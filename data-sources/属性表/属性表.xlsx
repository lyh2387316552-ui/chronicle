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7945" windowHeight="12255" activeTab="3"/>
  </bookViews>
  <sheets>
    <sheet name="AttributeName" sheetId="1" r:id="rId1"/>
    <sheet name="AutoAttribute" sheetId="2" r:id="rId2"/>
    <sheet name="|新旧属性ID对照" sheetId="3" r:id="rId3"/>
    <sheet name="ModifierDes" sheetId="4" r:id="rId4"/>
    <sheet name="StuntDes" sheetId="5" r:id="rId5"/>
  </sheets>
  <definedNames>
    <definedName name="_xlnm._FilterDatabase" localSheetId="0" hidden="1">AttributeName!$A$1:$Y$155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PC5080</author>
    <author>5000PC</author>
    <author>4399-5629</author>
  </authors>
  <commentList>
    <comment ref="B1" authorId="0">
      <text>
        <r>
          <rPr>
            <sz val="9"/>
            <rFont val="宋体"/>
            <charset val="134"/>
          </rPr>
          <t>编号规则
1~5 属性点
101~199 普通属性201~299 固定值增加
301~399 百分比增加
401~999 其他属性</t>
        </r>
      </text>
    </comment>
    <comment ref="J1" authorId="0">
      <text>
        <r>
          <rPr>
            <sz val="9"/>
            <rFont val="宋体"/>
            <charset val="134"/>
          </rPr>
          <t>属性战力计算方法：
以计算完属性点影响和百分比加成后的属性作为计算战力的属性
物攻和法攻只取高的一项，若相同者取任意一项
物理暴击率和魔法暴击率只取高的一项，若相同者取任意一项
用属性值乘对应的系数，在求综合，就是属性战力值</t>
        </r>
      </text>
    </comment>
    <comment ref="L1" authorId="0">
      <text>
        <r>
          <rPr>
            <sz val="9"/>
            <rFont val="宋体"/>
            <charset val="134"/>
          </rPr>
          <t>用于计算装备和圣物本体的评分，只考虑这件装备的属性，不考虑转换</t>
        </r>
      </text>
    </comment>
    <comment ref="M1" authorId="0">
      <text>
        <r>
          <rPr>
            <sz val="9"/>
            <rFont val="宋体"/>
            <charset val="134"/>
          </rPr>
          <t>1，属性点属性（需要先计算并转换）
2，基础属性
3，百分比增加
4，属性点百分比</t>
        </r>
      </text>
    </comment>
    <comment ref="P1" authorId="0">
      <text>
        <r>
          <rPr>
            <sz val="9"/>
            <rFont val="宋体"/>
            <charset val="134"/>
          </rPr>
          <t>百分比属性才生效，配置具体影响哪个属性</t>
        </r>
      </text>
    </comment>
    <comment ref="Q1" authorId="0">
      <text>
        <r>
          <rPr>
            <sz val="9"/>
            <rFont val="宋体"/>
            <charset val="134"/>
          </rPr>
          <t>1，直接向下取整后显示数值
2，显示成百分比形式，并保留两位小数， 比如0.7539显示未75.39%
3，保留两位小数的值</t>
        </r>
      </text>
    </comment>
    <comment ref="R1" authorId="0">
      <text>
        <r>
          <rPr>
            <sz val="9"/>
            <rFont val="宋体"/>
            <charset val="134"/>
          </rPr>
          <t>0 不显示
1 基础属性
2 攻击类属性
3 防御类属性</t>
        </r>
      </text>
    </comment>
    <comment ref="S1" authorId="1">
      <text>
        <r>
          <rPr>
            <b/>
            <sz val="9"/>
            <rFont val="宋体"/>
            <charset val="134"/>
          </rPr>
          <t>5000PC:</t>
        </r>
        <r>
          <rPr>
            <sz val="9"/>
            <rFont val="宋体"/>
            <charset val="134"/>
          </rPr>
          <t xml:space="preserve">
对所有单位均有效（包括敌方）</t>
        </r>
      </text>
    </comment>
    <comment ref="T1" authorId="1">
      <text>
        <r>
          <rPr>
            <b/>
            <sz val="9"/>
            <rFont val="宋体"/>
            <charset val="134"/>
          </rPr>
          <t>5000PC:</t>
        </r>
        <r>
          <rPr>
            <sz val="9"/>
            <rFont val="宋体"/>
            <charset val="134"/>
          </rPr>
          <t xml:space="preserve">
用于标注该属性属于输出或生存属性
0|无，不属于任何类型属性，也不加战力
1|输出属性，加输出战斗力
2|生存属性，加生存战斗力</t>
        </r>
      </text>
    </comment>
    <comment ref="U1" authorId="2">
      <text>
        <r>
          <rPr>
            <b/>
            <sz val="9"/>
            <rFont val="宋体"/>
            <charset val="134"/>
          </rPr>
          <t>4399-5629:</t>
        </r>
        <r>
          <rPr>
            <sz val="9"/>
            <rFont val="宋体"/>
            <charset val="134"/>
          </rPr>
          <t xml:space="preserve">
0-不可
1-可</t>
        </r>
      </text>
    </comment>
    <comment ref="X1" authorId="1">
      <text>
        <r>
          <rPr>
            <b/>
            <sz val="9"/>
            <rFont val="宋体"/>
            <charset val="134"/>
          </rPr>
          <t>5000PC:</t>
        </r>
        <r>
          <rPr>
            <sz val="9"/>
            <rFont val="宋体"/>
            <charset val="134"/>
          </rPr>
          <t xml:space="preserve">
配1时不参与战斗计算，仅给其他属性做加成</t>
        </r>
      </text>
    </comment>
    <comment ref="Y1" authorId="2">
      <text>
        <r>
          <rPr>
            <b/>
            <sz val="9"/>
            <rFont val="宋体"/>
            <charset val="134"/>
          </rPr>
          <t>4399-5629:</t>
        </r>
        <r>
          <rPr>
            <sz val="9"/>
            <rFont val="宋体"/>
            <charset val="134"/>
          </rPr>
          <t xml:space="preserve">
与map表和stageProfit表中的proRate字段关联
1对应乘以proRate1的值
2对应proRate2
3对应proRate3</t>
        </r>
      </text>
    </comment>
  </commentList>
</comments>
</file>

<file path=xl/comments2.xml><?xml version="1.0" encoding="utf-8"?>
<comments xmlns="http://schemas.openxmlformats.org/spreadsheetml/2006/main">
  <authors>
    <author>5000PC</author>
  </authors>
  <commentList>
    <comment ref="A1" authorId="0">
      <text>
        <r>
          <rPr>
            <sz val="9"/>
            <rFont val="宋体"/>
            <charset val="134"/>
          </rPr>
          <t xml:space="preserve">装备类型
1 重剑
2 巨斧
3 刀盾
4 臂盾
5 双刃
6 太刀
7 长弓
8 弩枪
9 法杖
10 战镰
11 宝珠
12 魔典
0 无武器
</t>
        </r>
      </text>
    </comment>
  </commentList>
</comments>
</file>

<file path=xl/comments3.xml><?xml version="1.0" encoding="utf-8"?>
<comments xmlns="http://schemas.openxmlformats.org/spreadsheetml/2006/main">
  <authors>
    <author>PC5080</author>
  </authors>
  <commentList>
    <comment ref="B1" authorId="0">
      <text>
        <r>
          <rPr>
            <sz val="9"/>
            <rFont val="宋体"/>
            <charset val="134"/>
          </rPr>
          <t>编号规则
1~5 属性点
101~199 普通属性201~299 固定值增加
301~399 百分比增加
401~999 其他属性</t>
        </r>
      </text>
    </comment>
    <comment ref="C1" authorId="0">
      <text>
        <r>
          <rPr>
            <sz val="9"/>
            <rFont val="宋体"/>
            <charset val="134"/>
          </rPr>
          <t>编号规则
1~5 属性点
101~199 普通属性201~299 固定值增加
301~399 百分比增加
401~999 其他属性</t>
        </r>
      </text>
    </comment>
  </commentList>
</comments>
</file>

<file path=xl/comments4.xml><?xml version="1.0" encoding="utf-8"?>
<comments xmlns="http://schemas.openxmlformats.org/spreadsheetml/2006/main">
  <authors>
    <author>PC-7020</author>
  </authors>
  <commentList>
    <comment ref="E1" authorId="0">
      <text>
        <r>
          <rPr>
            <b/>
            <sz val="9"/>
            <rFont val="宋体"/>
            <charset val="134"/>
          </rPr>
          <t>PC-7020:</t>
        </r>
        <r>
          <rPr>
            <sz val="9"/>
            <rFont val="宋体"/>
            <charset val="134"/>
          </rPr>
          <t xml:space="preserve">
1-不变
2-变为百分比
</t>
        </r>
      </text>
    </comment>
  </commentList>
</comments>
</file>

<file path=xl/comments5.xml><?xml version="1.0" encoding="utf-8"?>
<comments xmlns="http://schemas.openxmlformats.org/spreadsheetml/2006/main">
  <authors>
    <author>PC-7020</author>
  </authors>
  <commentList>
    <comment ref="E1" authorId="0">
      <text>
        <r>
          <rPr>
            <b/>
            <sz val="9"/>
            <rFont val="宋体"/>
            <charset val="134"/>
          </rPr>
          <t>PC-7020:</t>
        </r>
        <r>
          <rPr>
            <sz val="9"/>
            <rFont val="宋体"/>
            <charset val="134"/>
          </rPr>
          <t xml:space="preserve">
1-不变
2-变为百分比
</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<sst xmlns="http://schemas.openxmlformats.org/spreadsheetml/2006/main" count="1971" uniqueCount="967">
  <si>
    <t>属性名</t>
  </si>
  <si>
    <t>属性ID</t>
  </si>
  <si>
    <t>(nouse)策划说明</t>
  </si>
  <si>
    <t>(nouse)词缀小数位</t>
  </si>
  <si>
    <t>(nouse)显示类型</t>
  </si>
  <si>
    <t>属性显示名</t>
  </si>
  <si>
    <t>属性描述</t>
  </si>
  <si>
    <t>图标</t>
  </si>
  <si>
    <t>战力系数</t>
  </si>
  <si>
    <t>战力等级系数</t>
  </si>
  <si>
    <t>装备圣物评分系数</t>
  </si>
  <si>
    <t>属性类型</t>
  </si>
  <si>
    <t>佣兵战力系数</t>
  </si>
  <si>
    <t>属性点影响</t>
  </si>
  <si>
    <t>百分比属性的关联属性</t>
  </si>
  <si>
    <t>值显示类型</t>
  </si>
  <si>
    <t>属性显示类型</t>
  </si>
  <si>
    <t>默认值</t>
  </si>
  <si>
    <t>属性计算类型</t>
  </si>
  <si>
    <t>最小值</t>
  </si>
  <si>
    <t>最大值</t>
  </si>
  <si>
    <t>属性转换</t>
  </si>
  <si>
    <t>非战斗属性</t>
  </si>
  <si>
    <t>属性变化标记</t>
  </si>
  <si>
    <t>转换属性类型</t>
  </si>
  <si>
    <t>转换属性比例</t>
  </si>
  <si>
    <t>attribute.p</t>
  </si>
  <si>
    <t>attrID</t>
  </si>
  <si>
    <t>desc999</t>
  </si>
  <si>
    <t>desc98</t>
  </si>
  <si>
    <t>desc99</t>
  </si>
  <si>
    <t>name</t>
  </si>
  <si>
    <t>desc</t>
  </si>
  <si>
    <t>icon</t>
  </si>
  <si>
    <t>coefficient</t>
  </si>
  <si>
    <t>level</t>
  </si>
  <si>
    <t>equipPowerRate</t>
  </si>
  <si>
    <t>attrType</t>
  </si>
  <si>
    <t>soldierCoefficient</t>
  </si>
  <si>
    <t>attrPoints</t>
  </si>
  <si>
    <t>relatedAttr</t>
  </si>
  <si>
    <t>valueShowType</t>
  </si>
  <si>
    <t>showType</t>
  </si>
  <si>
    <t>defaultValue</t>
  </si>
  <si>
    <t>attrCountType</t>
  </si>
  <si>
    <t>min</t>
  </si>
  <si>
    <t>max</t>
  </si>
  <si>
    <t>addValue</t>
  </si>
  <si>
    <t>notBattle</t>
  </si>
  <si>
    <t>dungeonInfluence</t>
  </si>
  <si>
    <t>transAttri</t>
  </si>
  <si>
    <t>transValue</t>
  </si>
  <si>
    <t>string</t>
  </si>
  <si>
    <t>number</t>
  </si>
  <si>
    <t>numberArr</t>
  </si>
  <si>
    <t>object</t>
  </si>
  <si>
    <t>number2</t>
  </si>
  <si>
    <t>function(attri,v)</t>
  </si>
  <si>
    <t>stringArr</t>
  </si>
  <si>
    <t>attack</t>
  </si>
  <si>
    <t>基础攻击</t>
  </si>
  <si>
    <t>基础攻击力</t>
  </si>
  <si>
    <t>attribute/tongyong</t>
  </si>
  <si>
    <t>1|1|1|1|1</t>
  </si>
  <si>
    <t>hpMax</t>
  </si>
  <si>
    <t>基础生命</t>
  </si>
  <si>
    <t>基础生命值</t>
  </si>
  <si>
    <t>mpMax</t>
  </si>
  <si>
    <t>基础魔力</t>
  </si>
  <si>
    <t>基础魔力值</t>
  </si>
  <si>
    <t>hpRecover</t>
  </si>
  <si>
    <t>生命每秒恢复</t>
  </si>
  <si>
    <t>每秒恢复的生命值</t>
  </si>
  <si>
    <t>hpRecoverPct</t>
  </si>
  <si>
    <t>生命恢复速度提高</t>
  </si>
  <si>
    <t>每秒根据最大生命值比例恢复生命值</t>
  </si>
  <si>
    <t>生命恢复率</t>
  </si>
  <si>
    <t>mpRecover</t>
  </si>
  <si>
    <t>魔力每秒恢复</t>
  </si>
  <si>
    <t>每秒恢复的魔力值</t>
  </si>
  <si>
    <t>mpRecoverPct</t>
  </si>
  <si>
    <t>魔力恢复率</t>
  </si>
  <si>
    <t>每秒根据最大魔力值比例恢复魔力值</t>
  </si>
  <si>
    <t>equipWalkSpeedScale</t>
  </si>
  <si>
    <t>移动速度增加</t>
  </si>
  <si>
    <t>hitRate</t>
  </si>
  <si>
    <t>命中率</t>
  </si>
  <si>
    <t>命中百分比概率</t>
  </si>
  <si>
    <t>dodgeRate</t>
  </si>
  <si>
    <t>闪避率</t>
  </si>
  <si>
    <t>闪避百分比概率</t>
  </si>
  <si>
    <t>blockRate</t>
  </si>
  <si>
    <t>格挡率</t>
  </si>
  <si>
    <t>格挡百分比概率</t>
  </si>
  <si>
    <t>blockDamageRed</t>
  </si>
  <si>
    <t>格挡减伤率</t>
  </si>
  <si>
    <t>格挡百分比减伤率</t>
  </si>
  <si>
    <t>格挡百分比减伤</t>
  </si>
  <si>
    <t>attackCD</t>
  </si>
  <si>
    <t>攻击冷却缩减</t>
  </si>
  <si>
    <t>spellCD</t>
  </si>
  <si>
    <t>法术冷却缩减</t>
  </si>
  <si>
    <t>attackHpRecover</t>
  </si>
  <si>
    <t>攻击击中回血</t>
  </si>
  <si>
    <t>攻击命中敌人恢复生命</t>
  </si>
  <si>
    <t>attackMpRecover</t>
  </si>
  <si>
    <t>攻击击中回蓝</t>
  </si>
  <si>
    <t>攻击命中敌人恢复法力</t>
  </si>
  <si>
    <t>spellHpRecover</t>
  </si>
  <si>
    <t>法术击中回血</t>
  </si>
  <si>
    <t>法术命中敌人恢复生命</t>
  </si>
  <si>
    <t>spellMpRecover</t>
  </si>
  <si>
    <t>法术击中回蓝</t>
  </si>
  <si>
    <t>法术命中敌人恢复法力</t>
  </si>
  <si>
    <t>killHpRecover</t>
  </si>
  <si>
    <t>击杀回血</t>
  </si>
  <si>
    <t>击杀敌人恢复生命</t>
  </si>
  <si>
    <t>killMpRecover</t>
  </si>
  <si>
    <t>击杀回蓝</t>
  </si>
  <si>
    <t>击杀敌人恢复法力</t>
  </si>
  <si>
    <t>energy</t>
  </si>
  <si>
    <t>能量</t>
  </si>
  <si>
    <t>能量上限</t>
  </si>
  <si>
    <t>anger</t>
  </si>
  <si>
    <t>怒气</t>
  </si>
  <si>
    <t>怒气上限</t>
  </si>
  <si>
    <t>attackSpeed</t>
  </si>
  <si>
    <t>攻击速度-老版本buff引用</t>
  </si>
  <si>
    <t>攻击速度</t>
  </si>
  <si>
    <t>攻击速度比例</t>
  </si>
  <si>
    <t>skillSpeed</t>
  </si>
  <si>
    <t>施法速度-老版本buff引用</t>
  </si>
  <si>
    <t>施法速度</t>
  </si>
  <si>
    <t>施法速度比例</t>
  </si>
  <si>
    <t>missileSpeed</t>
  </si>
  <si>
    <t>投射物速度</t>
  </si>
  <si>
    <t>投射物速度比例</t>
  </si>
  <si>
    <t>attackSpeedRatio</t>
  </si>
  <si>
    <t>作用于调整mainTag=1的技能的attackSpeed字段，attackSpeed=配置值*属性值，默认值为100%</t>
  </si>
  <si>
    <t>castSpeedRatio</t>
  </si>
  <si>
    <t>作用于调整mainTag=2的技能的attackSpeed字段，attackSpeed=配置值*属性值，默认值为100%</t>
  </si>
  <si>
    <t>baseCritRate</t>
  </si>
  <si>
    <t>基础暴击率</t>
  </si>
  <si>
    <t>基础暴击概率百分比</t>
  </si>
  <si>
    <t>allCritRatePct</t>
  </si>
  <si>
    <t>全局暴击值增加</t>
  </si>
  <si>
    <t>全局暴击概率百分比提升</t>
  </si>
  <si>
    <t>全局暴击增加率</t>
  </si>
  <si>
    <t>attackCritRatePct</t>
  </si>
  <si>
    <t>攻击暴击值增加</t>
  </si>
  <si>
    <t>攻击暴击概率百分比提升</t>
  </si>
  <si>
    <t>攻击暴击增加率</t>
  </si>
  <si>
    <t>spellCritRatePct</t>
  </si>
  <si>
    <t>法术暴击值增加</t>
  </si>
  <si>
    <t>法术暴击概率百分比提升</t>
  </si>
  <si>
    <t>法术暴击增加率</t>
  </si>
  <si>
    <t>baseCritDamage</t>
  </si>
  <si>
    <t>暴击伤害</t>
  </si>
  <si>
    <t>暴击伤害百分比</t>
  </si>
  <si>
    <t>allDamageInc</t>
  </si>
  <si>
    <t>全局伤害提高</t>
  </si>
  <si>
    <t>全局增伤百分比</t>
  </si>
  <si>
    <t>attackDamageInc</t>
  </si>
  <si>
    <t>废弃</t>
  </si>
  <si>
    <t>攻击增伤百分比</t>
  </si>
  <si>
    <t>攻击伤害提高</t>
  </si>
  <si>
    <t>spellDamageInc</t>
  </si>
  <si>
    <t>法术增伤百分比</t>
  </si>
  <si>
    <t>法术伤害提高</t>
  </si>
  <si>
    <t>physicalDamageInc</t>
  </si>
  <si>
    <t>物理伤害提高</t>
  </si>
  <si>
    <t>物理增伤百分比</t>
  </si>
  <si>
    <t>fireDamageInc</t>
  </si>
  <si>
    <t>火焰伤害提高</t>
  </si>
  <si>
    <t>火焰增伤百分比</t>
  </si>
  <si>
    <t>iceDamageInc</t>
  </si>
  <si>
    <t>冰冷伤害提高</t>
  </si>
  <si>
    <t>冰霜增伤百分比</t>
  </si>
  <si>
    <t>冰霜伤害提高</t>
  </si>
  <si>
    <t>thunderDamageInc</t>
  </si>
  <si>
    <t>闪电伤害提高</t>
  </si>
  <si>
    <t>闪电增伤百分比</t>
  </si>
  <si>
    <t>chaosDamageInc</t>
  </si>
  <si>
    <t>混沌伤害提高</t>
  </si>
  <si>
    <t>混沌增伤百分比</t>
  </si>
  <si>
    <t>elementDamageInc</t>
  </si>
  <si>
    <t>元素伤害提高</t>
  </si>
  <si>
    <t>元素增伤百分比</t>
  </si>
  <si>
    <t>fireDamageInc|iceDamageInc|thunderDamageInc</t>
  </si>
  <si>
    <t>1|1|1</t>
  </si>
  <si>
    <t>allDamagemore</t>
  </si>
  <si>
    <t>more伤</t>
  </si>
  <si>
    <t>more伤百分比</t>
  </si>
  <si>
    <t>allDamageRed</t>
  </si>
  <si>
    <t>全局减伤(未开发)</t>
  </si>
  <si>
    <t>全局减伤</t>
  </si>
  <si>
    <t>physicalDamageRed</t>
  </si>
  <si>
    <t>物理抗性</t>
  </si>
  <si>
    <t>物理抗性百分比</t>
  </si>
  <si>
    <t>fireDamageRed</t>
  </si>
  <si>
    <t>火焰抗性</t>
  </si>
  <si>
    <t>火焰抗性百分比</t>
  </si>
  <si>
    <t>iceDamageRed</t>
  </si>
  <si>
    <t>冰冷抗性</t>
  </si>
  <si>
    <t>冰霜抗性百分比</t>
  </si>
  <si>
    <t>冰霜抗性</t>
  </si>
  <si>
    <t>thunderDamageRed</t>
  </si>
  <si>
    <t>闪电抗性</t>
  </si>
  <si>
    <t>闪电抗性百分比</t>
  </si>
  <si>
    <t>chaosDamageRed</t>
  </si>
  <si>
    <t>混沌抗性</t>
  </si>
  <si>
    <t>混沌抗性百分比</t>
  </si>
  <si>
    <t>elementDamageRed</t>
  </si>
  <si>
    <t>元素抗性</t>
  </si>
  <si>
    <t>元素抗性百分比</t>
  </si>
  <si>
    <t>fireDamageRed|iceDamageRed|thunderDamageRed</t>
  </si>
  <si>
    <t>firePhysicalDamageRed</t>
  </si>
  <si>
    <t>火焰物理抗性</t>
  </si>
  <si>
    <t>火焰物理抗性百分比</t>
  </si>
  <si>
    <t>physicalDamageRed|fireDamageRed</t>
  </si>
  <si>
    <t>1|1</t>
  </si>
  <si>
    <t>icePhysicalDamageRed</t>
  </si>
  <si>
    <t>冰冷物理抗性</t>
  </si>
  <si>
    <t>冰霜物理抗性百分比</t>
  </si>
  <si>
    <t>冰霜物理抗性</t>
  </si>
  <si>
    <t>physicalDamageRed|iceDamageRed</t>
  </si>
  <si>
    <t>thunderPhysicalDamageRed</t>
  </si>
  <si>
    <t>闪电物理抗性</t>
  </si>
  <si>
    <t>闪电物理抗性百分比</t>
  </si>
  <si>
    <t>physicalDamageRed|thunderDamageRed</t>
  </si>
  <si>
    <t>fireChaosDamageRed</t>
  </si>
  <si>
    <t>火焰混沌抗性</t>
  </si>
  <si>
    <t>火焰混沌抗性百分比</t>
  </si>
  <si>
    <t>chaosDamageRed|fireDamageRed</t>
  </si>
  <si>
    <t>iceChaosDamageRed</t>
  </si>
  <si>
    <t>冰冷混沌抗性</t>
  </si>
  <si>
    <t>冰霜混沌抗性百分比</t>
  </si>
  <si>
    <t>冰霜混沌抗性</t>
  </si>
  <si>
    <t>chaosDamageRed|iceDamageRed</t>
  </si>
  <si>
    <t>thunderChaosDamageRed</t>
  </si>
  <si>
    <t>闪电混沌抗性</t>
  </si>
  <si>
    <t>闪电混沌抗性百分比</t>
  </si>
  <si>
    <t>chaosDamageRed|thunderDamageRed</t>
  </si>
  <si>
    <t>repelResistance</t>
  </si>
  <si>
    <t>击退抗性</t>
  </si>
  <si>
    <t>受击方属性，按百分比影响小击退、击退、击飞中，水平位移这段动作时长</t>
  </si>
  <si>
    <t>受击方属性，按百分比影响小击退、击退、击飞中，水平位移这段动作时长。</t>
  </si>
  <si>
    <t>retardResistance</t>
  </si>
  <si>
    <t>减速抗性</t>
  </si>
  <si>
    <t>受击方属性，按百分比影响自身受到减速效果的概率</t>
  </si>
  <si>
    <t>vertigoResistance</t>
  </si>
  <si>
    <t>眩晕抗性</t>
  </si>
  <si>
    <t>受击方属性，按百分比影响自身受到眩晕效果的概率</t>
  </si>
  <si>
    <t>missileSkillLevel</t>
  </si>
  <si>
    <t>投射物技能等级</t>
  </si>
  <si>
    <t>投射物技能等级提升</t>
  </si>
  <si>
    <t>attackSkillLevel</t>
  </si>
  <si>
    <t>攻击技能等级</t>
  </si>
  <si>
    <t>攻击技能等级提升</t>
  </si>
  <si>
    <t>spellSkillLevel</t>
  </si>
  <si>
    <t>法术技能等级</t>
  </si>
  <si>
    <t>法术技能等级提升</t>
  </si>
  <si>
    <t>physicalSkillLevel</t>
  </si>
  <si>
    <t>物理技能等级</t>
  </si>
  <si>
    <t>物理技能等级提升</t>
  </si>
  <si>
    <t>fireSkillLevel</t>
  </si>
  <si>
    <t>火焰技能等级</t>
  </si>
  <si>
    <t>火焰技能等级提升</t>
  </si>
  <si>
    <t>iceSkillLevel</t>
  </si>
  <si>
    <t>冰冷技能等级</t>
  </si>
  <si>
    <t>冰霜技能等级提升</t>
  </si>
  <si>
    <t>冰霜技能等级</t>
  </si>
  <si>
    <t>冰冻技能等级提升</t>
  </si>
  <si>
    <t>thunderSkillLevel</t>
  </si>
  <si>
    <t>闪电技能等级</t>
  </si>
  <si>
    <t>闪电技能等级提升</t>
  </si>
  <si>
    <t>chaosSkillLevel</t>
  </si>
  <si>
    <t>混沌技能等级</t>
  </si>
  <si>
    <t>混沌技能等级提升</t>
  </si>
  <si>
    <t>allSkillLevel</t>
  </si>
  <si>
    <t>全技能等级</t>
  </si>
  <si>
    <t>全技能等级提升</t>
  </si>
  <si>
    <t>physicalGainAttack</t>
  </si>
  <si>
    <t>获得物理伤害</t>
  </si>
  <si>
    <t>获得物理伤害(不受暴击影响)</t>
  </si>
  <si>
    <t>fireGainAttack</t>
  </si>
  <si>
    <t>获得火焰伤害</t>
  </si>
  <si>
    <t>获得火焰伤害(不受暴击影响)</t>
  </si>
  <si>
    <t>iceGainAttack</t>
  </si>
  <si>
    <t>获得冰冷伤害</t>
  </si>
  <si>
    <t>获得冰霜伤害(不受暴击影响)</t>
  </si>
  <si>
    <t>获得冰霜伤害</t>
  </si>
  <si>
    <t>thunderGainAttack</t>
  </si>
  <si>
    <t>获得闪电伤害</t>
  </si>
  <si>
    <t>获得闪电伤害(不受暴击影响)</t>
  </si>
  <si>
    <t>chaosGainAttack</t>
  </si>
  <si>
    <t>获得混沌伤害</t>
  </si>
  <si>
    <t>获得混沌伤害(不受暴击影响)</t>
  </si>
  <si>
    <t>allAttackPer</t>
  </si>
  <si>
    <t>攻击百比</t>
  </si>
  <si>
    <t>physicalAttackPer</t>
  </si>
  <si>
    <t>物理攻击百比</t>
  </si>
  <si>
    <t>fireAttackPer</t>
  </si>
  <si>
    <t>火焰攻击百比</t>
  </si>
  <si>
    <t>iceAttackPer</t>
  </si>
  <si>
    <t>冰冷攻击百比</t>
  </si>
  <si>
    <t>冰霜攻击百比</t>
  </si>
  <si>
    <t>thunderAttackPer</t>
  </si>
  <si>
    <t>闪电攻击百比</t>
  </si>
  <si>
    <t>chaosAttackPer</t>
  </si>
  <si>
    <t>混沌攻击百比</t>
  </si>
  <si>
    <t>elementAttackPer</t>
  </si>
  <si>
    <t>元素攻击百比</t>
  </si>
  <si>
    <t>rarity</t>
  </si>
  <si>
    <t>装备稀有度</t>
  </si>
  <si>
    <t>掉落装备稀有度百分比提高</t>
  </si>
  <si>
    <t>dropExpNumRate</t>
  </si>
  <si>
    <t>经验掉落数量增加</t>
  </si>
  <si>
    <t>attr/tongyong</t>
  </si>
  <si>
    <t>resynthesisRate</t>
  </si>
  <si>
    <t>重熔出现概率</t>
  </si>
  <si>
    <t>baseDropLevelRate</t>
  </si>
  <si>
    <t>基础等级影响掉落</t>
  </si>
  <si>
    <t>igniteStrength</t>
  </si>
  <si>
    <t>点燃强度</t>
  </si>
  <si>
    <t>造成点燃效果增强百分比</t>
  </si>
  <si>
    <t>slowdownStrength</t>
  </si>
  <si>
    <t>冰缓强度</t>
  </si>
  <si>
    <t>造成冰缓效果增强百分比</t>
  </si>
  <si>
    <t>electricalStrength</t>
  </si>
  <si>
    <t>感电强度</t>
  </si>
  <si>
    <t>造成感电效果增强百分比</t>
  </si>
  <si>
    <t>bleedStrength</t>
  </si>
  <si>
    <t>流血强度</t>
  </si>
  <si>
    <t>造成流血效果增强百分比</t>
  </si>
  <si>
    <t>poisonStrength</t>
  </si>
  <si>
    <t>中毒强度</t>
  </si>
  <si>
    <t>造成中毒效果增强百分比</t>
  </si>
  <si>
    <t>vertigoExtend</t>
  </si>
  <si>
    <t>眩晕延长</t>
  </si>
  <si>
    <t>造成眩晕时间延长百分比</t>
  </si>
  <si>
    <t>slowdownExtend</t>
  </si>
  <si>
    <t>冰冻延长</t>
  </si>
  <si>
    <t>造成冰冻时间延长百分比</t>
  </si>
  <si>
    <t>igniteResistence</t>
  </si>
  <si>
    <t>点燃抵抗</t>
  </si>
  <si>
    <t>受到点燃效果减弱百分比</t>
  </si>
  <si>
    <t>slowdownResistence</t>
  </si>
  <si>
    <t>冰缓抵抗</t>
  </si>
  <si>
    <t>受到冰缓效果减弱百分比</t>
  </si>
  <si>
    <t>electricalResistence</t>
  </si>
  <si>
    <t>感电抵抗</t>
  </si>
  <si>
    <t>受到感电效果减弱百分比</t>
  </si>
  <si>
    <t>bleedResistence</t>
  </si>
  <si>
    <t>流血抵抗</t>
  </si>
  <si>
    <t>受到流血效果减弱百分比</t>
  </si>
  <si>
    <t>poisonResistence</t>
  </si>
  <si>
    <t>中毒抵抗</t>
  </si>
  <si>
    <t>受到中毒效果减弱百分比</t>
  </si>
  <si>
    <t>vertigoShorten</t>
  </si>
  <si>
    <t>眩晕缩减</t>
  </si>
  <si>
    <t>受到眩晕时间缩短百分比</t>
  </si>
  <si>
    <t>slowdownShorten</t>
  </si>
  <si>
    <t>冰冻缩减</t>
  </si>
  <si>
    <t>受到冰冻时间缩短百分比</t>
  </si>
  <si>
    <t>levelRequireReduce</t>
  </si>
  <si>
    <t>降低装备穿戴等级</t>
  </si>
  <si>
    <t>immunityIgniteChance</t>
  </si>
  <si>
    <t>免疫点燃概率</t>
  </si>
  <si>
    <t>immunityChillChance</t>
  </si>
  <si>
    <t>免疫冰缓概率</t>
  </si>
  <si>
    <t>immunityFreezeChance</t>
  </si>
  <si>
    <t>免疫冰冻概率</t>
  </si>
  <si>
    <t>immunityShockChance</t>
  </si>
  <si>
    <t>免疫感电概率</t>
  </si>
  <si>
    <t>immunityElectrocuteChance</t>
  </si>
  <si>
    <t>免疫触电概率</t>
  </si>
  <si>
    <t>igniteChance</t>
  </si>
  <si>
    <t>点燃概率提高</t>
  </si>
  <si>
    <t>igniteEffect</t>
  </si>
  <si>
    <t>点燃效果比例</t>
  </si>
  <si>
    <t>freezeEffect</t>
  </si>
  <si>
    <t>冰冻效果比例</t>
  </si>
  <si>
    <t>shockChance</t>
  </si>
  <si>
    <t>感电概率提高</t>
  </si>
  <si>
    <t>shockEffect</t>
  </si>
  <si>
    <t>感电效果比例</t>
  </si>
  <si>
    <t>electrocuteEffect</t>
  </si>
  <si>
    <t>触电几率提高</t>
  </si>
  <si>
    <t>reducedIgniteDurationTaken</t>
  </si>
  <si>
    <t>受到点燃时间降低</t>
  </si>
  <si>
    <t>reducedChillDurationTaken</t>
  </si>
  <si>
    <t>受到冰缓时间降低</t>
  </si>
  <si>
    <t>reducedFreezeDurationTaken</t>
  </si>
  <si>
    <t>受到冻结时间降低</t>
  </si>
  <si>
    <t>reducedShockDurationTaken</t>
  </si>
  <si>
    <t>受到感电时间降低</t>
  </si>
  <si>
    <t>reducedElectrocuteDurationTaken</t>
  </si>
  <si>
    <t>受到触电时间降低</t>
  </si>
  <si>
    <t>elementalAilmentReduction</t>
  </si>
  <si>
    <t>元素异常状态抵抗</t>
  </si>
  <si>
    <t>elementalAilmentThreshold</t>
  </si>
  <si>
    <t>元素异常状态阈值</t>
  </si>
  <si>
    <t>igniteStackLimit</t>
  </si>
  <si>
    <t>点燃层数上限增加</t>
  </si>
  <si>
    <t>点燃层数上限</t>
  </si>
  <si>
    <t>physicalToLightning</t>
  </si>
  <si>
    <t>物理伤害转化为闪电伤害</t>
  </si>
  <si>
    <t>physicalToCold</t>
  </si>
  <si>
    <t>物理伤害转化为冰冷伤害</t>
  </si>
  <si>
    <t>physicalToFire</t>
  </si>
  <si>
    <t>物理伤害转化为火焰伤害</t>
  </si>
  <si>
    <t>lightningToCold</t>
  </si>
  <si>
    <t>闪电伤害转化为冰冷伤害</t>
  </si>
  <si>
    <t>lightningToFire</t>
  </si>
  <si>
    <t>闪电伤害转化为火焰伤害</t>
  </si>
  <si>
    <t>fireToCold</t>
  </si>
  <si>
    <t>火焰伤害转化为冰冷伤害</t>
  </si>
  <si>
    <t>fireToLightning</t>
  </si>
  <si>
    <t>火焰伤害转化为闪电伤害</t>
  </si>
  <si>
    <t>coldToLightning</t>
  </si>
  <si>
    <t>冰冷伤害转换为闪电伤害</t>
  </si>
  <si>
    <t>coldToFire</t>
  </si>
  <si>
    <t>冰冷伤害转换为火焰伤害</t>
  </si>
  <si>
    <t>coldToChaos</t>
  </si>
  <si>
    <t>冰冷伤害转换为混沌伤害</t>
  </si>
  <si>
    <t>lightningToChaos</t>
  </si>
  <si>
    <t>闪电伤害转换为混沌伤害</t>
  </si>
  <si>
    <t>fireToChaos</t>
  </si>
  <si>
    <t>火焰伤害转换为混沌伤害</t>
  </si>
  <si>
    <t>imposeIncreaseIgniteDuration</t>
  </si>
  <si>
    <t>造成点燃时间比例</t>
  </si>
  <si>
    <t>造成点燃时间增加</t>
  </si>
  <si>
    <t>imposeIncreaseChillDuration</t>
  </si>
  <si>
    <t>造成冰缓时间比例</t>
  </si>
  <si>
    <t>造成冰缓时间增加</t>
  </si>
  <si>
    <t>imposeIncreaseFreezeDuration</t>
  </si>
  <si>
    <t>造成冰冻时间比例</t>
  </si>
  <si>
    <t>造成冻结时间增加</t>
  </si>
  <si>
    <t>imposeIncreaseShockDuration</t>
  </si>
  <si>
    <t>造成感电时间比例</t>
  </si>
  <si>
    <t>造成感电时间增加</t>
  </si>
  <si>
    <t>imposeIncreaseElectrocuteDuration</t>
  </si>
  <si>
    <t>造成触电时间比例</t>
  </si>
  <si>
    <t>造成触电时间增加</t>
  </si>
  <si>
    <t>cooldownRecovery</t>
  </si>
  <si>
    <t>冷却回复效率</t>
  </si>
  <si>
    <t>poisonChance</t>
  </si>
  <si>
    <t>中毒概率</t>
  </si>
  <si>
    <t>中毒概率提高</t>
  </si>
  <si>
    <t>poisonEffect</t>
  </si>
  <si>
    <t>中毒效果比例</t>
  </si>
  <si>
    <t>中毒效果</t>
  </si>
  <si>
    <t>poisonDurationModifier</t>
  </si>
  <si>
    <t>造成中毒时间比例</t>
  </si>
  <si>
    <t>manaCostToLifeCost</t>
  </si>
  <si>
    <t>魔力消耗转生命消耗</t>
  </si>
  <si>
    <t>damageBuffer</t>
  </si>
  <si>
    <t>受伤缓冲</t>
  </si>
  <si>
    <t>poisonStackLimit</t>
  </si>
  <si>
    <t>中毒层数上限增加</t>
  </si>
  <si>
    <t>中毒层数上限</t>
  </si>
  <si>
    <t>damageOverTime</t>
  </si>
  <si>
    <t>持续伤害比例</t>
  </si>
  <si>
    <t>持续伤害区间</t>
  </si>
  <si>
    <t>physicalPenetrateRed</t>
  </si>
  <si>
    <t>物理抗性穿透</t>
  </si>
  <si>
    <t>物理抗性穿透百分比</t>
  </si>
  <si>
    <t>firePenetrateRed</t>
  </si>
  <si>
    <t>火焰抗性穿透</t>
  </si>
  <si>
    <t>火焰抗性穿透百分比</t>
  </si>
  <si>
    <t>icePenetrateRed</t>
  </si>
  <si>
    <t>冰冷抗性穿透</t>
  </si>
  <si>
    <t>冰霜抗性穿透百分比</t>
  </si>
  <si>
    <t>冰霜抗性穿透</t>
  </si>
  <si>
    <t>thunderPenetrateRed</t>
  </si>
  <si>
    <t>闪电抗性穿透</t>
  </si>
  <si>
    <t>闪电抗性穿透百分比</t>
  </si>
  <si>
    <t>chaosPenetrateRed</t>
  </si>
  <si>
    <t>混沌抗性穿透</t>
  </si>
  <si>
    <t>混沌抗性穿透百分比</t>
  </si>
  <si>
    <t>bleedDurationBonus</t>
  </si>
  <si>
    <t>流血时间比例</t>
  </si>
  <si>
    <t>造成流血时间比例</t>
  </si>
  <si>
    <t>bleedChance</t>
  </si>
  <si>
    <t>流血几率</t>
  </si>
  <si>
    <t>流血概率提高</t>
  </si>
  <si>
    <t>流血概率</t>
  </si>
  <si>
    <t>bleedEffectMultiplier</t>
  </si>
  <si>
    <t>流血效果比例</t>
  </si>
  <si>
    <t>造成流血效果比例</t>
  </si>
  <si>
    <t>damageTaken</t>
  </si>
  <si>
    <t>受到伤害</t>
  </si>
  <si>
    <t>doubleRate</t>
  </si>
  <si>
    <t>造成双倍伤害几率</t>
  </si>
  <si>
    <t>玩家当前持有武器类型</t>
  </si>
  <si>
    <t>加点权重</t>
  </si>
  <si>
    <t>id.p</t>
  </si>
  <si>
    <t>weight</t>
  </si>
  <si>
    <t>[[1,4],[4,1]]</t>
  </si>
  <si>
    <t>[[2,4],[4,1]]</t>
  </si>
  <si>
    <t>[[1,2],[2,2],[4,1]]</t>
  </si>
  <si>
    <t>新属性ID</t>
  </si>
  <si>
    <t>旧属性ID</t>
  </si>
  <si>
    <t>旧属性若不在此表内，代表已删除</t>
  </si>
  <si>
    <t>攻击力</t>
  </si>
  <si>
    <t>defense</t>
  </si>
  <si>
    <t>防御力</t>
  </si>
  <si>
    <t>生命上限</t>
  </si>
  <si>
    <t>战意上限</t>
  </si>
  <si>
    <t>mpRecoverRate</t>
  </si>
  <si>
    <t>战意充能</t>
  </si>
  <si>
    <t>hpMaxExt</t>
  </si>
  <si>
    <t>生命加成（固定值）</t>
  </si>
  <si>
    <t>attackExt</t>
  </si>
  <si>
    <t>攻击加成（固定值）</t>
  </si>
  <si>
    <t>defenseExt</t>
  </si>
  <si>
    <t>防御加成（固定值）</t>
  </si>
  <si>
    <t>hpMaxPct</t>
  </si>
  <si>
    <t>生命加成（百分比）</t>
  </si>
  <si>
    <t>attackPct</t>
  </si>
  <si>
    <t>攻击加成（百分比）</t>
  </si>
  <si>
    <t>defensePct</t>
  </si>
  <si>
    <t>防御加成（百分比）</t>
  </si>
  <si>
    <t>critRate</t>
  </si>
  <si>
    <t>暴击率</t>
  </si>
  <si>
    <t>critAttack</t>
  </si>
  <si>
    <t>critResistance</t>
  </si>
  <si>
    <t>暴击抗性</t>
  </si>
  <si>
    <t>critAttackReduction</t>
  </si>
  <si>
    <t>无</t>
  </si>
  <si>
    <t>暴击伤害抗性</t>
  </si>
  <si>
    <t>格挡减伤</t>
  </si>
  <si>
    <t>blockRateResist</t>
  </si>
  <si>
    <t>无视格挡</t>
  </si>
  <si>
    <t>phyDamageInc</t>
  </si>
  <si>
    <t>物理伤害增幅</t>
  </si>
  <si>
    <t>phyDamageRed</t>
  </si>
  <si>
    <t>物理伤害减免</t>
  </si>
  <si>
    <t>magicDamageInc</t>
  </si>
  <si>
    <t>魔法伤害增幅</t>
  </si>
  <si>
    <t>magicDamageRed</t>
  </si>
  <si>
    <t>魔法伤害减免</t>
  </si>
  <si>
    <t>thornRate</t>
  </si>
  <si>
    <t>荆棘</t>
  </si>
  <si>
    <t>thornRateReduce</t>
  </si>
  <si>
    <t>荆棘抗性</t>
  </si>
  <si>
    <t>thornDamage</t>
  </si>
  <si>
    <t>荆棘伤害</t>
  </si>
  <si>
    <t>thornDamageReduce</t>
  </si>
  <si>
    <t>荆棘伤害抗性</t>
  </si>
  <si>
    <t>extraRate</t>
  </si>
  <si>
    <t>附伤概率</t>
  </si>
  <si>
    <t>extraRateReduce</t>
  </si>
  <si>
    <t>附伤概率抗性</t>
  </si>
  <si>
    <t>extraDamage</t>
  </si>
  <si>
    <t>附加伤害</t>
  </si>
  <si>
    <t>extraDamageReduce</t>
  </si>
  <si>
    <t>附加伤害抗性</t>
  </si>
  <si>
    <t>continuousRate</t>
  </si>
  <si>
    <t>持续伤害</t>
  </si>
  <si>
    <t>continuousRateReduce</t>
  </si>
  <si>
    <t>持续伤害抗性</t>
  </si>
  <si>
    <t>continuousDamage</t>
  </si>
  <si>
    <t>击中恢复</t>
  </si>
  <si>
    <t>continuousDamageReduce</t>
  </si>
  <si>
    <t>击中恢复抗性</t>
  </si>
  <si>
    <t>basicDamage</t>
  </si>
  <si>
    <t>基础技能增伤</t>
  </si>
  <si>
    <t>basicDamageReduce</t>
  </si>
  <si>
    <t>基础技能减伤</t>
  </si>
  <si>
    <t>coreDamage</t>
  </si>
  <si>
    <t>核心技能增伤</t>
  </si>
  <si>
    <t>coreDamageReduce</t>
  </si>
  <si>
    <t>核心技能减伤</t>
  </si>
  <si>
    <t>controlDamage</t>
  </si>
  <si>
    <t>掌控技能增伤</t>
  </si>
  <si>
    <t>controlDamageReduce</t>
  </si>
  <si>
    <t>掌控技能减伤</t>
  </si>
  <si>
    <t>ultimateDamage</t>
  </si>
  <si>
    <t>终极技能增伤</t>
  </si>
  <si>
    <t>ultimateDamageReduce</t>
  </si>
  <si>
    <t>终极技能减伤</t>
  </si>
  <si>
    <t>ordinaryMonstersDamage</t>
  </si>
  <si>
    <t>对普通怪物伤害提升</t>
  </si>
  <si>
    <t>ordinaryMonstersReduce</t>
  </si>
  <si>
    <t>受普通怪物伤害降低</t>
  </si>
  <si>
    <t>eliteMonstersDamage</t>
  </si>
  <si>
    <t>对精英怪物伤害提升</t>
  </si>
  <si>
    <t>eliteMonstersReduce</t>
  </si>
  <si>
    <t>受精英怪物伤害降低</t>
  </si>
  <si>
    <t>bossMonstersDamage</t>
  </si>
  <si>
    <t>对BOSS怪物伤害提升</t>
  </si>
  <si>
    <t>bossMonstersReduce</t>
  </si>
  <si>
    <t>受BOSS怪物伤害降低</t>
  </si>
  <si>
    <t>mercenariesDamage</t>
  </si>
  <si>
    <t>对佣兵伤害提升</t>
  </si>
  <si>
    <t>mercenariesReduce</t>
  </si>
  <si>
    <t>受佣兵伤害降低</t>
  </si>
  <si>
    <t>playersDamage</t>
  </si>
  <si>
    <t>对玩家伤害提升</t>
  </si>
  <si>
    <t>playersReduce</t>
  </si>
  <si>
    <t>受玩家伤害降低</t>
  </si>
  <si>
    <t>buoyancyDamageInc</t>
  </si>
  <si>
    <t>对浮空目标伤害提升</t>
  </si>
  <si>
    <t>buoyancyDamageRed</t>
  </si>
  <si>
    <t>浮空时伤害降低</t>
  </si>
  <si>
    <t>matchDamage</t>
  </si>
  <si>
    <t>竞技增伤</t>
  </si>
  <si>
    <t>matchDamageReduce</t>
  </si>
  <si>
    <t>竞技减伤</t>
  </si>
  <si>
    <t>damageInc</t>
  </si>
  <si>
    <t>伤害增幅</t>
  </si>
  <si>
    <t>damageRed</t>
  </si>
  <si>
    <t>伤害减免</t>
  </si>
  <si>
    <t>dmgReduce</t>
  </si>
  <si>
    <t>最终减伤</t>
  </si>
  <si>
    <t>dmgIncrease</t>
  </si>
  <si>
    <t>最终伤害</t>
  </si>
  <si>
    <t>shieldValue</t>
  </si>
  <si>
    <t>护盾值</t>
  </si>
  <si>
    <t>shieldStrength</t>
  </si>
  <si>
    <t>护盾强效</t>
  </si>
  <si>
    <t>shieldRate</t>
  </si>
  <si>
    <t>破盾效率</t>
  </si>
  <si>
    <t>floatMin</t>
  </si>
  <si>
    <t>浮动上限</t>
  </si>
  <si>
    <t>floatMax</t>
  </si>
  <si>
    <t>浮动下限</t>
  </si>
  <si>
    <t>coolingRed</t>
  </si>
  <si>
    <t>冷却缩减</t>
  </si>
  <si>
    <t>stateTimeliness</t>
  </si>
  <si>
    <t>状态时效</t>
  </si>
  <si>
    <t>addHpRate</t>
  </si>
  <si>
    <t>受疗加成</t>
  </si>
  <si>
    <t>addTreatment</t>
  </si>
  <si>
    <t>治疗加成</t>
  </si>
  <si>
    <t>移动速度（百分比）</t>
  </si>
  <si>
    <t>equipWalkSpeed</t>
  </si>
  <si>
    <t>移动速度（固定值）</t>
  </si>
  <si>
    <t>equipAttackSpeed</t>
  </si>
  <si>
    <t>基础生命恢复</t>
  </si>
  <si>
    <t>基础战意恢复</t>
  </si>
  <si>
    <t>技能</t>
  </si>
  <si>
    <t>名称</t>
  </si>
  <si>
    <t>描述</t>
  </si>
  <si>
    <t>保留小数位</t>
  </si>
  <si>
    <t>显示类型</t>
  </si>
  <si>
    <t>(nouse)类型</t>
  </si>
  <si>
    <t>round</t>
  </si>
  <si>
    <t>攻击速度提高</t>
  </si>
  <si>
    <t>攻击速度提高{0}</t>
  </si>
  <si>
    <t>通用</t>
  </si>
  <si>
    <t>范围效果提高</t>
  </si>
  <si>
    <t>范围效果提高{0}</t>
  </si>
  <si>
    <t>冰冻效果额外提高</t>
  </si>
  <si>
    <t>冻结效果额外提高{0}</t>
  </si>
  <si>
    <t>持续时间提高</t>
  </si>
  <si>
    <t>持续时间提高{0}</t>
  </si>
  <si>
    <t>冷却回复率额外提高</t>
  </si>
  <si>
    <t>冷却回复率额外提高{0}</t>
  </si>
  <si>
    <t>辅助技能-多重释放</t>
  </si>
  <si>
    <t>辅助技能-范围集中</t>
  </si>
  <si>
    <t>投射物数量增加</t>
  </si>
  <si>
    <t>投射物数量增加{0}</t>
  </si>
  <si>
    <t>暴击率提高</t>
  </si>
  <si>
    <t>暴击率提高{0}</t>
  </si>
  <si>
    <t>辅助技能-无边能量</t>
  </si>
  <si>
    <t>使获得的能量提高{0}</t>
  </si>
  <si>
    <t>冻结时间额外提高</t>
  </si>
  <si>
    <t>冻结时间额外提高{0}</t>
  </si>
  <si>
    <t>辅助技能-元素增幅</t>
  </si>
  <si>
    <t>辅助技能-新星投射物</t>
  </si>
  <si>
    <t>辅助技能-闪电偏转</t>
  </si>
  <si>
    <t>辅助技能-火焰偏转</t>
  </si>
  <si>
    <t>辅助技能-冰冷偏转</t>
  </si>
  <si>
    <t>辅助技能-沉重挥舞</t>
  </si>
  <si>
    <t>辅助技能-迎寒而上</t>
  </si>
  <si>
    <t>投射物速度提高</t>
  </si>
  <si>
    <t>投射物速度提高{0}</t>
  </si>
  <si>
    <t>施法速度提高</t>
  </si>
  <si>
    <t>施法速度提高{0}</t>
  </si>
  <si>
    <t>中毒几率</t>
  </si>
  <si>
    <t>中毒几率增加{0}</t>
  </si>
  <si>
    <t>混沌伤害倍率增加</t>
  </si>
  <si>
    <t>混沌伤害倍率增加{0}</t>
  </si>
  <si>
    <t>中毒层数上限增加{0}</t>
  </si>
  <si>
    <t>点燃层数上限增加{0}</t>
  </si>
  <si>
    <t>传奇装备——冷却转中毒时长</t>
  </si>
  <si>
    <t>当拥有40%冷却回复率时，则中毒持续时间提高{0}</t>
  </si>
  <si>
    <t>装备</t>
  </si>
  <si>
    <t>物理伤害倍率增加</t>
  </si>
  <si>
    <t>物理伤害倍率增加{0}</t>
  </si>
  <si>
    <t>火焰伤害倍率增加</t>
  </si>
  <si>
    <t>火焰伤害倍率增加{0}</t>
  </si>
  <si>
    <t>冰冷伤害倍率增加</t>
  </si>
  <si>
    <t>冰冷伤害倍率增加{0}</t>
  </si>
  <si>
    <t>闪电伤害倍率增加</t>
  </si>
  <si>
    <t>闪电伤害倍率增加{0}</t>
  </si>
  <si>
    <t>攻击暴击伤害增加</t>
  </si>
  <si>
    <t>攻击暴击伤害增加{0}</t>
  </si>
  <si>
    <t>法术暴击伤害增加</t>
  </si>
  <si>
    <t>法术暴击伤害增加{0}</t>
  </si>
  <si>
    <t>范围伤害提高</t>
  </si>
  <si>
    <t>范围伤害提高{0}</t>
  </si>
  <si>
    <t>近战伤害提高</t>
  </si>
  <si>
    <t>近战伤害提高{0}</t>
  </si>
  <si>
    <t>投射物伤害提高</t>
  </si>
  <si>
    <t>投射物伤害提高{0}</t>
  </si>
  <si>
    <t>幻影是否耗蓝</t>
  </si>
  <si>
    <t>天赋</t>
  </si>
  <si>
    <t>攻击伤害提高{0}</t>
  </si>
  <si>
    <t>法术伤害提高{0}</t>
  </si>
  <si>
    <t>召唤物伤害增加</t>
  </si>
  <si>
    <t>召唤物伤害增加{0}</t>
  </si>
  <si>
    <t>物理伤害转火焰伤害增加</t>
  </si>
  <si>
    <t>物理伤害转火焰伤害增加{0}</t>
  </si>
  <si>
    <t>物理伤害转冰冷伤害增加</t>
  </si>
  <si>
    <t>物理伤害转冰冷伤害增加{0}</t>
  </si>
  <si>
    <t>物理伤害转闪电伤害增加</t>
  </si>
  <si>
    <t>物理伤害转闪电伤害增加{0}</t>
  </si>
  <si>
    <t>传奇装备——生命转中毒伤害</t>
  </si>
  <si>
    <t>当拥有2000点生命值时，则中毒伤害提高{0}</t>
  </si>
  <si>
    <t>攻击速度额外提高</t>
  </si>
  <si>
    <t>攻击速度额外提高{0}</t>
  </si>
  <si>
    <t>暴击率额外提高</t>
  </si>
  <si>
    <t>暴击率额外提高{0}</t>
  </si>
  <si>
    <t>火焰伤害转冰冷伤害增加</t>
  </si>
  <si>
    <t>火焰伤害转冰冷伤害增加{0}</t>
  </si>
  <si>
    <t>闪电伤害转冰冷伤害增加</t>
  </si>
  <si>
    <t>闪电伤害转冰冷伤害增加{0}</t>
  </si>
  <si>
    <t>幻影数量增加</t>
  </si>
  <si>
    <t>幻影数量增加{0}</t>
  </si>
  <si>
    <t>旋风斩无cd,伤害减少1.6倍率</t>
  </si>
  <si>
    <t>旋风斩无cd,伤害减少{0}倍率</t>
  </si>
  <si>
    <t>绝对暴击</t>
  </si>
  <si>
    <t>攻击一定会暴击，暴击伤害降低{0}</t>
  </si>
  <si>
    <t>近战技能范围效果提高</t>
  </si>
  <si>
    <t>近战技能范围效果提高{0}</t>
  </si>
  <si>
    <t>每秒生命回复</t>
  </si>
  <si>
    <t>每秒生命回复增加{0}</t>
  </si>
  <si>
    <t>攻击暴击伤害提高</t>
  </si>
  <si>
    <t>攻击暴击伤害提高{0}</t>
  </si>
  <si>
    <t>法术暴击伤害提高</t>
  </si>
  <si>
    <t>法术暴击伤害提高{0}</t>
  </si>
  <si>
    <t>全域暴击伤害提高</t>
  </si>
  <si>
    <t>全域暴击伤害提高{0}</t>
  </si>
  <si>
    <t>天赋--太刀-第一个技能若是攻击技能，获得额外攻击速度</t>
  </si>
  <si>
    <t>天赋--太刀-第一个技能若是攻击技能，获得额外冰冻累积</t>
  </si>
  <si>
    <t>天赋-太刀-暴击率转攻击伤害</t>
  </si>
  <si>
    <t>近战伤害额外提高</t>
  </si>
  <si>
    <t>近战伤害额外提高{0}</t>
  </si>
  <si>
    <t>天赋-太刀-移动速度转攻击伤害</t>
  </si>
  <si>
    <t>闪电伤害有几率附带触电累积</t>
  </si>
  <si>
    <t>闪电伤害有{0}几率附带触电累积</t>
  </si>
  <si>
    <t>天赋-通用-火神</t>
  </si>
  <si>
    <t>天赋-通用-火神{0}</t>
  </si>
  <si>
    <t>天赋-通用-冰神</t>
  </si>
  <si>
    <t>天赋-通用-冰神{0}</t>
  </si>
  <si>
    <t>天赋-通用-活力</t>
  </si>
  <si>
    <t>天赋-通用-活力{0}</t>
  </si>
  <si>
    <t>天赋-通用-抵抗</t>
  </si>
  <si>
    <t>天赋-通用-抵抗{0}</t>
  </si>
  <si>
    <t>冻结效果提高</t>
  </si>
  <si>
    <t>冻结效果提高{0}</t>
  </si>
  <si>
    <t>范围伤害额外提高</t>
  </si>
  <si>
    <t>范围伤害额外提高{0}</t>
  </si>
  <si>
    <t>幻影施法比例额外提高</t>
  </si>
  <si>
    <t>幻影施法频率额外提高{0}</t>
  </si>
  <si>
    <t>幻影跟随</t>
  </si>
  <si>
    <t>魔典-天赋-幻影跟随</t>
  </si>
  <si>
    <t>天赋-魔典-冷却转施法速度</t>
  </si>
  <si>
    <t>天赋-魔典-冷却转施法速度{0}</t>
  </si>
  <si>
    <t>天赋-魔典-施法速度转幻影伤害</t>
  </si>
  <si>
    <t>天赋-魔典-施法速度转幻影伤害{0}</t>
  </si>
  <si>
    <t>天赋-魔典2-回响&amp;重复几率</t>
  </si>
  <si>
    <t>天赋-魔典2-回响&amp;重复几率{0}</t>
  </si>
  <si>
    <t>额外中毒效果</t>
  </si>
  <si>
    <t>中毒效果额外提高{0}</t>
  </si>
  <si>
    <t>天赋-魔典2-中毒层数翻倍</t>
  </si>
  <si>
    <t>受伤缓冲增加</t>
  </si>
  <si>
    <t>天赋-魔典2-全伤害中毒</t>
  </si>
  <si>
    <t>冷却回复率增加</t>
  </si>
  <si>
    <t>冷却回复率增加{0}</t>
  </si>
  <si>
    <t>魔力上限额外提高</t>
  </si>
  <si>
    <t>魔力上限额外提高{0}</t>
  </si>
  <si>
    <t>魔力回复率额外提高</t>
  </si>
  <si>
    <t>魔力回复率额外提高{0}</t>
  </si>
  <si>
    <t>幻影伤害额外提高（叠加）-天赋</t>
  </si>
  <si>
    <t>幻影伤害额外提高{0}（叠加）</t>
  </si>
  <si>
    <t>天赋-法杖-移动速度转投射物速度</t>
  </si>
  <si>
    <t>天赋-法杖-移动速度转投射物速度{0}</t>
  </si>
  <si>
    <t>魔力上限提高</t>
  </si>
  <si>
    <t>魔力上限提高{0}</t>
  </si>
  <si>
    <t>专用-回响</t>
  </si>
  <si>
    <t>专用-回响{0}</t>
  </si>
  <si>
    <t>专用-回响强化</t>
  </si>
  <si>
    <t>专用-回响强化{0}</t>
  </si>
  <si>
    <t>专用-火球术强化</t>
  </si>
  <si>
    <t>专用-火球术强化{0}</t>
  </si>
  <si>
    <t>魔力回复率提高</t>
  </si>
  <si>
    <t>魔力回复率提高{0}</t>
  </si>
  <si>
    <t>魔力每秒恢复增加</t>
  </si>
  <si>
    <t>魔力每秒恢复增加{0}</t>
  </si>
  <si>
    <t>冰冷伤害额外提高</t>
  </si>
  <si>
    <t>冰冷伤害额外提高{0}</t>
  </si>
  <si>
    <t>专用-天赋-强效施法</t>
  </si>
  <si>
    <t>专用-天赋-强效施法{0}</t>
  </si>
  <si>
    <t>元素伤害提高{0}</t>
  </si>
  <si>
    <t>元素伤害额外提高</t>
  </si>
  <si>
    <t>元素伤害额外提高{0}</t>
  </si>
  <si>
    <t>幻影数量上限增加</t>
  </si>
  <si>
    <t>幻影数量上限增加{0}</t>
  </si>
  <si>
    <t>幻影持续时间提高</t>
  </si>
  <si>
    <t>幻影持续时间提高{0}</t>
  </si>
  <si>
    <t>物理伤害额外提高</t>
  </si>
  <si>
    <t>物理伤害额外提高{0}</t>
  </si>
  <si>
    <t>火焰伤害额外提高</t>
  </si>
  <si>
    <t>火焰伤害额外提高{0}</t>
  </si>
  <si>
    <t>闪电伤害额外提高</t>
  </si>
  <si>
    <t>闪电伤害额外提高{0}</t>
  </si>
  <si>
    <t>混沌伤害额外提高</t>
  </si>
  <si>
    <t>混沌伤害额外提高{0}</t>
  </si>
  <si>
    <t>旋龙生成子弹增加</t>
  </si>
  <si>
    <t>旋龙生成子弹增加{0}</t>
  </si>
  <si>
    <t>天赋-魔典-毒咒侵蚀</t>
  </si>
  <si>
    <t>天赋-魔典-毒咒侵蚀{0}</t>
  </si>
  <si>
    <t>环绕子弹数量增加</t>
  </si>
  <si>
    <t>环绕子弹数量增加{0}</t>
  </si>
  <si>
    <t>环绕速度提高</t>
  </si>
  <si>
    <t>环绕速度提高{0}</t>
  </si>
  <si>
    <t>幻影天赋-天生幻影</t>
  </si>
  <si>
    <t>幻影天赋-天生幻影{0}</t>
  </si>
  <si>
    <t>法术伤害额外提高</t>
  </si>
  <si>
    <t>法术伤害额外提高{0}</t>
  </si>
  <si>
    <t>攻击伤害额外提高</t>
  </si>
  <si>
    <t>攻击伤害额外提高{0}</t>
  </si>
  <si>
    <t>天赋-法杖-注能亲和</t>
  </si>
  <si>
    <t>天赋-法杖-注能亲和{0}</t>
  </si>
  <si>
    <t>天赋-法杖-轮转一心</t>
  </si>
  <si>
    <t>天赋-法杖-轮转一心{0}</t>
  </si>
  <si>
    <t>天赋-法杖-共鸣</t>
  </si>
  <si>
    <t>天赋-法杖-共鸣{0}</t>
  </si>
  <si>
    <t>强化技能伤害提高</t>
  </si>
  <si>
    <t>强化技能伤害提高{0}</t>
  </si>
  <si>
    <t>天赋-法杖-强化之力</t>
  </si>
  <si>
    <t>天赋-法杖-强化之力{0}</t>
  </si>
  <si>
    <t>注能持续时间提高</t>
  </si>
  <si>
    <t>注能持续时间提高{0}</t>
  </si>
  <si>
    <t>注能持续时间额外提高</t>
  </si>
  <si>
    <t>注能持续时间额外提高{0}</t>
  </si>
  <si>
    <t>天赋-法杖-元素之子</t>
  </si>
  <si>
    <t>天赋-法杖-元素之子{0}</t>
  </si>
  <si>
    <t>天赋-法杖-原爆点</t>
  </si>
  <si>
    <t>天赋-法杖-原爆点{0}</t>
  </si>
  <si>
    <t>全局伤害额外提高</t>
  </si>
  <si>
    <t>全局伤害额外提高{0}</t>
  </si>
  <si>
    <t>投射物速度额外提高</t>
  </si>
  <si>
    <t>投射物速度额外提高{0}</t>
  </si>
  <si>
    <t>闪电浸染</t>
  </si>
  <si>
    <t>旋风技能视为被闪电浸染{0}</t>
  </si>
  <si>
    <t>毁灭注能层数增加</t>
  </si>
  <si>
    <t>毁灭注能层数增加{0}</t>
  </si>
  <si>
    <t>洞察注能层数增加</t>
  </si>
  <si>
    <t>洞察注能层数增加{0}</t>
  </si>
  <si>
    <t>坚韧注能层数增加</t>
  </si>
  <si>
    <t>坚韧注能层数增加{0}</t>
  </si>
  <si>
    <t>缓冲注能层数增加</t>
  </si>
  <si>
    <t>缓冲注能层数增加{0}</t>
  </si>
  <si>
    <t>迅捷注能层数增加</t>
  </si>
  <si>
    <t>迅捷注能层数增加{0}</t>
  </si>
  <si>
    <t>火焰浸染</t>
  </si>
  <si>
    <t>旋风技能视为被火焰浸染{0}</t>
  </si>
  <si>
    <t>冰冷浸染</t>
  </si>
  <si>
    <t>旋风技能视为被冰冷浸染{0}</t>
  </si>
  <si>
    <t>物理技能等级增加</t>
  </si>
  <si>
    <t>物理技能等级增加{0}</t>
  </si>
  <si>
    <t>火焰技能等级增加</t>
  </si>
  <si>
    <t>火焰技能等级增加{0}</t>
  </si>
  <si>
    <t>冰冷技能等级增加</t>
  </si>
  <si>
    <t>冰冷技能等级增加{0}</t>
  </si>
  <si>
    <t>闪电技能等级增加</t>
  </si>
  <si>
    <t>闪电技能等级增加{0}</t>
  </si>
  <si>
    <t>混沌技能等级增加</t>
  </si>
  <si>
    <t>混沌技能等级增加{0}</t>
  </si>
  <si>
    <t>攻击技能等级增加</t>
  </si>
  <si>
    <t>攻击技能等级增加{0}</t>
  </si>
  <si>
    <t>法术技能等级增加</t>
  </si>
  <si>
    <t>法术技能等级增加{0}</t>
  </si>
  <si>
    <t>每3%投射物速度提供的1%投射物额外伤害，最多提供15%投射物额外伤害</t>
  </si>
  <si>
    <t>投射物速度转全局伤害</t>
  </si>
  <si>
    <t>投射物速度转全局伤害{0}</t>
  </si>
  <si>
    <t>投射物伤害额外提高</t>
  </si>
  <si>
    <t>投射物伤害额外提高{0}</t>
  </si>
  <si>
    <t>法术暴击率提高</t>
  </si>
  <si>
    <t>法术暴击率提高{0}</t>
  </si>
  <si>
    <t>法术暴击率额外提高</t>
  </si>
  <si>
    <t>法术暴击率额外提高{0}</t>
  </si>
  <si>
    <t>近战暴击率提高</t>
  </si>
  <si>
    <t>近战暴击率提高{0}</t>
  </si>
  <si>
    <t>近战暴击率额外提高</t>
  </si>
  <si>
    <t>近战暴击率额外提高{0}</t>
  </si>
  <si>
    <t>投射物暴击率提高</t>
  </si>
  <si>
    <t>投射物暴击率提高{0}</t>
  </si>
  <si>
    <t>投射物暴击率额外提高</t>
  </si>
  <si>
    <t>投射物暴击率额外提高{0}</t>
  </si>
  <si>
    <t>攻击暴击率提高</t>
  </si>
  <si>
    <t>攻击暴击率提高{0}</t>
  </si>
  <si>
    <t>攻击暴击率额外提高</t>
  </si>
  <si>
    <t>攻击暴击率额外提高{0}</t>
  </si>
  <si>
    <t>物理伤害双倍伤害几率增加</t>
  </si>
  <si>
    <t>物理伤害双倍伤害几率增加{0}</t>
  </si>
  <si>
    <t>受到攻击伤害提高</t>
  </si>
  <si>
    <t>受到攻击伤害提高{0}</t>
  </si>
  <si>
    <t>受到法术伤害提高</t>
  </si>
  <si>
    <t>受到法术伤害提高{0}</t>
  </si>
  <si>
    <t>词缀ID</t>
  </si>
  <si>
    <t>闪电之捷</t>
  </si>
  <si>
    <t>获得闪电之捷</t>
  </si>
  <si>
    <t>激活时，非捷技能攻击击中并击败感电敌人会使后续的攻击击中释放出闪电，对周围所有的敌人造成攻击伤害</t>
  </si>
  <si>
    <t>灰烬之捷</t>
  </si>
  <si>
    <t>获得灰烬之捷</t>
  </si>
  <si>
    <t>激活时，受到你的非捷技能攻击造成的火焰伤害击杀时有几率的敌人会产生爆炸，并根据敌人生命值上限对周围的敌人造成伤害</t>
  </si>
  <si>
    <t>冰霜之捷</t>
  </si>
  <si>
    <t>获得冰霜之捷</t>
  </si>
  <si>
    <t>激活时，非捷技能攻击击中一名冰冻敌人并击杀时会产生冰霜爆炸，对周围的敌人造成攻击伤害。</t>
  </si>
  <si>
    <t>攻击冻结中的敌人时会出现残影重击范围内的敌人</t>
  </si>
  <si>
    <t>激活时，移动速度增加50%</t>
  </si>
  <si>
    <t>向移动方向闪现，并在原地留下一个幻影。幻影不可移动，不可攻击，在持续时间内持续释放技能1，幻影的上限为3</t>
  </si>
  <si>
    <t>向移动方向闪现，并在原地留下一个幻影。幻影不可移动，不可攻击，在持续时间内持续释放技能1，幻影的上限为1</t>
  </si>
  <si>
    <t>使用法术技能造成伤害后，在原地生成“幻影”，持续4秒，冷却10秒，幻影上限为1</t>
  </si>
  <si>
    <t>激活时，造成暴击时会产生获取层数，满40层后会释放大地之怒，产生冰霜爆炸对范围内敌人造成伤害</t>
  </si>
  <si>
    <t>魔典-中毒爆炸</t>
  </si>
  <si>
    <t>幻影释放技能时会消耗你的魔力，其数值释放技能的魔力消耗，每次消耗技能额外增加5%你和幻影造成的伤害，上限为10层</t>
  </si>
  <si>
    <t>激活时，击败中毒的敌人会将其中毒效果扩散给周围的其他敌人，并有几率使他们缓速</t>
  </si>
  <si>
    <t>被辅助技能冻结敌人时，获得30%的额外冰冷伤害，持续6秒</t>
  </si>
  <si>
    <t>激活时，投射物数量+2，投射物速度增加40%</t>
  </si>
  <si>
    <t>激活时，范围技能范围增加25%，范围技能伤害额外增加25%</t>
  </si>
  <si>
    <t>激活时，近战技能获得暴击几率增加70%，额外25%近战伤害增加</t>
  </si>
  <si>
    <t>激活时，每秒回复75点生命值</t>
  </si>
  <si>
    <t>每4秒对周围4米的敌人释放元素脉冲，降低范围内敌人30%的元素抗性，持续4秒</t>
  </si>
  <si>
    <t>对敌人造成暴击时有10%的概率获得一层毁灭注能</t>
  </si>
  <si>
    <t>魔力每次消耗30%的魔力时，就可以获得一层毁灭注能</t>
  </si>
  <si>
    <t>宠物-攻击必定瘫痪</t>
  </si>
  <si>
    <t>攻击伤害命中时产生[瘫痪]效果\n[瘫痪]受到的攻击伤害额外提高15%，持续4秒</t>
  </si>
  <si>
    <t>混沌伤害额外提高1%，上限15层，持续4秒</t>
  </si>
  <si>
    <t>宠物-攻击必定软弱</t>
  </si>
  <si>
    <t>法术伤害命中时产生[软弱]效果\n[软弱]受到的法术伤害额外提高15%</t>
  </si>
  <si>
    <t>10秒内连续释放4次攻击技能时获得[心眼]状态\n[心眼]：攻击速度额外增加8%；技能范围额外增加8%，上限为3层，持续2秒</t>
  </si>
  <si>
    <t>心眼到法屋数上限时，获得[巅峰]\n[巅峰]:向前斩击造成500%的攻击物理伤害，冷却时间5秒</t>
  </si>
  <si>
    <t>每获得一层注能时，可以额外获得一层注能</t>
  </si>
  <si>
    <t>每缺少25%的魔力，法术伤害提升20%，魔力恢复率提高20%</t>
  </si>
  <si>
    <t>敌人处于元素异常状态时，可以使敌人对该类型元素的抗性降低40%</t>
  </si>
  <si>
    <t>每拥有一种不同种类的注能，法术伤害总增10%，魔力回复率提高20%。</t>
  </si>
  <si>
    <t>每6秒获得一层随机注能，注能的持续时间降低20%</t>
  </si>
  <si>
    <t>每成功触发一次强化技能，可以获得一层强化之力，提高20%的伤害，最大可以获得5层，持续6秒</t>
  </si>
  <si>
    <t>击败冰结的敌人，回复位移技能的15%当前冷却时间</t>
  </si>
  <si>
    <t>衣服暗金词缀</t>
  </si>
  <si>
    <t>当生命大于2000时，中毒伤害提高{0}%</t>
  </si>
  <si>
    <t>当冷却回复效率高于40%时，中毒持续时间增加{0}%。</t>
  </si>
  <si>
    <t>每隔5秒在脚下生成一片火焰地面，造成相当于生命值上限10%的点燃伤害</t>
  </si>
  <si>
    <t>每移动20米可以获得一层毁灭注能</t>
  </si>
  <si>
    <t>周围敌人受到生命值上限1%的点燃强度的点燃</t>
  </si>
  <si>
    <t>击中时,回复2点魔力</t>
  </si>
  <si>
    <t>击中时,回复5点生命</t>
  </si>
  <si>
    <t>被辅助技能，击中中毒目标时，每层中毒效果伤害总增5%，上限5-8层</t>
  </si>
  <si>
    <t>击中的火焰伤害使敌人的火焰抗性-12%，持续4秒</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</si>
</sst>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3">
    <font>
      <sz val="11"/>
      <color indexed="8"/>
      <name val="宋体"/>
      <charset val="134"/>
    </font>
    <font>
      <sz val="12"/>
      <color indexed="8"/>
      <name val="微软雅黑"/>
      <charset val="134"/>
    </font>
    <font>
      <sz val="12"/>
      <color rgb="FF000000"/>
      <name val="微软雅黑"/>
      <charset val="134"/>
    </font>
    <font>
      <sz val="11"/>
      <color theme="1"/>
      <name val="宋体"/>
      <charset val="134"/>
      <scheme val="minor"/>
    </font>
    <font>
      <sz val="11"/>
      <color rgb="FF1F2937"/>
      <name val="微软雅黑"/>
      <charset val="134"/>
    </font>
    <font>
      <sz val="10"/>
      <color indexed="8"/>
      <name val="微软雅黑"/>
      <charset val="134"/>
    </font>
    <font>
      <sz val="11"/>
      <color rgb="FFFF0000"/>
      <name val="宋体"/>
      <charset val="134"/>
    </font>
    <font>
      <b/>
      <sz val="9"/>
      <color indexed="8"/>
      <name val="微软雅黑"/>
      <charset val="134"/>
    </font>
    <font>
      <sz val="9"/>
      <color indexed="8"/>
      <name val="微软雅黑"/>
      <charset val="134"/>
    </font>
    <font>
      <sz val="11"/>
      <color theme="5"/>
      <name val="宋体"/>
      <charset val="134"/>
    </font>
    <font>
      <sz val="11"/>
      <color theme="1"/>
      <name val="宋体"/>
      <charset val="134"/>
    </font>
    <font>
      <sz val="1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9"/>
      <name val="宋体"/>
      <charset val="134"/>
    </font>
    <font>
      <b/>
      <sz val="9"/>
      <name val="宋体"/>
      <charset val="134"/>
    </font>
  </fonts>
  <fills count="40">
    <fill>
      <patternFill patternType="none"/>
    </fill>
    <fill>
      <patternFill patternType="gray125"/>
    </fill>
    <fill>
      <patternFill patternType="solid">
        <fgColor theme="6" tint="0.398968474379711"/>
        <bgColor indexed="64"/>
      </patternFill>
    </fill>
    <fill>
      <patternFill patternType="solid">
        <fgColor theme="6" tint="0.399975585192419"/>
        <bgColor indexed="64"/>
      </patternFill>
    </fill>
    <fill>
      <patternFill patternType="solid">
        <fgColor rgb="FFFFFF00"/>
        <bgColor indexed="64"/>
      </patternFill>
    </fill>
    <fill>
      <patternFill patternType="solid">
        <fgColor indexed="13"/>
        <bgColor indexed="64"/>
      </patternFill>
    </fill>
    <fill>
      <patternFill patternType="solid">
        <fgColor rgb="FFFFFFFF"/>
        <bgColor rgb="FF000000"/>
      </patternFill>
    </fill>
    <fill>
      <patternFill patternType="solid">
        <fgColor rgb="FFF7F9FC"/>
        <bgColor rgb="FF000000"/>
      </patternFill>
    </fill>
    <fill>
      <patternFill patternType="solid">
        <fgColor indexed="49"/>
        <bgColor indexed="64"/>
      </patternFill>
    </fill>
    <fill>
      <patternFill patternType="solid">
        <fgColor theme="0" tint="-0.1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rgb="FFD9DEE7"/>
      </left>
      <right style="thin">
        <color rgb="FFD9DEE7"/>
      </right>
      <top style="thin">
        <color rgb="FFD9DEE7"/>
      </top>
      <bottom style="thin">
        <color rgb="FFD9DEE7"/>
      </bottom>
      <diagonal/>
    </border>
    <border>
      <left style="thin">
        <color rgb="FFD9DEE7"/>
      </left>
      <right style="thin">
        <color rgb="FFD9DEE7"/>
      </right>
      <top/>
      <bottom style="thin">
        <color rgb="FFD9DEE7"/>
      </bottom>
      <diagonal/>
    </border>
    <border>
      <left style="thin">
        <color auto="1"/>
      </left>
      <right style="thin">
        <color auto="1"/>
      </right>
      <top style="medium">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3" fillId="10" borderId="7"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8" applyNumberFormat="0" applyFill="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19" fillId="0" borderId="0" applyNumberFormat="0" applyFill="0" applyBorder="0" applyAlignment="0" applyProtection="0">
      <alignment vertical="center"/>
    </xf>
    <xf numFmtId="0" fontId="20" fillId="11" borderId="10" applyNumberFormat="0" applyAlignment="0" applyProtection="0">
      <alignment vertical="center"/>
    </xf>
    <xf numFmtId="0" fontId="21" fillId="12" borderId="11" applyNumberFormat="0" applyAlignment="0" applyProtection="0">
      <alignment vertical="center"/>
    </xf>
    <xf numFmtId="0" fontId="22" fillId="12" borderId="10" applyNumberFormat="0" applyAlignment="0" applyProtection="0">
      <alignment vertical="center"/>
    </xf>
    <xf numFmtId="0" fontId="23" fillId="13" borderId="12" applyNumberFormat="0" applyAlignment="0" applyProtection="0">
      <alignment vertical="center"/>
    </xf>
    <xf numFmtId="0" fontId="24" fillId="0" borderId="13" applyNumberFormat="0" applyFill="0" applyAlignment="0" applyProtection="0">
      <alignment vertical="center"/>
    </xf>
    <xf numFmtId="0" fontId="25" fillId="0" borderId="14" applyNumberFormat="0" applyFill="0" applyAlignment="0" applyProtection="0">
      <alignment vertical="center"/>
    </xf>
    <xf numFmtId="0" fontId="26" fillId="14" borderId="0" applyNumberFormat="0" applyBorder="0" applyAlignment="0" applyProtection="0">
      <alignment vertical="center"/>
    </xf>
    <xf numFmtId="0" fontId="27" fillId="15" borderId="0" applyNumberFormat="0" applyBorder="0" applyAlignment="0" applyProtection="0">
      <alignment vertical="center"/>
    </xf>
    <xf numFmtId="0" fontId="28" fillId="16" borderId="0" applyNumberFormat="0" applyBorder="0" applyAlignment="0" applyProtection="0">
      <alignment vertical="center"/>
    </xf>
    <xf numFmtId="0" fontId="29" fillId="17" borderId="0" applyNumberFormat="0" applyBorder="0" applyAlignment="0" applyProtection="0">
      <alignment vertical="center"/>
    </xf>
    <xf numFmtId="0" fontId="30" fillId="18" borderId="0" applyNumberFormat="0" applyBorder="0" applyAlignment="0" applyProtection="0">
      <alignment vertical="center"/>
    </xf>
    <xf numFmtId="0" fontId="30" fillId="19" borderId="0" applyNumberFormat="0" applyBorder="0" applyAlignment="0" applyProtection="0">
      <alignment vertical="center"/>
    </xf>
    <xf numFmtId="0" fontId="29" fillId="20" borderId="0" applyNumberFormat="0" applyBorder="0" applyAlignment="0" applyProtection="0">
      <alignment vertical="center"/>
    </xf>
    <xf numFmtId="0" fontId="29" fillId="21" borderId="0" applyNumberFormat="0" applyBorder="0" applyAlignment="0" applyProtection="0">
      <alignment vertical="center"/>
    </xf>
    <xf numFmtId="0" fontId="30" fillId="22" borderId="0" applyNumberFormat="0" applyBorder="0" applyAlignment="0" applyProtection="0">
      <alignment vertical="center"/>
    </xf>
    <xf numFmtId="0" fontId="30" fillId="23" borderId="0" applyNumberFormat="0" applyBorder="0" applyAlignment="0" applyProtection="0">
      <alignment vertical="center"/>
    </xf>
    <xf numFmtId="0" fontId="29" fillId="24" borderId="0" applyNumberFormat="0" applyBorder="0" applyAlignment="0" applyProtection="0">
      <alignment vertical="center"/>
    </xf>
    <xf numFmtId="0" fontId="29" fillId="25" borderId="0" applyNumberFormat="0" applyBorder="0" applyAlignment="0" applyProtection="0">
      <alignment vertical="center"/>
    </xf>
    <xf numFmtId="0" fontId="30" fillId="26" borderId="0" applyNumberFormat="0" applyBorder="0" applyAlignment="0" applyProtection="0">
      <alignment vertical="center"/>
    </xf>
    <xf numFmtId="0" fontId="30" fillId="27" borderId="0" applyNumberFormat="0" applyBorder="0" applyAlignment="0" applyProtection="0">
      <alignment vertical="center"/>
    </xf>
    <xf numFmtId="0" fontId="29" fillId="3" borderId="0" applyNumberFormat="0" applyBorder="0" applyAlignment="0" applyProtection="0">
      <alignment vertical="center"/>
    </xf>
    <xf numFmtId="0" fontId="29" fillId="28" borderId="0" applyNumberFormat="0" applyBorder="0" applyAlignment="0" applyProtection="0">
      <alignment vertical="center"/>
    </xf>
    <xf numFmtId="0" fontId="30" fillId="29" borderId="0" applyNumberFormat="0" applyBorder="0" applyAlignment="0" applyProtection="0">
      <alignment vertical="center"/>
    </xf>
    <xf numFmtId="0" fontId="30" fillId="30" borderId="0" applyNumberFormat="0" applyBorder="0" applyAlignment="0" applyProtection="0">
      <alignment vertical="center"/>
    </xf>
    <xf numFmtId="0" fontId="29" fillId="31" borderId="0" applyNumberFormat="0" applyBorder="0" applyAlignment="0" applyProtection="0">
      <alignment vertical="center"/>
    </xf>
    <xf numFmtId="0" fontId="29" fillId="32"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29" fillId="35" borderId="0" applyNumberFormat="0" applyBorder="0" applyAlignment="0" applyProtection="0">
      <alignment vertical="center"/>
    </xf>
    <xf numFmtId="0" fontId="29" fillId="36" borderId="0" applyNumberFormat="0" applyBorder="0" applyAlignment="0" applyProtection="0">
      <alignment vertical="center"/>
    </xf>
    <xf numFmtId="0" fontId="30" fillId="37" borderId="0" applyNumberFormat="0" applyBorder="0" applyAlignment="0" applyProtection="0">
      <alignment vertical="center"/>
    </xf>
    <xf numFmtId="0" fontId="30" fillId="38" borderId="0" applyNumberFormat="0" applyBorder="0" applyAlignment="0" applyProtection="0">
      <alignment vertical="center"/>
    </xf>
    <xf numFmtId="0" fontId="29" fillId="39" borderId="0" applyNumberFormat="0" applyBorder="0" applyAlignment="0" applyProtection="0">
      <alignment vertical="center"/>
    </xf>
    <xf numFmtId="0" fontId="0" fillId="0" borderId="0">
      <alignment vertical="center"/>
    </xf>
  </cellStyleXfs>
  <cellXfs count="52">
    <xf numFmtId="0" fontId="0" fillId="0" borderId="0" xfId="0">
      <alignment vertical="center"/>
    </xf>
    <xf numFmtId="0" fontId="1" fillId="0" borderId="0" xfId="0" applyFont="1" applyAlignment="1">
      <alignment horizontal="left" vertical="center"/>
    </xf>
    <xf numFmtId="0" fontId="1" fillId="0" borderId="0" xfId="0" applyFont="1" applyAlignment="1">
      <alignment horizontal="center" vertical="center"/>
    </xf>
    <xf numFmtId="0" fontId="1" fillId="0" borderId="0" xfId="0" applyFont="1">
      <alignment vertical="center"/>
    </xf>
    <xf numFmtId="0" fontId="2" fillId="0" borderId="0" xfId="0" applyFont="1" applyAlignment="1">
      <alignment horizontal="center" vertical="center"/>
    </xf>
    <xf numFmtId="0" fontId="3" fillId="0" borderId="0" xfId="0" applyFont="1" applyFill="1" applyAlignment="1">
      <alignment horizontal="center" vertical="center"/>
    </xf>
    <xf numFmtId="0" fontId="0" fillId="2" borderId="0" xfId="0" applyFont="1" applyFill="1" applyAlignment="1">
      <alignment horizontal="center" vertical="center"/>
    </xf>
    <xf numFmtId="0" fontId="3" fillId="3" borderId="0" xfId="0" applyFont="1" applyFill="1" applyAlignment="1">
      <alignment vertical="center"/>
    </xf>
    <xf numFmtId="0" fontId="0" fillId="4" borderId="0" xfId="0" applyFont="1" applyFill="1" applyAlignment="1">
      <alignment horizontal="center" vertical="center"/>
    </xf>
    <xf numFmtId="0" fontId="0" fillId="5" borderId="0" xfId="0" applyFont="1" applyFill="1" applyAlignment="1">
      <alignment horizontal="center" vertical="center"/>
    </xf>
    <xf numFmtId="0" fontId="3" fillId="4" borderId="0" xfId="0" applyFont="1" applyFill="1" applyAlignment="1">
      <alignment vertical="center"/>
    </xf>
    <xf numFmtId="0" fontId="4" fillId="6" borderId="1" xfId="0" applyFont="1" applyFill="1" applyBorder="1" applyAlignment="1">
      <alignment horizontal="center" vertical="center"/>
    </xf>
    <xf numFmtId="0" fontId="4" fillId="6" borderId="1" xfId="0" applyFont="1" applyFill="1" applyBorder="1" applyAlignment="1">
      <alignment horizontal="left" vertical="center" wrapText="1"/>
    </xf>
    <xf numFmtId="0" fontId="4" fillId="7" borderId="2" xfId="0" applyFont="1" applyFill="1" applyBorder="1" applyAlignment="1">
      <alignment horizontal="center" vertical="center"/>
    </xf>
    <xf numFmtId="0" fontId="4" fillId="7" borderId="2" xfId="0" applyFont="1" applyFill="1" applyBorder="1" applyAlignment="1">
      <alignment horizontal="left" vertical="center" wrapText="1"/>
    </xf>
    <xf numFmtId="0" fontId="4" fillId="6" borderId="2" xfId="0" applyFont="1" applyFill="1" applyBorder="1" applyAlignment="1">
      <alignment horizontal="center" vertical="center"/>
    </xf>
    <xf numFmtId="0" fontId="4" fillId="6" borderId="2" xfId="0" applyFont="1" applyFill="1" applyBorder="1" applyAlignment="1">
      <alignment horizontal="left" vertical="center" wrapText="1"/>
    </xf>
    <xf numFmtId="0" fontId="1" fillId="0" borderId="0" xfId="0" applyFont="1" applyAlignment="1">
      <alignment horizontal="center" vertical="center" wrapText="1"/>
    </xf>
    <xf numFmtId="0" fontId="2" fillId="0" borderId="0" xfId="0" applyFont="1" applyAlignment="1">
      <alignment horizontal="center" vertical="center" wrapText="1"/>
    </xf>
    <xf numFmtId="0" fontId="1" fillId="0" borderId="0" xfId="0" applyFont="1" applyAlignment="1">
      <alignment horizontal="left" vertical="center" wrapText="1"/>
    </xf>
    <xf numFmtId="0" fontId="0" fillId="0" borderId="0" xfId="0" applyAlignment="1">
      <alignment horizontal="center" vertical="center"/>
    </xf>
    <xf numFmtId="0" fontId="5" fillId="0" borderId="3" xfId="0" applyFont="1" applyBorder="1" applyAlignment="1">
      <alignment horizontal="center" vertical="center"/>
    </xf>
    <xf numFmtId="0" fontId="6" fillId="0" borderId="0" xfId="0" applyFont="1">
      <alignment vertical="center"/>
    </xf>
    <xf numFmtId="0" fontId="0" fillId="8" borderId="0" xfId="0" applyFill="1" applyAlignment="1">
      <alignment horizontal="center" vertical="center"/>
    </xf>
    <xf numFmtId="0" fontId="5" fillId="8" borderId="4" xfId="0" applyFont="1" applyFill="1" applyBorder="1" applyAlignment="1">
      <alignment horizontal="center" vertical="center"/>
    </xf>
    <xf numFmtId="0" fontId="0" fillId="5" borderId="0" xfId="0" applyFill="1" applyAlignment="1">
      <alignment horizontal="center" vertical="center"/>
    </xf>
    <xf numFmtId="0" fontId="0" fillId="5" borderId="0" xfId="49" applyFill="1" applyAlignment="1">
      <alignment horizontal="center" vertical="center"/>
    </xf>
    <xf numFmtId="0" fontId="5" fillId="5" borderId="4" xfId="0" applyFont="1" applyFill="1" applyBorder="1" applyAlignment="1">
      <alignment horizontal="center" vertical="center"/>
    </xf>
    <xf numFmtId="0" fontId="0" fillId="0" borderId="0" xfId="0" applyAlignment="1">
      <alignment horizontal="center"/>
    </xf>
    <xf numFmtId="0" fontId="0" fillId="4" borderId="0" xfId="0" applyFill="1" applyAlignment="1">
      <alignment horizontal="center"/>
    </xf>
    <xf numFmtId="0" fontId="5" fillId="8" borderId="5" xfId="0" applyFont="1" applyFill="1" applyBorder="1" applyAlignment="1">
      <alignment horizontal="left" vertical="top"/>
    </xf>
    <xf numFmtId="0" fontId="5" fillId="5" borderId="5" xfId="0" applyFont="1" applyFill="1" applyBorder="1" applyAlignment="1">
      <alignment horizontal="left" vertical="top"/>
    </xf>
    <xf numFmtId="0" fontId="0" fillId="8" borderId="0" xfId="0" applyFill="1">
      <alignment vertical="center"/>
    </xf>
    <xf numFmtId="0" fontId="0" fillId="5" borderId="0" xfId="0" applyFill="1">
      <alignment vertical="center"/>
    </xf>
    <xf numFmtId="0" fontId="0" fillId="9" borderId="0" xfId="0" applyFill="1">
      <alignment vertical="center"/>
    </xf>
    <xf numFmtId="0" fontId="0" fillId="0" borderId="0" xfId="0" applyAlignment="1">
      <alignment horizontal="left" vertical="top"/>
    </xf>
    <xf numFmtId="0" fontId="5" fillId="0" borderId="3" xfId="0" applyFont="1" applyBorder="1" applyAlignment="1">
      <alignment horizontal="left" vertical="top"/>
    </xf>
    <xf numFmtId="0" fontId="0" fillId="0" borderId="4" xfId="0" applyBorder="1">
      <alignment vertical="center"/>
    </xf>
    <xf numFmtId="0" fontId="7" fillId="0" borderId="6" xfId="0" applyFont="1" applyBorder="1" applyAlignment="1">
      <alignment horizontal="center" vertical="center" wrapText="1"/>
    </xf>
    <xf numFmtId="0" fontId="5" fillId="8" borderId="4" xfId="0" applyFont="1" applyFill="1" applyBorder="1" applyAlignment="1">
      <alignment horizontal="left" vertical="top"/>
    </xf>
    <xf numFmtId="0" fontId="8" fillId="0" borderId="6" xfId="0" applyFont="1" applyBorder="1" applyAlignment="1">
      <alignment horizontal="center" vertical="center"/>
    </xf>
    <xf numFmtId="0" fontId="5" fillId="5" borderId="4" xfId="0" applyFont="1" applyFill="1" applyBorder="1" applyAlignment="1">
      <alignment horizontal="left" vertical="top"/>
    </xf>
    <xf numFmtId="0" fontId="5" fillId="5" borderId="6" xfId="0" applyFont="1" applyFill="1" applyBorder="1" applyAlignment="1">
      <alignment horizontal="left" vertical="top"/>
    </xf>
    <xf numFmtId="0" fontId="5" fillId="5" borderId="0" xfId="0" applyFont="1" applyFill="1" applyAlignment="1">
      <alignment horizontal="left" vertical="top"/>
    </xf>
    <xf numFmtId="0" fontId="8" fillId="5" borderId="0" xfId="0" applyFont="1" applyFill="1" applyAlignment="1">
      <alignment horizontal="center" vertical="center"/>
    </xf>
    <xf numFmtId="0" fontId="8" fillId="5" borderId="6" xfId="0" applyFont="1" applyFill="1" applyBorder="1" applyAlignment="1">
      <alignment horizontal="center" vertical="center" wrapText="1"/>
    </xf>
    <xf numFmtId="0" fontId="9" fillId="0" borderId="0" xfId="0" applyFont="1">
      <alignment vertical="center"/>
    </xf>
    <xf numFmtId="0" fontId="0" fillId="9" borderId="0" xfId="0" applyFill="1" applyAlignment="1">
      <alignment horizontal="left" vertical="top"/>
    </xf>
    <xf numFmtId="0" fontId="0" fillId="9" borderId="0" xfId="0" applyFill="1" applyAlignment="1">
      <alignment horizontal="center" vertical="center"/>
    </xf>
    <xf numFmtId="0" fontId="10" fillId="0" borderId="0" xfId="0" applyFont="1">
      <alignment vertical="center"/>
    </xf>
    <xf numFmtId="0" fontId="11" fillId="0" borderId="0" xfId="0" applyFont="1" applyFill="1" applyAlignment="1">
      <alignment vertical="center"/>
    </xf>
    <xf numFmtId="0" fontId="0" fillId="0" borderId="0" xfId="0" applyFont="1" applyFill="1" applyAlignment="1">
      <alignment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dxfs count="1">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eetMetadata" Target="metadata.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rect l="0" t="0" r="0" b="0"/>
          <a:pathLst>
            <a:path w="21600" h="21600"/>
          </a:pathLst>
        </a:custGeom>
        <a:gradFill rotWithShape="0">
          <a:gsLst>
            <a:gs pos="0">
              <a:srgbClr val="BBD5F0"/>
            </a:gs>
            <a:gs pos="100000">
              <a:srgbClr val="9CBEE0"/>
            </a:gs>
          </a:gsLst>
          <a:lin ang="5400000" scaled="0"/>
        </a:gradFill>
        <a:ln w="15875" cap="flat" cmpd="sng" algn="ctr">
          <a:solidFill>
            <a:srgbClr val="739CC3"/>
          </a:solidFill>
          <a:prstDash val="solid"/>
          <a:miter lim="200000"/>
        </a:ln>
      </a:spPr>
      <a:bodyPr/>
      <a:lstStyle/>
    </a:spDef>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comments" Target="../comments4.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comments" Target="../comments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1"/>
  <dimension ref="A1:AA155"/>
  <sheetViews>
    <sheetView workbookViewId="0">
      <pane xSplit="3" ySplit="3" topLeftCell="N130" activePane="bottomRight" state="frozen"/>
      <selection/>
      <selection pane="topRight"/>
      <selection pane="bottomLeft"/>
      <selection pane="bottomRight" activeCell="C149" sqref="C149"/>
    </sheetView>
  </sheetViews>
  <sheetFormatPr defaultColWidth="9" defaultRowHeight="13.5"/>
  <cols>
    <col min="1" max="1" width="34.625" customWidth="1"/>
    <col min="3" max="3" width="21.25" customWidth="1"/>
    <col min="4" max="5" width="5.875" style="35" customWidth="1"/>
    <col min="6" max="6" width="100.375" style="35" customWidth="1"/>
    <col min="7" max="7" width="23.125" customWidth="1"/>
    <col min="8" max="8" width="55.25" customWidth="1"/>
    <col min="9" max="9" width="17.125" customWidth="1"/>
    <col min="10" max="10" width="13.125" customWidth="1"/>
    <col min="11" max="11" width="22.75" customWidth="1"/>
    <col min="12" max="12" width="17" customWidth="1"/>
    <col min="13" max="13" width="13.125" customWidth="1"/>
    <col min="14" max="14" width="26.75" customWidth="1"/>
    <col min="15" max="15" width="20.375" customWidth="1"/>
    <col min="16" max="16" width="21.375" customWidth="1"/>
    <col min="17" max="17" width="22.75" customWidth="1"/>
    <col min="18" max="18" width="14" customWidth="1"/>
    <col min="19" max="19" width="15.75" style="20" customWidth="1"/>
    <col min="20" max="20" width="19.5" style="20" customWidth="1"/>
    <col min="21" max="21" width="17.75" customWidth="1"/>
    <col min="22" max="22" width="16.25" customWidth="1"/>
    <col min="23" max="23" width="17.75" customWidth="1"/>
    <col min="25" max="25" width="14.875" customWidth="1"/>
    <col min="26" max="26" width="20" customWidth="1"/>
    <col min="27" max="27" width="13" customWidth="1"/>
  </cols>
  <sheetData>
    <row r="1" ht="16.5" spans="1:27">
      <c r="A1" t="s">
        <v>0</v>
      </c>
      <c r="B1" t="s">
        <v>1</v>
      </c>
      <c r="C1" s="21" t="s">
        <v>2</v>
      </c>
      <c r="D1" s="36" t="s">
        <v>3</v>
      </c>
      <c r="E1" s="36" t="s">
        <v>4</v>
      </c>
      <c r="F1" s="36" t="s">
        <v>2</v>
      </c>
      <c r="G1" t="s">
        <v>5</v>
      </c>
      <c r="H1" t="s">
        <v>6</v>
      </c>
      <c r="I1" s="37" t="s">
        <v>7</v>
      </c>
      <c r="J1" t="s">
        <v>8</v>
      </c>
      <c r="K1" t="s">
        <v>9</v>
      </c>
      <c r="L1" t="s">
        <v>10</v>
      </c>
      <c r="M1" t="s">
        <v>11</v>
      </c>
      <c r="N1" t="s">
        <v>12</v>
      </c>
      <c r="O1" t="s">
        <v>13</v>
      </c>
      <c r="P1" t="s">
        <v>14</v>
      </c>
      <c r="Q1" t="s">
        <v>15</v>
      </c>
      <c r="R1" t="s">
        <v>16</v>
      </c>
      <c r="S1" s="20" t="s">
        <v>17</v>
      </c>
      <c r="T1" s="20" t="s">
        <v>18</v>
      </c>
      <c r="U1" t="s">
        <v>19</v>
      </c>
      <c r="V1" t="s">
        <v>20</v>
      </c>
      <c r="W1" t="s">
        <v>21</v>
      </c>
      <c r="X1" t="s">
        <v>22</v>
      </c>
      <c r="Y1" s="38" t="s">
        <v>23</v>
      </c>
      <c r="Z1" t="s">
        <v>24</v>
      </c>
      <c r="AA1" t="s">
        <v>25</v>
      </c>
    </row>
    <row r="2" s="32" customFormat="1" ht="16.5" spans="1:27">
      <c r="A2" s="32" t="s">
        <v>26</v>
      </c>
      <c r="B2" s="32" t="s">
        <v>27</v>
      </c>
      <c r="C2" s="24" t="s">
        <v>28</v>
      </c>
      <c r="D2" s="39" t="s">
        <v>29</v>
      </c>
      <c r="E2" s="39" t="s">
        <v>29</v>
      </c>
      <c r="F2" s="39" t="s">
        <v>30</v>
      </c>
      <c r="G2" s="32" t="s">
        <v>31</v>
      </c>
      <c r="H2" s="30" t="s">
        <v>32</v>
      </c>
      <c r="I2" s="39" t="s">
        <v>33</v>
      </c>
      <c r="J2" s="32" t="s">
        <v>34</v>
      </c>
      <c r="K2" s="32" t="s">
        <v>35</v>
      </c>
      <c r="L2" s="32" t="s">
        <v>36</v>
      </c>
      <c r="M2" s="32" t="s">
        <v>37</v>
      </c>
      <c r="N2" s="32" t="s">
        <v>38</v>
      </c>
      <c r="O2" s="32" t="s">
        <v>39</v>
      </c>
      <c r="P2" s="32" t="s">
        <v>40</v>
      </c>
      <c r="Q2" s="32" t="s">
        <v>41</v>
      </c>
      <c r="R2" s="32" t="s">
        <v>42</v>
      </c>
      <c r="S2" s="23" t="s">
        <v>43</v>
      </c>
      <c r="T2" s="23" t="s">
        <v>44</v>
      </c>
      <c r="U2" t="s">
        <v>45</v>
      </c>
      <c r="V2" s="32" t="s">
        <v>46</v>
      </c>
      <c r="W2" s="32" t="s">
        <v>47</v>
      </c>
      <c r="X2" s="32" t="s">
        <v>48</v>
      </c>
      <c r="Y2" s="40" t="s">
        <v>49</v>
      </c>
      <c r="Z2" s="32" t="s">
        <v>50</v>
      </c>
      <c r="AA2" s="32" t="s">
        <v>51</v>
      </c>
    </row>
    <row r="3" s="33" customFormat="1" ht="16.5" spans="1:27">
      <c r="A3" s="33" t="s">
        <v>52</v>
      </c>
      <c r="B3" s="26" t="s">
        <v>53</v>
      </c>
      <c r="C3" s="27" t="s">
        <v>52</v>
      </c>
      <c r="D3" s="41" t="s">
        <v>52</v>
      </c>
      <c r="E3" s="41" t="s">
        <v>52</v>
      </c>
      <c r="F3" s="41" t="s">
        <v>52</v>
      </c>
      <c r="G3" s="33" t="s">
        <v>52</v>
      </c>
      <c r="H3" s="31" t="s">
        <v>52</v>
      </c>
      <c r="I3" s="42" t="s">
        <v>52</v>
      </c>
      <c r="J3" s="26" t="s">
        <v>53</v>
      </c>
      <c r="K3" s="43" t="s">
        <v>54</v>
      </c>
      <c r="L3" s="26" t="s">
        <v>53</v>
      </c>
      <c r="M3" s="26" t="s">
        <v>53</v>
      </c>
      <c r="N3" s="26" t="s">
        <v>53</v>
      </c>
      <c r="O3" s="44" t="s">
        <v>55</v>
      </c>
      <c r="P3" s="26" t="s">
        <v>54</v>
      </c>
      <c r="Q3" s="26" t="s">
        <v>53</v>
      </c>
      <c r="R3" s="26" t="s">
        <v>53</v>
      </c>
      <c r="S3" s="26" t="s">
        <v>53</v>
      </c>
      <c r="T3" s="26" t="s">
        <v>53</v>
      </c>
      <c r="U3" s="33" t="s">
        <v>56</v>
      </c>
      <c r="V3" s="33" t="s">
        <v>56</v>
      </c>
      <c r="W3" s="33" t="s">
        <v>57</v>
      </c>
      <c r="X3" s="33" t="s">
        <v>56</v>
      </c>
      <c r="Y3" s="45" t="s">
        <v>56</v>
      </c>
      <c r="Z3" s="33" t="s">
        <v>58</v>
      </c>
      <c r="AA3" s="33" t="s">
        <v>54</v>
      </c>
    </row>
    <row r="4" spans="1:27">
      <c r="A4" t="s">
        <v>59</v>
      </c>
      <c r="B4">
        <v>10000</v>
      </c>
      <c r="C4" s="22" t="s">
        <v>60</v>
      </c>
      <c r="D4" s="35" cm="1">
        <f t="array" ref="D4">_xlfn.SWITCH(Q4,1,0,2,2,3,2)</f>
        <v>0</v>
      </c>
      <c r="E4" s="35" cm="1">
        <f t="array" ref="E4">_xlfn.SWITCH(Q4,1,1,2,2,3,1)</f>
        <v>1</v>
      </c>
      <c r="F4" s="35" t="s">
        <v>61</v>
      </c>
      <c r="G4" t="s">
        <v>60</v>
      </c>
      <c r="H4" s="35" t="s">
        <v>61</v>
      </c>
      <c r="I4" t="s">
        <v>62</v>
      </c>
      <c r="J4">
        <v>0</v>
      </c>
      <c r="K4" t="s">
        <v>63</v>
      </c>
      <c r="L4">
        <v>0</v>
      </c>
      <c r="M4">
        <v>2</v>
      </c>
      <c r="N4">
        <v>0</v>
      </c>
      <c r="Q4">
        <v>1</v>
      </c>
      <c r="R4">
        <v>1</v>
      </c>
      <c r="S4" s="20">
        <v>0</v>
      </c>
      <c r="T4" s="20">
        <v>0</v>
      </c>
      <c r="U4">
        <v>0</v>
      </c>
    </row>
    <row r="5" spans="1:27">
      <c r="A5" t="s">
        <v>64</v>
      </c>
      <c r="B5">
        <v>10001</v>
      </c>
      <c r="C5" s="22" t="s">
        <v>65</v>
      </c>
      <c r="D5" s="35" cm="1">
        <f t="array" ref="D5">_xlfn.SWITCH(Q5,1,0,2,2,3,2)</f>
        <v>0</v>
      </c>
      <c r="E5" s="35" cm="1">
        <f t="array" ref="E5">_xlfn.SWITCH(Q5,1,1,2,2,3,1)</f>
        <v>1</v>
      </c>
      <c r="F5" s="35" t="s">
        <v>66</v>
      </c>
      <c r="G5" t="s">
        <v>65</v>
      </c>
      <c r="H5" s="35" t="s">
        <v>66</v>
      </c>
      <c r="I5" t="s">
        <v>62</v>
      </c>
      <c r="J5">
        <v>0</v>
      </c>
      <c r="K5" t="s">
        <v>63</v>
      </c>
      <c r="L5">
        <v>0</v>
      </c>
      <c r="M5">
        <v>2</v>
      </c>
      <c r="N5">
        <v>0</v>
      </c>
      <c r="Q5">
        <v>1</v>
      </c>
      <c r="R5">
        <v>1</v>
      </c>
      <c r="S5" s="20">
        <v>0</v>
      </c>
      <c r="T5" s="20">
        <v>0</v>
      </c>
      <c r="U5">
        <v>0</v>
      </c>
    </row>
    <row r="6" spans="1:27">
      <c r="A6" t="s">
        <v>67</v>
      </c>
      <c r="B6">
        <v>10002</v>
      </c>
      <c r="C6" s="22" t="s">
        <v>68</v>
      </c>
      <c r="D6" s="35" cm="1">
        <f t="array" ref="D6">_xlfn.SWITCH(Q6,1,0,2,2,3,2)</f>
        <v>0</v>
      </c>
      <c r="E6" s="35" cm="1">
        <f t="array" ref="E6">_xlfn.SWITCH(Q6,1,1,2,2,3,1)</f>
        <v>1</v>
      </c>
      <c r="F6" s="35" t="s">
        <v>69</v>
      </c>
      <c r="G6" t="s">
        <v>68</v>
      </c>
      <c r="H6" s="35" t="s">
        <v>69</v>
      </c>
      <c r="I6" t="s">
        <v>62</v>
      </c>
      <c r="J6">
        <v>0</v>
      </c>
      <c r="K6" t="s">
        <v>63</v>
      </c>
      <c r="L6">
        <v>0</v>
      </c>
      <c r="M6">
        <v>2</v>
      </c>
      <c r="N6">
        <v>0</v>
      </c>
      <c r="Q6">
        <v>1</v>
      </c>
      <c r="R6">
        <v>1</v>
      </c>
      <c r="S6" s="20">
        <v>0</v>
      </c>
      <c r="T6" s="20">
        <v>0</v>
      </c>
      <c r="U6">
        <v>0</v>
      </c>
    </row>
    <row r="7" spans="1:27">
      <c r="A7" t="s">
        <v>70</v>
      </c>
      <c r="B7">
        <v>10003</v>
      </c>
      <c r="C7" t="s">
        <v>71</v>
      </c>
      <c r="D7" s="35" cm="1">
        <f t="array" ref="D7">_xlfn.SWITCH(Q7,1,0,2,2,3,2)</f>
        <v>0</v>
      </c>
      <c r="E7" s="35" cm="1">
        <f t="array" ref="E7">_xlfn.SWITCH(Q7,1,1,2,2,3,1)</f>
        <v>1</v>
      </c>
      <c r="F7" s="35" t="s">
        <v>72</v>
      </c>
      <c r="G7" t="s">
        <v>71</v>
      </c>
      <c r="H7" s="35" t="s">
        <v>72</v>
      </c>
      <c r="I7" t="s">
        <v>62</v>
      </c>
      <c r="J7">
        <v>0</v>
      </c>
      <c r="K7" t="s">
        <v>63</v>
      </c>
      <c r="L7">
        <v>0</v>
      </c>
      <c r="M7">
        <v>2</v>
      </c>
      <c r="N7">
        <v>0</v>
      </c>
      <c r="Q7">
        <v>1</v>
      </c>
      <c r="R7">
        <v>1</v>
      </c>
      <c r="S7" s="20">
        <v>0</v>
      </c>
      <c r="T7" s="20">
        <v>0</v>
      </c>
      <c r="U7">
        <v>0</v>
      </c>
    </row>
    <row r="8" spans="1:27">
      <c r="A8" t="s">
        <v>73</v>
      </c>
      <c r="B8">
        <v>10004</v>
      </c>
      <c r="C8" t="s">
        <v>74</v>
      </c>
      <c r="D8" s="35" cm="1">
        <f t="array" ref="D8">_xlfn.SWITCH(Q8,1,0,2,2,3,2)</f>
        <v>2</v>
      </c>
      <c r="E8" s="35" cm="1">
        <f t="array" ref="E8">_xlfn.SWITCH(Q8,1,1,2,2,3,1)</f>
        <v>2</v>
      </c>
      <c r="F8" s="35" t="s">
        <v>75</v>
      </c>
      <c r="G8" t="s">
        <v>76</v>
      </c>
      <c r="H8" s="35" t="s">
        <v>75</v>
      </c>
      <c r="I8" t="s">
        <v>62</v>
      </c>
      <c r="J8">
        <v>0</v>
      </c>
      <c r="K8" t="s">
        <v>63</v>
      </c>
      <c r="L8">
        <v>0</v>
      </c>
      <c r="M8">
        <v>2</v>
      </c>
      <c r="N8">
        <v>0</v>
      </c>
      <c r="Q8">
        <v>2</v>
      </c>
      <c r="R8">
        <v>1</v>
      </c>
      <c r="S8" s="20">
        <v>0</v>
      </c>
      <c r="T8" s="20">
        <v>0</v>
      </c>
    </row>
    <row r="9" spans="1:27">
      <c r="A9" t="s">
        <v>77</v>
      </c>
      <c r="B9">
        <v>10005</v>
      </c>
      <c r="C9" t="s">
        <v>78</v>
      </c>
      <c r="D9" s="35" cm="1">
        <f t="array" ref="D9">_xlfn.SWITCH(Q9,1,0,2,2,3,2)</f>
        <v>0</v>
      </c>
      <c r="E9" s="35" cm="1">
        <f t="array" ref="E9">_xlfn.SWITCH(Q9,1,1,2,2,3,1)</f>
        <v>1</v>
      </c>
      <c r="F9" s="35" t="s">
        <v>79</v>
      </c>
      <c r="G9" t="s">
        <v>78</v>
      </c>
      <c r="H9" s="35" t="s">
        <v>79</v>
      </c>
      <c r="I9" t="s">
        <v>62</v>
      </c>
      <c r="J9">
        <v>0</v>
      </c>
      <c r="K9" t="s">
        <v>63</v>
      </c>
      <c r="L9">
        <v>0</v>
      </c>
      <c r="M9">
        <v>2</v>
      </c>
      <c r="N9">
        <v>0</v>
      </c>
      <c r="Q9">
        <v>1</v>
      </c>
      <c r="R9">
        <v>1</v>
      </c>
      <c r="S9" s="20">
        <v>0</v>
      </c>
      <c r="T9" s="20">
        <v>0</v>
      </c>
      <c r="U9">
        <v>0</v>
      </c>
    </row>
    <row r="10" spans="1:27">
      <c r="A10" t="s">
        <v>80</v>
      </c>
      <c r="B10">
        <v>10006</v>
      </c>
      <c r="C10" t="s">
        <v>81</v>
      </c>
      <c r="D10" s="35" cm="1">
        <f t="array" ref="D10">_xlfn.SWITCH(Q10,1,0,2,2,3,2)</f>
        <v>2</v>
      </c>
      <c r="E10" s="35" cm="1">
        <f t="array" ref="E10">_xlfn.SWITCH(Q10,1,1,2,2,3,1)</f>
        <v>2</v>
      </c>
      <c r="F10" s="35" t="s">
        <v>82</v>
      </c>
      <c r="G10" t="s">
        <v>81</v>
      </c>
      <c r="H10" s="35" t="s">
        <v>82</v>
      </c>
      <c r="I10" t="s">
        <v>62</v>
      </c>
      <c r="J10">
        <v>0</v>
      </c>
      <c r="K10" t="s">
        <v>63</v>
      </c>
      <c r="L10">
        <v>0</v>
      </c>
      <c r="M10">
        <v>2</v>
      </c>
      <c r="N10">
        <v>0</v>
      </c>
      <c r="Q10">
        <v>2</v>
      </c>
      <c r="R10">
        <v>1</v>
      </c>
      <c r="S10" s="20">
        <v>0.0175</v>
      </c>
      <c r="T10" s="20">
        <v>0</v>
      </c>
    </row>
    <row r="11" spans="1:27">
      <c r="A11" t="s">
        <v>83</v>
      </c>
      <c r="B11">
        <v>10007</v>
      </c>
      <c r="C11" t="s">
        <v>84</v>
      </c>
      <c r="D11" s="35" cm="1">
        <f t="array" ref="D11">_xlfn.SWITCH(Q11,1,0,2,2,3,2)</f>
        <v>2</v>
      </c>
      <c r="E11" s="35" cm="1">
        <f t="array" ref="E11">_xlfn.SWITCH(Q11,1,1,2,2,3,1)</f>
        <v>2</v>
      </c>
      <c r="F11" t="s">
        <v>84</v>
      </c>
      <c r="G11" t="s">
        <v>84</v>
      </c>
      <c r="H11" t="s">
        <v>84</v>
      </c>
      <c r="I11" t="s">
        <v>62</v>
      </c>
      <c r="J11">
        <v>0</v>
      </c>
      <c r="K11" t="s">
        <v>63</v>
      </c>
      <c r="L11">
        <v>0</v>
      </c>
      <c r="M11">
        <v>2</v>
      </c>
      <c r="N11">
        <v>0</v>
      </c>
      <c r="Q11">
        <v>2</v>
      </c>
      <c r="R11">
        <v>1</v>
      </c>
      <c r="S11" s="20">
        <v>0</v>
      </c>
      <c r="T11" s="20">
        <v>0</v>
      </c>
    </row>
    <row r="12" spans="1:27">
      <c r="A12" t="s">
        <v>85</v>
      </c>
      <c r="B12">
        <v>10009</v>
      </c>
      <c r="C12" s="46" t="s">
        <v>86</v>
      </c>
      <c r="D12" s="35" cm="1">
        <f t="array" ref="D12">_xlfn.SWITCH(Q12,1,0,2,2,3,2)</f>
        <v>2</v>
      </c>
      <c r="E12" s="35" cm="1">
        <f t="array" ref="E12">_xlfn.SWITCH(Q12,1,1,2,2,3,1)</f>
        <v>2</v>
      </c>
      <c r="F12" s="35" t="s">
        <v>87</v>
      </c>
      <c r="G12" t="s">
        <v>86</v>
      </c>
      <c r="H12" s="35" t="s">
        <v>87</v>
      </c>
      <c r="I12" t="s">
        <v>62</v>
      </c>
      <c r="J12">
        <v>0</v>
      </c>
      <c r="K12" t="s">
        <v>63</v>
      </c>
      <c r="L12">
        <v>0</v>
      </c>
      <c r="M12">
        <v>2</v>
      </c>
      <c r="N12">
        <v>0</v>
      </c>
      <c r="Q12">
        <v>2</v>
      </c>
      <c r="R12">
        <v>0</v>
      </c>
      <c r="S12" s="20">
        <v>1</v>
      </c>
      <c r="T12" s="20">
        <v>0</v>
      </c>
      <c r="U12">
        <v>0</v>
      </c>
    </row>
    <row r="13" spans="1:27">
      <c r="A13" t="s">
        <v>88</v>
      </c>
      <c r="B13">
        <v>10010</v>
      </c>
      <c r="C13" s="46" t="s">
        <v>89</v>
      </c>
      <c r="D13" s="35" cm="1">
        <f t="array" ref="D13">_xlfn.SWITCH(Q13,1,0,2,2,3,2)</f>
        <v>2</v>
      </c>
      <c r="E13" s="35" cm="1">
        <f t="array" ref="E13">_xlfn.SWITCH(Q13,1,1,2,2,3,1)</f>
        <v>2</v>
      </c>
      <c r="F13" s="35" t="s">
        <v>90</v>
      </c>
      <c r="G13" t="s">
        <v>89</v>
      </c>
      <c r="H13" s="35" t="s">
        <v>90</v>
      </c>
      <c r="I13" t="s">
        <v>62</v>
      </c>
      <c r="J13">
        <v>0</v>
      </c>
      <c r="K13" t="s">
        <v>63</v>
      </c>
      <c r="L13">
        <v>0</v>
      </c>
      <c r="M13">
        <v>2</v>
      </c>
      <c r="N13">
        <v>0</v>
      </c>
      <c r="Q13">
        <v>2</v>
      </c>
      <c r="R13">
        <v>0</v>
      </c>
      <c r="S13" s="20">
        <v>0</v>
      </c>
      <c r="T13" s="20">
        <v>0</v>
      </c>
      <c r="U13">
        <v>0</v>
      </c>
    </row>
    <row r="14" spans="1:27">
      <c r="A14" t="s">
        <v>91</v>
      </c>
      <c r="B14">
        <v>10011</v>
      </c>
      <c r="C14" s="22" t="s">
        <v>92</v>
      </c>
      <c r="D14" s="35" cm="1">
        <f t="array" ref="D14">_xlfn.SWITCH(Q14,1,0,2,2,3,2)</f>
        <v>2</v>
      </c>
      <c r="E14" s="35" cm="1">
        <f t="array" ref="E14">_xlfn.SWITCH(Q14,1,1,2,2,3,1)</f>
        <v>2</v>
      </c>
      <c r="F14" s="35" t="s">
        <v>93</v>
      </c>
      <c r="G14" t="s">
        <v>92</v>
      </c>
      <c r="H14" s="35" t="s">
        <v>93</v>
      </c>
      <c r="I14" t="s">
        <v>62</v>
      </c>
      <c r="J14">
        <v>0</v>
      </c>
      <c r="K14" t="s">
        <v>63</v>
      </c>
      <c r="L14">
        <v>0</v>
      </c>
      <c r="M14">
        <v>2</v>
      </c>
      <c r="N14">
        <v>0</v>
      </c>
      <c r="Q14">
        <v>2</v>
      </c>
      <c r="R14">
        <v>0</v>
      </c>
      <c r="S14" s="20">
        <v>0</v>
      </c>
      <c r="T14" s="20">
        <v>0</v>
      </c>
      <c r="U14">
        <v>0</v>
      </c>
    </row>
    <row r="15" spans="1:27">
      <c r="A15" t="s">
        <v>94</v>
      </c>
      <c r="B15">
        <v>10012</v>
      </c>
      <c r="C15" s="22" t="s">
        <v>95</v>
      </c>
      <c r="D15" s="35" cm="1">
        <f t="array" ref="D15">_xlfn.SWITCH(Q15,1,0,2,2,3,2)</f>
        <v>2</v>
      </c>
      <c r="E15" s="35" cm="1">
        <f t="array" ref="E15">_xlfn.SWITCH(Q15,1,1,2,2,3,1)</f>
        <v>2</v>
      </c>
      <c r="F15" s="35" t="s">
        <v>96</v>
      </c>
      <c r="G15" t="s">
        <v>95</v>
      </c>
      <c r="H15" s="35" t="s">
        <v>97</v>
      </c>
      <c r="I15" t="s">
        <v>62</v>
      </c>
      <c r="J15">
        <v>0</v>
      </c>
      <c r="K15" t="s">
        <v>63</v>
      </c>
      <c r="L15">
        <v>0</v>
      </c>
      <c r="M15">
        <v>2</v>
      </c>
      <c r="N15">
        <v>0</v>
      </c>
      <c r="Q15">
        <v>2</v>
      </c>
      <c r="R15">
        <v>0</v>
      </c>
      <c r="S15" s="20">
        <v>0</v>
      </c>
      <c r="T15" s="20">
        <v>0</v>
      </c>
      <c r="U15">
        <v>0</v>
      </c>
    </row>
    <row r="16" spans="1:27">
      <c r="A16" t="s">
        <v>98</v>
      </c>
      <c r="B16">
        <v>10013</v>
      </c>
      <c r="C16" t="s">
        <v>99</v>
      </c>
      <c r="D16" s="35" cm="1">
        <f t="array" ref="D16">_xlfn.SWITCH(Q16,1,0,2,2,3,2)</f>
        <v>2</v>
      </c>
      <c r="E16" s="35" cm="1">
        <f t="array" ref="E16">_xlfn.SWITCH(Q16,1,1,2,2,3,1)</f>
        <v>2</v>
      </c>
      <c r="F16" t="s">
        <v>99</v>
      </c>
      <c r="G16" t="s">
        <v>99</v>
      </c>
      <c r="H16" t="s">
        <v>99</v>
      </c>
      <c r="I16" t="s">
        <v>62</v>
      </c>
      <c r="J16">
        <v>0</v>
      </c>
      <c r="K16" t="s">
        <v>63</v>
      </c>
      <c r="L16">
        <v>0</v>
      </c>
      <c r="M16">
        <v>2</v>
      </c>
      <c r="N16">
        <v>0</v>
      </c>
      <c r="Q16">
        <v>2</v>
      </c>
      <c r="R16">
        <v>0</v>
      </c>
      <c r="S16" s="20">
        <v>0</v>
      </c>
      <c r="T16" s="20">
        <v>0</v>
      </c>
    </row>
    <row r="17" spans="1:22">
      <c r="A17" t="s">
        <v>100</v>
      </c>
      <c r="B17">
        <v>10014</v>
      </c>
      <c r="C17" t="s">
        <v>101</v>
      </c>
      <c r="D17" s="35" cm="1">
        <f t="array" ref="D17">_xlfn.SWITCH(Q17,1,0,2,2,3,2)</f>
        <v>2</v>
      </c>
      <c r="E17" s="35" cm="1">
        <f t="array" ref="E17">_xlfn.SWITCH(Q17,1,1,2,2,3,1)</f>
        <v>2</v>
      </c>
      <c r="F17" t="s">
        <v>101</v>
      </c>
      <c r="G17" t="s">
        <v>101</v>
      </c>
      <c r="H17" t="s">
        <v>101</v>
      </c>
      <c r="I17" t="s">
        <v>62</v>
      </c>
      <c r="J17">
        <v>0</v>
      </c>
      <c r="K17" t="s">
        <v>63</v>
      </c>
      <c r="L17">
        <v>0</v>
      </c>
      <c r="M17">
        <v>2</v>
      </c>
      <c r="N17">
        <v>0</v>
      </c>
      <c r="Q17">
        <v>2</v>
      </c>
      <c r="R17">
        <v>0</v>
      </c>
      <c r="S17" s="20">
        <v>0</v>
      </c>
      <c r="T17" s="20">
        <v>0</v>
      </c>
    </row>
    <row r="18" spans="1:22">
      <c r="A18" t="s">
        <v>102</v>
      </c>
      <c r="B18">
        <v>10015</v>
      </c>
      <c r="C18" t="s">
        <v>103</v>
      </c>
      <c r="D18" s="35" cm="1">
        <f t="array" ref="D18">_xlfn.SWITCH(Q18,1,0,2,2,3,2)</f>
        <v>0</v>
      </c>
      <c r="E18" s="35" cm="1">
        <f t="array" ref="E18">_xlfn.SWITCH(Q18,1,1,2,2,3,1)</f>
        <v>1</v>
      </c>
      <c r="F18" s="35" t="s">
        <v>104</v>
      </c>
      <c r="G18" t="s">
        <v>103</v>
      </c>
      <c r="H18" s="35" t="s">
        <v>104</v>
      </c>
      <c r="I18" t="s">
        <v>62</v>
      </c>
      <c r="J18">
        <v>0</v>
      </c>
      <c r="K18" t="s">
        <v>63</v>
      </c>
      <c r="L18">
        <v>0</v>
      </c>
      <c r="M18">
        <v>2</v>
      </c>
      <c r="N18">
        <v>0</v>
      </c>
      <c r="Q18">
        <v>1</v>
      </c>
      <c r="R18">
        <v>0</v>
      </c>
      <c r="S18" s="20">
        <v>0</v>
      </c>
      <c r="T18" s="20">
        <v>0</v>
      </c>
    </row>
    <row r="19" spans="1:22">
      <c r="A19" t="s">
        <v>105</v>
      </c>
      <c r="B19">
        <v>10016</v>
      </c>
      <c r="C19" t="s">
        <v>106</v>
      </c>
      <c r="D19" s="35" cm="1">
        <f t="array" ref="D19">_xlfn.SWITCH(Q19,1,0,2,2,3,2)</f>
        <v>0</v>
      </c>
      <c r="E19" s="35" cm="1">
        <f t="array" ref="E19">_xlfn.SWITCH(Q19,1,1,2,2,3,1)</f>
        <v>1</v>
      </c>
      <c r="F19" s="35" t="s">
        <v>107</v>
      </c>
      <c r="G19" t="s">
        <v>106</v>
      </c>
      <c r="H19" s="35" t="s">
        <v>107</v>
      </c>
      <c r="I19" t="s">
        <v>62</v>
      </c>
      <c r="J19">
        <v>0</v>
      </c>
      <c r="K19" t="s">
        <v>63</v>
      </c>
      <c r="L19">
        <v>0</v>
      </c>
      <c r="M19">
        <v>2</v>
      </c>
      <c r="N19">
        <v>0</v>
      </c>
      <c r="Q19">
        <v>1</v>
      </c>
      <c r="R19">
        <v>0</v>
      </c>
      <c r="S19" s="20">
        <v>0</v>
      </c>
      <c r="T19" s="20">
        <v>0</v>
      </c>
    </row>
    <row r="20" spans="1:22">
      <c r="A20" t="s">
        <v>108</v>
      </c>
      <c r="B20">
        <v>10017</v>
      </c>
      <c r="C20" t="s">
        <v>109</v>
      </c>
      <c r="D20" s="35" cm="1">
        <f t="array" ref="D20">_xlfn.SWITCH(Q20,1,0,2,2,3,2)</f>
        <v>0</v>
      </c>
      <c r="E20" s="35" cm="1">
        <f t="array" ref="E20">_xlfn.SWITCH(Q20,1,1,2,2,3,1)</f>
        <v>1</v>
      </c>
      <c r="F20" s="35" t="s">
        <v>110</v>
      </c>
      <c r="G20" t="s">
        <v>109</v>
      </c>
      <c r="H20" s="35" t="s">
        <v>110</v>
      </c>
      <c r="I20" t="s">
        <v>62</v>
      </c>
      <c r="J20">
        <v>0</v>
      </c>
      <c r="K20" t="s">
        <v>63</v>
      </c>
      <c r="L20">
        <v>0</v>
      </c>
      <c r="M20">
        <v>2</v>
      </c>
      <c r="N20">
        <v>0</v>
      </c>
      <c r="Q20">
        <v>1</v>
      </c>
      <c r="R20">
        <v>0</v>
      </c>
      <c r="S20" s="20">
        <v>0</v>
      </c>
      <c r="T20" s="20">
        <v>0</v>
      </c>
    </row>
    <row r="21" spans="1:22">
      <c r="A21" t="s">
        <v>111</v>
      </c>
      <c r="B21">
        <v>10018</v>
      </c>
      <c r="C21" t="s">
        <v>112</v>
      </c>
      <c r="D21" s="35" cm="1">
        <f t="array" ref="D21">_xlfn.SWITCH(Q21,1,0,2,2,3,2)</f>
        <v>0</v>
      </c>
      <c r="E21" s="35" cm="1">
        <f t="array" ref="E21">_xlfn.SWITCH(Q21,1,1,2,2,3,1)</f>
        <v>1</v>
      </c>
      <c r="F21" s="35" t="s">
        <v>113</v>
      </c>
      <c r="G21" t="s">
        <v>112</v>
      </c>
      <c r="H21" s="35" t="s">
        <v>113</v>
      </c>
      <c r="I21" t="s">
        <v>62</v>
      </c>
      <c r="J21">
        <v>0</v>
      </c>
      <c r="K21" t="s">
        <v>63</v>
      </c>
      <c r="L21">
        <v>0</v>
      </c>
      <c r="M21">
        <v>2</v>
      </c>
      <c r="N21">
        <v>0</v>
      </c>
      <c r="Q21">
        <v>1</v>
      </c>
      <c r="R21">
        <v>0</v>
      </c>
      <c r="S21" s="20">
        <v>0</v>
      </c>
      <c r="T21" s="20">
        <v>0</v>
      </c>
    </row>
    <row r="22" ht="34" customHeight="1" spans="1:22">
      <c r="A22" t="s">
        <v>114</v>
      </c>
      <c r="B22">
        <v>10019</v>
      </c>
      <c r="C22" t="s">
        <v>115</v>
      </c>
      <c r="D22" s="35" cm="1">
        <f t="array" ref="D22">_xlfn.SWITCH(Q22,1,0,2,2,3,2)</f>
        <v>0</v>
      </c>
      <c r="E22" s="35" cm="1">
        <f t="array" ref="E22">_xlfn.SWITCH(Q22,1,1,2,2,3,1)</f>
        <v>1</v>
      </c>
      <c r="F22" s="35" t="s">
        <v>116</v>
      </c>
      <c r="G22" t="s">
        <v>115</v>
      </c>
      <c r="H22" s="35" t="s">
        <v>116</v>
      </c>
      <c r="I22" t="s">
        <v>62</v>
      </c>
      <c r="J22">
        <v>0</v>
      </c>
      <c r="K22" t="s">
        <v>63</v>
      </c>
      <c r="L22">
        <v>0</v>
      </c>
      <c r="M22">
        <v>2</v>
      </c>
      <c r="N22">
        <v>0</v>
      </c>
      <c r="Q22">
        <v>1</v>
      </c>
      <c r="R22">
        <v>0</v>
      </c>
      <c r="S22" s="20">
        <v>0</v>
      </c>
      <c r="T22" s="20">
        <v>0</v>
      </c>
    </row>
    <row r="23" ht="74" customHeight="1" spans="1:22">
      <c r="A23" t="s">
        <v>117</v>
      </c>
      <c r="B23">
        <v>10020</v>
      </c>
      <c r="C23" t="s">
        <v>118</v>
      </c>
      <c r="D23" s="35" cm="1">
        <f t="array" ref="D23">_xlfn.SWITCH(Q23,1,0,2,2,3,2)</f>
        <v>0</v>
      </c>
      <c r="E23" s="35" cm="1">
        <f t="array" ref="E23">_xlfn.SWITCH(Q23,1,1,2,2,3,1)</f>
        <v>1</v>
      </c>
      <c r="F23" s="35" t="s">
        <v>119</v>
      </c>
      <c r="G23" t="s">
        <v>118</v>
      </c>
      <c r="H23" s="35" t="s">
        <v>119</v>
      </c>
      <c r="I23" t="s">
        <v>62</v>
      </c>
      <c r="J23">
        <v>0</v>
      </c>
      <c r="K23" t="s">
        <v>63</v>
      </c>
      <c r="L23">
        <v>0</v>
      </c>
      <c r="M23">
        <v>2</v>
      </c>
      <c r="N23">
        <v>0</v>
      </c>
      <c r="Q23">
        <v>1</v>
      </c>
      <c r="R23">
        <v>0</v>
      </c>
      <c r="S23" s="20">
        <v>0</v>
      </c>
      <c r="T23" s="20">
        <v>0</v>
      </c>
    </row>
    <row r="24" ht="15" customHeight="1" spans="1:22">
      <c r="A24" t="s">
        <v>120</v>
      </c>
      <c r="B24">
        <v>10021</v>
      </c>
      <c r="C24" t="s">
        <v>121</v>
      </c>
      <c r="D24" s="35" cm="1">
        <f t="array" ref="D24">_xlfn.SWITCH(Q24,1,0,2,2,3,2)</f>
        <v>0</v>
      </c>
      <c r="E24" s="35" cm="1">
        <f t="array" ref="E24">_xlfn.SWITCH(Q24,1,1,2,2,3,1)</f>
        <v>1</v>
      </c>
      <c r="F24" t="s">
        <v>122</v>
      </c>
      <c r="G24" t="s">
        <v>121</v>
      </c>
      <c r="H24" t="s">
        <v>122</v>
      </c>
      <c r="I24" t="s">
        <v>62</v>
      </c>
      <c r="J24">
        <v>0</v>
      </c>
      <c r="K24" t="s">
        <v>63</v>
      </c>
      <c r="L24">
        <v>0</v>
      </c>
      <c r="M24">
        <v>2</v>
      </c>
      <c r="N24">
        <v>0</v>
      </c>
      <c r="Q24">
        <v>1</v>
      </c>
      <c r="R24">
        <v>0</v>
      </c>
      <c r="S24" s="20">
        <v>0</v>
      </c>
      <c r="T24" s="20">
        <v>0</v>
      </c>
    </row>
    <row r="25" ht="20" customHeight="1" spans="1:22">
      <c r="A25" t="s">
        <v>123</v>
      </c>
      <c r="B25">
        <v>10022</v>
      </c>
      <c r="C25" t="s">
        <v>124</v>
      </c>
      <c r="D25" s="35" cm="1">
        <f t="array" ref="D25">_xlfn.SWITCH(Q25,1,0,2,2,3,2)</f>
        <v>0</v>
      </c>
      <c r="E25" s="35" cm="1">
        <f t="array" ref="E25">_xlfn.SWITCH(Q25,1,1,2,2,3,1)</f>
        <v>1</v>
      </c>
      <c r="F25" t="s">
        <v>125</v>
      </c>
      <c r="G25" t="s">
        <v>124</v>
      </c>
      <c r="H25" t="s">
        <v>125</v>
      </c>
      <c r="I25" t="s">
        <v>62</v>
      </c>
      <c r="J25">
        <v>0</v>
      </c>
      <c r="K25" t="s">
        <v>63</v>
      </c>
      <c r="L25">
        <v>0</v>
      </c>
      <c r="M25">
        <v>2</v>
      </c>
      <c r="N25">
        <v>0</v>
      </c>
      <c r="Q25">
        <v>1</v>
      </c>
      <c r="R25">
        <v>0</v>
      </c>
      <c r="S25" s="20">
        <v>0</v>
      </c>
      <c r="T25" s="20">
        <v>0</v>
      </c>
    </row>
    <row r="26" customFormat="1" ht="15" customHeight="1" spans="1:22">
      <c r="A26" t="s">
        <v>126</v>
      </c>
      <c r="B26">
        <v>10029</v>
      </c>
      <c r="C26" t="s">
        <v>127</v>
      </c>
      <c r="D26" s="35" cm="1">
        <f t="array" ref="D26">_xlfn.SWITCH(Q26,1,0,2,2,3,2)</f>
        <v>0</v>
      </c>
      <c r="E26" s="35" cm="1">
        <f t="array" ref="E26">_xlfn.SWITCH(Q26,1,1,2,2,3,1)</f>
        <v>1</v>
      </c>
      <c r="F26" t="s">
        <v>127</v>
      </c>
      <c r="G26" t="s">
        <v>128</v>
      </c>
      <c r="H26" t="s">
        <v>129</v>
      </c>
      <c r="I26" t="s">
        <v>62</v>
      </c>
      <c r="J26">
        <v>0</v>
      </c>
      <c r="K26" t="s">
        <v>63</v>
      </c>
      <c r="L26">
        <v>0</v>
      </c>
      <c r="M26">
        <v>2</v>
      </c>
      <c r="N26">
        <v>0</v>
      </c>
      <c r="Q26">
        <v>1</v>
      </c>
      <c r="R26">
        <v>0</v>
      </c>
      <c r="S26" s="20">
        <v>0</v>
      </c>
      <c r="T26" s="20">
        <v>0</v>
      </c>
    </row>
    <row r="27" customFormat="1" ht="18" customHeight="1" spans="1:22">
      <c r="A27" t="s">
        <v>130</v>
      </c>
      <c r="B27">
        <v>10030</v>
      </c>
      <c r="C27" t="s">
        <v>131</v>
      </c>
      <c r="D27" s="35" cm="1">
        <f t="array" ref="D27">_xlfn.SWITCH(Q27,1,0,2,2,3,2)</f>
        <v>0</v>
      </c>
      <c r="E27" s="35" cm="1">
        <f t="array" ref="E27">_xlfn.SWITCH(Q27,1,1,2,2,3,1)</f>
        <v>1</v>
      </c>
      <c r="F27" t="s">
        <v>131</v>
      </c>
      <c r="G27" t="s">
        <v>132</v>
      </c>
      <c r="H27" t="s">
        <v>133</v>
      </c>
      <c r="I27" t="s">
        <v>62</v>
      </c>
      <c r="J27">
        <v>0</v>
      </c>
      <c r="K27" t="s">
        <v>63</v>
      </c>
      <c r="L27">
        <v>0</v>
      </c>
      <c r="M27">
        <v>2</v>
      </c>
      <c r="N27">
        <v>0</v>
      </c>
      <c r="Q27">
        <v>1</v>
      </c>
      <c r="R27">
        <v>0</v>
      </c>
      <c r="S27" s="20">
        <v>0</v>
      </c>
      <c r="T27" s="20">
        <v>0</v>
      </c>
    </row>
    <row r="28" ht="30" customHeight="1" spans="1:22">
      <c r="A28" t="s">
        <v>134</v>
      </c>
      <c r="B28">
        <v>10033</v>
      </c>
      <c r="C28" t="s">
        <v>135</v>
      </c>
      <c r="D28" s="35" cm="1">
        <f t="array" ref="D28">_xlfn.SWITCH(Q28,1,0,2,2,3,2)</f>
        <v>0</v>
      </c>
      <c r="E28" s="35" cm="1">
        <f t="array" ref="E28">_xlfn.SWITCH(Q28,1,1,2,2,3,1)</f>
        <v>1</v>
      </c>
      <c r="F28" t="s">
        <v>136</v>
      </c>
      <c r="G28" t="s">
        <v>135</v>
      </c>
      <c r="H28" t="s">
        <v>136</v>
      </c>
      <c r="I28" t="s">
        <v>62</v>
      </c>
      <c r="J28">
        <v>0</v>
      </c>
      <c r="K28" t="s">
        <v>63</v>
      </c>
      <c r="L28">
        <v>0</v>
      </c>
      <c r="M28">
        <v>2</v>
      </c>
      <c r="N28">
        <v>0</v>
      </c>
      <c r="Q28">
        <v>1</v>
      </c>
      <c r="R28">
        <v>0</v>
      </c>
      <c r="S28" s="20">
        <v>1</v>
      </c>
      <c r="T28" s="20">
        <v>0</v>
      </c>
    </row>
    <row r="29" customFormat="1" ht="30" customHeight="1" spans="1:22">
      <c r="A29" t="s">
        <v>137</v>
      </c>
      <c r="B29">
        <v>10034</v>
      </c>
      <c r="C29" t="s">
        <v>128</v>
      </c>
      <c r="D29" s="35" cm="1">
        <f t="array" ref="D29">_xlfn.SWITCH(Q29,1,0,2,2,3,2)</f>
        <v>2</v>
      </c>
      <c r="E29" s="35" cm="1">
        <f t="array" ref="E29">_xlfn.SWITCH(Q29,1,1,2,2,3,1)</f>
        <v>2</v>
      </c>
      <c r="F29" t="s">
        <v>138</v>
      </c>
      <c r="G29" t="s">
        <v>129</v>
      </c>
      <c r="H29" t="s">
        <v>129</v>
      </c>
      <c r="I29" t="s">
        <v>62</v>
      </c>
      <c r="J29">
        <v>0</v>
      </c>
      <c r="K29" t="s">
        <v>63</v>
      </c>
      <c r="L29">
        <v>0</v>
      </c>
      <c r="M29">
        <v>2</v>
      </c>
      <c r="N29">
        <v>0</v>
      </c>
      <c r="Q29">
        <v>2</v>
      </c>
      <c r="R29">
        <v>1</v>
      </c>
      <c r="S29" s="20">
        <v>1</v>
      </c>
      <c r="T29" s="20">
        <v>0</v>
      </c>
    </row>
    <row r="30" customFormat="1" ht="30" customHeight="1" spans="1:22">
      <c r="A30" t="s">
        <v>139</v>
      </c>
      <c r="B30">
        <v>10035</v>
      </c>
      <c r="C30" t="s">
        <v>132</v>
      </c>
      <c r="D30" s="35" cm="1">
        <f t="array" ref="D30">_xlfn.SWITCH(Q30,1,0,2,2,3,2)</f>
        <v>2</v>
      </c>
      <c r="E30" s="35" cm="1">
        <f t="array" ref="E30">_xlfn.SWITCH(Q30,1,1,2,2,3,1)</f>
        <v>2</v>
      </c>
      <c r="F30" t="s">
        <v>140</v>
      </c>
      <c r="G30" t="s">
        <v>133</v>
      </c>
      <c r="H30" t="s">
        <v>133</v>
      </c>
      <c r="I30" t="s">
        <v>62</v>
      </c>
      <c r="J30">
        <v>0</v>
      </c>
      <c r="K30" t="s">
        <v>63</v>
      </c>
      <c r="L30">
        <v>0</v>
      </c>
      <c r="M30">
        <v>2</v>
      </c>
      <c r="N30">
        <v>0</v>
      </c>
      <c r="Q30">
        <v>2</v>
      </c>
      <c r="R30">
        <v>1</v>
      </c>
      <c r="S30" s="20">
        <v>1</v>
      </c>
      <c r="T30" s="20">
        <v>0</v>
      </c>
    </row>
    <row r="31" spans="1:22">
      <c r="A31" t="s">
        <v>141</v>
      </c>
      <c r="B31">
        <v>10100</v>
      </c>
      <c r="C31" s="46" t="s">
        <v>142</v>
      </c>
      <c r="D31" s="35" cm="1">
        <f t="array" ref="D31">_xlfn.SWITCH(Q31,1,0,2,2,3,2)</f>
        <v>2</v>
      </c>
      <c r="E31" s="35" cm="1">
        <f t="array" ref="E31">_xlfn.SWITCH(Q31,1,1,2,2,3,1)</f>
        <v>2</v>
      </c>
      <c r="F31" s="35" t="s">
        <v>143</v>
      </c>
      <c r="G31" t="s">
        <v>142</v>
      </c>
      <c r="H31" s="35" t="s">
        <v>143</v>
      </c>
      <c r="I31" t="s">
        <v>62</v>
      </c>
      <c r="J31">
        <v>0</v>
      </c>
      <c r="K31" t="s">
        <v>63</v>
      </c>
      <c r="L31">
        <v>0</v>
      </c>
      <c r="M31">
        <v>2</v>
      </c>
      <c r="N31">
        <v>0</v>
      </c>
      <c r="Q31">
        <v>2</v>
      </c>
      <c r="R31">
        <v>2</v>
      </c>
      <c r="S31" s="20">
        <v>0</v>
      </c>
      <c r="T31" s="20">
        <v>0</v>
      </c>
      <c r="U31">
        <v>0</v>
      </c>
      <c r="V31">
        <v>1</v>
      </c>
    </row>
    <row r="32" spans="1:22">
      <c r="A32" t="s">
        <v>144</v>
      </c>
      <c r="B32">
        <v>10101</v>
      </c>
      <c r="C32" s="46" t="s">
        <v>145</v>
      </c>
      <c r="D32" s="35" cm="1">
        <f t="array" ref="D32">_xlfn.SWITCH(Q32,1,0,2,2,3,2)</f>
        <v>2</v>
      </c>
      <c r="E32" s="35" cm="1">
        <f t="array" ref="E32">_xlfn.SWITCH(Q32,1,1,2,2,3,1)</f>
        <v>2</v>
      </c>
      <c r="F32" s="35" t="s">
        <v>146</v>
      </c>
      <c r="G32" t="s">
        <v>147</v>
      </c>
      <c r="H32" s="35" t="s">
        <v>146</v>
      </c>
      <c r="I32" t="s">
        <v>62</v>
      </c>
      <c r="J32">
        <v>0</v>
      </c>
      <c r="K32" t="s">
        <v>63</v>
      </c>
      <c r="L32">
        <v>0</v>
      </c>
      <c r="M32">
        <v>2</v>
      </c>
      <c r="N32">
        <v>0</v>
      </c>
      <c r="Q32">
        <v>2</v>
      </c>
      <c r="R32">
        <v>0</v>
      </c>
      <c r="S32" s="20">
        <v>0</v>
      </c>
      <c r="T32" s="20">
        <v>0</v>
      </c>
    </row>
    <row r="33" spans="1:27">
      <c r="A33" t="s">
        <v>148</v>
      </c>
      <c r="B33">
        <v>10102</v>
      </c>
      <c r="C33" s="46" t="s">
        <v>149</v>
      </c>
      <c r="D33" s="35" cm="1">
        <f t="array" ref="D33">_xlfn.SWITCH(Q33,1,0,2,2,3,2)</f>
        <v>2</v>
      </c>
      <c r="E33" s="35" cm="1">
        <f t="array" ref="E33">_xlfn.SWITCH(Q33,1,1,2,2,3,1)</f>
        <v>2</v>
      </c>
      <c r="F33" s="35" t="s">
        <v>150</v>
      </c>
      <c r="G33" t="s">
        <v>151</v>
      </c>
      <c r="H33" s="35" t="s">
        <v>150</v>
      </c>
      <c r="I33" t="s">
        <v>62</v>
      </c>
      <c r="J33">
        <v>0</v>
      </c>
      <c r="K33" t="s">
        <v>63</v>
      </c>
      <c r="L33">
        <v>0</v>
      </c>
      <c r="M33">
        <v>2</v>
      </c>
      <c r="N33">
        <v>0</v>
      </c>
      <c r="Q33">
        <v>2</v>
      </c>
      <c r="R33">
        <v>0</v>
      </c>
      <c r="S33" s="20">
        <v>0</v>
      </c>
      <c r="T33" s="20">
        <v>0</v>
      </c>
    </row>
    <row r="34" spans="1:27">
      <c r="A34" t="s">
        <v>152</v>
      </c>
      <c r="B34">
        <v>10103</v>
      </c>
      <c r="C34" s="46" t="s">
        <v>153</v>
      </c>
      <c r="D34" s="35" cm="1">
        <f t="array" ref="D34">_xlfn.SWITCH(Q34,1,0,2,2,3,2)</f>
        <v>2</v>
      </c>
      <c r="E34" s="35" cm="1">
        <f t="array" ref="E34">_xlfn.SWITCH(Q34,1,1,2,2,3,1)</f>
        <v>2</v>
      </c>
      <c r="F34" s="35" t="s">
        <v>154</v>
      </c>
      <c r="G34" t="s">
        <v>155</v>
      </c>
      <c r="H34" s="35" t="s">
        <v>154</v>
      </c>
      <c r="I34" t="s">
        <v>62</v>
      </c>
      <c r="J34">
        <v>0</v>
      </c>
      <c r="K34" t="s">
        <v>63</v>
      </c>
      <c r="L34">
        <v>0</v>
      </c>
      <c r="M34">
        <v>2</v>
      </c>
      <c r="N34">
        <v>0</v>
      </c>
      <c r="Q34">
        <v>2</v>
      </c>
      <c r="R34">
        <v>0</v>
      </c>
      <c r="S34" s="20">
        <v>0</v>
      </c>
      <c r="T34" s="20">
        <v>0</v>
      </c>
    </row>
    <row r="35" spans="1:27">
      <c r="A35" t="s">
        <v>156</v>
      </c>
      <c r="B35">
        <v>10200</v>
      </c>
      <c r="C35" s="46" t="s">
        <v>157</v>
      </c>
      <c r="D35" s="35" cm="1">
        <f t="array" ref="D35">_xlfn.SWITCH(Q35,1,0,2,2,3,2)</f>
        <v>2</v>
      </c>
      <c r="E35" s="35" cm="1">
        <f t="array" ref="E35">_xlfn.SWITCH(Q35,1,1,2,2,3,1)</f>
        <v>2</v>
      </c>
      <c r="F35" s="35" t="s">
        <v>158</v>
      </c>
      <c r="G35" t="s">
        <v>157</v>
      </c>
      <c r="H35" s="35" t="s">
        <v>158</v>
      </c>
      <c r="I35" t="s">
        <v>62</v>
      </c>
      <c r="J35">
        <v>0</v>
      </c>
      <c r="K35" t="s">
        <v>63</v>
      </c>
      <c r="L35">
        <v>0</v>
      </c>
      <c r="M35">
        <v>2</v>
      </c>
      <c r="N35">
        <v>0</v>
      </c>
      <c r="Q35">
        <v>2</v>
      </c>
      <c r="R35">
        <v>0</v>
      </c>
      <c r="S35" s="20">
        <v>2</v>
      </c>
      <c r="T35" s="20">
        <v>0</v>
      </c>
      <c r="U35">
        <v>1</v>
      </c>
    </row>
    <row r="36" spans="1:27">
      <c r="A36" t="s">
        <v>159</v>
      </c>
      <c r="B36">
        <v>10300</v>
      </c>
      <c r="C36" s="46" t="s">
        <v>160</v>
      </c>
      <c r="D36" s="35" cm="1">
        <f t="array" ref="D36">_xlfn.SWITCH(Q36,1,0,2,2,3,2)</f>
        <v>2</v>
      </c>
      <c r="E36" s="35" cm="1">
        <f t="array" ref="E36">_xlfn.SWITCH(Q36,1,1,2,2,3,1)</f>
        <v>2</v>
      </c>
      <c r="F36" s="35" t="s">
        <v>161</v>
      </c>
      <c r="G36" t="s">
        <v>160</v>
      </c>
      <c r="H36" s="35" t="s">
        <v>161</v>
      </c>
      <c r="I36" t="s">
        <v>62</v>
      </c>
      <c r="J36">
        <v>0</v>
      </c>
      <c r="K36" t="s">
        <v>63</v>
      </c>
      <c r="L36">
        <v>0</v>
      </c>
      <c r="M36">
        <v>2</v>
      </c>
      <c r="N36">
        <v>0</v>
      </c>
      <c r="Q36">
        <v>2</v>
      </c>
      <c r="R36">
        <v>2</v>
      </c>
      <c r="S36" s="20">
        <v>0</v>
      </c>
      <c r="T36" s="20">
        <v>0</v>
      </c>
    </row>
    <row r="37" spans="1:27">
      <c r="A37" t="s">
        <v>162</v>
      </c>
      <c r="B37">
        <v>10301</v>
      </c>
      <c r="C37" s="22" t="s">
        <v>163</v>
      </c>
      <c r="D37" s="35" cm="1">
        <f t="array" ref="D37">_xlfn.SWITCH(Q37,1,0,2,2,3,2)</f>
        <v>2</v>
      </c>
      <c r="E37" s="35" cm="1">
        <f t="array" ref="E37">_xlfn.SWITCH(Q37,1,1,2,2,3,1)</f>
        <v>2</v>
      </c>
      <c r="F37" s="35" t="s">
        <v>164</v>
      </c>
      <c r="G37" t="s">
        <v>165</v>
      </c>
      <c r="H37" s="35" t="s">
        <v>164</v>
      </c>
      <c r="I37" t="s">
        <v>62</v>
      </c>
      <c r="J37">
        <v>0</v>
      </c>
      <c r="K37" t="s">
        <v>63</v>
      </c>
      <c r="L37">
        <v>0</v>
      </c>
      <c r="M37">
        <v>2</v>
      </c>
      <c r="N37">
        <v>0</v>
      </c>
      <c r="Q37">
        <v>2</v>
      </c>
      <c r="R37">
        <v>0</v>
      </c>
      <c r="S37" s="20">
        <v>0</v>
      </c>
      <c r="T37" s="20">
        <v>0</v>
      </c>
    </row>
    <row r="38" spans="1:27">
      <c r="A38" t="s">
        <v>166</v>
      </c>
      <c r="B38">
        <v>10302</v>
      </c>
      <c r="C38" s="22" t="s">
        <v>163</v>
      </c>
      <c r="D38" s="35" cm="1">
        <f t="array" ref="D38">_xlfn.SWITCH(Q38,1,0,2,2,3,2)</f>
        <v>2</v>
      </c>
      <c r="E38" s="35" cm="1">
        <f t="array" ref="E38">_xlfn.SWITCH(Q38,1,1,2,2,3,1)</f>
        <v>2</v>
      </c>
      <c r="F38" s="35" t="s">
        <v>167</v>
      </c>
      <c r="G38" t="s">
        <v>168</v>
      </c>
      <c r="H38" s="35" t="s">
        <v>167</v>
      </c>
      <c r="I38" t="s">
        <v>62</v>
      </c>
      <c r="J38">
        <v>0</v>
      </c>
      <c r="K38" t="s">
        <v>63</v>
      </c>
      <c r="L38">
        <v>0</v>
      </c>
      <c r="M38">
        <v>2</v>
      </c>
      <c r="N38">
        <v>0</v>
      </c>
      <c r="Q38">
        <v>2</v>
      </c>
      <c r="R38">
        <v>0</v>
      </c>
      <c r="S38" s="20">
        <v>0</v>
      </c>
      <c r="T38" s="20">
        <v>0</v>
      </c>
    </row>
    <row r="39" spans="1:27">
      <c r="A39" t="s">
        <v>169</v>
      </c>
      <c r="B39">
        <v>10303</v>
      </c>
      <c r="C39" s="22" t="s">
        <v>170</v>
      </c>
      <c r="D39" s="35" cm="1">
        <f t="array" ref="D39">_xlfn.SWITCH(Q39,1,0,2,2,3,2)</f>
        <v>2</v>
      </c>
      <c r="E39" s="35" cm="1">
        <f t="array" ref="E39">_xlfn.SWITCH(Q39,1,1,2,2,3,1)</f>
        <v>2</v>
      </c>
      <c r="F39" s="35" t="s">
        <v>171</v>
      </c>
      <c r="G39" t="s">
        <v>170</v>
      </c>
      <c r="H39" s="35" t="s">
        <v>171</v>
      </c>
      <c r="I39" t="s">
        <v>62</v>
      </c>
      <c r="J39">
        <v>0</v>
      </c>
      <c r="K39" t="s">
        <v>63</v>
      </c>
      <c r="L39">
        <v>0</v>
      </c>
      <c r="M39">
        <v>2</v>
      </c>
      <c r="N39">
        <v>0</v>
      </c>
      <c r="Q39">
        <v>2</v>
      </c>
      <c r="R39">
        <v>0</v>
      </c>
      <c r="S39" s="20">
        <v>0</v>
      </c>
      <c r="T39" s="20">
        <v>0</v>
      </c>
    </row>
    <row r="40" spans="1:27">
      <c r="A40" t="s">
        <v>172</v>
      </c>
      <c r="B40">
        <v>10304</v>
      </c>
      <c r="C40" s="22" t="s">
        <v>173</v>
      </c>
      <c r="D40" s="35" cm="1">
        <f t="array" ref="D40">_xlfn.SWITCH(Q40,1,0,2,2,3,2)</f>
        <v>2</v>
      </c>
      <c r="E40" s="35" cm="1">
        <f t="array" ref="E40">_xlfn.SWITCH(Q40,1,1,2,2,3,1)</f>
        <v>2</v>
      </c>
      <c r="F40" s="35" t="s">
        <v>174</v>
      </c>
      <c r="G40" t="s">
        <v>173</v>
      </c>
      <c r="H40" s="35" t="s">
        <v>174</v>
      </c>
      <c r="I40" t="s">
        <v>62</v>
      </c>
      <c r="J40">
        <v>0</v>
      </c>
      <c r="K40" t="s">
        <v>63</v>
      </c>
      <c r="L40">
        <v>0</v>
      </c>
      <c r="M40">
        <v>2</v>
      </c>
      <c r="N40">
        <v>0</v>
      </c>
      <c r="Q40">
        <v>2</v>
      </c>
      <c r="R40">
        <v>0</v>
      </c>
      <c r="S40" s="20">
        <v>0</v>
      </c>
      <c r="T40" s="20">
        <v>0</v>
      </c>
    </row>
    <row r="41" spans="1:27">
      <c r="A41" t="s">
        <v>175</v>
      </c>
      <c r="B41">
        <v>10305</v>
      </c>
      <c r="C41" s="22" t="s">
        <v>176</v>
      </c>
      <c r="D41" s="35" cm="1">
        <f t="array" ref="D41">_xlfn.SWITCH(Q41,1,0,2,2,3,2)</f>
        <v>2</v>
      </c>
      <c r="E41" s="35" cm="1">
        <f t="array" ref="E41">_xlfn.SWITCH(Q41,1,1,2,2,3,1)</f>
        <v>2</v>
      </c>
      <c r="F41" s="35" t="s">
        <v>177</v>
      </c>
      <c r="G41" t="s">
        <v>178</v>
      </c>
      <c r="H41" s="35" t="s">
        <v>177</v>
      </c>
      <c r="I41" t="s">
        <v>62</v>
      </c>
      <c r="J41">
        <v>0</v>
      </c>
      <c r="K41" t="s">
        <v>63</v>
      </c>
      <c r="L41">
        <v>0</v>
      </c>
      <c r="M41">
        <v>2</v>
      </c>
      <c r="N41">
        <v>0</v>
      </c>
      <c r="Q41">
        <v>2</v>
      </c>
      <c r="R41">
        <v>0</v>
      </c>
      <c r="S41" s="20">
        <v>0</v>
      </c>
      <c r="T41" s="20">
        <v>0</v>
      </c>
    </row>
    <row r="42" spans="1:27">
      <c r="A42" t="s">
        <v>179</v>
      </c>
      <c r="B42">
        <v>10306</v>
      </c>
      <c r="C42" s="22" t="s">
        <v>180</v>
      </c>
      <c r="D42" s="35" cm="1">
        <f t="array" ref="D42">_xlfn.SWITCH(Q42,1,0,2,2,3,2)</f>
        <v>2</v>
      </c>
      <c r="E42" s="35" cm="1">
        <f t="array" ref="E42">_xlfn.SWITCH(Q42,1,1,2,2,3,1)</f>
        <v>2</v>
      </c>
      <c r="F42" s="35" t="s">
        <v>181</v>
      </c>
      <c r="G42" t="s">
        <v>180</v>
      </c>
      <c r="H42" s="35" t="s">
        <v>181</v>
      </c>
      <c r="I42" t="s">
        <v>62</v>
      </c>
      <c r="J42">
        <v>0</v>
      </c>
      <c r="K42" t="s">
        <v>63</v>
      </c>
      <c r="L42">
        <v>0</v>
      </c>
      <c r="M42">
        <v>2</v>
      </c>
      <c r="N42">
        <v>0</v>
      </c>
      <c r="Q42">
        <v>2</v>
      </c>
      <c r="R42">
        <v>0</v>
      </c>
      <c r="S42" s="20">
        <v>0</v>
      </c>
      <c r="T42" s="20">
        <v>0</v>
      </c>
    </row>
    <row r="43" spans="1:27">
      <c r="A43" t="s">
        <v>182</v>
      </c>
      <c r="B43">
        <v>10307</v>
      </c>
      <c r="C43" s="22" t="s">
        <v>183</v>
      </c>
      <c r="D43" s="35" cm="1">
        <f t="array" ref="D43">_xlfn.SWITCH(Q43,1,0,2,2,3,2)</f>
        <v>2</v>
      </c>
      <c r="E43" s="35" cm="1">
        <f t="array" ref="E43">_xlfn.SWITCH(Q43,1,1,2,2,3,1)</f>
        <v>2</v>
      </c>
      <c r="F43" s="35" t="s">
        <v>184</v>
      </c>
      <c r="G43" t="s">
        <v>183</v>
      </c>
      <c r="H43" s="35" t="s">
        <v>184</v>
      </c>
      <c r="I43" t="s">
        <v>62</v>
      </c>
      <c r="J43">
        <v>0</v>
      </c>
      <c r="K43" t="s">
        <v>63</v>
      </c>
      <c r="L43">
        <v>0</v>
      </c>
      <c r="M43">
        <v>2</v>
      </c>
      <c r="N43">
        <v>0</v>
      </c>
      <c r="Q43">
        <v>2</v>
      </c>
      <c r="R43">
        <v>0</v>
      </c>
      <c r="S43" s="20">
        <v>0</v>
      </c>
      <c r="T43" s="20">
        <v>0</v>
      </c>
    </row>
    <row r="44" spans="1:27">
      <c r="A44" t="s">
        <v>185</v>
      </c>
      <c r="B44">
        <v>10308</v>
      </c>
      <c r="C44" s="22" t="s">
        <v>186</v>
      </c>
      <c r="D44" s="35" cm="1">
        <f t="array" ref="D44">_xlfn.SWITCH(Q44,1,0,2,2,3,2)</f>
        <v>2</v>
      </c>
      <c r="E44" s="35" cm="1">
        <f t="array" ref="E44">_xlfn.SWITCH(Q44,1,1,2,2,3,1)</f>
        <v>2</v>
      </c>
      <c r="F44" s="35" t="s">
        <v>187</v>
      </c>
      <c r="G44" t="s">
        <v>186</v>
      </c>
      <c r="H44" s="35" t="s">
        <v>187</v>
      </c>
      <c r="I44" t="s">
        <v>62</v>
      </c>
      <c r="J44">
        <v>0</v>
      </c>
      <c r="K44" t="s">
        <v>63</v>
      </c>
      <c r="L44">
        <v>0</v>
      </c>
      <c r="M44">
        <v>2</v>
      </c>
      <c r="N44">
        <v>0</v>
      </c>
      <c r="Q44">
        <v>2</v>
      </c>
      <c r="R44">
        <v>0</v>
      </c>
      <c r="S44" s="20">
        <v>0</v>
      </c>
      <c r="T44" s="20">
        <v>0</v>
      </c>
      <c r="Z44" t="s">
        <v>188</v>
      </c>
      <c r="AA44" t="s">
        <v>189</v>
      </c>
    </row>
    <row r="45" spans="1:27">
      <c r="A45" t="s">
        <v>190</v>
      </c>
      <c r="B45">
        <v>10309</v>
      </c>
      <c r="C45" t="s">
        <v>191</v>
      </c>
      <c r="D45" s="35" cm="1">
        <f t="array" ref="D45">_xlfn.SWITCH(Q45,1,0,2,2,3,2)</f>
        <v>2</v>
      </c>
      <c r="E45" s="35" cm="1">
        <f t="array" ref="E45">_xlfn.SWITCH(Q45,1,1,2,2,3,1)</f>
        <v>2</v>
      </c>
      <c r="F45" t="s">
        <v>191</v>
      </c>
      <c r="G45" t="s">
        <v>191</v>
      </c>
      <c r="H45" t="s">
        <v>192</v>
      </c>
      <c r="I45" t="s">
        <v>62</v>
      </c>
      <c r="J45">
        <v>0</v>
      </c>
      <c r="K45" t="s">
        <v>63</v>
      </c>
      <c r="L45">
        <v>0</v>
      </c>
      <c r="M45">
        <v>2</v>
      </c>
      <c r="N45">
        <v>0</v>
      </c>
      <c r="Q45">
        <v>2</v>
      </c>
      <c r="R45">
        <v>0</v>
      </c>
      <c r="S45" s="20">
        <v>0</v>
      </c>
      <c r="T45" s="20">
        <v>0</v>
      </c>
    </row>
    <row r="46" customFormat="1" spans="1:27">
      <c r="A46" t="s">
        <v>193</v>
      </c>
      <c r="B46">
        <v>10310</v>
      </c>
      <c r="C46" t="s">
        <v>194</v>
      </c>
      <c r="D46" s="35" cm="1">
        <f t="array" ref="D46">_xlfn.SWITCH(Q46,1,0,2,2,3,2)</f>
        <v>2</v>
      </c>
      <c r="E46" s="35" cm="1">
        <f t="array" ref="E46">_xlfn.SWITCH(Q46,1,1,2,2,3,1)</f>
        <v>2</v>
      </c>
      <c r="F46" t="s">
        <v>195</v>
      </c>
      <c r="G46" t="s">
        <v>195</v>
      </c>
      <c r="H46" t="s">
        <v>195</v>
      </c>
      <c r="I46" t="s">
        <v>62</v>
      </c>
      <c r="J46">
        <v>0</v>
      </c>
      <c r="K46" t="s">
        <v>63</v>
      </c>
      <c r="L46">
        <v>0</v>
      </c>
      <c r="M46">
        <v>2</v>
      </c>
      <c r="N46">
        <v>0</v>
      </c>
      <c r="Q46">
        <v>2</v>
      </c>
      <c r="R46">
        <v>0</v>
      </c>
      <c r="S46" s="20">
        <v>0</v>
      </c>
      <c r="T46" s="20">
        <v>0</v>
      </c>
    </row>
    <row r="47" spans="1:27">
      <c r="A47" t="s">
        <v>196</v>
      </c>
      <c r="B47">
        <v>10311</v>
      </c>
      <c r="C47" s="22" t="s">
        <v>197</v>
      </c>
      <c r="D47" s="35" cm="1">
        <f t="array" ref="D47">_xlfn.SWITCH(Q47,1,0,2,2,3,2)</f>
        <v>2</v>
      </c>
      <c r="E47" s="35" cm="1">
        <f t="array" ref="E47">_xlfn.SWITCH(Q47,1,1,2,2,3,1)</f>
        <v>2</v>
      </c>
      <c r="F47" t="s">
        <v>198</v>
      </c>
      <c r="G47" t="s">
        <v>197</v>
      </c>
      <c r="H47" t="s">
        <v>198</v>
      </c>
      <c r="I47" t="s">
        <v>62</v>
      </c>
      <c r="J47">
        <v>0</v>
      </c>
      <c r="K47" t="s">
        <v>63</v>
      </c>
      <c r="L47">
        <v>0</v>
      </c>
      <c r="M47">
        <v>2</v>
      </c>
      <c r="N47">
        <v>0</v>
      </c>
      <c r="Q47">
        <v>2</v>
      </c>
      <c r="R47">
        <v>3</v>
      </c>
      <c r="S47" s="20">
        <v>0</v>
      </c>
      <c r="T47" s="20">
        <v>0</v>
      </c>
      <c r="V47">
        <v>0.75</v>
      </c>
    </row>
    <row r="48" spans="1:27">
      <c r="A48" t="s">
        <v>199</v>
      </c>
      <c r="B48">
        <v>10312</v>
      </c>
      <c r="C48" s="22" t="s">
        <v>200</v>
      </c>
      <c r="D48" s="35" cm="1">
        <f t="array" ref="D48">_xlfn.SWITCH(Q48,1,0,2,2,3,2)</f>
        <v>2</v>
      </c>
      <c r="E48" s="35" cm="1">
        <f t="array" ref="E48">_xlfn.SWITCH(Q48,1,1,2,2,3,1)</f>
        <v>2</v>
      </c>
      <c r="F48" t="s">
        <v>201</v>
      </c>
      <c r="G48" t="s">
        <v>200</v>
      </c>
      <c r="H48" t="s">
        <v>201</v>
      </c>
      <c r="I48" t="s">
        <v>62</v>
      </c>
      <c r="J48">
        <v>0</v>
      </c>
      <c r="K48" t="s">
        <v>63</v>
      </c>
      <c r="L48">
        <v>0</v>
      </c>
      <c r="M48">
        <v>2</v>
      </c>
      <c r="N48">
        <v>0</v>
      </c>
      <c r="Q48">
        <v>2</v>
      </c>
      <c r="R48">
        <v>3</v>
      </c>
      <c r="S48" s="20">
        <v>0</v>
      </c>
      <c r="T48" s="20">
        <v>0</v>
      </c>
      <c r="V48">
        <v>0.75</v>
      </c>
    </row>
    <row r="49" spans="1:27">
      <c r="A49" t="s">
        <v>202</v>
      </c>
      <c r="B49">
        <v>10313</v>
      </c>
      <c r="C49" s="22" t="s">
        <v>203</v>
      </c>
      <c r="D49" s="35" cm="1">
        <f t="array" ref="D49">_xlfn.SWITCH(Q49,1,0,2,2,3,2)</f>
        <v>2</v>
      </c>
      <c r="E49" s="35" cm="1">
        <f t="array" ref="E49">_xlfn.SWITCH(Q49,1,1,2,2,3,1)</f>
        <v>2</v>
      </c>
      <c r="F49" t="s">
        <v>204</v>
      </c>
      <c r="G49" t="s">
        <v>205</v>
      </c>
      <c r="H49" t="s">
        <v>204</v>
      </c>
      <c r="I49" t="s">
        <v>62</v>
      </c>
      <c r="J49">
        <v>0</v>
      </c>
      <c r="K49" t="s">
        <v>63</v>
      </c>
      <c r="L49">
        <v>0</v>
      </c>
      <c r="M49">
        <v>2</v>
      </c>
      <c r="N49">
        <v>0</v>
      </c>
      <c r="Q49">
        <v>2</v>
      </c>
      <c r="R49">
        <v>3</v>
      </c>
      <c r="S49" s="20">
        <v>0</v>
      </c>
      <c r="T49" s="20">
        <v>0</v>
      </c>
      <c r="V49">
        <v>0.75</v>
      </c>
    </row>
    <row r="50" spans="1:27">
      <c r="A50" t="s">
        <v>206</v>
      </c>
      <c r="B50">
        <v>10314</v>
      </c>
      <c r="C50" s="22" t="s">
        <v>207</v>
      </c>
      <c r="D50" s="35" cm="1">
        <f t="array" ref="D50">_xlfn.SWITCH(Q50,1,0,2,2,3,2)</f>
        <v>2</v>
      </c>
      <c r="E50" s="35" cm="1">
        <f t="array" ref="E50">_xlfn.SWITCH(Q50,1,1,2,2,3,1)</f>
        <v>2</v>
      </c>
      <c r="F50" t="s">
        <v>208</v>
      </c>
      <c r="G50" t="s">
        <v>207</v>
      </c>
      <c r="H50" t="s">
        <v>208</v>
      </c>
      <c r="I50" t="s">
        <v>62</v>
      </c>
      <c r="J50">
        <v>0</v>
      </c>
      <c r="K50" t="s">
        <v>63</v>
      </c>
      <c r="L50">
        <v>0</v>
      </c>
      <c r="M50">
        <v>2</v>
      </c>
      <c r="N50">
        <v>0</v>
      </c>
      <c r="Q50">
        <v>2</v>
      </c>
      <c r="R50">
        <v>3</v>
      </c>
      <c r="S50" s="20">
        <v>0</v>
      </c>
      <c r="T50" s="20">
        <v>0</v>
      </c>
      <c r="V50">
        <v>0.75</v>
      </c>
    </row>
    <row r="51" spans="1:27">
      <c r="A51" t="s">
        <v>209</v>
      </c>
      <c r="B51">
        <v>10315</v>
      </c>
      <c r="C51" s="22" t="s">
        <v>210</v>
      </c>
      <c r="D51" s="35" cm="1">
        <f t="array" ref="D51">_xlfn.SWITCH(Q51,1,0,2,2,3,2)</f>
        <v>2</v>
      </c>
      <c r="E51" s="35" cm="1">
        <f t="array" ref="E51">_xlfn.SWITCH(Q51,1,1,2,2,3,1)</f>
        <v>2</v>
      </c>
      <c r="F51" t="s">
        <v>211</v>
      </c>
      <c r="G51" t="s">
        <v>210</v>
      </c>
      <c r="H51" t="s">
        <v>211</v>
      </c>
      <c r="I51" t="s">
        <v>62</v>
      </c>
      <c r="J51">
        <v>0</v>
      </c>
      <c r="K51" t="s">
        <v>63</v>
      </c>
      <c r="L51">
        <v>0</v>
      </c>
      <c r="M51">
        <v>2</v>
      </c>
      <c r="N51">
        <v>0</v>
      </c>
      <c r="Q51">
        <v>2</v>
      </c>
      <c r="R51">
        <v>3</v>
      </c>
      <c r="S51" s="20">
        <v>0</v>
      </c>
      <c r="T51" s="20">
        <v>0</v>
      </c>
      <c r="V51">
        <v>0.75</v>
      </c>
    </row>
    <row r="52" spans="1:27">
      <c r="A52" t="s">
        <v>212</v>
      </c>
      <c r="B52">
        <v>10316</v>
      </c>
      <c r="C52" s="22" t="s">
        <v>213</v>
      </c>
      <c r="D52" s="35" cm="1">
        <f t="array" ref="D52">_xlfn.SWITCH(Q52,1,0,2,2,3,2)</f>
        <v>2</v>
      </c>
      <c r="E52" s="35" cm="1">
        <f t="array" ref="E52">_xlfn.SWITCH(Q52,1,1,2,2,3,1)</f>
        <v>2</v>
      </c>
      <c r="F52" t="s">
        <v>214</v>
      </c>
      <c r="G52" t="s">
        <v>213</v>
      </c>
      <c r="H52" t="s">
        <v>214</v>
      </c>
      <c r="I52" t="s">
        <v>62</v>
      </c>
      <c r="J52">
        <v>0</v>
      </c>
      <c r="K52" t="s">
        <v>63</v>
      </c>
      <c r="L52">
        <v>0</v>
      </c>
      <c r="M52">
        <v>2</v>
      </c>
      <c r="N52">
        <v>0</v>
      </c>
      <c r="Q52">
        <v>2</v>
      </c>
      <c r="R52">
        <v>0</v>
      </c>
      <c r="S52" s="20">
        <v>0</v>
      </c>
      <c r="T52" s="20">
        <v>0</v>
      </c>
      <c r="Z52" t="s">
        <v>215</v>
      </c>
      <c r="AA52" t="s">
        <v>189</v>
      </c>
    </row>
    <row r="53" spans="1:27">
      <c r="A53" t="s">
        <v>216</v>
      </c>
      <c r="B53">
        <v>10317</v>
      </c>
      <c r="C53" s="22" t="s">
        <v>217</v>
      </c>
      <c r="D53" s="35" cm="1">
        <f t="array" ref="D53">_xlfn.SWITCH(Q53,1,0,2,2,3,2)</f>
        <v>2</v>
      </c>
      <c r="E53" s="35" cm="1">
        <f t="array" ref="E53">_xlfn.SWITCH(Q53,1,1,2,2,3,1)</f>
        <v>2</v>
      </c>
      <c r="F53" t="s">
        <v>218</v>
      </c>
      <c r="G53" t="s">
        <v>217</v>
      </c>
      <c r="H53" t="s">
        <v>218</v>
      </c>
      <c r="I53" t="s">
        <v>62</v>
      </c>
      <c r="J53">
        <v>0</v>
      </c>
      <c r="K53" t="s">
        <v>63</v>
      </c>
      <c r="L53">
        <v>0</v>
      </c>
      <c r="M53">
        <v>2</v>
      </c>
      <c r="N53">
        <v>0</v>
      </c>
      <c r="Q53">
        <v>2</v>
      </c>
      <c r="R53">
        <v>0</v>
      </c>
      <c r="S53" s="20">
        <v>0</v>
      </c>
      <c r="T53" s="20">
        <v>0</v>
      </c>
      <c r="Z53" t="s">
        <v>219</v>
      </c>
      <c r="AA53" t="s">
        <v>220</v>
      </c>
    </row>
    <row r="54" spans="1:27">
      <c r="A54" t="s">
        <v>221</v>
      </c>
      <c r="B54">
        <v>10318</v>
      </c>
      <c r="C54" s="22" t="s">
        <v>222</v>
      </c>
      <c r="D54" s="35" cm="1">
        <f t="array" ref="D54">_xlfn.SWITCH(Q54,1,0,2,2,3,2)</f>
        <v>2</v>
      </c>
      <c r="E54" s="35" cm="1">
        <f t="array" ref="E54">_xlfn.SWITCH(Q54,1,1,2,2,3,1)</f>
        <v>2</v>
      </c>
      <c r="F54" t="s">
        <v>223</v>
      </c>
      <c r="G54" t="s">
        <v>224</v>
      </c>
      <c r="H54" t="s">
        <v>223</v>
      </c>
      <c r="I54" t="s">
        <v>62</v>
      </c>
      <c r="J54">
        <v>0</v>
      </c>
      <c r="K54" t="s">
        <v>63</v>
      </c>
      <c r="L54">
        <v>0</v>
      </c>
      <c r="M54">
        <v>2</v>
      </c>
      <c r="N54">
        <v>0</v>
      </c>
      <c r="Q54">
        <v>2</v>
      </c>
      <c r="R54">
        <v>0</v>
      </c>
      <c r="S54" s="20">
        <v>0</v>
      </c>
      <c r="T54" s="20">
        <v>0</v>
      </c>
      <c r="Z54" t="s">
        <v>225</v>
      </c>
      <c r="AA54" t="s">
        <v>220</v>
      </c>
    </row>
    <row r="55" spans="1:27">
      <c r="A55" t="s">
        <v>226</v>
      </c>
      <c r="B55">
        <v>10319</v>
      </c>
      <c r="C55" s="22" t="s">
        <v>227</v>
      </c>
      <c r="D55" s="35" cm="1">
        <f t="array" ref="D55">_xlfn.SWITCH(Q55,1,0,2,2,3,2)</f>
        <v>2</v>
      </c>
      <c r="E55" s="35" cm="1">
        <f t="array" ref="E55">_xlfn.SWITCH(Q55,1,1,2,2,3,1)</f>
        <v>2</v>
      </c>
      <c r="F55" t="s">
        <v>228</v>
      </c>
      <c r="G55" t="s">
        <v>227</v>
      </c>
      <c r="H55" t="s">
        <v>228</v>
      </c>
      <c r="I55" t="s">
        <v>62</v>
      </c>
      <c r="J55">
        <v>0</v>
      </c>
      <c r="K55" t="s">
        <v>63</v>
      </c>
      <c r="L55">
        <v>0</v>
      </c>
      <c r="M55">
        <v>2</v>
      </c>
      <c r="N55">
        <v>0</v>
      </c>
      <c r="Q55">
        <v>2</v>
      </c>
      <c r="R55">
        <v>0</v>
      </c>
      <c r="S55" s="20">
        <v>0</v>
      </c>
      <c r="T55" s="20">
        <v>0</v>
      </c>
      <c r="Z55" t="s">
        <v>229</v>
      </c>
      <c r="AA55" t="s">
        <v>220</v>
      </c>
    </row>
    <row r="56" spans="1:27">
      <c r="A56" t="s">
        <v>230</v>
      </c>
      <c r="B56">
        <v>10320</v>
      </c>
      <c r="C56" s="22" t="s">
        <v>231</v>
      </c>
      <c r="D56" s="35" cm="1">
        <f t="array" ref="D56">_xlfn.SWITCH(Q56,1,0,2,2,3,2)</f>
        <v>2</v>
      </c>
      <c r="E56" s="35" cm="1">
        <f t="array" ref="E56">_xlfn.SWITCH(Q56,1,1,2,2,3,1)</f>
        <v>2</v>
      </c>
      <c r="F56" t="s">
        <v>232</v>
      </c>
      <c r="G56" t="s">
        <v>231</v>
      </c>
      <c r="H56" t="s">
        <v>232</v>
      </c>
      <c r="I56" t="s">
        <v>62</v>
      </c>
      <c r="J56">
        <v>0</v>
      </c>
      <c r="K56" t="s">
        <v>63</v>
      </c>
      <c r="L56">
        <v>0</v>
      </c>
      <c r="M56">
        <v>2</v>
      </c>
      <c r="N56">
        <v>0</v>
      </c>
      <c r="Q56">
        <v>2</v>
      </c>
      <c r="R56">
        <v>0</v>
      </c>
      <c r="S56" s="20">
        <v>0</v>
      </c>
      <c r="T56" s="20">
        <v>0</v>
      </c>
      <c r="Z56" t="s">
        <v>233</v>
      </c>
      <c r="AA56" t="s">
        <v>220</v>
      </c>
    </row>
    <row r="57" spans="1:27">
      <c r="A57" t="s">
        <v>234</v>
      </c>
      <c r="B57">
        <v>10321</v>
      </c>
      <c r="C57" s="22" t="s">
        <v>235</v>
      </c>
      <c r="D57" s="35" cm="1">
        <f t="array" ref="D57">_xlfn.SWITCH(Q57,1,0,2,2,3,2)</f>
        <v>2</v>
      </c>
      <c r="E57" s="35" cm="1">
        <f t="array" ref="E57">_xlfn.SWITCH(Q57,1,1,2,2,3,1)</f>
        <v>2</v>
      </c>
      <c r="F57" t="s">
        <v>236</v>
      </c>
      <c r="G57" t="s">
        <v>237</v>
      </c>
      <c r="H57" t="s">
        <v>236</v>
      </c>
      <c r="I57" t="s">
        <v>62</v>
      </c>
      <c r="J57">
        <v>0</v>
      </c>
      <c r="K57" t="s">
        <v>63</v>
      </c>
      <c r="L57">
        <v>0</v>
      </c>
      <c r="M57">
        <v>2</v>
      </c>
      <c r="N57">
        <v>0</v>
      </c>
      <c r="Q57">
        <v>2</v>
      </c>
      <c r="R57">
        <v>0</v>
      </c>
      <c r="S57" s="20">
        <v>0</v>
      </c>
      <c r="T57" s="20">
        <v>0</v>
      </c>
      <c r="Z57" t="s">
        <v>238</v>
      </c>
      <c r="AA57" t="s">
        <v>220</v>
      </c>
    </row>
    <row r="58" spans="1:27">
      <c r="A58" t="s">
        <v>239</v>
      </c>
      <c r="B58">
        <v>10322</v>
      </c>
      <c r="C58" s="22" t="s">
        <v>240</v>
      </c>
      <c r="D58" s="35" cm="1">
        <f t="array" ref="D58">_xlfn.SWITCH(Q58,1,0,2,2,3,2)</f>
        <v>2</v>
      </c>
      <c r="E58" s="35" cm="1">
        <f t="array" ref="E58">_xlfn.SWITCH(Q58,1,1,2,2,3,1)</f>
        <v>2</v>
      </c>
      <c r="F58" t="s">
        <v>241</v>
      </c>
      <c r="G58" t="s">
        <v>240</v>
      </c>
      <c r="H58" t="s">
        <v>241</v>
      </c>
      <c r="I58" t="s">
        <v>62</v>
      </c>
      <c r="J58">
        <v>0</v>
      </c>
      <c r="K58" t="s">
        <v>63</v>
      </c>
      <c r="L58">
        <v>0</v>
      </c>
      <c r="M58">
        <v>2</v>
      </c>
      <c r="N58">
        <v>0</v>
      </c>
      <c r="Q58">
        <v>2</v>
      </c>
      <c r="R58">
        <v>0</v>
      </c>
      <c r="S58" s="20">
        <v>0</v>
      </c>
      <c r="T58" s="20">
        <v>0</v>
      </c>
      <c r="Z58" t="s">
        <v>242</v>
      </c>
      <c r="AA58" t="s">
        <v>220</v>
      </c>
    </row>
    <row r="59" spans="1:27">
      <c r="A59" t="s">
        <v>243</v>
      </c>
      <c r="B59">
        <v>10323</v>
      </c>
      <c r="C59" s="35" t="s">
        <v>244</v>
      </c>
      <c r="D59" s="35" cm="1">
        <f t="array" ref="D59">_xlfn.SWITCH(Q59,1,0,2,2,3,2)</f>
        <v>2</v>
      </c>
      <c r="E59" s="35" cm="1">
        <f t="array" ref="E59">_xlfn.SWITCH(Q59,1,1,2,2,3,1)</f>
        <v>2</v>
      </c>
      <c r="F59" t="s">
        <v>245</v>
      </c>
      <c r="G59" t="s">
        <v>244</v>
      </c>
      <c r="H59" t="s">
        <v>246</v>
      </c>
      <c r="I59" t="s">
        <v>62</v>
      </c>
      <c r="J59">
        <v>50</v>
      </c>
      <c r="K59" t="s">
        <v>63</v>
      </c>
      <c r="L59">
        <v>50</v>
      </c>
      <c r="M59">
        <v>2</v>
      </c>
      <c r="N59">
        <v>0</v>
      </c>
      <c r="Q59">
        <v>2</v>
      </c>
      <c r="R59">
        <v>0</v>
      </c>
      <c r="S59" s="20">
        <v>0</v>
      </c>
      <c r="T59" s="20">
        <v>0</v>
      </c>
    </row>
    <row r="60" spans="1:27">
      <c r="A60" t="s">
        <v>247</v>
      </c>
      <c r="B60">
        <v>10324</v>
      </c>
      <c r="C60" s="35" t="s">
        <v>248</v>
      </c>
      <c r="D60" s="35" cm="1">
        <f t="array" ref="D60">_xlfn.SWITCH(Q60,1,0,2,2,3,2)</f>
        <v>2</v>
      </c>
      <c r="E60" s="35" cm="1">
        <f t="array" ref="E60">_xlfn.SWITCH(Q60,1,1,2,2,3,1)</f>
        <v>2</v>
      </c>
      <c r="F60" t="s">
        <v>249</v>
      </c>
      <c r="G60" t="s">
        <v>248</v>
      </c>
      <c r="H60" t="s">
        <v>249</v>
      </c>
      <c r="I60" t="s">
        <v>62</v>
      </c>
      <c r="J60">
        <v>50</v>
      </c>
      <c r="K60" t="s">
        <v>63</v>
      </c>
      <c r="L60">
        <v>50</v>
      </c>
      <c r="M60">
        <v>2</v>
      </c>
      <c r="N60">
        <v>0</v>
      </c>
      <c r="Q60">
        <v>2</v>
      </c>
      <c r="R60">
        <v>0</v>
      </c>
      <c r="S60" s="20">
        <v>0</v>
      </c>
      <c r="T60" s="20">
        <v>2</v>
      </c>
    </row>
    <row r="61" spans="1:27">
      <c r="A61" t="s">
        <v>250</v>
      </c>
      <c r="B61">
        <v>10325</v>
      </c>
      <c r="C61" s="35" t="s">
        <v>251</v>
      </c>
      <c r="D61" s="35" cm="1">
        <f t="array" ref="D61">_xlfn.SWITCH(Q61,1,0,2,2,3,2)</f>
        <v>2</v>
      </c>
      <c r="E61" s="35" cm="1">
        <f t="array" ref="E61">_xlfn.SWITCH(Q61,1,1,2,2,3,1)</f>
        <v>2</v>
      </c>
      <c r="F61" t="s">
        <v>252</v>
      </c>
      <c r="G61" t="s">
        <v>251</v>
      </c>
      <c r="H61" t="s">
        <v>252</v>
      </c>
      <c r="I61" t="s">
        <v>62</v>
      </c>
      <c r="J61">
        <v>50</v>
      </c>
      <c r="K61" t="s">
        <v>63</v>
      </c>
      <c r="L61">
        <v>50</v>
      </c>
      <c r="M61">
        <v>2</v>
      </c>
      <c r="N61">
        <v>0</v>
      </c>
      <c r="Q61">
        <v>2</v>
      </c>
      <c r="R61">
        <v>0</v>
      </c>
      <c r="S61" s="20">
        <v>0</v>
      </c>
      <c r="T61" s="20">
        <v>2</v>
      </c>
    </row>
    <row r="62" hidden="1" spans="1:27">
      <c r="A62" t="s">
        <v>253</v>
      </c>
      <c r="B62">
        <v>10400</v>
      </c>
      <c r="C62" t="s">
        <v>254</v>
      </c>
      <c r="D62" s="35" cm="1">
        <f t="array" ref="D62">_xlfn.SWITCH(Q62,1,0,2,2,3,2)</f>
        <v>0</v>
      </c>
      <c r="E62" s="35" cm="1">
        <f t="array" ref="E62">_xlfn.SWITCH(Q62,1,1,2,2,3,1)</f>
        <v>1</v>
      </c>
      <c r="F62" t="s">
        <v>255</v>
      </c>
      <c r="G62" t="s">
        <v>254</v>
      </c>
      <c r="H62" t="s">
        <v>255</v>
      </c>
      <c r="I62" t="s">
        <v>62</v>
      </c>
      <c r="J62">
        <v>0</v>
      </c>
      <c r="K62" t="s">
        <v>63</v>
      </c>
      <c r="L62">
        <v>0</v>
      </c>
      <c r="M62">
        <v>2</v>
      </c>
      <c r="N62">
        <v>0</v>
      </c>
      <c r="Q62">
        <v>1</v>
      </c>
      <c r="R62">
        <v>0</v>
      </c>
      <c r="S62" s="20">
        <v>0</v>
      </c>
      <c r="T62">
        <v>0</v>
      </c>
    </row>
    <row r="63" hidden="1" spans="1:27">
      <c r="A63" t="s">
        <v>256</v>
      </c>
      <c r="B63">
        <v>10401</v>
      </c>
      <c r="C63" t="s">
        <v>257</v>
      </c>
      <c r="D63" s="35" cm="1">
        <f t="array" ref="D63">_xlfn.SWITCH(Q63,1,0,2,2,3,2)</f>
        <v>0</v>
      </c>
      <c r="E63" s="35" cm="1">
        <f t="array" ref="E63">_xlfn.SWITCH(Q63,1,1,2,2,3,1)</f>
        <v>1</v>
      </c>
      <c r="F63" t="s">
        <v>258</v>
      </c>
      <c r="G63" t="s">
        <v>257</v>
      </c>
      <c r="H63" t="s">
        <v>258</v>
      </c>
      <c r="I63" t="s">
        <v>62</v>
      </c>
      <c r="J63">
        <v>0</v>
      </c>
      <c r="K63" t="s">
        <v>63</v>
      </c>
      <c r="L63">
        <v>0</v>
      </c>
      <c r="M63">
        <v>2</v>
      </c>
      <c r="N63">
        <v>0</v>
      </c>
      <c r="Q63">
        <v>1</v>
      </c>
      <c r="R63">
        <v>0</v>
      </c>
      <c r="S63" s="20">
        <v>0</v>
      </c>
      <c r="T63">
        <v>0</v>
      </c>
    </row>
    <row r="64" hidden="1" spans="1:27">
      <c r="A64" t="s">
        <v>259</v>
      </c>
      <c r="B64">
        <v>10402</v>
      </c>
      <c r="C64" t="s">
        <v>260</v>
      </c>
      <c r="D64" s="35" cm="1">
        <f t="array" ref="D64">_xlfn.SWITCH(Q64,1,0,2,2,3,2)</f>
        <v>0</v>
      </c>
      <c r="E64" s="35" cm="1">
        <f t="array" ref="E64">_xlfn.SWITCH(Q64,1,1,2,2,3,1)</f>
        <v>1</v>
      </c>
      <c r="F64" t="s">
        <v>261</v>
      </c>
      <c r="G64" t="s">
        <v>260</v>
      </c>
      <c r="H64" t="s">
        <v>261</v>
      </c>
      <c r="I64" t="s">
        <v>62</v>
      </c>
      <c r="J64">
        <v>0</v>
      </c>
      <c r="K64" t="s">
        <v>63</v>
      </c>
      <c r="L64">
        <v>0</v>
      </c>
      <c r="M64">
        <v>2</v>
      </c>
      <c r="N64">
        <v>0</v>
      </c>
      <c r="Q64">
        <v>1</v>
      </c>
      <c r="R64">
        <v>0</v>
      </c>
      <c r="S64" s="20">
        <v>0</v>
      </c>
      <c r="T64">
        <v>0</v>
      </c>
    </row>
    <row r="65" hidden="1" spans="1:20">
      <c r="A65" t="s">
        <v>262</v>
      </c>
      <c r="B65">
        <v>10403</v>
      </c>
      <c r="C65" t="s">
        <v>263</v>
      </c>
      <c r="D65" s="35" cm="1">
        <f t="array" ref="D65">_xlfn.SWITCH(Q65,1,0,2,2,3,2)</f>
        <v>0</v>
      </c>
      <c r="E65" s="35" cm="1">
        <f t="array" ref="E65">_xlfn.SWITCH(Q65,1,1,2,2,3,1)</f>
        <v>1</v>
      </c>
      <c r="F65" t="s">
        <v>264</v>
      </c>
      <c r="G65" t="s">
        <v>263</v>
      </c>
      <c r="H65" t="s">
        <v>264</v>
      </c>
      <c r="I65" t="s">
        <v>62</v>
      </c>
      <c r="J65">
        <v>0</v>
      </c>
      <c r="K65" t="s">
        <v>63</v>
      </c>
      <c r="L65">
        <v>0</v>
      </c>
      <c r="M65">
        <v>2</v>
      </c>
      <c r="N65">
        <v>0</v>
      </c>
      <c r="Q65">
        <v>1</v>
      </c>
      <c r="R65">
        <v>0</v>
      </c>
      <c r="S65" s="20">
        <v>0</v>
      </c>
      <c r="T65">
        <v>0</v>
      </c>
    </row>
    <row r="66" hidden="1" spans="1:20">
      <c r="A66" t="s">
        <v>265</v>
      </c>
      <c r="B66">
        <v>10404</v>
      </c>
      <c r="C66" t="s">
        <v>266</v>
      </c>
      <c r="D66" s="35" cm="1">
        <f t="array" ref="D66">_xlfn.SWITCH(Q66,1,0,2,2,3,2)</f>
        <v>0</v>
      </c>
      <c r="E66" s="35" cm="1">
        <f t="array" ref="E66">_xlfn.SWITCH(Q66,1,1,2,2,3,1)</f>
        <v>1</v>
      </c>
      <c r="F66" t="s">
        <v>267</v>
      </c>
      <c r="G66" t="s">
        <v>266</v>
      </c>
      <c r="H66" t="s">
        <v>267</v>
      </c>
      <c r="I66" t="s">
        <v>62</v>
      </c>
      <c r="J66">
        <v>0</v>
      </c>
      <c r="K66" t="s">
        <v>63</v>
      </c>
      <c r="L66">
        <v>0</v>
      </c>
      <c r="M66">
        <v>2</v>
      </c>
      <c r="N66">
        <v>0</v>
      </c>
      <c r="Q66">
        <v>1</v>
      </c>
      <c r="R66">
        <v>0</v>
      </c>
      <c r="S66" s="20">
        <v>0</v>
      </c>
      <c r="T66">
        <v>0</v>
      </c>
    </row>
    <row r="67" hidden="1" spans="1:20">
      <c r="A67" t="s">
        <v>268</v>
      </c>
      <c r="B67">
        <v>10405</v>
      </c>
      <c r="C67" t="s">
        <v>269</v>
      </c>
      <c r="D67" s="35" cm="1">
        <f t="array" ref="D67">_xlfn.SWITCH(Q67,1,0,2,2,3,2)</f>
        <v>0</v>
      </c>
      <c r="E67" s="35" cm="1">
        <f t="array" ref="E67">_xlfn.SWITCH(Q67,1,1,2,2,3,1)</f>
        <v>1</v>
      </c>
      <c r="F67" t="s">
        <v>270</v>
      </c>
      <c r="G67" t="s">
        <v>271</v>
      </c>
      <c r="H67" t="s">
        <v>272</v>
      </c>
      <c r="I67" t="s">
        <v>62</v>
      </c>
      <c r="J67">
        <v>0</v>
      </c>
      <c r="K67" t="s">
        <v>63</v>
      </c>
      <c r="L67">
        <v>0</v>
      </c>
      <c r="M67">
        <v>2</v>
      </c>
      <c r="N67">
        <v>0</v>
      </c>
      <c r="Q67">
        <v>1</v>
      </c>
      <c r="R67">
        <v>0</v>
      </c>
      <c r="S67" s="20">
        <v>0</v>
      </c>
      <c r="T67">
        <v>0</v>
      </c>
    </row>
    <row r="68" hidden="1" spans="1:20">
      <c r="A68" t="s">
        <v>273</v>
      </c>
      <c r="B68">
        <v>10406</v>
      </c>
      <c r="C68" t="s">
        <v>274</v>
      </c>
      <c r="D68" s="35" cm="1">
        <f t="array" ref="D68">_xlfn.SWITCH(Q68,1,0,2,2,3,2)</f>
        <v>0</v>
      </c>
      <c r="E68" s="35" cm="1">
        <f t="array" ref="E68">_xlfn.SWITCH(Q68,1,1,2,2,3,1)</f>
        <v>1</v>
      </c>
      <c r="F68" t="s">
        <v>275</v>
      </c>
      <c r="G68" t="s">
        <v>274</v>
      </c>
      <c r="H68" t="s">
        <v>275</v>
      </c>
      <c r="I68" t="s">
        <v>62</v>
      </c>
      <c r="J68">
        <v>0</v>
      </c>
      <c r="K68" t="s">
        <v>63</v>
      </c>
      <c r="L68">
        <v>0</v>
      </c>
      <c r="M68">
        <v>2</v>
      </c>
      <c r="N68">
        <v>0</v>
      </c>
      <c r="Q68">
        <v>1</v>
      </c>
      <c r="R68">
        <v>0</v>
      </c>
      <c r="S68" s="20">
        <v>0</v>
      </c>
      <c r="T68">
        <v>0</v>
      </c>
    </row>
    <row r="69" hidden="1" spans="1:20">
      <c r="A69" t="s">
        <v>276</v>
      </c>
      <c r="B69">
        <v>10407</v>
      </c>
      <c r="C69" t="s">
        <v>277</v>
      </c>
      <c r="D69" s="35" cm="1">
        <f t="array" ref="D69">_xlfn.SWITCH(Q69,1,0,2,2,3,2)</f>
        <v>0</v>
      </c>
      <c r="E69" s="35" cm="1">
        <f t="array" ref="E69">_xlfn.SWITCH(Q69,1,1,2,2,3,1)</f>
        <v>1</v>
      </c>
      <c r="F69" t="s">
        <v>278</v>
      </c>
      <c r="G69" t="s">
        <v>277</v>
      </c>
      <c r="H69" t="s">
        <v>278</v>
      </c>
      <c r="I69" t="s">
        <v>62</v>
      </c>
      <c r="J69">
        <v>0</v>
      </c>
      <c r="K69" t="s">
        <v>63</v>
      </c>
      <c r="L69">
        <v>0</v>
      </c>
      <c r="M69">
        <v>2</v>
      </c>
      <c r="N69">
        <v>0</v>
      </c>
      <c r="Q69">
        <v>1</v>
      </c>
      <c r="R69">
        <v>0</v>
      </c>
      <c r="S69" s="20">
        <v>0</v>
      </c>
      <c r="T69">
        <v>0</v>
      </c>
    </row>
    <row r="70" spans="1:20">
      <c r="A70" t="s">
        <v>279</v>
      </c>
      <c r="B70">
        <v>10408</v>
      </c>
      <c r="C70" t="s">
        <v>280</v>
      </c>
      <c r="D70" s="35" cm="1">
        <f t="array" ref="D70">_xlfn.SWITCH(Q70,1,0,2,2,3,2)</f>
        <v>0</v>
      </c>
      <c r="E70" s="35" cm="1">
        <f t="array" ref="E70">_xlfn.SWITCH(Q70,1,1,2,2,3,1)</f>
        <v>1</v>
      </c>
      <c r="F70" s="35" t="s">
        <v>281</v>
      </c>
      <c r="G70" t="s">
        <v>280</v>
      </c>
      <c r="H70" s="35" t="s">
        <v>281</v>
      </c>
      <c r="I70" t="s">
        <v>62</v>
      </c>
      <c r="J70">
        <v>0</v>
      </c>
      <c r="K70" t="s">
        <v>63</v>
      </c>
      <c r="L70">
        <v>0</v>
      </c>
      <c r="M70">
        <v>2</v>
      </c>
      <c r="N70">
        <v>0</v>
      </c>
      <c r="Q70">
        <v>1</v>
      </c>
      <c r="R70">
        <v>0</v>
      </c>
      <c r="S70" s="20">
        <v>0</v>
      </c>
      <c r="T70" s="20">
        <v>0</v>
      </c>
    </row>
    <row r="71" spans="1:20">
      <c r="A71" t="s">
        <v>282</v>
      </c>
      <c r="B71">
        <v>10500</v>
      </c>
      <c r="C71" s="22" t="s">
        <v>283</v>
      </c>
      <c r="D71" s="35" cm="1">
        <f t="array" ref="D71">_xlfn.SWITCH(Q71,1,0,2,2,3,2)</f>
        <v>2</v>
      </c>
      <c r="E71" s="35" cm="1">
        <f t="array" ref="E71">_xlfn.SWITCH(Q71,1,1,2,2,3,1)</f>
        <v>2</v>
      </c>
      <c r="F71" s="35" t="s">
        <v>284</v>
      </c>
      <c r="G71" t="s">
        <v>283</v>
      </c>
      <c r="H71" s="35" t="s">
        <v>284</v>
      </c>
      <c r="I71" t="s">
        <v>62</v>
      </c>
      <c r="J71">
        <v>0</v>
      </c>
      <c r="K71" t="s">
        <v>63</v>
      </c>
      <c r="L71">
        <v>0</v>
      </c>
      <c r="M71">
        <v>2</v>
      </c>
      <c r="N71">
        <v>0</v>
      </c>
      <c r="Q71">
        <v>2</v>
      </c>
      <c r="R71">
        <v>2</v>
      </c>
      <c r="S71" s="20">
        <v>0</v>
      </c>
      <c r="T71" s="20">
        <v>0</v>
      </c>
    </row>
    <row r="72" spans="1:20">
      <c r="A72" t="s">
        <v>285</v>
      </c>
      <c r="B72">
        <v>10501</v>
      </c>
      <c r="C72" s="22" t="s">
        <v>286</v>
      </c>
      <c r="D72" s="35" cm="1">
        <f t="array" ref="D72">_xlfn.SWITCH(Q72,1,0,2,2,3,2)</f>
        <v>2</v>
      </c>
      <c r="E72" s="35" cm="1">
        <f t="array" ref="E72">_xlfn.SWITCH(Q72,1,1,2,2,3,1)</f>
        <v>2</v>
      </c>
      <c r="F72" s="35" t="s">
        <v>287</v>
      </c>
      <c r="G72" t="s">
        <v>286</v>
      </c>
      <c r="H72" s="35" t="s">
        <v>287</v>
      </c>
      <c r="I72" t="s">
        <v>62</v>
      </c>
      <c r="J72">
        <v>0</v>
      </c>
      <c r="K72" t="s">
        <v>63</v>
      </c>
      <c r="L72">
        <v>0</v>
      </c>
      <c r="M72">
        <v>2</v>
      </c>
      <c r="N72">
        <v>0</v>
      </c>
      <c r="Q72">
        <v>2</v>
      </c>
      <c r="R72">
        <v>2</v>
      </c>
      <c r="S72" s="20">
        <v>0</v>
      </c>
      <c r="T72" s="20">
        <v>0</v>
      </c>
    </row>
    <row r="73" spans="1:20">
      <c r="A73" t="s">
        <v>288</v>
      </c>
      <c r="B73">
        <v>10502</v>
      </c>
      <c r="C73" s="22" t="s">
        <v>289</v>
      </c>
      <c r="D73" s="35" cm="1">
        <f t="array" ref="D73">_xlfn.SWITCH(Q73,1,0,2,2,3,2)</f>
        <v>2</v>
      </c>
      <c r="E73" s="35" cm="1">
        <f t="array" ref="E73">_xlfn.SWITCH(Q73,1,1,2,2,3,1)</f>
        <v>2</v>
      </c>
      <c r="F73" s="35" t="s">
        <v>290</v>
      </c>
      <c r="G73" t="s">
        <v>291</v>
      </c>
      <c r="H73" s="35" t="s">
        <v>290</v>
      </c>
      <c r="I73" t="s">
        <v>62</v>
      </c>
      <c r="J73">
        <v>0</v>
      </c>
      <c r="K73" t="s">
        <v>63</v>
      </c>
      <c r="L73">
        <v>0</v>
      </c>
      <c r="M73">
        <v>2</v>
      </c>
      <c r="N73">
        <v>0</v>
      </c>
      <c r="Q73">
        <v>2</v>
      </c>
      <c r="R73">
        <v>2</v>
      </c>
      <c r="S73" s="20">
        <v>0</v>
      </c>
      <c r="T73" s="20">
        <v>0</v>
      </c>
    </row>
    <row r="74" spans="1:20">
      <c r="A74" t="s">
        <v>292</v>
      </c>
      <c r="B74">
        <v>10503</v>
      </c>
      <c r="C74" s="22" t="s">
        <v>293</v>
      </c>
      <c r="D74" s="35" cm="1">
        <f t="array" ref="D74">_xlfn.SWITCH(Q74,1,0,2,2,3,2)</f>
        <v>2</v>
      </c>
      <c r="E74" s="35" cm="1">
        <f t="array" ref="E74">_xlfn.SWITCH(Q74,1,1,2,2,3,1)</f>
        <v>2</v>
      </c>
      <c r="F74" s="35" t="s">
        <v>294</v>
      </c>
      <c r="G74" t="s">
        <v>293</v>
      </c>
      <c r="H74" s="35" t="s">
        <v>294</v>
      </c>
      <c r="I74" t="s">
        <v>62</v>
      </c>
      <c r="J74">
        <v>0</v>
      </c>
      <c r="K74" t="s">
        <v>63</v>
      </c>
      <c r="L74">
        <v>0</v>
      </c>
      <c r="M74">
        <v>2</v>
      </c>
      <c r="N74">
        <v>0</v>
      </c>
      <c r="Q74">
        <v>2</v>
      </c>
      <c r="R74">
        <v>2</v>
      </c>
      <c r="S74" s="20">
        <v>0</v>
      </c>
      <c r="T74" s="20">
        <v>0</v>
      </c>
    </row>
    <row r="75" spans="1:20">
      <c r="A75" t="s">
        <v>295</v>
      </c>
      <c r="B75">
        <v>10504</v>
      </c>
      <c r="C75" s="22" t="s">
        <v>296</v>
      </c>
      <c r="D75" s="35" cm="1">
        <f t="array" ref="D75">_xlfn.SWITCH(Q75,1,0,2,2,3,2)</f>
        <v>2</v>
      </c>
      <c r="E75" s="35" cm="1">
        <f t="array" ref="E75">_xlfn.SWITCH(Q75,1,1,2,2,3,1)</f>
        <v>2</v>
      </c>
      <c r="F75" s="35" t="s">
        <v>297</v>
      </c>
      <c r="G75" t="s">
        <v>296</v>
      </c>
      <c r="H75" s="35" t="s">
        <v>297</v>
      </c>
      <c r="I75" t="s">
        <v>62</v>
      </c>
      <c r="J75">
        <v>0</v>
      </c>
      <c r="K75" t="s">
        <v>63</v>
      </c>
      <c r="L75">
        <v>0</v>
      </c>
      <c r="M75">
        <v>2</v>
      </c>
      <c r="N75">
        <v>0</v>
      </c>
      <c r="Q75">
        <v>2</v>
      </c>
      <c r="R75">
        <v>2</v>
      </c>
      <c r="S75" s="20">
        <v>0</v>
      </c>
      <c r="T75" s="20">
        <v>0</v>
      </c>
    </row>
    <row r="76" spans="1:20">
      <c r="A76" t="s">
        <v>298</v>
      </c>
      <c r="B76">
        <v>10600</v>
      </c>
      <c r="C76" s="22" t="s">
        <v>299</v>
      </c>
      <c r="D76" s="35" cm="1">
        <f t="array" ref="D76">_xlfn.SWITCH(Q76,1,0,2,2,3,2)</f>
        <v>2</v>
      </c>
      <c r="E76" s="35" cm="1">
        <f t="array" ref="E76">_xlfn.SWITCH(Q76,1,1,2,2,3,1)</f>
        <v>2</v>
      </c>
      <c r="F76" t="s">
        <v>299</v>
      </c>
      <c r="G76" t="s">
        <v>299</v>
      </c>
      <c r="H76" t="s">
        <v>299</v>
      </c>
      <c r="I76" t="s">
        <v>62</v>
      </c>
      <c r="J76">
        <v>0</v>
      </c>
      <c r="K76" t="s">
        <v>63</v>
      </c>
      <c r="L76">
        <v>0</v>
      </c>
      <c r="M76">
        <v>2</v>
      </c>
      <c r="N76">
        <v>0</v>
      </c>
      <c r="Q76">
        <v>2</v>
      </c>
      <c r="R76">
        <v>2</v>
      </c>
      <c r="S76" s="20">
        <v>0</v>
      </c>
      <c r="T76" s="20">
        <v>0</v>
      </c>
    </row>
    <row r="77" spans="1:20">
      <c r="A77" t="s">
        <v>300</v>
      </c>
      <c r="B77">
        <v>10601</v>
      </c>
      <c r="C77" s="22" t="s">
        <v>301</v>
      </c>
      <c r="D77" s="35" cm="1">
        <f t="array" ref="D77">_xlfn.SWITCH(Q77,1,0,2,2,3,2)</f>
        <v>2</v>
      </c>
      <c r="E77" s="35" cm="1">
        <f t="array" ref="E77">_xlfn.SWITCH(Q77,1,1,2,2,3,1)</f>
        <v>2</v>
      </c>
      <c r="F77" t="s">
        <v>301</v>
      </c>
      <c r="G77" t="s">
        <v>301</v>
      </c>
      <c r="H77" t="s">
        <v>301</v>
      </c>
      <c r="I77" t="s">
        <v>62</v>
      </c>
      <c r="J77">
        <v>0</v>
      </c>
      <c r="K77" t="s">
        <v>63</v>
      </c>
      <c r="L77">
        <v>0</v>
      </c>
      <c r="M77">
        <v>2</v>
      </c>
      <c r="N77">
        <v>0</v>
      </c>
      <c r="Q77">
        <v>2</v>
      </c>
      <c r="R77">
        <v>2</v>
      </c>
      <c r="S77" s="20">
        <v>0</v>
      </c>
      <c r="T77" s="20">
        <v>0</v>
      </c>
    </row>
    <row r="78" spans="1:20">
      <c r="A78" t="s">
        <v>302</v>
      </c>
      <c r="B78">
        <v>10602</v>
      </c>
      <c r="C78" s="22" t="s">
        <v>303</v>
      </c>
      <c r="D78" s="35" cm="1">
        <f t="array" ref="D78">_xlfn.SWITCH(Q78,1,0,2,2,3,2)</f>
        <v>2</v>
      </c>
      <c r="E78" s="35" cm="1">
        <f t="array" ref="E78">_xlfn.SWITCH(Q78,1,1,2,2,3,1)</f>
        <v>2</v>
      </c>
      <c r="F78" t="s">
        <v>303</v>
      </c>
      <c r="G78" t="s">
        <v>303</v>
      </c>
      <c r="H78" t="s">
        <v>303</v>
      </c>
      <c r="I78" t="s">
        <v>62</v>
      </c>
      <c r="J78">
        <v>0</v>
      </c>
      <c r="K78" t="s">
        <v>63</v>
      </c>
      <c r="L78">
        <v>0</v>
      </c>
      <c r="M78">
        <v>2</v>
      </c>
      <c r="N78">
        <v>0</v>
      </c>
      <c r="Q78">
        <v>2</v>
      </c>
      <c r="R78">
        <v>2</v>
      </c>
      <c r="S78" s="20">
        <v>0</v>
      </c>
      <c r="T78" s="20">
        <v>0</v>
      </c>
    </row>
    <row r="79" spans="1:20">
      <c r="A79" t="s">
        <v>304</v>
      </c>
      <c r="B79">
        <v>10603</v>
      </c>
      <c r="C79" s="22" t="s">
        <v>305</v>
      </c>
      <c r="D79" s="35" cm="1">
        <f t="array" ref="D79">_xlfn.SWITCH(Q79,1,0,2,2,3,2)</f>
        <v>2</v>
      </c>
      <c r="E79" s="35" cm="1">
        <f t="array" ref="E79">_xlfn.SWITCH(Q79,1,1,2,2,3,1)</f>
        <v>2</v>
      </c>
      <c r="F79" t="s">
        <v>306</v>
      </c>
      <c r="G79" t="s">
        <v>306</v>
      </c>
      <c r="H79" t="s">
        <v>306</v>
      </c>
      <c r="I79" t="s">
        <v>62</v>
      </c>
      <c r="J79">
        <v>0</v>
      </c>
      <c r="K79" t="s">
        <v>63</v>
      </c>
      <c r="L79">
        <v>0</v>
      </c>
      <c r="M79">
        <v>2</v>
      </c>
      <c r="N79">
        <v>0</v>
      </c>
      <c r="Q79">
        <v>2</v>
      </c>
      <c r="R79">
        <v>2</v>
      </c>
      <c r="S79" s="20">
        <v>0</v>
      </c>
      <c r="T79" s="20">
        <v>0</v>
      </c>
    </row>
    <row r="80" spans="1:20">
      <c r="A80" t="s">
        <v>307</v>
      </c>
      <c r="B80">
        <v>10604</v>
      </c>
      <c r="C80" s="22" t="s">
        <v>308</v>
      </c>
      <c r="D80" s="35" cm="1">
        <f t="array" ref="D80">_xlfn.SWITCH(Q80,1,0,2,2,3,2)</f>
        <v>2</v>
      </c>
      <c r="E80" s="35" cm="1">
        <f t="array" ref="E80">_xlfn.SWITCH(Q80,1,1,2,2,3,1)</f>
        <v>2</v>
      </c>
      <c r="F80" t="s">
        <v>308</v>
      </c>
      <c r="G80" t="s">
        <v>308</v>
      </c>
      <c r="H80" t="s">
        <v>308</v>
      </c>
      <c r="I80" t="s">
        <v>62</v>
      </c>
      <c r="J80">
        <v>0</v>
      </c>
      <c r="K80" t="s">
        <v>63</v>
      </c>
      <c r="L80">
        <v>0</v>
      </c>
      <c r="M80">
        <v>2</v>
      </c>
      <c r="N80">
        <v>0</v>
      </c>
      <c r="Q80">
        <v>2</v>
      </c>
      <c r="R80">
        <v>2</v>
      </c>
      <c r="S80" s="20">
        <v>0</v>
      </c>
      <c r="T80" s="20">
        <v>0</v>
      </c>
    </row>
    <row r="81" spans="1:20">
      <c r="A81" t="s">
        <v>309</v>
      </c>
      <c r="B81">
        <v>10605</v>
      </c>
      <c r="C81" s="22" t="s">
        <v>310</v>
      </c>
      <c r="D81" s="35" cm="1">
        <f t="array" ref="D81">_xlfn.SWITCH(Q81,1,0,2,2,3,2)</f>
        <v>2</v>
      </c>
      <c r="E81" s="35" cm="1">
        <f t="array" ref="E81">_xlfn.SWITCH(Q81,1,1,2,2,3,1)</f>
        <v>2</v>
      </c>
      <c r="F81" t="s">
        <v>310</v>
      </c>
      <c r="G81" t="s">
        <v>310</v>
      </c>
      <c r="H81" t="s">
        <v>310</v>
      </c>
      <c r="I81" t="s">
        <v>62</v>
      </c>
      <c r="J81">
        <v>0</v>
      </c>
      <c r="K81" t="s">
        <v>63</v>
      </c>
      <c r="L81">
        <v>0</v>
      </c>
      <c r="M81">
        <v>2</v>
      </c>
      <c r="N81">
        <v>0</v>
      </c>
      <c r="Q81">
        <v>2</v>
      </c>
      <c r="R81">
        <v>2</v>
      </c>
      <c r="S81" s="20">
        <v>0</v>
      </c>
      <c r="T81" s="20">
        <v>0</v>
      </c>
    </row>
    <row r="82" spans="1:20">
      <c r="A82" t="s">
        <v>311</v>
      </c>
      <c r="B82">
        <v>10606</v>
      </c>
      <c r="C82" t="s">
        <v>312</v>
      </c>
      <c r="D82" s="35" cm="1">
        <f t="array" ref="D82">_xlfn.SWITCH(Q82,1,0,2,2,3,2)</f>
        <v>2</v>
      </c>
      <c r="E82" s="35" cm="1">
        <f t="array" ref="E82">_xlfn.SWITCH(Q82,1,1,2,2,3,1)</f>
        <v>2</v>
      </c>
      <c r="F82" t="s">
        <v>312</v>
      </c>
      <c r="G82" t="s">
        <v>312</v>
      </c>
      <c r="H82" t="s">
        <v>312</v>
      </c>
      <c r="I82" t="s">
        <v>62</v>
      </c>
      <c r="J82">
        <v>0</v>
      </c>
      <c r="K82" t="s">
        <v>63</v>
      </c>
      <c r="L82">
        <v>0</v>
      </c>
      <c r="M82">
        <v>2</v>
      </c>
      <c r="N82">
        <v>0</v>
      </c>
      <c r="Q82">
        <v>2</v>
      </c>
      <c r="R82">
        <v>0</v>
      </c>
      <c r="S82" s="20">
        <v>0</v>
      </c>
      <c r="T82" s="20">
        <v>0</v>
      </c>
    </row>
    <row r="83" spans="1:20">
      <c r="A83" t="s">
        <v>313</v>
      </c>
      <c r="B83">
        <v>10700</v>
      </c>
      <c r="C83" s="22" t="s">
        <v>314</v>
      </c>
      <c r="D83" s="35" cm="1">
        <f t="array" ref="D83">_xlfn.SWITCH(Q83,1,0,2,2,3,2)</f>
        <v>2</v>
      </c>
      <c r="E83" s="35" cm="1">
        <f t="array" ref="E83">_xlfn.SWITCH(Q83,1,1,2,2,3,1)</f>
        <v>2</v>
      </c>
      <c r="F83" s="35" t="s">
        <v>315</v>
      </c>
      <c r="G83" t="s">
        <v>314</v>
      </c>
      <c r="H83" s="35" t="s">
        <v>315</v>
      </c>
      <c r="I83" t="s">
        <v>62</v>
      </c>
      <c r="J83">
        <v>0</v>
      </c>
      <c r="K83" t="s">
        <v>63</v>
      </c>
      <c r="L83">
        <v>0</v>
      </c>
      <c r="M83">
        <v>2</v>
      </c>
      <c r="N83">
        <v>0</v>
      </c>
      <c r="Q83">
        <v>2</v>
      </c>
      <c r="R83">
        <v>1</v>
      </c>
      <c r="S83" s="20">
        <v>100</v>
      </c>
      <c r="T83" s="20">
        <v>0</v>
      </c>
    </row>
    <row r="84" spans="1:20">
      <c r="A84" t="s">
        <v>316</v>
      </c>
      <c r="B84">
        <v>10704</v>
      </c>
      <c r="C84" s="22" t="s">
        <v>317</v>
      </c>
      <c r="D84" s="35" cm="1">
        <f t="array" ref="D84">_xlfn.SWITCH(Q84,1,0,2,2,3,2)</f>
        <v>2</v>
      </c>
      <c r="E84" s="35" cm="1">
        <f t="array" ref="E84">_xlfn.SWITCH(Q84,1,1,2,2,3,1)</f>
        <v>2</v>
      </c>
      <c r="F84" t="s">
        <v>317</v>
      </c>
      <c r="G84" t="s">
        <v>317</v>
      </c>
      <c r="H84" t="s">
        <v>317</v>
      </c>
      <c r="I84" t="s">
        <v>318</v>
      </c>
      <c r="J84">
        <v>0</v>
      </c>
      <c r="K84" t="s">
        <v>63</v>
      </c>
      <c r="L84">
        <v>0</v>
      </c>
      <c r="M84">
        <v>2</v>
      </c>
      <c r="N84">
        <v>0</v>
      </c>
      <c r="Q84">
        <v>2</v>
      </c>
      <c r="R84">
        <v>1</v>
      </c>
      <c r="S84" s="20">
        <v>0</v>
      </c>
      <c r="T84" s="20">
        <v>0</v>
      </c>
    </row>
    <row r="85" spans="1:20">
      <c r="A85" t="s">
        <v>319</v>
      </c>
      <c r="B85">
        <v>10705</v>
      </c>
      <c r="C85" s="46" t="s">
        <v>320</v>
      </c>
      <c r="D85" s="35" cm="1">
        <f t="array" ref="D85">_xlfn.SWITCH(Q85,1,0,2,2,3,2)</f>
        <v>2</v>
      </c>
      <c r="E85" s="35" cm="1">
        <f t="array" ref="E85">_xlfn.SWITCH(Q85,1,1,2,2,3,1)</f>
        <v>2</v>
      </c>
      <c r="F85" t="s">
        <v>320</v>
      </c>
      <c r="G85" t="s">
        <v>320</v>
      </c>
      <c r="H85" t="s">
        <v>320</v>
      </c>
      <c r="I85" t="s">
        <v>62</v>
      </c>
      <c r="J85">
        <v>0</v>
      </c>
      <c r="K85" t="s">
        <v>63</v>
      </c>
      <c r="L85">
        <v>0</v>
      </c>
      <c r="M85">
        <v>2</v>
      </c>
      <c r="N85">
        <v>0</v>
      </c>
      <c r="Q85">
        <v>2</v>
      </c>
      <c r="R85">
        <v>1</v>
      </c>
      <c r="S85" s="20">
        <v>0</v>
      </c>
      <c r="T85" s="20">
        <v>0</v>
      </c>
    </row>
    <row r="86" customFormat="1" spans="1:20">
      <c r="A86" t="s">
        <v>321</v>
      </c>
      <c r="B86">
        <v>10706</v>
      </c>
      <c r="C86" t="s">
        <v>322</v>
      </c>
      <c r="D86" s="35" cm="1">
        <f t="array" ref="D86">_xlfn.SWITCH(Q86,1,0,2,2,3,2)</f>
        <v>2</v>
      </c>
      <c r="E86" s="35" cm="1">
        <f t="array" ref="E86">_xlfn.SWITCH(Q86,1,1,2,2,3,1)</f>
        <v>2</v>
      </c>
      <c r="F86" t="s">
        <v>322</v>
      </c>
      <c r="G86" t="s">
        <v>322</v>
      </c>
      <c r="H86" t="s">
        <v>322</v>
      </c>
      <c r="I86" t="s">
        <v>62</v>
      </c>
      <c r="J86">
        <v>0</v>
      </c>
      <c r="K86" t="s">
        <v>63</v>
      </c>
      <c r="L86">
        <v>0</v>
      </c>
      <c r="M86">
        <v>2</v>
      </c>
      <c r="N86">
        <v>0</v>
      </c>
      <c r="Q86">
        <v>2</v>
      </c>
      <c r="R86">
        <v>1</v>
      </c>
      <c r="S86" s="20">
        <v>0</v>
      </c>
      <c r="T86" s="20">
        <v>0</v>
      </c>
    </row>
    <row r="87" s="34" customFormat="1" spans="1:20">
      <c r="A87" s="34" t="s">
        <v>323</v>
      </c>
      <c r="B87" s="34">
        <v>10800</v>
      </c>
      <c r="C87" s="34" t="s">
        <v>324</v>
      </c>
      <c r="D87" s="47" cm="1">
        <f t="array" ref="D87">_xlfn.SWITCH(Q87,1,0,2,2,3,2)</f>
        <v>2</v>
      </c>
      <c r="E87" s="47" cm="1">
        <f t="array" ref="E87">_xlfn.SWITCH(Q87,1,1,2,2,3,1)</f>
        <v>2</v>
      </c>
      <c r="F87" s="47" t="s">
        <v>325</v>
      </c>
      <c r="G87" s="34" t="s">
        <v>324</v>
      </c>
      <c r="H87" s="47" t="s">
        <v>325</v>
      </c>
      <c r="I87" s="34" t="s">
        <v>62</v>
      </c>
      <c r="J87" s="34">
        <v>0</v>
      </c>
      <c r="K87" s="34" t="s">
        <v>63</v>
      </c>
      <c r="L87" s="34">
        <v>0</v>
      </c>
      <c r="M87" s="34">
        <v>2</v>
      </c>
      <c r="N87" s="34">
        <v>0</v>
      </c>
      <c r="Q87" s="34">
        <v>2</v>
      </c>
      <c r="R87" s="34">
        <v>0</v>
      </c>
      <c r="S87" s="48">
        <v>0</v>
      </c>
      <c r="T87" s="48">
        <v>0</v>
      </c>
    </row>
    <row r="88" s="34" customFormat="1" spans="1:20">
      <c r="A88" s="34" t="s">
        <v>326</v>
      </c>
      <c r="B88" s="34">
        <v>10801</v>
      </c>
      <c r="C88" s="34" t="s">
        <v>327</v>
      </c>
      <c r="D88" s="47" cm="1">
        <f t="array" ref="D88">_xlfn.SWITCH(Q88,1,0,2,2,3,2)</f>
        <v>2</v>
      </c>
      <c r="E88" s="47" cm="1">
        <f t="array" ref="E88">_xlfn.SWITCH(Q88,1,1,2,2,3,1)</f>
        <v>2</v>
      </c>
      <c r="F88" s="47" t="s">
        <v>328</v>
      </c>
      <c r="G88" s="34" t="s">
        <v>327</v>
      </c>
      <c r="H88" s="47" t="s">
        <v>328</v>
      </c>
      <c r="I88" s="34" t="s">
        <v>62</v>
      </c>
      <c r="J88" s="34">
        <v>0</v>
      </c>
      <c r="K88" s="34" t="s">
        <v>63</v>
      </c>
      <c r="L88" s="34">
        <v>0</v>
      </c>
      <c r="M88" s="34">
        <v>2</v>
      </c>
      <c r="N88" s="34">
        <v>0</v>
      </c>
      <c r="Q88" s="34">
        <v>2</v>
      </c>
      <c r="R88" s="34">
        <v>0</v>
      </c>
      <c r="S88" s="48">
        <v>0</v>
      </c>
      <c r="T88" s="48">
        <v>0</v>
      </c>
    </row>
    <row r="89" s="34" customFormat="1" spans="1:20">
      <c r="A89" s="34" t="s">
        <v>329</v>
      </c>
      <c r="B89" s="34">
        <v>10802</v>
      </c>
      <c r="C89" s="34" t="s">
        <v>330</v>
      </c>
      <c r="D89" s="47" cm="1">
        <f t="array" ref="D89">_xlfn.SWITCH(Q89,1,0,2,2,3,2)</f>
        <v>2</v>
      </c>
      <c r="E89" s="47" cm="1">
        <f t="array" ref="E89">_xlfn.SWITCH(Q89,1,1,2,2,3,1)</f>
        <v>2</v>
      </c>
      <c r="F89" s="47" t="s">
        <v>331</v>
      </c>
      <c r="G89" s="34" t="s">
        <v>330</v>
      </c>
      <c r="H89" s="47" t="s">
        <v>331</v>
      </c>
      <c r="I89" s="34" t="s">
        <v>62</v>
      </c>
      <c r="J89" s="34">
        <v>0</v>
      </c>
      <c r="K89" s="34" t="s">
        <v>63</v>
      </c>
      <c r="L89" s="34">
        <v>0</v>
      </c>
      <c r="M89" s="34">
        <v>2</v>
      </c>
      <c r="N89" s="34">
        <v>0</v>
      </c>
      <c r="Q89" s="34">
        <v>2</v>
      </c>
      <c r="R89" s="34">
        <v>0</v>
      </c>
      <c r="S89" s="48">
        <v>0</v>
      </c>
      <c r="T89" s="48">
        <v>0</v>
      </c>
    </row>
    <row r="90" s="34" customFormat="1" spans="1:20">
      <c r="A90" s="34" t="s">
        <v>332</v>
      </c>
      <c r="B90" s="34">
        <v>10803</v>
      </c>
      <c r="C90" s="34" t="s">
        <v>333</v>
      </c>
      <c r="D90" s="47" cm="1">
        <f t="array" ref="D90">_xlfn.SWITCH(Q90,1,0,2,2,3,2)</f>
        <v>2</v>
      </c>
      <c r="E90" s="47" cm="1">
        <f t="array" ref="E90">_xlfn.SWITCH(Q90,1,1,2,2,3,1)</f>
        <v>2</v>
      </c>
      <c r="F90" s="47" t="s">
        <v>334</v>
      </c>
      <c r="G90" s="34" t="s">
        <v>333</v>
      </c>
      <c r="H90" s="47" t="s">
        <v>334</v>
      </c>
      <c r="I90" s="34" t="s">
        <v>62</v>
      </c>
      <c r="J90" s="34">
        <v>0</v>
      </c>
      <c r="K90" s="34" t="s">
        <v>63</v>
      </c>
      <c r="L90" s="34">
        <v>0</v>
      </c>
      <c r="M90" s="34">
        <v>2</v>
      </c>
      <c r="N90" s="34">
        <v>0</v>
      </c>
      <c r="Q90" s="34">
        <v>2</v>
      </c>
      <c r="R90" s="34">
        <v>0</v>
      </c>
      <c r="S90" s="48">
        <v>0</v>
      </c>
      <c r="T90" s="48">
        <v>0</v>
      </c>
    </row>
    <row r="91" s="34" customFormat="1" spans="1:20">
      <c r="A91" s="34" t="s">
        <v>335</v>
      </c>
      <c r="B91" s="34">
        <v>10804</v>
      </c>
      <c r="C91" s="34" t="s">
        <v>336</v>
      </c>
      <c r="D91" s="47" cm="1">
        <f t="array" ref="D91">_xlfn.SWITCH(Q91,1,0,2,2,3,2)</f>
        <v>2</v>
      </c>
      <c r="E91" s="47" cm="1">
        <f t="array" ref="E91">_xlfn.SWITCH(Q91,1,1,2,2,3,1)</f>
        <v>2</v>
      </c>
      <c r="F91" s="47" t="s">
        <v>337</v>
      </c>
      <c r="G91" s="34" t="s">
        <v>336</v>
      </c>
      <c r="H91" s="47" t="s">
        <v>337</v>
      </c>
      <c r="I91" s="34" t="s">
        <v>62</v>
      </c>
      <c r="J91" s="34">
        <v>0</v>
      </c>
      <c r="K91" s="34" t="s">
        <v>63</v>
      </c>
      <c r="L91" s="34">
        <v>0</v>
      </c>
      <c r="M91" s="34">
        <v>2</v>
      </c>
      <c r="N91" s="34">
        <v>0</v>
      </c>
      <c r="Q91" s="34">
        <v>2</v>
      </c>
      <c r="R91" s="34">
        <v>0</v>
      </c>
      <c r="S91" s="48">
        <v>0</v>
      </c>
      <c r="T91" s="48">
        <v>0</v>
      </c>
    </row>
    <row r="92" s="34" customFormat="1" spans="1:20">
      <c r="A92" s="34" t="s">
        <v>338</v>
      </c>
      <c r="B92" s="34">
        <v>10805</v>
      </c>
      <c r="C92" s="34" t="s">
        <v>339</v>
      </c>
      <c r="D92" s="47" cm="1">
        <f t="array" ref="D92">_xlfn.SWITCH(Q92,1,0,2,2,3,2)</f>
        <v>2</v>
      </c>
      <c r="E92" s="47" cm="1">
        <f t="array" ref="E92">_xlfn.SWITCH(Q92,1,1,2,2,3,1)</f>
        <v>2</v>
      </c>
      <c r="F92" s="47" t="s">
        <v>340</v>
      </c>
      <c r="G92" s="34" t="s">
        <v>339</v>
      </c>
      <c r="H92" s="47" t="s">
        <v>340</v>
      </c>
      <c r="I92" s="34" t="s">
        <v>62</v>
      </c>
      <c r="J92" s="34">
        <v>0</v>
      </c>
      <c r="K92" s="34" t="s">
        <v>63</v>
      </c>
      <c r="L92" s="34">
        <v>0</v>
      </c>
      <c r="M92" s="34">
        <v>2</v>
      </c>
      <c r="N92" s="34">
        <v>0</v>
      </c>
      <c r="Q92" s="34">
        <v>2</v>
      </c>
      <c r="R92" s="34">
        <v>0</v>
      </c>
      <c r="S92" s="48">
        <v>0</v>
      </c>
      <c r="T92" s="48">
        <v>0</v>
      </c>
    </row>
    <row r="93" s="34" customFormat="1" spans="1:20">
      <c r="A93" s="34" t="s">
        <v>341</v>
      </c>
      <c r="B93" s="34">
        <v>10806</v>
      </c>
      <c r="C93" s="34" t="s">
        <v>342</v>
      </c>
      <c r="D93" s="47" cm="1">
        <f t="array" ref="D93">_xlfn.SWITCH(Q93,1,0,2,2,3,2)</f>
        <v>2</v>
      </c>
      <c r="E93" s="47" cm="1">
        <f t="array" ref="E93">_xlfn.SWITCH(Q93,1,1,2,2,3,1)</f>
        <v>2</v>
      </c>
      <c r="F93" s="47" t="s">
        <v>343</v>
      </c>
      <c r="G93" s="34" t="s">
        <v>342</v>
      </c>
      <c r="H93" s="47" t="s">
        <v>343</v>
      </c>
      <c r="I93" s="34" t="s">
        <v>62</v>
      </c>
      <c r="J93" s="34">
        <v>0</v>
      </c>
      <c r="K93" s="34" t="s">
        <v>63</v>
      </c>
      <c r="L93" s="34">
        <v>0</v>
      </c>
      <c r="M93" s="34">
        <v>2</v>
      </c>
      <c r="N93" s="34">
        <v>0</v>
      </c>
      <c r="Q93" s="34">
        <v>2</v>
      </c>
      <c r="R93" s="34">
        <v>0</v>
      </c>
      <c r="S93" s="48">
        <v>0</v>
      </c>
      <c r="T93" s="48">
        <v>0</v>
      </c>
    </row>
    <row r="94" s="34" customFormat="1" spans="1:20">
      <c r="A94" s="34" t="s">
        <v>344</v>
      </c>
      <c r="B94" s="34">
        <v>10807</v>
      </c>
      <c r="C94" s="34" t="s">
        <v>345</v>
      </c>
      <c r="D94" s="47" cm="1">
        <f t="array" ref="D94">_xlfn.SWITCH(Q94,1,0,2,2,3,2)</f>
        <v>2</v>
      </c>
      <c r="E94" s="47" cm="1">
        <f t="array" ref="E94">_xlfn.SWITCH(Q94,1,1,2,2,3,1)</f>
        <v>2</v>
      </c>
      <c r="F94" s="47" t="s">
        <v>346</v>
      </c>
      <c r="G94" s="34" t="s">
        <v>345</v>
      </c>
      <c r="H94" s="47" t="s">
        <v>346</v>
      </c>
      <c r="I94" s="34" t="s">
        <v>62</v>
      </c>
      <c r="J94" s="34">
        <v>0</v>
      </c>
      <c r="K94" s="34" t="s">
        <v>63</v>
      </c>
      <c r="L94" s="34">
        <v>0</v>
      </c>
      <c r="M94" s="34">
        <v>2</v>
      </c>
      <c r="N94" s="34">
        <v>0</v>
      </c>
      <c r="Q94" s="34">
        <v>2</v>
      </c>
      <c r="R94" s="34">
        <v>0</v>
      </c>
      <c r="S94" s="48">
        <v>0</v>
      </c>
      <c r="T94" s="48">
        <v>0</v>
      </c>
    </row>
    <row r="95" s="34" customFormat="1" spans="1:20">
      <c r="A95" s="34" t="s">
        <v>347</v>
      </c>
      <c r="B95" s="34">
        <v>10808</v>
      </c>
      <c r="C95" s="34" t="s">
        <v>348</v>
      </c>
      <c r="D95" s="47" cm="1">
        <f t="array" ref="D95">_xlfn.SWITCH(Q95,1,0,2,2,3,2)</f>
        <v>2</v>
      </c>
      <c r="E95" s="47" cm="1">
        <f t="array" ref="E95">_xlfn.SWITCH(Q95,1,1,2,2,3,1)</f>
        <v>2</v>
      </c>
      <c r="F95" s="47" t="s">
        <v>349</v>
      </c>
      <c r="G95" s="34" t="s">
        <v>348</v>
      </c>
      <c r="H95" s="47" t="s">
        <v>349</v>
      </c>
      <c r="I95" s="34" t="s">
        <v>62</v>
      </c>
      <c r="J95" s="34">
        <v>0</v>
      </c>
      <c r="K95" s="34" t="s">
        <v>63</v>
      </c>
      <c r="L95" s="34">
        <v>0</v>
      </c>
      <c r="M95" s="34">
        <v>2</v>
      </c>
      <c r="N95" s="34">
        <v>0</v>
      </c>
      <c r="Q95" s="34">
        <v>2</v>
      </c>
      <c r="R95" s="34">
        <v>0</v>
      </c>
      <c r="S95" s="48">
        <v>0</v>
      </c>
      <c r="T95" s="48">
        <v>0</v>
      </c>
    </row>
    <row r="96" s="34" customFormat="1" spans="1:20">
      <c r="A96" s="34" t="s">
        <v>350</v>
      </c>
      <c r="B96" s="34">
        <v>10809</v>
      </c>
      <c r="C96" s="34" t="s">
        <v>351</v>
      </c>
      <c r="D96" s="47" cm="1">
        <f t="array" ref="D96">_xlfn.SWITCH(Q96,1,0,2,2,3,2)</f>
        <v>2</v>
      </c>
      <c r="E96" s="47" cm="1">
        <f t="array" ref="E96">_xlfn.SWITCH(Q96,1,1,2,2,3,1)</f>
        <v>2</v>
      </c>
      <c r="F96" s="47" t="s">
        <v>352</v>
      </c>
      <c r="G96" s="34" t="s">
        <v>351</v>
      </c>
      <c r="H96" s="47" t="s">
        <v>352</v>
      </c>
      <c r="I96" s="34" t="s">
        <v>62</v>
      </c>
      <c r="J96" s="34">
        <v>0</v>
      </c>
      <c r="K96" s="34" t="s">
        <v>63</v>
      </c>
      <c r="L96" s="34">
        <v>0</v>
      </c>
      <c r="M96" s="34">
        <v>2</v>
      </c>
      <c r="N96" s="34">
        <v>0</v>
      </c>
      <c r="Q96" s="34">
        <v>2</v>
      </c>
      <c r="R96" s="34">
        <v>0</v>
      </c>
      <c r="S96" s="48">
        <v>0</v>
      </c>
      <c r="T96" s="48">
        <v>0</v>
      </c>
    </row>
    <row r="97" s="34" customFormat="1" spans="1:20">
      <c r="A97" s="34" t="s">
        <v>353</v>
      </c>
      <c r="B97" s="34">
        <v>10810</v>
      </c>
      <c r="C97" s="34" t="s">
        <v>354</v>
      </c>
      <c r="D97" s="47" cm="1">
        <f t="array" ref="D97">_xlfn.SWITCH(Q97,1,0,2,2,3,2)</f>
        <v>2</v>
      </c>
      <c r="E97" s="47" cm="1">
        <f t="array" ref="E97">_xlfn.SWITCH(Q97,1,1,2,2,3,1)</f>
        <v>2</v>
      </c>
      <c r="F97" s="47" t="s">
        <v>355</v>
      </c>
      <c r="G97" s="34" t="s">
        <v>354</v>
      </c>
      <c r="H97" s="47" t="s">
        <v>355</v>
      </c>
      <c r="I97" s="34" t="s">
        <v>62</v>
      </c>
      <c r="J97" s="34">
        <v>0</v>
      </c>
      <c r="K97" s="34" t="s">
        <v>63</v>
      </c>
      <c r="L97" s="34">
        <v>0</v>
      </c>
      <c r="M97" s="34">
        <v>2</v>
      </c>
      <c r="N97" s="34">
        <v>0</v>
      </c>
      <c r="Q97" s="34">
        <v>2</v>
      </c>
      <c r="R97" s="34">
        <v>0</v>
      </c>
      <c r="S97" s="48">
        <v>0</v>
      </c>
      <c r="T97" s="48">
        <v>0</v>
      </c>
    </row>
    <row r="98" s="34" customFormat="1" spans="1:20">
      <c r="A98" s="34" t="s">
        <v>356</v>
      </c>
      <c r="B98" s="34">
        <v>10811</v>
      </c>
      <c r="C98" s="34" t="s">
        <v>357</v>
      </c>
      <c r="D98" s="47" cm="1">
        <f t="array" ref="D98">_xlfn.SWITCH(Q98,1,0,2,2,3,2)</f>
        <v>2</v>
      </c>
      <c r="E98" s="47" cm="1">
        <f t="array" ref="E98">_xlfn.SWITCH(Q98,1,1,2,2,3,1)</f>
        <v>2</v>
      </c>
      <c r="F98" s="47" t="s">
        <v>358</v>
      </c>
      <c r="G98" s="34" t="s">
        <v>357</v>
      </c>
      <c r="H98" s="47" t="s">
        <v>358</v>
      </c>
      <c r="I98" s="34" t="s">
        <v>62</v>
      </c>
      <c r="J98" s="34">
        <v>0</v>
      </c>
      <c r="K98" s="34" t="s">
        <v>63</v>
      </c>
      <c r="L98" s="34">
        <v>0</v>
      </c>
      <c r="M98" s="34">
        <v>2</v>
      </c>
      <c r="N98" s="34">
        <v>0</v>
      </c>
      <c r="Q98" s="34">
        <v>2</v>
      </c>
      <c r="R98" s="34">
        <v>0</v>
      </c>
      <c r="S98" s="48">
        <v>0</v>
      </c>
      <c r="T98" s="48">
        <v>0</v>
      </c>
    </row>
    <row r="99" s="34" customFormat="1" spans="1:20">
      <c r="A99" s="34" t="s">
        <v>359</v>
      </c>
      <c r="B99" s="34">
        <v>10812</v>
      </c>
      <c r="C99" s="34" t="s">
        <v>360</v>
      </c>
      <c r="D99" s="47" cm="1">
        <f t="array" ref="D99">_xlfn.SWITCH(Q99,1,0,2,2,3,2)</f>
        <v>2</v>
      </c>
      <c r="E99" s="47" cm="1">
        <f t="array" ref="E99">_xlfn.SWITCH(Q99,1,1,2,2,3,1)</f>
        <v>2</v>
      </c>
      <c r="F99" s="47" t="s">
        <v>361</v>
      </c>
      <c r="G99" s="34" t="s">
        <v>360</v>
      </c>
      <c r="H99" s="47" t="s">
        <v>361</v>
      </c>
      <c r="I99" s="34" t="s">
        <v>62</v>
      </c>
      <c r="J99" s="34">
        <v>0</v>
      </c>
      <c r="K99" s="34" t="s">
        <v>63</v>
      </c>
      <c r="L99" s="34">
        <v>0</v>
      </c>
      <c r="M99" s="34">
        <v>2</v>
      </c>
      <c r="N99" s="34">
        <v>0</v>
      </c>
      <c r="Q99" s="34">
        <v>2</v>
      </c>
      <c r="R99" s="34">
        <v>0</v>
      </c>
      <c r="S99" s="48">
        <v>0</v>
      </c>
      <c r="T99" s="48">
        <v>0</v>
      </c>
    </row>
    <row r="100" s="34" customFormat="1" spans="1:20">
      <c r="A100" s="34" t="s">
        <v>362</v>
      </c>
      <c r="B100" s="34">
        <v>10813</v>
      </c>
      <c r="C100" s="34" t="s">
        <v>363</v>
      </c>
      <c r="D100" s="47" cm="1">
        <f t="array" ref="D100">_xlfn.SWITCH(Q100,1,0,2,2,3,2)</f>
        <v>2</v>
      </c>
      <c r="E100" s="47" cm="1">
        <f t="array" ref="E100">_xlfn.SWITCH(Q100,1,1,2,2,3,1)</f>
        <v>2</v>
      </c>
      <c r="F100" s="47" t="s">
        <v>364</v>
      </c>
      <c r="G100" s="34" t="s">
        <v>363</v>
      </c>
      <c r="H100" s="47" t="s">
        <v>364</v>
      </c>
      <c r="I100" s="34" t="s">
        <v>62</v>
      </c>
      <c r="J100" s="34">
        <v>0</v>
      </c>
      <c r="K100" s="34" t="s">
        <v>63</v>
      </c>
      <c r="L100" s="34">
        <v>0</v>
      </c>
      <c r="M100" s="34">
        <v>2</v>
      </c>
      <c r="N100" s="34">
        <v>0</v>
      </c>
      <c r="Q100" s="34">
        <v>2</v>
      </c>
      <c r="R100" s="34">
        <v>0</v>
      </c>
      <c r="S100" s="48">
        <v>0</v>
      </c>
      <c r="T100" s="48">
        <v>0</v>
      </c>
    </row>
    <row r="101" spans="1:20">
      <c r="A101" t="s">
        <v>365</v>
      </c>
      <c r="B101">
        <v>10900</v>
      </c>
      <c r="C101" t="s">
        <v>366</v>
      </c>
      <c r="D101" s="35" cm="1">
        <f t="array" ref="D101">_xlfn.SWITCH(Q101,1,0,2,2,3,2)</f>
        <v>0</v>
      </c>
      <c r="E101" s="35" cm="1">
        <f t="array" ref="E101">_xlfn.SWITCH(Q101,1,1,2,2,3,1)</f>
        <v>1</v>
      </c>
      <c r="F101" t="s">
        <v>366</v>
      </c>
      <c r="G101" t="s">
        <v>366</v>
      </c>
      <c r="H101" t="s">
        <v>366</v>
      </c>
      <c r="I101" t="s">
        <v>62</v>
      </c>
      <c r="J101">
        <v>0</v>
      </c>
      <c r="K101" t="s">
        <v>63</v>
      </c>
      <c r="L101">
        <v>0</v>
      </c>
      <c r="M101">
        <v>1</v>
      </c>
      <c r="N101">
        <v>0</v>
      </c>
      <c r="Q101">
        <v>1</v>
      </c>
      <c r="R101">
        <v>1</v>
      </c>
      <c r="S101" s="20">
        <v>0</v>
      </c>
      <c r="T101" s="20">
        <v>0</v>
      </c>
    </row>
    <row r="102" customFormat="1" spans="1:20">
      <c r="A102" t="s">
        <v>367</v>
      </c>
      <c r="B102">
        <v>11001</v>
      </c>
      <c r="C102" t="s">
        <v>368</v>
      </c>
      <c r="D102" s="35" cm="1">
        <f t="array" ref="D102">_xlfn.SWITCH(Q102,1,0,2,2,3,2)</f>
        <v>2</v>
      </c>
      <c r="E102" s="35" cm="1">
        <f t="array" ref="E102">_xlfn.SWITCH(Q102,1,1,2,2,3,1)</f>
        <v>2</v>
      </c>
      <c r="F102" t="s">
        <v>368</v>
      </c>
      <c r="G102" t="s">
        <v>368</v>
      </c>
      <c r="H102" t="s">
        <v>368</v>
      </c>
      <c r="I102" t="s">
        <v>62</v>
      </c>
      <c r="J102">
        <v>0</v>
      </c>
      <c r="K102" t="s">
        <v>63</v>
      </c>
      <c r="L102">
        <v>0</v>
      </c>
      <c r="M102">
        <v>2</v>
      </c>
      <c r="N102">
        <v>0</v>
      </c>
      <c r="Q102">
        <v>2</v>
      </c>
      <c r="R102">
        <v>3</v>
      </c>
      <c r="S102" s="20">
        <v>0</v>
      </c>
      <c r="T102" s="20">
        <v>0</v>
      </c>
    </row>
    <row r="103" customFormat="1" spans="1:20">
      <c r="A103" t="s">
        <v>369</v>
      </c>
      <c r="B103">
        <v>11002</v>
      </c>
      <c r="C103" t="s">
        <v>370</v>
      </c>
      <c r="D103" s="35" cm="1">
        <f t="array" ref="D103">_xlfn.SWITCH(Q103,1,0,2,2,3,2)</f>
        <v>2</v>
      </c>
      <c r="E103" s="35" cm="1">
        <f t="array" ref="E103">_xlfn.SWITCH(Q103,1,1,2,2,3,1)</f>
        <v>2</v>
      </c>
      <c r="F103" t="s">
        <v>370</v>
      </c>
      <c r="G103" t="s">
        <v>370</v>
      </c>
      <c r="H103" t="s">
        <v>370</v>
      </c>
      <c r="I103" t="s">
        <v>62</v>
      </c>
      <c r="J103">
        <v>0</v>
      </c>
      <c r="K103" t="s">
        <v>63</v>
      </c>
      <c r="L103">
        <v>0</v>
      </c>
      <c r="M103">
        <v>2</v>
      </c>
      <c r="N103">
        <v>0</v>
      </c>
      <c r="Q103">
        <v>2</v>
      </c>
      <c r="R103">
        <v>3</v>
      </c>
      <c r="S103" s="20">
        <v>0</v>
      </c>
      <c r="T103" s="20">
        <v>0</v>
      </c>
    </row>
    <row r="104" customFormat="1" spans="1:20">
      <c r="A104" t="s">
        <v>371</v>
      </c>
      <c r="B104">
        <v>11003</v>
      </c>
      <c r="C104" t="s">
        <v>372</v>
      </c>
      <c r="D104" s="35" cm="1">
        <f t="array" ref="D104">_xlfn.SWITCH(Q104,1,0,2,2,3,2)</f>
        <v>2</v>
      </c>
      <c r="E104" s="35" cm="1">
        <f t="array" ref="E104">_xlfn.SWITCH(Q104,1,1,2,2,3,1)</f>
        <v>2</v>
      </c>
      <c r="F104" t="s">
        <v>372</v>
      </c>
      <c r="G104" t="s">
        <v>372</v>
      </c>
      <c r="H104" t="s">
        <v>372</v>
      </c>
      <c r="I104" t="s">
        <v>62</v>
      </c>
      <c r="J104">
        <v>0</v>
      </c>
      <c r="K104" t="s">
        <v>63</v>
      </c>
      <c r="L104">
        <v>0</v>
      </c>
      <c r="M104">
        <v>2</v>
      </c>
      <c r="N104">
        <v>0</v>
      </c>
      <c r="Q104">
        <v>2</v>
      </c>
      <c r="R104">
        <v>3</v>
      </c>
      <c r="S104" s="20">
        <v>0</v>
      </c>
      <c r="T104" s="20">
        <v>0</v>
      </c>
    </row>
    <row r="105" customFormat="1" spans="1:20">
      <c r="A105" t="s">
        <v>373</v>
      </c>
      <c r="B105">
        <v>11004</v>
      </c>
      <c r="C105" t="s">
        <v>374</v>
      </c>
      <c r="D105" s="35" cm="1">
        <f t="array" ref="D105">_xlfn.SWITCH(Q105,1,0,2,2,3,2)</f>
        <v>2</v>
      </c>
      <c r="E105" s="35" cm="1">
        <f t="array" ref="E105">_xlfn.SWITCH(Q105,1,1,2,2,3,1)</f>
        <v>2</v>
      </c>
      <c r="F105" t="s">
        <v>374</v>
      </c>
      <c r="G105" t="s">
        <v>374</v>
      </c>
      <c r="H105" t="s">
        <v>374</v>
      </c>
      <c r="I105" t="s">
        <v>62</v>
      </c>
      <c r="J105">
        <v>0</v>
      </c>
      <c r="K105" t="s">
        <v>63</v>
      </c>
      <c r="L105">
        <v>0</v>
      </c>
      <c r="M105">
        <v>2</v>
      </c>
      <c r="N105">
        <v>0</v>
      </c>
      <c r="Q105">
        <v>2</v>
      </c>
      <c r="R105">
        <v>3</v>
      </c>
      <c r="S105" s="20">
        <v>0</v>
      </c>
      <c r="T105" s="20">
        <v>0</v>
      </c>
    </row>
    <row r="106" customFormat="1" spans="1:20">
      <c r="A106" t="s">
        <v>375</v>
      </c>
      <c r="B106">
        <v>11005</v>
      </c>
      <c r="C106" t="s">
        <v>376</v>
      </c>
      <c r="D106" s="35" cm="1">
        <f t="array" ref="D106">_xlfn.SWITCH(Q106,1,0,2,2,3,2)</f>
        <v>2</v>
      </c>
      <c r="E106" s="35" cm="1">
        <f t="array" ref="E106">_xlfn.SWITCH(Q106,1,1,2,2,3,1)</f>
        <v>2</v>
      </c>
      <c r="F106" t="s">
        <v>376</v>
      </c>
      <c r="G106" t="s">
        <v>376</v>
      </c>
      <c r="H106" t="s">
        <v>376</v>
      </c>
      <c r="I106" t="s">
        <v>62</v>
      </c>
      <c r="J106">
        <v>0</v>
      </c>
      <c r="K106" t="s">
        <v>63</v>
      </c>
      <c r="L106">
        <v>0</v>
      </c>
      <c r="M106">
        <v>2</v>
      </c>
      <c r="N106">
        <v>0</v>
      </c>
      <c r="Q106">
        <v>2</v>
      </c>
      <c r="R106">
        <v>3</v>
      </c>
      <c r="S106" s="20">
        <v>0</v>
      </c>
      <c r="T106" s="20">
        <v>0</v>
      </c>
    </row>
    <row r="107" customFormat="1" spans="1:20">
      <c r="A107" t="s">
        <v>377</v>
      </c>
      <c r="B107">
        <v>11006</v>
      </c>
      <c r="C107" s="22" t="s">
        <v>378</v>
      </c>
      <c r="D107" s="35" cm="1">
        <f t="array" ref="D107">_xlfn.SWITCH(Q107,1,0,2,2,3,2)</f>
        <v>2</v>
      </c>
      <c r="E107" s="35" cm="1">
        <f t="array" ref="E107">_xlfn.SWITCH(Q107,1,1,2,2,3,1)</f>
        <v>2</v>
      </c>
      <c r="F107" t="s">
        <v>378</v>
      </c>
      <c r="G107" t="s">
        <v>378</v>
      </c>
      <c r="H107" t="s">
        <v>378</v>
      </c>
      <c r="I107" t="s">
        <v>62</v>
      </c>
      <c r="J107">
        <v>0</v>
      </c>
      <c r="K107" t="s">
        <v>63</v>
      </c>
      <c r="L107">
        <v>0</v>
      </c>
      <c r="M107">
        <v>2</v>
      </c>
      <c r="N107">
        <v>0</v>
      </c>
      <c r="Q107">
        <v>2</v>
      </c>
      <c r="R107">
        <v>2</v>
      </c>
      <c r="S107" s="20">
        <v>0</v>
      </c>
      <c r="T107" s="20">
        <v>0</v>
      </c>
    </row>
    <row r="108" customFormat="1" spans="1:20">
      <c r="A108" t="s">
        <v>379</v>
      </c>
      <c r="B108">
        <v>11007</v>
      </c>
      <c r="C108" s="22" t="s">
        <v>380</v>
      </c>
      <c r="D108" s="35" cm="1">
        <f t="array" ref="D108">_xlfn.SWITCH(Q108,1,0,2,2,3,2)</f>
        <v>2</v>
      </c>
      <c r="E108" s="35" cm="1">
        <f t="array" ref="E108">_xlfn.SWITCH(Q108,1,1,2,2,3,1)</f>
        <v>2</v>
      </c>
      <c r="F108" t="s">
        <v>380</v>
      </c>
      <c r="G108" t="s">
        <v>380</v>
      </c>
      <c r="H108" t="s">
        <v>380</v>
      </c>
      <c r="I108" t="s">
        <v>62</v>
      </c>
      <c r="J108">
        <v>0</v>
      </c>
      <c r="K108" t="s">
        <v>63</v>
      </c>
      <c r="L108">
        <v>0</v>
      </c>
      <c r="M108">
        <v>2</v>
      </c>
      <c r="N108">
        <v>0</v>
      </c>
      <c r="Q108">
        <v>2</v>
      </c>
      <c r="R108">
        <v>2</v>
      </c>
      <c r="S108" s="20">
        <v>1</v>
      </c>
      <c r="T108" s="20">
        <v>0</v>
      </c>
    </row>
    <row r="109" customFormat="1" spans="1:20">
      <c r="A109" t="s">
        <v>381</v>
      </c>
      <c r="B109">
        <v>11008</v>
      </c>
      <c r="C109" s="22" t="s">
        <v>382</v>
      </c>
      <c r="D109" s="35" cm="1">
        <f t="array" ref="D109">_xlfn.SWITCH(Q109,1,0,2,2,3,2)</f>
        <v>2</v>
      </c>
      <c r="E109" s="35" cm="1">
        <f t="array" ref="E109">_xlfn.SWITCH(Q109,1,1,2,2,3,1)</f>
        <v>2</v>
      </c>
      <c r="F109" t="s">
        <v>382</v>
      </c>
      <c r="G109" t="s">
        <v>382</v>
      </c>
      <c r="H109" t="s">
        <v>382</v>
      </c>
      <c r="I109" t="s">
        <v>62</v>
      </c>
      <c r="J109">
        <v>0</v>
      </c>
      <c r="K109" t="s">
        <v>63</v>
      </c>
      <c r="L109">
        <v>0</v>
      </c>
      <c r="M109">
        <v>2</v>
      </c>
      <c r="N109">
        <v>0</v>
      </c>
      <c r="Q109">
        <v>2</v>
      </c>
      <c r="R109">
        <v>2</v>
      </c>
      <c r="S109" s="20">
        <v>1</v>
      </c>
      <c r="T109" s="20">
        <v>0</v>
      </c>
    </row>
    <row r="110" customFormat="1" spans="1:20">
      <c r="A110" t="s">
        <v>383</v>
      </c>
      <c r="B110">
        <v>11009</v>
      </c>
      <c r="C110" s="22" t="s">
        <v>384</v>
      </c>
      <c r="D110" s="35" cm="1">
        <f t="array" ref="D110">_xlfn.SWITCH(Q110,1,0,2,2,3,2)</f>
        <v>2</v>
      </c>
      <c r="E110" s="35" cm="1">
        <f t="array" ref="E110">_xlfn.SWITCH(Q110,1,1,2,2,3,1)</f>
        <v>2</v>
      </c>
      <c r="F110" t="s">
        <v>384</v>
      </c>
      <c r="G110" t="s">
        <v>384</v>
      </c>
      <c r="H110" t="s">
        <v>384</v>
      </c>
      <c r="I110" t="s">
        <v>62</v>
      </c>
      <c r="J110">
        <v>0</v>
      </c>
      <c r="K110" t="s">
        <v>63</v>
      </c>
      <c r="L110">
        <v>0</v>
      </c>
      <c r="M110">
        <v>2</v>
      </c>
      <c r="N110">
        <v>0</v>
      </c>
      <c r="Q110">
        <v>2</v>
      </c>
      <c r="R110">
        <v>2</v>
      </c>
      <c r="S110" s="20">
        <v>0</v>
      </c>
      <c r="T110" s="20">
        <v>0</v>
      </c>
    </row>
    <row r="111" customFormat="1" spans="1:20">
      <c r="A111" t="s">
        <v>385</v>
      </c>
      <c r="B111">
        <v>11010</v>
      </c>
      <c r="C111" s="22" t="s">
        <v>386</v>
      </c>
      <c r="D111" s="35" cm="1">
        <f t="array" ref="D111">_xlfn.SWITCH(Q111,1,0,2,2,3,2)</f>
        <v>2</v>
      </c>
      <c r="E111" s="35" cm="1">
        <f t="array" ref="E111">_xlfn.SWITCH(Q111,1,1,2,2,3,1)</f>
        <v>2</v>
      </c>
      <c r="F111" t="s">
        <v>386</v>
      </c>
      <c r="G111" t="s">
        <v>386</v>
      </c>
      <c r="H111" t="s">
        <v>386</v>
      </c>
      <c r="I111" t="s">
        <v>62</v>
      </c>
      <c r="J111">
        <v>0</v>
      </c>
      <c r="K111" t="s">
        <v>63</v>
      </c>
      <c r="L111">
        <v>0</v>
      </c>
      <c r="M111">
        <v>2</v>
      </c>
      <c r="N111">
        <v>0</v>
      </c>
      <c r="Q111">
        <v>2</v>
      </c>
      <c r="R111">
        <v>2</v>
      </c>
      <c r="S111" s="20">
        <v>1</v>
      </c>
      <c r="T111" s="20">
        <v>0</v>
      </c>
    </row>
    <row r="112" customFormat="1" spans="1:20">
      <c r="A112" t="s">
        <v>387</v>
      </c>
      <c r="B112">
        <v>11011</v>
      </c>
      <c r="C112" s="22" t="s">
        <v>388</v>
      </c>
      <c r="D112" s="35" cm="1">
        <f t="array" ref="D112">_xlfn.SWITCH(Q112,1,0,2,2,3,2)</f>
        <v>2</v>
      </c>
      <c r="E112" s="35" cm="1">
        <f t="array" ref="E112">_xlfn.SWITCH(Q112,1,1,2,2,3,1)</f>
        <v>2</v>
      </c>
      <c r="F112" t="s">
        <v>388</v>
      </c>
      <c r="G112" t="s">
        <v>388</v>
      </c>
      <c r="H112" t="s">
        <v>388</v>
      </c>
      <c r="I112" t="s">
        <v>62</v>
      </c>
      <c r="J112">
        <v>0</v>
      </c>
      <c r="K112" t="s">
        <v>63</v>
      </c>
      <c r="L112">
        <v>0</v>
      </c>
      <c r="M112">
        <v>2</v>
      </c>
      <c r="N112">
        <v>0</v>
      </c>
      <c r="Q112">
        <v>2</v>
      </c>
      <c r="R112">
        <v>2</v>
      </c>
      <c r="S112" s="20">
        <v>0</v>
      </c>
      <c r="T112" s="20">
        <v>0</v>
      </c>
    </row>
    <row r="113" customFormat="1" spans="1:22">
      <c r="A113" t="s">
        <v>389</v>
      </c>
      <c r="B113">
        <v>11012</v>
      </c>
      <c r="C113" s="22" t="s">
        <v>390</v>
      </c>
      <c r="D113" s="35" cm="1">
        <f t="array" ref="D113">_xlfn.SWITCH(Q113,1,0,2,2,3,2)</f>
        <v>2</v>
      </c>
      <c r="E113" s="35" cm="1">
        <f t="array" ref="E113">_xlfn.SWITCH(Q113,1,1,2,2,3,1)</f>
        <v>2</v>
      </c>
      <c r="F113" t="s">
        <v>390</v>
      </c>
      <c r="G113" t="s">
        <v>390</v>
      </c>
      <c r="H113" t="s">
        <v>390</v>
      </c>
      <c r="I113" t="s">
        <v>62</v>
      </c>
      <c r="J113">
        <v>0</v>
      </c>
      <c r="K113" t="s">
        <v>63</v>
      </c>
      <c r="L113">
        <v>0</v>
      </c>
      <c r="M113">
        <v>2</v>
      </c>
      <c r="N113">
        <v>0</v>
      </c>
      <c r="Q113">
        <v>2</v>
      </c>
      <c r="R113">
        <v>3</v>
      </c>
      <c r="S113" s="20">
        <v>0</v>
      </c>
      <c r="T113" s="20">
        <v>0</v>
      </c>
    </row>
    <row r="114" customFormat="1" spans="1:22">
      <c r="A114" t="s">
        <v>391</v>
      </c>
      <c r="B114">
        <v>11013</v>
      </c>
      <c r="C114" s="22" t="s">
        <v>392</v>
      </c>
      <c r="D114" s="35" cm="1">
        <f t="array" ref="D114">_xlfn.SWITCH(Q114,1,0,2,2,3,2)</f>
        <v>2</v>
      </c>
      <c r="E114" s="35" cm="1">
        <f t="array" ref="E114">_xlfn.SWITCH(Q114,1,1,2,2,3,1)</f>
        <v>2</v>
      </c>
      <c r="F114" t="s">
        <v>392</v>
      </c>
      <c r="G114" t="s">
        <v>392</v>
      </c>
      <c r="H114" t="s">
        <v>392</v>
      </c>
      <c r="I114" t="s">
        <v>62</v>
      </c>
      <c r="J114">
        <v>0</v>
      </c>
      <c r="K114" t="s">
        <v>63</v>
      </c>
      <c r="L114">
        <v>0</v>
      </c>
      <c r="M114">
        <v>2</v>
      </c>
      <c r="N114">
        <v>0</v>
      </c>
      <c r="Q114">
        <v>2</v>
      </c>
      <c r="R114">
        <v>3</v>
      </c>
      <c r="S114" s="20">
        <v>0</v>
      </c>
      <c r="T114" s="20">
        <v>0</v>
      </c>
    </row>
    <row r="115" customFormat="1" spans="1:22">
      <c r="A115" t="s">
        <v>393</v>
      </c>
      <c r="B115">
        <v>11014</v>
      </c>
      <c r="C115" s="22" t="s">
        <v>394</v>
      </c>
      <c r="D115" s="35" cm="1">
        <f t="array" ref="D115">_xlfn.SWITCH(Q115,1,0,2,2,3,2)</f>
        <v>2</v>
      </c>
      <c r="E115" s="35" cm="1">
        <f t="array" ref="E115">_xlfn.SWITCH(Q115,1,1,2,2,3,1)</f>
        <v>2</v>
      </c>
      <c r="F115" t="s">
        <v>394</v>
      </c>
      <c r="G115" t="s">
        <v>394</v>
      </c>
      <c r="H115" t="s">
        <v>394</v>
      </c>
      <c r="I115" t="s">
        <v>62</v>
      </c>
      <c r="J115">
        <v>0</v>
      </c>
      <c r="K115" t="s">
        <v>63</v>
      </c>
      <c r="L115">
        <v>0</v>
      </c>
      <c r="M115">
        <v>2</v>
      </c>
      <c r="N115">
        <v>0</v>
      </c>
      <c r="Q115">
        <v>2</v>
      </c>
      <c r="R115">
        <v>3</v>
      </c>
      <c r="S115" s="20">
        <v>0</v>
      </c>
      <c r="T115" s="20">
        <v>0</v>
      </c>
    </row>
    <row r="116" customFormat="1" spans="1:22">
      <c r="A116" t="s">
        <v>395</v>
      </c>
      <c r="B116">
        <v>11015</v>
      </c>
      <c r="C116" s="22" t="s">
        <v>396</v>
      </c>
      <c r="D116" s="35" cm="1">
        <f t="array" ref="D116">_xlfn.SWITCH(Q116,1,0,2,2,3,2)</f>
        <v>2</v>
      </c>
      <c r="E116" s="35" cm="1">
        <f t="array" ref="E116">_xlfn.SWITCH(Q116,1,1,2,2,3,1)</f>
        <v>2</v>
      </c>
      <c r="F116" t="s">
        <v>396</v>
      </c>
      <c r="G116" t="s">
        <v>396</v>
      </c>
      <c r="H116" t="s">
        <v>396</v>
      </c>
      <c r="I116" t="s">
        <v>62</v>
      </c>
      <c r="J116">
        <v>0</v>
      </c>
      <c r="K116" t="s">
        <v>63</v>
      </c>
      <c r="L116">
        <v>0</v>
      </c>
      <c r="M116">
        <v>2</v>
      </c>
      <c r="N116">
        <v>0</v>
      </c>
      <c r="Q116">
        <v>2</v>
      </c>
      <c r="R116">
        <v>3</v>
      </c>
      <c r="S116" s="20">
        <v>0</v>
      </c>
      <c r="T116" s="20">
        <v>0</v>
      </c>
    </row>
    <row r="117" customFormat="1" spans="1:22">
      <c r="A117" t="s">
        <v>397</v>
      </c>
      <c r="B117">
        <v>11016</v>
      </c>
      <c r="C117" s="22" t="s">
        <v>398</v>
      </c>
      <c r="D117" s="35" cm="1">
        <f t="array" ref="D117">_xlfn.SWITCH(Q117,1,0,2,2,3,2)</f>
        <v>2</v>
      </c>
      <c r="E117" s="35" cm="1">
        <f t="array" ref="E117">_xlfn.SWITCH(Q117,1,1,2,2,3,1)</f>
        <v>2</v>
      </c>
      <c r="F117" t="s">
        <v>398</v>
      </c>
      <c r="G117" t="s">
        <v>398</v>
      </c>
      <c r="H117" t="s">
        <v>398</v>
      </c>
      <c r="I117" t="s">
        <v>62</v>
      </c>
      <c r="J117">
        <v>0</v>
      </c>
      <c r="K117" t="s">
        <v>63</v>
      </c>
      <c r="L117">
        <v>0</v>
      </c>
      <c r="M117">
        <v>2</v>
      </c>
      <c r="N117">
        <v>0</v>
      </c>
      <c r="Q117">
        <v>2</v>
      </c>
      <c r="R117">
        <v>3</v>
      </c>
      <c r="S117" s="20">
        <v>0</v>
      </c>
      <c r="T117" s="20">
        <v>0</v>
      </c>
    </row>
    <row r="118" customFormat="1" spans="1:22">
      <c r="A118" t="s">
        <v>399</v>
      </c>
      <c r="B118">
        <v>11017</v>
      </c>
      <c r="C118" s="49" t="s">
        <v>400</v>
      </c>
      <c r="D118" s="35" cm="1">
        <f t="array" ref="D118">_xlfn.SWITCH(Q118,1,0,2,2,3,2)</f>
        <v>2</v>
      </c>
      <c r="E118" s="35" cm="1">
        <f t="array" ref="E118">_xlfn.SWITCH(Q118,1,1,2,2,3,1)</f>
        <v>2</v>
      </c>
      <c r="F118" t="s">
        <v>400</v>
      </c>
      <c r="G118" t="s">
        <v>400</v>
      </c>
      <c r="H118" t="s">
        <v>400</v>
      </c>
      <c r="I118" t="s">
        <v>62</v>
      </c>
      <c r="J118">
        <v>0</v>
      </c>
      <c r="K118" t="s">
        <v>63</v>
      </c>
      <c r="L118">
        <v>0</v>
      </c>
      <c r="M118">
        <v>2</v>
      </c>
      <c r="N118">
        <v>0</v>
      </c>
      <c r="Q118">
        <v>2</v>
      </c>
      <c r="R118">
        <v>1</v>
      </c>
      <c r="S118" s="20">
        <v>0</v>
      </c>
      <c r="T118" s="20">
        <v>0</v>
      </c>
    </row>
    <row r="119" customFormat="1" spans="1:22">
      <c r="A119" t="s">
        <v>401</v>
      </c>
      <c r="B119">
        <v>11018</v>
      </c>
      <c r="C119" s="49" t="s">
        <v>402</v>
      </c>
      <c r="D119" s="35" cm="1">
        <f t="array" ref="D119">_xlfn.SWITCH(Q119,1,0,2,2,3,2)</f>
        <v>2</v>
      </c>
      <c r="E119" s="35" cm="1">
        <f t="array" ref="E119">_xlfn.SWITCH(Q119,1,1,2,2,3,1)</f>
        <v>2</v>
      </c>
      <c r="F119" t="s">
        <v>402</v>
      </c>
      <c r="G119" t="s">
        <v>402</v>
      </c>
      <c r="H119" t="s">
        <v>402</v>
      </c>
      <c r="I119" t="s">
        <v>62</v>
      </c>
      <c r="J119">
        <v>0</v>
      </c>
      <c r="K119" t="s">
        <v>63</v>
      </c>
      <c r="L119">
        <v>0</v>
      </c>
      <c r="M119">
        <v>2</v>
      </c>
      <c r="N119">
        <v>0</v>
      </c>
      <c r="Q119">
        <v>2</v>
      </c>
      <c r="R119">
        <v>1</v>
      </c>
      <c r="S119" s="20">
        <v>0</v>
      </c>
      <c r="T119" s="20">
        <v>0</v>
      </c>
    </row>
    <row r="120" customFormat="1" spans="1:22">
      <c r="A120" t="s">
        <v>403</v>
      </c>
      <c r="B120">
        <v>11019</v>
      </c>
      <c r="C120" s="22" t="s">
        <v>404</v>
      </c>
      <c r="D120" s="35" cm="1">
        <f t="array" ref="D120">_xlfn.SWITCH(Q120,1,0,2,2,3,2)</f>
        <v>0</v>
      </c>
      <c r="E120" s="35" cm="1">
        <f t="array" ref="E120">_xlfn.SWITCH(Q120,1,1,2,2,3,1)</f>
        <v>1</v>
      </c>
      <c r="F120" t="s">
        <v>405</v>
      </c>
      <c r="G120" t="s">
        <v>404</v>
      </c>
      <c r="H120" t="s">
        <v>404</v>
      </c>
      <c r="I120" t="s">
        <v>62</v>
      </c>
      <c r="J120">
        <v>0</v>
      </c>
      <c r="K120" t="s">
        <v>63</v>
      </c>
      <c r="L120">
        <v>0</v>
      </c>
      <c r="M120">
        <v>2</v>
      </c>
      <c r="N120">
        <v>0</v>
      </c>
      <c r="Q120">
        <v>1</v>
      </c>
      <c r="R120">
        <v>1</v>
      </c>
      <c r="S120" s="20">
        <v>0</v>
      </c>
      <c r="T120" s="20">
        <v>0</v>
      </c>
    </row>
    <row r="121" customFormat="1" spans="1:22">
      <c r="A121" t="s">
        <v>406</v>
      </c>
      <c r="B121">
        <v>11020</v>
      </c>
      <c r="C121" s="22" t="s">
        <v>407</v>
      </c>
      <c r="D121" s="35" cm="1">
        <f t="array" ref="D121">_xlfn.SWITCH(Q121,1,0,2,2,3,2)</f>
        <v>2</v>
      </c>
      <c r="E121" s="35" cm="1">
        <f t="array" ref="E121">_xlfn.SWITCH(Q121,1,1,2,2,3,1)</f>
        <v>2</v>
      </c>
      <c r="F121" t="s">
        <v>407</v>
      </c>
      <c r="G121" t="s">
        <v>407</v>
      </c>
      <c r="H121" t="s">
        <v>407</v>
      </c>
      <c r="I121" t="s">
        <v>62</v>
      </c>
      <c r="J121">
        <v>0</v>
      </c>
      <c r="K121" t="s">
        <v>63</v>
      </c>
      <c r="L121">
        <v>0</v>
      </c>
      <c r="M121">
        <v>2</v>
      </c>
      <c r="N121">
        <v>0</v>
      </c>
      <c r="Q121">
        <v>2</v>
      </c>
      <c r="R121">
        <v>1</v>
      </c>
      <c r="S121" s="20">
        <v>0</v>
      </c>
      <c r="T121" s="20">
        <v>0</v>
      </c>
      <c r="U121">
        <v>0</v>
      </c>
      <c r="V121">
        <v>1</v>
      </c>
    </row>
    <row r="122" customFormat="1" spans="1:22">
      <c r="A122" t="s">
        <v>408</v>
      </c>
      <c r="B122">
        <v>11021</v>
      </c>
      <c r="C122" s="22" t="s">
        <v>409</v>
      </c>
      <c r="D122" s="35" cm="1">
        <f t="array" ref="D122">_xlfn.SWITCH(Q122,1,0,2,2,3,2)</f>
        <v>2</v>
      </c>
      <c r="E122" s="35" cm="1">
        <f t="array" ref="E122">_xlfn.SWITCH(Q122,1,1,2,2,3,1)</f>
        <v>2</v>
      </c>
      <c r="F122" t="s">
        <v>409</v>
      </c>
      <c r="G122" t="s">
        <v>409</v>
      </c>
      <c r="H122" t="s">
        <v>409</v>
      </c>
      <c r="I122" t="s">
        <v>62</v>
      </c>
      <c r="J122">
        <v>0</v>
      </c>
      <c r="K122" t="s">
        <v>63</v>
      </c>
      <c r="L122">
        <v>0</v>
      </c>
      <c r="M122">
        <v>2</v>
      </c>
      <c r="N122">
        <v>0</v>
      </c>
      <c r="Q122">
        <v>2</v>
      </c>
      <c r="R122">
        <v>1</v>
      </c>
      <c r="S122" s="20">
        <v>0</v>
      </c>
      <c r="T122" s="20">
        <v>0</v>
      </c>
      <c r="U122">
        <v>0</v>
      </c>
      <c r="V122">
        <v>1</v>
      </c>
    </row>
    <row r="123" customFormat="1" spans="1:22">
      <c r="A123" t="s">
        <v>410</v>
      </c>
      <c r="B123">
        <v>11022</v>
      </c>
      <c r="C123" s="22" t="s">
        <v>411</v>
      </c>
      <c r="D123" s="35" cm="1">
        <f t="array" ref="D123">_xlfn.SWITCH(Q123,1,0,2,2,3,2)</f>
        <v>2</v>
      </c>
      <c r="E123" s="35" cm="1">
        <f t="array" ref="E123">_xlfn.SWITCH(Q123,1,1,2,2,3,1)</f>
        <v>2</v>
      </c>
      <c r="F123" t="s">
        <v>411</v>
      </c>
      <c r="G123" t="s">
        <v>411</v>
      </c>
      <c r="H123" t="s">
        <v>411</v>
      </c>
      <c r="I123" t="s">
        <v>62</v>
      </c>
      <c r="J123">
        <v>0</v>
      </c>
      <c r="K123" t="s">
        <v>63</v>
      </c>
      <c r="L123">
        <v>0</v>
      </c>
      <c r="M123">
        <v>2</v>
      </c>
      <c r="N123">
        <v>0</v>
      </c>
      <c r="Q123">
        <v>2</v>
      </c>
      <c r="R123">
        <v>1</v>
      </c>
      <c r="S123" s="20">
        <v>0</v>
      </c>
      <c r="T123" s="20">
        <v>0</v>
      </c>
      <c r="U123">
        <v>0</v>
      </c>
      <c r="V123">
        <v>1</v>
      </c>
    </row>
    <row r="124" customFormat="1" spans="1:22">
      <c r="A124" t="s">
        <v>412</v>
      </c>
      <c r="B124">
        <v>11023</v>
      </c>
      <c r="C124" s="22" t="s">
        <v>413</v>
      </c>
      <c r="D124" s="35" cm="1">
        <f t="array" ref="D124">_xlfn.SWITCH(Q124,1,0,2,2,3,2)</f>
        <v>2</v>
      </c>
      <c r="E124" s="35" cm="1">
        <f t="array" ref="E124">_xlfn.SWITCH(Q124,1,1,2,2,3,1)</f>
        <v>2</v>
      </c>
      <c r="F124" t="s">
        <v>413</v>
      </c>
      <c r="G124" t="s">
        <v>413</v>
      </c>
      <c r="H124" t="s">
        <v>413</v>
      </c>
      <c r="I124" t="s">
        <v>62</v>
      </c>
      <c r="J124">
        <v>0</v>
      </c>
      <c r="K124" t="s">
        <v>63</v>
      </c>
      <c r="L124">
        <v>0</v>
      </c>
      <c r="M124">
        <v>2</v>
      </c>
      <c r="N124">
        <v>0</v>
      </c>
      <c r="Q124">
        <v>2</v>
      </c>
      <c r="R124">
        <v>0</v>
      </c>
      <c r="S124" s="20">
        <v>0</v>
      </c>
      <c r="T124" s="20">
        <v>0</v>
      </c>
      <c r="U124">
        <v>0</v>
      </c>
      <c r="V124">
        <v>1</v>
      </c>
    </row>
    <row r="125" customFormat="1" spans="1:22">
      <c r="A125" t="s">
        <v>414</v>
      </c>
      <c r="B125">
        <v>11024</v>
      </c>
      <c r="C125" s="22" t="s">
        <v>415</v>
      </c>
      <c r="D125" s="35" cm="1">
        <f t="array" ref="D125">_xlfn.SWITCH(Q125,1,0,2,2,3,2)</f>
        <v>2</v>
      </c>
      <c r="E125" s="35" cm="1">
        <f t="array" ref="E125">_xlfn.SWITCH(Q125,1,1,2,2,3,1)</f>
        <v>2</v>
      </c>
      <c r="F125" t="s">
        <v>415</v>
      </c>
      <c r="G125" t="s">
        <v>415</v>
      </c>
      <c r="H125" t="s">
        <v>415</v>
      </c>
      <c r="I125" t="s">
        <v>62</v>
      </c>
      <c r="J125">
        <v>0</v>
      </c>
      <c r="K125" t="s">
        <v>63</v>
      </c>
      <c r="L125">
        <v>0</v>
      </c>
      <c r="M125">
        <v>2</v>
      </c>
      <c r="N125">
        <v>0</v>
      </c>
      <c r="Q125">
        <v>2</v>
      </c>
      <c r="R125">
        <v>0</v>
      </c>
      <c r="S125" s="20">
        <v>0</v>
      </c>
      <c r="T125" s="20">
        <v>0</v>
      </c>
      <c r="U125">
        <v>0</v>
      </c>
      <c r="V125">
        <v>1</v>
      </c>
    </row>
    <row r="126" customFormat="1" spans="1:22">
      <c r="A126" t="s">
        <v>416</v>
      </c>
      <c r="B126">
        <v>11025</v>
      </c>
      <c r="C126" s="22" t="s">
        <v>417</v>
      </c>
      <c r="D126" s="35" cm="1">
        <f t="array" ref="D126">_xlfn.SWITCH(Q126,1,0,2,2,3,2)</f>
        <v>2</v>
      </c>
      <c r="E126" s="35" cm="1">
        <f t="array" ref="E126">_xlfn.SWITCH(Q126,1,1,2,2,3,1)</f>
        <v>2</v>
      </c>
      <c r="F126" t="s">
        <v>417</v>
      </c>
      <c r="G126" t="s">
        <v>417</v>
      </c>
      <c r="H126" t="s">
        <v>417</v>
      </c>
      <c r="I126" t="s">
        <v>62</v>
      </c>
      <c r="J126">
        <v>0</v>
      </c>
      <c r="K126" t="s">
        <v>63</v>
      </c>
      <c r="L126">
        <v>0</v>
      </c>
      <c r="M126">
        <v>2</v>
      </c>
      <c r="N126">
        <v>0</v>
      </c>
      <c r="Q126">
        <v>2</v>
      </c>
      <c r="R126">
        <v>0</v>
      </c>
      <c r="S126" s="20">
        <v>0</v>
      </c>
      <c r="T126" s="20">
        <v>0</v>
      </c>
      <c r="U126">
        <v>0</v>
      </c>
      <c r="V126">
        <v>1</v>
      </c>
    </row>
    <row r="127" customFormat="1" ht="37" customHeight="1" spans="1:22">
      <c r="A127" t="s">
        <v>418</v>
      </c>
      <c r="B127">
        <v>11026</v>
      </c>
      <c r="C127" s="22" t="s">
        <v>419</v>
      </c>
      <c r="D127" s="35" cm="1">
        <f t="array" ref="D127">_xlfn.SWITCH(Q127,1,0,2,2,3,2)</f>
        <v>2</v>
      </c>
      <c r="E127" s="35" cm="1">
        <f t="array" ref="E127">_xlfn.SWITCH(Q127,1,1,2,2,3,1)</f>
        <v>2</v>
      </c>
      <c r="F127" t="s">
        <v>419</v>
      </c>
      <c r="G127" t="s">
        <v>419</v>
      </c>
      <c r="H127" t="s">
        <v>419</v>
      </c>
      <c r="I127" t="s">
        <v>62</v>
      </c>
      <c r="J127">
        <v>0</v>
      </c>
      <c r="K127" t="s">
        <v>63</v>
      </c>
      <c r="L127">
        <v>0</v>
      </c>
      <c r="M127">
        <v>2</v>
      </c>
      <c r="N127">
        <v>0</v>
      </c>
      <c r="Q127">
        <v>2</v>
      </c>
      <c r="R127">
        <v>0</v>
      </c>
      <c r="S127" s="20">
        <v>0</v>
      </c>
      <c r="T127" s="20">
        <v>0</v>
      </c>
      <c r="U127">
        <v>0</v>
      </c>
      <c r="V127">
        <v>1</v>
      </c>
    </row>
    <row r="128" customFormat="1" spans="1:22">
      <c r="A128" t="s">
        <v>420</v>
      </c>
      <c r="B128">
        <v>11027</v>
      </c>
      <c r="C128" s="22" t="s">
        <v>421</v>
      </c>
      <c r="D128" s="35" cm="1">
        <f t="array" ref="D128">_xlfn.SWITCH(Q128,1,0,2,2,3,2)</f>
        <v>2</v>
      </c>
      <c r="E128" s="35" cm="1">
        <f t="array" ref="E128">_xlfn.SWITCH(Q128,1,1,2,2,3,1)</f>
        <v>2</v>
      </c>
      <c r="F128" t="s">
        <v>421</v>
      </c>
      <c r="G128" t="s">
        <v>421</v>
      </c>
      <c r="H128" t="s">
        <v>421</v>
      </c>
      <c r="I128" t="s">
        <v>62</v>
      </c>
      <c r="J128">
        <v>0</v>
      </c>
      <c r="K128" t="s">
        <v>63</v>
      </c>
      <c r="L128">
        <v>0</v>
      </c>
      <c r="M128">
        <v>2</v>
      </c>
      <c r="N128">
        <v>0</v>
      </c>
      <c r="Q128">
        <v>2</v>
      </c>
      <c r="R128">
        <v>0</v>
      </c>
      <c r="S128" s="20">
        <v>0</v>
      </c>
      <c r="T128" s="20">
        <v>0</v>
      </c>
      <c r="U128">
        <v>0</v>
      </c>
      <c r="V128">
        <v>1</v>
      </c>
    </row>
    <row r="129" customFormat="1" ht="13" customHeight="1" spans="1:22">
      <c r="A129" t="s">
        <v>422</v>
      </c>
      <c r="B129">
        <v>11028</v>
      </c>
      <c r="C129" s="22" t="s">
        <v>423</v>
      </c>
      <c r="D129" s="35" cm="1">
        <f t="array" ref="D129">_xlfn.SWITCH(Q129,1,0,2,2,3,2)</f>
        <v>2</v>
      </c>
      <c r="E129" s="35" cm="1">
        <f t="array" ref="E129">_xlfn.SWITCH(Q129,1,1,2,2,3,1)</f>
        <v>2</v>
      </c>
      <c r="F129" t="s">
        <v>423</v>
      </c>
      <c r="G129" t="s">
        <v>423</v>
      </c>
      <c r="H129" t="s">
        <v>423</v>
      </c>
      <c r="I129" t="s">
        <v>62</v>
      </c>
      <c r="J129">
        <v>0</v>
      </c>
      <c r="K129" t="s">
        <v>63</v>
      </c>
      <c r="L129">
        <v>0</v>
      </c>
      <c r="M129">
        <v>2</v>
      </c>
      <c r="N129">
        <v>0</v>
      </c>
      <c r="Q129">
        <v>2</v>
      </c>
      <c r="R129">
        <v>0</v>
      </c>
      <c r="S129" s="20">
        <v>0</v>
      </c>
      <c r="T129" s="20">
        <v>0</v>
      </c>
      <c r="U129">
        <v>0</v>
      </c>
      <c r="V129">
        <v>1</v>
      </c>
    </row>
    <row r="130" customFormat="1" ht="13" customHeight="1" spans="1:22">
      <c r="A130" t="s">
        <v>424</v>
      </c>
      <c r="B130">
        <v>11029</v>
      </c>
      <c r="C130" s="22" t="s">
        <v>425</v>
      </c>
      <c r="D130" s="35" cm="1">
        <f t="array" ref="D130">_xlfn.SWITCH(Q130,1,0,2,2,3,2)</f>
        <v>2</v>
      </c>
      <c r="E130" s="35" cm="1">
        <f t="array" ref="E130">_xlfn.SWITCH(Q130,1,1,2,2,3,1)</f>
        <v>2</v>
      </c>
      <c r="F130" t="s">
        <v>425</v>
      </c>
      <c r="G130" t="s">
        <v>425</v>
      </c>
      <c r="H130" t="s">
        <v>425</v>
      </c>
      <c r="I130" t="s">
        <v>62</v>
      </c>
      <c r="J130">
        <v>0</v>
      </c>
      <c r="K130" t="s">
        <v>63</v>
      </c>
      <c r="L130">
        <v>0</v>
      </c>
      <c r="M130">
        <v>2</v>
      </c>
      <c r="N130">
        <v>0</v>
      </c>
      <c r="Q130">
        <v>2</v>
      </c>
      <c r="R130">
        <v>0</v>
      </c>
      <c r="S130" s="20">
        <v>0</v>
      </c>
      <c r="T130" s="20">
        <v>0</v>
      </c>
      <c r="U130">
        <v>0</v>
      </c>
      <c r="V130">
        <v>1</v>
      </c>
    </row>
    <row r="131" customFormat="1" ht="13" customHeight="1" spans="1:22">
      <c r="A131" t="s">
        <v>426</v>
      </c>
      <c r="B131">
        <v>11030</v>
      </c>
      <c r="C131" s="22" t="s">
        <v>427</v>
      </c>
      <c r="D131" s="35" cm="1">
        <f t="array" ref="D131">_xlfn.SWITCH(Q131,1,0,2,2,3,2)</f>
        <v>2</v>
      </c>
      <c r="E131" s="35" cm="1">
        <f t="array" ref="E131">_xlfn.SWITCH(Q131,1,1,2,2,3,1)</f>
        <v>2</v>
      </c>
      <c r="F131" t="s">
        <v>427</v>
      </c>
      <c r="G131" t="s">
        <v>427</v>
      </c>
      <c r="H131" t="s">
        <v>427</v>
      </c>
      <c r="I131" t="s">
        <v>62</v>
      </c>
      <c r="J131">
        <v>0</v>
      </c>
      <c r="K131" t="s">
        <v>63</v>
      </c>
      <c r="L131">
        <v>0</v>
      </c>
      <c r="M131">
        <v>2</v>
      </c>
      <c r="N131">
        <v>0</v>
      </c>
      <c r="Q131">
        <v>2</v>
      </c>
      <c r="R131">
        <v>0</v>
      </c>
      <c r="S131" s="20">
        <v>0</v>
      </c>
      <c r="T131" s="20">
        <v>0</v>
      </c>
      <c r="U131">
        <v>0</v>
      </c>
      <c r="V131">
        <v>1</v>
      </c>
    </row>
    <row r="132" customFormat="1" ht="27" customHeight="1" spans="1:22">
      <c r="A132" t="s">
        <v>428</v>
      </c>
      <c r="B132">
        <v>11031</v>
      </c>
      <c r="C132" s="22" t="s">
        <v>429</v>
      </c>
      <c r="D132" s="35" cm="1">
        <f t="array" ref="D132">_xlfn.SWITCH(Q132,1,0,2,2,3,2)</f>
        <v>2</v>
      </c>
      <c r="E132" s="35" cm="1">
        <f t="array" ref="E132">_xlfn.SWITCH(Q132,1,1,2,2,3,1)</f>
        <v>2</v>
      </c>
      <c r="F132" t="s">
        <v>429</v>
      </c>
      <c r="G132" t="s">
        <v>429</v>
      </c>
      <c r="H132" t="s">
        <v>429</v>
      </c>
      <c r="I132" t="s">
        <v>62</v>
      </c>
      <c r="J132">
        <v>0</v>
      </c>
      <c r="K132" t="s">
        <v>63</v>
      </c>
      <c r="L132">
        <v>0</v>
      </c>
      <c r="M132">
        <v>2</v>
      </c>
      <c r="N132">
        <v>0</v>
      </c>
      <c r="Q132">
        <v>2</v>
      </c>
      <c r="R132">
        <v>0</v>
      </c>
      <c r="S132" s="20">
        <v>0</v>
      </c>
      <c r="T132" s="20">
        <v>0</v>
      </c>
      <c r="U132">
        <v>0</v>
      </c>
      <c r="V132">
        <v>1</v>
      </c>
    </row>
    <row r="133" customFormat="1" ht="21" customHeight="1" spans="1:22">
      <c r="A133" t="s">
        <v>430</v>
      </c>
      <c r="B133">
        <v>11032</v>
      </c>
      <c r="C133" s="22" t="s">
        <v>431</v>
      </c>
      <c r="D133" s="35" cm="1">
        <f t="array" ref="D133">_xlfn.SWITCH(Q133,1,0,2,2,3,2)</f>
        <v>2</v>
      </c>
      <c r="E133" s="35" cm="1">
        <f t="array" ref="E133">_xlfn.SWITCH(Q133,1,1,2,2,3,1)</f>
        <v>2</v>
      </c>
      <c r="F133" t="s">
        <v>432</v>
      </c>
      <c r="G133" s="22" t="s">
        <v>431</v>
      </c>
      <c r="H133" s="22" t="s">
        <v>431</v>
      </c>
      <c r="I133" t="s">
        <v>62</v>
      </c>
      <c r="J133">
        <v>0</v>
      </c>
      <c r="K133" t="s">
        <v>63</v>
      </c>
      <c r="L133">
        <v>0</v>
      </c>
      <c r="M133">
        <v>2</v>
      </c>
      <c r="N133">
        <v>0</v>
      </c>
      <c r="Q133">
        <v>2</v>
      </c>
      <c r="R133">
        <v>2</v>
      </c>
      <c r="S133" s="20">
        <v>1</v>
      </c>
      <c r="T133" s="20">
        <v>0</v>
      </c>
    </row>
    <row r="134" customFormat="1" ht="21" customHeight="1" spans="1:22">
      <c r="A134" t="s">
        <v>433</v>
      </c>
      <c r="B134">
        <v>11033</v>
      </c>
      <c r="C134" s="22" t="s">
        <v>434</v>
      </c>
      <c r="D134" s="35" cm="1">
        <f t="array" ref="D134">_xlfn.SWITCH(Q134,1,0,2,2,3,2)</f>
        <v>2</v>
      </c>
      <c r="E134" s="35" cm="1">
        <f t="array" ref="E134">_xlfn.SWITCH(Q134,1,1,2,2,3,1)</f>
        <v>2</v>
      </c>
      <c r="F134" t="s">
        <v>435</v>
      </c>
      <c r="G134" s="22" t="s">
        <v>434</v>
      </c>
      <c r="H134" s="22" t="s">
        <v>434</v>
      </c>
      <c r="I134" t="s">
        <v>62</v>
      </c>
      <c r="J134">
        <v>0</v>
      </c>
      <c r="K134" t="s">
        <v>63</v>
      </c>
      <c r="L134">
        <v>0</v>
      </c>
      <c r="M134">
        <v>2</v>
      </c>
      <c r="N134">
        <v>0</v>
      </c>
      <c r="Q134">
        <v>2</v>
      </c>
      <c r="R134">
        <v>2</v>
      </c>
      <c r="S134" s="20">
        <v>1</v>
      </c>
      <c r="T134" s="20">
        <v>0</v>
      </c>
    </row>
    <row r="135" customFormat="1" ht="21" customHeight="1" spans="1:22">
      <c r="A135" t="s">
        <v>436</v>
      </c>
      <c r="B135">
        <v>11034</v>
      </c>
      <c r="C135" s="22" t="s">
        <v>437</v>
      </c>
      <c r="D135" s="35" cm="1">
        <f t="array" ref="D135">_xlfn.SWITCH(Q135,1,0,2,2,3,2)</f>
        <v>2</v>
      </c>
      <c r="E135" s="35" cm="1">
        <f t="array" ref="E135">_xlfn.SWITCH(Q135,1,1,2,2,3,1)</f>
        <v>2</v>
      </c>
      <c r="F135" t="s">
        <v>438</v>
      </c>
      <c r="G135" s="22" t="s">
        <v>437</v>
      </c>
      <c r="H135" s="22" t="s">
        <v>437</v>
      </c>
      <c r="I135" t="s">
        <v>62</v>
      </c>
      <c r="J135">
        <v>0</v>
      </c>
      <c r="K135" t="s">
        <v>63</v>
      </c>
      <c r="L135">
        <v>0</v>
      </c>
      <c r="M135">
        <v>2</v>
      </c>
      <c r="N135">
        <v>0</v>
      </c>
      <c r="Q135">
        <v>2</v>
      </c>
      <c r="R135">
        <v>2</v>
      </c>
      <c r="S135" s="20">
        <v>1</v>
      </c>
      <c r="T135" s="20">
        <v>0</v>
      </c>
    </row>
    <row r="136" customFormat="1" ht="21" customHeight="1" spans="1:22">
      <c r="A136" t="s">
        <v>439</v>
      </c>
      <c r="B136">
        <v>11035</v>
      </c>
      <c r="C136" s="22" t="s">
        <v>440</v>
      </c>
      <c r="D136" s="35" cm="1">
        <f t="array" ref="D136">_xlfn.SWITCH(Q136,1,0,2,2,3,2)</f>
        <v>2</v>
      </c>
      <c r="E136" s="35" cm="1">
        <f t="array" ref="E136">_xlfn.SWITCH(Q136,1,1,2,2,3,1)</f>
        <v>2</v>
      </c>
      <c r="F136" t="s">
        <v>441</v>
      </c>
      <c r="G136" s="22" t="s">
        <v>440</v>
      </c>
      <c r="H136" s="22" t="s">
        <v>440</v>
      </c>
      <c r="I136" t="s">
        <v>62</v>
      </c>
      <c r="J136">
        <v>0</v>
      </c>
      <c r="K136" t="s">
        <v>63</v>
      </c>
      <c r="L136">
        <v>0</v>
      </c>
      <c r="M136">
        <v>2</v>
      </c>
      <c r="N136">
        <v>0</v>
      </c>
      <c r="Q136">
        <v>2</v>
      </c>
      <c r="R136">
        <v>2</v>
      </c>
      <c r="S136" s="20">
        <v>1</v>
      </c>
      <c r="T136" s="20">
        <v>0</v>
      </c>
    </row>
    <row r="137" customFormat="1" ht="21" customHeight="1" spans="1:22">
      <c r="A137" t="s">
        <v>442</v>
      </c>
      <c r="B137">
        <v>11036</v>
      </c>
      <c r="C137" s="22" t="s">
        <v>443</v>
      </c>
      <c r="D137" s="35" cm="1">
        <f t="array" ref="D137">_xlfn.SWITCH(Q137,1,0,2,2,3,2)</f>
        <v>2</v>
      </c>
      <c r="E137" s="35" cm="1">
        <f t="array" ref="E137">_xlfn.SWITCH(Q137,1,1,2,2,3,1)</f>
        <v>2</v>
      </c>
      <c r="F137" t="s">
        <v>444</v>
      </c>
      <c r="G137" s="22" t="s">
        <v>443</v>
      </c>
      <c r="H137" s="22" t="s">
        <v>443</v>
      </c>
      <c r="I137" t="s">
        <v>62</v>
      </c>
      <c r="J137">
        <v>0</v>
      </c>
      <c r="K137" t="s">
        <v>63</v>
      </c>
      <c r="L137">
        <v>0</v>
      </c>
      <c r="M137">
        <v>2</v>
      </c>
      <c r="N137">
        <v>0</v>
      </c>
      <c r="Q137">
        <v>2</v>
      </c>
      <c r="R137">
        <v>2</v>
      </c>
      <c r="S137" s="20">
        <v>1</v>
      </c>
      <c r="T137" s="20">
        <v>0</v>
      </c>
    </row>
    <row r="138" ht="13" customHeight="1" spans="1:22">
      <c r="A138" t="s">
        <v>445</v>
      </c>
      <c r="B138">
        <v>11037</v>
      </c>
      <c r="C138" t="s">
        <v>446</v>
      </c>
      <c r="D138" s="35" cm="1">
        <f t="array" ref="D138">_xlfn.SWITCH(Q138,1,0,2,2,3,2)</f>
        <v>2</v>
      </c>
      <c r="E138" s="35" cm="1">
        <f t="array" ref="E138">_xlfn.SWITCH(Q138,1,1,2,2,3,1)</f>
        <v>2</v>
      </c>
      <c r="F138" t="s">
        <v>446</v>
      </c>
      <c r="G138" t="s">
        <v>446</v>
      </c>
      <c r="H138" t="s">
        <v>446</v>
      </c>
      <c r="I138" t="s">
        <v>62</v>
      </c>
      <c r="J138">
        <v>0</v>
      </c>
      <c r="K138" t="s">
        <v>63</v>
      </c>
      <c r="L138">
        <v>0</v>
      </c>
      <c r="M138">
        <v>2</v>
      </c>
      <c r="N138">
        <v>0</v>
      </c>
      <c r="Q138">
        <v>2</v>
      </c>
      <c r="R138">
        <v>1</v>
      </c>
      <c r="S138" s="20">
        <v>1</v>
      </c>
      <c r="T138" s="20">
        <v>0</v>
      </c>
    </row>
    <row r="139" spans="1:22">
      <c r="A139" t="s">
        <v>447</v>
      </c>
      <c r="B139">
        <v>11038</v>
      </c>
      <c r="C139" t="s">
        <v>448</v>
      </c>
      <c r="D139" s="35" cm="1">
        <f t="array" ref="D139">_xlfn.SWITCH(Q139,1,0,2,2,3,2)</f>
        <v>2</v>
      </c>
      <c r="E139" s="35" cm="1">
        <f t="array" ref="E139">_xlfn.SWITCH(Q139,1,1,2,2,3,1)</f>
        <v>2</v>
      </c>
      <c r="F139" t="s">
        <v>449</v>
      </c>
      <c r="G139" t="s">
        <v>448</v>
      </c>
      <c r="H139" t="s">
        <v>448</v>
      </c>
      <c r="I139" t="s">
        <v>62</v>
      </c>
      <c r="J139">
        <v>0</v>
      </c>
      <c r="K139" t="s">
        <v>63</v>
      </c>
      <c r="L139">
        <v>0</v>
      </c>
      <c r="M139">
        <v>2</v>
      </c>
      <c r="N139">
        <v>0</v>
      </c>
      <c r="Q139">
        <v>2</v>
      </c>
      <c r="R139">
        <v>2</v>
      </c>
      <c r="S139" s="20">
        <v>0</v>
      </c>
      <c r="T139" s="20">
        <v>0</v>
      </c>
      <c r="U139">
        <v>0</v>
      </c>
      <c r="V139">
        <v>1</v>
      </c>
    </row>
    <row r="140" spans="1:22">
      <c r="A140" t="s">
        <v>450</v>
      </c>
      <c r="B140">
        <v>11039</v>
      </c>
      <c r="C140" t="s">
        <v>451</v>
      </c>
      <c r="D140" s="35" cm="1">
        <f t="array" ref="D140">_xlfn.SWITCH(Q140,1,0,2,2,3,2)</f>
        <v>2</v>
      </c>
      <c r="E140" s="35" cm="1">
        <f t="array" ref="E140">_xlfn.SWITCH(Q140,1,1,2,2,3,1)</f>
        <v>2</v>
      </c>
      <c r="F140" t="s">
        <v>452</v>
      </c>
      <c r="G140" t="s">
        <v>451</v>
      </c>
      <c r="H140" t="s">
        <v>451</v>
      </c>
      <c r="I140" t="s">
        <v>62</v>
      </c>
      <c r="J140">
        <v>0</v>
      </c>
      <c r="K140" t="s">
        <v>63</v>
      </c>
      <c r="L140">
        <v>0</v>
      </c>
      <c r="M140">
        <v>2</v>
      </c>
      <c r="N140">
        <v>0</v>
      </c>
      <c r="Q140">
        <v>2</v>
      </c>
      <c r="R140">
        <v>2</v>
      </c>
      <c r="S140" s="20">
        <v>1</v>
      </c>
      <c r="T140" s="20">
        <v>0</v>
      </c>
      <c r="U140">
        <v>0</v>
      </c>
    </row>
    <row r="141" spans="1:22">
      <c r="A141" t="s">
        <v>453</v>
      </c>
      <c r="B141">
        <v>11040</v>
      </c>
      <c r="C141" t="s">
        <v>454</v>
      </c>
      <c r="D141" s="35" cm="1">
        <f t="array" ref="D141">_xlfn.SWITCH(Q141,1,0,2,2,3,2)</f>
        <v>2</v>
      </c>
      <c r="E141" s="35" cm="1">
        <f t="array" ref="E141">_xlfn.SWITCH(Q141,1,1,2,2,3,1)</f>
        <v>2</v>
      </c>
      <c r="F141" t="s">
        <v>454</v>
      </c>
      <c r="G141" t="s">
        <v>454</v>
      </c>
      <c r="H141" t="s">
        <v>454</v>
      </c>
      <c r="I141" t="s">
        <v>62</v>
      </c>
      <c r="J141">
        <v>0</v>
      </c>
      <c r="K141" t="s">
        <v>63</v>
      </c>
      <c r="L141">
        <v>0</v>
      </c>
      <c r="M141">
        <v>2</v>
      </c>
      <c r="N141">
        <v>0</v>
      </c>
      <c r="Q141">
        <v>2</v>
      </c>
      <c r="R141">
        <v>2</v>
      </c>
      <c r="S141" s="20">
        <v>1</v>
      </c>
      <c r="T141" s="20">
        <v>0</v>
      </c>
      <c r="U141">
        <v>0</v>
      </c>
    </row>
    <row r="142" spans="1:22">
      <c r="A142" t="s">
        <v>455</v>
      </c>
      <c r="B142">
        <v>11041</v>
      </c>
      <c r="C142" t="s">
        <v>456</v>
      </c>
      <c r="D142" s="35" cm="1">
        <f t="array" ref="D142">_xlfn.SWITCH(Q142,1,0,2,2,3,2)</f>
        <v>2</v>
      </c>
      <c r="E142" s="35" cm="1">
        <f t="array" ref="E142">_xlfn.SWITCH(Q142,1,1,2,2,3,1)</f>
        <v>2</v>
      </c>
      <c r="F142" s="35" t="s">
        <v>456</v>
      </c>
      <c r="G142" s="35" t="s">
        <v>456</v>
      </c>
      <c r="H142" s="35" t="s">
        <v>456</v>
      </c>
      <c r="I142" t="s">
        <v>62</v>
      </c>
      <c r="J142">
        <v>0</v>
      </c>
      <c r="K142" t="s">
        <v>63</v>
      </c>
      <c r="L142">
        <v>0</v>
      </c>
      <c r="M142">
        <v>2</v>
      </c>
      <c r="N142">
        <v>0</v>
      </c>
      <c r="Q142">
        <v>2</v>
      </c>
      <c r="R142">
        <v>1</v>
      </c>
      <c r="S142" s="20">
        <v>0</v>
      </c>
      <c r="T142" s="20">
        <v>0</v>
      </c>
      <c r="U142">
        <v>0</v>
      </c>
    </row>
    <row r="143" spans="1:22">
      <c r="A143" t="s">
        <v>457</v>
      </c>
      <c r="B143">
        <v>11042</v>
      </c>
      <c r="C143" t="s">
        <v>458</v>
      </c>
      <c r="D143" s="35" cm="1">
        <f t="array" ref="D143">_xlfn.SWITCH(Q143,1,0,2,2,3,2)</f>
        <v>2</v>
      </c>
      <c r="E143" s="35" cm="1">
        <f t="array" ref="E143">_xlfn.SWITCH(Q143,1,1,2,2,3,1)</f>
        <v>2</v>
      </c>
      <c r="F143" s="35" t="s">
        <v>458</v>
      </c>
      <c r="G143" s="35" t="s">
        <v>458</v>
      </c>
      <c r="H143" s="35" t="s">
        <v>458</v>
      </c>
      <c r="I143" t="s">
        <v>62</v>
      </c>
      <c r="J143">
        <v>0</v>
      </c>
      <c r="K143" t="s">
        <v>63</v>
      </c>
      <c r="L143">
        <v>0</v>
      </c>
      <c r="M143">
        <v>2</v>
      </c>
      <c r="N143">
        <v>0</v>
      </c>
      <c r="Q143">
        <v>2</v>
      </c>
      <c r="R143">
        <v>3</v>
      </c>
      <c r="S143" s="20">
        <v>0</v>
      </c>
      <c r="T143" s="20">
        <v>0</v>
      </c>
      <c r="U143">
        <v>0</v>
      </c>
      <c r="V143">
        <v>1</v>
      </c>
    </row>
    <row r="144" customFormat="1" spans="1:22">
      <c r="A144" t="s">
        <v>459</v>
      </c>
      <c r="B144">
        <v>11046</v>
      </c>
      <c r="C144" s="50" t="s">
        <v>460</v>
      </c>
      <c r="D144" s="35" cm="1">
        <f t="array" ref="D144">_xlfn.SWITCH(Q144,1,0,2,2,3,2)</f>
        <v>0</v>
      </c>
      <c r="E144" s="35" cm="1">
        <f t="array" ref="E144">_xlfn.SWITCH(Q144,1,1,2,2,3,1)</f>
        <v>1</v>
      </c>
      <c r="F144" t="s">
        <v>461</v>
      </c>
      <c r="G144" t="s">
        <v>460</v>
      </c>
      <c r="H144" t="s">
        <v>460</v>
      </c>
      <c r="I144" t="s">
        <v>62</v>
      </c>
      <c r="J144">
        <v>0</v>
      </c>
      <c r="K144" t="s">
        <v>63</v>
      </c>
      <c r="L144">
        <v>0</v>
      </c>
      <c r="M144">
        <v>2</v>
      </c>
      <c r="N144">
        <v>0</v>
      </c>
      <c r="Q144">
        <v>1</v>
      </c>
      <c r="R144">
        <v>1</v>
      </c>
      <c r="S144" s="20">
        <v>0</v>
      </c>
      <c r="T144" s="20">
        <v>0</v>
      </c>
    </row>
    <row r="145" spans="1:22">
      <c r="A145" s="51" t="s">
        <v>462</v>
      </c>
      <c r="B145">
        <v>11047</v>
      </c>
      <c r="C145" t="s">
        <v>463</v>
      </c>
      <c r="D145" s="35">
        <v>0</v>
      </c>
      <c r="E145" s="35">
        <v>1</v>
      </c>
      <c r="F145" s="35" t="s">
        <v>464</v>
      </c>
      <c r="G145" s="35" t="s">
        <v>463</v>
      </c>
      <c r="H145" s="35" t="s">
        <v>463</v>
      </c>
      <c r="I145" t="s">
        <v>62</v>
      </c>
      <c r="J145">
        <v>0</v>
      </c>
      <c r="K145" t="s">
        <v>63</v>
      </c>
      <c r="L145">
        <v>0</v>
      </c>
      <c r="M145">
        <v>2</v>
      </c>
      <c r="N145">
        <v>0</v>
      </c>
      <c r="Q145">
        <v>2</v>
      </c>
      <c r="R145">
        <v>1</v>
      </c>
      <c r="S145" s="20">
        <v>1</v>
      </c>
      <c r="T145" s="20">
        <v>0</v>
      </c>
    </row>
    <row r="146" customFormat="1" spans="1:22">
      <c r="A146" t="s">
        <v>465</v>
      </c>
      <c r="B146">
        <v>11048</v>
      </c>
      <c r="C146" s="22" t="s">
        <v>466</v>
      </c>
      <c r="D146" s="35" cm="1">
        <f t="array" ref="D146">_xlfn.SWITCH(Q146,1,0,2,2,3,2)</f>
        <v>2</v>
      </c>
      <c r="E146" s="35" cm="1">
        <f t="array" ref="E146">_xlfn.SWITCH(Q146,1,1,2,2,3,1)</f>
        <v>2</v>
      </c>
      <c r="F146" t="s">
        <v>467</v>
      </c>
      <c r="G146" t="s">
        <v>466</v>
      </c>
      <c r="H146" t="s">
        <v>467</v>
      </c>
      <c r="I146" t="s">
        <v>62</v>
      </c>
      <c r="J146">
        <v>0</v>
      </c>
      <c r="K146" t="s">
        <v>63</v>
      </c>
      <c r="L146">
        <v>0</v>
      </c>
      <c r="M146">
        <v>2</v>
      </c>
      <c r="N146">
        <v>0</v>
      </c>
      <c r="Q146">
        <v>2</v>
      </c>
      <c r="R146">
        <v>2</v>
      </c>
      <c r="S146" s="20">
        <v>0</v>
      </c>
      <c r="T146" s="20">
        <v>0</v>
      </c>
      <c r="V146">
        <v>5</v>
      </c>
    </row>
    <row r="147" customFormat="1" spans="1:22">
      <c r="A147" t="s">
        <v>468</v>
      </c>
      <c r="B147">
        <v>11049</v>
      </c>
      <c r="C147" s="22" t="s">
        <v>469</v>
      </c>
      <c r="D147" s="35" cm="1">
        <f t="array" ref="D147">_xlfn.SWITCH(Q147,1,0,2,2,3,2)</f>
        <v>2</v>
      </c>
      <c r="E147" s="35" cm="1">
        <f t="array" ref="E147">_xlfn.SWITCH(Q147,1,1,2,2,3,1)</f>
        <v>2</v>
      </c>
      <c r="F147" t="s">
        <v>470</v>
      </c>
      <c r="G147" t="s">
        <v>469</v>
      </c>
      <c r="H147" t="s">
        <v>470</v>
      </c>
      <c r="I147" t="s">
        <v>62</v>
      </c>
      <c r="J147">
        <v>0</v>
      </c>
      <c r="K147" t="s">
        <v>63</v>
      </c>
      <c r="L147">
        <v>0</v>
      </c>
      <c r="M147">
        <v>2</v>
      </c>
      <c r="N147">
        <v>0</v>
      </c>
      <c r="Q147">
        <v>2</v>
      </c>
      <c r="R147">
        <v>2</v>
      </c>
      <c r="S147" s="20">
        <v>0</v>
      </c>
      <c r="T147" s="20">
        <v>0</v>
      </c>
      <c r="V147">
        <v>5</v>
      </c>
    </row>
    <row r="148" customFormat="1" spans="1:22">
      <c r="A148" t="s">
        <v>471</v>
      </c>
      <c r="B148">
        <v>11050</v>
      </c>
      <c r="C148" s="22" t="s">
        <v>472</v>
      </c>
      <c r="D148" s="35" cm="1">
        <f t="array" ref="D148">_xlfn.SWITCH(Q148,1,0,2,2,3,2)</f>
        <v>2</v>
      </c>
      <c r="E148" s="35" cm="1">
        <f t="array" ref="E148">_xlfn.SWITCH(Q148,1,1,2,2,3,1)</f>
        <v>2</v>
      </c>
      <c r="F148" t="s">
        <v>473</v>
      </c>
      <c r="G148" t="s">
        <v>474</v>
      </c>
      <c r="H148" t="s">
        <v>473</v>
      </c>
      <c r="I148" t="s">
        <v>62</v>
      </c>
      <c r="J148">
        <v>0</v>
      </c>
      <c r="K148" t="s">
        <v>63</v>
      </c>
      <c r="L148">
        <v>0</v>
      </c>
      <c r="M148">
        <v>2</v>
      </c>
      <c r="N148">
        <v>0</v>
      </c>
      <c r="Q148">
        <v>2</v>
      </c>
      <c r="R148">
        <v>2</v>
      </c>
      <c r="S148" s="20">
        <v>0</v>
      </c>
      <c r="T148" s="20">
        <v>0</v>
      </c>
      <c r="V148">
        <v>5</v>
      </c>
    </row>
    <row r="149" customFormat="1" spans="1:22">
      <c r="A149" t="s">
        <v>475</v>
      </c>
      <c r="B149">
        <v>11051</v>
      </c>
      <c r="C149" s="22" t="s">
        <v>476</v>
      </c>
      <c r="D149" s="35" cm="1">
        <f t="array" ref="D149">_xlfn.SWITCH(Q149,1,0,2,2,3,2)</f>
        <v>2</v>
      </c>
      <c r="E149" s="35" cm="1">
        <f t="array" ref="E149">_xlfn.SWITCH(Q149,1,1,2,2,3,1)</f>
        <v>2</v>
      </c>
      <c r="F149" t="s">
        <v>477</v>
      </c>
      <c r="G149" t="s">
        <v>476</v>
      </c>
      <c r="H149" t="s">
        <v>477</v>
      </c>
      <c r="I149" t="s">
        <v>62</v>
      </c>
      <c r="J149">
        <v>0</v>
      </c>
      <c r="K149" t="s">
        <v>63</v>
      </c>
      <c r="L149">
        <v>0</v>
      </c>
      <c r="M149">
        <v>2</v>
      </c>
      <c r="N149">
        <v>0</v>
      </c>
      <c r="Q149">
        <v>2</v>
      </c>
      <c r="R149">
        <v>2</v>
      </c>
      <c r="S149" s="20">
        <v>0</v>
      </c>
      <c r="T149" s="20">
        <v>0</v>
      </c>
      <c r="V149">
        <v>5</v>
      </c>
    </row>
    <row r="150" customFormat="1" spans="1:22">
      <c r="A150" t="s">
        <v>478</v>
      </c>
      <c r="B150">
        <v>11052</v>
      </c>
      <c r="C150" s="22" t="s">
        <v>479</v>
      </c>
      <c r="D150" s="35" cm="1">
        <f t="array" ref="D150">_xlfn.SWITCH(Q150,1,0,2,2,3,2)</f>
        <v>2</v>
      </c>
      <c r="E150" s="35" cm="1">
        <f t="array" ref="E150">_xlfn.SWITCH(Q150,1,1,2,2,3,1)</f>
        <v>2</v>
      </c>
      <c r="F150" t="s">
        <v>480</v>
      </c>
      <c r="G150" t="s">
        <v>479</v>
      </c>
      <c r="H150" t="s">
        <v>480</v>
      </c>
      <c r="I150" t="s">
        <v>62</v>
      </c>
      <c r="J150">
        <v>0</v>
      </c>
      <c r="K150" t="s">
        <v>63</v>
      </c>
      <c r="L150">
        <v>0</v>
      </c>
      <c r="M150">
        <v>2</v>
      </c>
      <c r="N150">
        <v>0</v>
      </c>
      <c r="Q150">
        <v>2</v>
      </c>
      <c r="R150">
        <v>2</v>
      </c>
      <c r="S150" s="20">
        <v>0</v>
      </c>
      <c r="T150" s="20">
        <v>0</v>
      </c>
      <c r="V150">
        <v>5</v>
      </c>
    </row>
    <row r="151" spans="1:22">
      <c r="A151" t="s">
        <v>481</v>
      </c>
      <c r="B151">
        <v>11053</v>
      </c>
      <c r="C151" t="s">
        <v>482</v>
      </c>
      <c r="D151" s="35">
        <v>2</v>
      </c>
      <c r="E151" s="35">
        <v>2</v>
      </c>
      <c r="F151" s="35" t="s">
        <v>483</v>
      </c>
      <c r="G151" t="s">
        <v>483</v>
      </c>
      <c r="H151" t="s">
        <v>483</v>
      </c>
      <c r="I151" t="s">
        <v>62</v>
      </c>
      <c r="J151">
        <v>0</v>
      </c>
      <c r="K151" t="s">
        <v>63</v>
      </c>
      <c r="L151">
        <v>0</v>
      </c>
      <c r="M151">
        <v>2</v>
      </c>
      <c r="N151">
        <v>0</v>
      </c>
      <c r="Q151">
        <v>2</v>
      </c>
      <c r="R151">
        <v>2</v>
      </c>
      <c r="S151" s="20">
        <v>1</v>
      </c>
      <c r="T151" s="20">
        <v>0</v>
      </c>
      <c r="U151">
        <v>0</v>
      </c>
    </row>
    <row r="152" spans="1:22">
      <c r="A152" t="s">
        <v>484</v>
      </c>
      <c r="B152">
        <v>11054</v>
      </c>
      <c r="C152" t="s">
        <v>485</v>
      </c>
      <c r="D152" s="35">
        <v>2</v>
      </c>
      <c r="E152" s="35">
        <v>2</v>
      </c>
      <c r="F152" s="35" t="s">
        <v>486</v>
      </c>
      <c r="G152" t="s">
        <v>487</v>
      </c>
      <c r="H152" t="s">
        <v>487</v>
      </c>
      <c r="I152" t="s">
        <v>62</v>
      </c>
      <c r="J152">
        <v>0</v>
      </c>
      <c r="K152" t="s">
        <v>63</v>
      </c>
      <c r="L152">
        <v>0</v>
      </c>
      <c r="M152">
        <v>2</v>
      </c>
      <c r="N152">
        <v>0</v>
      </c>
      <c r="Q152">
        <v>2</v>
      </c>
      <c r="R152">
        <v>2</v>
      </c>
      <c r="S152" s="20">
        <v>0</v>
      </c>
      <c r="T152" s="20">
        <v>0</v>
      </c>
      <c r="U152">
        <v>0</v>
      </c>
      <c r="V152">
        <v>1</v>
      </c>
    </row>
    <row r="153" spans="1:22">
      <c r="A153" t="s">
        <v>488</v>
      </c>
      <c r="B153">
        <v>11055</v>
      </c>
      <c r="C153" t="s">
        <v>489</v>
      </c>
      <c r="D153" s="35">
        <v>2</v>
      </c>
      <c r="E153" s="35">
        <v>2</v>
      </c>
      <c r="F153" s="35" t="s">
        <v>490</v>
      </c>
      <c r="G153" t="s">
        <v>489</v>
      </c>
      <c r="H153" t="s">
        <v>489</v>
      </c>
      <c r="I153" t="s">
        <v>62</v>
      </c>
      <c r="J153">
        <v>0</v>
      </c>
      <c r="K153" t="s">
        <v>63</v>
      </c>
      <c r="L153">
        <v>0</v>
      </c>
      <c r="M153">
        <v>2</v>
      </c>
      <c r="N153">
        <v>0</v>
      </c>
      <c r="Q153">
        <v>2</v>
      </c>
      <c r="R153">
        <v>2</v>
      </c>
      <c r="S153" s="20">
        <v>1</v>
      </c>
      <c r="T153" s="20">
        <v>0</v>
      </c>
      <c r="U153">
        <v>0</v>
      </c>
    </row>
    <row r="154" spans="1:22">
      <c r="A154" t="s">
        <v>491</v>
      </c>
      <c r="B154">
        <v>11056</v>
      </c>
      <c r="C154" t="s">
        <v>492</v>
      </c>
      <c r="D154" s="35">
        <v>2</v>
      </c>
      <c r="E154" s="35">
        <v>2</v>
      </c>
      <c r="F154" s="35" t="s">
        <v>492</v>
      </c>
      <c r="G154" s="35" t="s">
        <v>492</v>
      </c>
      <c r="H154" s="35" t="s">
        <v>492</v>
      </c>
      <c r="I154" t="s">
        <v>62</v>
      </c>
      <c r="J154">
        <v>0</v>
      </c>
      <c r="K154" t="s">
        <v>63</v>
      </c>
      <c r="L154">
        <v>0</v>
      </c>
      <c r="M154">
        <v>2</v>
      </c>
      <c r="N154">
        <v>0</v>
      </c>
      <c r="Q154">
        <v>2</v>
      </c>
      <c r="R154">
        <v>3</v>
      </c>
      <c r="S154" s="20">
        <v>1</v>
      </c>
      <c r="T154" s="20">
        <v>0</v>
      </c>
      <c r="U154">
        <v>0</v>
      </c>
    </row>
    <row r="155" customFormat="1" spans="1:22">
      <c r="A155" t="s">
        <v>493</v>
      </c>
      <c r="B155">
        <v>11057</v>
      </c>
      <c r="C155" t="s">
        <v>494</v>
      </c>
      <c r="D155">
        <v>2</v>
      </c>
      <c r="E155" s="35">
        <v>2</v>
      </c>
      <c r="F155" t="s">
        <v>494</v>
      </c>
      <c r="G155" t="s">
        <v>494</v>
      </c>
      <c r="H155" t="s">
        <v>494</v>
      </c>
      <c r="I155" t="s">
        <v>62</v>
      </c>
      <c r="J155">
        <v>0</v>
      </c>
      <c r="K155" t="s">
        <v>63</v>
      </c>
      <c r="L155">
        <v>0</v>
      </c>
      <c r="M155">
        <v>2</v>
      </c>
      <c r="N155">
        <v>0</v>
      </c>
      <c r="Q155">
        <v>2</v>
      </c>
      <c r="R155">
        <v>2</v>
      </c>
      <c r="S155" s="20">
        <v>1</v>
      </c>
      <c r="T155" s="20">
        <v>0</v>
      </c>
      <c r="U155">
        <v>0</v>
      </c>
    </row>
  </sheetData>
  <autoFilter xmlns:etc="http://www.wps.cn/officeDocument/2017/etCustomData" ref="A1:Y155" etc:filterBottomFollowUsedRange="0">
    <filterColumn colId="17">
      <filters>
        <filter val="1"/>
        <filter val="2"/>
        <filter val="number"/>
        <filter val="3"/>
        <filter val="showType"/>
      </filters>
    </filterColumn>
    <extLst/>
  </autoFilter>
  <conditionalFormatting sqref="B44">
    <cfRule type="duplicateValues" dxfId="0" priority="22"/>
  </conditionalFormatting>
  <conditionalFormatting sqref="B84">
    <cfRule type="duplicateValues" dxfId="0" priority="18"/>
  </conditionalFormatting>
  <conditionalFormatting sqref="B85">
    <cfRule type="duplicateValues" dxfId="0" priority="16"/>
  </conditionalFormatting>
  <conditionalFormatting sqref="B86">
    <cfRule type="duplicateValues" dxfId="0" priority="13"/>
  </conditionalFormatting>
  <conditionalFormatting sqref="B101">
    <cfRule type="duplicateValues" dxfId="0" priority="23"/>
  </conditionalFormatting>
  <conditionalFormatting sqref="B120">
    <cfRule type="duplicateValues" dxfId="0" priority="14"/>
  </conditionalFormatting>
  <conditionalFormatting sqref="B143">
    <cfRule type="duplicateValues" dxfId="0" priority="7"/>
  </conditionalFormatting>
  <conditionalFormatting sqref="B144">
    <cfRule type="duplicateValues" dxfId="0" priority="4"/>
  </conditionalFormatting>
  <conditionalFormatting sqref="B26:B27">
    <cfRule type="duplicateValues" dxfId="0" priority="6"/>
  </conditionalFormatting>
  <conditionalFormatting sqref="B76:B82">
    <cfRule type="duplicateValues" dxfId="0" priority="25"/>
  </conditionalFormatting>
  <conditionalFormatting sqref="B102:B119">
    <cfRule type="duplicateValues" dxfId="0" priority="15"/>
  </conditionalFormatting>
  <conditionalFormatting sqref="B121:B124">
    <cfRule type="duplicateValues" dxfId="0" priority="12"/>
  </conditionalFormatting>
  <conditionalFormatting sqref="B125:B128">
    <cfRule type="duplicateValues" dxfId="0" priority="11"/>
  </conditionalFormatting>
  <conditionalFormatting sqref="B129:B142">
    <cfRule type="duplicateValues" dxfId="0" priority="10"/>
  </conditionalFormatting>
  <conditionalFormatting sqref="B145:B150">
    <cfRule type="duplicateValues" dxfId="0" priority="3"/>
  </conditionalFormatting>
  <conditionalFormatting sqref="B1:B25 B28:B43 B45 B47:B75 B83 B87:B100 B151:B1048576">
    <cfRule type="duplicateValues" dxfId="0" priority="31"/>
  </conditionalFormatting>
  <conditionalFormatting sqref="B46 B48 B50 B52 B54 B56 B58 B60">
    <cfRule type="duplicateValues" dxfId="0" priority="8"/>
  </conditionalFormatting>
  <dataValidations count="1">
    <dataValidation type="list" allowBlank="1" showInputMessage="1" showErrorMessage="1" sqref="Y3">
      <formula1>"number,string,numberArr,stringArr,function(level),number2"</formula1>
    </dataValidation>
  </dataValidations>
  <pageMargins left="0.699305555555556" right="0.699305555555556" top="0.75" bottom="0.75" header="0.3" footer="0.3"/>
  <pageSetup paperSize="9" orientation="portrait"/>
  <headerFooter alignWithMargins="0"/>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B16"/>
  <sheetViews>
    <sheetView workbookViewId="0">
      <selection activeCell="A15" sqref="A15"/>
    </sheetView>
  </sheetViews>
  <sheetFormatPr defaultColWidth="9" defaultRowHeight="13.5" outlineLevelCol="1"/>
  <cols>
    <col min="1" max="1" width="21.25" customWidth="1"/>
    <col min="2" max="2" width="21.5" customWidth="1"/>
  </cols>
  <sheetData>
    <row r="1" spans="1:2">
      <c r="A1" t="s">
        <v>495</v>
      </c>
      <c r="B1" t="s">
        <v>496</v>
      </c>
    </row>
    <row r="2" ht="16.5" spans="1:2">
      <c r="A2" s="30" t="s">
        <v>497</v>
      </c>
      <c r="B2" s="30" t="s">
        <v>498</v>
      </c>
    </row>
    <row r="3" ht="16.5" spans="1:2">
      <c r="A3" s="31" t="s">
        <v>53</v>
      </c>
      <c r="B3" s="31" t="s">
        <v>55</v>
      </c>
    </row>
    <row r="4" spans="1:2">
      <c r="A4">
        <v>1</v>
      </c>
      <c r="B4" t="s">
        <v>499</v>
      </c>
    </row>
    <row r="5" spans="1:2">
      <c r="A5">
        <v>2</v>
      </c>
      <c r="B5" t="s">
        <v>499</v>
      </c>
    </row>
    <row r="6" spans="1:2">
      <c r="A6">
        <v>3</v>
      </c>
      <c r="B6" t="s">
        <v>499</v>
      </c>
    </row>
    <row r="7" spans="1:2">
      <c r="A7">
        <v>4</v>
      </c>
      <c r="B7" t="s">
        <v>499</v>
      </c>
    </row>
    <row r="8" spans="1:2">
      <c r="A8">
        <v>5</v>
      </c>
      <c r="B8" t="s">
        <v>499</v>
      </c>
    </row>
    <row r="9" spans="1:2">
      <c r="A9">
        <v>6</v>
      </c>
      <c r="B9" t="s">
        <v>499</v>
      </c>
    </row>
    <row r="10" spans="1:2">
      <c r="A10">
        <v>7</v>
      </c>
      <c r="B10" t="s">
        <v>499</v>
      </c>
    </row>
    <row r="11" spans="1:2">
      <c r="A11">
        <v>8</v>
      </c>
      <c r="B11" t="s">
        <v>499</v>
      </c>
    </row>
    <row r="12" spans="1:2">
      <c r="A12">
        <v>9</v>
      </c>
      <c r="B12" t="s">
        <v>500</v>
      </c>
    </row>
    <row r="13" spans="1:2">
      <c r="A13">
        <v>10</v>
      </c>
      <c r="B13" t="s">
        <v>500</v>
      </c>
    </row>
    <row r="14" spans="1:2">
      <c r="A14">
        <v>11</v>
      </c>
      <c r="B14" t="s">
        <v>500</v>
      </c>
    </row>
    <row r="15" spans="1:2">
      <c r="A15">
        <v>12</v>
      </c>
      <c r="B15" t="s">
        <v>500</v>
      </c>
    </row>
    <row r="16" spans="1:2">
      <c r="A16">
        <v>0</v>
      </c>
      <c r="B16" t="s">
        <v>501</v>
      </c>
    </row>
  </sheetData>
  <pageMargins left="0.75" right="0.75" top="1" bottom="1" header="0.5" footer="0.5"/>
  <pageSetup paperSize="9" orientation="portrait"/>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82"/>
  <sheetViews>
    <sheetView workbookViewId="0">
      <selection activeCell="P70" sqref="P70"/>
    </sheetView>
  </sheetViews>
  <sheetFormatPr defaultColWidth="9" defaultRowHeight="13.5" outlineLevelCol="5"/>
  <cols>
    <col min="1" max="1" width="25" style="20" customWidth="1"/>
    <col min="2" max="3" width="9.125" style="20" customWidth="1"/>
    <col min="4" max="4" width="19.5" style="20" customWidth="1"/>
  </cols>
  <sheetData>
    <row r="1" ht="16.5" spans="1:6">
      <c r="A1" s="20" t="s">
        <v>0</v>
      </c>
      <c r="B1" s="20" t="s">
        <v>502</v>
      </c>
      <c r="C1" s="20" t="s">
        <v>503</v>
      </c>
      <c r="D1" s="21" t="s">
        <v>2</v>
      </c>
      <c r="F1" s="22" t="s">
        <v>504</v>
      </c>
    </row>
    <row r="2" ht="16.5" spans="1:6">
      <c r="A2" s="23" t="s">
        <v>26</v>
      </c>
      <c r="B2" s="23" t="s">
        <v>27</v>
      </c>
      <c r="C2" s="23" t="s">
        <v>27</v>
      </c>
      <c r="D2" s="24" t="s">
        <v>28</v>
      </c>
    </row>
    <row r="3" ht="16.5" spans="1:6">
      <c r="A3" s="25" t="s">
        <v>52</v>
      </c>
      <c r="B3" s="26" t="s">
        <v>53</v>
      </c>
      <c r="C3" s="26" t="s">
        <v>53</v>
      </c>
      <c r="D3" s="27" t="s">
        <v>52</v>
      </c>
    </row>
    <row r="4" spans="1:6">
      <c r="A4" s="28" t="s">
        <v>59</v>
      </c>
      <c r="B4" s="28">
        <v>3001</v>
      </c>
      <c r="C4" s="28">
        <v>121</v>
      </c>
      <c r="D4" s="28" t="s">
        <v>505</v>
      </c>
    </row>
    <row r="5" spans="1:6">
      <c r="A5" s="28" t="s">
        <v>506</v>
      </c>
      <c r="B5" s="28">
        <v>3002</v>
      </c>
      <c r="C5" s="28">
        <v>2001</v>
      </c>
      <c r="D5" s="28" t="s">
        <v>507</v>
      </c>
    </row>
    <row r="6" spans="1:6">
      <c r="A6" s="28" t="s">
        <v>64</v>
      </c>
      <c r="B6" s="28">
        <v>3003</v>
      </c>
      <c r="C6" s="28">
        <v>101</v>
      </c>
      <c r="D6" s="28" t="s">
        <v>508</v>
      </c>
    </row>
    <row r="7" spans="1:6">
      <c r="A7" s="28" t="s">
        <v>67</v>
      </c>
      <c r="B7" s="28">
        <v>3004</v>
      </c>
      <c r="C7" s="28">
        <v>102</v>
      </c>
      <c r="D7" s="28" t="s">
        <v>509</v>
      </c>
    </row>
    <row r="8" spans="1:6">
      <c r="A8" s="28" t="s">
        <v>510</v>
      </c>
      <c r="B8" s="28">
        <v>3005</v>
      </c>
      <c r="C8" s="28">
        <v>116</v>
      </c>
      <c r="D8" s="28" t="s">
        <v>511</v>
      </c>
    </row>
    <row r="9" spans="1:6">
      <c r="A9" s="28" t="s">
        <v>512</v>
      </c>
      <c r="B9" s="28">
        <v>3006</v>
      </c>
      <c r="C9" s="28">
        <v>201</v>
      </c>
      <c r="D9" s="28" t="s">
        <v>513</v>
      </c>
    </row>
    <row r="10" spans="1:6">
      <c r="A10" s="28" t="s">
        <v>514</v>
      </c>
      <c r="B10" s="28">
        <v>3007</v>
      </c>
      <c r="C10" s="28">
        <v>202</v>
      </c>
      <c r="D10" s="28" t="s">
        <v>515</v>
      </c>
    </row>
    <row r="11" spans="1:6">
      <c r="A11" s="28" t="s">
        <v>516</v>
      </c>
      <c r="B11" s="28">
        <v>3008</v>
      </c>
      <c r="C11" s="28">
        <v>203</v>
      </c>
      <c r="D11" s="28" t="s">
        <v>517</v>
      </c>
    </row>
    <row r="12" spans="1:6">
      <c r="A12" s="28" t="s">
        <v>518</v>
      </c>
      <c r="B12" s="28">
        <v>3009</v>
      </c>
      <c r="C12" s="28">
        <v>301</v>
      </c>
      <c r="D12" s="28" t="s">
        <v>519</v>
      </c>
    </row>
    <row r="13" spans="1:6">
      <c r="A13" s="28" t="s">
        <v>520</v>
      </c>
      <c r="B13" s="28">
        <v>3010</v>
      </c>
      <c r="C13" s="28">
        <v>302</v>
      </c>
      <c r="D13" s="28" t="s">
        <v>521</v>
      </c>
    </row>
    <row r="14" spans="1:6">
      <c r="A14" s="28" t="s">
        <v>522</v>
      </c>
      <c r="B14" s="28">
        <v>3011</v>
      </c>
      <c r="C14" s="28">
        <v>303</v>
      </c>
      <c r="D14" s="28" t="s">
        <v>523</v>
      </c>
    </row>
    <row r="15" spans="1:6">
      <c r="A15" s="28" t="s">
        <v>88</v>
      </c>
      <c r="B15" s="28">
        <v>3012</v>
      </c>
      <c r="C15" s="28">
        <v>119</v>
      </c>
      <c r="D15" s="28" t="s">
        <v>89</v>
      </c>
    </row>
    <row r="16" spans="1:6">
      <c r="A16" s="28" t="s">
        <v>85</v>
      </c>
      <c r="B16" s="28">
        <v>3013</v>
      </c>
      <c r="C16" s="28">
        <v>120</v>
      </c>
      <c r="D16" s="28" t="s">
        <v>86</v>
      </c>
    </row>
    <row r="17" spans="1:4">
      <c r="A17" s="28" t="s">
        <v>524</v>
      </c>
      <c r="B17" s="28">
        <v>3014</v>
      </c>
      <c r="C17" s="28">
        <v>2002</v>
      </c>
      <c r="D17" s="28" t="s">
        <v>525</v>
      </c>
    </row>
    <row r="18" spans="1:4">
      <c r="A18" s="28" t="s">
        <v>526</v>
      </c>
      <c r="B18" s="28">
        <v>3015</v>
      </c>
      <c r="C18" s="28">
        <v>114</v>
      </c>
      <c r="D18" s="28" t="s">
        <v>157</v>
      </c>
    </row>
    <row r="19" spans="1:4">
      <c r="A19" s="28" t="s">
        <v>527</v>
      </c>
      <c r="B19" s="28">
        <v>3016</v>
      </c>
      <c r="C19" s="28">
        <v>447</v>
      </c>
      <c r="D19" s="28" t="s">
        <v>528</v>
      </c>
    </row>
    <row r="20" spans="1:4">
      <c r="A20" s="29" t="s">
        <v>529</v>
      </c>
      <c r="B20" s="29">
        <v>3017</v>
      </c>
      <c r="C20" s="29" t="s">
        <v>530</v>
      </c>
      <c r="D20" s="29" t="s">
        <v>531</v>
      </c>
    </row>
    <row r="21" spans="1:4">
      <c r="A21" s="28" t="s">
        <v>91</v>
      </c>
      <c r="B21" s="28">
        <v>3018</v>
      </c>
      <c r="C21" s="28">
        <v>115</v>
      </c>
      <c r="D21" s="28" t="s">
        <v>92</v>
      </c>
    </row>
    <row r="22" spans="1:4">
      <c r="A22" s="28" t="s">
        <v>94</v>
      </c>
      <c r="B22" s="28">
        <v>3019</v>
      </c>
      <c r="C22" s="28">
        <v>424</v>
      </c>
      <c r="D22" s="28" t="s">
        <v>532</v>
      </c>
    </row>
    <row r="23" spans="1:4">
      <c r="A23" s="28" t="s">
        <v>533</v>
      </c>
      <c r="B23" s="28">
        <v>3020</v>
      </c>
      <c r="C23" s="28">
        <v>448</v>
      </c>
      <c r="D23" s="28" t="s">
        <v>534</v>
      </c>
    </row>
    <row r="24" spans="1:4">
      <c r="A24" s="28" t="s">
        <v>535</v>
      </c>
      <c r="B24" s="28">
        <v>3021</v>
      </c>
      <c r="C24" s="28">
        <v>437</v>
      </c>
      <c r="D24" s="28" t="s">
        <v>536</v>
      </c>
    </row>
    <row r="25" spans="1:4">
      <c r="A25" s="28" t="s">
        <v>537</v>
      </c>
      <c r="B25" s="28">
        <v>3022</v>
      </c>
      <c r="C25" s="28">
        <v>438</v>
      </c>
      <c r="D25" s="28" t="s">
        <v>538</v>
      </c>
    </row>
    <row r="26" spans="1:4">
      <c r="A26" s="28" t="s">
        <v>539</v>
      </c>
      <c r="B26" s="28">
        <v>3023</v>
      </c>
      <c r="C26" s="28">
        <v>439</v>
      </c>
      <c r="D26" s="28" t="s">
        <v>540</v>
      </c>
    </row>
    <row r="27" spans="1:4">
      <c r="A27" s="28" t="s">
        <v>541</v>
      </c>
      <c r="B27" s="28">
        <v>3024</v>
      </c>
      <c r="C27" s="28">
        <v>440</v>
      </c>
      <c r="D27" s="28" t="s">
        <v>542</v>
      </c>
    </row>
    <row r="28" spans="1:4">
      <c r="A28" s="29" t="s">
        <v>543</v>
      </c>
      <c r="B28" s="29">
        <v>3025</v>
      </c>
      <c r="C28" s="29" t="s">
        <v>530</v>
      </c>
      <c r="D28" s="29" t="s">
        <v>544</v>
      </c>
    </row>
    <row r="29" spans="1:4">
      <c r="A29" s="29" t="s">
        <v>545</v>
      </c>
      <c r="B29" s="29">
        <v>3026</v>
      </c>
      <c r="C29" s="29" t="s">
        <v>530</v>
      </c>
      <c r="D29" s="29" t="s">
        <v>546</v>
      </c>
    </row>
    <row r="30" spans="1:4">
      <c r="A30" s="29" t="s">
        <v>547</v>
      </c>
      <c r="B30" s="29">
        <v>3027</v>
      </c>
      <c r="C30" s="29" t="s">
        <v>530</v>
      </c>
      <c r="D30" s="29" t="s">
        <v>548</v>
      </c>
    </row>
    <row r="31" spans="1:4">
      <c r="A31" s="29" t="s">
        <v>549</v>
      </c>
      <c r="B31" s="29">
        <v>3028</v>
      </c>
      <c r="C31" s="29" t="s">
        <v>530</v>
      </c>
      <c r="D31" s="29" t="s">
        <v>550</v>
      </c>
    </row>
    <row r="32" spans="1:4">
      <c r="A32" s="29" t="s">
        <v>551</v>
      </c>
      <c r="B32" s="29">
        <v>3029</v>
      </c>
      <c r="C32" s="29" t="s">
        <v>530</v>
      </c>
      <c r="D32" s="29" t="s">
        <v>552</v>
      </c>
    </row>
    <row r="33" spans="1:4">
      <c r="A33" s="29" t="s">
        <v>553</v>
      </c>
      <c r="B33" s="29">
        <v>3030</v>
      </c>
      <c r="C33" s="29" t="s">
        <v>530</v>
      </c>
      <c r="D33" s="29" t="s">
        <v>554</v>
      </c>
    </row>
    <row r="34" spans="1:4">
      <c r="A34" s="29" t="s">
        <v>555</v>
      </c>
      <c r="B34" s="29">
        <v>3031</v>
      </c>
      <c r="C34" s="29" t="s">
        <v>530</v>
      </c>
      <c r="D34" s="29" t="s">
        <v>556</v>
      </c>
    </row>
    <row r="35" spans="1:4">
      <c r="A35" s="29" t="s">
        <v>557</v>
      </c>
      <c r="B35" s="29">
        <v>3032</v>
      </c>
      <c r="C35" s="29" t="s">
        <v>530</v>
      </c>
      <c r="D35" s="29" t="s">
        <v>558</v>
      </c>
    </row>
    <row r="36" spans="1:4">
      <c r="A36" s="29" t="s">
        <v>559</v>
      </c>
      <c r="B36" s="29">
        <v>3033</v>
      </c>
      <c r="C36" s="29" t="s">
        <v>530</v>
      </c>
      <c r="D36" s="29" t="s">
        <v>560</v>
      </c>
    </row>
    <row r="37" spans="1:4">
      <c r="A37" s="29" t="s">
        <v>561</v>
      </c>
      <c r="B37" s="29">
        <v>3034</v>
      </c>
      <c r="C37" s="29" t="s">
        <v>530</v>
      </c>
      <c r="D37" s="29" t="s">
        <v>562</v>
      </c>
    </row>
    <row r="38" spans="1:4">
      <c r="A38" s="29" t="s">
        <v>563</v>
      </c>
      <c r="B38" s="29">
        <v>3035</v>
      </c>
      <c r="C38" s="29" t="s">
        <v>530</v>
      </c>
      <c r="D38" s="29" t="s">
        <v>564</v>
      </c>
    </row>
    <row r="39" spans="1:4">
      <c r="A39" s="29" t="s">
        <v>565</v>
      </c>
      <c r="B39" s="29">
        <v>3036</v>
      </c>
      <c r="C39" s="29" t="s">
        <v>530</v>
      </c>
      <c r="D39" s="29" t="s">
        <v>566</v>
      </c>
    </row>
    <row r="40" spans="1:4">
      <c r="A40" s="29" t="s">
        <v>567</v>
      </c>
      <c r="B40" s="29">
        <v>3037</v>
      </c>
      <c r="C40" s="29" t="s">
        <v>530</v>
      </c>
      <c r="D40" s="29" t="s">
        <v>568</v>
      </c>
    </row>
    <row r="41" spans="1:4">
      <c r="A41" s="29" t="s">
        <v>569</v>
      </c>
      <c r="B41" s="29">
        <v>3038</v>
      </c>
      <c r="C41" s="29" t="s">
        <v>530</v>
      </c>
      <c r="D41" s="29" t="s">
        <v>570</v>
      </c>
    </row>
    <row r="42" spans="1:4">
      <c r="A42" s="29" t="s">
        <v>571</v>
      </c>
      <c r="B42" s="29">
        <v>3039</v>
      </c>
      <c r="C42" s="29" t="s">
        <v>530</v>
      </c>
      <c r="D42" s="29" t="s">
        <v>572</v>
      </c>
    </row>
    <row r="43" spans="1:4">
      <c r="A43" s="29" t="s">
        <v>573</v>
      </c>
      <c r="B43" s="29">
        <v>3040</v>
      </c>
      <c r="C43" s="29" t="s">
        <v>530</v>
      </c>
      <c r="D43" s="29" t="s">
        <v>574</v>
      </c>
    </row>
    <row r="44" spans="1:4">
      <c r="A44" s="29" t="s">
        <v>575</v>
      </c>
      <c r="B44" s="29">
        <v>3041</v>
      </c>
      <c r="C44" s="29" t="s">
        <v>530</v>
      </c>
      <c r="D44" s="29" t="s">
        <v>576</v>
      </c>
    </row>
    <row r="45" spans="1:4">
      <c r="A45" s="29" t="s">
        <v>577</v>
      </c>
      <c r="B45" s="29">
        <v>3042</v>
      </c>
      <c r="C45" s="29" t="s">
        <v>530</v>
      </c>
      <c r="D45" s="29" t="s">
        <v>578</v>
      </c>
    </row>
    <row r="46" spans="1:4">
      <c r="A46" s="29" t="s">
        <v>579</v>
      </c>
      <c r="B46" s="29">
        <v>3043</v>
      </c>
      <c r="C46" s="29" t="s">
        <v>530</v>
      </c>
      <c r="D46" s="29" t="s">
        <v>580</v>
      </c>
    </row>
    <row r="47" spans="1:4">
      <c r="A47" s="29" t="s">
        <v>581</v>
      </c>
      <c r="B47" s="29">
        <v>3044</v>
      </c>
      <c r="C47" s="29" t="s">
        <v>530</v>
      </c>
      <c r="D47" s="29" t="s">
        <v>582</v>
      </c>
    </row>
    <row r="48" spans="1:4">
      <c r="A48" s="28" t="s">
        <v>583</v>
      </c>
      <c r="B48" s="28">
        <v>3045</v>
      </c>
      <c r="C48" s="28">
        <v>429</v>
      </c>
      <c r="D48" s="28" t="s">
        <v>584</v>
      </c>
    </row>
    <row r="49" spans="1:4">
      <c r="A49" s="28" t="s">
        <v>585</v>
      </c>
      <c r="B49" s="28">
        <v>3046</v>
      </c>
      <c r="C49" s="28">
        <v>430</v>
      </c>
      <c r="D49" s="28" t="s">
        <v>586</v>
      </c>
    </row>
    <row r="50" spans="1:4">
      <c r="A50" s="28" t="s">
        <v>587</v>
      </c>
      <c r="B50" s="28">
        <v>3047</v>
      </c>
      <c r="C50" s="28">
        <v>431</v>
      </c>
      <c r="D50" s="28" t="s">
        <v>588</v>
      </c>
    </row>
    <row r="51" spans="1:4">
      <c r="A51" s="28" t="s">
        <v>589</v>
      </c>
      <c r="B51" s="28">
        <v>3048</v>
      </c>
      <c r="C51" s="28">
        <v>432</v>
      </c>
      <c r="D51" s="28" t="s">
        <v>590</v>
      </c>
    </row>
    <row r="52" spans="1:4">
      <c r="A52" s="28" t="s">
        <v>591</v>
      </c>
      <c r="B52" s="28">
        <v>3049</v>
      </c>
      <c r="C52" s="28">
        <v>467</v>
      </c>
      <c r="D52" s="28" t="s">
        <v>592</v>
      </c>
    </row>
    <row r="53" spans="1:4">
      <c r="A53" s="28" t="s">
        <v>593</v>
      </c>
      <c r="B53" s="28">
        <v>3050</v>
      </c>
      <c r="C53" s="28">
        <v>468</v>
      </c>
      <c r="D53" s="28" t="s">
        <v>594</v>
      </c>
    </row>
    <row r="54" spans="1:4">
      <c r="A54" s="28" t="s">
        <v>595</v>
      </c>
      <c r="B54" s="28">
        <v>3051</v>
      </c>
      <c r="C54" s="28">
        <v>433</v>
      </c>
      <c r="D54" s="28" t="s">
        <v>596</v>
      </c>
    </row>
    <row r="55" spans="1:4">
      <c r="A55" s="28" t="s">
        <v>597</v>
      </c>
      <c r="B55" s="28">
        <v>3052</v>
      </c>
      <c r="C55" s="28">
        <v>434</v>
      </c>
      <c r="D55" s="28" t="s">
        <v>598</v>
      </c>
    </row>
    <row r="56" spans="1:4">
      <c r="A56" s="28" t="s">
        <v>599</v>
      </c>
      <c r="B56" s="28">
        <v>3053</v>
      </c>
      <c r="C56" s="28">
        <v>435</v>
      </c>
      <c r="D56" s="28" t="s">
        <v>600</v>
      </c>
    </row>
    <row r="57" spans="1:4">
      <c r="A57" s="28" t="s">
        <v>601</v>
      </c>
      <c r="B57" s="28">
        <v>3054</v>
      </c>
      <c r="C57" s="28">
        <v>436</v>
      </c>
      <c r="D57" s="28" t="s">
        <v>602</v>
      </c>
    </row>
    <row r="58" spans="1:4">
      <c r="A58" s="28" t="s">
        <v>603</v>
      </c>
      <c r="B58" s="28">
        <v>3055</v>
      </c>
      <c r="C58" s="28">
        <v>450</v>
      </c>
      <c r="D58" s="28" t="s">
        <v>604</v>
      </c>
    </row>
    <row r="59" spans="1:4">
      <c r="A59" s="28" t="s">
        <v>605</v>
      </c>
      <c r="B59" s="28">
        <v>3056</v>
      </c>
      <c r="C59" s="28">
        <v>451</v>
      </c>
      <c r="D59" s="28" t="s">
        <v>606</v>
      </c>
    </row>
    <row r="60" spans="1:4">
      <c r="A60" s="29" t="s">
        <v>607</v>
      </c>
      <c r="B60" s="29">
        <v>3057</v>
      </c>
      <c r="C60" s="29" t="s">
        <v>530</v>
      </c>
      <c r="D60" s="29" t="s">
        <v>608</v>
      </c>
    </row>
    <row r="61" spans="1:4">
      <c r="A61" s="29" t="s">
        <v>609</v>
      </c>
      <c r="B61" s="29">
        <v>3058</v>
      </c>
      <c r="C61" s="29" t="s">
        <v>530</v>
      </c>
      <c r="D61" s="29" t="s">
        <v>610</v>
      </c>
    </row>
    <row r="62" spans="1:4">
      <c r="A62" s="28" t="s">
        <v>611</v>
      </c>
      <c r="B62" s="28">
        <v>3059</v>
      </c>
      <c r="C62" s="28">
        <v>117</v>
      </c>
      <c r="D62" s="28" t="s">
        <v>612</v>
      </c>
    </row>
    <row r="63" spans="1:4">
      <c r="A63" s="28" t="s">
        <v>613</v>
      </c>
      <c r="B63" s="28">
        <v>3060</v>
      </c>
      <c r="C63" s="28">
        <v>118</v>
      </c>
      <c r="D63" s="28" t="s">
        <v>614</v>
      </c>
    </row>
    <row r="64" spans="1:4">
      <c r="A64" s="28" t="s">
        <v>615</v>
      </c>
      <c r="B64" s="28">
        <v>3061</v>
      </c>
      <c r="C64" s="28">
        <v>1007</v>
      </c>
      <c r="D64" s="28" t="s">
        <v>616</v>
      </c>
    </row>
    <row r="65" spans="1:4">
      <c r="A65" s="28" t="s">
        <v>617</v>
      </c>
      <c r="B65" s="28">
        <v>3062</v>
      </c>
      <c r="C65" s="28">
        <v>1008</v>
      </c>
      <c r="D65" s="28" t="s">
        <v>618</v>
      </c>
    </row>
    <row r="66" spans="1:4">
      <c r="A66" s="28" t="s">
        <v>619</v>
      </c>
      <c r="B66" s="28">
        <v>3063</v>
      </c>
      <c r="C66" s="28">
        <v>417</v>
      </c>
      <c r="D66" s="28" t="s">
        <v>620</v>
      </c>
    </row>
    <row r="67" spans="1:4">
      <c r="A67" s="28" t="s">
        <v>621</v>
      </c>
      <c r="B67" s="28">
        <v>3064</v>
      </c>
      <c r="C67" s="28">
        <v>418</v>
      </c>
      <c r="D67" s="28" t="s">
        <v>622</v>
      </c>
    </row>
    <row r="68" spans="1:4">
      <c r="A68" s="28" t="s">
        <v>623</v>
      </c>
      <c r="B68" s="28">
        <v>3065</v>
      </c>
      <c r="C68" s="28">
        <v>419</v>
      </c>
      <c r="D68" s="28" t="s">
        <v>624</v>
      </c>
    </row>
    <row r="69" spans="1:4">
      <c r="A69" s="28" t="s">
        <v>625</v>
      </c>
      <c r="B69" s="28">
        <v>3066</v>
      </c>
      <c r="C69" s="28">
        <v>427</v>
      </c>
      <c r="D69" s="28" t="s">
        <v>626</v>
      </c>
    </row>
    <row r="70" spans="1:4">
      <c r="A70" s="28" t="s">
        <v>627</v>
      </c>
      <c r="B70" s="28">
        <v>3067</v>
      </c>
      <c r="C70" s="28">
        <v>428</v>
      </c>
      <c r="D70" s="28" t="s">
        <v>628</v>
      </c>
    </row>
    <row r="71" spans="1:4">
      <c r="A71" s="28" t="s">
        <v>629</v>
      </c>
      <c r="B71" s="28">
        <v>3068</v>
      </c>
      <c r="C71" s="28">
        <v>505</v>
      </c>
      <c r="D71" s="28" t="s">
        <v>630</v>
      </c>
    </row>
    <row r="72" spans="1:4">
      <c r="A72" s="28" t="s">
        <v>631</v>
      </c>
      <c r="B72" s="28">
        <v>3069</v>
      </c>
      <c r="C72" s="28">
        <v>511</v>
      </c>
      <c r="D72" s="28" t="s">
        <v>632</v>
      </c>
    </row>
    <row r="73" spans="1:4">
      <c r="A73" s="28" t="s">
        <v>633</v>
      </c>
      <c r="B73" s="28">
        <v>3070</v>
      </c>
      <c r="C73" s="28">
        <v>513</v>
      </c>
      <c r="D73" s="28" t="s">
        <v>634</v>
      </c>
    </row>
    <row r="74" spans="1:4">
      <c r="A74" s="28" t="s">
        <v>635</v>
      </c>
      <c r="B74" s="28">
        <v>3071</v>
      </c>
      <c r="C74" s="28">
        <v>514</v>
      </c>
      <c r="D74" s="28" t="s">
        <v>636</v>
      </c>
    </row>
    <row r="75" spans="1:4">
      <c r="A75" s="28" t="s">
        <v>83</v>
      </c>
      <c r="B75" s="28">
        <v>3072</v>
      </c>
      <c r="C75" s="28">
        <v>515</v>
      </c>
      <c r="D75" s="28" t="s">
        <v>637</v>
      </c>
    </row>
    <row r="76" spans="1:4">
      <c r="A76" s="28" t="s">
        <v>638</v>
      </c>
      <c r="B76" s="28">
        <v>3073</v>
      </c>
      <c r="C76" s="28">
        <v>516</v>
      </c>
      <c r="D76" s="28" t="s">
        <v>639</v>
      </c>
    </row>
    <row r="77" spans="1:4">
      <c r="A77" s="28" t="s">
        <v>640</v>
      </c>
      <c r="B77" s="28">
        <v>3074</v>
      </c>
      <c r="C77" s="28">
        <v>517</v>
      </c>
      <c r="D77" s="28" t="s">
        <v>128</v>
      </c>
    </row>
    <row r="78" spans="1:4">
      <c r="A78" s="28" t="s">
        <v>243</v>
      </c>
      <c r="B78" s="28">
        <v>3075</v>
      </c>
      <c r="C78" s="28">
        <v>521</v>
      </c>
      <c r="D78" s="28" t="s">
        <v>244</v>
      </c>
    </row>
    <row r="79" spans="1:4">
      <c r="A79" s="29" t="s">
        <v>247</v>
      </c>
      <c r="B79" s="29">
        <v>3076</v>
      </c>
      <c r="C79" s="29" t="s">
        <v>530</v>
      </c>
      <c r="D79" s="29" t="s">
        <v>248</v>
      </c>
    </row>
    <row r="80" spans="1:4">
      <c r="A80" s="29" t="s">
        <v>250</v>
      </c>
      <c r="B80" s="29">
        <v>3077</v>
      </c>
      <c r="C80" s="29" t="s">
        <v>530</v>
      </c>
      <c r="D80" s="29" t="s">
        <v>251</v>
      </c>
    </row>
    <row r="81" spans="1:4">
      <c r="A81" t="s">
        <v>70</v>
      </c>
      <c r="B81" s="28">
        <v>3080</v>
      </c>
      <c r="C81" s="28">
        <v>110</v>
      </c>
      <c r="D81" s="28" t="s">
        <v>641</v>
      </c>
    </row>
    <row r="82" spans="1:4">
      <c r="A82" t="s">
        <v>77</v>
      </c>
      <c r="B82" s="28">
        <v>3081</v>
      </c>
      <c r="C82" s="28">
        <v>111</v>
      </c>
      <c r="D82" s="28" t="s">
        <v>642</v>
      </c>
    </row>
  </sheetData>
  <conditionalFormatting sqref="B1:B3">
    <cfRule type="duplicateValues" dxfId="0" priority="2"/>
  </conditionalFormatting>
  <conditionalFormatting sqref="C1:C3">
    <cfRule type="duplicateValues" dxfId="0" priority="3"/>
  </conditionalFormatting>
  <pageMargins left="0.7" right="0.7" top="0.75" bottom="0.75" header="0.3" footer="0.3"/>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47"/>
  <sheetViews>
    <sheetView tabSelected="1" topLeftCell="A122" workbookViewId="0">
      <selection activeCell="B134" sqref="B134"/>
    </sheetView>
  </sheetViews>
  <sheetFormatPr defaultColWidth="9" defaultRowHeight="17.25" outlineLevelCol="5"/>
  <cols>
    <col min="1" max="1" width="7" style="2" customWidth="1"/>
    <col min="2" max="2" width="35.5" style="17" customWidth="1"/>
    <col min="3" max="3" width="56.625" style="3" customWidth="1"/>
    <col min="4" max="4" width="14.875" style="2" customWidth="1"/>
    <col min="5" max="5" width="12.625" style="3" customWidth="1"/>
    <col min="6" max="6" width="12.625" style="2" customWidth="1"/>
    <col min="7" max="16384" width="9" style="3"/>
  </cols>
  <sheetData>
    <row r="1" spans="1:6">
      <c r="A1" s="4" t="s">
        <v>643</v>
      </c>
      <c r="B1" s="18" t="s">
        <v>644</v>
      </c>
      <c r="C1" s="3" t="s">
        <v>645</v>
      </c>
      <c r="D1" s="5" t="s">
        <v>646</v>
      </c>
      <c r="E1" s="5" t="s">
        <v>647</v>
      </c>
      <c r="F1" s="4" t="s">
        <v>648</v>
      </c>
    </row>
    <row r="2" spans="1:6">
      <c r="A2" s="6" t="s">
        <v>497</v>
      </c>
      <c r="B2" s="6" t="s">
        <v>31</v>
      </c>
      <c r="C2" s="6" t="s">
        <v>32</v>
      </c>
      <c r="D2" s="7" t="s">
        <v>649</v>
      </c>
      <c r="E2" s="7" t="s">
        <v>42</v>
      </c>
      <c r="F2" s="6" t="s">
        <v>28</v>
      </c>
    </row>
    <row r="3" spans="1:6">
      <c r="A3" s="8" t="s">
        <v>53</v>
      </c>
      <c r="B3" s="9" t="s">
        <v>52</v>
      </c>
      <c r="C3" s="8" t="s">
        <v>52</v>
      </c>
      <c r="D3" s="10" t="s">
        <v>56</v>
      </c>
      <c r="E3" s="10" t="s">
        <v>56</v>
      </c>
      <c r="F3" s="8" t="s">
        <v>52</v>
      </c>
    </row>
    <row r="4" spans="1:6">
      <c r="A4" s="4">
        <v>10031</v>
      </c>
      <c r="B4" s="19" t="s">
        <v>650</v>
      </c>
      <c r="C4" s="1" t="s">
        <v>651</v>
      </c>
      <c r="D4" s="2">
        <v>2</v>
      </c>
      <c r="E4" s="2">
        <v>2</v>
      </c>
      <c r="F4" s="4" t="s">
        <v>652</v>
      </c>
    </row>
    <row r="5" spans="1:6">
      <c r="A5" s="4">
        <v>10032</v>
      </c>
      <c r="B5" s="19" t="s">
        <v>653</v>
      </c>
      <c r="C5" s="1" t="s">
        <v>654</v>
      </c>
      <c r="D5" s="2">
        <v>2</v>
      </c>
      <c r="E5" s="2">
        <v>2</v>
      </c>
      <c r="F5" s="4" t="s">
        <v>652</v>
      </c>
    </row>
    <row r="6" spans="1:6">
      <c r="A6" s="4">
        <v>10033</v>
      </c>
      <c r="B6" s="19" t="s">
        <v>655</v>
      </c>
      <c r="C6" s="1" t="s">
        <v>656</v>
      </c>
      <c r="D6" s="2">
        <v>2</v>
      </c>
      <c r="E6" s="2">
        <v>2</v>
      </c>
      <c r="F6" s="4" t="s">
        <v>652</v>
      </c>
    </row>
    <row r="7" spans="1:6">
      <c r="A7" s="4">
        <v>10034</v>
      </c>
      <c r="B7" s="19" t="s">
        <v>657</v>
      </c>
      <c r="C7" s="1" t="s">
        <v>658</v>
      </c>
      <c r="D7" s="2">
        <v>2</v>
      </c>
      <c r="E7" s="2">
        <v>2</v>
      </c>
      <c r="F7" s="4" t="s">
        <v>652</v>
      </c>
    </row>
    <row r="8" spans="1:6">
      <c r="A8" s="4">
        <v>10035</v>
      </c>
      <c r="B8" s="19" t="s">
        <v>659</v>
      </c>
      <c r="C8" s="1" t="s">
        <v>660</v>
      </c>
      <c r="D8" s="2">
        <v>2</v>
      </c>
      <c r="E8" s="2">
        <v>2</v>
      </c>
      <c r="F8" s="4" t="s">
        <v>652</v>
      </c>
    </row>
    <row r="9" spans="1:6">
      <c r="A9" s="4">
        <v>10036</v>
      </c>
      <c r="B9" s="19" t="s">
        <v>661</v>
      </c>
      <c r="C9" s="1" t="s">
        <v>661</v>
      </c>
      <c r="D9" s="2">
        <v>2</v>
      </c>
      <c r="E9" s="2">
        <v>2</v>
      </c>
      <c r="F9" s="4" t="s">
        <v>643</v>
      </c>
    </row>
    <row r="10" spans="1:6">
      <c r="A10" s="4">
        <v>10037</v>
      </c>
      <c r="B10" s="19" t="s">
        <v>662</v>
      </c>
      <c r="C10" s="1" t="s">
        <v>662</v>
      </c>
      <c r="D10" s="2">
        <v>2</v>
      </c>
      <c r="E10" s="2">
        <v>2</v>
      </c>
      <c r="F10" s="4" t="s">
        <v>643</v>
      </c>
    </row>
    <row r="11" spans="1:6">
      <c r="A11" s="4">
        <v>10038</v>
      </c>
      <c r="B11" s="19" t="s">
        <v>663</v>
      </c>
      <c r="C11" s="1" t="s">
        <v>664</v>
      </c>
      <c r="D11" s="2">
        <v>2</v>
      </c>
      <c r="E11" s="2">
        <v>2</v>
      </c>
      <c r="F11" s="4" t="s">
        <v>652</v>
      </c>
    </row>
    <row r="12" spans="1:6">
      <c r="A12" s="4">
        <v>10039</v>
      </c>
      <c r="B12" s="19" t="s">
        <v>665</v>
      </c>
      <c r="C12" s="1" t="s">
        <v>666</v>
      </c>
      <c r="D12" s="2">
        <v>2</v>
      </c>
      <c r="E12" s="2">
        <v>2</v>
      </c>
      <c r="F12" s="4" t="s">
        <v>652</v>
      </c>
    </row>
    <row r="13" spans="1:6">
      <c r="A13" s="4">
        <v>10040</v>
      </c>
      <c r="B13" s="19" t="s">
        <v>667</v>
      </c>
      <c r="C13" s="1" t="s">
        <v>668</v>
      </c>
      <c r="D13" s="2">
        <v>2</v>
      </c>
      <c r="E13" s="2">
        <v>2</v>
      </c>
      <c r="F13" s="4" t="s">
        <v>643</v>
      </c>
    </row>
    <row r="14" spans="1:6">
      <c r="A14" s="4">
        <v>10041</v>
      </c>
      <c r="B14" s="19" t="s">
        <v>669</v>
      </c>
      <c r="C14" s="1" t="s">
        <v>670</v>
      </c>
      <c r="D14" s="2">
        <v>2</v>
      </c>
      <c r="E14" s="2">
        <v>2</v>
      </c>
      <c r="F14" s="4" t="s">
        <v>652</v>
      </c>
    </row>
    <row r="15" spans="1:6">
      <c r="A15" s="4">
        <v>10042</v>
      </c>
      <c r="B15" s="19" t="s">
        <v>671</v>
      </c>
      <c r="C15" s="1" t="s">
        <v>671</v>
      </c>
      <c r="D15" s="2">
        <v>2</v>
      </c>
      <c r="E15" s="2">
        <v>2</v>
      </c>
      <c r="F15" s="4" t="s">
        <v>643</v>
      </c>
    </row>
    <row r="16" spans="1:6">
      <c r="A16" s="4">
        <v>10043</v>
      </c>
      <c r="B16" s="19" t="s">
        <v>672</v>
      </c>
      <c r="C16" s="1" t="s">
        <v>672</v>
      </c>
      <c r="D16" s="2">
        <v>2</v>
      </c>
      <c r="E16" s="2">
        <v>2</v>
      </c>
      <c r="F16" s="4" t="s">
        <v>643</v>
      </c>
    </row>
    <row r="17" spans="1:6">
      <c r="A17" s="4">
        <v>10044</v>
      </c>
      <c r="B17" s="19" t="s">
        <v>673</v>
      </c>
      <c r="C17" s="1" t="s">
        <v>673</v>
      </c>
      <c r="D17" s="2">
        <v>2</v>
      </c>
      <c r="E17" s="2">
        <v>2</v>
      </c>
      <c r="F17" s="4" t="s">
        <v>643</v>
      </c>
    </row>
    <row r="18" spans="1:6">
      <c r="A18" s="4">
        <v>10045</v>
      </c>
      <c r="B18" s="19" t="s">
        <v>674</v>
      </c>
      <c r="C18" s="1" t="s">
        <v>674</v>
      </c>
      <c r="D18" s="2">
        <v>2</v>
      </c>
      <c r="E18" s="2">
        <v>2</v>
      </c>
      <c r="F18" s="4" t="s">
        <v>643</v>
      </c>
    </row>
    <row r="19" spans="1:6">
      <c r="A19" s="4">
        <v>10046</v>
      </c>
      <c r="B19" s="19" t="s">
        <v>675</v>
      </c>
      <c r="C19" s="1" t="s">
        <v>675</v>
      </c>
      <c r="D19" s="2">
        <v>2</v>
      </c>
      <c r="E19" s="2">
        <v>2</v>
      </c>
      <c r="F19" s="4" t="s">
        <v>643</v>
      </c>
    </row>
    <row r="20" spans="1:6">
      <c r="A20" s="4">
        <v>10047</v>
      </c>
      <c r="B20" s="19" t="s">
        <v>676</v>
      </c>
      <c r="C20" s="1" t="s">
        <v>676</v>
      </c>
      <c r="D20" s="2">
        <v>2</v>
      </c>
      <c r="E20" s="2">
        <v>2</v>
      </c>
      <c r="F20" s="4" t="s">
        <v>643</v>
      </c>
    </row>
    <row r="21" spans="1:6">
      <c r="A21" s="4">
        <v>10048</v>
      </c>
      <c r="B21" s="19" t="s">
        <v>677</v>
      </c>
      <c r="C21" s="1" t="s">
        <v>677</v>
      </c>
      <c r="D21" s="2">
        <v>2</v>
      </c>
      <c r="E21" s="2">
        <v>2</v>
      </c>
      <c r="F21" s="4" t="s">
        <v>643</v>
      </c>
    </row>
    <row r="22" spans="1:6">
      <c r="A22" s="4">
        <v>10049</v>
      </c>
      <c r="B22" s="19" t="s">
        <v>678</v>
      </c>
      <c r="C22" s="1" t="s">
        <v>679</v>
      </c>
      <c r="D22" s="2">
        <v>2</v>
      </c>
      <c r="E22" s="2">
        <v>2</v>
      </c>
      <c r="F22" s="4" t="s">
        <v>652</v>
      </c>
    </row>
    <row r="23" spans="1:6">
      <c r="A23" s="4">
        <v>10050</v>
      </c>
      <c r="B23" s="19" t="s">
        <v>680</v>
      </c>
      <c r="C23" s="1" t="s">
        <v>681</v>
      </c>
      <c r="D23" s="2">
        <v>2</v>
      </c>
      <c r="E23" s="2">
        <v>2</v>
      </c>
      <c r="F23" s="4" t="s">
        <v>652</v>
      </c>
    </row>
    <row r="24" spans="1:6">
      <c r="A24" s="4">
        <v>10051</v>
      </c>
      <c r="B24" s="19" t="s">
        <v>682</v>
      </c>
      <c r="C24" s="1" t="s">
        <v>683</v>
      </c>
      <c r="D24" s="2">
        <v>2</v>
      </c>
      <c r="E24" s="2">
        <v>2</v>
      </c>
      <c r="F24" s="4" t="s">
        <v>652</v>
      </c>
    </row>
    <row r="25" spans="1:6">
      <c r="A25" s="4">
        <v>10052</v>
      </c>
      <c r="B25" s="19" t="s">
        <v>684</v>
      </c>
      <c r="C25" s="19" t="s">
        <v>685</v>
      </c>
      <c r="D25" s="2">
        <v>2</v>
      </c>
      <c r="E25" s="2">
        <v>2</v>
      </c>
      <c r="F25" s="4" t="s">
        <v>652</v>
      </c>
    </row>
    <row r="26" spans="1:6">
      <c r="A26" s="4">
        <v>10053</v>
      </c>
      <c r="B26" s="19" t="s">
        <v>460</v>
      </c>
      <c r="C26" s="19" t="s">
        <v>686</v>
      </c>
      <c r="D26" s="2">
        <v>0</v>
      </c>
      <c r="E26" s="2">
        <v>0</v>
      </c>
      <c r="F26" s="4" t="s">
        <v>652</v>
      </c>
    </row>
    <row r="27" spans="1:6">
      <c r="A27" s="4">
        <v>10054</v>
      </c>
      <c r="B27" s="19" t="s">
        <v>404</v>
      </c>
      <c r="C27" s="19" t="s">
        <v>687</v>
      </c>
      <c r="D27" s="2">
        <v>0</v>
      </c>
      <c r="E27" s="2">
        <v>0</v>
      </c>
      <c r="F27" s="4" t="s">
        <v>652</v>
      </c>
    </row>
    <row r="28" spans="1:6">
      <c r="A28" s="4">
        <v>10055</v>
      </c>
      <c r="B28" s="19" t="s">
        <v>688</v>
      </c>
      <c r="C28" s="19" t="s">
        <v>689</v>
      </c>
      <c r="D28" s="2">
        <v>2</v>
      </c>
      <c r="E28" s="2">
        <v>2</v>
      </c>
      <c r="F28" s="4" t="s">
        <v>690</v>
      </c>
    </row>
    <row r="29" spans="1:6">
      <c r="A29" s="4">
        <v>10056</v>
      </c>
      <c r="B29" s="19" t="s">
        <v>691</v>
      </c>
      <c r="C29" s="19" t="s">
        <v>692</v>
      </c>
      <c r="D29" s="2">
        <v>2</v>
      </c>
      <c r="E29" s="2">
        <v>2</v>
      </c>
      <c r="F29" s="4" t="s">
        <v>652</v>
      </c>
    </row>
    <row r="30" spans="1:6">
      <c r="A30" s="4">
        <v>10057</v>
      </c>
      <c r="B30" s="19" t="s">
        <v>693</v>
      </c>
      <c r="C30" s="19" t="s">
        <v>694</v>
      </c>
      <c r="D30" s="2">
        <v>2</v>
      </c>
      <c r="E30" s="2">
        <v>2</v>
      </c>
      <c r="F30" s="4" t="s">
        <v>652</v>
      </c>
    </row>
    <row r="31" spans="1:6">
      <c r="A31" s="4">
        <v>10058</v>
      </c>
      <c r="B31" s="19" t="s">
        <v>695</v>
      </c>
      <c r="C31" s="1" t="s">
        <v>696</v>
      </c>
      <c r="D31" s="2">
        <v>2</v>
      </c>
      <c r="E31" s="2">
        <v>2</v>
      </c>
      <c r="F31" s="4" t="s">
        <v>652</v>
      </c>
    </row>
    <row r="32" spans="1:6">
      <c r="A32" s="4">
        <v>10059</v>
      </c>
      <c r="B32" s="19" t="s">
        <v>697</v>
      </c>
      <c r="C32" s="1" t="s">
        <v>698</v>
      </c>
      <c r="D32" s="2">
        <v>2</v>
      </c>
      <c r="E32" s="2">
        <v>2</v>
      </c>
      <c r="F32" s="4" t="s">
        <v>652</v>
      </c>
    </row>
    <row r="33" spans="1:6">
      <c r="A33" s="4">
        <v>10060</v>
      </c>
      <c r="B33" s="19" t="s">
        <v>699</v>
      </c>
      <c r="C33" s="1" t="s">
        <v>700</v>
      </c>
      <c r="D33" s="2">
        <v>2</v>
      </c>
      <c r="E33" s="2">
        <v>2</v>
      </c>
      <c r="F33" s="4" t="s">
        <v>652</v>
      </c>
    </row>
    <row r="34" spans="1:6">
      <c r="A34" s="4">
        <v>10061</v>
      </c>
      <c r="B34" s="19" t="s">
        <v>701</v>
      </c>
      <c r="C34" s="1" t="s">
        <v>702</v>
      </c>
      <c r="D34" s="2">
        <v>2</v>
      </c>
      <c r="E34" s="2">
        <v>2</v>
      </c>
      <c r="F34" s="4" t="s">
        <v>652</v>
      </c>
    </row>
    <row r="35" spans="1:6">
      <c r="A35" s="4">
        <v>10062</v>
      </c>
      <c r="B35" s="19" t="s">
        <v>703</v>
      </c>
      <c r="C35" s="1" t="s">
        <v>704</v>
      </c>
      <c r="D35" s="2">
        <v>2</v>
      </c>
      <c r="E35" s="2">
        <v>2</v>
      </c>
      <c r="F35" s="4" t="s">
        <v>652</v>
      </c>
    </row>
    <row r="36" spans="1:6">
      <c r="A36" s="4">
        <v>10063</v>
      </c>
      <c r="B36" s="19" t="s">
        <v>705</v>
      </c>
      <c r="C36" s="1" t="s">
        <v>706</v>
      </c>
      <c r="D36" s="2">
        <v>2</v>
      </c>
      <c r="E36" s="2">
        <v>2</v>
      </c>
      <c r="F36" s="4" t="s">
        <v>652</v>
      </c>
    </row>
    <row r="37" spans="1:6">
      <c r="A37" s="4">
        <v>10064</v>
      </c>
      <c r="B37" s="19" t="s">
        <v>707</v>
      </c>
      <c r="C37" s="1" t="s">
        <v>708</v>
      </c>
      <c r="D37" s="2">
        <v>2</v>
      </c>
      <c r="E37" s="2">
        <v>2</v>
      </c>
      <c r="F37" s="4" t="s">
        <v>652</v>
      </c>
    </row>
    <row r="38" spans="1:6">
      <c r="A38" s="4">
        <v>10065</v>
      </c>
      <c r="B38" s="19" t="s">
        <v>709</v>
      </c>
      <c r="C38" s="1" t="s">
        <v>709</v>
      </c>
      <c r="D38" s="2">
        <v>2</v>
      </c>
      <c r="E38" s="2">
        <v>2</v>
      </c>
      <c r="F38" s="4" t="s">
        <v>710</v>
      </c>
    </row>
    <row r="39" spans="1:6">
      <c r="A39" s="4">
        <v>10066</v>
      </c>
      <c r="B39" s="19" t="s">
        <v>165</v>
      </c>
      <c r="C39" s="1" t="s">
        <v>711</v>
      </c>
      <c r="D39" s="2">
        <v>2</v>
      </c>
      <c r="E39" s="2">
        <v>2</v>
      </c>
      <c r="F39" s="4" t="s">
        <v>652</v>
      </c>
    </row>
    <row r="40" spans="1:6">
      <c r="A40" s="4">
        <v>10067</v>
      </c>
      <c r="B40" s="19" t="s">
        <v>168</v>
      </c>
      <c r="C40" s="1" t="s">
        <v>712</v>
      </c>
      <c r="D40" s="2">
        <v>2</v>
      </c>
      <c r="E40" s="2">
        <v>2</v>
      </c>
      <c r="F40" s="4" t="s">
        <v>652</v>
      </c>
    </row>
    <row r="41" spans="1:6">
      <c r="A41" s="4">
        <v>10068</v>
      </c>
      <c r="B41" s="19" t="s">
        <v>713</v>
      </c>
      <c r="C41" s="1" t="s">
        <v>714</v>
      </c>
      <c r="D41" s="2">
        <v>2</v>
      </c>
      <c r="E41" s="2">
        <v>2</v>
      </c>
      <c r="F41" s="4" t="s">
        <v>652</v>
      </c>
    </row>
    <row r="42" spans="1:6">
      <c r="A42" s="4">
        <v>10069</v>
      </c>
      <c r="B42" s="19" t="s">
        <v>715</v>
      </c>
      <c r="C42" s="1" t="s">
        <v>716</v>
      </c>
      <c r="D42" s="2">
        <v>2</v>
      </c>
      <c r="E42" s="2">
        <v>2</v>
      </c>
      <c r="F42" s="4" t="s">
        <v>652</v>
      </c>
    </row>
    <row r="43" spans="1:6">
      <c r="A43" s="4">
        <v>10070</v>
      </c>
      <c r="B43" s="19" t="s">
        <v>717</v>
      </c>
      <c r="C43" s="1" t="s">
        <v>718</v>
      </c>
      <c r="D43" s="2">
        <v>2</v>
      </c>
      <c r="E43" s="2">
        <v>2</v>
      </c>
      <c r="F43" s="4" t="s">
        <v>652</v>
      </c>
    </row>
    <row r="44" spans="1:6">
      <c r="A44" s="4">
        <v>10071</v>
      </c>
      <c r="B44" s="19" t="s">
        <v>719</v>
      </c>
      <c r="C44" s="1" t="s">
        <v>720</v>
      </c>
      <c r="D44" s="2">
        <v>2</v>
      </c>
      <c r="E44" s="2">
        <v>2</v>
      </c>
      <c r="F44" s="4" t="s">
        <v>652</v>
      </c>
    </row>
    <row r="45" spans="1:6">
      <c r="A45" s="4">
        <v>10072</v>
      </c>
      <c r="B45" s="19" t="s">
        <v>721</v>
      </c>
      <c r="C45" s="1" t="s">
        <v>722</v>
      </c>
      <c r="D45" s="2">
        <v>2</v>
      </c>
      <c r="E45" s="2">
        <v>2</v>
      </c>
      <c r="F45" s="4" t="s">
        <v>690</v>
      </c>
    </row>
    <row r="46" spans="1:6">
      <c r="A46" s="4">
        <v>10073</v>
      </c>
      <c r="B46" s="19" t="s">
        <v>723</v>
      </c>
      <c r="C46" s="1" t="s">
        <v>724</v>
      </c>
      <c r="D46" s="2">
        <v>2</v>
      </c>
      <c r="E46" s="2">
        <v>2</v>
      </c>
      <c r="F46" s="4" t="s">
        <v>652</v>
      </c>
    </row>
    <row r="47" spans="1:6">
      <c r="A47" s="4">
        <v>10074</v>
      </c>
      <c r="B47" s="19" t="s">
        <v>725</v>
      </c>
      <c r="C47" s="1" t="s">
        <v>726</v>
      </c>
      <c r="D47" s="2">
        <v>2</v>
      </c>
      <c r="E47" s="2">
        <v>2</v>
      </c>
      <c r="F47" s="4" t="s">
        <v>652</v>
      </c>
    </row>
    <row r="48" spans="1:6">
      <c r="A48" s="4">
        <v>10075</v>
      </c>
      <c r="B48" s="19" t="s">
        <v>727</v>
      </c>
      <c r="C48" s="1" t="s">
        <v>728</v>
      </c>
      <c r="D48" s="2">
        <v>2</v>
      </c>
      <c r="E48" s="2">
        <v>2</v>
      </c>
      <c r="F48" s="4" t="s">
        <v>652</v>
      </c>
    </row>
    <row r="49" spans="1:6">
      <c r="A49" s="4">
        <v>10076</v>
      </c>
      <c r="B49" s="19" t="s">
        <v>729</v>
      </c>
      <c r="C49" s="1" t="s">
        <v>730</v>
      </c>
      <c r="D49" s="2">
        <v>2</v>
      </c>
      <c r="E49" s="2">
        <v>2</v>
      </c>
      <c r="F49" s="4" t="s">
        <v>652</v>
      </c>
    </row>
    <row r="50" spans="1:6">
      <c r="A50" s="4">
        <v>10077</v>
      </c>
      <c r="B50" s="19" t="s">
        <v>731</v>
      </c>
      <c r="C50" s="1" t="s">
        <v>732</v>
      </c>
      <c r="D50" s="2">
        <v>0</v>
      </c>
      <c r="E50" s="2">
        <v>0</v>
      </c>
      <c r="F50" s="4" t="s">
        <v>652</v>
      </c>
    </row>
    <row r="51" spans="1:6">
      <c r="A51" s="4">
        <v>10078</v>
      </c>
      <c r="B51" s="19" t="s">
        <v>733</v>
      </c>
      <c r="C51" s="1" t="s">
        <v>734</v>
      </c>
      <c r="D51" s="2">
        <v>2</v>
      </c>
      <c r="E51" s="2">
        <v>2</v>
      </c>
      <c r="F51" s="4" t="s">
        <v>690</v>
      </c>
    </row>
    <row r="52" spans="1:6">
      <c r="A52" s="4">
        <v>10079</v>
      </c>
      <c r="B52" s="19" t="s">
        <v>735</v>
      </c>
      <c r="C52" s="1" t="s">
        <v>736</v>
      </c>
      <c r="D52" s="2">
        <v>2</v>
      </c>
      <c r="E52" s="2">
        <v>2</v>
      </c>
      <c r="F52" s="4" t="s">
        <v>690</v>
      </c>
    </row>
    <row r="53" spans="1:6">
      <c r="A53" s="4">
        <v>10080</v>
      </c>
      <c r="B53" s="19" t="s">
        <v>737</v>
      </c>
      <c r="C53" s="1" t="s">
        <v>738</v>
      </c>
      <c r="D53" s="2">
        <v>2</v>
      </c>
      <c r="E53" s="2">
        <v>2</v>
      </c>
      <c r="F53" s="4" t="s">
        <v>690</v>
      </c>
    </row>
    <row r="54" spans="1:6">
      <c r="A54" s="4">
        <v>10081</v>
      </c>
      <c r="B54" s="19" t="s">
        <v>739</v>
      </c>
      <c r="C54" s="1" t="s">
        <v>740</v>
      </c>
      <c r="D54" s="2">
        <v>2</v>
      </c>
      <c r="E54" s="2">
        <v>2</v>
      </c>
      <c r="F54" s="4" t="s">
        <v>652</v>
      </c>
    </row>
    <row r="55" spans="1:6">
      <c r="A55" s="4">
        <v>10082</v>
      </c>
      <c r="B55" s="19" t="s">
        <v>741</v>
      </c>
      <c r="C55" s="1" t="s">
        <v>742</v>
      </c>
      <c r="D55" s="2">
        <v>2</v>
      </c>
      <c r="E55" s="2">
        <v>2</v>
      </c>
      <c r="F55" s="4" t="s">
        <v>652</v>
      </c>
    </row>
    <row r="56" spans="1:6">
      <c r="A56" s="4">
        <v>10083</v>
      </c>
      <c r="B56" s="19" t="s">
        <v>743</v>
      </c>
      <c r="C56" s="1" t="s">
        <v>744</v>
      </c>
      <c r="D56" s="2">
        <v>2</v>
      </c>
      <c r="E56" s="2">
        <v>2</v>
      </c>
      <c r="F56" s="4" t="s">
        <v>652</v>
      </c>
    </row>
    <row r="57" spans="1:6">
      <c r="A57" s="4">
        <v>10084</v>
      </c>
      <c r="B57" s="19" t="s">
        <v>745</v>
      </c>
      <c r="C57" s="1" t="s">
        <v>746</v>
      </c>
      <c r="D57" s="2">
        <v>2</v>
      </c>
      <c r="E57" s="2">
        <v>2</v>
      </c>
      <c r="F57" s="4" t="s">
        <v>652</v>
      </c>
    </row>
    <row r="58" ht="34.5" spans="1:6">
      <c r="A58" s="4">
        <v>10085</v>
      </c>
      <c r="B58" s="19" t="s">
        <v>747</v>
      </c>
      <c r="C58" s="1" t="s">
        <v>747</v>
      </c>
      <c r="D58" s="2">
        <v>2</v>
      </c>
      <c r="E58" s="2">
        <v>2</v>
      </c>
      <c r="F58" s="4" t="s">
        <v>710</v>
      </c>
    </row>
    <row r="59" ht="34.5" spans="1:6">
      <c r="A59" s="4">
        <v>10086</v>
      </c>
      <c r="B59" s="19" t="s">
        <v>748</v>
      </c>
      <c r="C59" s="1" t="s">
        <v>748</v>
      </c>
      <c r="D59" s="2">
        <v>2</v>
      </c>
      <c r="E59" s="2">
        <v>2</v>
      </c>
      <c r="F59" s="4" t="s">
        <v>710</v>
      </c>
    </row>
    <row r="60" spans="1:6">
      <c r="A60" s="4">
        <v>10087</v>
      </c>
      <c r="B60" s="19" t="s">
        <v>749</v>
      </c>
      <c r="C60" s="1" t="s">
        <v>749</v>
      </c>
      <c r="D60" s="2">
        <v>2</v>
      </c>
      <c r="E60" s="2">
        <v>2</v>
      </c>
      <c r="F60" s="4" t="s">
        <v>710</v>
      </c>
    </row>
    <row r="61" spans="1:6">
      <c r="A61" s="4">
        <v>10088</v>
      </c>
      <c r="B61" s="19" t="s">
        <v>750</v>
      </c>
      <c r="C61" s="1" t="s">
        <v>751</v>
      </c>
      <c r="D61" s="2">
        <v>2</v>
      </c>
      <c r="E61" s="2">
        <v>2</v>
      </c>
      <c r="F61" s="4" t="s">
        <v>652</v>
      </c>
    </row>
    <row r="62" spans="1:6">
      <c r="A62" s="4">
        <v>10089</v>
      </c>
      <c r="B62" s="19" t="s">
        <v>752</v>
      </c>
      <c r="C62" s="1" t="s">
        <v>752</v>
      </c>
      <c r="D62" s="2">
        <v>2</v>
      </c>
      <c r="E62" s="2">
        <v>2</v>
      </c>
      <c r="F62" s="4" t="s">
        <v>710</v>
      </c>
    </row>
    <row r="63" spans="1:6">
      <c r="A63" s="4">
        <v>10090</v>
      </c>
      <c r="B63" s="19" t="s">
        <v>753</v>
      </c>
      <c r="C63" s="1" t="s">
        <v>754</v>
      </c>
      <c r="D63" s="2">
        <v>2</v>
      </c>
      <c r="E63" s="2">
        <v>2</v>
      </c>
      <c r="F63" s="4" t="s">
        <v>710</v>
      </c>
    </row>
    <row r="64" spans="1:6">
      <c r="A64" s="4">
        <v>10091</v>
      </c>
      <c r="B64" s="19" t="s">
        <v>755</v>
      </c>
      <c r="C64" s="1" t="s">
        <v>756</v>
      </c>
      <c r="D64" s="2">
        <v>2</v>
      </c>
      <c r="E64" s="2">
        <v>2</v>
      </c>
      <c r="F64" s="4" t="s">
        <v>710</v>
      </c>
    </row>
    <row r="65" spans="1:6">
      <c r="A65" s="4">
        <v>10092</v>
      </c>
      <c r="B65" s="19" t="s">
        <v>757</v>
      </c>
      <c r="C65" s="19" t="s">
        <v>758</v>
      </c>
      <c r="D65" s="2">
        <v>2</v>
      </c>
      <c r="E65" s="2">
        <v>2</v>
      </c>
      <c r="F65" s="4" t="s">
        <v>710</v>
      </c>
    </row>
    <row r="66" spans="1:6">
      <c r="A66" s="4">
        <v>10093</v>
      </c>
      <c r="B66" s="19" t="s">
        <v>759</v>
      </c>
      <c r="C66" s="1" t="s">
        <v>760</v>
      </c>
      <c r="D66" s="2">
        <v>2</v>
      </c>
      <c r="E66" s="2">
        <v>2</v>
      </c>
      <c r="F66" s="4" t="s">
        <v>710</v>
      </c>
    </row>
    <row r="67" spans="1:6">
      <c r="A67" s="4">
        <v>10094</v>
      </c>
      <c r="B67" s="19" t="s">
        <v>761</v>
      </c>
      <c r="C67" s="1" t="s">
        <v>762</v>
      </c>
      <c r="D67" s="2">
        <v>2</v>
      </c>
      <c r="E67" s="2">
        <v>2</v>
      </c>
      <c r="F67" s="4" t="s">
        <v>710</v>
      </c>
    </row>
    <row r="68" spans="1:6">
      <c r="A68" s="4">
        <v>10095</v>
      </c>
      <c r="B68" s="19" t="s">
        <v>763</v>
      </c>
      <c r="C68" s="1" t="s">
        <v>764</v>
      </c>
      <c r="D68" s="2">
        <v>2</v>
      </c>
      <c r="E68" s="2">
        <v>2</v>
      </c>
      <c r="F68" s="4" t="s">
        <v>652</v>
      </c>
    </row>
    <row r="69" spans="1:6">
      <c r="A69" s="4">
        <v>10096</v>
      </c>
      <c r="B69" s="19" t="s">
        <v>765</v>
      </c>
      <c r="C69" s="1" t="s">
        <v>766</v>
      </c>
      <c r="D69" s="2">
        <v>2</v>
      </c>
      <c r="E69" s="2">
        <v>2</v>
      </c>
      <c r="F69" s="4" t="s">
        <v>652</v>
      </c>
    </row>
    <row r="70" spans="1:6">
      <c r="A70" s="4">
        <v>10097</v>
      </c>
      <c r="B70" s="19" t="s">
        <v>767</v>
      </c>
      <c r="C70" s="1" t="s">
        <v>768</v>
      </c>
      <c r="D70" s="2">
        <v>2</v>
      </c>
      <c r="E70" s="2">
        <v>2</v>
      </c>
      <c r="F70" s="4" t="s">
        <v>710</v>
      </c>
    </row>
    <row r="71" spans="1:6">
      <c r="A71" s="4">
        <v>10098</v>
      </c>
      <c r="B71" s="19" t="s">
        <v>769</v>
      </c>
      <c r="C71" s="1" t="s">
        <v>770</v>
      </c>
      <c r="D71" s="2">
        <v>2</v>
      </c>
      <c r="E71" s="2">
        <v>2</v>
      </c>
      <c r="F71" s="4" t="s">
        <v>710</v>
      </c>
    </row>
    <row r="72" spans="1:6">
      <c r="A72" s="4">
        <v>10099</v>
      </c>
      <c r="B72" s="19" t="s">
        <v>771</v>
      </c>
      <c r="C72" s="1" t="s">
        <v>772</v>
      </c>
      <c r="D72" s="2">
        <v>2</v>
      </c>
      <c r="E72" s="2">
        <v>2</v>
      </c>
      <c r="F72" s="4" t="s">
        <v>710</v>
      </c>
    </row>
    <row r="73" spans="1:6">
      <c r="A73" s="4">
        <v>10100</v>
      </c>
      <c r="B73" s="19" t="s">
        <v>773</v>
      </c>
      <c r="C73" s="1" t="s">
        <v>774</v>
      </c>
      <c r="D73" s="2">
        <v>2</v>
      </c>
      <c r="E73" s="2">
        <v>2</v>
      </c>
      <c r="F73" s="4" t="s">
        <v>710</v>
      </c>
    </row>
    <row r="74" spans="1:6">
      <c r="A74" s="4">
        <v>10101</v>
      </c>
      <c r="B74" s="19" t="s">
        <v>775</v>
      </c>
      <c r="C74" s="1" t="s">
        <v>776</v>
      </c>
      <c r="D74" s="2">
        <v>2</v>
      </c>
      <c r="E74" s="2">
        <v>2</v>
      </c>
      <c r="F74" s="4" t="s">
        <v>710</v>
      </c>
    </row>
    <row r="75" spans="1:6">
      <c r="A75" s="4">
        <v>10102</v>
      </c>
      <c r="B75" s="19" t="s">
        <v>777</v>
      </c>
      <c r="C75" s="1" t="s">
        <v>778</v>
      </c>
      <c r="D75" s="2">
        <v>2</v>
      </c>
      <c r="E75" s="2">
        <v>2</v>
      </c>
      <c r="F75" s="4" t="s">
        <v>710</v>
      </c>
    </row>
    <row r="76" spans="1:6">
      <c r="A76" s="4">
        <v>10103</v>
      </c>
      <c r="B76" s="19" t="s">
        <v>779</v>
      </c>
      <c r="C76" s="1" t="s">
        <v>779</v>
      </c>
      <c r="D76" s="2">
        <v>2</v>
      </c>
      <c r="E76" s="2">
        <v>2</v>
      </c>
      <c r="F76" s="4" t="s">
        <v>710</v>
      </c>
    </row>
    <row r="77" spans="1:6">
      <c r="A77" s="4">
        <v>10104</v>
      </c>
      <c r="B77" s="19" t="s">
        <v>780</v>
      </c>
      <c r="C77" s="1" t="s">
        <v>780</v>
      </c>
      <c r="D77" s="2">
        <v>2</v>
      </c>
      <c r="E77" s="2">
        <v>2</v>
      </c>
      <c r="F77" s="4" t="s">
        <v>710</v>
      </c>
    </row>
    <row r="78" spans="1:6">
      <c r="A78" s="4">
        <v>10105</v>
      </c>
      <c r="B78" s="19" t="s">
        <v>781</v>
      </c>
      <c r="C78" s="1" t="s">
        <v>781</v>
      </c>
      <c r="D78" s="2">
        <v>2</v>
      </c>
      <c r="E78" s="2">
        <v>2</v>
      </c>
      <c r="F78" s="4" t="s">
        <v>710</v>
      </c>
    </row>
    <row r="79" spans="1:6">
      <c r="A79" s="2">
        <v>10106</v>
      </c>
      <c r="B79" s="17" t="s">
        <v>782</v>
      </c>
      <c r="C79" s="3" t="s">
        <v>783</v>
      </c>
      <c r="D79" s="2">
        <v>2</v>
      </c>
      <c r="E79" s="3">
        <v>2</v>
      </c>
      <c r="F79" s="2" t="s">
        <v>652</v>
      </c>
    </row>
    <row r="80" spans="1:6">
      <c r="A80" s="2">
        <v>10107</v>
      </c>
      <c r="B80" s="17" t="s">
        <v>784</v>
      </c>
      <c r="C80" s="3" t="s">
        <v>785</v>
      </c>
      <c r="D80" s="2">
        <v>2</v>
      </c>
      <c r="E80" s="3">
        <v>2</v>
      </c>
      <c r="F80" s="2" t="s">
        <v>652</v>
      </c>
    </row>
    <row r="81" spans="1:6">
      <c r="A81" s="2">
        <v>10108</v>
      </c>
      <c r="B81" s="17" t="s">
        <v>786</v>
      </c>
      <c r="C81" s="3" t="s">
        <v>787</v>
      </c>
      <c r="D81" s="2">
        <v>2</v>
      </c>
      <c r="E81" s="3">
        <v>2</v>
      </c>
      <c r="F81" s="2" t="s">
        <v>652</v>
      </c>
    </row>
    <row r="82" spans="1:6">
      <c r="A82" s="2">
        <v>10109</v>
      </c>
      <c r="B82" s="17" t="s">
        <v>788</v>
      </c>
      <c r="C82" s="3" t="s">
        <v>789</v>
      </c>
      <c r="D82" s="2">
        <v>2</v>
      </c>
      <c r="E82" s="3">
        <v>2</v>
      </c>
      <c r="F82" s="2" t="s">
        <v>710</v>
      </c>
    </row>
    <row r="83" spans="1:6">
      <c r="A83" s="2">
        <v>10110</v>
      </c>
      <c r="B83" s="17" t="s">
        <v>790</v>
      </c>
      <c r="C83" s="3" t="s">
        <v>791</v>
      </c>
      <c r="D83" s="2">
        <v>2</v>
      </c>
      <c r="E83" s="3">
        <v>2</v>
      </c>
      <c r="F83" s="2" t="s">
        <v>710</v>
      </c>
    </row>
    <row r="84" spans="1:6">
      <c r="A84" s="2">
        <v>10111</v>
      </c>
      <c r="B84" s="17" t="s">
        <v>792</v>
      </c>
      <c r="C84" s="3" t="s">
        <v>793</v>
      </c>
      <c r="D84" s="2">
        <v>2</v>
      </c>
      <c r="E84" s="3">
        <v>2</v>
      </c>
      <c r="F84" s="2" t="s">
        <v>652</v>
      </c>
    </row>
    <row r="85" spans="1:6">
      <c r="A85" s="2">
        <v>10112</v>
      </c>
      <c r="B85" s="17" t="s">
        <v>794</v>
      </c>
      <c r="C85" s="3" t="s">
        <v>795</v>
      </c>
      <c r="D85" s="2">
        <v>2</v>
      </c>
      <c r="E85" s="3">
        <v>2</v>
      </c>
      <c r="F85" s="2" t="s">
        <v>643</v>
      </c>
    </row>
    <row r="86" spans="1:6">
      <c r="A86" s="2">
        <v>10113</v>
      </c>
      <c r="B86" s="17" t="s">
        <v>796</v>
      </c>
      <c r="C86" s="3" t="s">
        <v>797</v>
      </c>
      <c r="D86" s="2">
        <v>2</v>
      </c>
      <c r="E86" s="3">
        <v>2</v>
      </c>
      <c r="F86" s="2" t="s">
        <v>643</v>
      </c>
    </row>
    <row r="87" spans="1:6">
      <c r="A87" s="2">
        <v>10114</v>
      </c>
      <c r="B87" s="17" t="s">
        <v>798</v>
      </c>
      <c r="C87" s="3" t="s">
        <v>799</v>
      </c>
      <c r="D87" s="2">
        <v>2</v>
      </c>
      <c r="E87" s="3">
        <v>2</v>
      </c>
      <c r="F87" s="2" t="s">
        <v>643</v>
      </c>
    </row>
    <row r="88" spans="1:6">
      <c r="A88" s="2">
        <v>10116</v>
      </c>
      <c r="B88" s="17" t="s">
        <v>800</v>
      </c>
      <c r="C88" s="3" t="s">
        <v>801</v>
      </c>
      <c r="D88" s="2">
        <v>2</v>
      </c>
      <c r="E88" s="3">
        <v>2</v>
      </c>
      <c r="F88" s="2" t="s">
        <v>652</v>
      </c>
    </row>
    <row r="89" spans="1:6">
      <c r="A89" s="2">
        <v>10117</v>
      </c>
      <c r="B89" s="17" t="s">
        <v>802</v>
      </c>
      <c r="C89" s="3" t="s">
        <v>803</v>
      </c>
      <c r="D89" s="2">
        <v>0</v>
      </c>
      <c r="E89" s="3">
        <v>0</v>
      </c>
      <c r="F89" s="2" t="s">
        <v>652</v>
      </c>
    </row>
    <row r="90" spans="1:6">
      <c r="A90" s="2">
        <v>10118</v>
      </c>
      <c r="B90" s="17" t="s">
        <v>804</v>
      </c>
      <c r="C90" s="3" t="s">
        <v>805</v>
      </c>
      <c r="D90" s="2">
        <v>2</v>
      </c>
      <c r="E90" s="3">
        <v>2</v>
      </c>
      <c r="F90" s="2" t="s">
        <v>652</v>
      </c>
    </row>
    <row r="91" spans="1:6">
      <c r="A91" s="2">
        <v>10119</v>
      </c>
      <c r="B91" s="17" t="s">
        <v>806</v>
      </c>
      <c r="C91" s="3" t="s">
        <v>807</v>
      </c>
      <c r="D91" s="2">
        <v>2</v>
      </c>
      <c r="E91" s="3">
        <v>2</v>
      </c>
      <c r="F91" s="2" t="s">
        <v>710</v>
      </c>
    </row>
    <row r="92" spans="1:6">
      <c r="A92" s="2">
        <v>10120</v>
      </c>
      <c r="B92" s="17" t="s">
        <v>186</v>
      </c>
      <c r="C92" s="3" t="s">
        <v>808</v>
      </c>
      <c r="D92" s="2">
        <v>2</v>
      </c>
      <c r="E92" s="3">
        <v>2</v>
      </c>
      <c r="F92" s="2" t="s">
        <v>652</v>
      </c>
    </row>
    <row r="93" spans="1:6">
      <c r="A93" s="2">
        <v>10121</v>
      </c>
      <c r="B93" s="17" t="s">
        <v>809</v>
      </c>
      <c r="C93" s="3" t="s">
        <v>810</v>
      </c>
      <c r="D93" s="2">
        <v>2</v>
      </c>
      <c r="E93" s="3">
        <v>2</v>
      </c>
      <c r="F93" s="2" t="s">
        <v>652</v>
      </c>
    </row>
    <row r="94" spans="1:6">
      <c r="A94" s="2">
        <v>10122</v>
      </c>
      <c r="B94" s="17" t="s">
        <v>811</v>
      </c>
      <c r="C94" s="3" t="s">
        <v>812</v>
      </c>
      <c r="D94" s="2">
        <v>0</v>
      </c>
      <c r="E94" s="3">
        <v>0</v>
      </c>
      <c r="F94" s="2" t="s">
        <v>690</v>
      </c>
    </row>
    <row r="95" spans="1:6">
      <c r="A95" s="2">
        <v>10123</v>
      </c>
      <c r="B95" s="17" t="s">
        <v>813</v>
      </c>
      <c r="C95" s="3" t="s">
        <v>814</v>
      </c>
      <c r="D95" s="2">
        <v>2</v>
      </c>
      <c r="E95" s="3">
        <v>2</v>
      </c>
      <c r="F95" s="2" t="s">
        <v>690</v>
      </c>
    </row>
    <row r="96" spans="1:6">
      <c r="A96" s="2">
        <v>10124</v>
      </c>
      <c r="B96" s="17" t="s">
        <v>815</v>
      </c>
      <c r="C96" s="3" t="s">
        <v>816</v>
      </c>
      <c r="D96" s="2">
        <v>2</v>
      </c>
      <c r="E96" s="3">
        <v>2</v>
      </c>
      <c r="F96" s="2" t="s">
        <v>652</v>
      </c>
    </row>
    <row r="97" spans="1:6">
      <c r="A97" s="2">
        <v>10125</v>
      </c>
      <c r="B97" s="17" t="s">
        <v>817</v>
      </c>
      <c r="C97" s="3" t="s">
        <v>818</v>
      </c>
      <c r="D97" s="2">
        <v>2</v>
      </c>
      <c r="E97" s="3">
        <v>2</v>
      </c>
      <c r="F97" s="2" t="s">
        <v>652</v>
      </c>
    </row>
    <row r="98" spans="1:6">
      <c r="A98" s="2">
        <v>10126</v>
      </c>
      <c r="B98" s="17" t="s">
        <v>804</v>
      </c>
      <c r="C98" s="3" t="s">
        <v>805</v>
      </c>
      <c r="D98" s="2">
        <v>2</v>
      </c>
      <c r="E98" s="3">
        <v>2</v>
      </c>
      <c r="F98" s="2" t="s">
        <v>652</v>
      </c>
    </row>
    <row r="99" spans="1:6">
      <c r="A99" s="2">
        <v>10127</v>
      </c>
      <c r="B99" s="17" t="s">
        <v>819</v>
      </c>
      <c r="C99" s="3" t="s">
        <v>820</v>
      </c>
      <c r="D99" s="2">
        <v>2</v>
      </c>
      <c r="E99" s="3">
        <v>2</v>
      </c>
      <c r="F99" s="2" t="s">
        <v>652</v>
      </c>
    </row>
    <row r="100" spans="1:6">
      <c r="A100" s="2">
        <v>10128</v>
      </c>
      <c r="B100" s="17" t="s">
        <v>821</v>
      </c>
      <c r="C100" s="3" t="s">
        <v>822</v>
      </c>
      <c r="D100" s="2">
        <v>2</v>
      </c>
      <c r="E100" s="3">
        <v>2</v>
      </c>
      <c r="F100" s="2" t="s">
        <v>652</v>
      </c>
    </row>
    <row r="101" spans="1:6">
      <c r="A101" s="2">
        <v>10129</v>
      </c>
      <c r="B101" s="17" t="s">
        <v>823</v>
      </c>
      <c r="C101" s="3" t="s">
        <v>824</v>
      </c>
      <c r="D101" s="2">
        <v>0</v>
      </c>
      <c r="E101" s="3">
        <v>0</v>
      </c>
      <c r="F101" s="2" t="s">
        <v>643</v>
      </c>
    </row>
    <row r="102" spans="1:6">
      <c r="A102" s="2">
        <v>10130</v>
      </c>
      <c r="B102" s="17" t="s">
        <v>825</v>
      </c>
      <c r="C102" s="3" t="s">
        <v>826</v>
      </c>
      <c r="D102" s="2">
        <v>2</v>
      </c>
      <c r="E102" s="3">
        <v>2</v>
      </c>
      <c r="F102" s="2" t="s">
        <v>710</v>
      </c>
    </row>
    <row r="103" spans="1:6">
      <c r="A103" s="2">
        <v>10131</v>
      </c>
      <c r="B103" s="17" t="s">
        <v>827</v>
      </c>
      <c r="C103" s="3" t="s">
        <v>828</v>
      </c>
      <c r="D103" s="2">
        <v>0</v>
      </c>
      <c r="E103" s="3">
        <v>0</v>
      </c>
      <c r="F103" s="2" t="s">
        <v>652</v>
      </c>
    </row>
    <row r="104" spans="1:6">
      <c r="A104" s="2">
        <v>10132</v>
      </c>
      <c r="B104" s="17" t="s">
        <v>829</v>
      </c>
      <c r="C104" s="3" t="s">
        <v>830</v>
      </c>
      <c r="D104" s="2">
        <v>2</v>
      </c>
      <c r="E104" s="3">
        <v>2</v>
      </c>
      <c r="F104" s="2" t="s">
        <v>652</v>
      </c>
    </row>
    <row r="105" spans="1:6">
      <c r="A105" s="2">
        <v>10134</v>
      </c>
      <c r="B105" s="17" t="s">
        <v>831</v>
      </c>
      <c r="C105" s="3" t="s">
        <v>832</v>
      </c>
      <c r="D105" s="2">
        <v>2</v>
      </c>
      <c r="E105" s="3">
        <v>2</v>
      </c>
      <c r="F105" s="2" t="s">
        <v>710</v>
      </c>
    </row>
    <row r="106" spans="1:6">
      <c r="A106" s="2">
        <v>10135</v>
      </c>
      <c r="B106" s="17" t="s">
        <v>833</v>
      </c>
      <c r="C106" s="3" t="s">
        <v>834</v>
      </c>
      <c r="D106" s="2">
        <v>2</v>
      </c>
      <c r="E106" s="3">
        <v>2</v>
      </c>
      <c r="F106" s="2" t="s">
        <v>652</v>
      </c>
    </row>
    <row r="107" spans="1:6">
      <c r="A107" s="2">
        <v>10136</v>
      </c>
      <c r="B107" s="17" t="s">
        <v>835</v>
      </c>
      <c r="C107" s="3" t="s">
        <v>836</v>
      </c>
      <c r="D107" s="2">
        <v>2</v>
      </c>
      <c r="E107" s="3">
        <v>2</v>
      </c>
      <c r="F107" s="2" t="s">
        <v>652</v>
      </c>
    </row>
    <row r="108" spans="1:6">
      <c r="A108" s="2">
        <v>10137</v>
      </c>
      <c r="B108" s="17" t="s">
        <v>837</v>
      </c>
      <c r="C108" s="3" t="s">
        <v>838</v>
      </c>
      <c r="D108" s="2">
        <v>2</v>
      </c>
      <c r="E108" s="3">
        <v>2</v>
      </c>
      <c r="F108" s="2" t="s">
        <v>710</v>
      </c>
    </row>
    <row r="109" spans="1:6">
      <c r="A109" s="2">
        <v>10138</v>
      </c>
      <c r="B109" s="17" t="s">
        <v>839</v>
      </c>
      <c r="C109" s="3" t="s">
        <v>840</v>
      </c>
      <c r="D109" s="2">
        <v>2</v>
      </c>
      <c r="E109" s="3">
        <v>2</v>
      </c>
      <c r="F109" s="2" t="s">
        <v>710</v>
      </c>
    </row>
    <row r="110" spans="1:6">
      <c r="A110" s="2">
        <v>10139</v>
      </c>
      <c r="B110" s="17" t="s">
        <v>841</v>
      </c>
      <c r="C110" s="3" t="s">
        <v>842</v>
      </c>
      <c r="D110" s="2">
        <v>0</v>
      </c>
      <c r="E110" s="3">
        <v>0</v>
      </c>
      <c r="F110" s="2" t="s">
        <v>710</v>
      </c>
    </row>
    <row r="111" spans="1:6">
      <c r="A111" s="2">
        <v>10140</v>
      </c>
      <c r="B111" s="17" t="s">
        <v>843</v>
      </c>
      <c r="C111" s="3" t="s">
        <v>844</v>
      </c>
      <c r="D111" s="2">
        <v>2</v>
      </c>
      <c r="E111" s="3">
        <v>2</v>
      </c>
      <c r="F111" s="2" t="s">
        <v>652</v>
      </c>
    </row>
    <row r="112" spans="1:6">
      <c r="A112" s="2">
        <v>10141</v>
      </c>
      <c r="B112" s="17" t="s">
        <v>845</v>
      </c>
      <c r="C112" s="3" t="s">
        <v>846</v>
      </c>
      <c r="D112" s="2">
        <v>0</v>
      </c>
      <c r="E112" s="3">
        <v>0</v>
      </c>
      <c r="F112" s="2" t="s">
        <v>710</v>
      </c>
    </row>
    <row r="113" spans="1:6">
      <c r="A113" s="2">
        <v>10142</v>
      </c>
      <c r="B113" s="17" t="s">
        <v>847</v>
      </c>
      <c r="C113" s="3" t="s">
        <v>848</v>
      </c>
      <c r="D113" s="2">
        <v>2</v>
      </c>
      <c r="E113" s="3">
        <v>2</v>
      </c>
      <c r="F113" s="2" t="s">
        <v>652</v>
      </c>
    </row>
    <row r="114" spans="1:6">
      <c r="A114" s="2">
        <v>10143</v>
      </c>
      <c r="B114" s="17" t="s">
        <v>849</v>
      </c>
      <c r="C114" s="3" t="s">
        <v>850</v>
      </c>
      <c r="D114" s="2">
        <v>2</v>
      </c>
      <c r="E114" s="3">
        <v>2</v>
      </c>
      <c r="F114" s="2" t="s">
        <v>652</v>
      </c>
    </row>
    <row r="115" spans="1:6">
      <c r="A115" s="2">
        <v>10144</v>
      </c>
      <c r="B115" s="17" t="s">
        <v>851</v>
      </c>
      <c r="C115" s="3" t="s">
        <v>852</v>
      </c>
      <c r="D115" s="2">
        <v>2</v>
      </c>
      <c r="E115" s="3">
        <v>2</v>
      </c>
      <c r="F115" s="2" t="s">
        <v>710</v>
      </c>
    </row>
    <row r="116" spans="1:6">
      <c r="A116" s="2">
        <v>10145</v>
      </c>
      <c r="B116" s="17" t="s">
        <v>853</v>
      </c>
      <c r="C116" s="3" t="s">
        <v>854</v>
      </c>
      <c r="D116" s="2">
        <v>0</v>
      </c>
      <c r="E116" s="3">
        <v>0</v>
      </c>
      <c r="F116" s="2" t="s">
        <v>710</v>
      </c>
    </row>
    <row r="117" spans="1:6">
      <c r="A117" s="2">
        <v>10146</v>
      </c>
      <c r="B117" s="17" t="s">
        <v>855</v>
      </c>
      <c r="C117" s="3" t="s">
        <v>856</v>
      </c>
      <c r="D117" s="2">
        <v>2</v>
      </c>
      <c r="E117" s="3">
        <v>2</v>
      </c>
      <c r="F117" s="2" t="s">
        <v>652</v>
      </c>
    </row>
    <row r="118" spans="1:6">
      <c r="A118" s="2">
        <v>10147</v>
      </c>
      <c r="B118" s="17" t="s">
        <v>857</v>
      </c>
      <c r="C118" s="3" t="s">
        <v>858</v>
      </c>
      <c r="D118" s="2">
        <v>2</v>
      </c>
      <c r="E118" s="3">
        <v>2</v>
      </c>
      <c r="F118" s="2" t="s">
        <v>652</v>
      </c>
    </row>
    <row r="119" spans="1:6">
      <c r="A119" s="2">
        <v>10148</v>
      </c>
      <c r="B119" s="17" t="s">
        <v>859</v>
      </c>
      <c r="C119" s="3" t="s">
        <v>860</v>
      </c>
      <c r="D119" s="2">
        <v>0</v>
      </c>
      <c r="E119" s="3">
        <v>0</v>
      </c>
      <c r="F119" s="2" t="s">
        <v>652</v>
      </c>
    </row>
    <row r="120" spans="1:6">
      <c r="A120" s="2">
        <v>10149</v>
      </c>
      <c r="B120" s="17" t="s">
        <v>861</v>
      </c>
      <c r="C120" s="3" t="s">
        <v>862</v>
      </c>
      <c r="D120" s="2">
        <v>0</v>
      </c>
      <c r="E120" s="3">
        <v>0</v>
      </c>
      <c r="F120" s="2" t="s">
        <v>652</v>
      </c>
    </row>
    <row r="121" spans="1:6">
      <c r="A121" s="2">
        <v>10150</v>
      </c>
      <c r="B121" s="17" t="s">
        <v>863</v>
      </c>
      <c r="C121" s="3" t="s">
        <v>864</v>
      </c>
      <c r="D121" s="2">
        <v>0</v>
      </c>
      <c r="E121" s="3">
        <v>0</v>
      </c>
      <c r="F121" s="2" t="s">
        <v>652</v>
      </c>
    </row>
    <row r="122" spans="1:6">
      <c r="A122" s="2">
        <v>10151</v>
      </c>
      <c r="B122" s="17" t="s">
        <v>865</v>
      </c>
      <c r="C122" s="3" t="s">
        <v>866</v>
      </c>
      <c r="D122" s="2">
        <v>0</v>
      </c>
      <c r="E122" s="3">
        <v>0</v>
      </c>
      <c r="F122" s="2" t="s">
        <v>652</v>
      </c>
    </row>
    <row r="123" spans="1:6">
      <c r="A123" s="2">
        <v>10152</v>
      </c>
      <c r="B123" s="17" t="s">
        <v>867</v>
      </c>
      <c r="C123" s="3" t="s">
        <v>868</v>
      </c>
      <c r="D123" s="2">
        <v>0</v>
      </c>
      <c r="E123" s="3">
        <v>0</v>
      </c>
      <c r="F123" s="2" t="s">
        <v>652</v>
      </c>
    </row>
    <row r="124" spans="1:6">
      <c r="A124" s="2">
        <v>10153</v>
      </c>
      <c r="B124" s="17" t="s">
        <v>869</v>
      </c>
      <c r="C124" s="3" t="s">
        <v>870</v>
      </c>
      <c r="D124" s="2">
        <v>0</v>
      </c>
      <c r="E124" s="3">
        <v>0</v>
      </c>
      <c r="F124" s="2" t="s">
        <v>652</v>
      </c>
    </row>
    <row r="125" spans="1:6">
      <c r="A125" s="2">
        <v>10154</v>
      </c>
      <c r="B125" s="17" t="s">
        <v>871</v>
      </c>
      <c r="C125" s="3" t="s">
        <v>872</v>
      </c>
      <c r="D125" s="2">
        <v>0</v>
      </c>
      <c r="E125" s="3">
        <v>0</v>
      </c>
      <c r="F125" s="2" t="s">
        <v>652</v>
      </c>
    </row>
    <row r="126" spans="1:6">
      <c r="A126" s="2">
        <v>10155</v>
      </c>
      <c r="B126" s="17" t="s">
        <v>873</v>
      </c>
      <c r="C126" s="3" t="s">
        <v>874</v>
      </c>
      <c r="D126" s="2">
        <v>0</v>
      </c>
      <c r="E126" s="3">
        <v>0</v>
      </c>
      <c r="F126" s="2" t="s">
        <v>652</v>
      </c>
    </row>
    <row r="127" spans="1:6">
      <c r="A127" s="2">
        <v>10156</v>
      </c>
      <c r="B127" s="17" t="s">
        <v>875</v>
      </c>
      <c r="C127" s="3" t="s">
        <v>876</v>
      </c>
      <c r="D127" s="2">
        <v>0</v>
      </c>
      <c r="E127" s="3">
        <v>0</v>
      </c>
      <c r="F127" s="2" t="s">
        <v>652</v>
      </c>
    </row>
    <row r="128" spans="1:6">
      <c r="A128" s="2">
        <v>10157</v>
      </c>
      <c r="B128" s="17" t="s">
        <v>877</v>
      </c>
      <c r="C128" s="3" t="s">
        <v>878</v>
      </c>
      <c r="D128" s="2">
        <v>0</v>
      </c>
      <c r="E128" s="3">
        <v>0</v>
      </c>
      <c r="F128" s="2" t="s">
        <v>652</v>
      </c>
    </row>
    <row r="129" spans="1:6">
      <c r="A129" s="2">
        <v>10158</v>
      </c>
      <c r="B129" s="17" t="s">
        <v>879</v>
      </c>
      <c r="C129" s="3" t="s">
        <v>880</v>
      </c>
      <c r="D129" s="2">
        <v>0</v>
      </c>
      <c r="E129" s="3">
        <v>0</v>
      </c>
      <c r="F129" s="2" t="s">
        <v>652</v>
      </c>
    </row>
    <row r="130" spans="1:6">
      <c r="A130" s="2">
        <v>10159</v>
      </c>
      <c r="B130" s="17" t="s">
        <v>881</v>
      </c>
      <c r="C130" s="3" t="s">
        <v>882</v>
      </c>
      <c r="D130" s="2">
        <v>0</v>
      </c>
      <c r="E130" s="3">
        <v>0</v>
      </c>
      <c r="F130" s="2" t="s">
        <v>652</v>
      </c>
    </row>
    <row r="131" spans="1:6">
      <c r="A131" s="2">
        <v>10160</v>
      </c>
      <c r="B131" s="17" t="s">
        <v>883</v>
      </c>
      <c r="C131" s="3" t="s">
        <v>884</v>
      </c>
      <c r="D131" s="2">
        <v>0</v>
      </c>
      <c r="E131" s="3">
        <v>0</v>
      </c>
      <c r="F131" s="2" t="s">
        <v>652</v>
      </c>
    </row>
    <row r="132" spans="1:6">
      <c r="A132" s="2">
        <v>10161</v>
      </c>
      <c r="B132" s="17" t="s">
        <v>885</v>
      </c>
      <c r="C132" s="3" t="s">
        <v>886</v>
      </c>
      <c r="D132" s="2">
        <v>0</v>
      </c>
      <c r="E132" s="3">
        <v>0</v>
      </c>
      <c r="F132" s="2" t="s">
        <v>652</v>
      </c>
    </row>
    <row r="133" customHeight="1" spans="1:6">
      <c r="A133" s="2">
        <v>10162</v>
      </c>
      <c r="B133" s="17" t="s">
        <v>887</v>
      </c>
      <c r="C133" s="3" t="s">
        <v>888</v>
      </c>
      <c r="D133" s="2">
        <v>0</v>
      </c>
      <c r="E133" s="3">
        <v>0</v>
      </c>
      <c r="F133" s="2" t="s">
        <v>652</v>
      </c>
    </row>
    <row r="134" customHeight="1" spans="1:6">
      <c r="A134" s="2">
        <v>10167</v>
      </c>
      <c r="B134" s="17" t="s">
        <v>889</v>
      </c>
      <c r="C134" s="3" t="s">
        <v>889</v>
      </c>
      <c r="D134" s="2">
        <v>2</v>
      </c>
      <c r="E134" s="2">
        <v>2</v>
      </c>
      <c r="F134" s="2" t="s">
        <v>652</v>
      </c>
    </row>
    <row r="135" spans="1:6">
      <c r="A135" s="2">
        <v>10168</v>
      </c>
      <c r="B135" s="17" t="s">
        <v>890</v>
      </c>
      <c r="C135" s="3" t="s">
        <v>891</v>
      </c>
      <c r="D135" s="2">
        <v>2</v>
      </c>
      <c r="E135" s="2">
        <v>2</v>
      </c>
      <c r="F135" s="2" t="s">
        <v>652</v>
      </c>
    </row>
    <row r="136" spans="1:6">
      <c r="A136" s="2">
        <v>10169</v>
      </c>
      <c r="B136" s="17" t="s">
        <v>892</v>
      </c>
      <c r="C136" s="3" t="s">
        <v>893</v>
      </c>
      <c r="D136" s="2">
        <v>2</v>
      </c>
      <c r="E136" s="2">
        <v>2</v>
      </c>
      <c r="F136" s="2" t="s">
        <v>652</v>
      </c>
    </row>
    <row r="137" spans="1:6">
      <c r="A137" s="2">
        <v>10170</v>
      </c>
      <c r="B137" s="17" t="s">
        <v>894</v>
      </c>
      <c r="C137" s="3" t="s">
        <v>895</v>
      </c>
      <c r="D137" s="2">
        <v>2</v>
      </c>
      <c r="E137" s="2">
        <v>2</v>
      </c>
      <c r="F137" s="2" t="s">
        <v>652</v>
      </c>
    </row>
    <row r="138" spans="1:6">
      <c r="A138" s="2">
        <v>10171</v>
      </c>
      <c r="B138" s="17" t="s">
        <v>896</v>
      </c>
      <c r="C138" s="3" t="s">
        <v>897</v>
      </c>
      <c r="D138" s="2">
        <v>2</v>
      </c>
      <c r="E138" s="2">
        <v>2</v>
      </c>
      <c r="F138" s="2" t="s">
        <v>652</v>
      </c>
    </row>
    <row r="139" spans="1:6">
      <c r="A139" s="2">
        <v>10172</v>
      </c>
      <c r="B139" s="17" t="s">
        <v>898</v>
      </c>
      <c r="C139" s="3" t="s">
        <v>899</v>
      </c>
      <c r="D139" s="2">
        <v>2</v>
      </c>
      <c r="E139" s="2">
        <v>2</v>
      </c>
      <c r="F139" s="2" t="s">
        <v>652</v>
      </c>
    </row>
    <row r="140" spans="1:6">
      <c r="A140" s="2">
        <v>10173</v>
      </c>
      <c r="B140" s="17" t="s">
        <v>900</v>
      </c>
      <c r="C140" s="3" t="s">
        <v>901</v>
      </c>
      <c r="D140" s="2">
        <v>2</v>
      </c>
      <c r="E140" s="2">
        <v>2</v>
      </c>
      <c r="F140" s="2" t="s">
        <v>652</v>
      </c>
    </row>
    <row r="141" spans="1:6">
      <c r="A141" s="2">
        <v>10174</v>
      </c>
      <c r="B141" s="17" t="s">
        <v>902</v>
      </c>
      <c r="C141" s="3" t="s">
        <v>903</v>
      </c>
      <c r="D141" s="2">
        <v>2</v>
      </c>
      <c r="E141" s="2">
        <v>2</v>
      </c>
      <c r="F141" s="2" t="s">
        <v>652</v>
      </c>
    </row>
    <row r="142" spans="1:6">
      <c r="A142" s="2">
        <v>10175</v>
      </c>
      <c r="B142" s="17" t="s">
        <v>904</v>
      </c>
      <c r="C142" s="3" t="s">
        <v>905</v>
      </c>
      <c r="D142" s="2">
        <v>2</v>
      </c>
      <c r="E142" s="2">
        <v>2</v>
      </c>
      <c r="F142" s="2" t="s">
        <v>652</v>
      </c>
    </row>
    <row r="143" spans="1:6">
      <c r="A143" s="2">
        <v>10176</v>
      </c>
      <c r="B143" s="17" t="s">
        <v>906</v>
      </c>
      <c r="C143" s="3" t="s">
        <v>907</v>
      </c>
      <c r="D143" s="2">
        <v>2</v>
      </c>
      <c r="E143" s="2">
        <v>2</v>
      </c>
      <c r="F143" s="2" t="s">
        <v>652</v>
      </c>
    </row>
    <row r="144" spans="1:6">
      <c r="A144" s="2">
        <v>10177</v>
      </c>
      <c r="B144" s="17" t="s">
        <v>908</v>
      </c>
      <c r="C144" s="3" t="s">
        <v>909</v>
      </c>
      <c r="D144" s="2">
        <v>2</v>
      </c>
      <c r="E144" s="2">
        <v>2</v>
      </c>
      <c r="F144" s="2" t="s">
        <v>652</v>
      </c>
    </row>
    <row r="145" s="1" customFormat="1" spans="1:6">
      <c r="A145" s="1">
        <v>10178</v>
      </c>
      <c r="B145" s="2" t="s">
        <v>910</v>
      </c>
      <c r="C145" s="1" t="s">
        <v>911</v>
      </c>
      <c r="D145" s="2">
        <v>2</v>
      </c>
      <c r="E145" s="2">
        <v>2</v>
      </c>
      <c r="F145" s="2" t="s">
        <v>652</v>
      </c>
    </row>
    <row r="146" s="1" customFormat="1" spans="1:6">
      <c r="A146" s="1">
        <v>10179</v>
      </c>
      <c r="B146" s="2" t="s">
        <v>912</v>
      </c>
      <c r="C146" s="1" t="s">
        <v>913</v>
      </c>
      <c r="D146" s="2">
        <v>2</v>
      </c>
      <c r="E146" s="2">
        <v>2</v>
      </c>
      <c r="F146" s="2" t="s">
        <v>652</v>
      </c>
    </row>
    <row r="147" s="1" customFormat="1" spans="1:6">
      <c r="A147" s="1">
        <v>10180</v>
      </c>
      <c r="B147" s="2" t="s">
        <v>914</v>
      </c>
      <c r="C147" s="1" t="s">
        <v>915</v>
      </c>
      <c r="D147" s="2">
        <v>2</v>
      </c>
      <c r="E147" s="2">
        <v>2</v>
      </c>
      <c r="F147" s="2" t="s">
        <v>652</v>
      </c>
    </row>
  </sheetData>
  <conditionalFormatting sqref="A2:F2">
    <cfRule type="duplicateValues" dxfId="0" priority="1"/>
  </conditionalFormatting>
  <pageMargins left="0.75" right="0.75" top="1" bottom="1" header="0.5" footer="0.5"/>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68"/>
  <sheetViews>
    <sheetView topLeftCell="A23" workbookViewId="0">
      <selection activeCell="B34" sqref="B34"/>
    </sheetView>
  </sheetViews>
  <sheetFormatPr defaultColWidth="9" defaultRowHeight="17.25" outlineLevelCol="4"/>
  <cols>
    <col min="1" max="1" width="22.25" style="2" customWidth="1"/>
    <col min="2" max="2" width="66.875" style="2" customWidth="1"/>
    <col min="3" max="3" width="64.125" style="2" customWidth="1"/>
    <col min="4" max="5" width="19.75" style="2" customWidth="1"/>
    <col min="6" max="16384" width="9" style="3"/>
  </cols>
  <sheetData>
    <row r="1" spans="1:5">
      <c r="A1" s="4" t="s">
        <v>916</v>
      </c>
      <c r="B1" s="4" t="s">
        <v>644</v>
      </c>
      <c r="C1" s="2" t="s">
        <v>645</v>
      </c>
      <c r="D1" s="5" t="s">
        <v>646</v>
      </c>
      <c r="E1" s="5" t="s">
        <v>647</v>
      </c>
    </row>
    <row r="2" spans="1:5">
      <c r="A2" s="6" t="s">
        <v>497</v>
      </c>
      <c r="B2" s="6" t="s">
        <v>31</v>
      </c>
      <c r="C2" s="6" t="s">
        <v>32</v>
      </c>
      <c r="D2" s="7" t="s">
        <v>649</v>
      </c>
      <c r="E2" s="7" t="s">
        <v>42</v>
      </c>
    </row>
    <row r="3" spans="1:5">
      <c r="A3" s="8" t="s">
        <v>53</v>
      </c>
      <c r="B3" s="9" t="s">
        <v>52</v>
      </c>
      <c r="C3" s="8" t="s">
        <v>52</v>
      </c>
      <c r="D3" s="10" t="s">
        <v>56</v>
      </c>
      <c r="E3" s="10" t="s">
        <v>56</v>
      </c>
    </row>
    <row r="4" spans="1:5">
      <c r="A4" s="11">
        <v>2110000010</v>
      </c>
      <c r="B4" s="12" t="s">
        <v>917</v>
      </c>
      <c r="C4" s="12" t="s">
        <v>918</v>
      </c>
      <c r="D4" s="4">
        <v>0</v>
      </c>
      <c r="E4" s="4">
        <v>0</v>
      </c>
    </row>
    <row r="5" ht="33" spans="1:5">
      <c r="A5" s="13">
        <v>2110000011</v>
      </c>
      <c r="B5" s="14" t="s">
        <v>919</v>
      </c>
      <c r="C5" s="14" t="s">
        <v>919</v>
      </c>
      <c r="D5" s="4">
        <v>0</v>
      </c>
      <c r="E5" s="4">
        <v>0</v>
      </c>
    </row>
    <row r="6" ht="33" spans="1:5">
      <c r="A6" s="15">
        <v>2110000012</v>
      </c>
      <c r="B6" s="16" t="s">
        <v>919</v>
      </c>
      <c r="C6" s="16" t="s">
        <v>919</v>
      </c>
      <c r="D6" s="4">
        <v>0</v>
      </c>
      <c r="E6" s="4">
        <v>0</v>
      </c>
    </row>
    <row r="7" spans="1:5">
      <c r="A7" s="13">
        <v>2110000020</v>
      </c>
      <c r="B7" s="12" t="s">
        <v>920</v>
      </c>
      <c r="C7" s="12" t="s">
        <v>921</v>
      </c>
      <c r="D7" s="4">
        <v>0</v>
      </c>
      <c r="E7" s="4">
        <v>0</v>
      </c>
    </row>
    <row r="8" ht="33" spans="1:5">
      <c r="A8" s="15">
        <v>2110000021</v>
      </c>
      <c r="B8" s="16" t="s">
        <v>922</v>
      </c>
      <c r="C8" s="16" t="s">
        <v>922</v>
      </c>
      <c r="D8" s="2">
        <v>0</v>
      </c>
      <c r="E8" s="2">
        <v>0</v>
      </c>
    </row>
    <row r="9" spans="1:5">
      <c r="A9" s="13">
        <v>2110000030</v>
      </c>
      <c r="B9" s="12" t="s">
        <v>923</v>
      </c>
      <c r="C9" s="12" t="s">
        <v>924</v>
      </c>
      <c r="D9" s="4">
        <v>0</v>
      </c>
      <c r="E9" s="4">
        <v>0</v>
      </c>
    </row>
    <row r="10" ht="33" spans="1:5">
      <c r="A10" s="15">
        <v>2110000031</v>
      </c>
      <c r="B10" s="16" t="s">
        <v>925</v>
      </c>
      <c r="C10" s="16" t="s">
        <v>925</v>
      </c>
      <c r="D10" s="4">
        <v>0</v>
      </c>
      <c r="E10" s="4">
        <v>0</v>
      </c>
    </row>
    <row r="11" spans="1:5">
      <c r="A11" s="13">
        <v>2110000040</v>
      </c>
      <c r="B11" s="14" t="s">
        <v>926</v>
      </c>
      <c r="C11" s="14" t="s">
        <v>926</v>
      </c>
      <c r="D11" s="4">
        <v>0</v>
      </c>
      <c r="E11" s="4">
        <v>0</v>
      </c>
    </row>
    <row r="12" spans="1:5">
      <c r="A12" s="15">
        <v>2114000020</v>
      </c>
      <c r="B12" s="16" t="s">
        <v>927</v>
      </c>
      <c r="C12" s="16" t="s">
        <v>927</v>
      </c>
      <c r="D12" s="4">
        <v>0</v>
      </c>
      <c r="E12" s="4">
        <v>0</v>
      </c>
    </row>
    <row r="13" ht="33" spans="1:5">
      <c r="A13" s="13">
        <v>2120000010</v>
      </c>
      <c r="B13" s="14" t="s">
        <v>928</v>
      </c>
      <c r="C13" s="14" t="s">
        <v>928</v>
      </c>
      <c r="D13" s="2">
        <v>0</v>
      </c>
      <c r="E13" s="2">
        <v>0</v>
      </c>
    </row>
    <row r="14" ht="33" spans="1:5">
      <c r="A14" s="15">
        <v>2120000011</v>
      </c>
      <c r="B14" s="16" t="s">
        <v>929</v>
      </c>
      <c r="C14" s="16" t="s">
        <v>929</v>
      </c>
      <c r="D14" s="4">
        <v>0</v>
      </c>
      <c r="E14" s="4">
        <v>0</v>
      </c>
    </row>
    <row r="15" ht="33" spans="1:5">
      <c r="A15" s="13">
        <v>2120000020</v>
      </c>
      <c r="B15" s="14" t="s">
        <v>930</v>
      </c>
      <c r="C15" s="14" t="s">
        <v>930</v>
      </c>
      <c r="D15" s="4">
        <v>0</v>
      </c>
      <c r="E15" s="4">
        <v>0</v>
      </c>
    </row>
    <row r="16" ht="33" spans="1:5">
      <c r="A16" s="15">
        <v>2120000030</v>
      </c>
      <c r="B16" s="16" t="s">
        <v>931</v>
      </c>
      <c r="C16" s="16" t="s">
        <v>931</v>
      </c>
      <c r="D16" s="4">
        <v>0</v>
      </c>
      <c r="E16" s="4">
        <v>0</v>
      </c>
    </row>
    <row r="17" spans="1:5">
      <c r="A17" s="13">
        <v>2120000040</v>
      </c>
      <c r="B17" s="14" t="s">
        <v>932</v>
      </c>
      <c r="C17" s="14" t="s">
        <v>932</v>
      </c>
      <c r="D17" s="4">
        <v>0</v>
      </c>
      <c r="E17" s="4">
        <v>0</v>
      </c>
    </row>
    <row r="18" ht="33" spans="1:5">
      <c r="A18" s="15">
        <v>2120000060</v>
      </c>
      <c r="B18" s="16" t="s">
        <v>933</v>
      </c>
      <c r="C18" s="16" t="s">
        <v>933</v>
      </c>
      <c r="D18" s="2">
        <v>0</v>
      </c>
      <c r="E18" s="2">
        <v>0</v>
      </c>
    </row>
    <row r="19" ht="33" spans="1:5">
      <c r="A19" s="13">
        <v>2120000080</v>
      </c>
      <c r="B19" s="14" t="s">
        <v>934</v>
      </c>
      <c r="C19" s="14" t="s">
        <v>934</v>
      </c>
      <c r="D19" s="4">
        <v>0</v>
      </c>
      <c r="E19" s="4">
        <v>0</v>
      </c>
    </row>
    <row r="20" spans="1:5">
      <c r="A20" s="13">
        <v>2140000020</v>
      </c>
      <c r="B20" s="14" t="s">
        <v>927</v>
      </c>
      <c r="C20" s="14" t="s">
        <v>927</v>
      </c>
      <c r="D20" s="4">
        <v>0</v>
      </c>
      <c r="E20" s="4">
        <v>0</v>
      </c>
    </row>
    <row r="21" spans="1:5">
      <c r="A21" s="15">
        <v>2140000030</v>
      </c>
      <c r="B21" s="16" t="s">
        <v>935</v>
      </c>
      <c r="C21" s="16" t="s">
        <v>935</v>
      </c>
      <c r="D21" s="4">
        <v>0</v>
      </c>
      <c r="E21" s="4">
        <v>0</v>
      </c>
    </row>
    <row r="22" spans="1:5">
      <c r="A22" s="13">
        <v>2140000040</v>
      </c>
      <c r="B22" s="14" t="s">
        <v>936</v>
      </c>
      <c r="C22" s="14" t="s">
        <v>936</v>
      </c>
      <c r="D22" s="4">
        <v>0</v>
      </c>
      <c r="E22" s="4">
        <v>0</v>
      </c>
    </row>
    <row r="23" spans="1:5">
      <c r="A23" s="15">
        <v>2140000050</v>
      </c>
      <c r="B23" s="16" t="s">
        <v>937</v>
      </c>
      <c r="C23" s="16" t="s">
        <v>937</v>
      </c>
      <c r="D23" s="2">
        <v>0</v>
      </c>
      <c r="E23" s="2">
        <v>0</v>
      </c>
    </row>
    <row r="24" spans="1:5">
      <c r="A24" s="13">
        <v>2140000060</v>
      </c>
      <c r="B24" s="14" t="s">
        <v>938</v>
      </c>
      <c r="C24" s="14" t="s">
        <v>938</v>
      </c>
      <c r="D24" s="4">
        <v>0</v>
      </c>
      <c r="E24" s="4">
        <v>0</v>
      </c>
    </row>
    <row r="25" spans="1:5">
      <c r="A25" s="15">
        <v>2140000070</v>
      </c>
      <c r="B25" s="16" t="s">
        <v>939</v>
      </c>
      <c r="C25" s="16" t="s">
        <v>939</v>
      </c>
      <c r="D25" s="4">
        <v>0</v>
      </c>
      <c r="E25" s="4">
        <v>0</v>
      </c>
    </row>
    <row r="26" ht="33" spans="1:5">
      <c r="A26" s="13">
        <v>2140000080</v>
      </c>
      <c r="B26" s="14" t="s">
        <v>940</v>
      </c>
      <c r="C26" s="14" t="s">
        <v>940</v>
      </c>
      <c r="D26" s="4">
        <v>0</v>
      </c>
      <c r="E26" s="4">
        <v>0</v>
      </c>
    </row>
    <row r="27" spans="1:5">
      <c r="A27" s="15">
        <v>2140000110</v>
      </c>
      <c r="B27" s="16" t="s">
        <v>941</v>
      </c>
      <c r="C27" s="16" t="s">
        <v>941</v>
      </c>
      <c r="D27" s="4">
        <v>0</v>
      </c>
      <c r="E27" s="4">
        <v>0</v>
      </c>
    </row>
    <row r="28" spans="1:5">
      <c r="A28" s="13">
        <v>2140000140</v>
      </c>
      <c r="B28" s="14" t="s">
        <v>942</v>
      </c>
      <c r="C28" s="14" t="s">
        <v>942</v>
      </c>
      <c r="D28" s="2">
        <v>0</v>
      </c>
      <c r="E28" s="2">
        <v>0</v>
      </c>
    </row>
    <row r="29" ht="33" spans="1:5">
      <c r="A29" s="15">
        <v>2140000150</v>
      </c>
      <c r="B29" s="16" t="s">
        <v>943</v>
      </c>
      <c r="C29" s="16" t="s">
        <v>944</v>
      </c>
      <c r="D29" s="4">
        <v>0</v>
      </c>
      <c r="E29" s="4">
        <v>0</v>
      </c>
    </row>
    <row r="30" ht="33" spans="1:5">
      <c r="A30" s="15">
        <v>2140000160</v>
      </c>
      <c r="B30" s="16" t="s">
        <v>943</v>
      </c>
      <c r="C30" s="16" t="s">
        <v>944</v>
      </c>
      <c r="D30" s="4">
        <v>0</v>
      </c>
      <c r="E30" s="4">
        <v>0</v>
      </c>
    </row>
    <row r="31" spans="1:5">
      <c r="A31" s="15">
        <v>2140000170</v>
      </c>
      <c r="B31" s="16" t="s">
        <v>945</v>
      </c>
      <c r="C31" s="16" t="s">
        <v>945</v>
      </c>
      <c r="D31" s="4">
        <v>0</v>
      </c>
      <c r="E31" s="4">
        <v>0</v>
      </c>
    </row>
    <row r="32" spans="1:5">
      <c r="A32" s="13">
        <v>2140000180</v>
      </c>
      <c r="B32" s="14" t="s">
        <v>946</v>
      </c>
      <c r="C32" s="14" t="s">
        <v>947</v>
      </c>
      <c r="D32" s="4">
        <v>0</v>
      </c>
      <c r="E32" s="4">
        <v>0</v>
      </c>
    </row>
    <row r="33" ht="33" spans="1:5">
      <c r="A33" s="15">
        <v>2150000010</v>
      </c>
      <c r="B33" s="16" t="s">
        <v>948</v>
      </c>
      <c r="C33" s="16" t="s">
        <v>948</v>
      </c>
      <c r="D33" s="4">
        <v>0</v>
      </c>
      <c r="E33" s="4">
        <v>0</v>
      </c>
    </row>
    <row r="34" ht="33" spans="1:5">
      <c r="A34" s="13">
        <v>2150000020</v>
      </c>
      <c r="B34" s="14" t="s">
        <v>949</v>
      </c>
      <c r="C34" s="14" t="s">
        <v>949</v>
      </c>
      <c r="D34" s="2">
        <v>0</v>
      </c>
      <c r="E34" s="2">
        <v>0</v>
      </c>
    </row>
    <row r="35" spans="1:5">
      <c r="A35" s="13">
        <v>2150000060</v>
      </c>
      <c r="B35" s="14" t="s">
        <v>950</v>
      </c>
      <c r="C35" s="14" t="s">
        <v>950</v>
      </c>
      <c r="D35" s="4">
        <v>0</v>
      </c>
      <c r="E35" s="4">
        <v>0</v>
      </c>
    </row>
    <row r="36" spans="1:5">
      <c r="A36" s="15">
        <v>2150000070</v>
      </c>
      <c r="B36" s="16" t="s">
        <v>951</v>
      </c>
      <c r="C36" s="16" t="s">
        <v>951</v>
      </c>
      <c r="D36" s="4">
        <v>0</v>
      </c>
      <c r="E36" s="4">
        <v>0</v>
      </c>
    </row>
    <row r="37" spans="1:5">
      <c r="A37" s="13">
        <v>2150000080</v>
      </c>
      <c r="B37" s="14" t="s">
        <v>952</v>
      </c>
      <c r="C37" s="14" t="s">
        <v>952</v>
      </c>
      <c r="D37" s="4">
        <v>0</v>
      </c>
      <c r="E37" s="4">
        <v>0</v>
      </c>
    </row>
    <row r="38" spans="1:5">
      <c r="A38" s="15">
        <v>2150000090</v>
      </c>
      <c r="B38" s="16" t="s">
        <v>953</v>
      </c>
      <c r="C38" s="16" t="s">
        <v>953</v>
      </c>
      <c r="D38" s="4">
        <v>0</v>
      </c>
      <c r="E38" s="4">
        <v>0</v>
      </c>
    </row>
    <row r="39" spans="1:5">
      <c r="A39" s="13">
        <v>2150000091</v>
      </c>
      <c r="B39" s="14" t="s">
        <v>953</v>
      </c>
      <c r="C39" s="14" t="s">
        <v>953</v>
      </c>
      <c r="D39" s="2">
        <v>0</v>
      </c>
      <c r="E39" s="2">
        <v>0</v>
      </c>
    </row>
    <row r="40" spans="1:5">
      <c r="A40" s="15">
        <v>2150000100</v>
      </c>
      <c r="B40" s="16" t="s">
        <v>954</v>
      </c>
      <c r="C40" s="16" t="s">
        <v>954</v>
      </c>
      <c r="D40" s="4">
        <v>0</v>
      </c>
      <c r="E40" s="4">
        <v>0</v>
      </c>
    </row>
    <row r="41" ht="33" spans="1:5">
      <c r="A41" s="13">
        <v>2150000110</v>
      </c>
      <c r="B41" s="14" t="s">
        <v>955</v>
      </c>
      <c r="C41" s="14" t="s">
        <v>955</v>
      </c>
      <c r="D41" s="4">
        <v>0</v>
      </c>
      <c r="E41" s="4">
        <v>0</v>
      </c>
    </row>
    <row r="42" spans="1:5">
      <c r="A42" s="13">
        <v>2150100060</v>
      </c>
      <c r="B42" s="14" t="s">
        <v>950</v>
      </c>
      <c r="C42" s="14" t="s">
        <v>950</v>
      </c>
      <c r="D42" s="4">
        <v>0</v>
      </c>
      <c r="E42" s="4">
        <v>0</v>
      </c>
    </row>
    <row r="43" spans="1:5">
      <c r="A43" s="15">
        <v>2150100070</v>
      </c>
      <c r="B43" s="16" t="s">
        <v>951</v>
      </c>
      <c r="C43" s="16" t="s">
        <v>951</v>
      </c>
      <c r="D43" s="4">
        <v>0</v>
      </c>
      <c r="E43" s="4">
        <v>0</v>
      </c>
    </row>
    <row r="44" spans="1:5">
      <c r="A44" s="13">
        <v>2150100080</v>
      </c>
      <c r="B44" s="14" t="s">
        <v>952</v>
      </c>
      <c r="C44" s="14" t="s">
        <v>952</v>
      </c>
      <c r="D44" s="2">
        <v>0</v>
      </c>
      <c r="E44" s="2">
        <v>0</v>
      </c>
    </row>
    <row r="45" spans="1:5">
      <c r="A45" s="15">
        <v>2150100090</v>
      </c>
      <c r="B45" s="16" t="s">
        <v>953</v>
      </c>
      <c r="C45" s="16" t="s">
        <v>953</v>
      </c>
      <c r="D45" s="4">
        <v>0</v>
      </c>
      <c r="E45" s="4">
        <v>0</v>
      </c>
    </row>
    <row r="46" spans="1:5">
      <c r="A46" s="13">
        <v>2150100091</v>
      </c>
      <c r="B46" s="14" t="s">
        <v>953</v>
      </c>
      <c r="C46" s="14" t="s">
        <v>953</v>
      </c>
      <c r="D46" s="4">
        <v>0</v>
      </c>
      <c r="E46" s="4">
        <v>0</v>
      </c>
    </row>
    <row r="47" spans="1:5">
      <c r="A47" s="15">
        <v>2150200060</v>
      </c>
      <c r="B47" s="16" t="s">
        <v>950</v>
      </c>
      <c r="C47" s="16" t="s">
        <v>950</v>
      </c>
      <c r="D47" s="4">
        <v>0</v>
      </c>
      <c r="E47" s="4">
        <v>0</v>
      </c>
    </row>
    <row r="48" spans="1:5">
      <c r="A48" s="13">
        <v>2150200070</v>
      </c>
      <c r="B48" s="14" t="s">
        <v>951</v>
      </c>
      <c r="C48" s="14" t="s">
        <v>951</v>
      </c>
      <c r="D48" s="4">
        <v>0</v>
      </c>
      <c r="E48" s="4">
        <v>0</v>
      </c>
    </row>
    <row r="49" spans="1:5">
      <c r="A49" s="15">
        <v>2150200080</v>
      </c>
      <c r="B49" s="16" t="s">
        <v>952</v>
      </c>
      <c r="C49" s="16" t="s">
        <v>952</v>
      </c>
      <c r="D49" s="2">
        <v>0</v>
      </c>
      <c r="E49" s="2">
        <v>0</v>
      </c>
    </row>
    <row r="50" spans="1:5">
      <c r="A50" s="13">
        <v>2150200090</v>
      </c>
      <c r="B50" s="14" t="s">
        <v>953</v>
      </c>
      <c r="C50" s="14" t="s">
        <v>953</v>
      </c>
      <c r="D50" s="4">
        <v>0</v>
      </c>
      <c r="E50" s="4">
        <v>0</v>
      </c>
    </row>
    <row r="51" spans="1:5">
      <c r="A51" s="15">
        <v>2150200091</v>
      </c>
      <c r="B51" s="16" t="s">
        <v>953</v>
      </c>
      <c r="C51" s="16" t="s">
        <v>953</v>
      </c>
      <c r="D51" s="4">
        <v>0</v>
      </c>
      <c r="E51" s="4">
        <v>0</v>
      </c>
    </row>
    <row r="52" spans="1:5">
      <c r="A52" s="13">
        <v>2150300060</v>
      </c>
      <c r="B52" s="14" t="s">
        <v>950</v>
      </c>
      <c r="C52" s="14" t="s">
        <v>950</v>
      </c>
      <c r="D52" s="4">
        <v>0</v>
      </c>
      <c r="E52" s="4">
        <v>0</v>
      </c>
    </row>
    <row r="53" spans="1:5">
      <c r="A53" s="15">
        <v>2150300070</v>
      </c>
      <c r="B53" s="16" t="s">
        <v>951</v>
      </c>
      <c r="C53" s="16" t="s">
        <v>951</v>
      </c>
      <c r="D53" s="4">
        <v>0</v>
      </c>
      <c r="E53" s="4">
        <v>0</v>
      </c>
    </row>
    <row r="54" spans="1:5">
      <c r="A54" s="13">
        <v>2150300090</v>
      </c>
      <c r="B54" s="14" t="s">
        <v>953</v>
      </c>
      <c r="C54" s="14" t="s">
        <v>953</v>
      </c>
      <c r="D54" s="2">
        <v>0</v>
      </c>
      <c r="E54" s="2">
        <v>0</v>
      </c>
    </row>
    <row r="55" spans="1:5">
      <c r="A55" s="15">
        <v>2150300091</v>
      </c>
      <c r="B55" s="16" t="s">
        <v>953</v>
      </c>
      <c r="C55" s="16" t="s">
        <v>953</v>
      </c>
      <c r="D55" s="4">
        <v>0</v>
      </c>
      <c r="E55" s="4">
        <v>0</v>
      </c>
    </row>
    <row r="56" spans="1:5">
      <c r="A56" s="13">
        <v>2150400060</v>
      </c>
      <c r="B56" s="14" t="s">
        <v>950</v>
      </c>
      <c r="C56" s="14" t="s">
        <v>950</v>
      </c>
      <c r="D56" s="4">
        <v>0</v>
      </c>
      <c r="E56" s="4">
        <v>0</v>
      </c>
    </row>
    <row r="57" spans="1:5">
      <c r="A57" s="15">
        <v>2150400090</v>
      </c>
      <c r="B57" s="16" t="s">
        <v>953</v>
      </c>
      <c r="C57" s="16" t="s">
        <v>953</v>
      </c>
      <c r="D57" s="4">
        <v>0</v>
      </c>
      <c r="E57" s="4">
        <v>0</v>
      </c>
    </row>
    <row r="58" spans="1:5">
      <c r="A58" s="13">
        <v>2150400091</v>
      </c>
      <c r="B58" s="14" t="s">
        <v>953</v>
      </c>
      <c r="C58" s="14" t="s">
        <v>953</v>
      </c>
      <c r="D58" s="4">
        <v>0</v>
      </c>
      <c r="E58" s="4">
        <v>0</v>
      </c>
    </row>
    <row r="59" spans="1:5">
      <c r="A59" s="13">
        <v>2340000010</v>
      </c>
      <c r="B59" s="14" t="s">
        <v>956</v>
      </c>
      <c r="C59" s="14" t="s">
        <v>956</v>
      </c>
      <c r="D59" s="2">
        <v>0</v>
      </c>
      <c r="E59" s="2">
        <v>0</v>
      </c>
    </row>
    <row r="60" spans="1:5">
      <c r="A60" s="15">
        <v>2340000020</v>
      </c>
      <c r="B60" s="16" t="s">
        <v>957</v>
      </c>
      <c r="C60" s="16" t="s">
        <v>958</v>
      </c>
      <c r="D60" s="4">
        <v>2</v>
      </c>
      <c r="E60" s="4">
        <v>2</v>
      </c>
    </row>
    <row r="61" spans="1:5">
      <c r="A61" s="13">
        <v>2340000030</v>
      </c>
      <c r="B61" s="14" t="s">
        <v>957</v>
      </c>
      <c r="C61" s="14" t="s">
        <v>959</v>
      </c>
      <c r="D61" s="4">
        <v>2</v>
      </c>
      <c r="E61" s="4">
        <v>2</v>
      </c>
    </row>
    <row r="62" spans="1:5">
      <c r="A62" s="15">
        <v>2340000040</v>
      </c>
      <c r="B62" s="16" t="s">
        <v>960</v>
      </c>
      <c r="C62" s="16" t="s">
        <v>960</v>
      </c>
      <c r="D62" s="4">
        <v>0</v>
      </c>
      <c r="E62" s="4">
        <v>0</v>
      </c>
    </row>
    <row r="63" spans="1:5">
      <c r="A63" s="13">
        <v>2340000050</v>
      </c>
      <c r="B63" s="14" t="s">
        <v>961</v>
      </c>
      <c r="C63" s="14" t="s">
        <v>961</v>
      </c>
      <c r="D63" s="4">
        <v>0</v>
      </c>
      <c r="E63" s="4">
        <v>0</v>
      </c>
    </row>
    <row r="64" spans="1:5">
      <c r="A64" s="15">
        <v>2340000080</v>
      </c>
      <c r="B64" s="16" t="s">
        <v>962</v>
      </c>
      <c r="C64" s="16" t="s">
        <v>962</v>
      </c>
      <c r="D64" s="2">
        <v>0</v>
      </c>
      <c r="E64" s="2">
        <v>0</v>
      </c>
    </row>
    <row r="65" spans="1:5">
      <c r="A65" s="13">
        <v>3140000020</v>
      </c>
      <c r="B65" s="14" t="s">
        <v>963</v>
      </c>
      <c r="C65" s="14" t="s">
        <v>963</v>
      </c>
      <c r="D65" s="4">
        <v>0</v>
      </c>
      <c r="E65" s="4">
        <v>0</v>
      </c>
    </row>
    <row r="66" spans="1:5">
      <c r="A66" s="15">
        <v>3140000030</v>
      </c>
      <c r="B66" s="16" t="s">
        <v>964</v>
      </c>
      <c r="C66" s="16" t="s">
        <v>964</v>
      </c>
      <c r="D66" s="4">
        <v>0</v>
      </c>
      <c r="E66" s="4">
        <v>0</v>
      </c>
    </row>
    <row r="67" spans="1:5">
      <c r="A67" s="13">
        <v>3140000040</v>
      </c>
      <c r="B67" s="14" t="s">
        <v>965</v>
      </c>
      <c r="C67" s="14" t="s">
        <v>965</v>
      </c>
      <c r="D67" s="4">
        <v>0</v>
      </c>
      <c r="E67" s="4">
        <v>0</v>
      </c>
    </row>
    <row r="68" s="1" customFormat="1" spans="1:5">
      <c r="A68" s="2">
        <v>2140000100</v>
      </c>
      <c r="B68" s="1" t="s">
        <v>966</v>
      </c>
      <c r="C68" s="1" t="s">
        <v>966</v>
      </c>
      <c r="D68" s="1">
        <v>0</v>
      </c>
      <c r="E68" s="1">
        <v>0</v>
      </c>
    </row>
  </sheetData>
  <conditionalFormatting sqref="A2:C2">
    <cfRule type="duplicateValues" dxfId="0" priority="2"/>
  </conditionalFormatting>
  <conditionalFormatting sqref="D2:E2">
    <cfRule type="duplicateValues" dxfId="0" priority="1"/>
  </conditionalFormatting>
  <pageMargins left="0.75" right="0.75" top="1" bottom="1" header="0.5" footer="0.5"/>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5</vt:i4>
      </vt:variant>
    </vt:vector>
  </HeadingPairs>
  <TitlesOfParts>
    <vt:vector size="5" baseType="lpstr">
      <vt:lpstr>AttributeName</vt:lpstr>
      <vt:lpstr>AutoAttribute</vt:lpstr>
      <vt:lpstr>|新旧属性ID对照</vt:lpstr>
      <vt:lpstr>ModifierDes</vt:lpstr>
      <vt:lpstr>StuntDes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4399-3040</dc:creator>
  <cp:lastModifiedBy>沾下酱</cp:lastModifiedBy>
  <dcterms:created xsi:type="dcterms:W3CDTF">2023-07-20T08:38:00Z</dcterms:created>
  <dcterms:modified xsi:type="dcterms:W3CDTF">2026-08-11T07:52:16Z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36ABD8A493464852AE78FB000D9A1821_12</vt:lpwstr>
  </property>
  <property fmtid="{D5CDD505-2E9C-101B-9397-08002B2CF9AE}" pid="3" name="KSOProductBuildVer">
    <vt:lpwstr>2052-12.1.0.26895</vt:lpwstr>
  </property>
  <property fmtid="{D5CDD505-2E9C-101B-9397-08002B2CF9AE}" pid="4" name="KSOReadingLayout">
    <vt:bool>true</vt:bool>
  </property>
  <property fmtid="{D5CDD505-2E9C-101B-9397-08002B2CF9AE}" pid="5" name="CalculationRule">
    <vt:i4>0</vt:i4>
  </property>
</Properties>
</file>