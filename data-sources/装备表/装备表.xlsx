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643" firstSheet="7" activeTab="6"/>
  </bookViews>
  <sheets>
    <sheet name="EquipType" sheetId="21" r:id="rId1"/>
    <sheet name="Equip" sheetId="24" r:id="rId2"/>
    <sheet name="LegendEquip" sheetId="25" r:id="rId3"/>
    <sheet name="EquipQuality" sheetId="23" r:id="rId4"/>
    <sheet name="Attr" sheetId="5" r:id="rId5"/>
    <sheet name="ModifierPool" sheetId="19" r:id="rId6"/>
    <sheet name="Modifier" sheetId="20" r:id="rId7"/>
    <sheet name="EquipModifierValue" sheetId="27" r:id="rId8"/>
    <sheet name="ModifierTier" sheetId="28" r:id="rId9"/>
    <sheet name="|词缀透视" sheetId="26" r:id="rId10"/>
  </sheets>
  <externalReferences>
    <externalReference r:id="rId12"/>
  </externalReferences>
  <definedNames>
    <definedName name="_xlnm._FilterDatabase" localSheetId="3" hidden="1">EquipQuality!$B$1:$B$9</definedName>
    <definedName name="_xlnm._FilterDatabase" localSheetId="4" hidden="1">Attr!$A$1:$J$337</definedName>
    <definedName name="_xlnm._FilterDatabase" localSheetId="0" hidden="1">EquipType!#REF!</definedName>
    <definedName name="_xlnm._FilterDatabase" localSheetId="1" hidden="1">Equip!#REF!</definedName>
    <definedName name="_xlnm._FilterDatabase" localSheetId="2" hidden="1">LegendEquip!#REF!</definedName>
    <definedName name="_xlnm._FilterDatabase" localSheetId="7" hidden="1">EquipModifierValue!#REF!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PC5080</author>
  </authors>
  <commentList>
    <comment ref="A1" authorId="0">
      <text>
        <r>
          <rPr>
            <sz val="9"/>
            <rFont val="宋体"/>
            <charset val="134"/>
          </rPr>
          <t>编号规则
第一、二位	部位
第三、四、五位	种类</t>
        </r>
      </text>
    </comment>
    <comment ref="C1" authorId="0">
      <text>
        <r>
          <rPr>
            <sz val="9"/>
            <rFont val="宋体"/>
            <charset val="134"/>
          </rPr>
          <t>1.武器
2.头盔
3.衣服
4.裤子
5.鞋子
6.手套
7.礼花
8.耳环
9.项链
10.戒指
11.勋章
12.羽饰</t>
        </r>
      </text>
    </comment>
    <comment ref="D1" authorId="0">
      <text>
        <r>
          <rPr>
            <sz val="9"/>
            <rFont val="宋体"/>
            <charset val="134"/>
          </rPr>
          <t>0.通用
1.战士
2.太刀
3.魔典
4.法师</t>
        </r>
      </text>
    </comment>
  </commentList>
</comments>
</file>

<file path=xl/comments2.xml><?xml version="1.0" encoding="utf-8"?>
<comments xmlns="http://schemas.openxmlformats.org/spreadsheetml/2006/main">
  <authors>
    <author>PC5080</author>
    <author>PC-7020</author>
    <author>4399-5629</author>
  </authors>
  <commentList>
    <comment ref="A1" authorId="0">
      <text>
        <r>
          <rPr>
            <sz val="9"/>
            <rFont val="宋体"/>
            <charset val="134"/>
          </rPr>
          <t>编号规则
第一、二位	部位
第三、四、五位	种类
第六、七位	具体号</t>
        </r>
      </text>
    </comment>
    <comment ref="F1" authorId="1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品质为6时需要随机一下
每个数组第一位是该装备对应的传奇装备id
第二位是权重</t>
        </r>
      </text>
    </comment>
    <comment ref="H1" authorId="2">
      <text>
        <r>
          <rPr>
            <b/>
            <sz val="9"/>
            <rFont val="宋体"/>
            <charset val="134"/>
          </rPr>
          <t>4399-5629:</t>
        </r>
        <r>
          <rPr>
            <sz val="9"/>
            <rFont val="宋体"/>
            <charset val="134"/>
          </rPr>
          <t xml:space="preserve">
关联EquipType表
</t>
        </r>
      </text>
    </comment>
  </commentList>
</comments>
</file>

<file path=xl/comments3.xml><?xml version="1.0" encoding="utf-8"?>
<comments xmlns="http://schemas.openxmlformats.org/spreadsheetml/2006/main">
  <authors>
    <author>PC5080</author>
    <author>4399-5629</author>
  </authors>
  <commentList>
    <comment ref="A1" authorId="0">
      <text>
        <r>
          <rPr>
            <sz val="9"/>
            <rFont val="宋体"/>
            <charset val="134"/>
          </rPr>
          <t>编号规则
第一、二位	部位
第三、四、五位	种类
第六、七位	具体号</t>
        </r>
      </text>
    </comment>
    <comment ref="L1" authorId="1">
      <text>
        <r>
          <rPr>
            <b/>
            <sz val="9"/>
            <rFont val="宋体"/>
            <charset val="134"/>
          </rPr>
          <t>4399-5629:</t>
        </r>
        <r>
          <rPr>
            <sz val="9"/>
            <rFont val="宋体"/>
            <charset val="134"/>
          </rPr>
          <t xml:space="preserve">
关联EquipType表
</t>
        </r>
      </text>
    </comment>
  </commentList>
</comments>
</file>

<file path=xl/comments4.xml><?xml version="1.0" encoding="utf-8"?>
<comments xmlns="http://schemas.openxmlformats.org/spreadsheetml/2006/main">
  <authors>
    <author>PC-7020</author>
  </authors>
  <commentList>
    <comment ref="A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就是装备颜色</t>
        </r>
      </text>
    </comment>
    <comment ref="E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等于此词缀数量不可再用剥离石</t>
        </r>
      </text>
    </comment>
  </commentList>
</comments>
</file>

<file path=xl/comments5.xml><?xml version="1.0" encoding="utf-8"?>
<comments xmlns="http://schemas.openxmlformats.org/spreadsheetml/2006/main">
  <authors>
    <author>PC5080</author>
  </authors>
  <commentList>
    <comment ref="I1" authorId="0">
      <text>
        <r>
          <rPr>
            <sz val="9"/>
            <rFont val="宋体"/>
            <charset val="134"/>
          </rPr>
          <t>下限|上限
从下限到上限中抽一个整数作为实际的值</t>
        </r>
      </text>
    </comment>
    <comment ref="J1" authorId="0">
      <text>
        <r>
          <rPr>
            <sz val="9"/>
            <rFont val="宋体"/>
            <charset val="134"/>
          </rPr>
          <t xml:space="preserve"> 向下取整</t>
        </r>
      </text>
    </comment>
  </commentList>
</comments>
</file>

<file path=xl/comments6.xml><?xml version="1.0" encoding="utf-8"?>
<comments xmlns="http://schemas.openxmlformats.org/spreadsheetml/2006/main">
  <authors>
    <author>PC-7020</author>
    <author>tc={2E986800-8D6A-47CB-9509-313F602784BA}</author>
    <author>1250c</author>
    <author>tc={3865ED3C-0550-4F49-864F-05BFBE06FDB3}</author>
  </authors>
  <commentList>
    <comment ref="I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相同标签的词缀在前缀或后缀里互斥，如前缀里的随机组有a词缀和b词缀，如果某装备前缀有a词缀了，则前缀里另两条词缀不可有b
不填则没有互斥
非传奇装备生效
传奇装备不生效</t>
        </r>
      </text>
    </comment>
    <comment ref="L1" authorId="1">
      <text>
        <r>
          <rPr>
            <sz val="10"/>
            <rFont val="宋体"/>
            <charset val="134"/>
          </rPr>
          <t>注释:
1-属性类词缀
2-特殊效果词缀，有随机值，读affix
3-特技词缀，不可随机，读stunt</t>
        </r>
      </text>
    </comment>
    <comment ref="P1" authorId="2">
      <text>
        <r>
          <rPr>
            <b/>
            <sz val="9"/>
            <rFont val="宋体"/>
            <charset val="134"/>
          </rPr>
          <t>1250c:</t>
        </r>
        <r>
          <rPr>
            <sz val="9"/>
            <rFont val="宋体"/>
            <charset val="134"/>
          </rPr>
          <t xml:space="preserve">
1250c:
当装备系统中，需要特技产BUFF产词缀时，且词缀需求变化的随机数，需求定义改词缀的v值为一个新的临时属性名，以便程序在战斗中传入数据
例如
当生命值大于2000时影响中毒伤害的词缀，词缀V值配置为
attacker.tmpAttri.hp_zhongdu||0
hp_zhongdu由配置的下上限决定</t>
        </r>
      </text>
    </comment>
    <comment ref="Q1" authorId="3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属性类词缀-整数型属性四舍五入，百比型属性小数点两位后四舍五入
技能等级类词缀-四舍五入</t>
        </r>
      </text>
    </comment>
    <comment ref="T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1-不变
2-变为百分比
</t>
        </r>
      </text>
    </comment>
  </commentList>
</comments>
</file>

<file path=xl/comments7.xml><?xml version="1.0" encoding="utf-8"?>
<comments xmlns="http://schemas.openxmlformats.org/spreadsheetml/2006/main">
  <authors>
    <author>PC-7020</author>
  </authors>
  <commentList>
    <comment ref="A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就是装备颜色</t>
        </r>
      </text>
    </comment>
  </commentList>
</comments>
</file>

<file path=xl/comments8.xml><?xml version="1.0" encoding="utf-8"?>
<comments xmlns="http://schemas.openxmlformats.org/spreadsheetml/2006/main">
  <authors>
    <author>PC-7020</author>
  </authors>
  <commentList>
    <comment ref="B1" authorId="0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\icon\tier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<sst xmlns="http://schemas.openxmlformats.org/spreadsheetml/2006/main" count="10783" uniqueCount="567">
  <si>
    <t>ID</t>
  </si>
  <si>
    <t>(nouse)装备部位</t>
  </si>
  <si>
    <t>装备部位</t>
  </si>
  <si>
    <t>职业限制</t>
  </si>
  <si>
    <t>(nouse)种类号</t>
  </si>
  <si>
    <t>前缀词条池</t>
  </si>
  <si>
    <t>后缀词条池</t>
  </si>
  <si>
    <t>装备分类</t>
  </si>
  <si>
    <t>武器关联roleId</t>
  </si>
  <si>
    <t>id.p</t>
  </si>
  <si>
    <t>desc999</t>
  </si>
  <si>
    <t>site</t>
  </si>
  <si>
    <t>career</t>
  </si>
  <si>
    <t>desc997</t>
  </si>
  <si>
    <t>modifier1Pool</t>
  </si>
  <si>
    <t>modifier2Pool</t>
  </si>
  <si>
    <t>typeName</t>
  </si>
  <si>
    <t>roleId</t>
  </si>
  <si>
    <t>number</t>
  </si>
  <si>
    <t>string</t>
  </si>
  <si>
    <t>number2</t>
  </si>
  <si>
    <t>法杖</t>
  </si>
  <si>
    <t>长剑</t>
  </si>
  <si>
    <t>魔典</t>
  </si>
  <si>
    <t>头盔</t>
  </si>
  <si>
    <t>胸甲</t>
  </si>
  <si>
    <t>裤子</t>
  </si>
  <si>
    <t>鞋子</t>
  </si>
  <si>
    <t>手套</t>
  </si>
  <si>
    <t>礼花</t>
  </si>
  <si>
    <t>耳环</t>
  </si>
  <si>
    <t>项链</t>
  </si>
  <si>
    <t>戒指</t>
  </si>
  <si>
    <t>(nouse)装备名</t>
  </si>
  <si>
    <t>(nouse)装备type</t>
  </si>
  <si>
    <t>(nouse)具体号</t>
  </si>
  <si>
    <t>名称</t>
  </si>
  <si>
    <t>传奇装备(废弃)</t>
  </si>
  <si>
    <t>外形</t>
  </si>
  <si>
    <t>种类</t>
  </si>
  <si>
    <t>基础属性id</t>
  </si>
  <si>
    <t>装备专属词条</t>
  </si>
  <si>
    <t>备注</t>
  </si>
  <si>
    <t>desc998</t>
  </si>
  <si>
    <t>name</t>
  </si>
  <si>
    <t>legendEquip</t>
  </si>
  <si>
    <t>contourId</t>
  </si>
  <si>
    <t>type</t>
  </si>
  <si>
    <t>basicAttrPoolId</t>
  </si>
  <si>
    <t>baseModifier</t>
  </si>
  <si>
    <t>desc996</t>
  </si>
  <si>
    <t>object</t>
  </si>
  <si>
    <t>火焰法杖</t>
  </si>
  <si>
    <t>冰霜法杖</t>
  </si>
  <si>
    <t>闪电法杖</t>
  </si>
  <si>
    <t>物理长剑</t>
  </si>
  <si>
    <t>冰霜长剑</t>
  </si>
  <si>
    <t>闪电长剑</t>
  </si>
  <si>
    <t>混沌魔典</t>
  </si>
  <si>
    <t>火焰魔典</t>
  </si>
  <si>
    <t>冰霜魔典</t>
  </si>
  <si>
    <t>铸铁头盔</t>
  </si>
  <si>
    <t>[[1,1]]</t>
  </si>
  <si>
    <t>火gain</t>
  </si>
  <si>
    <t>银制头盔</t>
  </si>
  <si>
    <t>冰gain</t>
  </si>
  <si>
    <t>闪电头盔</t>
  </si>
  <si>
    <t>电gain</t>
  </si>
  <si>
    <t>铸铁胸甲</t>
  </si>
  <si>
    <t>物理gain</t>
  </si>
  <si>
    <t>皮制胸甲</t>
  </si>
  <si>
    <t>混沌gain</t>
  </si>
  <si>
    <t>铁锁胸甲</t>
  </si>
  <si>
    <t>物理抗性</t>
  </si>
  <si>
    <t>铸铁腿甲</t>
  </si>
  <si>
    <t>火抗</t>
  </si>
  <si>
    <t>冰抗</t>
  </si>
  <si>
    <t>电抗</t>
  </si>
  <si>
    <t>铸铁靴</t>
  </si>
  <si>
    <t>攻击爆伤</t>
  </si>
  <si>
    <t>法术爆伤</t>
  </si>
  <si>
    <t>符文靴</t>
  </si>
  <si>
    <t>混沌抗性</t>
  </si>
  <si>
    <t>铸铁护手</t>
  </si>
  <si>
    <t>攻击速度</t>
  </si>
  <si>
    <t>皮制护手</t>
  </si>
  <si>
    <t>施法速度</t>
  </si>
  <si>
    <t>轻质护手</t>
  </si>
  <si>
    <t>[[1,1],[2,1]]</t>
  </si>
  <si>
    <t>精铁礼花</t>
  </si>
  <si>
    <t>物理</t>
  </si>
  <si>
    <t>宝石礼花</t>
  </si>
  <si>
    <t>火焰</t>
  </si>
  <si>
    <t>冰冻</t>
  </si>
  <si>
    <t>闪电</t>
  </si>
  <si>
    <t>混沌</t>
  </si>
  <si>
    <t>华丽礼花</t>
  </si>
  <si>
    <t>全伤</t>
  </si>
  <si>
    <t>精铁耳环</t>
  </si>
  <si>
    <t>点燃</t>
  </si>
  <si>
    <t>宝石耳环</t>
  </si>
  <si>
    <t>感电</t>
  </si>
  <si>
    <t>中毒</t>
  </si>
  <si>
    <t>精铁项链</t>
  </si>
  <si>
    <t>范围</t>
  </si>
  <si>
    <t>宝石项链</t>
  </si>
  <si>
    <t>近战</t>
  </si>
  <si>
    <t>投射</t>
  </si>
  <si>
    <t>精铁戒指</t>
  </si>
  <si>
    <t>攻击</t>
  </si>
  <si>
    <t>护法戒指</t>
  </si>
  <si>
    <t>法术</t>
  </si>
  <si>
    <t>召唤</t>
  </si>
  <si>
    <t>传奇编号</t>
  </si>
  <si>
    <t>品质</t>
  </si>
  <si>
    <t>传奇名</t>
  </si>
  <si>
    <t>图标</t>
  </si>
  <si>
    <t>特殊尺寸图标</t>
  </si>
  <si>
    <t>前缀词条</t>
  </si>
  <si>
    <t>后缀词条</t>
  </si>
  <si>
    <t>legend.p</t>
  </si>
  <si>
    <t>quality</t>
  </si>
  <si>
    <t>icon</t>
  </si>
  <si>
    <t>spIcon</t>
  </si>
  <si>
    <t>modifier1</t>
  </si>
  <si>
    <t>modifier2</t>
  </si>
  <si>
    <t>stringArr</t>
  </si>
  <si>
    <t>numberArr</t>
  </si>
  <si>
    <t>风暴之眼</t>
  </si>
  <si>
    <t>zhuangbei/110/109</t>
  </si>
  <si>
    <t>90097|90098|90099</t>
  </si>
  <si>
    <t>90100|90101|90102</t>
  </si>
  <si>
    <t>鬼乡村正</t>
  </si>
  <si>
    <t>zhuangbei/104/106</t>
  </si>
  <si>
    <t>90001|90002|90003</t>
  </si>
  <si>
    <t>90004|90005|90006</t>
  </si>
  <si>
    <t>霜之哀伤</t>
  </si>
  <si>
    <t>zhuangbei/131/106</t>
  </si>
  <si>
    <t>90055|90056|90057</t>
  </si>
  <si>
    <t>90058|90059|90060</t>
  </si>
  <si>
    <t>圣焰</t>
  </si>
  <si>
    <t>zhuangbei/118/202</t>
  </si>
  <si>
    <t>90145|90146|90147</t>
  </si>
  <si>
    <t>90148|90149</t>
  </si>
  <si>
    <t>死骑之盔</t>
  </si>
  <si>
    <t>zhuangbei/130/202</t>
  </si>
  <si>
    <t>90037|90038</t>
  </si>
  <si>
    <t>90040|90041|90042</t>
  </si>
  <si>
    <t>龙怒之眼</t>
  </si>
  <si>
    <t>90061|90062</t>
  </si>
  <si>
    <t>90064|90065|90066</t>
  </si>
  <si>
    <t>元素衣</t>
  </si>
  <si>
    <t>zhuangbei/132/304</t>
  </si>
  <si>
    <t>90013|90014</t>
  </si>
  <si>
    <t>90016|90017|90018</t>
  </si>
  <si>
    <t>腐化侵蚀</t>
  </si>
  <si>
    <t>zhuangbei/117/302</t>
  </si>
  <si>
    <t>90073|90074</t>
  </si>
  <si>
    <t>90076|90077</t>
  </si>
  <si>
    <t>大法袍</t>
  </si>
  <si>
    <t>90103|90104</t>
  </si>
  <si>
    <t>90106|90107|90108</t>
  </si>
  <si>
    <t>追风</t>
  </si>
  <si>
    <t>zhuangbei/120/401</t>
  </si>
  <si>
    <t>90019|90020</t>
  </si>
  <si>
    <t>90022|90023</t>
  </si>
  <si>
    <t>烈火行军</t>
  </si>
  <si>
    <t>zhuangbei/118/401</t>
  </si>
  <si>
    <t>90109|90110</t>
  </si>
  <si>
    <t>900112|90113</t>
  </si>
  <si>
    <t>苦行便鞋</t>
  </si>
  <si>
    <t>zhuangbei/133/403</t>
  </si>
  <si>
    <t>90115|90116</t>
  </si>
  <si>
    <t>90118|90119</t>
  </si>
  <si>
    <t>轰天雷</t>
  </si>
  <si>
    <t>zhuangbei/121/501</t>
  </si>
  <si>
    <t>90025|90026</t>
  </si>
  <si>
    <t>90028|90029|90030</t>
  </si>
  <si>
    <t>元素之握</t>
  </si>
  <si>
    <t>zhuangbei/133/504</t>
  </si>
  <si>
    <t>90031|90032</t>
  </si>
  <si>
    <t>90034|90035|90036</t>
  </si>
  <si>
    <t>刺骨之握</t>
  </si>
  <si>
    <t>zhuangbei/129/504</t>
  </si>
  <si>
    <t>90043|90044</t>
  </si>
  <si>
    <t>90046|90047|90048</t>
  </si>
  <si>
    <t>沉重掌控</t>
  </si>
  <si>
    <t>zhuangbei/125/501</t>
  </si>
  <si>
    <t>90067|90068|90069</t>
  </si>
  <si>
    <t>90070|90071</t>
  </si>
  <si>
    <t>寒冰血脉</t>
  </si>
  <si>
    <t>zhuangbei/129/501</t>
  </si>
  <si>
    <t>90079|90080</t>
  </si>
  <si>
    <t>90082|90083</t>
  </si>
  <si>
    <t>蚀骨</t>
  </si>
  <si>
    <t>zhuangbei/125/502</t>
  </si>
  <si>
    <t>90085|90086</t>
  </si>
  <si>
    <t>90088|90089</t>
  </si>
  <si>
    <t>神意</t>
  </si>
  <si>
    <t>zhuangbei/110/601</t>
  </si>
  <si>
    <t>90139|90140|90141</t>
  </si>
  <si>
    <t>90142|90143</t>
  </si>
  <si>
    <t>旋流之心</t>
  </si>
  <si>
    <t>zhuangbei/121/801</t>
  </si>
  <si>
    <t>90007|90008</t>
  </si>
  <si>
    <t>分形</t>
  </si>
  <si>
    <t>zhuangbei/129/801</t>
  </si>
  <si>
    <t>90091|90092|90093</t>
  </si>
  <si>
    <t>90094|90095</t>
  </si>
  <si>
    <t>闪电纹章</t>
  </si>
  <si>
    <t>zhuangbei/124/801</t>
  </si>
  <si>
    <t>90121|90122</t>
  </si>
  <si>
    <t>90124|90125|90126</t>
  </si>
  <si>
    <t>无悔决心</t>
  </si>
  <si>
    <t>zhuangbei/130/801</t>
  </si>
  <si>
    <t>90049|90050</t>
  </si>
  <si>
    <t>90052|90053|90054</t>
  </si>
  <si>
    <t>碎魔晶</t>
  </si>
  <si>
    <t>zhuangbei/121/901</t>
  </si>
  <si>
    <t>90127|90128</t>
  </si>
  <si>
    <t>90130|90131</t>
  </si>
  <si>
    <t>冰亡</t>
  </si>
  <si>
    <t>zhuangbei/131/901</t>
  </si>
  <si>
    <t>90133|90134</t>
  </si>
  <si>
    <t>90136|90137|90138</t>
  </si>
  <si>
    <t>装备品质</t>
  </si>
  <si>
    <t>(nouse)品质</t>
  </si>
  <si>
    <t>词条评级区间</t>
  </si>
  <si>
    <t>掉落时词条数量区间</t>
  </si>
  <si>
    <t>最少词缀数量</t>
  </si>
  <si>
    <t>前缀数量上限</t>
  </si>
  <si>
    <t>后缀数量上限</t>
  </si>
  <si>
    <t>专属词条是否生效</t>
  </si>
  <si>
    <t>回收获得道具</t>
  </si>
  <si>
    <t>quality.p</t>
  </si>
  <si>
    <t>modifierTier</t>
  </si>
  <si>
    <t>modifierDrop</t>
  </si>
  <si>
    <t>modifierMin</t>
  </si>
  <si>
    <t>modifier1Max</t>
  </si>
  <si>
    <t>modifier2Max</t>
  </si>
  <si>
    <t>baseModifierEnable</t>
  </si>
  <si>
    <t>recycleItems</t>
  </si>
  <si>
    <t>白色</t>
  </si>
  <si>
    <t>7|8</t>
  </si>
  <si>
    <t>1|1</t>
  </si>
  <si>
    <t>[[2009,1]]</t>
  </si>
  <si>
    <t>蓝色</t>
  </si>
  <si>
    <t>4|8</t>
  </si>
  <si>
    <t>2|3</t>
  </si>
  <si>
    <t>[[2009,2]]</t>
  </si>
  <si>
    <t>金色</t>
  </si>
  <si>
    <t>1|8</t>
  </si>
  <si>
    <t>3|4</t>
  </si>
  <si>
    <t>[[2009,5]]</t>
  </si>
  <si>
    <t>橙色</t>
  </si>
  <si>
    <t>1|10</t>
  </si>
  <si>
    <t>6|6</t>
  </si>
  <si>
    <t>[[103,1]]</t>
  </si>
  <si>
    <t>粉色</t>
  </si>
  <si>
    <t>红色</t>
  </si>
  <si>
    <t>装等</t>
  </si>
  <si>
    <t>穿戴等级</t>
  </si>
  <si>
    <t>(nouse)策划说明</t>
  </si>
  <si>
    <t>属性类型ID</t>
  </si>
  <si>
    <t>属性下限（nouse）</t>
  </si>
  <si>
    <t>属性上限（nouse）</t>
  </si>
  <si>
    <t>属性均值（nouse）</t>
  </si>
  <si>
    <t>值区间</t>
  </si>
  <si>
    <t>保留小数点</t>
  </si>
  <si>
    <t>level.p</t>
  </si>
  <si>
    <t>wearLevel</t>
  </si>
  <si>
    <t>attrId</t>
  </si>
  <si>
    <t>min</t>
  </si>
  <si>
    <t>max</t>
  </si>
  <si>
    <t>avg</t>
  </si>
  <si>
    <t>Value</t>
  </si>
  <si>
    <t>round</t>
  </si>
  <si>
    <t>法杖a</t>
  </si>
  <si>
    <t>长剑a</t>
  </si>
  <si>
    <t>头盔a</t>
  </si>
  <si>
    <t>胸甲a</t>
  </si>
  <si>
    <t>裤子a</t>
  </si>
  <si>
    <t>鞋子a</t>
  </si>
  <si>
    <t>手套a</t>
  </si>
  <si>
    <t>礼花a</t>
  </si>
  <si>
    <t>耳环a</t>
  </si>
  <si>
    <t>项链a</t>
  </si>
  <si>
    <t>戒指a</t>
  </si>
  <si>
    <t>勋章a</t>
  </si>
  <si>
    <t>羽饰a</t>
  </si>
  <si>
    <t>id</t>
  </si>
  <si>
    <t>备注(nouse)</t>
  </si>
  <si>
    <t>是否按顺序取出(传奇装备用)</t>
  </si>
  <si>
    <t>词条池</t>
  </si>
  <si>
    <t>ifOrder</t>
  </si>
  <si>
    <t>modifier</t>
  </si>
  <si>
    <t>法杖前缀</t>
  </si>
  <si>
    <t>1201|1202|1203|1204|1205|1206|1207|1208|1209|1210|1211|1212|1213</t>
  </si>
  <si>
    <t>法杖后缀</t>
  </si>
  <si>
    <t>1251|1252|1253|1254|1255|1256|1257|1258|1259|1260|1261|1262|1263|1264|1265|1266|1267|1268|1269|1270|1271|1272|1273</t>
  </si>
  <si>
    <t>长剑前缀</t>
  </si>
  <si>
    <t>1|2|3|4|5|6|7|8|9|10|11|12|13</t>
  </si>
  <si>
    <t>长剑后缀</t>
  </si>
  <si>
    <t>51|52|53|54|55|56|57|59|60|61|62|63|64|65|66|67|68|69|70|71|72|73|74</t>
  </si>
  <si>
    <t>头盔前缀</t>
  </si>
  <si>
    <t>101|102|103|104|105|106|107|108|109|110|111|112|113|114</t>
  </si>
  <si>
    <t>头盔后缀</t>
  </si>
  <si>
    <t>151|152|153|154|155|156|157|158|159|160|161|162|163|164</t>
  </si>
  <si>
    <t>胸甲前缀</t>
  </si>
  <si>
    <t>201|202|203|204|205|206|207|208|209|210|211|212|213|214</t>
  </si>
  <si>
    <t>胸甲后缀</t>
  </si>
  <si>
    <t>251|252|253|254|255|256|257|258|259|260|261|262|263|264</t>
  </si>
  <si>
    <t>裤子前缀</t>
  </si>
  <si>
    <t>301|302|303|304|305|306|307|308|309|310|311|312|313|314</t>
  </si>
  <si>
    <t>裤子后缀</t>
  </si>
  <si>
    <t>351|352|353|354|355|356|357|358|359|360|361|362|363|364</t>
  </si>
  <si>
    <t>鞋子前缀</t>
  </si>
  <si>
    <t>401|402|403|404|405|406|407|408|409|410|411|412|413|414</t>
  </si>
  <si>
    <t>鞋子后缀</t>
  </si>
  <si>
    <t>451|452|453|454|455|456|457|458|459|460|461|462|463|464</t>
  </si>
  <si>
    <t>手套前缀</t>
  </si>
  <si>
    <t>501|502|503|504|505|506|507|508|509|510|511|512|513</t>
  </si>
  <si>
    <t>手套后缀</t>
  </si>
  <si>
    <t>551|552|553|554|555|556|557|558|559|560|561|562|563|564|565|566|567|568|569|570|571|572</t>
  </si>
  <si>
    <t>礼花前缀</t>
  </si>
  <si>
    <t>601|602|603|604|605|606|607|608|609|610|611|612|613|614|615</t>
  </si>
  <si>
    <t>礼花后缀</t>
  </si>
  <si>
    <t>651|652|653|654|655|656|657|658|659|660|661|662|663|664</t>
  </si>
  <si>
    <t>耳环前缀</t>
  </si>
  <si>
    <t>701|702|703|704|705|706|707|708|709|710|711|712|713|714|715</t>
  </si>
  <si>
    <t>耳环后缀</t>
  </si>
  <si>
    <t>751|752|753|754|755|756|757|758|759|760|761|762|763|764</t>
  </si>
  <si>
    <t>项链前缀</t>
  </si>
  <si>
    <t>801|802|803|804|805|806|807|808|809|810|811|812|813</t>
  </si>
  <si>
    <t>项链后缀</t>
  </si>
  <si>
    <t>851|852|853|854|855|856|857|858|859|860|861|862|863|864|865|866|867|868|869|870|871|872</t>
  </si>
  <si>
    <t>戒指前缀</t>
  </si>
  <si>
    <t>901|902|903|904|905|906|907|908|909|910|911|912|913</t>
  </si>
  <si>
    <t>戒指后缀</t>
  </si>
  <si>
    <t>951|952|953|954|955|956|957|958|959|960|961|962|963|964|965|966|967|968|969|970|971|972</t>
  </si>
  <si>
    <t>勋章前缀</t>
  </si>
  <si>
    <t>1001|1002|1003|1004|1005|1006|1007|1008|1009|1010|1011|1012|1013|1014|1015</t>
  </si>
  <si>
    <t>勋章后缀</t>
  </si>
  <si>
    <t>1051|1052|1053|1054|1055|1056|1057|1058|1059|1060|1061|1062|1063|1064</t>
  </si>
  <si>
    <t>羽饰前缀</t>
  </si>
  <si>
    <t>1101|1102|1103|1104|1105|1106|1107|1108|1109|1110|1111|1112|1113|1114|1115</t>
  </si>
  <si>
    <t>羽饰后缀</t>
  </si>
  <si>
    <t>1151|1152|1153|1154|1155|1156|1157|1158|1159|1160|1161|1162|1163|1164</t>
  </si>
  <si>
    <t>评级</t>
  </si>
  <si>
    <t>(nouse)所属type</t>
  </si>
  <si>
    <t>(nouse)所属词位</t>
  </si>
  <si>
    <t>词缀前后</t>
  </si>
  <si>
    <t>权重</t>
  </si>
  <si>
    <t>互斥组</t>
  </si>
  <si>
    <t>解锁装等</t>
  </si>
  <si>
    <t>描述</t>
  </si>
  <si>
    <t>词缀类型</t>
  </si>
  <si>
    <t>特技</t>
  </si>
  <si>
    <t>效果</t>
  </si>
  <si>
    <t>提供属性</t>
  </si>
  <si>
    <t>随机值属性名</t>
  </si>
  <si>
    <t>随机下限</t>
  </si>
  <si>
    <t>随机上限</t>
  </si>
  <si>
    <t>保留小数位</t>
  </si>
  <si>
    <t>显示类型</t>
  </si>
  <si>
    <t>tier.p</t>
  </si>
  <si>
    <t>modifierPosition</t>
  </si>
  <si>
    <t>weigh</t>
  </si>
  <si>
    <t>repel</t>
  </si>
  <si>
    <t>level</t>
  </si>
  <si>
    <t>desc</t>
  </si>
  <si>
    <t>modifierType</t>
  </si>
  <si>
    <t>stunt</t>
  </si>
  <si>
    <t>affix</t>
  </si>
  <si>
    <t>attr</t>
  </si>
  <si>
    <t>randomValue</t>
  </si>
  <si>
    <t>showType</t>
  </si>
  <si>
    <t>物理伤害倍率增加</t>
  </si>
  <si>
    <t>前缀</t>
  </si>
  <si>
    <t>火焰伤害倍率增加</t>
  </si>
  <si>
    <t>冰冷伤害倍率增加</t>
  </si>
  <si>
    <t>闪电伤害倍率增加</t>
  </si>
  <si>
    <t>混沌伤害倍率增加</t>
  </si>
  <si>
    <t>攻击伤害提高</t>
  </si>
  <si>
    <t>物理伤害提高</t>
  </si>
  <si>
    <t>火焰伤害提高</t>
  </si>
  <si>
    <t>冰冷伤害提高</t>
  </si>
  <si>
    <t>闪电伤害提高</t>
  </si>
  <si>
    <t>混沌伤害提高</t>
  </si>
  <si>
    <t>基础生命</t>
  </si>
  <si>
    <t>命中率</t>
  </si>
  <si>
    <t>魔力回复率提高</t>
  </si>
  <si>
    <t>后缀</t>
  </si>
  <si>
    <t>攻击技能等级</t>
  </si>
  <si>
    <t>物理技能等级</t>
  </si>
  <si>
    <t>火焰技能等级</t>
  </si>
  <si>
    <t>冰冷技能等级</t>
  </si>
  <si>
    <t>闪电技能等级</t>
  </si>
  <si>
    <t>混沌技能等级</t>
  </si>
  <si>
    <t>攻击暴击值增加</t>
  </si>
  <si>
    <t>攻击暴击伤害增加</t>
  </si>
  <si>
    <t>获得物理伤害</t>
  </si>
  <si>
    <t>获得火焰伤害</t>
  </si>
  <si>
    <t>获得冰冷伤害</t>
  </si>
  <si>
    <t>获得闪电伤害</t>
  </si>
  <si>
    <t>获得混沌伤害</t>
  </si>
  <si>
    <t>攻击速度提高</t>
  </si>
  <si>
    <t>点燃概率提高</t>
  </si>
  <si>
    <t>冰缓强度</t>
  </si>
  <si>
    <t>感电概率提高</t>
  </si>
  <si>
    <t>流血强度</t>
  </si>
  <si>
    <t>中毒强度</t>
  </si>
  <si>
    <t>击杀回血</t>
  </si>
  <si>
    <t>击杀回蓝</t>
  </si>
  <si>
    <t>降低装备穿戴等级</t>
  </si>
  <si>
    <t>头部</t>
  </si>
  <si>
    <t>基础魔力</t>
  </si>
  <si>
    <t>装备稀有度</t>
  </si>
  <si>
    <t>法术伤害提高</t>
  </si>
  <si>
    <t>受到点燃时间降低</t>
  </si>
  <si>
    <t>受到冰缓时间降低</t>
  </si>
  <si>
    <t>受到感电时间降低</t>
  </si>
  <si>
    <t>格挡率</t>
  </si>
  <si>
    <t>火焰抗性</t>
  </si>
  <si>
    <t>冰冷抗性</t>
  </si>
  <si>
    <t>闪电抗性</t>
  </si>
  <si>
    <t>法术暴击伤害增加</t>
  </si>
  <si>
    <t>生命每秒恢复</t>
  </si>
  <si>
    <t>流血抵抗</t>
  </si>
  <si>
    <t>中毒抵抗</t>
  </si>
  <si>
    <t>眩晕缩减</t>
  </si>
  <si>
    <t>冰冻缩减</t>
  </si>
  <si>
    <t>移动速度</t>
  </si>
  <si>
    <t>法术技能等级</t>
  </si>
  <si>
    <t>投射物技能等级</t>
  </si>
  <si>
    <t>法术暴击值增加</t>
  </si>
  <si>
    <t>闪避率</t>
  </si>
  <si>
    <t>格挡减伤率</t>
  </si>
  <si>
    <t>攻击击中回血</t>
  </si>
  <si>
    <t>法术击中回血</t>
  </si>
  <si>
    <t>攻击击中回蓝</t>
  </si>
  <si>
    <t>法术击中回蓝</t>
  </si>
  <si>
    <t>勋章</t>
  </si>
  <si>
    <t>羽饰</t>
  </si>
  <si>
    <t>施法速度提高</t>
  </si>
  <si>
    <t>全局伤害提高</t>
  </si>
  <si>
    <t>元素抗性</t>
  </si>
  <si>
    <t>旋风斩无cd,伤害减少1.6倍率</t>
  </si>
  <si>
    <t>范围效果提高</t>
  </si>
  <si>
    <t>占位</t>
  </si>
  <si>
    <t>装备时获得“闪电之捷”</t>
  </si>
  <si>
    <t>装备时获得“火焰之捷”</t>
  </si>
  <si>
    <t>装备时获得“冰霜之捷”</t>
  </si>
  <si>
    <t>移动速度增加</t>
  </si>
  <si>
    <t>感电效果比例</t>
  </si>
  <si>
    <t>物理伤害转冰冷伤害增加</t>
  </si>
  <si>
    <t>物理伤害转火焰伤害增加</t>
  </si>
  <si>
    <t>物理伤害转闪电伤害增加</t>
  </si>
  <si>
    <t>冻结效果获得提高</t>
  </si>
  <si>
    <t>冻结时间获得提高</t>
  </si>
  <si>
    <t>冷却回复效率</t>
  </si>
  <si>
    <t>持续时间提高</t>
  </si>
  <si>
    <t>绝对暴击</t>
  </si>
  <si>
    <t>元素伤害提高</t>
  </si>
  <si>
    <t>近战技能范围效果增加</t>
  </si>
  <si>
    <t>攻击命中时有20%概率施加元素曝露，使元素抗性降低50%</t>
  </si>
  <si>
    <t>当生命大于X时，中毒伤害提高</t>
  </si>
  <si>
    <t>当冷却回复效率高于X%时，中毒持续时间增加</t>
  </si>
  <si>
    <t>击败冰结的敌人，回复位移技能的15%当前冷却时间</t>
  </si>
  <si>
    <t>冰冻效果比例</t>
  </si>
  <si>
    <t>中毒层数上限增加</t>
  </si>
  <si>
    <t>造成中毒时间比例</t>
  </si>
  <si>
    <t>幻影数量增加</t>
  </si>
  <si>
    <t>幻影持续时间提高</t>
  </si>
  <si>
    <t>幻影数量上限增加</t>
  </si>
  <si>
    <t>投射物速度提高</t>
  </si>
  <si>
    <t>投射物数量增加</t>
  </si>
  <si>
    <t>魔力回复率额外提高</t>
  </si>
  <si>
    <t>魔力每秒恢复增加</t>
  </si>
  <si>
    <t>注能持续时间提高</t>
  </si>
  <si>
    <t>每隔5秒在脚下生成一片火焰地面，造成相当于20%攻击力的点燃伤害</t>
  </si>
  <si>
    <t>冰霜抗性</t>
  </si>
  <si>
    <t>每移动20米可以获得1层毁灭注能</t>
  </si>
  <si>
    <t>闪电浸染</t>
  </si>
  <si>
    <t>范围伤害提高</t>
  </si>
  <si>
    <t>毁灭注能层数增加</t>
  </si>
  <si>
    <t>冻结效果额外提高</t>
  </si>
  <si>
    <t>周围敌人受到生命值上限1%的点燃强度的点燃</t>
  </si>
  <si>
    <t>火焰伤害倍率增加+15%</t>
  </si>
  <si>
    <t>冰霜手杖</t>
  </si>
  <si>
    <t>冰冷伤害倍率增加+15%</t>
  </si>
  <si>
    <t>闪电手杖</t>
  </si>
  <si>
    <t>闪电伤害倍率增加+15%</t>
  </si>
  <si>
    <t>物理伤害倍率增加+15%</t>
  </si>
  <si>
    <t>混沌伤害倍率增加+15%</t>
  </si>
  <si>
    <t>获得火焰伤害+20%</t>
  </si>
  <si>
    <t>获得冰冷伤害+20%</t>
  </si>
  <si>
    <t>获得闪电伤害+20%</t>
  </si>
  <si>
    <t>获得物理伤害+20%</t>
  </si>
  <si>
    <t>获得混沌伤害+20%</t>
  </si>
  <si>
    <t>物理抗性+20%</t>
  </si>
  <si>
    <t>火焰抗性+20%</t>
  </si>
  <si>
    <t>冰冷抗性+20%</t>
  </si>
  <si>
    <t>闪电抗性+20%</t>
  </si>
  <si>
    <t>攻击暴击伤害增加+25%</t>
  </si>
  <si>
    <t>法术暴击伤害增加+25%</t>
  </si>
  <si>
    <t>混沌抗性+20%</t>
  </si>
  <si>
    <t>攻击速度提高+15%</t>
  </si>
  <si>
    <t>皮护手</t>
  </si>
  <si>
    <t>施法速度提高+15%</t>
  </si>
  <si>
    <t>投射物速度</t>
  </si>
  <si>
    <t>投射物速度+15%</t>
  </si>
  <si>
    <t>物理伤害提高+30%</t>
  </si>
  <si>
    <t>火焰伤害提高+30%</t>
  </si>
  <si>
    <t>冰冷伤害提高+30%</t>
  </si>
  <si>
    <t>闪电伤害提高+30%</t>
  </si>
  <si>
    <t>混沌伤害提高+30%</t>
  </si>
  <si>
    <t>全局伤害提高+15%</t>
  </si>
  <si>
    <t>点燃效果比例</t>
  </si>
  <si>
    <t>点燃效果比例+20%</t>
  </si>
  <si>
    <t>冰冻效果比例+20%</t>
  </si>
  <si>
    <t>感电效果比例+20%</t>
  </si>
  <si>
    <t>中毒效果比例</t>
  </si>
  <si>
    <t>中毒效果比例+20%</t>
  </si>
  <si>
    <t>范围伤害提高+20%</t>
  </si>
  <si>
    <t>近战伤害提高</t>
  </si>
  <si>
    <t>近战伤害提高+20%</t>
  </si>
  <si>
    <t>投射物伤害提高</t>
  </si>
  <si>
    <t>投射物伤害提高+20%</t>
  </si>
  <si>
    <t>攻击伤害提高+20%</t>
  </si>
  <si>
    <t>法术伤害提高+20%</t>
  </si>
  <si>
    <t>召唤物伤害提高</t>
  </si>
  <si>
    <t>召唤物伤害提高+20%</t>
  </si>
  <si>
    <t>词缀t级</t>
  </si>
  <si>
    <t>价值碎钻</t>
  </si>
  <si>
    <t>value</t>
  </si>
  <si>
    <t>评级底</t>
  </si>
  <si>
    <t>字色</t>
  </si>
  <si>
    <t>描边</t>
  </si>
  <si>
    <t>res</t>
  </si>
  <si>
    <t>color</t>
  </si>
  <si>
    <t>outline</t>
  </si>
  <si>
    <t>FFF6E4</t>
  </si>
  <si>
    <t>AF272A</t>
  </si>
  <si>
    <t>A65310</t>
  </si>
  <si>
    <t>FEEAEA</t>
  </si>
  <si>
    <t>A95B00</t>
  </si>
  <si>
    <t>FEE9FF</t>
  </si>
  <si>
    <t>8426AC</t>
  </si>
  <si>
    <t>E7F9FF</t>
  </si>
  <si>
    <t>2D56AB</t>
  </si>
  <si>
    <t>武器</t>
  </si>
  <si>
    <t>求和项:权重</t>
  </si>
  <si>
    <t>冰霜技能等级</t>
  </si>
  <si>
    <t>攻击暴击增加率</t>
  </si>
  <si>
    <t>法术暴击增加率</t>
  </si>
  <si>
    <t>攻击暴击伤害提高</t>
  </si>
  <si>
    <t>法术暴击伤害提高</t>
  </si>
  <si>
    <t>额外物理攻击</t>
  </si>
  <si>
    <t>额外火焰攻击</t>
  </si>
  <si>
    <t>额外冰霜攻击</t>
  </si>
  <si>
    <t>额外闪电攻击</t>
  </si>
  <si>
    <t>额外混沌攻击</t>
  </si>
  <si>
    <t>点燃强度</t>
  </si>
  <si>
    <t>感电强度</t>
  </si>
  <si>
    <t>魔力恢复速度提高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</si>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</sst>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9"/>
        <bgColor indexed="49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426252021851"/>
        <bgColor indexed="49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0" borderId="0">
      <alignment vertical="center"/>
    </xf>
  </cellStyleXfs>
  <cellXfs count="50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/>
    </xf>
    <xf numFmtId="0" fontId="0" fillId="3" borderId="0" xfId="0" applyFont="1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49" fontId="1" fillId="5" borderId="0" xfId="0" applyNumberFormat="1" applyFont="1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horizontal="right" vertical="center"/>
    </xf>
    <xf numFmtId="0" fontId="0" fillId="8" borderId="0" xfId="0" applyNumberFormat="1" applyFill="1">
      <alignment vertical="center"/>
    </xf>
    <xf numFmtId="0" fontId="0" fillId="8" borderId="0" xfId="0" applyFill="1" applyAlignment="1">
      <alignment horizontal="right" vertical="center"/>
    </xf>
    <xf numFmtId="0" fontId="0" fillId="9" borderId="0" xfId="0" applyNumberFormat="1" applyFill="1">
      <alignment vertical="center"/>
    </xf>
    <xf numFmtId="0" fontId="0" fillId="9" borderId="0" xfId="0" applyFill="1" applyAlignment="1">
      <alignment horizontal="right" vertical="center"/>
    </xf>
    <xf numFmtId="0" fontId="0" fillId="10" borderId="0" xfId="0" applyNumberFormat="1" applyFill="1">
      <alignment vertical="center"/>
    </xf>
    <xf numFmtId="0" fontId="0" fillId="10" borderId="0" xfId="0" applyFill="1" applyAlignment="1">
      <alignment horizontal="right" vertical="center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13" borderId="0" xfId="0" applyFont="1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NumberFormat="1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5" xfId="52"/>
    <cellStyle name="常规 53" xfId="5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3646;&#2461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ttributeName"/>
      <sheetName val="AutoAttribute"/>
      <sheetName val="|新旧属性ID对照"/>
      <sheetName val="ModifierDes"/>
      <sheetName val="StuntDes"/>
    </sheetNames>
    <sheetDataSet>
      <sheetData sheetId="0">
        <row r="1">
          <cell r="B1" t="str">
            <v>属性ID</v>
          </cell>
          <cell r="C1" t="str">
            <v>(nouse)策划说明</v>
          </cell>
          <cell r="D1" t="str">
            <v>(nouse)词缀小数位</v>
          </cell>
          <cell r="E1" t="str">
            <v>(nouse)显示类型</v>
          </cell>
        </row>
        <row r="2">
          <cell r="B2" t="str">
            <v>attrID</v>
          </cell>
          <cell r="C2" t="str">
            <v>desc999</v>
          </cell>
          <cell r="D2" t="str">
            <v>desc98</v>
          </cell>
          <cell r="E2" t="str">
            <v>desc98</v>
          </cell>
        </row>
        <row r="3">
          <cell r="B3" t="str">
            <v>number</v>
          </cell>
          <cell r="C3" t="str">
            <v>string</v>
          </cell>
          <cell r="D3" t="str">
            <v>string</v>
          </cell>
          <cell r="E3" t="str">
            <v>string</v>
          </cell>
        </row>
        <row r="4">
          <cell r="B4">
            <v>10000</v>
          </cell>
          <cell r="C4" t="str">
            <v>基础攻击</v>
          </cell>
          <cell r="D4">
            <v>0</v>
          </cell>
          <cell r="E4">
            <v>1</v>
          </cell>
        </row>
        <row r="5">
          <cell r="B5">
            <v>10001</v>
          </cell>
          <cell r="C5" t="str">
            <v>基础生命</v>
          </cell>
          <cell r="D5">
            <v>0</v>
          </cell>
          <cell r="E5">
            <v>1</v>
          </cell>
        </row>
        <row r="6">
          <cell r="B6">
            <v>10002</v>
          </cell>
          <cell r="C6" t="str">
            <v>基础魔力</v>
          </cell>
          <cell r="D6">
            <v>0</v>
          </cell>
          <cell r="E6">
            <v>1</v>
          </cell>
        </row>
        <row r="7">
          <cell r="B7">
            <v>10003</v>
          </cell>
          <cell r="C7" t="str">
            <v>生命每秒恢复</v>
          </cell>
          <cell r="D7">
            <v>0</v>
          </cell>
          <cell r="E7">
            <v>1</v>
          </cell>
        </row>
        <row r="8">
          <cell r="B8">
            <v>10004</v>
          </cell>
          <cell r="C8" t="str">
            <v>生命恢复速度提高</v>
          </cell>
          <cell r="D8">
            <v>2</v>
          </cell>
          <cell r="E8">
            <v>2</v>
          </cell>
        </row>
        <row r="9">
          <cell r="B9">
            <v>10005</v>
          </cell>
          <cell r="C9" t="str">
            <v>魔力每秒恢复</v>
          </cell>
          <cell r="D9">
            <v>0</v>
          </cell>
          <cell r="E9">
            <v>1</v>
          </cell>
        </row>
        <row r="10">
          <cell r="B10">
            <v>10006</v>
          </cell>
          <cell r="C10" t="str">
            <v>魔力恢复率</v>
          </cell>
          <cell r="D10">
            <v>2</v>
          </cell>
          <cell r="E10">
            <v>2</v>
          </cell>
        </row>
        <row r="11">
          <cell r="B11">
            <v>10007</v>
          </cell>
          <cell r="C11" t="str">
            <v>移动速度增加</v>
          </cell>
          <cell r="D11">
            <v>2</v>
          </cell>
          <cell r="E11">
            <v>2</v>
          </cell>
        </row>
        <row r="12">
          <cell r="B12">
            <v>10009</v>
          </cell>
          <cell r="C12" t="str">
            <v>命中率</v>
          </cell>
          <cell r="D12">
            <v>2</v>
          </cell>
          <cell r="E12">
            <v>2</v>
          </cell>
        </row>
        <row r="13">
          <cell r="B13">
            <v>10010</v>
          </cell>
          <cell r="C13" t="str">
            <v>闪避率</v>
          </cell>
          <cell r="D13">
            <v>2</v>
          </cell>
          <cell r="E13">
            <v>2</v>
          </cell>
        </row>
        <row r="14">
          <cell r="B14">
            <v>10011</v>
          </cell>
          <cell r="C14" t="str">
            <v>格挡率</v>
          </cell>
          <cell r="D14">
            <v>2</v>
          </cell>
          <cell r="E14">
            <v>2</v>
          </cell>
        </row>
        <row r="15">
          <cell r="B15">
            <v>10012</v>
          </cell>
          <cell r="C15" t="str">
            <v>格挡减伤率</v>
          </cell>
          <cell r="D15">
            <v>2</v>
          </cell>
          <cell r="E15">
            <v>2</v>
          </cell>
        </row>
        <row r="16">
          <cell r="B16">
            <v>10013</v>
          </cell>
          <cell r="C16" t="str">
            <v>攻击冷却缩减</v>
          </cell>
          <cell r="D16">
            <v>2</v>
          </cell>
          <cell r="E16">
            <v>2</v>
          </cell>
        </row>
        <row r="17">
          <cell r="B17">
            <v>10014</v>
          </cell>
          <cell r="C17" t="str">
            <v>法术冷却缩减</v>
          </cell>
          <cell r="D17">
            <v>2</v>
          </cell>
          <cell r="E17">
            <v>2</v>
          </cell>
        </row>
        <row r="18">
          <cell r="B18">
            <v>10015</v>
          </cell>
          <cell r="C18" t="str">
            <v>攻击击中回血</v>
          </cell>
          <cell r="D18">
            <v>0</v>
          </cell>
          <cell r="E18">
            <v>1</v>
          </cell>
        </row>
        <row r="19">
          <cell r="B19">
            <v>10016</v>
          </cell>
          <cell r="C19" t="str">
            <v>攻击击中回蓝</v>
          </cell>
          <cell r="D19">
            <v>0</v>
          </cell>
          <cell r="E19">
            <v>1</v>
          </cell>
        </row>
        <row r="20">
          <cell r="B20">
            <v>10017</v>
          </cell>
          <cell r="C20" t="str">
            <v>法术击中回血</v>
          </cell>
          <cell r="D20">
            <v>0</v>
          </cell>
          <cell r="E20">
            <v>1</v>
          </cell>
        </row>
        <row r="21">
          <cell r="B21">
            <v>10018</v>
          </cell>
          <cell r="C21" t="str">
            <v>法术击中回蓝</v>
          </cell>
          <cell r="D21">
            <v>0</v>
          </cell>
          <cell r="E21">
            <v>1</v>
          </cell>
        </row>
        <row r="22">
          <cell r="B22">
            <v>10019</v>
          </cell>
          <cell r="C22" t="str">
            <v>击杀回血</v>
          </cell>
          <cell r="D22">
            <v>0</v>
          </cell>
          <cell r="E22">
            <v>1</v>
          </cell>
        </row>
        <row r="23">
          <cell r="B23">
            <v>10020</v>
          </cell>
          <cell r="C23" t="str">
            <v>击杀回蓝</v>
          </cell>
          <cell r="D23">
            <v>0</v>
          </cell>
          <cell r="E23">
            <v>1</v>
          </cell>
        </row>
        <row r="24">
          <cell r="B24">
            <v>10021</v>
          </cell>
          <cell r="C24" t="str">
            <v>能量</v>
          </cell>
          <cell r="D24">
            <v>0</v>
          </cell>
          <cell r="E24">
            <v>1</v>
          </cell>
        </row>
        <row r="25">
          <cell r="B25">
            <v>10022</v>
          </cell>
          <cell r="C25" t="str">
            <v>怒气</v>
          </cell>
          <cell r="D25">
            <v>0</v>
          </cell>
          <cell r="E25">
            <v>1</v>
          </cell>
        </row>
        <row r="26">
          <cell r="B26">
            <v>10029</v>
          </cell>
          <cell r="C26" t="str">
            <v>攻击速度-老版本buff引用</v>
          </cell>
          <cell r="D26">
            <v>0</v>
          </cell>
          <cell r="E26">
            <v>1</v>
          </cell>
        </row>
        <row r="27">
          <cell r="B27">
            <v>10030</v>
          </cell>
          <cell r="C27" t="str">
            <v>施法速度-老版本buff引用</v>
          </cell>
          <cell r="D27">
            <v>0</v>
          </cell>
          <cell r="E27">
            <v>1</v>
          </cell>
        </row>
        <row r="28">
          <cell r="B28">
            <v>10033</v>
          </cell>
          <cell r="C28" t="str">
            <v>投射物速度</v>
          </cell>
          <cell r="D28">
            <v>0</v>
          </cell>
          <cell r="E28">
            <v>1</v>
          </cell>
        </row>
        <row r="29">
          <cell r="B29">
            <v>10034</v>
          </cell>
          <cell r="C29" t="str">
            <v>攻击速度</v>
          </cell>
          <cell r="D29">
            <v>2</v>
          </cell>
          <cell r="E29">
            <v>2</v>
          </cell>
        </row>
        <row r="30">
          <cell r="B30">
            <v>10035</v>
          </cell>
          <cell r="C30" t="str">
            <v>施法速度</v>
          </cell>
          <cell r="D30">
            <v>2</v>
          </cell>
          <cell r="E30">
            <v>2</v>
          </cell>
        </row>
        <row r="31">
          <cell r="B31">
            <v>10100</v>
          </cell>
          <cell r="C31" t="str">
            <v>基础暴击率</v>
          </cell>
          <cell r="D31">
            <v>2</v>
          </cell>
          <cell r="E31">
            <v>2</v>
          </cell>
        </row>
        <row r="32">
          <cell r="B32">
            <v>10101</v>
          </cell>
          <cell r="C32" t="str">
            <v>全局暴击值增加</v>
          </cell>
          <cell r="D32">
            <v>2</v>
          </cell>
          <cell r="E32">
            <v>2</v>
          </cell>
        </row>
        <row r="33">
          <cell r="B33">
            <v>10102</v>
          </cell>
          <cell r="C33" t="str">
            <v>攻击暴击值增加</v>
          </cell>
          <cell r="D33">
            <v>2</v>
          </cell>
          <cell r="E33">
            <v>2</v>
          </cell>
        </row>
        <row r="34">
          <cell r="B34">
            <v>10103</v>
          </cell>
          <cell r="C34" t="str">
            <v>法术暴击值增加</v>
          </cell>
          <cell r="D34">
            <v>2</v>
          </cell>
          <cell r="E34">
            <v>2</v>
          </cell>
        </row>
        <row r="35">
          <cell r="B35">
            <v>10200</v>
          </cell>
          <cell r="C35" t="str">
            <v>暴击伤害</v>
          </cell>
          <cell r="D35">
            <v>2</v>
          </cell>
          <cell r="E35">
            <v>2</v>
          </cell>
        </row>
        <row r="36">
          <cell r="B36">
            <v>10300</v>
          </cell>
          <cell r="C36" t="str">
            <v>全局伤害提高</v>
          </cell>
          <cell r="D36">
            <v>2</v>
          </cell>
          <cell r="E36">
            <v>2</v>
          </cell>
        </row>
        <row r="37">
          <cell r="B37">
            <v>10301</v>
          </cell>
          <cell r="C37" t="str">
            <v>废弃</v>
          </cell>
          <cell r="D37">
            <v>2</v>
          </cell>
          <cell r="E37">
            <v>2</v>
          </cell>
        </row>
        <row r="38">
          <cell r="B38">
            <v>10302</v>
          </cell>
          <cell r="C38" t="str">
            <v>废弃</v>
          </cell>
          <cell r="D38">
            <v>2</v>
          </cell>
          <cell r="E38">
            <v>2</v>
          </cell>
        </row>
        <row r="39">
          <cell r="B39">
            <v>10303</v>
          </cell>
          <cell r="C39" t="str">
            <v>物理伤害提高</v>
          </cell>
          <cell r="D39">
            <v>2</v>
          </cell>
          <cell r="E39">
            <v>2</v>
          </cell>
        </row>
        <row r="40">
          <cell r="B40">
            <v>10304</v>
          </cell>
          <cell r="C40" t="str">
            <v>火焰伤害提高</v>
          </cell>
          <cell r="D40">
            <v>2</v>
          </cell>
          <cell r="E40">
            <v>2</v>
          </cell>
        </row>
        <row r="41">
          <cell r="B41">
            <v>10305</v>
          </cell>
          <cell r="C41" t="str">
            <v>冰冷伤害提高</v>
          </cell>
          <cell r="D41">
            <v>2</v>
          </cell>
          <cell r="E41">
            <v>2</v>
          </cell>
        </row>
        <row r="42">
          <cell r="B42">
            <v>10306</v>
          </cell>
          <cell r="C42" t="str">
            <v>闪电伤害提高</v>
          </cell>
          <cell r="D42">
            <v>2</v>
          </cell>
          <cell r="E42">
            <v>2</v>
          </cell>
        </row>
        <row r="43">
          <cell r="B43">
            <v>10307</v>
          </cell>
          <cell r="C43" t="str">
            <v>混沌伤害提高</v>
          </cell>
          <cell r="D43">
            <v>2</v>
          </cell>
          <cell r="E43">
            <v>2</v>
          </cell>
        </row>
        <row r="44">
          <cell r="B44">
            <v>10308</v>
          </cell>
          <cell r="C44" t="str">
            <v>元素伤害提高</v>
          </cell>
          <cell r="D44">
            <v>2</v>
          </cell>
          <cell r="E44">
            <v>2</v>
          </cell>
        </row>
        <row r="45">
          <cell r="B45">
            <v>10309</v>
          </cell>
          <cell r="C45" t="str">
            <v>more伤</v>
          </cell>
          <cell r="D45">
            <v>2</v>
          </cell>
          <cell r="E45">
            <v>2</v>
          </cell>
        </row>
        <row r="46">
          <cell r="B46">
            <v>10310</v>
          </cell>
          <cell r="C46" t="str">
            <v>全局减伤(未开发)</v>
          </cell>
          <cell r="D46">
            <v>2</v>
          </cell>
          <cell r="E46">
            <v>2</v>
          </cell>
        </row>
        <row r="47">
          <cell r="B47">
            <v>10311</v>
          </cell>
          <cell r="C47" t="str">
            <v>物理抗性</v>
          </cell>
          <cell r="D47">
            <v>2</v>
          </cell>
          <cell r="E47">
            <v>2</v>
          </cell>
        </row>
        <row r="48">
          <cell r="B48">
            <v>10312</v>
          </cell>
          <cell r="C48" t="str">
            <v>火焰抗性</v>
          </cell>
          <cell r="D48">
            <v>2</v>
          </cell>
          <cell r="E48">
            <v>2</v>
          </cell>
        </row>
        <row r="49">
          <cell r="B49">
            <v>10313</v>
          </cell>
          <cell r="C49" t="str">
            <v>冰冷抗性</v>
          </cell>
          <cell r="D49">
            <v>2</v>
          </cell>
          <cell r="E49">
            <v>2</v>
          </cell>
        </row>
        <row r="50">
          <cell r="B50">
            <v>10314</v>
          </cell>
          <cell r="C50" t="str">
            <v>闪电抗性</v>
          </cell>
          <cell r="D50">
            <v>2</v>
          </cell>
          <cell r="E50">
            <v>2</v>
          </cell>
        </row>
        <row r="51">
          <cell r="B51">
            <v>10315</v>
          </cell>
          <cell r="C51" t="str">
            <v>混沌抗性</v>
          </cell>
          <cell r="D51">
            <v>2</v>
          </cell>
          <cell r="E51">
            <v>2</v>
          </cell>
        </row>
        <row r="52">
          <cell r="B52">
            <v>10316</v>
          </cell>
          <cell r="C52" t="str">
            <v>元素抗性</v>
          </cell>
          <cell r="D52">
            <v>2</v>
          </cell>
          <cell r="E52">
            <v>2</v>
          </cell>
        </row>
        <row r="53">
          <cell r="B53">
            <v>10317</v>
          </cell>
          <cell r="C53" t="str">
            <v>火焰物理抗性</v>
          </cell>
          <cell r="D53">
            <v>2</v>
          </cell>
          <cell r="E53">
            <v>2</v>
          </cell>
        </row>
        <row r="54">
          <cell r="B54">
            <v>10318</v>
          </cell>
          <cell r="C54" t="str">
            <v>冰冷物理抗性</v>
          </cell>
          <cell r="D54">
            <v>2</v>
          </cell>
          <cell r="E54">
            <v>2</v>
          </cell>
        </row>
        <row r="55">
          <cell r="B55">
            <v>10319</v>
          </cell>
          <cell r="C55" t="str">
            <v>闪电物理抗性</v>
          </cell>
          <cell r="D55">
            <v>2</v>
          </cell>
          <cell r="E55">
            <v>2</v>
          </cell>
        </row>
        <row r="56">
          <cell r="B56">
            <v>10320</v>
          </cell>
          <cell r="C56" t="str">
            <v>火焰混沌抗性</v>
          </cell>
          <cell r="D56">
            <v>2</v>
          </cell>
          <cell r="E56">
            <v>2</v>
          </cell>
        </row>
        <row r="57">
          <cell r="B57">
            <v>10321</v>
          </cell>
          <cell r="C57" t="str">
            <v>冰冷混沌抗性</v>
          </cell>
          <cell r="D57">
            <v>2</v>
          </cell>
          <cell r="E57">
            <v>2</v>
          </cell>
        </row>
        <row r="58">
          <cell r="B58">
            <v>10322</v>
          </cell>
          <cell r="C58" t="str">
            <v>闪电混沌抗性</v>
          </cell>
          <cell r="D58">
            <v>2</v>
          </cell>
          <cell r="E58">
            <v>2</v>
          </cell>
        </row>
        <row r="59">
          <cell r="B59">
            <v>10323</v>
          </cell>
          <cell r="C59" t="str">
            <v>击退抗性</v>
          </cell>
          <cell r="D59">
            <v>2</v>
          </cell>
          <cell r="E59">
            <v>2</v>
          </cell>
        </row>
        <row r="60">
          <cell r="B60">
            <v>10324</v>
          </cell>
          <cell r="C60" t="str">
            <v>减速抗性</v>
          </cell>
          <cell r="D60">
            <v>2</v>
          </cell>
          <cell r="E60">
            <v>2</v>
          </cell>
        </row>
        <row r="61">
          <cell r="B61">
            <v>10325</v>
          </cell>
          <cell r="C61" t="str">
            <v>眩晕抗性</v>
          </cell>
          <cell r="D61">
            <v>2</v>
          </cell>
          <cell r="E61">
            <v>2</v>
          </cell>
        </row>
        <row r="62">
          <cell r="B62">
            <v>10400</v>
          </cell>
          <cell r="C62" t="str">
            <v>投射物技能等级</v>
          </cell>
          <cell r="D62">
            <v>0</v>
          </cell>
          <cell r="E62">
            <v>1</v>
          </cell>
        </row>
        <row r="63">
          <cell r="B63">
            <v>10401</v>
          </cell>
          <cell r="C63" t="str">
            <v>攻击技能等级</v>
          </cell>
          <cell r="D63">
            <v>0</v>
          </cell>
          <cell r="E63">
            <v>1</v>
          </cell>
        </row>
        <row r="64">
          <cell r="B64">
            <v>10402</v>
          </cell>
          <cell r="C64" t="str">
            <v>法术技能等级</v>
          </cell>
          <cell r="D64">
            <v>0</v>
          </cell>
          <cell r="E64">
            <v>1</v>
          </cell>
        </row>
        <row r="65">
          <cell r="B65">
            <v>10403</v>
          </cell>
          <cell r="C65" t="str">
            <v>物理技能等级</v>
          </cell>
          <cell r="D65">
            <v>0</v>
          </cell>
          <cell r="E65">
            <v>1</v>
          </cell>
        </row>
        <row r="66">
          <cell r="B66">
            <v>10404</v>
          </cell>
          <cell r="C66" t="str">
            <v>火焰技能等级</v>
          </cell>
          <cell r="D66">
            <v>0</v>
          </cell>
          <cell r="E66">
            <v>1</v>
          </cell>
        </row>
        <row r="67">
          <cell r="B67">
            <v>10405</v>
          </cell>
          <cell r="C67" t="str">
            <v>冰冷技能等级</v>
          </cell>
          <cell r="D67">
            <v>0</v>
          </cell>
          <cell r="E67">
            <v>1</v>
          </cell>
        </row>
        <row r="68">
          <cell r="B68">
            <v>10406</v>
          </cell>
          <cell r="C68" t="str">
            <v>闪电技能等级</v>
          </cell>
          <cell r="D68">
            <v>0</v>
          </cell>
          <cell r="E68">
            <v>1</v>
          </cell>
        </row>
        <row r="69">
          <cell r="B69">
            <v>10407</v>
          </cell>
          <cell r="C69" t="str">
            <v>混沌技能等级</v>
          </cell>
          <cell r="D69">
            <v>0</v>
          </cell>
          <cell r="E69">
            <v>1</v>
          </cell>
        </row>
        <row r="70">
          <cell r="B70">
            <v>10408</v>
          </cell>
          <cell r="C70" t="str">
            <v>全技能等级</v>
          </cell>
          <cell r="D70">
            <v>0</v>
          </cell>
          <cell r="E70">
            <v>1</v>
          </cell>
        </row>
        <row r="71">
          <cell r="B71">
            <v>10500</v>
          </cell>
          <cell r="C71" t="str">
            <v>获得物理伤害</v>
          </cell>
          <cell r="D71">
            <v>2</v>
          </cell>
          <cell r="E71">
            <v>2</v>
          </cell>
        </row>
        <row r="72">
          <cell r="B72">
            <v>10501</v>
          </cell>
          <cell r="C72" t="str">
            <v>获得火焰伤害</v>
          </cell>
          <cell r="D72">
            <v>2</v>
          </cell>
          <cell r="E72">
            <v>2</v>
          </cell>
        </row>
        <row r="73">
          <cell r="B73">
            <v>10502</v>
          </cell>
          <cell r="C73" t="str">
            <v>获得冰冷伤害</v>
          </cell>
          <cell r="D73">
            <v>2</v>
          </cell>
          <cell r="E73">
            <v>2</v>
          </cell>
        </row>
        <row r="74">
          <cell r="B74">
            <v>10503</v>
          </cell>
          <cell r="C74" t="str">
            <v>获得闪电伤害</v>
          </cell>
          <cell r="D74">
            <v>2</v>
          </cell>
          <cell r="E74">
            <v>2</v>
          </cell>
        </row>
        <row r="75">
          <cell r="B75">
            <v>10504</v>
          </cell>
          <cell r="C75" t="str">
            <v>获得混沌伤害</v>
          </cell>
          <cell r="D75">
            <v>2</v>
          </cell>
          <cell r="E75">
            <v>2</v>
          </cell>
        </row>
        <row r="76">
          <cell r="B76">
            <v>10600</v>
          </cell>
          <cell r="C76" t="str">
            <v>攻击百比</v>
          </cell>
          <cell r="D76">
            <v>2</v>
          </cell>
          <cell r="E76">
            <v>2</v>
          </cell>
        </row>
        <row r="77">
          <cell r="B77">
            <v>10601</v>
          </cell>
          <cell r="C77" t="str">
            <v>物理攻击百比</v>
          </cell>
          <cell r="D77">
            <v>2</v>
          </cell>
          <cell r="E77">
            <v>2</v>
          </cell>
        </row>
        <row r="78">
          <cell r="B78">
            <v>10602</v>
          </cell>
          <cell r="C78" t="str">
            <v>火焰攻击百比</v>
          </cell>
          <cell r="D78">
            <v>2</v>
          </cell>
          <cell r="E78">
            <v>2</v>
          </cell>
        </row>
        <row r="79">
          <cell r="B79">
            <v>10603</v>
          </cell>
          <cell r="C79" t="str">
            <v>冰冷攻击百比</v>
          </cell>
          <cell r="D79">
            <v>2</v>
          </cell>
          <cell r="E79">
            <v>2</v>
          </cell>
        </row>
        <row r="80">
          <cell r="B80">
            <v>10604</v>
          </cell>
          <cell r="C80" t="str">
            <v>闪电攻击百比</v>
          </cell>
          <cell r="D80">
            <v>2</v>
          </cell>
          <cell r="E80">
            <v>2</v>
          </cell>
        </row>
        <row r="81">
          <cell r="B81">
            <v>10605</v>
          </cell>
          <cell r="C81" t="str">
            <v>混沌攻击百比</v>
          </cell>
          <cell r="D81">
            <v>2</v>
          </cell>
          <cell r="E81">
            <v>2</v>
          </cell>
        </row>
        <row r="82">
          <cell r="B82">
            <v>10606</v>
          </cell>
          <cell r="C82" t="str">
            <v>元素攻击百比</v>
          </cell>
          <cell r="D82">
            <v>2</v>
          </cell>
          <cell r="E82">
            <v>2</v>
          </cell>
        </row>
        <row r="83">
          <cell r="B83">
            <v>10700</v>
          </cell>
          <cell r="C83" t="str">
            <v>装备稀有度</v>
          </cell>
          <cell r="D83">
            <v>2</v>
          </cell>
          <cell r="E83">
            <v>2</v>
          </cell>
        </row>
        <row r="84">
          <cell r="B84">
            <v>10704</v>
          </cell>
          <cell r="C84" t="str">
            <v>经验掉落数量增加</v>
          </cell>
          <cell r="D84">
            <v>2</v>
          </cell>
          <cell r="E84">
            <v>2</v>
          </cell>
        </row>
        <row r="85">
          <cell r="B85">
            <v>10705</v>
          </cell>
          <cell r="C85" t="str">
            <v>重熔出现概率</v>
          </cell>
          <cell r="D85">
            <v>2</v>
          </cell>
          <cell r="E85">
            <v>2</v>
          </cell>
        </row>
        <row r="86">
          <cell r="B86">
            <v>10706</v>
          </cell>
          <cell r="C86" t="str">
            <v>基础等级影响掉落</v>
          </cell>
          <cell r="D86">
            <v>2</v>
          </cell>
          <cell r="E86">
            <v>2</v>
          </cell>
        </row>
        <row r="87">
          <cell r="B87">
            <v>10800</v>
          </cell>
          <cell r="C87" t="str">
            <v>点燃强度</v>
          </cell>
          <cell r="D87">
            <v>2</v>
          </cell>
          <cell r="E87">
            <v>2</v>
          </cell>
        </row>
        <row r="88">
          <cell r="B88">
            <v>10801</v>
          </cell>
          <cell r="C88" t="str">
            <v>冰缓强度</v>
          </cell>
          <cell r="D88">
            <v>2</v>
          </cell>
          <cell r="E88">
            <v>2</v>
          </cell>
        </row>
        <row r="89">
          <cell r="B89">
            <v>10802</v>
          </cell>
          <cell r="C89" t="str">
            <v>感电强度</v>
          </cell>
          <cell r="D89">
            <v>2</v>
          </cell>
          <cell r="E89">
            <v>2</v>
          </cell>
        </row>
        <row r="90">
          <cell r="B90">
            <v>10803</v>
          </cell>
          <cell r="C90" t="str">
            <v>流血强度</v>
          </cell>
          <cell r="D90">
            <v>2</v>
          </cell>
          <cell r="E90">
            <v>2</v>
          </cell>
        </row>
        <row r="91">
          <cell r="B91">
            <v>10804</v>
          </cell>
          <cell r="C91" t="str">
            <v>中毒强度</v>
          </cell>
          <cell r="D91">
            <v>2</v>
          </cell>
          <cell r="E91">
            <v>2</v>
          </cell>
        </row>
        <row r="92">
          <cell r="B92">
            <v>10805</v>
          </cell>
          <cell r="C92" t="str">
            <v>眩晕延长</v>
          </cell>
          <cell r="D92">
            <v>2</v>
          </cell>
          <cell r="E92">
            <v>2</v>
          </cell>
        </row>
        <row r="93">
          <cell r="B93">
            <v>10806</v>
          </cell>
          <cell r="C93" t="str">
            <v>冰冻延长</v>
          </cell>
          <cell r="D93">
            <v>2</v>
          </cell>
          <cell r="E93">
            <v>2</v>
          </cell>
        </row>
        <row r="94">
          <cell r="B94">
            <v>10807</v>
          </cell>
          <cell r="C94" t="str">
            <v>点燃抵抗</v>
          </cell>
          <cell r="D94">
            <v>2</v>
          </cell>
          <cell r="E94">
            <v>2</v>
          </cell>
        </row>
        <row r="95">
          <cell r="B95">
            <v>10808</v>
          </cell>
          <cell r="C95" t="str">
            <v>冰缓抵抗</v>
          </cell>
          <cell r="D95">
            <v>2</v>
          </cell>
          <cell r="E95">
            <v>2</v>
          </cell>
        </row>
        <row r="96">
          <cell r="B96">
            <v>10809</v>
          </cell>
          <cell r="C96" t="str">
            <v>感电抵抗</v>
          </cell>
          <cell r="D96">
            <v>2</v>
          </cell>
          <cell r="E96">
            <v>2</v>
          </cell>
        </row>
        <row r="97">
          <cell r="B97">
            <v>10810</v>
          </cell>
          <cell r="C97" t="str">
            <v>流血抵抗</v>
          </cell>
          <cell r="D97">
            <v>2</v>
          </cell>
          <cell r="E97">
            <v>2</v>
          </cell>
        </row>
        <row r="98">
          <cell r="B98">
            <v>10811</v>
          </cell>
          <cell r="C98" t="str">
            <v>中毒抵抗</v>
          </cell>
          <cell r="D98">
            <v>2</v>
          </cell>
          <cell r="E98">
            <v>2</v>
          </cell>
        </row>
        <row r="99">
          <cell r="B99">
            <v>10812</v>
          </cell>
          <cell r="C99" t="str">
            <v>眩晕缩减</v>
          </cell>
          <cell r="D99">
            <v>2</v>
          </cell>
          <cell r="E99">
            <v>2</v>
          </cell>
        </row>
        <row r="100">
          <cell r="B100">
            <v>10813</v>
          </cell>
          <cell r="C100" t="str">
            <v>冰冻缩减</v>
          </cell>
          <cell r="D100">
            <v>2</v>
          </cell>
          <cell r="E100">
            <v>2</v>
          </cell>
        </row>
        <row r="101">
          <cell r="B101">
            <v>10900</v>
          </cell>
          <cell r="C101" t="str">
            <v>降低装备穿戴等级</v>
          </cell>
          <cell r="D101">
            <v>0</v>
          </cell>
          <cell r="E101">
            <v>1</v>
          </cell>
        </row>
        <row r="102">
          <cell r="B102">
            <v>11001</v>
          </cell>
          <cell r="C102" t="str">
            <v>免疫点燃概率</v>
          </cell>
          <cell r="D102">
            <v>2</v>
          </cell>
          <cell r="E102">
            <v>2</v>
          </cell>
        </row>
        <row r="103">
          <cell r="B103">
            <v>11002</v>
          </cell>
          <cell r="C103" t="str">
            <v>免疫冰缓概率</v>
          </cell>
          <cell r="D103">
            <v>2</v>
          </cell>
          <cell r="E103">
            <v>2</v>
          </cell>
        </row>
        <row r="104">
          <cell r="B104">
            <v>11003</v>
          </cell>
          <cell r="C104" t="str">
            <v>免疫冰冻概率</v>
          </cell>
          <cell r="D104">
            <v>2</v>
          </cell>
          <cell r="E104">
            <v>2</v>
          </cell>
        </row>
        <row r="105">
          <cell r="B105">
            <v>11004</v>
          </cell>
          <cell r="C105" t="str">
            <v>免疫感电概率</v>
          </cell>
          <cell r="D105">
            <v>2</v>
          </cell>
          <cell r="E105">
            <v>2</v>
          </cell>
        </row>
        <row r="106">
          <cell r="B106">
            <v>11005</v>
          </cell>
          <cell r="C106" t="str">
            <v>免疫触电概率</v>
          </cell>
          <cell r="D106">
            <v>2</v>
          </cell>
          <cell r="E106">
            <v>2</v>
          </cell>
        </row>
        <row r="107">
          <cell r="B107">
            <v>11006</v>
          </cell>
          <cell r="C107" t="str">
            <v>点燃概率提高</v>
          </cell>
          <cell r="D107">
            <v>2</v>
          </cell>
          <cell r="E107">
            <v>2</v>
          </cell>
        </row>
        <row r="108">
          <cell r="B108">
            <v>11007</v>
          </cell>
          <cell r="C108" t="str">
            <v>点燃效果比例</v>
          </cell>
          <cell r="D108">
            <v>2</v>
          </cell>
          <cell r="E108">
            <v>2</v>
          </cell>
        </row>
        <row r="109">
          <cell r="B109">
            <v>11008</v>
          </cell>
          <cell r="C109" t="str">
            <v>冰冻效果比例</v>
          </cell>
          <cell r="D109">
            <v>2</v>
          </cell>
          <cell r="E109">
            <v>2</v>
          </cell>
        </row>
        <row r="110">
          <cell r="B110">
            <v>11009</v>
          </cell>
          <cell r="C110" t="str">
            <v>感电概率提高</v>
          </cell>
          <cell r="D110">
            <v>2</v>
          </cell>
          <cell r="E110">
            <v>2</v>
          </cell>
        </row>
        <row r="111">
          <cell r="B111">
            <v>11010</v>
          </cell>
          <cell r="C111" t="str">
            <v>感电效果比例</v>
          </cell>
          <cell r="D111">
            <v>2</v>
          </cell>
          <cell r="E111">
            <v>2</v>
          </cell>
        </row>
        <row r="112">
          <cell r="B112">
            <v>11011</v>
          </cell>
          <cell r="C112" t="str">
            <v>触电几率提高</v>
          </cell>
          <cell r="D112">
            <v>2</v>
          </cell>
          <cell r="E112">
            <v>2</v>
          </cell>
        </row>
        <row r="113">
          <cell r="B113">
            <v>11012</v>
          </cell>
          <cell r="C113" t="str">
            <v>受到点燃时间降低</v>
          </cell>
          <cell r="D113">
            <v>2</v>
          </cell>
          <cell r="E113">
            <v>2</v>
          </cell>
        </row>
        <row r="114">
          <cell r="B114">
            <v>11013</v>
          </cell>
          <cell r="C114" t="str">
            <v>受到冰缓时间降低</v>
          </cell>
          <cell r="D114">
            <v>2</v>
          </cell>
          <cell r="E114">
            <v>2</v>
          </cell>
        </row>
        <row r="115">
          <cell r="B115">
            <v>11014</v>
          </cell>
          <cell r="C115" t="str">
            <v>受到冻结时间降低</v>
          </cell>
          <cell r="D115">
            <v>2</v>
          </cell>
          <cell r="E115">
            <v>2</v>
          </cell>
        </row>
        <row r="116">
          <cell r="B116">
            <v>11015</v>
          </cell>
          <cell r="C116" t="str">
            <v>受到感电时间降低</v>
          </cell>
          <cell r="D116">
            <v>2</v>
          </cell>
          <cell r="E116">
            <v>2</v>
          </cell>
        </row>
        <row r="117">
          <cell r="B117">
            <v>11016</v>
          </cell>
          <cell r="C117" t="str">
            <v>受到触电时间降低</v>
          </cell>
          <cell r="D117">
            <v>2</v>
          </cell>
          <cell r="E117">
            <v>2</v>
          </cell>
        </row>
        <row r="118">
          <cell r="B118">
            <v>11017</v>
          </cell>
          <cell r="C118" t="str">
            <v>元素异常状态抵抗</v>
          </cell>
          <cell r="D118">
            <v>2</v>
          </cell>
          <cell r="E118">
            <v>2</v>
          </cell>
        </row>
        <row r="119">
          <cell r="B119">
            <v>11018</v>
          </cell>
          <cell r="C119" t="str">
            <v>元素异常状态阈值</v>
          </cell>
          <cell r="D119">
            <v>2</v>
          </cell>
          <cell r="E119">
            <v>2</v>
          </cell>
        </row>
        <row r="120">
          <cell r="B120">
            <v>11019</v>
          </cell>
          <cell r="C120" t="str">
            <v>点燃层数上限增加</v>
          </cell>
          <cell r="D120">
            <v>0</v>
          </cell>
          <cell r="E120">
            <v>1</v>
          </cell>
        </row>
        <row r="121">
          <cell r="B121">
            <v>11020</v>
          </cell>
          <cell r="C121" t="str">
            <v>物理伤害转化为闪电伤害</v>
          </cell>
          <cell r="D121">
            <v>2</v>
          </cell>
          <cell r="E121">
            <v>2</v>
          </cell>
        </row>
        <row r="122">
          <cell r="B122">
            <v>11021</v>
          </cell>
          <cell r="C122" t="str">
            <v>物理伤害转化为冰冷伤害</v>
          </cell>
          <cell r="D122">
            <v>2</v>
          </cell>
          <cell r="E122">
            <v>2</v>
          </cell>
        </row>
        <row r="123">
          <cell r="B123">
            <v>11022</v>
          </cell>
          <cell r="C123" t="str">
            <v>物理伤害转化为火焰伤害</v>
          </cell>
          <cell r="D123">
            <v>2</v>
          </cell>
          <cell r="E123">
            <v>2</v>
          </cell>
        </row>
        <row r="124">
          <cell r="B124">
            <v>11023</v>
          </cell>
          <cell r="C124" t="str">
            <v>闪电伤害转化为冰冷伤害</v>
          </cell>
          <cell r="D124">
            <v>2</v>
          </cell>
          <cell r="E124">
            <v>2</v>
          </cell>
        </row>
        <row r="125">
          <cell r="B125">
            <v>11024</v>
          </cell>
          <cell r="C125" t="str">
            <v>闪电伤害转化为火焰伤害</v>
          </cell>
          <cell r="D125">
            <v>2</v>
          </cell>
          <cell r="E125">
            <v>2</v>
          </cell>
        </row>
        <row r="126">
          <cell r="B126">
            <v>11025</v>
          </cell>
          <cell r="C126" t="str">
            <v>火焰伤害转化为冰冷伤害</v>
          </cell>
          <cell r="D126">
            <v>2</v>
          </cell>
          <cell r="E126">
            <v>2</v>
          </cell>
        </row>
        <row r="127">
          <cell r="B127">
            <v>11026</v>
          </cell>
          <cell r="C127" t="str">
            <v>火焰伤害转化为闪电伤害</v>
          </cell>
          <cell r="D127">
            <v>2</v>
          </cell>
          <cell r="E127">
            <v>2</v>
          </cell>
        </row>
        <row r="128">
          <cell r="B128">
            <v>11027</v>
          </cell>
          <cell r="C128" t="str">
            <v>冰冷伤害转换为闪电伤害</v>
          </cell>
          <cell r="D128">
            <v>2</v>
          </cell>
          <cell r="E128">
            <v>2</v>
          </cell>
        </row>
        <row r="129">
          <cell r="B129">
            <v>11028</v>
          </cell>
          <cell r="C129" t="str">
            <v>冰冷伤害转换为火焰伤害</v>
          </cell>
          <cell r="D129">
            <v>2</v>
          </cell>
          <cell r="E129">
            <v>2</v>
          </cell>
        </row>
        <row r="130">
          <cell r="B130">
            <v>11029</v>
          </cell>
          <cell r="C130" t="str">
            <v>冰冷伤害转换为混沌伤害</v>
          </cell>
          <cell r="D130">
            <v>2</v>
          </cell>
          <cell r="E130">
            <v>2</v>
          </cell>
        </row>
        <row r="131">
          <cell r="B131">
            <v>11030</v>
          </cell>
          <cell r="C131" t="str">
            <v>闪电伤害转换为混沌伤害</v>
          </cell>
          <cell r="D131">
            <v>2</v>
          </cell>
          <cell r="E131">
            <v>2</v>
          </cell>
        </row>
        <row r="132">
          <cell r="B132">
            <v>11031</v>
          </cell>
          <cell r="C132" t="str">
            <v>火焰伤害转换为混沌伤害</v>
          </cell>
          <cell r="D132">
            <v>2</v>
          </cell>
          <cell r="E132">
            <v>2</v>
          </cell>
        </row>
        <row r="133">
          <cell r="B133">
            <v>11032</v>
          </cell>
          <cell r="C133" t="str">
            <v>造成点燃时间比例</v>
          </cell>
          <cell r="D133">
            <v>2</v>
          </cell>
          <cell r="E133">
            <v>2</v>
          </cell>
        </row>
        <row r="134">
          <cell r="B134">
            <v>11033</v>
          </cell>
          <cell r="C134" t="str">
            <v>造成冰缓时间比例</v>
          </cell>
          <cell r="D134">
            <v>2</v>
          </cell>
          <cell r="E134">
            <v>2</v>
          </cell>
        </row>
        <row r="135">
          <cell r="B135">
            <v>11034</v>
          </cell>
          <cell r="C135" t="str">
            <v>造成冰冻时间比例</v>
          </cell>
          <cell r="D135">
            <v>2</v>
          </cell>
          <cell r="E135">
            <v>2</v>
          </cell>
        </row>
        <row r="136">
          <cell r="B136">
            <v>11035</v>
          </cell>
          <cell r="C136" t="str">
            <v>造成感电时间比例</v>
          </cell>
          <cell r="D136">
            <v>2</v>
          </cell>
          <cell r="E136">
            <v>2</v>
          </cell>
        </row>
        <row r="137">
          <cell r="B137">
            <v>11036</v>
          </cell>
          <cell r="C137" t="str">
            <v>造成触电时间比例</v>
          </cell>
          <cell r="D137">
            <v>2</v>
          </cell>
          <cell r="E137">
            <v>2</v>
          </cell>
        </row>
        <row r="138">
          <cell r="B138">
            <v>11037</v>
          </cell>
          <cell r="C138" t="str">
            <v>冷却回复效率</v>
          </cell>
          <cell r="D138">
            <v>2</v>
          </cell>
          <cell r="E138">
            <v>2</v>
          </cell>
        </row>
        <row r="139">
          <cell r="B139">
            <v>11038</v>
          </cell>
          <cell r="C139" t="str">
            <v>中毒概率</v>
          </cell>
          <cell r="D139">
            <v>2</v>
          </cell>
          <cell r="E139">
            <v>2</v>
          </cell>
        </row>
        <row r="140">
          <cell r="B140">
            <v>11039</v>
          </cell>
          <cell r="C140" t="str">
            <v>中毒效果比例</v>
          </cell>
          <cell r="D140">
            <v>2</v>
          </cell>
          <cell r="E140">
            <v>2</v>
          </cell>
        </row>
        <row r="141">
          <cell r="B141">
            <v>11040</v>
          </cell>
          <cell r="C141" t="str">
            <v>造成中毒时间比例</v>
          </cell>
          <cell r="D141">
            <v>2</v>
          </cell>
          <cell r="E141">
            <v>2</v>
          </cell>
        </row>
        <row r="142">
          <cell r="B142">
            <v>11041</v>
          </cell>
          <cell r="C142" t="str">
            <v>魔力消耗转生命消耗</v>
          </cell>
          <cell r="D142">
            <v>2</v>
          </cell>
          <cell r="E142">
            <v>2</v>
          </cell>
        </row>
        <row r="143">
          <cell r="B143">
            <v>11042</v>
          </cell>
          <cell r="C143" t="str">
            <v>受伤缓冲</v>
          </cell>
          <cell r="D143">
            <v>2</v>
          </cell>
          <cell r="E143">
            <v>2</v>
          </cell>
        </row>
        <row r="144">
          <cell r="B144">
            <v>11046</v>
          </cell>
          <cell r="C144" t="str">
            <v>中毒层数上限增加</v>
          </cell>
          <cell r="D144">
            <v>0</v>
          </cell>
          <cell r="E144">
            <v>1</v>
          </cell>
        </row>
        <row r="145">
          <cell r="B145">
            <v>11047</v>
          </cell>
          <cell r="C145" t="str">
            <v>持续伤害比例</v>
          </cell>
          <cell r="D145">
            <v>0</v>
          </cell>
          <cell r="E145">
            <v>1</v>
          </cell>
        </row>
        <row r="146">
          <cell r="B146">
            <v>11048</v>
          </cell>
          <cell r="C146" t="str">
            <v>物理抗性穿透</v>
          </cell>
          <cell r="D146">
            <v>2</v>
          </cell>
          <cell r="E146">
            <v>2</v>
          </cell>
        </row>
        <row r="147">
          <cell r="B147">
            <v>11049</v>
          </cell>
          <cell r="C147" t="str">
            <v>火焰抗性穿透</v>
          </cell>
          <cell r="D147">
            <v>2</v>
          </cell>
          <cell r="E147">
            <v>2</v>
          </cell>
        </row>
        <row r="148">
          <cell r="B148">
            <v>11050</v>
          </cell>
          <cell r="C148" t="str">
            <v>冰冷抗性穿透</v>
          </cell>
          <cell r="D148">
            <v>2</v>
          </cell>
          <cell r="E148">
            <v>2</v>
          </cell>
        </row>
        <row r="149">
          <cell r="B149">
            <v>11051</v>
          </cell>
          <cell r="C149" t="str">
            <v>闪电抗性穿透</v>
          </cell>
          <cell r="D149">
            <v>2</v>
          </cell>
          <cell r="E149">
            <v>2</v>
          </cell>
        </row>
        <row r="150">
          <cell r="B150">
            <v>11052</v>
          </cell>
          <cell r="C150" t="str">
            <v>混沌抗性穿透</v>
          </cell>
          <cell r="D150">
            <v>2</v>
          </cell>
          <cell r="E150">
            <v>2</v>
          </cell>
        </row>
        <row r="151">
          <cell r="B151">
            <v>11053</v>
          </cell>
          <cell r="C151" t="str">
            <v>流血时间比例</v>
          </cell>
          <cell r="D151">
            <v>2</v>
          </cell>
          <cell r="E151">
            <v>2</v>
          </cell>
        </row>
        <row r="152">
          <cell r="B152">
            <v>11054</v>
          </cell>
          <cell r="C152" t="str">
            <v>流血几率</v>
          </cell>
          <cell r="D152">
            <v>2</v>
          </cell>
          <cell r="E152">
            <v>2</v>
          </cell>
        </row>
        <row r="153">
          <cell r="B153">
            <v>11055</v>
          </cell>
          <cell r="C153" t="str">
            <v>流血效果比例</v>
          </cell>
          <cell r="D153">
            <v>2</v>
          </cell>
          <cell r="E153">
            <v>2</v>
          </cell>
        </row>
        <row r="154">
          <cell r="B154">
            <v>11056</v>
          </cell>
          <cell r="C154" t="str">
            <v>受到伤害</v>
          </cell>
          <cell r="D154">
            <v>2</v>
          </cell>
          <cell r="E154">
            <v>2</v>
          </cell>
        </row>
        <row r="155">
          <cell r="B155">
            <v>11057</v>
          </cell>
          <cell r="C155" t="str">
            <v>造成双倍伤害几率</v>
          </cell>
          <cell r="D155">
            <v>2</v>
          </cell>
          <cell r="E155">
            <v>2</v>
          </cell>
        </row>
      </sheetData>
      <sheetData sheetId="1"/>
      <sheetData sheetId="2"/>
      <sheetData sheetId="3">
        <row r="1">
          <cell r="A1" t="str">
            <v>技能</v>
          </cell>
          <cell r="B1" t="str">
            <v>名称</v>
          </cell>
          <cell r="C1" t="str">
            <v>描述</v>
          </cell>
        </row>
        <row r="2">
          <cell r="A2" t="str">
            <v>id.p</v>
          </cell>
          <cell r="B2" t="str">
            <v>name</v>
          </cell>
          <cell r="C2" t="str">
            <v>desc</v>
          </cell>
        </row>
        <row r="3">
          <cell r="A3" t="str">
            <v>number</v>
          </cell>
          <cell r="B3" t="str">
            <v>string</v>
          </cell>
          <cell r="C3" t="str">
            <v>string</v>
          </cell>
        </row>
        <row r="4">
          <cell r="A4">
            <v>10031</v>
          </cell>
          <cell r="B4" t="str">
            <v>攻击速度提高</v>
          </cell>
          <cell r="C4" t="str">
            <v>攻击速度提高{0}</v>
          </cell>
        </row>
        <row r="5">
          <cell r="A5">
            <v>10032</v>
          </cell>
          <cell r="B5" t="str">
            <v>范围效果提高</v>
          </cell>
          <cell r="C5" t="str">
            <v>范围效果提高{0}</v>
          </cell>
        </row>
        <row r="6">
          <cell r="A6">
            <v>10033</v>
          </cell>
          <cell r="B6" t="str">
            <v>冻结效果额外提高</v>
          </cell>
          <cell r="C6" t="str">
            <v>冻结效果额外提高{0}</v>
          </cell>
        </row>
        <row r="7">
          <cell r="A7">
            <v>10034</v>
          </cell>
          <cell r="B7" t="str">
            <v>持续时间提高</v>
          </cell>
          <cell r="C7" t="str">
            <v>持续时间提高{0}</v>
          </cell>
        </row>
        <row r="8">
          <cell r="A8">
            <v>10035</v>
          </cell>
          <cell r="B8" t="str">
            <v>冷却回复率额外提高</v>
          </cell>
          <cell r="C8" t="str">
            <v>冷却回复率额外提高{0}</v>
          </cell>
        </row>
        <row r="9">
          <cell r="A9">
            <v>10036</v>
          </cell>
          <cell r="B9" t="str">
            <v>辅助技能-多重释放</v>
          </cell>
          <cell r="C9" t="str">
            <v>辅助技能-多重释放</v>
          </cell>
        </row>
        <row r="10">
          <cell r="A10">
            <v>10037</v>
          </cell>
          <cell r="B10" t="str">
            <v>辅助技能-范围集中</v>
          </cell>
          <cell r="C10" t="str">
            <v>辅助技能-范围集中</v>
          </cell>
        </row>
        <row r="11">
          <cell r="A11">
            <v>10038</v>
          </cell>
          <cell r="B11" t="str">
            <v>投射物数量增加</v>
          </cell>
          <cell r="C11" t="str">
            <v>投射物数量增加{0}</v>
          </cell>
        </row>
        <row r="12">
          <cell r="A12">
            <v>10039</v>
          </cell>
          <cell r="B12" t="str">
            <v>暴击率提高</v>
          </cell>
          <cell r="C12" t="str">
            <v>暴击率提高{0}</v>
          </cell>
        </row>
        <row r="13">
          <cell r="A13">
            <v>10040</v>
          </cell>
          <cell r="B13" t="str">
            <v>辅助技能-无边能量</v>
          </cell>
          <cell r="C13" t="str">
            <v>使获得的能量提高{0}</v>
          </cell>
        </row>
        <row r="14">
          <cell r="A14">
            <v>10041</v>
          </cell>
          <cell r="B14" t="str">
            <v>冻结时间额外提高</v>
          </cell>
          <cell r="C14" t="str">
            <v>冻结时间额外提高{0}</v>
          </cell>
        </row>
        <row r="15">
          <cell r="A15">
            <v>10042</v>
          </cell>
          <cell r="B15" t="str">
            <v>辅助技能-元素增幅</v>
          </cell>
          <cell r="C15" t="str">
            <v>辅助技能-元素增幅</v>
          </cell>
        </row>
        <row r="16">
          <cell r="A16">
            <v>10043</v>
          </cell>
          <cell r="B16" t="str">
            <v>辅助技能-新星投射物</v>
          </cell>
          <cell r="C16" t="str">
            <v>辅助技能-新星投射物</v>
          </cell>
        </row>
        <row r="17">
          <cell r="A17">
            <v>10044</v>
          </cell>
          <cell r="B17" t="str">
            <v>辅助技能-闪电偏转</v>
          </cell>
          <cell r="C17" t="str">
            <v>辅助技能-闪电偏转</v>
          </cell>
        </row>
        <row r="18">
          <cell r="A18">
            <v>10045</v>
          </cell>
          <cell r="B18" t="str">
            <v>辅助技能-火焰偏转</v>
          </cell>
          <cell r="C18" t="str">
            <v>辅助技能-火焰偏转</v>
          </cell>
        </row>
        <row r="19">
          <cell r="A19">
            <v>10046</v>
          </cell>
          <cell r="B19" t="str">
            <v>辅助技能-冰冷偏转</v>
          </cell>
          <cell r="C19" t="str">
            <v>辅助技能-冰冷偏转</v>
          </cell>
        </row>
        <row r="20">
          <cell r="A20">
            <v>10047</v>
          </cell>
          <cell r="B20" t="str">
            <v>辅助技能-沉重挥舞</v>
          </cell>
          <cell r="C20" t="str">
            <v>辅助技能-沉重挥舞</v>
          </cell>
        </row>
        <row r="21">
          <cell r="A21">
            <v>10048</v>
          </cell>
          <cell r="B21" t="str">
            <v>辅助技能-迎寒而上</v>
          </cell>
          <cell r="C21" t="str">
            <v>辅助技能-迎寒而上</v>
          </cell>
        </row>
        <row r="22">
          <cell r="A22">
            <v>10049</v>
          </cell>
          <cell r="B22" t="str">
            <v>投射物速度提高</v>
          </cell>
          <cell r="C22" t="str">
            <v>投射物速度提高{0}</v>
          </cell>
        </row>
        <row r="23">
          <cell r="A23">
            <v>10050</v>
          </cell>
          <cell r="B23" t="str">
            <v>施法速度提高</v>
          </cell>
          <cell r="C23" t="str">
            <v>施法速度提高{0}</v>
          </cell>
        </row>
        <row r="24">
          <cell r="A24">
            <v>10051</v>
          </cell>
          <cell r="B24" t="str">
            <v>中毒几率</v>
          </cell>
          <cell r="C24" t="str">
            <v>中毒几率增加{0}</v>
          </cell>
        </row>
        <row r="25">
          <cell r="A25">
            <v>10052</v>
          </cell>
          <cell r="B25" t="str">
            <v>混沌伤害倍率增加</v>
          </cell>
          <cell r="C25" t="str">
            <v>混沌伤害倍率增加{0}</v>
          </cell>
        </row>
        <row r="26">
          <cell r="A26">
            <v>10053</v>
          </cell>
          <cell r="B26" t="str">
            <v>中毒层数上限增加</v>
          </cell>
          <cell r="C26" t="str">
            <v>中毒层数上限增加{0}</v>
          </cell>
        </row>
        <row r="27">
          <cell r="A27">
            <v>10054</v>
          </cell>
          <cell r="B27" t="str">
            <v>点燃层数上限增加</v>
          </cell>
          <cell r="C27" t="str">
            <v>点燃层数上限增加{0}</v>
          </cell>
        </row>
        <row r="28">
          <cell r="A28">
            <v>10055</v>
          </cell>
          <cell r="B28" t="str">
            <v>传奇装备——冷却转中毒时长</v>
          </cell>
          <cell r="C28" t="str">
            <v>当拥有40%冷却回复率时，则中毒持续时间提高{0}</v>
          </cell>
        </row>
        <row r="29">
          <cell r="A29">
            <v>10056</v>
          </cell>
          <cell r="B29" t="str">
            <v>物理伤害倍率增加</v>
          </cell>
          <cell r="C29" t="str">
            <v>物理伤害倍率增加{0}</v>
          </cell>
        </row>
        <row r="30">
          <cell r="A30">
            <v>10057</v>
          </cell>
          <cell r="B30" t="str">
            <v>火焰伤害倍率增加</v>
          </cell>
          <cell r="C30" t="str">
            <v>火焰伤害倍率增加{0}</v>
          </cell>
        </row>
        <row r="31">
          <cell r="A31">
            <v>10058</v>
          </cell>
          <cell r="B31" t="str">
            <v>冰冷伤害倍率增加</v>
          </cell>
          <cell r="C31" t="str">
            <v>冰冷伤害倍率增加{0}</v>
          </cell>
        </row>
        <row r="32">
          <cell r="A32">
            <v>10059</v>
          </cell>
          <cell r="B32" t="str">
            <v>闪电伤害倍率增加</v>
          </cell>
          <cell r="C32" t="str">
            <v>闪电伤害倍率增加{0}</v>
          </cell>
        </row>
        <row r="33">
          <cell r="A33">
            <v>10060</v>
          </cell>
          <cell r="B33" t="str">
            <v>攻击暴击伤害增加</v>
          </cell>
          <cell r="C33" t="str">
            <v>攻击暴击伤害增加{0}</v>
          </cell>
        </row>
        <row r="34">
          <cell r="A34">
            <v>10061</v>
          </cell>
          <cell r="B34" t="str">
            <v>法术暴击伤害增加</v>
          </cell>
          <cell r="C34" t="str">
            <v>法术暴击伤害增加{0}</v>
          </cell>
        </row>
        <row r="35">
          <cell r="A35">
            <v>10062</v>
          </cell>
          <cell r="B35" t="str">
            <v>范围伤害提高</v>
          </cell>
          <cell r="C35" t="str">
            <v>范围伤害提高{0}</v>
          </cell>
        </row>
        <row r="36">
          <cell r="A36">
            <v>10063</v>
          </cell>
          <cell r="B36" t="str">
            <v>近战伤害提高</v>
          </cell>
          <cell r="C36" t="str">
            <v>近战伤害提高{0}</v>
          </cell>
        </row>
        <row r="37">
          <cell r="A37">
            <v>10064</v>
          </cell>
          <cell r="B37" t="str">
            <v>投射物伤害提高</v>
          </cell>
          <cell r="C37" t="str">
            <v>投射物伤害提高{0}</v>
          </cell>
        </row>
        <row r="38">
          <cell r="A38">
            <v>10065</v>
          </cell>
          <cell r="B38" t="str">
            <v>幻影是否耗蓝</v>
          </cell>
          <cell r="C38" t="str">
            <v>幻影是否耗蓝</v>
          </cell>
        </row>
        <row r="39">
          <cell r="A39">
            <v>10066</v>
          </cell>
          <cell r="B39" t="str">
            <v>攻击伤害提高</v>
          </cell>
          <cell r="C39" t="str">
            <v>攻击伤害提高{0}</v>
          </cell>
        </row>
        <row r="40">
          <cell r="A40">
            <v>10067</v>
          </cell>
          <cell r="B40" t="str">
            <v>法术伤害提高</v>
          </cell>
          <cell r="C40" t="str">
            <v>法术伤害提高{0}</v>
          </cell>
        </row>
        <row r="41">
          <cell r="A41">
            <v>10068</v>
          </cell>
          <cell r="B41" t="str">
            <v>召唤物伤害增加</v>
          </cell>
          <cell r="C41" t="str">
            <v>召唤物伤害增加{0}</v>
          </cell>
        </row>
        <row r="42">
          <cell r="A42">
            <v>10069</v>
          </cell>
          <cell r="B42" t="str">
            <v>物理伤害转火焰伤害增加</v>
          </cell>
          <cell r="C42" t="str">
            <v>物理伤害转火焰伤害增加{0}</v>
          </cell>
        </row>
        <row r="43">
          <cell r="A43">
            <v>10070</v>
          </cell>
          <cell r="B43" t="str">
            <v>物理伤害转冰冷伤害增加</v>
          </cell>
          <cell r="C43" t="str">
            <v>物理伤害转冰冷伤害增加{0}</v>
          </cell>
        </row>
        <row r="44">
          <cell r="A44">
            <v>10071</v>
          </cell>
          <cell r="B44" t="str">
            <v>物理伤害转闪电伤害增加</v>
          </cell>
          <cell r="C44" t="str">
            <v>物理伤害转闪电伤害增加{0}</v>
          </cell>
        </row>
        <row r="45">
          <cell r="A45">
            <v>10072</v>
          </cell>
          <cell r="B45" t="str">
            <v>传奇装备——生命转中毒伤害</v>
          </cell>
          <cell r="C45" t="str">
            <v>当拥有2000点生命值时，则中毒伤害提高{0}</v>
          </cell>
        </row>
        <row r="46">
          <cell r="A46">
            <v>10073</v>
          </cell>
          <cell r="B46" t="str">
            <v>攻击速度额外提高</v>
          </cell>
          <cell r="C46" t="str">
            <v>攻击速度额外提高{0}</v>
          </cell>
        </row>
        <row r="47">
          <cell r="A47">
            <v>10074</v>
          </cell>
          <cell r="B47" t="str">
            <v>暴击率额外提高</v>
          </cell>
          <cell r="C47" t="str">
            <v>暴击率额外提高{0}</v>
          </cell>
        </row>
        <row r="48">
          <cell r="A48">
            <v>10075</v>
          </cell>
          <cell r="B48" t="str">
            <v>火焰伤害转冰冷伤害增加</v>
          </cell>
          <cell r="C48" t="str">
            <v>火焰伤害转冰冷伤害增加{0}</v>
          </cell>
        </row>
        <row r="49">
          <cell r="A49">
            <v>10076</v>
          </cell>
          <cell r="B49" t="str">
            <v>闪电伤害转冰冷伤害增加</v>
          </cell>
          <cell r="C49" t="str">
            <v>闪电伤害转冰冷伤害增加{0}</v>
          </cell>
        </row>
        <row r="50">
          <cell r="A50">
            <v>10077</v>
          </cell>
          <cell r="B50" t="str">
            <v>幻影数量增加</v>
          </cell>
          <cell r="C50" t="str">
            <v>幻影数量增加{0}</v>
          </cell>
        </row>
        <row r="51">
          <cell r="A51">
            <v>10078</v>
          </cell>
          <cell r="B51" t="str">
            <v>旋风斩无cd,伤害减少1.6倍率</v>
          </cell>
          <cell r="C51" t="str">
            <v>旋风斩无cd,伤害减少{0}倍率</v>
          </cell>
        </row>
        <row r="52">
          <cell r="A52">
            <v>10079</v>
          </cell>
          <cell r="B52" t="str">
            <v>绝对暴击</v>
          </cell>
          <cell r="C52" t="str">
            <v>攻击一定会暴击，暴击伤害降低{0}</v>
          </cell>
        </row>
        <row r="53">
          <cell r="A53">
            <v>10080</v>
          </cell>
          <cell r="B53" t="str">
            <v>近战技能范围效果增加</v>
          </cell>
          <cell r="C53" t="str">
            <v>近战技能范围效果增加{0}</v>
          </cell>
        </row>
        <row r="54">
          <cell r="A54">
            <v>10081</v>
          </cell>
          <cell r="B54" t="str">
            <v>每秒生命回复</v>
          </cell>
          <cell r="C54" t="str">
            <v>每秒生命回复增加{0}</v>
          </cell>
        </row>
        <row r="55">
          <cell r="A55">
            <v>10082</v>
          </cell>
          <cell r="B55" t="str">
            <v>攻击暴击伤害提高</v>
          </cell>
          <cell r="C55" t="str">
            <v>攻击暴击伤害提高{0}</v>
          </cell>
        </row>
        <row r="56">
          <cell r="A56">
            <v>10083</v>
          </cell>
          <cell r="B56" t="str">
            <v>法术暴击伤害提高</v>
          </cell>
          <cell r="C56" t="str">
            <v>法术暴击伤害提高{0}</v>
          </cell>
        </row>
        <row r="57">
          <cell r="A57">
            <v>10084</v>
          </cell>
          <cell r="B57" t="str">
            <v>全域暴击伤害提高</v>
          </cell>
          <cell r="C57" t="str">
            <v>全域暴击伤害提高{0}</v>
          </cell>
        </row>
        <row r="58">
          <cell r="A58">
            <v>10085</v>
          </cell>
          <cell r="B58" t="str">
            <v>天赋--太刀-第一个技能若是攻击技能，获得额外攻击速度</v>
          </cell>
          <cell r="C58" t="str">
            <v>天赋--太刀-第一个技能若是攻击技能，获得额外攻击速度</v>
          </cell>
        </row>
        <row r="59">
          <cell r="A59">
            <v>10086</v>
          </cell>
          <cell r="B59" t="str">
            <v>天赋--太刀-第一个技能若是攻击技能，获得额外冰冻累积</v>
          </cell>
          <cell r="C59" t="str">
            <v>天赋--太刀-第一个技能若是攻击技能，获得额外冰冻累积</v>
          </cell>
        </row>
        <row r="60">
          <cell r="A60">
            <v>10087</v>
          </cell>
          <cell r="B60" t="str">
            <v>天赋-太刀-暴击率转攻击伤害</v>
          </cell>
          <cell r="C60" t="str">
            <v>天赋-太刀-暴击率转攻击伤害</v>
          </cell>
        </row>
        <row r="61">
          <cell r="A61">
            <v>10088</v>
          </cell>
          <cell r="B61" t="str">
            <v>近战伤害额外提高</v>
          </cell>
          <cell r="C61" t="str">
            <v>近战伤害额外提高{0}</v>
          </cell>
        </row>
        <row r="62">
          <cell r="A62">
            <v>10089</v>
          </cell>
          <cell r="B62" t="str">
            <v>天赋-太刀-移动速度转攻击伤害</v>
          </cell>
          <cell r="C62" t="str">
            <v>天赋-太刀-移动速度转攻击伤害</v>
          </cell>
        </row>
        <row r="63">
          <cell r="A63">
            <v>10090</v>
          </cell>
          <cell r="B63" t="str">
            <v>天赋-通用-雷神</v>
          </cell>
          <cell r="C63" t="str">
            <v>天赋-通用-雷神{0}</v>
          </cell>
        </row>
        <row r="64">
          <cell r="A64">
            <v>10091</v>
          </cell>
          <cell r="B64" t="str">
            <v>天赋-通用-火神</v>
          </cell>
          <cell r="C64" t="str">
            <v>天赋-通用-火神{0}</v>
          </cell>
        </row>
        <row r="65">
          <cell r="A65">
            <v>10092</v>
          </cell>
          <cell r="B65" t="str">
            <v>天赋-通用-冰神</v>
          </cell>
          <cell r="C65" t="str">
            <v>天赋-通用-冰神{0}</v>
          </cell>
        </row>
        <row r="66">
          <cell r="A66">
            <v>10093</v>
          </cell>
          <cell r="B66" t="str">
            <v>天赋-通用-活力</v>
          </cell>
          <cell r="C66" t="str">
            <v>天赋-通用-活力{0}</v>
          </cell>
        </row>
        <row r="67">
          <cell r="A67">
            <v>10094</v>
          </cell>
          <cell r="B67" t="str">
            <v>天赋-通用-抵抗</v>
          </cell>
          <cell r="C67" t="str">
            <v>天赋-通用-抵抗{0}</v>
          </cell>
        </row>
        <row r="68">
          <cell r="A68">
            <v>10095</v>
          </cell>
          <cell r="B68" t="str">
            <v>冻结效果提高</v>
          </cell>
          <cell r="C68" t="str">
            <v>冻结效果提高{0}</v>
          </cell>
        </row>
        <row r="69">
          <cell r="A69">
            <v>10096</v>
          </cell>
          <cell r="B69" t="str">
            <v>范围伤害额外提高</v>
          </cell>
          <cell r="C69" t="str">
            <v>范围伤害额外提高{0}</v>
          </cell>
        </row>
        <row r="70">
          <cell r="A70">
            <v>10097</v>
          </cell>
          <cell r="B70" t="str">
            <v>幻影施法比例额外提高</v>
          </cell>
          <cell r="C70" t="str">
            <v>幻影施法频率额外提高{0}</v>
          </cell>
        </row>
        <row r="71">
          <cell r="A71">
            <v>10098</v>
          </cell>
          <cell r="B71" t="str">
            <v>幻影跟随</v>
          </cell>
          <cell r="C71" t="str">
            <v>魔典-天赋-幻影跟随</v>
          </cell>
        </row>
        <row r="72">
          <cell r="A72">
            <v>10099</v>
          </cell>
          <cell r="B72" t="str">
            <v>天赋-魔典-冷却转施法速度</v>
          </cell>
          <cell r="C72" t="str">
            <v>天赋-魔典-冷却转施法速度{0}</v>
          </cell>
        </row>
        <row r="73">
          <cell r="A73">
            <v>10100</v>
          </cell>
          <cell r="B73" t="str">
            <v>天赋-魔典-施法速度转幻影伤害</v>
          </cell>
          <cell r="C73" t="str">
            <v>天赋-魔典-施法速度转幻影伤害{0}</v>
          </cell>
        </row>
        <row r="74">
          <cell r="A74">
            <v>10101</v>
          </cell>
          <cell r="B74" t="str">
            <v>天赋-魔典2-回响&amp;重复几率</v>
          </cell>
          <cell r="C74" t="str">
            <v>天赋-魔典2-回响&amp;重复几率{0}</v>
          </cell>
        </row>
        <row r="75">
          <cell r="A75">
            <v>10102</v>
          </cell>
          <cell r="B75" t="str">
            <v>额外中毒效果</v>
          </cell>
          <cell r="C75" t="str">
            <v>中毒效果额外提高{0}</v>
          </cell>
        </row>
        <row r="76">
          <cell r="A76">
            <v>10103</v>
          </cell>
          <cell r="B76" t="str">
            <v>天赋-魔典2-中毒层数翻倍</v>
          </cell>
          <cell r="C76" t="str">
            <v>天赋-魔典2-中毒层数翻倍</v>
          </cell>
        </row>
        <row r="77">
          <cell r="A77">
            <v>10104</v>
          </cell>
          <cell r="B77" t="str">
            <v>受伤缓冲增加</v>
          </cell>
          <cell r="C77" t="str">
            <v>受伤缓冲增加</v>
          </cell>
        </row>
        <row r="78">
          <cell r="A78">
            <v>10105</v>
          </cell>
          <cell r="B78" t="str">
            <v>天赋-魔典2-全伤害中毒</v>
          </cell>
          <cell r="C78" t="str">
            <v>天赋-魔典2-全伤害中毒</v>
          </cell>
        </row>
        <row r="79">
          <cell r="A79">
            <v>10106</v>
          </cell>
          <cell r="B79" t="str">
            <v>冷却回复率增加</v>
          </cell>
          <cell r="C79" t="str">
            <v>冷却回复率增加{0}</v>
          </cell>
        </row>
        <row r="80">
          <cell r="A80">
            <v>10107</v>
          </cell>
          <cell r="B80" t="str">
            <v>魔力上限额外提高</v>
          </cell>
          <cell r="C80" t="str">
            <v>魔力上限额外提高{0}</v>
          </cell>
        </row>
        <row r="81">
          <cell r="A81">
            <v>10108</v>
          </cell>
          <cell r="B81" t="str">
            <v>魔力回复率额外提高</v>
          </cell>
          <cell r="C81" t="str">
            <v>魔力回复率额外提高{0}</v>
          </cell>
        </row>
        <row r="82">
          <cell r="A82">
            <v>10109</v>
          </cell>
          <cell r="B82" t="str">
            <v>幻影伤害额外提高（叠加）-天赋</v>
          </cell>
          <cell r="C82" t="str">
            <v>幻影伤害额外提高{0}（叠加）</v>
          </cell>
        </row>
        <row r="83">
          <cell r="A83">
            <v>10110</v>
          </cell>
          <cell r="B83" t="str">
            <v>天赋-法杖-移动速度转投射物速度</v>
          </cell>
          <cell r="C83" t="str">
            <v>天赋-法杖-移动速度转投射物速度{0}</v>
          </cell>
        </row>
        <row r="84">
          <cell r="A84">
            <v>10111</v>
          </cell>
          <cell r="B84" t="str">
            <v>魔力上限提高</v>
          </cell>
          <cell r="C84" t="str">
            <v>魔力上限提高{0}</v>
          </cell>
        </row>
        <row r="85">
          <cell r="A85">
            <v>10112</v>
          </cell>
          <cell r="B85" t="str">
            <v>专用-回响</v>
          </cell>
          <cell r="C85" t="str">
            <v>专用-回响{0}</v>
          </cell>
        </row>
        <row r="86">
          <cell r="A86">
            <v>10113</v>
          </cell>
          <cell r="B86" t="str">
            <v>专用-回响强化</v>
          </cell>
          <cell r="C86" t="str">
            <v>专用-回响强化{0}</v>
          </cell>
        </row>
        <row r="87">
          <cell r="A87">
            <v>10114</v>
          </cell>
          <cell r="B87" t="str">
            <v>专用-火球术强化</v>
          </cell>
          <cell r="C87" t="str">
            <v>专用-火球术强化{0}</v>
          </cell>
        </row>
        <row r="88">
          <cell r="A88">
            <v>10116</v>
          </cell>
          <cell r="B88" t="str">
            <v>魔力回复率提高</v>
          </cell>
          <cell r="C88" t="str">
            <v>魔力回复率提高{0}</v>
          </cell>
        </row>
        <row r="89">
          <cell r="A89">
            <v>10117</v>
          </cell>
          <cell r="B89" t="str">
            <v>魔力每秒恢复增加</v>
          </cell>
          <cell r="C89" t="str">
            <v>魔力每秒恢复增加{0}</v>
          </cell>
        </row>
        <row r="90">
          <cell r="A90">
            <v>10118</v>
          </cell>
          <cell r="B90" t="str">
            <v>冰冷伤害额外提高</v>
          </cell>
          <cell r="C90" t="str">
            <v>冰冷伤害额外提高{0}</v>
          </cell>
        </row>
        <row r="91">
          <cell r="A91">
            <v>10119</v>
          </cell>
          <cell r="B91" t="str">
            <v>专用-天赋-强效施法</v>
          </cell>
          <cell r="C91" t="str">
            <v>专用-天赋-强效施法{0}</v>
          </cell>
        </row>
        <row r="92">
          <cell r="A92">
            <v>10120</v>
          </cell>
          <cell r="B92" t="str">
            <v>元素伤害提高</v>
          </cell>
          <cell r="C92" t="str">
            <v>元素伤害提高{0}</v>
          </cell>
        </row>
        <row r="93">
          <cell r="A93">
            <v>10121</v>
          </cell>
          <cell r="B93" t="str">
            <v>元素伤害额外提高</v>
          </cell>
          <cell r="C93" t="str">
            <v>元素伤害额外提高{0}</v>
          </cell>
        </row>
        <row r="94">
          <cell r="A94">
            <v>10122</v>
          </cell>
          <cell r="B94" t="str">
            <v>幻影数量上限增加</v>
          </cell>
          <cell r="C94" t="str">
            <v>幻影数量上限增加{0}</v>
          </cell>
        </row>
        <row r="95">
          <cell r="A95">
            <v>10123</v>
          </cell>
          <cell r="B95" t="str">
            <v>幻影持续时间提高</v>
          </cell>
          <cell r="C95" t="str">
            <v>幻影持续时间提高{0}</v>
          </cell>
        </row>
        <row r="96">
          <cell r="A96">
            <v>10124</v>
          </cell>
          <cell r="B96" t="str">
            <v>物理伤害额外提高</v>
          </cell>
          <cell r="C96" t="str">
            <v>物理伤害额外提高{0}</v>
          </cell>
        </row>
        <row r="97">
          <cell r="A97">
            <v>10125</v>
          </cell>
          <cell r="B97" t="str">
            <v>火焰伤害额外提高</v>
          </cell>
          <cell r="C97" t="str">
            <v>火焰伤害额外提高{0}</v>
          </cell>
        </row>
        <row r="98">
          <cell r="A98">
            <v>10126</v>
          </cell>
          <cell r="B98" t="str">
            <v>冰冷伤害额外提高</v>
          </cell>
          <cell r="C98" t="str">
            <v>冰冷伤害额外提高{0}</v>
          </cell>
        </row>
        <row r="99">
          <cell r="A99">
            <v>10127</v>
          </cell>
          <cell r="B99" t="str">
            <v>闪电伤害额外提高</v>
          </cell>
          <cell r="C99" t="str">
            <v>闪电伤害额外提高{0}</v>
          </cell>
        </row>
        <row r="100">
          <cell r="A100">
            <v>10128</v>
          </cell>
          <cell r="B100" t="str">
            <v>混沌伤害额外提高</v>
          </cell>
          <cell r="C100" t="str">
            <v>混沌伤害额外提高{0}</v>
          </cell>
        </row>
        <row r="101">
          <cell r="A101">
            <v>10129</v>
          </cell>
          <cell r="B101" t="str">
            <v>旋龙生成子弹增加</v>
          </cell>
          <cell r="C101" t="str">
            <v>旋龙生成子弹增加{0}</v>
          </cell>
        </row>
        <row r="102">
          <cell r="A102">
            <v>10130</v>
          </cell>
          <cell r="B102" t="str">
            <v>天赋-魔典-毒咒侵蚀</v>
          </cell>
          <cell r="C102" t="str">
            <v>天赋-魔典-毒咒侵蚀{0}</v>
          </cell>
        </row>
        <row r="103">
          <cell r="A103">
            <v>10131</v>
          </cell>
          <cell r="B103" t="str">
            <v>环绕子弹数量增加</v>
          </cell>
          <cell r="C103" t="str">
            <v>环绕子弹数量增加{0}</v>
          </cell>
        </row>
        <row r="104">
          <cell r="A104">
            <v>10132</v>
          </cell>
          <cell r="B104" t="str">
            <v>环绕速度提高</v>
          </cell>
          <cell r="C104" t="str">
            <v>环绕速度提高{0}</v>
          </cell>
        </row>
        <row r="105">
          <cell r="A105">
            <v>10134</v>
          </cell>
          <cell r="B105" t="str">
            <v>幻影天赋-天生幻影</v>
          </cell>
          <cell r="C105" t="str">
            <v>幻影天赋-天生幻影{0}</v>
          </cell>
        </row>
        <row r="106">
          <cell r="A106">
            <v>10135</v>
          </cell>
          <cell r="B106" t="str">
            <v>法术伤害额外提高</v>
          </cell>
          <cell r="C106" t="str">
            <v>法术伤害额外提高{0}</v>
          </cell>
        </row>
        <row r="107">
          <cell r="A107">
            <v>10136</v>
          </cell>
          <cell r="B107" t="str">
            <v>攻击伤害额外提高</v>
          </cell>
          <cell r="C107" t="str">
            <v>攻击伤害额外提高{0}</v>
          </cell>
        </row>
        <row r="108">
          <cell r="A108">
            <v>10137</v>
          </cell>
          <cell r="B108" t="str">
            <v>天赋-法杖-注能亲和</v>
          </cell>
          <cell r="C108" t="str">
            <v>天赋-法杖-注能亲和{0}</v>
          </cell>
        </row>
        <row r="109">
          <cell r="A109">
            <v>10138</v>
          </cell>
          <cell r="B109" t="str">
            <v>天赋-法杖-轮转一心</v>
          </cell>
          <cell r="C109" t="str">
            <v>天赋-法杖-轮转一心{0}</v>
          </cell>
        </row>
        <row r="110">
          <cell r="A110">
            <v>10139</v>
          </cell>
          <cell r="B110" t="str">
            <v>天赋-法杖-共鸣</v>
          </cell>
          <cell r="C110" t="str">
            <v>天赋-法杖-共鸣{0}</v>
          </cell>
        </row>
        <row r="111">
          <cell r="A111">
            <v>10140</v>
          </cell>
          <cell r="B111" t="str">
            <v>强化技能伤害提高</v>
          </cell>
          <cell r="C111" t="str">
            <v>强化技能伤害提高{0}</v>
          </cell>
        </row>
        <row r="112">
          <cell r="A112">
            <v>10141</v>
          </cell>
          <cell r="B112" t="str">
            <v>天赋-法杖-强化之力</v>
          </cell>
          <cell r="C112" t="str">
            <v>天赋-法杖-强化之力{0}</v>
          </cell>
        </row>
        <row r="113">
          <cell r="A113">
            <v>10142</v>
          </cell>
          <cell r="B113" t="str">
            <v>注能持续时间提高</v>
          </cell>
          <cell r="C113" t="str">
            <v>注能持续时间提高{0}</v>
          </cell>
        </row>
        <row r="114">
          <cell r="A114">
            <v>10143</v>
          </cell>
          <cell r="B114" t="str">
            <v>注能持续时间额外提高</v>
          </cell>
          <cell r="C114" t="str">
            <v>注能持续时间额外提高{0}</v>
          </cell>
        </row>
        <row r="115">
          <cell r="A115">
            <v>10144</v>
          </cell>
          <cell r="B115" t="str">
            <v>天赋-法杖-元素之子</v>
          </cell>
          <cell r="C115" t="str">
            <v>天赋-法杖-元素之子{0}</v>
          </cell>
        </row>
        <row r="116">
          <cell r="A116">
            <v>10145</v>
          </cell>
          <cell r="B116" t="str">
            <v>天赋-法杖-原爆点</v>
          </cell>
          <cell r="C116" t="str">
            <v>天赋-法杖-原爆点{0}</v>
          </cell>
        </row>
        <row r="117">
          <cell r="A117">
            <v>10146</v>
          </cell>
          <cell r="B117" t="str">
            <v>全局伤害额外提高</v>
          </cell>
          <cell r="C117" t="str">
            <v>全局伤害额外提高{0}</v>
          </cell>
        </row>
        <row r="118">
          <cell r="A118">
            <v>10147</v>
          </cell>
          <cell r="B118" t="str">
            <v>投射物速度额外提高</v>
          </cell>
          <cell r="C118" t="str">
            <v>投射物速度额外提高{0}</v>
          </cell>
        </row>
        <row r="119">
          <cell r="A119">
            <v>10148</v>
          </cell>
          <cell r="B119" t="str">
            <v>闪电浸染</v>
          </cell>
          <cell r="C119" t="str">
            <v>旋风技能视为被闪电浸染{0}</v>
          </cell>
        </row>
        <row r="120">
          <cell r="A120">
            <v>10149</v>
          </cell>
          <cell r="B120" t="str">
            <v>毁灭注能层数增加</v>
          </cell>
          <cell r="C120" t="str">
            <v>毁灭注能层数增加{0}</v>
          </cell>
        </row>
        <row r="121">
          <cell r="A121">
            <v>10150</v>
          </cell>
          <cell r="B121" t="str">
            <v>洞察注能层数增加</v>
          </cell>
          <cell r="C121" t="str">
            <v>洞察注能层数增加{0}</v>
          </cell>
        </row>
        <row r="122">
          <cell r="A122">
            <v>10151</v>
          </cell>
          <cell r="B122" t="str">
            <v>坚韧注能层数增加</v>
          </cell>
          <cell r="C122" t="str">
            <v>坚韧注能层数增加{0}</v>
          </cell>
        </row>
        <row r="123">
          <cell r="A123">
            <v>10152</v>
          </cell>
          <cell r="B123" t="str">
            <v>缓冲注能层数增加</v>
          </cell>
          <cell r="C123" t="str">
            <v>缓冲注能层数增加{0}</v>
          </cell>
        </row>
        <row r="124">
          <cell r="A124">
            <v>10153</v>
          </cell>
          <cell r="B124" t="str">
            <v>迅捷注能层数增加</v>
          </cell>
          <cell r="C124" t="str">
            <v>迅捷注能层数增加{0}</v>
          </cell>
        </row>
        <row r="125">
          <cell r="A125">
            <v>10154</v>
          </cell>
          <cell r="B125" t="str">
            <v>火焰浸染</v>
          </cell>
          <cell r="C125" t="str">
            <v>旋风技能视为被火焰浸染{0}</v>
          </cell>
        </row>
        <row r="126">
          <cell r="A126">
            <v>10155</v>
          </cell>
          <cell r="B126" t="str">
            <v>冰冷浸染</v>
          </cell>
          <cell r="C126" t="str">
            <v>旋风技能视为被冰冷浸染{0}</v>
          </cell>
        </row>
        <row r="127">
          <cell r="A127">
            <v>10156</v>
          </cell>
          <cell r="B127" t="str">
            <v>物理技能等级增加</v>
          </cell>
          <cell r="C127" t="str">
            <v>物理技能等级增加{0}</v>
          </cell>
        </row>
        <row r="128">
          <cell r="A128">
            <v>10157</v>
          </cell>
          <cell r="B128" t="str">
            <v>火焰技能等级增加</v>
          </cell>
          <cell r="C128" t="str">
            <v>火焰技能等级增加{0}</v>
          </cell>
        </row>
        <row r="129">
          <cell r="A129">
            <v>10158</v>
          </cell>
          <cell r="B129" t="str">
            <v>冰冷技能等级增加</v>
          </cell>
          <cell r="C129" t="str">
            <v>冰冷技能等级增加{0}</v>
          </cell>
        </row>
        <row r="130">
          <cell r="A130">
            <v>10159</v>
          </cell>
          <cell r="B130" t="str">
            <v>闪电技能等级增加</v>
          </cell>
          <cell r="C130" t="str">
            <v>闪电技能等级增加{0}</v>
          </cell>
        </row>
        <row r="131">
          <cell r="A131">
            <v>10160</v>
          </cell>
          <cell r="B131" t="str">
            <v>混沌技能等级增加</v>
          </cell>
          <cell r="C131" t="str">
            <v>混沌技能等级增加{0}</v>
          </cell>
        </row>
        <row r="132">
          <cell r="A132">
            <v>10161</v>
          </cell>
          <cell r="B132" t="str">
            <v>攻击技能等级增加</v>
          </cell>
          <cell r="C132" t="str">
            <v>攻击技能等级增加{0}</v>
          </cell>
        </row>
        <row r="133">
          <cell r="A133">
            <v>10162</v>
          </cell>
          <cell r="B133" t="str">
            <v>法术技能等级增加</v>
          </cell>
          <cell r="C133" t="str">
            <v>法术技能等级增加{0}</v>
          </cell>
        </row>
        <row r="134">
          <cell r="A134">
            <v>10163</v>
          </cell>
          <cell r="B134" t="str">
            <v>物理抗性穿透</v>
          </cell>
          <cell r="C134" t="str">
            <v>物理抗性穿透{0}</v>
          </cell>
        </row>
        <row r="135">
          <cell r="A135">
            <v>10164</v>
          </cell>
          <cell r="B135" t="str">
            <v>火焰抗性穿透</v>
          </cell>
          <cell r="C135" t="str">
            <v>火焰抗性穿透{0}</v>
          </cell>
        </row>
        <row r="136">
          <cell r="A136">
            <v>10165</v>
          </cell>
          <cell r="B136" t="str">
            <v>冰冷抗性穿透</v>
          </cell>
          <cell r="C136" t="str">
            <v>冰冷抗性穿透{0}</v>
          </cell>
        </row>
        <row r="137">
          <cell r="A137">
            <v>10166</v>
          </cell>
          <cell r="B137" t="str">
            <v>闪电抗性穿透</v>
          </cell>
          <cell r="C137" t="str">
            <v>闪电抗性穿透{0}</v>
          </cell>
        </row>
        <row r="138">
          <cell r="A138">
            <v>10167</v>
          </cell>
          <cell r="B138" t="str">
            <v>混沌抗性穿透</v>
          </cell>
          <cell r="C138" t="str">
            <v>混沌抗性穿透{0}</v>
          </cell>
        </row>
        <row r="139">
          <cell r="A139">
            <v>10168</v>
          </cell>
          <cell r="B139" t="str">
            <v>投射物速度转全局伤害</v>
          </cell>
          <cell r="C139" t="str">
            <v>投射物速度转全局伤害{0}</v>
          </cell>
        </row>
        <row r="140">
          <cell r="A140">
            <v>10169</v>
          </cell>
          <cell r="B140" t="str">
            <v>投射物伤害额外提高</v>
          </cell>
          <cell r="C140" t="str">
            <v>投射物伤害额外提高{0}</v>
          </cell>
        </row>
        <row r="141">
          <cell r="A141">
            <v>10170</v>
          </cell>
          <cell r="B141" t="str">
            <v>法术暴击率提高</v>
          </cell>
          <cell r="C141" t="str">
            <v>法术暴击率提高{0}</v>
          </cell>
        </row>
        <row r="142">
          <cell r="A142">
            <v>10171</v>
          </cell>
          <cell r="B142" t="str">
            <v>法术暴击率额外提高</v>
          </cell>
          <cell r="C142" t="str">
            <v>法术暴击率额外提高{0}</v>
          </cell>
        </row>
        <row r="143">
          <cell r="A143">
            <v>10172</v>
          </cell>
          <cell r="B143" t="str">
            <v>近战暴击率提高</v>
          </cell>
          <cell r="C143" t="str">
            <v>近战暴击率提高{0}</v>
          </cell>
        </row>
        <row r="144">
          <cell r="A144">
            <v>10173</v>
          </cell>
          <cell r="B144" t="str">
            <v>进展暴击率额外提高</v>
          </cell>
          <cell r="C144" t="str">
            <v>进展暴击率额外提高{0}</v>
          </cell>
        </row>
        <row r="145">
          <cell r="A145">
            <v>10174</v>
          </cell>
          <cell r="B145" t="str">
            <v>投射物暴击率提高</v>
          </cell>
          <cell r="C145" t="str">
            <v>投射物暴击率提高{0}</v>
          </cell>
        </row>
        <row r="146">
          <cell r="A146">
            <v>10175</v>
          </cell>
          <cell r="B146" t="str">
            <v>投射物暴击率额外提高</v>
          </cell>
          <cell r="C146" t="str">
            <v>投射物暴击率额外提高{0}</v>
          </cell>
        </row>
        <row r="147">
          <cell r="A147">
            <v>10176</v>
          </cell>
          <cell r="B147" t="str">
            <v>攻击暴击率提高</v>
          </cell>
          <cell r="C147" t="str">
            <v>攻击暴击率提高{0}</v>
          </cell>
        </row>
        <row r="148">
          <cell r="A148">
            <v>10177</v>
          </cell>
          <cell r="B148" t="str">
            <v>攻击暴击率额外提高</v>
          </cell>
          <cell r="C148" t="str">
            <v>攻击暴击率额外提高{0}</v>
          </cell>
        </row>
      </sheetData>
      <sheetData sheetId="4">
        <row r="1">
          <cell r="A1" t="str">
            <v>词缀ID</v>
          </cell>
          <cell r="B1" t="str">
            <v>名称</v>
          </cell>
          <cell r="C1" t="str">
            <v>描述</v>
          </cell>
        </row>
        <row r="2">
          <cell r="A2" t="str">
            <v>id.p</v>
          </cell>
          <cell r="B2" t="str">
            <v>name</v>
          </cell>
          <cell r="C2" t="str">
            <v>desc</v>
          </cell>
        </row>
        <row r="3">
          <cell r="A3" t="str">
            <v>number</v>
          </cell>
          <cell r="B3" t="str">
            <v>string</v>
          </cell>
          <cell r="C3" t="str">
            <v>string</v>
          </cell>
        </row>
        <row r="4">
          <cell r="A4">
            <v>2110000010</v>
          </cell>
          <cell r="B4" t="str">
            <v>装备时获得“闪电之捷”</v>
          </cell>
          <cell r="C4" t="str">
            <v>装备时获得“闪电之捷”</v>
          </cell>
        </row>
        <row r="5">
          <cell r="A5">
            <v>2110000020</v>
          </cell>
          <cell r="B5" t="str">
            <v>装备时获得“火焰之捷”</v>
          </cell>
          <cell r="C5" t="str">
            <v>装备时获得“火焰之捷”</v>
          </cell>
        </row>
        <row r="6">
          <cell r="A6">
            <v>2110000030</v>
          </cell>
          <cell r="B6" t="str">
            <v>装备时获得“冰霜之捷”</v>
          </cell>
          <cell r="C6" t="str">
            <v>装备时获得“冰霜之捷”</v>
          </cell>
        </row>
        <row r="7">
          <cell r="A7">
            <v>2140000090</v>
          </cell>
          <cell r="B7" t="str">
            <v>攻击命中时有20%概率施加元素曝露，使元素抗性降低50%</v>
          </cell>
          <cell r="C7" t="str">
            <v>攻击命中时有20%概率施加元素曝露，使元素抗性降低50%</v>
          </cell>
        </row>
        <row r="8">
          <cell r="A8">
            <v>2340000010</v>
          </cell>
          <cell r="B8" t="str">
            <v>击败冰结的敌人，回复位移技能的15%当前冷却时间</v>
          </cell>
          <cell r="C8" t="str">
            <v>击败冰结的敌人，回复位移技能的15%当前冷却时间</v>
          </cell>
        </row>
        <row r="9">
          <cell r="A9">
            <v>2340000020</v>
          </cell>
          <cell r="B9" t="str">
            <v>当生命大于X时，中毒伤害提高</v>
          </cell>
          <cell r="C9" t="str">
            <v>当生命大于2000时，中毒伤害提高{0}</v>
          </cell>
        </row>
        <row r="10">
          <cell r="A10">
            <v>2340000030</v>
          </cell>
          <cell r="B10" t="str">
            <v>当冷却回复效率高于X%时，中毒持续时间增加</v>
          </cell>
          <cell r="C10" t="str">
            <v>当冷却回复效率高于40%时，中毒持续时间增加{0}</v>
          </cell>
        </row>
        <row r="11">
          <cell r="A11">
            <v>2340000040</v>
          </cell>
          <cell r="B11" t="str">
            <v>每隔5秒在脚下生成一片火焰地面，造成相当于20%攻击力的点燃伤害</v>
          </cell>
          <cell r="C11" t="str">
            <v>每隔5秒在脚下生成一片火焰地面，造成相当于20%攻击力的点燃伤害</v>
          </cell>
        </row>
        <row r="12">
          <cell r="A12">
            <v>2340000050</v>
          </cell>
          <cell r="B12" t="str">
            <v>每移动20米可以获得1层毁灭注能</v>
          </cell>
          <cell r="C12" t="str">
            <v>每移动20米可以获得1层毁灭注能</v>
          </cell>
        </row>
        <row r="13">
          <cell r="A13">
            <v>2340000080</v>
          </cell>
          <cell r="B13" t="str">
            <v>周围敌人受到生命值上限1%的点燃强度的点燃</v>
          </cell>
          <cell r="C13" t="str">
            <v>周围敌人受到生命值上限1%的点燃强度的点燃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4.6203125" refreshedBy="PC-7020" recordCount="3073">
  <cacheSource type="worksheet">
    <worksheetSource ref="A1:J1048576" sheet="Modifier"/>
  </cacheSource>
  <cacheFields count="9">
    <cacheField name="id" numFmtId="0">
      <sharedItems containsBlank="1" containsNumber="1" containsInteger="1" containsMixedTypes="1" count="444">
        <s v="id.p"/>
        <s v="number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5"/>
        <n v="19516"/>
        <n v="19517"/>
        <n v="19518"/>
        <n v="19519"/>
        <n v="19520"/>
        <n v="19521"/>
        <n v="19522"/>
        <n v="19523"/>
        <n v="20000"/>
        <n v="20001"/>
        <n v="20002"/>
        <n v="20003"/>
        <n v="20004"/>
        <n v="20005"/>
        <n v="20006"/>
        <n v="20007"/>
        <n v="20008"/>
        <n v="20009"/>
        <n v="20010"/>
        <n v="20011"/>
        <n v="20012"/>
        <n v="20500"/>
        <n v="20501"/>
        <n v="20502"/>
        <n v="20503"/>
        <n v="20504"/>
        <n v="20505"/>
        <n v="20506"/>
        <n v="20507"/>
        <n v="20508"/>
        <n v="20509"/>
        <n v="20510"/>
        <n v="20511"/>
        <n v="20512"/>
        <n v="20513"/>
        <n v="20514"/>
        <n v="20515"/>
        <n v="20516"/>
        <n v="20517"/>
        <n v="20518"/>
        <n v="20519"/>
        <n v="20520"/>
        <n v="20521"/>
        <n v="20522"/>
        <n v="20523"/>
        <n v="21000"/>
        <n v="21001"/>
        <n v="21002"/>
        <n v="21003"/>
        <n v="21004"/>
        <n v="21005"/>
        <n v="21006"/>
        <n v="21007"/>
        <n v="21008"/>
        <n v="21009"/>
        <n v="21010"/>
        <n v="21011"/>
        <n v="21012"/>
        <n v="21013"/>
        <n v="21014"/>
        <n v="21500"/>
        <n v="21501"/>
        <n v="21502"/>
        <n v="21503"/>
        <n v="21504"/>
        <n v="21505"/>
        <n v="21506"/>
        <n v="21507"/>
        <n v="21508"/>
        <n v="21509"/>
        <n v="21510"/>
        <n v="21511"/>
        <n v="21512"/>
        <n v="21513"/>
        <n v="21514"/>
        <n v="21515"/>
        <n v="21516"/>
        <n v="22000"/>
        <n v="22001"/>
        <n v="22002"/>
        <n v="22003"/>
        <n v="22004"/>
        <n v="22005"/>
        <n v="22006"/>
        <n v="22007"/>
        <n v="22008"/>
        <n v="22009"/>
        <n v="22010"/>
        <n v="22011"/>
        <n v="22012"/>
        <n v="22013"/>
        <n v="22014"/>
        <n v="22500"/>
        <n v="22501"/>
        <n v="22502"/>
        <n v="22503"/>
        <n v="22504"/>
        <n v="22505"/>
        <n v="22506"/>
        <n v="22507"/>
        <n v="22508"/>
        <n v="22509"/>
        <n v="22510"/>
        <n v="22511"/>
        <n v="22512"/>
        <n v="22513"/>
        <n v="22514"/>
        <n v="22515"/>
        <n v="22516"/>
        <n v="90001"/>
        <n v="90002"/>
        <n v="90003"/>
        <n v="90004"/>
        <n v="90005"/>
        <n v="90006"/>
        <n v="90007"/>
        <n v="90008"/>
        <n v="90009"/>
        <n v="90010"/>
        <n v="90011"/>
        <n v="90012"/>
        <n v="100000"/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m/>
        <n v="11528" u="1"/>
      </sharedItems>
    </cacheField>
    <cacheField name="评级" numFmtId="0">
      <sharedItems containsBlank="1" containsNumber="1" containsInteger="1" containsMixedTypes="1" count="11">
        <s v="tier.p"/>
        <s v="number"/>
        <n v="1"/>
        <n v="2"/>
        <n v="3"/>
        <n v="4"/>
        <n v="5"/>
        <n v="6"/>
        <n v="7"/>
        <n v="8"/>
        <m/>
      </sharedItems>
    </cacheField>
    <cacheField name="备注(nouse)" numFmtId="0">
      <sharedItems containsBlank="1" count="89">
        <s v="desc999"/>
        <s v="string"/>
        <s v="物理攻击百比"/>
        <s v="火焰攻击百比"/>
        <s v="冰霜攻击百比"/>
        <s v="闪电攻击百比"/>
        <s v="混沌攻击百比"/>
        <s v="攻击伤害提高"/>
        <s v="法术伤害提高"/>
        <s v="物理伤害提高"/>
        <s v="火焰伤害提高"/>
        <s v="冰霜伤害提高"/>
        <s v="闪电伤害提高"/>
        <s v="混沌伤害提高"/>
        <s v="基础生命"/>
        <s v="基础魔力"/>
        <s v="命中率"/>
        <s v="魔力恢复速度提高"/>
        <s v="投射物技能等级"/>
        <s v="攻击技能等级"/>
        <s v="法术技能等级"/>
        <s v="物理技能等级"/>
        <s v="火焰技能等级"/>
        <s v="冰霜技能等级"/>
        <s v="闪电技能等级"/>
        <s v="混沌技能等级"/>
        <s v="攻击暴击增加率"/>
        <s v="法术暴击增加率"/>
        <s v="攻击暴击伤害提高"/>
        <s v="法术暴击伤害提高"/>
        <s v="额外物理攻击"/>
        <s v="额外火焰攻击"/>
        <s v="额外冰霜攻击"/>
        <s v="额外闪电攻击"/>
        <s v="额外混沌攻击"/>
        <s v="攻击速度"/>
        <s v="施法速度"/>
        <s v="点燃强度"/>
        <s v="冰缓强度"/>
        <s v="感电强度"/>
        <s v="流血强度"/>
        <s v="中毒强度"/>
        <s v="击杀回血"/>
        <s v="击杀回蓝"/>
        <s v="装备稀有度"/>
        <s v="点燃抵抗"/>
        <s v="冰缓抵抗"/>
        <s v="感电抵抗"/>
        <s v="格挡率"/>
        <s v="物理抗性"/>
        <s v="火焰抗性"/>
        <s v="冰霜抗性"/>
        <s v="闪电抗性"/>
        <s v="混沌抗性"/>
        <s v="火焰物理抗性"/>
        <s v="冰霜物理抗性"/>
        <s v="闪电物理抗性"/>
        <s v="生命每秒恢复"/>
        <s v="流血抵抗"/>
        <s v="中毒抵抗"/>
        <s v="眩晕缩减"/>
        <s v="冰冻缩减"/>
        <s v="移动速度"/>
        <s v="闪避率"/>
        <s v="格挡减伤率"/>
        <s v="攻击击中回血"/>
        <s v="法术击中回血"/>
        <s v="攻击击中回蓝"/>
        <s v="法术击中回蓝"/>
        <s v="元素伤害提高"/>
        <s v="专属词缀1"/>
        <s v="专属词缀2"/>
        <s v="专属词缀3"/>
        <s v="专属词缀4"/>
        <s v="专属词缀5"/>
        <s v="专属词缀6"/>
        <s v="专属词缀7"/>
        <s v="专属词缀8"/>
        <s v="专属词缀9"/>
        <s v="专属词缀10"/>
        <s v="专属词缀11"/>
        <s v="专属词缀12"/>
        <s v="专属词缀13"/>
        <s v="专属词缀14"/>
        <s v="专属词缀15"/>
        <s v="专属词缀16"/>
        <s v="专属词缀17"/>
        <s v="专属词缀18"/>
        <m/>
      </sharedItems>
    </cacheField>
    <cacheField name="(nouse)所属type" numFmtId="0">
      <sharedItems containsBlank="1" count="17">
        <s v="desc998"/>
        <s v="string"/>
        <s v="武器"/>
        <s v="头部"/>
        <s v="胸甲"/>
        <s v="裤子"/>
        <s v="鞋子"/>
        <s v="手套"/>
        <s v="礼花"/>
        <s v="耳环"/>
        <s v="项链"/>
        <s v="戒指"/>
        <s v="勋章"/>
        <s v="羽饰"/>
        <s v="传奇1"/>
        <s v="传奇2"/>
        <m/>
      </sharedItems>
    </cacheField>
    <cacheField name="(nouse)所属词位" numFmtId="0">
      <sharedItems containsBlank="1" count="5">
        <s v="desc997"/>
        <s v="string"/>
        <s v="前缀"/>
        <s v="后缀"/>
        <m/>
      </sharedItems>
    </cacheField>
    <cacheField name="名称" numFmtId="0">
      <sharedItems containsBlank="1" count="5">
        <s v="name"/>
        <s v="string"/>
        <s v="前缀"/>
        <s v="后缀"/>
        <m/>
      </sharedItems>
    </cacheField>
    <cacheField name="权重" numFmtId="0">
      <sharedItems containsBlank="1" containsNumber="1" containsInteger="1" containsMixedTypes="1" count="10">
        <s v="weigh"/>
        <s v="number2"/>
        <n v="50"/>
        <n v="100"/>
        <n v="200"/>
        <n v="500"/>
        <n v="1000"/>
        <n v="250"/>
        <n v="750"/>
        <m/>
      </sharedItems>
    </cacheField>
    <cacheField name="互斥组" numFmtId="0">
      <sharedItems containsBlank="1" containsNumber="1" containsInteger="1" containsMixedTypes="1" count="6">
        <s v="repel"/>
        <s v="number2"/>
        <n v="1"/>
        <m/>
        <n v="2"/>
        <n v="3"/>
      </sharedItems>
    </cacheField>
    <cacheField name="解锁装等" numFmtId="0">
      <sharedItems containsBlank="1" containsNumber="1" containsInteger="1" containsMixedTypes="1" count="11">
        <s v="level"/>
        <s v="number2"/>
        <n v="85"/>
        <n v="70"/>
        <n v="55"/>
        <n v="40"/>
        <n v="25"/>
        <n v="15"/>
        <n v="7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3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</r>
  <r>
    <x v="2"/>
    <x v="3"/>
    <x v="2"/>
    <x v="2"/>
    <x v="2"/>
    <x v="2"/>
    <x v="3"/>
    <x v="2"/>
    <x v="3"/>
  </r>
  <r>
    <x v="2"/>
    <x v="4"/>
    <x v="2"/>
    <x v="2"/>
    <x v="2"/>
    <x v="2"/>
    <x v="4"/>
    <x v="2"/>
    <x v="4"/>
  </r>
  <r>
    <x v="2"/>
    <x v="5"/>
    <x v="2"/>
    <x v="2"/>
    <x v="2"/>
    <x v="2"/>
    <x v="5"/>
    <x v="2"/>
    <x v="5"/>
  </r>
  <r>
    <x v="2"/>
    <x v="6"/>
    <x v="2"/>
    <x v="2"/>
    <x v="2"/>
    <x v="2"/>
    <x v="6"/>
    <x v="2"/>
    <x v="6"/>
  </r>
  <r>
    <x v="2"/>
    <x v="7"/>
    <x v="2"/>
    <x v="2"/>
    <x v="2"/>
    <x v="2"/>
    <x v="6"/>
    <x v="2"/>
    <x v="7"/>
  </r>
  <r>
    <x v="2"/>
    <x v="8"/>
    <x v="2"/>
    <x v="2"/>
    <x v="2"/>
    <x v="2"/>
    <x v="6"/>
    <x v="2"/>
    <x v="8"/>
  </r>
  <r>
    <x v="2"/>
    <x v="9"/>
    <x v="2"/>
    <x v="2"/>
    <x v="2"/>
    <x v="2"/>
    <x v="6"/>
    <x v="2"/>
    <x v="9"/>
  </r>
  <r>
    <x v="3"/>
    <x v="2"/>
    <x v="3"/>
    <x v="2"/>
    <x v="2"/>
    <x v="2"/>
    <x v="2"/>
    <x v="2"/>
    <x v="2"/>
  </r>
  <r>
    <x v="3"/>
    <x v="3"/>
    <x v="3"/>
    <x v="2"/>
    <x v="2"/>
    <x v="2"/>
    <x v="3"/>
    <x v="2"/>
    <x v="3"/>
  </r>
  <r>
    <x v="3"/>
    <x v="4"/>
    <x v="3"/>
    <x v="2"/>
    <x v="2"/>
    <x v="2"/>
    <x v="4"/>
    <x v="2"/>
    <x v="4"/>
  </r>
  <r>
    <x v="3"/>
    <x v="5"/>
    <x v="3"/>
    <x v="2"/>
    <x v="2"/>
    <x v="2"/>
    <x v="5"/>
    <x v="2"/>
    <x v="5"/>
  </r>
  <r>
    <x v="3"/>
    <x v="6"/>
    <x v="3"/>
    <x v="2"/>
    <x v="2"/>
    <x v="2"/>
    <x v="6"/>
    <x v="2"/>
    <x v="6"/>
  </r>
  <r>
    <x v="3"/>
    <x v="7"/>
    <x v="3"/>
    <x v="2"/>
    <x v="2"/>
    <x v="2"/>
    <x v="6"/>
    <x v="2"/>
    <x v="7"/>
  </r>
  <r>
    <x v="3"/>
    <x v="8"/>
    <x v="3"/>
    <x v="2"/>
    <x v="2"/>
    <x v="2"/>
    <x v="6"/>
    <x v="2"/>
    <x v="8"/>
  </r>
  <r>
    <x v="3"/>
    <x v="9"/>
    <x v="3"/>
    <x v="2"/>
    <x v="2"/>
    <x v="2"/>
    <x v="6"/>
    <x v="2"/>
    <x v="9"/>
  </r>
  <r>
    <x v="4"/>
    <x v="2"/>
    <x v="4"/>
    <x v="2"/>
    <x v="2"/>
    <x v="2"/>
    <x v="2"/>
    <x v="2"/>
    <x v="2"/>
  </r>
  <r>
    <x v="4"/>
    <x v="3"/>
    <x v="4"/>
    <x v="2"/>
    <x v="2"/>
    <x v="2"/>
    <x v="3"/>
    <x v="2"/>
    <x v="3"/>
  </r>
  <r>
    <x v="4"/>
    <x v="4"/>
    <x v="4"/>
    <x v="2"/>
    <x v="2"/>
    <x v="2"/>
    <x v="4"/>
    <x v="2"/>
    <x v="4"/>
  </r>
  <r>
    <x v="4"/>
    <x v="5"/>
    <x v="4"/>
    <x v="2"/>
    <x v="2"/>
    <x v="2"/>
    <x v="5"/>
    <x v="2"/>
    <x v="5"/>
  </r>
  <r>
    <x v="4"/>
    <x v="6"/>
    <x v="4"/>
    <x v="2"/>
    <x v="2"/>
    <x v="2"/>
    <x v="6"/>
    <x v="2"/>
    <x v="6"/>
  </r>
  <r>
    <x v="4"/>
    <x v="7"/>
    <x v="4"/>
    <x v="2"/>
    <x v="2"/>
    <x v="2"/>
    <x v="6"/>
    <x v="2"/>
    <x v="7"/>
  </r>
  <r>
    <x v="4"/>
    <x v="8"/>
    <x v="4"/>
    <x v="2"/>
    <x v="2"/>
    <x v="2"/>
    <x v="6"/>
    <x v="2"/>
    <x v="8"/>
  </r>
  <r>
    <x v="4"/>
    <x v="9"/>
    <x v="4"/>
    <x v="2"/>
    <x v="2"/>
    <x v="2"/>
    <x v="6"/>
    <x v="2"/>
    <x v="9"/>
  </r>
  <r>
    <x v="5"/>
    <x v="2"/>
    <x v="5"/>
    <x v="2"/>
    <x v="2"/>
    <x v="2"/>
    <x v="2"/>
    <x v="2"/>
    <x v="2"/>
  </r>
  <r>
    <x v="5"/>
    <x v="3"/>
    <x v="5"/>
    <x v="2"/>
    <x v="2"/>
    <x v="2"/>
    <x v="3"/>
    <x v="2"/>
    <x v="3"/>
  </r>
  <r>
    <x v="5"/>
    <x v="4"/>
    <x v="5"/>
    <x v="2"/>
    <x v="2"/>
    <x v="2"/>
    <x v="4"/>
    <x v="2"/>
    <x v="4"/>
  </r>
  <r>
    <x v="5"/>
    <x v="5"/>
    <x v="5"/>
    <x v="2"/>
    <x v="2"/>
    <x v="2"/>
    <x v="5"/>
    <x v="2"/>
    <x v="5"/>
  </r>
  <r>
    <x v="5"/>
    <x v="6"/>
    <x v="5"/>
    <x v="2"/>
    <x v="2"/>
    <x v="2"/>
    <x v="6"/>
    <x v="2"/>
    <x v="6"/>
  </r>
  <r>
    <x v="5"/>
    <x v="7"/>
    <x v="5"/>
    <x v="2"/>
    <x v="2"/>
    <x v="2"/>
    <x v="6"/>
    <x v="2"/>
    <x v="7"/>
  </r>
  <r>
    <x v="5"/>
    <x v="8"/>
    <x v="5"/>
    <x v="2"/>
    <x v="2"/>
    <x v="2"/>
    <x v="6"/>
    <x v="2"/>
    <x v="8"/>
  </r>
  <r>
    <x v="5"/>
    <x v="9"/>
    <x v="5"/>
    <x v="2"/>
    <x v="2"/>
    <x v="2"/>
    <x v="6"/>
    <x v="2"/>
    <x v="9"/>
  </r>
  <r>
    <x v="6"/>
    <x v="2"/>
    <x v="6"/>
    <x v="2"/>
    <x v="2"/>
    <x v="2"/>
    <x v="2"/>
    <x v="2"/>
    <x v="2"/>
  </r>
  <r>
    <x v="6"/>
    <x v="3"/>
    <x v="6"/>
    <x v="2"/>
    <x v="2"/>
    <x v="2"/>
    <x v="3"/>
    <x v="2"/>
    <x v="3"/>
  </r>
  <r>
    <x v="6"/>
    <x v="4"/>
    <x v="6"/>
    <x v="2"/>
    <x v="2"/>
    <x v="2"/>
    <x v="4"/>
    <x v="2"/>
    <x v="4"/>
  </r>
  <r>
    <x v="6"/>
    <x v="5"/>
    <x v="6"/>
    <x v="2"/>
    <x v="2"/>
    <x v="2"/>
    <x v="5"/>
    <x v="2"/>
    <x v="5"/>
  </r>
  <r>
    <x v="6"/>
    <x v="6"/>
    <x v="6"/>
    <x v="2"/>
    <x v="2"/>
    <x v="2"/>
    <x v="6"/>
    <x v="2"/>
    <x v="6"/>
  </r>
  <r>
    <x v="6"/>
    <x v="7"/>
    <x v="6"/>
    <x v="2"/>
    <x v="2"/>
    <x v="2"/>
    <x v="6"/>
    <x v="2"/>
    <x v="7"/>
  </r>
  <r>
    <x v="6"/>
    <x v="8"/>
    <x v="6"/>
    <x v="2"/>
    <x v="2"/>
    <x v="2"/>
    <x v="6"/>
    <x v="2"/>
    <x v="8"/>
  </r>
  <r>
    <x v="6"/>
    <x v="9"/>
    <x v="6"/>
    <x v="2"/>
    <x v="2"/>
    <x v="2"/>
    <x v="6"/>
    <x v="2"/>
    <x v="9"/>
  </r>
  <r>
    <x v="7"/>
    <x v="2"/>
    <x v="7"/>
    <x v="2"/>
    <x v="2"/>
    <x v="2"/>
    <x v="3"/>
    <x v="3"/>
    <x v="2"/>
  </r>
  <r>
    <x v="7"/>
    <x v="3"/>
    <x v="7"/>
    <x v="2"/>
    <x v="2"/>
    <x v="2"/>
    <x v="4"/>
    <x v="3"/>
    <x v="3"/>
  </r>
  <r>
    <x v="7"/>
    <x v="4"/>
    <x v="7"/>
    <x v="2"/>
    <x v="2"/>
    <x v="2"/>
    <x v="5"/>
    <x v="3"/>
    <x v="4"/>
  </r>
  <r>
    <x v="7"/>
    <x v="5"/>
    <x v="7"/>
    <x v="2"/>
    <x v="2"/>
    <x v="2"/>
    <x v="6"/>
    <x v="3"/>
    <x v="5"/>
  </r>
  <r>
    <x v="7"/>
    <x v="6"/>
    <x v="7"/>
    <x v="2"/>
    <x v="2"/>
    <x v="2"/>
    <x v="6"/>
    <x v="3"/>
    <x v="6"/>
  </r>
  <r>
    <x v="7"/>
    <x v="7"/>
    <x v="7"/>
    <x v="2"/>
    <x v="2"/>
    <x v="2"/>
    <x v="6"/>
    <x v="3"/>
    <x v="7"/>
  </r>
  <r>
    <x v="7"/>
    <x v="8"/>
    <x v="7"/>
    <x v="2"/>
    <x v="2"/>
    <x v="2"/>
    <x v="6"/>
    <x v="3"/>
    <x v="8"/>
  </r>
  <r>
    <x v="7"/>
    <x v="9"/>
    <x v="7"/>
    <x v="2"/>
    <x v="2"/>
    <x v="2"/>
    <x v="6"/>
    <x v="3"/>
    <x v="9"/>
  </r>
  <r>
    <x v="8"/>
    <x v="2"/>
    <x v="8"/>
    <x v="2"/>
    <x v="2"/>
    <x v="2"/>
    <x v="3"/>
    <x v="3"/>
    <x v="2"/>
  </r>
  <r>
    <x v="8"/>
    <x v="3"/>
    <x v="8"/>
    <x v="2"/>
    <x v="2"/>
    <x v="2"/>
    <x v="4"/>
    <x v="3"/>
    <x v="3"/>
  </r>
  <r>
    <x v="8"/>
    <x v="4"/>
    <x v="8"/>
    <x v="2"/>
    <x v="2"/>
    <x v="2"/>
    <x v="5"/>
    <x v="3"/>
    <x v="4"/>
  </r>
  <r>
    <x v="8"/>
    <x v="5"/>
    <x v="8"/>
    <x v="2"/>
    <x v="2"/>
    <x v="2"/>
    <x v="6"/>
    <x v="3"/>
    <x v="5"/>
  </r>
  <r>
    <x v="8"/>
    <x v="6"/>
    <x v="8"/>
    <x v="2"/>
    <x v="2"/>
    <x v="2"/>
    <x v="6"/>
    <x v="3"/>
    <x v="6"/>
  </r>
  <r>
    <x v="8"/>
    <x v="7"/>
    <x v="8"/>
    <x v="2"/>
    <x v="2"/>
    <x v="2"/>
    <x v="6"/>
    <x v="3"/>
    <x v="7"/>
  </r>
  <r>
    <x v="8"/>
    <x v="8"/>
    <x v="8"/>
    <x v="2"/>
    <x v="2"/>
    <x v="2"/>
    <x v="6"/>
    <x v="3"/>
    <x v="8"/>
  </r>
  <r>
    <x v="8"/>
    <x v="9"/>
    <x v="8"/>
    <x v="2"/>
    <x v="2"/>
    <x v="2"/>
    <x v="6"/>
    <x v="3"/>
    <x v="9"/>
  </r>
  <r>
    <x v="9"/>
    <x v="2"/>
    <x v="9"/>
    <x v="2"/>
    <x v="2"/>
    <x v="2"/>
    <x v="3"/>
    <x v="3"/>
    <x v="2"/>
  </r>
  <r>
    <x v="9"/>
    <x v="3"/>
    <x v="9"/>
    <x v="2"/>
    <x v="2"/>
    <x v="2"/>
    <x v="4"/>
    <x v="3"/>
    <x v="3"/>
  </r>
  <r>
    <x v="9"/>
    <x v="4"/>
    <x v="9"/>
    <x v="2"/>
    <x v="2"/>
    <x v="2"/>
    <x v="5"/>
    <x v="3"/>
    <x v="4"/>
  </r>
  <r>
    <x v="9"/>
    <x v="5"/>
    <x v="9"/>
    <x v="2"/>
    <x v="2"/>
    <x v="2"/>
    <x v="6"/>
    <x v="3"/>
    <x v="5"/>
  </r>
  <r>
    <x v="9"/>
    <x v="6"/>
    <x v="9"/>
    <x v="2"/>
    <x v="2"/>
    <x v="2"/>
    <x v="6"/>
    <x v="3"/>
    <x v="6"/>
  </r>
  <r>
    <x v="9"/>
    <x v="7"/>
    <x v="9"/>
    <x v="2"/>
    <x v="2"/>
    <x v="2"/>
    <x v="6"/>
    <x v="3"/>
    <x v="7"/>
  </r>
  <r>
    <x v="9"/>
    <x v="8"/>
    <x v="9"/>
    <x v="2"/>
    <x v="2"/>
    <x v="2"/>
    <x v="6"/>
    <x v="3"/>
    <x v="8"/>
  </r>
  <r>
    <x v="9"/>
    <x v="9"/>
    <x v="9"/>
    <x v="2"/>
    <x v="2"/>
    <x v="2"/>
    <x v="6"/>
    <x v="3"/>
    <x v="9"/>
  </r>
  <r>
    <x v="10"/>
    <x v="2"/>
    <x v="10"/>
    <x v="2"/>
    <x v="2"/>
    <x v="2"/>
    <x v="3"/>
    <x v="3"/>
    <x v="2"/>
  </r>
  <r>
    <x v="10"/>
    <x v="3"/>
    <x v="10"/>
    <x v="2"/>
    <x v="2"/>
    <x v="2"/>
    <x v="4"/>
    <x v="3"/>
    <x v="3"/>
  </r>
  <r>
    <x v="10"/>
    <x v="4"/>
    <x v="10"/>
    <x v="2"/>
    <x v="2"/>
    <x v="2"/>
    <x v="5"/>
    <x v="3"/>
    <x v="4"/>
  </r>
  <r>
    <x v="10"/>
    <x v="5"/>
    <x v="10"/>
    <x v="2"/>
    <x v="2"/>
    <x v="2"/>
    <x v="6"/>
    <x v="3"/>
    <x v="5"/>
  </r>
  <r>
    <x v="10"/>
    <x v="6"/>
    <x v="10"/>
    <x v="2"/>
    <x v="2"/>
    <x v="2"/>
    <x v="6"/>
    <x v="3"/>
    <x v="6"/>
  </r>
  <r>
    <x v="10"/>
    <x v="7"/>
    <x v="10"/>
    <x v="2"/>
    <x v="2"/>
    <x v="2"/>
    <x v="6"/>
    <x v="3"/>
    <x v="7"/>
  </r>
  <r>
    <x v="10"/>
    <x v="8"/>
    <x v="10"/>
    <x v="2"/>
    <x v="2"/>
    <x v="2"/>
    <x v="6"/>
    <x v="3"/>
    <x v="8"/>
  </r>
  <r>
    <x v="10"/>
    <x v="9"/>
    <x v="10"/>
    <x v="2"/>
    <x v="2"/>
    <x v="2"/>
    <x v="6"/>
    <x v="3"/>
    <x v="9"/>
  </r>
  <r>
    <x v="11"/>
    <x v="2"/>
    <x v="11"/>
    <x v="2"/>
    <x v="2"/>
    <x v="2"/>
    <x v="3"/>
    <x v="3"/>
    <x v="2"/>
  </r>
  <r>
    <x v="11"/>
    <x v="3"/>
    <x v="11"/>
    <x v="2"/>
    <x v="2"/>
    <x v="2"/>
    <x v="4"/>
    <x v="3"/>
    <x v="3"/>
  </r>
  <r>
    <x v="11"/>
    <x v="4"/>
    <x v="11"/>
    <x v="2"/>
    <x v="2"/>
    <x v="2"/>
    <x v="5"/>
    <x v="3"/>
    <x v="4"/>
  </r>
  <r>
    <x v="11"/>
    <x v="5"/>
    <x v="11"/>
    <x v="2"/>
    <x v="2"/>
    <x v="2"/>
    <x v="6"/>
    <x v="3"/>
    <x v="5"/>
  </r>
  <r>
    <x v="11"/>
    <x v="6"/>
    <x v="11"/>
    <x v="2"/>
    <x v="2"/>
    <x v="2"/>
    <x v="6"/>
    <x v="3"/>
    <x v="6"/>
  </r>
  <r>
    <x v="11"/>
    <x v="7"/>
    <x v="11"/>
    <x v="2"/>
    <x v="2"/>
    <x v="2"/>
    <x v="6"/>
    <x v="3"/>
    <x v="7"/>
  </r>
  <r>
    <x v="11"/>
    <x v="8"/>
    <x v="11"/>
    <x v="2"/>
    <x v="2"/>
    <x v="2"/>
    <x v="6"/>
    <x v="3"/>
    <x v="8"/>
  </r>
  <r>
    <x v="11"/>
    <x v="9"/>
    <x v="11"/>
    <x v="2"/>
    <x v="2"/>
    <x v="2"/>
    <x v="6"/>
    <x v="3"/>
    <x v="9"/>
  </r>
  <r>
    <x v="12"/>
    <x v="2"/>
    <x v="12"/>
    <x v="2"/>
    <x v="2"/>
    <x v="2"/>
    <x v="3"/>
    <x v="3"/>
    <x v="2"/>
  </r>
  <r>
    <x v="12"/>
    <x v="3"/>
    <x v="12"/>
    <x v="2"/>
    <x v="2"/>
    <x v="2"/>
    <x v="4"/>
    <x v="3"/>
    <x v="3"/>
  </r>
  <r>
    <x v="12"/>
    <x v="4"/>
    <x v="12"/>
    <x v="2"/>
    <x v="2"/>
    <x v="2"/>
    <x v="5"/>
    <x v="3"/>
    <x v="4"/>
  </r>
  <r>
    <x v="12"/>
    <x v="5"/>
    <x v="12"/>
    <x v="2"/>
    <x v="2"/>
    <x v="2"/>
    <x v="6"/>
    <x v="3"/>
    <x v="5"/>
  </r>
  <r>
    <x v="12"/>
    <x v="6"/>
    <x v="12"/>
    <x v="2"/>
    <x v="2"/>
    <x v="2"/>
    <x v="6"/>
    <x v="3"/>
    <x v="6"/>
  </r>
  <r>
    <x v="12"/>
    <x v="7"/>
    <x v="12"/>
    <x v="2"/>
    <x v="2"/>
    <x v="2"/>
    <x v="6"/>
    <x v="3"/>
    <x v="7"/>
  </r>
  <r>
    <x v="12"/>
    <x v="8"/>
    <x v="12"/>
    <x v="2"/>
    <x v="2"/>
    <x v="2"/>
    <x v="6"/>
    <x v="3"/>
    <x v="8"/>
  </r>
  <r>
    <x v="12"/>
    <x v="9"/>
    <x v="12"/>
    <x v="2"/>
    <x v="2"/>
    <x v="2"/>
    <x v="6"/>
    <x v="3"/>
    <x v="9"/>
  </r>
  <r>
    <x v="13"/>
    <x v="2"/>
    <x v="13"/>
    <x v="2"/>
    <x v="2"/>
    <x v="2"/>
    <x v="3"/>
    <x v="3"/>
    <x v="2"/>
  </r>
  <r>
    <x v="13"/>
    <x v="3"/>
    <x v="13"/>
    <x v="2"/>
    <x v="2"/>
    <x v="2"/>
    <x v="4"/>
    <x v="3"/>
    <x v="3"/>
  </r>
  <r>
    <x v="13"/>
    <x v="4"/>
    <x v="13"/>
    <x v="2"/>
    <x v="2"/>
    <x v="2"/>
    <x v="5"/>
    <x v="3"/>
    <x v="4"/>
  </r>
  <r>
    <x v="13"/>
    <x v="5"/>
    <x v="13"/>
    <x v="2"/>
    <x v="2"/>
    <x v="2"/>
    <x v="6"/>
    <x v="3"/>
    <x v="5"/>
  </r>
  <r>
    <x v="13"/>
    <x v="6"/>
    <x v="13"/>
    <x v="2"/>
    <x v="2"/>
    <x v="2"/>
    <x v="6"/>
    <x v="3"/>
    <x v="6"/>
  </r>
  <r>
    <x v="13"/>
    <x v="7"/>
    <x v="13"/>
    <x v="2"/>
    <x v="2"/>
    <x v="2"/>
    <x v="6"/>
    <x v="3"/>
    <x v="7"/>
  </r>
  <r>
    <x v="13"/>
    <x v="8"/>
    <x v="13"/>
    <x v="2"/>
    <x v="2"/>
    <x v="2"/>
    <x v="6"/>
    <x v="3"/>
    <x v="8"/>
  </r>
  <r>
    <x v="13"/>
    <x v="9"/>
    <x v="13"/>
    <x v="2"/>
    <x v="2"/>
    <x v="2"/>
    <x v="6"/>
    <x v="3"/>
    <x v="9"/>
  </r>
  <r>
    <x v="14"/>
    <x v="2"/>
    <x v="14"/>
    <x v="2"/>
    <x v="2"/>
    <x v="2"/>
    <x v="6"/>
    <x v="3"/>
    <x v="2"/>
  </r>
  <r>
    <x v="14"/>
    <x v="3"/>
    <x v="14"/>
    <x v="2"/>
    <x v="2"/>
    <x v="2"/>
    <x v="6"/>
    <x v="3"/>
    <x v="3"/>
  </r>
  <r>
    <x v="14"/>
    <x v="4"/>
    <x v="14"/>
    <x v="2"/>
    <x v="2"/>
    <x v="2"/>
    <x v="6"/>
    <x v="3"/>
    <x v="4"/>
  </r>
  <r>
    <x v="14"/>
    <x v="5"/>
    <x v="14"/>
    <x v="2"/>
    <x v="2"/>
    <x v="2"/>
    <x v="6"/>
    <x v="3"/>
    <x v="5"/>
  </r>
  <r>
    <x v="14"/>
    <x v="6"/>
    <x v="14"/>
    <x v="2"/>
    <x v="2"/>
    <x v="2"/>
    <x v="6"/>
    <x v="3"/>
    <x v="6"/>
  </r>
  <r>
    <x v="14"/>
    <x v="7"/>
    <x v="14"/>
    <x v="2"/>
    <x v="2"/>
    <x v="2"/>
    <x v="6"/>
    <x v="3"/>
    <x v="7"/>
  </r>
  <r>
    <x v="14"/>
    <x v="8"/>
    <x v="14"/>
    <x v="2"/>
    <x v="2"/>
    <x v="2"/>
    <x v="6"/>
    <x v="3"/>
    <x v="8"/>
  </r>
  <r>
    <x v="14"/>
    <x v="9"/>
    <x v="14"/>
    <x v="2"/>
    <x v="2"/>
    <x v="2"/>
    <x v="6"/>
    <x v="3"/>
    <x v="9"/>
  </r>
  <r>
    <x v="15"/>
    <x v="2"/>
    <x v="15"/>
    <x v="2"/>
    <x v="2"/>
    <x v="2"/>
    <x v="6"/>
    <x v="3"/>
    <x v="2"/>
  </r>
  <r>
    <x v="15"/>
    <x v="3"/>
    <x v="15"/>
    <x v="2"/>
    <x v="2"/>
    <x v="2"/>
    <x v="6"/>
    <x v="3"/>
    <x v="3"/>
  </r>
  <r>
    <x v="15"/>
    <x v="4"/>
    <x v="15"/>
    <x v="2"/>
    <x v="2"/>
    <x v="2"/>
    <x v="6"/>
    <x v="3"/>
    <x v="4"/>
  </r>
  <r>
    <x v="15"/>
    <x v="5"/>
    <x v="15"/>
    <x v="2"/>
    <x v="2"/>
    <x v="2"/>
    <x v="6"/>
    <x v="3"/>
    <x v="5"/>
  </r>
  <r>
    <x v="15"/>
    <x v="6"/>
    <x v="15"/>
    <x v="2"/>
    <x v="2"/>
    <x v="2"/>
    <x v="6"/>
    <x v="3"/>
    <x v="6"/>
  </r>
  <r>
    <x v="15"/>
    <x v="7"/>
    <x v="15"/>
    <x v="2"/>
    <x v="2"/>
    <x v="2"/>
    <x v="6"/>
    <x v="3"/>
    <x v="7"/>
  </r>
  <r>
    <x v="15"/>
    <x v="8"/>
    <x v="15"/>
    <x v="2"/>
    <x v="2"/>
    <x v="2"/>
    <x v="6"/>
    <x v="3"/>
    <x v="8"/>
  </r>
  <r>
    <x v="15"/>
    <x v="9"/>
    <x v="15"/>
    <x v="2"/>
    <x v="2"/>
    <x v="2"/>
    <x v="6"/>
    <x v="3"/>
    <x v="9"/>
  </r>
  <r>
    <x v="16"/>
    <x v="2"/>
    <x v="16"/>
    <x v="2"/>
    <x v="2"/>
    <x v="2"/>
    <x v="6"/>
    <x v="3"/>
    <x v="2"/>
  </r>
  <r>
    <x v="16"/>
    <x v="3"/>
    <x v="16"/>
    <x v="2"/>
    <x v="2"/>
    <x v="2"/>
    <x v="6"/>
    <x v="3"/>
    <x v="3"/>
  </r>
  <r>
    <x v="16"/>
    <x v="4"/>
    <x v="16"/>
    <x v="2"/>
    <x v="2"/>
    <x v="2"/>
    <x v="6"/>
    <x v="3"/>
    <x v="4"/>
  </r>
  <r>
    <x v="16"/>
    <x v="5"/>
    <x v="16"/>
    <x v="2"/>
    <x v="2"/>
    <x v="2"/>
    <x v="6"/>
    <x v="3"/>
    <x v="5"/>
  </r>
  <r>
    <x v="16"/>
    <x v="6"/>
    <x v="16"/>
    <x v="2"/>
    <x v="2"/>
    <x v="2"/>
    <x v="6"/>
    <x v="3"/>
    <x v="6"/>
  </r>
  <r>
    <x v="16"/>
    <x v="7"/>
    <x v="16"/>
    <x v="2"/>
    <x v="2"/>
    <x v="2"/>
    <x v="6"/>
    <x v="3"/>
    <x v="7"/>
  </r>
  <r>
    <x v="16"/>
    <x v="8"/>
    <x v="16"/>
    <x v="2"/>
    <x v="2"/>
    <x v="2"/>
    <x v="6"/>
    <x v="3"/>
    <x v="8"/>
  </r>
  <r>
    <x v="16"/>
    <x v="9"/>
    <x v="16"/>
    <x v="2"/>
    <x v="2"/>
    <x v="2"/>
    <x v="6"/>
    <x v="3"/>
    <x v="9"/>
  </r>
  <r>
    <x v="17"/>
    <x v="2"/>
    <x v="17"/>
    <x v="2"/>
    <x v="3"/>
    <x v="3"/>
    <x v="6"/>
    <x v="3"/>
    <x v="2"/>
  </r>
  <r>
    <x v="17"/>
    <x v="3"/>
    <x v="17"/>
    <x v="2"/>
    <x v="3"/>
    <x v="3"/>
    <x v="6"/>
    <x v="3"/>
    <x v="3"/>
  </r>
  <r>
    <x v="17"/>
    <x v="4"/>
    <x v="17"/>
    <x v="2"/>
    <x v="3"/>
    <x v="3"/>
    <x v="6"/>
    <x v="3"/>
    <x v="4"/>
  </r>
  <r>
    <x v="17"/>
    <x v="5"/>
    <x v="17"/>
    <x v="2"/>
    <x v="3"/>
    <x v="3"/>
    <x v="6"/>
    <x v="3"/>
    <x v="5"/>
  </r>
  <r>
    <x v="17"/>
    <x v="6"/>
    <x v="17"/>
    <x v="2"/>
    <x v="3"/>
    <x v="3"/>
    <x v="6"/>
    <x v="3"/>
    <x v="6"/>
  </r>
  <r>
    <x v="17"/>
    <x v="7"/>
    <x v="17"/>
    <x v="2"/>
    <x v="3"/>
    <x v="3"/>
    <x v="6"/>
    <x v="3"/>
    <x v="7"/>
  </r>
  <r>
    <x v="17"/>
    <x v="8"/>
    <x v="17"/>
    <x v="2"/>
    <x v="3"/>
    <x v="3"/>
    <x v="6"/>
    <x v="3"/>
    <x v="8"/>
  </r>
  <r>
    <x v="17"/>
    <x v="9"/>
    <x v="17"/>
    <x v="2"/>
    <x v="3"/>
    <x v="3"/>
    <x v="6"/>
    <x v="3"/>
    <x v="9"/>
  </r>
  <r>
    <x v="18"/>
    <x v="2"/>
    <x v="18"/>
    <x v="2"/>
    <x v="3"/>
    <x v="3"/>
    <x v="3"/>
    <x v="4"/>
    <x v="2"/>
  </r>
  <r>
    <x v="18"/>
    <x v="4"/>
    <x v="18"/>
    <x v="2"/>
    <x v="3"/>
    <x v="3"/>
    <x v="4"/>
    <x v="4"/>
    <x v="4"/>
  </r>
  <r>
    <x v="18"/>
    <x v="6"/>
    <x v="18"/>
    <x v="2"/>
    <x v="3"/>
    <x v="3"/>
    <x v="5"/>
    <x v="4"/>
    <x v="6"/>
  </r>
  <r>
    <x v="19"/>
    <x v="2"/>
    <x v="19"/>
    <x v="2"/>
    <x v="3"/>
    <x v="3"/>
    <x v="2"/>
    <x v="4"/>
    <x v="2"/>
  </r>
  <r>
    <x v="19"/>
    <x v="4"/>
    <x v="19"/>
    <x v="2"/>
    <x v="3"/>
    <x v="3"/>
    <x v="3"/>
    <x v="4"/>
    <x v="4"/>
  </r>
  <r>
    <x v="19"/>
    <x v="6"/>
    <x v="19"/>
    <x v="2"/>
    <x v="3"/>
    <x v="3"/>
    <x v="4"/>
    <x v="4"/>
    <x v="6"/>
  </r>
  <r>
    <x v="20"/>
    <x v="2"/>
    <x v="20"/>
    <x v="2"/>
    <x v="3"/>
    <x v="3"/>
    <x v="2"/>
    <x v="4"/>
    <x v="2"/>
  </r>
  <r>
    <x v="20"/>
    <x v="4"/>
    <x v="20"/>
    <x v="2"/>
    <x v="3"/>
    <x v="3"/>
    <x v="3"/>
    <x v="4"/>
    <x v="4"/>
  </r>
  <r>
    <x v="20"/>
    <x v="6"/>
    <x v="20"/>
    <x v="2"/>
    <x v="3"/>
    <x v="3"/>
    <x v="4"/>
    <x v="4"/>
    <x v="6"/>
  </r>
  <r>
    <x v="21"/>
    <x v="2"/>
    <x v="21"/>
    <x v="2"/>
    <x v="3"/>
    <x v="3"/>
    <x v="3"/>
    <x v="4"/>
    <x v="2"/>
  </r>
  <r>
    <x v="21"/>
    <x v="4"/>
    <x v="21"/>
    <x v="2"/>
    <x v="3"/>
    <x v="3"/>
    <x v="4"/>
    <x v="4"/>
    <x v="4"/>
  </r>
  <r>
    <x v="21"/>
    <x v="6"/>
    <x v="21"/>
    <x v="2"/>
    <x v="3"/>
    <x v="3"/>
    <x v="5"/>
    <x v="4"/>
    <x v="6"/>
  </r>
  <r>
    <x v="22"/>
    <x v="2"/>
    <x v="22"/>
    <x v="2"/>
    <x v="3"/>
    <x v="3"/>
    <x v="3"/>
    <x v="4"/>
    <x v="2"/>
  </r>
  <r>
    <x v="22"/>
    <x v="4"/>
    <x v="22"/>
    <x v="2"/>
    <x v="3"/>
    <x v="3"/>
    <x v="4"/>
    <x v="4"/>
    <x v="4"/>
  </r>
  <r>
    <x v="22"/>
    <x v="6"/>
    <x v="22"/>
    <x v="2"/>
    <x v="3"/>
    <x v="3"/>
    <x v="5"/>
    <x v="4"/>
    <x v="6"/>
  </r>
  <r>
    <x v="23"/>
    <x v="2"/>
    <x v="23"/>
    <x v="2"/>
    <x v="3"/>
    <x v="3"/>
    <x v="3"/>
    <x v="4"/>
    <x v="2"/>
  </r>
  <r>
    <x v="23"/>
    <x v="4"/>
    <x v="23"/>
    <x v="2"/>
    <x v="3"/>
    <x v="3"/>
    <x v="4"/>
    <x v="4"/>
    <x v="4"/>
  </r>
  <r>
    <x v="23"/>
    <x v="6"/>
    <x v="23"/>
    <x v="2"/>
    <x v="3"/>
    <x v="3"/>
    <x v="5"/>
    <x v="4"/>
    <x v="6"/>
  </r>
  <r>
    <x v="24"/>
    <x v="2"/>
    <x v="24"/>
    <x v="2"/>
    <x v="3"/>
    <x v="3"/>
    <x v="3"/>
    <x v="4"/>
    <x v="2"/>
  </r>
  <r>
    <x v="24"/>
    <x v="4"/>
    <x v="24"/>
    <x v="2"/>
    <x v="3"/>
    <x v="3"/>
    <x v="4"/>
    <x v="4"/>
    <x v="4"/>
  </r>
  <r>
    <x v="24"/>
    <x v="6"/>
    <x v="24"/>
    <x v="2"/>
    <x v="3"/>
    <x v="3"/>
    <x v="5"/>
    <x v="4"/>
    <x v="6"/>
  </r>
  <r>
    <x v="25"/>
    <x v="2"/>
    <x v="25"/>
    <x v="2"/>
    <x v="3"/>
    <x v="3"/>
    <x v="3"/>
    <x v="4"/>
    <x v="2"/>
  </r>
  <r>
    <x v="25"/>
    <x v="4"/>
    <x v="25"/>
    <x v="2"/>
    <x v="3"/>
    <x v="3"/>
    <x v="4"/>
    <x v="4"/>
    <x v="4"/>
  </r>
  <r>
    <x v="25"/>
    <x v="6"/>
    <x v="25"/>
    <x v="2"/>
    <x v="3"/>
    <x v="3"/>
    <x v="5"/>
    <x v="4"/>
    <x v="6"/>
  </r>
  <r>
    <x v="26"/>
    <x v="2"/>
    <x v="26"/>
    <x v="2"/>
    <x v="3"/>
    <x v="3"/>
    <x v="3"/>
    <x v="3"/>
    <x v="2"/>
  </r>
  <r>
    <x v="26"/>
    <x v="3"/>
    <x v="26"/>
    <x v="2"/>
    <x v="3"/>
    <x v="3"/>
    <x v="4"/>
    <x v="3"/>
    <x v="3"/>
  </r>
  <r>
    <x v="26"/>
    <x v="4"/>
    <x v="26"/>
    <x v="2"/>
    <x v="3"/>
    <x v="3"/>
    <x v="5"/>
    <x v="3"/>
    <x v="4"/>
  </r>
  <r>
    <x v="26"/>
    <x v="5"/>
    <x v="26"/>
    <x v="2"/>
    <x v="3"/>
    <x v="3"/>
    <x v="6"/>
    <x v="3"/>
    <x v="5"/>
  </r>
  <r>
    <x v="26"/>
    <x v="6"/>
    <x v="26"/>
    <x v="2"/>
    <x v="3"/>
    <x v="3"/>
    <x v="6"/>
    <x v="3"/>
    <x v="6"/>
  </r>
  <r>
    <x v="26"/>
    <x v="7"/>
    <x v="26"/>
    <x v="2"/>
    <x v="3"/>
    <x v="3"/>
    <x v="6"/>
    <x v="3"/>
    <x v="7"/>
  </r>
  <r>
    <x v="26"/>
    <x v="8"/>
    <x v="26"/>
    <x v="2"/>
    <x v="3"/>
    <x v="3"/>
    <x v="6"/>
    <x v="3"/>
    <x v="8"/>
  </r>
  <r>
    <x v="26"/>
    <x v="9"/>
    <x v="26"/>
    <x v="2"/>
    <x v="3"/>
    <x v="3"/>
    <x v="6"/>
    <x v="3"/>
    <x v="9"/>
  </r>
  <r>
    <x v="27"/>
    <x v="2"/>
    <x v="27"/>
    <x v="2"/>
    <x v="3"/>
    <x v="3"/>
    <x v="3"/>
    <x v="3"/>
    <x v="2"/>
  </r>
  <r>
    <x v="27"/>
    <x v="3"/>
    <x v="27"/>
    <x v="2"/>
    <x v="3"/>
    <x v="3"/>
    <x v="4"/>
    <x v="3"/>
    <x v="3"/>
  </r>
  <r>
    <x v="27"/>
    <x v="4"/>
    <x v="27"/>
    <x v="2"/>
    <x v="3"/>
    <x v="3"/>
    <x v="5"/>
    <x v="3"/>
    <x v="4"/>
  </r>
  <r>
    <x v="27"/>
    <x v="5"/>
    <x v="27"/>
    <x v="2"/>
    <x v="3"/>
    <x v="3"/>
    <x v="6"/>
    <x v="3"/>
    <x v="5"/>
  </r>
  <r>
    <x v="27"/>
    <x v="6"/>
    <x v="27"/>
    <x v="2"/>
    <x v="3"/>
    <x v="3"/>
    <x v="6"/>
    <x v="3"/>
    <x v="6"/>
  </r>
  <r>
    <x v="27"/>
    <x v="7"/>
    <x v="27"/>
    <x v="2"/>
    <x v="3"/>
    <x v="3"/>
    <x v="6"/>
    <x v="3"/>
    <x v="7"/>
  </r>
  <r>
    <x v="27"/>
    <x v="8"/>
    <x v="27"/>
    <x v="2"/>
    <x v="3"/>
    <x v="3"/>
    <x v="6"/>
    <x v="3"/>
    <x v="8"/>
  </r>
  <r>
    <x v="27"/>
    <x v="9"/>
    <x v="27"/>
    <x v="2"/>
    <x v="3"/>
    <x v="3"/>
    <x v="6"/>
    <x v="3"/>
    <x v="9"/>
  </r>
  <r>
    <x v="28"/>
    <x v="2"/>
    <x v="28"/>
    <x v="2"/>
    <x v="3"/>
    <x v="3"/>
    <x v="3"/>
    <x v="3"/>
    <x v="2"/>
  </r>
  <r>
    <x v="28"/>
    <x v="3"/>
    <x v="28"/>
    <x v="2"/>
    <x v="3"/>
    <x v="3"/>
    <x v="4"/>
    <x v="3"/>
    <x v="3"/>
  </r>
  <r>
    <x v="28"/>
    <x v="4"/>
    <x v="28"/>
    <x v="2"/>
    <x v="3"/>
    <x v="3"/>
    <x v="5"/>
    <x v="3"/>
    <x v="4"/>
  </r>
  <r>
    <x v="28"/>
    <x v="5"/>
    <x v="28"/>
    <x v="2"/>
    <x v="3"/>
    <x v="3"/>
    <x v="6"/>
    <x v="3"/>
    <x v="5"/>
  </r>
  <r>
    <x v="28"/>
    <x v="6"/>
    <x v="28"/>
    <x v="2"/>
    <x v="3"/>
    <x v="3"/>
    <x v="6"/>
    <x v="3"/>
    <x v="6"/>
  </r>
  <r>
    <x v="28"/>
    <x v="7"/>
    <x v="28"/>
    <x v="2"/>
    <x v="3"/>
    <x v="3"/>
    <x v="6"/>
    <x v="3"/>
    <x v="7"/>
  </r>
  <r>
    <x v="28"/>
    <x v="8"/>
    <x v="28"/>
    <x v="2"/>
    <x v="3"/>
    <x v="3"/>
    <x v="6"/>
    <x v="3"/>
    <x v="8"/>
  </r>
  <r>
    <x v="28"/>
    <x v="9"/>
    <x v="28"/>
    <x v="2"/>
    <x v="3"/>
    <x v="3"/>
    <x v="6"/>
    <x v="3"/>
    <x v="9"/>
  </r>
  <r>
    <x v="29"/>
    <x v="2"/>
    <x v="29"/>
    <x v="2"/>
    <x v="3"/>
    <x v="3"/>
    <x v="3"/>
    <x v="3"/>
    <x v="2"/>
  </r>
  <r>
    <x v="29"/>
    <x v="3"/>
    <x v="29"/>
    <x v="2"/>
    <x v="3"/>
    <x v="3"/>
    <x v="4"/>
    <x v="3"/>
    <x v="3"/>
  </r>
  <r>
    <x v="29"/>
    <x v="4"/>
    <x v="29"/>
    <x v="2"/>
    <x v="3"/>
    <x v="3"/>
    <x v="5"/>
    <x v="3"/>
    <x v="4"/>
  </r>
  <r>
    <x v="29"/>
    <x v="5"/>
    <x v="29"/>
    <x v="2"/>
    <x v="3"/>
    <x v="3"/>
    <x v="6"/>
    <x v="3"/>
    <x v="5"/>
  </r>
  <r>
    <x v="29"/>
    <x v="6"/>
    <x v="29"/>
    <x v="2"/>
    <x v="3"/>
    <x v="3"/>
    <x v="6"/>
    <x v="3"/>
    <x v="6"/>
  </r>
  <r>
    <x v="29"/>
    <x v="7"/>
    <x v="29"/>
    <x v="2"/>
    <x v="3"/>
    <x v="3"/>
    <x v="6"/>
    <x v="3"/>
    <x v="7"/>
  </r>
  <r>
    <x v="29"/>
    <x v="8"/>
    <x v="29"/>
    <x v="2"/>
    <x v="3"/>
    <x v="3"/>
    <x v="6"/>
    <x v="3"/>
    <x v="8"/>
  </r>
  <r>
    <x v="29"/>
    <x v="9"/>
    <x v="29"/>
    <x v="2"/>
    <x v="3"/>
    <x v="3"/>
    <x v="6"/>
    <x v="3"/>
    <x v="9"/>
  </r>
  <r>
    <x v="30"/>
    <x v="2"/>
    <x v="30"/>
    <x v="2"/>
    <x v="3"/>
    <x v="3"/>
    <x v="3"/>
    <x v="3"/>
    <x v="2"/>
  </r>
  <r>
    <x v="30"/>
    <x v="3"/>
    <x v="30"/>
    <x v="2"/>
    <x v="3"/>
    <x v="3"/>
    <x v="4"/>
    <x v="3"/>
    <x v="3"/>
  </r>
  <r>
    <x v="30"/>
    <x v="4"/>
    <x v="30"/>
    <x v="2"/>
    <x v="3"/>
    <x v="3"/>
    <x v="5"/>
    <x v="3"/>
    <x v="4"/>
  </r>
  <r>
    <x v="30"/>
    <x v="5"/>
    <x v="30"/>
    <x v="2"/>
    <x v="3"/>
    <x v="3"/>
    <x v="6"/>
    <x v="3"/>
    <x v="5"/>
  </r>
  <r>
    <x v="30"/>
    <x v="6"/>
    <x v="30"/>
    <x v="2"/>
    <x v="3"/>
    <x v="3"/>
    <x v="6"/>
    <x v="3"/>
    <x v="6"/>
  </r>
  <r>
    <x v="30"/>
    <x v="7"/>
    <x v="30"/>
    <x v="2"/>
    <x v="3"/>
    <x v="3"/>
    <x v="6"/>
    <x v="3"/>
    <x v="7"/>
  </r>
  <r>
    <x v="30"/>
    <x v="8"/>
    <x v="30"/>
    <x v="2"/>
    <x v="3"/>
    <x v="3"/>
    <x v="6"/>
    <x v="3"/>
    <x v="8"/>
  </r>
  <r>
    <x v="30"/>
    <x v="9"/>
    <x v="30"/>
    <x v="2"/>
    <x v="3"/>
    <x v="3"/>
    <x v="6"/>
    <x v="3"/>
    <x v="9"/>
  </r>
  <r>
    <x v="31"/>
    <x v="2"/>
    <x v="31"/>
    <x v="2"/>
    <x v="3"/>
    <x v="3"/>
    <x v="3"/>
    <x v="3"/>
    <x v="2"/>
  </r>
  <r>
    <x v="31"/>
    <x v="3"/>
    <x v="31"/>
    <x v="2"/>
    <x v="3"/>
    <x v="3"/>
    <x v="4"/>
    <x v="3"/>
    <x v="3"/>
  </r>
  <r>
    <x v="31"/>
    <x v="4"/>
    <x v="31"/>
    <x v="2"/>
    <x v="3"/>
    <x v="3"/>
    <x v="5"/>
    <x v="3"/>
    <x v="4"/>
  </r>
  <r>
    <x v="31"/>
    <x v="5"/>
    <x v="31"/>
    <x v="2"/>
    <x v="3"/>
    <x v="3"/>
    <x v="6"/>
    <x v="3"/>
    <x v="5"/>
  </r>
  <r>
    <x v="31"/>
    <x v="6"/>
    <x v="31"/>
    <x v="2"/>
    <x v="3"/>
    <x v="3"/>
    <x v="6"/>
    <x v="3"/>
    <x v="6"/>
  </r>
  <r>
    <x v="31"/>
    <x v="7"/>
    <x v="31"/>
    <x v="2"/>
    <x v="3"/>
    <x v="3"/>
    <x v="6"/>
    <x v="3"/>
    <x v="7"/>
  </r>
  <r>
    <x v="31"/>
    <x v="8"/>
    <x v="31"/>
    <x v="2"/>
    <x v="3"/>
    <x v="3"/>
    <x v="6"/>
    <x v="3"/>
    <x v="8"/>
  </r>
  <r>
    <x v="31"/>
    <x v="9"/>
    <x v="31"/>
    <x v="2"/>
    <x v="3"/>
    <x v="3"/>
    <x v="6"/>
    <x v="3"/>
    <x v="9"/>
  </r>
  <r>
    <x v="32"/>
    <x v="2"/>
    <x v="32"/>
    <x v="2"/>
    <x v="3"/>
    <x v="3"/>
    <x v="3"/>
    <x v="3"/>
    <x v="2"/>
  </r>
  <r>
    <x v="32"/>
    <x v="3"/>
    <x v="32"/>
    <x v="2"/>
    <x v="3"/>
    <x v="3"/>
    <x v="4"/>
    <x v="3"/>
    <x v="3"/>
  </r>
  <r>
    <x v="32"/>
    <x v="4"/>
    <x v="32"/>
    <x v="2"/>
    <x v="3"/>
    <x v="3"/>
    <x v="5"/>
    <x v="3"/>
    <x v="4"/>
  </r>
  <r>
    <x v="32"/>
    <x v="5"/>
    <x v="32"/>
    <x v="2"/>
    <x v="3"/>
    <x v="3"/>
    <x v="6"/>
    <x v="3"/>
    <x v="5"/>
  </r>
  <r>
    <x v="32"/>
    <x v="6"/>
    <x v="32"/>
    <x v="2"/>
    <x v="3"/>
    <x v="3"/>
    <x v="6"/>
    <x v="3"/>
    <x v="6"/>
  </r>
  <r>
    <x v="32"/>
    <x v="7"/>
    <x v="32"/>
    <x v="2"/>
    <x v="3"/>
    <x v="3"/>
    <x v="6"/>
    <x v="3"/>
    <x v="7"/>
  </r>
  <r>
    <x v="32"/>
    <x v="8"/>
    <x v="32"/>
    <x v="2"/>
    <x v="3"/>
    <x v="3"/>
    <x v="6"/>
    <x v="3"/>
    <x v="8"/>
  </r>
  <r>
    <x v="32"/>
    <x v="9"/>
    <x v="32"/>
    <x v="2"/>
    <x v="3"/>
    <x v="3"/>
    <x v="6"/>
    <x v="3"/>
    <x v="9"/>
  </r>
  <r>
    <x v="33"/>
    <x v="2"/>
    <x v="33"/>
    <x v="2"/>
    <x v="3"/>
    <x v="3"/>
    <x v="3"/>
    <x v="3"/>
    <x v="2"/>
  </r>
  <r>
    <x v="33"/>
    <x v="3"/>
    <x v="33"/>
    <x v="2"/>
    <x v="3"/>
    <x v="3"/>
    <x v="4"/>
    <x v="3"/>
    <x v="3"/>
  </r>
  <r>
    <x v="33"/>
    <x v="4"/>
    <x v="33"/>
    <x v="2"/>
    <x v="3"/>
    <x v="3"/>
    <x v="5"/>
    <x v="3"/>
    <x v="4"/>
  </r>
  <r>
    <x v="33"/>
    <x v="5"/>
    <x v="33"/>
    <x v="2"/>
    <x v="3"/>
    <x v="3"/>
    <x v="6"/>
    <x v="3"/>
    <x v="5"/>
  </r>
  <r>
    <x v="33"/>
    <x v="6"/>
    <x v="33"/>
    <x v="2"/>
    <x v="3"/>
    <x v="3"/>
    <x v="6"/>
    <x v="3"/>
    <x v="6"/>
  </r>
  <r>
    <x v="33"/>
    <x v="7"/>
    <x v="33"/>
    <x v="2"/>
    <x v="3"/>
    <x v="3"/>
    <x v="6"/>
    <x v="3"/>
    <x v="7"/>
  </r>
  <r>
    <x v="33"/>
    <x v="8"/>
    <x v="33"/>
    <x v="2"/>
    <x v="3"/>
    <x v="3"/>
    <x v="6"/>
    <x v="3"/>
    <x v="8"/>
  </r>
  <r>
    <x v="33"/>
    <x v="9"/>
    <x v="33"/>
    <x v="2"/>
    <x v="3"/>
    <x v="3"/>
    <x v="6"/>
    <x v="3"/>
    <x v="9"/>
  </r>
  <r>
    <x v="34"/>
    <x v="2"/>
    <x v="34"/>
    <x v="2"/>
    <x v="3"/>
    <x v="3"/>
    <x v="3"/>
    <x v="3"/>
    <x v="2"/>
  </r>
  <r>
    <x v="34"/>
    <x v="3"/>
    <x v="34"/>
    <x v="2"/>
    <x v="3"/>
    <x v="3"/>
    <x v="4"/>
    <x v="3"/>
    <x v="3"/>
  </r>
  <r>
    <x v="34"/>
    <x v="4"/>
    <x v="34"/>
    <x v="2"/>
    <x v="3"/>
    <x v="3"/>
    <x v="5"/>
    <x v="3"/>
    <x v="4"/>
  </r>
  <r>
    <x v="34"/>
    <x v="5"/>
    <x v="34"/>
    <x v="2"/>
    <x v="3"/>
    <x v="3"/>
    <x v="6"/>
    <x v="3"/>
    <x v="5"/>
  </r>
  <r>
    <x v="34"/>
    <x v="6"/>
    <x v="34"/>
    <x v="2"/>
    <x v="3"/>
    <x v="3"/>
    <x v="6"/>
    <x v="3"/>
    <x v="6"/>
  </r>
  <r>
    <x v="34"/>
    <x v="7"/>
    <x v="34"/>
    <x v="2"/>
    <x v="3"/>
    <x v="3"/>
    <x v="6"/>
    <x v="3"/>
    <x v="7"/>
  </r>
  <r>
    <x v="34"/>
    <x v="8"/>
    <x v="34"/>
    <x v="2"/>
    <x v="3"/>
    <x v="3"/>
    <x v="6"/>
    <x v="3"/>
    <x v="8"/>
  </r>
  <r>
    <x v="34"/>
    <x v="9"/>
    <x v="34"/>
    <x v="2"/>
    <x v="3"/>
    <x v="3"/>
    <x v="6"/>
    <x v="3"/>
    <x v="9"/>
  </r>
  <r>
    <x v="35"/>
    <x v="2"/>
    <x v="35"/>
    <x v="2"/>
    <x v="3"/>
    <x v="3"/>
    <x v="7"/>
    <x v="3"/>
    <x v="2"/>
  </r>
  <r>
    <x v="35"/>
    <x v="3"/>
    <x v="35"/>
    <x v="2"/>
    <x v="3"/>
    <x v="3"/>
    <x v="5"/>
    <x v="3"/>
    <x v="3"/>
  </r>
  <r>
    <x v="35"/>
    <x v="4"/>
    <x v="35"/>
    <x v="2"/>
    <x v="3"/>
    <x v="3"/>
    <x v="8"/>
    <x v="3"/>
    <x v="4"/>
  </r>
  <r>
    <x v="35"/>
    <x v="5"/>
    <x v="35"/>
    <x v="2"/>
    <x v="3"/>
    <x v="3"/>
    <x v="6"/>
    <x v="3"/>
    <x v="5"/>
  </r>
  <r>
    <x v="35"/>
    <x v="6"/>
    <x v="35"/>
    <x v="2"/>
    <x v="3"/>
    <x v="3"/>
    <x v="6"/>
    <x v="3"/>
    <x v="6"/>
  </r>
  <r>
    <x v="35"/>
    <x v="7"/>
    <x v="35"/>
    <x v="2"/>
    <x v="3"/>
    <x v="3"/>
    <x v="6"/>
    <x v="3"/>
    <x v="7"/>
  </r>
  <r>
    <x v="35"/>
    <x v="8"/>
    <x v="35"/>
    <x v="2"/>
    <x v="3"/>
    <x v="3"/>
    <x v="6"/>
    <x v="3"/>
    <x v="8"/>
  </r>
  <r>
    <x v="35"/>
    <x v="9"/>
    <x v="35"/>
    <x v="2"/>
    <x v="3"/>
    <x v="3"/>
    <x v="6"/>
    <x v="3"/>
    <x v="9"/>
  </r>
  <r>
    <x v="36"/>
    <x v="2"/>
    <x v="36"/>
    <x v="2"/>
    <x v="3"/>
    <x v="3"/>
    <x v="7"/>
    <x v="3"/>
    <x v="2"/>
  </r>
  <r>
    <x v="36"/>
    <x v="3"/>
    <x v="36"/>
    <x v="2"/>
    <x v="3"/>
    <x v="3"/>
    <x v="5"/>
    <x v="3"/>
    <x v="3"/>
  </r>
  <r>
    <x v="36"/>
    <x v="4"/>
    <x v="36"/>
    <x v="2"/>
    <x v="3"/>
    <x v="3"/>
    <x v="8"/>
    <x v="3"/>
    <x v="4"/>
  </r>
  <r>
    <x v="36"/>
    <x v="5"/>
    <x v="36"/>
    <x v="2"/>
    <x v="3"/>
    <x v="3"/>
    <x v="6"/>
    <x v="3"/>
    <x v="5"/>
  </r>
  <r>
    <x v="36"/>
    <x v="6"/>
    <x v="36"/>
    <x v="2"/>
    <x v="3"/>
    <x v="3"/>
    <x v="6"/>
    <x v="3"/>
    <x v="6"/>
  </r>
  <r>
    <x v="36"/>
    <x v="7"/>
    <x v="36"/>
    <x v="2"/>
    <x v="3"/>
    <x v="3"/>
    <x v="6"/>
    <x v="3"/>
    <x v="7"/>
  </r>
  <r>
    <x v="36"/>
    <x v="8"/>
    <x v="36"/>
    <x v="2"/>
    <x v="3"/>
    <x v="3"/>
    <x v="6"/>
    <x v="3"/>
    <x v="8"/>
  </r>
  <r>
    <x v="36"/>
    <x v="9"/>
    <x v="36"/>
    <x v="2"/>
    <x v="3"/>
    <x v="3"/>
    <x v="6"/>
    <x v="3"/>
    <x v="9"/>
  </r>
  <r>
    <x v="37"/>
    <x v="2"/>
    <x v="37"/>
    <x v="2"/>
    <x v="3"/>
    <x v="3"/>
    <x v="5"/>
    <x v="3"/>
    <x v="2"/>
  </r>
  <r>
    <x v="37"/>
    <x v="3"/>
    <x v="37"/>
    <x v="2"/>
    <x v="3"/>
    <x v="3"/>
    <x v="5"/>
    <x v="3"/>
    <x v="3"/>
  </r>
  <r>
    <x v="37"/>
    <x v="4"/>
    <x v="37"/>
    <x v="2"/>
    <x v="3"/>
    <x v="3"/>
    <x v="6"/>
    <x v="3"/>
    <x v="4"/>
  </r>
  <r>
    <x v="37"/>
    <x v="5"/>
    <x v="37"/>
    <x v="2"/>
    <x v="3"/>
    <x v="3"/>
    <x v="6"/>
    <x v="3"/>
    <x v="5"/>
  </r>
  <r>
    <x v="37"/>
    <x v="6"/>
    <x v="37"/>
    <x v="2"/>
    <x v="3"/>
    <x v="3"/>
    <x v="6"/>
    <x v="3"/>
    <x v="6"/>
  </r>
  <r>
    <x v="37"/>
    <x v="7"/>
    <x v="37"/>
    <x v="2"/>
    <x v="3"/>
    <x v="3"/>
    <x v="6"/>
    <x v="3"/>
    <x v="7"/>
  </r>
  <r>
    <x v="37"/>
    <x v="8"/>
    <x v="37"/>
    <x v="2"/>
    <x v="3"/>
    <x v="3"/>
    <x v="6"/>
    <x v="3"/>
    <x v="8"/>
  </r>
  <r>
    <x v="37"/>
    <x v="9"/>
    <x v="37"/>
    <x v="2"/>
    <x v="3"/>
    <x v="3"/>
    <x v="6"/>
    <x v="3"/>
    <x v="9"/>
  </r>
  <r>
    <x v="38"/>
    <x v="2"/>
    <x v="38"/>
    <x v="2"/>
    <x v="3"/>
    <x v="3"/>
    <x v="5"/>
    <x v="3"/>
    <x v="2"/>
  </r>
  <r>
    <x v="38"/>
    <x v="3"/>
    <x v="38"/>
    <x v="2"/>
    <x v="3"/>
    <x v="3"/>
    <x v="5"/>
    <x v="3"/>
    <x v="3"/>
  </r>
  <r>
    <x v="38"/>
    <x v="4"/>
    <x v="38"/>
    <x v="2"/>
    <x v="3"/>
    <x v="3"/>
    <x v="6"/>
    <x v="3"/>
    <x v="4"/>
  </r>
  <r>
    <x v="38"/>
    <x v="5"/>
    <x v="38"/>
    <x v="2"/>
    <x v="3"/>
    <x v="3"/>
    <x v="6"/>
    <x v="3"/>
    <x v="5"/>
  </r>
  <r>
    <x v="38"/>
    <x v="6"/>
    <x v="38"/>
    <x v="2"/>
    <x v="3"/>
    <x v="3"/>
    <x v="6"/>
    <x v="3"/>
    <x v="6"/>
  </r>
  <r>
    <x v="38"/>
    <x v="7"/>
    <x v="38"/>
    <x v="2"/>
    <x v="3"/>
    <x v="3"/>
    <x v="6"/>
    <x v="3"/>
    <x v="7"/>
  </r>
  <r>
    <x v="38"/>
    <x v="8"/>
    <x v="38"/>
    <x v="2"/>
    <x v="3"/>
    <x v="3"/>
    <x v="6"/>
    <x v="3"/>
    <x v="8"/>
  </r>
  <r>
    <x v="38"/>
    <x v="9"/>
    <x v="38"/>
    <x v="2"/>
    <x v="3"/>
    <x v="3"/>
    <x v="6"/>
    <x v="3"/>
    <x v="9"/>
  </r>
  <r>
    <x v="39"/>
    <x v="2"/>
    <x v="39"/>
    <x v="2"/>
    <x v="3"/>
    <x v="3"/>
    <x v="5"/>
    <x v="3"/>
    <x v="2"/>
  </r>
  <r>
    <x v="39"/>
    <x v="3"/>
    <x v="39"/>
    <x v="2"/>
    <x v="3"/>
    <x v="3"/>
    <x v="5"/>
    <x v="3"/>
    <x v="3"/>
  </r>
  <r>
    <x v="39"/>
    <x v="4"/>
    <x v="39"/>
    <x v="2"/>
    <x v="3"/>
    <x v="3"/>
    <x v="6"/>
    <x v="3"/>
    <x v="4"/>
  </r>
  <r>
    <x v="39"/>
    <x v="5"/>
    <x v="39"/>
    <x v="2"/>
    <x v="3"/>
    <x v="3"/>
    <x v="6"/>
    <x v="3"/>
    <x v="5"/>
  </r>
  <r>
    <x v="39"/>
    <x v="6"/>
    <x v="39"/>
    <x v="2"/>
    <x v="3"/>
    <x v="3"/>
    <x v="6"/>
    <x v="3"/>
    <x v="6"/>
  </r>
  <r>
    <x v="39"/>
    <x v="7"/>
    <x v="39"/>
    <x v="2"/>
    <x v="3"/>
    <x v="3"/>
    <x v="6"/>
    <x v="3"/>
    <x v="7"/>
  </r>
  <r>
    <x v="39"/>
    <x v="8"/>
    <x v="39"/>
    <x v="2"/>
    <x v="3"/>
    <x v="3"/>
    <x v="6"/>
    <x v="3"/>
    <x v="8"/>
  </r>
  <r>
    <x v="39"/>
    <x v="9"/>
    <x v="39"/>
    <x v="2"/>
    <x v="3"/>
    <x v="3"/>
    <x v="6"/>
    <x v="3"/>
    <x v="9"/>
  </r>
  <r>
    <x v="40"/>
    <x v="2"/>
    <x v="40"/>
    <x v="2"/>
    <x v="3"/>
    <x v="3"/>
    <x v="5"/>
    <x v="3"/>
    <x v="2"/>
  </r>
  <r>
    <x v="40"/>
    <x v="3"/>
    <x v="40"/>
    <x v="2"/>
    <x v="3"/>
    <x v="3"/>
    <x v="5"/>
    <x v="3"/>
    <x v="3"/>
  </r>
  <r>
    <x v="40"/>
    <x v="4"/>
    <x v="40"/>
    <x v="2"/>
    <x v="3"/>
    <x v="3"/>
    <x v="6"/>
    <x v="3"/>
    <x v="4"/>
  </r>
  <r>
    <x v="40"/>
    <x v="5"/>
    <x v="40"/>
    <x v="2"/>
    <x v="3"/>
    <x v="3"/>
    <x v="6"/>
    <x v="3"/>
    <x v="5"/>
  </r>
  <r>
    <x v="40"/>
    <x v="6"/>
    <x v="40"/>
    <x v="2"/>
    <x v="3"/>
    <x v="3"/>
    <x v="6"/>
    <x v="3"/>
    <x v="6"/>
  </r>
  <r>
    <x v="40"/>
    <x v="7"/>
    <x v="40"/>
    <x v="2"/>
    <x v="3"/>
    <x v="3"/>
    <x v="6"/>
    <x v="3"/>
    <x v="7"/>
  </r>
  <r>
    <x v="40"/>
    <x v="8"/>
    <x v="40"/>
    <x v="2"/>
    <x v="3"/>
    <x v="3"/>
    <x v="6"/>
    <x v="3"/>
    <x v="8"/>
  </r>
  <r>
    <x v="40"/>
    <x v="9"/>
    <x v="40"/>
    <x v="2"/>
    <x v="3"/>
    <x v="3"/>
    <x v="6"/>
    <x v="3"/>
    <x v="9"/>
  </r>
  <r>
    <x v="41"/>
    <x v="2"/>
    <x v="41"/>
    <x v="2"/>
    <x v="3"/>
    <x v="3"/>
    <x v="5"/>
    <x v="3"/>
    <x v="2"/>
  </r>
  <r>
    <x v="41"/>
    <x v="3"/>
    <x v="41"/>
    <x v="2"/>
    <x v="3"/>
    <x v="3"/>
    <x v="5"/>
    <x v="3"/>
    <x v="3"/>
  </r>
  <r>
    <x v="41"/>
    <x v="4"/>
    <x v="41"/>
    <x v="2"/>
    <x v="3"/>
    <x v="3"/>
    <x v="6"/>
    <x v="3"/>
    <x v="4"/>
  </r>
  <r>
    <x v="41"/>
    <x v="5"/>
    <x v="41"/>
    <x v="2"/>
    <x v="3"/>
    <x v="3"/>
    <x v="6"/>
    <x v="3"/>
    <x v="5"/>
  </r>
  <r>
    <x v="41"/>
    <x v="6"/>
    <x v="41"/>
    <x v="2"/>
    <x v="3"/>
    <x v="3"/>
    <x v="6"/>
    <x v="3"/>
    <x v="6"/>
  </r>
  <r>
    <x v="41"/>
    <x v="7"/>
    <x v="41"/>
    <x v="2"/>
    <x v="3"/>
    <x v="3"/>
    <x v="6"/>
    <x v="3"/>
    <x v="7"/>
  </r>
  <r>
    <x v="41"/>
    <x v="8"/>
    <x v="41"/>
    <x v="2"/>
    <x v="3"/>
    <x v="3"/>
    <x v="6"/>
    <x v="3"/>
    <x v="8"/>
  </r>
  <r>
    <x v="41"/>
    <x v="9"/>
    <x v="41"/>
    <x v="2"/>
    <x v="3"/>
    <x v="3"/>
    <x v="6"/>
    <x v="3"/>
    <x v="9"/>
  </r>
  <r>
    <x v="42"/>
    <x v="2"/>
    <x v="42"/>
    <x v="2"/>
    <x v="3"/>
    <x v="3"/>
    <x v="6"/>
    <x v="3"/>
    <x v="2"/>
  </r>
  <r>
    <x v="42"/>
    <x v="3"/>
    <x v="42"/>
    <x v="2"/>
    <x v="3"/>
    <x v="3"/>
    <x v="6"/>
    <x v="3"/>
    <x v="3"/>
  </r>
  <r>
    <x v="42"/>
    <x v="4"/>
    <x v="42"/>
    <x v="2"/>
    <x v="3"/>
    <x v="3"/>
    <x v="6"/>
    <x v="3"/>
    <x v="4"/>
  </r>
  <r>
    <x v="42"/>
    <x v="5"/>
    <x v="42"/>
    <x v="2"/>
    <x v="3"/>
    <x v="3"/>
    <x v="6"/>
    <x v="3"/>
    <x v="5"/>
  </r>
  <r>
    <x v="42"/>
    <x v="6"/>
    <x v="42"/>
    <x v="2"/>
    <x v="3"/>
    <x v="3"/>
    <x v="6"/>
    <x v="3"/>
    <x v="6"/>
  </r>
  <r>
    <x v="42"/>
    <x v="7"/>
    <x v="42"/>
    <x v="2"/>
    <x v="3"/>
    <x v="3"/>
    <x v="6"/>
    <x v="3"/>
    <x v="7"/>
  </r>
  <r>
    <x v="42"/>
    <x v="8"/>
    <x v="42"/>
    <x v="2"/>
    <x v="3"/>
    <x v="3"/>
    <x v="6"/>
    <x v="3"/>
    <x v="8"/>
  </r>
  <r>
    <x v="42"/>
    <x v="9"/>
    <x v="42"/>
    <x v="2"/>
    <x v="3"/>
    <x v="3"/>
    <x v="6"/>
    <x v="3"/>
    <x v="9"/>
  </r>
  <r>
    <x v="43"/>
    <x v="2"/>
    <x v="43"/>
    <x v="2"/>
    <x v="3"/>
    <x v="3"/>
    <x v="6"/>
    <x v="3"/>
    <x v="2"/>
  </r>
  <r>
    <x v="43"/>
    <x v="3"/>
    <x v="43"/>
    <x v="2"/>
    <x v="3"/>
    <x v="3"/>
    <x v="6"/>
    <x v="3"/>
    <x v="3"/>
  </r>
  <r>
    <x v="43"/>
    <x v="4"/>
    <x v="43"/>
    <x v="2"/>
    <x v="3"/>
    <x v="3"/>
    <x v="6"/>
    <x v="3"/>
    <x v="4"/>
  </r>
  <r>
    <x v="43"/>
    <x v="5"/>
    <x v="43"/>
    <x v="2"/>
    <x v="3"/>
    <x v="3"/>
    <x v="6"/>
    <x v="3"/>
    <x v="5"/>
  </r>
  <r>
    <x v="43"/>
    <x v="6"/>
    <x v="43"/>
    <x v="2"/>
    <x v="3"/>
    <x v="3"/>
    <x v="6"/>
    <x v="3"/>
    <x v="6"/>
  </r>
  <r>
    <x v="43"/>
    <x v="7"/>
    <x v="43"/>
    <x v="2"/>
    <x v="3"/>
    <x v="3"/>
    <x v="6"/>
    <x v="3"/>
    <x v="7"/>
  </r>
  <r>
    <x v="43"/>
    <x v="8"/>
    <x v="43"/>
    <x v="2"/>
    <x v="3"/>
    <x v="3"/>
    <x v="6"/>
    <x v="3"/>
    <x v="8"/>
  </r>
  <r>
    <x v="43"/>
    <x v="9"/>
    <x v="43"/>
    <x v="2"/>
    <x v="3"/>
    <x v="3"/>
    <x v="6"/>
    <x v="3"/>
    <x v="9"/>
  </r>
  <r>
    <x v="44"/>
    <x v="2"/>
    <x v="44"/>
    <x v="2"/>
    <x v="3"/>
    <x v="3"/>
    <x v="6"/>
    <x v="3"/>
    <x v="2"/>
  </r>
  <r>
    <x v="44"/>
    <x v="3"/>
    <x v="44"/>
    <x v="2"/>
    <x v="3"/>
    <x v="3"/>
    <x v="6"/>
    <x v="3"/>
    <x v="3"/>
  </r>
  <r>
    <x v="44"/>
    <x v="4"/>
    <x v="44"/>
    <x v="2"/>
    <x v="3"/>
    <x v="3"/>
    <x v="6"/>
    <x v="3"/>
    <x v="4"/>
  </r>
  <r>
    <x v="44"/>
    <x v="5"/>
    <x v="44"/>
    <x v="2"/>
    <x v="3"/>
    <x v="3"/>
    <x v="6"/>
    <x v="3"/>
    <x v="5"/>
  </r>
  <r>
    <x v="44"/>
    <x v="6"/>
    <x v="44"/>
    <x v="2"/>
    <x v="3"/>
    <x v="3"/>
    <x v="6"/>
    <x v="3"/>
    <x v="6"/>
  </r>
  <r>
    <x v="44"/>
    <x v="7"/>
    <x v="44"/>
    <x v="2"/>
    <x v="3"/>
    <x v="3"/>
    <x v="6"/>
    <x v="3"/>
    <x v="7"/>
  </r>
  <r>
    <x v="44"/>
    <x v="8"/>
    <x v="44"/>
    <x v="2"/>
    <x v="3"/>
    <x v="3"/>
    <x v="6"/>
    <x v="3"/>
    <x v="8"/>
  </r>
  <r>
    <x v="44"/>
    <x v="9"/>
    <x v="44"/>
    <x v="2"/>
    <x v="3"/>
    <x v="3"/>
    <x v="6"/>
    <x v="3"/>
    <x v="9"/>
  </r>
  <r>
    <x v="45"/>
    <x v="2"/>
    <x v="14"/>
    <x v="3"/>
    <x v="2"/>
    <x v="2"/>
    <x v="6"/>
    <x v="3"/>
    <x v="2"/>
  </r>
  <r>
    <x v="45"/>
    <x v="3"/>
    <x v="14"/>
    <x v="3"/>
    <x v="2"/>
    <x v="2"/>
    <x v="6"/>
    <x v="3"/>
    <x v="3"/>
  </r>
  <r>
    <x v="45"/>
    <x v="4"/>
    <x v="14"/>
    <x v="3"/>
    <x v="2"/>
    <x v="2"/>
    <x v="6"/>
    <x v="3"/>
    <x v="4"/>
  </r>
  <r>
    <x v="45"/>
    <x v="5"/>
    <x v="14"/>
    <x v="3"/>
    <x v="2"/>
    <x v="2"/>
    <x v="6"/>
    <x v="3"/>
    <x v="5"/>
  </r>
  <r>
    <x v="45"/>
    <x v="6"/>
    <x v="14"/>
    <x v="3"/>
    <x v="2"/>
    <x v="2"/>
    <x v="6"/>
    <x v="3"/>
    <x v="6"/>
  </r>
  <r>
    <x v="45"/>
    <x v="7"/>
    <x v="14"/>
    <x v="3"/>
    <x v="2"/>
    <x v="2"/>
    <x v="6"/>
    <x v="3"/>
    <x v="7"/>
  </r>
  <r>
    <x v="45"/>
    <x v="8"/>
    <x v="14"/>
    <x v="3"/>
    <x v="2"/>
    <x v="2"/>
    <x v="6"/>
    <x v="3"/>
    <x v="8"/>
  </r>
  <r>
    <x v="45"/>
    <x v="9"/>
    <x v="14"/>
    <x v="3"/>
    <x v="2"/>
    <x v="2"/>
    <x v="6"/>
    <x v="3"/>
    <x v="9"/>
  </r>
  <r>
    <x v="46"/>
    <x v="2"/>
    <x v="15"/>
    <x v="3"/>
    <x v="2"/>
    <x v="2"/>
    <x v="6"/>
    <x v="3"/>
    <x v="2"/>
  </r>
  <r>
    <x v="46"/>
    <x v="3"/>
    <x v="15"/>
    <x v="3"/>
    <x v="2"/>
    <x v="2"/>
    <x v="6"/>
    <x v="3"/>
    <x v="3"/>
  </r>
  <r>
    <x v="46"/>
    <x v="4"/>
    <x v="15"/>
    <x v="3"/>
    <x v="2"/>
    <x v="2"/>
    <x v="6"/>
    <x v="3"/>
    <x v="4"/>
  </r>
  <r>
    <x v="46"/>
    <x v="5"/>
    <x v="15"/>
    <x v="3"/>
    <x v="2"/>
    <x v="2"/>
    <x v="6"/>
    <x v="3"/>
    <x v="5"/>
  </r>
  <r>
    <x v="46"/>
    <x v="6"/>
    <x v="15"/>
    <x v="3"/>
    <x v="2"/>
    <x v="2"/>
    <x v="6"/>
    <x v="3"/>
    <x v="6"/>
  </r>
  <r>
    <x v="46"/>
    <x v="7"/>
    <x v="15"/>
    <x v="3"/>
    <x v="2"/>
    <x v="2"/>
    <x v="6"/>
    <x v="3"/>
    <x v="7"/>
  </r>
  <r>
    <x v="46"/>
    <x v="8"/>
    <x v="15"/>
    <x v="3"/>
    <x v="2"/>
    <x v="2"/>
    <x v="6"/>
    <x v="3"/>
    <x v="8"/>
  </r>
  <r>
    <x v="46"/>
    <x v="9"/>
    <x v="15"/>
    <x v="3"/>
    <x v="2"/>
    <x v="2"/>
    <x v="6"/>
    <x v="3"/>
    <x v="9"/>
  </r>
  <r>
    <x v="47"/>
    <x v="2"/>
    <x v="44"/>
    <x v="3"/>
    <x v="2"/>
    <x v="2"/>
    <x v="6"/>
    <x v="3"/>
    <x v="2"/>
  </r>
  <r>
    <x v="47"/>
    <x v="3"/>
    <x v="44"/>
    <x v="3"/>
    <x v="2"/>
    <x v="2"/>
    <x v="6"/>
    <x v="3"/>
    <x v="3"/>
  </r>
  <r>
    <x v="47"/>
    <x v="4"/>
    <x v="44"/>
    <x v="3"/>
    <x v="2"/>
    <x v="2"/>
    <x v="6"/>
    <x v="3"/>
    <x v="4"/>
  </r>
  <r>
    <x v="47"/>
    <x v="5"/>
    <x v="44"/>
    <x v="3"/>
    <x v="2"/>
    <x v="2"/>
    <x v="6"/>
    <x v="3"/>
    <x v="5"/>
  </r>
  <r>
    <x v="47"/>
    <x v="6"/>
    <x v="44"/>
    <x v="3"/>
    <x v="2"/>
    <x v="2"/>
    <x v="6"/>
    <x v="3"/>
    <x v="6"/>
  </r>
  <r>
    <x v="47"/>
    <x v="7"/>
    <x v="44"/>
    <x v="3"/>
    <x v="2"/>
    <x v="2"/>
    <x v="6"/>
    <x v="3"/>
    <x v="7"/>
  </r>
  <r>
    <x v="47"/>
    <x v="8"/>
    <x v="44"/>
    <x v="3"/>
    <x v="2"/>
    <x v="2"/>
    <x v="6"/>
    <x v="3"/>
    <x v="8"/>
  </r>
  <r>
    <x v="47"/>
    <x v="9"/>
    <x v="44"/>
    <x v="3"/>
    <x v="2"/>
    <x v="2"/>
    <x v="6"/>
    <x v="3"/>
    <x v="9"/>
  </r>
  <r>
    <x v="48"/>
    <x v="2"/>
    <x v="7"/>
    <x v="3"/>
    <x v="2"/>
    <x v="2"/>
    <x v="2"/>
    <x v="3"/>
    <x v="2"/>
  </r>
  <r>
    <x v="48"/>
    <x v="3"/>
    <x v="7"/>
    <x v="3"/>
    <x v="2"/>
    <x v="2"/>
    <x v="3"/>
    <x v="5"/>
    <x v="3"/>
  </r>
  <r>
    <x v="48"/>
    <x v="4"/>
    <x v="7"/>
    <x v="3"/>
    <x v="2"/>
    <x v="2"/>
    <x v="4"/>
    <x v="5"/>
    <x v="4"/>
  </r>
  <r>
    <x v="48"/>
    <x v="5"/>
    <x v="7"/>
    <x v="3"/>
    <x v="2"/>
    <x v="2"/>
    <x v="5"/>
    <x v="5"/>
    <x v="5"/>
  </r>
  <r>
    <x v="48"/>
    <x v="6"/>
    <x v="7"/>
    <x v="3"/>
    <x v="2"/>
    <x v="2"/>
    <x v="8"/>
    <x v="5"/>
    <x v="6"/>
  </r>
  <r>
    <x v="48"/>
    <x v="7"/>
    <x v="7"/>
    <x v="3"/>
    <x v="2"/>
    <x v="2"/>
    <x v="6"/>
    <x v="5"/>
    <x v="7"/>
  </r>
  <r>
    <x v="48"/>
    <x v="8"/>
    <x v="7"/>
    <x v="3"/>
    <x v="2"/>
    <x v="2"/>
    <x v="6"/>
    <x v="5"/>
    <x v="8"/>
  </r>
  <r>
    <x v="48"/>
    <x v="9"/>
    <x v="7"/>
    <x v="3"/>
    <x v="2"/>
    <x v="2"/>
    <x v="6"/>
    <x v="5"/>
    <x v="9"/>
  </r>
  <r>
    <x v="49"/>
    <x v="2"/>
    <x v="8"/>
    <x v="3"/>
    <x v="2"/>
    <x v="2"/>
    <x v="2"/>
    <x v="5"/>
    <x v="2"/>
  </r>
  <r>
    <x v="49"/>
    <x v="3"/>
    <x v="8"/>
    <x v="3"/>
    <x v="2"/>
    <x v="2"/>
    <x v="3"/>
    <x v="5"/>
    <x v="3"/>
  </r>
  <r>
    <x v="49"/>
    <x v="4"/>
    <x v="8"/>
    <x v="3"/>
    <x v="2"/>
    <x v="2"/>
    <x v="4"/>
    <x v="5"/>
    <x v="4"/>
  </r>
  <r>
    <x v="49"/>
    <x v="5"/>
    <x v="8"/>
    <x v="3"/>
    <x v="2"/>
    <x v="2"/>
    <x v="5"/>
    <x v="5"/>
    <x v="5"/>
  </r>
  <r>
    <x v="49"/>
    <x v="6"/>
    <x v="8"/>
    <x v="3"/>
    <x v="2"/>
    <x v="2"/>
    <x v="8"/>
    <x v="5"/>
    <x v="6"/>
  </r>
  <r>
    <x v="49"/>
    <x v="7"/>
    <x v="8"/>
    <x v="3"/>
    <x v="2"/>
    <x v="2"/>
    <x v="6"/>
    <x v="5"/>
    <x v="7"/>
  </r>
  <r>
    <x v="49"/>
    <x v="8"/>
    <x v="8"/>
    <x v="3"/>
    <x v="2"/>
    <x v="2"/>
    <x v="6"/>
    <x v="5"/>
    <x v="8"/>
  </r>
  <r>
    <x v="49"/>
    <x v="9"/>
    <x v="8"/>
    <x v="3"/>
    <x v="2"/>
    <x v="2"/>
    <x v="6"/>
    <x v="5"/>
    <x v="9"/>
  </r>
  <r>
    <x v="50"/>
    <x v="2"/>
    <x v="9"/>
    <x v="3"/>
    <x v="2"/>
    <x v="2"/>
    <x v="3"/>
    <x v="5"/>
    <x v="2"/>
  </r>
  <r>
    <x v="50"/>
    <x v="3"/>
    <x v="9"/>
    <x v="3"/>
    <x v="2"/>
    <x v="2"/>
    <x v="4"/>
    <x v="5"/>
    <x v="3"/>
  </r>
  <r>
    <x v="50"/>
    <x v="4"/>
    <x v="9"/>
    <x v="3"/>
    <x v="2"/>
    <x v="2"/>
    <x v="5"/>
    <x v="5"/>
    <x v="4"/>
  </r>
  <r>
    <x v="50"/>
    <x v="5"/>
    <x v="9"/>
    <x v="3"/>
    <x v="2"/>
    <x v="2"/>
    <x v="6"/>
    <x v="5"/>
    <x v="5"/>
  </r>
  <r>
    <x v="50"/>
    <x v="6"/>
    <x v="9"/>
    <x v="3"/>
    <x v="2"/>
    <x v="2"/>
    <x v="6"/>
    <x v="5"/>
    <x v="6"/>
  </r>
  <r>
    <x v="50"/>
    <x v="7"/>
    <x v="9"/>
    <x v="3"/>
    <x v="2"/>
    <x v="2"/>
    <x v="6"/>
    <x v="5"/>
    <x v="7"/>
  </r>
  <r>
    <x v="50"/>
    <x v="8"/>
    <x v="9"/>
    <x v="3"/>
    <x v="2"/>
    <x v="2"/>
    <x v="6"/>
    <x v="5"/>
    <x v="8"/>
  </r>
  <r>
    <x v="50"/>
    <x v="9"/>
    <x v="9"/>
    <x v="3"/>
    <x v="2"/>
    <x v="2"/>
    <x v="6"/>
    <x v="5"/>
    <x v="9"/>
  </r>
  <r>
    <x v="51"/>
    <x v="2"/>
    <x v="10"/>
    <x v="3"/>
    <x v="2"/>
    <x v="2"/>
    <x v="3"/>
    <x v="5"/>
    <x v="2"/>
  </r>
  <r>
    <x v="51"/>
    <x v="3"/>
    <x v="10"/>
    <x v="3"/>
    <x v="2"/>
    <x v="2"/>
    <x v="4"/>
    <x v="5"/>
    <x v="3"/>
  </r>
  <r>
    <x v="51"/>
    <x v="4"/>
    <x v="10"/>
    <x v="3"/>
    <x v="2"/>
    <x v="2"/>
    <x v="5"/>
    <x v="5"/>
    <x v="4"/>
  </r>
  <r>
    <x v="51"/>
    <x v="5"/>
    <x v="10"/>
    <x v="3"/>
    <x v="2"/>
    <x v="2"/>
    <x v="6"/>
    <x v="5"/>
    <x v="5"/>
  </r>
  <r>
    <x v="51"/>
    <x v="6"/>
    <x v="10"/>
    <x v="3"/>
    <x v="2"/>
    <x v="2"/>
    <x v="6"/>
    <x v="5"/>
    <x v="6"/>
  </r>
  <r>
    <x v="51"/>
    <x v="7"/>
    <x v="10"/>
    <x v="3"/>
    <x v="2"/>
    <x v="2"/>
    <x v="6"/>
    <x v="5"/>
    <x v="7"/>
  </r>
  <r>
    <x v="51"/>
    <x v="8"/>
    <x v="10"/>
    <x v="3"/>
    <x v="2"/>
    <x v="2"/>
    <x v="6"/>
    <x v="5"/>
    <x v="8"/>
  </r>
  <r>
    <x v="51"/>
    <x v="9"/>
    <x v="10"/>
    <x v="3"/>
    <x v="2"/>
    <x v="2"/>
    <x v="6"/>
    <x v="5"/>
    <x v="9"/>
  </r>
  <r>
    <x v="52"/>
    <x v="2"/>
    <x v="11"/>
    <x v="3"/>
    <x v="2"/>
    <x v="2"/>
    <x v="3"/>
    <x v="5"/>
    <x v="2"/>
  </r>
  <r>
    <x v="52"/>
    <x v="3"/>
    <x v="11"/>
    <x v="3"/>
    <x v="2"/>
    <x v="2"/>
    <x v="4"/>
    <x v="5"/>
    <x v="3"/>
  </r>
  <r>
    <x v="52"/>
    <x v="4"/>
    <x v="11"/>
    <x v="3"/>
    <x v="2"/>
    <x v="2"/>
    <x v="5"/>
    <x v="5"/>
    <x v="4"/>
  </r>
  <r>
    <x v="52"/>
    <x v="5"/>
    <x v="11"/>
    <x v="3"/>
    <x v="2"/>
    <x v="2"/>
    <x v="6"/>
    <x v="5"/>
    <x v="5"/>
  </r>
  <r>
    <x v="52"/>
    <x v="6"/>
    <x v="11"/>
    <x v="3"/>
    <x v="2"/>
    <x v="2"/>
    <x v="6"/>
    <x v="5"/>
    <x v="6"/>
  </r>
  <r>
    <x v="52"/>
    <x v="7"/>
    <x v="11"/>
    <x v="3"/>
    <x v="2"/>
    <x v="2"/>
    <x v="6"/>
    <x v="5"/>
    <x v="7"/>
  </r>
  <r>
    <x v="52"/>
    <x v="8"/>
    <x v="11"/>
    <x v="3"/>
    <x v="2"/>
    <x v="2"/>
    <x v="6"/>
    <x v="5"/>
    <x v="8"/>
  </r>
  <r>
    <x v="52"/>
    <x v="9"/>
    <x v="11"/>
    <x v="3"/>
    <x v="2"/>
    <x v="2"/>
    <x v="6"/>
    <x v="5"/>
    <x v="9"/>
  </r>
  <r>
    <x v="53"/>
    <x v="2"/>
    <x v="12"/>
    <x v="3"/>
    <x v="2"/>
    <x v="2"/>
    <x v="3"/>
    <x v="5"/>
    <x v="2"/>
  </r>
  <r>
    <x v="53"/>
    <x v="3"/>
    <x v="12"/>
    <x v="3"/>
    <x v="2"/>
    <x v="2"/>
    <x v="4"/>
    <x v="5"/>
    <x v="3"/>
  </r>
  <r>
    <x v="53"/>
    <x v="4"/>
    <x v="12"/>
    <x v="3"/>
    <x v="2"/>
    <x v="2"/>
    <x v="5"/>
    <x v="5"/>
    <x v="4"/>
  </r>
  <r>
    <x v="53"/>
    <x v="5"/>
    <x v="12"/>
    <x v="3"/>
    <x v="2"/>
    <x v="2"/>
    <x v="6"/>
    <x v="5"/>
    <x v="5"/>
  </r>
  <r>
    <x v="53"/>
    <x v="6"/>
    <x v="12"/>
    <x v="3"/>
    <x v="2"/>
    <x v="2"/>
    <x v="6"/>
    <x v="5"/>
    <x v="6"/>
  </r>
  <r>
    <x v="53"/>
    <x v="7"/>
    <x v="12"/>
    <x v="3"/>
    <x v="2"/>
    <x v="2"/>
    <x v="6"/>
    <x v="5"/>
    <x v="7"/>
  </r>
  <r>
    <x v="53"/>
    <x v="8"/>
    <x v="12"/>
    <x v="3"/>
    <x v="2"/>
    <x v="2"/>
    <x v="6"/>
    <x v="5"/>
    <x v="8"/>
  </r>
  <r>
    <x v="53"/>
    <x v="9"/>
    <x v="12"/>
    <x v="3"/>
    <x v="2"/>
    <x v="2"/>
    <x v="6"/>
    <x v="5"/>
    <x v="9"/>
  </r>
  <r>
    <x v="54"/>
    <x v="2"/>
    <x v="13"/>
    <x v="3"/>
    <x v="2"/>
    <x v="2"/>
    <x v="3"/>
    <x v="5"/>
    <x v="2"/>
  </r>
  <r>
    <x v="54"/>
    <x v="3"/>
    <x v="13"/>
    <x v="3"/>
    <x v="2"/>
    <x v="2"/>
    <x v="4"/>
    <x v="5"/>
    <x v="3"/>
  </r>
  <r>
    <x v="54"/>
    <x v="4"/>
    <x v="13"/>
    <x v="3"/>
    <x v="2"/>
    <x v="2"/>
    <x v="5"/>
    <x v="5"/>
    <x v="4"/>
  </r>
  <r>
    <x v="54"/>
    <x v="5"/>
    <x v="13"/>
    <x v="3"/>
    <x v="2"/>
    <x v="2"/>
    <x v="6"/>
    <x v="5"/>
    <x v="5"/>
  </r>
  <r>
    <x v="54"/>
    <x v="6"/>
    <x v="13"/>
    <x v="3"/>
    <x v="2"/>
    <x v="2"/>
    <x v="6"/>
    <x v="5"/>
    <x v="6"/>
  </r>
  <r>
    <x v="54"/>
    <x v="7"/>
    <x v="13"/>
    <x v="3"/>
    <x v="2"/>
    <x v="2"/>
    <x v="6"/>
    <x v="5"/>
    <x v="7"/>
  </r>
  <r>
    <x v="54"/>
    <x v="8"/>
    <x v="13"/>
    <x v="3"/>
    <x v="2"/>
    <x v="2"/>
    <x v="6"/>
    <x v="5"/>
    <x v="8"/>
  </r>
  <r>
    <x v="54"/>
    <x v="9"/>
    <x v="13"/>
    <x v="3"/>
    <x v="2"/>
    <x v="2"/>
    <x v="6"/>
    <x v="5"/>
    <x v="9"/>
  </r>
  <r>
    <x v="55"/>
    <x v="2"/>
    <x v="45"/>
    <x v="3"/>
    <x v="2"/>
    <x v="2"/>
    <x v="7"/>
    <x v="3"/>
    <x v="2"/>
  </r>
  <r>
    <x v="55"/>
    <x v="3"/>
    <x v="45"/>
    <x v="3"/>
    <x v="2"/>
    <x v="2"/>
    <x v="5"/>
    <x v="3"/>
    <x v="3"/>
  </r>
  <r>
    <x v="55"/>
    <x v="4"/>
    <x v="45"/>
    <x v="3"/>
    <x v="2"/>
    <x v="2"/>
    <x v="8"/>
    <x v="3"/>
    <x v="4"/>
  </r>
  <r>
    <x v="55"/>
    <x v="5"/>
    <x v="45"/>
    <x v="3"/>
    <x v="2"/>
    <x v="2"/>
    <x v="6"/>
    <x v="3"/>
    <x v="5"/>
  </r>
  <r>
    <x v="55"/>
    <x v="6"/>
    <x v="45"/>
    <x v="3"/>
    <x v="2"/>
    <x v="2"/>
    <x v="6"/>
    <x v="3"/>
    <x v="6"/>
  </r>
  <r>
    <x v="55"/>
    <x v="7"/>
    <x v="45"/>
    <x v="3"/>
    <x v="2"/>
    <x v="2"/>
    <x v="6"/>
    <x v="3"/>
    <x v="7"/>
  </r>
  <r>
    <x v="55"/>
    <x v="8"/>
    <x v="45"/>
    <x v="3"/>
    <x v="2"/>
    <x v="2"/>
    <x v="6"/>
    <x v="3"/>
    <x v="8"/>
  </r>
  <r>
    <x v="55"/>
    <x v="9"/>
    <x v="45"/>
    <x v="3"/>
    <x v="2"/>
    <x v="2"/>
    <x v="6"/>
    <x v="3"/>
    <x v="9"/>
  </r>
  <r>
    <x v="56"/>
    <x v="2"/>
    <x v="46"/>
    <x v="3"/>
    <x v="2"/>
    <x v="2"/>
    <x v="7"/>
    <x v="3"/>
    <x v="2"/>
  </r>
  <r>
    <x v="56"/>
    <x v="3"/>
    <x v="46"/>
    <x v="3"/>
    <x v="2"/>
    <x v="2"/>
    <x v="5"/>
    <x v="3"/>
    <x v="3"/>
  </r>
  <r>
    <x v="56"/>
    <x v="4"/>
    <x v="46"/>
    <x v="3"/>
    <x v="2"/>
    <x v="2"/>
    <x v="8"/>
    <x v="3"/>
    <x v="4"/>
  </r>
  <r>
    <x v="56"/>
    <x v="5"/>
    <x v="46"/>
    <x v="3"/>
    <x v="2"/>
    <x v="2"/>
    <x v="6"/>
    <x v="3"/>
    <x v="5"/>
  </r>
  <r>
    <x v="56"/>
    <x v="6"/>
    <x v="46"/>
    <x v="3"/>
    <x v="2"/>
    <x v="2"/>
    <x v="6"/>
    <x v="3"/>
    <x v="6"/>
  </r>
  <r>
    <x v="56"/>
    <x v="7"/>
    <x v="46"/>
    <x v="3"/>
    <x v="2"/>
    <x v="2"/>
    <x v="6"/>
    <x v="3"/>
    <x v="7"/>
  </r>
  <r>
    <x v="56"/>
    <x v="8"/>
    <x v="46"/>
    <x v="3"/>
    <x v="2"/>
    <x v="2"/>
    <x v="6"/>
    <x v="3"/>
    <x v="8"/>
  </r>
  <r>
    <x v="56"/>
    <x v="9"/>
    <x v="46"/>
    <x v="3"/>
    <x v="2"/>
    <x v="2"/>
    <x v="6"/>
    <x v="3"/>
    <x v="9"/>
  </r>
  <r>
    <x v="57"/>
    <x v="2"/>
    <x v="47"/>
    <x v="3"/>
    <x v="2"/>
    <x v="2"/>
    <x v="7"/>
    <x v="3"/>
    <x v="2"/>
  </r>
  <r>
    <x v="57"/>
    <x v="3"/>
    <x v="47"/>
    <x v="3"/>
    <x v="2"/>
    <x v="2"/>
    <x v="5"/>
    <x v="3"/>
    <x v="3"/>
  </r>
  <r>
    <x v="57"/>
    <x v="4"/>
    <x v="47"/>
    <x v="3"/>
    <x v="2"/>
    <x v="2"/>
    <x v="8"/>
    <x v="3"/>
    <x v="4"/>
  </r>
  <r>
    <x v="57"/>
    <x v="5"/>
    <x v="47"/>
    <x v="3"/>
    <x v="2"/>
    <x v="2"/>
    <x v="6"/>
    <x v="3"/>
    <x v="5"/>
  </r>
  <r>
    <x v="57"/>
    <x v="6"/>
    <x v="47"/>
    <x v="3"/>
    <x v="2"/>
    <x v="2"/>
    <x v="6"/>
    <x v="3"/>
    <x v="6"/>
  </r>
  <r>
    <x v="57"/>
    <x v="7"/>
    <x v="47"/>
    <x v="3"/>
    <x v="2"/>
    <x v="2"/>
    <x v="6"/>
    <x v="3"/>
    <x v="7"/>
  </r>
  <r>
    <x v="57"/>
    <x v="8"/>
    <x v="47"/>
    <x v="3"/>
    <x v="2"/>
    <x v="2"/>
    <x v="6"/>
    <x v="3"/>
    <x v="8"/>
  </r>
  <r>
    <x v="57"/>
    <x v="9"/>
    <x v="47"/>
    <x v="3"/>
    <x v="2"/>
    <x v="2"/>
    <x v="6"/>
    <x v="3"/>
    <x v="9"/>
  </r>
  <r>
    <x v="58"/>
    <x v="2"/>
    <x v="48"/>
    <x v="3"/>
    <x v="2"/>
    <x v="2"/>
    <x v="7"/>
    <x v="3"/>
    <x v="2"/>
  </r>
  <r>
    <x v="58"/>
    <x v="3"/>
    <x v="48"/>
    <x v="3"/>
    <x v="2"/>
    <x v="2"/>
    <x v="5"/>
    <x v="3"/>
    <x v="3"/>
  </r>
  <r>
    <x v="58"/>
    <x v="4"/>
    <x v="48"/>
    <x v="3"/>
    <x v="2"/>
    <x v="2"/>
    <x v="8"/>
    <x v="3"/>
    <x v="4"/>
  </r>
  <r>
    <x v="58"/>
    <x v="5"/>
    <x v="48"/>
    <x v="3"/>
    <x v="2"/>
    <x v="2"/>
    <x v="6"/>
    <x v="3"/>
    <x v="5"/>
  </r>
  <r>
    <x v="58"/>
    <x v="6"/>
    <x v="48"/>
    <x v="3"/>
    <x v="2"/>
    <x v="2"/>
    <x v="6"/>
    <x v="3"/>
    <x v="6"/>
  </r>
  <r>
    <x v="58"/>
    <x v="7"/>
    <x v="48"/>
    <x v="3"/>
    <x v="2"/>
    <x v="2"/>
    <x v="6"/>
    <x v="3"/>
    <x v="7"/>
  </r>
  <r>
    <x v="58"/>
    <x v="8"/>
    <x v="48"/>
    <x v="3"/>
    <x v="2"/>
    <x v="2"/>
    <x v="6"/>
    <x v="3"/>
    <x v="8"/>
  </r>
  <r>
    <x v="58"/>
    <x v="9"/>
    <x v="48"/>
    <x v="3"/>
    <x v="2"/>
    <x v="2"/>
    <x v="6"/>
    <x v="3"/>
    <x v="9"/>
  </r>
  <r>
    <x v="59"/>
    <x v="2"/>
    <x v="49"/>
    <x v="3"/>
    <x v="3"/>
    <x v="3"/>
    <x v="7"/>
    <x v="3"/>
    <x v="2"/>
  </r>
  <r>
    <x v="59"/>
    <x v="3"/>
    <x v="49"/>
    <x v="3"/>
    <x v="3"/>
    <x v="3"/>
    <x v="5"/>
    <x v="3"/>
    <x v="3"/>
  </r>
  <r>
    <x v="59"/>
    <x v="4"/>
    <x v="49"/>
    <x v="3"/>
    <x v="3"/>
    <x v="3"/>
    <x v="8"/>
    <x v="3"/>
    <x v="4"/>
  </r>
  <r>
    <x v="59"/>
    <x v="5"/>
    <x v="49"/>
    <x v="3"/>
    <x v="3"/>
    <x v="3"/>
    <x v="6"/>
    <x v="3"/>
    <x v="5"/>
  </r>
  <r>
    <x v="59"/>
    <x v="6"/>
    <x v="49"/>
    <x v="3"/>
    <x v="3"/>
    <x v="3"/>
    <x v="6"/>
    <x v="3"/>
    <x v="6"/>
  </r>
  <r>
    <x v="59"/>
    <x v="7"/>
    <x v="49"/>
    <x v="3"/>
    <x v="3"/>
    <x v="3"/>
    <x v="6"/>
    <x v="3"/>
    <x v="7"/>
  </r>
  <r>
    <x v="59"/>
    <x v="8"/>
    <x v="49"/>
    <x v="3"/>
    <x v="3"/>
    <x v="3"/>
    <x v="6"/>
    <x v="3"/>
    <x v="8"/>
  </r>
  <r>
    <x v="59"/>
    <x v="9"/>
    <x v="49"/>
    <x v="3"/>
    <x v="3"/>
    <x v="3"/>
    <x v="6"/>
    <x v="3"/>
    <x v="9"/>
  </r>
  <r>
    <x v="60"/>
    <x v="2"/>
    <x v="50"/>
    <x v="3"/>
    <x v="3"/>
    <x v="3"/>
    <x v="7"/>
    <x v="3"/>
    <x v="2"/>
  </r>
  <r>
    <x v="60"/>
    <x v="3"/>
    <x v="50"/>
    <x v="3"/>
    <x v="3"/>
    <x v="3"/>
    <x v="5"/>
    <x v="3"/>
    <x v="3"/>
  </r>
  <r>
    <x v="60"/>
    <x v="4"/>
    <x v="50"/>
    <x v="3"/>
    <x v="3"/>
    <x v="3"/>
    <x v="8"/>
    <x v="3"/>
    <x v="4"/>
  </r>
  <r>
    <x v="60"/>
    <x v="5"/>
    <x v="50"/>
    <x v="3"/>
    <x v="3"/>
    <x v="3"/>
    <x v="6"/>
    <x v="3"/>
    <x v="5"/>
  </r>
  <r>
    <x v="60"/>
    <x v="6"/>
    <x v="50"/>
    <x v="3"/>
    <x v="3"/>
    <x v="3"/>
    <x v="6"/>
    <x v="3"/>
    <x v="6"/>
  </r>
  <r>
    <x v="60"/>
    <x v="7"/>
    <x v="50"/>
    <x v="3"/>
    <x v="3"/>
    <x v="3"/>
    <x v="6"/>
    <x v="3"/>
    <x v="7"/>
  </r>
  <r>
    <x v="60"/>
    <x v="8"/>
    <x v="50"/>
    <x v="3"/>
    <x v="3"/>
    <x v="3"/>
    <x v="6"/>
    <x v="3"/>
    <x v="8"/>
  </r>
  <r>
    <x v="60"/>
    <x v="9"/>
    <x v="50"/>
    <x v="3"/>
    <x v="3"/>
    <x v="3"/>
    <x v="6"/>
    <x v="3"/>
    <x v="9"/>
  </r>
  <r>
    <x v="61"/>
    <x v="2"/>
    <x v="51"/>
    <x v="3"/>
    <x v="3"/>
    <x v="3"/>
    <x v="7"/>
    <x v="3"/>
    <x v="2"/>
  </r>
  <r>
    <x v="61"/>
    <x v="3"/>
    <x v="51"/>
    <x v="3"/>
    <x v="3"/>
    <x v="3"/>
    <x v="5"/>
    <x v="3"/>
    <x v="3"/>
  </r>
  <r>
    <x v="61"/>
    <x v="4"/>
    <x v="51"/>
    <x v="3"/>
    <x v="3"/>
    <x v="3"/>
    <x v="8"/>
    <x v="3"/>
    <x v="4"/>
  </r>
  <r>
    <x v="61"/>
    <x v="5"/>
    <x v="51"/>
    <x v="3"/>
    <x v="3"/>
    <x v="3"/>
    <x v="6"/>
    <x v="3"/>
    <x v="5"/>
  </r>
  <r>
    <x v="61"/>
    <x v="6"/>
    <x v="51"/>
    <x v="3"/>
    <x v="3"/>
    <x v="3"/>
    <x v="6"/>
    <x v="3"/>
    <x v="6"/>
  </r>
  <r>
    <x v="61"/>
    <x v="7"/>
    <x v="51"/>
    <x v="3"/>
    <x v="3"/>
    <x v="3"/>
    <x v="6"/>
    <x v="3"/>
    <x v="7"/>
  </r>
  <r>
    <x v="61"/>
    <x v="8"/>
    <x v="51"/>
    <x v="3"/>
    <x v="3"/>
    <x v="3"/>
    <x v="6"/>
    <x v="3"/>
    <x v="8"/>
  </r>
  <r>
    <x v="61"/>
    <x v="9"/>
    <x v="51"/>
    <x v="3"/>
    <x v="3"/>
    <x v="3"/>
    <x v="6"/>
    <x v="3"/>
    <x v="9"/>
  </r>
  <r>
    <x v="62"/>
    <x v="2"/>
    <x v="52"/>
    <x v="3"/>
    <x v="3"/>
    <x v="3"/>
    <x v="7"/>
    <x v="3"/>
    <x v="2"/>
  </r>
  <r>
    <x v="62"/>
    <x v="3"/>
    <x v="52"/>
    <x v="3"/>
    <x v="3"/>
    <x v="3"/>
    <x v="5"/>
    <x v="3"/>
    <x v="3"/>
  </r>
  <r>
    <x v="62"/>
    <x v="4"/>
    <x v="52"/>
    <x v="3"/>
    <x v="3"/>
    <x v="3"/>
    <x v="8"/>
    <x v="3"/>
    <x v="4"/>
  </r>
  <r>
    <x v="62"/>
    <x v="5"/>
    <x v="52"/>
    <x v="3"/>
    <x v="3"/>
    <x v="3"/>
    <x v="6"/>
    <x v="3"/>
    <x v="5"/>
  </r>
  <r>
    <x v="62"/>
    <x v="6"/>
    <x v="52"/>
    <x v="3"/>
    <x v="3"/>
    <x v="3"/>
    <x v="6"/>
    <x v="3"/>
    <x v="6"/>
  </r>
  <r>
    <x v="62"/>
    <x v="7"/>
    <x v="52"/>
    <x v="3"/>
    <x v="3"/>
    <x v="3"/>
    <x v="6"/>
    <x v="3"/>
    <x v="7"/>
  </r>
  <r>
    <x v="62"/>
    <x v="8"/>
    <x v="52"/>
    <x v="3"/>
    <x v="3"/>
    <x v="3"/>
    <x v="6"/>
    <x v="3"/>
    <x v="8"/>
  </r>
  <r>
    <x v="62"/>
    <x v="9"/>
    <x v="52"/>
    <x v="3"/>
    <x v="3"/>
    <x v="3"/>
    <x v="6"/>
    <x v="3"/>
    <x v="9"/>
  </r>
  <r>
    <x v="63"/>
    <x v="2"/>
    <x v="53"/>
    <x v="3"/>
    <x v="3"/>
    <x v="3"/>
    <x v="2"/>
    <x v="3"/>
    <x v="2"/>
  </r>
  <r>
    <x v="63"/>
    <x v="3"/>
    <x v="53"/>
    <x v="3"/>
    <x v="3"/>
    <x v="3"/>
    <x v="3"/>
    <x v="3"/>
    <x v="3"/>
  </r>
  <r>
    <x v="63"/>
    <x v="4"/>
    <x v="53"/>
    <x v="3"/>
    <x v="3"/>
    <x v="3"/>
    <x v="7"/>
    <x v="3"/>
    <x v="4"/>
  </r>
  <r>
    <x v="63"/>
    <x v="5"/>
    <x v="53"/>
    <x v="3"/>
    <x v="3"/>
    <x v="3"/>
    <x v="5"/>
    <x v="3"/>
    <x v="5"/>
  </r>
  <r>
    <x v="63"/>
    <x v="6"/>
    <x v="53"/>
    <x v="3"/>
    <x v="3"/>
    <x v="3"/>
    <x v="5"/>
    <x v="3"/>
    <x v="6"/>
  </r>
  <r>
    <x v="63"/>
    <x v="7"/>
    <x v="53"/>
    <x v="3"/>
    <x v="3"/>
    <x v="3"/>
    <x v="5"/>
    <x v="3"/>
    <x v="7"/>
  </r>
  <r>
    <x v="63"/>
    <x v="8"/>
    <x v="53"/>
    <x v="3"/>
    <x v="3"/>
    <x v="3"/>
    <x v="5"/>
    <x v="3"/>
    <x v="8"/>
  </r>
  <r>
    <x v="63"/>
    <x v="9"/>
    <x v="53"/>
    <x v="3"/>
    <x v="3"/>
    <x v="3"/>
    <x v="5"/>
    <x v="3"/>
    <x v="9"/>
  </r>
  <r>
    <x v="64"/>
    <x v="2"/>
    <x v="54"/>
    <x v="3"/>
    <x v="3"/>
    <x v="3"/>
    <x v="3"/>
    <x v="3"/>
    <x v="2"/>
  </r>
  <r>
    <x v="64"/>
    <x v="4"/>
    <x v="54"/>
    <x v="3"/>
    <x v="3"/>
    <x v="3"/>
    <x v="7"/>
    <x v="3"/>
    <x v="4"/>
  </r>
  <r>
    <x v="64"/>
    <x v="6"/>
    <x v="54"/>
    <x v="3"/>
    <x v="3"/>
    <x v="3"/>
    <x v="5"/>
    <x v="3"/>
    <x v="6"/>
  </r>
  <r>
    <x v="65"/>
    <x v="2"/>
    <x v="55"/>
    <x v="3"/>
    <x v="3"/>
    <x v="3"/>
    <x v="3"/>
    <x v="3"/>
    <x v="2"/>
  </r>
  <r>
    <x v="65"/>
    <x v="4"/>
    <x v="55"/>
    <x v="3"/>
    <x v="3"/>
    <x v="3"/>
    <x v="7"/>
    <x v="3"/>
    <x v="4"/>
  </r>
  <r>
    <x v="65"/>
    <x v="6"/>
    <x v="55"/>
    <x v="3"/>
    <x v="3"/>
    <x v="3"/>
    <x v="5"/>
    <x v="3"/>
    <x v="6"/>
  </r>
  <r>
    <x v="66"/>
    <x v="2"/>
    <x v="56"/>
    <x v="3"/>
    <x v="3"/>
    <x v="3"/>
    <x v="3"/>
    <x v="3"/>
    <x v="2"/>
  </r>
  <r>
    <x v="66"/>
    <x v="4"/>
    <x v="56"/>
    <x v="3"/>
    <x v="3"/>
    <x v="3"/>
    <x v="7"/>
    <x v="3"/>
    <x v="4"/>
  </r>
  <r>
    <x v="66"/>
    <x v="6"/>
    <x v="56"/>
    <x v="3"/>
    <x v="3"/>
    <x v="3"/>
    <x v="5"/>
    <x v="3"/>
    <x v="6"/>
  </r>
  <r>
    <x v="67"/>
    <x v="2"/>
    <x v="28"/>
    <x v="3"/>
    <x v="3"/>
    <x v="3"/>
    <x v="2"/>
    <x v="5"/>
    <x v="2"/>
  </r>
  <r>
    <x v="67"/>
    <x v="3"/>
    <x v="28"/>
    <x v="3"/>
    <x v="3"/>
    <x v="3"/>
    <x v="3"/>
    <x v="5"/>
    <x v="3"/>
  </r>
  <r>
    <x v="67"/>
    <x v="4"/>
    <x v="28"/>
    <x v="3"/>
    <x v="3"/>
    <x v="3"/>
    <x v="7"/>
    <x v="5"/>
    <x v="4"/>
  </r>
  <r>
    <x v="67"/>
    <x v="5"/>
    <x v="28"/>
    <x v="3"/>
    <x v="3"/>
    <x v="3"/>
    <x v="5"/>
    <x v="5"/>
    <x v="5"/>
  </r>
  <r>
    <x v="67"/>
    <x v="6"/>
    <x v="28"/>
    <x v="3"/>
    <x v="3"/>
    <x v="3"/>
    <x v="5"/>
    <x v="5"/>
    <x v="6"/>
  </r>
  <r>
    <x v="67"/>
    <x v="7"/>
    <x v="28"/>
    <x v="3"/>
    <x v="3"/>
    <x v="3"/>
    <x v="5"/>
    <x v="5"/>
    <x v="7"/>
  </r>
  <r>
    <x v="67"/>
    <x v="8"/>
    <x v="28"/>
    <x v="3"/>
    <x v="3"/>
    <x v="3"/>
    <x v="5"/>
    <x v="5"/>
    <x v="8"/>
  </r>
  <r>
    <x v="67"/>
    <x v="9"/>
    <x v="28"/>
    <x v="3"/>
    <x v="3"/>
    <x v="3"/>
    <x v="5"/>
    <x v="5"/>
    <x v="9"/>
  </r>
  <r>
    <x v="68"/>
    <x v="2"/>
    <x v="29"/>
    <x v="3"/>
    <x v="3"/>
    <x v="3"/>
    <x v="2"/>
    <x v="5"/>
    <x v="2"/>
  </r>
  <r>
    <x v="68"/>
    <x v="3"/>
    <x v="29"/>
    <x v="3"/>
    <x v="3"/>
    <x v="3"/>
    <x v="3"/>
    <x v="5"/>
    <x v="3"/>
  </r>
  <r>
    <x v="68"/>
    <x v="4"/>
    <x v="29"/>
    <x v="3"/>
    <x v="3"/>
    <x v="3"/>
    <x v="7"/>
    <x v="5"/>
    <x v="4"/>
  </r>
  <r>
    <x v="68"/>
    <x v="5"/>
    <x v="29"/>
    <x v="3"/>
    <x v="3"/>
    <x v="3"/>
    <x v="5"/>
    <x v="5"/>
    <x v="5"/>
  </r>
  <r>
    <x v="68"/>
    <x v="6"/>
    <x v="29"/>
    <x v="3"/>
    <x v="3"/>
    <x v="3"/>
    <x v="5"/>
    <x v="5"/>
    <x v="6"/>
  </r>
  <r>
    <x v="68"/>
    <x v="7"/>
    <x v="29"/>
    <x v="3"/>
    <x v="3"/>
    <x v="3"/>
    <x v="5"/>
    <x v="5"/>
    <x v="7"/>
  </r>
  <r>
    <x v="68"/>
    <x v="8"/>
    <x v="29"/>
    <x v="3"/>
    <x v="3"/>
    <x v="3"/>
    <x v="5"/>
    <x v="5"/>
    <x v="8"/>
  </r>
  <r>
    <x v="68"/>
    <x v="9"/>
    <x v="29"/>
    <x v="3"/>
    <x v="3"/>
    <x v="3"/>
    <x v="5"/>
    <x v="5"/>
    <x v="9"/>
  </r>
  <r>
    <x v="69"/>
    <x v="2"/>
    <x v="30"/>
    <x v="3"/>
    <x v="3"/>
    <x v="3"/>
    <x v="2"/>
    <x v="5"/>
    <x v="2"/>
  </r>
  <r>
    <x v="69"/>
    <x v="3"/>
    <x v="30"/>
    <x v="3"/>
    <x v="3"/>
    <x v="3"/>
    <x v="3"/>
    <x v="5"/>
    <x v="3"/>
  </r>
  <r>
    <x v="69"/>
    <x v="4"/>
    <x v="30"/>
    <x v="3"/>
    <x v="3"/>
    <x v="3"/>
    <x v="7"/>
    <x v="5"/>
    <x v="4"/>
  </r>
  <r>
    <x v="69"/>
    <x v="5"/>
    <x v="30"/>
    <x v="3"/>
    <x v="3"/>
    <x v="3"/>
    <x v="5"/>
    <x v="5"/>
    <x v="5"/>
  </r>
  <r>
    <x v="69"/>
    <x v="6"/>
    <x v="30"/>
    <x v="3"/>
    <x v="3"/>
    <x v="3"/>
    <x v="5"/>
    <x v="5"/>
    <x v="6"/>
  </r>
  <r>
    <x v="69"/>
    <x v="7"/>
    <x v="30"/>
    <x v="3"/>
    <x v="3"/>
    <x v="3"/>
    <x v="5"/>
    <x v="5"/>
    <x v="7"/>
  </r>
  <r>
    <x v="69"/>
    <x v="8"/>
    <x v="30"/>
    <x v="3"/>
    <x v="3"/>
    <x v="3"/>
    <x v="5"/>
    <x v="5"/>
    <x v="8"/>
  </r>
  <r>
    <x v="69"/>
    <x v="9"/>
    <x v="30"/>
    <x v="3"/>
    <x v="3"/>
    <x v="3"/>
    <x v="5"/>
    <x v="5"/>
    <x v="9"/>
  </r>
  <r>
    <x v="70"/>
    <x v="2"/>
    <x v="31"/>
    <x v="3"/>
    <x v="3"/>
    <x v="3"/>
    <x v="2"/>
    <x v="5"/>
    <x v="2"/>
  </r>
  <r>
    <x v="70"/>
    <x v="3"/>
    <x v="31"/>
    <x v="3"/>
    <x v="3"/>
    <x v="3"/>
    <x v="3"/>
    <x v="5"/>
    <x v="3"/>
  </r>
  <r>
    <x v="70"/>
    <x v="4"/>
    <x v="31"/>
    <x v="3"/>
    <x v="3"/>
    <x v="3"/>
    <x v="7"/>
    <x v="5"/>
    <x v="4"/>
  </r>
  <r>
    <x v="70"/>
    <x v="5"/>
    <x v="31"/>
    <x v="3"/>
    <x v="3"/>
    <x v="3"/>
    <x v="5"/>
    <x v="5"/>
    <x v="5"/>
  </r>
  <r>
    <x v="70"/>
    <x v="6"/>
    <x v="31"/>
    <x v="3"/>
    <x v="3"/>
    <x v="3"/>
    <x v="5"/>
    <x v="5"/>
    <x v="6"/>
  </r>
  <r>
    <x v="70"/>
    <x v="7"/>
    <x v="31"/>
    <x v="3"/>
    <x v="3"/>
    <x v="3"/>
    <x v="5"/>
    <x v="5"/>
    <x v="7"/>
  </r>
  <r>
    <x v="70"/>
    <x v="8"/>
    <x v="31"/>
    <x v="3"/>
    <x v="3"/>
    <x v="3"/>
    <x v="5"/>
    <x v="5"/>
    <x v="8"/>
  </r>
  <r>
    <x v="70"/>
    <x v="9"/>
    <x v="31"/>
    <x v="3"/>
    <x v="3"/>
    <x v="3"/>
    <x v="5"/>
    <x v="5"/>
    <x v="9"/>
  </r>
  <r>
    <x v="71"/>
    <x v="2"/>
    <x v="32"/>
    <x v="3"/>
    <x v="3"/>
    <x v="3"/>
    <x v="2"/>
    <x v="5"/>
    <x v="2"/>
  </r>
  <r>
    <x v="71"/>
    <x v="3"/>
    <x v="32"/>
    <x v="3"/>
    <x v="3"/>
    <x v="3"/>
    <x v="3"/>
    <x v="5"/>
    <x v="3"/>
  </r>
  <r>
    <x v="71"/>
    <x v="4"/>
    <x v="32"/>
    <x v="3"/>
    <x v="3"/>
    <x v="3"/>
    <x v="7"/>
    <x v="5"/>
    <x v="4"/>
  </r>
  <r>
    <x v="71"/>
    <x v="5"/>
    <x v="32"/>
    <x v="3"/>
    <x v="3"/>
    <x v="3"/>
    <x v="5"/>
    <x v="5"/>
    <x v="5"/>
  </r>
  <r>
    <x v="71"/>
    <x v="6"/>
    <x v="32"/>
    <x v="3"/>
    <x v="3"/>
    <x v="3"/>
    <x v="5"/>
    <x v="5"/>
    <x v="6"/>
  </r>
  <r>
    <x v="71"/>
    <x v="7"/>
    <x v="32"/>
    <x v="3"/>
    <x v="3"/>
    <x v="3"/>
    <x v="5"/>
    <x v="5"/>
    <x v="7"/>
  </r>
  <r>
    <x v="71"/>
    <x v="8"/>
    <x v="32"/>
    <x v="3"/>
    <x v="3"/>
    <x v="3"/>
    <x v="5"/>
    <x v="5"/>
    <x v="8"/>
  </r>
  <r>
    <x v="71"/>
    <x v="9"/>
    <x v="32"/>
    <x v="3"/>
    <x v="3"/>
    <x v="3"/>
    <x v="5"/>
    <x v="5"/>
    <x v="9"/>
  </r>
  <r>
    <x v="72"/>
    <x v="2"/>
    <x v="33"/>
    <x v="3"/>
    <x v="3"/>
    <x v="3"/>
    <x v="2"/>
    <x v="5"/>
    <x v="2"/>
  </r>
  <r>
    <x v="72"/>
    <x v="3"/>
    <x v="33"/>
    <x v="3"/>
    <x v="3"/>
    <x v="3"/>
    <x v="3"/>
    <x v="5"/>
    <x v="3"/>
  </r>
  <r>
    <x v="72"/>
    <x v="4"/>
    <x v="33"/>
    <x v="3"/>
    <x v="3"/>
    <x v="3"/>
    <x v="7"/>
    <x v="5"/>
    <x v="4"/>
  </r>
  <r>
    <x v="72"/>
    <x v="5"/>
    <x v="33"/>
    <x v="3"/>
    <x v="3"/>
    <x v="3"/>
    <x v="5"/>
    <x v="5"/>
    <x v="5"/>
  </r>
  <r>
    <x v="72"/>
    <x v="6"/>
    <x v="33"/>
    <x v="3"/>
    <x v="3"/>
    <x v="3"/>
    <x v="5"/>
    <x v="5"/>
    <x v="6"/>
  </r>
  <r>
    <x v="72"/>
    <x v="7"/>
    <x v="33"/>
    <x v="3"/>
    <x v="3"/>
    <x v="3"/>
    <x v="5"/>
    <x v="5"/>
    <x v="7"/>
  </r>
  <r>
    <x v="72"/>
    <x v="8"/>
    <x v="33"/>
    <x v="3"/>
    <x v="3"/>
    <x v="3"/>
    <x v="5"/>
    <x v="5"/>
    <x v="8"/>
  </r>
  <r>
    <x v="72"/>
    <x v="9"/>
    <x v="33"/>
    <x v="3"/>
    <x v="3"/>
    <x v="3"/>
    <x v="5"/>
    <x v="5"/>
    <x v="9"/>
  </r>
  <r>
    <x v="73"/>
    <x v="2"/>
    <x v="34"/>
    <x v="3"/>
    <x v="3"/>
    <x v="3"/>
    <x v="2"/>
    <x v="5"/>
    <x v="2"/>
  </r>
  <r>
    <x v="73"/>
    <x v="3"/>
    <x v="34"/>
    <x v="3"/>
    <x v="3"/>
    <x v="3"/>
    <x v="3"/>
    <x v="5"/>
    <x v="3"/>
  </r>
  <r>
    <x v="73"/>
    <x v="4"/>
    <x v="34"/>
    <x v="3"/>
    <x v="3"/>
    <x v="3"/>
    <x v="7"/>
    <x v="5"/>
    <x v="4"/>
  </r>
  <r>
    <x v="73"/>
    <x v="5"/>
    <x v="34"/>
    <x v="3"/>
    <x v="3"/>
    <x v="3"/>
    <x v="5"/>
    <x v="5"/>
    <x v="5"/>
  </r>
  <r>
    <x v="73"/>
    <x v="6"/>
    <x v="34"/>
    <x v="3"/>
    <x v="3"/>
    <x v="3"/>
    <x v="5"/>
    <x v="5"/>
    <x v="6"/>
  </r>
  <r>
    <x v="73"/>
    <x v="7"/>
    <x v="34"/>
    <x v="3"/>
    <x v="3"/>
    <x v="3"/>
    <x v="5"/>
    <x v="5"/>
    <x v="7"/>
  </r>
  <r>
    <x v="73"/>
    <x v="8"/>
    <x v="34"/>
    <x v="3"/>
    <x v="3"/>
    <x v="3"/>
    <x v="5"/>
    <x v="5"/>
    <x v="8"/>
  </r>
  <r>
    <x v="73"/>
    <x v="9"/>
    <x v="34"/>
    <x v="3"/>
    <x v="3"/>
    <x v="3"/>
    <x v="5"/>
    <x v="5"/>
    <x v="9"/>
  </r>
  <r>
    <x v="74"/>
    <x v="2"/>
    <x v="44"/>
    <x v="3"/>
    <x v="3"/>
    <x v="3"/>
    <x v="2"/>
    <x v="5"/>
    <x v="2"/>
  </r>
  <r>
    <x v="74"/>
    <x v="3"/>
    <x v="44"/>
    <x v="3"/>
    <x v="3"/>
    <x v="3"/>
    <x v="3"/>
    <x v="5"/>
    <x v="3"/>
  </r>
  <r>
    <x v="74"/>
    <x v="4"/>
    <x v="44"/>
    <x v="3"/>
    <x v="3"/>
    <x v="3"/>
    <x v="7"/>
    <x v="5"/>
    <x v="4"/>
  </r>
  <r>
    <x v="74"/>
    <x v="5"/>
    <x v="44"/>
    <x v="3"/>
    <x v="3"/>
    <x v="3"/>
    <x v="5"/>
    <x v="5"/>
    <x v="5"/>
  </r>
  <r>
    <x v="74"/>
    <x v="6"/>
    <x v="44"/>
    <x v="3"/>
    <x v="3"/>
    <x v="3"/>
    <x v="5"/>
    <x v="5"/>
    <x v="6"/>
  </r>
  <r>
    <x v="74"/>
    <x v="7"/>
    <x v="44"/>
    <x v="3"/>
    <x v="3"/>
    <x v="3"/>
    <x v="5"/>
    <x v="5"/>
    <x v="7"/>
  </r>
  <r>
    <x v="74"/>
    <x v="8"/>
    <x v="44"/>
    <x v="3"/>
    <x v="3"/>
    <x v="3"/>
    <x v="5"/>
    <x v="5"/>
    <x v="8"/>
  </r>
  <r>
    <x v="74"/>
    <x v="9"/>
    <x v="44"/>
    <x v="3"/>
    <x v="3"/>
    <x v="3"/>
    <x v="5"/>
    <x v="5"/>
    <x v="9"/>
  </r>
  <r>
    <x v="75"/>
    <x v="2"/>
    <x v="57"/>
    <x v="3"/>
    <x v="3"/>
    <x v="3"/>
    <x v="2"/>
    <x v="5"/>
    <x v="2"/>
  </r>
  <r>
    <x v="75"/>
    <x v="3"/>
    <x v="57"/>
    <x v="3"/>
    <x v="3"/>
    <x v="3"/>
    <x v="3"/>
    <x v="5"/>
    <x v="3"/>
  </r>
  <r>
    <x v="75"/>
    <x v="4"/>
    <x v="57"/>
    <x v="3"/>
    <x v="3"/>
    <x v="3"/>
    <x v="7"/>
    <x v="5"/>
    <x v="4"/>
  </r>
  <r>
    <x v="75"/>
    <x v="5"/>
    <x v="57"/>
    <x v="3"/>
    <x v="3"/>
    <x v="3"/>
    <x v="5"/>
    <x v="5"/>
    <x v="5"/>
  </r>
  <r>
    <x v="75"/>
    <x v="6"/>
    <x v="57"/>
    <x v="3"/>
    <x v="3"/>
    <x v="3"/>
    <x v="5"/>
    <x v="5"/>
    <x v="6"/>
  </r>
  <r>
    <x v="75"/>
    <x v="7"/>
    <x v="57"/>
    <x v="3"/>
    <x v="3"/>
    <x v="3"/>
    <x v="5"/>
    <x v="5"/>
    <x v="7"/>
  </r>
  <r>
    <x v="75"/>
    <x v="8"/>
    <x v="57"/>
    <x v="3"/>
    <x v="3"/>
    <x v="3"/>
    <x v="5"/>
    <x v="5"/>
    <x v="8"/>
  </r>
  <r>
    <x v="75"/>
    <x v="9"/>
    <x v="57"/>
    <x v="3"/>
    <x v="3"/>
    <x v="3"/>
    <x v="5"/>
    <x v="5"/>
    <x v="9"/>
  </r>
  <r>
    <x v="76"/>
    <x v="2"/>
    <x v="14"/>
    <x v="4"/>
    <x v="2"/>
    <x v="2"/>
    <x v="6"/>
    <x v="3"/>
    <x v="2"/>
  </r>
  <r>
    <x v="76"/>
    <x v="3"/>
    <x v="14"/>
    <x v="4"/>
    <x v="2"/>
    <x v="2"/>
    <x v="6"/>
    <x v="3"/>
    <x v="3"/>
  </r>
  <r>
    <x v="76"/>
    <x v="4"/>
    <x v="14"/>
    <x v="4"/>
    <x v="2"/>
    <x v="2"/>
    <x v="6"/>
    <x v="3"/>
    <x v="4"/>
  </r>
  <r>
    <x v="76"/>
    <x v="5"/>
    <x v="14"/>
    <x v="4"/>
    <x v="2"/>
    <x v="2"/>
    <x v="6"/>
    <x v="3"/>
    <x v="5"/>
  </r>
  <r>
    <x v="76"/>
    <x v="6"/>
    <x v="14"/>
    <x v="4"/>
    <x v="2"/>
    <x v="2"/>
    <x v="6"/>
    <x v="3"/>
    <x v="6"/>
  </r>
  <r>
    <x v="76"/>
    <x v="7"/>
    <x v="14"/>
    <x v="4"/>
    <x v="2"/>
    <x v="2"/>
    <x v="6"/>
    <x v="3"/>
    <x v="7"/>
  </r>
  <r>
    <x v="76"/>
    <x v="8"/>
    <x v="14"/>
    <x v="4"/>
    <x v="2"/>
    <x v="2"/>
    <x v="6"/>
    <x v="3"/>
    <x v="8"/>
  </r>
  <r>
    <x v="76"/>
    <x v="9"/>
    <x v="14"/>
    <x v="4"/>
    <x v="2"/>
    <x v="2"/>
    <x v="6"/>
    <x v="3"/>
    <x v="9"/>
  </r>
  <r>
    <x v="77"/>
    <x v="2"/>
    <x v="15"/>
    <x v="4"/>
    <x v="2"/>
    <x v="2"/>
    <x v="6"/>
    <x v="3"/>
    <x v="2"/>
  </r>
  <r>
    <x v="77"/>
    <x v="3"/>
    <x v="15"/>
    <x v="4"/>
    <x v="2"/>
    <x v="2"/>
    <x v="6"/>
    <x v="3"/>
    <x v="3"/>
  </r>
  <r>
    <x v="77"/>
    <x v="4"/>
    <x v="15"/>
    <x v="4"/>
    <x v="2"/>
    <x v="2"/>
    <x v="6"/>
    <x v="3"/>
    <x v="4"/>
  </r>
  <r>
    <x v="77"/>
    <x v="5"/>
    <x v="15"/>
    <x v="4"/>
    <x v="2"/>
    <x v="2"/>
    <x v="6"/>
    <x v="3"/>
    <x v="5"/>
  </r>
  <r>
    <x v="77"/>
    <x v="6"/>
    <x v="15"/>
    <x v="4"/>
    <x v="2"/>
    <x v="2"/>
    <x v="6"/>
    <x v="3"/>
    <x v="6"/>
  </r>
  <r>
    <x v="77"/>
    <x v="7"/>
    <x v="15"/>
    <x v="4"/>
    <x v="2"/>
    <x v="2"/>
    <x v="6"/>
    <x v="3"/>
    <x v="7"/>
  </r>
  <r>
    <x v="77"/>
    <x v="8"/>
    <x v="15"/>
    <x v="4"/>
    <x v="2"/>
    <x v="2"/>
    <x v="6"/>
    <x v="3"/>
    <x v="8"/>
  </r>
  <r>
    <x v="77"/>
    <x v="9"/>
    <x v="15"/>
    <x v="4"/>
    <x v="2"/>
    <x v="2"/>
    <x v="6"/>
    <x v="3"/>
    <x v="9"/>
  </r>
  <r>
    <x v="78"/>
    <x v="2"/>
    <x v="44"/>
    <x v="4"/>
    <x v="2"/>
    <x v="2"/>
    <x v="6"/>
    <x v="3"/>
    <x v="2"/>
  </r>
  <r>
    <x v="78"/>
    <x v="3"/>
    <x v="44"/>
    <x v="4"/>
    <x v="2"/>
    <x v="2"/>
    <x v="6"/>
    <x v="3"/>
    <x v="3"/>
  </r>
  <r>
    <x v="78"/>
    <x v="4"/>
    <x v="44"/>
    <x v="4"/>
    <x v="2"/>
    <x v="2"/>
    <x v="6"/>
    <x v="3"/>
    <x v="4"/>
  </r>
  <r>
    <x v="78"/>
    <x v="5"/>
    <x v="44"/>
    <x v="4"/>
    <x v="2"/>
    <x v="2"/>
    <x v="6"/>
    <x v="3"/>
    <x v="5"/>
  </r>
  <r>
    <x v="78"/>
    <x v="6"/>
    <x v="44"/>
    <x v="4"/>
    <x v="2"/>
    <x v="2"/>
    <x v="6"/>
    <x v="3"/>
    <x v="6"/>
  </r>
  <r>
    <x v="78"/>
    <x v="7"/>
    <x v="44"/>
    <x v="4"/>
    <x v="2"/>
    <x v="2"/>
    <x v="6"/>
    <x v="3"/>
    <x v="7"/>
  </r>
  <r>
    <x v="78"/>
    <x v="8"/>
    <x v="44"/>
    <x v="4"/>
    <x v="2"/>
    <x v="2"/>
    <x v="6"/>
    <x v="3"/>
    <x v="8"/>
  </r>
  <r>
    <x v="78"/>
    <x v="9"/>
    <x v="44"/>
    <x v="4"/>
    <x v="2"/>
    <x v="2"/>
    <x v="6"/>
    <x v="3"/>
    <x v="9"/>
  </r>
  <r>
    <x v="79"/>
    <x v="2"/>
    <x v="7"/>
    <x v="4"/>
    <x v="2"/>
    <x v="2"/>
    <x v="2"/>
    <x v="3"/>
    <x v="2"/>
  </r>
  <r>
    <x v="79"/>
    <x v="3"/>
    <x v="7"/>
    <x v="4"/>
    <x v="2"/>
    <x v="2"/>
    <x v="3"/>
    <x v="5"/>
    <x v="3"/>
  </r>
  <r>
    <x v="79"/>
    <x v="4"/>
    <x v="7"/>
    <x v="4"/>
    <x v="2"/>
    <x v="2"/>
    <x v="4"/>
    <x v="5"/>
    <x v="4"/>
  </r>
  <r>
    <x v="79"/>
    <x v="5"/>
    <x v="7"/>
    <x v="4"/>
    <x v="2"/>
    <x v="2"/>
    <x v="5"/>
    <x v="5"/>
    <x v="5"/>
  </r>
  <r>
    <x v="79"/>
    <x v="6"/>
    <x v="7"/>
    <x v="4"/>
    <x v="2"/>
    <x v="2"/>
    <x v="8"/>
    <x v="5"/>
    <x v="6"/>
  </r>
  <r>
    <x v="79"/>
    <x v="7"/>
    <x v="7"/>
    <x v="4"/>
    <x v="2"/>
    <x v="2"/>
    <x v="6"/>
    <x v="5"/>
    <x v="7"/>
  </r>
  <r>
    <x v="79"/>
    <x v="8"/>
    <x v="7"/>
    <x v="4"/>
    <x v="2"/>
    <x v="2"/>
    <x v="6"/>
    <x v="5"/>
    <x v="8"/>
  </r>
  <r>
    <x v="79"/>
    <x v="9"/>
    <x v="7"/>
    <x v="4"/>
    <x v="2"/>
    <x v="2"/>
    <x v="6"/>
    <x v="5"/>
    <x v="9"/>
  </r>
  <r>
    <x v="80"/>
    <x v="2"/>
    <x v="8"/>
    <x v="4"/>
    <x v="2"/>
    <x v="2"/>
    <x v="2"/>
    <x v="5"/>
    <x v="2"/>
  </r>
  <r>
    <x v="80"/>
    <x v="3"/>
    <x v="8"/>
    <x v="4"/>
    <x v="2"/>
    <x v="2"/>
    <x v="3"/>
    <x v="5"/>
    <x v="3"/>
  </r>
  <r>
    <x v="80"/>
    <x v="4"/>
    <x v="8"/>
    <x v="4"/>
    <x v="2"/>
    <x v="2"/>
    <x v="4"/>
    <x v="5"/>
    <x v="4"/>
  </r>
  <r>
    <x v="80"/>
    <x v="5"/>
    <x v="8"/>
    <x v="4"/>
    <x v="2"/>
    <x v="2"/>
    <x v="5"/>
    <x v="5"/>
    <x v="5"/>
  </r>
  <r>
    <x v="80"/>
    <x v="6"/>
    <x v="8"/>
    <x v="4"/>
    <x v="2"/>
    <x v="2"/>
    <x v="8"/>
    <x v="5"/>
    <x v="6"/>
  </r>
  <r>
    <x v="80"/>
    <x v="7"/>
    <x v="8"/>
    <x v="4"/>
    <x v="2"/>
    <x v="2"/>
    <x v="6"/>
    <x v="5"/>
    <x v="7"/>
  </r>
  <r>
    <x v="80"/>
    <x v="8"/>
    <x v="8"/>
    <x v="4"/>
    <x v="2"/>
    <x v="2"/>
    <x v="6"/>
    <x v="5"/>
    <x v="8"/>
  </r>
  <r>
    <x v="80"/>
    <x v="9"/>
    <x v="8"/>
    <x v="4"/>
    <x v="2"/>
    <x v="2"/>
    <x v="6"/>
    <x v="5"/>
    <x v="9"/>
  </r>
  <r>
    <x v="81"/>
    <x v="2"/>
    <x v="9"/>
    <x v="4"/>
    <x v="2"/>
    <x v="2"/>
    <x v="3"/>
    <x v="5"/>
    <x v="2"/>
  </r>
  <r>
    <x v="81"/>
    <x v="3"/>
    <x v="9"/>
    <x v="4"/>
    <x v="2"/>
    <x v="2"/>
    <x v="4"/>
    <x v="5"/>
    <x v="3"/>
  </r>
  <r>
    <x v="81"/>
    <x v="4"/>
    <x v="9"/>
    <x v="4"/>
    <x v="2"/>
    <x v="2"/>
    <x v="5"/>
    <x v="5"/>
    <x v="4"/>
  </r>
  <r>
    <x v="81"/>
    <x v="5"/>
    <x v="9"/>
    <x v="4"/>
    <x v="2"/>
    <x v="2"/>
    <x v="6"/>
    <x v="5"/>
    <x v="5"/>
  </r>
  <r>
    <x v="81"/>
    <x v="6"/>
    <x v="9"/>
    <x v="4"/>
    <x v="2"/>
    <x v="2"/>
    <x v="6"/>
    <x v="5"/>
    <x v="6"/>
  </r>
  <r>
    <x v="81"/>
    <x v="7"/>
    <x v="9"/>
    <x v="4"/>
    <x v="2"/>
    <x v="2"/>
    <x v="6"/>
    <x v="5"/>
    <x v="7"/>
  </r>
  <r>
    <x v="81"/>
    <x v="8"/>
    <x v="9"/>
    <x v="4"/>
    <x v="2"/>
    <x v="2"/>
    <x v="6"/>
    <x v="5"/>
    <x v="8"/>
  </r>
  <r>
    <x v="81"/>
    <x v="9"/>
    <x v="9"/>
    <x v="4"/>
    <x v="2"/>
    <x v="2"/>
    <x v="6"/>
    <x v="5"/>
    <x v="9"/>
  </r>
  <r>
    <x v="82"/>
    <x v="2"/>
    <x v="10"/>
    <x v="4"/>
    <x v="2"/>
    <x v="2"/>
    <x v="3"/>
    <x v="5"/>
    <x v="2"/>
  </r>
  <r>
    <x v="82"/>
    <x v="3"/>
    <x v="10"/>
    <x v="4"/>
    <x v="2"/>
    <x v="2"/>
    <x v="4"/>
    <x v="5"/>
    <x v="3"/>
  </r>
  <r>
    <x v="82"/>
    <x v="4"/>
    <x v="10"/>
    <x v="4"/>
    <x v="2"/>
    <x v="2"/>
    <x v="5"/>
    <x v="5"/>
    <x v="4"/>
  </r>
  <r>
    <x v="82"/>
    <x v="5"/>
    <x v="10"/>
    <x v="4"/>
    <x v="2"/>
    <x v="2"/>
    <x v="6"/>
    <x v="5"/>
    <x v="5"/>
  </r>
  <r>
    <x v="82"/>
    <x v="6"/>
    <x v="10"/>
    <x v="4"/>
    <x v="2"/>
    <x v="2"/>
    <x v="6"/>
    <x v="5"/>
    <x v="6"/>
  </r>
  <r>
    <x v="82"/>
    <x v="7"/>
    <x v="10"/>
    <x v="4"/>
    <x v="2"/>
    <x v="2"/>
    <x v="6"/>
    <x v="5"/>
    <x v="7"/>
  </r>
  <r>
    <x v="82"/>
    <x v="8"/>
    <x v="10"/>
    <x v="4"/>
    <x v="2"/>
    <x v="2"/>
    <x v="6"/>
    <x v="5"/>
    <x v="8"/>
  </r>
  <r>
    <x v="82"/>
    <x v="9"/>
    <x v="10"/>
    <x v="4"/>
    <x v="2"/>
    <x v="2"/>
    <x v="6"/>
    <x v="5"/>
    <x v="9"/>
  </r>
  <r>
    <x v="83"/>
    <x v="2"/>
    <x v="11"/>
    <x v="4"/>
    <x v="2"/>
    <x v="2"/>
    <x v="3"/>
    <x v="5"/>
    <x v="2"/>
  </r>
  <r>
    <x v="83"/>
    <x v="3"/>
    <x v="11"/>
    <x v="4"/>
    <x v="2"/>
    <x v="2"/>
    <x v="4"/>
    <x v="5"/>
    <x v="3"/>
  </r>
  <r>
    <x v="83"/>
    <x v="4"/>
    <x v="11"/>
    <x v="4"/>
    <x v="2"/>
    <x v="2"/>
    <x v="5"/>
    <x v="5"/>
    <x v="4"/>
  </r>
  <r>
    <x v="83"/>
    <x v="5"/>
    <x v="11"/>
    <x v="4"/>
    <x v="2"/>
    <x v="2"/>
    <x v="6"/>
    <x v="5"/>
    <x v="5"/>
  </r>
  <r>
    <x v="83"/>
    <x v="6"/>
    <x v="11"/>
    <x v="4"/>
    <x v="2"/>
    <x v="2"/>
    <x v="6"/>
    <x v="5"/>
    <x v="6"/>
  </r>
  <r>
    <x v="83"/>
    <x v="7"/>
    <x v="11"/>
    <x v="4"/>
    <x v="2"/>
    <x v="2"/>
    <x v="6"/>
    <x v="5"/>
    <x v="7"/>
  </r>
  <r>
    <x v="83"/>
    <x v="8"/>
    <x v="11"/>
    <x v="4"/>
    <x v="2"/>
    <x v="2"/>
    <x v="6"/>
    <x v="5"/>
    <x v="8"/>
  </r>
  <r>
    <x v="83"/>
    <x v="9"/>
    <x v="11"/>
    <x v="4"/>
    <x v="2"/>
    <x v="2"/>
    <x v="6"/>
    <x v="5"/>
    <x v="9"/>
  </r>
  <r>
    <x v="84"/>
    <x v="2"/>
    <x v="12"/>
    <x v="4"/>
    <x v="2"/>
    <x v="2"/>
    <x v="3"/>
    <x v="5"/>
    <x v="2"/>
  </r>
  <r>
    <x v="84"/>
    <x v="3"/>
    <x v="12"/>
    <x v="4"/>
    <x v="2"/>
    <x v="2"/>
    <x v="4"/>
    <x v="5"/>
    <x v="3"/>
  </r>
  <r>
    <x v="84"/>
    <x v="4"/>
    <x v="12"/>
    <x v="4"/>
    <x v="2"/>
    <x v="2"/>
    <x v="5"/>
    <x v="5"/>
    <x v="4"/>
  </r>
  <r>
    <x v="84"/>
    <x v="5"/>
    <x v="12"/>
    <x v="4"/>
    <x v="2"/>
    <x v="2"/>
    <x v="6"/>
    <x v="5"/>
    <x v="5"/>
  </r>
  <r>
    <x v="84"/>
    <x v="6"/>
    <x v="12"/>
    <x v="4"/>
    <x v="2"/>
    <x v="2"/>
    <x v="6"/>
    <x v="5"/>
    <x v="6"/>
  </r>
  <r>
    <x v="84"/>
    <x v="7"/>
    <x v="12"/>
    <x v="4"/>
    <x v="2"/>
    <x v="2"/>
    <x v="6"/>
    <x v="5"/>
    <x v="7"/>
  </r>
  <r>
    <x v="84"/>
    <x v="8"/>
    <x v="12"/>
    <x v="4"/>
    <x v="2"/>
    <x v="2"/>
    <x v="6"/>
    <x v="5"/>
    <x v="8"/>
  </r>
  <r>
    <x v="84"/>
    <x v="9"/>
    <x v="12"/>
    <x v="4"/>
    <x v="2"/>
    <x v="2"/>
    <x v="6"/>
    <x v="5"/>
    <x v="9"/>
  </r>
  <r>
    <x v="85"/>
    <x v="2"/>
    <x v="13"/>
    <x v="4"/>
    <x v="2"/>
    <x v="2"/>
    <x v="3"/>
    <x v="5"/>
    <x v="2"/>
  </r>
  <r>
    <x v="85"/>
    <x v="3"/>
    <x v="13"/>
    <x v="4"/>
    <x v="2"/>
    <x v="2"/>
    <x v="4"/>
    <x v="5"/>
    <x v="3"/>
  </r>
  <r>
    <x v="85"/>
    <x v="4"/>
    <x v="13"/>
    <x v="4"/>
    <x v="2"/>
    <x v="2"/>
    <x v="5"/>
    <x v="5"/>
    <x v="4"/>
  </r>
  <r>
    <x v="85"/>
    <x v="5"/>
    <x v="13"/>
    <x v="4"/>
    <x v="2"/>
    <x v="2"/>
    <x v="6"/>
    <x v="5"/>
    <x v="5"/>
  </r>
  <r>
    <x v="85"/>
    <x v="6"/>
    <x v="13"/>
    <x v="4"/>
    <x v="2"/>
    <x v="2"/>
    <x v="6"/>
    <x v="5"/>
    <x v="6"/>
  </r>
  <r>
    <x v="85"/>
    <x v="7"/>
    <x v="13"/>
    <x v="4"/>
    <x v="2"/>
    <x v="2"/>
    <x v="6"/>
    <x v="5"/>
    <x v="7"/>
  </r>
  <r>
    <x v="85"/>
    <x v="8"/>
    <x v="13"/>
    <x v="4"/>
    <x v="2"/>
    <x v="2"/>
    <x v="6"/>
    <x v="5"/>
    <x v="8"/>
  </r>
  <r>
    <x v="85"/>
    <x v="9"/>
    <x v="13"/>
    <x v="4"/>
    <x v="2"/>
    <x v="2"/>
    <x v="6"/>
    <x v="5"/>
    <x v="9"/>
  </r>
  <r>
    <x v="86"/>
    <x v="2"/>
    <x v="58"/>
    <x v="4"/>
    <x v="2"/>
    <x v="2"/>
    <x v="7"/>
    <x v="3"/>
    <x v="2"/>
  </r>
  <r>
    <x v="86"/>
    <x v="3"/>
    <x v="58"/>
    <x v="4"/>
    <x v="2"/>
    <x v="2"/>
    <x v="5"/>
    <x v="3"/>
    <x v="3"/>
  </r>
  <r>
    <x v="86"/>
    <x v="4"/>
    <x v="58"/>
    <x v="4"/>
    <x v="2"/>
    <x v="2"/>
    <x v="8"/>
    <x v="3"/>
    <x v="4"/>
  </r>
  <r>
    <x v="86"/>
    <x v="5"/>
    <x v="58"/>
    <x v="4"/>
    <x v="2"/>
    <x v="2"/>
    <x v="6"/>
    <x v="3"/>
    <x v="5"/>
  </r>
  <r>
    <x v="86"/>
    <x v="6"/>
    <x v="58"/>
    <x v="4"/>
    <x v="2"/>
    <x v="2"/>
    <x v="6"/>
    <x v="3"/>
    <x v="6"/>
  </r>
  <r>
    <x v="86"/>
    <x v="7"/>
    <x v="58"/>
    <x v="4"/>
    <x v="2"/>
    <x v="2"/>
    <x v="6"/>
    <x v="3"/>
    <x v="7"/>
  </r>
  <r>
    <x v="86"/>
    <x v="8"/>
    <x v="58"/>
    <x v="4"/>
    <x v="2"/>
    <x v="2"/>
    <x v="6"/>
    <x v="3"/>
    <x v="8"/>
  </r>
  <r>
    <x v="86"/>
    <x v="9"/>
    <x v="58"/>
    <x v="4"/>
    <x v="2"/>
    <x v="2"/>
    <x v="6"/>
    <x v="3"/>
    <x v="9"/>
  </r>
  <r>
    <x v="87"/>
    <x v="2"/>
    <x v="59"/>
    <x v="4"/>
    <x v="2"/>
    <x v="2"/>
    <x v="7"/>
    <x v="3"/>
    <x v="2"/>
  </r>
  <r>
    <x v="87"/>
    <x v="3"/>
    <x v="59"/>
    <x v="4"/>
    <x v="2"/>
    <x v="2"/>
    <x v="5"/>
    <x v="3"/>
    <x v="3"/>
  </r>
  <r>
    <x v="87"/>
    <x v="4"/>
    <x v="59"/>
    <x v="4"/>
    <x v="2"/>
    <x v="2"/>
    <x v="8"/>
    <x v="3"/>
    <x v="4"/>
  </r>
  <r>
    <x v="87"/>
    <x v="5"/>
    <x v="59"/>
    <x v="4"/>
    <x v="2"/>
    <x v="2"/>
    <x v="6"/>
    <x v="3"/>
    <x v="5"/>
  </r>
  <r>
    <x v="87"/>
    <x v="6"/>
    <x v="59"/>
    <x v="4"/>
    <x v="2"/>
    <x v="2"/>
    <x v="6"/>
    <x v="3"/>
    <x v="6"/>
  </r>
  <r>
    <x v="87"/>
    <x v="7"/>
    <x v="59"/>
    <x v="4"/>
    <x v="2"/>
    <x v="2"/>
    <x v="6"/>
    <x v="3"/>
    <x v="7"/>
  </r>
  <r>
    <x v="87"/>
    <x v="8"/>
    <x v="59"/>
    <x v="4"/>
    <x v="2"/>
    <x v="2"/>
    <x v="6"/>
    <x v="3"/>
    <x v="8"/>
  </r>
  <r>
    <x v="87"/>
    <x v="9"/>
    <x v="59"/>
    <x v="4"/>
    <x v="2"/>
    <x v="2"/>
    <x v="6"/>
    <x v="3"/>
    <x v="9"/>
  </r>
  <r>
    <x v="88"/>
    <x v="2"/>
    <x v="60"/>
    <x v="4"/>
    <x v="2"/>
    <x v="2"/>
    <x v="7"/>
    <x v="3"/>
    <x v="2"/>
  </r>
  <r>
    <x v="88"/>
    <x v="3"/>
    <x v="60"/>
    <x v="4"/>
    <x v="2"/>
    <x v="2"/>
    <x v="5"/>
    <x v="3"/>
    <x v="3"/>
  </r>
  <r>
    <x v="88"/>
    <x v="4"/>
    <x v="60"/>
    <x v="4"/>
    <x v="2"/>
    <x v="2"/>
    <x v="8"/>
    <x v="3"/>
    <x v="4"/>
  </r>
  <r>
    <x v="88"/>
    <x v="5"/>
    <x v="60"/>
    <x v="4"/>
    <x v="2"/>
    <x v="2"/>
    <x v="6"/>
    <x v="3"/>
    <x v="5"/>
  </r>
  <r>
    <x v="88"/>
    <x v="6"/>
    <x v="60"/>
    <x v="4"/>
    <x v="2"/>
    <x v="2"/>
    <x v="6"/>
    <x v="3"/>
    <x v="6"/>
  </r>
  <r>
    <x v="88"/>
    <x v="7"/>
    <x v="60"/>
    <x v="4"/>
    <x v="2"/>
    <x v="2"/>
    <x v="6"/>
    <x v="3"/>
    <x v="7"/>
  </r>
  <r>
    <x v="88"/>
    <x v="8"/>
    <x v="60"/>
    <x v="4"/>
    <x v="2"/>
    <x v="2"/>
    <x v="6"/>
    <x v="3"/>
    <x v="8"/>
  </r>
  <r>
    <x v="88"/>
    <x v="9"/>
    <x v="60"/>
    <x v="4"/>
    <x v="2"/>
    <x v="2"/>
    <x v="6"/>
    <x v="3"/>
    <x v="9"/>
  </r>
  <r>
    <x v="89"/>
    <x v="2"/>
    <x v="48"/>
    <x v="4"/>
    <x v="2"/>
    <x v="2"/>
    <x v="7"/>
    <x v="3"/>
    <x v="2"/>
  </r>
  <r>
    <x v="89"/>
    <x v="3"/>
    <x v="48"/>
    <x v="4"/>
    <x v="2"/>
    <x v="2"/>
    <x v="5"/>
    <x v="3"/>
    <x v="3"/>
  </r>
  <r>
    <x v="89"/>
    <x v="4"/>
    <x v="48"/>
    <x v="4"/>
    <x v="2"/>
    <x v="2"/>
    <x v="8"/>
    <x v="3"/>
    <x v="4"/>
  </r>
  <r>
    <x v="89"/>
    <x v="5"/>
    <x v="48"/>
    <x v="4"/>
    <x v="2"/>
    <x v="2"/>
    <x v="6"/>
    <x v="3"/>
    <x v="5"/>
  </r>
  <r>
    <x v="89"/>
    <x v="6"/>
    <x v="48"/>
    <x v="4"/>
    <x v="2"/>
    <x v="2"/>
    <x v="6"/>
    <x v="3"/>
    <x v="6"/>
  </r>
  <r>
    <x v="89"/>
    <x v="7"/>
    <x v="48"/>
    <x v="4"/>
    <x v="2"/>
    <x v="2"/>
    <x v="6"/>
    <x v="3"/>
    <x v="7"/>
  </r>
  <r>
    <x v="89"/>
    <x v="8"/>
    <x v="48"/>
    <x v="4"/>
    <x v="2"/>
    <x v="2"/>
    <x v="6"/>
    <x v="3"/>
    <x v="8"/>
  </r>
  <r>
    <x v="89"/>
    <x v="9"/>
    <x v="48"/>
    <x v="4"/>
    <x v="2"/>
    <x v="2"/>
    <x v="6"/>
    <x v="3"/>
    <x v="9"/>
  </r>
  <r>
    <x v="90"/>
    <x v="2"/>
    <x v="49"/>
    <x v="4"/>
    <x v="3"/>
    <x v="3"/>
    <x v="7"/>
    <x v="3"/>
    <x v="2"/>
  </r>
  <r>
    <x v="90"/>
    <x v="3"/>
    <x v="49"/>
    <x v="4"/>
    <x v="3"/>
    <x v="3"/>
    <x v="5"/>
    <x v="3"/>
    <x v="3"/>
  </r>
  <r>
    <x v="90"/>
    <x v="4"/>
    <x v="49"/>
    <x v="4"/>
    <x v="3"/>
    <x v="3"/>
    <x v="8"/>
    <x v="3"/>
    <x v="4"/>
  </r>
  <r>
    <x v="90"/>
    <x v="5"/>
    <x v="49"/>
    <x v="4"/>
    <x v="3"/>
    <x v="3"/>
    <x v="6"/>
    <x v="3"/>
    <x v="5"/>
  </r>
  <r>
    <x v="90"/>
    <x v="6"/>
    <x v="49"/>
    <x v="4"/>
    <x v="3"/>
    <x v="3"/>
    <x v="6"/>
    <x v="3"/>
    <x v="6"/>
  </r>
  <r>
    <x v="90"/>
    <x v="7"/>
    <x v="49"/>
    <x v="4"/>
    <x v="3"/>
    <x v="3"/>
    <x v="6"/>
    <x v="3"/>
    <x v="7"/>
  </r>
  <r>
    <x v="90"/>
    <x v="8"/>
    <x v="49"/>
    <x v="4"/>
    <x v="3"/>
    <x v="3"/>
    <x v="6"/>
    <x v="3"/>
    <x v="8"/>
  </r>
  <r>
    <x v="90"/>
    <x v="9"/>
    <x v="49"/>
    <x v="4"/>
    <x v="3"/>
    <x v="3"/>
    <x v="6"/>
    <x v="3"/>
    <x v="9"/>
  </r>
  <r>
    <x v="91"/>
    <x v="2"/>
    <x v="50"/>
    <x v="4"/>
    <x v="3"/>
    <x v="3"/>
    <x v="7"/>
    <x v="3"/>
    <x v="2"/>
  </r>
  <r>
    <x v="91"/>
    <x v="3"/>
    <x v="50"/>
    <x v="4"/>
    <x v="3"/>
    <x v="3"/>
    <x v="5"/>
    <x v="3"/>
    <x v="3"/>
  </r>
  <r>
    <x v="91"/>
    <x v="4"/>
    <x v="50"/>
    <x v="4"/>
    <x v="3"/>
    <x v="3"/>
    <x v="8"/>
    <x v="3"/>
    <x v="4"/>
  </r>
  <r>
    <x v="91"/>
    <x v="5"/>
    <x v="50"/>
    <x v="4"/>
    <x v="3"/>
    <x v="3"/>
    <x v="6"/>
    <x v="3"/>
    <x v="5"/>
  </r>
  <r>
    <x v="91"/>
    <x v="6"/>
    <x v="50"/>
    <x v="4"/>
    <x v="3"/>
    <x v="3"/>
    <x v="6"/>
    <x v="3"/>
    <x v="6"/>
  </r>
  <r>
    <x v="91"/>
    <x v="7"/>
    <x v="50"/>
    <x v="4"/>
    <x v="3"/>
    <x v="3"/>
    <x v="6"/>
    <x v="3"/>
    <x v="7"/>
  </r>
  <r>
    <x v="91"/>
    <x v="8"/>
    <x v="50"/>
    <x v="4"/>
    <x v="3"/>
    <x v="3"/>
    <x v="6"/>
    <x v="3"/>
    <x v="8"/>
  </r>
  <r>
    <x v="91"/>
    <x v="9"/>
    <x v="50"/>
    <x v="4"/>
    <x v="3"/>
    <x v="3"/>
    <x v="6"/>
    <x v="3"/>
    <x v="9"/>
  </r>
  <r>
    <x v="92"/>
    <x v="2"/>
    <x v="51"/>
    <x v="4"/>
    <x v="3"/>
    <x v="3"/>
    <x v="7"/>
    <x v="3"/>
    <x v="2"/>
  </r>
  <r>
    <x v="92"/>
    <x v="3"/>
    <x v="51"/>
    <x v="4"/>
    <x v="3"/>
    <x v="3"/>
    <x v="5"/>
    <x v="3"/>
    <x v="3"/>
  </r>
  <r>
    <x v="92"/>
    <x v="4"/>
    <x v="51"/>
    <x v="4"/>
    <x v="3"/>
    <x v="3"/>
    <x v="8"/>
    <x v="3"/>
    <x v="4"/>
  </r>
  <r>
    <x v="92"/>
    <x v="5"/>
    <x v="51"/>
    <x v="4"/>
    <x v="3"/>
    <x v="3"/>
    <x v="6"/>
    <x v="3"/>
    <x v="5"/>
  </r>
  <r>
    <x v="92"/>
    <x v="6"/>
    <x v="51"/>
    <x v="4"/>
    <x v="3"/>
    <x v="3"/>
    <x v="6"/>
    <x v="3"/>
    <x v="6"/>
  </r>
  <r>
    <x v="92"/>
    <x v="7"/>
    <x v="51"/>
    <x v="4"/>
    <x v="3"/>
    <x v="3"/>
    <x v="6"/>
    <x v="3"/>
    <x v="7"/>
  </r>
  <r>
    <x v="92"/>
    <x v="8"/>
    <x v="51"/>
    <x v="4"/>
    <x v="3"/>
    <x v="3"/>
    <x v="6"/>
    <x v="3"/>
    <x v="8"/>
  </r>
  <r>
    <x v="92"/>
    <x v="9"/>
    <x v="51"/>
    <x v="4"/>
    <x v="3"/>
    <x v="3"/>
    <x v="6"/>
    <x v="3"/>
    <x v="9"/>
  </r>
  <r>
    <x v="93"/>
    <x v="2"/>
    <x v="52"/>
    <x v="4"/>
    <x v="3"/>
    <x v="3"/>
    <x v="7"/>
    <x v="3"/>
    <x v="2"/>
  </r>
  <r>
    <x v="93"/>
    <x v="3"/>
    <x v="52"/>
    <x v="4"/>
    <x v="3"/>
    <x v="3"/>
    <x v="5"/>
    <x v="3"/>
    <x v="3"/>
  </r>
  <r>
    <x v="93"/>
    <x v="4"/>
    <x v="52"/>
    <x v="4"/>
    <x v="3"/>
    <x v="3"/>
    <x v="8"/>
    <x v="3"/>
    <x v="4"/>
  </r>
  <r>
    <x v="93"/>
    <x v="5"/>
    <x v="52"/>
    <x v="4"/>
    <x v="3"/>
    <x v="3"/>
    <x v="6"/>
    <x v="3"/>
    <x v="5"/>
  </r>
  <r>
    <x v="93"/>
    <x v="6"/>
    <x v="52"/>
    <x v="4"/>
    <x v="3"/>
    <x v="3"/>
    <x v="6"/>
    <x v="3"/>
    <x v="6"/>
  </r>
  <r>
    <x v="93"/>
    <x v="7"/>
    <x v="52"/>
    <x v="4"/>
    <x v="3"/>
    <x v="3"/>
    <x v="6"/>
    <x v="3"/>
    <x v="7"/>
  </r>
  <r>
    <x v="93"/>
    <x v="8"/>
    <x v="52"/>
    <x v="4"/>
    <x v="3"/>
    <x v="3"/>
    <x v="6"/>
    <x v="3"/>
    <x v="8"/>
  </r>
  <r>
    <x v="93"/>
    <x v="9"/>
    <x v="52"/>
    <x v="4"/>
    <x v="3"/>
    <x v="3"/>
    <x v="6"/>
    <x v="3"/>
    <x v="9"/>
  </r>
  <r>
    <x v="94"/>
    <x v="2"/>
    <x v="53"/>
    <x v="4"/>
    <x v="3"/>
    <x v="3"/>
    <x v="2"/>
    <x v="3"/>
    <x v="2"/>
  </r>
  <r>
    <x v="94"/>
    <x v="3"/>
    <x v="53"/>
    <x v="4"/>
    <x v="3"/>
    <x v="3"/>
    <x v="3"/>
    <x v="3"/>
    <x v="3"/>
  </r>
  <r>
    <x v="94"/>
    <x v="4"/>
    <x v="53"/>
    <x v="4"/>
    <x v="3"/>
    <x v="3"/>
    <x v="7"/>
    <x v="3"/>
    <x v="4"/>
  </r>
  <r>
    <x v="94"/>
    <x v="5"/>
    <x v="53"/>
    <x v="4"/>
    <x v="3"/>
    <x v="3"/>
    <x v="5"/>
    <x v="3"/>
    <x v="5"/>
  </r>
  <r>
    <x v="94"/>
    <x v="6"/>
    <x v="53"/>
    <x v="4"/>
    <x v="3"/>
    <x v="3"/>
    <x v="5"/>
    <x v="3"/>
    <x v="6"/>
  </r>
  <r>
    <x v="94"/>
    <x v="7"/>
    <x v="53"/>
    <x v="4"/>
    <x v="3"/>
    <x v="3"/>
    <x v="5"/>
    <x v="3"/>
    <x v="7"/>
  </r>
  <r>
    <x v="94"/>
    <x v="8"/>
    <x v="53"/>
    <x v="4"/>
    <x v="3"/>
    <x v="3"/>
    <x v="5"/>
    <x v="3"/>
    <x v="8"/>
  </r>
  <r>
    <x v="94"/>
    <x v="9"/>
    <x v="53"/>
    <x v="4"/>
    <x v="3"/>
    <x v="3"/>
    <x v="5"/>
    <x v="3"/>
    <x v="9"/>
  </r>
  <r>
    <x v="95"/>
    <x v="2"/>
    <x v="54"/>
    <x v="4"/>
    <x v="3"/>
    <x v="3"/>
    <x v="3"/>
    <x v="3"/>
    <x v="2"/>
  </r>
  <r>
    <x v="95"/>
    <x v="4"/>
    <x v="54"/>
    <x v="4"/>
    <x v="3"/>
    <x v="3"/>
    <x v="7"/>
    <x v="3"/>
    <x v="4"/>
  </r>
  <r>
    <x v="95"/>
    <x v="6"/>
    <x v="54"/>
    <x v="4"/>
    <x v="3"/>
    <x v="3"/>
    <x v="5"/>
    <x v="3"/>
    <x v="6"/>
  </r>
  <r>
    <x v="96"/>
    <x v="2"/>
    <x v="55"/>
    <x v="4"/>
    <x v="3"/>
    <x v="3"/>
    <x v="3"/>
    <x v="3"/>
    <x v="2"/>
  </r>
  <r>
    <x v="96"/>
    <x v="4"/>
    <x v="55"/>
    <x v="4"/>
    <x v="3"/>
    <x v="3"/>
    <x v="7"/>
    <x v="3"/>
    <x v="4"/>
  </r>
  <r>
    <x v="96"/>
    <x v="6"/>
    <x v="55"/>
    <x v="4"/>
    <x v="3"/>
    <x v="3"/>
    <x v="5"/>
    <x v="3"/>
    <x v="6"/>
  </r>
  <r>
    <x v="97"/>
    <x v="2"/>
    <x v="56"/>
    <x v="4"/>
    <x v="3"/>
    <x v="3"/>
    <x v="3"/>
    <x v="3"/>
    <x v="2"/>
  </r>
  <r>
    <x v="97"/>
    <x v="4"/>
    <x v="56"/>
    <x v="4"/>
    <x v="3"/>
    <x v="3"/>
    <x v="7"/>
    <x v="3"/>
    <x v="4"/>
  </r>
  <r>
    <x v="97"/>
    <x v="6"/>
    <x v="56"/>
    <x v="4"/>
    <x v="3"/>
    <x v="3"/>
    <x v="5"/>
    <x v="3"/>
    <x v="6"/>
  </r>
  <r>
    <x v="98"/>
    <x v="2"/>
    <x v="28"/>
    <x v="4"/>
    <x v="3"/>
    <x v="3"/>
    <x v="2"/>
    <x v="5"/>
    <x v="2"/>
  </r>
  <r>
    <x v="98"/>
    <x v="3"/>
    <x v="28"/>
    <x v="4"/>
    <x v="3"/>
    <x v="3"/>
    <x v="3"/>
    <x v="5"/>
    <x v="3"/>
  </r>
  <r>
    <x v="98"/>
    <x v="4"/>
    <x v="28"/>
    <x v="4"/>
    <x v="3"/>
    <x v="3"/>
    <x v="7"/>
    <x v="5"/>
    <x v="4"/>
  </r>
  <r>
    <x v="98"/>
    <x v="5"/>
    <x v="28"/>
    <x v="4"/>
    <x v="3"/>
    <x v="3"/>
    <x v="5"/>
    <x v="5"/>
    <x v="5"/>
  </r>
  <r>
    <x v="98"/>
    <x v="6"/>
    <x v="28"/>
    <x v="4"/>
    <x v="3"/>
    <x v="3"/>
    <x v="5"/>
    <x v="5"/>
    <x v="6"/>
  </r>
  <r>
    <x v="98"/>
    <x v="7"/>
    <x v="28"/>
    <x v="4"/>
    <x v="3"/>
    <x v="3"/>
    <x v="5"/>
    <x v="5"/>
    <x v="7"/>
  </r>
  <r>
    <x v="98"/>
    <x v="8"/>
    <x v="28"/>
    <x v="4"/>
    <x v="3"/>
    <x v="3"/>
    <x v="5"/>
    <x v="5"/>
    <x v="8"/>
  </r>
  <r>
    <x v="98"/>
    <x v="9"/>
    <x v="28"/>
    <x v="4"/>
    <x v="3"/>
    <x v="3"/>
    <x v="5"/>
    <x v="5"/>
    <x v="9"/>
  </r>
  <r>
    <x v="99"/>
    <x v="2"/>
    <x v="29"/>
    <x v="4"/>
    <x v="3"/>
    <x v="3"/>
    <x v="2"/>
    <x v="5"/>
    <x v="2"/>
  </r>
  <r>
    <x v="99"/>
    <x v="3"/>
    <x v="29"/>
    <x v="4"/>
    <x v="3"/>
    <x v="3"/>
    <x v="3"/>
    <x v="5"/>
    <x v="3"/>
  </r>
  <r>
    <x v="99"/>
    <x v="4"/>
    <x v="29"/>
    <x v="4"/>
    <x v="3"/>
    <x v="3"/>
    <x v="7"/>
    <x v="5"/>
    <x v="4"/>
  </r>
  <r>
    <x v="99"/>
    <x v="5"/>
    <x v="29"/>
    <x v="4"/>
    <x v="3"/>
    <x v="3"/>
    <x v="5"/>
    <x v="5"/>
    <x v="5"/>
  </r>
  <r>
    <x v="99"/>
    <x v="6"/>
    <x v="29"/>
    <x v="4"/>
    <x v="3"/>
    <x v="3"/>
    <x v="5"/>
    <x v="5"/>
    <x v="6"/>
  </r>
  <r>
    <x v="99"/>
    <x v="7"/>
    <x v="29"/>
    <x v="4"/>
    <x v="3"/>
    <x v="3"/>
    <x v="5"/>
    <x v="5"/>
    <x v="7"/>
  </r>
  <r>
    <x v="99"/>
    <x v="8"/>
    <x v="29"/>
    <x v="4"/>
    <x v="3"/>
    <x v="3"/>
    <x v="5"/>
    <x v="5"/>
    <x v="8"/>
  </r>
  <r>
    <x v="99"/>
    <x v="9"/>
    <x v="29"/>
    <x v="4"/>
    <x v="3"/>
    <x v="3"/>
    <x v="5"/>
    <x v="5"/>
    <x v="9"/>
  </r>
  <r>
    <x v="100"/>
    <x v="2"/>
    <x v="30"/>
    <x v="4"/>
    <x v="3"/>
    <x v="3"/>
    <x v="2"/>
    <x v="5"/>
    <x v="2"/>
  </r>
  <r>
    <x v="100"/>
    <x v="3"/>
    <x v="30"/>
    <x v="4"/>
    <x v="3"/>
    <x v="3"/>
    <x v="3"/>
    <x v="5"/>
    <x v="3"/>
  </r>
  <r>
    <x v="100"/>
    <x v="4"/>
    <x v="30"/>
    <x v="4"/>
    <x v="3"/>
    <x v="3"/>
    <x v="7"/>
    <x v="5"/>
    <x v="4"/>
  </r>
  <r>
    <x v="100"/>
    <x v="5"/>
    <x v="30"/>
    <x v="4"/>
    <x v="3"/>
    <x v="3"/>
    <x v="5"/>
    <x v="5"/>
    <x v="5"/>
  </r>
  <r>
    <x v="100"/>
    <x v="6"/>
    <x v="30"/>
    <x v="4"/>
    <x v="3"/>
    <x v="3"/>
    <x v="5"/>
    <x v="5"/>
    <x v="6"/>
  </r>
  <r>
    <x v="100"/>
    <x v="7"/>
    <x v="30"/>
    <x v="4"/>
    <x v="3"/>
    <x v="3"/>
    <x v="5"/>
    <x v="5"/>
    <x v="7"/>
  </r>
  <r>
    <x v="100"/>
    <x v="8"/>
    <x v="30"/>
    <x v="4"/>
    <x v="3"/>
    <x v="3"/>
    <x v="5"/>
    <x v="5"/>
    <x v="8"/>
  </r>
  <r>
    <x v="100"/>
    <x v="9"/>
    <x v="30"/>
    <x v="4"/>
    <x v="3"/>
    <x v="3"/>
    <x v="5"/>
    <x v="5"/>
    <x v="9"/>
  </r>
  <r>
    <x v="101"/>
    <x v="2"/>
    <x v="31"/>
    <x v="4"/>
    <x v="3"/>
    <x v="3"/>
    <x v="2"/>
    <x v="5"/>
    <x v="2"/>
  </r>
  <r>
    <x v="101"/>
    <x v="3"/>
    <x v="31"/>
    <x v="4"/>
    <x v="3"/>
    <x v="3"/>
    <x v="3"/>
    <x v="5"/>
    <x v="3"/>
  </r>
  <r>
    <x v="101"/>
    <x v="4"/>
    <x v="31"/>
    <x v="4"/>
    <x v="3"/>
    <x v="3"/>
    <x v="7"/>
    <x v="5"/>
    <x v="4"/>
  </r>
  <r>
    <x v="101"/>
    <x v="5"/>
    <x v="31"/>
    <x v="4"/>
    <x v="3"/>
    <x v="3"/>
    <x v="5"/>
    <x v="5"/>
    <x v="5"/>
  </r>
  <r>
    <x v="101"/>
    <x v="6"/>
    <x v="31"/>
    <x v="4"/>
    <x v="3"/>
    <x v="3"/>
    <x v="5"/>
    <x v="5"/>
    <x v="6"/>
  </r>
  <r>
    <x v="101"/>
    <x v="7"/>
    <x v="31"/>
    <x v="4"/>
    <x v="3"/>
    <x v="3"/>
    <x v="5"/>
    <x v="5"/>
    <x v="7"/>
  </r>
  <r>
    <x v="101"/>
    <x v="8"/>
    <x v="31"/>
    <x v="4"/>
    <x v="3"/>
    <x v="3"/>
    <x v="5"/>
    <x v="5"/>
    <x v="8"/>
  </r>
  <r>
    <x v="101"/>
    <x v="9"/>
    <x v="31"/>
    <x v="4"/>
    <x v="3"/>
    <x v="3"/>
    <x v="5"/>
    <x v="5"/>
    <x v="9"/>
  </r>
  <r>
    <x v="102"/>
    <x v="2"/>
    <x v="32"/>
    <x v="4"/>
    <x v="3"/>
    <x v="3"/>
    <x v="2"/>
    <x v="5"/>
    <x v="2"/>
  </r>
  <r>
    <x v="102"/>
    <x v="3"/>
    <x v="32"/>
    <x v="4"/>
    <x v="3"/>
    <x v="3"/>
    <x v="3"/>
    <x v="5"/>
    <x v="3"/>
  </r>
  <r>
    <x v="102"/>
    <x v="4"/>
    <x v="32"/>
    <x v="4"/>
    <x v="3"/>
    <x v="3"/>
    <x v="7"/>
    <x v="5"/>
    <x v="4"/>
  </r>
  <r>
    <x v="102"/>
    <x v="5"/>
    <x v="32"/>
    <x v="4"/>
    <x v="3"/>
    <x v="3"/>
    <x v="5"/>
    <x v="5"/>
    <x v="5"/>
  </r>
  <r>
    <x v="102"/>
    <x v="6"/>
    <x v="32"/>
    <x v="4"/>
    <x v="3"/>
    <x v="3"/>
    <x v="5"/>
    <x v="5"/>
    <x v="6"/>
  </r>
  <r>
    <x v="102"/>
    <x v="7"/>
    <x v="32"/>
    <x v="4"/>
    <x v="3"/>
    <x v="3"/>
    <x v="5"/>
    <x v="5"/>
    <x v="7"/>
  </r>
  <r>
    <x v="102"/>
    <x v="8"/>
    <x v="32"/>
    <x v="4"/>
    <x v="3"/>
    <x v="3"/>
    <x v="5"/>
    <x v="5"/>
    <x v="8"/>
  </r>
  <r>
    <x v="102"/>
    <x v="9"/>
    <x v="32"/>
    <x v="4"/>
    <x v="3"/>
    <x v="3"/>
    <x v="5"/>
    <x v="5"/>
    <x v="9"/>
  </r>
  <r>
    <x v="103"/>
    <x v="2"/>
    <x v="33"/>
    <x v="4"/>
    <x v="3"/>
    <x v="3"/>
    <x v="2"/>
    <x v="5"/>
    <x v="2"/>
  </r>
  <r>
    <x v="103"/>
    <x v="3"/>
    <x v="33"/>
    <x v="4"/>
    <x v="3"/>
    <x v="3"/>
    <x v="3"/>
    <x v="5"/>
    <x v="3"/>
  </r>
  <r>
    <x v="103"/>
    <x v="4"/>
    <x v="33"/>
    <x v="4"/>
    <x v="3"/>
    <x v="3"/>
    <x v="7"/>
    <x v="5"/>
    <x v="4"/>
  </r>
  <r>
    <x v="103"/>
    <x v="5"/>
    <x v="33"/>
    <x v="4"/>
    <x v="3"/>
    <x v="3"/>
    <x v="5"/>
    <x v="5"/>
    <x v="5"/>
  </r>
  <r>
    <x v="103"/>
    <x v="6"/>
    <x v="33"/>
    <x v="4"/>
    <x v="3"/>
    <x v="3"/>
    <x v="5"/>
    <x v="5"/>
    <x v="6"/>
  </r>
  <r>
    <x v="103"/>
    <x v="7"/>
    <x v="33"/>
    <x v="4"/>
    <x v="3"/>
    <x v="3"/>
    <x v="5"/>
    <x v="5"/>
    <x v="7"/>
  </r>
  <r>
    <x v="103"/>
    <x v="8"/>
    <x v="33"/>
    <x v="4"/>
    <x v="3"/>
    <x v="3"/>
    <x v="5"/>
    <x v="5"/>
    <x v="8"/>
  </r>
  <r>
    <x v="103"/>
    <x v="9"/>
    <x v="33"/>
    <x v="4"/>
    <x v="3"/>
    <x v="3"/>
    <x v="5"/>
    <x v="5"/>
    <x v="9"/>
  </r>
  <r>
    <x v="104"/>
    <x v="2"/>
    <x v="34"/>
    <x v="4"/>
    <x v="3"/>
    <x v="3"/>
    <x v="2"/>
    <x v="5"/>
    <x v="2"/>
  </r>
  <r>
    <x v="104"/>
    <x v="3"/>
    <x v="34"/>
    <x v="4"/>
    <x v="3"/>
    <x v="3"/>
    <x v="3"/>
    <x v="5"/>
    <x v="3"/>
  </r>
  <r>
    <x v="104"/>
    <x v="4"/>
    <x v="34"/>
    <x v="4"/>
    <x v="3"/>
    <x v="3"/>
    <x v="7"/>
    <x v="5"/>
    <x v="4"/>
  </r>
  <r>
    <x v="104"/>
    <x v="5"/>
    <x v="34"/>
    <x v="4"/>
    <x v="3"/>
    <x v="3"/>
    <x v="5"/>
    <x v="5"/>
    <x v="5"/>
  </r>
  <r>
    <x v="104"/>
    <x v="6"/>
    <x v="34"/>
    <x v="4"/>
    <x v="3"/>
    <x v="3"/>
    <x v="5"/>
    <x v="5"/>
    <x v="6"/>
  </r>
  <r>
    <x v="104"/>
    <x v="7"/>
    <x v="34"/>
    <x v="4"/>
    <x v="3"/>
    <x v="3"/>
    <x v="5"/>
    <x v="5"/>
    <x v="7"/>
  </r>
  <r>
    <x v="104"/>
    <x v="8"/>
    <x v="34"/>
    <x v="4"/>
    <x v="3"/>
    <x v="3"/>
    <x v="5"/>
    <x v="5"/>
    <x v="8"/>
  </r>
  <r>
    <x v="104"/>
    <x v="9"/>
    <x v="34"/>
    <x v="4"/>
    <x v="3"/>
    <x v="3"/>
    <x v="5"/>
    <x v="5"/>
    <x v="9"/>
  </r>
  <r>
    <x v="105"/>
    <x v="2"/>
    <x v="44"/>
    <x v="4"/>
    <x v="3"/>
    <x v="3"/>
    <x v="2"/>
    <x v="5"/>
    <x v="2"/>
  </r>
  <r>
    <x v="105"/>
    <x v="3"/>
    <x v="44"/>
    <x v="4"/>
    <x v="3"/>
    <x v="3"/>
    <x v="3"/>
    <x v="5"/>
    <x v="3"/>
  </r>
  <r>
    <x v="105"/>
    <x v="4"/>
    <x v="44"/>
    <x v="4"/>
    <x v="3"/>
    <x v="3"/>
    <x v="7"/>
    <x v="5"/>
    <x v="4"/>
  </r>
  <r>
    <x v="105"/>
    <x v="5"/>
    <x v="44"/>
    <x v="4"/>
    <x v="3"/>
    <x v="3"/>
    <x v="5"/>
    <x v="5"/>
    <x v="5"/>
  </r>
  <r>
    <x v="105"/>
    <x v="6"/>
    <x v="44"/>
    <x v="4"/>
    <x v="3"/>
    <x v="3"/>
    <x v="5"/>
    <x v="5"/>
    <x v="6"/>
  </r>
  <r>
    <x v="105"/>
    <x v="7"/>
    <x v="44"/>
    <x v="4"/>
    <x v="3"/>
    <x v="3"/>
    <x v="5"/>
    <x v="5"/>
    <x v="7"/>
  </r>
  <r>
    <x v="105"/>
    <x v="8"/>
    <x v="44"/>
    <x v="4"/>
    <x v="3"/>
    <x v="3"/>
    <x v="5"/>
    <x v="5"/>
    <x v="8"/>
  </r>
  <r>
    <x v="105"/>
    <x v="9"/>
    <x v="44"/>
    <x v="4"/>
    <x v="3"/>
    <x v="3"/>
    <x v="5"/>
    <x v="5"/>
    <x v="9"/>
  </r>
  <r>
    <x v="106"/>
    <x v="2"/>
    <x v="57"/>
    <x v="4"/>
    <x v="3"/>
    <x v="3"/>
    <x v="2"/>
    <x v="5"/>
    <x v="2"/>
  </r>
  <r>
    <x v="106"/>
    <x v="3"/>
    <x v="57"/>
    <x v="4"/>
    <x v="3"/>
    <x v="3"/>
    <x v="3"/>
    <x v="5"/>
    <x v="3"/>
  </r>
  <r>
    <x v="106"/>
    <x v="4"/>
    <x v="57"/>
    <x v="4"/>
    <x v="3"/>
    <x v="3"/>
    <x v="7"/>
    <x v="5"/>
    <x v="4"/>
  </r>
  <r>
    <x v="106"/>
    <x v="5"/>
    <x v="57"/>
    <x v="4"/>
    <x v="3"/>
    <x v="3"/>
    <x v="5"/>
    <x v="5"/>
    <x v="5"/>
  </r>
  <r>
    <x v="106"/>
    <x v="6"/>
    <x v="57"/>
    <x v="4"/>
    <x v="3"/>
    <x v="3"/>
    <x v="5"/>
    <x v="5"/>
    <x v="6"/>
  </r>
  <r>
    <x v="106"/>
    <x v="7"/>
    <x v="57"/>
    <x v="4"/>
    <x v="3"/>
    <x v="3"/>
    <x v="5"/>
    <x v="5"/>
    <x v="7"/>
  </r>
  <r>
    <x v="106"/>
    <x v="8"/>
    <x v="57"/>
    <x v="4"/>
    <x v="3"/>
    <x v="3"/>
    <x v="5"/>
    <x v="5"/>
    <x v="8"/>
  </r>
  <r>
    <x v="106"/>
    <x v="9"/>
    <x v="57"/>
    <x v="4"/>
    <x v="3"/>
    <x v="3"/>
    <x v="5"/>
    <x v="5"/>
    <x v="9"/>
  </r>
  <r>
    <x v="107"/>
    <x v="2"/>
    <x v="14"/>
    <x v="5"/>
    <x v="2"/>
    <x v="2"/>
    <x v="6"/>
    <x v="3"/>
    <x v="2"/>
  </r>
  <r>
    <x v="107"/>
    <x v="3"/>
    <x v="14"/>
    <x v="5"/>
    <x v="2"/>
    <x v="2"/>
    <x v="6"/>
    <x v="3"/>
    <x v="3"/>
  </r>
  <r>
    <x v="107"/>
    <x v="4"/>
    <x v="14"/>
    <x v="5"/>
    <x v="2"/>
    <x v="2"/>
    <x v="6"/>
    <x v="3"/>
    <x v="4"/>
  </r>
  <r>
    <x v="107"/>
    <x v="5"/>
    <x v="14"/>
    <x v="5"/>
    <x v="2"/>
    <x v="2"/>
    <x v="6"/>
    <x v="3"/>
    <x v="5"/>
  </r>
  <r>
    <x v="107"/>
    <x v="6"/>
    <x v="14"/>
    <x v="5"/>
    <x v="2"/>
    <x v="2"/>
    <x v="6"/>
    <x v="3"/>
    <x v="6"/>
  </r>
  <r>
    <x v="107"/>
    <x v="7"/>
    <x v="14"/>
    <x v="5"/>
    <x v="2"/>
    <x v="2"/>
    <x v="6"/>
    <x v="3"/>
    <x v="7"/>
  </r>
  <r>
    <x v="107"/>
    <x v="8"/>
    <x v="14"/>
    <x v="5"/>
    <x v="2"/>
    <x v="2"/>
    <x v="6"/>
    <x v="3"/>
    <x v="8"/>
  </r>
  <r>
    <x v="107"/>
    <x v="9"/>
    <x v="14"/>
    <x v="5"/>
    <x v="2"/>
    <x v="2"/>
    <x v="6"/>
    <x v="3"/>
    <x v="9"/>
  </r>
  <r>
    <x v="108"/>
    <x v="2"/>
    <x v="15"/>
    <x v="5"/>
    <x v="2"/>
    <x v="2"/>
    <x v="6"/>
    <x v="3"/>
    <x v="2"/>
  </r>
  <r>
    <x v="108"/>
    <x v="3"/>
    <x v="15"/>
    <x v="5"/>
    <x v="2"/>
    <x v="2"/>
    <x v="6"/>
    <x v="3"/>
    <x v="3"/>
  </r>
  <r>
    <x v="108"/>
    <x v="4"/>
    <x v="15"/>
    <x v="5"/>
    <x v="2"/>
    <x v="2"/>
    <x v="6"/>
    <x v="3"/>
    <x v="4"/>
  </r>
  <r>
    <x v="108"/>
    <x v="5"/>
    <x v="15"/>
    <x v="5"/>
    <x v="2"/>
    <x v="2"/>
    <x v="6"/>
    <x v="3"/>
    <x v="5"/>
  </r>
  <r>
    <x v="108"/>
    <x v="6"/>
    <x v="15"/>
    <x v="5"/>
    <x v="2"/>
    <x v="2"/>
    <x v="6"/>
    <x v="3"/>
    <x v="6"/>
  </r>
  <r>
    <x v="108"/>
    <x v="7"/>
    <x v="15"/>
    <x v="5"/>
    <x v="2"/>
    <x v="2"/>
    <x v="6"/>
    <x v="3"/>
    <x v="7"/>
  </r>
  <r>
    <x v="108"/>
    <x v="8"/>
    <x v="15"/>
    <x v="5"/>
    <x v="2"/>
    <x v="2"/>
    <x v="6"/>
    <x v="3"/>
    <x v="8"/>
  </r>
  <r>
    <x v="108"/>
    <x v="9"/>
    <x v="15"/>
    <x v="5"/>
    <x v="2"/>
    <x v="2"/>
    <x v="6"/>
    <x v="3"/>
    <x v="9"/>
  </r>
  <r>
    <x v="109"/>
    <x v="2"/>
    <x v="44"/>
    <x v="5"/>
    <x v="2"/>
    <x v="2"/>
    <x v="6"/>
    <x v="3"/>
    <x v="2"/>
  </r>
  <r>
    <x v="109"/>
    <x v="3"/>
    <x v="44"/>
    <x v="5"/>
    <x v="2"/>
    <x v="2"/>
    <x v="6"/>
    <x v="3"/>
    <x v="3"/>
  </r>
  <r>
    <x v="109"/>
    <x v="4"/>
    <x v="44"/>
    <x v="5"/>
    <x v="2"/>
    <x v="2"/>
    <x v="6"/>
    <x v="3"/>
    <x v="4"/>
  </r>
  <r>
    <x v="109"/>
    <x v="5"/>
    <x v="44"/>
    <x v="5"/>
    <x v="2"/>
    <x v="2"/>
    <x v="6"/>
    <x v="3"/>
    <x v="5"/>
  </r>
  <r>
    <x v="109"/>
    <x v="6"/>
    <x v="44"/>
    <x v="5"/>
    <x v="2"/>
    <x v="2"/>
    <x v="6"/>
    <x v="3"/>
    <x v="6"/>
  </r>
  <r>
    <x v="109"/>
    <x v="7"/>
    <x v="44"/>
    <x v="5"/>
    <x v="2"/>
    <x v="2"/>
    <x v="6"/>
    <x v="3"/>
    <x v="7"/>
  </r>
  <r>
    <x v="109"/>
    <x v="8"/>
    <x v="44"/>
    <x v="5"/>
    <x v="2"/>
    <x v="2"/>
    <x v="6"/>
    <x v="3"/>
    <x v="8"/>
  </r>
  <r>
    <x v="109"/>
    <x v="9"/>
    <x v="44"/>
    <x v="5"/>
    <x v="2"/>
    <x v="2"/>
    <x v="6"/>
    <x v="3"/>
    <x v="9"/>
  </r>
  <r>
    <x v="110"/>
    <x v="2"/>
    <x v="7"/>
    <x v="5"/>
    <x v="2"/>
    <x v="2"/>
    <x v="2"/>
    <x v="3"/>
    <x v="2"/>
  </r>
  <r>
    <x v="110"/>
    <x v="3"/>
    <x v="7"/>
    <x v="5"/>
    <x v="2"/>
    <x v="2"/>
    <x v="3"/>
    <x v="5"/>
    <x v="3"/>
  </r>
  <r>
    <x v="110"/>
    <x v="4"/>
    <x v="7"/>
    <x v="5"/>
    <x v="2"/>
    <x v="2"/>
    <x v="4"/>
    <x v="5"/>
    <x v="4"/>
  </r>
  <r>
    <x v="110"/>
    <x v="5"/>
    <x v="7"/>
    <x v="5"/>
    <x v="2"/>
    <x v="2"/>
    <x v="5"/>
    <x v="5"/>
    <x v="5"/>
  </r>
  <r>
    <x v="110"/>
    <x v="6"/>
    <x v="7"/>
    <x v="5"/>
    <x v="2"/>
    <x v="2"/>
    <x v="8"/>
    <x v="5"/>
    <x v="6"/>
  </r>
  <r>
    <x v="110"/>
    <x v="7"/>
    <x v="7"/>
    <x v="5"/>
    <x v="2"/>
    <x v="2"/>
    <x v="6"/>
    <x v="5"/>
    <x v="7"/>
  </r>
  <r>
    <x v="110"/>
    <x v="8"/>
    <x v="7"/>
    <x v="5"/>
    <x v="2"/>
    <x v="2"/>
    <x v="6"/>
    <x v="5"/>
    <x v="8"/>
  </r>
  <r>
    <x v="110"/>
    <x v="9"/>
    <x v="7"/>
    <x v="5"/>
    <x v="2"/>
    <x v="2"/>
    <x v="6"/>
    <x v="5"/>
    <x v="9"/>
  </r>
  <r>
    <x v="111"/>
    <x v="2"/>
    <x v="8"/>
    <x v="5"/>
    <x v="2"/>
    <x v="2"/>
    <x v="2"/>
    <x v="5"/>
    <x v="2"/>
  </r>
  <r>
    <x v="111"/>
    <x v="3"/>
    <x v="8"/>
    <x v="5"/>
    <x v="2"/>
    <x v="2"/>
    <x v="3"/>
    <x v="5"/>
    <x v="3"/>
  </r>
  <r>
    <x v="111"/>
    <x v="4"/>
    <x v="8"/>
    <x v="5"/>
    <x v="2"/>
    <x v="2"/>
    <x v="4"/>
    <x v="5"/>
    <x v="4"/>
  </r>
  <r>
    <x v="111"/>
    <x v="5"/>
    <x v="8"/>
    <x v="5"/>
    <x v="2"/>
    <x v="2"/>
    <x v="5"/>
    <x v="5"/>
    <x v="5"/>
  </r>
  <r>
    <x v="111"/>
    <x v="6"/>
    <x v="8"/>
    <x v="5"/>
    <x v="2"/>
    <x v="2"/>
    <x v="8"/>
    <x v="5"/>
    <x v="6"/>
  </r>
  <r>
    <x v="111"/>
    <x v="7"/>
    <x v="8"/>
    <x v="5"/>
    <x v="2"/>
    <x v="2"/>
    <x v="6"/>
    <x v="5"/>
    <x v="7"/>
  </r>
  <r>
    <x v="111"/>
    <x v="8"/>
    <x v="8"/>
    <x v="5"/>
    <x v="2"/>
    <x v="2"/>
    <x v="6"/>
    <x v="5"/>
    <x v="8"/>
  </r>
  <r>
    <x v="111"/>
    <x v="9"/>
    <x v="8"/>
    <x v="5"/>
    <x v="2"/>
    <x v="2"/>
    <x v="6"/>
    <x v="5"/>
    <x v="9"/>
  </r>
  <r>
    <x v="112"/>
    <x v="2"/>
    <x v="9"/>
    <x v="5"/>
    <x v="2"/>
    <x v="2"/>
    <x v="3"/>
    <x v="5"/>
    <x v="2"/>
  </r>
  <r>
    <x v="112"/>
    <x v="3"/>
    <x v="9"/>
    <x v="5"/>
    <x v="2"/>
    <x v="2"/>
    <x v="4"/>
    <x v="5"/>
    <x v="3"/>
  </r>
  <r>
    <x v="112"/>
    <x v="4"/>
    <x v="9"/>
    <x v="5"/>
    <x v="2"/>
    <x v="2"/>
    <x v="5"/>
    <x v="5"/>
    <x v="4"/>
  </r>
  <r>
    <x v="112"/>
    <x v="5"/>
    <x v="9"/>
    <x v="5"/>
    <x v="2"/>
    <x v="2"/>
    <x v="6"/>
    <x v="5"/>
    <x v="5"/>
  </r>
  <r>
    <x v="112"/>
    <x v="6"/>
    <x v="9"/>
    <x v="5"/>
    <x v="2"/>
    <x v="2"/>
    <x v="6"/>
    <x v="5"/>
    <x v="6"/>
  </r>
  <r>
    <x v="112"/>
    <x v="7"/>
    <x v="9"/>
    <x v="5"/>
    <x v="2"/>
    <x v="2"/>
    <x v="6"/>
    <x v="5"/>
    <x v="7"/>
  </r>
  <r>
    <x v="112"/>
    <x v="8"/>
    <x v="9"/>
    <x v="5"/>
    <x v="2"/>
    <x v="2"/>
    <x v="6"/>
    <x v="5"/>
    <x v="8"/>
  </r>
  <r>
    <x v="112"/>
    <x v="9"/>
    <x v="9"/>
    <x v="5"/>
    <x v="2"/>
    <x v="2"/>
    <x v="6"/>
    <x v="5"/>
    <x v="9"/>
  </r>
  <r>
    <x v="113"/>
    <x v="2"/>
    <x v="10"/>
    <x v="5"/>
    <x v="2"/>
    <x v="2"/>
    <x v="3"/>
    <x v="5"/>
    <x v="2"/>
  </r>
  <r>
    <x v="113"/>
    <x v="3"/>
    <x v="10"/>
    <x v="5"/>
    <x v="2"/>
    <x v="2"/>
    <x v="4"/>
    <x v="5"/>
    <x v="3"/>
  </r>
  <r>
    <x v="113"/>
    <x v="4"/>
    <x v="10"/>
    <x v="5"/>
    <x v="2"/>
    <x v="2"/>
    <x v="5"/>
    <x v="5"/>
    <x v="4"/>
  </r>
  <r>
    <x v="113"/>
    <x v="5"/>
    <x v="10"/>
    <x v="5"/>
    <x v="2"/>
    <x v="2"/>
    <x v="6"/>
    <x v="5"/>
    <x v="5"/>
  </r>
  <r>
    <x v="113"/>
    <x v="6"/>
    <x v="10"/>
    <x v="5"/>
    <x v="2"/>
    <x v="2"/>
    <x v="6"/>
    <x v="5"/>
    <x v="6"/>
  </r>
  <r>
    <x v="113"/>
    <x v="7"/>
    <x v="10"/>
    <x v="5"/>
    <x v="2"/>
    <x v="2"/>
    <x v="6"/>
    <x v="5"/>
    <x v="7"/>
  </r>
  <r>
    <x v="113"/>
    <x v="8"/>
    <x v="10"/>
    <x v="5"/>
    <x v="2"/>
    <x v="2"/>
    <x v="6"/>
    <x v="5"/>
    <x v="8"/>
  </r>
  <r>
    <x v="113"/>
    <x v="9"/>
    <x v="10"/>
    <x v="5"/>
    <x v="2"/>
    <x v="2"/>
    <x v="6"/>
    <x v="5"/>
    <x v="9"/>
  </r>
  <r>
    <x v="114"/>
    <x v="2"/>
    <x v="11"/>
    <x v="5"/>
    <x v="2"/>
    <x v="2"/>
    <x v="3"/>
    <x v="5"/>
    <x v="2"/>
  </r>
  <r>
    <x v="114"/>
    <x v="3"/>
    <x v="11"/>
    <x v="5"/>
    <x v="2"/>
    <x v="2"/>
    <x v="4"/>
    <x v="5"/>
    <x v="3"/>
  </r>
  <r>
    <x v="114"/>
    <x v="4"/>
    <x v="11"/>
    <x v="5"/>
    <x v="2"/>
    <x v="2"/>
    <x v="5"/>
    <x v="5"/>
    <x v="4"/>
  </r>
  <r>
    <x v="114"/>
    <x v="5"/>
    <x v="11"/>
    <x v="5"/>
    <x v="2"/>
    <x v="2"/>
    <x v="6"/>
    <x v="5"/>
    <x v="5"/>
  </r>
  <r>
    <x v="114"/>
    <x v="6"/>
    <x v="11"/>
    <x v="5"/>
    <x v="2"/>
    <x v="2"/>
    <x v="6"/>
    <x v="5"/>
    <x v="6"/>
  </r>
  <r>
    <x v="114"/>
    <x v="7"/>
    <x v="11"/>
    <x v="5"/>
    <x v="2"/>
    <x v="2"/>
    <x v="6"/>
    <x v="5"/>
    <x v="7"/>
  </r>
  <r>
    <x v="114"/>
    <x v="8"/>
    <x v="11"/>
    <x v="5"/>
    <x v="2"/>
    <x v="2"/>
    <x v="6"/>
    <x v="5"/>
    <x v="8"/>
  </r>
  <r>
    <x v="114"/>
    <x v="9"/>
    <x v="11"/>
    <x v="5"/>
    <x v="2"/>
    <x v="2"/>
    <x v="6"/>
    <x v="5"/>
    <x v="9"/>
  </r>
  <r>
    <x v="115"/>
    <x v="2"/>
    <x v="12"/>
    <x v="5"/>
    <x v="2"/>
    <x v="2"/>
    <x v="3"/>
    <x v="5"/>
    <x v="2"/>
  </r>
  <r>
    <x v="115"/>
    <x v="3"/>
    <x v="12"/>
    <x v="5"/>
    <x v="2"/>
    <x v="2"/>
    <x v="4"/>
    <x v="5"/>
    <x v="3"/>
  </r>
  <r>
    <x v="115"/>
    <x v="4"/>
    <x v="12"/>
    <x v="5"/>
    <x v="2"/>
    <x v="2"/>
    <x v="5"/>
    <x v="5"/>
    <x v="4"/>
  </r>
  <r>
    <x v="115"/>
    <x v="5"/>
    <x v="12"/>
    <x v="5"/>
    <x v="2"/>
    <x v="2"/>
    <x v="6"/>
    <x v="5"/>
    <x v="5"/>
  </r>
  <r>
    <x v="115"/>
    <x v="6"/>
    <x v="12"/>
    <x v="5"/>
    <x v="2"/>
    <x v="2"/>
    <x v="6"/>
    <x v="5"/>
    <x v="6"/>
  </r>
  <r>
    <x v="115"/>
    <x v="7"/>
    <x v="12"/>
    <x v="5"/>
    <x v="2"/>
    <x v="2"/>
    <x v="6"/>
    <x v="5"/>
    <x v="7"/>
  </r>
  <r>
    <x v="115"/>
    <x v="8"/>
    <x v="12"/>
    <x v="5"/>
    <x v="2"/>
    <x v="2"/>
    <x v="6"/>
    <x v="5"/>
    <x v="8"/>
  </r>
  <r>
    <x v="115"/>
    <x v="9"/>
    <x v="12"/>
    <x v="5"/>
    <x v="2"/>
    <x v="2"/>
    <x v="6"/>
    <x v="5"/>
    <x v="9"/>
  </r>
  <r>
    <x v="116"/>
    <x v="2"/>
    <x v="13"/>
    <x v="5"/>
    <x v="2"/>
    <x v="2"/>
    <x v="3"/>
    <x v="5"/>
    <x v="2"/>
  </r>
  <r>
    <x v="116"/>
    <x v="3"/>
    <x v="13"/>
    <x v="5"/>
    <x v="2"/>
    <x v="2"/>
    <x v="4"/>
    <x v="5"/>
    <x v="3"/>
  </r>
  <r>
    <x v="116"/>
    <x v="4"/>
    <x v="13"/>
    <x v="5"/>
    <x v="2"/>
    <x v="2"/>
    <x v="5"/>
    <x v="5"/>
    <x v="4"/>
  </r>
  <r>
    <x v="116"/>
    <x v="5"/>
    <x v="13"/>
    <x v="5"/>
    <x v="2"/>
    <x v="2"/>
    <x v="6"/>
    <x v="5"/>
    <x v="5"/>
  </r>
  <r>
    <x v="116"/>
    <x v="6"/>
    <x v="13"/>
    <x v="5"/>
    <x v="2"/>
    <x v="2"/>
    <x v="6"/>
    <x v="5"/>
    <x v="6"/>
  </r>
  <r>
    <x v="116"/>
    <x v="7"/>
    <x v="13"/>
    <x v="5"/>
    <x v="2"/>
    <x v="2"/>
    <x v="6"/>
    <x v="5"/>
    <x v="7"/>
  </r>
  <r>
    <x v="116"/>
    <x v="8"/>
    <x v="13"/>
    <x v="5"/>
    <x v="2"/>
    <x v="2"/>
    <x v="6"/>
    <x v="5"/>
    <x v="8"/>
  </r>
  <r>
    <x v="116"/>
    <x v="9"/>
    <x v="13"/>
    <x v="5"/>
    <x v="2"/>
    <x v="2"/>
    <x v="6"/>
    <x v="5"/>
    <x v="9"/>
  </r>
  <r>
    <x v="117"/>
    <x v="2"/>
    <x v="61"/>
    <x v="5"/>
    <x v="2"/>
    <x v="2"/>
    <x v="7"/>
    <x v="3"/>
    <x v="2"/>
  </r>
  <r>
    <x v="117"/>
    <x v="3"/>
    <x v="61"/>
    <x v="5"/>
    <x v="2"/>
    <x v="2"/>
    <x v="5"/>
    <x v="3"/>
    <x v="3"/>
  </r>
  <r>
    <x v="117"/>
    <x v="4"/>
    <x v="61"/>
    <x v="5"/>
    <x v="2"/>
    <x v="2"/>
    <x v="8"/>
    <x v="3"/>
    <x v="4"/>
  </r>
  <r>
    <x v="117"/>
    <x v="5"/>
    <x v="61"/>
    <x v="5"/>
    <x v="2"/>
    <x v="2"/>
    <x v="6"/>
    <x v="3"/>
    <x v="5"/>
  </r>
  <r>
    <x v="117"/>
    <x v="6"/>
    <x v="61"/>
    <x v="5"/>
    <x v="2"/>
    <x v="2"/>
    <x v="6"/>
    <x v="3"/>
    <x v="6"/>
  </r>
  <r>
    <x v="117"/>
    <x v="7"/>
    <x v="61"/>
    <x v="5"/>
    <x v="2"/>
    <x v="2"/>
    <x v="6"/>
    <x v="3"/>
    <x v="7"/>
  </r>
  <r>
    <x v="117"/>
    <x v="8"/>
    <x v="61"/>
    <x v="5"/>
    <x v="2"/>
    <x v="2"/>
    <x v="6"/>
    <x v="3"/>
    <x v="8"/>
  </r>
  <r>
    <x v="117"/>
    <x v="9"/>
    <x v="61"/>
    <x v="5"/>
    <x v="2"/>
    <x v="2"/>
    <x v="6"/>
    <x v="3"/>
    <x v="9"/>
  </r>
  <r>
    <x v="118"/>
    <x v="2"/>
    <x v="45"/>
    <x v="5"/>
    <x v="2"/>
    <x v="2"/>
    <x v="7"/>
    <x v="3"/>
    <x v="2"/>
  </r>
  <r>
    <x v="118"/>
    <x v="3"/>
    <x v="45"/>
    <x v="5"/>
    <x v="2"/>
    <x v="2"/>
    <x v="5"/>
    <x v="3"/>
    <x v="3"/>
  </r>
  <r>
    <x v="118"/>
    <x v="4"/>
    <x v="45"/>
    <x v="5"/>
    <x v="2"/>
    <x v="2"/>
    <x v="8"/>
    <x v="3"/>
    <x v="4"/>
  </r>
  <r>
    <x v="118"/>
    <x v="5"/>
    <x v="45"/>
    <x v="5"/>
    <x v="2"/>
    <x v="2"/>
    <x v="6"/>
    <x v="3"/>
    <x v="5"/>
  </r>
  <r>
    <x v="118"/>
    <x v="6"/>
    <x v="45"/>
    <x v="5"/>
    <x v="2"/>
    <x v="2"/>
    <x v="6"/>
    <x v="3"/>
    <x v="6"/>
  </r>
  <r>
    <x v="118"/>
    <x v="7"/>
    <x v="45"/>
    <x v="5"/>
    <x v="2"/>
    <x v="2"/>
    <x v="6"/>
    <x v="3"/>
    <x v="7"/>
  </r>
  <r>
    <x v="118"/>
    <x v="8"/>
    <x v="45"/>
    <x v="5"/>
    <x v="2"/>
    <x v="2"/>
    <x v="6"/>
    <x v="3"/>
    <x v="8"/>
  </r>
  <r>
    <x v="118"/>
    <x v="9"/>
    <x v="45"/>
    <x v="5"/>
    <x v="2"/>
    <x v="2"/>
    <x v="6"/>
    <x v="3"/>
    <x v="9"/>
  </r>
  <r>
    <x v="119"/>
    <x v="2"/>
    <x v="46"/>
    <x v="5"/>
    <x v="2"/>
    <x v="2"/>
    <x v="7"/>
    <x v="3"/>
    <x v="2"/>
  </r>
  <r>
    <x v="119"/>
    <x v="3"/>
    <x v="46"/>
    <x v="5"/>
    <x v="2"/>
    <x v="2"/>
    <x v="5"/>
    <x v="3"/>
    <x v="3"/>
  </r>
  <r>
    <x v="119"/>
    <x v="4"/>
    <x v="46"/>
    <x v="5"/>
    <x v="2"/>
    <x v="2"/>
    <x v="8"/>
    <x v="3"/>
    <x v="4"/>
  </r>
  <r>
    <x v="119"/>
    <x v="5"/>
    <x v="46"/>
    <x v="5"/>
    <x v="2"/>
    <x v="2"/>
    <x v="6"/>
    <x v="3"/>
    <x v="5"/>
  </r>
  <r>
    <x v="119"/>
    <x v="6"/>
    <x v="46"/>
    <x v="5"/>
    <x v="2"/>
    <x v="2"/>
    <x v="6"/>
    <x v="3"/>
    <x v="6"/>
  </r>
  <r>
    <x v="119"/>
    <x v="7"/>
    <x v="46"/>
    <x v="5"/>
    <x v="2"/>
    <x v="2"/>
    <x v="6"/>
    <x v="3"/>
    <x v="7"/>
  </r>
  <r>
    <x v="119"/>
    <x v="8"/>
    <x v="46"/>
    <x v="5"/>
    <x v="2"/>
    <x v="2"/>
    <x v="6"/>
    <x v="3"/>
    <x v="8"/>
  </r>
  <r>
    <x v="119"/>
    <x v="9"/>
    <x v="46"/>
    <x v="5"/>
    <x v="2"/>
    <x v="2"/>
    <x v="6"/>
    <x v="3"/>
    <x v="9"/>
  </r>
  <r>
    <x v="120"/>
    <x v="2"/>
    <x v="48"/>
    <x v="5"/>
    <x v="2"/>
    <x v="2"/>
    <x v="7"/>
    <x v="3"/>
    <x v="2"/>
  </r>
  <r>
    <x v="120"/>
    <x v="3"/>
    <x v="48"/>
    <x v="5"/>
    <x v="2"/>
    <x v="2"/>
    <x v="5"/>
    <x v="3"/>
    <x v="3"/>
  </r>
  <r>
    <x v="120"/>
    <x v="4"/>
    <x v="48"/>
    <x v="5"/>
    <x v="2"/>
    <x v="2"/>
    <x v="8"/>
    <x v="3"/>
    <x v="4"/>
  </r>
  <r>
    <x v="120"/>
    <x v="5"/>
    <x v="48"/>
    <x v="5"/>
    <x v="2"/>
    <x v="2"/>
    <x v="6"/>
    <x v="3"/>
    <x v="5"/>
  </r>
  <r>
    <x v="120"/>
    <x v="6"/>
    <x v="48"/>
    <x v="5"/>
    <x v="2"/>
    <x v="2"/>
    <x v="6"/>
    <x v="3"/>
    <x v="6"/>
  </r>
  <r>
    <x v="120"/>
    <x v="7"/>
    <x v="48"/>
    <x v="5"/>
    <x v="2"/>
    <x v="2"/>
    <x v="6"/>
    <x v="3"/>
    <x v="7"/>
  </r>
  <r>
    <x v="120"/>
    <x v="8"/>
    <x v="48"/>
    <x v="5"/>
    <x v="2"/>
    <x v="2"/>
    <x v="6"/>
    <x v="3"/>
    <x v="8"/>
  </r>
  <r>
    <x v="120"/>
    <x v="9"/>
    <x v="48"/>
    <x v="5"/>
    <x v="2"/>
    <x v="2"/>
    <x v="6"/>
    <x v="3"/>
    <x v="9"/>
  </r>
  <r>
    <x v="121"/>
    <x v="2"/>
    <x v="49"/>
    <x v="5"/>
    <x v="3"/>
    <x v="3"/>
    <x v="7"/>
    <x v="3"/>
    <x v="2"/>
  </r>
  <r>
    <x v="121"/>
    <x v="3"/>
    <x v="49"/>
    <x v="5"/>
    <x v="3"/>
    <x v="3"/>
    <x v="5"/>
    <x v="3"/>
    <x v="3"/>
  </r>
  <r>
    <x v="121"/>
    <x v="4"/>
    <x v="49"/>
    <x v="5"/>
    <x v="3"/>
    <x v="3"/>
    <x v="8"/>
    <x v="3"/>
    <x v="4"/>
  </r>
  <r>
    <x v="121"/>
    <x v="5"/>
    <x v="49"/>
    <x v="5"/>
    <x v="3"/>
    <x v="3"/>
    <x v="6"/>
    <x v="3"/>
    <x v="5"/>
  </r>
  <r>
    <x v="121"/>
    <x v="6"/>
    <x v="49"/>
    <x v="5"/>
    <x v="3"/>
    <x v="3"/>
    <x v="6"/>
    <x v="3"/>
    <x v="6"/>
  </r>
  <r>
    <x v="121"/>
    <x v="7"/>
    <x v="49"/>
    <x v="5"/>
    <x v="3"/>
    <x v="3"/>
    <x v="6"/>
    <x v="3"/>
    <x v="7"/>
  </r>
  <r>
    <x v="121"/>
    <x v="8"/>
    <x v="49"/>
    <x v="5"/>
    <x v="3"/>
    <x v="3"/>
    <x v="6"/>
    <x v="3"/>
    <x v="8"/>
  </r>
  <r>
    <x v="121"/>
    <x v="9"/>
    <x v="49"/>
    <x v="5"/>
    <x v="3"/>
    <x v="3"/>
    <x v="6"/>
    <x v="3"/>
    <x v="9"/>
  </r>
  <r>
    <x v="122"/>
    <x v="2"/>
    <x v="50"/>
    <x v="5"/>
    <x v="3"/>
    <x v="3"/>
    <x v="7"/>
    <x v="3"/>
    <x v="2"/>
  </r>
  <r>
    <x v="122"/>
    <x v="3"/>
    <x v="50"/>
    <x v="5"/>
    <x v="3"/>
    <x v="3"/>
    <x v="5"/>
    <x v="3"/>
    <x v="3"/>
  </r>
  <r>
    <x v="122"/>
    <x v="4"/>
    <x v="50"/>
    <x v="5"/>
    <x v="3"/>
    <x v="3"/>
    <x v="8"/>
    <x v="3"/>
    <x v="4"/>
  </r>
  <r>
    <x v="122"/>
    <x v="5"/>
    <x v="50"/>
    <x v="5"/>
    <x v="3"/>
    <x v="3"/>
    <x v="6"/>
    <x v="3"/>
    <x v="5"/>
  </r>
  <r>
    <x v="122"/>
    <x v="6"/>
    <x v="50"/>
    <x v="5"/>
    <x v="3"/>
    <x v="3"/>
    <x v="6"/>
    <x v="3"/>
    <x v="6"/>
  </r>
  <r>
    <x v="122"/>
    <x v="7"/>
    <x v="50"/>
    <x v="5"/>
    <x v="3"/>
    <x v="3"/>
    <x v="6"/>
    <x v="3"/>
    <x v="7"/>
  </r>
  <r>
    <x v="122"/>
    <x v="8"/>
    <x v="50"/>
    <x v="5"/>
    <x v="3"/>
    <x v="3"/>
    <x v="6"/>
    <x v="3"/>
    <x v="8"/>
  </r>
  <r>
    <x v="122"/>
    <x v="9"/>
    <x v="50"/>
    <x v="5"/>
    <x v="3"/>
    <x v="3"/>
    <x v="6"/>
    <x v="3"/>
    <x v="9"/>
  </r>
  <r>
    <x v="123"/>
    <x v="2"/>
    <x v="51"/>
    <x v="5"/>
    <x v="3"/>
    <x v="3"/>
    <x v="7"/>
    <x v="3"/>
    <x v="2"/>
  </r>
  <r>
    <x v="123"/>
    <x v="3"/>
    <x v="51"/>
    <x v="5"/>
    <x v="3"/>
    <x v="3"/>
    <x v="5"/>
    <x v="3"/>
    <x v="3"/>
  </r>
  <r>
    <x v="123"/>
    <x v="4"/>
    <x v="51"/>
    <x v="5"/>
    <x v="3"/>
    <x v="3"/>
    <x v="8"/>
    <x v="3"/>
    <x v="4"/>
  </r>
  <r>
    <x v="123"/>
    <x v="5"/>
    <x v="51"/>
    <x v="5"/>
    <x v="3"/>
    <x v="3"/>
    <x v="6"/>
    <x v="3"/>
    <x v="5"/>
  </r>
  <r>
    <x v="123"/>
    <x v="6"/>
    <x v="51"/>
    <x v="5"/>
    <x v="3"/>
    <x v="3"/>
    <x v="6"/>
    <x v="3"/>
    <x v="6"/>
  </r>
  <r>
    <x v="123"/>
    <x v="7"/>
    <x v="51"/>
    <x v="5"/>
    <x v="3"/>
    <x v="3"/>
    <x v="6"/>
    <x v="3"/>
    <x v="7"/>
  </r>
  <r>
    <x v="123"/>
    <x v="8"/>
    <x v="51"/>
    <x v="5"/>
    <x v="3"/>
    <x v="3"/>
    <x v="6"/>
    <x v="3"/>
    <x v="8"/>
  </r>
  <r>
    <x v="123"/>
    <x v="9"/>
    <x v="51"/>
    <x v="5"/>
    <x v="3"/>
    <x v="3"/>
    <x v="6"/>
    <x v="3"/>
    <x v="9"/>
  </r>
  <r>
    <x v="124"/>
    <x v="2"/>
    <x v="52"/>
    <x v="5"/>
    <x v="3"/>
    <x v="3"/>
    <x v="7"/>
    <x v="3"/>
    <x v="2"/>
  </r>
  <r>
    <x v="124"/>
    <x v="3"/>
    <x v="52"/>
    <x v="5"/>
    <x v="3"/>
    <x v="3"/>
    <x v="5"/>
    <x v="3"/>
    <x v="3"/>
  </r>
  <r>
    <x v="124"/>
    <x v="4"/>
    <x v="52"/>
    <x v="5"/>
    <x v="3"/>
    <x v="3"/>
    <x v="8"/>
    <x v="3"/>
    <x v="4"/>
  </r>
  <r>
    <x v="124"/>
    <x v="5"/>
    <x v="52"/>
    <x v="5"/>
    <x v="3"/>
    <x v="3"/>
    <x v="6"/>
    <x v="3"/>
    <x v="5"/>
  </r>
  <r>
    <x v="124"/>
    <x v="6"/>
    <x v="52"/>
    <x v="5"/>
    <x v="3"/>
    <x v="3"/>
    <x v="6"/>
    <x v="3"/>
    <x v="6"/>
  </r>
  <r>
    <x v="124"/>
    <x v="7"/>
    <x v="52"/>
    <x v="5"/>
    <x v="3"/>
    <x v="3"/>
    <x v="6"/>
    <x v="3"/>
    <x v="7"/>
  </r>
  <r>
    <x v="124"/>
    <x v="8"/>
    <x v="52"/>
    <x v="5"/>
    <x v="3"/>
    <x v="3"/>
    <x v="6"/>
    <x v="3"/>
    <x v="8"/>
  </r>
  <r>
    <x v="124"/>
    <x v="9"/>
    <x v="52"/>
    <x v="5"/>
    <x v="3"/>
    <x v="3"/>
    <x v="6"/>
    <x v="3"/>
    <x v="9"/>
  </r>
  <r>
    <x v="125"/>
    <x v="2"/>
    <x v="53"/>
    <x v="5"/>
    <x v="3"/>
    <x v="3"/>
    <x v="2"/>
    <x v="3"/>
    <x v="2"/>
  </r>
  <r>
    <x v="125"/>
    <x v="3"/>
    <x v="53"/>
    <x v="5"/>
    <x v="3"/>
    <x v="3"/>
    <x v="3"/>
    <x v="3"/>
    <x v="3"/>
  </r>
  <r>
    <x v="125"/>
    <x v="4"/>
    <x v="53"/>
    <x v="5"/>
    <x v="3"/>
    <x v="3"/>
    <x v="7"/>
    <x v="3"/>
    <x v="4"/>
  </r>
  <r>
    <x v="125"/>
    <x v="5"/>
    <x v="53"/>
    <x v="5"/>
    <x v="3"/>
    <x v="3"/>
    <x v="5"/>
    <x v="3"/>
    <x v="5"/>
  </r>
  <r>
    <x v="125"/>
    <x v="6"/>
    <x v="53"/>
    <x v="5"/>
    <x v="3"/>
    <x v="3"/>
    <x v="5"/>
    <x v="3"/>
    <x v="6"/>
  </r>
  <r>
    <x v="125"/>
    <x v="7"/>
    <x v="53"/>
    <x v="5"/>
    <x v="3"/>
    <x v="3"/>
    <x v="5"/>
    <x v="3"/>
    <x v="7"/>
  </r>
  <r>
    <x v="125"/>
    <x v="8"/>
    <x v="53"/>
    <x v="5"/>
    <x v="3"/>
    <x v="3"/>
    <x v="5"/>
    <x v="3"/>
    <x v="8"/>
  </r>
  <r>
    <x v="125"/>
    <x v="9"/>
    <x v="53"/>
    <x v="5"/>
    <x v="3"/>
    <x v="3"/>
    <x v="5"/>
    <x v="3"/>
    <x v="9"/>
  </r>
  <r>
    <x v="126"/>
    <x v="2"/>
    <x v="54"/>
    <x v="5"/>
    <x v="3"/>
    <x v="3"/>
    <x v="3"/>
    <x v="3"/>
    <x v="2"/>
  </r>
  <r>
    <x v="126"/>
    <x v="4"/>
    <x v="54"/>
    <x v="5"/>
    <x v="3"/>
    <x v="3"/>
    <x v="7"/>
    <x v="3"/>
    <x v="4"/>
  </r>
  <r>
    <x v="126"/>
    <x v="6"/>
    <x v="54"/>
    <x v="5"/>
    <x v="3"/>
    <x v="3"/>
    <x v="5"/>
    <x v="3"/>
    <x v="6"/>
  </r>
  <r>
    <x v="127"/>
    <x v="2"/>
    <x v="55"/>
    <x v="5"/>
    <x v="3"/>
    <x v="3"/>
    <x v="3"/>
    <x v="3"/>
    <x v="2"/>
  </r>
  <r>
    <x v="127"/>
    <x v="4"/>
    <x v="55"/>
    <x v="5"/>
    <x v="3"/>
    <x v="3"/>
    <x v="7"/>
    <x v="3"/>
    <x v="4"/>
  </r>
  <r>
    <x v="127"/>
    <x v="6"/>
    <x v="55"/>
    <x v="5"/>
    <x v="3"/>
    <x v="3"/>
    <x v="5"/>
    <x v="3"/>
    <x v="6"/>
  </r>
  <r>
    <x v="128"/>
    <x v="2"/>
    <x v="56"/>
    <x v="5"/>
    <x v="3"/>
    <x v="3"/>
    <x v="3"/>
    <x v="3"/>
    <x v="2"/>
  </r>
  <r>
    <x v="128"/>
    <x v="4"/>
    <x v="56"/>
    <x v="5"/>
    <x v="3"/>
    <x v="3"/>
    <x v="7"/>
    <x v="3"/>
    <x v="4"/>
  </r>
  <r>
    <x v="128"/>
    <x v="6"/>
    <x v="56"/>
    <x v="5"/>
    <x v="3"/>
    <x v="3"/>
    <x v="5"/>
    <x v="3"/>
    <x v="6"/>
  </r>
  <r>
    <x v="129"/>
    <x v="2"/>
    <x v="28"/>
    <x v="5"/>
    <x v="3"/>
    <x v="3"/>
    <x v="2"/>
    <x v="5"/>
    <x v="2"/>
  </r>
  <r>
    <x v="129"/>
    <x v="3"/>
    <x v="28"/>
    <x v="5"/>
    <x v="3"/>
    <x v="3"/>
    <x v="3"/>
    <x v="5"/>
    <x v="3"/>
  </r>
  <r>
    <x v="129"/>
    <x v="4"/>
    <x v="28"/>
    <x v="5"/>
    <x v="3"/>
    <x v="3"/>
    <x v="7"/>
    <x v="5"/>
    <x v="4"/>
  </r>
  <r>
    <x v="129"/>
    <x v="5"/>
    <x v="28"/>
    <x v="5"/>
    <x v="3"/>
    <x v="3"/>
    <x v="5"/>
    <x v="5"/>
    <x v="5"/>
  </r>
  <r>
    <x v="129"/>
    <x v="6"/>
    <x v="28"/>
    <x v="5"/>
    <x v="3"/>
    <x v="3"/>
    <x v="5"/>
    <x v="5"/>
    <x v="6"/>
  </r>
  <r>
    <x v="129"/>
    <x v="7"/>
    <x v="28"/>
    <x v="5"/>
    <x v="3"/>
    <x v="3"/>
    <x v="5"/>
    <x v="5"/>
    <x v="7"/>
  </r>
  <r>
    <x v="129"/>
    <x v="8"/>
    <x v="28"/>
    <x v="5"/>
    <x v="3"/>
    <x v="3"/>
    <x v="5"/>
    <x v="5"/>
    <x v="8"/>
  </r>
  <r>
    <x v="129"/>
    <x v="9"/>
    <x v="28"/>
    <x v="5"/>
    <x v="3"/>
    <x v="3"/>
    <x v="5"/>
    <x v="5"/>
    <x v="9"/>
  </r>
  <r>
    <x v="130"/>
    <x v="2"/>
    <x v="29"/>
    <x v="5"/>
    <x v="3"/>
    <x v="3"/>
    <x v="2"/>
    <x v="5"/>
    <x v="2"/>
  </r>
  <r>
    <x v="130"/>
    <x v="3"/>
    <x v="29"/>
    <x v="5"/>
    <x v="3"/>
    <x v="3"/>
    <x v="3"/>
    <x v="5"/>
    <x v="3"/>
  </r>
  <r>
    <x v="130"/>
    <x v="4"/>
    <x v="29"/>
    <x v="5"/>
    <x v="3"/>
    <x v="3"/>
    <x v="7"/>
    <x v="5"/>
    <x v="4"/>
  </r>
  <r>
    <x v="130"/>
    <x v="5"/>
    <x v="29"/>
    <x v="5"/>
    <x v="3"/>
    <x v="3"/>
    <x v="5"/>
    <x v="5"/>
    <x v="5"/>
  </r>
  <r>
    <x v="130"/>
    <x v="6"/>
    <x v="29"/>
    <x v="5"/>
    <x v="3"/>
    <x v="3"/>
    <x v="5"/>
    <x v="5"/>
    <x v="6"/>
  </r>
  <r>
    <x v="130"/>
    <x v="7"/>
    <x v="29"/>
    <x v="5"/>
    <x v="3"/>
    <x v="3"/>
    <x v="5"/>
    <x v="5"/>
    <x v="7"/>
  </r>
  <r>
    <x v="130"/>
    <x v="8"/>
    <x v="29"/>
    <x v="5"/>
    <x v="3"/>
    <x v="3"/>
    <x v="5"/>
    <x v="5"/>
    <x v="8"/>
  </r>
  <r>
    <x v="130"/>
    <x v="9"/>
    <x v="29"/>
    <x v="5"/>
    <x v="3"/>
    <x v="3"/>
    <x v="5"/>
    <x v="5"/>
    <x v="9"/>
  </r>
  <r>
    <x v="131"/>
    <x v="2"/>
    <x v="30"/>
    <x v="5"/>
    <x v="3"/>
    <x v="3"/>
    <x v="2"/>
    <x v="5"/>
    <x v="2"/>
  </r>
  <r>
    <x v="131"/>
    <x v="3"/>
    <x v="30"/>
    <x v="5"/>
    <x v="3"/>
    <x v="3"/>
    <x v="3"/>
    <x v="5"/>
    <x v="3"/>
  </r>
  <r>
    <x v="131"/>
    <x v="4"/>
    <x v="30"/>
    <x v="5"/>
    <x v="3"/>
    <x v="3"/>
    <x v="7"/>
    <x v="5"/>
    <x v="4"/>
  </r>
  <r>
    <x v="131"/>
    <x v="5"/>
    <x v="30"/>
    <x v="5"/>
    <x v="3"/>
    <x v="3"/>
    <x v="5"/>
    <x v="5"/>
    <x v="5"/>
  </r>
  <r>
    <x v="131"/>
    <x v="6"/>
    <x v="30"/>
    <x v="5"/>
    <x v="3"/>
    <x v="3"/>
    <x v="5"/>
    <x v="5"/>
    <x v="6"/>
  </r>
  <r>
    <x v="131"/>
    <x v="7"/>
    <x v="30"/>
    <x v="5"/>
    <x v="3"/>
    <x v="3"/>
    <x v="5"/>
    <x v="5"/>
    <x v="7"/>
  </r>
  <r>
    <x v="131"/>
    <x v="8"/>
    <x v="30"/>
    <x v="5"/>
    <x v="3"/>
    <x v="3"/>
    <x v="5"/>
    <x v="5"/>
    <x v="8"/>
  </r>
  <r>
    <x v="131"/>
    <x v="9"/>
    <x v="30"/>
    <x v="5"/>
    <x v="3"/>
    <x v="3"/>
    <x v="5"/>
    <x v="5"/>
    <x v="9"/>
  </r>
  <r>
    <x v="132"/>
    <x v="2"/>
    <x v="31"/>
    <x v="5"/>
    <x v="3"/>
    <x v="3"/>
    <x v="2"/>
    <x v="5"/>
    <x v="2"/>
  </r>
  <r>
    <x v="132"/>
    <x v="3"/>
    <x v="31"/>
    <x v="5"/>
    <x v="3"/>
    <x v="3"/>
    <x v="3"/>
    <x v="5"/>
    <x v="3"/>
  </r>
  <r>
    <x v="132"/>
    <x v="4"/>
    <x v="31"/>
    <x v="5"/>
    <x v="3"/>
    <x v="3"/>
    <x v="7"/>
    <x v="5"/>
    <x v="4"/>
  </r>
  <r>
    <x v="132"/>
    <x v="5"/>
    <x v="31"/>
    <x v="5"/>
    <x v="3"/>
    <x v="3"/>
    <x v="5"/>
    <x v="5"/>
    <x v="5"/>
  </r>
  <r>
    <x v="132"/>
    <x v="6"/>
    <x v="31"/>
    <x v="5"/>
    <x v="3"/>
    <x v="3"/>
    <x v="5"/>
    <x v="5"/>
    <x v="6"/>
  </r>
  <r>
    <x v="132"/>
    <x v="7"/>
    <x v="31"/>
    <x v="5"/>
    <x v="3"/>
    <x v="3"/>
    <x v="5"/>
    <x v="5"/>
    <x v="7"/>
  </r>
  <r>
    <x v="132"/>
    <x v="8"/>
    <x v="31"/>
    <x v="5"/>
    <x v="3"/>
    <x v="3"/>
    <x v="5"/>
    <x v="5"/>
    <x v="8"/>
  </r>
  <r>
    <x v="132"/>
    <x v="9"/>
    <x v="31"/>
    <x v="5"/>
    <x v="3"/>
    <x v="3"/>
    <x v="5"/>
    <x v="5"/>
    <x v="9"/>
  </r>
  <r>
    <x v="133"/>
    <x v="2"/>
    <x v="32"/>
    <x v="5"/>
    <x v="3"/>
    <x v="3"/>
    <x v="2"/>
    <x v="5"/>
    <x v="2"/>
  </r>
  <r>
    <x v="133"/>
    <x v="3"/>
    <x v="32"/>
    <x v="5"/>
    <x v="3"/>
    <x v="3"/>
    <x v="3"/>
    <x v="5"/>
    <x v="3"/>
  </r>
  <r>
    <x v="133"/>
    <x v="4"/>
    <x v="32"/>
    <x v="5"/>
    <x v="3"/>
    <x v="3"/>
    <x v="7"/>
    <x v="5"/>
    <x v="4"/>
  </r>
  <r>
    <x v="133"/>
    <x v="5"/>
    <x v="32"/>
    <x v="5"/>
    <x v="3"/>
    <x v="3"/>
    <x v="5"/>
    <x v="5"/>
    <x v="5"/>
  </r>
  <r>
    <x v="133"/>
    <x v="6"/>
    <x v="32"/>
    <x v="5"/>
    <x v="3"/>
    <x v="3"/>
    <x v="5"/>
    <x v="5"/>
    <x v="6"/>
  </r>
  <r>
    <x v="133"/>
    <x v="7"/>
    <x v="32"/>
    <x v="5"/>
    <x v="3"/>
    <x v="3"/>
    <x v="5"/>
    <x v="5"/>
    <x v="7"/>
  </r>
  <r>
    <x v="133"/>
    <x v="8"/>
    <x v="32"/>
    <x v="5"/>
    <x v="3"/>
    <x v="3"/>
    <x v="5"/>
    <x v="5"/>
    <x v="8"/>
  </r>
  <r>
    <x v="133"/>
    <x v="9"/>
    <x v="32"/>
    <x v="5"/>
    <x v="3"/>
    <x v="3"/>
    <x v="5"/>
    <x v="5"/>
    <x v="9"/>
  </r>
  <r>
    <x v="134"/>
    <x v="2"/>
    <x v="33"/>
    <x v="5"/>
    <x v="3"/>
    <x v="3"/>
    <x v="2"/>
    <x v="5"/>
    <x v="2"/>
  </r>
  <r>
    <x v="134"/>
    <x v="3"/>
    <x v="33"/>
    <x v="5"/>
    <x v="3"/>
    <x v="3"/>
    <x v="3"/>
    <x v="5"/>
    <x v="3"/>
  </r>
  <r>
    <x v="134"/>
    <x v="4"/>
    <x v="33"/>
    <x v="5"/>
    <x v="3"/>
    <x v="3"/>
    <x v="7"/>
    <x v="5"/>
    <x v="4"/>
  </r>
  <r>
    <x v="134"/>
    <x v="5"/>
    <x v="33"/>
    <x v="5"/>
    <x v="3"/>
    <x v="3"/>
    <x v="5"/>
    <x v="5"/>
    <x v="5"/>
  </r>
  <r>
    <x v="134"/>
    <x v="6"/>
    <x v="33"/>
    <x v="5"/>
    <x v="3"/>
    <x v="3"/>
    <x v="5"/>
    <x v="5"/>
    <x v="6"/>
  </r>
  <r>
    <x v="134"/>
    <x v="7"/>
    <x v="33"/>
    <x v="5"/>
    <x v="3"/>
    <x v="3"/>
    <x v="5"/>
    <x v="5"/>
    <x v="7"/>
  </r>
  <r>
    <x v="134"/>
    <x v="8"/>
    <x v="33"/>
    <x v="5"/>
    <x v="3"/>
    <x v="3"/>
    <x v="5"/>
    <x v="5"/>
    <x v="8"/>
  </r>
  <r>
    <x v="134"/>
    <x v="9"/>
    <x v="33"/>
    <x v="5"/>
    <x v="3"/>
    <x v="3"/>
    <x v="5"/>
    <x v="5"/>
    <x v="9"/>
  </r>
  <r>
    <x v="135"/>
    <x v="2"/>
    <x v="34"/>
    <x v="5"/>
    <x v="3"/>
    <x v="3"/>
    <x v="2"/>
    <x v="5"/>
    <x v="2"/>
  </r>
  <r>
    <x v="135"/>
    <x v="3"/>
    <x v="34"/>
    <x v="5"/>
    <x v="3"/>
    <x v="3"/>
    <x v="3"/>
    <x v="5"/>
    <x v="3"/>
  </r>
  <r>
    <x v="135"/>
    <x v="4"/>
    <x v="34"/>
    <x v="5"/>
    <x v="3"/>
    <x v="3"/>
    <x v="7"/>
    <x v="5"/>
    <x v="4"/>
  </r>
  <r>
    <x v="135"/>
    <x v="5"/>
    <x v="34"/>
    <x v="5"/>
    <x v="3"/>
    <x v="3"/>
    <x v="5"/>
    <x v="5"/>
    <x v="5"/>
  </r>
  <r>
    <x v="135"/>
    <x v="6"/>
    <x v="34"/>
    <x v="5"/>
    <x v="3"/>
    <x v="3"/>
    <x v="5"/>
    <x v="5"/>
    <x v="6"/>
  </r>
  <r>
    <x v="135"/>
    <x v="7"/>
    <x v="34"/>
    <x v="5"/>
    <x v="3"/>
    <x v="3"/>
    <x v="5"/>
    <x v="5"/>
    <x v="7"/>
  </r>
  <r>
    <x v="135"/>
    <x v="8"/>
    <x v="34"/>
    <x v="5"/>
    <x v="3"/>
    <x v="3"/>
    <x v="5"/>
    <x v="5"/>
    <x v="8"/>
  </r>
  <r>
    <x v="135"/>
    <x v="9"/>
    <x v="34"/>
    <x v="5"/>
    <x v="3"/>
    <x v="3"/>
    <x v="5"/>
    <x v="5"/>
    <x v="9"/>
  </r>
  <r>
    <x v="136"/>
    <x v="2"/>
    <x v="44"/>
    <x v="5"/>
    <x v="3"/>
    <x v="3"/>
    <x v="2"/>
    <x v="5"/>
    <x v="2"/>
  </r>
  <r>
    <x v="136"/>
    <x v="3"/>
    <x v="44"/>
    <x v="5"/>
    <x v="3"/>
    <x v="3"/>
    <x v="3"/>
    <x v="5"/>
    <x v="3"/>
  </r>
  <r>
    <x v="136"/>
    <x v="4"/>
    <x v="44"/>
    <x v="5"/>
    <x v="3"/>
    <x v="3"/>
    <x v="7"/>
    <x v="5"/>
    <x v="4"/>
  </r>
  <r>
    <x v="136"/>
    <x v="5"/>
    <x v="44"/>
    <x v="5"/>
    <x v="3"/>
    <x v="3"/>
    <x v="5"/>
    <x v="5"/>
    <x v="5"/>
  </r>
  <r>
    <x v="136"/>
    <x v="6"/>
    <x v="44"/>
    <x v="5"/>
    <x v="3"/>
    <x v="3"/>
    <x v="5"/>
    <x v="5"/>
    <x v="6"/>
  </r>
  <r>
    <x v="136"/>
    <x v="7"/>
    <x v="44"/>
    <x v="5"/>
    <x v="3"/>
    <x v="3"/>
    <x v="5"/>
    <x v="5"/>
    <x v="7"/>
  </r>
  <r>
    <x v="136"/>
    <x v="8"/>
    <x v="44"/>
    <x v="5"/>
    <x v="3"/>
    <x v="3"/>
    <x v="5"/>
    <x v="5"/>
    <x v="8"/>
  </r>
  <r>
    <x v="136"/>
    <x v="9"/>
    <x v="44"/>
    <x v="5"/>
    <x v="3"/>
    <x v="3"/>
    <x v="5"/>
    <x v="5"/>
    <x v="9"/>
  </r>
  <r>
    <x v="137"/>
    <x v="2"/>
    <x v="57"/>
    <x v="5"/>
    <x v="3"/>
    <x v="3"/>
    <x v="2"/>
    <x v="5"/>
    <x v="2"/>
  </r>
  <r>
    <x v="137"/>
    <x v="3"/>
    <x v="57"/>
    <x v="5"/>
    <x v="3"/>
    <x v="3"/>
    <x v="3"/>
    <x v="5"/>
    <x v="3"/>
  </r>
  <r>
    <x v="137"/>
    <x v="4"/>
    <x v="57"/>
    <x v="5"/>
    <x v="3"/>
    <x v="3"/>
    <x v="7"/>
    <x v="5"/>
    <x v="4"/>
  </r>
  <r>
    <x v="137"/>
    <x v="5"/>
    <x v="57"/>
    <x v="5"/>
    <x v="3"/>
    <x v="3"/>
    <x v="5"/>
    <x v="5"/>
    <x v="5"/>
  </r>
  <r>
    <x v="137"/>
    <x v="6"/>
    <x v="57"/>
    <x v="5"/>
    <x v="3"/>
    <x v="3"/>
    <x v="5"/>
    <x v="5"/>
    <x v="6"/>
  </r>
  <r>
    <x v="137"/>
    <x v="7"/>
    <x v="57"/>
    <x v="5"/>
    <x v="3"/>
    <x v="3"/>
    <x v="5"/>
    <x v="5"/>
    <x v="7"/>
  </r>
  <r>
    <x v="137"/>
    <x v="8"/>
    <x v="57"/>
    <x v="5"/>
    <x v="3"/>
    <x v="3"/>
    <x v="5"/>
    <x v="5"/>
    <x v="8"/>
  </r>
  <r>
    <x v="137"/>
    <x v="9"/>
    <x v="57"/>
    <x v="5"/>
    <x v="3"/>
    <x v="3"/>
    <x v="5"/>
    <x v="5"/>
    <x v="9"/>
  </r>
  <r>
    <x v="138"/>
    <x v="2"/>
    <x v="14"/>
    <x v="6"/>
    <x v="2"/>
    <x v="2"/>
    <x v="6"/>
    <x v="3"/>
    <x v="2"/>
  </r>
  <r>
    <x v="138"/>
    <x v="3"/>
    <x v="14"/>
    <x v="6"/>
    <x v="2"/>
    <x v="2"/>
    <x v="6"/>
    <x v="3"/>
    <x v="3"/>
  </r>
  <r>
    <x v="138"/>
    <x v="4"/>
    <x v="14"/>
    <x v="6"/>
    <x v="2"/>
    <x v="2"/>
    <x v="6"/>
    <x v="3"/>
    <x v="4"/>
  </r>
  <r>
    <x v="138"/>
    <x v="5"/>
    <x v="14"/>
    <x v="6"/>
    <x v="2"/>
    <x v="2"/>
    <x v="6"/>
    <x v="3"/>
    <x v="5"/>
  </r>
  <r>
    <x v="138"/>
    <x v="6"/>
    <x v="14"/>
    <x v="6"/>
    <x v="2"/>
    <x v="2"/>
    <x v="6"/>
    <x v="3"/>
    <x v="6"/>
  </r>
  <r>
    <x v="138"/>
    <x v="7"/>
    <x v="14"/>
    <x v="6"/>
    <x v="2"/>
    <x v="2"/>
    <x v="6"/>
    <x v="3"/>
    <x v="7"/>
  </r>
  <r>
    <x v="138"/>
    <x v="8"/>
    <x v="14"/>
    <x v="6"/>
    <x v="2"/>
    <x v="2"/>
    <x v="6"/>
    <x v="3"/>
    <x v="8"/>
  </r>
  <r>
    <x v="138"/>
    <x v="9"/>
    <x v="14"/>
    <x v="6"/>
    <x v="2"/>
    <x v="2"/>
    <x v="6"/>
    <x v="3"/>
    <x v="9"/>
  </r>
  <r>
    <x v="139"/>
    <x v="2"/>
    <x v="15"/>
    <x v="6"/>
    <x v="2"/>
    <x v="2"/>
    <x v="6"/>
    <x v="3"/>
    <x v="2"/>
  </r>
  <r>
    <x v="139"/>
    <x v="3"/>
    <x v="15"/>
    <x v="6"/>
    <x v="2"/>
    <x v="2"/>
    <x v="6"/>
    <x v="3"/>
    <x v="3"/>
  </r>
  <r>
    <x v="139"/>
    <x v="4"/>
    <x v="15"/>
    <x v="6"/>
    <x v="2"/>
    <x v="2"/>
    <x v="6"/>
    <x v="3"/>
    <x v="4"/>
  </r>
  <r>
    <x v="139"/>
    <x v="5"/>
    <x v="15"/>
    <x v="6"/>
    <x v="2"/>
    <x v="2"/>
    <x v="6"/>
    <x v="3"/>
    <x v="5"/>
  </r>
  <r>
    <x v="139"/>
    <x v="6"/>
    <x v="15"/>
    <x v="6"/>
    <x v="2"/>
    <x v="2"/>
    <x v="6"/>
    <x v="3"/>
    <x v="6"/>
  </r>
  <r>
    <x v="139"/>
    <x v="7"/>
    <x v="15"/>
    <x v="6"/>
    <x v="2"/>
    <x v="2"/>
    <x v="6"/>
    <x v="3"/>
    <x v="7"/>
  </r>
  <r>
    <x v="139"/>
    <x v="8"/>
    <x v="15"/>
    <x v="6"/>
    <x v="2"/>
    <x v="2"/>
    <x v="6"/>
    <x v="3"/>
    <x v="8"/>
  </r>
  <r>
    <x v="139"/>
    <x v="9"/>
    <x v="15"/>
    <x v="6"/>
    <x v="2"/>
    <x v="2"/>
    <x v="6"/>
    <x v="3"/>
    <x v="9"/>
  </r>
  <r>
    <x v="140"/>
    <x v="2"/>
    <x v="44"/>
    <x v="6"/>
    <x v="2"/>
    <x v="2"/>
    <x v="6"/>
    <x v="3"/>
    <x v="2"/>
  </r>
  <r>
    <x v="140"/>
    <x v="3"/>
    <x v="44"/>
    <x v="6"/>
    <x v="2"/>
    <x v="2"/>
    <x v="6"/>
    <x v="3"/>
    <x v="3"/>
  </r>
  <r>
    <x v="140"/>
    <x v="4"/>
    <x v="44"/>
    <x v="6"/>
    <x v="2"/>
    <x v="2"/>
    <x v="6"/>
    <x v="3"/>
    <x v="4"/>
  </r>
  <r>
    <x v="140"/>
    <x v="5"/>
    <x v="44"/>
    <x v="6"/>
    <x v="2"/>
    <x v="2"/>
    <x v="6"/>
    <x v="3"/>
    <x v="5"/>
  </r>
  <r>
    <x v="140"/>
    <x v="6"/>
    <x v="44"/>
    <x v="6"/>
    <x v="2"/>
    <x v="2"/>
    <x v="6"/>
    <x v="3"/>
    <x v="6"/>
  </r>
  <r>
    <x v="140"/>
    <x v="7"/>
    <x v="44"/>
    <x v="6"/>
    <x v="2"/>
    <x v="2"/>
    <x v="6"/>
    <x v="3"/>
    <x v="7"/>
  </r>
  <r>
    <x v="140"/>
    <x v="8"/>
    <x v="44"/>
    <x v="6"/>
    <x v="2"/>
    <x v="2"/>
    <x v="6"/>
    <x v="3"/>
    <x v="8"/>
  </r>
  <r>
    <x v="140"/>
    <x v="9"/>
    <x v="44"/>
    <x v="6"/>
    <x v="2"/>
    <x v="2"/>
    <x v="6"/>
    <x v="3"/>
    <x v="9"/>
  </r>
  <r>
    <x v="141"/>
    <x v="2"/>
    <x v="7"/>
    <x v="6"/>
    <x v="2"/>
    <x v="2"/>
    <x v="2"/>
    <x v="3"/>
    <x v="2"/>
  </r>
  <r>
    <x v="141"/>
    <x v="3"/>
    <x v="7"/>
    <x v="6"/>
    <x v="2"/>
    <x v="2"/>
    <x v="3"/>
    <x v="5"/>
    <x v="3"/>
  </r>
  <r>
    <x v="141"/>
    <x v="4"/>
    <x v="7"/>
    <x v="6"/>
    <x v="2"/>
    <x v="2"/>
    <x v="4"/>
    <x v="5"/>
    <x v="4"/>
  </r>
  <r>
    <x v="141"/>
    <x v="5"/>
    <x v="7"/>
    <x v="6"/>
    <x v="2"/>
    <x v="2"/>
    <x v="5"/>
    <x v="5"/>
    <x v="5"/>
  </r>
  <r>
    <x v="141"/>
    <x v="6"/>
    <x v="7"/>
    <x v="6"/>
    <x v="2"/>
    <x v="2"/>
    <x v="8"/>
    <x v="5"/>
    <x v="6"/>
  </r>
  <r>
    <x v="141"/>
    <x v="7"/>
    <x v="7"/>
    <x v="6"/>
    <x v="2"/>
    <x v="2"/>
    <x v="6"/>
    <x v="5"/>
    <x v="7"/>
  </r>
  <r>
    <x v="141"/>
    <x v="8"/>
    <x v="7"/>
    <x v="6"/>
    <x v="2"/>
    <x v="2"/>
    <x v="6"/>
    <x v="5"/>
    <x v="8"/>
  </r>
  <r>
    <x v="141"/>
    <x v="9"/>
    <x v="7"/>
    <x v="6"/>
    <x v="2"/>
    <x v="2"/>
    <x v="6"/>
    <x v="5"/>
    <x v="9"/>
  </r>
  <r>
    <x v="142"/>
    <x v="2"/>
    <x v="8"/>
    <x v="6"/>
    <x v="2"/>
    <x v="2"/>
    <x v="2"/>
    <x v="5"/>
    <x v="2"/>
  </r>
  <r>
    <x v="142"/>
    <x v="3"/>
    <x v="8"/>
    <x v="6"/>
    <x v="2"/>
    <x v="2"/>
    <x v="3"/>
    <x v="5"/>
    <x v="3"/>
  </r>
  <r>
    <x v="142"/>
    <x v="4"/>
    <x v="8"/>
    <x v="6"/>
    <x v="2"/>
    <x v="2"/>
    <x v="4"/>
    <x v="5"/>
    <x v="4"/>
  </r>
  <r>
    <x v="142"/>
    <x v="5"/>
    <x v="8"/>
    <x v="6"/>
    <x v="2"/>
    <x v="2"/>
    <x v="5"/>
    <x v="5"/>
    <x v="5"/>
  </r>
  <r>
    <x v="142"/>
    <x v="6"/>
    <x v="8"/>
    <x v="6"/>
    <x v="2"/>
    <x v="2"/>
    <x v="8"/>
    <x v="5"/>
    <x v="6"/>
  </r>
  <r>
    <x v="142"/>
    <x v="7"/>
    <x v="8"/>
    <x v="6"/>
    <x v="2"/>
    <x v="2"/>
    <x v="6"/>
    <x v="5"/>
    <x v="7"/>
  </r>
  <r>
    <x v="142"/>
    <x v="8"/>
    <x v="8"/>
    <x v="6"/>
    <x v="2"/>
    <x v="2"/>
    <x v="6"/>
    <x v="5"/>
    <x v="8"/>
  </r>
  <r>
    <x v="142"/>
    <x v="9"/>
    <x v="8"/>
    <x v="6"/>
    <x v="2"/>
    <x v="2"/>
    <x v="6"/>
    <x v="5"/>
    <x v="9"/>
  </r>
  <r>
    <x v="143"/>
    <x v="2"/>
    <x v="9"/>
    <x v="6"/>
    <x v="2"/>
    <x v="2"/>
    <x v="3"/>
    <x v="5"/>
    <x v="2"/>
  </r>
  <r>
    <x v="143"/>
    <x v="3"/>
    <x v="9"/>
    <x v="6"/>
    <x v="2"/>
    <x v="2"/>
    <x v="4"/>
    <x v="5"/>
    <x v="3"/>
  </r>
  <r>
    <x v="143"/>
    <x v="4"/>
    <x v="9"/>
    <x v="6"/>
    <x v="2"/>
    <x v="2"/>
    <x v="5"/>
    <x v="5"/>
    <x v="4"/>
  </r>
  <r>
    <x v="143"/>
    <x v="5"/>
    <x v="9"/>
    <x v="6"/>
    <x v="2"/>
    <x v="2"/>
    <x v="6"/>
    <x v="5"/>
    <x v="5"/>
  </r>
  <r>
    <x v="143"/>
    <x v="6"/>
    <x v="9"/>
    <x v="6"/>
    <x v="2"/>
    <x v="2"/>
    <x v="6"/>
    <x v="5"/>
    <x v="6"/>
  </r>
  <r>
    <x v="143"/>
    <x v="7"/>
    <x v="9"/>
    <x v="6"/>
    <x v="2"/>
    <x v="2"/>
    <x v="6"/>
    <x v="5"/>
    <x v="7"/>
  </r>
  <r>
    <x v="143"/>
    <x v="8"/>
    <x v="9"/>
    <x v="6"/>
    <x v="2"/>
    <x v="2"/>
    <x v="6"/>
    <x v="5"/>
    <x v="8"/>
  </r>
  <r>
    <x v="143"/>
    <x v="9"/>
    <x v="9"/>
    <x v="6"/>
    <x v="2"/>
    <x v="2"/>
    <x v="6"/>
    <x v="5"/>
    <x v="9"/>
  </r>
  <r>
    <x v="144"/>
    <x v="2"/>
    <x v="10"/>
    <x v="6"/>
    <x v="2"/>
    <x v="2"/>
    <x v="3"/>
    <x v="5"/>
    <x v="2"/>
  </r>
  <r>
    <x v="144"/>
    <x v="3"/>
    <x v="10"/>
    <x v="6"/>
    <x v="2"/>
    <x v="2"/>
    <x v="4"/>
    <x v="5"/>
    <x v="3"/>
  </r>
  <r>
    <x v="144"/>
    <x v="4"/>
    <x v="10"/>
    <x v="6"/>
    <x v="2"/>
    <x v="2"/>
    <x v="5"/>
    <x v="5"/>
    <x v="4"/>
  </r>
  <r>
    <x v="144"/>
    <x v="5"/>
    <x v="10"/>
    <x v="6"/>
    <x v="2"/>
    <x v="2"/>
    <x v="6"/>
    <x v="5"/>
    <x v="5"/>
  </r>
  <r>
    <x v="144"/>
    <x v="6"/>
    <x v="10"/>
    <x v="6"/>
    <x v="2"/>
    <x v="2"/>
    <x v="6"/>
    <x v="5"/>
    <x v="6"/>
  </r>
  <r>
    <x v="144"/>
    <x v="7"/>
    <x v="10"/>
    <x v="6"/>
    <x v="2"/>
    <x v="2"/>
    <x v="6"/>
    <x v="5"/>
    <x v="7"/>
  </r>
  <r>
    <x v="144"/>
    <x v="8"/>
    <x v="10"/>
    <x v="6"/>
    <x v="2"/>
    <x v="2"/>
    <x v="6"/>
    <x v="5"/>
    <x v="8"/>
  </r>
  <r>
    <x v="144"/>
    <x v="9"/>
    <x v="10"/>
    <x v="6"/>
    <x v="2"/>
    <x v="2"/>
    <x v="6"/>
    <x v="5"/>
    <x v="9"/>
  </r>
  <r>
    <x v="145"/>
    <x v="2"/>
    <x v="11"/>
    <x v="6"/>
    <x v="2"/>
    <x v="2"/>
    <x v="3"/>
    <x v="5"/>
    <x v="2"/>
  </r>
  <r>
    <x v="145"/>
    <x v="3"/>
    <x v="11"/>
    <x v="6"/>
    <x v="2"/>
    <x v="2"/>
    <x v="4"/>
    <x v="5"/>
    <x v="3"/>
  </r>
  <r>
    <x v="145"/>
    <x v="4"/>
    <x v="11"/>
    <x v="6"/>
    <x v="2"/>
    <x v="2"/>
    <x v="5"/>
    <x v="5"/>
    <x v="4"/>
  </r>
  <r>
    <x v="145"/>
    <x v="5"/>
    <x v="11"/>
    <x v="6"/>
    <x v="2"/>
    <x v="2"/>
    <x v="6"/>
    <x v="5"/>
    <x v="5"/>
  </r>
  <r>
    <x v="145"/>
    <x v="6"/>
    <x v="11"/>
    <x v="6"/>
    <x v="2"/>
    <x v="2"/>
    <x v="6"/>
    <x v="5"/>
    <x v="6"/>
  </r>
  <r>
    <x v="145"/>
    <x v="7"/>
    <x v="11"/>
    <x v="6"/>
    <x v="2"/>
    <x v="2"/>
    <x v="6"/>
    <x v="5"/>
    <x v="7"/>
  </r>
  <r>
    <x v="145"/>
    <x v="8"/>
    <x v="11"/>
    <x v="6"/>
    <x v="2"/>
    <x v="2"/>
    <x v="6"/>
    <x v="5"/>
    <x v="8"/>
  </r>
  <r>
    <x v="145"/>
    <x v="9"/>
    <x v="11"/>
    <x v="6"/>
    <x v="2"/>
    <x v="2"/>
    <x v="6"/>
    <x v="5"/>
    <x v="9"/>
  </r>
  <r>
    <x v="146"/>
    <x v="2"/>
    <x v="12"/>
    <x v="6"/>
    <x v="2"/>
    <x v="2"/>
    <x v="3"/>
    <x v="5"/>
    <x v="2"/>
  </r>
  <r>
    <x v="146"/>
    <x v="3"/>
    <x v="12"/>
    <x v="6"/>
    <x v="2"/>
    <x v="2"/>
    <x v="4"/>
    <x v="5"/>
    <x v="3"/>
  </r>
  <r>
    <x v="146"/>
    <x v="4"/>
    <x v="12"/>
    <x v="6"/>
    <x v="2"/>
    <x v="2"/>
    <x v="5"/>
    <x v="5"/>
    <x v="4"/>
  </r>
  <r>
    <x v="146"/>
    <x v="5"/>
    <x v="12"/>
    <x v="6"/>
    <x v="2"/>
    <x v="2"/>
    <x v="6"/>
    <x v="5"/>
    <x v="5"/>
  </r>
  <r>
    <x v="146"/>
    <x v="6"/>
    <x v="12"/>
    <x v="6"/>
    <x v="2"/>
    <x v="2"/>
    <x v="6"/>
    <x v="5"/>
    <x v="6"/>
  </r>
  <r>
    <x v="146"/>
    <x v="7"/>
    <x v="12"/>
    <x v="6"/>
    <x v="2"/>
    <x v="2"/>
    <x v="6"/>
    <x v="5"/>
    <x v="7"/>
  </r>
  <r>
    <x v="146"/>
    <x v="8"/>
    <x v="12"/>
    <x v="6"/>
    <x v="2"/>
    <x v="2"/>
    <x v="6"/>
    <x v="5"/>
    <x v="8"/>
  </r>
  <r>
    <x v="146"/>
    <x v="9"/>
    <x v="12"/>
    <x v="6"/>
    <x v="2"/>
    <x v="2"/>
    <x v="6"/>
    <x v="5"/>
    <x v="9"/>
  </r>
  <r>
    <x v="147"/>
    <x v="2"/>
    <x v="13"/>
    <x v="6"/>
    <x v="2"/>
    <x v="2"/>
    <x v="3"/>
    <x v="5"/>
    <x v="2"/>
  </r>
  <r>
    <x v="147"/>
    <x v="3"/>
    <x v="13"/>
    <x v="6"/>
    <x v="2"/>
    <x v="2"/>
    <x v="4"/>
    <x v="5"/>
    <x v="3"/>
  </r>
  <r>
    <x v="147"/>
    <x v="4"/>
    <x v="13"/>
    <x v="6"/>
    <x v="2"/>
    <x v="2"/>
    <x v="5"/>
    <x v="5"/>
    <x v="4"/>
  </r>
  <r>
    <x v="147"/>
    <x v="5"/>
    <x v="13"/>
    <x v="6"/>
    <x v="2"/>
    <x v="2"/>
    <x v="6"/>
    <x v="5"/>
    <x v="5"/>
  </r>
  <r>
    <x v="147"/>
    <x v="6"/>
    <x v="13"/>
    <x v="6"/>
    <x v="2"/>
    <x v="2"/>
    <x v="6"/>
    <x v="5"/>
    <x v="6"/>
  </r>
  <r>
    <x v="147"/>
    <x v="7"/>
    <x v="13"/>
    <x v="6"/>
    <x v="2"/>
    <x v="2"/>
    <x v="6"/>
    <x v="5"/>
    <x v="7"/>
  </r>
  <r>
    <x v="147"/>
    <x v="8"/>
    <x v="13"/>
    <x v="6"/>
    <x v="2"/>
    <x v="2"/>
    <x v="6"/>
    <x v="5"/>
    <x v="8"/>
  </r>
  <r>
    <x v="147"/>
    <x v="9"/>
    <x v="13"/>
    <x v="6"/>
    <x v="2"/>
    <x v="2"/>
    <x v="6"/>
    <x v="5"/>
    <x v="9"/>
  </r>
  <r>
    <x v="148"/>
    <x v="2"/>
    <x v="61"/>
    <x v="6"/>
    <x v="2"/>
    <x v="2"/>
    <x v="7"/>
    <x v="3"/>
    <x v="2"/>
  </r>
  <r>
    <x v="148"/>
    <x v="3"/>
    <x v="61"/>
    <x v="6"/>
    <x v="2"/>
    <x v="2"/>
    <x v="5"/>
    <x v="3"/>
    <x v="3"/>
  </r>
  <r>
    <x v="148"/>
    <x v="4"/>
    <x v="61"/>
    <x v="6"/>
    <x v="2"/>
    <x v="2"/>
    <x v="8"/>
    <x v="3"/>
    <x v="4"/>
  </r>
  <r>
    <x v="148"/>
    <x v="5"/>
    <x v="61"/>
    <x v="6"/>
    <x v="2"/>
    <x v="2"/>
    <x v="6"/>
    <x v="3"/>
    <x v="5"/>
  </r>
  <r>
    <x v="148"/>
    <x v="6"/>
    <x v="61"/>
    <x v="6"/>
    <x v="2"/>
    <x v="2"/>
    <x v="6"/>
    <x v="3"/>
    <x v="6"/>
  </r>
  <r>
    <x v="148"/>
    <x v="7"/>
    <x v="61"/>
    <x v="6"/>
    <x v="2"/>
    <x v="2"/>
    <x v="6"/>
    <x v="3"/>
    <x v="7"/>
  </r>
  <r>
    <x v="148"/>
    <x v="8"/>
    <x v="61"/>
    <x v="6"/>
    <x v="2"/>
    <x v="2"/>
    <x v="6"/>
    <x v="3"/>
    <x v="8"/>
  </r>
  <r>
    <x v="148"/>
    <x v="9"/>
    <x v="61"/>
    <x v="6"/>
    <x v="2"/>
    <x v="2"/>
    <x v="6"/>
    <x v="3"/>
    <x v="9"/>
  </r>
  <r>
    <x v="149"/>
    <x v="2"/>
    <x v="45"/>
    <x v="6"/>
    <x v="2"/>
    <x v="2"/>
    <x v="7"/>
    <x v="3"/>
    <x v="2"/>
  </r>
  <r>
    <x v="149"/>
    <x v="3"/>
    <x v="45"/>
    <x v="6"/>
    <x v="2"/>
    <x v="2"/>
    <x v="5"/>
    <x v="3"/>
    <x v="3"/>
  </r>
  <r>
    <x v="149"/>
    <x v="4"/>
    <x v="45"/>
    <x v="6"/>
    <x v="2"/>
    <x v="2"/>
    <x v="8"/>
    <x v="3"/>
    <x v="4"/>
  </r>
  <r>
    <x v="149"/>
    <x v="5"/>
    <x v="45"/>
    <x v="6"/>
    <x v="2"/>
    <x v="2"/>
    <x v="6"/>
    <x v="3"/>
    <x v="5"/>
  </r>
  <r>
    <x v="149"/>
    <x v="6"/>
    <x v="45"/>
    <x v="6"/>
    <x v="2"/>
    <x v="2"/>
    <x v="6"/>
    <x v="3"/>
    <x v="6"/>
  </r>
  <r>
    <x v="149"/>
    <x v="7"/>
    <x v="45"/>
    <x v="6"/>
    <x v="2"/>
    <x v="2"/>
    <x v="6"/>
    <x v="3"/>
    <x v="7"/>
  </r>
  <r>
    <x v="149"/>
    <x v="8"/>
    <x v="45"/>
    <x v="6"/>
    <x v="2"/>
    <x v="2"/>
    <x v="6"/>
    <x v="3"/>
    <x v="8"/>
  </r>
  <r>
    <x v="149"/>
    <x v="9"/>
    <x v="45"/>
    <x v="6"/>
    <x v="2"/>
    <x v="2"/>
    <x v="6"/>
    <x v="3"/>
    <x v="9"/>
  </r>
  <r>
    <x v="150"/>
    <x v="2"/>
    <x v="46"/>
    <x v="6"/>
    <x v="2"/>
    <x v="2"/>
    <x v="7"/>
    <x v="3"/>
    <x v="2"/>
  </r>
  <r>
    <x v="150"/>
    <x v="3"/>
    <x v="46"/>
    <x v="6"/>
    <x v="2"/>
    <x v="2"/>
    <x v="5"/>
    <x v="3"/>
    <x v="3"/>
  </r>
  <r>
    <x v="150"/>
    <x v="4"/>
    <x v="46"/>
    <x v="6"/>
    <x v="2"/>
    <x v="2"/>
    <x v="8"/>
    <x v="3"/>
    <x v="4"/>
  </r>
  <r>
    <x v="150"/>
    <x v="5"/>
    <x v="46"/>
    <x v="6"/>
    <x v="2"/>
    <x v="2"/>
    <x v="6"/>
    <x v="3"/>
    <x v="5"/>
  </r>
  <r>
    <x v="150"/>
    <x v="6"/>
    <x v="46"/>
    <x v="6"/>
    <x v="2"/>
    <x v="2"/>
    <x v="6"/>
    <x v="3"/>
    <x v="6"/>
  </r>
  <r>
    <x v="150"/>
    <x v="7"/>
    <x v="46"/>
    <x v="6"/>
    <x v="2"/>
    <x v="2"/>
    <x v="6"/>
    <x v="3"/>
    <x v="7"/>
  </r>
  <r>
    <x v="150"/>
    <x v="8"/>
    <x v="46"/>
    <x v="6"/>
    <x v="2"/>
    <x v="2"/>
    <x v="6"/>
    <x v="3"/>
    <x v="8"/>
  </r>
  <r>
    <x v="150"/>
    <x v="9"/>
    <x v="46"/>
    <x v="6"/>
    <x v="2"/>
    <x v="2"/>
    <x v="6"/>
    <x v="3"/>
    <x v="9"/>
  </r>
  <r>
    <x v="151"/>
    <x v="2"/>
    <x v="62"/>
    <x v="6"/>
    <x v="2"/>
    <x v="2"/>
    <x v="2"/>
    <x v="3"/>
    <x v="2"/>
  </r>
  <r>
    <x v="151"/>
    <x v="3"/>
    <x v="62"/>
    <x v="6"/>
    <x v="2"/>
    <x v="2"/>
    <x v="5"/>
    <x v="3"/>
    <x v="3"/>
  </r>
  <r>
    <x v="151"/>
    <x v="4"/>
    <x v="62"/>
    <x v="6"/>
    <x v="2"/>
    <x v="2"/>
    <x v="8"/>
    <x v="3"/>
    <x v="4"/>
  </r>
  <r>
    <x v="151"/>
    <x v="5"/>
    <x v="62"/>
    <x v="6"/>
    <x v="2"/>
    <x v="2"/>
    <x v="6"/>
    <x v="3"/>
    <x v="5"/>
  </r>
  <r>
    <x v="151"/>
    <x v="6"/>
    <x v="62"/>
    <x v="6"/>
    <x v="2"/>
    <x v="2"/>
    <x v="6"/>
    <x v="3"/>
    <x v="6"/>
  </r>
  <r>
    <x v="151"/>
    <x v="7"/>
    <x v="62"/>
    <x v="6"/>
    <x v="2"/>
    <x v="2"/>
    <x v="6"/>
    <x v="3"/>
    <x v="7"/>
  </r>
  <r>
    <x v="151"/>
    <x v="8"/>
    <x v="62"/>
    <x v="6"/>
    <x v="2"/>
    <x v="2"/>
    <x v="6"/>
    <x v="3"/>
    <x v="8"/>
  </r>
  <r>
    <x v="151"/>
    <x v="9"/>
    <x v="62"/>
    <x v="6"/>
    <x v="2"/>
    <x v="2"/>
    <x v="6"/>
    <x v="3"/>
    <x v="9"/>
  </r>
  <r>
    <x v="152"/>
    <x v="2"/>
    <x v="49"/>
    <x v="6"/>
    <x v="3"/>
    <x v="3"/>
    <x v="7"/>
    <x v="3"/>
    <x v="2"/>
  </r>
  <r>
    <x v="152"/>
    <x v="3"/>
    <x v="49"/>
    <x v="6"/>
    <x v="3"/>
    <x v="3"/>
    <x v="5"/>
    <x v="3"/>
    <x v="3"/>
  </r>
  <r>
    <x v="152"/>
    <x v="4"/>
    <x v="49"/>
    <x v="6"/>
    <x v="3"/>
    <x v="3"/>
    <x v="8"/>
    <x v="3"/>
    <x v="4"/>
  </r>
  <r>
    <x v="152"/>
    <x v="5"/>
    <x v="49"/>
    <x v="6"/>
    <x v="3"/>
    <x v="3"/>
    <x v="6"/>
    <x v="3"/>
    <x v="5"/>
  </r>
  <r>
    <x v="152"/>
    <x v="6"/>
    <x v="49"/>
    <x v="6"/>
    <x v="3"/>
    <x v="3"/>
    <x v="6"/>
    <x v="3"/>
    <x v="6"/>
  </r>
  <r>
    <x v="152"/>
    <x v="7"/>
    <x v="49"/>
    <x v="6"/>
    <x v="3"/>
    <x v="3"/>
    <x v="6"/>
    <x v="3"/>
    <x v="7"/>
  </r>
  <r>
    <x v="152"/>
    <x v="8"/>
    <x v="49"/>
    <x v="6"/>
    <x v="3"/>
    <x v="3"/>
    <x v="6"/>
    <x v="3"/>
    <x v="8"/>
  </r>
  <r>
    <x v="152"/>
    <x v="9"/>
    <x v="49"/>
    <x v="6"/>
    <x v="3"/>
    <x v="3"/>
    <x v="6"/>
    <x v="3"/>
    <x v="9"/>
  </r>
  <r>
    <x v="153"/>
    <x v="2"/>
    <x v="50"/>
    <x v="6"/>
    <x v="3"/>
    <x v="3"/>
    <x v="7"/>
    <x v="3"/>
    <x v="2"/>
  </r>
  <r>
    <x v="153"/>
    <x v="3"/>
    <x v="50"/>
    <x v="6"/>
    <x v="3"/>
    <x v="3"/>
    <x v="5"/>
    <x v="3"/>
    <x v="3"/>
  </r>
  <r>
    <x v="153"/>
    <x v="4"/>
    <x v="50"/>
    <x v="6"/>
    <x v="3"/>
    <x v="3"/>
    <x v="8"/>
    <x v="3"/>
    <x v="4"/>
  </r>
  <r>
    <x v="153"/>
    <x v="5"/>
    <x v="50"/>
    <x v="6"/>
    <x v="3"/>
    <x v="3"/>
    <x v="6"/>
    <x v="3"/>
    <x v="5"/>
  </r>
  <r>
    <x v="153"/>
    <x v="6"/>
    <x v="50"/>
    <x v="6"/>
    <x v="3"/>
    <x v="3"/>
    <x v="6"/>
    <x v="3"/>
    <x v="6"/>
  </r>
  <r>
    <x v="153"/>
    <x v="7"/>
    <x v="50"/>
    <x v="6"/>
    <x v="3"/>
    <x v="3"/>
    <x v="6"/>
    <x v="3"/>
    <x v="7"/>
  </r>
  <r>
    <x v="153"/>
    <x v="8"/>
    <x v="50"/>
    <x v="6"/>
    <x v="3"/>
    <x v="3"/>
    <x v="6"/>
    <x v="3"/>
    <x v="8"/>
  </r>
  <r>
    <x v="153"/>
    <x v="9"/>
    <x v="50"/>
    <x v="6"/>
    <x v="3"/>
    <x v="3"/>
    <x v="6"/>
    <x v="3"/>
    <x v="9"/>
  </r>
  <r>
    <x v="154"/>
    <x v="2"/>
    <x v="51"/>
    <x v="6"/>
    <x v="3"/>
    <x v="3"/>
    <x v="7"/>
    <x v="3"/>
    <x v="2"/>
  </r>
  <r>
    <x v="154"/>
    <x v="3"/>
    <x v="51"/>
    <x v="6"/>
    <x v="3"/>
    <x v="3"/>
    <x v="5"/>
    <x v="3"/>
    <x v="3"/>
  </r>
  <r>
    <x v="154"/>
    <x v="4"/>
    <x v="51"/>
    <x v="6"/>
    <x v="3"/>
    <x v="3"/>
    <x v="8"/>
    <x v="3"/>
    <x v="4"/>
  </r>
  <r>
    <x v="154"/>
    <x v="5"/>
    <x v="51"/>
    <x v="6"/>
    <x v="3"/>
    <x v="3"/>
    <x v="6"/>
    <x v="3"/>
    <x v="5"/>
  </r>
  <r>
    <x v="154"/>
    <x v="6"/>
    <x v="51"/>
    <x v="6"/>
    <x v="3"/>
    <x v="3"/>
    <x v="6"/>
    <x v="3"/>
    <x v="6"/>
  </r>
  <r>
    <x v="154"/>
    <x v="7"/>
    <x v="51"/>
    <x v="6"/>
    <x v="3"/>
    <x v="3"/>
    <x v="6"/>
    <x v="3"/>
    <x v="7"/>
  </r>
  <r>
    <x v="154"/>
    <x v="8"/>
    <x v="51"/>
    <x v="6"/>
    <x v="3"/>
    <x v="3"/>
    <x v="6"/>
    <x v="3"/>
    <x v="8"/>
  </r>
  <r>
    <x v="154"/>
    <x v="9"/>
    <x v="51"/>
    <x v="6"/>
    <x v="3"/>
    <x v="3"/>
    <x v="6"/>
    <x v="3"/>
    <x v="9"/>
  </r>
  <r>
    <x v="155"/>
    <x v="2"/>
    <x v="52"/>
    <x v="6"/>
    <x v="3"/>
    <x v="3"/>
    <x v="7"/>
    <x v="3"/>
    <x v="2"/>
  </r>
  <r>
    <x v="155"/>
    <x v="3"/>
    <x v="52"/>
    <x v="6"/>
    <x v="3"/>
    <x v="3"/>
    <x v="5"/>
    <x v="3"/>
    <x v="3"/>
  </r>
  <r>
    <x v="155"/>
    <x v="4"/>
    <x v="52"/>
    <x v="6"/>
    <x v="3"/>
    <x v="3"/>
    <x v="8"/>
    <x v="3"/>
    <x v="4"/>
  </r>
  <r>
    <x v="155"/>
    <x v="5"/>
    <x v="52"/>
    <x v="6"/>
    <x v="3"/>
    <x v="3"/>
    <x v="6"/>
    <x v="3"/>
    <x v="5"/>
  </r>
  <r>
    <x v="155"/>
    <x v="6"/>
    <x v="52"/>
    <x v="6"/>
    <x v="3"/>
    <x v="3"/>
    <x v="6"/>
    <x v="3"/>
    <x v="6"/>
  </r>
  <r>
    <x v="155"/>
    <x v="7"/>
    <x v="52"/>
    <x v="6"/>
    <x v="3"/>
    <x v="3"/>
    <x v="6"/>
    <x v="3"/>
    <x v="7"/>
  </r>
  <r>
    <x v="155"/>
    <x v="8"/>
    <x v="52"/>
    <x v="6"/>
    <x v="3"/>
    <x v="3"/>
    <x v="6"/>
    <x v="3"/>
    <x v="8"/>
  </r>
  <r>
    <x v="155"/>
    <x v="9"/>
    <x v="52"/>
    <x v="6"/>
    <x v="3"/>
    <x v="3"/>
    <x v="6"/>
    <x v="3"/>
    <x v="9"/>
  </r>
  <r>
    <x v="156"/>
    <x v="2"/>
    <x v="53"/>
    <x v="6"/>
    <x v="3"/>
    <x v="3"/>
    <x v="2"/>
    <x v="3"/>
    <x v="2"/>
  </r>
  <r>
    <x v="156"/>
    <x v="3"/>
    <x v="53"/>
    <x v="6"/>
    <x v="3"/>
    <x v="3"/>
    <x v="3"/>
    <x v="3"/>
    <x v="3"/>
  </r>
  <r>
    <x v="156"/>
    <x v="4"/>
    <x v="53"/>
    <x v="6"/>
    <x v="3"/>
    <x v="3"/>
    <x v="7"/>
    <x v="3"/>
    <x v="4"/>
  </r>
  <r>
    <x v="156"/>
    <x v="5"/>
    <x v="53"/>
    <x v="6"/>
    <x v="3"/>
    <x v="3"/>
    <x v="5"/>
    <x v="3"/>
    <x v="5"/>
  </r>
  <r>
    <x v="156"/>
    <x v="6"/>
    <x v="53"/>
    <x v="6"/>
    <x v="3"/>
    <x v="3"/>
    <x v="5"/>
    <x v="3"/>
    <x v="6"/>
  </r>
  <r>
    <x v="156"/>
    <x v="7"/>
    <x v="53"/>
    <x v="6"/>
    <x v="3"/>
    <x v="3"/>
    <x v="5"/>
    <x v="3"/>
    <x v="7"/>
  </r>
  <r>
    <x v="156"/>
    <x v="8"/>
    <x v="53"/>
    <x v="6"/>
    <x v="3"/>
    <x v="3"/>
    <x v="5"/>
    <x v="3"/>
    <x v="8"/>
  </r>
  <r>
    <x v="156"/>
    <x v="9"/>
    <x v="53"/>
    <x v="6"/>
    <x v="3"/>
    <x v="3"/>
    <x v="5"/>
    <x v="3"/>
    <x v="9"/>
  </r>
  <r>
    <x v="157"/>
    <x v="2"/>
    <x v="54"/>
    <x v="6"/>
    <x v="3"/>
    <x v="3"/>
    <x v="3"/>
    <x v="3"/>
    <x v="2"/>
  </r>
  <r>
    <x v="157"/>
    <x v="4"/>
    <x v="54"/>
    <x v="6"/>
    <x v="3"/>
    <x v="3"/>
    <x v="7"/>
    <x v="3"/>
    <x v="4"/>
  </r>
  <r>
    <x v="157"/>
    <x v="6"/>
    <x v="54"/>
    <x v="6"/>
    <x v="3"/>
    <x v="3"/>
    <x v="5"/>
    <x v="3"/>
    <x v="6"/>
  </r>
  <r>
    <x v="158"/>
    <x v="2"/>
    <x v="55"/>
    <x v="6"/>
    <x v="3"/>
    <x v="3"/>
    <x v="3"/>
    <x v="3"/>
    <x v="2"/>
  </r>
  <r>
    <x v="158"/>
    <x v="4"/>
    <x v="55"/>
    <x v="6"/>
    <x v="3"/>
    <x v="3"/>
    <x v="7"/>
    <x v="3"/>
    <x v="4"/>
  </r>
  <r>
    <x v="158"/>
    <x v="6"/>
    <x v="55"/>
    <x v="6"/>
    <x v="3"/>
    <x v="3"/>
    <x v="5"/>
    <x v="3"/>
    <x v="6"/>
  </r>
  <r>
    <x v="159"/>
    <x v="2"/>
    <x v="56"/>
    <x v="6"/>
    <x v="3"/>
    <x v="3"/>
    <x v="3"/>
    <x v="3"/>
    <x v="2"/>
  </r>
  <r>
    <x v="159"/>
    <x v="4"/>
    <x v="56"/>
    <x v="6"/>
    <x v="3"/>
    <x v="3"/>
    <x v="7"/>
    <x v="3"/>
    <x v="4"/>
  </r>
  <r>
    <x v="159"/>
    <x v="6"/>
    <x v="56"/>
    <x v="6"/>
    <x v="3"/>
    <x v="3"/>
    <x v="5"/>
    <x v="3"/>
    <x v="6"/>
  </r>
  <r>
    <x v="160"/>
    <x v="2"/>
    <x v="28"/>
    <x v="6"/>
    <x v="3"/>
    <x v="3"/>
    <x v="2"/>
    <x v="5"/>
    <x v="2"/>
  </r>
  <r>
    <x v="160"/>
    <x v="3"/>
    <x v="28"/>
    <x v="6"/>
    <x v="3"/>
    <x v="3"/>
    <x v="3"/>
    <x v="5"/>
    <x v="3"/>
  </r>
  <r>
    <x v="160"/>
    <x v="4"/>
    <x v="28"/>
    <x v="6"/>
    <x v="3"/>
    <x v="3"/>
    <x v="7"/>
    <x v="5"/>
    <x v="4"/>
  </r>
  <r>
    <x v="160"/>
    <x v="5"/>
    <x v="28"/>
    <x v="6"/>
    <x v="3"/>
    <x v="3"/>
    <x v="5"/>
    <x v="5"/>
    <x v="5"/>
  </r>
  <r>
    <x v="160"/>
    <x v="6"/>
    <x v="28"/>
    <x v="6"/>
    <x v="3"/>
    <x v="3"/>
    <x v="5"/>
    <x v="5"/>
    <x v="6"/>
  </r>
  <r>
    <x v="160"/>
    <x v="7"/>
    <x v="28"/>
    <x v="6"/>
    <x v="3"/>
    <x v="3"/>
    <x v="5"/>
    <x v="5"/>
    <x v="7"/>
  </r>
  <r>
    <x v="160"/>
    <x v="8"/>
    <x v="28"/>
    <x v="6"/>
    <x v="3"/>
    <x v="3"/>
    <x v="5"/>
    <x v="5"/>
    <x v="8"/>
  </r>
  <r>
    <x v="160"/>
    <x v="9"/>
    <x v="28"/>
    <x v="6"/>
    <x v="3"/>
    <x v="3"/>
    <x v="5"/>
    <x v="5"/>
    <x v="9"/>
  </r>
  <r>
    <x v="161"/>
    <x v="2"/>
    <x v="29"/>
    <x v="6"/>
    <x v="3"/>
    <x v="3"/>
    <x v="2"/>
    <x v="5"/>
    <x v="2"/>
  </r>
  <r>
    <x v="161"/>
    <x v="3"/>
    <x v="29"/>
    <x v="6"/>
    <x v="3"/>
    <x v="3"/>
    <x v="3"/>
    <x v="5"/>
    <x v="3"/>
  </r>
  <r>
    <x v="161"/>
    <x v="4"/>
    <x v="29"/>
    <x v="6"/>
    <x v="3"/>
    <x v="3"/>
    <x v="7"/>
    <x v="5"/>
    <x v="4"/>
  </r>
  <r>
    <x v="161"/>
    <x v="5"/>
    <x v="29"/>
    <x v="6"/>
    <x v="3"/>
    <x v="3"/>
    <x v="5"/>
    <x v="5"/>
    <x v="5"/>
  </r>
  <r>
    <x v="161"/>
    <x v="6"/>
    <x v="29"/>
    <x v="6"/>
    <x v="3"/>
    <x v="3"/>
    <x v="5"/>
    <x v="5"/>
    <x v="6"/>
  </r>
  <r>
    <x v="161"/>
    <x v="7"/>
    <x v="29"/>
    <x v="6"/>
    <x v="3"/>
    <x v="3"/>
    <x v="5"/>
    <x v="5"/>
    <x v="7"/>
  </r>
  <r>
    <x v="161"/>
    <x v="8"/>
    <x v="29"/>
    <x v="6"/>
    <x v="3"/>
    <x v="3"/>
    <x v="5"/>
    <x v="5"/>
    <x v="8"/>
  </r>
  <r>
    <x v="161"/>
    <x v="9"/>
    <x v="29"/>
    <x v="6"/>
    <x v="3"/>
    <x v="3"/>
    <x v="5"/>
    <x v="5"/>
    <x v="9"/>
  </r>
  <r>
    <x v="162"/>
    <x v="2"/>
    <x v="30"/>
    <x v="6"/>
    <x v="3"/>
    <x v="3"/>
    <x v="2"/>
    <x v="5"/>
    <x v="2"/>
  </r>
  <r>
    <x v="162"/>
    <x v="3"/>
    <x v="30"/>
    <x v="6"/>
    <x v="3"/>
    <x v="3"/>
    <x v="3"/>
    <x v="5"/>
    <x v="3"/>
  </r>
  <r>
    <x v="162"/>
    <x v="4"/>
    <x v="30"/>
    <x v="6"/>
    <x v="3"/>
    <x v="3"/>
    <x v="7"/>
    <x v="5"/>
    <x v="4"/>
  </r>
  <r>
    <x v="162"/>
    <x v="5"/>
    <x v="30"/>
    <x v="6"/>
    <x v="3"/>
    <x v="3"/>
    <x v="5"/>
    <x v="5"/>
    <x v="5"/>
  </r>
  <r>
    <x v="162"/>
    <x v="6"/>
    <x v="30"/>
    <x v="6"/>
    <x v="3"/>
    <x v="3"/>
    <x v="5"/>
    <x v="5"/>
    <x v="6"/>
  </r>
  <r>
    <x v="162"/>
    <x v="7"/>
    <x v="30"/>
    <x v="6"/>
    <x v="3"/>
    <x v="3"/>
    <x v="5"/>
    <x v="5"/>
    <x v="7"/>
  </r>
  <r>
    <x v="162"/>
    <x v="8"/>
    <x v="30"/>
    <x v="6"/>
    <x v="3"/>
    <x v="3"/>
    <x v="5"/>
    <x v="5"/>
    <x v="8"/>
  </r>
  <r>
    <x v="162"/>
    <x v="9"/>
    <x v="30"/>
    <x v="6"/>
    <x v="3"/>
    <x v="3"/>
    <x v="5"/>
    <x v="5"/>
    <x v="9"/>
  </r>
  <r>
    <x v="163"/>
    <x v="2"/>
    <x v="31"/>
    <x v="6"/>
    <x v="3"/>
    <x v="3"/>
    <x v="2"/>
    <x v="5"/>
    <x v="2"/>
  </r>
  <r>
    <x v="163"/>
    <x v="3"/>
    <x v="31"/>
    <x v="6"/>
    <x v="3"/>
    <x v="3"/>
    <x v="3"/>
    <x v="5"/>
    <x v="3"/>
  </r>
  <r>
    <x v="163"/>
    <x v="4"/>
    <x v="31"/>
    <x v="6"/>
    <x v="3"/>
    <x v="3"/>
    <x v="7"/>
    <x v="5"/>
    <x v="4"/>
  </r>
  <r>
    <x v="163"/>
    <x v="5"/>
    <x v="31"/>
    <x v="6"/>
    <x v="3"/>
    <x v="3"/>
    <x v="5"/>
    <x v="5"/>
    <x v="5"/>
  </r>
  <r>
    <x v="163"/>
    <x v="6"/>
    <x v="31"/>
    <x v="6"/>
    <x v="3"/>
    <x v="3"/>
    <x v="5"/>
    <x v="5"/>
    <x v="6"/>
  </r>
  <r>
    <x v="163"/>
    <x v="7"/>
    <x v="31"/>
    <x v="6"/>
    <x v="3"/>
    <x v="3"/>
    <x v="5"/>
    <x v="5"/>
    <x v="7"/>
  </r>
  <r>
    <x v="163"/>
    <x v="8"/>
    <x v="31"/>
    <x v="6"/>
    <x v="3"/>
    <x v="3"/>
    <x v="5"/>
    <x v="5"/>
    <x v="8"/>
  </r>
  <r>
    <x v="163"/>
    <x v="9"/>
    <x v="31"/>
    <x v="6"/>
    <x v="3"/>
    <x v="3"/>
    <x v="5"/>
    <x v="5"/>
    <x v="9"/>
  </r>
  <r>
    <x v="164"/>
    <x v="2"/>
    <x v="32"/>
    <x v="6"/>
    <x v="3"/>
    <x v="3"/>
    <x v="2"/>
    <x v="5"/>
    <x v="2"/>
  </r>
  <r>
    <x v="164"/>
    <x v="3"/>
    <x v="32"/>
    <x v="6"/>
    <x v="3"/>
    <x v="3"/>
    <x v="3"/>
    <x v="5"/>
    <x v="3"/>
  </r>
  <r>
    <x v="164"/>
    <x v="4"/>
    <x v="32"/>
    <x v="6"/>
    <x v="3"/>
    <x v="3"/>
    <x v="7"/>
    <x v="5"/>
    <x v="4"/>
  </r>
  <r>
    <x v="164"/>
    <x v="5"/>
    <x v="32"/>
    <x v="6"/>
    <x v="3"/>
    <x v="3"/>
    <x v="5"/>
    <x v="5"/>
    <x v="5"/>
  </r>
  <r>
    <x v="164"/>
    <x v="6"/>
    <x v="32"/>
    <x v="6"/>
    <x v="3"/>
    <x v="3"/>
    <x v="5"/>
    <x v="5"/>
    <x v="6"/>
  </r>
  <r>
    <x v="164"/>
    <x v="7"/>
    <x v="32"/>
    <x v="6"/>
    <x v="3"/>
    <x v="3"/>
    <x v="5"/>
    <x v="5"/>
    <x v="7"/>
  </r>
  <r>
    <x v="164"/>
    <x v="8"/>
    <x v="32"/>
    <x v="6"/>
    <x v="3"/>
    <x v="3"/>
    <x v="5"/>
    <x v="5"/>
    <x v="8"/>
  </r>
  <r>
    <x v="164"/>
    <x v="9"/>
    <x v="32"/>
    <x v="6"/>
    <x v="3"/>
    <x v="3"/>
    <x v="5"/>
    <x v="5"/>
    <x v="9"/>
  </r>
  <r>
    <x v="165"/>
    <x v="2"/>
    <x v="33"/>
    <x v="6"/>
    <x v="3"/>
    <x v="3"/>
    <x v="2"/>
    <x v="5"/>
    <x v="2"/>
  </r>
  <r>
    <x v="165"/>
    <x v="3"/>
    <x v="33"/>
    <x v="6"/>
    <x v="3"/>
    <x v="3"/>
    <x v="3"/>
    <x v="5"/>
    <x v="3"/>
  </r>
  <r>
    <x v="165"/>
    <x v="4"/>
    <x v="33"/>
    <x v="6"/>
    <x v="3"/>
    <x v="3"/>
    <x v="7"/>
    <x v="5"/>
    <x v="4"/>
  </r>
  <r>
    <x v="165"/>
    <x v="5"/>
    <x v="33"/>
    <x v="6"/>
    <x v="3"/>
    <x v="3"/>
    <x v="5"/>
    <x v="5"/>
    <x v="5"/>
  </r>
  <r>
    <x v="165"/>
    <x v="6"/>
    <x v="33"/>
    <x v="6"/>
    <x v="3"/>
    <x v="3"/>
    <x v="5"/>
    <x v="5"/>
    <x v="6"/>
  </r>
  <r>
    <x v="165"/>
    <x v="7"/>
    <x v="33"/>
    <x v="6"/>
    <x v="3"/>
    <x v="3"/>
    <x v="5"/>
    <x v="5"/>
    <x v="7"/>
  </r>
  <r>
    <x v="165"/>
    <x v="8"/>
    <x v="33"/>
    <x v="6"/>
    <x v="3"/>
    <x v="3"/>
    <x v="5"/>
    <x v="5"/>
    <x v="8"/>
  </r>
  <r>
    <x v="165"/>
    <x v="9"/>
    <x v="33"/>
    <x v="6"/>
    <x v="3"/>
    <x v="3"/>
    <x v="5"/>
    <x v="5"/>
    <x v="9"/>
  </r>
  <r>
    <x v="166"/>
    <x v="2"/>
    <x v="34"/>
    <x v="6"/>
    <x v="3"/>
    <x v="3"/>
    <x v="2"/>
    <x v="5"/>
    <x v="2"/>
  </r>
  <r>
    <x v="166"/>
    <x v="3"/>
    <x v="34"/>
    <x v="6"/>
    <x v="3"/>
    <x v="3"/>
    <x v="3"/>
    <x v="5"/>
    <x v="3"/>
  </r>
  <r>
    <x v="166"/>
    <x v="4"/>
    <x v="34"/>
    <x v="6"/>
    <x v="3"/>
    <x v="3"/>
    <x v="7"/>
    <x v="5"/>
    <x v="4"/>
  </r>
  <r>
    <x v="166"/>
    <x v="5"/>
    <x v="34"/>
    <x v="6"/>
    <x v="3"/>
    <x v="3"/>
    <x v="5"/>
    <x v="5"/>
    <x v="5"/>
  </r>
  <r>
    <x v="166"/>
    <x v="6"/>
    <x v="34"/>
    <x v="6"/>
    <x v="3"/>
    <x v="3"/>
    <x v="5"/>
    <x v="5"/>
    <x v="6"/>
  </r>
  <r>
    <x v="166"/>
    <x v="7"/>
    <x v="34"/>
    <x v="6"/>
    <x v="3"/>
    <x v="3"/>
    <x v="5"/>
    <x v="5"/>
    <x v="7"/>
  </r>
  <r>
    <x v="166"/>
    <x v="8"/>
    <x v="34"/>
    <x v="6"/>
    <x v="3"/>
    <x v="3"/>
    <x v="5"/>
    <x v="5"/>
    <x v="8"/>
  </r>
  <r>
    <x v="166"/>
    <x v="9"/>
    <x v="34"/>
    <x v="6"/>
    <x v="3"/>
    <x v="3"/>
    <x v="5"/>
    <x v="5"/>
    <x v="9"/>
  </r>
  <r>
    <x v="167"/>
    <x v="2"/>
    <x v="44"/>
    <x v="6"/>
    <x v="3"/>
    <x v="3"/>
    <x v="2"/>
    <x v="5"/>
    <x v="2"/>
  </r>
  <r>
    <x v="167"/>
    <x v="3"/>
    <x v="44"/>
    <x v="6"/>
    <x v="3"/>
    <x v="3"/>
    <x v="3"/>
    <x v="5"/>
    <x v="3"/>
  </r>
  <r>
    <x v="167"/>
    <x v="4"/>
    <x v="44"/>
    <x v="6"/>
    <x v="3"/>
    <x v="3"/>
    <x v="7"/>
    <x v="5"/>
    <x v="4"/>
  </r>
  <r>
    <x v="167"/>
    <x v="5"/>
    <x v="44"/>
    <x v="6"/>
    <x v="3"/>
    <x v="3"/>
    <x v="5"/>
    <x v="5"/>
    <x v="5"/>
  </r>
  <r>
    <x v="167"/>
    <x v="6"/>
    <x v="44"/>
    <x v="6"/>
    <x v="3"/>
    <x v="3"/>
    <x v="5"/>
    <x v="5"/>
    <x v="6"/>
  </r>
  <r>
    <x v="167"/>
    <x v="7"/>
    <x v="44"/>
    <x v="6"/>
    <x v="3"/>
    <x v="3"/>
    <x v="5"/>
    <x v="5"/>
    <x v="7"/>
  </r>
  <r>
    <x v="167"/>
    <x v="8"/>
    <x v="44"/>
    <x v="6"/>
    <x v="3"/>
    <x v="3"/>
    <x v="5"/>
    <x v="5"/>
    <x v="8"/>
  </r>
  <r>
    <x v="167"/>
    <x v="9"/>
    <x v="44"/>
    <x v="6"/>
    <x v="3"/>
    <x v="3"/>
    <x v="5"/>
    <x v="5"/>
    <x v="9"/>
  </r>
  <r>
    <x v="168"/>
    <x v="2"/>
    <x v="57"/>
    <x v="6"/>
    <x v="3"/>
    <x v="3"/>
    <x v="2"/>
    <x v="5"/>
    <x v="2"/>
  </r>
  <r>
    <x v="168"/>
    <x v="3"/>
    <x v="57"/>
    <x v="6"/>
    <x v="3"/>
    <x v="3"/>
    <x v="3"/>
    <x v="5"/>
    <x v="3"/>
  </r>
  <r>
    <x v="168"/>
    <x v="4"/>
    <x v="57"/>
    <x v="6"/>
    <x v="3"/>
    <x v="3"/>
    <x v="7"/>
    <x v="5"/>
    <x v="4"/>
  </r>
  <r>
    <x v="168"/>
    <x v="5"/>
    <x v="57"/>
    <x v="6"/>
    <x v="3"/>
    <x v="3"/>
    <x v="5"/>
    <x v="5"/>
    <x v="5"/>
  </r>
  <r>
    <x v="168"/>
    <x v="6"/>
    <x v="57"/>
    <x v="6"/>
    <x v="3"/>
    <x v="3"/>
    <x v="5"/>
    <x v="5"/>
    <x v="6"/>
  </r>
  <r>
    <x v="168"/>
    <x v="7"/>
    <x v="57"/>
    <x v="6"/>
    <x v="3"/>
    <x v="3"/>
    <x v="5"/>
    <x v="5"/>
    <x v="7"/>
  </r>
  <r>
    <x v="168"/>
    <x v="8"/>
    <x v="57"/>
    <x v="6"/>
    <x v="3"/>
    <x v="3"/>
    <x v="5"/>
    <x v="5"/>
    <x v="8"/>
  </r>
  <r>
    <x v="168"/>
    <x v="9"/>
    <x v="57"/>
    <x v="6"/>
    <x v="3"/>
    <x v="3"/>
    <x v="5"/>
    <x v="5"/>
    <x v="9"/>
  </r>
  <r>
    <x v="169"/>
    <x v="2"/>
    <x v="2"/>
    <x v="7"/>
    <x v="2"/>
    <x v="2"/>
    <x v="2"/>
    <x v="2"/>
    <x v="2"/>
  </r>
  <r>
    <x v="169"/>
    <x v="3"/>
    <x v="2"/>
    <x v="7"/>
    <x v="2"/>
    <x v="2"/>
    <x v="3"/>
    <x v="2"/>
    <x v="3"/>
  </r>
  <r>
    <x v="169"/>
    <x v="4"/>
    <x v="2"/>
    <x v="7"/>
    <x v="2"/>
    <x v="2"/>
    <x v="4"/>
    <x v="2"/>
    <x v="4"/>
  </r>
  <r>
    <x v="169"/>
    <x v="5"/>
    <x v="2"/>
    <x v="7"/>
    <x v="2"/>
    <x v="2"/>
    <x v="5"/>
    <x v="2"/>
    <x v="5"/>
  </r>
  <r>
    <x v="169"/>
    <x v="6"/>
    <x v="2"/>
    <x v="7"/>
    <x v="2"/>
    <x v="2"/>
    <x v="6"/>
    <x v="2"/>
    <x v="6"/>
  </r>
  <r>
    <x v="169"/>
    <x v="7"/>
    <x v="2"/>
    <x v="7"/>
    <x v="2"/>
    <x v="2"/>
    <x v="6"/>
    <x v="2"/>
    <x v="7"/>
  </r>
  <r>
    <x v="169"/>
    <x v="8"/>
    <x v="2"/>
    <x v="7"/>
    <x v="2"/>
    <x v="2"/>
    <x v="6"/>
    <x v="2"/>
    <x v="8"/>
  </r>
  <r>
    <x v="169"/>
    <x v="9"/>
    <x v="2"/>
    <x v="7"/>
    <x v="2"/>
    <x v="2"/>
    <x v="6"/>
    <x v="2"/>
    <x v="9"/>
  </r>
  <r>
    <x v="170"/>
    <x v="2"/>
    <x v="3"/>
    <x v="7"/>
    <x v="2"/>
    <x v="2"/>
    <x v="2"/>
    <x v="2"/>
    <x v="2"/>
  </r>
  <r>
    <x v="170"/>
    <x v="3"/>
    <x v="3"/>
    <x v="7"/>
    <x v="2"/>
    <x v="2"/>
    <x v="3"/>
    <x v="2"/>
    <x v="3"/>
  </r>
  <r>
    <x v="170"/>
    <x v="4"/>
    <x v="3"/>
    <x v="7"/>
    <x v="2"/>
    <x v="2"/>
    <x v="4"/>
    <x v="2"/>
    <x v="4"/>
  </r>
  <r>
    <x v="170"/>
    <x v="5"/>
    <x v="3"/>
    <x v="7"/>
    <x v="2"/>
    <x v="2"/>
    <x v="5"/>
    <x v="2"/>
    <x v="5"/>
  </r>
  <r>
    <x v="170"/>
    <x v="6"/>
    <x v="3"/>
    <x v="7"/>
    <x v="2"/>
    <x v="2"/>
    <x v="6"/>
    <x v="2"/>
    <x v="6"/>
  </r>
  <r>
    <x v="170"/>
    <x v="7"/>
    <x v="3"/>
    <x v="7"/>
    <x v="2"/>
    <x v="2"/>
    <x v="6"/>
    <x v="2"/>
    <x v="7"/>
  </r>
  <r>
    <x v="170"/>
    <x v="8"/>
    <x v="3"/>
    <x v="7"/>
    <x v="2"/>
    <x v="2"/>
    <x v="6"/>
    <x v="2"/>
    <x v="8"/>
  </r>
  <r>
    <x v="170"/>
    <x v="9"/>
    <x v="3"/>
    <x v="7"/>
    <x v="2"/>
    <x v="2"/>
    <x v="6"/>
    <x v="2"/>
    <x v="9"/>
  </r>
  <r>
    <x v="171"/>
    <x v="2"/>
    <x v="4"/>
    <x v="7"/>
    <x v="2"/>
    <x v="2"/>
    <x v="2"/>
    <x v="2"/>
    <x v="2"/>
  </r>
  <r>
    <x v="171"/>
    <x v="3"/>
    <x v="4"/>
    <x v="7"/>
    <x v="2"/>
    <x v="2"/>
    <x v="3"/>
    <x v="2"/>
    <x v="3"/>
  </r>
  <r>
    <x v="171"/>
    <x v="4"/>
    <x v="4"/>
    <x v="7"/>
    <x v="2"/>
    <x v="2"/>
    <x v="4"/>
    <x v="2"/>
    <x v="4"/>
  </r>
  <r>
    <x v="171"/>
    <x v="5"/>
    <x v="4"/>
    <x v="7"/>
    <x v="2"/>
    <x v="2"/>
    <x v="5"/>
    <x v="2"/>
    <x v="5"/>
  </r>
  <r>
    <x v="171"/>
    <x v="6"/>
    <x v="4"/>
    <x v="7"/>
    <x v="2"/>
    <x v="2"/>
    <x v="6"/>
    <x v="2"/>
    <x v="6"/>
  </r>
  <r>
    <x v="171"/>
    <x v="7"/>
    <x v="4"/>
    <x v="7"/>
    <x v="2"/>
    <x v="2"/>
    <x v="6"/>
    <x v="2"/>
    <x v="7"/>
  </r>
  <r>
    <x v="171"/>
    <x v="8"/>
    <x v="4"/>
    <x v="7"/>
    <x v="2"/>
    <x v="2"/>
    <x v="6"/>
    <x v="2"/>
    <x v="8"/>
  </r>
  <r>
    <x v="171"/>
    <x v="9"/>
    <x v="4"/>
    <x v="7"/>
    <x v="2"/>
    <x v="2"/>
    <x v="6"/>
    <x v="2"/>
    <x v="9"/>
  </r>
  <r>
    <x v="172"/>
    <x v="2"/>
    <x v="5"/>
    <x v="7"/>
    <x v="2"/>
    <x v="2"/>
    <x v="2"/>
    <x v="2"/>
    <x v="2"/>
  </r>
  <r>
    <x v="172"/>
    <x v="3"/>
    <x v="5"/>
    <x v="7"/>
    <x v="2"/>
    <x v="2"/>
    <x v="3"/>
    <x v="2"/>
    <x v="3"/>
  </r>
  <r>
    <x v="172"/>
    <x v="4"/>
    <x v="5"/>
    <x v="7"/>
    <x v="2"/>
    <x v="2"/>
    <x v="4"/>
    <x v="2"/>
    <x v="4"/>
  </r>
  <r>
    <x v="172"/>
    <x v="5"/>
    <x v="5"/>
    <x v="7"/>
    <x v="2"/>
    <x v="2"/>
    <x v="5"/>
    <x v="2"/>
    <x v="5"/>
  </r>
  <r>
    <x v="172"/>
    <x v="6"/>
    <x v="5"/>
    <x v="7"/>
    <x v="2"/>
    <x v="2"/>
    <x v="6"/>
    <x v="2"/>
    <x v="6"/>
  </r>
  <r>
    <x v="172"/>
    <x v="7"/>
    <x v="5"/>
    <x v="7"/>
    <x v="2"/>
    <x v="2"/>
    <x v="6"/>
    <x v="2"/>
    <x v="7"/>
  </r>
  <r>
    <x v="172"/>
    <x v="8"/>
    <x v="5"/>
    <x v="7"/>
    <x v="2"/>
    <x v="2"/>
    <x v="6"/>
    <x v="2"/>
    <x v="8"/>
  </r>
  <r>
    <x v="172"/>
    <x v="9"/>
    <x v="5"/>
    <x v="7"/>
    <x v="2"/>
    <x v="2"/>
    <x v="6"/>
    <x v="2"/>
    <x v="9"/>
  </r>
  <r>
    <x v="173"/>
    <x v="2"/>
    <x v="6"/>
    <x v="7"/>
    <x v="2"/>
    <x v="2"/>
    <x v="2"/>
    <x v="2"/>
    <x v="2"/>
  </r>
  <r>
    <x v="173"/>
    <x v="3"/>
    <x v="6"/>
    <x v="7"/>
    <x v="2"/>
    <x v="2"/>
    <x v="3"/>
    <x v="2"/>
    <x v="3"/>
  </r>
  <r>
    <x v="173"/>
    <x v="4"/>
    <x v="6"/>
    <x v="7"/>
    <x v="2"/>
    <x v="2"/>
    <x v="4"/>
    <x v="2"/>
    <x v="4"/>
  </r>
  <r>
    <x v="173"/>
    <x v="5"/>
    <x v="6"/>
    <x v="7"/>
    <x v="2"/>
    <x v="2"/>
    <x v="5"/>
    <x v="2"/>
    <x v="5"/>
  </r>
  <r>
    <x v="173"/>
    <x v="6"/>
    <x v="6"/>
    <x v="7"/>
    <x v="2"/>
    <x v="2"/>
    <x v="6"/>
    <x v="2"/>
    <x v="6"/>
  </r>
  <r>
    <x v="173"/>
    <x v="7"/>
    <x v="6"/>
    <x v="7"/>
    <x v="2"/>
    <x v="2"/>
    <x v="6"/>
    <x v="2"/>
    <x v="7"/>
  </r>
  <r>
    <x v="173"/>
    <x v="8"/>
    <x v="6"/>
    <x v="7"/>
    <x v="2"/>
    <x v="2"/>
    <x v="6"/>
    <x v="2"/>
    <x v="8"/>
  </r>
  <r>
    <x v="173"/>
    <x v="9"/>
    <x v="6"/>
    <x v="7"/>
    <x v="2"/>
    <x v="2"/>
    <x v="6"/>
    <x v="2"/>
    <x v="9"/>
  </r>
  <r>
    <x v="174"/>
    <x v="2"/>
    <x v="9"/>
    <x v="7"/>
    <x v="2"/>
    <x v="2"/>
    <x v="3"/>
    <x v="5"/>
    <x v="2"/>
  </r>
  <r>
    <x v="174"/>
    <x v="3"/>
    <x v="9"/>
    <x v="7"/>
    <x v="2"/>
    <x v="2"/>
    <x v="4"/>
    <x v="5"/>
    <x v="3"/>
  </r>
  <r>
    <x v="174"/>
    <x v="4"/>
    <x v="9"/>
    <x v="7"/>
    <x v="2"/>
    <x v="2"/>
    <x v="5"/>
    <x v="5"/>
    <x v="4"/>
  </r>
  <r>
    <x v="174"/>
    <x v="5"/>
    <x v="9"/>
    <x v="7"/>
    <x v="2"/>
    <x v="2"/>
    <x v="6"/>
    <x v="5"/>
    <x v="5"/>
  </r>
  <r>
    <x v="174"/>
    <x v="6"/>
    <x v="9"/>
    <x v="7"/>
    <x v="2"/>
    <x v="2"/>
    <x v="6"/>
    <x v="5"/>
    <x v="6"/>
  </r>
  <r>
    <x v="174"/>
    <x v="7"/>
    <x v="9"/>
    <x v="7"/>
    <x v="2"/>
    <x v="2"/>
    <x v="6"/>
    <x v="5"/>
    <x v="7"/>
  </r>
  <r>
    <x v="174"/>
    <x v="8"/>
    <x v="9"/>
    <x v="7"/>
    <x v="2"/>
    <x v="2"/>
    <x v="6"/>
    <x v="5"/>
    <x v="8"/>
  </r>
  <r>
    <x v="174"/>
    <x v="9"/>
    <x v="9"/>
    <x v="7"/>
    <x v="2"/>
    <x v="2"/>
    <x v="6"/>
    <x v="5"/>
    <x v="9"/>
  </r>
  <r>
    <x v="175"/>
    <x v="2"/>
    <x v="10"/>
    <x v="7"/>
    <x v="2"/>
    <x v="2"/>
    <x v="3"/>
    <x v="5"/>
    <x v="2"/>
  </r>
  <r>
    <x v="175"/>
    <x v="3"/>
    <x v="10"/>
    <x v="7"/>
    <x v="2"/>
    <x v="2"/>
    <x v="4"/>
    <x v="5"/>
    <x v="3"/>
  </r>
  <r>
    <x v="175"/>
    <x v="4"/>
    <x v="10"/>
    <x v="7"/>
    <x v="2"/>
    <x v="2"/>
    <x v="5"/>
    <x v="5"/>
    <x v="4"/>
  </r>
  <r>
    <x v="175"/>
    <x v="5"/>
    <x v="10"/>
    <x v="7"/>
    <x v="2"/>
    <x v="2"/>
    <x v="6"/>
    <x v="5"/>
    <x v="5"/>
  </r>
  <r>
    <x v="175"/>
    <x v="6"/>
    <x v="10"/>
    <x v="7"/>
    <x v="2"/>
    <x v="2"/>
    <x v="6"/>
    <x v="5"/>
    <x v="6"/>
  </r>
  <r>
    <x v="175"/>
    <x v="7"/>
    <x v="10"/>
    <x v="7"/>
    <x v="2"/>
    <x v="2"/>
    <x v="6"/>
    <x v="5"/>
    <x v="7"/>
  </r>
  <r>
    <x v="175"/>
    <x v="8"/>
    <x v="10"/>
    <x v="7"/>
    <x v="2"/>
    <x v="2"/>
    <x v="6"/>
    <x v="5"/>
    <x v="8"/>
  </r>
  <r>
    <x v="175"/>
    <x v="9"/>
    <x v="10"/>
    <x v="7"/>
    <x v="2"/>
    <x v="2"/>
    <x v="6"/>
    <x v="5"/>
    <x v="9"/>
  </r>
  <r>
    <x v="176"/>
    <x v="2"/>
    <x v="11"/>
    <x v="7"/>
    <x v="2"/>
    <x v="2"/>
    <x v="3"/>
    <x v="5"/>
    <x v="2"/>
  </r>
  <r>
    <x v="176"/>
    <x v="3"/>
    <x v="11"/>
    <x v="7"/>
    <x v="2"/>
    <x v="2"/>
    <x v="4"/>
    <x v="5"/>
    <x v="3"/>
  </r>
  <r>
    <x v="176"/>
    <x v="4"/>
    <x v="11"/>
    <x v="7"/>
    <x v="2"/>
    <x v="2"/>
    <x v="5"/>
    <x v="5"/>
    <x v="4"/>
  </r>
  <r>
    <x v="176"/>
    <x v="5"/>
    <x v="11"/>
    <x v="7"/>
    <x v="2"/>
    <x v="2"/>
    <x v="6"/>
    <x v="5"/>
    <x v="5"/>
  </r>
  <r>
    <x v="176"/>
    <x v="6"/>
    <x v="11"/>
    <x v="7"/>
    <x v="2"/>
    <x v="2"/>
    <x v="6"/>
    <x v="5"/>
    <x v="6"/>
  </r>
  <r>
    <x v="176"/>
    <x v="7"/>
    <x v="11"/>
    <x v="7"/>
    <x v="2"/>
    <x v="2"/>
    <x v="6"/>
    <x v="5"/>
    <x v="7"/>
  </r>
  <r>
    <x v="176"/>
    <x v="8"/>
    <x v="11"/>
    <x v="7"/>
    <x v="2"/>
    <x v="2"/>
    <x v="6"/>
    <x v="5"/>
    <x v="8"/>
  </r>
  <r>
    <x v="176"/>
    <x v="9"/>
    <x v="11"/>
    <x v="7"/>
    <x v="2"/>
    <x v="2"/>
    <x v="6"/>
    <x v="5"/>
    <x v="9"/>
  </r>
  <r>
    <x v="177"/>
    <x v="2"/>
    <x v="12"/>
    <x v="7"/>
    <x v="2"/>
    <x v="2"/>
    <x v="3"/>
    <x v="5"/>
    <x v="2"/>
  </r>
  <r>
    <x v="177"/>
    <x v="3"/>
    <x v="12"/>
    <x v="7"/>
    <x v="2"/>
    <x v="2"/>
    <x v="4"/>
    <x v="5"/>
    <x v="3"/>
  </r>
  <r>
    <x v="177"/>
    <x v="4"/>
    <x v="12"/>
    <x v="7"/>
    <x v="2"/>
    <x v="2"/>
    <x v="5"/>
    <x v="5"/>
    <x v="4"/>
  </r>
  <r>
    <x v="177"/>
    <x v="5"/>
    <x v="12"/>
    <x v="7"/>
    <x v="2"/>
    <x v="2"/>
    <x v="6"/>
    <x v="5"/>
    <x v="5"/>
  </r>
  <r>
    <x v="177"/>
    <x v="6"/>
    <x v="12"/>
    <x v="7"/>
    <x v="2"/>
    <x v="2"/>
    <x v="6"/>
    <x v="5"/>
    <x v="6"/>
  </r>
  <r>
    <x v="177"/>
    <x v="7"/>
    <x v="12"/>
    <x v="7"/>
    <x v="2"/>
    <x v="2"/>
    <x v="6"/>
    <x v="5"/>
    <x v="7"/>
  </r>
  <r>
    <x v="177"/>
    <x v="8"/>
    <x v="12"/>
    <x v="7"/>
    <x v="2"/>
    <x v="2"/>
    <x v="6"/>
    <x v="5"/>
    <x v="8"/>
  </r>
  <r>
    <x v="177"/>
    <x v="9"/>
    <x v="12"/>
    <x v="7"/>
    <x v="2"/>
    <x v="2"/>
    <x v="6"/>
    <x v="5"/>
    <x v="9"/>
  </r>
  <r>
    <x v="178"/>
    <x v="2"/>
    <x v="13"/>
    <x v="7"/>
    <x v="2"/>
    <x v="2"/>
    <x v="3"/>
    <x v="5"/>
    <x v="2"/>
  </r>
  <r>
    <x v="178"/>
    <x v="3"/>
    <x v="13"/>
    <x v="7"/>
    <x v="2"/>
    <x v="2"/>
    <x v="4"/>
    <x v="5"/>
    <x v="3"/>
  </r>
  <r>
    <x v="178"/>
    <x v="4"/>
    <x v="13"/>
    <x v="7"/>
    <x v="2"/>
    <x v="2"/>
    <x v="5"/>
    <x v="5"/>
    <x v="4"/>
  </r>
  <r>
    <x v="178"/>
    <x v="5"/>
    <x v="13"/>
    <x v="7"/>
    <x v="2"/>
    <x v="2"/>
    <x v="6"/>
    <x v="5"/>
    <x v="5"/>
  </r>
  <r>
    <x v="178"/>
    <x v="6"/>
    <x v="13"/>
    <x v="7"/>
    <x v="2"/>
    <x v="2"/>
    <x v="6"/>
    <x v="5"/>
    <x v="6"/>
  </r>
  <r>
    <x v="178"/>
    <x v="7"/>
    <x v="13"/>
    <x v="7"/>
    <x v="2"/>
    <x v="2"/>
    <x v="6"/>
    <x v="5"/>
    <x v="7"/>
  </r>
  <r>
    <x v="178"/>
    <x v="8"/>
    <x v="13"/>
    <x v="7"/>
    <x v="2"/>
    <x v="2"/>
    <x v="6"/>
    <x v="5"/>
    <x v="8"/>
  </r>
  <r>
    <x v="178"/>
    <x v="9"/>
    <x v="13"/>
    <x v="7"/>
    <x v="2"/>
    <x v="2"/>
    <x v="6"/>
    <x v="5"/>
    <x v="9"/>
  </r>
  <r>
    <x v="179"/>
    <x v="2"/>
    <x v="14"/>
    <x v="7"/>
    <x v="2"/>
    <x v="2"/>
    <x v="6"/>
    <x v="3"/>
    <x v="2"/>
  </r>
  <r>
    <x v="179"/>
    <x v="3"/>
    <x v="14"/>
    <x v="7"/>
    <x v="2"/>
    <x v="2"/>
    <x v="6"/>
    <x v="3"/>
    <x v="3"/>
  </r>
  <r>
    <x v="179"/>
    <x v="4"/>
    <x v="14"/>
    <x v="7"/>
    <x v="2"/>
    <x v="2"/>
    <x v="6"/>
    <x v="3"/>
    <x v="4"/>
  </r>
  <r>
    <x v="179"/>
    <x v="5"/>
    <x v="14"/>
    <x v="7"/>
    <x v="2"/>
    <x v="2"/>
    <x v="6"/>
    <x v="3"/>
    <x v="5"/>
  </r>
  <r>
    <x v="179"/>
    <x v="6"/>
    <x v="14"/>
    <x v="7"/>
    <x v="2"/>
    <x v="2"/>
    <x v="6"/>
    <x v="3"/>
    <x v="6"/>
  </r>
  <r>
    <x v="179"/>
    <x v="7"/>
    <x v="14"/>
    <x v="7"/>
    <x v="2"/>
    <x v="2"/>
    <x v="6"/>
    <x v="3"/>
    <x v="7"/>
  </r>
  <r>
    <x v="179"/>
    <x v="8"/>
    <x v="14"/>
    <x v="7"/>
    <x v="2"/>
    <x v="2"/>
    <x v="6"/>
    <x v="3"/>
    <x v="8"/>
  </r>
  <r>
    <x v="179"/>
    <x v="9"/>
    <x v="14"/>
    <x v="7"/>
    <x v="2"/>
    <x v="2"/>
    <x v="6"/>
    <x v="3"/>
    <x v="9"/>
  </r>
  <r>
    <x v="180"/>
    <x v="2"/>
    <x v="15"/>
    <x v="7"/>
    <x v="2"/>
    <x v="2"/>
    <x v="6"/>
    <x v="3"/>
    <x v="2"/>
  </r>
  <r>
    <x v="180"/>
    <x v="3"/>
    <x v="15"/>
    <x v="7"/>
    <x v="2"/>
    <x v="2"/>
    <x v="6"/>
    <x v="3"/>
    <x v="3"/>
  </r>
  <r>
    <x v="180"/>
    <x v="4"/>
    <x v="15"/>
    <x v="7"/>
    <x v="2"/>
    <x v="2"/>
    <x v="6"/>
    <x v="3"/>
    <x v="4"/>
  </r>
  <r>
    <x v="180"/>
    <x v="5"/>
    <x v="15"/>
    <x v="7"/>
    <x v="2"/>
    <x v="2"/>
    <x v="6"/>
    <x v="3"/>
    <x v="5"/>
  </r>
  <r>
    <x v="180"/>
    <x v="6"/>
    <x v="15"/>
    <x v="7"/>
    <x v="2"/>
    <x v="2"/>
    <x v="6"/>
    <x v="3"/>
    <x v="6"/>
  </r>
  <r>
    <x v="180"/>
    <x v="7"/>
    <x v="15"/>
    <x v="7"/>
    <x v="2"/>
    <x v="2"/>
    <x v="6"/>
    <x v="3"/>
    <x v="7"/>
  </r>
  <r>
    <x v="180"/>
    <x v="8"/>
    <x v="15"/>
    <x v="7"/>
    <x v="2"/>
    <x v="2"/>
    <x v="6"/>
    <x v="3"/>
    <x v="8"/>
  </r>
  <r>
    <x v="180"/>
    <x v="9"/>
    <x v="15"/>
    <x v="7"/>
    <x v="2"/>
    <x v="2"/>
    <x v="6"/>
    <x v="3"/>
    <x v="9"/>
  </r>
  <r>
    <x v="181"/>
    <x v="2"/>
    <x v="16"/>
    <x v="7"/>
    <x v="2"/>
    <x v="2"/>
    <x v="6"/>
    <x v="3"/>
    <x v="2"/>
  </r>
  <r>
    <x v="181"/>
    <x v="3"/>
    <x v="16"/>
    <x v="7"/>
    <x v="2"/>
    <x v="2"/>
    <x v="6"/>
    <x v="3"/>
    <x v="3"/>
  </r>
  <r>
    <x v="181"/>
    <x v="4"/>
    <x v="16"/>
    <x v="7"/>
    <x v="2"/>
    <x v="2"/>
    <x v="6"/>
    <x v="3"/>
    <x v="4"/>
  </r>
  <r>
    <x v="181"/>
    <x v="5"/>
    <x v="16"/>
    <x v="7"/>
    <x v="2"/>
    <x v="2"/>
    <x v="6"/>
    <x v="3"/>
    <x v="5"/>
  </r>
  <r>
    <x v="181"/>
    <x v="6"/>
    <x v="16"/>
    <x v="7"/>
    <x v="2"/>
    <x v="2"/>
    <x v="6"/>
    <x v="3"/>
    <x v="6"/>
  </r>
  <r>
    <x v="181"/>
    <x v="7"/>
    <x v="16"/>
    <x v="7"/>
    <x v="2"/>
    <x v="2"/>
    <x v="6"/>
    <x v="3"/>
    <x v="7"/>
  </r>
  <r>
    <x v="181"/>
    <x v="8"/>
    <x v="16"/>
    <x v="7"/>
    <x v="2"/>
    <x v="2"/>
    <x v="6"/>
    <x v="3"/>
    <x v="8"/>
  </r>
  <r>
    <x v="181"/>
    <x v="9"/>
    <x v="16"/>
    <x v="7"/>
    <x v="2"/>
    <x v="2"/>
    <x v="6"/>
    <x v="3"/>
    <x v="9"/>
  </r>
  <r>
    <x v="182"/>
    <x v="2"/>
    <x v="17"/>
    <x v="7"/>
    <x v="3"/>
    <x v="3"/>
    <x v="6"/>
    <x v="3"/>
    <x v="2"/>
  </r>
  <r>
    <x v="182"/>
    <x v="3"/>
    <x v="17"/>
    <x v="7"/>
    <x v="3"/>
    <x v="3"/>
    <x v="6"/>
    <x v="3"/>
    <x v="3"/>
  </r>
  <r>
    <x v="182"/>
    <x v="4"/>
    <x v="17"/>
    <x v="7"/>
    <x v="3"/>
    <x v="3"/>
    <x v="6"/>
    <x v="3"/>
    <x v="4"/>
  </r>
  <r>
    <x v="182"/>
    <x v="5"/>
    <x v="17"/>
    <x v="7"/>
    <x v="3"/>
    <x v="3"/>
    <x v="6"/>
    <x v="3"/>
    <x v="5"/>
  </r>
  <r>
    <x v="182"/>
    <x v="6"/>
    <x v="17"/>
    <x v="7"/>
    <x v="3"/>
    <x v="3"/>
    <x v="6"/>
    <x v="3"/>
    <x v="6"/>
  </r>
  <r>
    <x v="182"/>
    <x v="7"/>
    <x v="17"/>
    <x v="7"/>
    <x v="3"/>
    <x v="3"/>
    <x v="6"/>
    <x v="3"/>
    <x v="7"/>
  </r>
  <r>
    <x v="182"/>
    <x v="8"/>
    <x v="17"/>
    <x v="7"/>
    <x v="3"/>
    <x v="3"/>
    <x v="6"/>
    <x v="3"/>
    <x v="8"/>
  </r>
  <r>
    <x v="182"/>
    <x v="9"/>
    <x v="17"/>
    <x v="7"/>
    <x v="3"/>
    <x v="3"/>
    <x v="6"/>
    <x v="3"/>
    <x v="9"/>
  </r>
  <r>
    <x v="183"/>
    <x v="2"/>
    <x v="18"/>
    <x v="7"/>
    <x v="3"/>
    <x v="3"/>
    <x v="3"/>
    <x v="4"/>
    <x v="2"/>
  </r>
  <r>
    <x v="183"/>
    <x v="4"/>
    <x v="18"/>
    <x v="7"/>
    <x v="3"/>
    <x v="3"/>
    <x v="4"/>
    <x v="4"/>
    <x v="4"/>
  </r>
  <r>
    <x v="183"/>
    <x v="6"/>
    <x v="18"/>
    <x v="7"/>
    <x v="3"/>
    <x v="3"/>
    <x v="5"/>
    <x v="4"/>
    <x v="6"/>
  </r>
  <r>
    <x v="184"/>
    <x v="2"/>
    <x v="19"/>
    <x v="7"/>
    <x v="3"/>
    <x v="3"/>
    <x v="2"/>
    <x v="4"/>
    <x v="2"/>
  </r>
  <r>
    <x v="184"/>
    <x v="4"/>
    <x v="19"/>
    <x v="7"/>
    <x v="3"/>
    <x v="3"/>
    <x v="3"/>
    <x v="4"/>
    <x v="4"/>
  </r>
  <r>
    <x v="184"/>
    <x v="6"/>
    <x v="19"/>
    <x v="7"/>
    <x v="3"/>
    <x v="3"/>
    <x v="4"/>
    <x v="4"/>
    <x v="6"/>
  </r>
  <r>
    <x v="185"/>
    <x v="2"/>
    <x v="20"/>
    <x v="7"/>
    <x v="3"/>
    <x v="3"/>
    <x v="2"/>
    <x v="4"/>
    <x v="2"/>
  </r>
  <r>
    <x v="185"/>
    <x v="4"/>
    <x v="20"/>
    <x v="7"/>
    <x v="3"/>
    <x v="3"/>
    <x v="3"/>
    <x v="4"/>
    <x v="4"/>
  </r>
  <r>
    <x v="185"/>
    <x v="6"/>
    <x v="20"/>
    <x v="7"/>
    <x v="3"/>
    <x v="3"/>
    <x v="4"/>
    <x v="4"/>
    <x v="6"/>
  </r>
  <r>
    <x v="186"/>
    <x v="2"/>
    <x v="21"/>
    <x v="7"/>
    <x v="3"/>
    <x v="3"/>
    <x v="3"/>
    <x v="4"/>
    <x v="2"/>
  </r>
  <r>
    <x v="186"/>
    <x v="4"/>
    <x v="21"/>
    <x v="7"/>
    <x v="3"/>
    <x v="3"/>
    <x v="4"/>
    <x v="4"/>
    <x v="4"/>
  </r>
  <r>
    <x v="186"/>
    <x v="6"/>
    <x v="21"/>
    <x v="7"/>
    <x v="3"/>
    <x v="3"/>
    <x v="5"/>
    <x v="4"/>
    <x v="6"/>
  </r>
  <r>
    <x v="187"/>
    <x v="2"/>
    <x v="22"/>
    <x v="7"/>
    <x v="3"/>
    <x v="3"/>
    <x v="3"/>
    <x v="4"/>
    <x v="2"/>
  </r>
  <r>
    <x v="187"/>
    <x v="4"/>
    <x v="22"/>
    <x v="7"/>
    <x v="3"/>
    <x v="3"/>
    <x v="4"/>
    <x v="4"/>
    <x v="4"/>
  </r>
  <r>
    <x v="187"/>
    <x v="6"/>
    <x v="22"/>
    <x v="7"/>
    <x v="3"/>
    <x v="3"/>
    <x v="5"/>
    <x v="4"/>
    <x v="6"/>
  </r>
  <r>
    <x v="188"/>
    <x v="2"/>
    <x v="23"/>
    <x v="7"/>
    <x v="3"/>
    <x v="3"/>
    <x v="3"/>
    <x v="4"/>
    <x v="2"/>
  </r>
  <r>
    <x v="188"/>
    <x v="4"/>
    <x v="23"/>
    <x v="7"/>
    <x v="3"/>
    <x v="3"/>
    <x v="4"/>
    <x v="4"/>
    <x v="4"/>
  </r>
  <r>
    <x v="188"/>
    <x v="6"/>
    <x v="23"/>
    <x v="7"/>
    <x v="3"/>
    <x v="3"/>
    <x v="5"/>
    <x v="4"/>
    <x v="6"/>
  </r>
  <r>
    <x v="189"/>
    <x v="2"/>
    <x v="24"/>
    <x v="7"/>
    <x v="3"/>
    <x v="3"/>
    <x v="3"/>
    <x v="4"/>
    <x v="2"/>
  </r>
  <r>
    <x v="189"/>
    <x v="4"/>
    <x v="24"/>
    <x v="7"/>
    <x v="3"/>
    <x v="3"/>
    <x v="4"/>
    <x v="4"/>
    <x v="4"/>
  </r>
  <r>
    <x v="189"/>
    <x v="6"/>
    <x v="24"/>
    <x v="7"/>
    <x v="3"/>
    <x v="3"/>
    <x v="5"/>
    <x v="4"/>
    <x v="6"/>
  </r>
  <r>
    <x v="190"/>
    <x v="2"/>
    <x v="25"/>
    <x v="7"/>
    <x v="3"/>
    <x v="3"/>
    <x v="3"/>
    <x v="4"/>
    <x v="2"/>
  </r>
  <r>
    <x v="190"/>
    <x v="4"/>
    <x v="25"/>
    <x v="7"/>
    <x v="3"/>
    <x v="3"/>
    <x v="4"/>
    <x v="4"/>
    <x v="4"/>
  </r>
  <r>
    <x v="190"/>
    <x v="6"/>
    <x v="25"/>
    <x v="7"/>
    <x v="3"/>
    <x v="3"/>
    <x v="5"/>
    <x v="4"/>
    <x v="6"/>
  </r>
  <r>
    <x v="191"/>
    <x v="2"/>
    <x v="26"/>
    <x v="7"/>
    <x v="3"/>
    <x v="3"/>
    <x v="3"/>
    <x v="3"/>
    <x v="2"/>
  </r>
  <r>
    <x v="191"/>
    <x v="3"/>
    <x v="26"/>
    <x v="7"/>
    <x v="3"/>
    <x v="3"/>
    <x v="4"/>
    <x v="3"/>
    <x v="3"/>
  </r>
  <r>
    <x v="191"/>
    <x v="4"/>
    <x v="26"/>
    <x v="7"/>
    <x v="3"/>
    <x v="3"/>
    <x v="5"/>
    <x v="3"/>
    <x v="4"/>
  </r>
  <r>
    <x v="191"/>
    <x v="5"/>
    <x v="26"/>
    <x v="7"/>
    <x v="3"/>
    <x v="3"/>
    <x v="6"/>
    <x v="3"/>
    <x v="5"/>
  </r>
  <r>
    <x v="191"/>
    <x v="6"/>
    <x v="26"/>
    <x v="7"/>
    <x v="3"/>
    <x v="3"/>
    <x v="6"/>
    <x v="3"/>
    <x v="6"/>
  </r>
  <r>
    <x v="191"/>
    <x v="7"/>
    <x v="26"/>
    <x v="7"/>
    <x v="3"/>
    <x v="3"/>
    <x v="6"/>
    <x v="3"/>
    <x v="7"/>
  </r>
  <r>
    <x v="191"/>
    <x v="8"/>
    <x v="26"/>
    <x v="7"/>
    <x v="3"/>
    <x v="3"/>
    <x v="6"/>
    <x v="3"/>
    <x v="8"/>
  </r>
  <r>
    <x v="191"/>
    <x v="9"/>
    <x v="26"/>
    <x v="7"/>
    <x v="3"/>
    <x v="3"/>
    <x v="6"/>
    <x v="3"/>
    <x v="9"/>
  </r>
  <r>
    <x v="192"/>
    <x v="2"/>
    <x v="27"/>
    <x v="7"/>
    <x v="3"/>
    <x v="3"/>
    <x v="3"/>
    <x v="3"/>
    <x v="2"/>
  </r>
  <r>
    <x v="192"/>
    <x v="3"/>
    <x v="27"/>
    <x v="7"/>
    <x v="3"/>
    <x v="3"/>
    <x v="4"/>
    <x v="3"/>
    <x v="3"/>
  </r>
  <r>
    <x v="192"/>
    <x v="4"/>
    <x v="27"/>
    <x v="7"/>
    <x v="3"/>
    <x v="3"/>
    <x v="5"/>
    <x v="3"/>
    <x v="4"/>
  </r>
  <r>
    <x v="192"/>
    <x v="5"/>
    <x v="27"/>
    <x v="7"/>
    <x v="3"/>
    <x v="3"/>
    <x v="6"/>
    <x v="3"/>
    <x v="5"/>
  </r>
  <r>
    <x v="192"/>
    <x v="6"/>
    <x v="27"/>
    <x v="7"/>
    <x v="3"/>
    <x v="3"/>
    <x v="6"/>
    <x v="3"/>
    <x v="6"/>
  </r>
  <r>
    <x v="192"/>
    <x v="7"/>
    <x v="27"/>
    <x v="7"/>
    <x v="3"/>
    <x v="3"/>
    <x v="6"/>
    <x v="3"/>
    <x v="7"/>
  </r>
  <r>
    <x v="192"/>
    <x v="8"/>
    <x v="27"/>
    <x v="7"/>
    <x v="3"/>
    <x v="3"/>
    <x v="6"/>
    <x v="3"/>
    <x v="8"/>
  </r>
  <r>
    <x v="192"/>
    <x v="9"/>
    <x v="27"/>
    <x v="7"/>
    <x v="3"/>
    <x v="3"/>
    <x v="6"/>
    <x v="3"/>
    <x v="9"/>
  </r>
  <r>
    <x v="193"/>
    <x v="2"/>
    <x v="28"/>
    <x v="7"/>
    <x v="3"/>
    <x v="3"/>
    <x v="3"/>
    <x v="3"/>
    <x v="2"/>
  </r>
  <r>
    <x v="193"/>
    <x v="3"/>
    <x v="28"/>
    <x v="7"/>
    <x v="3"/>
    <x v="3"/>
    <x v="4"/>
    <x v="3"/>
    <x v="3"/>
  </r>
  <r>
    <x v="193"/>
    <x v="4"/>
    <x v="28"/>
    <x v="7"/>
    <x v="3"/>
    <x v="3"/>
    <x v="5"/>
    <x v="3"/>
    <x v="4"/>
  </r>
  <r>
    <x v="193"/>
    <x v="5"/>
    <x v="28"/>
    <x v="7"/>
    <x v="3"/>
    <x v="3"/>
    <x v="6"/>
    <x v="3"/>
    <x v="5"/>
  </r>
  <r>
    <x v="193"/>
    <x v="6"/>
    <x v="28"/>
    <x v="7"/>
    <x v="3"/>
    <x v="3"/>
    <x v="6"/>
    <x v="3"/>
    <x v="6"/>
  </r>
  <r>
    <x v="193"/>
    <x v="7"/>
    <x v="28"/>
    <x v="7"/>
    <x v="3"/>
    <x v="3"/>
    <x v="6"/>
    <x v="3"/>
    <x v="7"/>
  </r>
  <r>
    <x v="193"/>
    <x v="8"/>
    <x v="28"/>
    <x v="7"/>
    <x v="3"/>
    <x v="3"/>
    <x v="6"/>
    <x v="3"/>
    <x v="8"/>
  </r>
  <r>
    <x v="193"/>
    <x v="9"/>
    <x v="28"/>
    <x v="7"/>
    <x v="3"/>
    <x v="3"/>
    <x v="6"/>
    <x v="3"/>
    <x v="9"/>
  </r>
  <r>
    <x v="194"/>
    <x v="2"/>
    <x v="29"/>
    <x v="7"/>
    <x v="3"/>
    <x v="3"/>
    <x v="3"/>
    <x v="3"/>
    <x v="2"/>
  </r>
  <r>
    <x v="194"/>
    <x v="3"/>
    <x v="29"/>
    <x v="7"/>
    <x v="3"/>
    <x v="3"/>
    <x v="4"/>
    <x v="3"/>
    <x v="3"/>
  </r>
  <r>
    <x v="194"/>
    <x v="4"/>
    <x v="29"/>
    <x v="7"/>
    <x v="3"/>
    <x v="3"/>
    <x v="5"/>
    <x v="3"/>
    <x v="4"/>
  </r>
  <r>
    <x v="194"/>
    <x v="5"/>
    <x v="29"/>
    <x v="7"/>
    <x v="3"/>
    <x v="3"/>
    <x v="6"/>
    <x v="3"/>
    <x v="5"/>
  </r>
  <r>
    <x v="194"/>
    <x v="6"/>
    <x v="29"/>
    <x v="7"/>
    <x v="3"/>
    <x v="3"/>
    <x v="6"/>
    <x v="3"/>
    <x v="6"/>
  </r>
  <r>
    <x v="194"/>
    <x v="7"/>
    <x v="29"/>
    <x v="7"/>
    <x v="3"/>
    <x v="3"/>
    <x v="6"/>
    <x v="3"/>
    <x v="7"/>
  </r>
  <r>
    <x v="194"/>
    <x v="8"/>
    <x v="29"/>
    <x v="7"/>
    <x v="3"/>
    <x v="3"/>
    <x v="6"/>
    <x v="3"/>
    <x v="8"/>
  </r>
  <r>
    <x v="194"/>
    <x v="9"/>
    <x v="29"/>
    <x v="7"/>
    <x v="3"/>
    <x v="3"/>
    <x v="6"/>
    <x v="3"/>
    <x v="9"/>
  </r>
  <r>
    <x v="195"/>
    <x v="2"/>
    <x v="30"/>
    <x v="7"/>
    <x v="3"/>
    <x v="3"/>
    <x v="3"/>
    <x v="3"/>
    <x v="2"/>
  </r>
  <r>
    <x v="195"/>
    <x v="3"/>
    <x v="30"/>
    <x v="7"/>
    <x v="3"/>
    <x v="3"/>
    <x v="4"/>
    <x v="3"/>
    <x v="3"/>
  </r>
  <r>
    <x v="195"/>
    <x v="4"/>
    <x v="30"/>
    <x v="7"/>
    <x v="3"/>
    <x v="3"/>
    <x v="5"/>
    <x v="3"/>
    <x v="4"/>
  </r>
  <r>
    <x v="195"/>
    <x v="5"/>
    <x v="30"/>
    <x v="7"/>
    <x v="3"/>
    <x v="3"/>
    <x v="6"/>
    <x v="3"/>
    <x v="5"/>
  </r>
  <r>
    <x v="195"/>
    <x v="6"/>
    <x v="30"/>
    <x v="7"/>
    <x v="3"/>
    <x v="3"/>
    <x v="6"/>
    <x v="3"/>
    <x v="6"/>
  </r>
  <r>
    <x v="195"/>
    <x v="7"/>
    <x v="30"/>
    <x v="7"/>
    <x v="3"/>
    <x v="3"/>
    <x v="6"/>
    <x v="3"/>
    <x v="7"/>
  </r>
  <r>
    <x v="195"/>
    <x v="8"/>
    <x v="30"/>
    <x v="7"/>
    <x v="3"/>
    <x v="3"/>
    <x v="6"/>
    <x v="3"/>
    <x v="8"/>
  </r>
  <r>
    <x v="195"/>
    <x v="9"/>
    <x v="30"/>
    <x v="7"/>
    <x v="3"/>
    <x v="3"/>
    <x v="6"/>
    <x v="3"/>
    <x v="9"/>
  </r>
  <r>
    <x v="196"/>
    <x v="2"/>
    <x v="31"/>
    <x v="7"/>
    <x v="3"/>
    <x v="3"/>
    <x v="3"/>
    <x v="3"/>
    <x v="2"/>
  </r>
  <r>
    <x v="196"/>
    <x v="3"/>
    <x v="31"/>
    <x v="7"/>
    <x v="3"/>
    <x v="3"/>
    <x v="4"/>
    <x v="3"/>
    <x v="3"/>
  </r>
  <r>
    <x v="196"/>
    <x v="4"/>
    <x v="31"/>
    <x v="7"/>
    <x v="3"/>
    <x v="3"/>
    <x v="5"/>
    <x v="3"/>
    <x v="4"/>
  </r>
  <r>
    <x v="196"/>
    <x v="5"/>
    <x v="31"/>
    <x v="7"/>
    <x v="3"/>
    <x v="3"/>
    <x v="6"/>
    <x v="3"/>
    <x v="5"/>
  </r>
  <r>
    <x v="196"/>
    <x v="6"/>
    <x v="31"/>
    <x v="7"/>
    <x v="3"/>
    <x v="3"/>
    <x v="6"/>
    <x v="3"/>
    <x v="6"/>
  </r>
  <r>
    <x v="196"/>
    <x v="7"/>
    <x v="31"/>
    <x v="7"/>
    <x v="3"/>
    <x v="3"/>
    <x v="6"/>
    <x v="3"/>
    <x v="7"/>
  </r>
  <r>
    <x v="196"/>
    <x v="8"/>
    <x v="31"/>
    <x v="7"/>
    <x v="3"/>
    <x v="3"/>
    <x v="6"/>
    <x v="3"/>
    <x v="8"/>
  </r>
  <r>
    <x v="196"/>
    <x v="9"/>
    <x v="31"/>
    <x v="7"/>
    <x v="3"/>
    <x v="3"/>
    <x v="6"/>
    <x v="3"/>
    <x v="9"/>
  </r>
  <r>
    <x v="197"/>
    <x v="2"/>
    <x v="32"/>
    <x v="7"/>
    <x v="3"/>
    <x v="3"/>
    <x v="3"/>
    <x v="3"/>
    <x v="2"/>
  </r>
  <r>
    <x v="197"/>
    <x v="3"/>
    <x v="32"/>
    <x v="7"/>
    <x v="3"/>
    <x v="3"/>
    <x v="4"/>
    <x v="3"/>
    <x v="3"/>
  </r>
  <r>
    <x v="197"/>
    <x v="4"/>
    <x v="32"/>
    <x v="7"/>
    <x v="3"/>
    <x v="3"/>
    <x v="5"/>
    <x v="3"/>
    <x v="4"/>
  </r>
  <r>
    <x v="197"/>
    <x v="5"/>
    <x v="32"/>
    <x v="7"/>
    <x v="3"/>
    <x v="3"/>
    <x v="6"/>
    <x v="3"/>
    <x v="5"/>
  </r>
  <r>
    <x v="197"/>
    <x v="6"/>
    <x v="32"/>
    <x v="7"/>
    <x v="3"/>
    <x v="3"/>
    <x v="6"/>
    <x v="3"/>
    <x v="6"/>
  </r>
  <r>
    <x v="197"/>
    <x v="7"/>
    <x v="32"/>
    <x v="7"/>
    <x v="3"/>
    <x v="3"/>
    <x v="6"/>
    <x v="3"/>
    <x v="7"/>
  </r>
  <r>
    <x v="197"/>
    <x v="8"/>
    <x v="32"/>
    <x v="7"/>
    <x v="3"/>
    <x v="3"/>
    <x v="6"/>
    <x v="3"/>
    <x v="8"/>
  </r>
  <r>
    <x v="197"/>
    <x v="9"/>
    <x v="32"/>
    <x v="7"/>
    <x v="3"/>
    <x v="3"/>
    <x v="6"/>
    <x v="3"/>
    <x v="9"/>
  </r>
  <r>
    <x v="198"/>
    <x v="2"/>
    <x v="33"/>
    <x v="7"/>
    <x v="3"/>
    <x v="3"/>
    <x v="3"/>
    <x v="3"/>
    <x v="2"/>
  </r>
  <r>
    <x v="198"/>
    <x v="3"/>
    <x v="33"/>
    <x v="7"/>
    <x v="3"/>
    <x v="3"/>
    <x v="4"/>
    <x v="3"/>
    <x v="3"/>
  </r>
  <r>
    <x v="198"/>
    <x v="4"/>
    <x v="33"/>
    <x v="7"/>
    <x v="3"/>
    <x v="3"/>
    <x v="5"/>
    <x v="3"/>
    <x v="4"/>
  </r>
  <r>
    <x v="198"/>
    <x v="5"/>
    <x v="33"/>
    <x v="7"/>
    <x v="3"/>
    <x v="3"/>
    <x v="6"/>
    <x v="3"/>
    <x v="5"/>
  </r>
  <r>
    <x v="198"/>
    <x v="6"/>
    <x v="33"/>
    <x v="7"/>
    <x v="3"/>
    <x v="3"/>
    <x v="6"/>
    <x v="3"/>
    <x v="6"/>
  </r>
  <r>
    <x v="198"/>
    <x v="7"/>
    <x v="33"/>
    <x v="7"/>
    <x v="3"/>
    <x v="3"/>
    <x v="6"/>
    <x v="3"/>
    <x v="7"/>
  </r>
  <r>
    <x v="198"/>
    <x v="8"/>
    <x v="33"/>
    <x v="7"/>
    <x v="3"/>
    <x v="3"/>
    <x v="6"/>
    <x v="3"/>
    <x v="8"/>
  </r>
  <r>
    <x v="198"/>
    <x v="9"/>
    <x v="33"/>
    <x v="7"/>
    <x v="3"/>
    <x v="3"/>
    <x v="6"/>
    <x v="3"/>
    <x v="9"/>
  </r>
  <r>
    <x v="199"/>
    <x v="2"/>
    <x v="34"/>
    <x v="7"/>
    <x v="3"/>
    <x v="3"/>
    <x v="3"/>
    <x v="3"/>
    <x v="2"/>
  </r>
  <r>
    <x v="199"/>
    <x v="3"/>
    <x v="34"/>
    <x v="7"/>
    <x v="3"/>
    <x v="3"/>
    <x v="4"/>
    <x v="3"/>
    <x v="3"/>
  </r>
  <r>
    <x v="199"/>
    <x v="4"/>
    <x v="34"/>
    <x v="7"/>
    <x v="3"/>
    <x v="3"/>
    <x v="5"/>
    <x v="3"/>
    <x v="4"/>
  </r>
  <r>
    <x v="199"/>
    <x v="5"/>
    <x v="34"/>
    <x v="7"/>
    <x v="3"/>
    <x v="3"/>
    <x v="6"/>
    <x v="3"/>
    <x v="5"/>
  </r>
  <r>
    <x v="199"/>
    <x v="6"/>
    <x v="34"/>
    <x v="7"/>
    <x v="3"/>
    <x v="3"/>
    <x v="6"/>
    <x v="3"/>
    <x v="6"/>
  </r>
  <r>
    <x v="199"/>
    <x v="7"/>
    <x v="34"/>
    <x v="7"/>
    <x v="3"/>
    <x v="3"/>
    <x v="6"/>
    <x v="3"/>
    <x v="7"/>
  </r>
  <r>
    <x v="199"/>
    <x v="8"/>
    <x v="34"/>
    <x v="7"/>
    <x v="3"/>
    <x v="3"/>
    <x v="6"/>
    <x v="3"/>
    <x v="8"/>
  </r>
  <r>
    <x v="199"/>
    <x v="9"/>
    <x v="34"/>
    <x v="7"/>
    <x v="3"/>
    <x v="3"/>
    <x v="6"/>
    <x v="3"/>
    <x v="9"/>
  </r>
  <r>
    <x v="200"/>
    <x v="2"/>
    <x v="35"/>
    <x v="7"/>
    <x v="3"/>
    <x v="3"/>
    <x v="7"/>
    <x v="3"/>
    <x v="2"/>
  </r>
  <r>
    <x v="200"/>
    <x v="3"/>
    <x v="35"/>
    <x v="7"/>
    <x v="3"/>
    <x v="3"/>
    <x v="5"/>
    <x v="3"/>
    <x v="3"/>
  </r>
  <r>
    <x v="200"/>
    <x v="4"/>
    <x v="35"/>
    <x v="7"/>
    <x v="3"/>
    <x v="3"/>
    <x v="8"/>
    <x v="3"/>
    <x v="4"/>
  </r>
  <r>
    <x v="200"/>
    <x v="5"/>
    <x v="35"/>
    <x v="7"/>
    <x v="3"/>
    <x v="3"/>
    <x v="6"/>
    <x v="3"/>
    <x v="5"/>
  </r>
  <r>
    <x v="200"/>
    <x v="6"/>
    <x v="35"/>
    <x v="7"/>
    <x v="3"/>
    <x v="3"/>
    <x v="6"/>
    <x v="3"/>
    <x v="6"/>
  </r>
  <r>
    <x v="200"/>
    <x v="7"/>
    <x v="35"/>
    <x v="7"/>
    <x v="3"/>
    <x v="3"/>
    <x v="6"/>
    <x v="3"/>
    <x v="7"/>
  </r>
  <r>
    <x v="200"/>
    <x v="8"/>
    <x v="35"/>
    <x v="7"/>
    <x v="3"/>
    <x v="3"/>
    <x v="6"/>
    <x v="3"/>
    <x v="8"/>
  </r>
  <r>
    <x v="200"/>
    <x v="9"/>
    <x v="35"/>
    <x v="7"/>
    <x v="3"/>
    <x v="3"/>
    <x v="6"/>
    <x v="3"/>
    <x v="9"/>
  </r>
  <r>
    <x v="201"/>
    <x v="2"/>
    <x v="36"/>
    <x v="7"/>
    <x v="3"/>
    <x v="3"/>
    <x v="7"/>
    <x v="3"/>
    <x v="2"/>
  </r>
  <r>
    <x v="201"/>
    <x v="3"/>
    <x v="36"/>
    <x v="7"/>
    <x v="3"/>
    <x v="3"/>
    <x v="5"/>
    <x v="3"/>
    <x v="3"/>
  </r>
  <r>
    <x v="201"/>
    <x v="4"/>
    <x v="36"/>
    <x v="7"/>
    <x v="3"/>
    <x v="3"/>
    <x v="8"/>
    <x v="3"/>
    <x v="4"/>
  </r>
  <r>
    <x v="201"/>
    <x v="5"/>
    <x v="36"/>
    <x v="7"/>
    <x v="3"/>
    <x v="3"/>
    <x v="6"/>
    <x v="3"/>
    <x v="5"/>
  </r>
  <r>
    <x v="201"/>
    <x v="6"/>
    <x v="36"/>
    <x v="7"/>
    <x v="3"/>
    <x v="3"/>
    <x v="6"/>
    <x v="3"/>
    <x v="6"/>
  </r>
  <r>
    <x v="201"/>
    <x v="7"/>
    <x v="36"/>
    <x v="7"/>
    <x v="3"/>
    <x v="3"/>
    <x v="6"/>
    <x v="3"/>
    <x v="7"/>
  </r>
  <r>
    <x v="201"/>
    <x v="8"/>
    <x v="36"/>
    <x v="7"/>
    <x v="3"/>
    <x v="3"/>
    <x v="6"/>
    <x v="3"/>
    <x v="8"/>
  </r>
  <r>
    <x v="201"/>
    <x v="9"/>
    <x v="36"/>
    <x v="7"/>
    <x v="3"/>
    <x v="3"/>
    <x v="6"/>
    <x v="3"/>
    <x v="9"/>
  </r>
  <r>
    <x v="202"/>
    <x v="2"/>
    <x v="37"/>
    <x v="7"/>
    <x v="3"/>
    <x v="3"/>
    <x v="5"/>
    <x v="3"/>
    <x v="2"/>
  </r>
  <r>
    <x v="202"/>
    <x v="3"/>
    <x v="37"/>
    <x v="7"/>
    <x v="3"/>
    <x v="3"/>
    <x v="5"/>
    <x v="3"/>
    <x v="3"/>
  </r>
  <r>
    <x v="202"/>
    <x v="4"/>
    <x v="37"/>
    <x v="7"/>
    <x v="3"/>
    <x v="3"/>
    <x v="6"/>
    <x v="3"/>
    <x v="4"/>
  </r>
  <r>
    <x v="202"/>
    <x v="5"/>
    <x v="37"/>
    <x v="7"/>
    <x v="3"/>
    <x v="3"/>
    <x v="6"/>
    <x v="3"/>
    <x v="5"/>
  </r>
  <r>
    <x v="202"/>
    <x v="6"/>
    <x v="37"/>
    <x v="7"/>
    <x v="3"/>
    <x v="3"/>
    <x v="6"/>
    <x v="3"/>
    <x v="6"/>
  </r>
  <r>
    <x v="202"/>
    <x v="7"/>
    <x v="37"/>
    <x v="7"/>
    <x v="3"/>
    <x v="3"/>
    <x v="6"/>
    <x v="3"/>
    <x v="7"/>
  </r>
  <r>
    <x v="202"/>
    <x v="8"/>
    <x v="37"/>
    <x v="7"/>
    <x v="3"/>
    <x v="3"/>
    <x v="6"/>
    <x v="3"/>
    <x v="8"/>
  </r>
  <r>
    <x v="202"/>
    <x v="9"/>
    <x v="37"/>
    <x v="7"/>
    <x v="3"/>
    <x v="3"/>
    <x v="6"/>
    <x v="3"/>
    <x v="9"/>
  </r>
  <r>
    <x v="203"/>
    <x v="2"/>
    <x v="38"/>
    <x v="7"/>
    <x v="3"/>
    <x v="3"/>
    <x v="5"/>
    <x v="3"/>
    <x v="2"/>
  </r>
  <r>
    <x v="203"/>
    <x v="3"/>
    <x v="38"/>
    <x v="7"/>
    <x v="3"/>
    <x v="3"/>
    <x v="5"/>
    <x v="3"/>
    <x v="3"/>
  </r>
  <r>
    <x v="203"/>
    <x v="4"/>
    <x v="38"/>
    <x v="7"/>
    <x v="3"/>
    <x v="3"/>
    <x v="6"/>
    <x v="3"/>
    <x v="4"/>
  </r>
  <r>
    <x v="203"/>
    <x v="5"/>
    <x v="38"/>
    <x v="7"/>
    <x v="3"/>
    <x v="3"/>
    <x v="6"/>
    <x v="3"/>
    <x v="5"/>
  </r>
  <r>
    <x v="203"/>
    <x v="6"/>
    <x v="38"/>
    <x v="7"/>
    <x v="3"/>
    <x v="3"/>
    <x v="6"/>
    <x v="3"/>
    <x v="6"/>
  </r>
  <r>
    <x v="203"/>
    <x v="7"/>
    <x v="38"/>
    <x v="7"/>
    <x v="3"/>
    <x v="3"/>
    <x v="6"/>
    <x v="3"/>
    <x v="7"/>
  </r>
  <r>
    <x v="203"/>
    <x v="8"/>
    <x v="38"/>
    <x v="7"/>
    <x v="3"/>
    <x v="3"/>
    <x v="6"/>
    <x v="3"/>
    <x v="8"/>
  </r>
  <r>
    <x v="203"/>
    <x v="9"/>
    <x v="38"/>
    <x v="7"/>
    <x v="3"/>
    <x v="3"/>
    <x v="6"/>
    <x v="3"/>
    <x v="9"/>
  </r>
  <r>
    <x v="204"/>
    <x v="2"/>
    <x v="39"/>
    <x v="7"/>
    <x v="3"/>
    <x v="3"/>
    <x v="5"/>
    <x v="3"/>
    <x v="2"/>
  </r>
  <r>
    <x v="204"/>
    <x v="3"/>
    <x v="39"/>
    <x v="7"/>
    <x v="3"/>
    <x v="3"/>
    <x v="5"/>
    <x v="3"/>
    <x v="3"/>
  </r>
  <r>
    <x v="204"/>
    <x v="4"/>
    <x v="39"/>
    <x v="7"/>
    <x v="3"/>
    <x v="3"/>
    <x v="6"/>
    <x v="3"/>
    <x v="4"/>
  </r>
  <r>
    <x v="204"/>
    <x v="5"/>
    <x v="39"/>
    <x v="7"/>
    <x v="3"/>
    <x v="3"/>
    <x v="6"/>
    <x v="3"/>
    <x v="5"/>
  </r>
  <r>
    <x v="204"/>
    <x v="6"/>
    <x v="39"/>
    <x v="7"/>
    <x v="3"/>
    <x v="3"/>
    <x v="6"/>
    <x v="3"/>
    <x v="6"/>
  </r>
  <r>
    <x v="204"/>
    <x v="7"/>
    <x v="39"/>
    <x v="7"/>
    <x v="3"/>
    <x v="3"/>
    <x v="6"/>
    <x v="3"/>
    <x v="7"/>
  </r>
  <r>
    <x v="204"/>
    <x v="8"/>
    <x v="39"/>
    <x v="7"/>
    <x v="3"/>
    <x v="3"/>
    <x v="6"/>
    <x v="3"/>
    <x v="8"/>
  </r>
  <r>
    <x v="204"/>
    <x v="9"/>
    <x v="39"/>
    <x v="7"/>
    <x v="3"/>
    <x v="3"/>
    <x v="6"/>
    <x v="3"/>
    <x v="9"/>
  </r>
  <r>
    <x v="205"/>
    <x v="2"/>
    <x v="40"/>
    <x v="7"/>
    <x v="3"/>
    <x v="3"/>
    <x v="5"/>
    <x v="3"/>
    <x v="2"/>
  </r>
  <r>
    <x v="205"/>
    <x v="3"/>
    <x v="40"/>
    <x v="7"/>
    <x v="3"/>
    <x v="3"/>
    <x v="5"/>
    <x v="3"/>
    <x v="3"/>
  </r>
  <r>
    <x v="205"/>
    <x v="4"/>
    <x v="40"/>
    <x v="7"/>
    <x v="3"/>
    <x v="3"/>
    <x v="6"/>
    <x v="3"/>
    <x v="4"/>
  </r>
  <r>
    <x v="205"/>
    <x v="5"/>
    <x v="40"/>
    <x v="7"/>
    <x v="3"/>
    <x v="3"/>
    <x v="6"/>
    <x v="3"/>
    <x v="5"/>
  </r>
  <r>
    <x v="205"/>
    <x v="6"/>
    <x v="40"/>
    <x v="7"/>
    <x v="3"/>
    <x v="3"/>
    <x v="6"/>
    <x v="3"/>
    <x v="6"/>
  </r>
  <r>
    <x v="205"/>
    <x v="7"/>
    <x v="40"/>
    <x v="7"/>
    <x v="3"/>
    <x v="3"/>
    <x v="6"/>
    <x v="3"/>
    <x v="7"/>
  </r>
  <r>
    <x v="205"/>
    <x v="8"/>
    <x v="40"/>
    <x v="7"/>
    <x v="3"/>
    <x v="3"/>
    <x v="6"/>
    <x v="3"/>
    <x v="8"/>
  </r>
  <r>
    <x v="205"/>
    <x v="9"/>
    <x v="40"/>
    <x v="7"/>
    <x v="3"/>
    <x v="3"/>
    <x v="6"/>
    <x v="3"/>
    <x v="9"/>
  </r>
  <r>
    <x v="206"/>
    <x v="2"/>
    <x v="41"/>
    <x v="7"/>
    <x v="3"/>
    <x v="3"/>
    <x v="5"/>
    <x v="3"/>
    <x v="2"/>
  </r>
  <r>
    <x v="206"/>
    <x v="3"/>
    <x v="41"/>
    <x v="7"/>
    <x v="3"/>
    <x v="3"/>
    <x v="5"/>
    <x v="3"/>
    <x v="3"/>
  </r>
  <r>
    <x v="206"/>
    <x v="4"/>
    <x v="41"/>
    <x v="7"/>
    <x v="3"/>
    <x v="3"/>
    <x v="6"/>
    <x v="3"/>
    <x v="4"/>
  </r>
  <r>
    <x v="206"/>
    <x v="5"/>
    <x v="41"/>
    <x v="7"/>
    <x v="3"/>
    <x v="3"/>
    <x v="6"/>
    <x v="3"/>
    <x v="5"/>
  </r>
  <r>
    <x v="206"/>
    <x v="6"/>
    <x v="41"/>
    <x v="7"/>
    <x v="3"/>
    <x v="3"/>
    <x v="6"/>
    <x v="3"/>
    <x v="6"/>
  </r>
  <r>
    <x v="206"/>
    <x v="7"/>
    <x v="41"/>
    <x v="7"/>
    <x v="3"/>
    <x v="3"/>
    <x v="6"/>
    <x v="3"/>
    <x v="7"/>
  </r>
  <r>
    <x v="206"/>
    <x v="8"/>
    <x v="41"/>
    <x v="7"/>
    <x v="3"/>
    <x v="3"/>
    <x v="6"/>
    <x v="3"/>
    <x v="8"/>
  </r>
  <r>
    <x v="206"/>
    <x v="9"/>
    <x v="41"/>
    <x v="7"/>
    <x v="3"/>
    <x v="3"/>
    <x v="6"/>
    <x v="3"/>
    <x v="9"/>
  </r>
  <r>
    <x v="207"/>
    <x v="2"/>
    <x v="42"/>
    <x v="7"/>
    <x v="3"/>
    <x v="3"/>
    <x v="6"/>
    <x v="3"/>
    <x v="2"/>
  </r>
  <r>
    <x v="207"/>
    <x v="3"/>
    <x v="42"/>
    <x v="7"/>
    <x v="3"/>
    <x v="3"/>
    <x v="6"/>
    <x v="3"/>
    <x v="3"/>
  </r>
  <r>
    <x v="207"/>
    <x v="4"/>
    <x v="42"/>
    <x v="7"/>
    <x v="3"/>
    <x v="3"/>
    <x v="6"/>
    <x v="3"/>
    <x v="4"/>
  </r>
  <r>
    <x v="207"/>
    <x v="5"/>
    <x v="42"/>
    <x v="7"/>
    <x v="3"/>
    <x v="3"/>
    <x v="6"/>
    <x v="3"/>
    <x v="5"/>
  </r>
  <r>
    <x v="207"/>
    <x v="6"/>
    <x v="42"/>
    <x v="7"/>
    <x v="3"/>
    <x v="3"/>
    <x v="6"/>
    <x v="3"/>
    <x v="6"/>
  </r>
  <r>
    <x v="207"/>
    <x v="7"/>
    <x v="42"/>
    <x v="7"/>
    <x v="3"/>
    <x v="3"/>
    <x v="6"/>
    <x v="3"/>
    <x v="7"/>
  </r>
  <r>
    <x v="207"/>
    <x v="8"/>
    <x v="42"/>
    <x v="7"/>
    <x v="3"/>
    <x v="3"/>
    <x v="6"/>
    <x v="3"/>
    <x v="8"/>
  </r>
  <r>
    <x v="207"/>
    <x v="9"/>
    <x v="42"/>
    <x v="7"/>
    <x v="3"/>
    <x v="3"/>
    <x v="6"/>
    <x v="3"/>
    <x v="9"/>
  </r>
  <r>
    <x v="208"/>
    <x v="2"/>
    <x v="43"/>
    <x v="7"/>
    <x v="3"/>
    <x v="3"/>
    <x v="6"/>
    <x v="3"/>
    <x v="2"/>
  </r>
  <r>
    <x v="208"/>
    <x v="3"/>
    <x v="43"/>
    <x v="7"/>
    <x v="3"/>
    <x v="3"/>
    <x v="6"/>
    <x v="3"/>
    <x v="3"/>
  </r>
  <r>
    <x v="208"/>
    <x v="4"/>
    <x v="43"/>
    <x v="7"/>
    <x v="3"/>
    <x v="3"/>
    <x v="6"/>
    <x v="3"/>
    <x v="4"/>
  </r>
  <r>
    <x v="208"/>
    <x v="5"/>
    <x v="43"/>
    <x v="7"/>
    <x v="3"/>
    <x v="3"/>
    <x v="6"/>
    <x v="3"/>
    <x v="5"/>
  </r>
  <r>
    <x v="208"/>
    <x v="6"/>
    <x v="43"/>
    <x v="7"/>
    <x v="3"/>
    <x v="3"/>
    <x v="6"/>
    <x v="3"/>
    <x v="6"/>
  </r>
  <r>
    <x v="208"/>
    <x v="7"/>
    <x v="43"/>
    <x v="7"/>
    <x v="3"/>
    <x v="3"/>
    <x v="6"/>
    <x v="3"/>
    <x v="7"/>
  </r>
  <r>
    <x v="208"/>
    <x v="8"/>
    <x v="43"/>
    <x v="7"/>
    <x v="3"/>
    <x v="3"/>
    <x v="6"/>
    <x v="3"/>
    <x v="8"/>
  </r>
  <r>
    <x v="208"/>
    <x v="9"/>
    <x v="43"/>
    <x v="7"/>
    <x v="3"/>
    <x v="3"/>
    <x v="6"/>
    <x v="3"/>
    <x v="9"/>
  </r>
  <r>
    <x v="209"/>
    <x v="2"/>
    <x v="44"/>
    <x v="7"/>
    <x v="3"/>
    <x v="3"/>
    <x v="6"/>
    <x v="3"/>
    <x v="2"/>
  </r>
  <r>
    <x v="209"/>
    <x v="3"/>
    <x v="44"/>
    <x v="7"/>
    <x v="3"/>
    <x v="3"/>
    <x v="6"/>
    <x v="3"/>
    <x v="3"/>
  </r>
  <r>
    <x v="209"/>
    <x v="4"/>
    <x v="44"/>
    <x v="7"/>
    <x v="3"/>
    <x v="3"/>
    <x v="6"/>
    <x v="3"/>
    <x v="4"/>
  </r>
  <r>
    <x v="209"/>
    <x v="5"/>
    <x v="44"/>
    <x v="7"/>
    <x v="3"/>
    <x v="3"/>
    <x v="6"/>
    <x v="3"/>
    <x v="5"/>
  </r>
  <r>
    <x v="209"/>
    <x v="6"/>
    <x v="44"/>
    <x v="7"/>
    <x v="3"/>
    <x v="3"/>
    <x v="6"/>
    <x v="3"/>
    <x v="6"/>
  </r>
  <r>
    <x v="209"/>
    <x v="7"/>
    <x v="44"/>
    <x v="7"/>
    <x v="3"/>
    <x v="3"/>
    <x v="6"/>
    <x v="3"/>
    <x v="7"/>
  </r>
  <r>
    <x v="209"/>
    <x v="8"/>
    <x v="44"/>
    <x v="7"/>
    <x v="3"/>
    <x v="3"/>
    <x v="6"/>
    <x v="3"/>
    <x v="8"/>
  </r>
  <r>
    <x v="209"/>
    <x v="9"/>
    <x v="44"/>
    <x v="7"/>
    <x v="3"/>
    <x v="3"/>
    <x v="6"/>
    <x v="3"/>
    <x v="9"/>
  </r>
  <r>
    <x v="210"/>
    <x v="2"/>
    <x v="14"/>
    <x v="8"/>
    <x v="2"/>
    <x v="2"/>
    <x v="6"/>
    <x v="3"/>
    <x v="2"/>
  </r>
  <r>
    <x v="210"/>
    <x v="3"/>
    <x v="14"/>
    <x v="8"/>
    <x v="2"/>
    <x v="2"/>
    <x v="6"/>
    <x v="3"/>
    <x v="3"/>
  </r>
  <r>
    <x v="210"/>
    <x v="4"/>
    <x v="14"/>
    <x v="8"/>
    <x v="2"/>
    <x v="2"/>
    <x v="6"/>
    <x v="3"/>
    <x v="4"/>
  </r>
  <r>
    <x v="210"/>
    <x v="5"/>
    <x v="14"/>
    <x v="8"/>
    <x v="2"/>
    <x v="2"/>
    <x v="6"/>
    <x v="3"/>
    <x v="5"/>
  </r>
  <r>
    <x v="210"/>
    <x v="6"/>
    <x v="14"/>
    <x v="8"/>
    <x v="2"/>
    <x v="2"/>
    <x v="6"/>
    <x v="3"/>
    <x v="6"/>
  </r>
  <r>
    <x v="210"/>
    <x v="7"/>
    <x v="14"/>
    <x v="8"/>
    <x v="2"/>
    <x v="2"/>
    <x v="6"/>
    <x v="3"/>
    <x v="7"/>
  </r>
  <r>
    <x v="210"/>
    <x v="8"/>
    <x v="14"/>
    <x v="8"/>
    <x v="2"/>
    <x v="2"/>
    <x v="6"/>
    <x v="3"/>
    <x v="8"/>
  </r>
  <r>
    <x v="210"/>
    <x v="9"/>
    <x v="14"/>
    <x v="8"/>
    <x v="2"/>
    <x v="2"/>
    <x v="6"/>
    <x v="3"/>
    <x v="9"/>
  </r>
  <r>
    <x v="211"/>
    <x v="2"/>
    <x v="15"/>
    <x v="8"/>
    <x v="2"/>
    <x v="2"/>
    <x v="6"/>
    <x v="3"/>
    <x v="2"/>
  </r>
  <r>
    <x v="211"/>
    <x v="3"/>
    <x v="15"/>
    <x v="8"/>
    <x v="2"/>
    <x v="2"/>
    <x v="6"/>
    <x v="3"/>
    <x v="3"/>
  </r>
  <r>
    <x v="211"/>
    <x v="4"/>
    <x v="15"/>
    <x v="8"/>
    <x v="2"/>
    <x v="2"/>
    <x v="6"/>
    <x v="3"/>
    <x v="4"/>
  </r>
  <r>
    <x v="211"/>
    <x v="5"/>
    <x v="15"/>
    <x v="8"/>
    <x v="2"/>
    <x v="2"/>
    <x v="6"/>
    <x v="3"/>
    <x v="5"/>
  </r>
  <r>
    <x v="211"/>
    <x v="6"/>
    <x v="15"/>
    <x v="8"/>
    <x v="2"/>
    <x v="2"/>
    <x v="6"/>
    <x v="3"/>
    <x v="6"/>
  </r>
  <r>
    <x v="211"/>
    <x v="7"/>
    <x v="15"/>
    <x v="8"/>
    <x v="2"/>
    <x v="2"/>
    <x v="6"/>
    <x v="3"/>
    <x v="7"/>
  </r>
  <r>
    <x v="211"/>
    <x v="8"/>
    <x v="15"/>
    <x v="8"/>
    <x v="2"/>
    <x v="2"/>
    <x v="6"/>
    <x v="3"/>
    <x v="8"/>
  </r>
  <r>
    <x v="211"/>
    <x v="9"/>
    <x v="15"/>
    <x v="8"/>
    <x v="2"/>
    <x v="2"/>
    <x v="6"/>
    <x v="3"/>
    <x v="9"/>
  </r>
  <r>
    <x v="212"/>
    <x v="2"/>
    <x v="44"/>
    <x v="8"/>
    <x v="2"/>
    <x v="2"/>
    <x v="6"/>
    <x v="3"/>
    <x v="2"/>
  </r>
  <r>
    <x v="212"/>
    <x v="3"/>
    <x v="44"/>
    <x v="8"/>
    <x v="2"/>
    <x v="2"/>
    <x v="6"/>
    <x v="3"/>
    <x v="3"/>
  </r>
  <r>
    <x v="212"/>
    <x v="4"/>
    <x v="44"/>
    <x v="8"/>
    <x v="2"/>
    <x v="2"/>
    <x v="6"/>
    <x v="3"/>
    <x v="4"/>
  </r>
  <r>
    <x v="212"/>
    <x v="5"/>
    <x v="44"/>
    <x v="8"/>
    <x v="2"/>
    <x v="2"/>
    <x v="6"/>
    <x v="3"/>
    <x v="5"/>
  </r>
  <r>
    <x v="212"/>
    <x v="6"/>
    <x v="44"/>
    <x v="8"/>
    <x v="2"/>
    <x v="2"/>
    <x v="6"/>
    <x v="3"/>
    <x v="6"/>
  </r>
  <r>
    <x v="212"/>
    <x v="7"/>
    <x v="44"/>
    <x v="8"/>
    <x v="2"/>
    <x v="2"/>
    <x v="6"/>
    <x v="3"/>
    <x v="7"/>
  </r>
  <r>
    <x v="212"/>
    <x v="8"/>
    <x v="44"/>
    <x v="8"/>
    <x v="2"/>
    <x v="2"/>
    <x v="6"/>
    <x v="3"/>
    <x v="8"/>
  </r>
  <r>
    <x v="212"/>
    <x v="9"/>
    <x v="44"/>
    <x v="8"/>
    <x v="2"/>
    <x v="2"/>
    <x v="6"/>
    <x v="3"/>
    <x v="9"/>
  </r>
  <r>
    <x v="213"/>
    <x v="2"/>
    <x v="7"/>
    <x v="8"/>
    <x v="2"/>
    <x v="2"/>
    <x v="2"/>
    <x v="3"/>
    <x v="2"/>
  </r>
  <r>
    <x v="213"/>
    <x v="3"/>
    <x v="7"/>
    <x v="8"/>
    <x v="2"/>
    <x v="2"/>
    <x v="3"/>
    <x v="5"/>
    <x v="3"/>
  </r>
  <r>
    <x v="213"/>
    <x v="4"/>
    <x v="7"/>
    <x v="8"/>
    <x v="2"/>
    <x v="2"/>
    <x v="4"/>
    <x v="5"/>
    <x v="4"/>
  </r>
  <r>
    <x v="213"/>
    <x v="5"/>
    <x v="7"/>
    <x v="8"/>
    <x v="2"/>
    <x v="2"/>
    <x v="5"/>
    <x v="5"/>
    <x v="5"/>
  </r>
  <r>
    <x v="213"/>
    <x v="6"/>
    <x v="7"/>
    <x v="8"/>
    <x v="2"/>
    <x v="2"/>
    <x v="8"/>
    <x v="5"/>
    <x v="6"/>
  </r>
  <r>
    <x v="213"/>
    <x v="7"/>
    <x v="7"/>
    <x v="8"/>
    <x v="2"/>
    <x v="2"/>
    <x v="6"/>
    <x v="5"/>
    <x v="7"/>
  </r>
  <r>
    <x v="213"/>
    <x v="8"/>
    <x v="7"/>
    <x v="8"/>
    <x v="2"/>
    <x v="2"/>
    <x v="6"/>
    <x v="5"/>
    <x v="8"/>
  </r>
  <r>
    <x v="213"/>
    <x v="9"/>
    <x v="7"/>
    <x v="8"/>
    <x v="2"/>
    <x v="2"/>
    <x v="6"/>
    <x v="5"/>
    <x v="9"/>
  </r>
  <r>
    <x v="214"/>
    <x v="2"/>
    <x v="8"/>
    <x v="8"/>
    <x v="2"/>
    <x v="2"/>
    <x v="2"/>
    <x v="5"/>
    <x v="2"/>
  </r>
  <r>
    <x v="214"/>
    <x v="3"/>
    <x v="8"/>
    <x v="8"/>
    <x v="2"/>
    <x v="2"/>
    <x v="3"/>
    <x v="5"/>
    <x v="3"/>
  </r>
  <r>
    <x v="214"/>
    <x v="4"/>
    <x v="8"/>
    <x v="8"/>
    <x v="2"/>
    <x v="2"/>
    <x v="4"/>
    <x v="5"/>
    <x v="4"/>
  </r>
  <r>
    <x v="214"/>
    <x v="5"/>
    <x v="8"/>
    <x v="8"/>
    <x v="2"/>
    <x v="2"/>
    <x v="5"/>
    <x v="5"/>
    <x v="5"/>
  </r>
  <r>
    <x v="214"/>
    <x v="6"/>
    <x v="8"/>
    <x v="8"/>
    <x v="2"/>
    <x v="2"/>
    <x v="8"/>
    <x v="5"/>
    <x v="6"/>
  </r>
  <r>
    <x v="214"/>
    <x v="7"/>
    <x v="8"/>
    <x v="8"/>
    <x v="2"/>
    <x v="2"/>
    <x v="6"/>
    <x v="5"/>
    <x v="7"/>
  </r>
  <r>
    <x v="214"/>
    <x v="8"/>
    <x v="8"/>
    <x v="8"/>
    <x v="2"/>
    <x v="2"/>
    <x v="6"/>
    <x v="5"/>
    <x v="8"/>
  </r>
  <r>
    <x v="214"/>
    <x v="9"/>
    <x v="8"/>
    <x v="8"/>
    <x v="2"/>
    <x v="2"/>
    <x v="6"/>
    <x v="5"/>
    <x v="9"/>
  </r>
  <r>
    <x v="215"/>
    <x v="2"/>
    <x v="9"/>
    <x v="8"/>
    <x v="2"/>
    <x v="2"/>
    <x v="3"/>
    <x v="5"/>
    <x v="2"/>
  </r>
  <r>
    <x v="215"/>
    <x v="3"/>
    <x v="9"/>
    <x v="8"/>
    <x v="2"/>
    <x v="2"/>
    <x v="4"/>
    <x v="5"/>
    <x v="3"/>
  </r>
  <r>
    <x v="215"/>
    <x v="4"/>
    <x v="9"/>
    <x v="8"/>
    <x v="2"/>
    <x v="2"/>
    <x v="5"/>
    <x v="5"/>
    <x v="4"/>
  </r>
  <r>
    <x v="215"/>
    <x v="5"/>
    <x v="9"/>
    <x v="8"/>
    <x v="2"/>
    <x v="2"/>
    <x v="6"/>
    <x v="5"/>
    <x v="5"/>
  </r>
  <r>
    <x v="215"/>
    <x v="6"/>
    <x v="9"/>
    <x v="8"/>
    <x v="2"/>
    <x v="2"/>
    <x v="6"/>
    <x v="5"/>
    <x v="6"/>
  </r>
  <r>
    <x v="215"/>
    <x v="7"/>
    <x v="9"/>
    <x v="8"/>
    <x v="2"/>
    <x v="2"/>
    <x v="6"/>
    <x v="5"/>
    <x v="7"/>
  </r>
  <r>
    <x v="215"/>
    <x v="8"/>
    <x v="9"/>
    <x v="8"/>
    <x v="2"/>
    <x v="2"/>
    <x v="6"/>
    <x v="5"/>
    <x v="8"/>
  </r>
  <r>
    <x v="215"/>
    <x v="9"/>
    <x v="9"/>
    <x v="8"/>
    <x v="2"/>
    <x v="2"/>
    <x v="6"/>
    <x v="5"/>
    <x v="9"/>
  </r>
  <r>
    <x v="216"/>
    <x v="2"/>
    <x v="10"/>
    <x v="8"/>
    <x v="2"/>
    <x v="2"/>
    <x v="3"/>
    <x v="5"/>
    <x v="2"/>
  </r>
  <r>
    <x v="216"/>
    <x v="3"/>
    <x v="10"/>
    <x v="8"/>
    <x v="2"/>
    <x v="2"/>
    <x v="4"/>
    <x v="5"/>
    <x v="3"/>
  </r>
  <r>
    <x v="216"/>
    <x v="4"/>
    <x v="10"/>
    <x v="8"/>
    <x v="2"/>
    <x v="2"/>
    <x v="5"/>
    <x v="5"/>
    <x v="4"/>
  </r>
  <r>
    <x v="216"/>
    <x v="5"/>
    <x v="10"/>
    <x v="8"/>
    <x v="2"/>
    <x v="2"/>
    <x v="6"/>
    <x v="5"/>
    <x v="5"/>
  </r>
  <r>
    <x v="216"/>
    <x v="6"/>
    <x v="10"/>
    <x v="8"/>
    <x v="2"/>
    <x v="2"/>
    <x v="6"/>
    <x v="5"/>
    <x v="6"/>
  </r>
  <r>
    <x v="216"/>
    <x v="7"/>
    <x v="10"/>
    <x v="8"/>
    <x v="2"/>
    <x v="2"/>
    <x v="6"/>
    <x v="5"/>
    <x v="7"/>
  </r>
  <r>
    <x v="216"/>
    <x v="8"/>
    <x v="10"/>
    <x v="8"/>
    <x v="2"/>
    <x v="2"/>
    <x v="6"/>
    <x v="5"/>
    <x v="8"/>
  </r>
  <r>
    <x v="216"/>
    <x v="9"/>
    <x v="10"/>
    <x v="8"/>
    <x v="2"/>
    <x v="2"/>
    <x v="6"/>
    <x v="5"/>
    <x v="9"/>
  </r>
  <r>
    <x v="217"/>
    <x v="2"/>
    <x v="11"/>
    <x v="8"/>
    <x v="2"/>
    <x v="2"/>
    <x v="3"/>
    <x v="5"/>
    <x v="2"/>
  </r>
  <r>
    <x v="217"/>
    <x v="3"/>
    <x v="11"/>
    <x v="8"/>
    <x v="2"/>
    <x v="2"/>
    <x v="4"/>
    <x v="5"/>
    <x v="3"/>
  </r>
  <r>
    <x v="217"/>
    <x v="4"/>
    <x v="11"/>
    <x v="8"/>
    <x v="2"/>
    <x v="2"/>
    <x v="5"/>
    <x v="5"/>
    <x v="4"/>
  </r>
  <r>
    <x v="217"/>
    <x v="5"/>
    <x v="11"/>
    <x v="8"/>
    <x v="2"/>
    <x v="2"/>
    <x v="6"/>
    <x v="5"/>
    <x v="5"/>
  </r>
  <r>
    <x v="217"/>
    <x v="6"/>
    <x v="11"/>
    <x v="8"/>
    <x v="2"/>
    <x v="2"/>
    <x v="6"/>
    <x v="5"/>
    <x v="6"/>
  </r>
  <r>
    <x v="217"/>
    <x v="7"/>
    <x v="11"/>
    <x v="8"/>
    <x v="2"/>
    <x v="2"/>
    <x v="6"/>
    <x v="5"/>
    <x v="7"/>
  </r>
  <r>
    <x v="217"/>
    <x v="8"/>
    <x v="11"/>
    <x v="8"/>
    <x v="2"/>
    <x v="2"/>
    <x v="6"/>
    <x v="5"/>
    <x v="8"/>
  </r>
  <r>
    <x v="217"/>
    <x v="9"/>
    <x v="11"/>
    <x v="8"/>
    <x v="2"/>
    <x v="2"/>
    <x v="6"/>
    <x v="5"/>
    <x v="9"/>
  </r>
  <r>
    <x v="218"/>
    <x v="2"/>
    <x v="12"/>
    <x v="8"/>
    <x v="2"/>
    <x v="2"/>
    <x v="3"/>
    <x v="5"/>
    <x v="2"/>
  </r>
  <r>
    <x v="218"/>
    <x v="3"/>
    <x v="12"/>
    <x v="8"/>
    <x v="2"/>
    <x v="2"/>
    <x v="4"/>
    <x v="5"/>
    <x v="3"/>
  </r>
  <r>
    <x v="218"/>
    <x v="4"/>
    <x v="12"/>
    <x v="8"/>
    <x v="2"/>
    <x v="2"/>
    <x v="5"/>
    <x v="5"/>
    <x v="4"/>
  </r>
  <r>
    <x v="218"/>
    <x v="5"/>
    <x v="12"/>
    <x v="8"/>
    <x v="2"/>
    <x v="2"/>
    <x v="6"/>
    <x v="5"/>
    <x v="5"/>
  </r>
  <r>
    <x v="218"/>
    <x v="6"/>
    <x v="12"/>
    <x v="8"/>
    <x v="2"/>
    <x v="2"/>
    <x v="6"/>
    <x v="5"/>
    <x v="6"/>
  </r>
  <r>
    <x v="218"/>
    <x v="7"/>
    <x v="12"/>
    <x v="8"/>
    <x v="2"/>
    <x v="2"/>
    <x v="6"/>
    <x v="5"/>
    <x v="7"/>
  </r>
  <r>
    <x v="218"/>
    <x v="8"/>
    <x v="12"/>
    <x v="8"/>
    <x v="2"/>
    <x v="2"/>
    <x v="6"/>
    <x v="5"/>
    <x v="8"/>
  </r>
  <r>
    <x v="218"/>
    <x v="9"/>
    <x v="12"/>
    <x v="8"/>
    <x v="2"/>
    <x v="2"/>
    <x v="6"/>
    <x v="5"/>
    <x v="9"/>
  </r>
  <r>
    <x v="219"/>
    <x v="2"/>
    <x v="13"/>
    <x v="8"/>
    <x v="2"/>
    <x v="2"/>
    <x v="3"/>
    <x v="5"/>
    <x v="2"/>
  </r>
  <r>
    <x v="219"/>
    <x v="3"/>
    <x v="13"/>
    <x v="8"/>
    <x v="2"/>
    <x v="2"/>
    <x v="4"/>
    <x v="5"/>
    <x v="3"/>
  </r>
  <r>
    <x v="219"/>
    <x v="4"/>
    <x v="13"/>
    <x v="8"/>
    <x v="2"/>
    <x v="2"/>
    <x v="5"/>
    <x v="5"/>
    <x v="4"/>
  </r>
  <r>
    <x v="219"/>
    <x v="5"/>
    <x v="13"/>
    <x v="8"/>
    <x v="2"/>
    <x v="2"/>
    <x v="6"/>
    <x v="5"/>
    <x v="5"/>
  </r>
  <r>
    <x v="219"/>
    <x v="6"/>
    <x v="13"/>
    <x v="8"/>
    <x v="2"/>
    <x v="2"/>
    <x v="6"/>
    <x v="5"/>
    <x v="6"/>
  </r>
  <r>
    <x v="219"/>
    <x v="7"/>
    <x v="13"/>
    <x v="8"/>
    <x v="2"/>
    <x v="2"/>
    <x v="6"/>
    <x v="5"/>
    <x v="7"/>
  </r>
  <r>
    <x v="219"/>
    <x v="8"/>
    <x v="13"/>
    <x v="8"/>
    <x v="2"/>
    <x v="2"/>
    <x v="6"/>
    <x v="5"/>
    <x v="8"/>
  </r>
  <r>
    <x v="219"/>
    <x v="9"/>
    <x v="13"/>
    <x v="8"/>
    <x v="2"/>
    <x v="2"/>
    <x v="6"/>
    <x v="5"/>
    <x v="9"/>
  </r>
  <r>
    <x v="220"/>
    <x v="2"/>
    <x v="60"/>
    <x v="8"/>
    <x v="2"/>
    <x v="2"/>
    <x v="7"/>
    <x v="3"/>
    <x v="2"/>
  </r>
  <r>
    <x v="220"/>
    <x v="3"/>
    <x v="60"/>
    <x v="8"/>
    <x v="2"/>
    <x v="2"/>
    <x v="5"/>
    <x v="3"/>
    <x v="3"/>
  </r>
  <r>
    <x v="220"/>
    <x v="4"/>
    <x v="60"/>
    <x v="8"/>
    <x v="2"/>
    <x v="2"/>
    <x v="8"/>
    <x v="3"/>
    <x v="4"/>
  </r>
  <r>
    <x v="220"/>
    <x v="5"/>
    <x v="60"/>
    <x v="8"/>
    <x v="2"/>
    <x v="2"/>
    <x v="6"/>
    <x v="3"/>
    <x v="5"/>
  </r>
  <r>
    <x v="220"/>
    <x v="6"/>
    <x v="60"/>
    <x v="8"/>
    <x v="2"/>
    <x v="2"/>
    <x v="6"/>
    <x v="3"/>
    <x v="6"/>
  </r>
  <r>
    <x v="220"/>
    <x v="7"/>
    <x v="60"/>
    <x v="8"/>
    <x v="2"/>
    <x v="2"/>
    <x v="6"/>
    <x v="3"/>
    <x v="7"/>
  </r>
  <r>
    <x v="220"/>
    <x v="8"/>
    <x v="60"/>
    <x v="8"/>
    <x v="2"/>
    <x v="2"/>
    <x v="6"/>
    <x v="3"/>
    <x v="8"/>
  </r>
  <r>
    <x v="220"/>
    <x v="9"/>
    <x v="60"/>
    <x v="8"/>
    <x v="2"/>
    <x v="2"/>
    <x v="6"/>
    <x v="3"/>
    <x v="9"/>
  </r>
  <r>
    <x v="221"/>
    <x v="2"/>
    <x v="61"/>
    <x v="8"/>
    <x v="2"/>
    <x v="2"/>
    <x v="7"/>
    <x v="3"/>
    <x v="2"/>
  </r>
  <r>
    <x v="221"/>
    <x v="3"/>
    <x v="61"/>
    <x v="8"/>
    <x v="2"/>
    <x v="2"/>
    <x v="5"/>
    <x v="3"/>
    <x v="3"/>
  </r>
  <r>
    <x v="221"/>
    <x v="4"/>
    <x v="61"/>
    <x v="8"/>
    <x v="2"/>
    <x v="2"/>
    <x v="8"/>
    <x v="3"/>
    <x v="4"/>
  </r>
  <r>
    <x v="221"/>
    <x v="5"/>
    <x v="61"/>
    <x v="8"/>
    <x v="2"/>
    <x v="2"/>
    <x v="6"/>
    <x v="3"/>
    <x v="5"/>
  </r>
  <r>
    <x v="221"/>
    <x v="6"/>
    <x v="61"/>
    <x v="8"/>
    <x v="2"/>
    <x v="2"/>
    <x v="6"/>
    <x v="3"/>
    <x v="6"/>
  </r>
  <r>
    <x v="221"/>
    <x v="7"/>
    <x v="61"/>
    <x v="8"/>
    <x v="2"/>
    <x v="2"/>
    <x v="6"/>
    <x v="3"/>
    <x v="7"/>
  </r>
  <r>
    <x v="221"/>
    <x v="8"/>
    <x v="61"/>
    <x v="8"/>
    <x v="2"/>
    <x v="2"/>
    <x v="6"/>
    <x v="3"/>
    <x v="8"/>
  </r>
  <r>
    <x v="221"/>
    <x v="9"/>
    <x v="61"/>
    <x v="8"/>
    <x v="2"/>
    <x v="2"/>
    <x v="6"/>
    <x v="3"/>
    <x v="9"/>
  </r>
  <r>
    <x v="222"/>
    <x v="2"/>
    <x v="45"/>
    <x v="8"/>
    <x v="2"/>
    <x v="2"/>
    <x v="7"/>
    <x v="3"/>
    <x v="2"/>
  </r>
  <r>
    <x v="222"/>
    <x v="3"/>
    <x v="45"/>
    <x v="8"/>
    <x v="2"/>
    <x v="2"/>
    <x v="5"/>
    <x v="3"/>
    <x v="3"/>
  </r>
  <r>
    <x v="222"/>
    <x v="4"/>
    <x v="45"/>
    <x v="8"/>
    <x v="2"/>
    <x v="2"/>
    <x v="8"/>
    <x v="3"/>
    <x v="4"/>
  </r>
  <r>
    <x v="222"/>
    <x v="5"/>
    <x v="45"/>
    <x v="8"/>
    <x v="2"/>
    <x v="2"/>
    <x v="6"/>
    <x v="3"/>
    <x v="5"/>
  </r>
  <r>
    <x v="222"/>
    <x v="6"/>
    <x v="45"/>
    <x v="8"/>
    <x v="2"/>
    <x v="2"/>
    <x v="6"/>
    <x v="3"/>
    <x v="6"/>
  </r>
  <r>
    <x v="222"/>
    <x v="7"/>
    <x v="45"/>
    <x v="8"/>
    <x v="2"/>
    <x v="2"/>
    <x v="6"/>
    <x v="3"/>
    <x v="7"/>
  </r>
  <r>
    <x v="222"/>
    <x v="8"/>
    <x v="45"/>
    <x v="8"/>
    <x v="2"/>
    <x v="2"/>
    <x v="6"/>
    <x v="3"/>
    <x v="8"/>
  </r>
  <r>
    <x v="222"/>
    <x v="9"/>
    <x v="45"/>
    <x v="8"/>
    <x v="2"/>
    <x v="2"/>
    <x v="6"/>
    <x v="3"/>
    <x v="9"/>
  </r>
  <r>
    <x v="223"/>
    <x v="2"/>
    <x v="63"/>
    <x v="8"/>
    <x v="2"/>
    <x v="2"/>
    <x v="7"/>
    <x v="2"/>
    <x v="2"/>
  </r>
  <r>
    <x v="223"/>
    <x v="4"/>
    <x v="63"/>
    <x v="8"/>
    <x v="2"/>
    <x v="2"/>
    <x v="5"/>
    <x v="2"/>
    <x v="4"/>
  </r>
  <r>
    <x v="223"/>
    <x v="6"/>
    <x v="63"/>
    <x v="8"/>
    <x v="2"/>
    <x v="2"/>
    <x v="8"/>
    <x v="2"/>
    <x v="6"/>
  </r>
  <r>
    <x v="224"/>
    <x v="2"/>
    <x v="64"/>
    <x v="8"/>
    <x v="2"/>
    <x v="2"/>
    <x v="7"/>
    <x v="2"/>
    <x v="2"/>
  </r>
  <r>
    <x v="224"/>
    <x v="6"/>
    <x v="64"/>
    <x v="8"/>
    <x v="2"/>
    <x v="2"/>
    <x v="5"/>
    <x v="2"/>
    <x v="6"/>
  </r>
  <r>
    <x v="224"/>
    <x v="9"/>
    <x v="64"/>
    <x v="8"/>
    <x v="2"/>
    <x v="2"/>
    <x v="8"/>
    <x v="2"/>
    <x v="9"/>
  </r>
  <r>
    <x v="225"/>
    <x v="2"/>
    <x v="49"/>
    <x v="8"/>
    <x v="3"/>
    <x v="3"/>
    <x v="7"/>
    <x v="3"/>
    <x v="2"/>
  </r>
  <r>
    <x v="225"/>
    <x v="3"/>
    <x v="49"/>
    <x v="8"/>
    <x v="3"/>
    <x v="3"/>
    <x v="5"/>
    <x v="3"/>
    <x v="3"/>
  </r>
  <r>
    <x v="225"/>
    <x v="4"/>
    <x v="49"/>
    <x v="8"/>
    <x v="3"/>
    <x v="3"/>
    <x v="8"/>
    <x v="3"/>
    <x v="4"/>
  </r>
  <r>
    <x v="225"/>
    <x v="5"/>
    <x v="49"/>
    <x v="8"/>
    <x v="3"/>
    <x v="3"/>
    <x v="6"/>
    <x v="3"/>
    <x v="5"/>
  </r>
  <r>
    <x v="225"/>
    <x v="6"/>
    <x v="49"/>
    <x v="8"/>
    <x v="3"/>
    <x v="3"/>
    <x v="6"/>
    <x v="3"/>
    <x v="6"/>
  </r>
  <r>
    <x v="225"/>
    <x v="7"/>
    <x v="49"/>
    <x v="8"/>
    <x v="3"/>
    <x v="3"/>
    <x v="6"/>
    <x v="3"/>
    <x v="7"/>
  </r>
  <r>
    <x v="225"/>
    <x v="8"/>
    <x v="49"/>
    <x v="8"/>
    <x v="3"/>
    <x v="3"/>
    <x v="6"/>
    <x v="3"/>
    <x v="8"/>
  </r>
  <r>
    <x v="225"/>
    <x v="9"/>
    <x v="49"/>
    <x v="8"/>
    <x v="3"/>
    <x v="3"/>
    <x v="6"/>
    <x v="3"/>
    <x v="9"/>
  </r>
  <r>
    <x v="226"/>
    <x v="2"/>
    <x v="50"/>
    <x v="8"/>
    <x v="3"/>
    <x v="3"/>
    <x v="7"/>
    <x v="3"/>
    <x v="2"/>
  </r>
  <r>
    <x v="226"/>
    <x v="3"/>
    <x v="50"/>
    <x v="8"/>
    <x v="3"/>
    <x v="3"/>
    <x v="5"/>
    <x v="3"/>
    <x v="3"/>
  </r>
  <r>
    <x v="226"/>
    <x v="4"/>
    <x v="50"/>
    <x v="8"/>
    <x v="3"/>
    <x v="3"/>
    <x v="8"/>
    <x v="3"/>
    <x v="4"/>
  </r>
  <r>
    <x v="226"/>
    <x v="5"/>
    <x v="50"/>
    <x v="8"/>
    <x v="3"/>
    <x v="3"/>
    <x v="6"/>
    <x v="3"/>
    <x v="5"/>
  </r>
  <r>
    <x v="226"/>
    <x v="6"/>
    <x v="50"/>
    <x v="8"/>
    <x v="3"/>
    <x v="3"/>
    <x v="6"/>
    <x v="3"/>
    <x v="6"/>
  </r>
  <r>
    <x v="226"/>
    <x v="7"/>
    <x v="50"/>
    <x v="8"/>
    <x v="3"/>
    <x v="3"/>
    <x v="6"/>
    <x v="3"/>
    <x v="7"/>
  </r>
  <r>
    <x v="226"/>
    <x v="8"/>
    <x v="50"/>
    <x v="8"/>
    <x v="3"/>
    <x v="3"/>
    <x v="6"/>
    <x v="3"/>
    <x v="8"/>
  </r>
  <r>
    <x v="226"/>
    <x v="9"/>
    <x v="50"/>
    <x v="8"/>
    <x v="3"/>
    <x v="3"/>
    <x v="6"/>
    <x v="3"/>
    <x v="9"/>
  </r>
  <r>
    <x v="227"/>
    <x v="2"/>
    <x v="51"/>
    <x v="8"/>
    <x v="3"/>
    <x v="3"/>
    <x v="7"/>
    <x v="3"/>
    <x v="2"/>
  </r>
  <r>
    <x v="227"/>
    <x v="3"/>
    <x v="51"/>
    <x v="8"/>
    <x v="3"/>
    <x v="3"/>
    <x v="5"/>
    <x v="3"/>
    <x v="3"/>
  </r>
  <r>
    <x v="227"/>
    <x v="4"/>
    <x v="51"/>
    <x v="8"/>
    <x v="3"/>
    <x v="3"/>
    <x v="8"/>
    <x v="3"/>
    <x v="4"/>
  </r>
  <r>
    <x v="227"/>
    <x v="5"/>
    <x v="51"/>
    <x v="8"/>
    <x v="3"/>
    <x v="3"/>
    <x v="6"/>
    <x v="3"/>
    <x v="5"/>
  </r>
  <r>
    <x v="227"/>
    <x v="6"/>
    <x v="51"/>
    <x v="8"/>
    <x v="3"/>
    <x v="3"/>
    <x v="6"/>
    <x v="3"/>
    <x v="6"/>
  </r>
  <r>
    <x v="227"/>
    <x v="7"/>
    <x v="51"/>
    <x v="8"/>
    <x v="3"/>
    <x v="3"/>
    <x v="6"/>
    <x v="3"/>
    <x v="7"/>
  </r>
  <r>
    <x v="227"/>
    <x v="8"/>
    <x v="51"/>
    <x v="8"/>
    <x v="3"/>
    <x v="3"/>
    <x v="6"/>
    <x v="3"/>
    <x v="8"/>
  </r>
  <r>
    <x v="227"/>
    <x v="9"/>
    <x v="51"/>
    <x v="8"/>
    <x v="3"/>
    <x v="3"/>
    <x v="6"/>
    <x v="3"/>
    <x v="9"/>
  </r>
  <r>
    <x v="228"/>
    <x v="2"/>
    <x v="52"/>
    <x v="8"/>
    <x v="3"/>
    <x v="3"/>
    <x v="7"/>
    <x v="3"/>
    <x v="2"/>
  </r>
  <r>
    <x v="228"/>
    <x v="3"/>
    <x v="52"/>
    <x v="8"/>
    <x v="3"/>
    <x v="3"/>
    <x v="5"/>
    <x v="3"/>
    <x v="3"/>
  </r>
  <r>
    <x v="228"/>
    <x v="4"/>
    <x v="52"/>
    <x v="8"/>
    <x v="3"/>
    <x v="3"/>
    <x v="8"/>
    <x v="3"/>
    <x v="4"/>
  </r>
  <r>
    <x v="228"/>
    <x v="5"/>
    <x v="52"/>
    <x v="8"/>
    <x v="3"/>
    <x v="3"/>
    <x v="6"/>
    <x v="3"/>
    <x v="5"/>
  </r>
  <r>
    <x v="228"/>
    <x v="6"/>
    <x v="52"/>
    <x v="8"/>
    <x v="3"/>
    <x v="3"/>
    <x v="6"/>
    <x v="3"/>
    <x v="6"/>
  </r>
  <r>
    <x v="228"/>
    <x v="7"/>
    <x v="52"/>
    <x v="8"/>
    <x v="3"/>
    <x v="3"/>
    <x v="6"/>
    <x v="3"/>
    <x v="7"/>
  </r>
  <r>
    <x v="228"/>
    <x v="8"/>
    <x v="52"/>
    <x v="8"/>
    <x v="3"/>
    <x v="3"/>
    <x v="6"/>
    <x v="3"/>
    <x v="8"/>
  </r>
  <r>
    <x v="228"/>
    <x v="9"/>
    <x v="52"/>
    <x v="8"/>
    <x v="3"/>
    <x v="3"/>
    <x v="6"/>
    <x v="3"/>
    <x v="9"/>
  </r>
  <r>
    <x v="229"/>
    <x v="2"/>
    <x v="53"/>
    <x v="8"/>
    <x v="3"/>
    <x v="3"/>
    <x v="2"/>
    <x v="3"/>
    <x v="2"/>
  </r>
  <r>
    <x v="229"/>
    <x v="3"/>
    <x v="53"/>
    <x v="8"/>
    <x v="3"/>
    <x v="3"/>
    <x v="3"/>
    <x v="3"/>
    <x v="3"/>
  </r>
  <r>
    <x v="229"/>
    <x v="4"/>
    <x v="53"/>
    <x v="8"/>
    <x v="3"/>
    <x v="3"/>
    <x v="7"/>
    <x v="3"/>
    <x v="4"/>
  </r>
  <r>
    <x v="229"/>
    <x v="5"/>
    <x v="53"/>
    <x v="8"/>
    <x v="3"/>
    <x v="3"/>
    <x v="5"/>
    <x v="3"/>
    <x v="5"/>
  </r>
  <r>
    <x v="229"/>
    <x v="6"/>
    <x v="53"/>
    <x v="8"/>
    <x v="3"/>
    <x v="3"/>
    <x v="5"/>
    <x v="3"/>
    <x v="6"/>
  </r>
  <r>
    <x v="229"/>
    <x v="7"/>
    <x v="53"/>
    <x v="8"/>
    <x v="3"/>
    <x v="3"/>
    <x v="5"/>
    <x v="3"/>
    <x v="7"/>
  </r>
  <r>
    <x v="229"/>
    <x v="8"/>
    <x v="53"/>
    <x v="8"/>
    <x v="3"/>
    <x v="3"/>
    <x v="5"/>
    <x v="3"/>
    <x v="8"/>
  </r>
  <r>
    <x v="229"/>
    <x v="9"/>
    <x v="53"/>
    <x v="8"/>
    <x v="3"/>
    <x v="3"/>
    <x v="5"/>
    <x v="3"/>
    <x v="9"/>
  </r>
  <r>
    <x v="230"/>
    <x v="2"/>
    <x v="54"/>
    <x v="8"/>
    <x v="3"/>
    <x v="3"/>
    <x v="3"/>
    <x v="3"/>
    <x v="2"/>
  </r>
  <r>
    <x v="230"/>
    <x v="4"/>
    <x v="54"/>
    <x v="8"/>
    <x v="3"/>
    <x v="3"/>
    <x v="7"/>
    <x v="3"/>
    <x v="4"/>
  </r>
  <r>
    <x v="230"/>
    <x v="6"/>
    <x v="54"/>
    <x v="8"/>
    <x v="3"/>
    <x v="3"/>
    <x v="5"/>
    <x v="3"/>
    <x v="6"/>
  </r>
  <r>
    <x v="231"/>
    <x v="2"/>
    <x v="55"/>
    <x v="8"/>
    <x v="3"/>
    <x v="3"/>
    <x v="3"/>
    <x v="3"/>
    <x v="2"/>
  </r>
  <r>
    <x v="231"/>
    <x v="4"/>
    <x v="55"/>
    <x v="8"/>
    <x v="3"/>
    <x v="3"/>
    <x v="7"/>
    <x v="3"/>
    <x v="4"/>
  </r>
  <r>
    <x v="231"/>
    <x v="6"/>
    <x v="55"/>
    <x v="8"/>
    <x v="3"/>
    <x v="3"/>
    <x v="5"/>
    <x v="3"/>
    <x v="6"/>
  </r>
  <r>
    <x v="232"/>
    <x v="2"/>
    <x v="56"/>
    <x v="8"/>
    <x v="3"/>
    <x v="3"/>
    <x v="3"/>
    <x v="3"/>
    <x v="2"/>
  </r>
  <r>
    <x v="232"/>
    <x v="4"/>
    <x v="56"/>
    <x v="8"/>
    <x v="3"/>
    <x v="3"/>
    <x v="7"/>
    <x v="3"/>
    <x v="4"/>
  </r>
  <r>
    <x v="232"/>
    <x v="6"/>
    <x v="56"/>
    <x v="8"/>
    <x v="3"/>
    <x v="3"/>
    <x v="5"/>
    <x v="3"/>
    <x v="6"/>
  </r>
  <r>
    <x v="233"/>
    <x v="2"/>
    <x v="28"/>
    <x v="8"/>
    <x v="3"/>
    <x v="3"/>
    <x v="2"/>
    <x v="5"/>
    <x v="2"/>
  </r>
  <r>
    <x v="233"/>
    <x v="3"/>
    <x v="28"/>
    <x v="8"/>
    <x v="3"/>
    <x v="3"/>
    <x v="3"/>
    <x v="5"/>
    <x v="3"/>
  </r>
  <r>
    <x v="233"/>
    <x v="4"/>
    <x v="28"/>
    <x v="8"/>
    <x v="3"/>
    <x v="3"/>
    <x v="7"/>
    <x v="5"/>
    <x v="4"/>
  </r>
  <r>
    <x v="233"/>
    <x v="5"/>
    <x v="28"/>
    <x v="8"/>
    <x v="3"/>
    <x v="3"/>
    <x v="5"/>
    <x v="5"/>
    <x v="5"/>
  </r>
  <r>
    <x v="233"/>
    <x v="6"/>
    <x v="28"/>
    <x v="8"/>
    <x v="3"/>
    <x v="3"/>
    <x v="5"/>
    <x v="5"/>
    <x v="6"/>
  </r>
  <r>
    <x v="233"/>
    <x v="7"/>
    <x v="28"/>
    <x v="8"/>
    <x v="3"/>
    <x v="3"/>
    <x v="5"/>
    <x v="5"/>
    <x v="7"/>
  </r>
  <r>
    <x v="233"/>
    <x v="8"/>
    <x v="28"/>
    <x v="8"/>
    <x v="3"/>
    <x v="3"/>
    <x v="5"/>
    <x v="5"/>
    <x v="8"/>
  </r>
  <r>
    <x v="233"/>
    <x v="9"/>
    <x v="28"/>
    <x v="8"/>
    <x v="3"/>
    <x v="3"/>
    <x v="5"/>
    <x v="5"/>
    <x v="9"/>
  </r>
  <r>
    <x v="234"/>
    <x v="2"/>
    <x v="29"/>
    <x v="8"/>
    <x v="3"/>
    <x v="3"/>
    <x v="2"/>
    <x v="5"/>
    <x v="2"/>
  </r>
  <r>
    <x v="234"/>
    <x v="3"/>
    <x v="29"/>
    <x v="8"/>
    <x v="3"/>
    <x v="3"/>
    <x v="3"/>
    <x v="5"/>
    <x v="3"/>
  </r>
  <r>
    <x v="234"/>
    <x v="4"/>
    <x v="29"/>
    <x v="8"/>
    <x v="3"/>
    <x v="3"/>
    <x v="7"/>
    <x v="5"/>
    <x v="4"/>
  </r>
  <r>
    <x v="234"/>
    <x v="5"/>
    <x v="29"/>
    <x v="8"/>
    <x v="3"/>
    <x v="3"/>
    <x v="5"/>
    <x v="5"/>
    <x v="5"/>
  </r>
  <r>
    <x v="234"/>
    <x v="6"/>
    <x v="29"/>
    <x v="8"/>
    <x v="3"/>
    <x v="3"/>
    <x v="5"/>
    <x v="5"/>
    <x v="6"/>
  </r>
  <r>
    <x v="234"/>
    <x v="7"/>
    <x v="29"/>
    <x v="8"/>
    <x v="3"/>
    <x v="3"/>
    <x v="5"/>
    <x v="5"/>
    <x v="7"/>
  </r>
  <r>
    <x v="234"/>
    <x v="8"/>
    <x v="29"/>
    <x v="8"/>
    <x v="3"/>
    <x v="3"/>
    <x v="5"/>
    <x v="5"/>
    <x v="8"/>
  </r>
  <r>
    <x v="234"/>
    <x v="9"/>
    <x v="29"/>
    <x v="8"/>
    <x v="3"/>
    <x v="3"/>
    <x v="5"/>
    <x v="5"/>
    <x v="9"/>
  </r>
  <r>
    <x v="235"/>
    <x v="2"/>
    <x v="30"/>
    <x v="8"/>
    <x v="3"/>
    <x v="3"/>
    <x v="2"/>
    <x v="5"/>
    <x v="2"/>
  </r>
  <r>
    <x v="235"/>
    <x v="3"/>
    <x v="30"/>
    <x v="8"/>
    <x v="3"/>
    <x v="3"/>
    <x v="3"/>
    <x v="5"/>
    <x v="3"/>
  </r>
  <r>
    <x v="235"/>
    <x v="4"/>
    <x v="30"/>
    <x v="8"/>
    <x v="3"/>
    <x v="3"/>
    <x v="7"/>
    <x v="5"/>
    <x v="4"/>
  </r>
  <r>
    <x v="235"/>
    <x v="5"/>
    <x v="30"/>
    <x v="8"/>
    <x v="3"/>
    <x v="3"/>
    <x v="5"/>
    <x v="5"/>
    <x v="5"/>
  </r>
  <r>
    <x v="235"/>
    <x v="6"/>
    <x v="30"/>
    <x v="8"/>
    <x v="3"/>
    <x v="3"/>
    <x v="5"/>
    <x v="5"/>
    <x v="6"/>
  </r>
  <r>
    <x v="235"/>
    <x v="7"/>
    <x v="30"/>
    <x v="8"/>
    <x v="3"/>
    <x v="3"/>
    <x v="5"/>
    <x v="5"/>
    <x v="7"/>
  </r>
  <r>
    <x v="235"/>
    <x v="8"/>
    <x v="30"/>
    <x v="8"/>
    <x v="3"/>
    <x v="3"/>
    <x v="5"/>
    <x v="5"/>
    <x v="8"/>
  </r>
  <r>
    <x v="235"/>
    <x v="9"/>
    <x v="30"/>
    <x v="8"/>
    <x v="3"/>
    <x v="3"/>
    <x v="5"/>
    <x v="5"/>
    <x v="9"/>
  </r>
  <r>
    <x v="236"/>
    <x v="2"/>
    <x v="31"/>
    <x v="8"/>
    <x v="3"/>
    <x v="3"/>
    <x v="2"/>
    <x v="5"/>
    <x v="2"/>
  </r>
  <r>
    <x v="236"/>
    <x v="3"/>
    <x v="31"/>
    <x v="8"/>
    <x v="3"/>
    <x v="3"/>
    <x v="3"/>
    <x v="5"/>
    <x v="3"/>
  </r>
  <r>
    <x v="236"/>
    <x v="4"/>
    <x v="31"/>
    <x v="8"/>
    <x v="3"/>
    <x v="3"/>
    <x v="7"/>
    <x v="5"/>
    <x v="4"/>
  </r>
  <r>
    <x v="236"/>
    <x v="5"/>
    <x v="31"/>
    <x v="8"/>
    <x v="3"/>
    <x v="3"/>
    <x v="5"/>
    <x v="5"/>
    <x v="5"/>
  </r>
  <r>
    <x v="236"/>
    <x v="6"/>
    <x v="31"/>
    <x v="8"/>
    <x v="3"/>
    <x v="3"/>
    <x v="5"/>
    <x v="5"/>
    <x v="6"/>
  </r>
  <r>
    <x v="236"/>
    <x v="7"/>
    <x v="31"/>
    <x v="8"/>
    <x v="3"/>
    <x v="3"/>
    <x v="5"/>
    <x v="5"/>
    <x v="7"/>
  </r>
  <r>
    <x v="236"/>
    <x v="8"/>
    <x v="31"/>
    <x v="8"/>
    <x v="3"/>
    <x v="3"/>
    <x v="5"/>
    <x v="5"/>
    <x v="8"/>
  </r>
  <r>
    <x v="236"/>
    <x v="9"/>
    <x v="31"/>
    <x v="8"/>
    <x v="3"/>
    <x v="3"/>
    <x v="5"/>
    <x v="5"/>
    <x v="9"/>
  </r>
  <r>
    <x v="237"/>
    <x v="2"/>
    <x v="32"/>
    <x v="8"/>
    <x v="3"/>
    <x v="3"/>
    <x v="2"/>
    <x v="5"/>
    <x v="2"/>
  </r>
  <r>
    <x v="237"/>
    <x v="3"/>
    <x v="32"/>
    <x v="8"/>
    <x v="3"/>
    <x v="3"/>
    <x v="3"/>
    <x v="5"/>
    <x v="3"/>
  </r>
  <r>
    <x v="237"/>
    <x v="4"/>
    <x v="32"/>
    <x v="8"/>
    <x v="3"/>
    <x v="3"/>
    <x v="7"/>
    <x v="5"/>
    <x v="4"/>
  </r>
  <r>
    <x v="237"/>
    <x v="5"/>
    <x v="32"/>
    <x v="8"/>
    <x v="3"/>
    <x v="3"/>
    <x v="5"/>
    <x v="5"/>
    <x v="5"/>
  </r>
  <r>
    <x v="237"/>
    <x v="6"/>
    <x v="32"/>
    <x v="8"/>
    <x v="3"/>
    <x v="3"/>
    <x v="5"/>
    <x v="5"/>
    <x v="6"/>
  </r>
  <r>
    <x v="237"/>
    <x v="7"/>
    <x v="32"/>
    <x v="8"/>
    <x v="3"/>
    <x v="3"/>
    <x v="5"/>
    <x v="5"/>
    <x v="7"/>
  </r>
  <r>
    <x v="237"/>
    <x v="8"/>
    <x v="32"/>
    <x v="8"/>
    <x v="3"/>
    <x v="3"/>
    <x v="5"/>
    <x v="5"/>
    <x v="8"/>
  </r>
  <r>
    <x v="237"/>
    <x v="9"/>
    <x v="32"/>
    <x v="8"/>
    <x v="3"/>
    <x v="3"/>
    <x v="5"/>
    <x v="5"/>
    <x v="9"/>
  </r>
  <r>
    <x v="238"/>
    <x v="2"/>
    <x v="33"/>
    <x v="8"/>
    <x v="3"/>
    <x v="3"/>
    <x v="2"/>
    <x v="5"/>
    <x v="2"/>
  </r>
  <r>
    <x v="238"/>
    <x v="3"/>
    <x v="33"/>
    <x v="8"/>
    <x v="3"/>
    <x v="3"/>
    <x v="3"/>
    <x v="5"/>
    <x v="3"/>
  </r>
  <r>
    <x v="238"/>
    <x v="4"/>
    <x v="33"/>
    <x v="8"/>
    <x v="3"/>
    <x v="3"/>
    <x v="7"/>
    <x v="5"/>
    <x v="4"/>
  </r>
  <r>
    <x v="238"/>
    <x v="5"/>
    <x v="33"/>
    <x v="8"/>
    <x v="3"/>
    <x v="3"/>
    <x v="5"/>
    <x v="5"/>
    <x v="5"/>
  </r>
  <r>
    <x v="238"/>
    <x v="6"/>
    <x v="33"/>
    <x v="8"/>
    <x v="3"/>
    <x v="3"/>
    <x v="5"/>
    <x v="5"/>
    <x v="6"/>
  </r>
  <r>
    <x v="238"/>
    <x v="7"/>
    <x v="33"/>
    <x v="8"/>
    <x v="3"/>
    <x v="3"/>
    <x v="5"/>
    <x v="5"/>
    <x v="7"/>
  </r>
  <r>
    <x v="238"/>
    <x v="8"/>
    <x v="33"/>
    <x v="8"/>
    <x v="3"/>
    <x v="3"/>
    <x v="5"/>
    <x v="5"/>
    <x v="8"/>
  </r>
  <r>
    <x v="238"/>
    <x v="9"/>
    <x v="33"/>
    <x v="8"/>
    <x v="3"/>
    <x v="3"/>
    <x v="5"/>
    <x v="5"/>
    <x v="9"/>
  </r>
  <r>
    <x v="239"/>
    <x v="2"/>
    <x v="34"/>
    <x v="8"/>
    <x v="3"/>
    <x v="3"/>
    <x v="2"/>
    <x v="5"/>
    <x v="2"/>
  </r>
  <r>
    <x v="239"/>
    <x v="3"/>
    <x v="34"/>
    <x v="8"/>
    <x v="3"/>
    <x v="3"/>
    <x v="3"/>
    <x v="5"/>
    <x v="3"/>
  </r>
  <r>
    <x v="239"/>
    <x v="4"/>
    <x v="34"/>
    <x v="8"/>
    <x v="3"/>
    <x v="3"/>
    <x v="7"/>
    <x v="5"/>
    <x v="4"/>
  </r>
  <r>
    <x v="239"/>
    <x v="5"/>
    <x v="34"/>
    <x v="8"/>
    <x v="3"/>
    <x v="3"/>
    <x v="5"/>
    <x v="5"/>
    <x v="5"/>
  </r>
  <r>
    <x v="239"/>
    <x v="6"/>
    <x v="34"/>
    <x v="8"/>
    <x v="3"/>
    <x v="3"/>
    <x v="5"/>
    <x v="5"/>
    <x v="6"/>
  </r>
  <r>
    <x v="239"/>
    <x v="7"/>
    <x v="34"/>
    <x v="8"/>
    <x v="3"/>
    <x v="3"/>
    <x v="5"/>
    <x v="5"/>
    <x v="7"/>
  </r>
  <r>
    <x v="239"/>
    <x v="8"/>
    <x v="34"/>
    <x v="8"/>
    <x v="3"/>
    <x v="3"/>
    <x v="5"/>
    <x v="5"/>
    <x v="8"/>
  </r>
  <r>
    <x v="239"/>
    <x v="9"/>
    <x v="34"/>
    <x v="8"/>
    <x v="3"/>
    <x v="3"/>
    <x v="5"/>
    <x v="5"/>
    <x v="9"/>
  </r>
  <r>
    <x v="240"/>
    <x v="2"/>
    <x v="44"/>
    <x v="8"/>
    <x v="3"/>
    <x v="3"/>
    <x v="2"/>
    <x v="5"/>
    <x v="2"/>
  </r>
  <r>
    <x v="240"/>
    <x v="3"/>
    <x v="44"/>
    <x v="8"/>
    <x v="3"/>
    <x v="3"/>
    <x v="3"/>
    <x v="5"/>
    <x v="3"/>
  </r>
  <r>
    <x v="240"/>
    <x v="4"/>
    <x v="44"/>
    <x v="8"/>
    <x v="3"/>
    <x v="3"/>
    <x v="7"/>
    <x v="5"/>
    <x v="4"/>
  </r>
  <r>
    <x v="240"/>
    <x v="5"/>
    <x v="44"/>
    <x v="8"/>
    <x v="3"/>
    <x v="3"/>
    <x v="5"/>
    <x v="5"/>
    <x v="5"/>
  </r>
  <r>
    <x v="240"/>
    <x v="6"/>
    <x v="44"/>
    <x v="8"/>
    <x v="3"/>
    <x v="3"/>
    <x v="5"/>
    <x v="5"/>
    <x v="6"/>
  </r>
  <r>
    <x v="240"/>
    <x v="7"/>
    <x v="44"/>
    <x v="8"/>
    <x v="3"/>
    <x v="3"/>
    <x v="5"/>
    <x v="5"/>
    <x v="7"/>
  </r>
  <r>
    <x v="240"/>
    <x v="8"/>
    <x v="44"/>
    <x v="8"/>
    <x v="3"/>
    <x v="3"/>
    <x v="5"/>
    <x v="5"/>
    <x v="8"/>
  </r>
  <r>
    <x v="240"/>
    <x v="9"/>
    <x v="44"/>
    <x v="8"/>
    <x v="3"/>
    <x v="3"/>
    <x v="5"/>
    <x v="5"/>
    <x v="9"/>
  </r>
  <r>
    <x v="241"/>
    <x v="2"/>
    <x v="57"/>
    <x v="8"/>
    <x v="3"/>
    <x v="3"/>
    <x v="2"/>
    <x v="5"/>
    <x v="2"/>
  </r>
  <r>
    <x v="241"/>
    <x v="3"/>
    <x v="57"/>
    <x v="8"/>
    <x v="3"/>
    <x v="3"/>
    <x v="3"/>
    <x v="5"/>
    <x v="3"/>
  </r>
  <r>
    <x v="241"/>
    <x v="4"/>
    <x v="57"/>
    <x v="8"/>
    <x v="3"/>
    <x v="3"/>
    <x v="7"/>
    <x v="5"/>
    <x v="4"/>
  </r>
  <r>
    <x v="241"/>
    <x v="5"/>
    <x v="57"/>
    <x v="8"/>
    <x v="3"/>
    <x v="3"/>
    <x v="5"/>
    <x v="5"/>
    <x v="5"/>
  </r>
  <r>
    <x v="241"/>
    <x v="6"/>
    <x v="57"/>
    <x v="8"/>
    <x v="3"/>
    <x v="3"/>
    <x v="5"/>
    <x v="5"/>
    <x v="6"/>
  </r>
  <r>
    <x v="241"/>
    <x v="7"/>
    <x v="57"/>
    <x v="8"/>
    <x v="3"/>
    <x v="3"/>
    <x v="5"/>
    <x v="5"/>
    <x v="7"/>
  </r>
  <r>
    <x v="241"/>
    <x v="8"/>
    <x v="57"/>
    <x v="8"/>
    <x v="3"/>
    <x v="3"/>
    <x v="5"/>
    <x v="5"/>
    <x v="8"/>
  </r>
  <r>
    <x v="241"/>
    <x v="9"/>
    <x v="57"/>
    <x v="8"/>
    <x v="3"/>
    <x v="3"/>
    <x v="5"/>
    <x v="5"/>
    <x v="9"/>
  </r>
  <r>
    <x v="242"/>
    <x v="2"/>
    <x v="14"/>
    <x v="9"/>
    <x v="2"/>
    <x v="2"/>
    <x v="6"/>
    <x v="3"/>
    <x v="2"/>
  </r>
  <r>
    <x v="242"/>
    <x v="3"/>
    <x v="14"/>
    <x v="9"/>
    <x v="2"/>
    <x v="2"/>
    <x v="6"/>
    <x v="3"/>
    <x v="3"/>
  </r>
  <r>
    <x v="242"/>
    <x v="4"/>
    <x v="14"/>
    <x v="9"/>
    <x v="2"/>
    <x v="2"/>
    <x v="6"/>
    <x v="3"/>
    <x v="4"/>
  </r>
  <r>
    <x v="242"/>
    <x v="5"/>
    <x v="14"/>
    <x v="9"/>
    <x v="2"/>
    <x v="2"/>
    <x v="6"/>
    <x v="3"/>
    <x v="5"/>
  </r>
  <r>
    <x v="242"/>
    <x v="6"/>
    <x v="14"/>
    <x v="9"/>
    <x v="2"/>
    <x v="2"/>
    <x v="6"/>
    <x v="3"/>
    <x v="6"/>
  </r>
  <r>
    <x v="242"/>
    <x v="7"/>
    <x v="14"/>
    <x v="9"/>
    <x v="2"/>
    <x v="2"/>
    <x v="6"/>
    <x v="3"/>
    <x v="7"/>
  </r>
  <r>
    <x v="242"/>
    <x v="8"/>
    <x v="14"/>
    <x v="9"/>
    <x v="2"/>
    <x v="2"/>
    <x v="6"/>
    <x v="3"/>
    <x v="8"/>
  </r>
  <r>
    <x v="242"/>
    <x v="9"/>
    <x v="14"/>
    <x v="9"/>
    <x v="2"/>
    <x v="2"/>
    <x v="6"/>
    <x v="3"/>
    <x v="9"/>
  </r>
  <r>
    <x v="243"/>
    <x v="2"/>
    <x v="15"/>
    <x v="9"/>
    <x v="2"/>
    <x v="2"/>
    <x v="6"/>
    <x v="3"/>
    <x v="2"/>
  </r>
  <r>
    <x v="243"/>
    <x v="3"/>
    <x v="15"/>
    <x v="9"/>
    <x v="2"/>
    <x v="2"/>
    <x v="6"/>
    <x v="3"/>
    <x v="3"/>
  </r>
  <r>
    <x v="243"/>
    <x v="4"/>
    <x v="15"/>
    <x v="9"/>
    <x v="2"/>
    <x v="2"/>
    <x v="6"/>
    <x v="3"/>
    <x v="4"/>
  </r>
  <r>
    <x v="243"/>
    <x v="5"/>
    <x v="15"/>
    <x v="9"/>
    <x v="2"/>
    <x v="2"/>
    <x v="6"/>
    <x v="3"/>
    <x v="5"/>
  </r>
  <r>
    <x v="243"/>
    <x v="6"/>
    <x v="15"/>
    <x v="9"/>
    <x v="2"/>
    <x v="2"/>
    <x v="6"/>
    <x v="3"/>
    <x v="6"/>
  </r>
  <r>
    <x v="243"/>
    <x v="7"/>
    <x v="15"/>
    <x v="9"/>
    <x v="2"/>
    <x v="2"/>
    <x v="6"/>
    <x v="3"/>
    <x v="7"/>
  </r>
  <r>
    <x v="243"/>
    <x v="8"/>
    <x v="15"/>
    <x v="9"/>
    <x v="2"/>
    <x v="2"/>
    <x v="6"/>
    <x v="3"/>
    <x v="8"/>
  </r>
  <r>
    <x v="243"/>
    <x v="9"/>
    <x v="15"/>
    <x v="9"/>
    <x v="2"/>
    <x v="2"/>
    <x v="6"/>
    <x v="3"/>
    <x v="9"/>
  </r>
  <r>
    <x v="244"/>
    <x v="2"/>
    <x v="44"/>
    <x v="9"/>
    <x v="2"/>
    <x v="2"/>
    <x v="6"/>
    <x v="3"/>
    <x v="2"/>
  </r>
  <r>
    <x v="244"/>
    <x v="3"/>
    <x v="44"/>
    <x v="9"/>
    <x v="2"/>
    <x v="2"/>
    <x v="6"/>
    <x v="3"/>
    <x v="3"/>
  </r>
  <r>
    <x v="244"/>
    <x v="4"/>
    <x v="44"/>
    <x v="9"/>
    <x v="2"/>
    <x v="2"/>
    <x v="6"/>
    <x v="3"/>
    <x v="4"/>
  </r>
  <r>
    <x v="244"/>
    <x v="5"/>
    <x v="44"/>
    <x v="9"/>
    <x v="2"/>
    <x v="2"/>
    <x v="6"/>
    <x v="3"/>
    <x v="5"/>
  </r>
  <r>
    <x v="244"/>
    <x v="6"/>
    <x v="44"/>
    <x v="9"/>
    <x v="2"/>
    <x v="2"/>
    <x v="6"/>
    <x v="3"/>
    <x v="6"/>
  </r>
  <r>
    <x v="244"/>
    <x v="7"/>
    <x v="44"/>
    <x v="9"/>
    <x v="2"/>
    <x v="2"/>
    <x v="6"/>
    <x v="3"/>
    <x v="7"/>
  </r>
  <r>
    <x v="244"/>
    <x v="8"/>
    <x v="44"/>
    <x v="9"/>
    <x v="2"/>
    <x v="2"/>
    <x v="6"/>
    <x v="3"/>
    <x v="8"/>
  </r>
  <r>
    <x v="244"/>
    <x v="9"/>
    <x v="44"/>
    <x v="9"/>
    <x v="2"/>
    <x v="2"/>
    <x v="6"/>
    <x v="3"/>
    <x v="9"/>
  </r>
  <r>
    <x v="245"/>
    <x v="2"/>
    <x v="7"/>
    <x v="9"/>
    <x v="2"/>
    <x v="2"/>
    <x v="2"/>
    <x v="3"/>
    <x v="2"/>
  </r>
  <r>
    <x v="245"/>
    <x v="3"/>
    <x v="7"/>
    <x v="9"/>
    <x v="2"/>
    <x v="2"/>
    <x v="3"/>
    <x v="5"/>
    <x v="3"/>
  </r>
  <r>
    <x v="245"/>
    <x v="4"/>
    <x v="7"/>
    <x v="9"/>
    <x v="2"/>
    <x v="2"/>
    <x v="4"/>
    <x v="5"/>
    <x v="4"/>
  </r>
  <r>
    <x v="245"/>
    <x v="5"/>
    <x v="7"/>
    <x v="9"/>
    <x v="2"/>
    <x v="2"/>
    <x v="5"/>
    <x v="5"/>
    <x v="5"/>
  </r>
  <r>
    <x v="245"/>
    <x v="6"/>
    <x v="7"/>
    <x v="9"/>
    <x v="2"/>
    <x v="2"/>
    <x v="8"/>
    <x v="5"/>
    <x v="6"/>
  </r>
  <r>
    <x v="245"/>
    <x v="7"/>
    <x v="7"/>
    <x v="9"/>
    <x v="2"/>
    <x v="2"/>
    <x v="6"/>
    <x v="5"/>
    <x v="7"/>
  </r>
  <r>
    <x v="245"/>
    <x v="8"/>
    <x v="7"/>
    <x v="9"/>
    <x v="2"/>
    <x v="2"/>
    <x v="6"/>
    <x v="5"/>
    <x v="8"/>
  </r>
  <r>
    <x v="245"/>
    <x v="9"/>
    <x v="7"/>
    <x v="9"/>
    <x v="2"/>
    <x v="2"/>
    <x v="6"/>
    <x v="5"/>
    <x v="9"/>
  </r>
  <r>
    <x v="246"/>
    <x v="2"/>
    <x v="8"/>
    <x v="9"/>
    <x v="2"/>
    <x v="2"/>
    <x v="2"/>
    <x v="5"/>
    <x v="2"/>
  </r>
  <r>
    <x v="246"/>
    <x v="3"/>
    <x v="8"/>
    <x v="9"/>
    <x v="2"/>
    <x v="2"/>
    <x v="3"/>
    <x v="5"/>
    <x v="3"/>
  </r>
  <r>
    <x v="246"/>
    <x v="4"/>
    <x v="8"/>
    <x v="9"/>
    <x v="2"/>
    <x v="2"/>
    <x v="4"/>
    <x v="5"/>
    <x v="4"/>
  </r>
  <r>
    <x v="246"/>
    <x v="5"/>
    <x v="8"/>
    <x v="9"/>
    <x v="2"/>
    <x v="2"/>
    <x v="5"/>
    <x v="5"/>
    <x v="5"/>
  </r>
  <r>
    <x v="246"/>
    <x v="6"/>
    <x v="8"/>
    <x v="9"/>
    <x v="2"/>
    <x v="2"/>
    <x v="8"/>
    <x v="5"/>
    <x v="6"/>
  </r>
  <r>
    <x v="246"/>
    <x v="7"/>
    <x v="8"/>
    <x v="9"/>
    <x v="2"/>
    <x v="2"/>
    <x v="6"/>
    <x v="5"/>
    <x v="7"/>
  </r>
  <r>
    <x v="246"/>
    <x v="8"/>
    <x v="8"/>
    <x v="9"/>
    <x v="2"/>
    <x v="2"/>
    <x v="6"/>
    <x v="5"/>
    <x v="8"/>
  </r>
  <r>
    <x v="246"/>
    <x v="9"/>
    <x v="8"/>
    <x v="9"/>
    <x v="2"/>
    <x v="2"/>
    <x v="6"/>
    <x v="5"/>
    <x v="9"/>
  </r>
  <r>
    <x v="247"/>
    <x v="2"/>
    <x v="9"/>
    <x v="9"/>
    <x v="2"/>
    <x v="2"/>
    <x v="3"/>
    <x v="5"/>
    <x v="2"/>
  </r>
  <r>
    <x v="247"/>
    <x v="3"/>
    <x v="9"/>
    <x v="9"/>
    <x v="2"/>
    <x v="2"/>
    <x v="4"/>
    <x v="5"/>
    <x v="3"/>
  </r>
  <r>
    <x v="247"/>
    <x v="4"/>
    <x v="9"/>
    <x v="9"/>
    <x v="2"/>
    <x v="2"/>
    <x v="5"/>
    <x v="5"/>
    <x v="4"/>
  </r>
  <r>
    <x v="247"/>
    <x v="5"/>
    <x v="9"/>
    <x v="9"/>
    <x v="2"/>
    <x v="2"/>
    <x v="6"/>
    <x v="5"/>
    <x v="5"/>
  </r>
  <r>
    <x v="247"/>
    <x v="6"/>
    <x v="9"/>
    <x v="9"/>
    <x v="2"/>
    <x v="2"/>
    <x v="6"/>
    <x v="5"/>
    <x v="6"/>
  </r>
  <r>
    <x v="247"/>
    <x v="7"/>
    <x v="9"/>
    <x v="9"/>
    <x v="2"/>
    <x v="2"/>
    <x v="6"/>
    <x v="5"/>
    <x v="7"/>
  </r>
  <r>
    <x v="247"/>
    <x v="8"/>
    <x v="9"/>
    <x v="9"/>
    <x v="2"/>
    <x v="2"/>
    <x v="6"/>
    <x v="5"/>
    <x v="8"/>
  </r>
  <r>
    <x v="247"/>
    <x v="9"/>
    <x v="9"/>
    <x v="9"/>
    <x v="2"/>
    <x v="2"/>
    <x v="6"/>
    <x v="5"/>
    <x v="9"/>
  </r>
  <r>
    <x v="248"/>
    <x v="2"/>
    <x v="10"/>
    <x v="9"/>
    <x v="2"/>
    <x v="2"/>
    <x v="3"/>
    <x v="5"/>
    <x v="2"/>
  </r>
  <r>
    <x v="248"/>
    <x v="3"/>
    <x v="10"/>
    <x v="9"/>
    <x v="2"/>
    <x v="2"/>
    <x v="4"/>
    <x v="5"/>
    <x v="3"/>
  </r>
  <r>
    <x v="248"/>
    <x v="4"/>
    <x v="10"/>
    <x v="9"/>
    <x v="2"/>
    <x v="2"/>
    <x v="5"/>
    <x v="5"/>
    <x v="4"/>
  </r>
  <r>
    <x v="248"/>
    <x v="5"/>
    <x v="10"/>
    <x v="9"/>
    <x v="2"/>
    <x v="2"/>
    <x v="6"/>
    <x v="5"/>
    <x v="5"/>
  </r>
  <r>
    <x v="248"/>
    <x v="6"/>
    <x v="10"/>
    <x v="9"/>
    <x v="2"/>
    <x v="2"/>
    <x v="6"/>
    <x v="5"/>
    <x v="6"/>
  </r>
  <r>
    <x v="248"/>
    <x v="7"/>
    <x v="10"/>
    <x v="9"/>
    <x v="2"/>
    <x v="2"/>
    <x v="6"/>
    <x v="5"/>
    <x v="7"/>
  </r>
  <r>
    <x v="248"/>
    <x v="8"/>
    <x v="10"/>
    <x v="9"/>
    <x v="2"/>
    <x v="2"/>
    <x v="6"/>
    <x v="5"/>
    <x v="8"/>
  </r>
  <r>
    <x v="248"/>
    <x v="9"/>
    <x v="10"/>
    <x v="9"/>
    <x v="2"/>
    <x v="2"/>
    <x v="6"/>
    <x v="5"/>
    <x v="9"/>
  </r>
  <r>
    <x v="249"/>
    <x v="2"/>
    <x v="11"/>
    <x v="9"/>
    <x v="2"/>
    <x v="2"/>
    <x v="3"/>
    <x v="5"/>
    <x v="2"/>
  </r>
  <r>
    <x v="249"/>
    <x v="3"/>
    <x v="11"/>
    <x v="9"/>
    <x v="2"/>
    <x v="2"/>
    <x v="4"/>
    <x v="5"/>
    <x v="3"/>
  </r>
  <r>
    <x v="249"/>
    <x v="4"/>
    <x v="11"/>
    <x v="9"/>
    <x v="2"/>
    <x v="2"/>
    <x v="5"/>
    <x v="5"/>
    <x v="4"/>
  </r>
  <r>
    <x v="249"/>
    <x v="5"/>
    <x v="11"/>
    <x v="9"/>
    <x v="2"/>
    <x v="2"/>
    <x v="6"/>
    <x v="5"/>
    <x v="5"/>
  </r>
  <r>
    <x v="249"/>
    <x v="6"/>
    <x v="11"/>
    <x v="9"/>
    <x v="2"/>
    <x v="2"/>
    <x v="6"/>
    <x v="5"/>
    <x v="6"/>
  </r>
  <r>
    <x v="249"/>
    <x v="7"/>
    <x v="11"/>
    <x v="9"/>
    <x v="2"/>
    <x v="2"/>
    <x v="6"/>
    <x v="5"/>
    <x v="7"/>
  </r>
  <r>
    <x v="249"/>
    <x v="8"/>
    <x v="11"/>
    <x v="9"/>
    <x v="2"/>
    <x v="2"/>
    <x v="6"/>
    <x v="5"/>
    <x v="8"/>
  </r>
  <r>
    <x v="249"/>
    <x v="9"/>
    <x v="11"/>
    <x v="9"/>
    <x v="2"/>
    <x v="2"/>
    <x v="6"/>
    <x v="5"/>
    <x v="9"/>
  </r>
  <r>
    <x v="250"/>
    <x v="2"/>
    <x v="12"/>
    <x v="9"/>
    <x v="2"/>
    <x v="2"/>
    <x v="3"/>
    <x v="5"/>
    <x v="2"/>
  </r>
  <r>
    <x v="250"/>
    <x v="3"/>
    <x v="12"/>
    <x v="9"/>
    <x v="2"/>
    <x v="2"/>
    <x v="4"/>
    <x v="5"/>
    <x v="3"/>
  </r>
  <r>
    <x v="250"/>
    <x v="4"/>
    <x v="12"/>
    <x v="9"/>
    <x v="2"/>
    <x v="2"/>
    <x v="5"/>
    <x v="5"/>
    <x v="4"/>
  </r>
  <r>
    <x v="250"/>
    <x v="5"/>
    <x v="12"/>
    <x v="9"/>
    <x v="2"/>
    <x v="2"/>
    <x v="6"/>
    <x v="5"/>
    <x v="5"/>
  </r>
  <r>
    <x v="250"/>
    <x v="6"/>
    <x v="12"/>
    <x v="9"/>
    <x v="2"/>
    <x v="2"/>
    <x v="6"/>
    <x v="5"/>
    <x v="6"/>
  </r>
  <r>
    <x v="250"/>
    <x v="7"/>
    <x v="12"/>
    <x v="9"/>
    <x v="2"/>
    <x v="2"/>
    <x v="6"/>
    <x v="5"/>
    <x v="7"/>
  </r>
  <r>
    <x v="250"/>
    <x v="8"/>
    <x v="12"/>
    <x v="9"/>
    <x v="2"/>
    <x v="2"/>
    <x v="6"/>
    <x v="5"/>
    <x v="8"/>
  </r>
  <r>
    <x v="250"/>
    <x v="9"/>
    <x v="12"/>
    <x v="9"/>
    <x v="2"/>
    <x v="2"/>
    <x v="6"/>
    <x v="5"/>
    <x v="9"/>
  </r>
  <r>
    <x v="251"/>
    <x v="2"/>
    <x v="13"/>
    <x v="9"/>
    <x v="2"/>
    <x v="2"/>
    <x v="3"/>
    <x v="5"/>
    <x v="2"/>
  </r>
  <r>
    <x v="251"/>
    <x v="3"/>
    <x v="13"/>
    <x v="9"/>
    <x v="2"/>
    <x v="2"/>
    <x v="4"/>
    <x v="5"/>
    <x v="3"/>
  </r>
  <r>
    <x v="251"/>
    <x v="4"/>
    <x v="13"/>
    <x v="9"/>
    <x v="2"/>
    <x v="2"/>
    <x v="5"/>
    <x v="5"/>
    <x v="4"/>
  </r>
  <r>
    <x v="251"/>
    <x v="5"/>
    <x v="13"/>
    <x v="9"/>
    <x v="2"/>
    <x v="2"/>
    <x v="6"/>
    <x v="5"/>
    <x v="5"/>
  </r>
  <r>
    <x v="251"/>
    <x v="6"/>
    <x v="13"/>
    <x v="9"/>
    <x v="2"/>
    <x v="2"/>
    <x v="6"/>
    <x v="5"/>
    <x v="6"/>
  </r>
  <r>
    <x v="251"/>
    <x v="7"/>
    <x v="13"/>
    <x v="9"/>
    <x v="2"/>
    <x v="2"/>
    <x v="6"/>
    <x v="5"/>
    <x v="7"/>
  </r>
  <r>
    <x v="251"/>
    <x v="8"/>
    <x v="13"/>
    <x v="9"/>
    <x v="2"/>
    <x v="2"/>
    <x v="6"/>
    <x v="5"/>
    <x v="8"/>
  </r>
  <r>
    <x v="251"/>
    <x v="9"/>
    <x v="13"/>
    <x v="9"/>
    <x v="2"/>
    <x v="2"/>
    <x v="6"/>
    <x v="5"/>
    <x v="9"/>
  </r>
  <r>
    <x v="252"/>
    <x v="2"/>
    <x v="46"/>
    <x v="9"/>
    <x v="2"/>
    <x v="2"/>
    <x v="7"/>
    <x v="3"/>
    <x v="2"/>
  </r>
  <r>
    <x v="252"/>
    <x v="3"/>
    <x v="46"/>
    <x v="9"/>
    <x v="2"/>
    <x v="2"/>
    <x v="5"/>
    <x v="3"/>
    <x v="3"/>
  </r>
  <r>
    <x v="252"/>
    <x v="4"/>
    <x v="46"/>
    <x v="9"/>
    <x v="2"/>
    <x v="2"/>
    <x v="8"/>
    <x v="3"/>
    <x v="4"/>
  </r>
  <r>
    <x v="252"/>
    <x v="5"/>
    <x v="46"/>
    <x v="9"/>
    <x v="2"/>
    <x v="2"/>
    <x v="6"/>
    <x v="3"/>
    <x v="5"/>
  </r>
  <r>
    <x v="252"/>
    <x v="6"/>
    <x v="46"/>
    <x v="9"/>
    <x v="2"/>
    <x v="2"/>
    <x v="6"/>
    <x v="3"/>
    <x v="6"/>
  </r>
  <r>
    <x v="252"/>
    <x v="7"/>
    <x v="46"/>
    <x v="9"/>
    <x v="2"/>
    <x v="2"/>
    <x v="6"/>
    <x v="3"/>
    <x v="7"/>
  </r>
  <r>
    <x v="252"/>
    <x v="8"/>
    <x v="46"/>
    <x v="9"/>
    <x v="2"/>
    <x v="2"/>
    <x v="6"/>
    <x v="3"/>
    <x v="8"/>
  </r>
  <r>
    <x v="252"/>
    <x v="9"/>
    <x v="46"/>
    <x v="9"/>
    <x v="2"/>
    <x v="2"/>
    <x v="6"/>
    <x v="3"/>
    <x v="9"/>
  </r>
  <r>
    <x v="253"/>
    <x v="2"/>
    <x v="47"/>
    <x v="9"/>
    <x v="2"/>
    <x v="2"/>
    <x v="7"/>
    <x v="3"/>
    <x v="2"/>
  </r>
  <r>
    <x v="253"/>
    <x v="3"/>
    <x v="47"/>
    <x v="9"/>
    <x v="2"/>
    <x v="2"/>
    <x v="5"/>
    <x v="3"/>
    <x v="3"/>
  </r>
  <r>
    <x v="253"/>
    <x v="4"/>
    <x v="47"/>
    <x v="9"/>
    <x v="2"/>
    <x v="2"/>
    <x v="8"/>
    <x v="3"/>
    <x v="4"/>
  </r>
  <r>
    <x v="253"/>
    <x v="5"/>
    <x v="47"/>
    <x v="9"/>
    <x v="2"/>
    <x v="2"/>
    <x v="6"/>
    <x v="3"/>
    <x v="5"/>
  </r>
  <r>
    <x v="253"/>
    <x v="6"/>
    <x v="47"/>
    <x v="9"/>
    <x v="2"/>
    <x v="2"/>
    <x v="6"/>
    <x v="3"/>
    <x v="6"/>
  </r>
  <r>
    <x v="253"/>
    <x v="7"/>
    <x v="47"/>
    <x v="9"/>
    <x v="2"/>
    <x v="2"/>
    <x v="6"/>
    <x v="3"/>
    <x v="7"/>
  </r>
  <r>
    <x v="253"/>
    <x v="8"/>
    <x v="47"/>
    <x v="9"/>
    <x v="2"/>
    <x v="2"/>
    <x v="6"/>
    <x v="3"/>
    <x v="8"/>
  </r>
  <r>
    <x v="253"/>
    <x v="9"/>
    <x v="47"/>
    <x v="9"/>
    <x v="2"/>
    <x v="2"/>
    <x v="6"/>
    <x v="3"/>
    <x v="9"/>
  </r>
  <r>
    <x v="254"/>
    <x v="2"/>
    <x v="58"/>
    <x v="9"/>
    <x v="2"/>
    <x v="2"/>
    <x v="7"/>
    <x v="3"/>
    <x v="2"/>
  </r>
  <r>
    <x v="254"/>
    <x v="3"/>
    <x v="58"/>
    <x v="9"/>
    <x v="2"/>
    <x v="2"/>
    <x v="5"/>
    <x v="3"/>
    <x v="3"/>
  </r>
  <r>
    <x v="254"/>
    <x v="4"/>
    <x v="58"/>
    <x v="9"/>
    <x v="2"/>
    <x v="2"/>
    <x v="8"/>
    <x v="3"/>
    <x v="4"/>
  </r>
  <r>
    <x v="254"/>
    <x v="5"/>
    <x v="58"/>
    <x v="9"/>
    <x v="2"/>
    <x v="2"/>
    <x v="6"/>
    <x v="3"/>
    <x v="5"/>
  </r>
  <r>
    <x v="254"/>
    <x v="6"/>
    <x v="58"/>
    <x v="9"/>
    <x v="2"/>
    <x v="2"/>
    <x v="6"/>
    <x v="3"/>
    <x v="6"/>
  </r>
  <r>
    <x v="254"/>
    <x v="7"/>
    <x v="58"/>
    <x v="9"/>
    <x v="2"/>
    <x v="2"/>
    <x v="6"/>
    <x v="3"/>
    <x v="7"/>
  </r>
  <r>
    <x v="254"/>
    <x v="8"/>
    <x v="58"/>
    <x v="9"/>
    <x v="2"/>
    <x v="2"/>
    <x v="6"/>
    <x v="3"/>
    <x v="8"/>
  </r>
  <r>
    <x v="254"/>
    <x v="9"/>
    <x v="58"/>
    <x v="9"/>
    <x v="2"/>
    <x v="2"/>
    <x v="6"/>
    <x v="3"/>
    <x v="9"/>
  </r>
  <r>
    <x v="255"/>
    <x v="2"/>
    <x v="63"/>
    <x v="9"/>
    <x v="2"/>
    <x v="2"/>
    <x v="7"/>
    <x v="2"/>
    <x v="2"/>
  </r>
  <r>
    <x v="255"/>
    <x v="4"/>
    <x v="63"/>
    <x v="9"/>
    <x v="2"/>
    <x v="2"/>
    <x v="5"/>
    <x v="2"/>
    <x v="4"/>
  </r>
  <r>
    <x v="255"/>
    <x v="6"/>
    <x v="63"/>
    <x v="9"/>
    <x v="2"/>
    <x v="2"/>
    <x v="8"/>
    <x v="2"/>
    <x v="6"/>
  </r>
  <r>
    <x v="256"/>
    <x v="2"/>
    <x v="64"/>
    <x v="9"/>
    <x v="2"/>
    <x v="2"/>
    <x v="7"/>
    <x v="2"/>
    <x v="2"/>
  </r>
  <r>
    <x v="256"/>
    <x v="6"/>
    <x v="64"/>
    <x v="9"/>
    <x v="2"/>
    <x v="2"/>
    <x v="5"/>
    <x v="2"/>
    <x v="6"/>
  </r>
  <r>
    <x v="256"/>
    <x v="9"/>
    <x v="64"/>
    <x v="9"/>
    <x v="2"/>
    <x v="2"/>
    <x v="8"/>
    <x v="2"/>
    <x v="9"/>
  </r>
  <r>
    <x v="257"/>
    <x v="2"/>
    <x v="49"/>
    <x v="9"/>
    <x v="3"/>
    <x v="3"/>
    <x v="7"/>
    <x v="3"/>
    <x v="2"/>
  </r>
  <r>
    <x v="257"/>
    <x v="3"/>
    <x v="49"/>
    <x v="9"/>
    <x v="3"/>
    <x v="3"/>
    <x v="5"/>
    <x v="3"/>
    <x v="3"/>
  </r>
  <r>
    <x v="257"/>
    <x v="4"/>
    <x v="49"/>
    <x v="9"/>
    <x v="3"/>
    <x v="3"/>
    <x v="8"/>
    <x v="3"/>
    <x v="4"/>
  </r>
  <r>
    <x v="257"/>
    <x v="5"/>
    <x v="49"/>
    <x v="9"/>
    <x v="3"/>
    <x v="3"/>
    <x v="6"/>
    <x v="3"/>
    <x v="5"/>
  </r>
  <r>
    <x v="257"/>
    <x v="6"/>
    <x v="49"/>
    <x v="9"/>
    <x v="3"/>
    <x v="3"/>
    <x v="6"/>
    <x v="3"/>
    <x v="6"/>
  </r>
  <r>
    <x v="257"/>
    <x v="7"/>
    <x v="49"/>
    <x v="9"/>
    <x v="3"/>
    <x v="3"/>
    <x v="6"/>
    <x v="3"/>
    <x v="7"/>
  </r>
  <r>
    <x v="257"/>
    <x v="8"/>
    <x v="49"/>
    <x v="9"/>
    <x v="3"/>
    <x v="3"/>
    <x v="6"/>
    <x v="3"/>
    <x v="8"/>
  </r>
  <r>
    <x v="257"/>
    <x v="9"/>
    <x v="49"/>
    <x v="9"/>
    <x v="3"/>
    <x v="3"/>
    <x v="6"/>
    <x v="3"/>
    <x v="9"/>
  </r>
  <r>
    <x v="258"/>
    <x v="2"/>
    <x v="50"/>
    <x v="9"/>
    <x v="3"/>
    <x v="3"/>
    <x v="7"/>
    <x v="3"/>
    <x v="2"/>
  </r>
  <r>
    <x v="258"/>
    <x v="3"/>
    <x v="50"/>
    <x v="9"/>
    <x v="3"/>
    <x v="3"/>
    <x v="5"/>
    <x v="3"/>
    <x v="3"/>
  </r>
  <r>
    <x v="258"/>
    <x v="4"/>
    <x v="50"/>
    <x v="9"/>
    <x v="3"/>
    <x v="3"/>
    <x v="8"/>
    <x v="3"/>
    <x v="4"/>
  </r>
  <r>
    <x v="258"/>
    <x v="5"/>
    <x v="50"/>
    <x v="9"/>
    <x v="3"/>
    <x v="3"/>
    <x v="6"/>
    <x v="3"/>
    <x v="5"/>
  </r>
  <r>
    <x v="258"/>
    <x v="6"/>
    <x v="50"/>
    <x v="9"/>
    <x v="3"/>
    <x v="3"/>
    <x v="6"/>
    <x v="3"/>
    <x v="6"/>
  </r>
  <r>
    <x v="258"/>
    <x v="7"/>
    <x v="50"/>
    <x v="9"/>
    <x v="3"/>
    <x v="3"/>
    <x v="6"/>
    <x v="3"/>
    <x v="7"/>
  </r>
  <r>
    <x v="258"/>
    <x v="8"/>
    <x v="50"/>
    <x v="9"/>
    <x v="3"/>
    <x v="3"/>
    <x v="6"/>
    <x v="3"/>
    <x v="8"/>
  </r>
  <r>
    <x v="258"/>
    <x v="9"/>
    <x v="50"/>
    <x v="9"/>
    <x v="3"/>
    <x v="3"/>
    <x v="6"/>
    <x v="3"/>
    <x v="9"/>
  </r>
  <r>
    <x v="259"/>
    <x v="2"/>
    <x v="51"/>
    <x v="9"/>
    <x v="3"/>
    <x v="3"/>
    <x v="7"/>
    <x v="3"/>
    <x v="2"/>
  </r>
  <r>
    <x v="259"/>
    <x v="3"/>
    <x v="51"/>
    <x v="9"/>
    <x v="3"/>
    <x v="3"/>
    <x v="5"/>
    <x v="3"/>
    <x v="3"/>
  </r>
  <r>
    <x v="259"/>
    <x v="4"/>
    <x v="51"/>
    <x v="9"/>
    <x v="3"/>
    <x v="3"/>
    <x v="8"/>
    <x v="3"/>
    <x v="4"/>
  </r>
  <r>
    <x v="259"/>
    <x v="5"/>
    <x v="51"/>
    <x v="9"/>
    <x v="3"/>
    <x v="3"/>
    <x v="6"/>
    <x v="3"/>
    <x v="5"/>
  </r>
  <r>
    <x v="259"/>
    <x v="6"/>
    <x v="51"/>
    <x v="9"/>
    <x v="3"/>
    <x v="3"/>
    <x v="6"/>
    <x v="3"/>
    <x v="6"/>
  </r>
  <r>
    <x v="259"/>
    <x v="7"/>
    <x v="51"/>
    <x v="9"/>
    <x v="3"/>
    <x v="3"/>
    <x v="6"/>
    <x v="3"/>
    <x v="7"/>
  </r>
  <r>
    <x v="259"/>
    <x v="8"/>
    <x v="51"/>
    <x v="9"/>
    <x v="3"/>
    <x v="3"/>
    <x v="6"/>
    <x v="3"/>
    <x v="8"/>
  </r>
  <r>
    <x v="259"/>
    <x v="9"/>
    <x v="51"/>
    <x v="9"/>
    <x v="3"/>
    <x v="3"/>
    <x v="6"/>
    <x v="3"/>
    <x v="9"/>
  </r>
  <r>
    <x v="260"/>
    <x v="2"/>
    <x v="52"/>
    <x v="9"/>
    <x v="3"/>
    <x v="3"/>
    <x v="7"/>
    <x v="3"/>
    <x v="2"/>
  </r>
  <r>
    <x v="260"/>
    <x v="3"/>
    <x v="52"/>
    <x v="9"/>
    <x v="3"/>
    <x v="3"/>
    <x v="5"/>
    <x v="3"/>
    <x v="3"/>
  </r>
  <r>
    <x v="260"/>
    <x v="4"/>
    <x v="52"/>
    <x v="9"/>
    <x v="3"/>
    <x v="3"/>
    <x v="8"/>
    <x v="3"/>
    <x v="4"/>
  </r>
  <r>
    <x v="260"/>
    <x v="5"/>
    <x v="52"/>
    <x v="9"/>
    <x v="3"/>
    <x v="3"/>
    <x v="6"/>
    <x v="3"/>
    <x v="5"/>
  </r>
  <r>
    <x v="260"/>
    <x v="6"/>
    <x v="52"/>
    <x v="9"/>
    <x v="3"/>
    <x v="3"/>
    <x v="6"/>
    <x v="3"/>
    <x v="6"/>
  </r>
  <r>
    <x v="260"/>
    <x v="7"/>
    <x v="52"/>
    <x v="9"/>
    <x v="3"/>
    <x v="3"/>
    <x v="6"/>
    <x v="3"/>
    <x v="7"/>
  </r>
  <r>
    <x v="260"/>
    <x v="8"/>
    <x v="52"/>
    <x v="9"/>
    <x v="3"/>
    <x v="3"/>
    <x v="6"/>
    <x v="3"/>
    <x v="8"/>
  </r>
  <r>
    <x v="260"/>
    <x v="9"/>
    <x v="52"/>
    <x v="9"/>
    <x v="3"/>
    <x v="3"/>
    <x v="6"/>
    <x v="3"/>
    <x v="9"/>
  </r>
  <r>
    <x v="261"/>
    <x v="2"/>
    <x v="53"/>
    <x v="9"/>
    <x v="3"/>
    <x v="3"/>
    <x v="2"/>
    <x v="3"/>
    <x v="2"/>
  </r>
  <r>
    <x v="261"/>
    <x v="3"/>
    <x v="53"/>
    <x v="9"/>
    <x v="3"/>
    <x v="3"/>
    <x v="3"/>
    <x v="3"/>
    <x v="3"/>
  </r>
  <r>
    <x v="261"/>
    <x v="4"/>
    <x v="53"/>
    <x v="9"/>
    <x v="3"/>
    <x v="3"/>
    <x v="7"/>
    <x v="3"/>
    <x v="4"/>
  </r>
  <r>
    <x v="261"/>
    <x v="5"/>
    <x v="53"/>
    <x v="9"/>
    <x v="3"/>
    <x v="3"/>
    <x v="5"/>
    <x v="3"/>
    <x v="5"/>
  </r>
  <r>
    <x v="261"/>
    <x v="6"/>
    <x v="53"/>
    <x v="9"/>
    <x v="3"/>
    <x v="3"/>
    <x v="5"/>
    <x v="3"/>
    <x v="6"/>
  </r>
  <r>
    <x v="261"/>
    <x v="7"/>
    <x v="53"/>
    <x v="9"/>
    <x v="3"/>
    <x v="3"/>
    <x v="5"/>
    <x v="3"/>
    <x v="7"/>
  </r>
  <r>
    <x v="261"/>
    <x v="8"/>
    <x v="53"/>
    <x v="9"/>
    <x v="3"/>
    <x v="3"/>
    <x v="5"/>
    <x v="3"/>
    <x v="8"/>
  </r>
  <r>
    <x v="261"/>
    <x v="9"/>
    <x v="53"/>
    <x v="9"/>
    <x v="3"/>
    <x v="3"/>
    <x v="5"/>
    <x v="3"/>
    <x v="9"/>
  </r>
  <r>
    <x v="262"/>
    <x v="2"/>
    <x v="54"/>
    <x v="9"/>
    <x v="3"/>
    <x v="3"/>
    <x v="3"/>
    <x v="3"/>
    <x v="2"/>
  </r>
  <r>
    <x v="262"/>
    <x v="4"/>
    <x v="54"/>
    <x v="9"/>
    <x v="3"/>
    <x v="3"/>
    <x v="7"/>
    <x v="3"/>
    <x v="4"/>
  </r>
  <r>
    <x v="262"/>
    <x v="6"/>
    <x v="54"/>
    <x v="9"/>
    <x v="3"/>
    <x v="3"/>
    <x v="5"/>
    <x v="3"/>
    <x v="6"/>
  </r>
  <r>
    <x v="263"/>
    <x v="2"/>
    <x v="55"/>
    <x v="9"/>
    <x v="3"/>
    <x v="3"/>
    <x v="3"/>
    <x v="3"/>
    <x v="2"/>
  </r>
  <r>
    <x v="263"/>
    <x v="4"/>
    <x v="55"/>
    <x v="9"/>
    <x v="3"/>
    <x v="3"/>
    <x v="7"/>
    <x v="3"/>
    <x v="4"/>
  </r>
  <r>
    <x v="263"/>
    <x v="6"/>
    <x v="55"/>
    <x v="9"/>
    <x v="3"/>
    <x v="3"/>
    <x v="5"/>
    <x v="3"/>
    <x v="6"/>
  </r>
  <r>
    <x v="264"/>
    <x v="2"/>
    <x v="56"/>
    <x v="9"/>
    <x v="3"/>
    <x v="3"/>
    <x v="3"/>
    <x v="3"/>
    <x v="2"/>
  </r>
  <r>
    <x v="264"/>
    <x v="4"/>
    <x v="56"/>
    <x v="9"/>
    <x v="3"/>
    <x v="3"/>
    <x v="7"/>
    <x v="3"/>
    <x v="4"/>
  </r>
  <r>
    <x v="264"/>
    <x v="6"/>
    <x v="56"/>
    <x v="9"/>
    <x v="3"/>
    <x v="3"/>
    <x v="5"/>
    <x v="3"/>
    <x v="6"/>
  </r>
  <r>
    <x v="265"/>
    <x v="2"/>
    <x v="28"/>
    <x v="9"/>
    <x v="3"/>
    <x v="3"/>
    <x v="2"/>
    <x v="5"/>
    <x v="2"/>
  </r>
  <r>
    <x v="265"/>
    <x v="3"/>
    <x v="28"/>
    <x v="9"/>
    <x v="3"/>
    <x v="3"/>
    <x v="3"/>
    <x v="5"/>
    <x v="3"/>
  </r>
  <r>
    <x v="265"/>
    <x v="4"/>
    <x v="28"/>
    <x v="9"/>
    <x v="3"/>
    <x v="3"/>
    <x v="7"/>
    <x v="5"/>
    <x v="4"/>
  </r>
  <r>
    <x v="265"/>
    <x v="5"/>
    <x v="28"/>
    <x v="9"/>
    <x v="3"/>
    <x v="3"/>
    <x v="5"/>
    <x v="5"/>
    <x v="5"/>
  </r>
  <r>
    <x v="265"/>
    <x v="6"/>
    <x v="28"/>
    <x v="9"/>
    <x v="3"/>
    <x v="3"/>
    <x v="5"/>
    <x v="5"/>
    <x v="6"/>
  </r>
  <r>
    <x v="265"/>
    <x v="7"/>
    <x v="28"/>
    <x v="9"/>
    <x v="3"/>
    <x v="3"/>
    <x v="5"/>
    <x v="5"/>
    <x v="7"/>
  </r>
  <r>
    <x v="265"/>
    <x v="8"/>
    <x v="28"/>
    <x v="9"/>
    <x v="3"/>
    <x v="3"/>
    <x v="5"/>
    <x v="5"/>
    <x v="8"/>
  </r>
  <r>
    <x v="265"/>
    <x v="9"/>
    <x v="28"/>
    <x v="9"/>
    <x v="3"/>
    <x v="3"/>
    <x v="5"/>
    <x v="5"/>
    <x v="9"/>
  </r>
  <r>
    <x v="266"/>
    <x v="2"/>
    <x v="29"/>
    <x v="9"/>
    <x v="3"/>
    <x v="3"/>
    <x v="2"/>
    <x v="5"/>
    <x v="2"/>
  </r>
  <r>
    <x v="266"/>
    <x v="3"/>
    <x v="29"/>
    <x v="9"/>
    <x v="3"/>
    <x v="3"/>
    <x v="3"/>
    <x v="5"/>
    <x v="3"/>
  </r>
  <r>
    <x v="266"/>
    <x v="4"/>
    <x v="29"/>
    <x v="9"/>
    <x v="3"/>
    <x v="3"/>
    <x v="7"/>
    <x v="5"/>
    <x v="4"/>
  </r>
  <r>
    <x v="266"/>
    <x v="5"/>
    <x v="29"/>
    <x v="9"/>
    <x v="3"/>
    <x v="3"/>
    <x v="5"/>
    <x v="5"/>
    <x v="5"/>
  </r>
  <r>
    <x v="266"/>
    <x v="6"/>
    <x v="29"/>
    <x v="9"/>
    <x v="3"/>
    <x v="3"/>
    <x v="5"/>
    <x v="5"/>
    <x v="6"/>
  </r>
  <r>
    <x v="266"/>
    <x v="7"/>
    <x v="29"/>
    <x v="9"/>
    <x v="3"/>
    <x v="3"/>
    <x v="5"/>
    <x v="5"/>
    <x v="7"/>
  </r>
  <r>
    <x v="266"/>
    <x v="8"/>
    <x v="29"/>
    <x v="9"/>
    <x v="3"/>
    <x v="3"/>
    <x v="5"/>
    <x v="5"/>
    <x v="8"/>
  </r>
  <r>
    <x v="266"/>
    <x v="9"/>
    <x v="29"/>
    <x v="9"/>
    <x v="3"/>
    <x v="3"/>
    <x v="5"/>
    <x v="5"/>
    <x v="9"/>
  </r>
  <r>
    <x v="267"/>
    <x v="2"/>
    <x v="30"/>
    <x v="9"/>
    <x v="3"/>
    <x v="3"/>
    <x v="2"/>
    <x v="5"/>
    <x v="2"/>
  </r>
  <r>
    <x v="267"/>
    <x v="3"/>
    <x v="30"/>
    <x v="9"/>
    <x v="3"/>
    <x v="3"/>
    <x v="3"/>
    <x v="5"/>
    <x v="3"/>
  </r>
  <r>
    <x v="267"/>
    <x v="4"/>
    <x v="30"/>
    <x v="9"/>
    <x v="3"/>
    <x v="3"/>
    <x v="7"/>
    <x v="5"/>
    <x v="4"/>
  </r>
  <r>
    <x v="267"/>
    <x v="5"/>
    <x v="30"/>
    <x v="9"/>
    <x v="3"/>
    <x v="3"/>
    <x v="5"/>
    <x v="5"/>
    <x v="5"/>
  </r>
  <r>
    <x v="267"/>
    <x v="6"/>
    <x v="30"/>
    <x v="9"/>
    <x v="3"/>
    <x v="3"/>
    <x v="5"/>
    <x v="5"/>
    <x v="6"/>
  </r>
  <r>
    <x v="267"/>
    <x v="7"/>
    <x v="30"/>
    <x v="9"/>
    <x v="3"/>
    <x v="3"/>
    <x v="5"/>
    <x v="5"/>
    <x v="7"/>
  </r>
  <r>
    <x v="267"/>
    <x v="8"/>
    <x v="30"/>
    <x v="9"/>
    <x v="3"/>
    <x v="3"/>
    <x v="5"/>
    <x v="5"/>
    <x v="8"/>
  </r>
  <r>
    <x v="267"/>
    <x v="9"/>
    <x v="30"/>
    <x v="9"/>
    <x v="3"/>
    <x v="3"/>
    <x v="5"/>
    <x v="5"/>
    <x v="9"/>
  </r>
  <r>
    <x v="268"/>
    <x v="2"/>
    <x v="31"/>
    <x v="9"/>
    <x v="3"/>
    <x v="3"/>
    <x v="2"/>
    <x v="5"/>
    <x v="2"/>
  </r>
  <r>
    <x v="268"/>
    <x v="3"/>
    <x v="31"/>
    <x v="9"/>
    <x v="3"/>
    <x v="3"/>
    <x v="3"/>
    <x v="5"/>
    <x v="3"/>
  </r>
  <r>
    <x v="268"/>
    <x v="4"/>
    <x v="31"/>
    <x v="9"/>
    <x v="3"/>
    <x v="3"/>
    <x v="7"/>
    <x v="5"/>
    <x v="4"/>
  </r>
  <r>
    <x v="268"/>
    <x v="5"/>
    <x v="31"/>
    <x v="9"/>
    <x v="3"/>
    <x v="3"/>
    <x v="5"/>
    <x v="5"/>
    <x v="5"/>
  </r>
  <r>
    <x v="268"/>
    <x v="6"/>
    <x v="31"/>
    <x v="9"/>
    <x v="3"/>
    <x v="3"/>
    <x v="5"/>
    <x v="5"/>
    <x v="6"/>
  </r>
  <r>
    <x v="268"/>
    <x v="7"/>
    <x v="31"/>
    <x v="9"/>
    <x v="3"/>
    <x v="3"/>
    <x v="5"/>
    <x v="5"/>
    <x v="7"/>
  </r>
  <r>
    <x v="268"/>
    <x v="8"/>
    <x v="31"/>
    <x v="9"/>
    <x v="3"/>
    <x v="3"/>
    <x v="5"/>
    <x v="5"/>
    <x v="8"/>
  </r>
  <r>
    <x v="268"/>
    <x v="9"/>
    <x v="31"/>
    <x v="9"/>
    <x v="3"/>
    <x v="3"/>
    <x v="5"/>
    <x v="5"/>
    <x v="9"/>
  </r>
  <r>
    <x v="269"/>
    <x v="2"/>
    <x v="32"/>
    <x v="9"/>
    <x v="3"/>
    <x v="3"/>
    <x v="2"/>
    <x v="5"/>
    <x v="2"/>
  </r>
  <r>
    <x v="269"/>
    <x v="3"/>
    <x v="32"/>
    <x v="9"/>
    <x v="3"/>
    <x v="3"/>
    <x v="3"/>
    <x v="5"/>
    <x v="3"/>
  </r>
  <r>
    <x v="269"/>
    <x v="4"/>
    <x v="32"/>
    <x v="9"/>
    <x v="3"/>
    <x v="3"/>
    <x v="7"/>
    <x v="5"/>
    <x v="4"/>
  </r>
  <r>
    <x v="269"/>
    <x v="5"/>
    <x v="32"/>
    <x v="9"/>
    <x v="3"/>
    <x v="3"/>
    <x v="5"/>
    <x v="5"/>
    <x v="5"/>
  </r>
  <r>
    <x v="269"/>
    <x v="6"/>
    <x v="32"/>
    <x v="9"/>
    <x v="3"/>
    <x v="3"/>
    <x v="5"/>
    <x v="5"/>
    <x v="6"/>
  </r>
  <r>
    <x v="269"/>
    <x v="7"/>
    <x v="32"/>
    <x v="9"/>
    <x v="3"/>
    <x v="3"/>
    <x v="5"/>
    <x v="5"/>
    <x v="7"/>
  </r>
  <r>
    <x v="269"/>
    <x v="8"/>
    <x v="32"/>
    <x v="9"/>
    <x v="3"/>
    <x v="3"/>
    <x v="5"/>
    <x v="5"/>
    <x v="8"/>
  </r>
  <r>
    <x v="269"/>
    <x v="9"/>
    <x v="32"/>
    <x v="9"/>
    <x v="3"/>
    <x v="3"/>
    <x v="5"/>
    <x v="5"/>
    <x v="9"/>
  </r>
  <r>
    <x v="270"/>
    <x v="2"/>
    <x v="33"/>
    <x v="9"/>
    <x v="3"/>
    <x v="3"/>
    <x v="2"/>
    <x v="5"/>
    <x v="2"/>
  </r>
  <r>
    <x v="270"/>
    <x v="3"/>
    <x v="33"/>
    <x v="9"/>
    <x v="3"/>
    <x v="3"/>
    <x v="3"/>
    <x v="5"/>
    <x v="3"/>
  </r>
  <r>
    <x v="270"/>
    <x v="4"/>
    <x v="33"/>
    <x v="9"/>
    <x v="3"/>
    <x v="3"/>
    <x v="7"/>
    <x v="5"/>
    <x v="4"/>
  </r>
  <r>
    <x v="270"/>
    <x v="5"/>
    <x v="33"/>
    <x v="9"/>
    <x v="3"/>
    <x v="3"/>
    <x v="5"/>
    <x v="5"/>
    <x v="5"/>
  </r>
  <r>
    <x v="270"/>
    <x v="6"/>
    <x v="33"/>
    <x v="9"/>
    <x v="3"/>
    <x v="3"/>
    <x v="5"/>
    <x v="5"/>
    <x v="6"/>
  </r>
  <r>
    <x v="270"/>
    <x v="7"/>
    <x v="33"/>
    <x v="9"/>
    <x v="3"/>
    <x v="3"/>
    <x v="5"/>
    <x v="5"/>
    <x v="7"/>
  </r>
  <r>
    <x v="270"/>
    <x v="8"/>
    <x v="33"/>
    <x v="9"/>
    <x v="3"/>
    <x v="3"/>
    <x v="5"/>
    <x v="5"/>
    <x v="8"/>
  </r>
  <r>
    <x v="270"/>
    <x v="9"/>
    <x v="33"/>
    <x v="9"/>
    <x v="3"/>
    <x v="3"/>
    <x v="5"/>
    <x v="5"/>
    <x v="9"/>
  </r>
  <r>
    <x v="271"/>
    <x v="2"/>
    <x v="34"/>
    <x v="9"/>
    <x v="3"/>
    <x v="3"/>
    <x v="2"/>
    <x v="5"/>
    <x v="2"/>
  </r>
  <r>
    <x v="271"/>
    <x v="3"/>
    <x v="34"/>
    <x v="9"/>
    <x v="3"/>
    <x v="3"/>
    <x v="3"/>
    <x v="5"/>
    <x v="3"/>
  </r>
  <r>
    <x v="271"/>
    <x v="4"/>
    <x v="34"/>
    <x v="9"/>
    <x v="3"/>
    <x v="3"/>
    <x v="7"/>
    <x v="5"/>
    <x v="4"/>
  </r>
  <r>
    <x v="271"/>
    <x v="5"/>
    <x v="34"/>
    <x v="9"/>
    <x v="3"/>
    <x v="3"/>
    <x v="5"/>
    <x v="5"/>
    <x v="5"/>
  </r>
  <r>
    <x v="271"/>
    <x v="6"/>
    <x v="34"/>
    <x v="9"/>
    <x v="3"/>
    <x v="3"/>
    <x v="5"/>
    <x v="5"/>
    <x v="6"/>
  </r>
  <r>
    <x v="271"/>
    <x v="7"/>
    <x v="34"/>
    <x v="9"/>
    <x v="3"/>
    <x v="3"/>
    <x v="5"/>
    <x v="5"/>
    <x v="7"/>
  </r>
  <r>
    <x v="271"/>
    <x v="8"/>
    <x v="34"/>
    <x v="9"/>
    <x v="3"/>
    <x v="3"/>
    <x v="5"/>
    <x v="5"/>
    <x v="8"/>
  </r>
  <r>
    <x v="271"/>
    <x v="9"/>
    <x v="34"/>
    <x v="9"/>
    <x v="3"/>
    <x v="3"/>
    <x v="5"/>
    <x v="5"/>
    <x v="9"/>
  </r>
  <r>
    <x v="272"/>
    <x v="2"/>
    <x v="44"/>
    <x v="9"/>
    <x v="3"/>
    <x v="3"/>
    <x v="2"/>
    <x v="5"/>
    <x v="2"/>
  </r>
  <r>
    <x v="272"/>
    <x v="3"/>
    <x v="44"/>
    <x v="9"/>
    <x v="3"/>
    <x v="3"/>
    <x v="3"/>
    <x v="5"/>
    <x v="3"/>
  </r>
  <r>
    <x v="272"/>
    <x v="4"/>
    <x v="44"/>
    <x v="9"/>
    <x v="3"/>
    <x v="3"/>
    <x v="7"/>
    <x v="5"/>
    <x v="4"/>
  </r>
  <r>
    <x v="272"/>
    <x v="5"/>
    <x v="44"/>
    <x v="9"/>
    <x v="3"/>
    <x v="3"/>
    <x v="5"/>
    <x v="5"/>
    <x v="5"/>
  </r>
  <r>
    <x v="272"/>
    <x v="6"/>
    <x v="44"/>
    <x v="9"/>
    <x v="3"/>
    <x v="3"/>
    <x v="5"/>
    <x v="5"/>
    <x v="6"/>
  </r>
  <r>
    <x v="272"/>
    <x v="7"/>
    <x v="44"/>
    <x v="9"/>
    <x v="3"/>
    <x v="3"/>
    <x v="5"/>
    <x v="5"/>
    <x v="7"/>
  </r>
  <r>
    <x v="272"/>
    <x v="8"/>
    <x v="44"/>
    <x v="9"/>
    <x v="3"/>
    <x v="3"/>
    <x v="5"/>
    <x v="5"/>
    <x v="8"/>
  </r>
  <r>
    <x v="272"/>
    <x v="9"/>
    <x v="44"/>
    <x v="9"/>
    <x v="3"/>
    <x v="3"/>
    <x v="5"/>
    <x v="5"/>
    <x v="9"/>
  </r>
  <r>
    <x v="273"/>
    <x v="2"/>
    <x v="57"/>
    <x v="9"/>
    <x v="3"/>
    <x v="3"/>
    <x v="2"/>
    <x v="5"/>
    <x v="2"/>
  </r>
  <r>
    <x v="273"/>
    <x v="3"/>
    <x v="57"/>
    <x v="9"/>
    <x v="3"/>
    <x v="3"/>
    <x v="3"/>
    <x v="5"/>
    <x v="3"/>
  </r>
  <r>
    <x v="273"/>
    <x v="4"/>
    <x v="57"/>
    <x v="9"/>
    <x v="3"/>
    <x v="3"/>
    <x v="7"/>
    <x v="5"/>
    <x v="4"/>
  </r>
  <r>
    <x v="273"/>
    <x v="5"/>
    <x v="57"/>
    <x v="9"/>
    <x v="3"/>
    <x v="3"/>
    <x v="5"/>
    <x v="5"/>
    <x v="5"/>
  </r>
  <r>
    <x v="273"/>
    <x v="6"/>
    <x v="57"/>
    <x v="9"/>
    <x v="3"/>
    <x v="3"/>
    <x v="5"/>
    <x v="5"/>
    <x v="6"/>
  </r>
  <r>
    <x v="273"/>
    <x v="7"/>
    <x v="57"/>
    <x v="9"/>
    <x v="3"/>
    <x v="3"/>
    <x v="5"/>
    <x v="5"/>
    <x v="7"/>
  </r>
  <r>
    <x v="273"/>
    <x v="8"/>
    <x v="57"/>
    <x v="9"/>
    <x v="3"/>
    <x v="3"/>
    <x v="5"/>
    <x v="5"/>
    <x v="8"/>
  </r>
  <r>
    <x v="273"/>
    <x v="9"/>
    <x v="57"/>
    <x v="9"/>
    <x v="3"/>
    <x v="3"/>
    <x v="5"/>
    <x v="5"/>
    <x v="9"/>
  </r>
  <r>
    <x v="274"/>
    <x v="2"/>
    <x v="2"/>
    <x v="10"/>
    <x v="2"/>
    <x v="2"/>
    <x v="2"/>
    <x v="2"/>
    <x v="2"/>
  </r>
  <r>
    <x v="274"/>
    <x v="3"/>
    <x v="2"/>
    <x v="10"/>
    <x v="2"/>
    <x v="2"/>
    <x v="3"/>
    <x v="2"/>
    <x v="3"/>
  </r>
  <r>
    <x v="274"/>
    <x v="4"/>
    <x v="2"/>
    <x v="10"/>
    <x v="2"/>
    <x v="2"/>
    <x v="4"/>
    <x v="2"/>
    <x v="4"/>
  </r>
  <r>
    <x v="274"/>
    <x v="5"/>
    <x v="2"/>
    <x v="10"/>
    <x v="2"/>
    <x v="2"/>
    <x v="5"/>
    <x v="2"/>
    <x v="5"/>
  </r>
  <r>
    <x v="274"/>
    <x v="6"/>
    <x v="2"/>
    <x v="10"/>
    <x v="2"/>
    <x v="2"/>
    <x v="6"/>
    <x v="2"/>
    <x v="6"/>
  </r>
  <r>
    <x v="274"/>
    <x v="7"/>
    <x v="2"/>
    <x v="10"/>
    <x v="2"/>
    <x v="2"/>
    <x v="6"/>
    <x v="2"/>
    <x v="7"/>
  </r>
  <r>
    <x v="274"/>
    <x v="8"/>
    <x v="2"/>
    <x v="10"/>
    <x v="2"/>
    <x v="2"/>
    <x v="6"/>
    <x v="2"/>
    <x v="8"/>
  </r>
  <r>
    <x v="274"/>
    <x v="9"/>
    <x v="2"/>
    <x v="10"/>
    <x v="2"/>
    <x v="2"/>
    <x v="6"/>
    <x v="2"/>
    <x v="9"/>
  </r>
  <r>
    <x v="275"/>
    <x v="2"/>
    <x v="3"/>
    <x v="10"/>
    <x v="2"/>
    <x v="2"/>
    <x v="2"/>
    <x v="2"/>
    <x v="2"/>
  </r>
  <r>
    <x v="275"/>
    <x v="3"/>
    <x v="3"/>
    <x v="10"/>
    <x v="2"/>
    <x v="2"/>
    <x v="3"/>
    <x v="2"/>
    <x v="3"/>
  </r>
  <r>
    <x v="275"/>
    <x v="4"/>
    <x v="3"/>
    <x v="10"/>
    <x v="2"/>
    <x v="2"/>
    <x v="4"/>
    <x v="2"/>
    <x v="4"/>
  </r>
  <r>
    <x v="275"/>
    <x v="5"/>
    <x v="3"/>
    <x v="10"/>
    <x v="2"/>
    <x v="2"/>
    <x v="5"/>
    <x v="2"/>
    <x v="5"/>
  </r>
  <r>
    <x v="275"/>
    <x v="6"/>
    <x v="3"/>
    <x v="10"/>
    <x v="2"/>
    <x v="2"/>
    <x v="6"/>
    <x v="2"/>
    <x v="6"/>
  </r>
  <r>
    <x v="275"/>
    <x v="7"/>
    <x v="3"/>
    <x v="10"/>
    <x v="2"/>
    <x v="2"/>
    <x v="6"/>
    <x v="2"/>
    <x v="7"/>
  </r>
  <r>
    <x v="275"/>
    <x v="8"/>
    <x v="3"/>
    <x v="10"/>
    <x v="2"/>
    <x v="2"/>
    <x v="6"/>
    <x v="2"/>
    <x v="8"/>
  </r>
  <r>
    <x v="275"/>
    <x v="9"/>
    <x v="3"/>
    <x v="10"/>
    <x v="2"/>
    <x v="2"/>
    <x v="6"/>
    <x v="2"/>
    <x v="9"/>
  </r>
  <r>
    <x v="276"/>
    <x v="2"/>
    <x v="4"/>
    <x v="10"/>
    <x v="2"/>
    <x v="2"/>
    <x v="2"/>
    <x v="2"/>
    <x v="2"/>
  </r>
  <r>
    <x v="276"/>
    <x v="3"/>
    <x v="4"/>
    <x v="10"/>
    <x v="2"/>
    <x v="2"/>
    <x v="3"/>
    <x v="2"/>
    <x v="3"/>
  </r>
  <r>
    <x v="276"/>
    <x v="4"/>
    <x v="4"/>
    <x v="10"/>
    <x v="2"/>
    <x v="2"/>
    <x v="4"/>
    <x v="2"/>
    <x v="4"/>
  </r>
  <r>
    <x v="276"/>
    <x v="5"/>
    <x v="4"/>
    <x v="10"/>
    <x v="2"/>
    <x v="2"/>
    <x v="5"/>
    <x v="2"/>
    <x v="5"/>
  </r>
  <r>
    <x v="276"/>
    <x v="6"/>
    <x v="4"/>
    <x v="10"/>
    <x v="2"/>
    <x v="2"/>
    <x v="6"/>
    <x v="2"/>
    <x v="6"/>
  </r>
  <r>
    <x v="276"/>
    <x v="7"/>
    <x v="4"/>
    <x v="10"/>
    <x v="2"/>
    <x v="2"/>
    <x v="6"/>
    <x v="2"/>
    <x v="7"/>
  </r>
  <r>
    <x v="276"/>
    <x v="8"/>
    <x v="4"/>
    <x v="10"/>
    <x v="2"/>
    <x v="2"/>
    <x v="6"/>
    <x v="2"/>
    <x v="8"/>
  </r>
  <r>
    <x v="276"/>
    <x v="9"/>
    <x v="4"/>
    <x v="10"/>
    <x v="2"/>
    <x v="2"/>
    <x v="6"/>
    <x v="2"/>
    <x v="9"/>
  </r>
  <r>
    <x v="277"/>
    <x v="2"/>
    <x v="5"/>
    <x v="10"/>
    <x v="2"/>
    <x v="2"/>
    <x v="2"/>
    <x v="2"/>
    <x v="2"/>
  </r>
  <r>
    <x v="277"/>
    <x v="3"/>
    <x v="5"/>
    <x v="10"/>
    <x v="2"/>
    <x v="2"/>
    <x v="3"/>
    <x v="2"/>
    <x v="3"/>
  </r>
  <r>
    <x v="277"/>
    <x v="4"/>
    <x v="5"/>
    <x v="10"/>
    <x v="2"/>
    <x v="2"/>
    <x v="4"/>
    <x v="2"/>
    <x v="4"/>
  </r>
  <r>
    <x v="277"/>
    <x v="5"/>
    <x v="5"/>
    <x v="10"/>
    <x v="2"/>
    <x v="2"/>
    <x v="5"/>
    <x v="2"/>
    <x v="5"/>
  </r>
  <r>
    <x v="277"/>
    <x v="6"/>
    <x v="5"/>
    <x v="10"/>
    <x v="2"/>
    <x v="2"/>
    <x v="6"/>
    <x v="2"/>
    <x v="6"/>
  </r>
  <r>
    <x v="277"/>
    <x v="7"/>
    <x v="5"/>
    <x v="10"/>
    <x v="2"/>
    <x v="2"/>
    <x v="6"/>
    <x v="2"/>
    <x v="7"/>
  </r>
  <r>
    <x v="277"/>
    <x v="8"/>
    <x v="5"/>
    <x v="10"/>
    <x v="2"/>
    <x v="2"/>
    <x v="6"/>
    <x v="2"/>
    <x v="8"/>
  </r>
  <r>
    <x v="277"/>
    <x v="9"/>
    <x v="5"/>
    <x v="10"/>
    <x v="2"/>
    <x v="2"/>
    <x v="6"/>
    <x v="2"/>
    <x v="9"/>
  </r>
  <r>
    <x v="278"/>
    <x v="2"/>
    <x v="6"/>
    <x v="10"/>
    <x v="2"/>
    <x v="2"/>
    <x v="2"/>
    <x v="2"/>
    <x v="2"/>
  </r>
  <r>
    <x v="278"/>
    <x v="3"/>
    <x v="6"/>
    <x v="10"/>
    <x v="2"/>
    <x v="2"/>
    <x v="3"/>
    <x v="2"/>
    <x v="3"/>
  </r>
  <r>
    <x v="278"/>
    <x v="4"/>
    <x v="6"/>
    <x v="10"/>
    <x v="2"/>
    <x v="2"/>
    <x v="4"/>
    <x v="2"/>
    <x v="4"/>
  </r>
  <r>
    <x v="278"/>
    <x v="5"/>
    <x v="6"/>
    <x v="10"/>
    <x v="2"/>
    <x v="2"/>
    <x v="5"/>
    <x v="2"/>
    <x v="5"/>
  </r>
  <r>
    <x v="278"/>
    <x v="6"/>
    <x v="6"/>
    <x v="10"/>
    <x v="2"/>
    <x v="2"/>
    <x v="6"/>
    <x v="2"/>
    <x v="6"/>
  </r>
  <r>
    <x v="278"/>
    <x v="7"/>
    <x v="6"/>
    <x v="10"/>
    <x v="2"/>
    <x v="2"/>
    <x v="6"/>
    <x v="2"/>
    <x v="7"/>
  </r>
  <r>
    <x v="278"/>
    <x v="8"/>
    <x v="6"/>
    <x v="10"/>
    <x v="2"/>
    <x v="2"/>
    <x v="6"/>
    <x v="2"/>
    <x v="8"/>
  </r>
  <r>
    <x v="278"/>
    <x v="9"/>
    <x v="6"/>
    <x v="10"/>
    <x v="2"/>
    <x v="2"/>
    <x v="6"/>
    <x v="2"/>
    <x v="9"/>
  </r>
  <r>
    <x v="279"/>
    <x v="2"/>
    <x v="9"/>
    <x v="10"/>
    <x v="2"/>
    <x v="2"/>
    <x v="3"/>
    <x v="5"/>
    <x v="2"/>
  </r>
  <r>
    <x v="279"/>
    <x v="3"/>
    <x v="9"/>
    <x v="10"/>
    <x v="2"/>
    <x v="2"/>
    <x v="4"/>
    <x v="5"/>
    <x v="3"/>
  </r>
  <r>
    <x v="279"/>
    <x v="4"/>
    <x v="9"/>
    <x v="10"/>
    <x v="2"/>
    <x v="2"/>
    <x v="5"/>
    <x v="5"/>
    <x v="4"/>
  </r>
  <r>
    <x v="279"/>
    <x v="5"/>
    <x v="9"/>
    <x v="10"/>
    <x v="2"/>
    <x v="2"/>
    <x v="6"/>
    <x v="5"/>
    <x v="5"/>
  </r>
  <r>
    <x v="279"/>
    <x v="6"/>
    <x v="9"/>
    <x v="10"/>
    <x v="2"/>
    <x v="2"/>
    <x v="6"/>
    <x v="5"/>
    <x v="6"/>
  </r>
  <r>
    <x v="279"/>
    <x v="7"/>
    <x v="9"/>
    <x v="10"/>
    <x v="2"/>
    <x v="2"/>
    <x v="6"/>
    <x v="5"/>
    <x v="7"/>
  </r>
  <r>
    <x v="279"/>
    <x v="8"/>
    <x v="9"/>
    <x v="10"/>
    <x v="2"/>
    <x v="2"/>
    <x v="6"/>
    <x v="5"/>
    <x v="8"/>
  </r>
  <r>
    <x v="279"/>
    <x v="9"/>
    <x v="9"/>
    <x v="10"/>
    <x v="2"/>
    <x v="2"/>
    <x v="6"/>
    <x v="5"/>
    <x v="9"/>
  </r>
  <r>
    <x v="280"/>
    <x v="2"/>
    <x v="10"/>
    <x v="10"/>
    <x v="2"/>
    <x v="2"/>
    <x v="3"/>
    <x v="5"/>
    <x v="2"/>
  </r>
  <r>
    <x v="280"/>
    <x v="3"/>
    <x v="10"/>
    <x v="10"/>
    <x v="2"/>
    <x v="2"/>
    <x v="4"/>
    <x v="5"/>
    <x v="3"/>
  </r>
  <r>
    <x v="280"/>
    <x v="4"/>
    <x v="10"/>
    <x v="10"/>
    <x v="2"/>
    <x v="2"/>
    <x v="5"/>
    <x v="5"/>
    <x v="4"/>
  </r>
  <r>
    <x v="280"/>
    <x v="5"/>
    <x v="10"/>
    <x v="10"/>
    <x v="2"/>
    <x v="2"/>
    <x v="6"/>
    <x v="5"/>
    <x v="5"/>
  </r>
  <r>
    <x v="280"/>
    <x v="6"/>
    <x v="10"/>
    <x v="10"/>
    <x v="2"/>
    <x v="2"/>
    <x v="6"/>
    <x v="5"/>
    <x v="6"/>
  </r>
  <r>
    <x v="280"/>
    <x v="7"/>
    <x v="10"/>
    <x v="10"/>
    <x v="2"/>
    <x v="2"/>
    <x v="6"/>
    <x v="5"/>
    <x v="7"/>
  </r>
  <r>
    <x v="280"/>
    <x v="8"/>
    <x v="10"/>
    <x v="10"/>
    <x v="2"/>
    <x v="2"/>
    <x v="6"/>
    <x v="5"/>
    <x v="8"/>
  </r>
  <r>
    <x v="280"/>
    <x v="9"/>
    <x v="10"/>
    <x v="10"/>
    <x v="2"/>
    <x v="2"/>
    <x v="6"/>
    <x v="5"/>
    <x v="9"/>
  </r>
  <r>
    <x v="281"/>
    <x v="2"/>
    <x v="11"/>
    <x v="10"/>
    <x v="2"/>
    <x v="2"/>
    <x v="3"/>
    <x v="5"/>
    <x v="2"/>
  </r>
  <r>
    <x v="281"/>
    <x v="3"/>
    <x v="11"/>
    <x v="10"/>
    <x v="2"/>
    <x v="2"/>
    <x v="4"/>
    <x v="5"/>
    <x v="3"/>
  </r>
  <r>
    <x v="281"/>
    <x v="4"/>
    <x v="11"/>
    <x v="10"/>
    <x v="2"/>
    <x v="2"/>
    <x v="5"/>
    <x v="5"/>
    <x v="4"/>
  </r>
  <r>
    <x v="281"/>
    <x v="5"/>
    <x v="11"/>
    <x v="10"/>
    <x v="2"/>
    <x v="2"/>
    <x v="6"/>
    <x v="5"/>
    <x v="5"/>
  </r>
  <r>
    <x v="281"/>
    <x v="6"/>
    <x v="11"/>
    <x v="10"/>
    <x v="2"/>
    <x v="2"/>
    <x v="6"/>
    <x v="5"/>
    <x v="6"/>
  </r>
  <r>
    <x v="281"/>
    <x v="7"/>
    <x v="11"/>
    <x v="10"/>
    <x v="2"/>
    <x v="2"/>
    <x v="6"/>
    <x v="5"/>
    <x v="7"/>
  </r>
  <r>
    <x v="281"/>
    <x v="8"/>
    <x v="11"/>
    <x v="10"/>
    <x v="2"/>
    <x v="2"/>
    <x v="6"/>
    <x v="5"/>
    <x v="8"/>
  </r>
  <r>
    <x v="281"/>
    <x v="9"/>
    <x v="11"/>
    <x v="10"/>
    <x v="2"/>
    <x v="2"/>
    <x v="6"/>
    <x v="5"/>
    <x v="9"/>
  </r>
  <r>
    <x v="282"/>
    <x v="2"/>
    <x v="12"/>
    <x v="10"/>
    <x v="2"/>
    <x v="2"/>
    <x v="3"/>
    <x v="5"/>
    <x v="2"/>
  </r>
  <r>
    <x v="282"/>
    <x v="3"/>
    <x v="12"/>
    <x v="10"/>
    <x v="2"/>
    <x v="2"/>
    <x v="4"/>
    <x v="5"/>
    <x v="3"/>
  </r>
  <r>
    <x v="282"/>
    <x v="4"/>
    <x v="12"/>
    <x v="10"/>
    <x v="2"/>
    <x v="2"/>
    <x v="5"/>
    <x v="5"/>
    <x v="4"/>
  </r>
  <r>
    <x v="282"/>
    <x v="5"/>
    <x v="12"/>
    <x v="10"/>
    <x v="2"/>
    <x v="2"/>
    <x v="6"/>
    <x v="5"/>
    <x v="5"/>
  </r>
  <r>
    <x v="282"/>
    <x v="6"/>
    <x v="12"/>
    <x v="10"/>
    <x v="2"/>
    <x v="2"/>
    <x v="6"/>
    <x v="5"/>
    <x v="6"/>
  </r>
  <r>
    <x v="282"/>
    <x v="7"/>
    <x v="12"/>
    <x v="10"/>
    <x v="2"/>
    <x v="2"/>
    <x v="6"/>
    <x v="5"/>
    <x v="7"/>
  </r>
  <r>
    <x v="282"/>
    <x v="8"/>
    <x v="12"/>
    <x v="10"/>
    <x v="2"/>
    <x v="2"/>
    <x v="6"/>
    <x v="5"/>
    <x v="8"/>
  </r>
  <r>
    <x v="282"/>
    <x v="9"/>
    <x v="12"/>
    <x v="10"/>
    <x v="2"/>
    <x v="2"/>
    <x v="6"/>
    <x v="5"/>
    <x v="9"/>
  </r>
  <r>
    <x v="283"/>
    <x v="2"/>
    <x v="13"/>
    <x v="10"/>
    <x v="2"/>
    <x v="2"/>
    <x v="3"/>
    <x v="5"/>
    <x v="2"/>
  </r>
  <r>
    <x v="283"/>
    <x v="3"/>
    <x v="13"/>
    <x v="10"/>
    <x v="2"/>
    <x v="2"/>
    <x v="4"/>
    <x v="5"/>
    <x v="3"/>
  </r>
  <r>
    <x v="283"/>
    <x v="4"/>
    <x v="13"/>
    <x v="10"/>
    <x v="2"/>
    <x v="2"/>
    <x v="5"/>
    <x v="5"/>
    <x v="4"/>
  </r>
  <r>
    <x v="283"/>
    <x v="5"/>
    <x v="13"/>
    <x v="10"/>
    <x v="2"/>
    <x v="2"/>
    <x v="6"/>
    <x v="5"/>
    <x v="5"/>
  </r>
  <r>
    <x v="283"/>
    <x v="6"/>
    <x v="13"/>
    <x v="10"/>
    <x v="2"/>
    <x v="2"/>
    <x v="6"/>
    <x v="5"/>
    <x v="6"/>
  </r>
  <r>
    <x v="283"/>
    <x v="7"/>
    <x v="13"/>
    <x v="10"/>
    <x v="2"/>
    <x v="2"/>
    <x v="6"/>
    <x v="5"/>
    <x v="7"/>
  </r>
  <r>
    <x v="283"/>
    <x v="8"/>
    <x v="13"/>
    <x v="10"/>
    <x v="2"/>
    <x v="2"/>
    <x v="6"/>
    <x v="5"/>
    <x v="8"/>
  </r>
  <r>
    <x v="283"/>
    <x v="9"/>
    <x v="13"/>
    <x v="10"/>
    <x v="2"/>
    <x v="2"/>
    <x v="6"/>
    <x v="5"/>
    <x v="9"/>
  </r>
  <r>
    <x v="284"/>
    <x v="2"/>
    <x v="14"/>
    <x v="10"/>
    <x v="2"/>
    <x v="2"/>
    <x v="6"/>
    <x v="3"/>
    <x v="2"/>
  </r>
  <r>
    <x v="284"/>
    <x v="3"/>
    <x v="14"/>
    <x v="10"/>
    <x v="2"/>
    <x v="2"/>
    <x v="6"/>
    <x v="3"/>
    <x v="3"/>
  </r>
  <r>
    <x v="284"/>
    <x v="4"/>
    <x v="14"/>
    <x v="10"/>
    <x v="2"/>
    <x v="2"/>
    <x v="6"/>
    <x v="3"/>
    <x v="4"/>
  </r>
  <r>
    <x v="284"/>
    <x v="5"/>
    <x v="14"/>
    <x v="10"/>
    <x v="2"/>
    <x v="2"/>
    <x v="6"/>
    <x v="3"/>
    <x v="5"/>
  </r>
  <r>
    <x v="284"/>
    <x v="6"/>
    <x v="14"/>
    <x v="10"/>
    <x v="2"/>
    <x v="2"/>
    <x v="6"/>
    <x v="3"/>
    <x v="6"/>
  </r>
  <r>
    <x v="284"/>
    <x v="7"/>
    <x v="14"/>
    <x v="10"/>
    <x v="2"/>
    <x v="2"/>
    <x v="6"/>
    <x v="3"/>
    <x v="7"/>
  </r>
  <r>
    <x v="284"/>
    <x v="8"/>
    <x v="14"/>
    <x v="10"/>
    <x v="2"/>
    <x v="2"/>
    <x v="6"/>
    <x v="3"/>
    <x v="8"/>
  </r>
  <r>
    <x v="284"/>
    <x v="9"/>
    <x v="14"/>
    <x v="10"/>
    <x v="2"/>
    <x v="2"/>
    <x v="6"/>
    <x v="3"/>
    <x v="9"/>
  </r>
  <r>
    <x v="285"/>
    <x v="2"/>
    <x v="15"/>
    <x v="10"/>
    <x v="2"/>
    <x v="2"/>
    <x v="6"/>
    <x v="3"/>
    <x v="2"/>
  </r>
  <r>
    <x v="285"/>
    <x v="3"/>
    <x v="15"/>
    <x v="10"/>
    <x v="2"/>
    <x v="2"/>
    <x v="6"/>
    <x v="3"/>
    <x v="3"/>
  </r>
  <r>
    <x v="285"/>
    <x v="4"/>
    <x v="15"/>
    <x v="10"/>
    <x v="2"/>
    <x v="2"/>
    <x v="6"/>
    <x v="3"/>
    <x v="4"/>
  </r>
  <r>
    <x v="285"/>
    <x v="5"/>
    <x v="15"/>
    <x v="10"/>
    <x v="2"/>
    <x v="2"/>
    <x v="6"/>
    <x v="3"/>
    <x v="5"/>
  </r>
  <r>
    <x v="285"/>
    <x v="6"/>
    <x v="15"/>
    <x v="10"/>
    <x v="2"/>
    <x v="2"/>
    <x v="6"/>
    <x v="3"/>
    <x v="6"/>
  </r>
  <r>
    <x v="285"/>
    <x v="7"/>
    <x v="15"/>
    <x v="10"/>
    <x v="2"/>
    <x v="2"/>
    <x v="6"/>
    <x v="3"/>
    <x v="7"/>
  </r>
  <r>
    <x v="285"/>
    <x v="8"/>
    <x v="15"/>
    <x v="10"/>
    <x v="2"/>
    <x v="2"/>
    <x v="6"/>
    <x v="3"/>
    <x v="8"/>
  </r>
  <r>
    <x v="285"/>
    <x v="9"/>
    <x v="15"/>
    <x v="10"/>
    <x v="2"/>
    <x v="2"/>
    <x v="6"/>
    <x v="3"/>
    <x v="9"/>
  </r>
  <r>
    <x v="286"/>
    <x v="2"/>
    <x v="16"/>
    <x v="10"/>
    <x v="2"/>
    <x v="2"/>
    <x v="6"/>
    <x v="3"/>
    <x v="2"/>
  </r>
  <r>
    <x v="286"/>
    <x v="3"/>
    <x v="16"/>
    <x v="10"/>
    <x v="2"/>
    <x v="2"/>
    <x v="6"/>
    <x v="3"/>
    <x v="3"/>
  </r>
  <r>
    <x v="286"/>
    <x v="4"/>
    <x v="16"/>
    <x v="10"/>
    <x v="2"/>
    <x v="2"/>
    <x v="6"/>
    <x v="3"/>
    <x v="4"/>
  </r>
  <r>
    <x v="286"/>
    <x v="5"/>
    <x v="16"/>
    <x v="10"/>
    <x v="2"/>
    <x v="2"/>
    <x v="6"/>
    <x v="3"/>
    <x v="5"/>
  </r>
  <r>
    <x v="286"/>
    <x v="6"/>
    <x v="16"/>
    <x v="10"/>
    <x v="2"/>
    <x v="2"/>
    <x v="6"/>
    <x v="3"/>
    <x v="6"/>
  </r>
  <r>
    <x v="286"/>
    <x v="7"/>
    <x v="16"/>
    <x v="10"/>
    <x v="2"/>
    <x v="2"/>
    <x v="6"/>
    <x v="3"/>
    <x v="7"/>
  </r>
  <r>
    <x v="286"/>
    <x v="8"/>
    <x v="16"/>
    <x v="10"/>
    <x v="2"/>
    <x v="2"/>
    <x v="6"/>
    <x v="3"/>
    <x v="8"/>
  </r>
  <r>
    <x v="286"/>
    <x v="9"/>
    <x v="16"/>
    <x v="10"/>
    <x v="2"/>
    <x v="2"/>
    <x v="6"/>
    <x v="3"/>
    <x v="9"/>
  </r>
  <r>
    <x v="287"/>
    <x v="2"/>
    <x v="17"/>
    <x v="10"/>
    <x v="3"/>
    <x v="3"/>
    <x v="6"/>
    <x v="3"/>
    <x v="2"/>
  </r>
  <r>
    <x v="287"/>
    <x v="3"/>
    <x v="17"/>
    <x v="10"/>
    <x v="3"/>
    <x v="3"/>
    <x v="6"/>
    <x v="3"/>
    <x v="3"/>
  </r>
  <r>
    <x v="287"/>
    <x v="4"/>
    <x v="17"/>
    <x v="10"/>
    <x v="3"/>
    <x v="3"/>
    <x v="6"/>
    <x v="3"/>
    <x v="4"/>
  </r>
  <r>
    <x v="287"/>
    <x v="5"/>
    <x v="17"/>
    <x v="10"/>
    <x v="3"/>
    <x v="3"/>
    <x v="6"/>
    <x v="3"/>
    <x v="5"/>
  </r>
  <r>
    <x v="287"/>
    <x v="6"/>
    <x v="17"/>
    <x v="10"/>
    <x v="3"/>
    <x v="3"/>
    <x v="6"/>
    <x v="3"/>
    <x v="6"/>
  </r>
  <r>
    <x v="287"/>
    <x v="7"/>
    <x v="17"/>
    <x v="10"/>
    <x v="3"/>
    <x v="3"/>
    <x v="6"/>
    <x v="3"/>
    <x v="7"/>
  </r>
  <r>
    <x v="287"/>
    <x v="8"/>
    <x v="17"/>
    <x v="10"/>
    <x v="3"/>
    <x v="3"/>
    <x v="6"/>
    <x v="3"/>
    <x v="8"/>
  </r>
  <r>
    <x v="287"/>
    <x v="9"/>
    <x v="17"/>
    <x v="10"/>
    <x v="3"/>
    <x v="3"/>
    <x v="6"/>
    <x v="3"/>
    <x v="9"/>
  </r>
  <r>
    <x v="288"/>
    <x v="2"/>
    <x v="26"/>
    <x v="10"/>
    <x v="3"/>
    <x v="3"/>
    <x v="3"/>
    <x v="3"/>
    <x v="2"/>
  </r>
  <r>
    <x v="288"/>
    <x v="3"/>
    <x v="26"/>
    <x v="10"/>
    <x v="3"/>
    <x v="3"/>
    <x v="4"/>
    <x v="3"/>
    <x v="3"/>
  </r>
  <r>
    <x v="288"/>
    <x v="4"/>
    <x v="26"/>
    <x v="10"/>
    <x v="3"/>
    <x v="3"/>
    <x v="5"/>
    <x v="3"/>
    <x v="4"/>
  </r>
  <r>
    <x v="288"/>
    <x v="5"/>
    <x v="26"/>
    <x v="10"/>
    <x v="3"/>
    <x v="3"/>
    <x v="6"/>
    <x v="3"/>
    <x v="5"/>
  </r>
  <r>
    <x v="288"/>
    <x v="6"/>
    <x v="26"/>
    <x v="10"/>
    <x v="3"/>
    <x v="3"/>
    <x v="6"/>
    <x v="3"/>
    <x v="6"/>
  </r>
  <r>
    <x v="288"/>
    <x v="7"/>
    <x v="26"/>
    <x v="10"/>
    <x v="3"/>
    <x v="3"/>
    <x v="6"/>
    <x v="3"/>
    <x v="7"/>
  </r>
  <r>
    <x v="288"/>
    <x v="8"/>
    <x v="26"/>
    <x v="10"/>
    <x v="3"/>
    <x v="3"/>
    <x v="6"/>
    <x v="3"/>
    <x v="8"/>
  </r>
  <r>
    <x v="288"/>
    <x v="9"/>
    <x v="26"/>
    <x v="10"/>
    <x v="3"/>
    <x v="3"/>
    <x v="6"/>
    <x v="3"/>
    <x v="9"/>
  </r>
  <r>
    <x v="289"/>
    <x v="2"/>
    <x v="27"/>
    <x v="10"/>
    <x v="3"/>
    <x v="3"/>
    <x v="3"/>
    <x v="3"/>
    <x v="2"/>
  </r>
  <r>
    <x v="289"/>
    <x v="3"/>
    <x v="27"/>
    <x v="10"/>
    <x v="3"/>
    <x v="3"/>
    <x v="4"/>
    <x v="3"/>
    <x v="3"/>
  </r>
  <r>
    <x v="289"/>
    <x v="4"/>
    <x v="27"/>
    <x v="10"/>
    <x v="3"/>
    <x v="3"/>
    <x v="5"/>
    <x v="3"/>
    <x v="4"/>
  </r>
  <r>
    <x v="289"/>
    <x v="5"/>
    <x v="27"/>
    <x v="10"/>
    <x v="3"/>
    <x v="3"/>
    <x v="6"/>
    <x v="3"/>
    <x v="5"/>
  </r>
  <r>
    <x v="289"/>
    <x v="6"/>
    <x v="27"/>
    <x v="10"/>
    <x v="3"/>
    <x v="3"/>
    <x v="6"/>
    <x v="3"/>
    <x v="6"/>
  </r>
  <r>
    <x v="289"/>
    <x v="7"/>
    <x v="27"/>
    <x v="10"/>
    <x v="3"/>
    <x v="3"/>
    <x v="6"/>
    <x v="3"/>
    <x v="7"/>
  </r>
  <r>
    <x v="289"/>
    <x v="8"/>
    <x v="27"/>
    <x v="10"/>
    <x v="3"/>
    <x v="3"/>
    <x v="6"/>
    <x v="3"/>
    <x v="8"/>
  </r>
  <r>
    <x v="289"/>
    <x v="9"/>
    <x v="27"/>
    <x v="10"/>
    <x v="3"/>
    <x v="3"/>
    <x v="6"/>
    <x v="3"/>
    <x v="9"/>
  </r>
  <r>
    <x v="290"/>
    <x v="2"/>
    <x v="28"/>
    <x v="10"/>
    <x v="3"/>
    <x v="3"/>
    <x v="3"/>
    <x v="3"/>
    <x v="2"/>
  </r>
  <r>
    <x v="290"/>
    <x v="3"/>
    <x v="28"/>
    <x v="10"/>
    <x v="3"/>
    <x v="3"/>
    <x v="4"/>
    <x v="3"/>
    <x v="3"/>
  </r>
  <r>
    <x v="290"/>
    <x v="4"/>
    <x v="28"/>
    <x v="10"/>
    <x v="3"/>
    <x v="3"/>
    <x v="5"/>
    <x v="3"/>
    <x v="4"/>
  </r>
  <r>
    <x v="290"/>
    <x v="5"/>
    <x v="28"/>
    <x v="10"/>
    <x v="3"/>
    <x v="3"/>
    <x v="6"/>
    <x v="3"/>
    <x v="5"/>
  </r>
  <r>
    <x v="290"/>
    <x v="6"/>
    <x v="28"/>
    <x v="10"/>
    <x v="3"/>
    <x v="3"/>
    <x v="6"/>
    <x v="3"/>
    <x v="6"/>
  </r>
  <r>
    <x v="290"/>
    <x v="7"/>
    <x v="28"/>
    <x v="10"/>
    <x v="3"/>
    <x v="3"/>
    <x v="6"/>
    <x v="3"/>
    <x v="7"/>
  </r>
  <r>
    <x v="290"/>
    <x v="8"/>
    <x v="28"/>
    <x v="10"/>
    <x v="3"/>
    <x v="3"/>
    <x v="6"/>
    <x v="3"/>
    <x v="8"/>
  </r>
  <r>
    <x v="290"/>
    <x v="9"/>
    <x v="28"/>
    <x v="10"/>
    <x v="3"/>
    <x v="3"/>
    <x v="6"/>
    <x v="3"/>
    <x v="9"/>
  </r>
  <r>
    <x v="291"/>
    <x v="2"/>
    <x v="29"/>
    <x v="10"/>
    <x v="3"/>
    <x v="3"/>
    <x v="3"/>
    <x v="3"/>
    <x v="2"/>
  </r>
  <r>
    <x v="291"/>
    <x v="3"/>
    <x v="29"/>
    <x v="10"/>
    <x v="3"/>
    <x v="3"/>
    <x v="4"/>
    <x v="3"/>
    <x v="3"/>
  </r>
  <r>
    <x v="291"/>
    <x v="4"/>
    <x v="29"/>
    <x v="10"/>
    <x v="3"/>
    <x v="3"/>
    <x v="5"/>
    <x v="3"/>
    <x v="4"/>
  </r>
  <r>
    <x v="291"/>
    <x v="5"/>
    <x v="29"/>
    <x v="10"/>
    <x v="3"/>
    <x v="3"/>
    <x v="6"/>
    <x v="3"/>
    <x v="5"/>
  </r>
  <r>
    <x v="291"/>
    <x v="6"/>
    <x v="29"/>
    <x v="10"/>
    <x v="3"/>
    <x v="3"/>
    <x v="6"/>
    <x v="3"/>
    <x v="6"/>
  </r>
  <r>
    <x v="291"/>
    <x v="7"/>
    <x v="29"/>
    <x v="10"/>
    <x v="3"/>
    <x v="3"/>
    <x v="6"/>
    <x v="3"/>
    <x v="7"/>
  </r>
  <r>
    <x v="291"/>
    <x v="8"/>
    <x v="29"/>
    <x v="10"/>
    <x v="3"/>
    <x v="3"/>
    <x v="6"/>
    <x v="3"/>
    <x v="8"/>
  </r>
  <r>
    <x v="291"/>
    <x v="9"/>
    <x v="29"/>
    <x v="10"/>
    <x v="3"/>
    <x v="3"/>
    <x v="6"/>
    <x v="3"/>
    <x v="9"/>
  </r>
  <r>
    <x v="292"/>
    <x v="2"/>
    <x v="30"/>
    <x v="10"/>
    <x v="3"/>
    <x v="3"/>
    <x v="3"/>
    <x v="3"/>
    <x v="2"/>
  </r>
  <r>
    <x v="292"/>
    <x v="3"/>
    <x v="30"/>
    <x v="10"/>
    <x v="3"/>
    <x v="3"/>
    <x v="4"/>
    <x v="3"/>
    <x v="3"/>
  </r>
  <r>
    <x v="292"/>
    <x v="4"/>
    <x v="30"/>
    <x v="10"/>
    <x v="3"/>
    <x v="3"/>
    <x v="5"/>
    <x v="3"/>
    <x v="4"/>
  </r>
  <r>
    <x v="292"/>
    <x v="5"/>
    <x v="30"/>
    <x v="10"/>
    <x v="3"/>
    <x v="3"/>
    <x v="6"/>
    <x v="3"/>
    <x v="5"/>
  </r>
  <r>
    <x v="292"/>
    <x v="6"/>
    <x v="30"/>
    <x v="10"/>
    <x v="3"/>
    <x v="3"/>
    <x v="6"/>
    <x v="3"/>
    <x v="6"/>
  </r>
  <r>
    <x v="292"/>
    <x v="7"/>
    <x v="30"/>
    <x v="10"/>
    <x v="3"/>
    <x v="3"/>
    <x v="6"/>
    <x v="3"/>
    <x v="7"/>
  </r>
  <r>
    <x v="292"/>
    <x v="8"/>
    <x v="30"/>
    <x v="10"/>
    <x v="3"/>
    <x v="3"/>
    <x v="6"/>
    <x v="3"/>
    <x v="8"/>
  </r>
  <r>
    <x v="292"/>
    <x v="9"/>
    <x v="30"/>
    <x v="10"/>
    <x v="3"/>
    <x v="3"/>
    <x v="6"/>
    <x v="3"/>
    <x v="9"/>
  </r>
  <r>
    <x v="293"/>
    <x v="2"/>
    <x v="31"/>
    <x v="10"/>
    <x v="3"/>
    <x v="3"/>
    <x v="3"/>
    <x v="3"/>
    <x v="2"/>
  </r>
  <r>
    <x v="293"/>
    <x v="3"/>
    <x v="31"/>
    <x v="10"/>
    <x v="3"/>
    <x v="3"/>
    <x v="4"/>
    <x v="3"/>
    <x v="3"/>
  </r>
  <r>
    <x v="293"/>
    <x v="4"/>
    <x v="31"/>
    <x v="10"/>
    <x v="3"/>
    <x v="3"/>
    <x v="5"/>
    <x v="3"/>
    <x v="4"/>
  </r>
  <r>
    <x v="293"/>
    <x v="5"/>
    <x v="31"/>
    <x v="10"/>
    <x v="3"/>
    <x v="3"/>
    <x v="6"/>
    <x v="3"/>
    <x v="5"/>
  </r>
  <r>
    <x v="293"/>
    <x v="6"/>
    <x v="31"/>
    <x v="10"/>
    <x v="3"/>
    <x v="3"/>
    <x v="6"/>
    <x v="3"/>
    <x v="6"/>
  </r>
  <r>
    <x v="293"/>
    <x v="7"/>
    <x v="31"/>
    <x v="10"/>
    <x v="3"/>
    <x v="3"/>
    <x v="6"/>
    <x v="3"/>
    <x v="7"/>
  </r>
  <r>
    <x v="293"/>
    <x v="8"/>
    <x v="31"/>
    <x v="10"/>
    <x v="3"/>
    <x v="3"/>
    <x v="6"/>
    <x v="3"/>
    <x v="8"/>
  </r>
  <r>
    <x v="293"/>
    <x v="9"/>
    <x v="31"/>
    <x v="10"/>
    <x v="3"/>
    <x v="3"/>
    <x v="6"/>
    <x v="3"/>
    <x v="9"/>
  </r>
  <r>
    <x v="294"/>
    <x v="2"/>
    <x v="32"/>
    <x v="10"/>
    <x v="3"/>
    <x v="3"/>
    <x v="3"/>
    <x v="3"/>
    <x v="2"/>
  </r>
  <r>
    <x v="294"/>
    <x v="3"/>
    <x v="32"/>
    <x v="10"/>
    <x v="3"/>
    <x v="3"/>
    <x v="4"/>
    <x v="3"/>
    <x v="3"/>
  </r>
  <r>
    <x v="294"/>
    <x v="4"/>
    <x v="32"/>
    <x v="10"/>
    <x v="3"/>
    <x v="3"/>
    <x v="5"/>
    <x v="3"/>
    <x v="4"/>
  </r>
  <r>
    <x v="294"/>
    <x v="5"/>
    <x v="32"/>
    <x v="10"/>
    <x v="3"/>
    <x v="3"/>
    <x v="6"/>
    <x v="3"/>
    <x v="5"/>
  </r>
  <r>
    <x v="294"/>
    <x v="6"/>
    <x v="32"/>
    <x v="10"/>
    <x v="3"/>
    <x v="3"/>
    <x v="6"/>
    <x v="3"/>
    <x v="6"/>
  </r>
  <r>
    <x v="294"/>
    <x v="7"/>
    <x v="32"/>
    <x v="10"/>
    <x v="3"/>
    <x v="3"/>
    <x v="6"/>
    <x v="3"/>
    <x v="7"/>
  </r>
  <r>
    <x v="294"/>
    <x v="8"/>
    <x v="32"/>
    <x v="10"/>
    <x v="3"/>
    <x v="3"/>
    <x v="6"/>
    <x v="3"/>
    <x v="8"/>
  </r>
  <r>
    <x v="294"/>
    <x v="9"/>
    <x v="32"/>
    <x v="10"/>
    <x v="3"/>
    <x v="3"/>
    <x v="6"/>
    <x v="3"/>
    <x v="9"/>
  </r>
  <r>
    <x v="295"/>
    <x v="2"/>
    <x v="33"/>
    <x v="10"/>
    <x v="3"/>
    <x v="3"/>
    <x v="3"/>
    <x v="3"/>
    <x v="2"/>
  </r>
  <r>
    <x v="295"/>
    <x v="3"/>
    <x v="33"/>
    <x v="10"/>
    <x v="3"/>
    <x v="3"/>
    <x v="4"/>
    <x v="3"/>
    <x v="3"/>
  </r>
  <r>
    <x v="295"/>
    <x v="4"/>
    <x v="33"/>
    <x v="10"/>
    <x v="3"/>
    <x v="3"/>
    <x v="5"/>
    <x v="3"/>
    <x v="4"/>
  </r>
  <r>
    <x v="295"/>
    <x v="5"/>
    <x v="33"/>
    <x v="10"/>
    <x v="3"/>
    <x v="3"/>
    <x v="6"/>
    <x v="3"/>
    <x v="5"/>
  </r>
  <r>
    <x v="295"/>
    <x v="6"/>
    <x v="33"/>
    <x v="10"/>
    <x v="3"/>
    <x v="3"/>
    <x v="6"/>
    <x v="3"/>
    <x v="6"/>
  </r>
  <r>
    <x v="295"/>
    <x v="7"/>
    <x v="33"/>
    <x v="10"/>
    <x v="3"/>
    <x v="3"/>
    <x v="6"/>
    <x v="3"/>
    <x v="7"/>
  </r>
  <r>
    <x v="295"/>
    <x v="8"/>
    <x v="33"/>
    <x v="10"/>
    <x v="3"/>
    <x v="3"/>
    <x v="6"/>
    <x v="3"/>
    <x v="8"/>
  </r>
  <r>
    <x v="295"/>
    <x v="9"/>
    <x v="33"/>
    <x v="10"/>
    <x v="3"/>
    <x v="3"/>
    <x v="6"/>
    <x v="3"/>
    <x v="9"/>
  </r>
  <r>
    <x v="296"/>
    <x v="2"/>
    <x v="34"/>
    <x v="10"/>
    <x v="3"/>
    <x v="3"/>
    <x v="3"/>
    <x v="3"/>
    <x v="2"/>
  </r>
  <r>
    <x v="296"/>
    <x v="3"/>
    <x v="34"/>
    <x v="10"/>
    <x v="3"/>
    <x v="3"/>
    <x v="4"/>
    <x v="3"/>
    <x v="3"/>
  </r>
  <r>
    <x v="296"/>
    <x v="4"/>
    <x v="34"/>
    <x v="10"/>
    <x v="3"/>
    <x v="3"/>
    <x v="5"/>
    <x v="3"/>
    <x v="4"/>
  </r>
  <r>
    <x v="296"/>
    <x v="5"/>
    <x v="34"/>
    <x v="10"/>
    <x v="3"/>
    <x v="3"/>
    <x v="6"/>
    <x v="3"/>
    <x v="5"/>
  </r>
  <r>
    <x v="296"/>
    <x v="6"/>
    <x v="34"/>
    <x v="10"/>
    <x v="3"/>
    <x v="3"/>
    <x v="6"/>
    <x v="3"/>
    <x v="6"/>
  </r>
  <r>
    <x v="296"/>
    <x v="7"/>
    <x v="34"/>
    <x v="10"/>
    <x v="3"/>
    <x v="3"/>
    <x v="6"/>
    <x v="3"/>
    <x v="7"/>
  </r>
  <r>
    <x v="296"/>
    <x v="8"/>
    <x v="34"/>
    <x v="10"/>
    <x v="3"/>
    <x v="3"/>
    <x v="6"/>
    <x v="3"/>
    <x v="8"/>
  </r>
  <r>
    <x v="296"/>
    <x v="9"/>
    <x v="34"/>
    <x v="10"/>
    <x v="3"/>
    <x v="3"/>
    <x v="6"/>
    <x v="3"/>
    <x v="9"/>
  </r>
  <r>
    <x v="297"/>
    <x v="2"/>
    <x v="65"/>
    <x v="10"/>
    <x v="3"/>
    <x v="3"/>
    <x v="7"/>
    <x v="3"/>
    <x v="2"/>
  </r>
  <r>
    <x v="297"/>
    <x v="3"/>
    <x v="65"/>
    <x v="10"/>
    <x v="3"/>
    <x v="3"/>
    <x v="5"/>
    <x v="3"/>
    <x v="3"/>
  </r>
  <r>
    <x v="297"/>
    <x v="4"/>
    <x v="65"/>
    <x v="10"/>
    <x v="3"/>
    <x v="3"/>
    <x v="8"/>
    <x v="3"/>
    <x v="4"/>
  </r>
  <r>
    <x v="297"/>
    <x v="5"/>
    <x v="65"/>
    <x v="10"/>
    <x v="3"/>
    <x v="3"/>
    <x v="6"/>
    <x v="3"/>
    <x v="5"/>
  </r>
  <r>
    <x v="297"/>
    <x v="6"/>
    <x v="65"/>
    <x v="10"/>
    <x v="3"/>
    <x v="3"/>
    <x v="6"/>
    <x v="3"/>
    <x v="6"/>
  </r>
  <r>
    <x v="297"/>
    <x v="7"/>
    <x v="65"/>
    <x v="10"/>
    <x v="3"/>
    <x v="3"/>
    <x v="6"/>
    <x v="3"/>
    <x v="7"/>
  </r>
  <r>
    <x v="297"/>
    <x v="8"/>
    <x v="65"/>
    <x v="10"/>
    <x v="3"/>
    <x v="3"/>
    <x v="6"/>
    <x v="3"/>
    <x v="8"/>
  </r>
  <r>
    <x v="297"/>
    <x v="9"/>
    <x v="65"/>
    <x v="10"/>
    <x v="3"/>
    <x v="3"/>
    <x v="6"/>
    <x v="3"/>
    <x v="9"/>
  </r>
  <r>
    <x v="298"/>
    <x v="2"/>
    <x v="66"/>
    <x v="10"/>
    <x v="3"/>
    <x v="3"/>
    <x v="7"/>
    <x v="3"/>
    <x v="2"/>
  </r>
  <r>
    <x v="298"/>
    <x v="3"/>
    <x v="66"/>
    <x v="10"/>
    <x v="3"/>
    <x v="3"/>
    <x v="5"/>
    <x v="3"/>
    <x v="3"/>
  </r>
  <r>
    <x v="298"/>
    <x v="4"/>
    <x v="66"/>
    <x v="10"/>
    <x v="3"/>
    <x v="3"/>
    <x v="8"/>
    <x v="3"/>
    <x v="4"/>
  </r>
  <r>
    <x v="298"/>
    <x v="5"/>
    <x v="66"/>
    <x v="10"/>
    <x v="3"/>
    <x v="3"/>
    <x v="6"/>
    <x v="3"/>
    <x v="5"/>
  </r>
  <r>
    <x v="298"/>
    <x v="6"/>
    <x v="66"/>
    <x v="10"/>
    <x v="3"/>
    <x v="3"/>
    <x v="6"/>
    <x v="3"/>
    <x v="6"/>
  </r>
  <r>
    <x v="298"/>
    <x v="7"/>
    <x v="66"/>
    <x v="10"/>
    <x v="3"/>
    <x v="3"/>
    <x v="6"/>
    <x v="3"/>
    <x v="7"/>
  </r>
  <r>
    <x v="298"/>
    <x v="8"/>
    <x v="66"/>
    <x v="10"/>
    <x v="3"/>
    <x v="3"/>
    <x v="6"/>
    <x v="3"/>
    <x v="8"/>
  </r>
  <r>
    <x v="298"/>
    <x v="9"/>
    <x v="66"/>
    <x v="10"/>
    <x v="3"/>
    <x v="3"/>
    <x v="6"/>
    <x v="3"/>
    <x v="9"/>
  </r>
  <r>
    <x v="299"/>
    <x v="2"/>
    <x v="67"/>
    <x v="10"/>
    <x v="3"/>
    <x v="3"/>
    <x v="7"/>
    <x v="3"/>
    <x v="2"/>
  </r>
  <r>
    <x v="299"/>
    <x v="3"/>
    <x v="67"/>
    <x v="10"/>
    <x v="3"/>
    <x v="3"/>
    <x v="5"/>
    <x v="3"/>
    <x v="3"/>
  </r>
  <r>
    <x v="299"/>
    <x v="4"/>
    <x v="67"/>
    <x v="10"/>
    <x v="3"/>
    <x v="3"/>
    <x v="8"/>
    <x v="3"/>
    <x v="4"/>
  </r>
  <r>
    <x v="299"/>
    <x v="5"/>
    <x v="67"/>
    <x v="10"/>
    <x v="3"/>
    <x v="3"/>
    <x v="6"/>
    <x v="3"/>
    <x v="5"/>
  </r>
  <r>
    <x v="299"/>
    <x v="6"/>
    <x v="67"/>
    <x v="10"/>
    <x v="3"/>
    <x v="3"/>
    <x v="6"/>
    <x v="3"/>
    <x v="6"/>
  </r>
  <r>
    <x v="299"/>
    <x v="7"/>
    <x v="67"/>
    <x v="10"/>
    <x v="3"/>
    <x v="3"/>
    <x v="6"/>
    <x v="3"/>
    <x v="7"/>
  </r>
  <r>
    <x v="299"/>
    <x v="8"/>
    <x v="67"/>
    <x v="10"/>
    <x v="3"/>
    <x v="3"/>
    <x v="6"/>
    <x v="3"/>
    <x v="8"/>
  </r>
  <r>
    <x v="299"/>
    <x v="9"/>
    <x v="67"/>
    <x v="10"/>
    <x v="3"/>
    <x v="3"/>
    <x v="6"/>
    <x v="3"/>
    <x v="9"/>
  </r>
  <r>
    <x v="300"/>
    <x v="2"/>
    <x v="68"/>
    <x v="10"/>
    <x v="3"/>
    <x v="3"/>
    <x v="7"/>
    <x v="3"/>
    <x v="2"/>
  </r>
  <r>
    <x v="300"/>
    <x v="3"/>
    <x v="68"/>
    <x v="10"/>
    <x v="3"/>
    <x v="3"/>
    <x v="5"/>
    <x v="3"/>
    <x v="3"/>
  </r>
  <r>
    <x v="300"/>
    <x v="4"/>
    <x v="68"/>
    <x v="10"/>
    <x v="3"/>
    <x v="3"/>
    <x v="8"/>
    <x v="3"/>
    <x v="4"/>
  </r>
  <r>
    <x v="300"/>
    <x v="5"/>
    <x v="68"/>
    <x v="10"/>
    <x v="3"/>
    <x v="3"/>
    <x v="6"/>
    <x v="3"/>
    <x v="5"/>
  </r>
  <r>
    <x v="300"/>
    <x v="6"/>
    <x v="68"/>
    <x v="10"/>
    <x v="3"/>
    <x v="3"/>
    <x v="6"/>
    <x v="3"/>
    <x v="6"/>
  </r>
  <r>
    <x v="300"/>
    <x v="7"/>
    <x v="68"/>
    <x v="10"/>
    <x v="3"/>
    <x v="3"/>
    <x v="6"/>
    <x v="3"/>
    <x v="7"/>
  </r>
  <r>
    <x v="300"/>
    <x v="8"/>
    <x v="68"/>
    <x v="10"/>
    <x v="3"/>
    <x v="3"/>
    <x v="6"/>
    <x v="3"/>
    <x v="8"/>
  </r>
  <r>
    <x v="300"/>
    <x v="9"/>
    <x v="68"/>
    <x v="10"/>
    <x v="3"/>
    <x v="3"/>
    <x v="6"/>
    <x v="3"/>
    <x v="9"/>
  </r>
  <r>
    <x v="301"/>
    <x v="2"/>
    <x v="35"/>
    <x v="10"/>
    <x v="3"/>
    <x v="3"/>
    <x v="7"/>
    <x v="3"/>
    <x v="2"/>
  </r>
  <r>
    <x v="301"/>
    <x v="3"/>
    <x v="35"/>
    <x v="10"/>
    <x v="3"/>
    <x v="3"/>
    <x v="5"/>
    <x v="3"/>
    <x v="3"/>
  </r>
  <r>
    <x v="301"/>
    <x v="4"/>
    <x v="35"/>
    <x v="10"/>
    <x v="3"/>
    <x v="3"/>
    <x v="8"/>
    <x v="3"/>
    <x v="4"/>
  </r>
  <r>
    <x v="301"/>
    <x v="5"/>
    <x v="35"/>
    <x v="10"/>
    <x v="3"/>
    <x v="3"/>
    <x v="6"/>
    <x v="3"/>
    <x v="5"/>
  </r>
  <r>
    <x v="301"/>
    <x v="6"/>
    <x v="35"/>
    <x v="10"/>
    <x v="3"/>
    <x v="3"/>
    <x v="6"/>
    <x v="3"/>
    <x v="6"/>
  </r>
  <r>
    <x v="301"/>
    <x v="7"/>
    <x v="35"/>
    <x v="10"/>
    <x v="3"/>
    <x v="3"/>
    <x v="6"/>
    <x v="3"/>
    <x v="7"/>
  </r>
  <r>
    <x v="301"/>
    <x v="8"/>
    <x v="35"/>
    <x v="10"/>
    <x v="3"/>
    <x v="3"/>
    <x v="6"/>
    <x v="3"/>
    <x v="8"/>
  </r>
  <r>
    <x v="301"/>
    <x v="9"/>
    <x v="35"/>
    <x v="10"/>
    <x v="3"/>
    <x v="3"/>
    <x v="6"/>
    <x v="3"/>
    <x v="9"/>
  </r>
  <r>
    <x v="302"/>
    <x v="2"/>
    <x v="36"/>
    <x v="10"/>
    <x v="3"/>
    <x v="3"/>
    <x v="7"/>
    <x v="3"/>
    <x v="2"/>
  </r>
  <r>
    <x v="302"/>
    <x v="3"/>
    <x v="36"/>
    <x v="10"/>
    <x v="3"/>
    <x v="3"/>
    <x v="5"/>
    <x v="3"/>
    <x v="3"/>
  </r>
  <r>
    <x v="302"/>
    <x v="4"/>
    <x v="36"/>
    <x v="10"/>
    <x v="3"/>
    <x v="3"/>
    <x v="8"/>
    <x v="3"/>
    <x v="4"/>
  </r>
  <r>
    <x v="302"/>
    <x v="5"/>
    <x v="36"/>
    <x v="10"/>
    <x v="3"/>
    <x v="3"/>
    <x v="6"/>
    <x v="3"/>
    <x v="5"/>
  </r>
  <r>
    <x v="302"/>
    <x v="6"/>
    <x v="36"/>
    <x v="10"/>
    <x v="3"/>
    <x v="3"/>
    <x v="6"/>
    <x v="3"/>
    <x v="6"/>
  </r>
  <r>
    <x v="302"/>
    <x v="7"/>
    <x v="36"/>
    <x v="10"/>
    <x v="3"/>
    <x v="3"/>
    <x v="6"/>
    <x v="3"/>
    <x v="7"/>
  </r>
  <r>
    <x v="302"/>
    <x v="8"/>
    <x v="36"/>
    <x v="10"/>
    <x v="3"/>
    <x v="3"/>
    <x v="6"/>
    <x v="3"/>
    <x v="8"/>
  </r>
  <r>
    <x v="302"/>
    <x v="9"/>
    <x v="36"/>
    <x v="10"/>
    <x v="3"/>
    <x v="3"/>
    <x v="6"/>
    <x v="3"/>
    <x v="9"/>
  </r>
  <r>
    <x v="303"/>
    <x v="2"/>
    <x v="37"/>
    <x v="10"/>
    <x v="3"/>
    <x v="3"/>
    <x v="5"/>
    <x v="3"/>
    <x v="2"/>
  </r>
  <r>
    <x v="303"/>
    <x v="3"/>
    <x v="37"/>
    <x v="10"/>
    <x v="3"/>
    <x v="3"/>
    <x v="5"/>
    <x v="3"/>
    <x v="3"/>
  </r>
  <r>
    <x v="303"/>
    <x v="4"/>
    <x v="37"/>
    <x v="10"/>
    <x v="3"/>
    <x v="3"/>
    <x v="6"/>
    <x v="3"/>
    <x v="4"/>
  </r>
  <r>
    <x v="303"/>
    <x v="5"/>
    <x v="37"/>
    <x v="10"/>
    <x v="3"/>
    <x v="3"/>
    <x v="6"/>
    <x v="3"/>
    <x v="5"/>
  </r>
  <r>
    <x v="303"/>
    <x v="6"/>
    <x v="37"/>
    <x v="10"/>
    <x v="3"/>
    <x v="3"/>
    <x v="6"/>
    <x v="3"/>
    <x v="6"/>
  </r>
  <r>
    <x v="303"/>
    <x v="7"/>
    <x v="37"/>
    <x v="10"/>
    <x v="3"/>
    <x v="3"/>
    <x v="6"/>
    <x v="3"/>
    <x v="7"/>
  </r>
  <r>
    <x v="303"/>
    <x v="8"/>
    <x v="37"/>
    <x v="10"/>
    <x v="3"/>
    <x v="3"/>
    <x v="6"/>
    <x v="3"/>
    <x v="8"/>
  </r>
  <r>
    <x v="303"/>
    <x v="9"/>
    <x v="37"/>
    <x v="10"/>
    <x v="3"/>
    <x v="3"/>
    <x v="6"/>
    <x v="3"/>
    <x v="9"/>
  </r>
  <r>
    <x v="304"/>
    <x v="2"/>
    <x v="38"/>
    <x v="10"/>
    <x v="3"/>
    <x v="3"/>
    <x v="5"/>
    <x v="3"/>
    <x v="2"/>
  </r>
  <r>
    <x v="304"/>
    <x v="3"/>
    <x v="38"/>
    <x v="10"/>
    <x v="3"/>
    <x v="3"/>
    <x v="5"/>
    <x v="3"/>
    <x v="3"/>
  </r>
  <r>
    <x v="304"/>
    <x v="4"/>
    <x v="38"/>
    <x v="10"/>
    <x v="3"/>
    <x v="3"/>
    <x v="6"/>
    <x v="3"/>
    <x v="4"/>
  </r>
  <r>
    <x v="304"/>
    <x v="5"/>
    <x v="38"/>
    <x v="10"/>
    <x v="3"/>
    <x v="3"/>
    <x v="6"/>
    <x v="3"/>
    <x v="5"/>
  </r>
  <r>
    <x v="304"/>
    <x v="6"/>
    <x v="38"/>
    <x v="10"/>
    <x v="3"/>
    <x v="3"/>
    <x v="6"/>
    <x v="3"/>
    <x v="6"/>
  </r>
  <r>
    <x v="304"/>
    <x v="7"/>
    <x v="38"/>
    <x v="10"/>
    <x v="3"/>
    <x v="3"/>
    <x v="6"/>
    <x v="3"/>
    <x v="7"/>
  </r>
  <r>
    <x v="304"/>
    <x v="8"/>
    <x v="38"/>
    <x v="10"/>
    <x v="3"/>
    <x v="3"/>
    <x v="6"/>
    <x v="3"/>
    <x v="8"/>
  </r>
  <r>
    <x v="304"/>
    <x v="9"/>
    <x v="38"/>
    <x v="10"/>
    <x v="3"/>
    <x v="3"/>
    <x v="6"/>
    <x v="3"/>
    <x v="9"/>
  </r>
  <r>
    <x v="305"/>
    <x v="2"/>
    <x v="39"/>
    <x v="10"/>
    <x v="3"/>
    <x v="3"/>
    <x v="5"/>
    <x v="3"/>
    <x v="2"/>
  </r>
  <r>
    <x v="305"/>
    <x v="3"/>
    <x v="39"/>
    <x v="10"/>
    <x v="3"/>
    <x v="3"/>
    <x v="5"/>
    <x v="3"/>
    <x v="3"/>
  </r>
  <r>
    <x v="305"/>
    <x v="4"/>
    <x v="39"/>
    <x v="10"/>
    <x v="3"/>
    <x v="3"/>
    <x v="6"/>
    <x v="3"/>
    <x v="4"/>
  </r>
  <r>
    <x v="305"/>
    <x v="5"/>
    <x v="39"/>
    <x v="10"/>
    <x v="3"/>
    <x v="3"/>
    <x v="6"/>
    <x v="3"/>
    <x v="5"/>
  </r>
  <r>
    <x v="305"/>
    <x v="6"/>
    <x v="39"/>
    <x v="10"/>
    <x v="3"/>
    <x v="3"/>
    <x v="6"/>
    <x v="3"/>
    <x v="6"/>
  </r>
  <r>
    <x v="305"/>
    <x v="7"/>
    <x v="39"/>
    <x v="10"/>
    <x v="3"/>
    <x v="3"/>
    <x v="6"/>
    <x v="3"/>
    <x v="7"/>
  </r>
  <r>
    <x v="305"/>
    <x v="8"/>
    <x v="39"/>
    <x v="10"/>
    <x v="3"/>
    <x v="3"/>
    <x v="6"/>
    <x v="3"/>
    <x v="8"/>
  </r>
  <r>
    <x v="305"/>
    <x v="9"/>
    <x v="39"/>
    <x v="10"/>
    <x v="3"/>
    <x v="3"/>
    <x v="6"/>
    <x v="3"/>
    <x v="9"/>
  </r>
  <r>
    <x v="306"/>
    <x v="2"/>
    <x v="40"/>
    <x v="10"/>
    <x v="3"/>
    <x v="3"/>
    <x v="5"/>
    <x v="3"/>
    <x v="2"/>
  </r>
  <r>
    <x v="306"/>
    <x v="3"/>
    <x v="40"/>
    <x v="10"/>
    <x v="3"/>
    <x v="3"/>
    <x v="5"/>
    <x v="3"/>
    <x v="3"/>
  </r>
  <r>
    <x v="306"/>
    <x v="4"/>
    <x v="40"/>
    <x v="10"/>
    <x v="3"/>
    <x v="3"/>
    <x v="6"/>
    <x v="3"/>
    <x v="4"/>
  </r>
  <r>
    <x v="306"/>
    <x v="5"/>
    <x v="40"/>
    <x v="10"/>
    <x v="3"/>
    <x v="3"/>
    <x v="6"/>
    <x v="3"/>
    <x v="5"/>
  </r>
  <r>
    <x v="306"/>
    <x v="6"/>
    <x v="40"/>
    <x v="10"/>
    <x v="3"/>
    <x v="3"/>
    <x v="6"/>
    <x v="3"/>
    <x v="6"/>
  </r>
  <r>
    <x v="306"/>
    <x v="7"/>
    <x v="40"/>
    <x v="10"/>
    <x v="3"/>
    <x v="3"/>
    <x v="6"/>
    <x v="3"/>
    <x v="7"/>
  </r>
  <r>
    <x v="306"/>
    <x v="8"/>
    <x v="40"/>
    <x v="10"/>
    <x v="3"/>
    <x v="3"/>
    <x v="6"/>
    <x v="3"/>
    <x v="8"/>
  </r>
  <r>
    <x v="306"/>
    <x v="9"/>
    <x v="40"/>
    <x v="10"/>
    <x v="3"/>
    <x v="3"/>
    <x v="6"/>
    <x v="3"/>
    <x v="9"/>
  </r>
  <r>
    <x v="307"/>
    <x v="2"/>
    <x v="41"/>
    <x v="10"/>
    <x v="3"/>
    <x v="3"/>
    <x v="5"/>
    <x v="3"/>
    <x v="2"/>
  </r>
  <r>
    <x v="307"/>
    <x v="3"/>
    <x v="41"/>
    <x v="10"/>
    <x v="3"/>
    <x v="3"/>
    <x v="5"/>
    <x v="3"/>
    <x v="3"/>
  </r>
  <r>
    <x v="307"/>
    <x v="4"/>
    <x v="41"/>
    <x v="10"/>
    <x v="3"/>
    <x v="3"/>
    <x v="6"/>
    <x v="3"/>
    <x v="4"/>
  </r>
  <r>
    <x v="307"/>
    <x v="5"/>
    <x v="41"/>
    <x v="10"/>
    <x v="3"/>
    <x v="3"/>
    <x v="6"/>
    <x v="3"/>
    <x v="5"/>
  </r>
  <r>
    <x v="307"/>
    <x v="6"/>
    <x v="41"/>
    <x v="10"/>
    <x v="3"/>
    <x v="3"/>
    <x v="6"/>
    <x v="3"/>
    <x v="6"/>
  </r>
  <r>
    <x v="307"/>
    <x v="7"/>
    <x v="41"/>
    <x v="10"/>
    <x v="3"/>
    <x v="3"/>
    <x v="6"/>
    <x v="3"/>
    <x v="7"/>
  </r>
  <r>
    <x v="307"/>
    <x v="8"/>
    <x v="41"/>
    <x v="10"/>
    <x v="3"/>
    <x v="3"/>
    <x v="6"/>
    <x v="3"/>
    <x v="8"/>
  </r>
  <r>
    <x v="307"/>
    <x v="9"/>
    <x v="41"/>
    <x v="10"/>
    <x v="3"/>
    <x v="3"/>
    <x v="6"/>
    <x v="3"/>
    <x v="9"/>
  </r>
  <r>
    <x v="308"/>
    <x v="2"/>
    <x v="42"/>
    <x v="10"/>
    <x v="3"/>
    <x v="3"/>
    <x v="6"/>
    <x v="3"/>
    <x v="2"/>
  </r>
  <r>
    <x v="308"/>
    <x v="3"/>
    <x v="42"/>
    <x v="10"/>
    <x v="3"/>
    <x v="3"/>
    <x v="6"/>
    <x v="3"/>
    <x v="3"/>
  </r>
  <r>
    <x v="308"/>
    <x v="4"/>
    <x v="42"/>
    <x v="10"/>
    <x v="3"/>
    <x v="3"/>
    <x v="6"/>
    <x v="3"/>
    <x v="4"/>
  </r>
  <r>
    <x v="308"/>
    <x v="5"/>
    <x v="42"/>
    <x v="10"/>
    <x v="3"/>
    <x v="3"/>
    <x v="6"/>
    <x v="3"/>
    <x v="5"/>
  </r>
  <r>
    <x v="308"/>
    <x v="6"/>
    <x v="42"/>
    <x v="10"/>
    <x v="3"/>
    <x v="3"/>
    <x v="6"/>
    <x v="3"/>
    <x v="6"/>
  </r>
  <r>
    <x v="308"/>
    <x v="7"/>
    <x v="42"/>
    <x v="10"/>
    <x v="3"/>
    <x v="3"/>
    <x v="6"/>
    <x v="3"/>
    <x v="7"/>
  </r>
  <r>
    <x v="308"/>
    <x v="8"/>
    <x v="42"/>
    <x v="10"/>
    <x v="3"/>
    <x v="3"/>
    <x v="6"/>
    <x v="3"/>
    <x v="8"/>
  </r>
  <r>
    <x v="308"/>
    <x v="9"/>
    <x v="42"/>
    <x v="10"/>
    <x v="3"/>
    <x v="3"/>
    <x v="6"/>
    <x v="3"/>
    <x v="9"/>
  </r>
  <r>
    <x v="309"/>
    <x v="2"/>
    <x v="43"/>
    <x v="10"/>
    <x v="3"/>
    <x v="3"/>
    <x v="6"/>
    <x v="3"/>
    <x v="2"/>
  </r>
  <r>
    <x v="309"/>
    <x v="3"/>
    <x v="43"/>
    <x v="10"/>
    <x v="3"/>
    <x v="3"/>
    <x v="6"/>
    <x v="3"/>
    <x v="3"/>
  </r>
  <r>
    <x v="309"/>
    <x v="4"/>
    <x v="43"/>
    <x v="10"/>
    <x v="3"/>
    <x v="3"/>
    <x v="6"/>
    <x v="3"/>
    <x v="4"/>
  </r>
  <r>
    <x v="309"/>
    <x v="5"/>
    <x v="43"/>
    <x v="10"/>
    <x v="3"/>
    <x v="3"/>
    <x v="6"/>
    <x v="3"/>
    <x v="5"/>
  </r>
  <r>
    <x v="309"/>
    <x v="6"/>
    <x v="43"/>
    <x v="10"/>
    <x v="3"/>
    <x v="3"/>
    <x v="6"/>
    <x v="3"/>
    <x v="6"/>
  </r>
  <r>
    <x v="309"/>
    <x v="7"/>
    <x v="43"/>
    <x v="10"/>
    <x v="3"/>
    <x v="3"/>
    <x v="6"/>
    <x v="3"/>
    <x v="7"/>
  </r>
  <r>
    <x v="309"/>
    <x v="8"/>
    <x v="43"/>
    <x v="10"/>
    <x v="3"/>
    <x v="3"/>
    <x v="6"/>
    <x v="3"/>
    <x v="8"/>
  </r>
  <r>
    <x v="309"/>
    <x v="9"/>
    <x v="43"/>
    <x v="10"/>
    <x v="3"/>
    <x v="3"/>
    <x v="6"/>
    <x v="3"/>
    <x v="9"/>
  </r>
  <r>
    <x v="310"/>
    <x v="2"/>
    <x v="44"/>
    <x v="10"/>
    <x v="3"/>
    <x v="3"/>
    <x v="6"/>
    <x v="3"/>
    <x v="2"/>
  </r>
  <r>
    <x v="310"/>
    <x v="3"/>
    <x v="44"/>
    <x v="10"/>
    <x v="3"/>
    <x v="3"/>
    <x v="6"/>
    <x v="3"/>
    <x v="3"/>
  </r>
  <r>
    <x v="310"/>
    <x v="4"/>
    <x v="44"/>
    <x v="10"/>
    <x v="3"/>
    <x v="3"/>
    <x v="6"/>
    <x v="3"/>
    <x v="4"/>
  </r>
  <r>
    <x v="310"/>
    <x v="5"/>
    <x v="44"/>
    <x v="10"/>
    <x v="3"/>
    <x v="3"/>
    <x v="6"/>
    <x v="3"/>
    <x v="5"/>
  </r>
  <r>
    <x v="310"/>
    <x v="6"/>
    <x v="44"/>
    <x v="10"/>
    <x v="3"/>
    <x v="3"/>
    <x v="6"/>
    <x v="3"/>
    <x v="6"/>
  </r>
  <r>
    <x v="310"/>
    <x v="7"/>
    <x v="44"/>
    <x v="10"/>
    <x v="3"/>
    <x v="3"/>
    <x v="6"/>
    <x v="3"/>
    <x v="7"/>
  </r>
  <r>
    <x v="310"/>
    <x v="8"/>
    <x v="44"/>
    <x v="10"/>
    <x v="3"/>
    <x v="3"/>
    <x v="6"/>
    <x v="3"/>
    <x v="8"/>
  </r>
  <r>
    <x v="310"/>
    <x v="9"/>
    <x v="44"/>
    <x v="10"/>
    <x v="3"/>
    <x v="3"/>
    <x v="6"/>
    <x v="3"/>
    <x v="9"/>
  </r>
  <r>
    <x v="311"/>
    <x v="2"/>
    <x v="2"/>
    <x v="11"/>
    <x v="2"/>
    <x v="2"/>
    <x v="2"/>
    <x v="2"/>
    <x v="2"/>
  </r>
  <r>
    <x v="311"/>
    <x v="3"/>
    <x v="2"/>
    <x v="11"/>
    <x v="2"/>
    <x v="2"/>
    <x v="3"/>
    <x v="2"/>
    <x v="3"/>
  </r>
  <r>
    <x v="311"/>
    <x v="4"/>
    <x v="2"/>
    <x v="11"/>
    <x v="2"/>
    <x v="2"/>
    <x v="4"/>
    <x v="2"/>
    <x v="4"/>
  </r>
  <r>
    <x v="311"/>
    <x v="5"/>
    <x v="2"/>
    <x v="11"/>
    <x v="2"/>
    <x v="2"/>
    <x v="5"/>
    <x v="2"/>
    <x v="5"/>
  </r>
  <r>
    <x v="311"/>
    <x v="6"/>
    <x v="2"/>
    <x v="11"/>
    <x v="2"/>
    <x v="2"/>
    <x v="6"/>
    <x v="2"/>
    <x v="6"/>
  </r>
  <r>
    <x v="311"/>
    <x v="7"/>
    <x v="2"/>
    <x v="11"/>
    <x v="2"/>
    <x v="2"/>
    <x v="6"/>
    <x v="2"/>
    <x v="7"/>
  </r>
  <r>
    <x v="311"/>
    <x v="8"/>
    <x v="2"/>
    <x v="11"/>
    <x v="2"/>
    <x v="2"/>
    <x v="6"/>
    <x v="2"/>
    <x v="8"/>
  </r>
  <r>
    <x v="311"/>
    <x v="9"/>
    <x v="2"/>
    <x v="11"/>
    <x v="2"/>
    <x v="2"/>
    <x v="6"/>
    <x v="2"/>
    <x v="9"/>
  </r>
  <r>
    <x v="312"/>
    <x v="2"/>
    <x v="3"/>
    <x v="11"/>
    <x v="2"/>
    <x v="2"/>
    <x v="2"/>
    <x v="2"/>
    <x v="2"/>
  </r>
  <r>
    <x v="312"/>
    <x v="3"/>
    <x v="3"/>
    <x v="11"/>
    <x v="2"/>
    <x v="2"/>
    <x v="3"/>
    <x v="2"/>
    <x v="3"/>
  </r>
  <r>
    <x v="312"/>
    <x v="4"/>
    <x v="3"/>
    <x v="11"/>
    <x v="2"/>
    <x v="2"/>
    <x v="4"/>
    <x v="2"/>
    <x v="4"/>
  </r>
  <r>
    <x v="312"/>
    <x v="5"/>
    <x v="3"/>
    <x v="11"/>
    <x v="2"/>
    <x v="2"/>
    <x v="5"/>
    <x v="2"/>
    <x v="5"/>
  </r>
  <r>
    <x v="312"/>
    <x v="6"/>
    <x v="3"/>
    <x v="11"/>
    <x v="2"/>
    <x v="2"/>
    <x v="6"/>
    <x v="2"/>
    <x v="6"/>
  </r>
  <r>
    <x v="312"/>
    <x v="7"/>
    <x v="3"/>
    <x v="11"/>
    <x v="2"/>
    <x v="2"/>
    <x v="6"/>
    <x v="2"/>
    <x v="7"/>
  </r>
  <r>
    <x v="312"/>
    <x v="8"/>
    <x v="3"/>
    <x v="11"/>
    <x v="2"/>
    <x v="2"/>
    <x v="6"/>
    <x v="2"/>
    <x v="8"/>
  </r>
  <r>
    <x v="312"/>
    <x v="9"/>
    <x v="3"/>
    <x v="11"/>
    <x v="2"/>
    <x v="2"/>
    <x v="6"/>
    <x v="2"/>
    <x v="9"/>
  </r>
  <r>
    <x v="313"/>
    <x v="2"/>
    <x v="4"/>
    <x v="11"/>
    <x v="2"/>
    <x v="2"/>
    <x v="2"/>
    <x v="2"/>
    <x v="2"/>
  </r>
  <r>
    <x v="313"/>
    <x v="3"/>
    <x v="4"/>
    <x v="11"/>
    <x v="2"/>
    <x v="2"/>
    <x v="3"/>
    <x v="2"/>
    <x v="3"/>
  </r>
  <r>
    <x v="313"/>
    <x v="4"/>
    <x v="4"/>
    <x v="11"/>
    <x v="2"/>
    <x v="2"/>
    <x v="4"/>
    <x v="2"/>
    <x v="4"/>
  </r>
  <r>
    <x v="313"/>
    <x v="5"/>
    <x v="4"/>
    <x v="11"/>
    <x v="2"/>
    <x v="2"/>
    <x v="5"/>
    <x v="2"/>
    <x v="5"/>
  </r>
  <r>
    <x v="313"/>
    <x v="6"/>
    <x v="4"/>
    <x v="11"/>
    <x v="2"/>
    <x v="2"/>
    <x v="6"/>
    <x v="2"/>
    <x v="6"/>
  </r>
  <r>
    <x v="313"/>
    <x v="7"/>
    <x v="4"/>
    <x v="11"/>
    <x v="2"/>
    <x v="2"/>
    <x v="6"/>
    <x v="2"/>
    <x v="7"/>
  </r>
  <r>
    <x v="313"/>
    <x v="8"/>
    <x v="4"/>
    <x v="11"/>
    <x v="2"/>
    <x v="2"/>
    <x v="6"/>
    <x v="2"/>
    <x v="8"/>
  </r>
  <r>
    <x v="313"/>
    <x v="9"/>
    <x v="4"/>
    <x v="11"/>
    <x v="2"/>
    <x v="2"/>
    <x v="6"/>
    <x v="2"/>
    <x v="9"/>
  </r>
  <r>
    <x v="314"/>
    <x v="2"/>
    <x v="5"/>
    <x v="11"/>
    <x v="2"/>
    <x v="2"/>
    <x v="2"/>
    <x v="2"/>
    <x v="2"/>
  </r>
  <r>
    <x v="314"/>
    <x v="3"/>
    <x v="5"/>
    <x v="11"/>
    <x v="2"/>
    <x v="2"/>
    <x v="3"/>
    <x v="2"/>
    <x v="3"/>
  </r>
  <r>
    <x v="314"/>
    <x v="4"/>
    <x v="5"/>
    <x v="11"/>
    <x v="2"/>
    <x v="2"/>
    <x v="4"/>
    <x v="2"/>
    <x v="4"/>
  </r>
  <r>
    <x v="314"/>
    <x v="5"/>
    <x v="5"/>
    <x v="11"/>
    <x v="2"/>
    <x v="2"/>
    <x v="5"/>
    <x v="2"/>
    <x v="5"/>
  </r>
  <r>
    <x v="314"/>
    <x v="6"/>
    <x v="5"/>
    <x v="11"/>
    <x v="2"/>
    <x v="2"/>
    <x v="6"/>
    <x v="2"/>
    <x v="6"/>
  </r>
  <r>
    <x v="314"/>
    <x v="7"/>
    <x v="5"/>
    <x v="11"/>
    <x v="2"/>
    <x v="2"/>
    <x v="6"/>
    <x v="2"/>
    <x v="7"/>
  </r>
  <r>
    <x v="314"/>
    <x v="8"/>
    <x v="5"/>
    <x v="11"/>
    <x v="2"/>
    <x v="2"/>
    <x v="6"/>
    <x v="2"/>
    <x v="8"/>
  </r>
  <r>
    <x v="314"/>
    <x v="9"/>
    <x v="5"/>
    <x v="11"/>
    <x v="2"/>
    <x v="2"/>
    <x v="6"/>
    <x v="2"/>
    <x v="9"/>
  </r>
  <r>
    <x v="315"/>
    <x v="2"/>
    <x v="6"/>
    <x v="11"/>
    <x v="2"/>
    <x v="2"/>
    <x v="2"/>
    <x v="2"/>
    <x v="2"/>
  </r>
  <r>
    <x v="315"/>
    <x v="3"/>
    <x v="6"/>
    <x v="11"/>
    <x v="2"/>
    <x v="2"/>
    <x v="3"/>
    <x v="2"/>
    <x v="3"/>
  </r>
  <r>
    <x v="315"/>
    <x v="4"/>
    <x v="6"/>
    <x v="11"/>
    <x v="2"/>
    <x v="2"/>
    <x v="4"/>
    <x v="2"/>
    <x v="4"/>
  </r>
  <r>
    <x v="315"/>
    <x v="5"/>
    <x v="6"/>
    <x v="11"/>
    <x v="2"/>
    <x v="2"/>
    <x v="5"/>
    <x v="2"/>
    <x v="5"/>
  </r>
  <r>
    <x v="315"/>
    <x v="6"/>
    <x v="6"/>
    <x v="11"/>
    <x v="2"/>
    <x v="2"/>
    <x v="6"/>
    <x v="2"/>
    <x v="6"/>
  </r>
  <r>
    <x v="315"/>
    <x v="7"/>
    <x v="6"/>
    <x v="11"/>
    <x v="2"/>
    <x v="2"/>
    <x v="6"/>
    <x v="2"/>
    <x v="7"/>
  </r>
  <r>
    <x v="315"/>
    <x v="8"/>
    <x v="6"/>
    <x v="11"/>
    <x v="2"/>
    <x v="2"/>
    <x v="6"/>
    <x v="2"/>
    <x v="8"/>
  </r>
  <r>
    <x v="315"/>
    <x v="9"/>
    <x v="6"/>
    <x v="11"/>
    <x v="2"/>
    <x v="2"/>
    <x v="6"/>
    <x v="2"/>
    <x v="9"/>
  </r>
  <r>
    <x v="316"/>
    <x v="2"/>
    <x v="9"/>
    <x v="11"/>
    <x v="2"/>
    <x v="2"/>
    <x v="3"/>
    <x v="5"/>
    <x v="2"/>
  </r>
  <r>
    <x v="316"/>
    <x v="3"/>
    <x v="9"/>
    <x v="11"/>
    <x v="2"/>
    <x v="2"/>
    <x v="4"/>
    <x v="5"/>
    <x v="3"/>
  </r>
  <r>
    <x v="316"/>
    <x v="4"/>
    <x v="9"/>
    <x v="11"/>
    <x v="2"/>
    <x v="2"/>
    <x v="5"/>
    <x v="5"/>
    <x v="4"/>
  </r>
  <r>
    <x v="316"/>
    <x v="5"/>
    <x v="9"/>
    <x v="11"/>
    <x v="2"/>
    <x v="2"/>
    <x v="6"/>
    <x v="5"/>
    <x v="5"/>
  </r>
  <r>
    <x v="316"/>
    <x v="6"/>
    <x v="9"/>
    <x v="11"/>
    <x v="2"/>
    <x v="2"/>
    <x v="6"/>
    <x v="5"/>
    <x v="6"/>
  </r>
  <r>
    <x v="316"/>
    <x v="7"/>
    <x v="9"/>
    <x v="11"/>
    <x v="2"/>
    <x v="2"/>
    <x v="6"/>
    <x v="5"/>
    <x v="7"/>
  </r>
  <r>
    <x v="316"/>
    <x v="8"/>
    <x v="9"/>
    <x v="11"/>
    <x v="2"/>
    <x v="2"/>
    <x v="6"/>
    <x v="5"/>
    <x v="8"/>
  </r>
  <r>
    <x v="316"/>
    <x v="9"/>
    <x v="9"/>
    <x v="11"/>
    <x v="2"/>
    <x v="2"/>
    <x v="6"/>
    <x v="5"/>
    <x v="9"/>
  </r>
  <r>
    <x v="317"/>
    <x v="2"/>
    <x v="10"/>
    <x v="11"/>
    <x v="2"/>
    <x v="2"/>
    <x v="3"/>
    <x v="5"/>
    <x v="2"/>
  </r>
  <r>
    <x v="317"/>
    <x v="3"/>
    <x v="10"/>
    <x v="11"/>
    <x v="2"/>
    <x v="2"/>
    <x v="4"/>
    <x v="5"/>
    <x v="3"/>
  </r>
  <r>
    <x v="317"/>
    <x v="4"/>
    <x v="10"/>
    <x v="11"/>
    <x v="2"/>
    <x v="2"/>
    <x v="5"/>
    <x v="5"/>
    <x v="4"/>
  </r>
  <r>
    <x v="317"/>
    <x v="5"/>
    <x v="10"/>
    <x v="11"/>
    <x v="2"/>
    <x v="2"/>
    <x v="6"/>
    <x v="5"/>
    <x v="5"/>
  </r>
  <r>
    <x v="317"/>
    <x v="6"/>
    <x v="10"/>
    <x v="11"/>
    <x v="2"/>
    <x v="2"/>
    <x v="6"/>
    <x v="5"/>
    <x v="6"/>
  </r>
  <r>
    <x v="317"/>
    <x v="7"/>
    <x v="10"/>
    <x v="11"/>
    <x v="2"/>
    <x v="2"/>
    <x v="6"/>
    <x v="5"/>
    <x v="7"/>
  </r>
  <r>
    <x v="317"/>
    <x v="8"/>
    <x v="10"/>
    <x v="11"/>
    <x v="2"/>
    <x v="2"/>
    <x v="6"/>
    <x v="5"/>
    <x v="8"/>
  </r>
  <r>
    <x v="317"/>
    <x v="9"/>
    <x v="10"/>
    <x v="11"/>
    <x v="2"/>
    <x v="2"/>
    <x v="6"/>
    <x v="5"/>
    <x v="9"/>
  </r>
  <r>
    <x v="318"/>
    <x v="2"/>
    <x v="11"/>
    <x v="11"/>
    <x v="2"/>
    <x v="2"/>
    <x v="3"/>
    <x v="5"/>
    <x v="2"/>
  </r>
  <r>
    <x v="318"/>
    <x v="3"/>
    <x v="11"/>
    <x v="11"/>
    <x v="2"/>
    <x v="2"/>
    <x v="4"/>
    <x v="5"/>
    <x v="3"/>
  </r>
  <r>
    <x v="318"/>
    <x v="4"/>
    <x v="11"/>
    <x v="11"/>
    <x v="2"/>
    <x v="2"/>
    <x v="5"/>
    <x v="5"/>
    <x v="4"/>
  </r>
  <r>
    <x v="318"/>
    <x v="5"/>
    <x v="11"/>
    <x v="11"/>
    <x v="2"/>
    <x v="2"/>
    <x v="6"/>
    <x v="5"/>
    <x v="5"/>
  </r>
  <r>
    <x v="318"/>
    <x v="6"/>
    <x v="11"/>
    <x v="11"/>
    <x v="2"/>
    <x v="2"/>
    <x v="6"/>
    <x v="5"/>
    <x v="6"/>
  </r>
  <r>
    <x v="318"/>
    <x v="7"/>
    <x v="11"/>
    <x v="11"/>
    <x v="2"/>
    <x v="2"/>
    <x v="6"/>
    <x v="5"/>
    <x v="7"/>
  </r>
  <r>
    <x v="318"/>
    <x v="8"/>
    <x v="11"/>
    <x v="11"/>
    <x v="2"/>
    <x v="2"/>
    <x v="6"/>
    <x v="5"/>
    <x v="8"/>
  </r>
  <r>
    <x v="318"/>
    <x v="9"/>
    <x v="11"/>
    <x v="11"/>
    <x v="2"/>
    <x v="2"/>
    <x v="6"/>
    <x v="5"/>
    <x v="9"/>
  </r>
  <r>
    <x v="319"/>
    <x v="2"/>
    <x v="12"/>
    <x v="11"/>
    <x v="2"/>
    <x v="2"/>
    <x v="3"/>
    <x v="5"/>
    <x v="2"/>
  </r>
  <r>
    <x v="319"/>
    <x v="3"/>
    <x v="12"/>
    <x v="11"/>
    <x v="2"/>
    <x v="2"/>
    <x v="4"/>
    <x v="5"/>
    <x v="3"/>
  </r>
  <r>
    <x v="319"/>
    <x v="4"/>
    <x v="12"/>
    <x v="11"/>
    <x v="2"/>
    <x v="2"/>
    <x v="5"/>
    <x v="5"/>
    <x v="4"/>
  </r>
  <r>
    <x v="319"/>
    <x v="5"/>
    <x v="12"/>
    <x v="11"/>
    <x v="2"/>
    <x v="2"/>
    <x v="6"/>
    <x v="5"/>
    <x v="5"/>
  </r>
  <r>
    <x v="319"/>
    <x v="6"/>
    <x v="12"/>
    <x v="11"/>
    <x v="2"/>
    <x v="2"/>
    <x v="6"/>
    <x v="5"/>
    <x v="6"/>
  </r>
  <r>
    <x v="319"/>
    <x v="7"/>
    <x v="12"/>
    <x v="11"/>
    <x v="2"/>
    <x v="2"/>
    <x v="6"/>
    <x v="5"/>
    <x v="7"/>
  </r>
  <r>
    <x v="319"/>
    <x v="8"/>
    <x v="12"/>
    <x v="11"/>
    <x v="2"/>
    <x v="2"/>
    <x v="6"/>
    <x v="5"/>
    <x v="8"/>
  </r>
  <r>
    <x v="319"/>
    <x v="9"/>
    <x v="12"/>
    <x v="11"/>
    <x v="2"/>
    <x v="2"/>
    <x v="6"/>
    <x v="5"/>
    <x v="9"/>
  </r>
  <r>
    <x v="320"/>
    <x v="2"/>
    <x v="13"/>
    <x v="11"/>
    <x v="2"/>
    <x v="2"/>
    <x v="3"/>
    <x v="5"/>
    <x v="2"/>
  </r>
  <r>
    <x v="320"/>
    <x v="3"/>
    <x v="13"/>
    <x v="11"/>
    <x v="2"/>
    <x v="2"/>
    <x v="4"/>
    <x v="5"/>
    <x v="3"/>
  </r>
  <r>
    <x v="320"/>
    <x v="4"/>
    <x v="13"/>
    <x v="11"/>
    <x v="2"/>
    <x v="2"/>
    <x v="5"/>
    <x v="5"/>
    <x v="4"/>
  </r>
  <r>
    <x v="320"/>
    <x v="5"/>
    <x v="13"/>
    <x v="11"/>
    <x v="2"/>
    <x v="2"/>
    <x v="6"/>
    <x v="5"/>
    <x v="5"/>
  </r>
  <r>
    <x v="320"/>
    <x v="6"/>
    <x v="13"/>
    <x v="11"/>
    <x v="2"/>
    <x v="2"/>
    <x v="6"/>
    <x v="5"/>
    <x v="6"/>
  </r>
  <r>
    <x v="320"/>
    <x v="7"/>
    <x v="13"/>
    <x v="11"/>
    <x v="2"/>
    <x v="2"/>
    <x v="6"/>
    <x v="5"/>
    <x v="7"/>
  </r>
  <r>
    <x v="320"/>
    <x v="8"/>
    <x v="13"/>
    <x v="11"/>
    <x v="2"/>
    <x v="2"/>
    <x v="6"/>
    <x v="5"/>
    <x v="8"/>
  </r>
  <r>
    <x v="320"/>
    <x v="9"/>
    <x v="13"/>
    <x v="11"/>
    <x v="2"/>
    <x v="2"/>
    <x v="6"/>
    <x v="5"/>
    <x v="9"/>
  </r>
  <r>
    <x v="321"/>
    <x v="2"/>
    <x v="14"/>
    <x v="11"/>
    <x v="2"/>
    <x v="2"/>
    <x v="6"/>
    <x v="3"/>
    <x v="2"/>
  </r>
  <r>
    <x v="321"/>
    <x v="3"/>
    <x v="14"/>
    <x v="11"/>
    <x v="2"/>
    <x v="2"/>
    <x v="6"/>
    <x v="3"/>
    <x v="3"/>
  </r>
  <r>
    <x v="321"/>
    <x v="4"/>
    <x v="14"/>
    <x v="11"/>
    <x v="2"/>
    <x v="2"/>
    <x v="6"/>
    <x v="3"/>
    <x v="4"/>
  </r>
  <r>
    <x v="321"/>
    <x v="5"/>
    <x v="14"/>
    <x v="11"/>
    <x v="2"/>
    <x v="2"/>
    <x v="6"/>
    <x v="3"/>
    <x v="5"/>
  </r>
  <r>
    <x v="321"/>
    <x v="6"/>
    <x v="14"/>
    <x v="11"/>
    <x v="2"/>
    <x v="2"/>
    <x v="6"/>
    <x v="3"/>
    <x v="6"/>
  </r>
  <r>
    <x v="321"/>
    <x v="7"/>
    <x v="14"/>
    <x v="11"/>
    <x v="2"/>
    <x v="2"/>
    <x v="6"/>
    <x v="3"/>
    <x v="7"/>
  </r>
  <r>
    <x v="321"/>
    <x v="8"/>
    <x v="14"/>
    <x v="11"/>
    <x v="2"/>
    <x v="2"/>
    <x v="6"/>
    <x v="3"/>
    <x v="8"/>
  </r>
  <r>
    <x v="321"/>
    <x v="9"/>
    <x v="14"/>
    <x v="11"/>
    <x v="2"/>
    <x v="2"/>
    <x v="6"/>
    <x v="3"/>
    <x v="9"/>
  </r>
  <r>
    <x v="322"/>
    <x v="2"/>
    <x v="15"/>
    <x v="11"/>
    <x v="2"/>
    <x v="2"/>
    <x v="6"/>
    <x v="3"/>
    <x v="2"/>
  </r>
  <r>
    <x v="322"/>
    <x v="3"/>
    <x v="15"/>
    <x v="11"/>
    <x v="2"/>
    <x v="2"/>
    <x v="6"/>
    <x v="3"/>
    <x v="3"/>
  </r>
  <r>
    <x v="322"/>
    <x v="4"/>
    <x v="15"/>
    <x v="11"/>
    <x v="2"/>
    <x v="2"/>
    <x v="6"/>
    <x v="3"/>
    <x v="4"/>
  </r>
  <r>
    <x v="322"/>
    <x v="5"/>
    <x v="15"/>
    <x v="11"/>
    <x v="2"/>
    <x v="2"/>
    <x v="6"/>
    <x v="3"/>
    <x v="5"/>
  </r>
  <r>
    <x v="322"/>
    <x v="6"/>
    <x v="15"/>
    <x v="11"/>
    <x v="2"/>
    <x v="2"/>
    <x v="6"/>
    <x v="3"/>
    <x v="6"/>
  </r>
  <r>
    <x v="322"/>
    <x v="7"/>
    <x v="15"/>
    <x v="11"/>
    <x v="2"/>
    <x v="2"/>
    <x v="6"/>
    <x v="3"/>
    <x v="7"/>
  </r>
  <r>
    <x v="322"/>
    <x v="8"/>
    <x v="15"/>
    <x v="11"/>
    <x v="2"/>
    <x v="2"/>
    <x v="6"/>
    <x v="3"/>
    <x v="8"/>
  </r>
  <r>
    <x v="322"/>
    <x v="9"/>
    <x v="15"/>
    <x v="11"/>
    <x v="2"/>
    <x v="2"/>
    <x v="6"/>
    <x v="3"/>
    <x v="9"/>
  </r>
  <r>
    <x v="323"/>
    <x v="2"/>
    <x v="16"/>
    <x v="11"/>
    <x v="2"/>
    <x v="2"/>
    <x v="6"/>
    <x v="3"/>
    <x v="2"/>
  </r>
  <r>
    <x v="323"/>
    <x v="3"/>
    <x v="16"/>
    <x v="11"/>
    <x v="2"/>
    <x v="2"/>
    <x v="6"/>
    <x v="3"/>
    <x v="3"/>
  </r>
  <r>
    <x v="323"/>
    <x v="4"/>
    <x v="16"/>
    <x v="11"/>
    <x v="2"/>
    <x v="2"/>
    <x v="6"/>
    <x v="3"/>
    <x v="4"/>
  </r>
  <r>
    <x v="323"/>
    <x v="5"/>
    <x v="16"/>
    <x v="11"/>
    <x v="2"/>
    <x v="2"/>
    <x v="6"/>
    <x v="3"/>
    <x v="5"/>
  </r>
  <r>
    <x v="323"/>
    <x v="6"/>
    <x v="16"/>
    <x v="11"/>
    <x v="2"/>
    <x v="2"/>
    <x v="6"/>
    <x v="3"/>
    <x v="6"/>
  </r>
  <r>
    <x v="323"/>
    <x v="7"/>
    <x v="16"/>
    <x v="11"/>
    <x v="2"/>
    <x v="2"/>
    <x v="6"/>
    <x v="3"/>
    <x v="7"/>
  </r>
  <r>
    <x v="323"/>
    <x v="8"/>
    <x v="16"/>
    <x v="11"/>
    <x v="2"/>
    <x v="2"/>
    <x v="6"/>
    <x v="3"/>
    <x v="8"/>
  </r>
  <r>
    <x v="323"/>
    <x v="9"/>
    <x v="16"/>
    <x v="11"/>
    <x v="2"/>
    <x v="2"/>
    <x v="6"/>
    <x v="3"/>
    <x v="9"/>
  </r>
  <r>
    <x v="324"/>
    <x v="2"/>
    <x v="17"/>
    <x v="11"/>
    <x v="3"/>
    <x v="3"/>
    <x v="6"/>
    <x v="3"/>
    <x v="2"/>
  </r>
  <r>
    <x v="324"/>
    <x v="3"/>
    <x v="17"/>
    <x v="11"/>
    <x v="3"/>
    <x v="3"/>
    <x v="6"/>
    <x v="3"/>
    <x v="3"/>
  </r>
  <r>
    <x v="324"/>
    <x v="4"/>
    <x v="17"/>
    <x v="11"/>
    <x v="3"/>
    <x v="3"/>
    <x v="6"/>
    <x v="3"/>
    <x v="4"/>
  </r>
  <r>
    <x v="324"/>
    <x v="5"/>
    <x v="17"/>
    <x v="11"/>
    <x v="3"/>
    <x v="3"/>
    <x v="6"/>
    <x v="3"/>
    <x v="5"/>
  </r>
  <r>
    <x v="324"/>
    <x v="6"/>
    <x v="17"/>
    <x v="11"/>
    <x v="3"/>
    <x v="3"/>
    <x v="6"/>
    <x v="3"/>
    <x v="6"/>
  </r>
  <r>
    <x v="324"/>
    <x v="7"/>
    <x v="17"/>
    <x v="11"/>
    <x v="3"/>
    <x v="3"/>
    <x v="6"/>
    <x v="3"/>
    <x v="7"/>
  </r>
  <r>
    <x v="324"/>
    <x v="8"/>
    <x v="17"/>
    <x v="11"/>
    <x v="3"/>
    <x v="3"/>
    <x v="6"/>
    <x v="3"/>
    <x v="8"/>
  </r>
  <r>
    <x v="324"/>
    <x v="9"/>
    <x v="17"/>
    <x v="11"/>
    <x v="3"/>
    <x v="3"/>
    <x v="6"/>
    <x v="3"/>
    <x v="9"/>
  </r>
  <r>
    <x v="325"/>
    <x v="2"/>
    <x v="26"/>
    <x v="11"/>
    <x v="3"/>
    <x v="3"/>
    <x v="3"/>
    <x v="3"/>
    <x v="2"/>
  </r>
  <r>
    <x v="325"/>
    <x v="3"/>
    <x v="26"/>
    <x v="11"/>
    <x v="3"/>
    <x v="3"/>
    <x v="4"/>
    <x v="3"/>
    <x v="3"/>
  </r>
  <r>
    <x v="325"/>
    <x v="4"/>
    <x v="26"/>
    <x v="11"/>
    <x v="3"/>
    <x v="3"/>
    <x v="5"/>
    <x v="3"/>
    <x v="4"/>
  </r>
  <r>
    <x v="325"/>
    <x v="5"/>
    <x v="26"/>
    <x v="11"/>
    <x v="3"/>
    <x v="3"/>
    <x v="6"/>
    <x v="3"/>
    <x v="5"/>
  </r>
  <r>
    <x v="325"/>
    <x v="6"/>
    <x v="26"/>
    <x v="11"/>
    <x v="3"/>
    <x v="3"/>
    <x v="6"/>
    <x v="3"/>
    <x v="6"/>
  </r>
  <r>
    <x v="325"/>
    <x v="7"/>
    <x v="26"/>
    <x v="11"/>
    <x v="3"/>
    <x v="3"/>
    <x v="6"/>
    <x v="3"/>
    <x v="7"/>
  </r>
  <r>
    <x v="325"/>
    <x v="8"/>
    <x v="26"/>
    <x v="11"/>
    <x v="3"/>
    <x v="3"/>
    <x v="6"/>
    <x v="3"/>
    <x v="8"/>
  </r>
  <r>
    <x v="325"/>
    <x v="9"/>
    <x v="26"/>
    <x v="11"/>
    <x v="3"/>
    <x v="3"/>
    <x v="6"/>
    <x v="3"/>
    <x v="9"/>
  </r>
  <r>
    <x v="326"/>
    <x v="2"/>
    <x v="27"/>
    <x v="11"/>
    <x v="3"/>
    <x v="3"/>
    <x v="3"/>
    <x v="3"/>
    <x v="2"/>
  </r>
  <r>
    <x v="326"/>
    <x v="3"/>
    <x v="27"/>
    <x v="11"/>
    <x v="3"/>
    <x v="3"/>
    <x v="4"/>
    <x v="3"/>
    <x v="3"/>
  </r>
  <r>
    <x v="326"/>
    <x v="4"/>
    <x v="27"/>
    <x v="11"/>
    <x v="3"/>
    <x v="3"/>
    <x v="5"/>
    <x v="3"/>
    <x v="4"/>
  </r>
  <r>
    <x v="326"/>
    <x v="5"/>
    <x v="27"/>
    <x v="11"/>
    <x v="3"/>
    <x v="3"/>
    <x v="6"/>
    <x v="3"/>
    <x v="5"/>
  </r>
  <r>
    <x v="326"/>
    <x v="6"/>
    <x v="27"/>
    <x v="11"/>
    <x v="3"/>
    <x v="3"/>
    <x v="6"/>
    <x v="3"/>
    <x v="6"/>
  </r>
  <r>
    <x v="326"/>
    <x v="7"/>
    <x v="27"/>
    <x v="11"/>
    <x v="3"/>
    <x v="3"/>
    <x v="6"/>
    <x v="3"/>
    <x v="7"/>
  </r>
  <r>
    <x v="326"/>
    <x v="8"/>
    <x v="27"/>
    <x v="11"/>
    <x v="3"/>
    <x v="3"/>
    <x v="6"/>
    <x v="3"/>
    <x v="8"/>
  </r>
  <r>
    <x v="326"/>
    <x v="9"/>
    <x v="27"/>
    <x v="11"/>
    <x v="3"/>
    <x v="3"/>
    <x v="6"/>
    <x v="3"/>
    <x v="9"/>
  </r>
  <r>
    <x v="327"/>
    <x v="2"/>
    <x v="28"/>
    <x v="11"/>
    <x v="3"/>
    <x v="3"/>
    <x v="3"/>
    <x v="3"/>
    <x v="2"/>
  </r>
  <r>
    <x v="327"/>
    <x v="3"/>
    <x v="28"/>
    <x v="11"/>
    <x v="3"/>
    <x v="3"/>
    <x v="4"/>
    <x v="3"/>
    <x v="3"/>
  </r>
  <r>
    <x v="327"/>
    <x v="4"/>
    <x v="28"/>
    <x v="11"/>
    <x v="3"/>
    <x v="3"/>
    <x v="5"/>
    <x v="3"/>
    <x v="4"/>
  </r>
  <r>
    <x v="327"/>
    <x v="5"/>
    <x v="28"/>
    <x v="11"/>
    <x v="3"/>
    <x v="3"/>
    <x v="6"/>
    <x v="3"/>
    <x v="5"/>
  </r>
  <r>
    <x v="327"/>
    <x v="6"/>
    <x v="28"/>
    <x v="11"/>
    <x v="3"/>
    <x v="3"/>
    <x v="6"/>
    <x v="3"/>
    <x v="6"/>
  </r>
  <r>
    <x v="327"/>
    <x v="7"/>
    <x v="28"/>
    <x v="11"/>
    <x v="3"/>
    <x v="3"/>
    <x v="6"/>
    <x v="3"/>
    <x v="7"/>
  </r>
  <r>
    <x v="327"/>
    <x v="8"/>
    <x v="28"/>
    <x v="11"/>
    <x v="3"/>
    <x v="3"/>
    <x v="6"/>
    <x v="3"/>
    <x v="8"/>
  </r>
  <r>
    <x v="327"/>
    <x v="9"/>
    <x v="28"/>
    <x v="11"/>
    <x v="3"/>
    <x v="3"/>
    <x v="6"/>
    <x v="3"/>
    <x v="9"/>
  </r>
  <r>
    <x v="328"/>
    <x v="2"/>
    <x v="29"/>
    <x v="11"/>
    <x v="3"/>
    <x v="3"/>
    <x v="3"/>
    <x v="3"/>
    <x v="2"/>
  </r>
  <r>
    <x v="328"/>
    <x v="3"/>
    <x v="29"/>
    <x v="11"/>
    <x v="3"/>
    <x v="3"/>
    <x v="4"/>
    <x v="3"/>
    <x v="3"/>
  </r>
  <r>
    <x v="328"/>
    <x v="4"/>
    <x v="29"/>
    <x v="11"/>
    <x v="3"/>
    <x v="3"/>
    <x v="5"/>
    <x v="3"/>
    <x v="4"/>
  </r>
  <r>
    <x v="328"/>
    <x v="5"/>
    <x v="29"/>
    <x v="11"/>
    <x v="3"/>
    <x v="3"/>
    <x v="6"/>
    <x v="3"/>
    <x v="5"/>
  </r>
  <r>
    <x v="328"/>
    <x v="6"/>
    <x v="29"/>
    <x v="11"/>
    <x v="3"/>
    <x v="3"/>
    <x v="6"/>
    <x v="3"/>
    <x v="6"/>
  </r>
  <r>
    <x v="328"/>
    <x v="7"/>
    <x v="29"/>
    <x v="11"/>
    <x v="3"/>
    <x v="3"/>
    <x v="6"/>
    <x v="3"/>
    <x v="7"/>
  </r>
  <r>
    <x v="328"/>
    <x v="8"/>
    <x v="29"/>
    <x v="11"/>
    <x v="3"/>
    <x v="3"/>
    <x v="6"/>
    <x v="3"/>
    <x v="8"/>
  </r>
  <r>
    <x v="328"/>
    <x v="9"/>
    <x v="29"/>
    <x v="11"/>
    <x v="3"/>
    <x v="3"/>
    <x v="6"/>
    <x v="3"/>
    <x v="9"/>
  </r>
  <r>
    <x v="329"/>
    <x v="2"/>
    <x v="30"/>
    <x v="11"/>
    <x v="3"/>
    <x v="3"/>
    <x v="3"/>
    <x v="3"/>
    <x v="2"/>
  </r>
  <r>
    <x v="329"/>
    <x v="3"/>
    <x v="30"/>
    <x v="11"/>
    <x v="3"/>
    <x v="3"/>
    <x v="4"/>
    <x v="3"/>
    <x v="3"/>
  </r>
  <r>
    <x v="329"/>
    <x v="4"/>
    <x v="30"/>
    <x v="11"/>
    <x v="3"/>
    <x v="3"/>
    <x v="5"/>
    <x v="3"/>
    <x v="4"/>
  </r>
  <r>
    <x v="329"/>
    <x v="5"/>
    <x v="30"/>
    <x v="11"/>
    <x v="3"/>
    <x v="3"/>
    <x v="6"/>
    <x v="3"/>
    <x v="5"/>
  </r>
  <r>
    <x v="329"/>
    <x v="6"/>
    <x v="30"/>
    <x v="11"/>
    <x v="3"/>
    <x v="3"/>
    <x v="6"/>
    <x v="3"/>
    <x v="6"/>
  </r>
  <r>
    <x v="329"/>
    <x v="7"/>
    <x v="30"/>
    <x v="11"/>
    <x v="3"/>
    <x v="3"/>
    <x v="6"/>
    <x v="3"/>
    <x v="7"/>
  </r>
  <r>
    <x v="329"/>
    <x v="8"/>
    <x v="30"/>
    <x v="11"/>
    <x v="3"/>
    <x v="3"/>
    <x v="6"/>
    <x v="3"/>
    <x v="8"/>
  </r>
  <r>
    <x v="329"/>
    <x v="9"/>
    <x v="30"/>
    <x v="11"/>
    <x v="3"/>
    <x v="3"/>
    <x v="6"/>
    <x v="3"/>
    <x v="9"/>
  </r>
  <r>
    <x v="330"/>
    <x v="2"/>
    <x v="31"/>
    <x v="11"/>
    <x v="3"/>
    <x v="3"/>
    <x v="3"/>
    <x v="3"/>
    <x v="2"/>
  </r>
  <r>
    <x v="330"/>
    <x v="3"/>
    <x v="31"/>
    <x v="11"/>
    <x v="3"/>
    <x v="3"/>
    <x v="4"/>
    <x v="3"/>
    <x v="3"/>
  </r>
  <r>
    <x v="330"/>
    <x v="4"/>
    <x v="31"/>
    <x v="11"/>
    <x v="3"/>
    <x v="3"/>
    <x v="5"/>
    <x v="3"/>
    <x v="4"/>
  </r>
  <r>
    <x v="330"/>
    <x v="5"/>
    <x v="31"/>
    <x v="11"/>
    <x v="3"/>
    <x v="3"/>
    <x v="6"/>
    <x v="3"/>
    <x v="5"/>
  </r>
  <r>
    <x v="330"/>
    <x v="6"/>
    <x v="31"/>
    <x v="11"/>
    <x v="3"/>
    <x v="3"/>
    <x v="6"/>
    <x v="3"/>
    <x v="6"/>
  </r>
  <r>
    <x v="330"/>
    <x v="7"/>
    <x v="31"/>
    <x v="11"/>
    <x v="3"/>
    <x v="3"/>
    <x v="6"/>
    <x v="3"/>
    <x v="7"/>
  </r>
  <r>
    <x v="330"/>
    <x v="8"/>
    <x v="31"/>
    <x v="11"/>
    <x v="3"/>
    <x v="3"/>
    <x v="6"/>
    <x v="3"/>
    <x v="8"/>
  </r>
  <r>
    <x v="330"/>
    <x v="9"/>
    <x v="31"/>
    <x v="11"/>
    <x v="3"/>
    <x v="3"/>
    <x v="6"/>
    <x v="3"/>
    <x v="9"/>
  </r>
  <r>
    <x v="331"/>
    <x v="2"/>
    <x v="32"/>
    <x v="11"/>
    <x v="3"/>
    <x v="3"/>
    <x v="3"/>
    <x v="3"/>
    <x v="2"/>
  </r>
  <r>
    <x v="331"/>
    <x v="3"/>
    <x v="32"/>
    <x v="11"/>
    <x v="3"/>
    <x v="3"/>
    <x v="4"/>
    <x v="3"/>
    <x v="3"/>
  </r>
  <r>
    <x v="331"/>
    <x v="4"/>
    <x v="32"/>
    <x v="11"/>
    <x v="3"/>
    <x v="3"/>
    <x v="5"/>
    <x v="3"/>
    <x v="4"/>
  </r>
  <r>
    <x v="331"/>
    <x v="5"/>
    <x v="32"/>
    <x v="11"/>
    <x v="3"/>
    <x v="3"/>
    <x v="6"/>
    <x v="3"/>
    <x v="5"/>
  </r>
  <r>
    <x v="331"/>
    <x v="6"/>
    <x v="32"/>
    <x v="11"/>
    <x v="3"/>
    <x v="3"/>
    <x v="6"/>
    <x v="3"/>
    <x v="6"/>
  </r>
  <r>
    <x v="331"/>
    <x v="7"/>
    <x v="32"/>
    <x v="11"/>
    <x v="3"/>
    <x v="3"/>
    <x v="6"/>
    <x v="3"/>
    <x v="7"/>
  </r>
  <r>
    <x v="331"/>
    <x v="8"/>
    <x v="32"/>
    <x v="11"/>
    <x v="3"/>
    <x v="3"/>
    <x v="6"/>
    <x v="3"/>
    <x v="8"/>
  </r>
  <r>
    <x v="331"/>
    <x v="9"/>
    <x v="32"/>
    <x v="11"/>
    <x v="3"/>
    <x v="3"/>
    <x v="6"/>
    <x v="3"/>
    <x v="9"/>
  </r>
  <r>
    <x v="332"/>
    <x v="2"/>
    <x v="33"/>
    <x v="11"/>
    <x v="3"/>
    <x v="3"/>
    <x v="3"/>
    <x v="3"/>
    <x v="2"/>
  </r>
  <r>
    <x v="332"/>
    <x v="3"/>
    <x v="33"/>
    <x v="11"/>
    <x v="3"/>
    <x v="3"/>
    <x v="4"/>
    <x v="3"/>
    <x v="3"/>
  </r>
  <r>
    <x v="332"/>
    <x v="4"/>
    <x v="33"/>
    <x v="11"/>
    <x v="3"/>
    <x v="3"/>
    <x v="5"/>
    <x v="3"/>
    <x v="4"/>
  </r>
  <r>
    <x v="332"/>
    <x v="5"/>
    <x v="33"/>
    <x v="11"/>
    <x v="3"/>
    <x v="3"/>
    <x v="6"/>
    <x v="3"/>
    <x v="5"/>
  </r>
  <r>
    <x v="332"/>
    <x v="6"/>
    <x v="33"/>
    <x v="11"/>
    <x v="3"/>
    <x v="3"/>
    <x v="6"/>
    <x v="3"/>
    <x v="6"/>
  </r>
  <r>
    <x v="332"/>
    <x v="7"/>
    <x v="33"/>
    <x v="11"/>
    <x v="3"/>
    <x v="3"/>
    <x v="6"/>
    <x v="3"/>
    <x v="7"/>
  </r>
  <r>
    <x v="332"/>
    <x v="8"/>
    <x v="33"/>
    <x v="11"/>
    <x v="3"/>
    <x v="3"/>
    <x v="6"/>
    <x v="3"/>
    <x v="8"/>
  </r>
  <r>
    <x v="332"/>
    <x v="9"/>
    <x v="33"/>
    <x v="11"/>
    <x v="3"/>
    <x v="3"/>
    <x v="6"/>
    <x v="3"/>
    <x v="9"/>
  </r>
  <r>
    <x v="333"/>
    <x v="2"/>
    <x v="34"/>
    <x v="11"/>
    <x v="3"/>
    <x v="3"/>
    <x v="3"/>
    <x v="3"/>
    <x v="2"/>
  </r>
  <r>
    <x v="333"/>
    <x v="3"/>
    <x v="34"/>
    <x v="11"/>
    <x v="3"/>
    <x v="3"/>
    <x v="4"/>
    <x v="3"/>
    <x v="3"/>
  </r>
  <r>
    <x v="333"/>
    <x v="4"/>
    <x v="34"/>
    <x v="11"/>
    <x v="3"/>
    <x v="3"/>
    <x v="5"/>
    <x v="3"/>
    <x v="4"/>
  </r>
  <r>
    <x v="333"/>
    <x v="5"/>
    <x v="34"/>
    <x v="11"/>
    <x v="3"/>
    <x v="3"/>
    <x v="6"/>
    <x v="3"/>
    <x v="5"/>
  </r>
  <r>
    <x v="333"/>
    <x v="6"/>
    <x v="34"/>
    <x v="11"/>
    <x v="3"/>
    <x v="3"/>
    <x v="6"/>
    <x v="3"/>
    <x v="6"/>
  </r>
  <r>
    <x v="333"/>
    <x v="7"/>
    <x v="34"/>
    <x v="11"/>
    <x v="3"/>
    <x v="3"/>
    <x v="6"/>
    <x v="3"/>
    <x v="7"/>
  </r>
  <r>
    <x v="333"/>
    <x v="8"/>
    <x v="34"/>
    <x v="11"/>
    <x v="3"/>
    <x v="3"/>
    <x v="6"/>
    <x v="3"/>
    <x v="8"/>
  </r>
  <r>
    <x v="333"/>
    <x v="9"/>
    <x v="34"/>
    <x v="11"/>
    <x v="3"/>
    <x v="3"/>
    <x v="6"/>
    <x v="3"/>
    <x v="9"/>
  </r>
  <r>
    <x v="334"/>
    <x v="2"/>
    <x v="65"/>
    <x v="11"/>
    <x v="3"/>
    <x v="3"/>
    <x v="7"/>
    <x v="3"/>
    <x v="2"/>
  </r>
  <r>
    <x v="334"/>
    <x v="3"/>
    <x v="65"/>
    <x v="11"/>
    <x v="3"/>
    <x v="3"/>
    <x v="5"/>
    <x v="3"/>
    <x v="3"/>
  </r>
  <r>
    <x v="334"/>
    <x v="4"/>
    <x v="65"/>
    <x v="11"/>
    <x v="3"/>
    <x v="3"/>
    <x v="8"/>
    <x v="3"/>
    <x v="4"/>
  </r>
  <r>
    <x v="334"/>
    <x v="5"/>
    <x v="65"/>
    <x v="11"/>
    <x v="3"/>
    <x v="3"/>
    <x v="6"/>
    <x v="3"/>
    <x v="5"/>
  </r>
  <r>
    <x v="334"/>
    <x v="6"/>
    <x v="65"/>
    <x v="11"/>
    <x v="3"/>
    <x v="3"/>
    <x v="6"/>
    <x v="3"/>
    <x v="6"/>
  </r>
  <r>
    <x v="334"/>
    <x v="7"/>
    <x v="65"/>
    <x v="11"/>
    <x v="3"/>
    <x v="3"/>
    <x v="6"/>
    <x v="3"/>
    <x v="7"/>
  </r>
  <r>
    <x v="334"/>
    <x v="8"/>
    <x v="65"/>
    <x v="11"/>
    <x v="3"/>
    <x v="3"/>
    <x v="6"/>
    <x v="3"/>
    <x v="8"/>
  </r>
  <r>
    <x v="334"/>
    <x v="9"/>
    <x v="65"/>
    <x v="11"/>
    <x v="3"/>
    <x v="3"/>
    <x v="6"/>
    <x v="3"/>
    <x v="9"/>
  </r>
  <r>
    <x v="335"/>
    <x v="2"/>
    <x v="66"/>
    <x v="11"/>
    <x v="3"/>
    <x v="3"/>
    <x v="7"/>
    <x v="3"/>
    <x v="2"/>
  </r>
  <r>
    <x v="335"/>
    <x v="3"/>
    <x v="66"/>
    <x v="11"/>
    <x v="3"/>
    <x v="3"/>
    <x v="5"/>
    <x v="3"/>
    <x v="3"/>
  </r>
  <r>
    <x v="335"/>
    <x v="4"/>
    <x v="66"/>
    <x v="11"/>
    <x v="3"/>
    <x v="3"/>
    <x v="8"/>
    <x v="3"/>
    <x v="4"/>
  </r>
  <r>
    <x v="335"/>
    <x v="5"/>
    <x v="66"/>
    <x v="11"/>
    <x v="3"/>
    <x v="3"/>
    <x v="6"/>
    <x v="3"/>
    <x v="5"/>
  </r>
  <r>
    <x v="335"/>
    <x v="6"/>
    <x v="66"/>
    <x v="11"/>
    <x v="3"/>
    <x v="3"/>
    <x v="6"/>
    <x v="3"/>
    <x v="6"/>
  </r>
  <r>
    <x v="335"/>
    <x v="7"/>
    <x v="66"/>
    <x v="11"/>
    <x v="3"/>
    <x v="3"/>
    <x v="6"/>
    <x v="3"/>
    <x v="7"/>
  </r>
  <r>
    <x v="335"/>
    <x v="8"/>
    <x v="66"/>
    <x v="11"/>
    <x v="3"/>
    <x v="3"/>
    <x v="6"/>
    <x v="3"/>
    <x v="8"/>
  </r>
  <r>
    <x v="335"/>
    <x v="9"/>
    <x v="66"/>
    <x v="11"/>
    <x v="3"/>
    <x v="3"/>
    <x v="6"/>
    <x v="3"/>
    <x v="9"/>
  </r>
  <r>
    <x v="336"/>
    <x v="2"/>
    <x v="67"/>
    <x v="11"/>
    <x v="3"/>
    <x v="3"/>
    <x v="7"/>
    <x v="3"/>
    <x v="2"/>
  </r>
  <r>
    <x v="336"/>
    <x v="3"/>
    <x v="67"/>
    <x v="11"/>
    <x v="3"/>
    <x v="3"/>
    <x v="5"/>
    <x v="3"/>
    <x v="3"/>
  </r>
  <r>
    <x v="336"/>
    <x v="4"/>
    <x v="67"/>
    <x v="11"/>
    <x v="3"/>
    <x v="3"/>
    <x v="8"/>
    <x v="3"/>
    <x v="4"/>
  </r>
  <r>
    <x v="336"/>
    <x v="5"/>
    <x v="67"/>
    <x v="11"/>
    <x v="3"/>
    <x v="3"/>
    <x v="6"/>
    <x v="3"/>
    <x v="5"/>
  </r>
  <r>
    <x v="336"/>
    <x v="6"/>
    <x v="67"/>
    <x v="11"/>
    <x v="3"/>
    <x v="3"/>
    <x v="6"/>
    <x v="3"/>
    <x v="6"/>
  </r>
  <r>
    <x v="336"/>
    <x v="7"/>
    <x v="67"/>
    <x v="11"/>
    <x v="3"/>
    <x v="3"/>
    <x v="6"/>
    <x v="3"/>
    <x v="7"/>
  </r>
  <r>
    <x v="336"/>
    <x v="8"/>
    <x v="67"/>
    <x v="11"/>
    <x v="3"/>
    <x v="3"/>
    <x v="6"/>
    <x v="3"/>
    <x v="8"/>
  </r>
  <r>
    <x v="336"/>
    <x v="9"/>
    <x v="67"/>
    <x v="11"/>
    <x v="3"/>
    <x v="3"/>
    <x v="6"/>
    <x v="3"/>
    <x v="9"/>
  </r>
  <r>
    <x v="337"/>
    <x v="2"/>
    <x v="68"/>
    <x v="11"/>
    <x v="3"/>
    <x v="3"/>
    <x v="7"/>
    <x v="3"/>
    <x v="2"/>
  </r>
  <r>
    <x v="337"/>
    <x v="3"/>
    <x v="68"/>
    <x v="11"/>
    <x v="3"/>
    <x v="3"/>
    <x v="5"/>
    <x v="3"/>
    <x v="3"/>
  </r>
  <r>
    <x v="337"/>
    <x v="4"/>
    <x v="68"/>
    <x v="11"/>
    <x v="3"/>
    <x v="3"/>
    <x v="8"/>
    <x v="3"/>
    <x v="4"/>
  </r>
  <r>
    <x v="337"/>
    <x v="5"/>
    <x v="68"/>
    <x v="11"/>
    <x v="3"/>
    <x v="3"/>
    <x v="6"/>
    <x v="3"/>
    <x v="5"/>
  </r>
  <r>
    <x v="337"/>
    <x v="6"/>
    <x v="68"/>
    <x v="11"/>
    <x v="3"/>
    <x v="3"/>
    <x v="6"/>
    <x v="3"/>
    <x v="6"/>
  </r>
  <r>
    <x v="337"/>
    <x v="7"/>
    <x v="68"/>
    <x v="11"/>
    <x v="3"/>
    <x v="3"/>
    <x v="6"/>
    <x v="3"/>
    <x v="7"/>
  </r>
  <r>
    <x v="337"/>
    <x v="8"/>
    <x v="68"/>
    <x v="11"/>
    <x v="3"/>
    <x v="3"/>
    <x v="6"/>
    <x v="3"/>
    <x v="8"/>
  </r>
  <r>
    <x v="337"/>
    <x v="9"/>
    <x v="68"/>
    <x v="11"/>
    <x v="3"/>
    <x v="3"/>
    <x v="6"/>
    <x v="3"/>
    <x v="9"/>
  </r>
  <r>
    <x v="338"/>
    <x v="2"/>
    <x v="35"/>
    <x v="11"/>
    <x v="3"/>
    <x v="3"/>
    <x v="7"/>
    <x v="3"/>
    <x v="2"/>
  </r>
  <r>
    <x v="338"/>
    <x v="3"/>
    <x v="35"/>
    <x v="11"/>
    <x v="3"/>
    <x v="3"/>
    <x v="5"/>
    <x v="3"/>
    <x v="3"/>
  </r>
  <r>
    <x v="338"/>
    <x v="4"/>
    <x v="35"/>
    <x v="11"/>
    <x v="3"/>
    <x v="3"/>
    <x v="8"/>
    <x v="3"/>
    <x v="4"/>
  </r>
  <r>
    <x v="338"/>
    <x v="5"/>
    <x v="35"/>
    <x v="11"/>
    <x v="3"/>
    <x v="3"/>
    <x v="6"/>
    <x v="3"/>
    <x v="5"/>
  </r>
  <r>
    <x v="338"/>
    <x v="6"/>
    <x v="35"/>
    <x v="11"/>
    <x v="3"/>
    <x v="3"/>
    <x v="6"/>
    <x v="3"/>
    <x v="6"/>
  </r>
  <r>
    <x v="338"/>
    <x v="7"/>
    <x v="35"/>
    <x v="11"/>
    <x v="3"/>
    <x v="3"/>
    <x v="6"/>
    <x v="3"/>
    <x v="7"/>
  </r>
  <r>
    <x v="338"/>
    <x v="8"/>
    <x v="35"/>
    <x v="11"/>
    <x v="3"/>
    <x v="3"/>
    <x v="6"/>
    <x v="3"/>
    <x v="8"/>
  </r>
  <r>
    <x v="338"/>
    <x v="9"/>
    <x v="35"/>
    <x v="11"/>
    <x v="3"/>
    <x v="3"/>
    <x v="6"/>
    <x v="3"/>
    <x v="9"/>
  </r>
  <r>
    <x v="339"/>
    <x v="2"/>
    <x v="36"/>
    <x v="11"/>
    <x v="3"/>
    <x v="3"/>
    <x v="7"/>
    <x v="3"/>
    <x v="2"/>
  </r>
  <r>
    <x v="339"/>
    <x v="3"/>
    <x v="36"/>
    <x v="11"/>
    <x v="3"/>
    <x v="3"/>
    <x v="5"/>
    <x v="3"/>
    <x v="3"/>
  </r>
  <r>
    <x v="339"/>
    <x v="4"/>
    <x v="36"/>
    <x v="11"/>
    <x v="3"/>
    <x v="3"/>
    <x v="8"/>
    <x v="3"/>
    <x v="4"/>
  </r>
  <r>
    <x v="339"/>
    <x v="5"/>
    <x v="36"/>
    <x v="11"/>
    <x v="3"/>
    <x v="3"/>
    <x v="6"/>
    <x v="3"/>
    <x v="5"/>
  </r>
  <r>
    <x v="339"/>
    <x v="6"/>
    <x v="36"/>
    <x v="11"/>
    <x v="3"/>
    <x v="3"/>
    <x v="6"/>
    <x v="3"/>
    <x v="6"/>
  </r>
  <r>
    <x v="339"/>
    <x v="7"/>
    <x v="36"/>
    <x v="11"/>
    <x v="3"/>
    <x v="3"/>
    <x v="6"/>
    <x v="3"/>
    <x v="7"/>
  </r>
  <r>
    <x v="339"/>
    <x v="8"/>
    <x v="36"/>
    <x v="11"/>
    <x v="3"/>
    <x v="3"/>
    <x v="6"/>
    <x v="3"/>
    <x v="8"/>
  </r>
  <r>
    <x v="339"/>
    <x v="9"/>
    <x v="36"/>
    <x v="11"/>
    <x v="3"/>
    <x v="3"/>
    <x v="6"/>
    <x v="3"/>
    <x v="9"/>
  </r>
  <r>
    <x v="340"/>
    <x v="2"/>
    <x v="37"/>
    <x v="11"/>
    <x v="3"/>
    <x v="3"/>
    <x v="5"/>
    <x v="3"/>
    <x v="2"/>
  </r>
  <r>
    <x v="340"/>
    <x v="3"/>
    <x v="37"/>
    <x v="11"/>
    <x v="3"/>
    <x v="3"/>
    <x v="5"/>
    <x v="3"/>
    <x v="3"/>
  </r>
  <r>
    <x v="340"/>
    <x v="4"/>
    <x v="37"/>
    <x v="11"/>
    <x v="3"/>
    <x v="3"/>
    <x v="6"/>
    <x v="3"/>
    <x v="4"/>
  </r>
  <r>
    <x v="340"/>
    <x v="5"/>
    <x v="37"/>
    <x v="11"/>
    <x v="3"/>
    <x v="3"/>
    <x v="6"/>
    <x v="3"/>
    <x v="5"/>
  </r>
  <r>
    <x v="340"/>
    <x v="6"/>
    <x v="37"/>
    <x v="11"/>
    <x v="3"/>
    <x v="3"/>
    <x v="6"/>
    <x v="3"/>
    <x v="6"/>
  </r>
  <r>
    <x v="340"/>
    <x v="7"/>
    <x v="37"/>
    <x v="11"/>
    <x v="3"/>
    <x v="3"/>
    <x v="6"/>
    <x v="3"/>
    <x v="7"/>
  </r>
  <r>
    <x v="340"/>
    <x v="8"/>
    <x v="37"/>
    <x v="11"/>
    <x v="3"/>
    <x v="3"/>
    <x v="6"/>
    <x v="3"/>
    <x v="8"/>
  </r>
  <r>
    <x v="340"/>
    <x v="9"/>
    <x v="37"/>
    <x v="11"/>
    <x v="3"/>
    <x v="3"/>
    <x v="6"/>
    <x v="3"/>
    <x v="9"/>
  </r>
  <r>
    <x v="341"/>
    <x v="2"/>
    <x v="38"/>
    <x v="11"/>
    <x v="3"/>
    <x v="3"/>
    <x v="5"/>
    <x v="3"/>
    <x v="2"/>
  </r>
  <r>
    <x v="341"/>
    <x v="3"/>
    <x v="38"/>
    <x v="11"/>
    <x v="3"/>
    <x v="3"/>
    <x v="5"/>
    <x v="3"/>
    <x v="3"/>
  </r>
  <r>
    <x v="341"/>
    <x v="4"/>
    <x v="38"/>
    <x v="11"/>
    <x v="3"/>
    <x v="3"/>
    <x v="6"/>
    <x v="3"/>
    <x v="4"/>
  </r>
  <r>
    <x v="341"/>
    <x v="5"/>
    <x v="38"/>
    <x v="11"/>
    <x v="3"/>
    <x v="3"/>
    <x v="6"/>
    <x v="3"/>
    <x v="5"/>
  </r>
  <r>
    <x v="341"/>
    <x v="6"/>
    <x v="38"/>
    <x v="11"/>
    <x v="3"/>
    <x v="3"/>
    <x v="6"/>
    <x v="3"/>
    <x v="6"/>
  </r>
  <r>
    <x v="341"/>
    <x v="7"/>
    <x v="38"/>
    <x v="11"/>
    <x v="3"/>
    <x v="3"/>
    <x v="6"/>
    <x v="3"/>
    <x v="7"/>
  </r>
  <r>
    <x v="341"/>
    <x v="8"/>
    <x v="38"/>
    <x v="11"/>
    <x v="3"/>
    <x v="3"/>
    <x v="6"/>
    <x v="3"/>
    <x v="8"/>
  </r>
  <r>
    <x v="341"/>
    <x v="9"/>
    <x v="38"/>
    <x v="11"/>
    <x v="3"/>
    <x v="3"/>
    <x v="6"/>
    <x v="3"/>
    <x v="9"/>
  </r>
  <r>
    <x v="342"/>
    <x v="2"/>
    <x v="39"/>
    <x v="11"/>
    <x v="3"/>
    <x v="3"/>
    <x v="5"/>
    <x v="3"/>
    <x v="2"/>
  </r>
  <r>
    <x v="342"/>
    <x v="3"/>
    <x v="39"/>
    <x v="11"/>
    <x v="3"/>
    <x v="3"/>
    <x v="5"/>
    <x v="3"/>
    <x v="3"/>
  </r>
  <r>
    <x v="342"/>
    <x v="4"/>
    <x v="39"/>
    <x v="11"/>
    <x v="3"/>
    <x v="3"/>
    <x v="6"/>
    <x v="3"/>
    <x v="4"/>
  </r>
  <r>
    <x v="342"/>
    <x v="5"/>
    <x v="39"/>
    <x v="11"/>
    <x v="3"/>
    <x v="3"/>
    <x v="6"/>
    <x v="3"/>
    <x v="5"/>
  </r>
  <r>
    <x v="342"/>
    <x v="6"/>
    <x v="39"/>
    <x v="11"/>
    <x v="3"/>
    <x v="3"/>
    <x v="6"/>
    <x v="3"/>
    <x v="6"/>
  </r>
  <r>
    <x v="342"/>
    <x v="7"/>
    <x v="39"/>
    <x v="11"/>
    <x v="3"/>
    <x v="3"/>
    <x v="6"/>
    <x v="3"/>
    <x v="7"/>
  </r>
  <r>
    <x v="342"/>
    <x v="8"/>
    <x v="39"/>
    <x v="11"/>
    <x v="3"/>
    <x v="3"/>
    <x v="6"/>
    <x v="3"/>
    <x v="8"/>
  </r>
  <r>
    <x v="342"/>
    <x v="9"/>
    <x v="39"/>
    <x v="11"/>
    <x v="3"/>
    <x v="3"/>
    <x v="6"/>
    <x v="3"/>
    <x v="9"/>
  </r>
  <r>
    <x v="343"/>
    <x v="2"/>
    <x v="40"/>
    <x v="11"/>
    <x v="3"/>
    <x v="3"/>
    <x v="5"/>
    <x v="3"/>
    <x v="2"/>
  </r>
  <r>
    <x v="343"/>
    <x v="3"/>
    <x v="40"/>
    <x v="11"/>
    <x v="3"/>
    <x v="3"/>
    <x v="5"/>
    <x v="3"/>
    <x v="3"/>
  </r>
  <r>
    <x v="343"/>
    <x v="4"/>
    <x v="40"/>
    <x v="11"/>
    <x v="3"/>
    <x v="3"/>
    <x v="6"/>
    <x v="3"/>
    <x v="4"/>
  </r>
  <r>
    <x v="343"/>
    <x v="5"/>
    <x v="40"/>
    <x v="11"/>
    <x v="3"/>
    <x v="3"/>
    <x v="6"/>
    <x v="3"/>
    <x v="5"/>
  </r>
  <r>
    <x v="343"/>
    <x v="6"/>
    <x v="40"/>
    <x v="11"/>
    <x v="3"/>
    <x v="3"/>
    <x v="6"/>
    <x v="3"/>
    <x v="6"/>
  </r>
  <r>
    <x v="343"/>
    <x v="7"/>
    <x v="40"/>
    <x v="11"/>
    <x v="3"/>
    <x v="3"/>
    <x v="6"/>
    <x v="3"/>
    <x v="7"/>
  </r>
  <r>
    <x v="343"/>
    <x v="8"/>
    <x v="40"/>
    <x v="11"/>
    <x v="3"/>
    <x v="3"/>
    <x v="6"/>
    <x v="3"/>
    <x v="8"/>
  </r>
  <r>
    <x v="343"/>
    <x v="9"/>
    <x v="40"/>
    <x v="11"/>
    <x v="3"/>
    <x v="3"/>
    <x v="6"/>
    <x v="3"/>
    <x v="9"/>
  </r>
  <r>
    <x v="344"/>
    <x v="2"/>
    <x v="41"/>
    <x v="11"/>
    <x v="3"/>
    <x v="3"/>
    <x v="5"/>
    <x v="3"/>
    <x v="2"/>
  </r>
  <r>
    <x v="344"/>
    <x v="3"/>
    <x v="41"/>
    <x v="11"/>
    <x v="3"/>
    <x v="3"/>
    <x v="5"/>
    <x v="3"/>
    <x v="3"/>
  </r>
  <r>
    <x v="344"/>
    <x v="4"/>
    <x v="41"/>
    <x v="11"/>
    <x v="3"/>
    <x v="3"/>
    <x v="6"/>
    <x v="3"/>
    <x v="4"/>
  </r>
  <r>
    <x v="344"/>
    <x v="5"/>
    <x v="41"/>
    <x v="11"/>
    <x v="3"/>
    <x v="3"/>
    <x v="6"/>
    <x v="3"/>
    <x v="5"/>
  </r>
  <r>
    <x v="344"/>
    <x v="6"/>
    <x v="41"/>
    <x v="11"/>
    <x v="3"/>
    <x v="3"/>
    <x v="6"/>
    <x v="3"/>
    <x v="6"/>
  </r>
  <r>
    <x v="344"/>
    <x v="7"/>
    <x v="41"/>
    <x v="11"/>
    <x v="3"/>
    <x v="3"/>
    <x v="6"/>
    <x v="3"/>
    <x v="7"/>
  </r>
  <r>
    <x v="344"/>
    <x v="8"/>
    <x v="41"/>
    <x v="11"/>
    <x v="3"/>
    <x v="3"/>
    <x v="6"/>
    <x v="3"/>
    <x v="8"/>
  </r>
  <r>
    <x v="344"/>
    <x v="9"/>
    <x v="41"/>
    <x v="11"/>
    <x v="3"/>
    <x v="3"/>
    <x v="6"/>
    <x v="3"/>
    <x v="9"/>
  </r>
  <r>
    <x v="345"/>
    <x v="2"/>
    <x v="42"/>
    <x v="11"/>
    <x v="3"/>
    <x v="3"/>
    <x v="6"/>
    <x v="3"/>
    <x v="2"/>
  </r>
  <r>
    <x v="345"/>
    <x v="3"/>
    <x v="42"/>
    <x v="11"/>
    <x v="3"/>
    <x v="3"/>
    <x v="6"/>
    <x v="3"/>
    <x v="3"/>
  </r>
  <r>
    <x v="345"/>
    <x v="4"/>
    <x v="42"/>
    <x v="11"/>
    <x v="3"/>
    <x v="3"/>
    <x v="6"/>
    <x v="3"/>
    <x v="4"/>
  </r>
  <r>
    <x v="345"/>
    <x v="5"/>
    <x v="42"/>
    <x v="11"/>
    <x v="3"/>
    <x v="3"/>
    <x v="6"/>
    <x v="3"/>
    <x v="5"/>
  </r>
  <r>
    <x v="345"/>
    <x v="6"/>
    <x v="42"/>
    <x v="11"/>
    <x v="3"/>
    <x v="3"/>
    <x v="6"/>
    <x v="3"/>
    <x v="6"/>
  </r>
  <r>
    <x v="345"/>
    <x v="7"/>
    <x v="42"/>
    <x v="11"/>
    <x v="3"/>
    <x v="3"/>
    <x v="6"/>
    <x v="3"/>
    <x v="7"/>
  </r>
  <r>
    <x v="345"/>
    <x v="8"/>
    <x v="42"/>
    <x v="11"/>
    <x v="3"/>
    <x v="3"/>
    <x v="6"/>
    <x v="3"/>
    <x v="8"/>
  </r>
  <r>
    <x v="345"/>
    <x v="9"/>
    <x v="42"/>
    <x v="11"/>
    <x v="3"/>
    <x v="3"/>
    <x v="6"/>
    <x v="3"/>
    <x v="9"/>
  </r>
  <r>
    <x v="346"/>
    <x v="2"/>
    <x v="43"/>
    <x v="11"/>
    <x v="3"/>
    <x v="3"/>
    <x v="6"/>
    <x v="3"/>
    <x v="2"/>
  </r>
  <r>
    <x v="346"/>
    <x v="3"/>
    <x v="43"/>
    <x v="11"/>
    <x v="3"/>
    <x v="3"/>
    <x v="6"/>
    <x v="3"/>
    <x v="3"/>
  </r>
  <r>
    <x v="346"/>
    <x v="4"/>
    <x v="43"/>
    <x v="11"/>
    <x v="3"/>
    <x v="3"/>
    <x v="6"/>
    <x v="3"/>
    <x v="4"/>
  </r>
  <r>
    <x v="346"/>
    <x v="5"/>
    <x v="43"/>
    <x v="11"/>
    <x v="3"/>
    <x v="3"/>
    <x v="6"/>
    <x v="3"/>
    <x v="5"/>
  </r>
  <r>
    <x v="346"/>
    <x v="6"/>
    <x v="43"/>
    <x v="11"/>
    <x v="3"/>
    <x v="3"/>
    <x v="6"/>
    <x v="3"/>
    <x v="6"/>
  </r>
  <r>
    <x v="346"/>
    <x v="7"/>
    <x v="43"/>
    <x v="11"/>
    <x v="3"/>
    <x v="3"/>
    <x v="6"/>
    <x v="3"/>
    <x v="7"/>
  </r>
  <r>
    <x v="346"/>
    <x v="8"/>
    <x v="43"/>
    <x v="11"/>
    <x v="3"/>
    <x v="3"/>
    <x v="6"/>
    <x v="3"/>
    <x v="8"/>
  </r>
  <r>
    <x v="346"/>
    <x v="9"/>
    <x v="43"/>
    <x v="11"/>
    <x v="3"/>
    <x v="3"/>
    <x v="6"/>
    <x v="3"/>
    <x v="9"/>
  </r>
  <r>
    <x v="347"/>
    <x v="2"/>
    <x v="44"/>
    <x v="11"/>
    <x v="3"/>
    <x v="3"/>
    <x v="6"/>
    <x v="3"/>
    <x v="2"/>
  </r>
  <r>
    <x v="347"/>
    <x v="3"/>
    <x v="44"/>
    <x v="11"/>
    <x v="3"/>
    <x v="3"/>
    <x v="6"/>
    <x v="3"/>
    <x v="3"/>
  </r>
  <r>
    <x v="347"/>
    <x v="4"/>
    <x v="44"/>
    <x v="11"/>
    <x v="3"/>
    <x v="3"/>
    <x v="6"/>
    <x v="3"/>
    <x v="4"/>
  </r>
  <r>
    <x v="347"/>
    <x v="5"/>
    <x v="44"/>
    <x v="11"/>
    <x v="3"/>
    <x v="3"/>
    <x v="6"/>
    <x v="3"/>
    <x v="5"/>
  </r>
  <r>
    <x v="347"/>
    <x v="6"/>
    <x v="44"/>
    <x v="11"/>
    <x v="3"/>
    <x v="3"/>
    <x v="6"/>
    <x v="3"/>
    <x v="6"/>
  </r>
  <r>
    <x v="347"/>
    <x v="7"/>
    <x v="44"/>
    <x v="11"/>
    <x v="3"/>
    <x v="3"/>
    <x v="6"/>
    <x v="3"/>
    <x v="7"/>
  </r>
  <r>
    <x v="347"/>
    <x v="8"/>
    <x v="44"/>
    <x v="11"/>
    <x v="3"/>
    <x v="3"/>
    <x v="6"/>
    <x v="3"/>
    <x v="8"/>
  </r>
  <r>
    <x v="347"/>
    <x v="9"/>
    <x v="44"/>
    <x v="11"/>
    <x v="3"/>
    <x v="3"/>
    <x v="6"/>
    <x v="3"/>
    <x v="9"/>
  </r>
  <r>
    <x v="348"/>
    <x v="2"/>
    <x v="14"/>
    <x v="12"/>
    <x v="2"/>
    <x v="2"/>
    <x v="6"/>
    <x v="3"/>
    <x v="2"/>
  </r>
  <r>
    <x v="348"/>
    <x v="3"/>
    <x v="14"/>
    <x v="12"/>
    <x v="2"/>
    <x v="2"/>
    <x v="6"/>
    <x v="3"/>
    <x v="3"/>
  </r>
  <r>
    <x v="348"/>
    <x v="4"/>
    <x v="14"/>
    <x v="12"/>
    <x v="2"/>
    <x v="2"/>
    <x v="6"/>
    <x v="3"/>
    <x v="4"/>
  </r>
  <r>
    <x v="348"/>
    <x v="5"/>
    <x v="14"/>
    <x v="12"/>
    <x v="2"/>
    <x v="2"/>
    <x v="6"/>
    <x v="3"/>
    <x v="5"/>
  </r>
  <r>
    <x v="348"/>
    <x v="6"/>
    <x v="14"/>
    <x v="12"/>
    <x v="2"/>
    <x v="2"/>
    <x v="6"/>
    <x v="3"/>
    <x v="6"/>
  </r>
  <r>
    <x v="348"/>
    <x v="7"/>
    <x v="14"/>
    <x v="12"/>
    <x v="2"/>
    <x v="2"/>
    <x v="6"/>
    <x v="3"/>
    <x v="7"/>
  </r>
  <r>
    <x v="348"/>
    <x v="8"/>
    <x v="14"/>
    <x v="12"/>
    <x v="2"/>
    <x v="2"/>
    <x v="6"/>
    <x v="3"/>
    <x v="8"/>
  </r>
  <r>
    <x v="348"/>
    <x v="9"/>
    <x v="14"/>
    <x v="12"/>
    <x v="2"/>
    <x v="2"/>
    <x v="6"/>
    <x v="3"/>
    <x v="9"/>
  </r>
  <r>
    <x v="349"/>
    <x v="2"/>
    <x v="15"/>
    <x v="12"/>
    <x v="2"/>
    <x v="2"/>
    <x v="6"/>
    <x v="3"/>
    <x v="2"/>
  </r>
  <r>
    <x v="349"/>
    <x v="3"/>
    <x v="15"/>
    <x v="12"/>
    <x v="2"/>
    <x v="2"/>
    <x v="6"/>
    <x v="3"/>
    <x v="3"/>
  </r>
  <r>
    <x v="349"/>
    <x v="4"/>
    <x v="15"/>
    <x v="12"/>
    <x v="2"/>
    <x v="2"/>
    <x v="6"/>
    <x v="3"/>
    <x v="4"/>
  </r>
  <r>
    <x v="349"/>
    <x v="5"/>
    <x v="15"/>
    <x v="12"/>
    <x v="2"/>
    <x v="2"/>
    <x v="6"/>
    <x v="3"/>
    <x v="5"/>
  </r>
  <r>
    <x v="349"/>
    <x v="6"/>
    <x v="15"/>
    <x v="12"/>
    <x v="2"/>
    <x v="2"/>
    <x v="6"/>
    <x v="3"/>
    <x v="6"/>
  </r>
  <r>
    <x v="349"/>
    <x v="7"/>
    <x v="15"/>
    <x v="12"/>
    <x v="2"/>
    <x v="2"/>
    <x v="6"/>
    <x v="3"/>
    <x v="7"/>
  </r>
  <r>
    <x v="349"/>
    <x v="8"/>
    <x v="15"/>
    <x v="12"/>
    <x v="2"/>
    <x v="2"/>
    <x v="6"/>
    <x v="3"/>
    <x v="8"/>
  </r>
  <r>
    <x v="349"/>
    <x v="9"/>
    <x v="15"/>
    <x v="12"/>
    <x v="2"/>
    <x v="2"/>
    <x v="6"/>
    <x v="3"/>
    <x v="9"/>
  </r>
  <r>
    <x v="350"/>
    <x v="2"/>
    <x v="44"/>
    <x v="12"/>
    <x v="2"/>
    <x v="2"/>
    <x v="6"/>
    <x v="3"/>
    <x v="2"/>
  </r>
  <r>
    <x v="350"/>
    <x v="3"/>
    <x v="44"/>
    <x v="12"/>
    <x v="2"/>
    <x v="2"/>
    <x v="6"/>
    <x v="3"/>
    <x v="3"/>
  </r>
  <r>
    <x v="350"/>
    <x v="4"/>
    <x v="44"/>
    <x v="12"/>
    <x v="2"/>
    <x v="2"/>
    <x v="6"/>
    <x v="3"/>
    <x v="4"/>
  </r>
  <r>
    <x v="350"/>
    <x v="5"/>
    <x v="44"/>
    <x v="12"/>
    <x v="2"/>
    <x v="2"/>
    <x v="6"/>
    <x v="3"/>
    <x v="5"/>
  </r>
  <r>
    <x v="350"/>
    <x v="6"/>
    <x v="44"/>
    <x v="12"/>
    <x v="2"/>
    <x v="2"/>
    <x v="6"/>
    <x v="3"/>
    <x v="6"/>
  </r>
  <r>
    <x v="350"/>
    <x v="7"/>
    <x v="44"/>
    <x v="12"/>
    <x v="2"/>
    <x v="2"/>
    <x v="6"/>
    <x v="3"/>
    <x v="7"/>
  </r>
  <r>
    <x v="350"/>
    <x v="8"/>
    <x v="44"/>
    <x v="12"/>
    <x v="2"/>
    <x v="2"/>
    <x v="6"/>
    <x v="3"/>
    <x v="8"/>
  </r>
  <r>
    <x v="350"/>
    <x v="9"/>
    <x v="44"/>
    <x v="12"/>
    <x v="2"/>
    <x v="2"/>
    <x v="6"/>
    <x v="3"/>
    <x v="9"/>
  </r>
  <r>
    <x v="351"/>
    <x v="2"/>
    <x v="7"/>
    <x v="12"/>
    <x v="2"/>
    <x v="2"/>
    <x v="2"/>
    <x v="3"/>
    <x v="2"/>
  </r>
  <r>
    <x v="351"/>
    <x v="3"/>
    <x v="7"/>
    <x v="12"/>
    <x v="2"/>
    <x v="2"/>
    <x v="3"/>
    <x v="5"/>
    <x v="3"/>
  </r>
  <r>
    <x v="351"/>
    <x v="4"/>
    <x v="7"/>
    <x v="12"/>
    <x v="2"/>
    <x v="2"/>
    <x v="4"/>
    <x v="5"/>
    <x v="4"/>
  </r>
  <r>
    <x v="351"/>
    <x v="5"/>
    <x v="7"/>
    <x v="12"/>
    <x v="2"/>
    <x v="2"/>
    <x v="5"/>
    <x v="5"/>
    <x v="5"/>
  </r>
  <r>
    <x v="351"/>
    <x v="6"/>
    <x v="7"/>
    <x v="12"/>
    <x v="2"/>
    <x v="2"/>
    <x v="8"/>
    <x v="5"/>
    <x v="6"/>
  </r>
  <r>
    <x v="351"/>
    <x v="7"/>
    <x v="7"/>
    <x v="12"/>
    <x v="2"/>
    <x v="2"/>
    <x v="6"/>
    <x v="5"/>
    <x v="7"/>
  </r>
  <r>
    <x v="351"/>
    <x v="8"/>
    <x v="7"/>
    <x v="12"/>
    <x v="2"/>
    <x v="2"/>
    <x v="6"/>
    <x v="5"/>
    <x v="8"/>
  </r>
  <r>
    <x v="351"/>
    <x v="9"/>
    <x v="7"/>
    <x v="12"/>
    <x v="2"/>
    <x v="2"/>
    <x v="6"/>
    <x v="5"/>
    <x v="9"/>
  </r>
  <r>
    <x v="352"/>
    <x v="2"/>
    <x v="8"/>
    <x v="12"/>
    <x v="2"/>
    <x v="2"/>
    <x v="2"/>
    <x v="5"/>
    <x v="2"/>
  </r>
  <r>
    <x v="352"/>
    <x v="3"/>
    <x v="8"/>
    <x v="12"/>
    <x v="2"/>
    <x v="2"/>
    <x v="3"/>
    <x v="5"/>
    <x v="3"/>
  </r>
  <r>
    <x v="352"/>
    <x v="4"/>
    <x v="8"/>
    <x v="12"/>
    <x v="2"/>
    <x v="2"/>
    <x v="4"/>
    <x v="5"/>
    <x v="4"/>
  </r>
  <r>
    <x v="352"/>
    <x v="5"/>
    <x v="8"/>
    <x v="12"/>
    <x v="2"/>
    <x v="2"/>
    <x v="5"/>
    <x v="5"/>
    <x v="5"/>
  </r>
  <r>
    <x v="352"/>
    <x v="6"/>
    <x v="8"/>
    <x v="12"/>
    <x v="2"/>
    <x v="2"/>
    <x v="8"/>
    <x v="5"/>
    <x v="6"/>
  </r>
  <r>
    <x v="352"/>
    <x v="7"/>
    <x v="8"/>
    <x v="12"/>
    <x v="2"/>
    <x v="2"/>
    <x v="6"/>
    <x v="5"/>
    <x v="7"/>
  </r>
  <r>
    <x v="352"/>
    <x v="8"/>
    <x v="8"/>
    <x v="12"/>
    <x v="2"/>
    <x v="2"/>
    <x v="6"/>
    <x v="5"/>
    <x v="8"/>
  </r>
  <r>
    <x v="352"/>
    <x v="9"/>
    <x v="8"/>
    <x v="12"/>
    <x v="2"/>
    <x v="2"/>
    <x v="6"/>
    <x v="5"/>
    <x v="9"/>
  </r>
  <r>
    <x v="353"/>
    <x v="2"/>
    <x v="9"/>
    <x v="12"/>
    <x v="2"/>
    <x v="2"/>
    <x v="3"/>
    <x v="5"/>
    <x v="2"/>
  </r>
  <r>
    <x v="353"/>
    <x v="3"/>
    <x v="9"/>
    <x v="12"/>
    <x v="2"/>
    <x v="2"/>
    <x v="4"/>
    <x v="5"/>
    <x v="3"/>
  </r>
  <r>
    <x v="353"/>
    <x v="4"/>
    <x v="9"/>
    <x v="12"/>
    <x v="2"/>
    <x v="2"/>
    <x v="5"/>
    <x v="5"/>
    <x v="4"/>
  </r>
  <r>
    <x v="353"/>
    <x v="5"/>
    <x v="9"/>
    <x v="12"/>
    <x v="2"/>
    <x v="2"/>
    <x v="6"/>
    <x v="5"/>
    <x v="5"/>
  </r>
  <r>
    <x v="353"/>
    <x v="6"/>
    <x v="9"/>
    <x v="12"/>
    <x v="2"/>
    <x v="2"/>
    <x v="6"/>
    <x v="5"/>
    <x v="6"/>
  </r>
  <r>
    <x v="353"/>
    <x v="7"/>
    <x v="9"/>
    <x v="12"/>
    <x v="2"/>
    <x v="2"/>
    <x v="6"/>
    <x v="5"/>
    <x v="7"/>
  </r>
  <r>
    <x v="353"/>
    <x v="8"/>
    <x v="9"/>
    <x v="12"/>
    <x v="2"/>
    <x v="2"/>
    <x v="6"/>
    <x v="5"/>
    <x v="8"/>
  </r>
  <r>
    <x v="353"/>
    <x v="9"/>
    <x v="9"/>
    <x v="12"/>
    <x v="2"/>
    <x v="2"/>
    <x v="6"/>
    <x v="5"/>
    <x v="9"/>
  </r>
  <r>
    <x v="354"/>
    <x v="2"/>
    <x v="10"/>
    <x v="12"/>
    <x v="2"/>
    <x v="2"/>
    <x v="3"/>
    <x v="5"/>
    <x v="2"/>
  </r>
  <r>
    <x v="354"/>
    <x v="3"/>
    <x v="10"/>
    <x v="12"/>
    <x v="2"/>
    <x v="2"/>
    <x v="4"/>
    <x v="5"/>
    <x v="3"/>
  </r>
  <r>
    <x v="354"/>
    <x v="4"/>
    <x v="10"/>
    <x v="12"/>
    <x v="2"/>
    <x v="2"/>
    <x v="5"/>
    <x v="5"/>
    <x v="4"/>
  </r>
  <r>
    <x v="354"/>
    <x v="5"/>
    <x v="10"/>
    <x v="12"/>
    <x v="2"/>
    <x v="2"/>
    <x v="6"/>
    <x v="5"/>
    <x v="5"/>
  </r>
  <r>
    <x v="354"/>
    <x v="6"/>
    <x v="10"/>
    <x v="12"/>
    <x v="2"/>
    <x v="2"/>
    <x v="6"/>
    <x v="5"/>
    <x v="6"/>
  </r>
  <r>
    <x v="354"/>
    <x v="7"/>
    <x v="10"/>
    <x v="12"/>
    <x v="2"/>
    <x v="2"/>
    <x v="6"/>
    <x v="5"/>
    <x v="7"/>
  </r>
  <r>
    <x v="354"/>
    <x v="8"/>
    <x v="10"/>
    <x v="12"/>
    <x v="2"/>
    <x v="2"/>
    <x v="6"/>
    <x v="5"/>
    <x v="8"/>
  </r>
  <r>
    <x v="354"/>
    <x v="9"/>
    <x v="10"/>
    <x v="12"/>
    <x v="2"/>
    <x v="2"/>
    <x v="6"/>
    <x v="5"/>
    <x v="9"/>
  </r>
  <r>
    <x v="355"/>
    <x v="2"/>
    <x v="11"/>
    <x v="12"/>
    <x v="2"/>
    <x v="2"/>
    <x v="3"/>
    <x v="5"/>
    <x v="2"/>
  </r>
  <r>
    <x v="355"/>
    <x v="3"/>
    <x v="11"/>
    <x v="12"/>
    <x v="2"/>
    <x v="2"/>
    <x v="4"/>
    <x v="5"/>
    <x v="3"/>
  </r>
  <r>
    <x v="355"/>
    <x v="4"/>
    <x v="11"/>
    <x v="12"/>
    <x v="2"/>
    <x v="2"/>
    <x v="5"/>
    <x v="5"/>
    <x v="4"/>
  </r>
  <r>
    <x v="355"/>
    <x v="5"/>
    <x v="11"/>
    <x v="12"/>
    <x v="2"/>
    <x v="2"/>
    <x v="6"/>
    <x v="5"/>
    <x v="5"/>
  </r>
  <r>
    <x v="355"/>
    <x v="6"/>
    <x v="11"/>
    <x v="12"/>
    <x v="2"/>
    <x v="2"/>
    <x v="6"/>
    <x v="5"/>
    <x v="6"/>
  </r>
  <r>
    <x v="355"/>
    <x v="7"/>
    <x v="11"/>
    <x v="12"/>
    <x v="2"/>
    <x v="2"/>
    <x v="6"/>
    <x v="5"/>
    <x v="7"/>
  </r>
  <r>
    <x v="355"/>
    <x v="8"/>
    <x v="11"/>
    <x v="12"/>
    <x v="2"/>
    <x v="2"/>
    <x v="6"/>
    <x v="5"/>
    <x v="8"/>
  </r>
  <r>
    <x v="355"/>
    <x v="9"/>
    <x v="11"/>
    <x v="12"/>
    <x v="2"/>
    <x v="2"/>
    <x v="6"/>
    <x v="5"/>
    <x v="9"/>
  </r>
  <r>
    <x v="356"/>
    <x v="2"/>
    <x v="12"/>
    <x v="12"/>
    <x v="2"/>
    <x v="2"/>
    <x v="3"/>
    <x v="5"/>
    <x v="2"/>
  </r>
  <r>
    <x v="356"/>
    <x v="3"/>
    <x v="12"/>
    <x v="12"/>
    <x v="2"/>
    <x v="2"/>
    <x v="4"/>
    <x v="5"/>
    <x v="3"/>
  </r>
  <r>
    <x v="356"/>
    <x v="4"/>
    <x v="12"/>
    <x v="12"/>
    <x v="2"/>
    <x v="2"/>
    <x v="5"/>
    <x v="5"/>
    <x v="4"/>
  </r>
  <r>
    <x v="356"/>
    <x v="5"/>
    <x v="12"/>
    <x v="12"/>
    <x v="2"/>
    <x v="2"/>
    <x v="6"/>
    <x v="5"/>
    <x v="5"/>
  </r>
  <r>
    <x v="356"/>
    <x v="6"/>
    <x v="12"/>
    <x v="12"/>
    <x v="2"/>
    <x v="2"/>
    <x v="6"/>
    <x v="5"/>
    <x v="6"/>
  </r>
  <r>
    <x v="356"/>
    <x v="7"/>
    <x v="12"/>
    <x v="12"/>
    <x v="2"/>
    <x v="2"/>
    <x v="6"/>
    <x v="5"/>
    <x v="7"/>
  </r>
  <r>
    <x v="356"/>
    <x v="8"/>
    <x v="12"/>
    <x v="12"/>
    <x v="2"/>
    <x v="2"/>
    <x v="6"/>
    <x v="5"/>
    <x v="8"/>
  </r>
  <r>
    <x v="356"/>
    <x v="9"/>
    <x v="12"/>
    <x v="12"/>
    <x v="2"/>
    <x v="2"/>
    <x v="6"/>
    <x v="5"/>
    <x v="9"/>
  </r>
  <r>
    <x v="357"/>
    <x v="2"/>
    <x v="13"/>
    <x v="12"/>
    <x v="2"/>
    <x v="2"/>
    <x v="3"/>
    <x v="5"/>
    <x v="2"/>
  </r>
  <r>
    <x v="357"/>
    <x v="3"/>
    <x v="13"/>
    <x v="12"/>
    <x v="2"/>
    <x v="2"/>
    <x v="4"/>
    <x v="5"/>
    <x v="3"/>
  </r>
  <r>
    <x v="357"/>
    <x v="4"/>
    <x v="13"/>
    <x v="12"/>
    <x v="2"/>
    <x v="2"/>
    <x v="5"/>
    <x v="5"/>
    <x v="4"/>
  </r>
  <r>
    <x v="357"/>
    <x v="5"/>
    <x v="13"/>
    <x v="12"/>
    <x v="2"/>
    <x v="2"/>
    <x v="6"/>
    <x v="5"/>
    <x v="5"/>
  </r>
  <r>
    <x v="357"/>
    <x v="6"/>
    <x v="13"/>
    <x v="12"/>
    <x v="2"/>
    <x v="2"/>
    <x v="6"/>
    <x v="5"/>
    <x v="6"/>
  </r>
  <r>
    <x v="357"/>
    <x v="7"/>
    <x v="13"/>
    <x v="12"/>
    <x v="2"/>
    <x v="2"/>
    <x v="6"/>
    <x v="5"/>
    <x v="7"/>
  </r>
  <r>
    <x v="357"/>
    <x v="8"/>
    <x v="13"/>
    <x v="12"/>
    <x v="2"/>
    <x v="2"/>
    <x v="6"/>
    <x v="5"/>
    <x v="8"/>
  </r>
  <r>
    <x v="357"/>
    <x v="9"/>
    <x v="13"/>
    <x v="12"/>
    <x v="2"/>
    <x v="2"/>
    <x v="6"/>
    <x v="5"/>
    <x v="9"/>
  </r>
  <r>
    <x v="358"/>
    <x v="2"/>
    <x v="59"/>
    <x v="12"/>
    <x v="2"/>
    <x v="2"/>
    <x v="7"/>
    <x v="3"/>
    <x v="2"/>
  </r>
  <r>
    <x v="358"/>
    <x v="3"/>
    <x v="59"/>
    <x v="12"/>
    <x v="2"/>
    <x v="2"/>
    <x v="5"/>
    <x v="3"/>
    <x v="3"/>
  </r>
  <r>
    <x v="358"/>
    <x v="4"/>
    <x v="59"/>
    <x v="12"/>
    <x v="2"/>
    <x v="2"/>
    <x v="8"/>
    <x v="3"/>
    <x v="4"/>
  </r>
  <r>
    <x v="358"/>
    <x v="5"/>
    <x v="59"/>
    <x v="12"/>
    <x v="2"/>
    <x v="2"/>
    <x v="6"/>
    <x v="3"/>
    <x v="5"/>
  </r>
  <r>
    <x v="358"/>
    <x v="6"/>
    <x v="59"/>
    <x v="12"/>
    <x v="2"/>
    <x v="2"/>
    <x v="6"/>
    <x v="3"/>
    <x v="6"/>
  </r>
  <r>
    <x v="358"/>
    <x v="7"/>
    <x v="59"/>
    <x v="12"/>
    <x v="2"/>
    <x v="2"/>
    <x v="6"/>
    <x v="3"/>
    <x v="7"/>
  </r>
  <r>
    <x v="358"/>
    <x v="8"/>
    <x v="59"/>
    <x v="12"/>
    <x v="2"/>
    <x v="2"/>
    <x v="6"/>
    <x v="3"/>
    <x v="8"/>
  </r>
  <r>
    <x v="358"/>
    <x v="9"/>
    <x v="59"/>
    <x v="12"/>
    <x v="2"/>
    <x v="2"/>
    <x v="6"/>
    <x v="3"/>
    <x v="9"/>
  </r>
  <r>
    <x v="359"/>
    <x v="2"/>
    <x v="60"/>
    <x v="12"/>
    <x v="2"/>
    <x v="2"/>
    <x v="7"/>
    <x v="3"/>
    <x v="2"/>
  </r>
  <r>
    <x v="359"/>
    <x v="3"/>
    <x v="60"/>
    <x v="12"/>
    <x v="2"/>
    <x v="2"/>
    <x v="5"/>
    <x v="3"/>
    <x v="3"/>
  </r>
  <r>
    <x v="359"/>
    <x v="4"/>
    <x v="60"/>
    <x v="12"/>
    <x v="2"/>
    <x v="2"/>
    <x v="8"/>
    <x v="3"/>
    <x v="4"/>
  </r>
  <r>
    <x v="359"/>
    <x v="5"/>
    <x v="60"/>
    <x v="12"/>
    <x v="2"/>
    <x v="2"/>
    <x v="6"/>
    <x v="3"/>
    <x v="5"/>
  </r>
  <r>
    <x v="359"/>
    <x v="6"/>
    <x v="60"/>
    <x v="12"/>
    <x v="2"/>
    <x v="2"/>
    <x v="6"/>
    <x v="3"/>
    <x v="6"/>
  </r>
  <r>
    <x v="359"/>
    <x v="7"/>
    <x v="60"/>
    <x v="12"/>
    <x v="2"/>
    <x v="2"/>
    <x v="6"/>
    <x v="3"/>
    <x v="7"/>
  </r>
  <r>
    <x v="359"/>
    <x v="8"/>
    <x v="60"/>
    <x v="12"/>
    <x v="2"/>
    <x v="2"/>
    <x v="6"/>
    <x v="3"/>
    <x v="8"/>
  </r>
  <r>
    <x v="359"/>
    <x v="9"/>
    <x v="60"/>
    <x v="12"/>
    <x v="2"/>
    <x v="2"/>
    <x v="6"/>
    <x v="3"/>
    <x v="9"/>
  </r>
  <r>
    <x v="360"/>
    <x v="2"/>
    <x v="61"/>
    <x v="12"/>
    <x v="2"/>
    <x v="2"/>
    <x v="7"/>
    <x v="3"/>
    <x v="2"/>
  </r>
  <r>
    <x v="360"/>
    <x v="3"/>
    <x v="61"/>
    <x v="12"/>
    <x v="2"/>
    <x v="2"/>
    <x v="5"/>
    <x v="3"/>
    <x v="3"/>
  </r>
  <r>
    <x v="360"/>
    <x v="4"/>
    <x v="61"/>
    <x v="12"/>
    <x v="2"/>
    <x v="2"/>
    <x v="8"/>
    <x v="3"/>
    <x v="4"/>
  </r>
  <r>
    <x v="360"/>
    <x v="5"/>
    <x v="61"/>
    <x v="12"/>
    <x v="2"/>
    <x v="2"/>
    <x v="6"/>
    <x v="3"/>
    <x v="5"/>
  </r>
  <r>
    <x v="360"/>
    <x v="6"/>
    <x v="61"/>
    <x v="12"/>
    <x v="2"/>
    <x v="2"/>
    <x v="6"/>
    <x v="3"/>
    <x v="6"/>
  </r>
  <r>
    <x v="360"/>
    <x v="7"/>
    <x v="61"/>
    <x v="12"/>
    <x v="2"/>
    <x v="2"/>
    <x v="6"/>
    <x v="3"/>
    <x v="7"/>
  </r>
  <r>
    <x v="360"/>
    <x v="8"/>
    <x v="61"/>
    <x v="12"/>
    <x v="2"/>
    <x v="2"/>
    <x v="6"/>
    <x v="3"/>
    <x v="8"/>
  </r>
  <r>
    <x v="360"/>
    <x v="9"/>
    <x v="61"/>
    <x v="12"/>
    <x v="2"/>
    <x v="2"/>
    <x v="6"/>
    <x v="3"/>
    <x v="9"/>
  </r>
  <r>
    <x v="361"/>
    <x v="2"/>
    <x v="63"/>
    <x v="12"/>
    <x v="2"/>
    <x v="2"/>
    <x v="7"/>
    <x v="2"/>
    <x v="2"/>
  </r>
  <r>
    <x v="361"/>
    <x v="4"/>
    <x v="63"/>
    <x v="12"/>
    <x v="2"/>
    <x v="2"/>
    <x v="5"/>
    <x v="2"/>
    <x v="4"/>
  </r>
  <r>
    <x v="361"/>
    <x v="6"/>
    <x v="63"/>
    <x v="12"/>
    <x v="2"/>
    <x v="2"/>
    <x v="8"/>
    <x v="2"/>
    <x v="6"/>
  </r>
  <r>
    <x v="362"/>
    <x v="2"/>
    <x v="64"/>
    <x v="12"/>
    <x v="2"/>
    <x v="2"/>
    <x v="7"/>
    <x v="2"/>
    <x v="2"/>
  </r>
  <r>
    <x v="362"/>
    <x v="6"/>
    <x v="64"/>
    <x v="12"/>
    <x v="2"/>
    <x v="2"/>
    <x v="5"/>
    <x v="2"/>
    <x v="6"/>
  </r>
  <r>
    <x v="362"/>
    <x v="9"/>
    <x v="64"/>
    <x v="12"/>
    <x v="2"/>
    <x v="2"/>
    <x v="8"/>
    <x v="2"/>
    <x v="9"/>
  </r>
  <r>
    <x v="363"/>
    <x v="2"/>
    <x v="49"/>
    <x v="12"/>
    <x v="3"/>
    <x v="3"/>
    <x v="7"/>
    <x v="3"/>
    <x v="2"/>
  </r>
  <r>
    <x v="363"/>
    <x v="3"/>
    <x v="49"/>
    <x v="12"/>
    <x v="3"/>
    <x v="3"/>
    <x v="5"/>
    <x v="3"/>
    <x v="3"/>
  </r>
  <r>
    <x v="363"/>
    <x v="4"/>
    <x v="49"/>
    <x v="12"/>
    <x v="3"/>
    <x v="3"/>
    <x v="8"/>
    <x v="3"/>
    <x v="4"/>
  </r>
  <r>
    <x v="363"/>
    <x v="5"/>
    <x v="49"/>
    <x v="12"/>
    <x v="3"/>
    <x v="3"/>
    <x v="6"/>
    <x v="3"/>
    <x v="5"/>
  </r>
  <r>
    <x v="363"/>
    <x v="6"/>
    <x v="49"/>
    <x v="12"/>
    <x v="3"/>
    <x v="3"/>
    <x v="6"/>
    <x v="3"/>
    <x v="6"/>
  </r>
  <r>
    <x v="363"/>
    <x v="7"/>
    <x v="49"/>
    <x v="12"/>
    <x v="3"/>
    <x v="3"/>
    <x v="6"/>
    <x v="3"/>
    <x v="7"/>
  </r>
  <r>
    <x v="363"/>
    <x v="8"/>
    <x v="49"/>
    <x v="12"/>
    <x v="3"/>
    <x v="3"/>
    <x v="6"/>
    <x v="3"/>
    <x v="8"/>
  </r>
  <r>
    <x v="363"/>
    <x v="9"/>
    <x v="49"/>
    <x v="12"/>
    <x v="3"/>
    <x v="3"/>
    <x v="6"/>
    <x v="3"/>
    <x v="9"/>
  </r>
  <r>
    <x v="364"/>
    <x v="2"/>
    <x v="50"/>
    <x v="12"/>
    <x v="3"/>
    <x v="3"/>
    <x v="7"/>
    <x v="3"/>
    <x v="2"/>
  </r>
  <r>
    <x v="364"/>
    <x v="3"/>
    <x v="50"/>
    <x v="12"/>
    <x v="3"/>
    <x v="3"/>
    <x v="5"/>
    <x v="3"/>
    <x v="3"/>
  </r>
  <r>
    <x v="364"/>
    <x v="4"/>
    <x v="50"/>
    <x v="12"/>
    <x v="3"/>
    <x v="3"/>
    <x v="8"/>
    <x v="3"/>
    <x v="4"/>
  </r>
  <r>
    <x v="364"/>
    <x v="5"/>
    <x v="50"/>
    <x v="12"/>
    <x v="3"/>
    <x v="3"/>
    <x v="6"/>
    <x v="3"/>
    <x v="5"/>
  </r>
  <r>
    <x v="364"/>
    <x v="6"/>
    <x v="50"/>
    <x v="12"/>
    <x v="3"/>
    <x v="3"/>
    <x v="6"/>
    <x v="3"/>
    <x v="6"/>
  </r>
  <r>
    <x v="364"/>
    <x v="7"/>
    <x v="50"/>
    <x v="12"/>
    <x v="3"/>
    <x v="3"/>
    <x v="6"/>
    <x v="3"/>
    <x v="7"/>
  </r>
  <r>
    <x v="364"/>
    <x v="8"/>
    <x v="50"/>
    <x v="12"/>
    <x v="3"/>
    <x v="3"/>
    <x v="6"/>
    <x v="3"/>
    <x v="8"/>
  </r>
  <r>
    <x v="364"/>
    <x v="9"/>
    <x v="50"/>
    <x v="12"/>
    <x v="3"/>
    <x v="3"/>
    <x v="6"/>
    <x v="3"/>
    <x v="9"/>
  </r>
  <r>
    <x v="365"/>
    <x v="2"/>
    <x v="51"/>
    <x v="12"/>
    <x v="3"/>
    <x v="3"/>
    <x v="7"/>
    <x v="3"/>
    <x v="2"/>
  </r>
  <r>
    <x v="365"/>
    <x v="3"/>
    <x v="51"/>
    <x v="12"/>
    <x v="3"/>
    <x v="3"/>
    <x v="5"/>
    <x v="3"/>
    <x v="3"/>
  </r>
  <r>
    <x v="365"/>
    <x v="4"/>
    <x v="51"/>
    <x v="12"/>
    <x v="3"/>
    <x v="3"/>
    <x v="8"/>
    <x v="3"/>
    <x v="4"/>
  </r>
  <r>
    <x v="365"/>
    <x v="5"/>
    <x v="51"/>
    <x v="12"/>
    <x v="3"/>
    <x v="3"/>
    <x v="6"/>
    <x v="3"/>
    <x v="5"/>
  </r>
  <r>
    <x v="365"/>
    <x v="6"/>
    <x v="51"/>
    <x v="12"/>
    <x v="3"/>
    <x v="3"/>
    <x v="6"/>
    <x v="3"/>
    <x v="6"/>
  </r>
  <r>
    <x v="365"/>
    <x v="7"/>
    <x v="51"/>
    <x v="12"/>
    <x v="3"/>
    <x v="3"/>
    <x v="6"/>
    <x v="3"/>
    <x v="7"/>
  </r>
  <r>
    <x v="365"/>
    <x v="8"/>
    <x v="51"/>
    <x v="12"/>
    <x v="3"/>
    <x v="3"/>
    <x v="6"/>
    <x v="3"/>
    <x v="8"/>
  </r>
  <r>
    <x v="365"/>
    <x v="9"/>
    <x v="51"/>
    <x v="12"/>
    <x v="3"/>
    <x v="3"/>
    <x v="6"/>
    <x v="3"/>
    <x v="9"/>
  </r>
  <r>
    <x v="366"/>
    <x v="2"/>
    <x v="52"/>
    <x v="12"/>
    <x v="3"/>
    <x v="3"/>
    <x v="7"/>
    <x v="3"/>
    <x v="2"/>
  </r>
  <r>
    <x v="366"/>
    <x v="3"/>
    <x v="52"/>
    <x v="12"/>
    <x v="3"/>
    <x v="3"/>
    <x v="5"/>
    <x v="3"/>
    <x v="3"/>
  </r>
  <r>
    <x v="366"/>
    <x v="4"/>
    <x v="52"/>
    <x v="12"/>
    <x v="3"/>
    <x v="3"/>
    <x v="8"/>
    <x v="3"/>
    <x v="4"/>
  </r>
  <r>
    <x v="366"/>
    <x v="5"/>
    <x v="52"/>
    <x v="12"/>
    <x v="3"/>
    <x v="3"/>
    <x v="6"/>
    <x v="3"/>
    <x v="5"/>
  </r>
  <r>
    <x v="366"/>
    <x v="6"/>
    <x v="52"/>
    <x v="12"/>
    <x v="3"/>
    <x v="3"/>
    <x v="6"/>
    <x v="3"/>
    <x v="6"/>
  </r>
  <r>
    <x v="366"/>
    <x v="7"/>
    <x v="52"/>
    <x v="12"/>
    <x v="3"/>
    <x v="3"/>
    <x v="6"/>
    <x v="3"/>
    <x v="7"/>
  </r>
  <r>
    <x v="366"/>
    <x v="8"/>
    <x v="52"/>
    <x v="12"/>
    <x v="3"/>
    <x v="3"/>
    <x v="6"/>
    <x v="3"/>
    <x v="8"/>
  </r>
  <r>
    <x v="366"/>
    <x v="9"/>
    <x v="52"/>
    <x v="12"/>
    <x v="3"/>
    <x v="3"/>
    <x v="6"/>
    <x v="3"/>
    <x v="9"/>
  </r>
  <r>
    <x v="367"/>
    <x v="2"/>
    <x v="53"/>
    <x v="12"/>
    <x v="3"/>
    <x v="3"/>
    <x v="2"/>
    <x v="3"/>
    <x v="2"/>
  </r>
  <r>
    <x v="367"/>
    <x v="3"/>
    <x v="53"/>
    <x v="12"/>
    <x v="3"/>
    <x v="3"/>
    <x v="3"/>
    <x v="3"/>
    <x v="3"/>
  </r>
  <r>
    <x v="367"/>
    <x v="4"/>
    <x v="53"/>
    <x v="12"/>
    <x v="3"/>
    <x v="3"/>
    <x v="7"/>
    <x v="3"/>
    <x v="4"/>
  </r>
  <r>
    <x v="367"/>
    <x v="5"/>
    <x v="53"/>
    <x v="12"/>
    <x v="3"/>
    <x v="3"/>
    <x v="5"/>
    <x v="3"/>
    <x v="5"/>
  </r>
  <r>
    <x v="367"/>
    <x v="6"/>
    <x v="53"/>
    <x v="12"/>
    <x v="3"/>
    <x v="3"/>
    <x v="5"/>
    <x v="3"/>
    <x v="6"/>
  </r>
  <r>
    <x v="367"/>
    <x v="7"/>
    <x v="53"/>
    <x v="12"/>
    <x v="3"/>
    <x v="3"/>
    <x v="5"/>
    <x v="3"/>
    <x v="7"/>
  </r>
  <r>
    <x v="367"/>
    <x v="8"/>
    <x v="53"/>
    <x v="12"/>
    <x v="3"/>
    <x v="3"/>
    <x v="5"/>
    <x v="3"/>
    <x v="8"/>
  </r>
  <r>
    <x v="367"/>
    <x v="9"/>
    <x v="53"/>
    <x v="12"/>
    <x v="3"/>
    <x v="3"/>
    <x v="5"/>
    <x v="3"/>
    <x v="9"/>
  </r>
  <r>
    <x v="368"/>
    <x v="2"/>
    <x v="54"/>
    <x v="12"/>
    <x v="3"/>
    <x v="3"/>
    <x v="3"/>
    <x v="3"/>
    <x v="2"/>
  </r>
  <r>
    <x v="368"/>
    <x v="4"/>
    <x v="54"/>
    <x v="12"/>
    <x v="3"/>
    <x v="3"/>
    <x v="7"/>
    <x v="3"/>
    <x v="4"/>
  </r>
  <r>
    <x v="368"/>
    <x v="6"/>
    <x v="54"/>
    <x v="12"/>
    <x v="3"/>
    <x v="3"/>
    <x v="5"/>
    <x v="3"/>
    <x v="6"/>
  </r>
  <r>
    <x v="369"/>
    <x v="2"/>
    <x v="55"/>
    <x v="12"/>
    <x v="3"/>
    <x v="3"/>
    <x v="3"/>
    <x v="3"/>
    <x v="2"/>
  </r>
  <r>
    <x v="369"/>
    <x v="4"/>
    <x v="55"/>
    <x v="12"/>
    <x v="3"/>
    <x v="3"/>
    <x v="7"/>
    <x v="3"/>
    <x v="4"/>
  </r>
  <r>
    <x v="369"/>
    <x v="6"/>
    <x v="55"/>
    <x v="12"/>
    <x v="3"/>
    <x v="3"/>
    <x v="5"/>
    <x v="3"/>
    <x v="6"/>
  </r>
  <r>
    <x v="370"/>
    <x v="2"/>
    <x v="56"/>
    <x v="12"/>
    <x v="3"/>
    <x v="3"/>
    <x v="3"/>
    <x v="3"/>
    <x v="2"/>
  </r>
  <r>
    <x v="370"/>
    <x v="4"/>
    <x v="56"/>
    <x v="12"/>
    <x v="3"/>
    <x v="3"/>
    <x v="7"/>
    <x v="3"/>
    <x v="4"/>
  </r>
  <r>
    <x v="370"/>
    <x v="6"/>
    <x v="56"/>
    <x v="12"/>
    <x v="3"/>
    <x v="3"/>
    <x v="5"/>
    <x v="3"/>
    <x v="6"/>
  </r>
  <r>
    <x v="371"/>
    <x v="2"/>
    <x v="28"/>
    <x v="12"/>
    <x v="3"/>
    <x v="3"/>
    <x v="2"/>
    <x v="5"/>
    <x v="2"/>
  </r>
  <r>
    <x v="371"/>
    <x v="3"/>
    <x v="28"/>
    <x v="12"/>
    <x v="3"/>
    <x v="3"/>
    <x v="3"/>
    <x v="5"/>
    <x v="3"/>
  </r>
  <r>
    <x v="371"/>
    <x v="4"/>
    <x v="28"/>
    <x v="12"/>
    <x v="3"/>
    <x v="3"/>
    <x v="7"/>
    <x v="5"/>
    <x v="4"/>
  </r>
  <r>
    <x v="371"/>
    <x v="5"/>
    <x v="28"/>
    <x v="12"/>
    <x v="3"/>
    <x v="3"/>
    <x v="5"/>
    <x v="5"/>
    <x v="5"/>
  </r>
  <r>
    <x v="371"/>
    <x v="6"/>
    <x v="28"/>
    <x v="12"/>
    <x v="3"/>
    <x v="3"/>
    <x v="5"/>
    <x v="5"/>
    <x v="6"/>
  </r>
  <r>
    <x v="371"/>
    <x v="7"/>
    <x v="28"/>
    <x v="12"/>
    <x v="3"/>
    <x v="3"/>
    <x v="5"/>
    <x v="5"/>
    <x v="7"/>
  </r>
  <r>
    <x v="371"/>
    <x v="8"/>
    <x v="28"/>
    <x v="12"/>
    <x v="3"/>
    <x v="3"/>
    <x v="5"/>
    <x v="5"/>
    <x v="8"/>
  </r>
  <r>
    <x v="371"/>
    <x v="9"/>
    <x v="28"/>
    <x v="12"/>
    <x v="3"/>
    <x v="3"/>
    <x v="5"/>
    <x v="5"/>
    <x v="9"/>
  </r>
  <r>
    <x v="372"/>
    <x v="2"/>
    <x v="29"/>
    <x v="12"/>
    <x v="3"/>
    <x v="3"/>
    <x v="2"/>
    <x v="5"/>
    <x v="2"/>
  </r>
  <r>
    <x v="372"/>
    <x v="3"/>
    <x v="29"/>
    <x v="12"/>
    <x v="3"/>
    <x v="3"/>
    <x v="3"/>
    <x v="5"/>
    <x v="3"/>
  </r>
  <r>
    <x v="372"/>
    <x v="4"/>
    <x v="29"/>
    <x v="12"/>
    <x v="3"/>
    <x v="3"/>
    <x v="7"/>
    <x v="5"/>
    <x v="4"/>
  </r>
  <r>
    <x v="372"/>
    <x v="5"/>
    <x v="29"/>
    <x v="12"/>
    <x v="3"/>
    <x v="3"/>
    <x v="5"/>
    <x v="5"/>
    <x v="5"/>
  </r>
  <r>
    <x v="372"/>
    <x v="6"/>
    <x v="29"/>
    <x v="12"/>
    <x v="3"/>
    <x v="3"/>
    <x v="5"/>
    <x v="5"/>
    <x v="6"/>
  </r>
  <r>
    <x v="372"/>
    <x v="7"/>
    <x v="29"/>
    <x v="12"/>
    <x v="3"/>
    <x v="3"/>
    <x v="5"/>
    <x v="5"/>
    <x v="7"/>
  </r>
  <r>
    <x v="372"/>
    <x v="8"/>
    <x v="29"/>
    <x v="12"/>
    <x v="3"/>
    <x v="3"/>
    <x v="5"/>
    <x v="5"/>
    <x v="8"/>
  </r>
  <r>
    <x v="372"/>
    <x v="9"/>
    <x v="29"/>
    <x v="12"/>
    <x v="3"/>
    <x v="3"/>
    <x v="5"/>
    <x v="5"/>
    <x v="9"/>
  </r>
  <r>
    <x v="373"/>
    <x v="2"/>
    <x v="30"/>
    <x v="12"/>
    <x v="3"/>
    <x v="3"/>
    <x v="2"/>
    <x v="5"/>
    <x v="2"/>
  </r>
  <r>
    <x v="373"/>
    <x v="3"/>
    <x v="30"/>
    <x v="12"/>
    <x v="3"/>
    <x v="3"/>
    <x v="3"/>
    <x v="5"/>
    <x v="3"/>
  </r>
  <r>
    <x v="373"/>
    <x v="4"/>
    <x v="30"/>
    <x v="12"/>
    <x v="3"/>
    <x v="3"/>
    <x v="7"/>
    <x v="5"/>
    <x v="4"/>
  </r>
  <r>
    <x v="373"/>
    <x v="5"/>
    <x v="30"/>
    <x v="12"/>
    <x v="3"/>
    <x v="3"/>
    <x v="5"/>
    <x v="5"/>
    <x v="5"/>
  </r>
  <r>
    <x v="373"/>
    <x v="6"/>
    <x v="30"/>
    <x v="12"/>
    <x v="3"/>
    <x v="3"/>
    <x v="5"/>
    <x v="5"/>
    <x v="6"/>
  </r>
  <r>
    <x v="373"/>
    <x v="7"/>
    <x v="30"/>
    <x v="12"/>
    <x v="3"/>
    <x v="3"/>
    <x v="5"/>
    <x v="5"/>
    <x v="7"/>
  </r>
  <r>
    <x v="373"/>
    <x v="8"/>
    <x v="30"/>
    <x v="12"/>
    <x v="3"/>
    <x v="3"/>
    <x v="5"/>
    <x v="5"/>
    <x v="8"/>
  </r>
  <r>
    <x v="373"/>
    <x v="9"/>
    <x v="30"/>
    <x v="12"/>
    <x v="3"/>
    <x v="3"/>
    <x v="5"/>
    <x v="5"/>
    <x v="9"/>
  </r>
  <r>
    <x v="374"/>
    <x v="2"/>
    <x v="31"/>
    <x v="12"/>
    <x v="3"/>
    <x v="3"/>
    <x v="2"/>
    <x v="5"/>
    <x v="2"/>
  </r>
  <r>
    <x v="374"/>
    <x v="3"/>
    <x v="31"/>
    <x v="12"/>
    <x v="3"/>
    <x v="3"/>
    <x v="3"/>
    <x v="5"/>
    <x v="3"/>
  </r>
  <r>
    <x v="374"/>
    <x v="4"/>
    <x v="31"/>
    <x v="12"/>
    <x v="3"/>
    <x v="3"/>
    <x v="7"/>
    <x v="5"/>
    <x v="4"/>
  </r>
  <r>
    <x v="374"/>
    <x v="5"/>
    <x v="31"/>
    <x v="12"/>
    <x v="3"/>
    <x v="3"/>
    <x v="5"/>
    <x v="5"/>
    <x v="5"/>
  </r>
  <r>
    <x v="374"/>
    <x v="6"/>
    <x v="31"/>
    <x v="12"/>
    <x v="3"/>
    <x v="3"/>
    <x v="5"/>
    <x v="5"/>
    <x v="6"/>
  </r>
  <r>
    <x v="374"/>
    <x v="7"/>
    <x v="31"/>
    <x v="12"/>
    <x v="3"/>
    <x v="3"/>
    <x v="5"/>
    <x v="5"/>
    <x v="7"/>
  </r>
  <r>
    <x v="374"/>
    <x v="8"/>
    <x v="31"/>
    <x v="12"/>
    <x v="3"/>
    <x v="3"/>
    <x v="5"/>
    <x v="5"/>
    <x v="8"/>
  </r>
  <r>
    <x v="374"/>
    <x v="9"/>
    <x v="31"/>
    <x v="12"/>
    <x v="3"/>
    <x v="3"/>
    <x v="5"/>
    <x v="5"/>
    <x v="9"/>
  </r>
  <r>
    <x v="375"/>
    <x v="2"/>
    <x v="32"/>
    <x v="12"/>
    <x v="3"/>
    <x v="3"/>
    <x v="2"/>
    <x v="5"/>
    <x v="2"/>
  </r>
  <r>
    <x v="375"/>
    <x v="3"/>
    <x v="32"/>
    <x v="12"/>
    <x v="3"/>
    <x v="3"/>
    <x v="3"/>
    <x v="5"/>
    <x v="3"/>
  </r>
  <r>
    <x v="375"/>
    <x v="4"/>
    <x v="32"/>
    <x v="12"/>
    <x v="3"/>
    <x v="3"/>
    <x v="7"/>
    <x v="5"/>
    <x v="4"/>
  </r>
  <r>
    <x v="375"/>
    <x v="5"/>
    <x v="32"/>
    <x v="12"/>
    <x v="3"/>
    <x v="3"/>
    <x v="5"/>
    <x v="5"/>
    <x v="5"/>
  </r>
  <r>
    <x v="375"/>
    <x v="6"/>
    <x v="32"/>
    <x v="12"/>
    <x v="3"/>
    <x v="3"/>
    <x v="5"/>
    <x v="5"/>
    <x v="6"/>
  </r>
  <r>
    <x v="375"/>
    <x v="7"/>
    <x v="32"/>
    <x v="12"/>
    <x v="3"/>
    <x v="3"/>
    <x v="5"/>
    <x v="5"/>
    <x v="7"/>
  </r>
  <r>
    <x v="375"/>
    <x v="8"/>
    <x v="32"/>
    <x v="12"/>
    <x v="3"/>
    <x v="3"/>
    <x v="5"/>
    <x v="5"/>
    <x v="8"/>
  </r>
  <r>
    <x v="375"/>
    <x v="9"/>
    <x v="32"/>
    <x v="12"/>
    <x v="3"/>
    <x v="3"/>
    <x v="5"/>
    <x v="5"/>
    <x v="9"/>
  </r>
  <r>
    <x v="376"/>
    <x v="2"/>
    <x v="33"/>
    <x v="12"/>
    <x v="3"/>
    <x v="3"/>
    <x v="2"/>
    <x v="5"/>
    <x v="2"/>
  </r>
  <r>
    <x v="376"/>
    <x v="3"/>
    <x v="33"/>
    <x v="12"/>
    <x v="3"/>
    <x v="3"/>
    <x v="3"/>
    <x v="5"/>
    <x v="3"/>
  </r>
  <r>
    <x v="376"/>
    <x v="4"/>
    <x v="33"/>
    <x v="12"/>
    <x v="3"/>
    <x v="3"/>
    <x v="7"/>
    <x v="5"/>
    <x v="4"/>
  </r>
  <r>
    <x v="376"/>
    <x v="5"/>
    <x v="33"/>
    <x v="12"/>
    <x v="3"/>
    <x v="3"/>
    <x v="5"/>
    <x v="5"/>
    <x v="5"/>
  </r>
  <r>
    <x v="376"/>
    <x v="6"/>
    <x v="33"/>
    <x v="12"/>
    <x v="3"/>
    <x v="3"/>
    <x v="5"/>
    <x v="5"/>
    <x v="6"/>
  </r>
  <r>
    <x v="376"/>
    <x v="7"/>
    <x v="33"/>
    <x v="12"/>
    <x v="3"/>
    <x v="3"/>
    <x v="5"/>
    <x v="5"/>
    <x v="7"/>
  </r>
  <r>
    <x v="376"/>
    <x v="8"/>
    <x v="33"/>
    <x v="12"/>
    <x v="3"/>
    <x v="3"/>
    <x v="5"/>
    <x v="5"/>
    <x v="8"/>
  </r>
  <r>
    <x v="376"/>
    <x v="9"/>
    <x v="33"/>
    <x v="12"/>
    <x v="3"/>
    <x v="3"/>
    <x v="5"/>
    <x v="5"/>
    <x v="9"/>
  </r>
  <r>
    <x v="377"/>
    <x v="2"/>
    <x v="34"/>
    <x v="12"/>
    <x v="3"/>
    <x v="3"/>
    <x v="2"/>
    <x v="5"/>
    <x v="2"/>
  </r>
  <r>
    <x v="377"/>
    <x v="3"/>
    <x v="34"/>
    <x v="12"/>
    <x v="3"/>
    <x v="3"/>
    <x v="3"/>
    <x v="5"/>
    <x v="3"/>
  </r>
  <r>
    <x v="377"/>
    <x v="4"/>
    <x v="34"/>
    <x v="12"/>
    <x v="3"/>
    <x v="3"/>
    <x v="7"/>
    <x v="5"/>
    <x v="4"/>
  </r>
  <r>
    <x v="377"/>
    <x v="5"/>
    <x v="34"/>
    <x v="12"/>
    <x v="3"/>
    <x v="3"/>
    <x v="5"/>
    <x v="5"/>
    <x v="5"/>
  </r>
  <r>
    <x v="377"/>
    <x v="6"/>
    <x v="34"/>
    <x v="12"/>
    <x v="3"/>
    <x v="3"/>
    <x v="5"/>
    <x v="5"/>
    <x v="6"/>
  </r>
  <r>
    <x v="377"/>
    <x v="7"/>
    <x v="34"/>
    <x v="12"/>
    <x v="3"/>
    <x v="3"/>
    <x v="5"/>
    <x v="5"/>
    <x v="7"/>
  </r>
  <r>
    <x v="377"/>
    <x v="8"/>
    <x v="34"/>
    <x v="12"/>
    <x v="3"/>
    <x v="3"/>
    <x v="5"/>
    <x v="5"/>
    <x v="8"/>
  </r>
  <r>
    <x v="377"/>
    <x v="9"/>
    <x v="34"/>
    <x v="12"/>
    <x v="3"/>
    <x v="3"/>
    <x v="5"/>
    <x v="5"/>
    <x v="9"/>
  </r>
  <r>
    <x v="378"/>
    <x v="2"/>
    <x v="44"/>
    <x v="12"/>
    <x v="3"/>
    <x v="3"/>
    <x v="2"/>
    <x v="5"/>
    <x v="2"/>
  </r>
  <r>
    <x v="378"/>
    <x v="3"/>
    <x v="44"/>
    <x v="12"/>
    <x v="3"/>
    <x v="3"/>
    <x v="3"/>
    <x v="5"/>
    <x v="3"/>
  </r>
  <r>
    <x v="378"/>
    <x v="4"/>
    <x v="44"/>
    <x v="12"/>
    <x v="3"/>
    <x v="3"/>
    <x v="7"/>
    <x v="5"/>
    <x v="4"/>
  </r>
  <r>
    <x v="378"/>
    <x v="5"/>
    <x v="44"/>
    <x v="12"/>
    <x v="3"/>
    <x v="3"/>
    <x v="5"/>
    <x v="5"/>
    <x v="5"/>
  </r>
  <r>
    <x v="378"/>
    <x v="6"/>
    <x v="44"/>
    <x v="12"/>
    <x v="3"/>
    <x v="3"/>
    <x v="5"/>
    <x v="5"/>
    <x v="6"/>
  </r>
  <r>
    <x v="378"/>
    <x v="7"/>
    <x v="44"/>
    <x v="12"/>
    <x v="3"/>
    <x v="3"/>
    <x v="5"/>
    <x v="5"/>
    <x v="7"/>
  </r>
  <r>
    <x v="378"/>
    <x v="8"/>
    <x v="44"/>
    <x v="12"/>
    <x v="3"/>
    <x v="3"/>
    <x v="5"/>
    <x v="5"/>
    <x v="8"/>
  </r>
  <r>
    <x v="378"/>
    <x v="9"/>
    <x v="44"/>
    <x v="12"/>
    <x v="3"/>
    <x v="3"/>
    <x v="5"/>
    <x v="5"/>
    <x v="9"/>
  </r>
  <r>
    <x v="379"/>
    <x v="2"/>
    <x v="57"/>
    <x v="12"/>
    <x v="3"/>
    <x v="3"/>
    <x v="2"/>
    <x v="5"/>
    <x v="2"/>
  </r>
  <r>
    <x v="379"/>
    <x v="3"/>
    <x v="57"/>
    <x v="12"/>
    <x v="3"/>
    <x v="3"/>
    <x v="3"/>
    <x v="5"/>
    <x v="3"/>
  </r>
  <r>
    <x v="379"/>
    <x v="4"/>
    <x v="57"/>
    <x v="12"/>
    <x v="3"/>
    <x v="3"/>
    <x v="7"/>
    <x v="5"/>
    <x v="4"/>
  </r>
  <r>
    <x v="379"/>
    <x v="5"/>
    <x v="57"/>
    <x v="12"/>
    <x v="3"/>
    <x v="3"/>
    <x v="5"/>
    <x v="5"/>
    <x v="5"/>
  </r>
  <r>
    <x v="379"/>
    <x v="6"/>
    <x v="57"/>
    <x v="12"/>
    <x v="3"/>
    <x v="3"/>
    <x v="5"/>
    <x v="5"/>
    <x v="6"/>
  </r>
  <r>
    <x v="379"/>
    <x v="7"/>
    <x v="57"/>
    <x v="12"/>
    <x v="3"/>
    <x v="3"/>
    <x v="5"/>
    <x v="5"/>
    <x v="7"/>
  </r>
  <r>
    <x v="379"/>
    <x v="8"/>
    <x v="57"/>
    <x v="12"/>
    <x v="3"/>
    <x v="3"/>
    <x v="5"/>
    <x v="5"/>
    <x v="8"/>
  </r>
  <r>
    <x v="379"/>
    <x v="9"/>
    <x v="57"/>
    <x v="12"/>
    <x v="3"/>
    <x v="3"/>
    <x v="5"/>
    <x v="5"/>
    <x v="9"/>
  </r>
  <r>
    <x v="380"/>
    <x v="2"/>
    <x v="14"/>
    <x v="13"/>
    <x v="2"/>
    <x v="2"/>
    <x v="6"/>
    <x v="3"/>
    <x v="2"/>
  </r>
  <r>
    <x v="380"/>
    <x v="3"/>
    <x v="14"/>
    <x v="13"/>
    <x v="2"/>
    <x v="2"/>
    <x v="6"/>
    <x v="3"/>
    <x v="3"/>
  </r>
  <r>
    <x v="380"/>
    <x v="4"/>
    <x v="14"/>
    <x v="13"/>
    <x v="2"/>
    <x v="2"/>
    <x v="6"/>
    <x v="3"/>
    <x v="4"/>
  </r>
  <r>
    <x v="380"/>
    <x v="5"/>
    <x v="14"/>
    <x v="13"/>
    <x v="2"/>
    <x v="2"/>
    <x v="6"/>
    <x v="3"/>
    <x v="5"/>
  </r>
  <r>
    <x v="380"/>
    <x v="6"/>
    <x v="14"/>
    <x v="13"/>
    <x v="2"/>
    <x v="2"/>
    <x v="6"/>
    <x v="3"/>
    <x v="6"/>
  </r>
  <r>
    <x v="380"/>
    <x v="7"/>
    <x v="14"/>
    <x v="13"/>
    <x v="2"/>
    <x v="2"/>
    <x v="6"/>
    <x v="3"/>
    <x v="7"/>
  </r>
  <r>
    <x v="380"/>
    <x v="8"/>
    <x v="14"/>
    <x v="13"/>
    <x v="2"/>
    <x v="2"/>
    <x v="6"/>
    <x v="3"/>
    <x v="8"/>
  </r>
  <r>
    <x v="380"/>
    <x v="9"/>
    <x v="14"/>
    <x v="13"/>
    <x v="2"/>
    <x v="2"/>
    <x v="6"/>
    <x v="3"/>
    <x v="9"/>
  </r>
  <r>
    <x v="381"/>
    <x v="2"/>
    <x v="15"/>
    <x v="13"/>
    <x v="2"/>
    <x v="2"/>
    <x v="6"/>
    <x v="3"/>
    <x v="2"/>
  </r>
  <r>
    <x v="381"/>
    <x v="3"/>
    <x v="15"/>
    <x v="13"/>
    <x v="2"/>
    <x v="2"/>
    <x v="6"/>
    <x v="3"/>
    <x v="3"/>
  </r>
  <r>
    <x v="381"/>
    <x v="4"/>
    <x v="15"/>
    <x v="13"/>
    <x v="2"/>
    <x v="2"/>
    <x v="6"/>
    <x v="3"/>
    <x v="4"/>
  </r>
  <r>
    <x v="381"/>
    <x v="5"/>
    <x v="15"/>
    <x v="13"/>
    <x v="2"/>
    <x v="2"/>
    <x v="6"/>
    <x v="3"/>
    <x v="5"/>
  </r>
  <r>
    <x v="381"/>
    <x v="6"/>
    <x v="15"/>
    <x v="13"/>
    <x v="2"/>
    <x v="2"/>
    <x v="6"/>
    <x v="3"/>
    <x v="6"/>
  </r>
  <r>
    <x v="381"/>
    <x v="7"/>
    <x v="15"/>
    <x v="13"/>
    <x v="2"/>
    <x v="2"/>
    <x v="6"/>
    <x v="3"/>
    <x v="7"/>
  </r>
  <r>
    <x v="381"/>
    <x v="8"/>
    <x v="15"/>
    <x v="13"/>
    <x v="2"/>
    <x v="2"/>
    <x v="6"/>
    <x v="3"/>
    <x v="8"/>
  </r>
  <r>
    <x v="381"/>
    <x v="9"/>
    <x v="15"/>
    <x v="13"/>
    <x v="2"/>
    <x v="2"/>
    <x v="6"/>
    <x v="3"/>
    <x v="9"/>
  </r>
  <r>
    <x v="382"/>
    <x v="2"/>
    <x v="44"/>
    <x v="13"/>
    <x v="2"/>
    <x v="2"/>
    <x v="6"/>
    <x v="3"/>
    <x v="2"/>
  </r>
  <r>
    <x v="382"/>
    <x v="3"/>
    <x v="44"/>
    <x v="13"/>
    <x v="2"/>
    <x v="2"/>
    <x v="6"/>
    <x v="3"/>
    <x v="3"/>
  </r>
  <r>
    <x v="382"/>
    <x v="4"/>
    <x v="44"/>
    <x v="13"/>
    <x v="2"/>
    <x v="2"/>
    <x v="6"/>
    <x v="3"/>
    <x v="4"/>
  </r>
  <r>
    <x v="382"/>
    <x v="5"/>
    <x v="44"/>
    <x v="13"/>
    <x v="2"/>
    <x v="2"/>
    <x v="6"/>
    <x v="3"/>
    <x v="5"/>
  </r>
  <r>
    <x v="382"/>
    <x v="6"/>
    <x v="44"/>
    <x v="13"/>
    <x v="2"/>
    <x v="2"/>
    <x v="6"/>
    <x v="3"/>
    <x v="6"/>
  </r>
  <r>
    <x v="382"/>
    <x v="7"/>
    <x v="44"/>
    <x v="13"/>
    <x v="2"/>
    <x v="2"/>
    <x v="6"/>
    <x v="3"/>
    <x v="7"/>
  </r>
  <r>
    <x v="382"/>
    <x v="8"/>
    <x v="44"/>
    <x v="13"/>
    <x v="2"/>
    <x v="2"/>
    <x v="6"/>
    <x v="3"/>
    <x v="8"/>
  </r>
  <r>
    <x v="382"/>
    <x v="9"/>
    <x v="44"/>
    <x v="13"/>
    <x v="2"/>
    <x v="2"/>
    <x v="6"/>
    <x v="3"/>
    <x v="9"/>
  </r>
  <r>
    <x v="383"/>
    <x v="2"/>
    <x v="7"/>
    <x v="13"/>
    <x v="2"/>
    <x v="2"/>
    <x v="2"/>
    <x v="3"/>
    <x v="2"/>
  </r>
  <r>
    <x v="383"/>
    <x v="3"/>
    <x v="7"/>
    <x v="13"/>
    <x v="2"/>
    <x v="2"/>
    <x v="3"/>
    <x v="5"/>
    <x v="3"/>
  </r>
  <r>
    <x v="383"/>
    <x v="4"/>
    <x v="7"/>
    <x v="13"/>
    <x v="2"/>
    <x v="2"/>
    <x v="4"/>
    <x v="5"/>
    <x v="4"/>
  </r>
  <r>
    <x v="383"/>
    <x v="5"/>
    <x v="7"/>
    <x v="13"/>
    <x v="2"/>
    <x v="2"/>
    <x v="5"/>
    <x v="5"/>
    <x v="5"/>
  </r>
  <r>
    <x v="383"/>
    <x v="6"/>
    <x v="7"/>
    <x v="13"/>
    <x v="2"/>
    <x v="2"/>
    <x v="8"/>
    <x v="5"/>
    <x v="6"/>
  </r>
  <r>
    <x v="383"/>
    <x v="7"/>
    <x v="7"/>
    <x v="13"/>
    <x v="2"/>
    <x v="2"/>
    <x v="6"/>
    <x v="5"/>
    <x v="7"/>
  </r>
  <r>
    <x v="383"/>
    <x v="8"/>
    <x v="7"/>
    <x v="13"/>
    <x v="2"/>
    <x v="2"/>
    <x v="6"/>
    <x v="5"/>
    <x v="8"/>
  </r>
  <r>
    <x v="383"/>
    <x v="9"/>
    <x v="7"/>
    <x v="13"/>
    <x v="2"/>
    <x v="2"/>
    <x v="6"/>
    <x v="5"/>
    <x v="9"/>
  </r>
  <r>
    <x v="384"/>
    <x v="2"/>
    <x v="8"/>
    <x v="13"/>
    <x v="2"/>
    <x v="2"/>
    <x v="2"/>
    <x v="5"/>
    <x v="2"/>
  </r>
  <r>
    <x v="384"/>
    <x v="3"/>
    <x v="8"/>
    <x v="13"/>
    <x v="2"/>
    <x v="2"/>
    <x v="3"/>
    <x v="5"/>
    <x v="3"/>
  </r>
  <r>
    <x v="384"/>
    <x v="4"/>
    <x v="8"/>
    <x v="13"/>
    <x v="2"/>
    <x v="2"/>
    <x v="4"/>
    <x v="5"/>
    <x v="4"/>
  </r>
  <r>
    <x v="384"/>
    <x v="5"/>
    <x v="8"/>
    <x v="13"/>
    <x v="2"/>
    <x v="2"/>
    <x v="5"/>
    <x v="5"/>
    <x v="5"/>
  </r>
  <r>
    <x v="384"/>
    <x v="6"/>
    <x v="8"/>
    <x v="13"/>
    <x v="2"/>
    <x v="2"/>
    <x v="8"/>
    <x v="5"/>
    <x v="6"/>
  </r>
  <r>
    <x v="384"/>
    <x v="7"/>
    <x v="8"/>
    <x v="13"/>
    <x v="2"/>
    <x v="2"/>
    <x v="6"/>
    <x v="5"/>
    <x v="7"/>
  </r>
  <r>
    <x v="384"/>
    <x v="8"/>
    <x v="8"/>
    <x v="13"/>
    <x v="2"/>
    <x v="2"/>
    <x v="6"/>
    <x v="5"/>
    <x v="8"/>
  </r>
  <r>
    <x v="384"/>
    <x v="9"/>
    <x v="8"/>
    <x v="13"/>
    <x v="2"/>
    <x v="2"/>
    <x v="6"/>
    <x v="5"/>
    <x v="9"/>
  </r>
  <r>
    <x v="385"/>
    <x v="2"/>
    <x v="9"/>
    <x v="13"/>
    <x v="2"/>
    <x v="2"/>
    <x v="3"/>
    <x v="5"/>
    <x v="2"/>
  </r>
  <r>
    <x v="385"/>
    <x v="3"/>
    <x v="9"/>
    <x v="13"/>
    <x v="2"/>
    <x v="2"/>
    <x v="4"/>
    <x v="5"/>
    <x v="3"/>
  </r>
  <r>
    <x v="385"/>
    <x v="4"/>
    <x v="9"/>
    <x v="13"/>
    <x v="2"/>
    <x v="2"/>
    <x v="5"/>
    <x v="5"/>
    <x v="4"/>
  </r>
  <r>
    <x v="385"/>
    <x v="5"/>
    <x v="9"/>
    <x v="13"/>
    <x v="2"/>
    <x v="2"/>
    <x v="6"/>
    <x v="5"/>
    <x v="5"/>
  </r>
  <r>
    <x v="385"/>
    <x v="6"/>
    <x v="9"/>
    <x v="13"/>
    <x v="2"/>
    <x v="2"/>
    <x v="6"/>
    <x v="5"/>
    <x v="6"/>
  </r>
  <r>
    <x v="385"/>
    <x v="7"/>
    <x v="9"/>
    <x v="13"/>
    <x v="2"/>
    <x v="2"/>
    <x v="6"/>
    <x v="5"/>
    <x v="7"/>
  </r>
  <r>
    <x v="385"/>
    <x v="8"/>
    <x v="9"/>
    <x v="13"/>
    <x v="2"/>
    <x v="2"/>
    <x v="6"/>
    <x v="5"/>
    <x v="8"/>
  </r>
  <r>
    <x v="385"/>
    <x v="9"/>
    <x v="9"/>
    <x v="13"/>
    <x v="2"/>
    <x v="2"/>
    <x v="6"/>
    <x v="5"/>
    <x v="9"/>
  </r>
  <r>
    <x v="386"/>
    <x v="2"/>
    <x v="10"/>
    <x v="13"/>
    <x v="2"/>
    <x v="2"/>
    <x v="3"/>
    <x v="5"/>
    <x v="2"/>
  </r>
  <r>
    <x v="386"/>
    <x v="3"/>
    <x v="10"/>
    <x v="13"/>
    <x v="2"/>
    <x v="2"/>
    <x v="4"/>
    <x v="5"/>
    <x v="3"/>
  </r>
  <r>
    <x v="386"/>
    <x v="4"/>
    <x v="10"/>
    <x v="13"/>
    <x v="2"/>
    <x v="2"/>
    <x v="5"/>
    <x v="5"/>
    <x v="4"/>
  </r>
  <r>
    <x v="386"/>
    <x v="5"/>
    <x v="10"/>
    <x v="13"/>
    <x v="2"/>
    <x v="2"/>
    <x v="6"/>
    <x v="5"/>
    <x v="5"/>
  </r>
  <r>
    <x v="386"/>
    <x v="6"/>
    <x v="10"/>
    <x v="13"/>
    <x v="2"/>
    <x v="2"/>
    <x v="6"/>
    <x v="5"/>
    <x v="6"/>
  </r>
  <r>
    <x v="386"/>
    <x v="7"/>
    <x v="10"/>
    <x v="13"/>
    <x v="2"/>
    <x v="2"/>
    <x v="6"/>
    <x v="5"/>
    <x v="7"/>
  </r>
  <r>
    <x v="386"/>
    <x v="8"/>
    <x v="10"/>
    <x v="13"/>
    <x v="2"/>
    <x v="2"/>
    <x v="6"/>
    <x v="5"/>
    <x v="8"/>
  </r>
  <r>
    <x v="386"/>
    <x v="9"/>
    <x v="10"/>
    <x v="13"/>
    <x v="2"/>
    <x v="2"/>
    <x v="6"/>
    <x v="5"/>
    <x v="9"/>
  </r>
  <r>
    <x v="387"/>
    <x v="2"/>
    <x v="11"/>
    <x v="13"/>
    <x v="2"/>
    <x v="2"/>
    <x v="3"/>
    <x v="5"/>
    <x v="2"/>
  </r>
  <r>
    <x v="387"/>
    <x v="3"/>
    <x v="11"/>
    <x v="13"/>
    <x v="2"/>
    <x v="2"/>
    <x v="4"/>
    <x v="5"/>
    <x v="3"/>
  </r>
  <r>
    <x v="387"/>
    <x v="4"/>
    <x v="11"/>
    <x v="13"/>
    <x v="2"/>
    <x v="2"/>
    <x v="5"/>
    <x v="5"/>
    <x v="4"/>
  </r>
  <r>
    <x v="387"/>
    <x v="5"/>
    <x v="11"/>
    <x v="13"/>
    <x v="2"/>
    <x v="2"/>
    <x v="6"/>
    <x v="5"/>
    <x v="5"/>
  </r>
  <r>
    <x v="387"/>
    <x v="6"/>
    <x v="11"/>
    <x v="13"/>
    <x v="2"/>
    <x v="2"/>
    <x v="6"/>
    <x v="5"/>
    <x v="6"/>
  </r>
  <r>
    <x v="387"/>
    <x v="7"/>
    <x v="11"/>
    <x v="13"/>
    <x v="2"/>
    <x v="2"/>
    <x v="6"/>
    <x v="5"/>
    <x v="7"/>
  </r>
  <r>
    <x v="387"/>
    <x v="8"/>
    <x v="11"/>
    <x v="13"/>
    <x v="2"/>
    <x v="2"/>
    <x v="6"/>
    <x v="5"/>
    <x v="8"/>
  </r>
  <r>
    <x v="387"/>
    <x v="9"/>
    <x v="11"/>
    <x v="13"/>
    <x v="2"/>
    <x v="2"/>
    <x v="6"/>
    <x v="5"/>
    <x v="9"/>
  </r>
  <r>
    <x v="388"/>
    <x v="2"/>
    <x v="12"/>
    <x v="13"/>
    <x v="2"/>
    <x v="2"/>
    <x v="3"/>
    <x v="5"/>
    <x v="2"/>
  </r>
  <r>
    <x v="388"/>
    <x v="3"/>
    <x v="12"/>
    <x v="13"/>
    <x v="2"/>
    <x v="2"/>
    <x v="4"/>
    <x v="5"/>
    <x v="3"/>
  </r>
  <r>
    <x v="388"/>
    <x v="4"/>
    <x v="12"/>
    <x v="13"/>
    <x v="2"/>
    <x v="2"/>
    <x v="5"/>
    <x v="5"/>
    <x v="4"/>
  </r>
  <r>
    <x v="388"/>
    <x v="5"/>
    <x v="12"/>
    <x v="13"/>
    <x v="2"/>
    <x v="2"/>
    <x v="6"/>
    <x v="5"/>
    <x v="5"/>
  </r>
  <r>
    <x v="388"/>
    <x v="6"/>
    <x v="12"/>
    <x v="13"/>
    <x v="2"/>
    <x v="2"/>
    <x v="6"/>
    <x v="5"/>
    <x v="6"/>
  </r>
  <r>
    <x v="388"/>
    <x v="7"/>
    <x v="12"/>
    <x v="13"/>
    <x v="2"/>
    <x v="2"/>
    <x v="6"/>
    <x v="5"/>
    <x v="7"/>
  </r>
  <r>
    <x v="388"/>
    <x v="8"/>
    <x v="12"/>
    <x v="13"/>
    <x v="2"/>
    <x v="2"/>
    <x v="6"/>
    <x v="5"/>
    <x v="8"/>
  </r>
  <r>
    <x v="388"/>
    <x v="9"/>
    <x v="12"/>
    <x v="13"/>
    <x v="2"/>
    <x v="2"/>
    <x v="6"/>
    <x v="5"/>
    <x v="9"/>
  </r>
  <r>
    <x v="389"/>
    <x v="2"/>
    <x v="13"/>
    <x v="13"/>
    <x v="2"/>
    <x v="2"/>
    <x v="3"/>
    <x v="5"/>
    <x v="2"/>
  </r>
  <r>
    <x v="389"/>
    <x v="3"/>
    <x v="13"/>
    <x v="13"/>
    <x v="2"/>
    <x v="2"/>
    <x v="4"/>
    <x v="5"/>
    <x v="3"/>
  </r>
  <r>
    <x v="389"/>
    <x v="4"/>
    <x v="13"/>
    <x v="13"/>
    <x v="2"/>
    <x v="2"/>
    <x v="5"/>
    <x v="5"/>
    <x v="4"/>
  </r>
  <r>
    <x v="389"/>
    <x v="5"/>
    <x v="13"/>
    <x v="13"/>
    <x v="2"/>
    <x v="2"/>
    <x v="6"/>
    <x v="5"/>
    <x v="5"/>
  </r>
  <r>
    <x v="389"/>
    <x v="6"/>
    <x v="13"/>
    <x v="13"/>
    <x v="2"/>
    <x v="2"/>
    <x v="6"/>
    <x v="5"/>
    <x v="6"/>
  </r>
  <r>
    <x v="389"/>
    <x v="7"/>
    <x v="13"/>
    <x v="13"/>
    <x v="2"/>
    <x v="2"/>
    <x v="6"/>
    <x v="5"/>
    <x v="7"/>
  </r>
  <r>
    <x v="389"/>
    <x v="8"/>
    <x v="13"/>
    <x v="13"/>
    <x v="2"/>
    <x v="2"/>
    <x v="6"/>
    <x v="5"/>
    <x v="8"/>
  </r>
  <r>
    <x v="389"/>
    <x v="9"/>
    <x v="13"/>
    <x v="13"/>
    <x v="2"/>
    <x v="2"/>
    <x v="6"/>
    <x v="5"/>
    <x v="9"/>
  </r>
  <r>
    <x v="390"/>
    <x v="2"/>
    <x v="59"/>
    <x v="13"/>
    <x v="2"/>
    <x v="2"/>
    <x v="7"/>
    <x v="3"/>
    <x v="2"/>
  </r>
  <r>
    <x v="390"/>
    <x v="3"/>
    <x v="59"/>
    <x v="13"/>
    <x v="2"/>
    <x v="2"/>
    <x v="5"/>
    <x v="3"/>
    <x v="3"/>
  </r>
  <r>
    <x v="390"/>
    <x v="4"/>
    <x v="59"/>
    <x v="13"/>
    <x v="2"/>
    <x v="2"/>
    <x v="8"/>
    <x v="3"/>
    <x v="4"/>
  </r>
  <r>
    <x v="390"/>
    <x v="5"/>
    <x v="59"/>
    <x v="13"/>
    <x v="2"/>
    <x v="2"/>
    <x v="6"/>
    <x v="3"/>
    <x v="5"/>
  </r>
  <r>
    <x v="390"/>
    <x v="6"/>
    <x v="59"/>
    <x v="13"/>
    <x v="2"/>
    <x v="2"/>
    <x v="6"/>
    <x v="3"/>
    <x v="6"/>
  </r>
  <r>
    <x v="390"/>
    <x v="7"/>
    <x v="59"/>
    <x v="13"/>
    <x v="2"/>
    <x v="2"/>
    <x v="6"/>
    <x v="3"/>
    <x v="7"/>
  </r>
  <r>
    <x v="390"/>
    <x v="8"/>
    <x v="59"/>
    <x v="13"/>
    <x v="2"/>
    <x v="2"/>
    <x v="6"/>
    <x v="3"/>
    <x v="8"/>
  </r>
  <r>
    <x v="390"/>
    <x v="9"/>
    <x v="59"/>
    <x v="13"/>
    <x v="2"/>
    <x v="2"/>
    <x v="6"/>
    <x v="3"/>
    <x v="9"/>
  </r>
  <r>
    <x v="391"/>
    <x v="2"/>
    <x v="60"/>
    <x v="13"/>
    <x v="2"/>
    <x v="2"/>
    <x v="7"/>
    <x v="3"/>
    <x v="2"/>
  </r>
  <r>
    <x v="391"/>
    <x v="3"/>
    <x v="60"/>
    <x v="13"/>
    <x v="2"/>
    <x v="2"/>
    <x v="5"/>
    <x v="3"/>
    <x v="3"/>
  </r>
  <r>
    <x v="391"/>
    <x v="4"/>
    <x v="60"/>
    <x v="13"/>
    <x v="2"/>
    <x v="2"/>
    <x v="8"/>
    <x v="3"/>
    <x v="4"/>
  </r>
  <r>
    <x v="391"/>
    <x v="5"/>
    <x v="60"/>
    <x v="13"/>
    <x v="2"/>
    <x v="2"/>
    <x v="6"/>
    <x v="3"/>
    <x v="5"/>
  </r>
  <r>
    <x v="391"/>
    <x v="6"/>
    <x v="60"/>
    <x v="13"/>
    <x v="2"/>
    <x v="2"/>
    <x v="6"/>
    <x v="3"/>
    <x v="6"/>
  </r>
  <r>
    <x v="391"/>
    <x v="7"/>
    <x v="60"/>
    <x v="13"/>
    <x v="2"/>
    <x v="2"/>
    <x v="6"/>
    <x v="3"/>
    <x v="7"/>
  </r>
  <r>
    <x v="391"/>
    <x v="8"/>
    <x v="60"/>
    <x v="13"/>
    <x v="2"/>
    <x v="2"/>
    <x v="6"/>
    <x v="3"/>
    <x v="8"/>
  </r>
  <r>
    <x v="391"/>
    <x v="9"/>
    <x v="60"/>
    <x v="13"/>
    <x v="2"/>
    <x v="2"/>
    <x v="6"/>
    <x v="3"/>
    <x v="9"/>
  </r>
  <r>
    <x v="392"/>
    <x v="2"/>
    <x v="61"/>
    <x v="13"/>
    <x v="2"/>
    <x v="2"/>
    <x v="7"/>
    <x v="3"/>
    <x v="2"/>
  </r>
  <r>
    <x v="392"/>
    <x v="3"/>
    <x v="61"/>
    <x v="13"/>
    <x v="2"/>
    <x v="2"/>
    <x v="5"/>
    <x v="3"/>
    <x v="3"/>
  </r>
  <r>
    <x v="392"/>
    <x v="4"/>
    <x v="61"/>
    <x v="13"/>
    <x v="2"/>
    <x v="2"/>
    <x v="8"/>
    <x v="3"/>
    <x v="4"/>
  </r>
  <r>
    <x v="392"/>
    <x v="5"/>
    <x v="61"/>
    <x v="13"/>
    <x v="2"/>
    <x v="2"/>
    <x v="6"/>
    <x v="3"/>
    <x v="5"/>
  </r>
  <r>
    <x v="392"/>
    <x v="6"/>
    <x v="61"/>
    <x v="13"/>
    <x v="2"/>
    <x v="2"/>
    <x v="6"/>
    <x v="3"/>
    <x v="6"/>
  </r>
  <r>
    <x v="392"/>
    <x v="7"/>
    <x v="61"/>
    <x v="13"/>
    <x v="2"/>
    <x v="2"/>
    <x v="6"/>
    <x v="3"/>
    <x v="7"/>
  </r>
  <r>
    <x v="392"/>
    <x v="8"/>
    <x v="61"/>
    <x v="13"/>
    <x v="2"/>
    <x v="2"/>
    <x v="6"/>
    <x v="3"/>
    <x v="8"/>
  </r>
  <r>
    <x v="392"/>
    <x v="9"/>
    <x v="61"/>
    <x v="13"/>
    <x v="2"/>
    <x v="2"/>
    <x v="6"/>
    <x v="3"/>
    <x v="9"/>
  </r>
  <r>
    <x v="393"/>
    <x v="2"/>
    <x v="63"/>
    <x v="13"/>
    <x v="2"/>
    <x v="2"/>
    <x v="7"/>
    <x v="2"/>
    <x v="2"/>
  </r>
  <r>
    <x v="393"/>
    <x v="4"/>
    <x v="63"/>
    <x v="13"/>
    <x v="2"/>
    <x v="2"/>
    <x v="5"/>
    <x v="2"/>
    <x v="4"/>
  </r>
  <r>
    <x v="393"/>
    <x v="6"/>
    <x v="63"/>
    <x v="13"/>
    <x v="2"/>
    <x v="2"/>
    <x v="8"/>
    <x v="2"/>
    <x v="6"/>
  </r>
  <r>
    <x v="394"/>
    <x v="2"/>
    <x v="64"/>
    <x v="13"/>
    <x v="2"/>
    <x v="2"/>
    <x v="7"/>
    <x v="2"/>
    <x v="2"/>
  </r>
  <r>
    <x v="394"/>
    <x v="6"/>
    <x v="64"/>
    <x v="13"/>
    <x v="2"/>
    <x v="2"/>
    <x v="5"/>
    <x v="2"/>
    <x v="6"/>
  </r>
  <r>
    <x v="394"/>
    <x v="9"/>
    <x v="64"/>
    <x v="13"/>
    <x v="2"/>
    <x v="2"/>
    <x v="8"/>
    <x v="2"/>
    <x v="9"/>
  </r>
  <r>
    <x v="395"/>
    <x v="2"/>
    <x v="49"/>
    <x v="13"/>
    <x v="3"/>
    <x v="3"/>
    <x v="7"/>
    <x v="3"/>
    <x v="2"/>
  </r>
  <r>
    <x v="395"/>
    <x v="3"/>
    <x v="49"/>
    <x v="13"/>
    <x v="3"/>
    <x v="3"/>
    <x v="5"/>
    <x v="3"/>
    <x v="3"/>
  </r>
  <r>
    <x v="395"/>
    <x v="4"/>
    <x v="49"/>
    <x v="13"/>
    <x v="3"/>
    <x v="3"/>
    <x v="8"/>
    <x v="3"/>
    <x v="4"/>
  </r>
  <r>
    <x v="395"/>
    <x v="5"/>
    <x v="49"/>
    <x v="13"/>
    <x v="3"/>
    <x v="3"/>
    <x v="6"/>
    <x v="3"/>
    <x v="5"/>
  </r>
  <r>
    <x v="395"/>
    <x v="6"/>
    <x v="49"/>
    <x v="13"/>
    <x v="3"/>
    <x v="3"/>
    <x v="6"/>
    <x v="3"/>
    <x v="6"/>
  </r>
  <r>
    <x v="395"/>
    <x v="7"/>
    <x v="49"/>
    <x v="13"/>
    <x v="3"/>
    <x v="3"/>
    <x v="6"/>
    <x v="3"/>
    <x v="7"/>
  </r>
  <r>
    <x v="395"/>
    <x v="8"/>
    <x v="49"/>
    <x v="13"/>
    <x v="3"/>
    <x v="3"/>
    <x v="6"/>
    <x v="3"/>
    <x v="8"/>
  </r>
  <r>
    <x v="395"/>
    <x v="9"/>
    <x v="49"/>
    <x v="13"/>
    <x v="3"/>
    <x v="3"/>
    <x v="6"/>
    <x v="3"/>
    <x v="9"/>
  </r>
  <r>
    <x v="396"/>
    <x v="2"/>
    <x v="50"/>
    <x v="13"/>
    <x v="3"/>
    <x v="3"/>
    <x v="7"/>
    <x v="3"/>
    <x v="2"/>
  </r>
  <r>
    <x v="396"/>
    <x v="3"/>
    <x v="50"/>
    <x v="13"/>
    <x v="3"/>
    <x v="3"/>
    <x v="5"/>
    <x v="3"/>
    <x v="3"/>
  </r>
  <r>
    <x v="396"/>
    <x v="4"/>
    <x v="50"/>
    <x v="13"/>
    <x v="3"/>
    <x v="3"/>
    <x v="8"/>
    <x v="3"/>
    <x v="4"/>
  </r>
  <r>
    <x v="396"/>
    <x v="5"/>
    <x v="50"/>
    <x v="13"/>
    <x v="3"/>
    <x v="3"/>
    <x v="6"/>
    <x v="3"/>
    <x v="5"/>
  </r>
  <r>
    <x v="396"/>
    <x v="6"/>
    <x v="50"/>
    <x v="13"/>
    <x v="3"/>
    <x v="3"/>
    <x v="6"/>
    <x v="3"/>
    <x v="6"/>
  </r>
  <r>
    <x v="396"/>
    <x v="7"/>
    <x v="50"/>
    <x v="13"/>
    <x v="3"/>
    <x v="3"/>
    <x v="6"/>
    <x v="3"/>
    <x v="7"/>
  </r>
  <r>
    <x v="396"/>
    <x v="8"/>
    <x v="50"/>
    <x v="13"/>
    <x v="3"/>
    <x v="3"/>
    <x v="6"/>
    <x v="3"/>
    <x v="8"/>
  </r>
  <r>
    <x v="396"/>
    <x v="9"/>
    <x v="50"/>
    <x v="13"/>
    <x v="3"/>
    <x v="3"/>
    <x v="6"/>
    <x v="3"/>
    <x v="9"/>
  </r>
  <r>
    <x v="397"/>
    <x v="2"/>
    <x v="51"/>
    <x v="13"/>
    <x v="3"/>
    <x v="3"/>
    <x v="7"/>
    <x v="3"/>
    <x v="2"/>
  </r>
  <r>
    <x v="397"/>
    <x v="3"/>
    <x v="51"/>
    <x v="13"/>
    <x v="3"/>
    <x v="3"/>
    <x v="5"/>
    <x v="3"/>
    <x v="3"/>
  </r>
  <r>
    <x v="397"/>
    <x v="4"/>
    <x v="51"/>
    <x v="13"/>
    <x v="3"/>
    <x v="3"/>
    <x v="8"/>
    <x v="3"/>
    <x v="4"/>
  </r>
  <r>
    <x v="397"/>
    <x v="5"/>
    <x v="51"/>
    <x v="13"/>
    <x v="3"/>
    <x v="3"/>
    <x v="6"/>
    <x v="3"/>
    <x v="5"/>
  </r>
  <r>
    <x v="397"/>
    <x v="6"/>
    <x v="51"/>
    <x v="13"/>
    <x v="3"/>
    <x v="3"/>
    <x v="6"/>
    <x v="3"/>
    <x v="6"/>
  </r>
  <r>
    <x v="397"/>
    <x v="7"/>
    <x v="51"/>
    <x v="13"/>
    <x v="3"/>
    <x v="3"/>
    <x v="6"/>
    <x v="3"/>
    <x v="7"/>
  </r>
  <r>
    <x v="397"/>
    <x v="8"/>
    <x v="51"/>
    <x v="13"/>
    <x v="3"/>
    <x v="3"/>
    <x v="6"/>
    <x v="3"/>
    <x v="8"/>
  </r>
  <r>
    <x v="397"/>
    <x v="9"/>
    <x v="51"/>
    <x v="13"/>
    <x v="3"/>
    <x v="3"/>
    <x v="6"/>
    <x v="3"/>
    <x v="9"/>
  </r>
  <r>
    <x v="398"/>
    <x v="2"/>
    <x v="52"/>
    <x v="13"/>
    <x v="3"/>
    <x v="3"/>
    <x v="7"/>
    <x v="3"/>
    <x v="2"/>
  </r>
  <r>
    <x v="398"/>
    <x v="3"/>
    <x v="52"/>
    <x v="13"/>
    <x v="3"/>
    <x v="3"/>
    <x v="5"/>
    <x v="3"/>
    <x v="3"/>
  </r>
  <r>
    <x v="398"/>
    <x v="4"/>
    <x v="52"/>
    <x v="13"/>
    <x v="3"/>
    <x v="3"/>
    <x v="8"/>
    <x v="3"/>
    <x v="4"/>
  </r>
  <r>
    <x v="398"/>
    <x v="5"/>
    <x v="52"/>
    <x v="13"/>
    <x v="3"/>
    <x v="3"/>
    <x v="6"/>
    <x v="3"/>
    <x v="5"/>
  </r>
  <r>
    <x v="398"/>
    <x v="6"/>
    <x v="52"/>
    <x v="13"/>
    <x v="3"/>
    <x v="3"/>
    <x v="6"/>
    <x v="3"/>
    <x v="6"/>
  </r>
  <r>
    <x v="398"/>
    <x v="7"/>
    <x v="52"/>
    <x v="13"/>
    <x v="3"/>
    <x v="3"/>
    <x v="6"/>
    <x v="3"/>
    <x v="7"/>
  </r>
  <r>
    <x v="398"/>
    <x v="8"/>
    <x v="52"/>
    <x v="13"/>
    <x v="3"/>
    <x v="3"/>
    <x v="6"/>
    <x v="3"/>
    <x v="8"/>
  </r>
  <r>
    <x v="398"/>
    <x v="9"/>
    <x v="52"/>
    <x v="13"/>
    <x v="3"/>
    <x v="3"/>
    <x v="6"/>
    <x v="3"/>
    <x v="9"/>
  </r>
  <r>
    <x v="399"/>
    <x v="2"/>
    <x v="53"/>
    <x v="13"/>
    <x v="3"/>
    <x v="3"/>
    <x v="2"/>
    <x v="3"/>
    <x v="2"/>
  </r>
  <r>
    <x v="399"/>
    <x v="3"/>
    <x v="53"/>
    <x v="13"/>
    <x v="3"/>
    <x v="3"/>
    <x v="3"/>
    <x v="3"/>
    <x v="3"/>
  </r>
  <r>
    <x v="399"/>
    <x v="4"/>
    <x v="53"/>
    <x v="13"/>
    <x v="3"/>
    <x v="3"/>
    <x v="7"/>
    <x v="3"/>
    <x v="4"/>
  </r>
  <r>
    <x v="399"/>
    <x v="5"/>
    <x v="53"/>
    <x v="13"/>
    <x v="3"/>
    <x v="3"/>
    <x v="5"/>
    <x v="3"/>
    <x v="5"/>
  </r>
  <r>
    <x v="399"/>
    <x v="6"/>
    <x v="53"/>
    <x v="13"/>
    <x v="3"/>
    <x v="3"/>
    <x v="5"/>
    <x v="3"/>
    <x v="6"/>
  </r>
  <r>
    <x v="399"/>
    <x v="7"/>
    <x v="53"/>
    <x v="13"/>
    <x v="3"/>
    <x v="3"/>
    <x v="5"/>
    <x v="3"/>
    <x v="7"/>
  </r>
  <r>
    <x v="399"/>
    <x v="8"/>
    <x v="53"/>
    <x v="13"/>
    <x v="3"/>
    <x v="3"/>
    <x v="5"/>
    <x v="3"/>
    <x v="8"/>
  </r>
  <r>
    <x v="399"/>
    <x v="9"/>
    <x v="53"/>
    <x v="13"/>
    <x v="3"/>
    <x v="3"/>
    <x v="5"/>
    <x v="3"/>
    <x v="9"/>
  </r>
  <r>
    <x v="400"/>
    <x v="2"/>
    <x v="54"/>
    <x v="13"/>
    <x v="3"/>
    <x v="3"/>
    <x v="3"/>
    <x v="3"/>
    <x v="2"/>
  </r>
  <r>
    <x v="400"/>
    <x v="4"/>
    <x v="54"/>
    <x v="13"/>
    <x v="3"/>
    <x v="3"/>
    <x v="7"/>
    <x v="3"/>
    <x v="4"/>
  </r>
  <r>
    <x v="400"/>
    <x v="6"/>
    <x v="54"/>
    <x v="13"/>
    <x v="3"/>
    <x v="3"/>
    <x v="5"/>
    <x v="3"/>
    <x v="6"/>
  </r>
  <r>
    <x v="401"/>
    <x v="2"/>
    <x v="55"/>
    <x v="13"/>
    <x v="3"/>
    <x v="3"/>
    <x v="3"/>
    <x v="3"/>
    <x v="2"/>
  </r>
  <r>
    <x v="401"/>
    <x v="4"/>
    <x v="55"/>
    <x v="13"/>
    <x v="3"/>
    <x v="3"/>
    <x v="7"/>
    <x v="3"/>
    <x v="4"/>
  </r>
  <r>
    <x v="401"/>
    <x v="6"/>
    <x v="55"/>
    <x v="13"/>
    <x v="3"/>
    <x v="3"/>
    <x v="5"/>
    <x v="3"/>
    <x v="6"/>
  </r>
  <r>
    <x v="402"/>
    <x v="2"/>
    <x v="56"/>
    <x v="13"/>
    <x v="3"/>
    <x v="3"/>
    <x v="3"/>
    <x v="3"/>
    <x v="2"/>
  </r>
  <r>
    <x v="402"/>
    <x v="4"/>
    <x v="56"/>
    <x v="13"/>
    <x v="3"/>
    <x v="3"/>
    <x v="7"/>
    <x v="3"/>
    <x v="4"/>
  </r>
  <r>
    <x v="402"/>
    <x v="6"/>
    <x v="56"/>
    <x v="13"/>
    <x v="3"/>
    <x v="3"/>
    <x v="5"/>
    <x v="3"/>
    <x v="6"/>
  </r>
  <r>
    <x v="403"/>
    <x v="2"/>
    <x v="28"/>
    <x v="13"/>
    <x v="3"/>
    <x v="3"/>
    <x v="2"/>
    <x v="5"/>
    <x v="2"/>
  </r>
  <r>
    <x v="403"/>
    <x v="3"/>
    <x v="28"/>
    <x v="13"/>
    <x v="3"/>
    <x v="3"/>
    <x v="3"/>
    <x v="5"/>
    <x v="3"/>
  </r>
  <r>
    <x v="403"/>
    <x v="4"/>
    <x v="28"/>
    <x v="13"/>
    <x v="3"/>
    <x v="3"/>
    <x v="7"/>
    <x v="5"/>
    <x v="4"/>
  </r>
  <r>
    <x v="403"/>
    <x v="5"/>
    <x v="28"/>
    <x v="13"/>
    <x v="3"/>
    <x v="3"/>
    <x v="5"/>
    <x v="5"/>
    <x v="5"/>
  </r>
  <r>
    <x v="403"/>
    <x v="6"/>
    <x v="28"/>
    <x v="13"/>
    <x v="3"/>
    <x v="3"/>
    <x v="5"/>
    <x v="5"/>
    <x v="6"/>
  </r>
  <r>
    <x v="403"/>
    <x v="7"/>
    <x v="28"/>
    <x v="13"/>
    <x v="3"/>
    <x v="3"/>
    <x v="5"/>
    <x v="5"/>
    <x v="7"/>
  </r>
  <r>
    <x v="403"/>
    <x v="8"/>
    <x v="28"/>
    <x v="13"/>
    <x v="3"/>
    <x v="3"/>
    <x v="5"/>
    <x v="5"/>
    <x v="8"/>
  </r>
  <r>
    <x v="403"/>
    <x v="9"/>
    <x v="28"/>
    <x v="13"/>
    <x v="3"/>
    <x v="3"/>
    <x v="5"/>
    <x v="5"/>
    <x v="9"/>
  </r>
  <r>
    <x v="404"/>
    <x v="2"/>
    <x v="29"/>
    <x v="13"/>
    <x v="3"/>
    <x v="3"/>
    <x v="2"/>
    <x v="5"/>
    <x v="2"/>
  </r>
  <r>
    <x v="404"/>
    <x v="3"/>
    <x v="29"/>
    <x v="13"/>
    <x v="3"/>
    <x v="3"/>
    <x v="3"/>
    <x v="5"/>
    <x v="3"/>
  </r>
  <r>
    <x v="404"/>
    <x v="4"/>
    <x v="29"/>
    <x v="13"/>
    <x v="3"/>
    <x v="3"/>
    <x v="7"/>
    <x v="5"/>
    <x v="4"/>
  </r>
  <r>
    <x v="404"/>
    <x v="5"/>
    <x v="29"/>
    <x v="13"/>
    <x v="3"/>
    <x v="3"/>
    <x v="5"/>
    <x v="5"/>
    <x v="5"/>
  </r>
  <r>
    <x v="404"/>
    <x v="6"/>
    <x v="29"/>
    <x v="13"/>
    <x v="3"/>
    <x v="3"/>
    <x v="5"/>
    <x v="5"/>
    <x v="6"/>
  </r>
  <r>
    <x v="404"/>
    <x v="7"/>
    <x v="29"/>
    <x v="13"/>
    <x v="3"/>
    <x v="3"/>
    <x v="5"/>
    <x v="5"/>
    <x v="7"/>
  </r>
  <r>
    <x v="404"/>
    <x v="8"/>
    <x v="29"/>
    <x v="13"/>
    <x v="3"/>
    <x v="3"/>
    <x v="5"/>
    <x v="5"/>
    <x v="8"/>
  </r>
  <r>
    <x v="404"/>
    <x v="9"/>
    <x v="29"/>
    <x v="13"/>
    <x v="3"/>
    <x v="3"/>
    <x v="5"/>
    <x v="5"/>
    <x v="9"/>
  </r>
  <r>
    <x v="405"/>
    <x v="2"/>
    <x v="30"/>
    <x v="13"/>
    <x v="3"/>
    <x v="3"/>
    <x v="2"/>
    <x v="5"/>
    <x v="2"/>
  </r>
  <r>
    <x v="405"/>
    <x v="3"/>
    <x v="30"/>
    <x v="13"/>
    <x v="3"/>
    <x v="3"/>
    <x v="3"/>
    <x v="5"/>
    <x v="3"/>
  </r>
  <r>
    <x v="405"/>
    <x v="4"/>
    <x v="30"/>
    <x v="13"/>
    <x v="3"/>
    <x v="3"/>
    <x v="7"/>
    <x v="5"/>
    <x v="4"/>
  </r>
  <r>
    <x v="405"/>
    <x v="5"/>
    <x v="30"/>
    <x v="13"/>
    <x v="3"/>
    <x v="3"/>
    <x v="5"/>
    <x v="5"/>
    <x v="5"/>
  </r>
  <r>
    <x v="405"/>
    <x v="6"/>
    <x v="30"/>
    <x v="13"/>
    <x v="3"/>
    <x v="3"/>
    <x v="5"/>
    <x v="5"/>
    <x v="6"/>
  </r>
  <r>
    <x v="405"/>
    <x v="7"/>
    <x v="30"/>
    <x v="13"/>
    <x v="3"/>
    <x v="3"/>
    <x v="5"/>
    <x v="5"/>
    <x v="7"/>
  </r>
  <r>
    <x v="405"/>
    <x v="8"/>
    <x v="30"/>
    <x v="13"/>
    <x v="3"/>
    <x v="3"/>
    <x v="5"/>
    <x v="5"/>
    <x v="8"/>
  </r>
  <r>
    <x v="405"/>
    <x v="9"/>
    <x v="30"/>
    <x v="13"/>
    <x v="3"/>
    <x v="3"/>
    <x v="5"/>
    <x v="5"/>
    <x v="9"/>
  </r>
  <r>
    <x v="406"/>
    <x v="2"/>
    <x v="31"/>
    <x v="13"/>
    <x v="3"/>
    <x v="3"/>
    <x v="2"/>
    <x v="5"/>
    <x v="2"/>
  </r>
  <r>
    <x v="406"/>
    <x v="3"/>
    <x v="31"/>
    <x v="13"/>
    <x v="3"/>
    <x v="3"/>
    <x v="3"/>
    <x v="5"/>
    <x v="3"/>
  </r>
  <r>
    <x v="406"/>
    <x v="4"/>
    <x v="31"/>
    <x v="13"/>
    <x v="3"/>
    <x v="3"/>
    <x v="7"/>
    <x v="5"/>
    <x v="4"/>
  </r>
  <r>
    <x v="406"/>
    <x v="5"/>
    <x v="31"/>
    <x v="13"/>
    <x v="3"/>
    <x v="3"/>
    <x v="5"/>
    <x v="5"/>
    <x v="5"/>
  </r>
  <r>
    <x v="406"/>
    <x v="6"/>
    <x v="31"/>
    <x v="13"/>
    <x v="3"/>
    <x v="3"/>
    <x v="5"/>
    <x v="5"/>
    <x v="6"/>
  </r>
  <r>
    <x v="406"/>
    <x v="7"/>
    <x v="31"/>
    <x v="13"/>
    <x v="3"/>
    <x v="3"/>
    <x v="5"/>
    <x v="5"/>
    <x v="7"/>
  </r>
  <r>
    <x v="406"/>
    <x v="8"/>
    <x v="31"/>
    <x v="13"/>
    <x v="3"/>
    <x v="3"/>
    <x v="5"/>
    <x v="5"/>
    <x v="8"/>
  </r>
  <r>
    <x v="406"/>
    <x v="9"/>
    <x v="31"/>
    <x v="13"/>
    <x v="3"/>
    <x v="3"/>
    <x v="5"/>
    <x v="5"/>
    <x v="9"/>
  </r>
  <r>
    <x v="407"/>
    <x v="2"/>
    <x v="32"/>
    <x v="13"/>
    <x v="3"/>
    <x v="3"/>
    <x v="2"/>
    <x v="5"/>
    <x v="2"/>
  </r>
  <r>
    <x v="407"/>
    <x v="3"/>
    <x v="32"/>
    <x v="13"/>
    <x v="3"/>
    <x v="3"/>
    <x v="3"/>
    <x v="5"/>
    <x v="3"/>
  </r>
  <r>
    <x v="407"/>
    <x v="4"/>
    <x v="32"/>
    <x v="13"/>
    <x v="3"/>
    <x v="3"/>
    <x v="7"/>
    <x v="5"/>
    <x v="4"/>
  </r>
  <r>
    <x v="407"/>
    <x v="5"/>
    <x v="32"/>
    <x v="13"/>
    <x v="3"/>
    <x v="3"/>
    <x v="5"/>
    <x v="5"/>
    <x v="5"/>
  </r>
  <r>
    <x v="407"/>
    <x v="6"/>
    <x v="32"/>
    <x v="13"/>
    <x v="3"/>
    <x v="3"/>
    <x v="5"/>
    <x v="5"/>
    <x v="6"/>
  </r>
  <r>
    <x v="407"/>
    <x v="7"/>
    <x v="32"/>
    <x v="13"/>
    <x v="3"/>
    <x v="3"/>
    <x v="5"/>
    <x v="5"/>
    <x v="7"/>
  </r>
  <r>
    <x v="407"/>
    <x v="8"/>
    <x v="32"/>
    <x v="13"/>
    <x v="3"/>
    <x v="3"/>
    <x v="5"/>
    <x v="5"/>
    <x v="8"/>
  </r>
  <r>
    <x v="407"/>
    <x v="9"/>
    <x v="32"/>
    <x v="13"/>
    <x v="3"/>
    <x v="3"/>
    <x v="5"/>
    <x v="5"/>
    <x v="9"/>
  </r>
  <r>
    <x v="408"/>
    <x v="2"/>
    <x v="33"/>
    <x v="13"/>
    <x v="3"/>
    <x v="3"/>
    <x v="2"/>
    <x v="5"/>
    <x v="2"/>
  </r>
  <r>
    <x v="408"/>
    <x v="3"/>
    <x v="33"/>
    <x v="13"/>
    <x v="3"/>
    <x v="3"/>
    <x v="3"/>
    <x v="5"/>
    <x v="3"/>
  </r>
  <r>
    <x v="408"/>
    <x v="4"/>
    <x v="33"/>
    <x v="13"/>
    <x v="3"/>
    <x v="3"/>
    <x v="7"/>
    <x v="5"/>
    <x v="4"/>
  </r>
  <r>
    <x v="408"/>
    <x v="5"/>
    <x v="33"/>
    <x v="13"/>
    <x v="3"/>
    <x v="3"/>
    <x v="5"/>
    <x v="5"/>
    <x v="5"/>
  </r>
  <r>
    <x v="408"/>
    <x v="6"/>
    <x v="33"/>
    <x v="13"/>
    <x v="3"/>
    <x v="3"/>
    <x v="5"/>
    <x v="5"/>
    <x v="6"/>
  </r>
  <r>
    <x v="408"/>
    <x v="7"/>
    <x v="33"/>
    <x v="13"/>
    <x v="3"/>
    <x v="3"/>
    <x v="5"/>
    <x v="5"/>
    <x v="7"/>
  </r>
  <r>
    <x v="408"/>
    <x v="8"/>
    <x v="33"/>
    <x v="13"/>
    <x v="3"/>
    <x v="3"/>
    <x v="5"/>
    <x v="5"/>
    <x v="8"/>
  </r>
  <r>
    <x v="408"/>
    <x v="9"/>
    <x v="33"/>
    <x v="13"/>
    <x v="3"/>
    <x v="3"/>
    <x v="5"/>
    <x v="5"/>
    <x v="9"/>
  </r>
  <r>
    <x v="409"/>
    <x v="2"/>
    <x v="34"/>
    <x v="13"/>
    <x v="3"/>
    <x v="3"/>
    <x v="2"/>
    <x v="5"/>
    <x v="2"/>
  </r>
  <r>
    <x v="409"/>
    <x v="3"/>
    <x v="34"/>
    <x v="13"/>
    <x v="3"/>
    <x v="3"/>
    <x v="3"/>
    <x v="5"/>
    <x v="3"/>
  </r>
  <r>
    <x v="409"/>
    <x v="4"/>
    <x v="34"/>
    <x v="13"/>
    <x v="3"/>
    <x v="3"/>
    <x v="7"/>
    <x v="5"/>
    <x v="4"/>
  </r>
  <r>
    <x v="409"/>
    <x v="5"/>
    <x v="34"/>
    <x v="13"/>
    <x v="3"/>
    <x v="3"/>
    <x v="5"/>
    <x v="5"/>
    <x v="5"/>
  </r>
  <r>
    <x v="409"/>
    <x v="6"/>
    <x v="34"/>
    <x v="13"/>
    <x v="3"/>
    <x v="3"/>
    <x v="5"/>
    <x v="5"/>
    <x v="6"/>
  </r>
  <r>
    <x v="409"/>
    <x v="7"/>
    <x v="34"/>
    <x v="13"/>
    <x v="3"/>
    <x v="3"/>
    <x v="5"/>
    <x v="5"/>
    <x v="7"/>
  </r>
  <r>
    <x v="409"/>
    <x v="8"/>
    <x v="34"/>
    <x v="13"/>
    <x v="3"/>
    <x v="3"/>
    <x v="5"/>
    <x v="5"/>
    <x v="8"/>
  </r>
  <r>
    <x v="409"/>
    <x v="9"/>
    <x v="34"/>
    <x v="13"/>
    <x v="3"/>
    <x v="3"/>
    <x v="5"/>
    <x v="5"/>
    <x v="9"/>
  </r>
  <r>
    <x v="410"/>
    <x v="2"/>
    <x v="44"/>
    <x v="13"/>
    <x v="3"/>
    <x v="3"/>
    <x v="2"/>
    <x v="5"/>
    <x v="2"/>
  </r>
  <r>
    <x v="410"/>
    <x v="3"/>
    <x v="44"/>
    <x v="13"/>
    <x v="3"/>
    <x v="3"/>
    <x v="3"/>
    <x v="5"/>
    <x v="3"/>
  </r>
  <r>
    <x v="410"/>
    <x v="4"/>
    <x v="44"/>
    <x v="13"/>
    <x v="3"/>
    <x v="3"/>
    <x v="7"/>
    <x v="5"/>
    <x v="4"/>
  </r>
  <r>
    <x v="410"/>
    <x v="5"/>
    <x v="44"/>
    <x v="13"/>
    <x v="3"/>
    <x v="3"/>
    <x v="5"/>
    <x v="5"/>
    <x v="5"/>
  </r>
  <r>
    <x v="410"/>
    <x v="6"/>
    <x v="44"/>
    <x v="13"/>
    <x v="3"/>
    <x v="3"/>
    <x v="5"/>
    <x v="5"/>
    <x v="6"/>
  </r>
  <r>
    <x v="410"/>
    <x v="7"/>
    <x v="44"/>
    <x v="13"/>
    <x v="3"/>
    <x v="3"/>
    <x v="5"/>
    <x v="5"/>
    <x v="7"/>
  </r>
  <r>
    <x v="410"/>
    <x v="8"/>
    <x v="44"/>
    <x v="13"/>
    <x v="3"/>
    <x v="3"/>
    <x v="5"/>
    <x v="5"/>
    <x v="8"/>
  </r>
  <r>
    <x v="410"/>
    <x v="9"/>
    <x v="44"/>
    <x v="13"/>
    <x v="3"/>
    <x v="3"/>
    <x v="5"/>
    <x v="5"/>
    <x v="9"/>
  </r>
  <r>
    <x v="411"/>
    <x v="2"/>
    <x v="57"/>
    <x v="13"/>
    <x v="3"/>
    <x v="3"/>
    <x v="2"/>
    <x v="5"/>
    <x v="2"/>
  </r>
  <r>
    <x v="411"/>
    <x v="3"/>
    <x v="57"/>
    <x v="13"/>
    <x v="3"/>
    <x v="3"/>
    <x v="3"/>
    <x v="5"/>
    <x v="3"/>
  </r>
  <r>
    <x v="411"/>
    <x v="4"/>
    <x v="57"/>
    <x v="13"/>
    <x v="3"/>
    <x v="3"/>
    <x v="7"/>
    <x v="5"/>
    <x v="4"/>
  </r>
  <r>
    <x v="411"/>
    <x v="5"/>
    <x v="57"/>
    <x v="13"/>
    <x v="3"/>
    <x v="3"/>
    <x v="5"/>
    <x v="5"/>
    <x v="5"/>
  </r>
  <r>
    <x v="411"/>
    <x v="6"/>
    <x v="57"/>
    <x v="13"/>
    <x v="3"/>
    <x v="3"/>
    <x v="5"/>
    <x v="5"/>
    <x v="6"/>
  </r>
  <r>
    <x v="411"/>
    <x v="7"/>
    <x v="57"/>
    <x v="13"/>
    <x v="3"/>
    <x v="3"/>
    <x v="5"/>
    <x v="5"/>
    <x v="7"/>
  </r>
  <r>
    <x v="411"/>
    <x v="8"/>
    <x v="57"/>
    <x v="13"/>
    <x v="3"/>
    <x v="3"/>
    <x v="5"/>
    <x v="5"/>
    <x v="8"/>
  </r>
  <r>
    <x v="411"/>
    <x v="9"/>
    <x v="57"/>
    <x v="13"/>
    <x v="3"/>
    <x v="3"/>
    <x v="5"/>
    <x v="5"/>
    <x v="9"/>
  </r>
  <r>
    <x v="412"/>
    <x v="2"/>
    <x v="63"/>
    <x v="14"/>
    <x v="4"/>
    <x v="4"/>
    <x v="6"/>
    <x v="3"/>
    <x v="9"/>
  </r>
  <r>
    <x v="413"/>
    <x v="2"/>
    <x v="36"/>
    <x v="14"/>
    <x v="4"/>
    <x v="4"/>
    <x v="6"/>
    <x v="3"/>
    <x v="9"/>
  </r>
  <r>
    <x v="414"/>
    <x v="2"/>
    <x v="28"/>
    <x v="14"/>
    <x v="4"/>
    <x v="4"/>
    <x v="6"/>
    <x v="3"/>
    <x v="9"/>
  </r>
  <r>
    <x v="415"/>
    <x v="2"/>
    <x v="27"/>
    <x v="14"/>
    <x v="4"/>
    <x v="4"/>
    <x v="6"/>
    <x v="3"/>
    <x v="9"/>
  </r>
  <r>
    <x v="416"/>
    <x v="2"/>
    <x v="22"/>
    <x v="14"/>
    <x v="4"/>
    <x v="4"/>
    <x v="6"/>
    <x v="3"/>
    <x v="9"/>
  </r>
  <r>
    <x v="417"/>
    <x v="2"/>
    <x v="25"/>
    <x v="14"/>
    <x v="4"/>
    <x v="4"/>
    <x v="6"/>
    <x v="3"/>
    <x v="9"/>
  </r>
  <r>
    <x v="418"/>
    <x v="2"/>
    <x v="18"/>
    <x v="15"/>
    <x v="4"/>
    <x v="4"/>
    <x v="6"/>
    <x v="3"/>
    <x v="9"/>
  </r>
  <r>
    <x v="419"/>
    <x v="2"/>
    <x v="15"/>
    <x v="15"/>
    <x v="4"/>
    <x v="4"/>
    <x v="6"/>
    <x v="3"/>
    <x v="9"/>
  </r>
  <r>
    <x v="420"/>
    <x v="2"/>
    <x v="16"/>
    <x v="15"/>
    <x v="4"/>
    <x v="4"/>
    <x v="6"/>
    <x v="3"/>
    <x v="9"/>
  </r>
  <r>
    <x v="421"/>
    <x v="2"/>
    <x v="13"/>
    <x v="15"/>
    <x v="4"/>
    <x v="4"/>
    <x v="6"/>
    <x v="3"/>
    <x v="9"/>
  </r>
  <r>
    <x v="422"/>
    <x v="2"/>
    <x v="17"/>
    <x v="15"/>
    <x v="4"/>
    <x v="4"/>
    <x v="6"/>
    <x v="3"/>
    <x v="9"/>
  </r>
  <r>
    <x v="423"/>
    <x v="2"/>
    <x v="69"/>
    <x v="15"/>
    <x v="4"/>
    <x v="4"/>
    <x v="6"/>
    <x v="3"/>
    <x v="9"/>
  </r>
  <r>
    <x v="424"/>
    <x v="2"/>
    <x v="70"/>
    <x v="16"/>
    <x v="4"/>
    <x v="4"/>
    <x v="9"/>
    <x v="3"/>
    <x v="10"/>
  </r>
  <r>
    <x v="425"/>
    <x v="2"/>
    <x v="71"/>
    <x v="16"/>
    <x v="4"/>
    <x v="4"/>
    <x v="9"/>
    <x v="3"/>
    <x v="10"/>
  </r>
  <r>
    <x v="426"/>
    <x v="2"/>
    <x v="72"/>
    <x v="16"/>
    <x v="4"/>
    <x v="4"/>
    <x v="9"/>
    <x v="3"/>
    <x v="10"/>
  </r>
  <r>
    <x v="427"/>
    <x v="2"/>
    <x v="73"/>
    <x v="16"/>
    <x v="4"/>
    <x v="4"/>
    <x v="9"/>
    <x v="3"/>
    <x v="10"/>
  </r>
  <r>
    <x v="428"/>
    <x v="2"/>
    <x v="74"/>
    <x v="16"/>
    <x v="4"/>
    <x v="4"/>
    <x v="9"/>
    <x v="3"/>
    <x v="10"/>
  </r>
  <r>
    <x v="429"/>
    <x v="2"/>
    <x v="75"/>
    <x v="16"/>
    <x v="4"/>
    <x v="4"/>
    <x v="9"/>
    <x v="3"/>
    <x v="10"/>
  </r>
  <r>
    <x v="430"/>
    <x v="2"/>
    <x v="76"/>
    <x v="16"/>
    <x v="4"/>
    <x v="4"/>
    <x v="9"/>
    <x v="3"/>
    <x v="10"/>
  </r>
  <r>
    <x v="431"/>
    <x v="2"/>
    <x v="77"/>
    <x v="16"/>
    <x v="4"/>
    <x v="4"/>
    <x v="9"/>
    <x v="3"/>
    <x v="10"/>
  </r>
  <r>
    <x v="432"/>
    <x v="2"/>
    <x v="78"/>
    <x v="16"/>
    <x v="4"/>
    <x v="4"/>
    <x v="9"/>
    <x v="3"/>
    <x v="10"/>
  </r>
  <r>
    <x v="433"/>
    <x v="2"/>
    <x v="79"/>
    <x v="16"/>
    <x v="4"/>
    <x v="4"/>
    <x v="9"/>
    <x v="3"/>
    <x v="10"/>
  </r>
  <r>
    <x v="434"/>
    <x v="2"/>
    <x v="80"/>
    <x v="16"/>
    <x v="4"/>
    <x v="4"/>
    <x v="9"/>
    <x v="3"/>
    <x v="10"/>
  </r>
  <r>
    <x v="435"/>
    <x v="2"/>
    <x v="81"/>
    <x v="16"/>
    <x v="4"/>
    <x v="4"/>
    <x v="9"/>
    <x v="3"/>
    <x v="10"/>
  </r>
  <r>
    <x v="436"/>
    <x v="2"/>
    <x v="82"/>
    <x v="16"/>
    <x v="4"/>
    <x v="4"/>
    <x v="9"/>
    <x v="3"/>
    <x v="10"/>
  </r>
  <r>
    <x v="437"/>
    <x v="2"/>
    <x v="83"/>
    <x v="16"/>
    <x v="4"/>
    <x v="4"/>
    <x v="9"/>
    <x v="3"/>
    <x v="10"/>
  </r>
  <r>
    <x v="438"/>
    <x v="2"/>
    <x v="84"/>
    <x v="16"/>
    <x v="4"/>
    <x v="4"/>
    <x v="9"/>
    <x v="3"/>
    <x v="10"/>
  </r>
  <r>
    <x v="439"/>
    <x v="2"/>
    <x v="85"/>
    <x v="16"/>
    <x v="4"/>
    <x v="4"/>
    <x v="9"/>
    <x v="3"/>
    <x v="10"/>
  </r>
  <r>
    <x v="440"/>
    <x v="2"/>
    <x v="86"/>
    <x v="16"/>
    <x v="4"/>
    <x v="4"/>
    <x v="9"/>
    <x v="3"/>
    <x v="10"/>
  </r>
  <r>
    <x v="441"/>
    <x v="2"/>
    <x v="87"/>
    <x v="16"/>
    <x v="4"/>
    <x v="4"/>
    <x v="9"/>
    <x v="3"/>
    <x v="10"/>
  </r>
  <r>
    <x v="442"/>
    <x v="10"/>
    <x v="88"/>
    <x v="16"/>
    <x v="4"/>
    <x v="4"/>
    <x v="9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5:D158" firstHeaderRow="1" firstDataRow="1" firstDataCol="3" rowPageCount="2" colPageCount="1"/>
  <pivotFields count="9">
    <pivotField axis="axisRow" compact="0" showAll="0">
      <items count="445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46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0"/>
        <item x="1"/>
        <item x="442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443"/>
        <item x="17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axis="axisRow" compact="0" multipleItemSelectionAllowed="1" showAll="0">
      <items count="12">
        <item x="2"/>
        <item x="3"/>
        <item x="4"/>
        <item x="5"/>
        <item h="1" x="6"/>
        <item h="1" x="7"/>
        <item h="1" x="8"/>
        <item h="1" x="9"/>
        <item h="1" x="1"/>
        <item h="1" x="0"/>
        <item h="1" x="10"/>
        <item t="default"/>
      </items>
    </pivotField>
    <pivotField axis="axisRow" compact="0" multipleItemSelectionAllowed="1" showAll="0">
      <items count="90">
        <item x="0"/>
        <item x="1"/>
        <item x="4"/>
        <item x="23"/>
        <item x="11"/>
        <item x="29"/>
        <item x="27"/>
        <item x="20"/>
        <item x="8"/>
        <item x="28"/>
        <item x="26"/>
        <item x="19"/>
        <item x="7"/>
        <item x="35"/>
        <item x="6"/>
        <item x="25"/>
        <item x="13"/>
        <item x="3"/>
        <item x="22"/>
        <item x="10"/>
        <item x="15"/>
        <item x="14"/>
        <item x="16"/>
        <item x="17"/>
        <item x="5"/>
        <item x="24"/>
        <item x="12"/>
        <item x="36"/>
        <item x="18"/>
        <item x="2"/>
        <item x="21"/>
        <item x="9"/>
        <item x="69"/>
        <item x="70"/>
        <item x="79"/>
        <item x="80"/>
        <item x="81"/>
        <item x="82"/>
        <item x="83"/>
        <item x="84"/>
        <item x="85"/>
        <item x="86"/>
        <item x="87"/>
        <item x="71"/>
        <item x="72"/>
        <item x="73"/>
        <item x="74"/>
        <item x="75"/>
        <item x="76"/>
        <item x="77"/>
        <item x="78"/>
        <item x="88"/>
        <item x="30"/>
        <item x="31"/>
        <item x="32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axis="axisPage" compact="0" multipleItemSelectionAllowed="1" showAll="0">
      <items count="18">
        <item h="1" x="0"/>
        <item h="1" x="1"/>
        <item h="1" x="14"/>
        <item h="1" x="15"/>
        <item h="1" x="3"/>
        <item x="2"/>
        <item h="1" x="16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compact="0" multipleItemSelectionAllowed="1" showAll="0">
      <items count="6">
        <item h="1" x="0"/>
        <item h="1" x="1"/>
        <item x="3"/>
        <item h="1" x="2"/>
        <item h="1" x="4"/>
        <item t="default"/>
      </items>
    </pivotField>
    <pivotField compact="0" showAll="0"/>
    <pivotField dataField="1" compact="0" showAll="0">
      <items count="11">
        <item x="7"/>
        <item x="5"/>
        <item x="8"/>
        <item x="6"/>
        <item x="1"/>
        <item x="0"/>
        <item x="9"/>
        <item x="2"/>
        <item x="3"/>
        <item x="4"/>
        <item t="default"/>
      </items>
    </pivotField>
    <pivotField compact="0" showAll="0">
      <items count="7">
        <item x="2"/>
        <item x="4"/>
        <item x="1"/>
        <item x="0"/>
        <item x="3"/>
        <item x="5"/>
        <item t="default"/>
      </items>
    </pivotField>
    <pivotField compact="0" showAll="0">
      <items count="12">
        <item x="9"/>
        <item x="4"/>
        <item x="0"/>
        <item x="1"/>
        <item x="10"/>
        <item x="6"/>
        <item x="7"/>
        <item x="8"/>
        <item x="2"/>
        <item x="3"/>
        <item x="5"/>
        <item t="default"/>
      </items>
    </pivotField>
  </pivotFields>
  <rowFields count="3">
    <field x="0"/>
    <field x="2"/>
    <field x="1"/>
  </rowFields>
  <rowItems count="153">
    <i>
      <x v="49"/>
    </i>
    <i r="1">
      <x v="28"/>
    </i>
    <i r="2">
      <x/>
    </i>
    <i r="2">
      <x v="2"/>
    </i>
    <i>
      <x v="50"/>
    </i>
    <i r="1">
      <x v="11"/>
    </i>
    <i r="2">
      <x/>
    </i>
    <i r="2">
      <x v="2"/>
    </i>
    <i>
      <x v="51"/>
    </i>
    <i r="1">
      <x v="7"/>
    </i>
    <i r="2">
      <x/>
    </i>
    <i r="2">
      <x v="2"/>
    </i>
    <i>
      <x v="52"/>
    </i>
    <i r="1">
      <x v="30"/>
    </i>
    <i r="2">
      <x/>
    </i>
    <i r="2">
      <x v="2"/>
    </i>
    <i>
      <x v="53"/>
    </i>
    <i r="1">
      <x v="18"/>
    </i>
    <i r="2">
      <x/>
    </i>
    <i r="2">
      <x v="2"/>
    </i>
    <i>
      <x v="54"/>
    </i>
    <i r="1">
      <x v="3"/>
    </i>
    <i r="2">
      <x/>
    </i>
    <i r="2">
      <x v="2"/>
    </i>
    <i>
      <x v="55"/>
    </i>
    <i r="1">
      <x v="25"/>
    </i>
    <i r="2">
      <x/>
    </i>
    <i r="2">
      <x v="2"/>
    </i>
    <i>
      <x v="56"/>
    </i>
    <i r="1">
      <x v="15"/>
    </i>
    <i r="2">
      <x/>
    </i>
    <i r="2">
      <x v="2"/>
    </i>
    <i>
      <x v="57"/>
    </i>
    <i r="1">
      <x v="10"/>
    </i>
    <i r="2">
      <x/>
    </i>
    <i r="2">
      <x v="1"/>
    </i>
    <i r="2">
      <x v="2"/>
    </i>
    <i r="2">
      <x v="3"/>
    </i>
    <i>
      <x v="58"/>
    </i>
    <i r="1">
      <x v="6"/>
    </i>
    <i r="2">
      <x/>
    </i>
    <i r="2">
      <x v="1"/>
    </i>
    <i r="2">
      <x v="2"/>
    </i>
    <i r="2">
      <x v="3"/>
    </i>
    <i>
      <x v="59"/>
    </i>
    <i r="1">
      <x v="9"/>
    </i>
    <i r="2">
      <x/>
    </i>
    <i r="2">
      <x v="1"/>
    </i>
    <i r="2">
      <x v="2"/>
    </i>
    <i r="2">
      <x v="3"/>
    </i>
    <i>
      <x v="60"/>
    </i>
    <i r="1">
      <x v="5"/>
    </i>
    <i r="2">
      <x/>
    </i>
    <i r="2">
      <x v="1"/>
    </i>
    <i r="2">
      <x v="2"/>
    </i>
    <i r="2">
      <x v="3"/>
    </i>
    <i>
      <x v="61"/>
    </i>
    <i r="1">
      <x v="52"/>
    </i>
    <i r="2">
      <x/>
    </i>
    <i r="2">
      <x v="1"/>
    </i>
    <i r="2">
      <x v="2"/>
    </i>
    <i r="2">
      <x v="3"/>
    </i>
    <i>
      <x v="62"/>
    </i>
    <i r="1">
      <x v="53"/>
    </i>
    <i r="2">
      <x/>
    </i>
    <i r="2">
      <x v="1"/>
    </i>
    <i r="2">
      <x v="2"/>
    </i>
    <i r="2">
      <x v="3"/>
    </i>
    <i>
      <x v="63"/>
    </i>
    <i r="1">
      <x v="54"/>
    </i>
    <i r="2">
      <x/>
    </i>
    <i r="2">
      <x v="1"/>
    </i>
    <i r="2">
      <x v="2"/>
    </i>
    <i r="2">
      <x v="3"/>
    </i>
    <i>
      <x v="64"/>
    </i>
    <i r="1">
      <x v="55"/>
    </i>
    <i r="2">
      <x/>
    </i>
    <i r="2">
      <x v="1"/>
    </i>
    <i r="2">
      <x v="2"/>
    </i>
    <i r="2">
      <x v="3"/>
    </i>
    <i>
      <x v="65"/>
    </i>
    <i r="1">
      <x v="56"/>
    </i>
    <i r="2">
      <x/>
    </i>
    <i r="2">
      <x v="1"/>
    </i>
    <i r="2">
      <x v="2"/>
    </i>
    <i r="2">
      <x v="3"/>
    </i>
    <i>
      <x v="66"/>
    </i>
    <i r="1">
      <x v="13"/>
    </i>
    <i r="2">
      <x/>
    </i>
    <i r="2">
      <x v="1"/>
    </i>
    <i r="2">
      <x v="2"/>
    </i>
    <i r="2">
      <x v="3"/>
    </i>
    <i>
      <x v="67"/>
    </i>
    <i r="1">
      <x v="27"/>
    </i>
    <i r="2">
      <x/>
    </i>
    <i r="2">
      <x v="1"/>
    </i>
    <i r="2">
      <x v="2"/>
    </i>
    <i r="2">
      <x v="3"/>
    </i>
    <i>
      <x v="68"/>
    </i>
    <i r="1">
      <x v="57"/>
    </i>
    <i r="2">
      <x/>
    </i>
    <i r="2">
      <x v="1"/>
    </i>
    <i r="2">
      <x v="2"/>
    </i>
    <i r="2">
      <x v="3"/>
    </i>
    <i>
      <x v="69"/>
    </i>
    <i r="1">
      <x v="58"/>
    </i>
    <i r="2">
      <x/>
    </i>
    <i r="2">
      <x v="1"/>
    </i>
    <i r="2">
      <x v="2"/>
    </i>
    <i r="2">
      <x v="3"/>
    </i>
    <i>
      <x v="70"/>
    </i>
    <i r="1">
      <x v="59"/>
    </i>
    <i r="2">
      <x/>
    </i>
    <i r="2">
      <x v="1"/>
    </i>
    <i r="2">
      <x v="2"/>
    </i>
    <i r="2">
      <x v="3"/>
    </i>
    <i>
      <x v="71"/>
    </i>
    <i r="1">
      <x v="60"/>
    </i>
    <i r="2">
      <x/>
    </i>
    <i r="2">
      <x v="1"/>
    </i>
    <i r="2">
      <x v="2"/>
    </i>
    <i r="2">
      <x v="3"/>
    </i>
    <i>
      <x v="72"/>
    </i>
    <i r="1">
      <x v="61"/>
    </i>
    <i r="2">
      <x/>
    </i>
    <i r="2">
      <x v="1"/>
    </i>
    <i r="2">
      <x v="2"/>
    </i>
    <i r="2">
      <x v="3"/>
    </i>
    <i>
      <x v="73"/>
    </i>
    <i r="1">
      <x v="62"/>
    </i>
    <i r="2">
      <x/>
    </i>
    <i r="2">
      <x v="1"/>
    </i>
    <i r="2">
      <x v="2"/>
    </i>
    <i r="2">
      <x v="3"/>
    </i>
    <i>
      <x v="74"/>
    </i>
    <i r="1">
      <x v="63"/>
    </i>
    <i r="2">
      <x/>
    </i>
    <i r="2">
      <x v="1"/>
    </i>
    <i r="2">
      <x v="2"/>
    </i>
    <i r="2">
      <x v="3"/>
    </i>
    <i>
      <x v="75"/>
    </i>
    <i r="1">
      <x v="64"/>
    </i>
    <i r="2">
      <x/>
    </i>
    <i r="2">
      <x v="1"/>
    </i>
    <i r="2">
      <x v="2"/>
    </i>
    <i r="2">
      <x v="3"/>
    </i>
    <i>
      <x v="77"/>
    </i>
    <i r="1">
      <x v="23"/>
    </i>
    <i r="2">
      <x/>
    </i>
    <i r="2">
      <x v="1"/>
    </i>
    <i r="2">
      <x v="2"/>
    </i>
    <i r="2">
      <x v="3"/>
    </i>
    <i t="grand">
      <x/>
    </i>
  </rowItems>
  <colItems count="1">
    <i/>
  </colItems>
  <pageFields count="2">
    <pageField fld="3"/>
    <pageField fld="4"/>
  </pageFields>
  <dataFields count="1">
    <dataField name="求和项:权重" fld="6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15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G5" sqref="G5"/>
    </sheetView>
  </sheetViews>
  <sheetFormatPr defaultColWidth="9" defaultRowHeight="13.5"/>
  <cols>
    <col min="1" max="1" width="10.2666666666667" customWidth="1"/>
    <col min="2" max="2" width="13.9083333333333" customWidth="1"/>
    <col min="3" max="3" width="13.5" style="13" customWidth="1"/>
    <col min="4" max="4" width="13.5" style="41" customWidth="1"/>
    <col min="5" max="5" width="12.375" style="42" customWidth="1"/>
    <col min="6" max="6" width="14.3666666666667" style="4" customWidth="1"/>
    <col min="7" max="7" width="11.2666666666667" style="4" customWidth="1"/>
    <col min="8" max="8" width="9.375" customWidth="1"/>
    <col min="9" max="9" width="12.75" customWidth="1"/>
  </cols>
  <sheetData>
    <row r="1" ht="16.5" spans="1:9">
      <c r="A1" s="5" t="s">
        <v>0</v>
      </c>
      <c r="B1" s="5" t="s">
        <v>1</v>
      </c>
      <c r="C1" s="43" t="s">
        <v>2</v>
      </c>
      <c r="D1" s="44" t="s">
        <v>3</v>
      </c>
      <c r="E1" s="45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ht="16.5" spans="1:9">
      <c r="A2" s="7" t="s">
        <v>9</v>
      </c>
      <c r="B2" s="7" t="s">
        <v>10</v>
      </c>
      <c r="C2" s="46" t="s">
        <v>11</v>
      </c>
      <c r="D2" s="44" t="s">
        <v>12</v>
      </c>
      <c r="E2" s="47" t="s">
        <v>13</v>
      </c>
      <c r="F2" s="8" t="s">
        <v>14</v>
      </c>
      <c r="G2" s="8" t="s">
        <v>15</v>
      </c>
      <c r="H2" s="7" t="s">
        <v>16</v>
      </c>
      <c r="I2" s="7" t="s">
        <v>17</v>
      </c>
    </row>
    <row r="3" ht="16.5" spans="1:9">
      <c r="A3" s="22" t="s">
        <v>18</v>
      </c>
      <c r="B3" s="22" t="s">
        <v>19</v>
      </c>
      <c r="C3" s="48" t="s">
        <v>18</v>
      </c>
      <c r="D3" s="44" t="s">
        <v>18</v>
      </c>
      <c r="E3" s="49" t="s">
        <v>19</v>
      </c>
      <c r="F3" s="9" t="s">
        <v>18</v>
      </c>
      <c r="G3" s="9" t="s">
        <v>18</v>
      </c>
      <c r="H3" s="22" t="s">
        <v>19</v>
      </c>
      <c r="I3" s="9" t="s">
        <v>20</v>
      </c>
    </row>
    <row r="4" spans="1:9">
      <c r="A4" t="str">
        <f>(10+C4)*100&amp;E4</f>
        <v>11001</v>
      </c>
      <c r="B4" t="s">
        <v>21</v>
      </c>
      <c r="C4" s="13">
        <v>1</v>
      </c>
      <c r="D4" s="41">
        <v>0</v>
      </c>
      <c r="E4" s="42">
        <v>1</v>
      </c>
      <c r="F4" s="4">
        <v>110011</v>
      </c>
      <c r="G4" s="4">
        <v>110012</v>
      </c>
      <c r="H4" t="s">
        <v>21</v>
      </c>
      <c r="I4">
        <v>9</v>
      </c>
    </row>
    <row r="5" customFormat="1" spans="1:9">
      <c r="A5" t="str">
        <f t="shared" ref="A4:A6" si="0">(10+C5)*100&amp;E5</f>
        <v>11002</v>
      </c>
      <c r="B5" t="s">
        <v>22</v>
      </c>
      <c r="C5" s="13">
        <v>1</v>
      </c>
      <c r="D5" s="41">
        <v>0</v>
      </c>
      <c r="E5" s="42">
        <v>2</v>
      </c>
      <c r="F5">
        <v>110021</v>
      </c>
      <c r="G5">
        <v>110022</v>
      </c>
      <c r="H5" t="s">
        <v>22</v>
      </c>
      <c r="I5">
        <v>6</v>
      </c>
    </row>
    <row r="6" customFormat="1" spans="1:9">
      <c r="A6" t="str">
        <f t="shared" si="0"/>
        <v>11003</v>
      </c>
      <c r="B6" t="s">
        <v>23</v>
      </c>
      <c r="C6" s="13">
        <v>1</v>
      </c>
      <c r="D6" s="41">
        <v>0</v>
      </c>
      <c r="E6" s="42">
        <v>3</v>
      </c>
      <c r="F6">
        <v>110021</v>
      </c>
      <c r="G6">
        <v>110022</v>
      </c>
      <c r="H6" t="s">
        <v>23</v>
      </c>
      <c r="I6">
        <v>12</v>
      </c>
    </row>
    <row r="7" spans="1:9">
      <c r="A7" t="str">
        <f t="shared" ref="A7:A17" si="1">(10+C7)*100&amp;E7</f>
        <v>12001</v>
      </c>
      <c r="B7" t="s">
        <v>24</v>
      </c>
      <c r="C7" s="13">
        <v>2</v>
      </c>
      <c r="D7" s="41">
        <v>0</v>
      </c>
      <c r="E7" s="42">
        <v>1</v>
      </c>
      <c r="F7">
        <v>120011</v>
      </c>
      <c r="G7">
        <v>120012</v>
      </c>
      <c r="H7" t="s">
        <v>24</v>
      </c>
    </row>
    <row r="8" spans="1:9">
      <c r="A8" t="str">
        <f t="shared" si="1"/>
        <v>13001</v>
      </c>
      <c r="B8" t="s">
        <v>25</v>
      </c>
      <c r="C8" s="13">
        <v>3</v>
      </c>
      <c r="D8" s="41">
        <v>0</v>
      </c>
      <c r="E8" s="42">
        <v>1</v>
      </c>
      <c r="F8">
        <v>130011</v>
      </c>
      <c r="G8">
        <v>130012</v>
      </c>
      <c r="H8" t="s">
        <v>25</v>
      </c>
    </row>
    <row r="9" spans="1:9">
      <c r="A9" t="str">
        <f t="shared" si="1"/>
        <v>14001</v>
      </c>
      <c r="B9" t="s">
        <v>26</v>
      </c>
      <c r="C9" s="13">
        <v>4</v>
      </c>
      <c r="D9" s="41">
        <v>0</v>
      </c>
      <c r="E9" s="42">
        <v>1</v>
      </c>
      <c r="F9">
        <v>140011</v>
      </c>
      <c r="G9">
        <v>140012</v>
      </c>
      <c r="H9" t="s">
        <v>26</v>
      </c>
    </row>
    <row r="10" spans="1:9">
      <c r="A10" t="str">
        <f t="shared" si="1"/>
        <v>15001</v>
      </c>
      <c r="B10" t="s">
        <v>27</v>
      </c>
      <c r="C10" s="13">
        <v>5</v>
      </c>
      <c r="D10" s="41">
        <v>0</v>
      </c>
      <c r="E10" s="42">
        <v>1</v>
      </c>
      <c r="F10">
        <v>150011</v>
      </c>
      <c r="G10">
        <v>150012</v>
      </c>
      <c r="H10" t="s">
        <v>27</v>
      </c>
    </row>
    <row r="11" spans="1:9">
      <c r="A11" t="str">
        <f t="shared" si="1"/>
        <v>16001</v>
      </c>
      <c r="B11" t="s">
        <v>28</v>
      </c>
      <c r="C11" s="13">
        <v>6</v>
      </c>
      <c r="D11" s="41">
        <v>0</v>
      </c>
      <c r="E11" s="42">
        <v>1</v>
      </c>
      <c r="F11">
        <v>160011</v>
      </c>
      <c r="G11">
        <v>160012</v>
      </c>
      <c r="H11" t="s">
        <v>28</v>
      </c>
    </row>
    <row r="12" spans="1:9">
      <c r="A12" t="str">
        <f t="shared" si="1"/>
        <v>17001</v>
      </c>
      <c r="B12" t="s">
        <v>29</v>
      </c>
      <c r="C12" s="13">
        <v>7</v>
      </c>
      <c r="D12" s="41">
        <v>0</v>
      </c>
      <c r="E12" s="42">
        <v>1</v>
      </c>
      <c r="F12">
        <v>170011</v>
      </c>
      <c r="G12">
        <v>170012</v>
      </c>
      <c r="H12" t="s">
        <v>29</v>
      </c>
    </row>
    <row r="13" spans="1:9">
      <c r="A13" t="str">
        <f t="shared" si="1"/>
        <v>18001</v>
      </c>
      <c r="B13" t="s">
        <v>30</v>
      </c>
      <c r="C13" s="13">
        <v>8</v>
      </c>
      <c r="D13" s="41">
        <v>0</v>
      </c>
      <c r="E13" s="42">
        <v>1</v>
      </c>
      <c r="F13">
        <v>180011</v>
      </c>
      <c r="G13">
        <v>180012</v>
      </c>
      <c r="H13" t="s">
        <v>30</v>
      </c>
    </row>
    <row r="14" spans="1:9">
      <c r="A14" t="str">
        <f t="shared" si="1"/>
        <v>19001</v>
      </c>
      <c r="B14" t="s">
        <v>31</v>
      </c>
      <c r="C14" s="13">
        <v>9</v>
      </c>
      <c r="D14" s="41">
        <v>0</v>
      </c>
      <c r="E14" s="42">
        <v>1</v>
      </c>
      <c r="F14">
        <v>190011</v>
      </c>
      <c r="G14">
        <v>190012</v>
      </c>
      <c r="H14" t="s">
        <v>31</v>
      </c>
    </row>
    <row r="15" spans="1:9">
      <c r="A15" t="str">
        <f t="shared" si="1"/>
        <v>20001</v>
      </c>
      <c r="B15" t="s">
        <v>32</v>
      </c>
      <c r="C15" s="13">
        <v>10</v>
      </c>
      <c r="D15" s="41">
        <v>0</v>
      </c>
      <c r="E15" s="42">
        <v>1</v>
      </c>
      <c r="F15">
        <v>200011</v>
      </c>
      <c r="G15">
        <v>200012</v>
      </c>
      <c r="H15" t="s">
        <v>32</v>
      </c>
    </row>
  </sheetData>
  <conditionalFormatting sqref="A1">
    <cfRule type="duplicateValues" dxfId="0" priority="7"/>
  </conditionalFormatting>
  <conditionalFormatting sqref="F5">
    <cfRule type="duplicateValues" dxfId="0" priority="6"/>
  </conditionalFormatting>
  <conditionalFormatting sqref="G5">
    <cfRule type="duplicateValues" dxfId="0" priority="5"/>
  </conditionalFormatting>
  <conditionalFormatting sqref="A6">
    <cfRule type="duplicateValues" dxfId="0" priority="3"/>
  </conditionalFormatting>
  <conditionalFormatting sqref="F6">
    <cfRule type="duplicateValues" dxfId="0" priority="2"/>
  </conditionalFormatting>
  <conditionalFormatting sqref="G6">
    <cfRule type="duplicateValues" dxfId="0" priority="1"/>
  </conditionalFormatting>
  <conditionalFormatting sqref="A2:A5 A7:A1048576">
    <cfRule type="duplicateValues" dxfId="0" priority="8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43"/>
  <sheetViews>
    <sheetView workbookViewId="0">
      <pane xSplit="6" ySplit="3" topLeftCell="G4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3.5"/>
  <cols>
    <col min="1" max="1" width="10.2666666666667" customWidth="1"/>
    <col min="2" max="2" width="13.5" customWidth="1"/>
    <col min="3" max="3" width="13" customWidth="1"/>
    <col min="4" max="5" width="12.5" customWidth="1"/>
    <col min="6" max="6" width="15.75" customWidth="1"/>
    <col min="7" max="7" width="19.375" customWidth="1"/>
    <col min="8" max="8" width="13.75" style="4" customWidth="1"/>
    <col min="9" max="9" width="14.875" style="4" customWidth="1"/>
    <col min="10" max="10" width="15.5" style="4" customWidth="1"/>
    <col min="11" max="11" width="12.5" customWidth="1"/>
  </cols>
  <sheetData>
    <row r="1" ht="16.5" spans="1:11">
      <c r="A1" s="5" t="s">
        <v>0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6" t="s">
        <v>39</v>
      </c>
      <c r="I1" s="6" t="s">
        <v>40</v>
      </c>
      <c r="J1" s="6" t="s">
        <v>41</v>
      </c>
      <c r="K1" s="5" t="s">
        <v>42</v>
      </c>
    </row>
    <row r="2" ht="16.5" spans="1:11">
      <c r="A2" s="7" t="s">
        <v>9</v>
      </c>
      <c r="B2" s="7" t="s">
        <v>10</v>
      </c>
      <c r="C2" s="7" t="s">
        <v>43</v>
      </c>
      <c r="D2" s="7" t="s">
        <v>13</v>
      </c>
      <c r="E2" s="7" t="s">
        <v>44</v>
      </c>
      <c r="F2" s="7" t="s">
        <v>45</v>
      </c>
      <c r="G2" s="7" t="s">
        <v>46</v>
      </c>
      <c r="H2" s="8" t="s">
        <v>47</v>
      </c>
      <c r="I2" s="8" t="s">
        <v>48</v>
      </c>
      <c r="J2" s="8" t="s">
        <v>49</v>
      </c>
      <c r="K2" s="7" t="s">
        <v>50</v>
      </c>
    </row>
    <row r="3" ht="16.5" spans="1:11">
      <c r="A3" s="22" t="s">
        <v>18</v>
      </c>
      <c r="B3" s="22" t="s">
        <v>19</v>
      </c>
      <c r="C3" s="22" t="s">
        <v>19</v>
      </c>
      <c r="D3" s="22" t="s">
        <v>19</v>
      </c>
      <c r="E3" s="22" t="s">
        <v>19</v>
      </c>
      <c r="F3" s="22" t="s">
        <v>51</v>
      </c>
      <c r="G3" s="22" t="s">
        <v>20</v>
      </c>
      <c r="H3" s="9" t="s">
        <v>18</v>
      </c>
      <c r="I3" s="9" t="s">
        <v>18</v>
      </c>
      <c r="J3" s="9" t="s">
        <v>18</v>
      </c>
      <c r="K3" s="22" t="s">
        <v>19</v>
      </c>
    </row>
    <row r="4" spans="1:11">
      <c r="A4">
        <f t="shared" ref="A4:A9" si="0">H4*100+D4</f>
        <v>1100101</v>
      </c>
      <c r="B4" t="s">
        <v>52</v>
      </c>
      <c r="C4" t="s">
        <v>21</v>
      </c>
      <c r="D4">
        <v>1</v>
      </c>
      <c r="E4" t="str">
        <f>B4</f>
        <v>火焰法杖</v>
      </c>
      <c r="G4">
        <v>108</v>
      </c>
      <c r="H4" s="4" t="str">
        <f>_xlfn.XLOOKUP(C4,EquipType!B:B,EquipType!A:A)</f>
        <v>11001</v>
      </c>
      <c r="I4" s="4">
        <f>A4</f>
        <v>1100101</v>
      </c>
      <c r="J4">
        <f>A4</f>
        <v>1100101</v>
      </c>
    </row>
    <row r="5" customFormat="1" spans="1:11">
      <c r="A5">
        <f t="shared" si="0"/>
        <v>1100102</v>
      </c>
      <c r="B5" t="s">
        <v>53</v>
      </c>
      <c r="C5" t="s">
        <v>21</v>
      </c>
      <c r="D5">
        <v>2</v>
      </c>
      <c r="E5" t="str">
        <f t="shared" ref="E4:E9" si="1">B5</f>
        <v>冰霜法杖</v>
      </c>
      <c r="G5">
        <v>109</v>
      </c>
      <c r="H5" s="4" t="str">
        <f>_xlfn.XLOOKUP(C5,EquipType!B:B,EquipType!A:A)</f>
        <v>11001</v>
      </c>
      <c r="I5" s="4">
        <f t="shared" ref="I5:I12" si="2">I4</f>
        <v>1100101</v>
      </c>
      <c r="J5">
        <f t="shared" ref="J5:J43" si="3">A5</f>
        <v>1100102</v>
      </c>
    </row>
    <row r="6" customFormat="1" spans="1:11">
      <c r="A6">
        <f t="shared" si="0"/>
        <v>1100103</v>
      </c>
      <c r="B6" t="s">
        <v>54</v>
      </c>
      <c r="C6" t="s">
        <v>21</v>
      </c>
      <c r="D6">
        <v>3</v>
      </c>
      <c r="E6" t="str">
        <f t="shared" si="1"/>
        <v>闪电法杖</v>
      </c>
      <c r="G6">
        <v>105</v>
      </c>
      <c r="H6" s="4" t="str">
        <f>_xlfn.XLOOKUP(C6,EquipType!B:B,EquipType!A:A)</f>
        <v>11001</v>
      </c>
      <c r="I6" s="4">
        <f t="shared" si="2"/>
        <v>1100101</v>
      </c>
      <c r="J6">
        <f t="shared" si="3"/>
        <v>1100103</v>
      </c>
    </row>
    <row r="7" customFormat="1" spans="1:11">
      <c r="A7">
        <f t="shared" si="0"/>
        <v>1100201</v>
      </c>
      <c r="B7" t="s">
        <v>55</v>
      </c>
      <c r="C7" t="s">
        <v>22</v>
      </c>
      <c r="D7">
        <v>1</v>
      </c>
      <c r="E7" t="str">
        <f t="shared" si="1"/>
        <v>物理长剑</v>
      </c>
      <c r="G7">
        <v>102</v>
      </c>
      <c r="H7" s="4" t="str">
        <f>_xlfn.XLOOKUP(C7,EquipType!B:B,EquipType!A:A)</f>
        <v>11002</v>
      </c>
      <c r="I7" s="4">
        <f t="shared" si="2"/>
        <v>1100101</v>
      </c>
      <c r="J7">
        <f t="shared" si="3"/>
        <v>1100201</v>
      </c>
    </row>
    <row r="8" customFormat="1" spans="1:11">
      <c r="A8">
        <f t="shared" si="0"/>
        <v>1100202</v>
      </c>
      <c r="B8" t="s">
        <v>56</v>
      </c>
      <c r="C8" t="s">
        <v>22</v>
      </c>
      <c r="D8">
        <v>2</v>
      </c>
      <c r="E8" t="str">
        <f t="shared" si="1"/>
        <v>冰霜长剑</v>
      </c>
      <c r="G8">
        <v>106</v>
      </c>
      <c r="H8" s="4" t="str">
        <f>_xlfn.XLOOKUP(C8,EquipType!B:B,EquipType!A:A)</f>
        <v>11002</v>
      </c>
      <c r="I8" s="4">
        <f t="shared" si="2"/>
        <v>1100101</v>
      </c>
      <c r="J8">
        <f t="shared" si="3"/>
        <v>1100202</v>
      </c>
    </row>
    <row r="9" customFormat="1" spans="1:11">
      <c r="A9">
        <f t="shared" si="0"/>
        <v>1100203</v>
      </c>
      <c r="B9" t="s">
        <v>57</v>
      </c>
      <c r="C9" t="s">
        <v>22</v>
      </c>
      <c r="D9">
        <v>3</v>
      </c>
      <c r="E9" t="str">
        <f t="shared" si="1"/>
        <v>闪电长剑</v>
      </c>
      <c r="G9">
        <v>105</v>
      </c>
      <c r="H9" s="4" t="str">
        <f>_xlfn.XLOOKUP(C9,EquipType!B:B,EquipType!A:A)</f>
        <v>11002</v>
      </c>
      <c r="I9" s="4">
        <f t="shared" si="2"/>
        <v>1100101</v>
      </c>
      <c r="J9">
        <f t="shared" si="3"/>
        <v>1100203</v>
      </c>
    </row>
    <row r="10" customFormat="1" spans="1:11">
      <c r="A10">
        <f t="shared" ref="A10:A12" si="4">H10*100+D10</f>
        <v>1100301</v>
      </c>
      <c r="B10" t="s">
        <v>58</v>
      </c>
      <c r="C10" t="s">
        <v>23</v>
      </c>
      <c r="D10">
        <v>1</v>
      </c>
      <c r="E10" t="str">
        <f t="shared" ref="E10:E12" si="5">B10</f>
        <v>混沌魔典</v>
      </c>
      <c r="G10">
        <v>105</v>
      </c>
      <c r="H10" s="4" t="str">
        <f>_xlfn.XLOOKUP(C10,EquipType!B:B,EquipType!A:A)</f>
        <v>11003</v>
      </c>
      <c r="I10" s="4">
        <f t="shared" si="2"/>
        <v>1100101</v>
      </c>
      <c r="J10">
        <f t="shared" si="3"/>
        <v>1100301</v>
      </c>
    </row>
    <row r="11" customFormat="1" spans="1:11">
      <c r="A11">
        <f t="shared" si="4"/>
        <v>1100302</v>
      </c>
      <c r="B11" t="s">
        <v>59</v>
      </c>
      <c r="C11" t="s">
        <v>23</v>
      </c>
      <c r="D11">
        <v>2</v>
      </c>
      <c r="E11" t="str">
        <f t="shared" si="5"/>
        <v>火焰魔典</v>
      </c>
      <c r="G11">
        <v>108</v>
      </c>
      <c r="H11" s="4" t="str">
        <f>_xlfn.XLOOKUP(C11,EquipType!B:B,EquipType!A:A)</f>
        <v>11003</v>
      </c>
      <c r="I11" s="4">
        <f t="shared" si="2"/>
        <v>1100101</v>
      </c>
      <c r="J11">
        <f t="shared" si="3"/>
        <v>1100302</v>
      </c>
    </row>
    <row r="12" customFormat="1" spans="1:11">
      <c r="A12">
        <f t="shared" si="4"/>
        <v>1100303</v>
      </c>
      <c r="B12" t="s">
        <v>60</v>
      </c>
      <c r="C12" t="s">
        <v>23</v>
      </c>
      <c r="D12">
        <v>3</v>
      </c>
      <c r="E12" t="str">
        <f t="shared" si="5"/>
        <v>冰霜魔典</v>
      </c>
      <c r="G12">
        <v>107</v>
      </c>
      <c r="H12" s="4" t="str">
        <f>_xlfn.XLOOKUP(C12,EquipType!B:B,EquipType!A:A)</f>
        <v>11003</v>
      </c>
      <c r="I12" s="4">
        <f t="shared" si="2"/>
        <v>1100101</v>
      </c>
      <c r="J12">
        <f t="shared" si="3"/>
        <v>1100303</v>
      </c>
    </row>
    <row r="13" customFormat="1" spans="1:11">
      <c r="A13">
        <f t="shared" ref="A13:A15" si="6">H13*100+D13</f>
        <v>1200101</v>
      </c>
      <c r="B13" t="s">
        <v>61</v>
      </c>
      <c r="C13" t="s">
        <v>24</v>
      </c>
      <c r="D13">
        <v>1</v>
      </c>
      <c r="E13" t="str">
        <f t="shared" ref="E13:E15" si="7">B13</f>
        <v>铸铁头盔</v>
      </c>
      <c r="F13" t="s">
        <v>62</v>
      </c>
      <c r="H13" s="4" t="str">
        <f>_xlfn.XLOOKUP(C13,EquipType!B:B,EquipType!A:A)</f>
        <v>12001</v>
      </c>
      <c r="I13" s="4">
        <f>A13</f>
        <v>1200101</v>
      </c>
      <c r="J13">
        <f t="shared" si="3"/>
        <v>1200101</v>
      </c>
      <c r="K13" t="s">
        <v>63</v>
      </c>
    </row>
    <row r="14" customFormat="1" spans="1:11">
      <c r="A14">
        <f t="shared" si="6"/>
        <v>1200102</v>
      </c>
      <c r="B14" t="s">
        <v>64</v>
      </c>
      <c r="C14" t="s">
        <v>24</v>
      </c>
      <c r="D14">
        <v>2</v>
      </c>
      <c r="E14" t="str">
        <f t="shared" si="7"/>
        <v>银制头盔</v>
      </c>
      <c r="F14" t="s">
        <v>62</v>
      </c>
      <c r="H14" s="4" t="str">
        <f>_xlfn.XLOOKUP(C14,EquipType!B:B,EquipType!A:A)</f>
        <v>12001</v>
      </c>
      <c r="I14" s="4">
        <f t="shared" ref="I14:I18" si="8">I13</f>
        <v>1200101</v>
      </c>
      <c r="J14">
        <f t="shared" si="3"/>
        <v>1200102</v>
      </c>
      <c r="K14" t="s">
        <v>65</v>
      </c>
    </row>
    <row r="15" customFormat="1" spans="1:11">
      <c r="A15">
        <f t="shared" si="6"/>
        <v>1200103</v>
      </c>
      <c r="B15" t="s">
        <v>66</v>
      </c>
      <c r="C15" t="s">
        <v>24</v>
      </c>
      <c r="D15">
        <v>3</v>
      </c>
      <c r="E15" t="str">
        <f t="shared" si="7"/>
        <v>闪电头盔</v>
      </c>
      <c r="F15" t="s">
        <v>62</v>
      </c>
      <c r="H15" s="4" t="str">
        <f>_xlfn.XLOOKUP(C15,EquipType!B:B,EquipType!A:A)</f>
        <v>12001</v>
      </c>
      <c r="I15" s="4">
        <f t="shared" si="8"/>
        <v>1200101</v>
      </c>
      <c r="J15">
        <f t="shared" si="3"/>
        <v>1200103</v>
      </c>
      <c r="K15" t="s">
        <v>67</v>
      </c>
    </row>
    <row r="16" customFormat="1" spans="1:11">
      <c r="A16">
        <f t="shared" ref="A16:A18" si="9">H16*100+D16</f>
        <v>1300101</v>
      </c>
      <c r="B16" t="s">
        <v>68</v>
      </c>
      <c r="C16" t="s">
        <v>25</v>
      </c>
      <c r="D16">
        <v>1</v>
      </c>
      <c r="E16" t="str">
        <f t="shared" ref="E16:E18" si="10">B16</f>
        <v>铸铁胸甲</v>
      </c>
      <c r="F16" t="s">
        <v>62</v>
      </c>
      <c r="H16" s="4" t="str">
        <f>_xlfn.XLOOKUP(C16,EquipType!B:B,EquipType!A:A)</f>
        <v>13001</v>
      </c>
      <c r="I16" s="4">
        <f>A16</f>
        <v>1300101</v>
      </c>
      <c r="J16">
        <f t="shared" si="3"/>
        <v>1300101</v>
      </c>
      <c r="K16" t="s">
        <v>69</v>
      </c>
    </row>
    <row r="17" customFormat="1" spans="1:11">
      <c r="A17">
        <f t="shared" si="9"/>
        <v>1300102</v>
      </c>
      <c r="B17" t="s">
        <v>70</v>
      </c>
      <c r="C17" t="s">
        <v>25</v>
      </c>
      <c r="D17">
        <v>2</v>
      </c>
      <c r="E17" t="str">
        <f t="shared" si="10"/>
        <v>皮制胸甲</v>
      </c>
      <c r="F17" t="s">
        <v>62</v>
      </c>
      <c r="H17" s="4" t="str">
        <f>_xlfn.XLOOKUP(C17,EquipType!B:B,EquipType!A:A)</f>
        <v>13001</v>
      </c>
      <c r="I17" s="4">
        <f t="shared" si="8"/>
        <v>1300101</v>
      </c>
      <c r="J17">
        <f t="shared" si="3"/>
        <v>1300102</v>
      </c>
      <c r="K17" t="s">
        <v>71</v>
      </c>
    </row>
    <row r="18" customFormat="1" spans="1:11">
      <c r="A18">
        <f t="shared" si="9"/>
        <v>1300103</v>
      </c>
      <c r="B18" t="s">
        <v>72</v>
      </c>
      <c r="C18" t="s">
        <v>25</v>
      </c>
      <c r="D18">
        <v>3</v>
      </c>
      <c r="E18" t="str">
        <f t="shared" si="10"/>
        <v>铁锁胸甲</v>
      </c>
      <c r="F18" t="s">
        <v>62</v>
      </c>
      <c r="H18" s="4" t="str">
        <f>_xlfn.XLOOKUP(C18,EquipType!B:B,EquipType!A:A)</f>
        <v>13001</v>
      </c>
      <c r="I18" s="4">
        <f t="shared" si="8"/>
        <v>1300101</v>
      </c>
      <c r="J18">
        <f t="shared" si="3"/>
        <v>1300103</v>
      </c>
      <c r="K18" t="s">
        <v>73</v>
      </c>
    </row>
    <row r="19" spans="1:11">
      <c r="A19">
        <f t="shared" ref="A19:A21" si="11">H19*100+D19</f>
        <v>1400101</v>
      </c>
      <c r="B19" t="s">
        <v>74</v>
      </c>
      <c r="C19" t="s">
        <v>26</v>
      </c>
      <c r="D19">
        <v>1</v>
      </c>
      <c r="E19" t="str">
        <f t="shared" ref="E19:E21" si="12">B19</f>
        <v>铸铁腿甲</v>
      </c>
      <c r="H19" s="4" t="str">
        <f>_xlfn.XLOOKUP(C19,EquipType!B:B,EquipType!A:A)</f>
        <v>14001</v>
      </c>
      <c r="I19" s="4">
        <f t="shared" ref="I19:I21" si="13">A19</f>
        <v>1400101</v>
      </c>
      <c r="J19">
        <f t="shared" si="3"/>
        <v>1400101</v>
      </c>
      <c r="K19" t="s">
        <v>75</v>
      </c>
    </row>
    <row r="20" customFormat="1" spans="1:11">
      <c r="A20">
        <f t="shared" si="11"/>
        <v>1400102</v>
      </c>
      <c r="B20" t="s">
        <v>74</v>
      </c>
      <c r="C20" t="s">
        <v>26</v>
      </c>
      <c r="D20">
        <v>2</v>
      </c>
      <c r="E20" t="str">
        <f t="shared" si="12"/>
        <v>铸铁腿甲</v>
      </c>
      <c r="H20" s="4" t="str">
        <f>_xlfn.XLOOKUP(C20,EquipType!B:B,EquipType!A:A)</f>
        <v>14001</v>
      </c>
      <c r="I20" s="4">
        <f t="shared" ref="I20:I24" si="14">I19</f>
        <v>1400101</v>
      </c>
      <c r="J20">
        <f t="shared" si="3"/>
        <v>1400102</v>
      </c>
      <c r="K20" t="s">
        <v>76</v>
      </c>
    </row>
    <row r="21" customFormat="1" spans="1:11">
      <c r="A21">
        <f t="shared" si="11"/>
        <v>1400103</v>
      </c>
      <c r="B21" t="s">
        <v>74</v>
      </c>
      <c r="C21" t="s">
        <v>26</v>
      </c>
      <c r="D21">
        <v>3</v>
      </c>
      <c r="E21" t="str">
        <f t="shared" si="12"/>
        <v>铸铁腿甲</v>
      </c>
      <c r="H21" s="4" t="str">
        <f>_xlfn.XLOOKUP(C21,EquipType!B:B,EquipType!A:A)</f>
        <v>14001</v>
      </c>
      <c r="I21" s="4">
        <f t="shared" si="14"/>
        <v>1400101</v>
      </c>
      <c r="J21">
        <f t="shared" si="3"/>
        <v>1400103</v>
      </c>
      <c r="K21" t="s">
        <v>77</v>
      </c>
    </row>
    <row r="22" spans="1:11">
      <c r="A22">
        <f t="shared" ref="A22:A24" si="15">H22*100+D22</f>
        <v>1500101</v>
      </c>
      <c r="B22" t="s">
        <v>78</v>
      </c>
      <c r="C22" t="s">
        <v>27</v>
      </c>
      <c r="D22">
        <v>1</v>
      </c>
      <c r="E22" t="str">
        <f t="shared" ref="E22:E24" si="16">B22</f>
        <v>铸铁靴</v>
      </c>
      <c r="F22" t="s">
        <v>62</v>
      </c>
      <c r="H22" s="4" t="str">
        <f>_xlfn.XLOOKUP(C22,EquipType!B:B,EquipType!A:A)</f>
        <v>15001</v>
      </c>
      <c r="I22" s="4">
        <f t="shared" ref="I22:I25" si="17">A22</f>
        <v>1500101</v>
      </c>
      <c r="J22">
        <f t="shared" si="3"/>
        <v>1500101</v>
      </c>
      <c r="K22" t="s">
        <v>79</v>
      </c>
    </row>
    <row r="23" customFormat="1" spans="1:11">
      <c r="A23">
        <f t="shared" si="15"/>
        <v>1500102</v>
      </c>
      <c r="B23" t="s">
        <v>78</v>
      </c>
      <c r="C23" t="s">
        <v>27</v>
      </c>
      <c r="D23">
        <v>2</v>
      </c>
      <c r="E23" t="str">
        <f t="shared" si="16"/>
        <v>铸铁靴</v>
      </c>
      <c r="F23" t="s">
        <v>62</v>
      </c>
      <c r="H23" s="4" t="str">
        <f>_xlfn.XLOOKUP(C23,EquipType!B:B,EquipType!A:A)</f>
        <v>15001</v>
      </c>
      <c r="I23" s="4">
        <f t="shared" si="14"/>
        <v>1500101</v>
      </c>
      <c r="J23">
        <f t="shared" si="3"/>
        <v>1500102</v>
      </c>
      <c r="K23" t="s">
        <v>80</v>
      </c>
    </row>
    <row r="24" customFormat="1" spans="1:11">
      <c r="A24">
        <f t="shared" si="15"/>
        <v>1500103</v>
      </c>
      <c r="B24" t="s">
        <v>81</v>
      </c>
      <c r="C24" t="s">
        <v>27</v>
      </c>
      <c r="D24">
        <v>3</v>
      </c>
      <c r="E24" t="str">
        <f t="shared" si="16"/>
        <v>符文靴</v>
      </c>
      <c r="F24" t="s">
        <v>62</v>
      </c>
      <c r="H24" s="4" t="str">
        <f>_xlfn.XLOOKUP(C24,EquipType!B:B,EquipType!A:A)</f>
        <v>15001</v>
      </c>
      <c r="I24" s="4">
        <f t="shared" si="14"/>
        <v>1500101</v>
      </c>
      <c r="J24">
        <f t="shared" si="3"/>
        <v>1500103</v>
      </c>
      <c r="K24" t="s">
        <v>82</v>
      </c>
    </row>
    <row r="25" spans="1:11">
      <c r="A25">
        <f t="shared" ref="A25:A33" si="18">H25*100+D25</f>
        <v>1600101</v>
      </c>
      <c r="B25" t="s">
        <v>83</v>
      </c>
      <c r="C25" t="s">
        <v>28</v>
      </c>
      <c r="D25">
        <v>1</v>
      </c>
      <c r="E25" t="str">
        <f t="shared" ref="E25:E33" si="19">B25</f>
        <v>铸铁护手</v>
      </c>
      <c r="F25" t="s">
        <v>62</v>
      </c>
      <c r="H25" s="4" t="str">
        <f>_xlfn.XLOOKUP(C25,EquipType!B:B,EquipType!A:A)</f>
        <v>16001</v>
      </c>
      <c r="I25" s="4">
        <f t="shared" si="17"/>
        <v>1600101</v>
      </c>
      <c r="J25">
        <f t="shared" si="3"/>
        <v>1600101</v>
      </c>
      <c r="K25" t="s">
        <v>84</v>
      </c>
    </row>
    <row r="26" customFormat="1" spans="1:11">
      <c r="A26">
        <f t="shared" si="18"/>
        <v>1600102</v>
      </c>
      <c r="B26" t="s">
        <v>85</v>
      </c>
      <c r="C26" t="s">
        <v>28</v>
      </c>
      <c r="D26">
        <v>2</v>
      </c>
      <c r="E26" t="str">
        <f t="shared" si="19"/>
        <v>皮制护手</v>
      </c>
      <c r="F26" t="s">
        <v>62</v>
      </c>
      <c r="H26" s="4" t="str">
        <f>_xlfn.XLOOKUP(C26,EquipType!B:B,EquipType!A:A)</f>
        <v>16001</v>
      </c>
      <c r="I26" s="4">
        <f t="shared" ref="I26:I33" si="20">I25</f>
        <v>1600101</v>
      </c>
      <c r="J26">
        <f t="shared" si="3"/>
        <v>1600102</v>
      </c>
      <c r="K26" t="s">
        <v>86</v>
      </c>
    </row>
    <row r="27" customFormat="1" spans="1:11">
      <c r="A27">
        <f t="shared" si="18"/>
        <v>1600103</v>
      </c>
      <c r="B27" t="s">
        <v>87</v>
      </c>
      <c r="C27" t="s">
        <v>28</v>
      </c>
      <c r="D27">
        <v>3</v>
      </c>
      <c r="E27" t="str">
        <f t="shared" si="19"/>
        <v>轻质护手</v>
      </c>
      <c r="F27" t="s">
        <v>88</v>
      </c>
      <c r="H27" s="4" t="str">
        <f>_xlfn.XLOOKUP(C27,EquipType!B:B,EquipType!A:A)</f>
        <v>16001</v>
      </c>
      <c r="I27" s="4">
        <f t="shared" si="20"/>
        <v>1600101</v>
      </c>
      <c r="J27">
        <f t="shared" si="3"/>
        <v>1600103</v>
      </c>
    </row>
    <row r="28" spans="1:11">
      <c r="A28">
        <f t="shared" si="18"/>
        <v>1700101</v>
      </c>
      <c r="B28" t="s">
        <v>89</v>
      </c>
      <c r="C28" t="s">
        <v>29</v>
      </c>
      <c r="D28">
        <v>1</v>
      </c>
      <c r="E28" t="str">
        <f t="shared" si="19"/>
        <v>精铁礼花</v>
      </c>
      <c r="H28" s="4" t="str">
        <f>_xlfn.XLOOKUP(C28,EquipType!B:B,EquipType!A:A)</f>
        <v>17001</v>
      </c>
      <c r="I28" s="4">
        <f>A28</f>
        <v>1700101</v>
      </c>
      <c r="J28">
        <f t="shared" si="3"/>
        <v>1700101</v>
      </c>
      <c r="K28" t="s">
        <v>90</v>
      </c>
    </row>
    <row r="29" customFormat="1" spans="1:11">
      <c r="A29">
        <f t="shared" si="18"/>
        <v>1700102</v>
      </c>
      <c r="B29" t="s">
        <v>91</v>
      </c>
      <c r="C29" t="s">
        <v>29</v>
      </c>
      <c r="D29">
        <v>2</v>
      </c>
      <c r="E29" t="str">
        <f t="shared" si="19"/>
        <v>宝石礼花</v>
      </c>
      <c r="H29" s="4" t="str">
        <f>_xlfn.XLOOKUP(C29,EquipType!B:B,EquipType!A:A)</f>
        <v>17001</v>
      </c>
      <c r="I29" s="4">
        <f t="shared" si="20"/>
        <v>1700101</v>
      </c>
      <c r="J29">
        <f t="shared" si="3"/>
        <v>1700102</v>
      </c>
      <c r="K29" t="s">
        <v>92</v>
      </c>
    </row>
    <row r="30" customFormat="1" spans="1:11">
      <c r="A30">
        <f t="shared" si="18"/>
        <v>1700103</v>
      </c>
      <c r="B30" t="s">
        <v>91</v>
      </c>
      <c r="C30" t="s">
        <v>29</v>
      </c>
      <c r="D30">
        <v>3</v>
      </c>
      <c r="E30" t="str">
        <f t="shared" si="19"/>
        <v>宝石礼花</v>
      </c>
      <c r="H30" s="4" t="str">
        <f>_xlfn.XLOOKUP(C30,EquipType!B:B,EquipType!A:A)</f>
        <v>17001</v>
      </c>
      <c r="I30" s="4">
        <f t="shared" si="20"/>
        <v>1700101</v>
      </c>
      <c r="J30">
        <f t="shared" si="3"/>
        <v>1700103</v>
      </c>
      <c r="K30" t="s">
        <v>93</v>
      </c>
    </row>
    <row r="31" customFormat="1" spans="1:11">
      <c r="A31">
        <f t="shared" si="18"/>
        <v>1700104</v>
      </c>
      <c r="B31" t="s">
        <v>91</v>
      </c>
      <c r="C31" t="s">
        <v>29</v>
      </c>
      <c r="D31">
        <v>4</v>
      </c>
      <c r="E31" t="str">
        <f t="shared" si="19"/>
        <v>宝石礼花</v>
      </c>
      <c r="H31" s="4" t="str">
        <f>_xlfn.XLOOKUP(C31,EquipType!B:B,EquipType!A:A)</f>
        <v>17001</v>
      </c>
      <c r="I31" s="4">
        <f t="shared" si="20"/>
        <v>1700101</v>
      </c>
      <c r="J31">
        <f t="shared" si="3"/>
        <v>1700104</v>
      </c>
      <c r="K31" t="s">
        <v>94</v>
      </c>
    </row>
    <row r="32" customFormat="1" spans="1:11">
      <c r="A32">
        <f t="shared" si="18"/>
        <v>1700105</v>
      </c>
      <c r="B32" t="s">
        <v>91</v>
      </c>
      <c r="C32" t="s">
        <v>29</v>
      </c>
      <c r="D32">
        <v>5</v>
      </c>
      <c r="E32" t="str">
        <f t="shared" si="19"/>
        <v>宝石礼花</v>
      </c>
      <c r="H32" s="4" t="str">
        <f>_xlfn.XLOOKUP(C32,EquipType!B:B,EquipType!A:A)</f>
        <v>17001</v>
      </c>
      <c r="I32" s="4">
        <f t="shared" si="20"/>
        <v>1700101</v>
      </c>
      <c r="J32">
        <f t="shared" si="3"/>
        <v>1700105</v>
      </c>
      <c r="K32" t="s">
        <v>95</v>
      </c>
    </row>
    <row r="33" customFormat="1" spans="1:11">
      <c r="A33">
        <f t="shared" si="18"/>
        <v>1700106</v>
      </c>
      <c r="B33" t="s">
        <v>96</v>
      </c>
      <c r="C33" t="s">
        <v>29</v>
      </c>
      <c r="D33">
        <v>6</v>
      </c>
      <c r="E33" t="str">
        <f t="shared" si="19"/>
        <v>华丽礼花</v>
      </c>
      <c r="H33" s="4" t="str">
        <f>_xlfn.XLOOKUP(C33,EquipType!B:B,EquipType!A:A)</f>
        <v>17001</v>
      </c>
      <c r="I33" s="4">
        <f t="shared" si="20"/>
        <v>1700101</v>
      </c>
      <c r="J33">
        <f t="shared" si="3"/>
        <v>1700106</v>
      </c>
      <c r="K33" t="s">
        <v>97</v>
      </c>
    </row>
    <row r="34" spans="1:11">
      <c r="A34">
        <f t="shared" ref="A34:A37" si="21">H34*100+D34</f>
        <v>1800101</v>
      </c>
      <c r="B34" t="s">
        <v>98</v>
      </c>
      <c r="C34" t="s">
        <v>30</v>
      </c>
      <c r="D34">
        <v>1</v>
      </c>
      <c r="E34" t="str">
        <f t="shared" ref="E34:E37" si="22">B34</f>
        <v>精铁耳环</v>
      </c>
      <c r="H34" s="4" t="str">
        <f>_xlfn.XLOOKUP(C34,EquipType!B:B,EquipType!A:A)</f>
        <v>18001</v>
      </c>
      <c r="I34" s="4">
        <f>A34</f>
        <v>1800101</v>
      </c>
      <c r="J34">
        <f t="shared" si="3"/>
        <v>1800101</v>
      </c>
      <c r="K34" t="s">
        <v>99</v>
      </c>
    </row>
    <row r="35" spans="1:11">
      <c r="A35">
        <f t="shared" si="21"/>
        <v>1800102</v>
      </c>
      <c r="B35" t="s">
        <v>100</v>
      </c>
      <c r="C35" t="s">
        <v>30</v>
      </c>
      <c r="D35">
        <v>2</v>
      </c>
      <c r="E35" t="str">
        <f t="shared" si="22"/>
        <v>宝石耳环</v>
      </c>
      <c r="H35" s="4" t="str">
        <f>_xlfn.XLOOKUP(C35,EquipType!B:B,EquipType!A:A)</f>
        <v>18001</v>
      </c>
      <c r="I35" s="4">
        <f t="shared" ref="I35:I37" si="23">I34</f>
        <v>1800101</v>
      </c>
      <c r="J35">
        <f t="shared" si="3"/>
        <v>1800102</v>
      </c>
      <c r="K35" t="s">
        <v>93</v>
      </c>
    </row>
    <row r="36" customFormat="1" spans="1:11">
      <c r="A36">
        <f t="shared" si="21"/>
        <v>1800103</v>
      </c>
      <c r="B36" t="s">
        <v>100</v>
      </c>
      <c r="C36" t="s">
        <v>30</v>
      </c>
      <c r="D36">
        <v>3</v>
      </c>
      <c r="E36" t="str">
        <f t="shared" si="22"/>
        <v>宝石耳环</v>
      </c>
      <c r="H36" s="4" t="str">
        <f>_xlfn.XLOOKUP(C36,EquipType!B:B,EquipType!A:A)</f>
        <v>18001</v>
      </c>
      <c r="I36" s="4">
        <f t="shared" si="23"/>
        <v>1800101</v>
      </c>
      <c r="J36">
        <f t="shared" si="3"/>
        <v>1800103</v>
      </c>
      <c r="K36" t="s">
        <v>101</v>
      </c>
    </row>
    <row r="37" customFormat="1" spans="1:11">
      <c r="A37">
        <f t="shared" si="21"/>
        <v>1800104</v>
      </c>
      <c r="B37" t="s">
        <v>100</v>
      </c>
      <c r="C37" t="s">
        <v>30</v>
      </c>
      <c r="D37">
        <v>4</v>
      </c>
      <c r="E37" t="str">
        <f t="shared" si="22"/>
        <v>宝石耳环</v>
      </c>
      <c r="H37" s="4" t="str">
        <f>_xlfn.XLOOKUP(C37,EquipType!B:B,EquipType!A:A)</f>
        <v>18001</v>
      </c>
      <c r="I37" s="4">
        <f t="shared" si="23"/>
        <v>1800101</v>
      </c>
      <c r="J37">
        <f t="shared" si="3"/>
        <v>1800104</v>
      </c>
      <c r="K37" t="s">
        <v>102</v>
      </c>
    </row>
    <row r="38" spans="1:11">
      <c r="A38">
        <f t="shared" ref="A38:A40" si="24">H38*100+D38</f>
        <v>1900101</v>
      </c>
      <c r="B38" t="s">
        <v>103</v>
      </c>
      <c r="C38" t="s">
        <v>31</v>
      </c>
      <c r="D38">
        <v>1</v>
      </c>
      <c r="E38" t="str">
        <f t="shared" ref="E38:E40" si="25">B38</f>
        <v>精铁项链</v>
      </c>
      <c r="H38" s="4" t="str">
        <f>_xlfn.XLOOKUP(C38,EquipType!B:B,EquipType!A:A)</f>
        <v>19001</v>
      </c>
      <c r="I38" s="4">
        <f>A38</f>
        <v>1900101</v>
      </c>
      <c r="J38">
        <f t="shared" si="3"/>
        <v>1900101</v>
      </c>
      <c r="K38" t="s">
        <v>104</v>
      </c>
    </row>
    <row r="39" customFormat="1" spans="1:11">
      <c r="A39">
        <f t="shared" si="24"/>
        <v>1900102</v>
      </c>
      <c r="B39" t="s">
        <v>105</v>
      </c>
      <c r="C39" t="s">
        <v>31</v>
      </c>
      <c r="D39">
        <v>2</v>
      </c>
      <c r="E39" t="str">
        <f t="shared" si="25"/>
        <v>宝石项链</v>
      </c>
      <c r="H39" s="4" t="str">
        <f>_xlfn.XLOOKUP(C39,EquipType!B:B,EquipType!A:A)</f>
        <v>19001</v>
      </c>
      <c r="I39" s="4">
        <f t="shared" ref="I39:I43" si="26">I38</f>
        <v>1900101</v>
      </c>
      <c r="J39">
        <f t="shared" si="3"/>
        <v>1900102</v>
      </c>
      <c r="K39" t="s">
        <v>106</v>
      </c>
    </row>
    <row r="40" customFormat="1" spans="1:11">
      <c r="A40">
        <f t="shared" si="24"/>
        <v>1900103</v>
      </c>
      <c r="B40" t="s">
        <v>105</v>
      </c>
      <c r="C40" t="s">
        <v>31</v>
      </c>
      <c r="D40">
        <v>3</v>
      </c>
      <c r="E40" t="str">
        <f t="shared" si="25"/>
        <v>宝石项链</v>
      </c>
      <c r="H40" s="4" t="str">
        <f>_xlfn.XLOOKUP(C40,EquipType!B:B,EquipType!A:A)</f>
        <v>19001</v>
      </c>
      <c r="I40" s="4">
        <f t="shared" si="26"/>
        <v>1900101</v>
      </c>
      <c r="J40">
        <f t="shared" si="3"/>
        <v>1900103</v>
      </c>
      <c r="K40" t="s">
        <v>107</v>
      </c>
    </row>
    <row r="41" spans="1:11">
      <c r="A41">
        <f t="shared" ref="A41:A43" si="27">H41*100+D41</f>
        <v>2000101</v>
      </c>
      <c r="B41" t="s">
        <v>108</v>
      </c>
      <c r="C41" t="s">
        <v>32</v>
      </c>
      <c r="D41">
        <v>1</v>
      </c>
      <c r="E41" t="str">
        <f t="shared" ref="E41:E43" si="28">B41</f>
        <v>精铁戒指</v>
      </c>
      <c r="H41" s="4" t="str">
        <f>_xlfn.XLOOKUP(C41,EquipType!B:B,EquipType!A:A)</f>
        <v>20001</v>
      </c>
      <c r="I41" s="4">
        <f>A41</f>
        <v>2000101</v>
      </c>
      <c r="J41">
        <f t="shared" si="3"/>
        <v>2000101</v>
      </c>
      <c r="K41" t="s">
        <v>109</v>
      </c>
    </row>
    <row r="42" customFormat="1" spans="1:11">
      <c r="A42">
        <f t="shared" si="27"/>
        <v>2000102</v>
      </c>
      <c r="B42" t="s">
        <v>110</v>
      </c>
      <c r="C42" t="s">
        <v>32</v>
      </c>
      <c r="D42">
        <v>2</v>
      </c>
      <c r="E42" t="str">
        <f t="shared" si="28"/>
        <v>护法戒指</v>
      </c>
      <c r="H42" s="4" t="str">
        <f>_xlfn.XLOOKUP(C42,EquipType!B:B,EquipType!A:A)</f>
        <v>20001</v>
      </c>
      <c r="I42" s="4">
        <f t="shared" si="26"/>
        <v>2000101</v>
      </c>
      <c r="J42">
        <f t="shared" si="3"/>
        <v>2000102</v>
      </c>
      <c r="K42" t="s">
        <v>111</v>
      </c>
    </row>
    <row r="43" customFormat="1" spans="1:11">
      <c r="A43">
        <f t="shared" si="27"/>
        <v>2000103</v>
      </c>
      <c r="B43" t="s">
        <v>108</v>
      </c>
      <c r="C43" t="s">
        <v>32</v>
      </c>
      <c r="D43">
        <v>3</v>
      </c>
      <c r="E43" t="str">
        <f t="shared" si="28"/>
        <v>精铁戒指</v>
      </c>
      <c r="H43" s="4" t="str">
        <f>_xlfn.XLOOKUP(C43,EquipType!B:B,EquipType!A:A)</f>
        <v>20001</v>
      </c>
      <c r="I43" s="4">
        <f t="shared" si="26"/>
        <v>2000101</v>
      </c>
      <c r="J43">
        <f t="shared" si="3"/>
        <v>2000103</v>
      </c>
      <c r="K43" t="s">
        <v>112</v>
      </c>
    </row>
  </sheetData>
  <conditionalFormatting sqref="A1">
    <cfRule type="duplicateValues" dxfId="0" priority="36"/>
  </conditionalFormatting>
  <conditionalFormatting sqref="A6">
    <cfRule type="duplicateValues" dxfId="0" priority="23"/>
  </conditionalFormatting>
  <conditionalFormatting sqref="A8">
    <cfRule type="duplicateValues" dxfId="0" priority="25"/>
  </conditionalFormatting>
  <conditionalFormatting sqref="A9">
    <cfRule type="duplicateValues" dxfId="0" priority="19"/>
  </conditionalFormatting>
  <conditionalFormatting sqref="A10">
    <cfRule type="duplicateValues" dxfId="0" priority="21"/>
  </conditionalFormatting>
  <conditionalFormatting sqref="A11">
    <cfRule type="duplicateValues" dxfId="0" priority="20"/>
  </conditionalFormatting>
  <conditionalFormatting sqref="A12">
    <cfRule type="duplicateValues" dxfId="0" priority="18"/>
  </conditionalFormatting>
  <conditionalFormatting sqref="A14">
    <cfRule type="duplicateValues" dxfId="0" priority="24"/>
  </conditionalFormatting>
  <conditionalFormatting sqref="A15">
    <cfRule type="duplicateValues" dxfId="0" priority="17"/>
  </conditionalFormatting>
  <conditionalFormatting sqref="A17">
    <cfRule type="duplicateValues" dxfId="0" priority="16"/>
  </conditionalFormatting>
  <conditionalFormatting sqref="A18">
    <cfRule type="duplicateValues" dxfId="0" priority="15"/>
  </conditionalFormatting>
  <conditionalFormatting sqref="A20">
    <cfRule type="duplicateValues" dxfId="0" priority="14"/>
  </conditionalFormatting>
  <conditionalFormatting sqref="A21">
    <cfRule type="duplicateValues" dxfId="0" priority="13"/>
  </conditionalFormatting>
  <conditionalFormatting sqref="A23">
    <cfRule type="duplicateValues" dxfId="0" priority="12"/>
  </conditionalFormatting>
  <conditionalFormatting sqref="A24">
    <cfRule type="duplicateValues" dxfId="0" priority="11"/>
  </conditionalFormatting>
  <conditionalFormatting sqref="A26">
    <cfRule type="duplicateValues" dxfId="0" priority="30"/>
  </conditionalFormatting>
  <conditionalFormatting sqref="A27">
    <cfRule type="duplicateValues" dxfId="0" priority="28"/>
  </conditionalFormatting>
  <conditionalFormatting sqref="A29">
    <cfRule type="duplicateValues" dxfId="0" priority="10"/>
  </conditionalFormatting>
  <conditionalFormatting sqref="A30">
    <cfRule type="duplicateValues" dxfId="0" priority="9"/>
  </conditionalFormatting>
  <conditionalFormatting sqref="A31">
    <cfRule type="duplicateValues" dxfId="0" priority="8"/>
  </conditionalFormatting>
  <conditionalFormatting sqref="A32">
    <cfRule type="duplicateValues" dxfId="0" priority="7"/>
  </conditionalFormatting>
  <conditionalFormatting sqref="A33">
    <cfRule type="duplicateValues" dxfId="0" priority="1"/>
  </conditionalFormatting>
  <conditionalFormatting sqref="A36">
    <cfRule type="duplicateValues" dxfId="0" priority="6"/>
  </conditionalFormatting>
  <conditionalFormatting sqref="A37">
    <cfRule type="duplicateValues" dxfId="0" priority="5"/>
  </conditionalFormatting>
  <conditionalFormatting sqref="A39">
    <cfRule type="duplicateValues" dxfId="0" priority="29"/>
  </conditionalFormatting>
  <conditionalFormatting sqref="A40">
    <cfRule type="duplicateValues" dxfId="0" priority="4"/>
  </conditionalFormatting>
  <conditionalFormatting sqref="A42">
    <cfRule type="duplicateValues" dxfId="0" priority="3"/>
  </conditionalFormatting>
  <conditionalFormatting sqref="A43">
    <cfRule type="duplicateValues" dxfId="0" priority="2"/>
  </conditionalFormatting>
  <conditionalFormatting sqref="A1:A5 A7 A13 A16 A19 A22 A25 A28 A34:A35 A38 A41 A44:A1048576">
    <cfRule type="duplicateValues" dxfId="0" priority="35"/>
  </conditionalFormatting>
  <conditionalFormatting sqref="A2:A3 A44:A1048576">
    <cfRule type="duplicateValues" dxfId="0" priority="37"/>
  </conditionalFormatting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L28"/>
  <sheetViews>
    <sheetView workbookViewId="0">
      <pane xSplit="6" ySplit="3" topLeftCell="G4" activePane="bottomRight" state="frozen"/>
      <selection/>
      <selection pane="topRight"/>
      <selection pane="bottomLeft"/>
      <selection pane="bottomRight" activeCell="G27" sqref="G27:G28"/>
    </sheetView>
  </sheetViews>
  <sheetFormatPr defaultColWidth="9" defaultRowHeight="13.5"/>
  <cols>
    <col min="1" max="1" width="10.2666666666667" customWidth="1"/>
    <col min="2" max="3" width="9.125" customWidth="1"/>
    <col min="4" max="4" width="12.5" customWidth="1"/>
    <col min="5" max="5" width="11.5" customWidth="1"/>
    <col min="6" max="6" width="12.375" customWidth="1"/>
    <col min="7" max="7" width="18.25" customWidth="1"/>
    <col min="8" max="8" width="21.5" customWidth="1"/>
    <col min="9" max="9" width="19.375" customWidth="1"/>
    <col min="10" max="11" width="19.375" style="4" customWidth="1"/>
    <col min="12" max="12" width="9.125" customWidth="1"/>
  </cols>
  <sheetData>
    <row r="1" ht="16.5" spans="1:12">
      <c r="A1" s="5" t="s">
        <v>0</v>
      </c>
      <c r="B1" s="5" t="s">
        <v>113</v>
      </c>
      <c r="C1" s="5" t="s">
        <v>114</v>
      </c>
      <c r="D1" s="5" t="s">
        <v>115</v>
      </c>
      <c r="E1" s="5" t="s">
        <v>33</v>
      </c>
      <c r="F1" s="5" t="s">
        <v>34</v>
      </c>
      <c r="G1" s="5" t="s">
        <v>116</v>
      </c>
      <c r="H1" s="5" t="s">
        <v>117</v>
      </c>
      <c r="I1" s="5" t="s">
        <v>38</v>
      </c>
      <c r="J1" s="6" t="s">
        <v>118</v>
      </c>
      <c r="K1" s="6" t="s">
        <v>119</v>
      </c>
      <c r="L1" s="6" t="s">
        <v>39</v>
      </c>
    </row>
    <row r="2" ht="16.5" spans="1:12">
      <c r="A2" s="7" t="s">
        <v>9</v>
      </c>
      <c r="B2" s="7" t="s">
        <v>120</v>
      </c>
      <c r="C2" s="7" t="s">
        <v>121</v>
      </c>
      <c r="D2" s="7" t="s">
        <v>44</v>
      </c>
      <c r="E2" s="7" t="s">
        <v>10</v>
      </c>
      <c r="F2" s="7" t="s">
        <v>43</v>
      </c>
      <c r="G2" s="7" t="s">
        <v>122</v>
      </c>
      <c r="H2" s="7" t="s">
        <v>123</v>
      </c>
      <c r="I2" s="7" t="s">
        <v>46</v>
      </c>
      <c r="J2" s="8" t="s">
        <v>124</v>
      </c>
      <c r="K2" s="8" t="s">
        <v>125</v>
      </c>
      <c r="L2" s="8" t="s">
        <v>47</v>
      </c>
    </row>
    <row r="3" ht="16.5" spans="1:12">
      <c r="A3" s="22" t="s">
        <v>18</v>
      </c>
      <c r="B3" s="22" t="s">
        <v>18</v>
      </c>
      <c r="C3" s="22" t="s">
        <v>18</v>
      </c>
      <c r="D3" s="22" t="s">
        <v>19</v>
      </c>
      <c r="E3" s="22" t="s">
        <v>19</v>
      </c>
      <c r="F3" s="22" t="s">
        <v>19</v>
      </c>
      <c r="G3" s="30" t="s">
        <v>126</v>
      </c>
      <c r="H3" s="30" t="s">
        <v>126</v>
      </c>
      <c r="I3" s="22" t="s">
        <v>20</v>
      </c>
      <c r="J3" s="9" t="s">
        <v>127</v>
      </c>
      <c r="K3" s="9" t="s">
        <v>127</v>
      </c>
      <c r="L3" s="9" t="s">
        <v>18</v>
      </c>
    </row>
    <row r="4" s="24" customFormat="1" spans="1:12">
      <c r="A4" s="24">
        <f>_xlfn.XLOOKUP(E4,Equip!B:B,Equip!A:A,,0)</f>
        <v>1100103</v>
      </c>
      <c r="B4" s="24">
        <v>1</v>
      </c>
      <c r="C4" s="24">
        <v>7</v>
      </c>
      <c r="D4" s="24" t="s">
        <v>128</v>
      </c>
      <c r="E4" s="24" t="s">
        <v>54</v>
      </c>
      <c r="F4" s="31" t="str">
        <f>_xlfn.XLOOKUP(E4,Equip!B:B,Equip!C:C,,0)</f>
        <v>法杖</v>
      </c>
      <c r="G4" s="24" t="s">
        <v>129</v>
      </c>
      <c r="H4" s="24" t="str">
        <f>G4&amp;"_big"</f>
        <v>zhuangbei/110/109_big</v>
      </c>
      <c r="I4" s="24">
        <v>110</v>
      </c>
      <c r="J4" s="32" t="s">
        <v>130</v>
      </c>
      <c r="K4" s="32" t="s">
        <v>131</v>
      </c>
      <c r="L4" s="31" t="str">
        <f>_xlfn.XLOOKUP(E4,Equip!E:E,Equip!H:H)</f>
        <v>11001</v>
      </c>
    </row>
    <row r="5" s="25" customFormat="1" spans="1:12">
      <c r="A5" s="25">
        <f>_xlfn.XLOOKUP(E5,Equip!B:B,Equip!A:A,,0)</f>
        <v>1100201</v>
      </c>
      <c r="B5" s="25">
        <v>1</v>
      </c>
      <c r="C5" s="25">
        <v>6</v>
      </c>
      <c r="D5" s="25" t="s">
        <v>132</v>
      </c>
      <c r="E5" s="25" t="s">
        <v>55</v>
      </c>
      <c r="F5" s="33" t="str">
        <f>_xlfn.XLOOKUP(E5,Equip!B:B,Equip!C:C,,0)</f>
        <v>长剑</v>
      </c>
      <c r="G5" s="25" t="s">
        <v>133</v>
      </c>
      <c r="H5" s="25" t="str">
        <f>G5&amp;"_big"</f>
        <v>zhuangbei/104/106_big</v>
      </c>
      <c r="I5" s="25">
        <v>104</v>
      </c>
      <c r="J5" s="34" t="s">
        <v>134</v>
      </c>
      <c r="K5" s="34" t="s">
        <v>135</v>
      </c>
      <c r="L5" s="33" t="str">
        <f>_xlfn.XLOOKUP(E5,Equip!E:E,Equip!H:H)</f>
        <v>11002</v>
      </c>
    </row>
    <row r="6" s="26" customFormat="1" spans="1:12">
      <c r="A6" s="26">
        <f>_xlfn.XLOOKUP(E6,Equip!B:B,Equip!A:A,,0)</f>
        <v>1100202</v>
      </c>
      <c r="B6" s="26">
        <v>1</v>
      </c>
      <c r="C6" s="26">
        <v>6</v>
      </c>
      <c r="D6" s="26" t="s">
        <v>136</v>
      </c>
      <c r="E6" s="26" t="s">
        <v>56</v>
      </c>
      <c r="F6" s="35" t="str">
        <f>_xlfn.XLOOKUP(E6,Equip!B:B,Equip!C:C,,0)</f>
        <v>长剑</v>
      </c>
      <c r="G6" s="26" t="s">
        <v>137</v>
      </c>
      <c r="H6" s="26" t="str">
        <f>G6&amp;"_big"</f>
        <v>zhuangbei/131/106_big</v>
      </c>
      <c r="I6" s="26">
        <v>106</v>
      </c>
      <c r="J6" s="36" t="s">
        <v>138</v>
      </c>
      <c r="K6" s="36" t="s">
        <v>139</v>
      </c>
      <c r="L6" s="35" t="str">
        <f>_xlfn.XLOOKUP(E6,Equip!E:E,Equip!H:H)</f>
        <v>11002</v>
      </c>
    </row>
    <row r="7" s="24" customFormat="1" spans="1:12">
      <c r="A7" s="24">
        <f>_xlfn.XLOOKUP(E7,Equip!B:B,Equip!A:A,,0)</f>
        <v>1200101</v>
      </c>
      <c r="B7" s="24">
        <v>1</v>
      </c>
      <c r="C7" s="24">
        <v>7</v>
      </c>
      <c r="D7" s="24" t="s">
        <v>140</v>
      </c>
      <c r="E7" s="24" t="s">
        <v>61</v>
      </c>
      <c r="F7" s="31" t="str">
        <f>_xlfn.XLOOKUP(E7,Equip!B:B,Equip!C:C,,0)</f>
        <v>头盔</v>
      </c>
      <c r="G7" t="s">
        <v>141</v>
      </c>
      <c r="J7" s="32" t="s">
        <v>142</v>
      </c>
      <c r="K7" s="32" t="s">
        <v>143</v>
      </c>
      <c r="L7" s="31" t="str">
        <f>_xlfn.XLOOKUP(E7,Equip!E:E,Equip!H:H)</f>
        <v>12001</v>
      </c>
    </row>
    <row r="8" s="27" customFormat="1" spans="1:12">
      <c r="A8" s="27">
        <f>_xlfn.XLOOKUP(E8,Equip!B:B,Equip!A:A,,0)</f>
        <v>1200102</v>
      </c>
      <c r="B8" s="27">
        <v>1</v>
      </c>
      <c r="C8" s="27">
        <v>6</v>
      </c>
      <c r="D8" s="27" t="s">
        <v>144</v>
      </c>
      <c r="E8" s="27" t="s">
        <v>64</v>
      </c>
      <c r="F8" s="37" t="str">
        <f>_xlfn.XLOOKUP(E8,Equip!B:B,Equip!C:C,,0)</f>
        <v>头盔</v>
      </c>
      <c r="G8" s="27" t="s">
        <v>145</v>
      </c>
      <c r="H8" s="27"/>
      <c r="J8" s="38" t="s">
        <v>146</v>
      </c>
      <c r="K8" s="38" t="s">
        <v>147</v>
      </c>
      <c r="L8" s="37" t="str">
        <f>_xlfn.XLOOKUP(E8,Equip!E:E,Equip!H:H)</f>
        <v>12001</v>
      </c>
    </row>
    <row r="9" s="25" customFormat="1" spans="1:12">
      <c r="A9" s="25">
        <f>_xlfn.XLOOKUP(E9,Equip!B:B,Equip!A:A,,0)</f>
        <v>1200103</v>
      </c>
      <c r="B9" s="25">
        <v>1</v>
      </c>
      <c r="C9" s="25">
        <v>6</v>
      </c>
      <c r="D9" s="25" t="s">
        <v>148</v>
      </c>
      <c r="E9" s="25" t="s">
        <v>66</v>
      </c>
      <c r="F9" s="33" t="str">
        <f>_xlfn.XLOOKUP(E9,Equip!B:B,Equip!C:C,,0)</f>
        <v>头盔</v>
      </c>
      <c r="G9" s="25" t="s">
        <v>141</v>
      </c>
      <c r="H9" s="25"/>
      <c r="I9" s="25"/>
      <c r="J9" s="34" t="s">
        <v>149</v>
      </c>
      <c r="K9" s="34" t="s">
        <v>150</v>
      </c>
      <c r="L9" s="33" t="str">
        <f>_xlfn.XLOOKUP(E9,Equip!E:E,Equip!H:H)</f>
        <v>12001</v>
      </c>
    </row>
    <row r="10" s="26" customFormat="1" spans="1:12">
      <c r="A10" s="26">
        <f>_xlfn.XLOOKUP(E10,Equip!B:B,Equip!A:A,,0)</f>
        <v>1300101</v>
      </c>
      <c r="B10" s="26">
        <v>1</v>
      </c>
      <c r="C10" s="26">
        <v>6</v>
      </c>
      <c r="D10" s="26" t="s">
        <v>151</v>
      </c>
      <c r="E10" s="26" t="s">
        <v>68</v>
      </c>
      <c r="F10" s="35" t="str">
        <f>_xlfn.XLOOKUP(E10,Equip!B:B,Equip!C:C,,0)</f>
        <v>胸甲</v>
      </c>
      <c r="G10" s="26" t="s">
        <v>152</v>
      </c>
      <c r="H10" s="26"/>
      <c r="I10" s="26"/>
      <c r="J10" s="36" t="s">
        <v>153</v>
      </c>
      <c r="K10" s="36" t="s">
        <v>154</v>
      </c>
      <c r="L10" s="35" t="str">
        <f>_xlfn.XLOOKUP(E10,Equip!E:E,Equip!H:H)</f>
        <v>13001</v>
      </c>
    </row>
    <row r="11" s="27" customFormat="1" spans="1:12">
      <c r="A11" s="27">
        <f>_xlfn.XLOOKUP(E11,Equip!B:B,Equip!A:A,,0)</f>
        <v>1300102</v>
      </c>
      <c r="B11" s="27">
        <v>1</v>
      </c>
      <c r="C11" s="27">
        <v>7</v>
      </c>
      <c r="D11" s="27" t="s">
        <v>155</v>
      </c>
      <c r="E11" s="27" t="s">
        <v>70</v>
      </c>
      <c r="F11" s="37" t="str">
        <f>_xlfn.XLOOKUP(E11,Equip!B:B,Equip!C:C,,0)</f>
        <v>胸甲</v>
      </c>
      <c r="G11" s="27" t="s">
        <v>156</v>
      </c>
      <c r="H11" s="27"/>
      <c r="J11" s="38" t="s">
        <v>157</v>
      </c>
      <c r="K11" s="38" t="s">
        <v>158</v>
      </c>
      <c r="L11" s="37" t="str">
        <f>_xlfn.XLOOKUP(E11,Equip!E:E,Equip!H:H)</f>
        <v>13001</v>
      </c>
    </row>
    <row r="12" s="24" customFormat="1" spans="1:12">
      <c r="A12" s="24">
        <f>_xlfn.XLOOKUP(E12,Equip!B:B,Equip!A:A,,0)</f>
        <v>1300103</v>
      </c>
      <c r="B12" s="24">
        <v>1</v>
      </c>
      <c r="C12" s="24">
        <v>7</v>
      </c>
      <c r="D12" s="24" t="s">
        <v>159</v>
      </c>
      <c r="E12" s="24" t="s">
        <v>72</v>
      </c>
      <c r="F12" s="31" t="str">
        <f>_xlfn.XLOOKUP(E12,Equip!B:B,Equip!C:C,,0)</f>
        <v>胸甲</v>
      </c>
      <c r="G12" s="24" t="s">
        <v>152</v>
      </c>
      <c r="J12" s="32" t="s">
        <v>160</v>
      </c>
      <c r="K12" s="32" t="s">
        <v>161</v>
      </c>
      <c r="L12" s="31" t="str">
        <f>_xlfn.XLOOKUP(E12,Equip!E:E,Equip!H:H)</f>
        <v>13001</v>
      </c>
    </row>
    <row r="13" spans="1:12">
      <c r="A13">
        <f>_xlfn.XLOOKUP(E13,Equip!B:B,Equip!A:A,,0)</f>
        <v>1500103</v>
      </c>
      <c r="B13">
        <v>1</v>
      </c>
      <c r="C13">
        <v>6</v>
      </c>
      <c r="D13" t="s">
        <v>162</v>
      </c>
      <c r="E13" t="s">
        <v>81</v>
      </c>
      <c r="F13" t="str">
        <f>_xlfn.XLOOKUP(E13,Equip!B:B,Equip!C:C,,0)</f>
        <v>鞋子</v>
      </c>
      <c r="G13" t="s">
        <v>163</v>
      </c>
      <c r="J13" s="4" t="s">
        <v>164</v>
      </c>
      <c r="K13" s="4" t="s">
        <v>165</v>
      </c>
      <c r="L13" t="str">
        <f>_xlfn.XLOOKUP(E13,Equip!E:E,Equip!H:H)</f>
        <v>15001</v>
      </c>
    </row>
    <row r="14" s="24" customFormat="1" spans="1:12">
      <c r="A14" s="24">
        <f>_xlfn.XLOOKUP(E14,Equip!B:B,Equip!A:A,,0)</f>
        <v>1500103</v>
      </c>
      <c r="B14" s="24">
        <v>2</v>
      </c>
      <c r="C14" s="24">
        <v>6</v>
      </c>
      <c r="D14" s="24" t="s">
        <v>166</v>
      </c>
      <c r="E14" s="24" t="s">
        <v>81</v>
      </c>
      <c r="F14" s="31" t="str">
        <f>_xlfn.XLOOKUP(E14,Equip!B:B,Equip!C:C,,0)</f>
        <v>鞋子</v>
      </c>
      <c r="G14" s="24" t="s">
        <v>167</v>
      </c>
      <c r="J14" s="32" t="s">
        <v>168</v>
      </c>
      <c r="K14" s="32" t="s">
        <v>169</v>
      </c>
      <c r="L14" s="31" t="str">
        <f>_xlfn.XLOOKUP(E14,Equip!E:E,Equip!H:H)</f>
        <v>15001</v>
      </c>
    </row>
    <row r="15" s="24" customFormat="1" spans="1:12">
      <c r="A15" s="24">
        <f>_xlfn.XLOOKUP(E15,Equip!B:B,Equip!A:A,,0)</f>
        <v>1500103</v>
      </c>
      <c r="B15" s="24">
        <v>3</v>
      </c>
      <c r="C15" s="24">
        <v>6</v>
      </c>
      <c r="D15" s="24" t="s">
        <v>170</v>
      </c>
      <c r="E15" s="24" t="s">
        <v>81</v>
      </c>
      <c r="F15" s="31" t="str">
        <f>_xlfn.XLOOKUP(E15,Equip!B:B,Equip!C:C,,0)</f>
        <v>鞋子</v>
      </c>
      <c r="G15" s="24" t="s">
        <v>171</v>
      </c>
      <c r="J15" s="32" t="s">
        <v>172</v>
      </c>
      <c r="K15" s="32" t="s">
        <v>173</v>
      </c>
      <c r="L15" s="31" t="str">
        <f>_xlfn.XLOOKUP(E15,Equip!E:E,Equip!H:H)</f>
        <v>15001</v>
      </c>
    </row>
    <row r="16" s="26" customFormat="1" spans="1:12">
      <c r="A16" s="26">
        <f>_xlfn.XLOOKUP(E16,Equip!B:B,Equip!A:A,,0)</f>
        <v>1600101</v>
      </c>
      <c r="B16" s="26">
        <v>1</v>
      </c>
      <c r="C16" s="26">
        <v>6</v>
      </c>
      <c r="D16" s="26" t="s">
        <v>174</v>
      </c>
      <c r="E16" s="26" t="s">
        <v>83</v>
      </c>
      <c r="F16" s="26" t="str">
        <f>_xlfn.XLOOKUP(E16,Equip!B:B,Equip!C:C,,0)</f>
        <v>手套</v>
      </c>
      <c r="G16" s="26" t="s">
        <v>175</v>
      </c>
      <c r="J16" s="36" t="s">
        <v>176</v>
      </c>
      <c r="K16" s="36" t="s">
        <v>177</v>
      </c>
      <c r="L16" s="26" t="str">
        <f>_xlfn.XLOOKUP(E16,Equip!E:E,Equip!H:H)</f>
        <v>16001</v>
      </c>
    </row>
    <row r="17" s="26" customFormat="1" spans="1:12">
      <c r="A17" s="26">
        <f>_xlfn.XLOOKUP(E17,Equip!B:B,Equip!A:A,,0)</f>
        <v>1600101</v>
      </c>
      <c r="B17" s="26">
        <v>2</v>
      </c>
      <c r="C17" s="26">
        <v>6</v>
      </c>
      <c r="D17" s="26" t="s">
        <v>178</v>
      </c>
      <c r="E17" s="26" t="s">
        <v>83</v>
      </c>
      <c r="F17" s="26" t="str">
        <f>_xlfn.XLOOKUP(E17,Equip!B:B,Equip!C:C,,0)</f>
        <v>手套</v>
      </c>
      <c r="G17" s="26" t="s">
        <v>179</v>
      </c>
      <c r="J17" s="36" t="s">
        <v>180</v>
      </c>
      <c r="K17" s="36" t="s">
        <v>181</v>
      </c>
      <c r="L17" s="26" t="str">
        <f>_xlfn.XLOOKUP(E17,Equip!E:E,Equip!H:H)</f>
        <v>16001</v>
      </c>
    </row>
    <row r="18" s="26" customFormat="1" spans="1:12">
      <c r="A18" s="26">
        <f>_xlfn.XLOOKUP(E18,Equip!B:B,Equip!A:A,,0)</f>
        <v>1600101</v>
      </c>
      <c r="B18" s="26">
        <v>3</v>
      </c>
      <c r="C18" s="26">
        <v>6</v>
      </c>
      <c r="D18" s="26" t="s">
        <v>182</v>
      </c>
      <c r="E18" s="26" t="s">
        <v>83</v>
      </c>
      <c r="F18" s="26" t="str">
        <f>_xlfn.XLOOKUP(E18,Equip!B:B,Equip!C:C,,0)</f>
        <v>手套</v>
      </c>
      <c r="G18" s="26" t="s">
        <v>183</v>
      </c>
      <c r="J18" s="36" t="s">
        <v>184</v>
      </c>
      <c r="K18" s="36" t="s">
        <v>185</v>
      </c>
      <c r="L18" s="26" t="str">
        <f>_xlfn.XLOOKUP(E18,Equip!E:E,Equip!H:H)</f>
        <v>16001</v>
      </c>
    </row>
    <row r="19" s="26" customFormat="1" spans="1:12">
      <c r="A19" s="26">
        <f>_xlfn.XLOOKUP(E19,Equip!B:B,Equip!A:A,,0)</f>
        <v>1600101</v>
      </c>
      <c r="B19" s="26">
        <v>4</v>
      </c>
      <c r="C19" s="26">
        <v>6</v>
      </c>
      <c r="D19" s="26" t="s">
        <v>186</v>
      </c>
      <c r="E19" s="26" t="s">
        <v>83</v>
      </c>
      <c r="F19" s="26" t="str">
        <f>_xlfn.XLOOKUP(E19,Equip!B:B,Equip!C:C,,0)</f>
        <v>手套</v>
      </c>
      <c r="G19" s="26" t="s">
        <v>187</v>
      </c>
      <c r="J19" s="36" t="s">
        <v>188</v>
      </c>
      <c r="K19" s="36" t="s">
        <v>189</v>
      </c>
      <c r="L19" s="26" t="str">
        <f>_xlfn.XLOOKUP(E19,Equip!E:E,Equip!H:H)</f>
        <v>16001</v>
      </c>
    </row>
    <row r="20" s="28" customFormat="1" spans="1:12">
      <c r="A20" s="28">
        <f>_xlfn.XLOOKUP(E20,Equip!B:B,Equip!A:A,,0)</f>
        <v>1600102</v>
      </c>
      <c r="B20" s="28">
        <v>1</v>
      </c>
      <c r="C20" s="28">
        <v>6</v>
      </c>
      <c r="D20" s="28" t="s">
        <v>190</v>
      </c>
      <c r="E20" s="28" t="s">
        <v>85</v>
      </c>
      <c r="F20" s="28" t="str">
        <f>_xlfn.XLOOKUP(E20,Equip!B:B,Equip!C:C,,0)</f>
        <v>手套</v>
      </c>
      <c r="G20" s="28" t="s">
        <v>191</v>
      </c>
      <c r="J20" s="39" t="s">
        <v>192</v>
      </c>
      <c r="K20" s="39" t="s">
        <v>193</v>
      </c>
      <c r="L20" s="28" t="str">
        <f>_xlfn.XLOOKUP(E20,Equip!E:E,Equip!H:H)</f>
        <v>16001</v>
      </c>
    </row>
    <row r="21" s="28" customFormat="1" spans="1:12">
      <c r="A21" s="28">
        <f>_xlfn.XLOOKUP(E21,Equip!B:B,Equip!A:A,,0)</f>
        <v>1600102</v>
      </c>
      <c r="B21" s="28">
        <v>2</v>
      </c>
      <c r="C21" s="28">
        <v>7</v>
      </c>
      <c r="D21" s="28" t="s">
        <v>194</v>
      </c>
      <c r="E21" s="28" t="s">
        <v>85</v>
      </c>
      <c r="F21" s="28" t="str">
        <f>_xlfn.XLOOKUP(E21,Equip!B:B,Equip!C:C,,0)</f>
        <v>手套</v>
      </c>
      <c r="G21" s="28" t="s">
        <v>195</v>
      </c>
      <c r="J21" s="39" t="s">
        <v>196</v>
      </c>
      <c r="K21" s="39" t="s">
        <v>197</v>
      </c>
      <c r="L21" s="28" t="str">
        <f>_xlfn.XLOOKUP(E21,Equip!E:E,Equip!H:H)</f>
        <v>16001</v>
      </c>
    </row>
    <row r="22" s="24" customFormat="1" spans="1:12">
      <c r="A22" s="24">
        <f>_xlfn.XLOOKUP(E22,Equip!B:B,Equip!A:A,,0)</f>
        <v>1700106</v>
      </c>
      <c r="B22" s="24">
        <v>1</v>
      </c>
      <c r="C22" s="24">
        <v>8</v>
      </c>
      <c r="D22" s="24" t="s">
        <v>198</v>
      </c>
      <c r="E22" s="24" t="s">
        <v>96</v>
      </c>
      <c r="F22" s="31" t="str">
        <f>_xlfn.XLOOKUP(E22,Equip!B:B,Equip!C:C,,0)</f>
        <v>礼花</v>
      </c>
      <c r="G22" s="24" t="s">
        <v>199</v>
      </c>
      <c r="J22" s="32" t="s">
        <v>200</v>
      </c>
      <c r="K22" s="32" t="s">
        <v>201</v>
      </c>
      <c r="L22" s="31" t="str">
        <f>_xlfn.XLOOKUP(E22,Equip!E:E,Equip!H:H)</f>
        <v>17001</v>
      </c>
    </row>
    <row r="23" s="29" customFormat="1" spans="1:12">
      <c r="A23" s="29">
        <f>_xlfn.XLOOKUP(E23,Equip!B:B,Equip!A:A,,0)</f>
        <v>1900101</v>
      </c>
      <c r="B23" s="29">
        <v>1</v>
      </c>
      <c r="C23" s="29">
        <v>6</v>
      </c>
      <c r="D23" s="29" t="s">
        <v>202</v>
      </c>
      <c r="E23" s="29" t="s">
        <v>103</v>
      </c>
      <c r="F23" s="29" t="str">
        <f>_xlfn.XLOOKUP(E23,Equip!B:B,Equip!C:C,,0)</f>
        <v>项链</v>
      </c>
      <c r="G23" s="29" t="s">
        <v>203</v>
      </c>
      <c r="J23" s="40" t="s">
        <v>204</v>
      </c>
      <c r="K23" s="40">
        <v>90010</v>
      </c>
      <c r="L23" s="29" t="str">
        <f>_xlfn.XLOOKUP(E23,Equip!E:E,Equip!H:H)</f>
        <v>19001</v>
      </c>
    </row>
    <row r="24" s="29" customFormat="1" spans="1:12">
      <c r="A24" s="29">
        <f>_xlfn.XLOOKUP(E24,Equip!B:B,Equip!A:A,,0)</f>
        <v>1900101</v>
      </c>
      <c r="B24" s="29">
        <v>2</v>
      </c>
      <c r="C24" s="29">
        <v>7</v>
      </c>
      <c r="D24" s="29" t="s">
        <v>205</v>
      </c>
      <c r="E24" s="29" t="s">
        <v>103</v>
      </c>
      <c r="F24" s="29" t="str">
        <f>_xlfn.XLOOKUP(E24,Equip!B:B,Equip!C:C,,0)</f>
        <v>项链</v>
      </c>
      <c r="G24" s="29" t="s">
        <v>206</v>
      </c>
      <c r="J24" s="40" t="s">
        <v>207</v>
      </c>
      <c r="K24" s="40" t="s">
        <v>208</v>
      </c>
      <c r="L24" s="29" t="str">
        <f>_xlfn.XLOOKUP(E24,Equip!E:E,Equip!H:H)</f>
        <v>19001</v>
      </c>
    </row>
    <row r="25" s="24" customFormat="1" spans="1:12">
      <c r="A25" s="24">
        <f>_xlfn.XLOOKUP(E25,Equip!B:B,Equip!A:A,,0)</f>
        <v>1900101</v>
      </c>
      <c r="B25" s="24">
        <v>3</v>
      </c>
      <c r="C25" s="24">
        <v>7</v>
      </c>
      <c r="D25" s="24" t="s">
        <v>209</v>
      </c>
      <c r="E25" s="24" t="s">
        <v>103</v>
      </c>
      <c r="F25" s="31" t="str">
        <f>_xlfn.XLOOKUP(E25,Equip!B:B,Equip!C:C,,0)</f>
        <v>项链</v>
      </c>
      <c r="G25" s="24" t="s">
        <v>210</v>
      </c>
      <c r="J25" s="32" t="s">
        <v>211</v>
      </c>
      <c r="K25" s="32" t="s">
        <v>212</v>
      </c>
      <c r="L25" s="31" t="str">
        <f>_xlfn.XLOOKUP(E25,Equip!E:E,Equip!H:H)</f>
        <v>19001</v>
      </c>
    </row>
    <row r="26" customFormat="1" spans="1:12">
      <c r="A26">
        <f>_xlfn.XLOOKUP(E26,Equip!B:B,Equip!A:A,,0)</f>
        <v>1900102</v>
      </c>
      <c r="B26">
        <v>1</v>
      </c>
      <c r="C26">
        <v>6</v>
      </c>
      <c r="D26" t="s">
        <v>213</v>
      </c>
      <c r="E26" t="s">
        <v>105</v>
      </c>
      <c r="F26" t="str">
        <f>_xlfn.XLOOKUP(E26,Equip!B:B,Equip!C:C,,0)</f>
        <v>项链</v>
      </c>
      <c r="G26" t="s">
        <v>214</v>
      </c>
      <c r="J26" s="4" t="s">
        <v>215</v>
      </c>
      <c r="K26" s="4" t="s">
        <v>216</v>
      </c>
      <c r="L26" t="str">
        <f>_xlfn.XLOOKUP(E26,Equip!E:E,Equip!H:H)</f>
        <v>19001</v>
      </c>
    </row>
    <row r="27" s="24" customFormat="1" spans="1:12">
      <c r="A27" s="24">
        <f>_xlfn.XLOOKUP(E27,Equip!B:B,Equip!A:A,,0)</f>
        <v>2000101</v>
      </c>
      <c r="B27" s="24">
        <v>1</v>
      </c>
      <c r="C27" s="24">
        <v>6</v>
      </c>
      <c r="D27" s="24" t="s">
        <v>217</v>
      </c>
      <c r="E27" s="24" t="s">
        <v>108</v>
      </c>
      <c r="F27" s="31" t="str">
        <f>_xlfn.XLOOKUP(E27,Equip!B:B,Equip!C:C,,0)</f>
        <v>戒指</v>
      </c>
      <c r="G27" s="24" t="s">
        <v>218</v>
      </c>
      <c r="J27" s="32" t="s">
        <v>219</v>
      </c>
      <c r="K27" s="32" t="s">
        <v>220</v>
      </c>
      <c r="L27" s="31" t="str">
        <f>_xlfn.XLOOKUP(E27,Equip!E:E,Equip!H:H)</f>
        <v>20001</v>
      </c>
    </row>
    <row r="28" s="24" customFormat="1" spans="1:12">
      <c r="A28" s="24">
        <f>_xlfn.XLOOKUP(E28,Equip!B:B,Equip!A:A,,0)</f>
        <v>2000102</v>
      </c>
      <c r="B28" s="24">
        <v>1</v>
      </c>
      <c r="C28" s="24">
        <v>6</v>
      </c>
      <c r="D28" s="24" t="s">
        <v>221</v>
      </c>
      <c r="E28" s="24" t="s">
        <v>110</v>
      </c>
      <c r="F28" s="31" t="str">
        <f>_xlfn.XLOOKUP(E28,Equip!B:B,Equip!C:C,,0)</f>
        <v>戒指</v>
      </c>
      <c r="G28" s="24" t="s">
        <v>222</v>
      </c>
      <c r="J28" s="32" t="s">
        <v>223</v>
      </c>
      <c r="K28" s="32" t="s">
        <v>224</v>
      </c>
      <c r="L28" s="31" t="str">
        <f>_xlfn.XLOOKUP(E28,Equip!E:E,Equip!H:H)</f>
        <v>20001</v>
      </c>
    </row>
  </sheetData>
  <conditionalFormatting sqref="A1">
    <cfRule type="duplicateValues" dxfId="0" priority="41"/>
  </conditionalFormatting>
  <conditionalFormatting sqref="A7">
    <cfRule type="duplicateValues" dxfId="0" priority="2"/>
  </conditionalFormatting>
  <conditionalFormatting sqref="D7">
    <cfRule type="duplicateValues" dxfId="1" priority="1"/>
  </conditionalFormatting>
  <conditionalFormatting sqref="A11">
    <cfRule type="duplicateValues" dxfId="0" priority="8"/>
  </conditionalFormatting>
  <conditionalFormatting sqref="A12">
    <cfRule type="duplicateValues" dxfId="0" priority="12"/>
  </conditionalFormatting>
  <conditionalFormatting sqref="A14">
    <cfRule type="duplicateValues" dxfId="0" priority="15"/>
  </conditionalFormatting>
  <conditionalFormatting sqref="A15">
    <cfRule type="duplicateValues" dxfId="0" priority="14"/>
  </conditionalFormatting>
  <conditionalFormatting sqref="A19">
    <cfRule type="duplicateValues" dxfId="0" priority="19"/>
  </conditionalFormatting>
  <conditionalFormatting sqref="A22">
    <cfRule type="duplicateValues" dxfId="0" priority="4"/>
  </conditionalFormatting>
  <conditionalFormatting sqref="A24">
    <cfRule type="duplicateValues" dxfId="0" priority="17"/>
  </conditionalFormatting>
  <conditionalFormatting sqref="A25">
    <cfRule type="duplicateValues" dxfId="0" priority="13"/>
  </conditionalFormatting>
  <conditionalFormatting sqref="A27">
    <cfRule type="duplicateValues" dxfId="0" priority="7"/>
  </conditionalFormatting>
  <conditionalFormatting sqref="A28">
    <cfRule type="duplicateValues" dxfId="0" priority="5"/>
  </conditionalFormatting>
  <conditionalFormatting sqref="A8:A9">
    <cfRule type="duplicateValues" dxfId="0" priority="9"/>
  </conditionalFormatting>
  <conditionalFormatting sqref="A1:A3 A5 A13 A18 A23 A26 A29:A1048576">
    <cfRule type="duplicateValues" dxfId="0" priority="40"/>
  </conditionalFormatting>
  <conditionalFormatting sqref="D1:D6 D8:D1048576">
    <cfRule type="duplicateValues" dxfId="1" priority="3"/>
  </conditionalFormatting>
  <conditionalFormatting sqref="A2:A3 A29:A1048576">
    <cfRule type="duplicateValues" dxfId="0" priority="42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3.5"/>
  <cols>
    <col min="1" max="1" width="11" customWidth="1"/>
    <col min="2" max="2" width="13.9083333333333" customWidth="1"/>
    <col min="3" max="3" width="17.125" customWidth="1"/>
    <col min="4" max="5" width="16.25" customWidth="1"/>
    <col min="6" max="6" width="14.3666666666667" style="4" customWidth="1"/>
    <col min="7" max="7" width="11.2666666666667" style="4" customWidth="1"/>
    <col min="8" max="8" width="16.375" style="4" customWidth="1"/>
    <col min="9" max="9" width="17.875" customWidth="1"/>
  </cols>
  <sheetData>
    <row r="1" ht="16.5" spans="1:9">
      <c r="A1" s="5" t="s">
        <v>225</v>
      </c>
      <c r="B1" s="5" t="s">
        <v>226</v>
      </c>
      <c r="C1" s="6" t="s">
        <v>227</v>
      </c>
      <c r="D1" s="6" t="s">
        <v>228</v>
      </c>
      <c r="E1" s="6" t="s">
        <v>229</v>
      </c>
      <c r="F1" s="6" t="s">
        <v>230</v>
      </c>
      <c r="G1" s="6" t="s">
        <v>231</v>
      </c>
      <c r="H1" s="6" t="s">
        <v>232</v>
      </c>
      <c r="I1" s="6" t="s">
        <v>233</v>
      </c>
    </row>
    <row r="2" ht="16.5" spans="1:9">
      <c r="A2" s="7" t="s">
        <v>234</v>
      </c>
      <c r="B2" s="7" t="s">
        <v>10</v>
      </c>
      <c r="C2" s="8" t="s">
        <v>235</v>
      </c>
      <c r="D2" s="8" t="s">
        <v>236</v>
      </c>
      <c r="E2" s="8" t="s">
        <v>237</v>
      </c>
      <c r="F2" s="8" t="s">
        <v>238</v>
      </c>
      <c r="G2" s="8" t="s">
        <v>239</v>
      </c>
      <c r="H2" s="8" t="s">
        <v>240</v>
      </c>
      <c r="I2" s="8" t="s">
        <v>241</v>
      </c>
    </row>
    <row r="3" ht="16.5" spans="1:9">
      <c r="A3" s="9" t="s">
        <v>18</v>
      </c>
      <c r="B3" s="22" t="s">
        <v>19</v>
      </c>
      <c r="C3" s="9" t="s">
        <v>127</v>
      </c>
      <c r="D3" s="9" t="s">
        <v>127</v>
      </c>
      <c r="E3" s="9" t="s">
        <v>20</v>
      </c>
      <c r="F3" s="9" t="s">
        <v>18</v>
      </c>
      <c r="G3" s="9" t="s">
        <v>18</v>
      </c>
      <c r="H3" s="9" t="s">
        <v>20</v>
      </c>
      <c r="I3" s="9" t="s">
        <v>51</v>
      </c>
    </row>
    <row r="4" spans="1:9">
      <c r="A4">
        <v>1</v>
      </c>
      <c r="B4" t="s">
        <v>242</v>
      </c>
      <c r="C4" s="23" t="s">
        <v>243</v>
      </c>
      <c r="D4" s="23" t="s">
        <v>244</v>
      </c>
      <c r="E4" s="23">
        <v>1</v>
      </c>
      <c r="F4" s="4">
        <v>1</v>
      </c>
      <c r="G4" s="4">
        <v>1</v>
      </c>
      <c r="H4" s="4">
        <v>0</v>
      </c>
      <c r="I4" t="s">
        <v>245</v>
      </c>
    </row>
    <row r="5" spans="1:9">
      <c r="A5">
        <v>3</v>
      </c>
      <c r="B5" t="s">
        <v>246</v>
      </c>
      <c r="C5" s="23" t="s">
        <v>247</v>
      </c>
      <c r="D5" s="23" t="s">
        <v>248</v>
      </c>
      <c r="E5" s="23">
        <v>2</v>
      </c>
      <c r="F5" s="4">
        <v>2</v>
      </c>
      <c r="G5" s="4">
        <v>2</v>
      </c>
      <c r="H5" s="4">
        <v>1</v>
      </c>
      <c r="I5" t="s">
        <v>249</v>
      </c>
    </row>
    <row r="6" spans="1:9">
      <c r="A6">
        <v>5</v>
      </c>
      <c r="B6" t="s">
        <v>250</v>
      </c>
      <c r="C6" s="23" t="s">
        <v>251</v>
      </c>
      <c r="D6" s="23" t="s">
        <v>252</v>
      </c>
      <c r="E6" s="23">
        <v>3</v>
      </c>
      <c r="F6" s="4">
        <v>3</v>
      </c>
      <c r="G6" s="4">
        <v>3</v>
      </c>
      <c r="H6" s="4">
        <v>1</v>
      </c>
      <c r="I6" t="s">
        <v>253</v>
      </c>
    </row>
    <row r="7" spans="1:9">
      <c r="A7">
        <v>6</v>
      </c>
      <c r="B7" t="s">
        <v>254</v>
      </c>
      <c r="C7" s="23" t="s">
        <v>255</v>
      </c>
      <c r="D7" s="23" t="s">
        <v>256</v>
      </c>
      <c r="E7" s="23">
        <v>6</v>
      </c>
      <c r="F7" s="4">
        <v>3</v>
      </c>
      <c r="G7" s="4">
        <v>3</v>
      </c>
      <c r="H7" s="4">
        <v>1</v>
      </c>
      <c r="I7" t="s">
        <v>257</v>
      </c>
    </row>
    <row r="8" spans="1:9">
      <c r="A8">
        <v>7</v>
      </c>
      <c r="B8" t="s">
        <v>258</v>
      </c>
      <c r="C8" s="23" t="s">
        <v>255</v>
      </c>
      <c r="D8" s="23" t="s">
        <v>256</v>
      </c>
      <c r="E8" s="23">
        <v>6</v>
      </c>
      <c r="F8" s="4">
        <v>3</v>
      </c>
      <c r="G8" s="4">
        <v>3</v>
      </c>
      <c r="H8" s="4">
        <v>1</v>
      </c>
      <c r="I8" t="s">
        <v>257</v>
      </c>
    </row>
    <row r="9" spans="1:9">
      <c r="A9">
        <v>8</v>
      </c>
      <c r="B9" t="s">
        <v>259</v>
      </c>
      <c r="C9" s="23" t="s">
        <v>255</v>
      </c>
      <c r="D9" s="23" t="s">
        <v>256</v>
      </c>
      <c r="E9" s="23">
        <v>6</v>
      </c>
      <c r="F9" s="4">
        <v>3</v>
      </c>
      <c r="G9" s="4">
        <v>3</v>
      </c>
      <c r="H9" s="4">
        <v>1</v>
      </c>
      <c r="I9" t="s">
        <v>257</v>
      </c>
    </row>
  </sheetData>
  <autoFilter xmlns:etc="http://www.wps.cn/officeDocument/2017/etCustomData" ref="B1:B9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98"/>
  <sheetViews>
    <sheetView workbookViewId="0">
      <pane xSplit="4" ySplit="3" topLeftCell="E145" activePane="bottomRight" state="frozen"/>
      <selection/>
      <selection pane="topRight"/>
      <selection pane="bottomLeft"/>
      <selection pane="bottomRight" activeCell="A15" sqref="A15"/>
    </sheetView>
  </sheetViews>
  <sheetFormatPr defaultColWidth="9" defaultRowHeight="13.5"/>
  <cols>
    <col min="1" max="1" width="20.75" style="17" customWidth="1"/>
    <col min="2" max="3" width="12.7083333333333" style="18" customWidth="1"/>
    <col min="4" max="4" width="15.875" style="18" customWidth="1"/>
    <col min="5" max="5" width="10.3666666666667" customWidth="1"/>
    <col min="6" max="7" width="18.45" customWidth="1"/>
    <col min="8" max="8" width="17.925" customWidth="1"/>
    <col min="9" max="9" width="37.0916666666667" customWidth="1"/>
    <col min="10" max="10" width="10.65" customWidth="1"/>
  </cols>
  <sheetData>
    <row r="1" spans="1:10">
      <c r="A1" s="17" t="s">
        <v>0</v>
      </c>
      <c r="B1" s="17" t="s">
        <v>260</v>
      </c>
      <c r="C1" s="17" t="s">
        <v>261</v>
      </c>
      <c r="D1" s="17" t="s">
        <v>262</v>
      </c>
      <c r="E1" s="17" t="s">
        <v>263</v>
      </c>
      <c r="F1" s="17" t="s">
        <v>264</v>
      </c>
      <c r="G1" s="17" t="s">
        <v>265</v>
      </c>
      <c r="H1" s="17" t="s">
        <v>266</v>
      </c>
      <c r="I1" s="17" t="s">
        <v>267</v>
      </c>
      <c r="J1" s="17" t="s">
        <v>268</v>
      </c>
    </row>
    <row r="2" ht="16.5" spans="1:10">
      <c r="A2" s="19" t="s">
        <v>9</v>
      </c>
      <c r="B2" s="19" t="s">
        <v>269</v>
      </c>
      <c r="C2" s="19" t="s">
        <v>270</v>
      </c>
      <c r="D2" s="19" t="s">
        <v>43</v>
      </c>
      <c r="E2" s="19" t="s">
        <v>271</v>
      </c>
      <c r="F2" s="19" t="s">
        <v>272</v>
      </c>
      <c r="G2" s="19" t="s">
        <v>273</v>
      </c>
      <c r="H2" s="19" t="s">
        <v>274</v>
      </c>
      <c r="I2" s="19" t="s">
        <v>275</v>
      </c>
      <c r="J2" s="19" t="s">
        <v>276</v>
      </c>
    </row>
    <row r="3" ht="16.5" spans="1:10">
      <c r="A3" s="20" t="s">
        <v>18</v>
      </c>
      <c r="B3" s="20" t="s">
        <v>18</v>
      </c>
      <c r="C3" s="20" t="s">
        <v>18</v>
      </c>
      <c r="D3" s="20" t="s">
        <v>19</v>
      </c>
      <c r="E3" s="20" t="s">
        <v>18</v>
      </c>
      <c r="F3" s="20" t="s">
        <v>18</v>
      </c>
      <c r="G3" s="20" t="s">
        <v>18</v>
      </c>
      <c r="H3" s="20" t="s">
        <v>18</v>
      </c>
      <c r="I3" s="20" t="s">
        <v>127</v>
      </c>
      <c r="J3" s="20" t="s">
        <v>18</v>
      </c>
    </row>
    <row r="4" s="16" customFormat="1" spans="1:10">
      <c r="A4" s="17">
        <v>1100101</v>
      </c>
      <c r="B4" s="21">
        <v>1</v>
      </c>
      <c r="C4" s="21">
        <v>1</v>
      </c>
      <c r="D4" s="10" t="s">
        <v>277</v>
      </c>
      <c r="E4">
        <v>10000</v>
      </c>
      <c r="F4">
        <v>9</v>
      </c>
      <c r="G4">
        <v>9</v>
      </c>
      <c r="H4">
        <v>1</v>
      </c>
      <c r="I4" t="str">
        <f t="shared" ref="I4:I18" si="0">_xlfn.TEXTJOIN("|",0,F4:G4)</f>
        <v>9|9</v>
      </c>
      <c r="J4" s="16">
        <v>0</v>
      </c>
    </row>
    <row r="5" spans="1:10">
      <c r="A5" s="17">
        <v>1100101</v>
      </c>
      <c r="B5" s="21">
        <v>4</v>
      </c>
      <c r="C5" s="21">
        <v>1</v>
      </c>
      <c r="D5" s="10" t="s">
        <v>277</v>
      </c>
      <c r="E5">
        <v>10000</v>
      </c>
      <c r="F5">
        <v>15</v>
      </c>
      <c r="G5">
        <v>15</v>
      </c>
      <c r="H5">
        <v>1</v>
      </c>
      <c r="I5" t="str">
        <f t="shared" si="0"/>
        <v>15|15</v>
      </c>
      <c r="J5" s="16">
        <v>0</v>
      </c>
    </row>
    <row r="6" spans="1:10">
      <c r="A6" s="17">
        <v>1100101</v>
      </c>
      <c r="B6" s="21">
        <v>8</v>
      </c>
      <c r="C6" s="21">
        <v>4</v>
      </c>
      <c r="D6" s="10" t="s">
        <v>277</v>
      </c>
      <c r="E6">
        <v>10000</v>
      </c>
      <c r="F6">
        <v>21</v>
      </c>
      <c r="G6">
        <v>21</v>
      </c>
      <c r="H6">
        <v>1</v>
      </c>
      <c r="I6" t="str">
        <f t="shared" si="0"/>
        <v>21|21</v>
      </c>
      <c r="J6" s="16">
        <v>0</v>
      </c>
    </row>
    <row r="7" spans="1:10">
      <c r="A7" s="17">
        <v>1100101</v>
      </c>
      <c r="B7" s="21">
        <v>13</v>
      </c>
      <c r="C7" s="21">
        <v>8</v>
      </c>
      <c r="D7" s="10" t="s">
        <v>277</v>
      </c>
      <c r="E7">
        <v>10000</v>
      </c>
      <c r="F7">
        <v>27</v>
      </c>
      <c r="G7">
        <v>27</v>
      </c>
      <c r="H7">
        <v>1</v>
      </c>
      <c r="I7" t="str">
        <f t="shared" si="0"/>
        <v>27|27</v>
      </c>
      <c r="J7" s="16">
        <v>0</v>
      </c>
    </row>
    <row r="8" spans="1:10">
      <c r="A8" s="17">
        <v>1100101</v>
      </c>
      <c r="B8" s="21">
        <v>19</v>
      </c>
      <c r="C8" s="21">
        <v>13</v>
      </c>
      <c r="D8" s="10" t="s">
        <v>277</v>
      </c>
      <c r="E8">
        <v>10000</v>
      </c>
      <c r="F8">
        <v>36</v>
      </c>
      <c r="G8">
        <v>36</v>
      </c>
      <c r="H8">
        <v>1</v>
      </c>
      <c r="I8" t="str">
        <f t="shared" si="0"/>
        <v>36|36</v>
      </c>
      <c r="J8" s="16">
        <v>0</v>
      </c>
    </row>
    <row r="9" spans="1:10">
      <c r="A9" s="17">
        <v>1100101</v>
      </c>
      <c r="B9" s="21">
        <v>25</v>
      </c>
      <c r="C9" s="21">
        <v>19</v>
      </c>
      <c r="D9" s="10" t="s">
        <v>277</v>
      </c>
      <c r="E9">
        <v>10000</v>
      </c>
      <c r="F9">
        <v>54</v>
      </c>
      <c r="G9">
        <v>54</v>
      </c>
      <c r="H9">
        <v>1</v>
      </c>
      <c r="I9" t="str">
        <f t="shared" si="0"/>
        <v>54|54</v>
      </c>
      <c r="J9" s="16">
        <v>0</v>
      </c>
    </row>
    <row r="10" spans="1:10">
      <c r="A10" s="17">
        <v>1100101</v>
      </c>
      <c r="B10" s="21">
        <v>31</v>
      </c>
      <c r="C10" s="21">
        <v>25</v>
      </c>
      <c r="D10" s="10" t="s">
        <v>277</v>
      </c>
      <c r="E10">
        <v>10000</v>
      </c>
      <c r="F10">
        <v>72</v>
      </c>
      <c r="G10">
        <v>72</v>
      </c>
      <c r="H10">
        <v>1</v>
      </c>
      <c r="I10" t="str">
        <f t="shared" si="0"/>
        <v>72|72</v>
      </c>
      <c r="J10" s="16">
        <v>0</v>
      </c>
    </row>
    <row r="11" s="16" customFormat="1" spans="1:10">
      <c r="A11" s="17">
        <v>1100101</v>
      </c>
      <c r="B11" s="21">
        <v>37</v>
      </c>
      <c r="C11" s="21">
        <v>31</v>
      </c>
      <c r="D11" s="10" t="s">
        <v>277</v>
      </c>
      <c r="E11">
        <v>10000</v>
      </c>
      <c r="F11">
        <v>108</v>
      </c>
      <c r="G11">
        <v>108</v>
      </c>
      <c r="H11">
        <v>1</v>
      </c>
      <c r="I11" t="str">
        <f t="shared" si="0"/>
        <v>108|108</v>
      </c>
      <c r="J11" s="16">
        <v>0</v>
      </c>
    </row>
    <row r="12" spans="1:10">
      <c r="A12" s="17">
        <v>1100101</v>
      </c>
      <c r="B12" s="21">
        <v>43</v>
      </c>
      <c r="C12" s="21">
        <v>37</v>
      </c>
      <c r="D12" s="10" t="s">
        <v>277</v>
      </c>
      <c r="E12">
        <v>10000</v>
      </c>
      <c r="F12">
        <v>144</v>
      </c>
      <c r="G12">
        <v>144</v>
      </c>
      <c r="H12">
        <v>1</v>
      </c>
      <c r="I12" t="str">
        <f t="shared" si="0"/>
        <v>144|144</v>
      </c>
      <c r="J12" s="16">
        <v>0</v>
      </c>
    </row>
    <row r="13" spans="1:10">
      <c r="A13" s="17">
        <v>1100101</v>
      </c>
      <c r="B13" s="21">
        <v>49</v>
      </c>
      <c r="C13" s="21">
        <v>43</v>
      </c>
      <c r="D13" s="10" t="s">
        <v>277</v>
      </c>
      <c r="E13">
        <v>10000</v>
      </c>
      <c r="F13">
        <v>288</v>
      </c>
      <c r="G13">
        <v>288</v>
      </c>
      <c r="H13">
        <v>1</v>
      </c>
      <c r="I13" t="str">
        <f t="shared" si="0"/>
        <v>288|288</v>
      </c>
      <c r="J13" s="16">
        <v>0</v>
      </c>
    </row>
    <row r="14" spans="1:10">
      <c r="A14" s="17">
        <v>1100101</v>
      </c>
      <c r="B14" s="21">
        <v>55</v>
      </c>
      <c r="C14" s="21">
        <v>49</v>
      </c>
      <c r="D14" s="10" t="s">
        <v>277</v>
      </c>
      <c r="E14">
        <v>10000</v>
      </c>
      <c r="F14">
        <v>576</v>
      </c>
      <c r="G14">
        <v>576</v>
      </c>
      <c r="H14">
        <v>1</v>
      </c>
      <c r="I14" t="str">
        <f t="shared" si="0"/>
        <v>576|576</v>
      </c>
      <c r="J14" s="16">
        <v>0</v>
      </c>
    </row>
    <row r="15" spans="1:10">
      <c r="A15" s="17">
        <v>1100101</v>
      </c>
      <c r="B15" s="21">
        <v>61</v>
      </c>
      <c r="C15" s="21">
        <v>55</v>
      </c>
      <c r="D15" s="10" t="s">
        <v>277</v>
      </c>
      <c r="E15">
        <v>10000</v>
      </c>
      <c r="F15">
        <v>1152</v>
      </c>
      <c r="G15">
        <v>1152</v>
      </c>
      <c r="H15">
        <v>1</v>
      </c>
      <c r="I15" t="str">
        <f t="shared" si="0"/>
        <v>1152|1152</v>
      </c>
      <c r="J15" s="16">
        <v>0</v>
      </c>
    </row>
    <row r="16" spans="1:10">
      <c r="A16" s="17">
        <v>1100101</v>
      </c>
      <c r="B16" s="21">
        <v>67</v>
      </c>
      <c r="C16" s="21">
        <v>61</v>
      </c>
      <c r="D16" s="10" t="s">
        <v>277</v>
      </c>
      <c r="E16">
        <v>10000</v>
      </c>
      <c r="F16">
        <v>2304</v>
      </c>
      <c r="G16">
        <v>2304</v>
      </c>
      <c r="H16">
        <v>1</v>
      </c>
      <c r="I16" t="str">
        <f t="shared" si="0"/>
        <v>2304|2304</v>
      </c>
      <c r="J16" s="16">
        <v>0</v>
      </c>
    </row>
    <row r="17" spans="1:10">
      <c r="A17" s="17">
        <v>1100101</v>
      </c>
      <c r="B17" s="21">
        <v>75</v>
      </c>
      <c r="C17" s="21">
        <v>67</v>
      </c>
      <c r="D17" s="10" t="s">
        <v>277</v>
      </c>
      <c r="E17">
        <v>10000</v>
      </c>
      <c r="F17">
        <v>4608</v>
      </c>
      <c r="G17">
        <v>4608</v>
      </c>
      <c r="H17">
        <v>1</v>
      </c>
      <c r="I17" t="str">
        <f t="shared" si="0"/>
        <v>4608|4608</v>
      </c>
      <c r="J17" s="16">
        <v>0</v>
      </c>
    </row>
    <row r="18" spans="1:10">
      <c r="A18" s="17">
        <v>1100101</v>
      </c>
      <c r="B18" s="21">
        <v>90</v>
      </c>
      <c r="C18" s="21">
        <v>75</v>
      </c>
      <c r="D18" s="10" t="s">
        <v>277</v>
      </c>
      <c r="E18">
        <v>10000</v>
      </c>
      <c r="F18">
        <v>5100</v>
      </c>
      <c r="G18">
        <v>6000</v>
      </c>
      <c r="H18">
        <v>1</v>
      </c>
      <c r="I18" t="str">
        <f t="shared" si="0"/>
        <v>5100|6000</v>
      </c>
      <c r="J18" s="16">
        <v>0</v>
      </c>
    </row>
    <row r="19" customFormat="1" spans="1:10">
      <c r="A19" s="17">
        <v>1100201</v>
      </c>
      <c r="B19" s="21">
        <v>1</v>
      </c>
      <c r="C19" s="21">
        <v>1</v>
      </c>
      <c r="D19" s="10" t="s">
        <v>278</v>
      </c>
      <c r="E19">
        <v>10000</v>
      </c>
      <c r="F19">
        <v>9</v>
      </c>
      <c r="G19">
        <v>9</v>
      </c>
      <c r="H19">
        <v>1</v>
      </c>
      <c r="I19" t="str">
        <f t="shared" ref="I19:I39" si="1">_xlfn.TEXTJOIN("|",0,F19:G19)</f>
        <v>9|9</v>
      </c>
      <c r="J19" s="16">
        <v>0</v>
      </c>
    </row>
    <row r="20" customFormat="1" spans="1:10">
      <c r="A20" s="17">
        <v>1100201</v>
      </c>
      <c r="B20" s="21">
        <v>4</v>
      </c>
      <c r="C20" s="21">
        <v>1</v>
      </c>
      <c r="D20" s="10" t="s">
        <v>278</v>
      </c>
      <c r="E20">
        <v>10000</v>
      </c>
      <c r="F20">
        <v>15</v>
      </c>
      <c r="G20">
        <v>15</v>
      </c>
      <c r="H20">
        <v>1</v>
      </c>
      <c r="I20" t="str">
        <f t="shared" si="1"/>
        <v>15|15</v>
      </c>
      <c r="J20" s="16">
        <v>0</v>
      </c>
    </row>
    <row r="21" customFormat="1" spans="1:10">
      <c r="A21" s="17">
        <v>1100201</v>
      </c>
      <c r="B21" s="21">
        <v>8</v>
      </c>
      <c r="C21" s="21">
        <v>4</v>
      </c>
      <c r="D21" s="10" t="s">
        <v>278</v>
      </c>
      <c r="E21">
        <v>10000</v>
      </c>
      <c r="F21">
        <v>21</v>
      </c>
      <c r="G21">
        <v>21</v>
      </c>
      <c r="H21">
        <v>1</v>
      </c>
      <c r="I21" t="str">
        <f t="shared" si="1"/>
        <v>21|21</v>
      </c>
      <c r="J21" s="16">
        <v>0</v>
      </c>
    </row>
    <row r="22" customFormat="1" spans="1:10">
      <c r="A22" s="17">
        <v>1100201</v>
      </c>
      <c r="B22" s="21">
        <v>13</v>
      </c>
      <c r="C22" s="21">
        <v>8</v>
      </c>
      <c r="D22" s="10" t="s">
        <v>278</v>
      </c>
      <c r="E22">
        <v>10000</v>
      </c>
      <c r="F22">
        <v>27</v>
      </c>
      <c r="G22">
        <v>27</v>
      </c>
      <c r="H22">
        <v>1</v>
      </c>
      <c r="I22" t="str">
        <f t="shared" si="1"/>
        <v>27|27</v>
      </c>
      <c r="J22" s="16">
        <v>0</v>
      </c>
    </row>
    <row r="23" customFormat="1" spans="1:10">
      <c r="A23" s="17">
        <v>1100201</v>
      </c>
      <c r="B23" s="21">
        <v>19</v>
      </c>
      <c r="C23" s="21">
        <v>13</v>
      </c>
      <c r="D23" s="10" t="s">
        <v>278</v>
      </c>
      <c r="E23">
        <v>10000</v>
      </c>
      <c r="F23">
        <v>36</v>
      </c>
      <c r="G23">
        <v>36</v>
      </c>
      <c r="H23">
        <v>1</v>
      </c>
      <c r="I23" t="str">
        <f t="shared" si="1"/>
        <v>36|36</v>
      </c>
      <c r="J23" s="16">
        <v>0</v>
      </c>
    </row>
    <row r="24" customFormat="1" spans="1:10">
      <c r="A24" s="17">
        <v>1100201</v>
      </c>
      <c r="B24" s="21">
        <v>25</v>
      </c>
      <c r="C24" s="21">
        <v>19</v>
      </c>
      <c r="D24" s="10" t="s">
        <v>278</v>
      </c>
      <c r="E24">
        <v>10000</v>
      </c>
      <c r="F24">
        <v>54</v>
      </c>
      <c r="G24">
        <v>54</v>
      </c>
      <c r="H24">
        <v>1</v>
      </c>
      <c r="I24" t="str">
        <f t="shared" si="1"/>
        <v>54|54</v>
      </c>
      <c r="J24" s="16">
        <v>0</v>
      </c>
    </row>
    <row r="25" customFormat="1" spans="1:10">
      <c r="A25" s="17">
        <v>1100201</v>
      </c>
      <c r="B25" s="21">
        <v>31</v>
      </c>
      <c r="C25" s="21">
        <v>25</v>
      </c>
      <c r="D25" s="10" t="s">
        <v>278</v>
      </c>
      <c r="E25">
        <v>10000</v>
      </c>
      <c r="F25">
        <v>72</v>
      </c>
      <c r="G25">
        <v>72</v>
      </c>
      <c r="H25">
        <v>1</v>
      </c>
      <c r="I25" t="str">
        <f t="shared" si="1"/>
        <v>72|72</v>
      </c>
      <c r="J25" s="16">
        <v>0</v>
      </c>
    </row>
    <row r="26" customFormat="1" spans="1:10">
      <c r="A26" s="17">
        <v>1100201</v>
      </c>
      <c r="B26" s="21">
        <v>37</v>
      </c>
      <c r="C26" s="21">
        <v>31</v>
      </c>
      <c r="D26" s="10" t="s">
        <v>278</v>
      </c>
      <c r="E26">
        <v>10000</v>
      </c>
      <c r="F26">
        <v>108</v>
      </c>
      <c r="G26">
        <v>108</v>
      </c>
      <c r="H26">
        <v>1</v>
      </c>
      <c r="I26" t="str">
        <f t="shared" si="1"/>
        <v>108|108</v>
      </c>
      <c r="J26" s="16">
        <v>0</v>
      </c>
    </row>
    <row r="27" customFormat="1" spans="1:10">
      <c r="A27" s="17">
        <v>1100201</v>
      </c>
      <c r="B27" s="21">
        <v>43</v>
      </c>
      <c r="C27" s="21">
        <v>37</v>
      </c>
      <c r="D27" s="10" t="s">
        <v>278</v>
      </c>
      <c r="E27">
        <v>10000</v>
      </c>
      <c r="F27">
        <v>144</v>
      </c>
      <c r="G27">
        <v>144</v>
      </c>
      <c r="H27">
        <v>1</v>
      </c>
      <c r="I27" t="str">
        <f t="shared" si="1"/>
        <v>144|144</v>
      </c>
      <c r="J27" s="16">
        <v>0</v>
      </c>
    </row>
    <row r="28" customFormat="1" spans="1:10">
      <c r="A28" s="17">
        <v>1100201</v>
      </c>
      <c r="B28" s="21">
        <v>49</v>
      </c>
      <c r="C28" s="21">
        <v>43</v>
      </c>
      <c r="D28" s="10" t="s">
        <v>278</v>
      </c>
      <c r="E28">
        <v>10000</v>
      </c>
      <c r="F28">
        <v>288</v>
      </c>
      <c r="G28">
        <v>288</v>
      </c>
      <c r="H28">
        <v>1</v>
      </c>
      <c r="I28" t="str">
        <f t="shared" si="1"/>
        <v>288|288</v>
      </c>
      <c r="J28" s="16">
        <v>0</v>
      </c>
    </row>
    <row r="29" customFormat="1" spans="1:10">
      <c r="A29" s="17">
        <v>1100201</v>
      </c>
      <c r="B29" s="21">
        <v>55</v>
      </c>
      <c r="C29" s="21">
        <v>49</v>
      </c>
      <c r="D29" s="10" t="s">
        <v>278</v>
      </c>
      <c r="E29">
        <v>10000</v>
      </c>
      <c r="F29">
        <v>576</v>
      </c>
      <c r="G29">
        <v>576</v>
      </c>
      <c r="H29">
        <v>1</v>
      </c>
      <c r="I29" t="str">
        <f t="shared" si="1"/>
        <v>576|576</v>
      </c>
      <c r="J29" s="16">
        <v>0</v>
      </c>
    </row>
    <row r="30" customFormat="1" spans="1:10">
      <c r="A30" s="17">
        <v>1100201</v>
      </c>
      <c r="B30" s="21">
        <v>61</v>
      </c>
      <c r="C30" s="21">
        <v>55</v>
      </c>
      <c r="D30" s="10" t="s">
        <v>278</v>
      </c>
      <c r="E30">
        <v>10000</v>
      </c>
      <c r="F30">
        <v>1152</v>
      </c>
      <c r="G30">
        <v>1152</v>
      </c>
      <c r="H30">
        <v>1</v>
      </c>
      <c r="I30" t="str">
        <f t="shared" si="1"/>
        <v>1152|1152</v>
      </c>
      <c r="J30" s="16">
        <v>0</v>
      </c>
    </row>
    <row r="31" customFormat="1" spans="1:10">
      <c r="A31" s="17">
        <v>1100201</v>
      </c>
      <c r="B31" s="21">
        <v>67</v>
      </c>
      <c r="C31" s="21">
        <v>61</v>
      </c>
      <c r="D31" s="10" t="s">
        <v>278</v>
      </c>
      <c r="E31">
        <v>10000</v>
      </c>
      <c r="F31">
        <v>2304</v>
      </c>
      <c r="G31">
        <v>2304</v>
      </c>
      <c r="H31">
        <v>1</v>
      </c>
      <c r="I31" t="str">
        <f t="shared" si="1"/>
        <v>2304|2304</v>
      </c>
      <c r="J31" s="16">
        <v>0</v>
      </c>
    </row>
    <row r="32" customFormat="1" spans="1:10">
      <c r="A32" s="17">
        <v>1100201</v>
      </c>
      <c r="B32" s="21">
        <v>75</v>
      </c>
      <c r="C32" s="21">
        <v>67</v>
      </c>
      <c r="D32" s="10" t="s">
        <v>278</v>
      </c>
      <c r="E32">
        <v>10000</v>
      </c>
      <c r="F32">
        <v>4608</v>
      </c>
      <c r="G32">
        <v>4608</v>
      </c>
      <c r="H32">
        <v>1</v>
      </c>
      <c r="I32" t="str">
        <f t="shared" si="1"/>
        <v>4608|4608</v>
      </c>
      <c r="J32" s="16">
        <v>0</v>
      </c>
    </row>
    <row r="33" customFormat="1" spans="1:10">
      <c r="A33" s="17">
        <v>1100201</v>
      </c>
      <c r="B33" s="21">
        <v>90</v>
      </c>
      <c r="C33" s="21">
        <v>75</v>
      </c>
      <c r="D33" s="10" t="s">
        <v>278</v>
      </c>
      <c r="E33">
        <v>10000</v>
      </c>
      <c r="F33">
        <v>5100</v>
      </c>
      <c r="G33">
        <v>6000</v>
      </c>
      <c r="H33">
        <v>1</v>
      </c>
      <c r="I33" t="str">
        <f t="shared" si="1"/>
        <v>5100|6000</v>
      </c>
      <c r="J33" s="16">
        <v>0</v>
      </c>
    </row>
    <row r="34" customFormat="1" spans="1:10">
      <c r="A34" s="17">
        <v>1200101</v>
      </c>
      <c r="B34" s="21">
        <v>1</v>
      </c>
      <c r="C34" s="21">
        <v>1</v>
      </c>
      <c r="D34" s="10" t="s">
        <v>279</v>
      </c>
      <c r="E34">
        <v>10001</v>
      </c>
      <c r="F34" s="13">
        <v>5</v>
      </c>
      <c r="G34" s="13">
        <v>5</v>
      </c>
      <c r="H34">
        <v>1</v>
      </c>
      <c r="I34" t="str">
        <f t="shared" si="1"/>
        <v>5|5</v>
      </c>
      <c r="J34" s="16">
        <v>0</v>
      </c>
    </row>
    <row r="35" customFormat="1" spans="1:10">
      <c r="A35" s="17">
        <v>1200101</v>
      </c>
      <c r="B35" s="21">
        <v>4</v>
      </c>
      <c r="C35" s="21">
        <v>1</v>
      </c>
      <c r="D35" s="10" t="s">
        <v>279</v>
      </c>
      <c r="E35">
        <v>10001</v>
      </c>
      <c r="F35" s="13">
        <v>8</v>
      </c>
      <c r="G35" s="13">
        <v>8</v>
      </c>
      <c r="H35">
        <v>1</v>
      </c>
      <c r="I35" t="str">
        <f t="shared" si="1"/>
        <v>8|8</v>
      </c>
      <c r="J35" s="16">
        <v>0</v>
      </c>
    </row>
    <row r="36" customFormat="1" spans="1:10">
      <c r="A36" s="17">
        <v>1200101</v>
      </c>
      <c r="B36" s="21">
        <v>8</v>
      </c>
      <c r="C36" s="21">
        <v>4</v>
      </c>
      <c r="D36" s="10" t="s">
        <v>279</v>
      </c>
      <c r="E36">
        <v>10001</v>
      </c>
      <c r="F36" s="13">
        <v>11</v>
      </c>
      <c r="G36" s="13">
        <v>11</v>
      </c>
      <c r="H36">
        <v>1</v>
      </c>
      <c r="I36" t="str">
        <f t="shared" si="1"/>
        <v>11|11</v>
      </c>
      <c r="J36" s="16">
        <v>0</v>
      </c>
    </row>
    <row r="37" customFormat="1" spans="1:10">
      <c r="A37" s="17">
        <v>1200101</v>
      </c>
      <c r="B37" s="21">
        <v>13</v>
      </c>
      <c r="C37" s="21">
        <v>8</v>
      </c>
      <c r="D37" s="10" t="s">
        <v>279</v>
      </c>
      <c r="E37">
        <v>10001</v>
      </c>
      <c r="F37" s="13">
        <v>14</v>
      </c>
      <c r="G37" s="13">
        <v>14</v>
      </c>
      <c r="H37">
        <v>1</v>
      </c>
      <c r="I37" t="str">
        <f t="shared" si="1"/>
        <v>14|14</v>
      </c>
      <c r="J37" s="16">
        <v>0</v>
      </c>
    </row>
    <row r="38" customFormat="1" spans="1:10">
      <c r="A38" s="17">
        <v>1200101</v>
      </c>
      <c r="B38" s="21">
        <v>19</v>
      </c>
      <c r="C38" s="21">
        <v>13</v>
      </c>
      <c r="D38" s="10" t="s">
        <v>279</v>
      </c>
      <c r="E38">
        <v>10001</v>
      </c>
      <c r="F38" s="13">
        <v>18</v>
      </c>
      <c r="G38" s="13">
        <v>18</v>
      </c>
      <c r="H38">
        <v>1</v>
      </c>
      <c r="I38" t="str">
        <f t="shared" si="1"/>
        <v>18|18</v>
      </c>
      <c r="J38" s="16">
        <v>0</v>
      </c>
    </row>
    <row r="39" customFormat="1" spans="1:10">
      <c r="A39" s="17">
        <v>1200101</v>
      </c>
      <c r="B39" s="21">
        <v>25</v>
      </c>
      <c r="C39" s="21">
        <v>19</v>
      </c>
      <c r="D39" s="10" t="s">
        <v>279</v>
      </c>
      <c r="E39">
        <v>10001</v>
      </c>
      <c r="F39" s="13">
        <v>27</v>
      </c>
      <c r="G39" s="13">
        <v>27</v>
      </c>
      <c r="H39">
        <v>1</v>
      </c>
      <c r="I39" t="str">
        <f t="shared" si="1"/>
        <v>27|27</v>
      </c>
      <c r="J39" s="16">
        <v>0</v>
      </c>
    </row>
    <row r="40" customFormat="1" spans="1:10">
      <c r="A40" s="17">
        <v>1200101</v>
      </c>
      <c r="B40" s="21">
        <v>31</v>
      </c>
      <c r="C40" s="21">
        <v>25</v>
      </c>
      <c r="D40" s="10" t="s">
        <v>279</v>
      </c>
      <c r="E40">
        <v>10001</v>
      </c>
      <c r="F40" s="13">
        <v>35</v>
      </c>
      <c r="G40" s="13">
        <v>35</v>
      </c>
      <c r="H40">
        <v>1</v>
      </c>
      <c r="I40" t="str">
        <f t="shared" ref="I40:I99" si="2">_xlfn.TEXTJOIN("|",0,F40:G40)</f>
        <v>35|35</v>
      </c>
      <c r="J40" s="16">
        <v>0</v>
      </c>
    </row>
    <row r="41" customFormat="1" spans="1:10">
      <c r="A41" s="17">
        <v>1200101</v>
      </c>
      <c r="B41" s="21">
        <v>37</v>
      </c>
      <c r="C41" s="21">
        <v>31</v>
      </c>
      <c r="D41" s="10" t="s">
        <v>279</v>
      </c>
      <c r="E41">
        <v>10001</v>
      </c>
      <c r="F41" s="13">
        <v>53</v>
      </c>
      <c r="G41" s="13">
        <v>53</v>
      </c>
      <c r="H41">
        <v>1</v>
      </c>
      <c r="I41" t="str">
        <f t="shared" si="2"/>
        <v>53|53</v>
      </c>
      <c r="J41" s="16">
        <v>0</v>
      </c>
    </row>
    <row r="42" customFormat="1" spans="1:10">
      <c r="A42" s="17">
        <v>1200101</v>
      </c>
      <c r="B42" s="21">
        <v>43</v>
      </c>
      <c r="C42" s="21">
        <v>37</v>
      </c>
      <c r="D42" s="10" t="s">
        <v>279</v>
      </c>
      <c r="E42">
        <v>10001</v>
      </c>
      <c r="F42" s="13">
        <v>70</v>
      </c>
      <c r="G42" s="13">
        <v>70</v>
      </c>
      <c r="H42">
        <v>1</v>
      </c>
      <c r="I42" t="str">
        <f t="shared" si="2"/>
        <v>70|70</v>
      </c>
      <c r="J42" s="16">
        <v>0</v>
      </c>
    </row>
    <row r="43" customFormat="1" spans="1:10">
      <c r="A43" s="17">
        <v>1200101</v>
      </c>
      <c r="B43" s="21">
        <v>49</v>
      </c>
      <c r="C43" s="21">
        <v>43</v>
      </c>
      <c r="D43" s="10" t="s">
        <v>279</v>
      </c>
      <c r="E43">
        <v>10001</v>
      </c>
      <c r="F43" s="13">
        <v>140</v>
      </c>
      <c r="G43" s="13">
        <v>140</v>
      </c>
      <c r="H43">
        <v>1</v>
      </c>
      <c r="I43" t="str">
        <f t="shared" si="2"/>
        <v>140|140</v>
      </c>
      <c r="J43" s="16">
        <v>0</v>
      </c>
    </row>
    <row r="44" customFormat="1" spans="1:10">
      <c r="A44" s="17">
        <v>1200101</v>
      </c>
      <c r="B44" s="21">
        <v>55</v>
      </c>
      <c r="C44" s="21">
        <v>49</v>
      </c>
      <c r="D44" s="10" t="s">
        <v>279</v>
      </c>
      <c r="E44">
        <v>10001</v>
      </c>
      <c r="F44" s="13">
        <v>280</v>
      </c>
      <c r="G44" s="13">
        <v>280</v>
      </c>
      <c r="H44">
        <v>1</v>
      </c>
      <c r="I44" t="str">
        <f t="shared" si="2"/>
        <v>280|280</v>
      </c>
      <c r="J44" s="16">
        <v>0</v>
      </c>
    </row>
    <row r="45" customFormat="1" spans="1:10">
      <c r="A45" s="17">
        <v>1200101</v>
      </c>
      <c r="B45" s="21">
        <v>61</v>
      </c>
      <c r="C45" s="21">
        <v>55</v>
      </c>
      <c r="D45" s="10" t="s">
        <v>279</v>
      </c>
      <c r="E45">
        <v>10001</v>
      </c>
      <c r="F45" s="13">
        <v>560</v>
      </c>
      <c r="G45" s="13">
        <v>560</v>
      </c>
      <c r="H45">
        <v>1</v>
      </c>
      <c r="I45" t="str">
        <f t="shared" si="2"/>
        <v>560|560</v>
      </c>
      <c r="J45" s="16">
        <v>0</v>
      </c>
    </row>
    <row r="46" customFormat="1" spans="1:10">
      <c r="A46" s="17">
        <v>1200101</v>
      </c>
      <c r="B46" s="21">
        <v>67</v>
      </c>
      <c r="C46" s="21">
        <v>61</v>
      </c>
      <c r="D46" s="10" t="s">
        <v>279</v>
      </c>
      <c r="E46">
        <v>10001</v>
      </c>
      <c r="F46" s="13">
        <v>1120</v>
      </c>
      <c r="G46" s="13">
        <v>1120</v>
      </c>
      <c r="H46">
        <v>1</v>
      </c>
      <c r="I46" t="str">
        <f t="shared" si="2"/>
        <v>1120|1120</v>
      </c>
      <c r="J46" s="16">
        <v>0</v>
      </c>
    </row>
    <row r="47" customFormat="1" spans="1:10">
      <c r="A47" s="17">
        <v>1200101</v>
      </c>
      <c r="B47" s="21">
        <v>75</v>
      </c>
      <c r="C47" s="21">
        <v>67</v>
      </c>
      <c r="D47" s="10" t="s">
        <v>279</v>
      </c>
      <c r="E47">
        <v>10001</v>
      </c>
      <c r="F47" s="13">
        <v>2240</v>
      </c>
      <c r="G47" s="13">
        <v>2240</v>
      </c>
      <c r="H47">
        <v>1</v>
      </c>
      <c r="I47" t="str">
        <f t="shared" si="2"/>
        <v>2240|2240</v>
      </c>
      <c r="J47" s="16">
        <v>0</v>
      </c>
    </row>
    <row r="48" customFormat="1" spans="1:10">
      <c r="A48" s="17">
        <v>1200101</v>
      </c>
      <c r="B48" s="21">
        <v>90</v>
      </c>
      <c r="C48" s="21">
        <v>75</v>
      </c>
      <c r="D48" s="10" t="s">
        <v>279</v>
      </c>
      <c r="E48">
        <v>10001</v>
      </c>
      <c r="F48" s="13">
        <v>2480</v>
      </c>
      <c r="G48" s="13">
        <v>2917</v>
      </c>
      <c r="H48">
        <v>1</v>
      </c>
      <c r="I48" t="str">
        <f t="shared" si="2"/>
        <v>2480|2917</v>
      </c>
      <c r="J48" s="16">
        <v>0</v>
      </c>
    </row>
    <row r="49" customFormat="1" spans="1:10">
      <c r="A49" s="17">
        <v>1300101</v>
      </c>
      <c r="B49" s="21">
        <v>1</v>
      </c>
      <c r="C49" s="21">
        <v>1</v>
      </c>
      <c r="D49" s="10" t="s">
        <v>280</v>
      </c>
      <c r="E49">
        <v>10001</v>
      </c>
      <c r="F49" s="13">
        <v>5</v>
      </c>
      <c r="G49" s="13">
        <v>5</v>
      </c>
      <c r="H49">
        <v>1</v>
      </c>
      <c r="I49" t="str">
        <f t="shared" si="2"/>
        <v>5|5</v>
      </c>
      <c r="J49" s="16">
        <v>0</v>
      </c>
    </row>
    <row r="50" customFormat="1" spans="1:10">
      <c r="A50" s="17">
        <v>1300101</v>
      </c>
      <c r="B50" s="21">
        <v>4</v>
      </c>
      <c r="C50" s="21">
        <v>1</v>
      </c>
      <c r="D50" s="10" t="s">
        <v>280</v>
      </c>
      <c r="E50">
        <v>10001</v>
      </c>
      <c r="F50" s="13">
        <v>8</v>
      </c>
      <c r="G50" s="13">
        <v>8</v>
      </c>
      <c r="H50">
        <v>1</v>
      </c>
      <c r="I50" t="str">
        <f t="shared" si="2"/>
        <v>8|8</v>
      </c>
      <c r="J50" s="16">
        <v>0</v>
      </c>
    </row>
    <row r="51" customFormat="1" spans="1:10">
      <c r="A51" s="17">
        <v>1300101</v>
      </c>
      <c r="B51" s="21">
        <v>8</v>
      </c>
      <c r="C51" s="21">
        <v>4</v>
      </c>
      <c r="D51" s="10" t="s">
        <v>280</v>
      </c>
      <c r="E51">
        <v>10001</v>
      </c>
      <c r="F51" s="13">
        <v>11</v>
      </c>
      <c r="G51" s="13">
        <v>11</v>
      </c>
      <c r="H51">
        <v>1</v>
      </c>
      <c r="I51" t="str">
        <f t="shared" si="2"/>
        <v>11|11</v>
      </c>
      <c r="J51" s="16">
        <v>0</v>
      </c>
    </row>
    <row r="52" customFormat="1" spans="1:10">
      <c r="A52" s="17">
        <v>1300101</v>
      </c>
      <c r="B52" s="21">
        <v>13</v>
      </c>
      <c r="C52" s="21">
        <v>8</v>
      </c>
      <c r="D52" s="10" t="s">
        <v>280</v>
      </c>
      <c r="E52">
        <v>10001</v>
      </c>
      <c r="F52" s="13">
        <v>14</v>
      </c>
      <c r="G52" s="13">
        <v>14</v>
      </c>
      <c r="H52">
        <v>1</v>
      </c>
      <c r="I52" t="str">
        <f t="shared" si="2"/>
        <v>14|14</v>
      </c>
      <c r="J52" s="16">
        <v>0</v>
      </c>
    </row>
    <row r="53" s="16" customFormat="1" spans="1:10">
      <c r="A53" s="17">
        <v>1300101</v>
      </c>
      <c r="B53" s="21">
        <v>19</v>
      </c>
      <c r="C53" s="21">
        <v>13</v>
      </c>
      <c r="D53" s="10" t="s">
        <v>280</v>
      </c>
      <c r="E53">
        <v>10001</v>
      </c>
      <c r="F53" s="13">
        <v>18</v>
      </c>
      <c r="G53" s="13">
        <v>18</v>
      </c>
      <c r="H53">
        <v>1</v>
      </c>
      <c r="I53" t="str">
        <f t="shared" si="2"/>
        <v>18|18</v>
      </c>
      <c r="J53" s="16">
        <v>0</v>
      </c>
    </row>
    <row r="54" spans="1:10">
      <c r="A54" s="17">
        <v>1300101</v>
      </c>
      <c r="B54" s="21">
        <v>25</v>
      </c>
      <c r="C54" s="21">
        <v>19</v>
      </c>
      <c r="D54" s="10" t="s">
        <v>280</v>
      </c>
      <c r="E54">
        <v>10001</v>
      </c>
      <c r="F54" s="13">
        <v>27</v>
      </c>
      <c r="G54" s="13">
        <v>27</v>
      </c>
      <c r="H54">
        <v>1</v>
      </c>
      <c r="I54" t="str">
        <f t="shared" si="2"/>
        <v>27|27</v>
      </c>
      <c r="J54" s="16">
        <v>0</v>
      </c>
    </row>
    <row r="55" spans="1:10">
      <c r="A55" s="17">
        <v>1300101</v>
      </c>
      <c r="B55" s="21">
        <v>31</v>
      </c>
      <c r="C55" s="21">
        <v>25</v>
      </c>
      <c r="D55" s="10" t="s">
        <v>280</v>
      </c>
      <c r="E55">
        <v>10001</v>
      </c>
      <c r="F55" s="13">
        <v>35</v>
      </c>
      <c r="G55" s="13">
        <v>35</v>
      </c>
      <c r="H55">
        <v>1</v>
      </c>
      <c r="I55" t="str">
        <f t="shared" si="2"/>
        <v>35|35</v>
      </c>
      <c r="J55" s="16">
        <v>0</v>
      </c>
    </row>
    <row r="56" spans="1:10">
      <c r="A56" s="17">
        <v>1300101</v>
      </c>
      <c r="B56" s="21">
        <v>37</v>
      </c>
      <c r="C56" s="21">
        <v>31</v>
      </c>
      <c r="D56" s="10" t="s">
        <v>280</v>
      </c>
      <c r="E56">
        <v>10001</v>
      </c>
      <c r="F56" s="13">
        <v>53</v>
      </c>
      <c r="G56" s="13">
        <v>53</v>
      </c>
      <c r="H56">
        <v>1</v>
      </c>
      <c r="I56" t="str">
        <f t="shared" si="2"/>
        <v>53|53</v>
      </c>
      <c r="J56" s="16">
        <v>0</v>
      </c>
    </row>
    <row r="57" spans="1:10">
      <c r="A57" s="17">
        <v>1300101</v>
      </c>
      <c r="B57" s="21">
        <v>43</v>
      </c>
      <c r="C57" s="21">
        <v>37</v>
      </c>
      <c r="D57" s="10" t="s">
        <v>280</v>
      </c>
      <c r="E57">
        <v>10001</v>
      </c>
      <c r="F57" s="13">
        <v>70</v>
      </c>
      <c r="G57" s="13">
        <v>70</v>
      </c>
      <c r="H57">
        <v>1</v>
      </c>
      <c r="I57" t="str">
        <f t="shared" si="2"/>
        <v>70|70</v>
      </c>
      <c r="J57" s="16">
        <v>0</v>
      </c>
    </row>
    <row r="58" spans="1:10">
      <c r="A58" s="17">
        <v>1300101</v>
      </c>
      <c r="B58" s="21">
        <v>49</v>
      </c>
      <c r="C58" s="21">
        <v>43</v>
      </c>
      <c r="D58" s="10" t="s">
        <v>280</v>
      </c>
      <c r="E58">
        <v>10001</v>
      </c>
      <c r="F58" s="13">
        <v>140</v>
      </c>
      <c r="G58" s="13">
        <v>140</v>
      </c>
      <c r="H58">
        <v>1</v>
      </c>
      <c r="I58" t="str">
        <f t="shared" si="2"/>
        <v>140|140</v>
      </c>
      <c r="J58" s="16">
        <v>0</v>
      </c>
    </row>
    <row r="59" spans="1:10">
      <c r="A59" s="17">
        <v>1300101</v>
      </c>
      <c r="B59" s="21">
        <v>55</v>
      </c>
      <c r="C59" s="21">
        <v>49</v>
      </c>
      <c r="D59" s="10" t="s">
        <v>280</v>
      </c>
      <c r="E59">
        <v>10001</v>
      </c>
      <c r="F59" s="13">
        <v>280</v>
      </c>
      <c r="G59" s="13">
        <v>280</v>
      </c>
      <c r="H59">
        <v>1</v>
      </c>
      <c r="I59" t="str">
        <f t="shared" si="2"/>
        <v>280|280</v>
      </c>
      <c r="J59" s="16">
        <v>0</v>
      </c>
    </row>
    <row r="60" customFormat="1" spans="1:10">
      <c r="A60" s="17">
        <v>1300101</v>
      </c>
      <c r="B60" s="21">
        <v>61</v>
      </c>
      <c r="C60" s="21">
        <v>55</v>
      </c>
      <c r="D60" s="10" t="s">
        <v>280</v>
      </c>
      <c r="E60">
        <v>10001</v>
      </c>
      <c r="F60" s="13">
        <v>560</v>
      </c>
      <c r="G60" s="13">
        <v>560</v>
      </c>
      <c r="H60">
        <v>1</v>
      </c>
      <c r="I60" t="str">
        <f t="shared" si="2"/>
        <v>560|560</v>
      </c>
      <c r="J60" s="16">
        <v>0</v>
      </c>
    </row>
    <row r="61" customFormat="1" spans="1:10">
      <c r="A61" s="17">
        <v>1300101</v>
      </c>
      <c r="B61" s="21">
        <v>67</v>
      </c>
      <c r="C61" s="21">
        <v>61</v>
      </c>
      <c r="D61" s="10" t="s">
        <v>280</v>
      </c>
      <c r="E61">
        <v>10001</v>
      </c>
      <c r="F61" s="13">
        <v>1120</v>
      </c>
      <c r="G61" s="13">
        <v>1120</v>
      </c>
      <c r="H61">
        <v>1</v>
      </c>
      <c r="I61" t="str">
        <f t="shared" si="2"/>
        <v>1120|1120</v>
      </c>
      <c r="J61" s="16">
        <v>0</v>
      </c>
    </row>
    <row r="62" customFormat="1" spans="1:10">
      <c r="A62" s="17">
        <v>1300101</v>
      </c>
      <c r="B62" s="21">
        <v>75</v>
      </c>
      <c r="C62" s="21">
        <v>67</v>
      </c>
      <c r="D62" s="10" t="s">
        <v>280</v>
      </c>
      <c r="E62">
        <v>10001</v>
      </c>
      <c r="F62" s="13">
        <v>2240</v>
      </c>
      <c r="G62" s="13">
        <v>2240</v>
      </c>
      <c r="H62">
        <v>1</v>
      </c>
      <c r="I62" t="str">
        <f t="shared" si="2"/>
        <v>2240|2240</v>
      </c>
      <c r="J62" s="16">
        <v>0</v>
      </c>
    </row>
    <row r="63" customFormat="1" spans="1:10">
      <c r="A63" s="17">
        <v>1300101</v>
      </c>
      <c r="B63" s="21">
        <v>90</v>
      </c>
      <c r="C63" s="21">
        <v>75</v>
      </c>
      <c r="D63" s="10" t="s">
        <v>280</v>
      </c>
      <c r="E63">
        <v>10001</v>
      </c>
      <c r="F63" s="13">
        <v>2480</v>
      </c>
      <c r="G63" s="13">
        <v>2917</v>
      </c>
      <c r="H63">
        <v>1</v>
      </c>
      <c r="I63" t="str">
        <f t="shared" si="2"/>
        <v>2480|2917</v>
      </c>
      <c r="J63" s="16">
        <v>0</v>
      </c>
    </row>
    <row r="64" s="16" customFormat="1" spans="1:10">
      <c r="A64" s="17">
        <v>1400101</v>
      </c>
      <c r="B64" s="21">
        <v>1</v>
      </c>
      <c r="C64" s="21">
        <v>1</v>
      </c>
      <c r="D64" s="10" t="s">
        <v>281</v>
      </c>
      <c r="E64">
        <v>10001</v>
      </c>
      <c r="F64" s="13">
        <v>5</v>
      </c>
      <c r="G64" s="13">
        <v>5</v>
      </c>
      <c r="H64">
        <v>1</v>
      </c>
      <c r="I64" t="str">
        <f t="shared" si="2"/>
        <v>5|5</v>
      </c>
      <c r="J64" s="16">
        <v>0</v>
      </c>
    </row>
    <row r="65" spans="1:10">
      <c r="A65" s="17">
        <v>1400101</v>
      </c>
      <c r="B65" s="21">
        <v>4</v>
      </c>
      <c r="C65" s="21">
        <v>1</v>
      </c>
      <c r="D65" s="10" t="s">
        <v>281</v>
      </c>
      <c r="E65">
        <v>10001</v>
      </c>
      <c r="F65" s="13">
        <v>8</v>
      </c>
      <c r="G65" s="13">
        <v>8</v>
      </c>
      <c r="H65">
        <v>1</v>
      </c>
      <c r="I65" t="str">
        <f t="shared" si="2"/>
        <v>8|8</v>
      </c>
      <c r="J65" s="16">
        <v>0</v>
      </c>
    </row>
    <row r="66" spans="1:10">
      <c r="A66" s="17">
        <v>1400101</v>
      </c>
      <c r="B66" s="21">
        <v>8</v>
      </c>
      <c r="C66" s="21">
        <v>4</v>
      </c>
      <c r="D66" s="10" t="s">
        <v>281</v>
      </c>
      <c r="E66">
        <v>10001</v>
      </c>
      <c r="F66" s="13">
        <v>11</v>
      </c>
      <c r="G66" s="13">
        <v>11</v>
      </c>
      <c r="H66">
        <v>1</v>
      </c>
      <c r="I66" t="str">
        <f t="shared" si="2"/>
        <v>11|11</v>
      </c>
      <c r="J66" s="16">
        <v>0</v>
      </c>
    </row>
    <row r="67" spans="1:10">
      <c r="A67" s="17">
        <v>1400101</v>
      </c>
      <c r="B67" s="21">
        <v>13</v>
      </c>
      <c r="C67" s="21">
        <v>8</v>
      </c>
      <c r="D67" s="10" t="s">
        <v>281</v>
      </c>
      <c r="E67">
        <v>10001</v>
      </c>
      <c r="F67" s="13">
        <v>14</v>
      </c>
      <c r="G67" s="13">
        <v>14</v>
      </c>
      <c r="H67">
        <v>1</v>
      </c>
      <c r="I67" t="str">
        <f t="shared" si="2"/>
        <v>14|14</v>
      </c>
      <c r="J67" s="16">
        <v>0</v>
      </c>
    </row>
    <row r="68" customFormat="1" spans="1:10">
      <c r="A68" s="17">
        <v>1400101</v>
      </c>
      <c r="B68" s="21">
        <v>19</v>
      </c>
      <c r="C68" s="21">
        <v>13</v>
      </c>
      <c r="D68" s="10" t="s">
        <v>281</v>
      </c>
      <c r="E68">
        <v>10001</v>
      </c>
      <c r="F68" s="13">
        <v>18</v>
      </c>
      <c r="G68" s="13">
        <v>18</v>
      </c>
      <c r="H68">
        <v>1</v>
      </c>
      <c r="I68" t="str">
        <f t="shared" si="2"/>
        <v>18|18</v>
      </c>
      <c r="J68" s="16">
        <v>0</v>
      </c>
    </row>
    <row r="69" customFormat="1" spans="1:10">
      <c r="A69" s="17">
        <v>1400101</v>
      </c>
      <c r="B69" s="21">
        <v>25</v>
      </c>
      <c r="C69" s="21">
        <v>19</v>
      </c>
      <c r="D69" s="10" t="s">
        <v>281</v>
      </c>
      <c r="E69">
        <v>10001</v>
      </c>
      <c r="F69" s="13">
        <v>27</v>
      </c>
      <c r="G69" s="13">
        <v>27</v>
      </c>
      <c r="H69">
        <v>1</v>
      </c>
      <c r="I69" t="str">
        <f t="shared" si="2"/>
        <v>27|27</v>
      </c>
      <c r="J69" s="16">
        <v>0</v>
      </c>
    </row>
    <row r="70" customFormat="1" spans="1:10">
      <c r="A70" s="17">
        <v>1400101</v>
      </c>
      <c r="B70" s="21">
        <v>31</v>
      </c>
      <c r="C70" s="21">
        <v>25</v>
      </c>
      <c r="D70" s="10" t="s">
        <v>281</v>
      </c>
      <c r="E70">
        <v>10001</v>
      </c>
      <c r="F70" s="13">
        <v>35</v>
      </c>
      <c r="G70" s="13">
        <v>35</v>
      </c>
      <c r="H70">
        <v>1</v>
      </c>
      <c r="I70" t="str">
        <f t="shared" si="2"/>
        <v>35|35</v>
      </c>
      <c r="J70" s="16">
        <v>0</v>
      </c>
    </row>
    <row r="71" customFormat="1" spans="1:10">
      <c r="A71" s="17">
        <v>1400101</v>
      </c>
      <c r="B71" s="21">
        <v>37</v>
      </c>
      <c r="C71" s="21">
        <v>31</v>
      </c>
      <c r="D71" s="10" t="s">
        <v>281</v>
      </c>
      <c r="E71">
        <v>10001</v>
      </c>
      <c r="F71" s="13">
        <v>53</v>
      </c>
      <c r="G71" s="13">
        <v>53</v>
      </c>
      <c r="H71">
        <v>1</v>
      </c>
      <c r="I71" t="str">
        <f t="shared" si="2"/>
        <v>53|53</v>
      </c>
      <c r="J71" s="16">
        <v>0</v>
      </c>
    </row>
    <row r="72" customFormat="1" spans="1:10">
      <c r="A72" s="17">
        <v>1400101</v>
      </c>
      <c r="B72" s="21">
        <v>43</v>
      </c>
      <c r="C72" s="21">
        <v>37</v>
      </c>
      <c r="D72" s="10" t="s">
        <v>281</v>
      </c>
      <c r="E72">
        <v>10001</v>
      </c>
      <c r="F72" s="13">
        <v>70</v>
      </c>
      <c r="G72" s="13">
        <v>70</v>
      </c>
      <c r="H72">
        <v>1</v>
      </c>
      <c r="I72" t="str">
        <f t="shared" si="2"/>
        <v>70|70</v>
      </c>
      <c r="J72" s="16">
        <v>0</v>
      </c>
    </row>
    <row r="73" customFormat="1" spans="1:10">
      <c r="A73" s="17">
        <v>1400101</v>
      </c>
      <c r="B73" s="21">
        <v>49</v>
      </c>
      <c r="C73" s="21">
        <v>43</v>
      </c>
      <c r="D73" s="10" t="s">
        <v>281</v>
      </c>
      <c r="E73">
        <v>10001</v>
      </c>
      <c r="F73" s="13">
        <v>140</v>
      </c>
      <c r="G73" s="13">
        <v>140</v>
      </c>
      <c r="H73">
        <v>1</v>
      </c>
      <c r="I73" t="str">
        <f t="shared" si="2"/>
        <v>140|140</v>
      </c>
      <c r="J73" s="16">
        <v>0</v>
      </c>
    </row>
    <row r="74" customFormat="1" spans="1:10">
      <c r="A74" s="17">
        <v>1400101</v>
      </c>
      <c r="B74" s="21">
        <v>55</v>
      </c>
      <c r="C74" s="21">
        <v>49</v>
      </c>
      <c r="D74" s="10" t="s">
        <v>281</v>
      </c>
      <c r="E74">
        <v>10001</v>
      </c>
      <c r="F74" s="13">
        <v>280</v>
      </c>
      <c r="G74" s="13">
        <v>280</v>
      </c>
      <c r="H74">
        <v>1</v>
      </c>
      <c r="I74" t="str">
        <f t="shared" si="2"/>
        <v>280|280</v>
      </c>
      <c r="J74" s="16">
        <v>0</v>
      </c>
    </row>
    <row r="75" customFormat="1" spans="1:10">
      <c r="A75" s="17">
        <v>1400101</v>
      </c>
      <c r="B75" s="21">
        <v>61</v>
      </c>
      <c r="C75" s="21">
        <v>55</v>
      </c>
      <c r="D75" s="10" t="s">
        <v>281</v>
      </c>
      <c r="E75">
        <v>10001</v>
      </c>
      <c r="F75" s="13">
        <v>560</v>
      </c>
      <c r="G75" s="13">
        <v>560</v>
      </c>
      <c r="H75">
        <v>1</v>
      </c>
      <c r="I75" t="str">
        <f t="shared" si="2"/>
        <v>560|560</v>
      </c>
      <c r="J75" s="16">
        <v>0</v>
      </c>
    </row>
    <row r="76" customFormat="1" spans="1:10">
      <c r="A76" s="17">
        <v>1400101</v>
      </c>
      <c r="B76" s="21">
        <v>67</v>
      </c>
      <c r="C76" s="21">
        <v>61</v>
      </c>
      <c r="D76" s="10" t="s">
        <v>281</v>
      </c>
      <c r="E76">
        <v>10001</v>
      </c>
      <c r="F76" s="13">
        <v>1120</v>
      </c>
      <c r="G76" s="13">
        <v>1120</v>
      </c>
      <c r="H76">
        <v>1</v>
      </c>
      <c r="I76" t="str">
        <f t="shared" si="2"/>
        <v>1120|1120</v>
      </c>
      <c r="J76" s="16">
        <v>0</v>
      </c>
    </row>
    <row r="77" customFormat="1" spans="1:10">
      <c r="A77" s="17">
        <v>1400101</v>
      </c>
      <c r="B77" s="21">
        <v>75</v>
      </c>
      <c r="C77" s="21">
        <v>67</v>
      </c>
      <c r="D77" s="10" t="s">
        <v>281</v>
      </c>
      <c r="E77">
        <v>10001</v>
      </c>
      <c r="F77" s="13">
        <v>2240</v>
      </c>
      <c r="G77" s="13">
        <v>2240</v>
      </c>
      <c r="H77">
        <v>1</v>
      </c>
      <c r="I77" t="str">
        <f t="shared" si="2"/>
        <v>2240|2240</v>
      </c>
      <c r="J77" s="16">
        <v>0</v>
      </c>
    </row>
    <row r="78" customFormat="1" spans="1:10">
      <c r="A78" s="17">
        <v>1400101</v>
      </c>
      <c r="B78" s="21">
        <v>90</v>
      </c>
      <c r="C78" s="21">
        <v>75</v>
      </c>
      <c r="D78" s="10" t="s">
        <v>281</v>
      </c>
      <c r="E78">
        <v>10001</v>
      </c>
      <c r="F78" s="13">
        <v>2480</v>
      </c>
      <c r="G78" s="13">
        <v>2917</v>
      </c>
      <c r="H78">
        <v>1</v>
      </c>
      <c r="I78" t="str">
        <f t="shared" si="2"/>
        <v>2480|2917</v>
      </c>
      <c r="J78" s="16">
        <v>0</v>
      </c>
    </row>
    <row r="79" customFormat="1" spans="1:10">
      <c r="A79" s="17">
        <v>1500101</v>
      </c>
      <c r="B79" s="21">
        <v>1</v>
      </c>
      <c r="C79" s="21">
        <v>1</v>
      </c>
      <c r="D79" s="10" t="s">
        <v>282</v>
      </c>
      <c r="E79">
        <v>10001</v>
      </c>
      <c r="F79" s="13">
        <v>5</v>
      </c>
      <c r="G79" s="13">
        <v>5</v>
      </c>
      <c r="H79">
        <v>1</v>
      </c>
      <c r="I79" t="str">
        <f t="shared" si="2"/>
        <v>5|5</v>
      </c>
      <c r="J79" s="16">
        <v>0</v>
      </c>
    </row>
    <row r="80" customFormat="1" spans="1:10">
      <c r="A80" s="17">
        <v>1500101</v>
      </c>
      <c r="B80" s="21">
        <v>4</v>
      </c>
      <c r="C80" s="21">
        <v>1</v>
      </c>
      <c r="D80" s="10" t="s">
        <v>282</v>
      </c>
      <c r="E80">
        <v>10001</v>
      </c>
      <c r="F80" s="13">
        <v>8</v>
      </c>
      <c r="G80" s="13">
        <v>8</v>
      </c>
      <c r="H80">
        <v>1</v>
      </c>
      <c r="I80" t="str">
        <f t="shared" si="2"/>
        <v>8|8</v>
      </c>
      <c r="J80" s="16">
        <v>0</v>
      </c>
    </row>
    <row r="81" customFormat="1" spans="1:10">
      <c r="A81" s="17">
        <v>1500101</v>
      </c>
      <c r="B81" s="21">
        <v>8</v>
      </c>
      <c r="C81" s="21">
        <v>4</v>
      </c>
      <c r="D81" s="10" t="s">
        <v>282</v>
      </c>
      <c r="E81">
        <v>10001</v>
      </c>
      <c r="F81" s="13">
        <v>11</v>
      </c>
      <c r="G81" s="13">
        <v>11</v>
      </c>
      <c r="H81">
        <v>1</v>
      </c>
      <c r="I81" t="str">
        <f t="shared" si="2"/>
        <v>11|11</v>
      </c>
      <c r="J81" s="16">
        <v>0</v>
      </c>
    </row>
    <row r="82" customFormat="1" spans="1:10">
      <c r="A82" s="17">
        <v>1500101</v>
      </c>
      <c r="B82" s="21">
        <v>13</v>
      </c>
      <c r="C82" s="21">
        <v>8</v>
      </c>
      <c r="D82" s="10" t="s">
        <v>282</v>
      </c>
      <c r="E82">
        <v>10001</v>
      </c>
      <c r="F82" s="13">
        <v>14</v>
      </c>
      <c r="G82" s="13">
        <v>14</v>
      </c>
      <c r="H82">
        <v>1</v>
      </c>
      <c r="I82" t="str">
        <f t="shared" si="2"/>
        <v>14|14</v>
      </c>
      <c r="J82" s="16">
        <v>0</v>
      </c>
    </row>
    <row r="83" customFormat="1" spans="1:10">
      <c r="A83" s="17">
        <v>1500101</v>
      </c>
      <c r="B83" s="21">
        <v>19</v>
      </c>
      <c r="C83" s="21">
        <v>13</v>
      </c>
      <c r="D83" s="10" t="s">
        <v>282</v>
      </c>
      <c r="E83">
        <v>10001</v>
      </c>
      <c r="F83" s="13">
        <v>18</v>
      </c>
      <c r="G83" s="13">
        <v>18</v>
      </c>
      <c r="H83">
        <v>1</v>
      </c>
      <c r="I83" t="str">
        <f t="shared" si="2"/>
        <v>18|18</v>
      </c>
      <c r="J83" s="16">
        <v>0</v>
      </c>
    </row>
    <row r="84" customFormat="1" spans="1:10">
      <c r="A84" s="17">
        <v>1500101</v>
      </c>
      <c r="B84" s="21">
        <v>25</v>
      </c>
      <c r="C84" s="21">
        <v>19</v>
      </c>
      <c r="D84" s="10" t="s">
        <v>282</v>
      </c>
      <c r="E84">
        <v>10001</v>
      </c>
      <c r="F84" s="13">
        <v>27</v>
      </c>
      <c r="G84" s="13">
        <v>27</v>
      </c>
      <c r="H84">
        <v>1</v>
      </c>
      <c r="I84" t="str">
        <f t="shared" si="2"/>
        <v>27|27</v>
      </c>
      <c r="J84" s="16">
        <v>0</v>
      </c>
    </row>
    <row r="85" customFormat="1" spans="1:10">
      <c r="A85" s="17">
        <v>1500101</v>
      </c>
      <c r="B85" s="21">
        <v>31</v>
      </c>
      <c r="C85" s="21">
        <v>25</v>
      </c>
      <c r="D85" s="10" t="s">
        <v>282</v>
      </c>
      <c r="E85">
        <v>10001</v>
      </c>
      <c r="F85" s="13">
        <v>35</v>
      </c>
      <c r="G85" s="13">
        <v>35</v>
      </c>
      <c r="H85">
        <v>1</v>
      </c>
      <c r="I85" t="str">
        <f t="shared" si="2"/>
        <v>35|35</v>
      </c>
      <c r="J85" s="16">
        <v>0</v>
      </c>
    </row>
    <row r="86" customFormat="1" spans="1:10">
      <c r="A86" s="17">
        <v>1500101</v>
      </c>
      <c r="B86" s="21">
        <v>37</v>
      </c>
      <c r="C86" s="21">
        <v>31</v>
      </c>
      <c r="D86" s="10" t="s">
        <v>282</v>
      </c>
      <c r="E86">
        <v>10001</v>
      </c>
      <c r="F86" s="13">
        <v>53</v>
      </c>
      <c r="G86" s="13">
        <v>53</v>
      </c>
      <c r="H86">
        <v>1</v>
      </c>
      <c r="I86" t="str">
        <f t="shared" si="2"/>
        <v>53|53</v>
      </c>
      <c r="J86" s="16">
        <v>0</v>
      </c>
    </row>
    <row r="87" customFormat="1" spans="1:10">
      <c r="A87" s="17">
        <v>1500101</v>
      </c>
      <c r="B87" s="21">
        <v>43</v>
      </c>
      <c r="C87" s="21">
        <v>37</v>
      </c>
      <c r="D87" s="10" t="s">
        <v>282</v>
      </c>
      <c r="E87">
        <v>10001</v>
      </c>
      <c r="F87" s="13">
        <v>70</v>
      </c>
      <c r="G87" s="13">
        <v>70</v>
      </c>
      <c r="H87">
        <v>1</v>
      </c>
      <c r="I87" t="str">
        <f t="shared" si="2"/>
        <v>70|70</v>
      </c>
      <c r="J87" s="16">
        <v>0</v>
      </c>
    </row>
    <row r="88" customFormat="1" spans="1:10">
      <c r="A88" s="17">
        <v>1500101</v>
      </c>
      <c r="B88" s="21">
        <v>49</v>
      </c>
      <c r="C88" s="21">
        <v>43</v>
      </c>
      <c r="D88" s="10" t="s">
        <v>282</v>
      </c>
      <c r="E88">
        <v>10001</v>
      </c>
      <c r="F88" s="13">
        <v>140</v>
      </c>
      <c r="G88" s="13">
        <v>140</v>
      </c>
      <c r="H88">
        <v>1</v>
      </c>
      <c r="I88" t="str">
        <f t="shared" si="2"/>
        <v>140|140</v>
      </c>
      <c r="J88" s="16">
        <v>0</v>
      </c>
    </row>
    <row r="89" customFormat="1" spans="1:10">
      <c r="A89" s="17">
        <v>1500101</v>
      </c>
      <c r="B89" s="21">
        <v>55</v>
      </c>
      <c r="C89" s="21">
        <v>49</v>
      </c>
      <c r="D89" s="10" t="s">
        <v>282</v>
      </c>
      <c r="E89">
        <v>10001</v>
      </c>
      <c r="F89" s="13">
        <v>280</v>
      </c>
      <c r="G89" s="13">
        <v>280</v>
      </c>
      <c r="H89">
        <v>1</v>
      </c>
      <c r="I89" t="str">
        <f t="shared" si="2"/>
        <v>280|280</v>
      </c>
      <c r="J89" s="16">
        <v>0</v>
      </c>
    </row>
    <row r="90" customFormat="1" spans="1:10">
      <c r="A90" s="17">
        <v>1500101</v>
      </c>
      <c r="B90" s="21">
        <v>61</v>
      </c>
      <c r="C90" s="21">
        <v>55</v>
      </c>
      <c r="D90" s="10" t="s">
        <v>282</v>
      </c>
      <c r="E90">
        <v>10001</v>
      </c>
      <c r="F90" s="13">
        <v>560</v>
      </c>
      <c r="G90" s="13">
        <v>560</v>
      </c>
      <c r="H90">
        <v>1</v>
      </c>
      <c r="I90" t="str">
        <f t="shared" si="2"/>
        <v>560|560</v>
      </c>
      <c r="J90" s="16">
        <v>0</v>
      </c>
    </row>
    <row r="91" customFormat="1" spans="1:10">
      <c r="A91" s="17">
        <v>1500101</v>
      </c>
      <c r="B91" s="21">
        <v>67</v>
      </c>
      <c r="C91" s="21">
        <v>61</v>
      </c>
      <c r="D91" s="10" t="s">
        <v>282</v>
      </c>
      <c r="E91">
        <v>10001</v>
      </c>
      <c r="F91" s="13">
        <v>1120</v>
      </c>
      <c r="G91" s="13">
        <v>1120</v>
      </c>
      <c r="H91">
        <v>1</v>
      </c>
      <c r="I91" t="str">
        <f t="shared" si="2"/>
        <v>1120|1120</v>
      </c>
      <c r="J91" s="16">
        <v>0</v>
      </c>
    </row>
    <row r="92" customFormat="1" spans="1:10">
      <c r="A92" s="17">
        <v>1500101</v>
      </c>
      <c r="B92" s="21">
        <v>75</v>
      </c>
      <c r="C92" s="21">
        <v>67</v>
      </c>
      <c r="D92" s="10" t="s">
        <v>282</v>
      </c>
      <c r="E92">
        <v>10001</v>
      </c>
      <c r="F92" s="13">
        <v>2240</v>
      </c>
      <c r="G92" s="13">
        <v>2240</v>
      </c>
      <c r="H92">
        <v>1</v>
      </c>
      <c r="I92" t="str">
        <f t="shared" si="2"/>
        <v>2240|2240</v>
      </c>
      <c r="J92" s="16">
        <v>0</v>
      </c>
    </row>
    <row r="93" customFormat="1" spans="1:10">
      <c r="A93" s="17">
        <v>1500101</v>
      </c>
      <c r="B93" s="21">
        <v>90</v>
      </c>
      <c r="C93" s="21">
        <v>75</v>
      </c>
      <c r="D93" s="10" t="s">
        <v>282</v>
      </c>
      <c r="E93">
        <v>10001</v>
      </c>
      <c r="F93" s="13">
        <v>2480</v>
      </c>
      <c r="G93" s="13">
        <v>2917</v>
      </c>
      <c r="H93">
        <v>1</v>
      </c>
      <c r="I93" t="str">
        <f t="shared" si="2"/>
        <v>2480|2917</v>
      </c>
      <c r="J93" s="16">
        <v>0</v>
      </c>
    </row>
    <row r="94" customFormat="1" spans="1:10">
      <c r="A94" s="17">
        <v>1600101</v>
      </c>
      <c r="B94" s="21">
        <v>1</v>
      </c>
      <c r="C94" s="21">
        <v>1</v>
      </c>
      <c r="D94" s="10" t="s">
        <v>283</v>
      </c>
      <c r="E94">
        <v>10000</v>
      </c>
      <c r="F94">
        <v>6</v>
      </c>
      <c r="G94">
        <v>6</v>
      </c>
      <c r="H94">
        <v>1</v>
      </c>
      <c r="I94" t="str">
        <f t="shared" si="2"/>
        <v>6|6</v>
      </c>
      <c r="J94" s="16">
        <v>0</v>
      </c>
    </row>
    <row r="95" customFormat="1" spans="1:10">
      <c r="A95" s="17">
        <v>1600101</v>
      </c>
      <c r="B95" s="21">
        <v>4</v>
      </c>
      <c r="C95" s="21">
        <v>1</v>
      </c>
      <c r="D95" s="10" t="s">
        <v>283</v>
      </c>
      <c r="E95">
        <v>10000</v>
      </c>
      <c r="F95">
        <v>10</v>
      </c>
      <c r="G95">
        <v>10</v>
      </c>
      <c r="H95">
        <v>1</v>
      </c>
      <c r="I95" t="str">
        <f t="shared" si="2"/>
        <v>10|10</v>
      </c>
      <c r="J95" s="16">
        <v>0</v>
      </c>
    </row>
    <row r="96" customFormat="1" spans="1:10">
      <c r="A96" s="17">
        <v>1600101</v>
      </c>
      <c r="B96" s="21">
        <v>8</v>
      </c>
      <c r="C96" s="21">
        <v>4</v>
      </c>
      <c r="D96" s="10" t="s">
        <v>283</v>
      </c>
      <c r="E96">
        <v>10000</v>
      </c>
      <c r="F96">
        <v>14</v>
      </c>
      <c r="G96">
        <v>14</v>
      </c>
      <c r="H96">
        <v>1</v>
      </c>
      <c r="I96" t="str">
        <f t="shared" si="2"/>
        <v>14|14</v>
      </c>
      <c r="J96" s="16">
        <v>0</v>
      </c>
    </row>
    <row r="97" customFormat="1" spans="1:10">
      <c r="A97" s="17">
        <v>1600101</v>
      </c>
      <c r="B97" s="21">
        <v>13</v>
      </c>
      <c r="C97" s="21">
        <v>8</v>
      </c>
      <c r="D97" s="10" t="s">
        <v>283</v>
      </c>
      <c r="E97">
        <v>10000</v>
      </c>
      <c r="F97">
        <v>18</v>
      </c>
      <c r="G97">
        <v>18</v>
      </c>
      <c r="H97">
        <v>1</v>
      </c>
      <c r="I97" t="str">
        <f t="shared" si="2"/>
        <v>18|18</v>
      </c>
      <c r="J97" s="16">
        <v>0</v>
      </c>
    </row>
    <row r="98" customFormat="1" spans="1:10">
      <c r="A98" s="17">
        <v>1600101</v>
      </c>
      <c r="B98" s="21">
        <v>19</v>
      </c>
      <c r="C98" s="21">
        <v>13</v>
      </c>
      <c r="D98" s="10" t="s">
        <v>283</v>
      </c>
      <c r="E98">
        <v>10000</v>
      </c>
      <c r="F98">
        <v>24</v>
      </c>
      <c r="G98">
        <v>24</v>
      </c>
      <c r="H98">
        <v>1</v>
      </c>
      <c r="I98" t="str">
        <f t="shared" si="2"/>
        <v>24|24</v>
      </c>
      <c r="J98" s="16">
        <v>0</v>
      </c>
    </row>
    <row r="99" customFormat="1" spans="1:10">
      <c r="A99" s="17">
        <v>1600101</v>
      </c>
      <c r="B99" s="21">
        <v>25</v>
      </c>
      <c r="C99" s="21">
        <v>19</v>
      </c>
      <c r="D99" s="10" t="s">
        <v>283</v>
      </c>
      <c r="E99">
        <v>10000</v>
      </c>
      <c r="F99">
        <v>36</v>
      </c>
      <c r="G99">
        <v>36</v>
      </c>
      <c r="H99">
        <v>1</v>
      </c>
      <c r="I99" t="str">
        <f t="shared" si="2"/>
        <v>36|36</v>
      </c>
      <c r="J99" s="16">
        <v>0</v>
      </c>
    </row>
    <row r="100" customFormat="1" spans="1:10">
      <c r="A100" s="17">
        <v>1600101</v>
      </c>
      <c r="B100" s="21">
        <v>31</v>
      </c>
      <c r="C100" s="21">
        <v>25</v>
      </c>
      <c r="D100" s="10" t="s">
        <v>283</v>
      </c>
      <c r="E100">
        <v>10000</v>
      </c>
      <c r="F100">
        <v>48</v>
      </c>
      <c r="G100">
        <v>48</v>
      </c>
      <c r="H100">
        <v>1</v>
      </c>
      <c r="I100" t="str">
        <f t="shared" ref="I100:I129" si="3">_xlfn.TEXTJOIN("|",0,F100:G100)</f>
        <v>48|48</v>
      </c>
      <c r="J100" s="16">
        <v>0</v>
      </c>
    </row>
    <row r="101" customFormat="1" spans="1:10">
      <c r="A101" s="17">
        <v>1600101</v>
      </c>
      <c r="B101" s="21">
        <v>37</v>
      </c>
      <c r="C101" s="21">
        <v>31</v>
      </c>
      <c r="D101" s="10" t="s">
        <v>283</v>
      </c>
      <c r="E101">
        <v>10000</v>
      </c>
      <c r="F101">
        <v>72</v>
      </c>
      <c r="G101">
        <v>72</v>
      </c>
      <c r="H101">
        <v>1</v>
      </c>
      <c r="I101" t="str">
        <f t="shared" si="3"/>
        <v>72|72</v>
      </c>
      <c r="J101" s="16">
        <v>0</v>
      </c>
    </row>
    <row r="102" customFormat="1" spans="1:10">
      <c r="A102" s="17">
        <v>1600101</v>
      </c>
      <c r="B102" s="21">
        <v>43</v>
      </c>
      <c r="C102" s="21">
        <v>37</v>
      </c>
      <c r="D102" s="10" t="s">
        <v>283</v>
      </c>
      <c r="E102">
        <v>10000</v>
      </c>
      <c r="F102">
        <v>96</v>
      </c>
      <c r="G102">
        <v>96</v>
      </c>
      <c r="H102">
        <v>1</v>
      </c>
      <c r="I102" t="str">
        <f t="shared" si="3"/>
        <v>96|96</v>
      </c>
      <c r="J102" s="16">
        <v>0</v>
      </c>
    </row>
    <row r="103" customFormat="1" spans="1:10">
      <c r="A103" s="17">
        <v>1600101</v>
      </c>
      <c r="B103" s="21">
        <v>49</v>
      </c>
      <c r="C103" s="21">
        <v>43</v>
      </c>
      <c r="D103" s="10" t="s">
        <v>283</v>
      </c>
      <c r="E103">
        <v>10000</v>
      </c>
      <c r="F103">
        <v>192</v>
      </c>
      <c r="G103">
        <v>192</v>
      </c>
      <c r="H103">
        <v>1</v>
      </c>
      <c r="I103" t="str">
        <f t="shared" si="3"/>
        <v>192|192</v>
      </c>
      <c r="J103" s="16">
        <v>0</v>
      </c>
    </row>
    <row r="104" customFormat="1" spans="1:10">
      <c r="A104" s="17">
        <v>1600101</v>
      </c>
      <c r="B104" s="21">
        <v>55</v>
      </c>
      <c r="C104" s="21">
        <v>49</v>
      </c>
      <c r="D104" s="10" t="s">
        <v>283</v>
      </c>
      <c r="E104">
        <v>10000</v>
      </c>
      <c r="F104">
        <v>384</v>
      </c>
      <c r="G104">
        <v>384</v>
      </c>
      <c r="H104">
        <v>1</v>
      </c>
      <c r="I104" t="str">
        <f t="shared" si="3"/>
        <v>384|384</v>
      </c>
      <c r="J104" s="16">
        <v>0</v>
      </c>
    </row>
    <row r="105" customFormat="1" spans="1:10">
      <c r="A105" s="17">
        <v>1600101</v>
      </c>
      <c r="B105" s="21">
        <v>61</v>
      </c>
      <c r="C105" s="21">
        <v>55</v>
      </c>
      <c r="D105" s="10" t="s">
        <v>283</v>
      </c>
      <c r="E105">
        <v>10000</v>
      </c>
      <c r="F105">
        <v>768</v>
      </c>
      <c r="G105">
        <v>768</v>
      </c>
      <c r="H105">
        <v>1</v>
      </c>
      <c r="I105" t="str">
        <f t="shared" si="3"/>
        <v>768|768</v>
      </c>
      <c r="J105" s="16">
        <v>0</v>
      </c>
    </row>
    <row r="106" customFormat="1" spans="1:10">
      <c r="A106" s="17">
        <v>1600101</v>
      </c>
      <c r="B106" s="21">
        <v>67</v>
      </c>
      <c r="C106" s="21">
        <v>61</v>
      </c>
      <c r="D106" s="10" t="s">
        <v>283</v>
      </c>
      <c r="E106">
        <v>10000</v>
      </c>
      <c r="F106">
        <v>1536</v>
      </c>
      <c r="G106">
        <v>1536</v>
      </c>
      <c r="H106">
        <v>1</v>
      </c>
      <c r="I106" t="str">
        <f t="shared" si="3"/>
        <v>1536|1536</v>
      </c>
      <c r="J106" s="16">
        <v>0</v>
      </c>
    </row>
    <row r="107" customFormat="1" spans="1:10">
      <c r="A107" s="17">
        <v>1600101</v>
      </c>
      <c r="B107" s="21">
        <v>75</v>
      </c>
      <c r="C107" s="21">
        <v>67</v>
      </c>
      <c r="D107" s="10" t="s">
        <v>283</v>
      </c>
      <c r="E107">
        <v>10000</v>
      </c>
      <c r="F107">
        <v>3072</v>
      </c>
      <c r="G107">
        <v>3072</v>
      </c>
      <c r="H107">
        <v>1</v>
      </c>
      <c r="I107" t="str">
        <f t="shared" si="3"/>
        <v>3072|3072</v>
      </c>
      <c r="J107" s="16">
        <v>0</v>
      </c>
    </row>
    <row r="108" customFormat="1" spans="1:10">
      <c r="A108" s="17">
        <v>1600101</v>
      </c>
      <c r="B108" s="21">
        <v>90</v>
      </c>
      <c r="C108" s="21">
        <v>75</v>
      </c>
      <c r="D108" s="10" t="s">
        <v>283</v>
      </c>
      <c r="E108">
        <v>10000</v>
      </c>
      <c r="F108">
        <v>3400</v>
      </c>
      <c r="G108">
        <v>4000</v>
      </c>
      <c r="H108">
        <v>1</v>
      </c>
      <c r="I108" t="str">
        <f t="shared" si="3"/>
        <v>3400|4000</v>
      </c>
      <c r="J108" s="16">
        <v>0</v>
      </c>
    </row>
    <row r="109" customFormat="1" spans="1:10">
      <c r="A109" s="17">
        <v>1700101</v>
      </c>
      <c r="B109" s="21">
        <v>1</v>
      </c>
      <c r="C109" s="21">
        <v>1</v>
      </c>
      <c r="D109" s="10" t="s">
        <v>284</v>
      </c>
      <c r="E109">
        <v>10311</v>
      </c>
      <c r="F109">
        <v>0.01</v>
      </c>
      <c r="G109">
        <v>0.01</v>
      </c>
      <c r="H109">
        <v>1</v>
      </c>
      <c r="I109" t="str">
        <f t="shared" si="3"/>
        <v>0.01|0.01</v>
      </c>
      <c r="J109" s="16">
        <v>2</v>
      </c>
    </row>
    <row r="110" customFormat="1" spans="1:10">
      <c r="A110" s="17">
        <v>1700101</v>
      </c>
      <c r="B110" s="21">
        <v>4</v>
      </c>
      <c r="C110" s="21">
        <v>1</v>
      </c>
      <c r="D110" s="10" t="s">
        <v>284</v>
      </c>
      <c r="E110">
        <v>10311</v>
      </c>
      <c r="F110">
        <v>0.02</v>
      </c>
      <c r="G110">
        <v>0.02</v>
      </c>
      <c r="H110">
        <v>1</v>
      </c>
      <c r="I110" t="str">
        <f t="shared" si="3"/>
        <v>0.02|0.02</v>
      </c>
      <c r="J110" s="16">
        <v>2</v>
      </c>
    </row>
    <row r="111" customFormat="1" spans="1:10">
      <c r="A111" s="17">
        <v>1700101</v>
      </c>
      <c r="B111" s="21">
        <v>8</v>
      </c>
      <c r="C111" s="21">
        <v>4</v>
      </c>
      <c r="D111" s="10" t="s">
        <v>284</v>
      </c>
      <c r="E111">
        <v>10311</v>
      </c>
      <c r="F111">
        <v>0.03</v>
      </c>
      <c r="G111">
        <v>0.03</v>
      </c>
      <c r="H111">
        <v>1</v>
      </c>
      <c r="I111" t="str">
        <f t="shared" si="3"/>
        <v>0.03|0.03</v>
      </c>
      <c r="J111" s="16">
        <v>2</v>
      </c>
    </row>
    <row r="112" customFormat="1" spans="1:10">
      <c r="A112" s="17">
        <v>1700101</v>
      </c>
      <c r="B112" s="21">
        <v>13</v>
      </c>
      <c r="C112" s="21">
        <v>8</v>
      </c>
      <c r="D112" s="10" t="s">
        <v>284</v>
      </c>
      <c r="E112">
        <v>10311</v>
      </c>
      <c r="F112">
        <v>0.04</v>
      </c>
      <c r="G112">
        <v>0.04</v>
      </c>
      <c r="H112">
        <v>1</v>
      </c>
      <c r="I112" t="str">
        <f t="shared" si="3"/>
        <v>0.04|0.04</v>
      </c>
      <c r="J112" s="16">
        <v>2</v>
      </c>
    </row>
    <row r="113" customFormat="1" spans="1:10">
      <c r="A113" s="17">
        <v>1700101</v>
      </c>
      <c r="B113" s="21">
        <v>19</v>
      </c>
      <c r="C113" s="21">
        <v>13</v>
      </c>
      <c r="D113" s="10" t="s">
        <v>284</v>
      </c>
      <c r="E113">
        <v>10311</v>
      </c>
      <c r="F113">
        <v>0.05</v>
      </c>
      <c r="G113">
        <v>0.05</v>
      </c>
      <c r="H113">
        <v>1</v>
      </c>
      <c r="I113" t="str">
        <f t="shared" si="3"/>
        <v>0.05|0.05</v>
      </c>
      <c r="J113" s="16">
        <v>2</v>
      </c>
    </row>
    <row r="114" customFormat="1" spans="1:10">
      <c r="A114" s="17">
        <v>1700101</v>
      </c>
      <c r="B114" s="21">
        <v>25</v>
      </c>
      <c r="C114" s="21">
        <v>19</v>
      </c>
      <c r="D114" s="10" t="s">
        <v>284</v>
      </c>
      <c r="E114">
        <v>10311</v>
      </c>
      <c r="F114">
        <v>0.06</v>
      </c>
      <c r="G114">
        <v>0.06</v>
      </c>
      <c r="H114">
        <v>1</v>
      </c>
      <c r="I114" t="str">
        <f t="shared" si="3"/>
        <v>0.06|0.06</v>
      </c>
      <c r="J114" s="16">
        <v>2</v>
      </c>
    </row>
    <row r="115" customFormat="1" spans="1:10">
      <c r="A115" s="17">
        <v>1700101</v>
      </c>
      <c r="B115" s="21">
        <v>31</v>
      </c>
      <c r="C115" s="21">
        <v>25</v>
      </c>
      <c r="D115" s="10" t="s">
        <v>284</v>
      </c>
      <c r="E115">
        <v>10311</v>
      </c>
      <c r="F115">
        <v>0.07</v>
      </c>
      <c r="G115">
        <v>0.07</v>
      </c>
      <c r="H115">
        <v>1</v>
      </c>
      <c r="I115" t="str">
        <f t="shared" ref="I115:I123" si="4">_xlfn.TEXTJOIN("|",0,F115:G115)</f>
        <v>0.07|0.07</v>
      </c>
      <c r="J115" s="16">
        <v>2</v>
      </c>
    </row>
    <row r="116" customFormat="1" spans="1:10">
      <c r="A116" s="17">
        <v>1700101</v>
      </c>
      <c r="B116" s="21">
        <v>37</v>
      </c>
      <c r="C116" s="21">
        <v>31</v>
      </c>
      <c r="D116" s="10" t="s">
        <v>284</v>
      </c>
      <c r="E116">
        <v>10311</v>
      </c>
      <c r="F116">
        <v>0.08</v>
      </c>
      <c r="G116">
        <v>0.08</v>
      </c>
      <c r="H116">
        <v>1</v>
      </c>
      <c r="I116" t="str">
        <f t="shared" si="4"/>
        <v>0.08|0.08</v>
      </c>
      <c r="J116" s="16">
        <v>2</v>
      </c>
    </row>
    <row r="117" s="16" customFormat="1" spans="1:10">
      <c r="A117" s="17">
        <v>1700101</v>
      </c>
      <c r="B117" s="21">
        <v>43</v>
      </c>
      <c r="C117" s="21">
        <v>37</v>
      </c>
      <c r="D117" s="10" t="s">
        <v>284</v>
      </c>
      <c r="E117">
        <v>10311</v>
      </c>
      <c r="F117">
        <v>0.09</v>
      </c>
      <c r="G117">
        <v>0.09</v>
      </c>
      <c r="H117">
        <v>1</v>
      </c>
      <c r="I117" t="str">
        <f t="shared" si="4"/>
        <v>0.09|0.09</v>
      </c>
      <c r="J117" s="16">
        <v>2</v>
      </c>
    </row>
    <row r="118" spans="1:10">
      <c r="A118" s="17">
        <v>1700101</v>
      </c>
      <c r="B118" s="21">
        <v>49</v>
      </c>
      <c r="C118" s="21">
        <v>43</v>
      </c>
      <c r="D118" s="10" t="s">
        <v>284</v>
      </c>
      <c r="E118">
        <v>10311</v>
      </c>
      <c r="F118">
        <v>0.1</v>
      </c>
      <c r="G118">
        <v>0.1</v>
      </c>
      <c r="H118">
        <v>1</v>
      </c>
      <c r="I118" t="str">
        <f t="shared" si="4"/>
        <v>0.1|0.1</v>
      </c>
      <c r="J118" s="16">
        <v>2</v>
      </c>
    </row>
    <row r="119" spans="1:10">
      <c r="A119" s="17">
        <v>1700101</v>
      </c>
      <c r="B119" s="21">
        <v>55</v>
      </c>
      <c r="C119" s="21">
        <v>49</v>
      </c>
      <c r="D119" s="10" t="s">
        <v>284</v>
      </c>
      <c r="E119">
        <v>10311</v>
      </c>
      <c r="F119">
        <v>0.11</v>
      </c>
      <c r="G119">
        <v>0.11</v>
      </c>
      <c r="H119">
        <v>1</v>
      </c>
      <c r="I119" t="str">
        <f t="shared" si="4"/>
        <v>0.11|0.11</v>
      </c>
      <c r="J119" s="16">
        <v>2</v>
      </c>
    </row>
    <row r="120" spans="1:10">
      <c r="A120" s="17">
        <v>1700101</v>
      </c>
      <c r="B120" s="21">
        <v>61</v>
      </c>
      <c r="C120" s="21">
        <v>55</v>
      </c>
      <c r="D120" s="10" t="s">
        <v>284</v>
      </c>
      <c r="E120">
        <v>10311</v>
      </c>
      <c r="F120">
        <v>0.12</v>
      </c>
      <c r="G120">
        <v>0.12</v>
      </c>
      <c r="H120">
        <v>1</v>
      </c>
      <c r="I120" t="str">
        <f t="shared" si="4"/>
        <v>0.12|0.12</v>
      </c>
      <c r="J120" s="16">
        <v>2</v>
      </c>
    </row>
    <row r="121" spans="1:10">
      <c r="A121" s="17">
        <v>1700101</v>
      </c>
      <c r="B121" s="21">
        <v>67</v>
      </c>
      <c r="C121" s="21">
        <v>61</v>
      </c>
      <c r="D121" s="10" t="s">
        <v>284</v>
      </c>
      <c r="E121">
        <v>10311</v>
      </c>
      <c r="F121">
        <v>0.13</v>
      </c>
      <c r="G121">
        <v>0.13</v>
      </c>
      <c r="H121">
        <v>1</v>
      </c>
      <c r="I121" t="str">
        <f t="shared" si="4"/>
        <v>0.13|0.13</v>
      </c>
      <c r="J121" s="16">
        <v>2</v>
      </c>
    </row>
    <row r="122" spans="1:10">
      <c r="A122" s="17">
        <v>1700101</v>
      </c>
      <c r="B122" s="21">
        <v>75</v>
      </c>
      <c r="C122" s="21">
        <v>67</v>
      </c>
      <c r="D122" s="10" t="s">
        <v>284</v>
      </c>
      <c r="E122">
        <v>10311</v>
      </c>
      <c r="F122">
        <v>0.14</v>
      </c>
      <c r="G122">
        <v>0.14</v>
      </c>
      <c r="H122">
        <v>1</v>
      </c>
      <c r="I122" t="str">
        <f t="shared" si="4"/>
        <v>0.14|0.14</v>
      </c>
      <c r="J122" s="16">
        <v>2</v>
      </c>
    </row>
    <row r="123" spans="1:10">
      <c r="A123" s="17">
        <v>1700101</v>
      </c>
      <c r="B123" s="21">
        <v>90</v>
      </c>
      <c r="C123" s="21">
        <v>75</v>
      </c>
      <c r="D123" s="10" t="s">
        <v>284</v>
      </c>
      <c r="E123">
        <v>10311</v>
      </c>
      <c r="F123">
        <v>0.15</v>
      </c>
      <c r="G123">
        <v>0.2</v>
      </c>
      <c r="H123">
        <v>1</v>
      </c>
      <c r="I123" t="str">
        <f t="shared" si="4"/>
        <v>0.15|0.2</v>
      </c>
      <c r="J123" s="16">
        <v>2</v>
      </c>
    </row>
    <row r="124" spans="1:10">
      <c r="A124" s="17">
        <v>1800101</v>
      </c>
      <c r="B124" s="21">
        <v>1</v>
      </c>
      <c r="C124" s="21">
        <v>1</v>
      </c>
      <c r="D124" s="10" t="s">
        <v>285</v>
      </c>
      <c r="E124">
        <v>10312</v>
      </c>
      <c r="F124">
        <v>0.01</v>
      </c>
      <c r="G124">
        <v>0.01</v>
      </c>
      <c r="H124">
        <v>1</v>
      </c>
      <c r="I124" t="str">
        <f t="shared" ref="I124:I159" si="5">_xlfn.TEXTJOIN("|",0,F124:G124)</f>
        <v>0.01|0.01</v>
      </c>
      <c r="J124" s="16">
        <v>2</v>
      </c>
    </row>
    <row r="125" spans="1:10">
      <c r="A125" s="17">
        <v>1800101</v>
      </c>
      <c r="B125" s="21">
        <v>4</v>
      </c>
      <c r="C125" s="21">
        <v>1</v>
      </c>
      <c r="D125" s="10" t="s">
        <v>285</v>
      </c>
      <c r="E125">
        <v>10312</v>
      </c>
      <c r="F125">
        <v>0.02</v>
      </c>
      <c r="G125">
        <v>0.02</v>
      </c>
      <c r="H125">
        <v>1</v>
      </c>
      <c r="I125" t="str">
        <f t="shared" si="5"/>
        <v>0.02|0.02</v>
      </c>
      <c r="J125" s="16">
        <v>2</v>
      </c>
    </row>
    <row r="126" spans="1:10">
      <c r="A126" s="17">
        <v>1800101</v>
      </c>
      <c r="B126" s="21">
        <v>8</v>
      </c>
      <c r="C126" s="21">
        <v>4</v>
      </c>
      <c r="D126" s="10" t="s">
        <v>285</v>
      </c>
      <c r="E126">
        <v>10312</v>
      </c>
      <c r="F126">
        <v>0.03</v>
      </c>
      <c r="G126">
        <v>0.03</v>
      </c>
      <c r="H126">
        <v>1</v>
      </c>
      <c r="I126" t="str">
        <f t="shared" si="5"/>
        <v>0.03|0.03</v>
      </c>
      <c r="J126" s="16">
        <v>2</v>
      </c>
    </row>
    <row r="127" spans="1:10">
      <c r="A127" s="17">
        <v>1800101</v>
      </c>
      <c r="B127" s="21">
        <v>13</v>
      </c>
      <c r="C127" s="21">
        <v>8</v>
      </c>
      <c r="D127" s="10" t="s">
        <v>285</v>
      </c>
      <c r="E127">
        <v>10312</v>
      </c>
      <c r="F127">
        <v>0.04</v>
      </c>
      <c r="G127">
        <v>0.04</v>
      </c>
      <c r="H127">
        <v>1</v>
      </c>
      <c r="I127" t="str">
        <f t="shared" si="5"/>
        <v>0.04|0.04</v>
      </c>
      <c r="J127" s="16">
        <v>2</v>
      </c>
    </row>
    <row r="128" spans="1:10">
      <c r="A128" s="17">
        <v>1800101</v>
      </c>
      <c r="B128" s="21">
        <v>19</v>
      </c>
      <c r="C128" s="21">
        <v>13</v>
      </c>
      <c r="D128" s="10" t="s">
        <v>285</v>
      </c>
      <c r="E128">
        <v>10312</v>
      </c>
      <c r="F128">
        <v>0.05</v>
      </c>
      <c r="G128">
        <v>0.05</v>
      </c>
      <c r="H128">
        <v>1</v>
      </c>
      <c r="I128" t="str">
        <f t="shared" si="5"/>
        <v>0.05|0.05</v>
      </c>
      <c r="J128" s="16">
        <v>2</v>
      </c>
    </row>
    <row r="129" spans="1:10">
      <c r="A129" s="17">
        <v>1800101</v>
      </c>
      <c r="B129" s="21">
        <v>25</v>
      </c>
      <c r="C129" s="21">
        <v>19</v>
      </c>
      <c r="D129" s="10" t="s">
        <v>285</v>
      </c>
      <c r="E129">
        <v>10312</v>
      </c>
      <c r="F129">
        <v>0.06</v>
      </c>
      <c r="G129">
        <v>0.06</v>
      </c>
      <c r="H129">
        <v>1</v>
      </c>
      <c r="I129" t="str">
        <f t="shared" si="5"/>
        <v>0.06|0.06</v>
      </c>
      <c r="J129" s="16">
        <v>2</v>
      </c>
    </row>
    <row r="130" spans="1:10">
      <c r="A130" s="17">
        <v>1800101</v>
      </c>
      <c r="B130" s="21">
        <v>31</v>
      </c>
      <c r="C130" s="21">
        <v>25</v>
      </c>
      <c r="D130" s="10" t="s">
        <v>285</v>
      </c>
      <c r="E130">
        <v>10312</v>
      </c>
      <c r="F130">
        <v>0.07</v>
      </c>
      <c r="G130">
        <v>0.07</v>
      </c>
      <c r="H130">
        <v>1</v>
      </c>
      <c r="I130" t="str">
        <f t="shared" si="5"/>
        <v>0.07|0.07</v>
      </c>
      <c r="J130" s="16">
        <v>2</v>
      </c>
    </row>
    <row r="131" spans="1:10">
      <c r="A131" s="17">
        <v>1800101</v>
      </c>
      <c r="B131" s="21">
        <v>37</v>
      </c>
      <c r="C131" s="21">
        <v>31</v>
      </c>
      <c r="D131" s="10" t="s">
        <v>285</v>
      </c>
      <c r="E131">
        <v>10312</v>
      </c>
      <c r="F131">
        <v>0.08</v>
      </c>
      <c r="G131">
        <v>0.08</v>
      </c>
      <c r="H131">
        <v>1</v>
      </c>
      <c r="I131" t="str">
        <f t="shared" si="5"/>
        <v>0.08|0.08</v>
      </c>
      <c r="J131" s="16">
        <v>2</v>
      </c>
    </row>
    <row r="132" spans="1:10">
      <c r="A132" s="17">
        <v>1800101</v>
      </c>
      <c r="B132" s="21">
        <v>43</v>
      </c>
      <c r="C132" s="21">
        <v>37</v>
      </c>
      <c r="D132" s="10" t="s">
        <v>285</v>
      </c>
      <c r="E132">
        <v>10312</v>
      </c>
      <c r="F132">
        <v>0.09</v>
      </c>
      <c r="G132">
        <v>0.09</v>
      </c>
      <c r="H132">
        <v>1</v>
      </c>
      <c r="I132" t="str">
        <f t="shared" si="5"/>
        <v>0.09|0.09</v>
      </c>
      <c r="J132" s="16">
        <v>2</v>
      </c>
    </row>
    <row r="133" spans="1:10">
      <c r="A133" s="17">
        <v>1800101</v>
      </c>
      <c r="B133" s="21">
        <v>49</v>
      </c>
      <c r="C133" s="21">
        <v>43</v>
      </c>
      <c r="D133" s="10" t="s">
        <v>285</v>
      </c>
      <c r="E133">
        <v>10312</v>
      </c>
      <c r="F133">
        <v>0.1</v>
      </c>
      <c r="G133">
        <v>0.1</v>
      </c>
      <c r="H133">
        <v>1</v>
      </c>
      <c r="I133" t="str">
        <f t="shared" si="5"/>
        <v>0.1|0.1</v>
      </c>
      <c r="J133" s="16">
        <v>2</v>
      </c>
    </row>
    <row r="134" spans="1:10">
      <c r="A134" s="17">
        <v>1800101</v>
      </c>
      <c r="B134" s="21">
        <v>55</v>
      </c>
      <c r="C134" s="21">
        <v>49</v>
      </c>
      <c r="D134" s="10" t="s">
        <v>285</v>
      </c>
      <c r="E134">
        <v>10312</v>
      </c>
      <c r="F134">
        <v>0.11</v>
      </c>
      <c r="G134">
        <v>0.11</v>
      </c>
      <c r="H134">
        <v>1</v>
      </c>
      <c r="I134" t="str">
        <f t="shared" si="5"/>
        <v>0.11|0.11</v>
      </c>
      <c r="J134" s="16">
        <v>2</v>
      </c>
    </row>
    <row r="135" spans="1:10">
      <c r="A135" s="17">
        <v>1800101</v>
      </c>
      <c r="B135" s="21">
        <v>61</v>
      </c>
      <c r="C135" s="21">
        <v>55</v>
      </c>
      <c r="D135" s="10" t="s">
        <v>285</v>
      </c>
      <c r="E135">
        <v>10312</v>
      </c>
      <c r="F135">
        <v>0.12</v>
      </c>
      <c r="G135">
        <v>0.12</v>
      </c>
      <c r="H135">
        <v>1</v>
      </c>
      <c r="I135" t="str">
        <f t="shared" si="5"/>
        <v>0.12|0.12</v>
      </c>
      <c r="J135" s="16">
        <v>2</v>
      </c>
    </row>
    <row r="136" spans="1:10">
      <c r="A136" s="17">
        <v>1800101</v>
      </c>
      <c r="B136" s="21">
        <v>67</v>
      </c>
      <c r="C136" s="21">
        <v>61</v>
      </c>
      <c r="D136" s="10" t="s">
        <v>285</v>
      </c>
      <c r="E136">
        <v>10312</v>
      </c>
      <c r="F136">
        <v>0.13</v>
      </c>
      <c r="G136">
        <v>0.13</v>
      </c>
      <c r="H136">
        <v>1</v>
      </c>
      <c r="I136" t="str">
        <f t="shared" si="5"/>
        <v>0.13|0.13</v>
      </c>
      <c r="J136" s="16">
        <v>2</v>
      </c>
    </row>
    <row r="137" spans="1:10">
      <c r="A137" s="17">
        <v>1800101</v>
      </c>
      <c r="B137" s="21">
        <v>75</v>
      </c>
      <c r="C137" s="21">
        <v>67</v>
      </c>
      <c r="D137" s="10" t="s">
        <v>285</v>
      </c>
      <c r="E137">
        <v>10312</v>
      </c>
      <c r="F137">
        <v>0.14</v>
      </c>
      <c r="G137">
        <v>0.14</v>
      </c>
      <c r="H137">
        <v>1</v>
      </c>
      <c r="I137" t="str">
        <f t="shared" si="5"/>
        <v>0.14|0.14</v>
      </c>
      <c r="J137" s="16">
        <v>2</v>
      </c>
    </row>
    <row r="138" spans="1:10">
      <c r="A138" s="17">
        <v>1800101</v>
      </c>
      <c r="B138" s="21">
        <v>90</v>
      </c>
      <c r="C138" s="21">
        <v>75</v>
      </c>
      <c r="D138" s="10" t="s">
        <v>285</v>
      </c>
      <c r="E138">
        <v>10312</v>
      </c>
      <c r="F138">
        <v>0.15</v>
      </c>
      <c r="G138">
        <v>0.2</v>
      </c>
      <c r="H138">
        <v>1</v>
      </c>
      <c r="I138" t="str">
        <f t="shared" si="5"/>
        <v>0.15|0.2</v>
      </c>
      <c r="J138" s="16">
        <v>2</v>
      </c>
    </row>
    <row r="139" spans="1:10">
      <c r="A139" s="17">
        <v>1900101</v>
      </c>
      <c r="B139" s="21">
        <v>1</v>
      </c>
      <c r="C139" s="21">
        <v>1</v>
      </c>
      <c r="D139" s="10" t="s">
        <v>286</v>
      </c>
      <c r="E139">
        <v>10000</v>
      </c>
      <c r="F139">
        <v>3</v>
      </c>
      <c r="G139">
        <v>3</v>
      </c>
      <c r="H139">
        <v>1</v>
      </c>
      <c r="I139" t="str">
        <f t="shared" si="5"/>
        <v>3|3</v>
      </c>
      <c r="J139" s="16">
        <v>0</v>
      </c>
    </row>
    <row r="140" spans="1:10">
      <c r="A140" s="17">
        <v>1900101</v>
      </c>
      <c r="B140" s="21">
        <v>4</v>
      </c>
      <c r="C140" s="21">
        <v>1</v>
      </c>
      <c r="D140" s="10" t="s">
        <v>286</v>
      </c>
      <c r="E140">
        <v>10000</v>
      </c>
      <c r="F140">
        <v>5</v>
      </c>
      <c r="G140">
        <v>5</v>
      </c>
      <c r="H140">
        <v>1</v>
      </c>
      <c r="I140" t="str">
        <f t="shared" si="5"/>
        <v>5|5</v>
      </c>
      <c r="J140" s="16">
        <v>0</v>
      </c>
    </row>
    <row r="141" spans="1:10">
      <c r="A141" s="17">
        <v>1900101</v>
      </c>
      <c r="B141" s="21">
        <v>8</v>
      </c>
      <c r="C141" s="21">
        <v>4</v>
      </c>
      <c r="D141" s="10" t="s">
        <v>286</v>
      </c>
      <c r="E141">
        <v>10000</v>
      </c>
      <c r="F141">
        <v>7</v>
      </c>
      <c r="G141">
        <v>7</v>
      </c>
      <c r="H141">
        <v>1</v>
      </c>
      <c r="I141" t="str">
        <f t="shared" si="5"/>
        <v>7|7</v>
      </c>
      <c r="J141" s="16">
        <v>0</v>
      </c>
    </row>
    <row r="142" spans="1:10">
      <c r="A142" s="17">
        <v>1900101</v>
      </c>
      <c r="B142" s="21">
        <v>13</v>
      </c>
      <c r="C142" s="21">
        <v>8</v>
      </c>
      <c r="D142" s="10" t="s">
        <v>286</v>
      </c>
      <c r="E142">
        <v>10000</v>
      </c>
      <c r="F142">
        <v>9</v>
      </c>
      <c r="G142">
        <v>9</v>
      </c>
      <c r="H142">
        <v>1</v>
      </c>
      <c r="I142" t="str">
        <f t="shared" si="5"/>
        <v>9|9</v>
      </c>
      <c r="J142" s="16">
        <v>0</v>
      </c>
    </row>
    <row r="143" spans="1:10">
      <c r="A143" s="17">
        <v>1900101</v>
      </c>
      <c r="B143" s="21">
        <v>19</v>
      </c>
      <c r="C143" s="21">
        <v>13</v>
      </c>
      <c r="D143" s="10" t="s">
        <v>286</v>
      </c>
      <c r="E143">
        <v>10000</v>
      </c>
      <c r="F143">
        <v>12</v>
      </c>
      <c r="G143">
        <v>12</v>
      </c>
      <c r="H143">
        <v>1</v>
      </c>
      <c r="I143" t="str">
        <f t="shared" si="5"/>
        <v>12|12</v>
      </c>
      <c r="J143" s="16">
        <v>0</v>
      </c>
    </row>
    <row r="144" spans="1:10">
      <c r="A144" s="17">
        <v>1900101</v>
      </c>
      <c r="B144" s="21">
        <v>25</v>
      </c>
      <c r="C144" s="21">
        <v>19</v>
      </c>
      <c r="D144" s="10" t="s">
        <v>286</v>
      </c>
      <c r="E144">
        <v>10000</v>
      </c>
      <c r="F144">
        <v>18</v>
      </c>
      <c r="G144">
        <v>18</v>
      </c>
      <c r="H144">
        <v>1</v>
      </c>
      <c r="I144" t="str">
        <f t="shared" si="5"/>
        <v>18|18</v>
      </c>
      <c r="J144" s="16">
        <v>0</v>
      </c>
    </row>
    <row r="145" spans="1:10">
      <c r="A145" s="17">
        <v>1900101</v>
      </c>
      <c r="B145" s="21">
        <v>31</v>
      </c>
      <c r="C145" s="21">
        <v>25</v>
      </c>
      <c r="D145" s="10" t="s">
        <v>286</v>
      </c>
      <c r="E145">
        <v>10000</v>
      </c>
      <c r="F145">
        <v>24</v>
      </c>
      <c r="G145">
        <v>24</v>
      </c>
      <c r="H145">
        <v>1</v>
      </c>
      <c r="I145" t="str">
        <f t="shared" ref="I145:I208" si="6">_xlfn.TEXTJOIN("|",0,F145:G145)</f>
        <v>24|24</v>
      </c>
      <c r="J145" s="16">
        <v>0</v>
      </c>
    </row>
    <row r="146" spans="1:10">
      <c r="A146" s="17">
        <v>1900101</v>
      </c>
      <c r="B146" s="21">
        <v>37</v>
      </c>
      <c r="C146" s="21">
        <v>31</v>
      </c>
      <c r="D146" s="10" t="s">
        <v>286</v>
      </c>
      <c r="E146">
        <v>10000</v>
      </c>
      <c r="F146">
        <v>36</v>
      </c>
      <c r="G146">
        <v>36</v>
      </c>
      <c r="H146">
        <v>1</v>
      </c>
      <c r="I146" t="str">
        <f t="shared" si="6"/>
        <v>36|36</v>
      </c>
      <c r="J146" s="16">
        <v>0</v>
      </c>
    </row>
    <row r="147" spans="1:10">
      <c r="A147" s="17">
        <v>1900101</v>
      </c>
      <c r="B147" s="21">
        <v>43</v>
      </c>
      <c r="C147" s="21">
        <v>37</v>
      </c>
      <c r="D147" s="10" t="s">
        <v>286</v>
      </c>
      <c r="E147">
        <v>10000</v>
      </c>
      <c r="F147">
        <v>48</v>
      </c>
      <c r="G147">
        <v>48</v>
      </c>
      <c r="H147">
        <v>1</v>
      </c>
      <c r="I147" t="str">
        <f t="shared" si="6"/>
        <v>48|48</v>
      </c>
      <c r="J147" s="16">
        <v>0</v>
      </c>
    </row>
    <row r="148" spans="1:10">
      <c r="A148" s="17">
        <v>1900101</v>
      </c>
      <c r="B148" s="21">
        <v>49</v>
      </c>
      <c r="C148" s="21">
        <v>43</v>
      </c>
      <c r="D148" s="10" t="s">
        <v>286</v>
      </c>
      <c r="E148">
        <v>10000</v>
      </c>
      <c r="F148">
        <v>96</v>
      </c>
      <c r="G148">
        <v>96</v>
      </c>
      <c r="H148">
        <v>1</v>
      </c>
      <c r="I148" t="str">
        <f t="shared" si="6"/>
        <v>96|96</v>
      </c>
      <c r="J148" s="16">
        <v>0</v>
      </c>
    </row>
    <row r="149" spans="1:10">
      <c r="A149" s="17">
        <v>1900101</v>
      </c>
      <c r="B149" s="21">
        <v>55</v>
      </c>
      <c r="C149" s="21">
        <v>49</v>
      </c>
      <c r="D149" s="10" t="s">
        <v>286</v>
      </c>
      <c r="E149">
        <v>10000</v>
      </c>
      <c r="F149">
        <v>192</v>
      </c>
      <c r="G149">
        <v>192</v>
      </c>
      <c r="H149">
        <v>1</v>
      </c>
      <c r="I149" t="str">
        <f t="shared" si="6"/>
        <v>192|192</v>
      </c>
      <c r="J149" s="16">
        <v>0</v>
      </c>
    </row>
    <row r="150" spans="1:10">
      <c r="A150" s="17">
        <v>1900101</v>
      </c>
      <c r="B150" s="21">
        <v>61</v>
      </c>
      <c r="C150" s="21">
        <v>55</v>
      </c>
      <c r="D150" s="10" t="s">
        <v>286</v>
      </c>
      <c r="E150">
        <v>10000</v>
      </c>
      <c r="F150">
        <v>384</v>
      </c>
      <c r="G150">
        <v>384</v>
      </c>
      <c r="H150">
        <v>1</v>
      </c>
      <c r="I150" t="str">
        <f t="shared" si="6"/>
        <v>384|384</v>
      </c>
      <c r="J150" s="16">
        <v>0</v>
      </c>
    </row>
    <row r="151" spans="1:10">
      <c r="A151" s="17">
        <v>1900101</v>
      </c>
      <c r="B151" s="21">
        <v>67</v>
      </c>
      <c r="C151" s="21">
        <v>61</v>
      </c>
      <c r="D151" s="10" t="s">
        <v>286</v>
      </c>
      <c r="E151">
        <v>10000</v>
      </c>
      <c r="F151">
        <v>768</v>
      </c>
      <c r="G151">
        <v>768</v>
      </c>
      <c r="H151">
        <v>1</v>
      </c>
      <c r="I151" t="str">
        <f t="shared" si="6"/>
        <v>768|768</v>
      </c>
      <c r="J151" s="16">
        <v>0</v>
      </c>
    </row>
    <row r="152" spans="1:10">
      <c r="A152" s="17">
        <v>1900101</v>
      </c>
      <c r="B152" s="21">
        <v>75</v>
      </c>
      <c r="C152" s="21">
        <v>67</v>
      </c>
      <c r="D152" s="10" t="s">
        <v>286</v>
      </c>
      <c r="E152">
        <v>10000</v>
      </c>
      <c r="F152">
        <v>1536</v>
      </c>
      <c r="G152">
        <v>1536</v>
      </c>
      <c r="H152">
        <v>1</v>
      </c>
      <c r="I152" t="str">
        <f t="shared" si="6"/>
        <v>1536|1536</v>
      </c>
      <c r="J152" s="16">
        <v>0</v>
      </c>
    </row>
    <row r="153" spans="1:10">
      <c r="A153" s="17">
        <v>1900101</v>
      </c>
      <c r="B153" s="21">
        <v>90</v>
      </c>
      <c r="C153" s="21">
        <v>75</v>
      </c>
      <c r="D153" s="10" t="s">
        <v>286</v>
      </c>
      <c r="E153">
        <v>10000</v>
      </c>
      <c r="F153">
        <v>1700</v>
      </c>
      <c r="G153">
        <v>2000</v>
      </c>
      <c r="H153">
        <v>1</v>
      </c>
      <c r="I153" t="str">
        <f t="shared" si="6"/>
        <v>1700|2000</v>
      </c>
      <c r="J153" s="16">
        <v>0</v>
      </c>
    </row>
    <row r="154" spans="1:10">
      <c r="A154" s="17">
        <v>2000101</v>
      </c>
      <c r="B154" s="21">
        <v>1</v>
      </c>
      <c r="C154" s="21">
        <v>1</v>
      </c>
      <c r="D154" s="10" t="s">
        <v>287</v>
      </c>
      <c r="E154">
        <v>10000</v>
      </c>
      <c r="F154">
        <v>3</v>
      </c>
      <c r="G154">
        <v>3</v>
      </c>
      <c r="H154">
        <v>1</v>
      </c>
      <c r="I154" t="str">
        <f t="shared" si="6"/>
        <v>3|3</v>
      </c>
      <c r="J154" s="16">
        <v>0</v>
      </c>
    </row>
    <row r="155" spans="1:10">
      <c r="A155" s="17">
        <v>2000101</v>
      </c>
      <c r="B155" s="21">
        <v>4</v>
      </c>
      <c r="C155" s="21">
        <v>1</v>
      </c>
      <c r="D155" s="10" t="s">
        <v>287</v>
      </c>
      <c r="E155">
        <v>10000</v>
      </c>
      <c r="F155">
        <v>5</v>
      </c>
      <c r="G155">
        <v>5</v>
      </c>
      <c r="H155">
        <v>1</v>
      </c>
      <c r="I155" t="str">
        <f t="shared" si="6"/>
        <v>5|5</v>
      </c>
      <c r="J155" s="16">
        <v>0</v>
      </c>
    </row>
    <row r="156" spans="1:10">
      <c r="A156" s="17">
        <v>2000101</v>
      </c>
      <c r="B156" s="21">
        <v>8</v>
      </c>
      <c r="C156" s="21">
        <v>4</v>
      </c>
      <c r="D156" s="10" t="s">
        <v>287</v>
      </c>
      <c r="E156">
        <v>10000</v>
      </c>
      <c r="F156">
        <v>7</v>
      </c>
      <c r="G156">
        <v>7</v>
      </c>
      <c r="H156">
        <v>1</v>
      </c>
      <c r="I156" t="str">
        <f t="shared" si="6"/>
        <v>7|7</v>
      </c>
      <c r="J156" s="16">
        <v>0</v>
      </c>
    </row>
    <row r="157" spans="1:10">
      <c r="A157" s="17">
        <v>2000101</v>
      </c>
      <c r="B157" s="21">
        <v>13</v>
      </c>
      <c r="C157" s="21">
        <v>8</v>
      </c>
      <c r="D157" s="10" t="s">
        <v>287</v>
      </c>
      <c r="E157">
        <v>10000</v>
      </c>
      <c r="F157">
        <v>9</v>
      </c>
      <c r="G157">
        <v>9</v>
      </c>
      <c r="H157">
        <v>1</v>
      </c>
      <c r="I157" t="str">
        <f t="shared" si="6"/>
        <v>9|9</v>
      </c>
      <c r="J157" s="16">
        <v>0</v>
      </c>
    </row>
    <row r="158" spans="1:10">
      <c r="A158" s="17">
        <v>2000101</v>
      </c>
      <c r="B158" s="21">
        <v>19</v>
      </c>
      <c r="C158" s="21">
        <v>13</v>
      </c>
      <c r="D158" s="10" t="s">
        <v>287</v>
      </c>
      <c r="E158">
        <v>10000</v>
      </c>
      <c r="F158">
        <v>12</v>
      </c>
      <c r="G158">
        <v>12</v>
      </c>
      <c r="H158">
        <v>1</v>
      </c>
      <c r="I158" t="str">
        <f t="shared" si="6"/>
        <v>12|12</v>
      </c>
      <c r="J158" s="16">
        <v>0</v>
      </c>
    </row>
    <row r="159" spans="1:10">
      <c r="A159" s="17">
        <v>2000101</v>
      </c>
      <c r="B159" s="21">
        <v>25</v>
      </c>
      <c r="C159" s="21">
        <v>19</v>
      </c>
      <c r="D159" s="10" t="s">
        <v>287</v>
      </c>
      <c r="E159">
        <v>10000</v>
      </c>
      <c r="F159">
        <v>18</v>
      </c>
      <c r="G159">
        <v>18</v>
      </c>
      <c r="H159">
        <v>1</v>
      </c>
      <c r="I159" t="str">
        <f t="shared" si="6"/>
        <v>18|18</v>
      </c>
      <c r="J159" s="16">
        <v>0</v>
      </c>
    </row>
    <row r="160" spans="1:10">
      <c r="A160" s="17">
        <v>2000101</v>
      </c>
      <c r="B160" s="21">
        <v>31</v>
      </c>
      <c r="C160" s="21">
        <v>25</v>
      </c>
      <c r="D160" s="10" t="s">
        <v>287</v>
      </c>
      <c r="E160">
        <v>10000</v>
      </c>
      <c r="F160">
        <v>24</v>
      </c>
      <c r="G160">
        <v>24</v>
      </c>
      <c r="H160">
        <v>1</v>
      </c>
      <c r="I160" t="str">
        <f t="shared" si="6"/>
        <v>24|24</v>
      </c>
      <c r="J160" s="16">
        <v>0</v>
      </c>
    </row>
    <row r="161" spans="1:10">
      <c r="A161" s="17">
        <v>2000101</v>
      </c>
      <c r="B161" s="21">
        <v>37</v>
      </c>
      <c r="C161" s="21">
        <v>31</v>
      </c>
      <c r="D161" s="10" t="s">
        <v>287</v>
      </c>
      <c r="E161">
        <v>10000</v>
      </c>
      <c r="F161">
        <v>36</v>
      </c>
      <c r="G161">
        <v>36</v>
      </c>
      <c r="H161">
        <v>1</v>
      </c>
      <c r="I161" t="str">
        <f t="shared" si="6"/>
        <v>36|36</v>
      </c>
      <c r="J161" s="16">
        <v>0</v>
      </c>
    </row>
    <row r="162" spans="1:10">
      <c r="A162" s="17">
        <v>2000101</v>
      </c>
      <c r="B162" s="21">
        <v>43</v>
      </c>
      <c r="C162" s="21">
        <v>37</v>
      </c>
      <c r="D162" s="10" t="s">
        <v>287</v>
      </c>
      <c r="E162">
        <v>10000</v>
      </c>
      <c r="F162">
        <v>48</v>
      </c>
      <c r="G162">
        <v>48</v>
      </c>
      <c r="H162">
        <v>1</v>
      </c>
      <c r="I162" t="str">
        <f t="shared" si="6"/>
        <v>48|48</v>
      </c>
      <c r="J162" s="16">
        <v>0</v>
      </c>
    </row>
    <row r="163" spans="1:10">
      <c r="A163" s="17">
        <v>2000101</v>
      </c>
      <c r="B163" s="21">
        <v>49</v>
      </c>
      <c r="C163" s="21">
        <v>43</v>
      </c>
      <c r="D163" s="10" t="s">
        <v>287</v>
      </c>
      <c r="E163">
        <v>10000</v>
      </c>
      <c r="F163">
        <v>96</v>
      </c>
      <c r="G163">
        <v>96</v>
      </c>
      <c r="H163">
        <v>1</v>
      </c>
      <c r="I163" t="str">
        <f t="shared" si="6"/>
        <v>96|96</v>
      </c>
      <c r="J163" s="16">
        <v>0</v>
      </c>
    </row>
    <row r="164" spans="1:10">
      <c r="A164" s="17">
        <v>2000101</v>
      </c>
      <c r="B164" s="21">
        <v>55</v>
      </c>
      <c r="C164" s="21">
        <v>49</v>
      </c>
      <c r="D164" s="10" t="s">
        <v>287</v>
      </c>
      <c r="E164">
        <v>10000</v>
      </c>
      <c r="F164">
        <v>192</v>
      </c>
      <c r="G164">
        <v>192</v>
      </c>
      <c r="H164">
        <v>1</v>
      </c>
      <c r="I164" t="str">
        <f t="shared" si="6"/>
        <v>192|192</v>
      </c>
      <c r="J164" s="16">
        <v>0</v>
      </c>
    </row>
    <row r="165" spans="1:10">
      <c r="A165" s="17">
        <v>2000101</v>
      </c>
      <c r="B165" s="21">
        <v>61</v>
      </c>
      <c r="C165" s="21">
        <v>55</v>
      </c>
      <c r="D165" s="10" t="s">
        <v>287</v>
      </c>
      <c r="E165">
        <v>10000</v>
      </c>
      <c r="F165">
        <v>384</v>
      </c>
      <c r="G165">
        <v>384</v>
      </c>
      <c r="H165">
        <v>1</v>
      </c>
      <c r="I165" t="str">
        <f t="shared" si="6"/>
        <v>384|384</v>
      </c>
      <c r="J165" s="16">
        <v>0</v>
      </c>
    </row>
    <row r="166" spans="1:10">
      <c r="A166" s="17">
        <v>2000101</v>
      </c>
      <c r="B166" s="21">
        <v>67</v>
      </c>
      <c r="C166" s="21">
        <v>61</v>
      </c>
      <c r="D166" s="10" t="s">
        <v>287</v>
      </c>
      <c r="E166">
        <v>10000</v>
      </c>
      <c r="F166">
        <v>768</v>
      </c>
      <c r="G166">
        <v>768</v>
      </c>
      <c r="H166">
        <v>1</v>
      </c>
      <c r="I166" t="str">
        <f t="shared" si="6"/>
        <v>768|768</v>
      </c>
      <c r="J166" s="16">
        <v>0</v>
      </c>
    </row>
    <row r="167" spans="1:10">
      <c r="A167" s="17">
        <v>2000101</v>
      </c>
      <c r="B167" s="21">
        <v>75</v>
      </c>
      <c r="C167" s="21">
        <v>67</v>
      </c>
      <c r="D167" s="10" t="s">
        <v>287</v>
      </c>
      <c r="E167">
        <v>10000</v>
      </c>
      <c r="F167">
        <v>1536</v>
      </c>
      <c r="G167">
        <v>1536</v>
      </c>
      <c r="H167">
        <v>1</v>
      </c>
      <c r="I167" t="str">
        <f t="shared" si="6"/>
        <v>1536|1536</v>
      </c>
      <c r="J167" s="16">
        <v>0</v>
      </c>
    </row>
    <row r="168" spans="1:10">
      <c r="A168" s="17">
        <v>2000101</v>
      </c>
      <c r="B168" s="21">
        <v>90</v>
      </c>
      <c r="C168" s="21">
        <v>75</v>
      </c>
      <c r="D168" s="10" t="s">
        <v>287</v>
      </c>
      <c r="E168">
        <v>10000</v>
      </c>
      <c r="F168">
        <v>1700</v>
      </c>
      <c r="G168">
        <v>2000</v>
      </c>
      <c r="H168">
        <v>1</v>
      </c>
      <c r="I168" t="str">
        <f t="shared" si="6"/>
        <v>1700|2000</v>
      </c>
      <c r="J168" s="16">
        <v>0</v>
      </c>
    </row>
    <row r="169" spans="1:10">
      <c r="A169" s="17">
        <v>2100101</v>
      </c>
      <c r="B169" s="21">
        <v>1</v>
      </c>
      <c r="C169" s="21">
        <v>1</v>
      </c>
      <c r="D169" s="10" t="s">
        <v>288</v>
      </c>
      <c r="E169">
        <v>10314</v>
      </c>
      <c r="F169">
        <v>0.01</v>
      </c>
      <c r="G169">
        <v>0.01</v>
      </c>
      <c r="H169">
        <v>1</v>
      </c>
      <c r="I169" t="str">
        <f t="shared" si="6"/>
        <v>0.01|0.01</v>
      </c>
      <c r="J169" s="16">
        <v>2</v>
      </c>
    </row>
    <row r="170" spans="1:10">
      <c r="A170" s="17">
        <v>2100101</v>
      </c>
      <c r="B170" s="21">
        <v>4</v>
      </c>
      <c r="C170" s="21">
        <v>1</v>
      </c>
      <c r="D170" s="10" t="s">
        <v>288</v>
      </c>
      <c r="E170">
        <v>10314</v>
      </c>
      <c r="F170">
        <v>0.02</v>
      </c>
      <c r="G170">
        <v>0.02</v>
      </c>
      <c r="H170">
        <v>1</v>
      </c>
      <c r="I170" t="str">
        <f t="shared" si="6"/>
        <v>0.02|0.02</v>
      </c>
      <c r="J170" s="16">
        <v>2</v>
      </c>
    </row>
    <row r="171" spans="1:10">
      <c r="A171" s="17">
        <v>2100101</v>
      </c>
      <c r="B171" s="21">
        <v>8</v>
      </c>
      <c r="C171" s="21">
        <v>4</v>
      </c>
      <c r="D171" s="10" t="s">
        <v>288</v>
      </c>
      <c r="E171">
        <v>10314</v>
      </c>
      <c r="F171">
        <v>0.03</v>
      </c>
      <c r="G171">
        <v>0.03</v>
      </c>
      <c r="H171">
        <v>1</v>
      </c>
      <c r="I171" t="str">
        <f t="shared" si="6"/>
        <v>0.03|0.03</v>
      </c>
      <c r="J171" s="16">
        <v>2</v>
      </c>
    </row>
    <row r="172" spans="1:10">
      <c r="A172" s="17">
        <v>2100101</v>
      </c>
      <c r="B172" s="21">
        <v>13</v>
      </c>
      <c r="C172" s="21">
        <v>8</v>
      </c>
      <c r="D172" s="10" t="s">
        <v>288</v>
      </c>
      <c r="E172">
        <v>10314</v>
      </c>
      <c r="F172">
        <v>0.04</v>
      </c>
      <c r="G172">
        <v>0.04</v>
      </c>
      <c r="H172">
        <v>1</v>
      </c>
      <c r="I172" t="str">
        <f t="shared" si="6"/>
        <v>0.04|0.04</v>
      </c>
      <c r="J172" s="16">
        <v>2</v>
      </c>
    </row>
    <row r="173" spans="1:10">
      <c r="A173" s="17">
        <v>2100101</v>
      </c>
      <c r="B173" s="21">
        <v>19</v>
      </c>
      <c r="C173" s="21">
        <v>13</v>
      </c>
      <c r="D173" s="10" t="s">
        <v>288</v>
      </c>
      <c r="E173">
        <v>10314</v>
      </c>
      <c r="F173">
        <v>0.05</v>
      </c>
      <c r="G173">
        <v>0.05</v>
      </c>
      <c r="H173">
        <v>1</v>
      </c>
      <c r="I173" t="str">
        <f t="shared" si="6"/>
        <v>0.05|0.05</v>
      </c>
      <c r="J173" s="16">
        <v>2</v>
      </c>
    </row>
    <row r="174" spans="1:10">
      <c r="A174" s="17">
        <v>2100101</v>
      </c>
      <c r="B174" s="21">
        <v>25</v>
      </c>
      <c r="C174" s="21">
        <v>19</v>
      </c>
      <c r="D174" s="10" t="s">
        <v>288</v>
      </c>
      <c r="E174">
        <v>10314</v>
      </c>
      <c r="F174">
        <v>0.06</v>
      </c>
      <c r="G174">
        <v>0.06</v>
      </c>
      <c r="H174">
        <v>1</v>
      </c>
      <c r="I174" t="str">
        <f t="shared" si="6"/>
        <v>0.06|0.06</v>
      </c>
      <c r="J174" s="16">
        <v>2</v>
      </c>
    </row>
    <row r="175" spans="1:10">
      <c r="A175" s="17">
        <v>2100101</v>
      </c>
      <c r="B175" s="21">
        <v>31</v>
      </c>
      <c r="C175" s="21">
        <v>25</v>
      </c>
      <c r="D175" s="10" t="s">
        <v>288</v>
      </c>
      <c r="E175">
        <v>10314</v>
      </c>
      <c r="F175">
        <v>0.07</v>
      </c>
      <c r="G175">
        <v>0.07</v>
      </c>
      <c r="H175">
        <v>1</v>
      </c>
      <c r="I175" t="str">
        <f t="shared" si="6"/>
        <v>0.07|0.07</v>
      </c>
      <c r="J175" s="16">
        <v>2</v>
      </c>
    </row>
    <row r="176" spans="1:10">
      <c r="A176" s="17">
        <v>2100101</v>
      </c>
      <c r="B176" s="21">
        <v>37</v>
      </c>
      <c r="C176" s="21">
        <v>31</v>
      </c>
      <c r="D176" s="10" t="s">
        <v>288</v>
      </c>
      <c r="E176">
        <v>10314</v>
      </c>
      <c r="F176">
        <v>0.08</v>
      </c>
      <c r="G176">
        <v>0.08</v>
      </c>
      <c r="H176">
        <v>1</v>
      </c>
      <c r="I176" t="str">
        <f t="shared" si="6"/>
        <v>0.08|0.08</v>
      </c>
      <c r="J176" s="16">
        <v>2</v>
      </c>
    </row>
    <row r="177" spans="1:10">
      <c r="A177" s="17">
        <v>2100101</v>
      </c>
      <c r="B177" s="21">
        <v>43</v>
      </c>
      <c r="C177" s="21">
        <v>37</v>
      </c>
      <c r="D177" s="10" t="s">
        <v>288</v>
      </c>
      <c r="E177">
        <v>10314</v>
      </c>
      <c r="F177">
        <v>0.09</v>
      </c>
      <c r="G177">
        <v>0.09</v>
      </c>
      <c r="H177">
        <v>1</v>
      </c>
      <c r="I177" t="str">
        <f t="shared" si="6"/>
        <v>0.09|0.09</v>
      </c>
      <c r="J177" s="16">
        <v>2</v>
      </c>
    </row>
    <row r="178" spans="1:10">
      <c r="A178" s="17">
        <v>2100101</v>
      </c>
      <c r="B178" s="21">
        <v>49</v>
      </c>
      <c r="C178" s="21">
        <v>43</v>
      </c>
      <c r="D178" s="10" t="s">
        <v>288</v>
      </c>
      <c r="E178">
        <v>10314</v>
      </c>
      <c r="F178">
        <v>0.1</v>
      </c>
      <c r="G178">
        <v>0.1</v>
      </c>
      <c r="H178">
        <v>1</v>
      </c>
      <c r="I178" t="str">
        <f t="shared" si="6"/>
        <v>0.1|0.1</v>
      </c>
      <c r="J178" s="16">
        <v>2</v>
      </c>
    </row>
    <row r="179" spans="1:10">
      <c r="A179" s="17">
        <v>2100101</v>
      </c>
      <c r="B179" s="21">
        <v>55</v>
      </c>
      <c r="C179" s="21">
        <v>49</v>
      </c>
      <c r="D179" s="10" t="s">
        <v>288</v>
      </c>
      <c r="E179">
        <v>10314</v>
      </c>
      <c r="F179">
        <v>0.11</v>
      </c>
      <c r="G179">
        <v>0.11</v>
      </c>
      <c r="H179">
        <v>1</v>
      </c>
      <c r="I179" t="str">
        <f t="shared" si="6"/>
        <v>0.11|0.11</v>
      </c>
      <c r="J179" s="16">
        <v>2</v>
      </c>
    </row>
    <row r="180" spans="1:10">
      <c r="A180" s="17">
        <v>2100101</v>
      </c>
      <c r="B180" s="21">
        <v>61</v>
      </c>
      <c r="C180" s="21">
        <v>55</v>
      </c>
      <c r="D180" s="10" t="s">
        <v>288</v>
      </c>
      <c r="E180">
        <v>10314</v>
      </c>
      <c r="F180">
        <v>0.12</v>
      </c>
      <c r="G180">
        <v>0.12</v>
      </c>
      <c r="H180">
        <v>1</v>
      </c>
      <c r="I180" t="str">
        <f t="shared" si="6"/>
        <v>0.12|0.12</v>
      </c>
      <c r="J180" s="16">
        <v>2</v>
      </c>
    </row>
    <row r="181" spans="1:10">
      <c r="A181" s="17">
        <v>2100101</v>
      </c>
      <c r="B181" s="21">
        <v>67</v>
      </c>
      <c r="C181" s="21">
        <v>61</v>
      </c>
      <c r="D181" s="10" t="s">
        <v>288</v>
      </c>
      <c r="E181">
        <v>10314</v>
      </c>
      <c r="F181">
        <v>0.13</v>
      </c>
      <c r="G181">
        <v>0.13</v>
      </c>
      <c r="H181">
        <v>1</v>
      </c>
      <c r="I181" t="str">
        <f t="shared" si="6"/>
        <v>0.13|0.13</v>
      </c>
      <c r="J181" s="16">
        <v>2</v>
      </c>
    </row>
    <row r="182" spans="1:10">
      <c r="A182" s="17">
        <v>2100101</v>
      </c>
      <c r="B182" s="21">
        <v>75</v>
      </c>
      <c r="C182" s="21">
        <v>67</v>
      </c>
      <c r="D182" s="10" t="s">
        <v>288</v>
      </c>
      <c r="E182">
        <v>10314</v>
      </c>
      <c r="F182">
        <v>0.14</v>
      </c>
      <c r="G182">
        <v>0.14</v>
      </c>
      <c r="H182">
        <v>1</v>
      </c>
      <c r="I182" t="str">
        <f t="shared" si="6"/>
        <v>0.14|0.14</v>
      </c>
      <c r="J182" s="16">
        <v>2</v>
      </c>
    </row>
    <row r="183" spans="1:10">
      <c r="A183" s="17">
        <v>2100101</v>
      </c>
      <c r="B183" s="21">
        <v>90</v>
      </c>
      <c r="C183" s="21">
        <v>75</v>
      </c>
      <c r="D183" s="10" t="s">
        <v>288</v>
      </c>
      <c r="E183">
        <v>10314</v>
      </c>
      <c r="F183">
        <v>0.15</v>
      </c>
      <c r="G183">
        <v>0.2</v>
      </c>
      <c r="H183">
        <v>1</v>
      </c>
      <c r="I183" t="str">
        <f t="shared" si="6"/>
        <v>0.15|0.2</v>
      </c>
      <c r="J183" s="16">
        <v>2</v>
      </c>
    </row>
    <row r="184" spans="1:10">
      <c r="A184" s="17">
        <v>2200101</v>
      </c>
      <c r="B184" s="21">
        <v>1</v>
      </c>
      <c r="C184" s="21">
        <v>1</v>
      </c>
      <c r="D184" s="10" t="s">
        <v>289</v>
      </c>
      <c r="E184">
        <v>10313</v>
      </c>
      <c r="F184">
        <v>0.01</v>
      </c>
      <c r="G184">
        <v>0.01</v>
      </c>
      <c r="H184">
        <v>1</v>
      </c>
      <c r="I184" t="str">
        <f t="shared" si="6"/>
        <v>0.01|0.01</v>
      </c>
      <c r="J184" s="16">
        <v>2</v>
      </c>
    </row>
    <row r="185" spans="1:10">
      <c r="A185" s="17">
        <v>2200101</v>
      </c>
      <c r="B185" s="21">
        <v>4</v>
      </c>
      <c r="C185" s="21">
        <v>1</v>
      </c>
      <c r="D185" s="10" t="s">
        <v>289</v>
      </c>
      <c r="E185">
        <v>10313</v>
      </c>
      <c r="F185">
        <v>0.02</v>
      </c>
      <c r="G185">
        <v>0.02</v>
      </c>
      <c r="H185">
        <v>1</v>
      </c>
      <c r="I185" t="str">
        <f t="shared" si="6"/>
        <v>0.02|0.02</v>
      </c>
      <c r="J185" s="16">
        <v>2</v>
      </c>
    </row>
    <row r="186" spans="1:10">
      <c r="A186" s="17">
        <v>2200101</v>
      </c>
      <c r="B186" s="21">
        <v>8</v>
      </c>
      <c r="C186" s="21">
        <v>4</v>
      </c>
      <c r="D186" s="10" t="s">
        <v>289</v>
      </c>
      <c r="E186">
        <v>10313</v>
      </c>
      <c r="F186">
        <v>0.03</v>
      </c>
      <c r="G186">
        <v>0.03</v>
      </c>
      <c r="H186">
        <v>1</v>
      </c>
      <c r="I186" t="str">
        <f t="shared" si="6"/>
        <v>0.03|0.03</v>
      </c>
      <c r="J186" s="16">
        <v>2</v>
      </c>
    </row>
    <row r="187" spans="1:10">
      <c r="A187" s="17">
        <v>2200101</v>
      </c>
      <c r="B187" s="21">
        <v>13</v>
      </c>
      <c r="C187" s="21">
        <v>8</v>
      </c>
      <c r="D187" s="10" t="s">
        <v>289</v>
      </c>
      <c r="E187">
        <v>10313</v>
      </c>
      <c r="F187">
        <v>0.04</v>
      </c>
      <c r="G187">
        <v>0.04</v>
      </c>
      <c r="H187">
        <v>1</v>
      </c>
      <c r="I187" t="str">
        <f t="shared" si="6"/>
        <v>0.04|0.04</v>
      </c>
      <c r="J187" s="16">
        <v>2</v>
      </c>
    </row>
    <row r="188" spans="1:10">
      <c r="A188" s="17">
        <v>2200101</v>
      </c>
      <c r="B188" s="21">
        <v>19</v>
      </c>
      <c r="C188" s="21">
        <v>13</v>
      </c>
      <c r="D188" s="10" t="s">
        <v>289</v>
      </c>
      <c r="E188">
        <v>10313</v>
      </c>
      <c r="F188">
        <v>0.05</v>
      </c>
      <c r="G188">
        <v>0.05</v>
      </c>
      <c r="H188">
        <v>1</v>
      </c>
      <c r="I188" t="str">
        <f t="shared" si="6"/>
        <v>0.05|0.05</v>
      </c>
      <c r="J188" s="16">
        <v>2</v>
      </c>
    </row>
    <row r="189" spans="1:10">
      <c r="A189" s="17">
        <v>2200101</v>
      </c>
      <c r="B189" s="21">
        <v>25</v>
      </c>
      <c r="C189" s="21">
        <v>19</v>
      </c>
      <c r="D189" s="10" t="s">
        <v>289</v>
      </c>
      <c r="E189">
        <v>10313</v>
      </c>
      <c r="F189">
        <v>0.06</v>
      </c>
      <c r="G189">
        <v>0.06</v>
      </c>
      <c r="H189">
        <v>1</v>
      </c>
      <c r="I189" t="str">
        <f t="shared" si="6"/>
        <v>0.06|0.06</v>
      </c>
      <c r="J189" s="16">
        <v>2</v>
      </c>
    </row>
    <row r="190" spans="1:10">
      <c r="A190" s="17">
        <v>2200101</v>
      </c>
      <c r="B190" s="21">
        <v>31</v>
      </c>
      <c r="C190" s="21">
        <v>25</v>
      </c>
      <c r="D190" s="10" t="s">
        <v>289</v>
      </c>
      <c r="E190">
        <v>10313</v>
      </c>
      <c r="F190">
        <v>0.07</v>
      </c>
      <c r="G190">
        <v>0.07</v>
      </c>
      <c r="H190">
        <v>1</v>
      </c>
      <c r="I190" t="str">
        <f t="shared" si="6"/>
        <v>0.07|0.07</v>
      </c>
      <c r="J190" s="16">
        <v>2</v>
      </c>
    </row>
    <row r="191" spans="1:10">
      <c r="A191" s="17">
        <v>2200101</v>
      </c>
      <c r="B191" s="21">
        <v>37</v>
      </c>
      <c r="C191" s="21">
        <v>31</v>
      </c>
      <c r="D191" s="10" t="s">
        <v>289</v>
      </c>
      <c r="E191">
        <v>10313</v>
      </c>
      <c r="F191">
        <v>0.08</v>
      </c>
      <c r="G191">
        <v>0.08</v>
      </c>
      <c r="H191">
        <v>1</v>
      </c>
      <c r="I191" t="str">
        <f t="shared" si="6"/>
        <v>0.08|0.08</v>
      </c>
      <c r="J191" s="16">
        <v>2</v>
      </c>
    </row>
    <row r="192" spans="1:10">
      <c r="A192" s="17">
        <v>2200101</v>
      </c>
      <c r="B192" s="21">
        <v>43</v>
      </c>
      <c r="C192" s="21">
        <v>37</v>
      </c>
      <c r="D192" s="10" t="s">
        <v>289</v>
      </c>
      <c r="E192">
        <v>10313</v>
      </c>
      <c r="F192">
        <v>0.09</v>
      </c>
      <c r="G192">
        <v>0.09</v>
      </c>
      <c r="H192">
        <v>1</v>
      </c>
      <c r="I192" t="str">
        <f t="shared" si="6"/>
        <v>0.09|0.09</v>
      </c>
      <c r="J192" s="16">
        <v>2</v>
      </c>
    </row>
    <row r="193" spans="1:10">
      <c r="A193" s="17">
        <v>2200101</v>
      </c>
      <c r="B193" s="21">
        <v>49</v>
      </c>
      <c r="C193" s="21">
        <v>43</v>
      </c>
      <c r="D193" s="10" t="s">
        <v>289</v>
      </c>
      <c r="E193">
        <v>10313</v>
      </c>
      <c r="F193">
        <v>0.1</v>
      </c>
      <c r="G193">
        <v>0.1</v>
      </c>
      <c r="H193">
        <v>1</v>
      </c>
      <c r="I193" t="str">
        <f t="shared" si="6"/>
        <v>0.1|0.1</v>
      </c>
      <c r="J193" s="16">
        <v>2</v>
      </c>
    </row>
    <row r="194" spans="1:10">
      <c r="A194" s="17">
        <v>2200101</v>
      </c>
      <c r="B194" s="21">
        <v>55</v>
      </c>
      <c r="C194" s="21">
        <v>49</v>
      </c>
      <c r="D194" s="10" t="s">
        <v>289</v>
      </c>
      <c r="E194">
        <v>10313</v>
      </c>
      <c r="F194">
        <v>0.11</v>
      </c>
      <c r="G194">
        <v>0.11</v>
      </c>
      <c r="H194">
        <v>1</v>
      </c>
      <c r="I194" t="str">
        <f t="shared" si="6"/>
        <v>0.11|0.11</v>
      </c>
      <c r="J194" s="16">
        <v>2</v>
      </c>
    </row>
    <row r="195" spans="1:10">
      <c r="A195" s="17">
        <v>2200101</v>
      </c>
      <c r="B195" s="21">
        <v>61</v>
      </c>
      <c r="C195" s="21">
        <v>55</v>
      </c>
      <c r="D195" s="10" t="s">
        <v>289</v>
      </c>
      <c r="E195">
        <v>10313</v>
      </c>
      <c r="F195">
        <v>0.12</v>
      </c>
      <c r="G195">
        <v>0.12</v>
      </c>
      <c r="H195">
        <v>1</v>
      </c>
      <c r="I195" t="str">
        <f t="shared" si="6"/>
        <v>0.12|0.12</v>
      </c>
      <c r="J195" s="16">
        <v>2</v>
      </c>
    </row>
    <row r="196" spans="1:10">
      <c r="A196" s="17">
        <v>2200101</v>
      </c>
      <c r="B196" s="21">
        <v>67</v>
      </c>
      <c r="C196" s="21">
        <v>61</v>
      </c>
      <c r="D196" s="10" t="s">
        <v>289</v>
      </c>
      <c r="E196">
        <v>10313</v>
      </c>
      <c r="F196">
        <v>0.13</v>
      </c>
      <c r="G196">
        <v>0.13</v>
      </c>
      <c r="H196">
        <v>1</v>
      </c>
      <c r="I196" t="str">
        <f t="shared" si="6"/>
        <v>0.13|0.13</v>
      </c>
      <c r="J196" s="16">
        <v>2</v>
      </c>
    </row>
    <row r="197" spans="1:10">
      <c r="A197" s="17">
        <v>2200101</v>
      </c>
      <c r="B197" s="21">
        <v>75</v>
      </c>
      <c r="C197" s="21">
        <v>67</v>
      </c>
      <c r="D197" s="10" t="s">
        <v>289</v>
      </c>
      <c r="E197">
        <v>10313</v>
      </c>
      <c r="F197">
        <v>0.14</v>
      </c>
      <c r="G197">
        <v>0.14</v>
      </c>
      <c r="H197">
        <v>1</v>
      </c>
      <c r="I197" t="str">
        <f t="shared" si="6"/>
        <v>0.14|0.14</v>
      </c>
      <c r="J197" s="16">
        <v>2</v>
      </c>
    </row>
    <row r="198" spans="1:10">
      <c r="A198" s="17">
        <v>2200101</v>
      </c>
      <c r="B198" s="21">
        <v>90</v>
      </c>
      <c r="C198" s="21">
        <v>75</v>
      </c>
      <c r="D198" s="10" t="s">
        <v>289</v>
      </c>
      <c r="E198">
        <v>10313</v>
      </c>
      <c r="F198">
        <v>0.15</v>
      </c>
      <c r="G198">
        <v>0.2</v>
      </c>
      <c r="H198">
        <v>1</v>
      </c>
      <c r="I198" t="str">
        <f t="shared" si="6"/>
        <v>0.15|0.2</v>
      </c>
      <c r="J198" s="16">
        <v>2</v>
      </c>
    </row>
  </sheetData>
  <autoFilter xmlns:etc="http://www.wps.cn/officeDocument/2017/etCustomData" ref="A1:J337" etc:filterBottomFollowUsedRange="0">
    <extLst/>
  </autoFilter>
  <conditionalFormatting sqref="A1:A2">
    <cfRule type="duplicateValues" dxfId="0" priority="8"/>
  </conditionalFormatting>
  <conditionalFormatting sqref="D1:D2">
    <cfRule type="duplicateValues" dxfId="0" priority="6"/>
  </conditionalFormatting>
  <conditionalFormatting sqref="B1 E1:J1 B2 E2:J2">
    <cfRule type="duplicateValues" dxfId="0" priority="7"/>
  </conditionalFormatting>
  <conditionalFormatting sqref="C1 C2">
    <cfRule type="duplicateValues" dxfId="0" priority="1"/>
  </conditionalFormatting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D9" sqref="D9"/>
    </sheetView>
  </sheetViews>
  <sheetFormatPr defaultColWidth="9" defaultRowHeight="13.5" outlineLevelCol="3"/>
  <cols>
    <col min="2" max="2" width="14" customWidth="1"/>
    <col min="3" max="3" width="28.6333333333333" customWidth="1"/>
    <col min="4" max="4" width="50.3666666666667" customWidth="1"/>
  </cols>
  <sheetData>
    <row r="1" spans="1:4">
      <c r="A1" t="s">
        <v>290</v>
      </c>
      <c r="B1" t="s">
        <v>291</v>
      </c>
      <c r="C1" s="10" t="s">
        <v>292</v>
      </c>
      <c r="D1" s="10" t="s">
        <v>293</v>
      </c>
    </row>
    <row r="2" spans="1:4">
      <c r="A2" s="12" t="s">
        <v>9</v>
      </c>
      <c r="B2" s="12" t="s">
        <v>10</v>
      </c>
      <c r="C2" s="2" t="s">
        <v>294</v>
      </c>
      <c r="D2" s="2" t="s">
        <v>295</v>
      </c>
    </row>
    <row r="3" spans="1:4">
      <c r="A3" s="3" t="s">
        <v>18</v>
      </c>
      <c r="B3" s="3" t="s">
        <v>19</v>
      </c>
      <c r="C3" s="15" t="s">
        <v>20</v>
      </c>
      <c r="D3" s="3" t="s">
        <v>127</v>
      </c>
    </row>
    <row r="4" spans="1:4">
      <c r="A4">
        <v>110011</v>
      </c>
      <c r="B4" t="s">
        <v>296</v>
      </c>
      <c r="D4" s="10" t="s">
        <v>297</v>
      </c>
    </row>
    <row r="5" spans="1:4">
      <c r="A5">
        <v>110012</v>
      </c>
      <c r="B5" t="s">
        <v>298</v>
      </c>
      <c r="D5" s="10" t="s">
        <v>299</v>
      </c>
    </row>
    <row r="6" customFormat="1" spans="1:4">
      <c r="A6">
        <v>110021</v>
      </c>
      <c r="B6" t="s">
        <v>300</v>
      </c>
      <c r="D6" s="10" t="s">
        <v>301</v>
      </c>
    </row>
    <row r="7" customFormat="1" spans="1:4">
      <c r="A7">
        <v>110022</v>
      </c>
      <c r="B7" t="s">
        <v>302</v>
      </c>
      <c r="D7" s="10" t="s">
        <v>303</v>
      </c>
    </row>
    <row r="8" spans="1:4">
      <c r="A8">
        <v>120011</v>
      </c>
      <c r="B8" t="s">
        <v>304</v>
      </c>
      <c r="D8" s="10" t="s">
        <v>305</v>
      </c>
    </row>
    <row r="9" spans="1:4">
      <c r="A9">
        <v>120012</v>
      </c>
      <c r="B9" t="s">
        <v>306</v>
      </c>
      <c r="D9" s="10" t="s">
        <v>307</v>
      </c>
    </row>
    <row r="10" spans="1:4">
      <c r="A10">
        <v>130011</v>
      </c>
      <c r="B10" t="s">
        <v>308</v>
      </c>
      <c r="D10" s="10" t="s">
        <v>309</v>
      </c>
    </row>
    <row r="11" spans="1:4">
      <c r="A11">
        <v>130012</v>
      </c>
      <c r="B11" t="s">
        <v>310</v>
      </c>
      <c r="D11" s="10" t="s">
        <v>311</v>
      </c>
    </row>
    <row r="12" spans="1:4">
      <c r="A12">
        <v>140011</v>
      </c>
      <c r="B12" t="s">
        <v>312</v>
      </c>
      <c r="D12" s="10" t="s">
        <v>313</v>
      </c>
    </row>
    <row r="13" spans="1:4">
      <c r="A13">
        <v>140012</v>
      </c>
      <c r="B13" t="s">
        <v>314</v>
      </c>
      <c r="D13" s="10" t="s">
        <v>315</v>
      </c>
    </row>
    <row r="14" spans="1:4">
      <c r="A14">
        <v>150011</v>
      </c>
      <c r="B14" t="s">
        <v>316</v>
      </c>
      <c r="D14" s="10" t="s">
        <v>317</v>
      </c>
    </row>
    <row r="15" spans="1:4">
      <c r="A15">
        <v>150012</v>
      </c>
      <c r="B15" t="s">
        <v>318</v>
      </c>
      <c r="D15" s="10" t="s">
        <v>319</v>
      </c>
    </row>
    <row r="16" spans="1:4">
      <c r="A16">
        <v>160011</v>
      </c>
      <c r="B16" t="s">
        <v>320</v>
      </c>
      <c r="D16" s="10" t="s">
        <v>321</v>
      </c>
    </row>
    <row r="17" spans="1:4">
      <c r="A17">
        <v>160012</v>
      </c>
      <c r="B17" t="s">
        <v>322</v>
      </c>
      <c r="D17" s="10" t="s">
        <v>323</v>
      </c>
    </row>
    <row r="18" spans="1:4">
      <c r="A18">
        <v>170011</v>
      </c>
      <c r="B18" t="s">
        <v>324</v>
      </c>
      <c r="D18" s="10" t="s">
        <v>325</v>
      </c>
    </row>
    <row r="19" spans="1:4">
      <c r="A19">
        <v>170012</v>
      </c>
      <c r="B19" t="s">
        <v>326</v>
      </c>
      <c r="D19" s="10" t="s">
        <v>327</v>
      </c>
    </row>
    <row r="20" spans="1:4">
      <c r="A20">
        <v>180011</v>
      </c>
      <c r="B20" t="s">
        <v>328</v>
      </c>
      <c r="D20" s="10" t="s">
        <v>329</v>
      </c>
    </row>
    <row r="21" spans="1:4">
      <c r="A21">
        <v>180012</v>
      </c>
      <c r="B21" t="s">
        <v>330</v>
      </c>
      <c r="D21" s="10" t="s">
        <v>331</v>
      </c>
    </row>
    <row r="22" spans="1:4">
      <c r="A22">
        <v>190011</v>
      </c>
      <c r="B22" t="s">
        <v>332</v>
      </c>
      <c r="D22" s="10" t="s">
        <v>333</v>
      </c>
    </row>
    <row r="23" spans="1:4">
      <c r="A23">
        <v>190012</v>
      </c>
      <c r="B23" t="s">
        <v>334</v>
      </c>
      <c r="D23" s="10" t="s">
        <v>335</v>
      </c>
    </row>
    <row r="24" spans="1:4">
      <c r="A24">
        <v>200011</v>
      </c>
      <c r="B24" t="s">
        <v>336</v>
      </c>
      <c r="D24" s="10" t="s">
        <v>337</v>
      </c>
    </row>
    <row r="25" spans="1:4">
      <c r="A25">
        <v>200012</v>
      </c>
      <c r="B25" t="s">
        <v>338</v>
      </c>
      <c r="D25" s="10" t="s">
        <v>339</v>
      </c>
    </row>
    <row r="26" spans="1:4">
      <c r="A26">
        <v>210011</v>
      </c>
      <c r="B26" t="s">
        <v>340</v>
      </c>
      <c r="D26" s="10" t="s">
        <v>341</v>
      </c>
    </row>
    <row r="27" spans="1:4">
      <c r="A27">
        <v>210012</v>
      </c>
      <c r="B27" t="s">
        <v>342</v>
      </c>
      <c r="D27" s="10" t="s">
        <v>343</v>
      </c>
    </row>
    <row r="28" spans="1:4">
      <c r="A28">
        <v>220011</v>
      </c>
      <c r="B28" t="s">
        <v>344</v>
      </c>
      <c r="D28" s="10" t="s">
        <v>345</v>
      </c>
    </row>
    <row r="29" spans="1:4">
      <c r="A29">
        <v>220012</v>
      </c>
      <c r="B29" t="s">
        <v>346</v>
      </c>
      <c r="D29" s="10" t="s">
        <v>347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27"/>
  <sheetViews>
    <sheetView tabSelected="1" zoomScale="115" zoomScaleNormal="115" workbookViewId="0">
      <pane xSplit="3" ySplit="1" topLeftCell="H1987" activePane="bottomRight" state="frozen"/>
      <selection/>
      <selection pane="topRight"/>
      <selection pane="bottomLeft"/>
      <selection pane="bottomRight" activeCell="L2002" sqref="L2002"/>
    </sheetView>
  </sheetViews>
  <sheetFormatPr defaultColWidth="9" defaultRowHeight="13.5"/>
  <cols>
    <col min="2" max="2" width="9.90833333333333" customWidth="1"/>
    <col min="3" max="3" width="21.8416666666667" customWidth="1"/>
    <col min="4" max="4" width="9.45" customWidth="1"/>
    <col min="5" max="5" width="6.63333333333333" customWidth="1"/>
    <col min="6" max="6" width="7.94166666666667" customWidth="1"/>
    <col min="7" max="7" width="9.01666666666667" customWidth="1"/>
    <col min="8" max="8" width="10.5" customWidth="1"/>
    <col min="9" max="9" width="9.375" customWidth="1"/>
    <col min="10" max="10" width="9.5" customWidth="1"/>
    <col min="11" max="11" width="52.6333333333333" customWidth="1"/>
    <col min="12" max="12" width="9.01666666666667" customWidth="1"/>
    <col min="13" max="13" width="10.975" customWidth="1"/>
    <col min="14" max="14" width="8.36666666666667" customWidth="1"/>
    <col min="15" max="16" width="13.725" customWidth="1"/>
    <col min="17" max="18" width="17.3666666666667" customWidth="1"/>
    <col min="19" max="20" width="9.75" customWidth="1"/>
  </cols>
  <sheetData>
    <row r="1" spans="1:20">
      <c r="A1" t="s">
        <v>290</v>
      </c>
      <c r="B1" t="s">
        <v>348</v>
      </c>
      <c r="C1" t="s">
        <v>291</v>
      </c>
      <c r="D1" t="s">
        <v>349</v>
      </c>
      <c r="E1" t="s">
        <v>350</v>
      </c>
      <c r="F1" t="s">
        <v>36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s="10" t="s">
        <v>356</v>
      </c>
      <c r="M1" t="s">
        <v>357</v>
      </c>
      <c r="N1" t="s">
        <v>358</v>
      </c>
      <c r="O1" t="s">
        <v>359</v>
      </c>
      <c r="P1" t="s">
        <v>360</v>
      </c>
      <c r="Q1" s="11" t="s">
        <v>361</v>
      </c>
      <c r="R1" s="11" t="s">
        <v>362</v>
      </c>
      <c r="S1" s="11" t="s">
        <v>363</v>
      </c>
      <c r="T1" s="11" t="s">
        <v>364</v>
      </c>
    </row>
    <row r="2" spans="1:20">
      <c r="A2" s="12" t="s">
        <v>9</v>
      </c>
      <c r="B2" s="2" t="s">
        <v>365</v>
      </c>
      <c r="C2" s="12" t="s">
        <v>10</v>
      </c>
      <c r="D2" s="12" t="s">
        <v>43</v>
      </c>
      <c r="E2" s="12" t="s">
        <v>13</v>
      </c>
      <c r="F2" s="12" t="s">
        <v>44</v>
      </c>
      <c r="G2" s="12" t="s">
        <v>366</v>
      </c>
      <c r="H2" s="12" t="s">
        <v>367</v>
      </c>
      <c r="I2" s="12" t="s">
        <v>368</v>
      </c>
      <c r="J2" s="12" t="s">
        <v>369</v>
      </c>
      <c r="K2" s="12" t="s">
        <v>370</v>
      </c>
      <c r="L2" s="2" t="s">
        <v>371</v>
      </c>
      <c r="M2" s="12" t="s">
        <v>372</v>
      </c>
      <c r="N2" s="12" t="s">
        <v>373</v>
      </c>
      <c r="O2" s="12" t="s">
        <v>374</v>
      </c>
      <c r="P2" s="12" t="s">
        <v>375</v>
      </c>
      <c r="Q2" s="12" t="s">
        <v>272</v>
      </c>
      <c r="R2" s="12" t="s">
        <v>273</v>
      </c>
      <c r="S2" s="12" t="s">
        <v>276</v>
      </c>
      <c r="T2" s="12" t="s">
        <v>376</v>
      </c>
    </row>
    <row r="3" spans="1:20">
      <c r="A3" s="3" t="s">
        <v>18</v>
      </c>
      <c r="B3" s="3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19</v>
      </c>
      <c r="L3" s="3" t="s">
        <v>20</v>
      </c>
      <c r="M3" s="3" t="s">
        <v>127</v>
      </c>
      <c r="N3" s="3" t="s">
        <v>20</v>
      </c>
      <c r="O3" s="3" t="s">
        <v>20</v>
      </c>
      <c r="P3" s="3" t="s">
        <v>19</v>
      </c>
      <c r="Q3" s="3" t="s">
        <v>20</v>
      </c>
      <c r="R3" s="3" t="s">
        <v>20</v>
      </c>
      <c r="S3" s="3" t="s">
        <v>20</v>
      </c>
      <c r="T3" s="3" t="s">
        <v>20</v>
      </c>
    </row>
    <row r="4" customFormat="1" spans="1:20">
      <c r="A4">
        <v>1</v>
      </c>
      <c r="B4">
        <v>1</v>
      </c>
      <c r="C4" t="s">
        <v>377</v>
      </c>
      <c r="D4" t="s">
        <v>22</v>
      </c>
      <c r="E4" t="s">
        <v>378</v>
      </c>
      <c r="F4"/>
      <c r="G4">
        <v>1</v>
      </c>
      <c r="H4">
        <v>50</v>
      </c>
      <c r="I4"/>
      <c r="J4" cm="1">
        <f t="array" ref="J4">_xlfn.SWITCH(B4,1,75,2,61,3,49,4,37,5,25,6,13,7,4,8,1)</f>
        <v>75</v>
      </c>
      <c r="K4" t="str" cm="1">
        <f t="array" ref="K4">IFERROR(_xlfn.SWITCH(L4,2,_xlfn.XLOOKUP(C4,[1]ModifierDes!$B:$B,[1]ModifierDes!$C:$C),3,_xlfn.XLOOKUP(C4,[1]StuntDes!$B:$B,[1]StuntDes!$C:$C)),"")</f>
        <v>物理伤害倍率增加{0}</v>
      </c>
      <c r="L4">
        <f t="shared" ref="L4:L67" si="0">IF(M4="",IF(N4="",1,2),3)</f>
        <v>2</v>
      </c>
      <c r="M4" s="10" t="str">
        <f>IFERROR(_xlfn.XLOOKUP(C4,[1]StuntDes!$B:$B,[1]StuntDes!$A:$A),"")</f>
        <v/>
      </c>
      <c r="N4" s="10">
        <f>IFERROR(_xlfn.XLOOKUP(C4,[1]ModifierDes!$B:$B,[1]ModifierDes!$A:$A),"")</f>
        <v>10056</v>
      </c>
      <c r="O4" s="10" t="str">
        <f>IFERROR(_xlfn.XLOOKUP(C4,[1]AttributeName!$C:$C,[1]AttributeName!$B:$B),"")</f>
        <v/>
      </c>
      <c r="P4" s="10"/>
      <c r="Q4">
        <v>0.5</v>
      </c>
      <c r="R4">
        <v>0.7</v>
      </c>
      <c r="S4" cm="1">
        <f t="array" ref="S4">IFERROR(_xlfn.SWITCH(L4,1,_xlfn.XLOOKUP(O4,[1]AttributeName!$B:$B,[1]AttributeName!$D:$D),2,_xlfn.XLOOKUP(C4,#REF!,#REF!),3,_xlfn.XLOOKUP(C4,#REF!,#REF!)),0)</f>
        <v>0</v>
      </c>
      <c r="T4" cm="1">
        <f t="array" ref="T4">IFERROR(_xlfn.SWITCH(L4,1,_xlfn.XLOOKUP(O4,[1]AttributeName!$B:$B,[1]AttributeName!$E:$E),2,_xlfn.XLOOKUP(C4,#REF!,#REF!),3,_xlfn.XLOOKUP(C4,#REF!,#REF!)),0)</f>
        <v>0</v>
      </c>
    </row>
    <row r="5" customFormat="1" spans="1:20">
      <c r="A5">
        <v>1</v>
      </c>
      <c r="B5">
        <v>2</v>
      </c>
      <c r="C5" t="s">
        <v>377</v>
      </c>
      <c r="D5" t="s">
        <v>22</v>
      </c>
      <c r="E5" t="s">
        <v>378</v>
      </c>
      <c r="F5"/>
      <c r="G5">
        <v>1</v>
      </c>
      <c r="H5">
        <v>100</v>
      </c>
      <c r="I5"/>
      <c r="J5" cm="1">
        <f t="array" ref="J5">_xlfn.SWITCH(B5,1,75,2,61,3,49,4,37,5,25,6,13,7,4,8,1)</f>
        <v>61</v>
      </c>
      <c r="K5" t="str" cm="1">
        <f t="array" ref="K5">IFERROR(_xlfn.SWITCH(L5,2,_xlfn.XLOOKUP(C5,[1]ModifierDes!$B:$B,[1]ModifierDes!$C:$C),3,_xlfn.XLOOKUP(C5,[1]StuntDes!$B:$B,[1]StuntDes!$C:$C)),"")</f>
        <v>物理伤害倍率增加{0}</v>
      </c>
      <c r="L5">
        <f t="shared" si="0"/>
        <v>2</v>
      </c>
      <c r="M5" s="10" t="str">
        <f>IFERROR(_xlfn.XLOOKUP(C5,[1]StuntDes!$B:$B,[1]StuntDes!$A:$A),"")</f>
        <v/>
      </c>
      <c r="N5" s="10">
        <f>IFERROR(_xlfn.XLOOKUP(C5,[1]ModifierDes!$B:$B,[1]ModifierDes!$A:$A),"")</f>
        <v>10056</v>
      </c>
      <c r="O5" s="10" t="str">
        <f>IFERROR(_xlfn.XLOOKUP(C5,[1]AttributeName!$C:$C,[1]AttributeName!$B:$B),"")</f>
        <v/>
      </c>
      <c r="P5" s="10"/>
      <c r="Q5">
        <v>0.44</v>
      </c>
      <c r="R5">
        <v>0.49</v>
      </c>
      <c r="S5" cm="1">
        <f t="array" ref="S5">IFERROR(_xlfn.SWITCH(L5,1,_xlfn.XLOOKUP(O5,[1]AttributeName!$B:$B,[1]AttributeName!$D:$D),2,_xlfn.XLOOKUP(C5,#REF!,#REF!),3,_xlfn.XLOOKUP(C5,#REF!,#REF!)),0)</f>
        <v>0</v>
      </c>
      <c r="T5" cm="1">
        <f t="array" ref="T5">IFERROR(_xlfn.SWITCH(L5,1,_xlfn.XLOOKUP(O5,[1]AttributeName!$B:$B,[1]AttributeName!$E:$E),2,_xlfn.XLOOKUP(C5,#REF!,#REF!),3,_xlfn.XLOOKUP(C5,#REF!,#REF!)),0)</f>
        <v>0</v>
      </c>
    </row>
    <row r="6" customFormat="1" spans="1:20">
      <c r="A6">
        <v>1</v>
      </c>
      <c r="B6">
        <v>3</v>
      </c>
      <c r="C6" t="s">
        <v>377</v>
      </c>
      <c r="D6" t="s">
        <v>22</v>
      </c>
      <c r="E6" t="s">
        <v>378</v>
      </c>
      <c r="F6"/>
      <c r="G6">
        <v>1</v>
      </c>
      <c r="H6">
        <v>200</v>
      </c>
      <c r="I6"/>
      <c r="J6" cm="1">
        <f t="array" ref="J6">_xlfn.SWITCH(B6,1,75,2,61,3,49,4,37,5,25,6,13,7,4,8,1)</f>
        <v>49</v>
      </c>
      <c r="K6" t="str" cm="1">
        <f t="array" ref="K6">IFERROR(_xlfn.SWITCH(L6,2,_xlfn.XLOOKUP(C6,[1]ModifierDes!$B:$B,[1]ModifierDes!$C:$C),3,_xlfn.XLOOKUP(C6,[1]StuntDes!$B:$B,[1]StuntDes!$C:$C)),"")</f>
        <v>物理伤害倍率增加{0}</v>
      </c>
      <c r="L6">
        <f t="shared" si="0"/>
        <v>2</v>
      </c>
      <c r="M6" s="10" t="str">
        <f>IFERROR(_xlfn.XLOOKUP(C6,[1]StuntDes!$B:$B,[1]StuntDes!$A:$A),"")</f>
        <v/>
      </c>
      <c r="N6" s="10">
        <f>IFERROR(_xlfn.XLOOKUP(C6,[1]ModifierDes!$B:$B,[1]ModifierDes!$A:$A),"")</f>
        <v>10056</v>
      </c>
      <c r="O6" s="10" t="str">
        <f>IFERROR(_xlfn.XLOOKUP(C6,[1]AttributeName!$C:$C,[1]AttributeName!$B:$B),"")</f>
        <v/>
      </c>
      <c r="P6" s="10"/>
      <c r="Q6">
        <v>0.38</v>
      </c>
      <c r="R6">
        <v>0.43</v>
      </c>
      <c r="S6" cm="1">
        <f t="array" ref="S6">IFERROR(_xlfn.SWITCH(L6,1,_xlfn.XLOOKUP(O6,[1]AttributeName!$B:$B,[1]AttributeName!$D:$D),2,_xlfn.XLOOKUP(C6,#REF!,#REF!),3,_xlfn.XLOOKUP(C6,#REF!,#REF!)),0)</f>
        <v>0</v>
      </c>
      <c r="T6" cm="1">
        <f t="array" ref="T6">IFERROR(_xlfn.SWITCH(L6,1,_xlfn.XLOOKUP(O6,[1]AttributeName!$B:$B,[1]AttributeName!$E:$E),2,_xlfn.XLOOKUP(C6,#REF!,#REF!),3,_xlfn.XLOOKUP(C6,#REF!,#REF!)),0)</f>
        <v>0</v>
      </c>
    </row>
    <row r="7" customFormat="1" spans="1:20">
      <c r="A7">
        <v>1</v>
      </c>
      <c r="B7">
        <v>4</v>
      </c>
      <c r="C7" t="s">
        <v>377</v>
      </c>
      <c r="D7" t="s">
        <v>22</v>
      </c>
      <c r="E7" t="s">
        <v>378</v>
      </c>
      <c r="F7"/>
      <c r="G7">
        <v>1</v>
      </c>
      <c r="H7">
        <v>500</v>
      </c>
      <c r="I7"/>
      <c r="J7" cm="1">
        <f t="array" ref="J7">_xlfn.SWITCH(B7,1,75,2,61,3,49,4,37,5,25,6,13,7,4,8,1)</f>
        <v>37</v>
      </c>
      <c r="K7" t="str" cm="1">
        <f t="array" ref="K7">IFERROR(_xlfn.SWITCH(L7,2,_xlfn.XLOOKUP(C7,[1]ModifierDes!$B:$B,[1]ModifierDes!$C:$C),3,_xlfn.XLOOKUP(C7,[1]StuntDes!$B:$B,[1]StuntDes!$C:$C)),"")</f>
        <v>物理伤害倍率增加{0}</v>
      </c>
      <c r="L7">
        <f t="shared" si="0"/>
        <v>2</v>
      </c>
      <c r="M7" s="10" t="str">
        <f>IFERROR(_xlfn.XLOOKUP(C7,[1]StuntDes!$B:$B,[1]StuntDes!$A:$A),"")</f>
        <v/>
      </c>
      <c r="N7" s="10">
        <f>IFERROR(_xlfn.XLOOKUP(C7,[1]ModifierDes!$B:$B,[1]ModifierDes!$A:$A),"")</f>
        <v>10056</v>
      </c>
      <c r="O7" s="10" t="str">
        <f>IFERROR(_xlfn.XLOOKUP(C7,[1]AttributeName!$C:$C,[1]AttributeName!$B:$B),"")</f>
        <v/>
      </c>
      <c r="P7" s="10"/>
      <c r="Q7">
        <v>0.32</v>
      </c>
      <c r="R7">
        <v>0.37</v>
      </c>
      <c r="S7" cm="1">
        <f t="array" ref="S7">IFERROR(_xlfn.SWITCH(L7,1,_xlfn.XLOOKUP(O7,[1]AttributeName!$B:$B,[1]AttributeName!$D:$D),2,_xlfn.XLOOKUP(C7,#REF!,#REF!),3,_xlfn.XLOOKUP(C7,#REF!,#REF!)),0)</f>
        <v>0</v>
      </c>
      <c r="T7" cm="1">
        <f t="array" ref="T7">IFERROR(_xlfn.SWITCH(L7,1,_xlfn.XLOOKUP(O7,[1]AttributeName!$B:$B,[1]AttributeName!$E:$E),2,_xlfn.XLOOKUP(C7,#REF!,#REF!),3,_xlfn.XLOOKUP(C7,#REF!,#REF!)),0)</f>
        <v>0</v>
      </c>
    </row>
    <row r="8" customFormat="1" spans="1:20">
      <c r="A8">
        <v>1</v>
      </c>
      <c r="B8">
        <v>5</v>
      </c>
      <c r="C8" t="s">
        <v>377</v>
      </c>
      <c r="D8" t="s">
        <v>22</v>
      </c>
      <c r="E8" t="s">
        <v>378</v>
      </c>
      <c r="F8"/>
      <c r="G8">
        <v>1</v>
      </c>
      <c r="H8">
        <v>1000</v>
      </c>
      <c r="I8"/>
      <c r="J8" cm="1">
        <f t="array" ref="J8">_xlfn.SWITCH(B8,1,75,2,61,3,49,4,37,5,25,6,13,7,4,8,1)</f>
        <v>25</v>
      </c>
      <c r="K8" t="str" cm="1">
        <f t="array" ref="K8">IFERROR(_xlfn.SWITCH(L8,2,_xlfn.XLOOKUP(C8,[1]ModifierDes!$B:$B,[1]ModifierDes!$C:$C),3,_xlfn.XLOOKUP(C8,[1]StuntDes!$B:$B,[1]StuntDes!$C:$C)),"")</f>
        <v>物理伤害倍率增加{0}</v>
      </c>
      <c r="L8">
        <f t="shared" si="0"/>
        <v>2</v>
      </c>
      <c r="M8" s="10" t="str">
        <f>IFERROR(_xlfn.XLOOKUP(C8,[1]StuntDes!$B:$B,[1]StuntDes!$A:$A),"")</f>
        <v/>
      </c>
      <c r="N8" s="10">
        <f>IFERROR(_xlfn.XLOOKUP(C8,[1]ModifierDes!$B:$B,[1]ModifierDes!$A:$A),"")</f>
        <v>10056</v>
      </c>
      <c r="O8" s="10" t="str">
        <f>IFERROR(_xlfn.XLOOKUP(C8,[1]AttributeName!$C:$C,[1]AttributeName!$B:$B),"")</f>
        <v/>
      </c>
      <c r="P8" s="10"/>
      <c r="Q8">
        <v>0.26</v>
      </c>
      <c r="R8">
        <v>0.31</v>
      </c>
      <c r="S8" cm="1">
        <f t="array" ref="S8">IFERROR(_xlfn.SWITCH(L8,1,_xlfn.XLOOKUP(O8,[1]AttributeName!$B:$B,[1]AttributeName!$D:$D),2,_xlfn.XLOOKUP(C8,#REF!,#REF!),3,_xlfn.XLOOKUP(C8,#REF!,#REF!)),0)</f>
        <v>0</v>
      </c>
      <c r="T8" cm="1">
        <f t="array" ref="T8">IFERROR(_xlfn.SWITCH(L8,1,_xlfn.XLOOKUP(O8,[1]AttributeName!$B:$B,[1]AttributeName!$E:$E),2,_xlfn.XLOOKUP(C8,#REF!,#REF!),3,_xlfn.XLOOKUP(C8,#REF!,#REF!)),0)</f>
        <v>0</v>
      </c>
    </row>
    <row r="9" customFormat="1" spans="1:20">
      <c r="A9">
        <v>1</v>
      </c>
      <c r="B9">
        <v>6</v>
      </c>
      <c r="C9" t="s">
        <v>377</v>
      </c>
      <c r="D9" t="s">
        <v>22</v>
      </c>
      <c r="E9" t="s">
        <v>378</v>
      </c>
      <c r="F9"/>
      <c r="G9">
        <v>1</v>
      </c>
      <c r="H9">
        <v>1000</v>
      </c>
      <c r="I9"/>
      <c r="J9" cm="1">
        <f t="array" ref="J9">_xlfn.SWITCH(B9,1,75,2,61,3,49,4,37,5,25,6,13,7,4,8,1)</f>
        <v>13</v>
      </c>
      <c r="K9" t="str" cm="1">
        <f t="array" ref="K9">IFERROR(_xlfn.SWITCH(L9,2,_xlfn.XLOOKUP(C9,[1]ModifierDes!$B:$B,[1]ModifierDes!$C:$C),3,_xlfn.XLOOKUP(C9,[1]StuntDes!$B:$B,[1]StuntDes!$C:$C)),"")</f>
        <v>物理伤害倍率增加{0}</v>
      </c>
      <c r="L9">
        <f t="shared" si="0"/>
        <v>2</v>
      </c>
      <c r="M9" s="10" t="str">
        <f>IFERROR(_xlfn.XLOOKUP(C9,[1]StuntDes!$B:$B,[1]StuntDes!$A:$A),"")</f>
        <v/>
      </c>
      <c r="N9" s="10">
        <f>IFERROR(_xlfn.XLOOKUP(C9,[1]ModifierDes!$B:$B,[1]ModifierDes!$A:$A),"")</f>
        <v>10056</v>
      </c>
      <c r="O9" s="10" t="str">
        <f>IFERROR(_xlfn.XLOOKUP(C9,[1]AttributeName!$C:$C,[1]AttributeName!$B:$B),"")</f>
        <v/>
      </c>
      <c r="P9" s="10"/>
      <c r="Q9">
        <v>0.2</v>
      </c>
      <c r="R9">
        <v>0.25</v>
      </c>
      <c r="S9" cm="1">
        <f t="array" ref="S9">IFERROR(_xlfn.SWITCH(L9,1,_xlfn.XLOOKUP(O9,[1]AttributeName!$B:$B,[1]AttributeName!$D:$D),2,_xlfn.XLOOKUP(C9,#REF!,#REF!),3,_xlfn.XLOOKUP(C9,#REF!,#REF!)),0)</f>
        <v>0</v>
      </c>
      <c r="T9" cm="1">
        <f t="array" ref="T9">IFERROR(_xlfn.SWITCH(L9,1,_xlfn.XLOOKUP(O9,[1]AttributeName!$B:$B,[1]AttributeName!$E:$E),2,_xlfn.XLOOKUP(C9,#REF!,#REF!),3,_xlfn.XLOOKUP(C9,#REF!,#REF!)),0)</f>
        <v>0</v>
      </c>
    </row>
    <row r="10" customFormat="1" spans="1:20">
      <c r="A10">
        <v>1</v>
      </c>
      <c r="B10">
        <v>7</v>
      </c>
      <c r="C10" t="s">
        <v>377</v>
      </c>
      <c r="D10" t="s">
        <v>22</v>
      </c>
      <c r="E10" t="s">
        <v>378</v>
      </c>
      <c r="F10"/>
      <c r="G10">
        <v>1</v>
      </c>
      <c r="H10">
        <v>1000</v>
      </c>
      <c r="I10"/>
      <c r="J10" cm="1">
        <f t="array" ref="J10">_xlfn.SWITCH(B10,1,75,2,61,3,49,4,37,5,25,6,13,7,4,8,1)</f>
        <v>4</v>
      </c>
      <c r="K10" t="str" cm="1">
        <f t="array" ref="K10">IFERROR(_xlfn.SWITCH(L10,2,_xlfn.XLOOKUP(C10,[1]ModifierDes!$B:$B,[1]ModifierDes!$C:$C),3,_xlfn.XLOOKUP(C10,[1]StuntDes!$B:$B,[1]StuntDes!$C:$C)),"")</f>
        <v>物理伤害倍率增加{0}</v>
      </c>
      <c r="L10">
        <f t="shared" si="0"/>
        <v>2</v>
      </c>
      <c r="M10" s="10" t="str">
        <f>IFERROR(_xlfn.XLOOKUP(C10,[1]StuntDes!$B:$B,[1]StuntDes!$A:$A),"")</f>
        <v/>
      </c>
      <c r="N10" s="10">
        <f>IFERROR(_xlfn.XLOOKUP(C10,[1]ModifierDes!$B:$B,[1]ModifierDes!$A:$A),"")</f>
        <v>10056</v>
      </c>
      <c r="O10" s="10" t="str">
        <f>IFERROR(_xlfn.XLOOKUP(C10,[1]AttributeName!$C:$C,[1]AttributeName!$B:$B),"")</f>
        <v/>
      </c>
      <c r="P10" s="10"/>
      <c r="Q10">
        <v>0.14</v>
      </c>
      <c r="R10">
        <v>0.19</v>
      </c>
      <c r="S10" cm="1">
        <f t="array" ref="S10">IFERROR(_xlfn.SWITCH(L10,1,_xlfn.XLOOKUP(O10,[1]AttributeName!$B:$B,[1]AttributeName!$D:$D),2,_xlfn.XLOOKUP(C10,#REF!,#REF!),3,_xlfn.XLOOKUP(C10,#REF!,#REF!)),0)</f>
        <v>0</v>
      </c>
      <c r="T10" cm="1">
        <f t="array" ref="T10">IFERROR(_xlfn.SWITCH(L10,1,_xlfn.XLOOKUP(O10,[1]AttributeName!$B:$B,[1]AttributeName!$E:$E),2,_xlfn.XLOOKUP(C10,#REF!,#REF!),3,_xlfn.XLOOKUP(C10,#REF!,#REF!)),0)</f>
        <v>0</v>
      </c>
    </row>
    <row r="11" customFormat="1" spans="1:20">
      <c r="A11">
        <v>1</v>
      </c>
      <c r="B11">
        <v>8</v>
      </c>
      <c r="C11" t="s">
        <v>377</v>
      </c>
      <c r="D11" t="s">
        <v>22</v>
      </c>
      <c r="E11" t="s">
        <v>378</v>
      </c>
      <c r="F11"/>
      <c r="G11">
        <v>1</v>
      </c>
      <c r="H11">
        <v>1000</v>
      </c>
      <c r="I11"/>
      <c r="J11" cm="1">
        <f t="array" ref="J11">_xlfn.SWITCH(B11,1,75,2,61,3,49,4,37,5,25,6,13,7,4,8,1)</f>
        <v>1</v>
      </c>
      <c r="K11" t="str" cm="1">
        <f t="array" ref="K11">IFERROR(_xlfn.SWITCH(L11,2,_xlfn.XLOOKUP(C11,[1]ModifierDes!$B:$B,[1]ModifierDes!$C:$C),3,_xlfn.XLOOKUP(C11,[1]StuntDes!$B:$B,[1]StuntDes!$C:$C)),"")</f>
        <v>物理伤害倍率增加{0}</v>
      </c>
      <c r="L11">
        <f t="shared" si="0"/>
        <v>2</v>
      </c>
      <c r="M11" s="10" t="str">
        <f>IFERROR(_xlfn.XLOOKUP(C11,[1]StuntDes!$B:$B,[1]StuntDes!$A:$A),"")</f>
        <v/>
      </c>
      <c r="N11" s="10">
        <f>IFERROR(_xlfn.XLOOKUP(C11,[1]ModifierDes!$B:$B,[1]ModifierDes!$A:$A),"")</f>
        <v>10056</v>
      </c>
      <c r="O11" s="10" t="str">
        <f>IFERROR(_xlfn.XLOOKUP(C11,[1]AttributeName!$C:$C,[1]AttributeName!$B:$B),"")</f>
        <v/>
      </c>
      <c r="P11" s="10"/>
      <c r="Q11">
        <v>0.08</v>
      </c>
      <c r="R11">
        <v>0.13</v>
      </c>
      <c r="S11" cm="1">
        <f t="array" ref="S11">IFERROR(_xlfn.SWITCH(L11,1,_xlfn.XLOOKUP(O11,[1]AttributeName!$B:$B,[1]AttributeName!$D:$D),2,_xlfn.XLOOKUP(C11,#REF!,#REF!),3,_xlfn.XLOOKUP(C11,#REF!,#REF!)),0)</f>
        <v>0</v>
      </c>
      <c r="T11" cm="1">
        <f t="array" ref="T11">IFERROR(_xlfn.SWITCH(L11,1,_xlfn.XLOOKUP(O11,[1]AttributeName!$B:$B,[1]AttributeName!$E:$E),2,_xlfn.XLOOKUP(C11,#REF!,#REF!),3,_xlfn.XLOOKUP(C11,#REF!,#REF!)),0)</f>
        <v>0</v>
      </c>
    </row>
    <row r="12" customFormat="1" spans="1:20">
      <c r="A12">
        <f>A4+1</f>
        <v>2</v>
      </c>
      <c r="B12">
        <v>1</v>
      </c>
      <c r="C12" t="s">
        <v>379</v>
      </c>
      <c r="D12" t="s">
        <v>22</v>
      </c>
      <c r="E12" t="s">
        <v>378</v>
      </c>
      <c r="F12"/>
      <c r="G12">
        <v>1</v>
      </c>
      <c r="H12">
        <v>50</v>
      </c>
      <c r="I12"/>
      <c r="J12" cm="1">
        <f t="array" ref="J12">_xlfn.SWITCH(B12,1,75,2,61,3,49,4,37,5,25,6,13,7,4,8,1)</f>
        <v>75</v>
      </c>
      <c r="K12" t="str" cm="1">
        <f t="array" ref="K12">IFERROR(_xlfn.SWITCH(L12,2,_xlfn.XLOOKUP(C12,[1]ModifierDes!$B:$B,[1]ModifierDes!$C:$C),3,_xlfn.XLOOKUP(C12,[1]StuntDes!$B:$B,[1]StuntDes!$C:$C)),"")</f>
        <v>火焰伤害倍率增加{0}</v>
      </c>
      <c r="L12">
        <f t="shared" si="0"/>
        <v>2</v>
      </c>
      <c r="M12" s="10" t="str">
        <f>IFERROR(_xlfn.XLOOKUP(C12,[1]StuntDes!$B:$B,[1]StuntDes!$A:$A),"")</f>
        <v/>
      </c>
      <c r="N12" s="10">
        <f>IFERROR(_xlfn.XLOOKUP(C12,[1]ModifierDes!$B:$B,[1]ModifierDes!$A:$A),"")</f>
        <v>10057</v>
      </c>
      <c r="O12" s="10" t="str">
        <f>IFERROR(_xlfn.XLOOKUP(C12,[1]AttributeName!$C:$C,[1]AttributeName!$B:$B),"")</f>
        <v/>
      </c>
      <c r="P12" s="10"/>
      <c r="Q12">
        <v>0.5</v>
      </c>
      <c r="R12">
        <v>0.7</v>
      </c>
      <c r="S12" cm="1">
        <f t="array" ref="S12">IFERROR(_xlfn.SWITCH(L12,1,_xlfn.XLOOKUP(O12,[1]AttributeName!$B:$B,[1]AttributeName!$D:$D),2,_xlfn.XLOOKUP(C12,#REF!,#REF!),3,_xlfn.XLOOKUP(C12,#REF!,#REF!)),0)</f>
        <v>0</v>
      </c>
      <c r="T12" cm="1">
        <f t="array" ref="T12">IFERROR(_xlfn.SWITCH(L12,1,_xlfn.XLOOKUP(O12,[1]AttributeName!$B:$B,[1]AttributeName!$E:$E),2,_xlfn.XLOOKUP(C12,#REF!,#REF!),3,_xlfn.XLOOKUP(C12,#REF!,#REF!)),0)</f>
        <v>0</v>
      </c>
    </row>
    <row r="13" customFormat="1" spans="1:20">
      <c r="A13">
        <f>A5+1</f>
        <v>2</v>
      </c>
      <c r="B13">
        <v>2</v>
      </c>
      <c r="C13" t="s">
        <v>379</v>
      </c>
      <c r="D13" t="s">
        <v>22</v>
      </c>
      <c r="E13" t="s">
        <v>378</v>
      </c>
      <c r="F13"/>
      <c r="G13">
        <v>1</v>
      </c>
      <c r="H13">
        <v>100</v>
      </c>
      <c r="I13"/>
      <c r="J13" cm="1">
        <f t="array" ref="J13">_xlfn.SWITCH(B13,1,75,2,61,3,49,4,37,5,25,6,13,7,4,8,1)</f>
        <v>61</v>
      </c>
      <c r="K13" t="str" cm="1">
        <f t="array" ref="K13">IFERROR(_xlfn.SWITCH(L13,2,_xlfn.XLOOKUP(C13,[1]ModifierDes!$B:$B,[1]ModifierDes!$C:$C),3,_xlfn.XLOOKUP(C13,[1]StuntDes!$B:$B,[1]StuntDes!$C:$C)),"")</f>
        <v>火焰伤害倍率增加{0}</v>
      </c>
      <c r="L13">
        <f t="shared" si="0"/>
        <v>2</v>
      </c>
      <c r="M13" s="10" t="str">
        <f>IFERROR(_xlfn.XLOOKUP(C13,[1]StuntDes!$B:$B,[1]StuntDes!$A:$A),"")</f>
        <v/>
      </c>
      <c r="N13" s="10">
        <f>IFERROR(_xlfn.XLOOKUP(C13,[1]ModifierDes!$B:$B,[1]ModifierDes!$A:$A),"")</f>
        <v>10057</v>
      </c>
      <c r="O13" s="10" t="str">
        <f>IFERROR(_xlfn.XLOOKUP(C13,[1]AttributeName!$C:$C,[1]AttributeName!$B:$B),"")</f>
        <v/>
      </c>
      <c r="P13" s="10"/>
      <c r="Q13">
        <v>0.44</v>
      </c>
      <c r="R13">
        <v>0.49</v>
      </c>
      <c r="S13" cm="1">
        <f t="array" ref="S13">IFERROR(_xlfn.SWITCH(L13,1,_xlfn.XLOOKUP(O13,[1]AttributeName!$B:$B,[1]AttributeName!$D:$D),2,_xlfn.XLOOKUP(C13,#REF!,#REF!),3,_xlfn.XLOOKUP(C13,#REF!,#REF!)),0)</f>
        <v>0</v>
      </c>
      <c r="T13" cm="1">
        <f t="array" ref="T13">IFERROR(_xlfn.SWITCH(L13,1,_xlfn.XLOOKUP(O13,[1]AttributeName!$B:$B,[1]AttributeName!$E:$E),2,_xlfn.XLOOKUP(C13,#REF!,#REF!),3,_xlfn.XLOOKUP(C13,#REF!,#REF!)),0)</f>
        <v>0</v>
      </c>
    </row>
    <row r="14" customFormat="1" spans="1:20">
      <c r="A14">
        <f t="shared" ref="A14:A19" si="1">A6+1</f>
        <v>2</v>
      </c>
      <c r="B14">
        <v>3</v>
      </c>
      <c r="C14" t="s">
        <v>379</v>
      </c>
      <c r="D14" t="s">
        <v>22</v>
      </c>
      <c r="E14" t="s">
        <v>378</v>
      </c>
      <c r="F14"/>
      <c r="G14">
        <v>1</v>
      </c>
      <c r="H14">
        <v>200</v>
      </c>
      <c r="I14"/>
      <c r="J14" cm="1">
        <f t="array" ref="J14">_xlfn.SWITCH(B14,1,75,2,61,3,49,4,37,5,25,6,13,7,4,8,1)</f>
        <v>49</v>
      </c>
      <c r="K14" t="str" cm="1">
        <f t="array" ref="K14">IFERROR(_xlfn.SWITCH(L14,2,_xlfn.XLOOKUP(C14,[1]ModifierDes!$B:$B,[1]ModifierDes!$C:$C),3,_xlfn.XLOOKUP(C14,[1]StuntDes!$B:$B,[1]StuntDes!$C:$C)),"")</f>
        <v>火焰伤害倍率增加{0}</v>
      </c>
      <c r="L14">
        <f t="shared" si="0"/>
        <v>2</v>
      </c>
      <c r="M14" s="10" t="str">
        <f>IFERROR(_xlfn.XLOOKUP(C14,[1]StuntDes!$B:$B,[1]StuntDes!$A:$A),"")</f>
        <v/>
      </c>
      <c r="N14" s="10">
        <f>IFERROR(_xlfn.XLOOKUP(C14,[1]ModifierDes!$B:$B,[1]ModifierDes!$A:$A),"")</f>
        <v>10057</v>
      </c>
      <c r="O14" s="10" t="str">
        <f>IFERROR(_xlfn.XLOOKUP(C14,[1]AttributeName!$C:$C,[1]AttributeName!$B:$B),"")</f>
        <v/>
      </c>
      <c r="P14" s="10"/>
      <c r="Q14">
        <v>0.38</v>
      </c>
      <c r="R14">
        <v>0.43</v>
      </c>
      <c r="S14" cm="1">
        <f t="array" ref="S14">IFERROR(_xlfn.SWITCH(L14,1,_xlfn.XLOOKUP(O14,[1]AttributeName!$B:$B,[1]AttributeName!$D:$D),2,_xlfn.XLOOKUP(C14,#REF!,#REF!),3,_xlfn.XLOOKUP(C14,#REF!,#REF!)),0)</f>
        <v>0</v>
      </c>
      <c r="T14" cm="1">
        <f t="array" ref="T14">IFERROR(_xlfn.SWITCH(L14,1,_xlfn.XLOOKUP(O14,[1]AttributeName!$B:$B,[1]AttributeName!$E:$E),2,_xlfn.XLOOKUP(C14,#REF!,#REF!),3,_xlfn.XLOOKUP(C14,#REF!,#REF!)),0)</f>
        <v>0</v>
      </c>
    </row>
    <row r="15" customFormat="1" spans="1:20">
      <c r="A15">
        <f t="shared" si="1"/>
        <v>2</v>
      </c>
      <c r="B15">
        <v>4</v>
      </c>
      <c r="C15" t="s">
        <v>379</v>
      </c>
      <c r="D15" t="s">
        <v>22</v>
      </c>
      <c r="E15" t="s">
        <v>378</v>
      </c>
      <c r="F15"/>
      <c r="G15">
        <v>1</v>
      </c>
      <c r="H15">
        <v>500</v>
      </c>
      <c r="I15"/>
      <c r="J15" cm="1">
        <f t="array" ref="J15">_xlfn.SWITCH(B15,1,75,2,61,3,49,4,37,5,25,6,13,7,4,8,1)</f>
        <v>37</v>
      </c>
      <c r="K15" t="str" cm="1">
        <f t="array" ref="K15">IFERROR(_xlfn.SWITCH(L15,2,_xlfn.XLOOKUP(C15,[1]ModifierDes!$B:$B,[1]ModifierDes!$C:$C),3,_xlfn.XLOOKUP(C15,[1]StuntDes!$B:$B,[1]StuntDes!$C:$C)),"")</f>
        <v>火焰伤害倍率增加{0}</v>
      </c>
      <c r="L15">
        <f t="shared" si="0"/>
        <v>2</v>
      </c>
      <c r="M15" s="10" t="str">
        <f>IFERROR(_xlfn.XLOOKUP(C15,[1]StuntDes!$B:$B,[1]StuntDes!$A:$A),"")</f>
        <v/>
      </c>
      <c r="N15" s="10">
        <f>IFERROR(_xlfn.XLOOKUP(C15,[1]ModifierDes!$B:$B,[1]ModifierDes!$A:$A),"")</f>
        <v>10057</v>
      </c>
      <c r="O15" s="10" t="str">
        <f>IFERROR(_xlfn.XLOOKUP(C15,[1]AttributeName!$C:$C,[1]AttributeName!$B:$B),"")</f>
        <v/>
      </c>
      <c r="P15" s="10"/>
      <c r="Q15">
        <v>0.32</v>
      </c>
      <c r="R15">
        <v>0.37</v>
      </c>
      <c r="S15" cm="1">
        <f t="array" ref="S15">IFERROR(_xlfn.SWITCH(L15,1,_xlfn.XLOOKUP(O15,[1]AttributeName!$B:$B,[1]AttributeName!$D:$D),2,_xlfn.XLOOKUP(C15,#REF!,#REF!),3,_xlfn.XLOOKUP(C15,#REF!,#REF!)),0)</f>
        <v>0</v>
      </c>
      <c r="T15" cm="1">
        <f t="array" ref="T15">IFERROR(_xlfn.SWITCH(L15,1,_xlfn.XLOOKUP(O15,[1]AttributeName!$B:$B,[1]AttributeName!$E:$E),2,_xlfn.XLOOKUP(C15,#REF!,#REF!),3,_xlfn.XLOOKUP(C15,#REF!,#REF!)),0)</f>
        <v>0</v>
      </c>
    </row>
    <row r="16" customFormat="1" spans="1:20">
      <c r="A16">
        <f t="shared" si="1"/>
        <v>2</v>
      </c>
      <c r="B16">
        <v>5</v>
      </c>
      <c r="C16" t="s">
        <v>379</v>
      </c>
      <c r="D16" t="s">
        <v>22</v>
      </c>
      <c r="E16" t="s">
        <v>378</v>
      </c>
      <c r="F16"/>
      <c r="G16">
        <v>1</v>
      </c>
      <c r="H16">
        <v>1000</v>
      </c>
      <c r="I16"/>
      <c r="J16" cm="1">
        <f t="array" ref="J16">_xlfn.SWITCH(B16,1,75,2,61,3,49,4,37,5,25,6,13,7,4,8,1)</f>
        <v>25</v>
      </c>
      <c r="K16" t="str" cm="1">
        <f t="array" ref="K16">IFERROR(_xlfn.SWITCH(L16,2,_xlfn.XLOOKUP(C16,[1]ModifierDes!$B:$B,[1]ModifierDes!$C:$C),3,_xlfn.XLOOKUP(C16,[1]StuntDes!$B:$B,[1]StuntDes!$C:$C)),"")</f>
        <v>火焰伤害倍率增加{0}</v>
      </c>
      <c r="L16">
        <f t="shared" si="0"/>
        <v>2</v>
      </c>
      <c r="M16" s="10" t="str">
        <f>IFERROR(_xlfn.XLOOKUP(C16,[1]StuntDes!$B:$B,[1]StuntDes!$A:$A),"")</f>
        <v/>
      </c>
      <c r="N16" s="10">
        <f>IFERROR(_xlfn.XLOOKUP(C16,[1]ModifierDes!$B:$B,[1]ModifierDes!$A:$A),"")</f>
        <v>10057</v>
      </c>
      <c r="O16" s="10" t="str">
        <f>IFERROR(_xlfn.XLOOKUP(C16,[1]AttributeName!$C:$C,[1]AttributeName!$B:$B),"")</f>
        <v/>
      </c>
      <c r="P16" s="10"/>
      <c r="Q16">
        <v>0.26</v>
      </c>
      <c r="R16">
        <v>0.31</v>
      </c>
      <c r="S16" cm="1">
        <f t="array" ref="S16">IFERROR(_xlfn.SWITCH(L16,1,_xlfn.XLOOKUP(O16,[1]AttributeName!$B:$B,[1]AttributeName!$D:$D),2,_xlfn.XLOOKUP(C16,#REF!,#REF!),3,_xlfn.XLOOKUP(C16,#REF!,#REF!)),0)</f>
        <v>0</v>
      </c>
      <c r="T16" cm="1">
        <f t="array" ref="T16">IFERROR(_xlfn.SWITCH(L16,1,_xlfn.XLOOKUP(O16,[1]AttributeName!$B:$B,[1]AttributeName!$E:$E),2,_xlfn.XLOOKUP(C16,#REF!,#REF!),3,_xlfn.XLOOKUP(C16,#REF!,#REF!)),0)</f>
        <v>0</v>
      </c>
    </row>
    <row r="17" customFormat="1" spans="1:20">
      <c r="A17">
        <f t="shared" si="1"/>
        <v>2</v>
      </c>
      <c r="B17">
        <v>6</v>
      </c>
      <c r="C17" t="s">
        <v>379</v>
      </c>
      <c r="D17" t="s">
        <v>22</v>
      </c>
      <c r="E17" t="s">
        <v>378</v>
      </c>
      <c r="F17"/>
      <c r="G17">
        <v>1</v>
      </c>
      <c r="H17">
        <v>1000</v>
      </c>
      <c r="I17"/>
      <c r="J17" cm="1">
        <f t="array" ref="J17">_xlfn.SWITCH(B17,1,75,2,61,3,49,4,37,5,25,6,13,7,4,8,1)</f>
        <v>13</v>
      </c>
      <c r="K17" t="str" cm="1">
        <f t="array" ref="K17">IFERROR(_xlfn.SWITCH(L17,2,_xlfn.XLOOKUP(C17,[1]ModifierDes!$B:$B,[1]ModifierDes!$C:$C),3,_xlfn.XLOOKUP(C17,[1]StuntDes!$B:$B,[1]StuntDes!$C:$C)),"")</f>
        <v>火焰伤害倍率增加{0}</v>
      </c>
      <c r="L17">
        <f t="shared" si="0"/>
        <v>2</v>
      </c>
      <c r="M17" s="10" t="str">
        <f>IFERROR(_xlfn.XLOOKUP(C17,[1]StuntDes!$B:$B,[1]StuntDes!$A:$A),"")</f>
        <v/>
      </c>
      <c r="N17" s="10">
        <f>IFERROR(_xlfn.XLOOKUP(C17,[1]ModifierDes!$B:$B,[1]ModifierDes!$A:$A),"")</f>
        <v>10057</v>
      </c>
      <c r="O17" s="10" t="str">
        <f>IFERROR(_xlfn.XLOOKUP(C17,[1]AttributeName!$C:$C,[1]AttributeName!$B:$B),"")</f>
        <v/>
      </c>
      <c r="P17" s="10"/>
      <c r="Q17">
        <v>0.2</v>
      </c>
      <c r="R17">
        <v>0.25</v>
      </c>
      <c r="S17" cm="1">
        <f t="array" ref="S17">IFERROR(_xlfn.SWITCH(L17,1,_xlfn.XLOOKUP(O17,[1]AttributeName!$B:$B,[1]AttributeName!$D:$D),2,_xlfn.XLOOKUP(C17,#REF!,#REF!),3,_xlfn.XLOOKUP(C17,#REF!,#REF!)),0)</f>
        <v>0</v>
      </c>
      <c r="T17" cm="1">
        <f t="array" ref="T17">IFERROR(_xlfn.SWITCH(L17,1,_xlfn.XLOOKUP(O17,[1]AttributeName!$B:$B,[1]AttributeName!$E:$E),2,_xlfn.XLOOKUP(C17,#REF!,#REF!),3,_xlfn.XLOOKUP(C17,#REF!,#REF!)),0)</f>
        <v>0</v>
      </c>
    </row>
    <row r="18" customFormat="1" spans="1:20">
      <c r="A18">
        <f t="shared" si="1"/>
        <v>2</v>
      </c>
      <c r="B18">
        <v>7</v>
      </c>
      <c r="C18" t="s">
        <v>379</v>
      </c>
      <c r="D18" t="s">
        <v>22</v>
      </c>
      <c r="E18" t="s">
        <v>378</v>
      </c>
      <c r="F18"/>
      <c r="G18">
        <v>1</v>
      </c>
      <c r="H18">
        <v>1000</v>
      </c>
      <c r="I18"/>
      <c r="J18" cm="1">
        <f t="array" ref="J18">_xlfn.SWITCH(B18,1,75,2,61,3,49,4,37,5,25,6,13,7,4,8,1)</f>
        <v>4</v>
      </c>
      <c r="K18" t="str" cm="1">
        <f t="array" ref="K18">IFERROR(_xlfn.SWITCH(L18,2,_xlfn.XLOOKUP(C18,[1]ModifierDes!$B:$B,[1]ModifierDes!$C:$C),3,_xlfn.XLOOKUP(C18,[1]StuntDes!$B:$B,[1]StuntDes!$C:$C)),"")</f>
        <v>火焰伤害倍率增加{0}</v>
      </c>
      <c r="L18">
        <f t="shared" si="0"/>
        <v>2</v>
      </c>
      <c r="M18" s="10" t="str">
        <f>IFERROR(_xlfn.XLOOKUP(C18,[1]StuntDes!$B:$B,[1]StuntDes!$A:$A),"")</f>
        <v/>
      </c>
      <c r="N18" s="10">
        <f>IFERROR(_xlfn.XLOOKUP(C18,[1]ModifierDes!$B:$B,[1]ModifierDes!$A:$A),"")</f>
        <v>10057</v>
      </c>
      <c r="O18" s="10" t="str">
        <f>IFERROR(_xlfn.XLOOKUP(C18,[1]AttributeName!$C:$C,[1]AttributeName!$B:$B),"")</f>
        <v/>
      </c>
      <c r="P18" s="10"/>
      <c r="Q18">
        <v>0.14</v>
      </c>
      <c r="R18">
        <v>0.19</v>
      </c>
      <c r="S18" cm="1">
        <f t="array" ref="S18">IFERROR(_xlfn.SWITCH(L18,1,_xlfn.XLOOKUP(O18,[1]AttributeName!$B:$B,[1]AttributeName!$D:$D),2,_xlfn.XLOOKUP(C18,#REF!,#REF!),3,_xlfn.XLOOKUP(C18,#REF!,#REF!)),0)</f>
        <v>0</v>
      </c>
      <c r="T18" cm="1">
        <f t="array" ref="T18">IFERROR(_xlfn.SWITCH(L18,1,_xlfn.XLOOKUP(O18,[1]AttributeName!$B:$B,[1]AttributeName!$E:$E),2,_xlfn.XLOOKUP(C18,#REF!,#REF!),3,_xlfn.XLOOKUP(C18,#REF!,#REF!)),0)</f>
        <v>0</v>
      </c>
    </row>
    <row r="19" customFormat="1" spans="1:20">
      <c r="A19">
        <f t="shared" si="1"/>
        <v>2</v>
      </c>
      <c r="B19">
        <v>8</v>
      </c>
      <c r="C19" t="s">
        <v>379</v>
      </c>
      <c r="D19" t="s">
        <v>22</v>
      </c>
      <c r="E19" t="s">
        <v>378</v>
      </c>
      <c r="F19"/>
      <c r="G19">
        <v>1</v>
      </c>
      <c r="H19">
        <v>1000</v>
      </c>
      <c r="I19"/>
      <c r="J19" cm="1">
        <f t="array" ref="J19">_xlfn.SWITCH(B19,1,75,2,61,3,49,4,37,5,25,6,13,7,4,8,1)</f>
        <v>1</v>
      </c>
      <c r="K19" t="str" cm="1">
        <f t="array" ref="K19">IFERROR(_xlfn.SWITCH(L19,2,_xlfn.XLOOKUP(C19,[1]ModifierDes!$B:$B,[1]ModifierDes!$C:$C),3,_xlfn.XLOOKUP(C19,[1]StuntDes!$B:$B,[1]StuntDes!$C:$C)),"")</f>
        <v>火焰伤害倍率增加{0}</v>
      </c>
      <c r="L19">
        <f t="shared" si="0"/>
        <v>2</v>
      </c>
      <c r="M19" s="10" t="str">
        <f>IFERROR(_xlfn.XLOOKUP(C19,[1]StuntDes!$B:$B,[1]StuntDes!$A:$A),"")</f>
        <v/>
      </c>
      <c r="N19" s="10">
        <f>IFERROR(_xlfn.XLOOKUP(C19,[1]ModifierDes!$B:$B,[1]ModifierDes!$A:$A),"")</f>
        <v>10057</v>
      </c>
      <c r="O19" s="10" t="str">
        <f>IFERROR(_xlfn.XLOOKUP(C19,[1]AttributeName!$C:$C,[1]AttributeName!$B:$B),"")</f>
        <v/>
      </c>
      <c r="P19" s="10"/>
      <c r="Q19">
        <v>0.08</v>
      </c>
      <c r="R19">
        <v>0.13</v>
      </c>
      <c r="S19" cm="1">
        <f t="array" ref="S19">IFERROR(_xlfn.SWITCH(L19,1,_xlfn.XLOOKUP(O19,[1]AttributeName!$B:$B,[1]AttributeName!$D:$D),2,_xlfn.XLOOKUP(C19,#REF!,#REF!),3,_xlfn.XLOOKUP(C19,#REF!,#REF!)),0)</f>
        <v>0</v>
      </c>
      <c r="T19" cm="1">
        <f t="array" ref="T19">IFERROR(_xlfn.SWITCH(L19,1,_xlfn.XLOOKUP(O19,[1]AttributeName!$B:$B,[1]AttributeName!$E:$E),2,_xlfn.XLOOKUP(C19,#REF!,#REF!),3,_xlfn.XLOOKUP(C19,#REF!,#REF!)),0)</f>
        <v>0</v>
      </c>
    </row>
    <row r="20" customFormat="1" spans="1:20">
      <c r="A20">
        <f t="shared" ref="A20:A33" si="2">A12+1</f>
        <v>3</v>
      </c>
      <c r="B20">
        <v>1</v>
      </c>
      <c r="C20" t="s">
        <v>380</v>
      </c>
      <c r="D20" t="s">
        <v>22</v>
      </c>
      <c r="E20" t="s">
        <v>378</v>
      </c>
      <c r="F20"/>
      <c r="G20">
        <v>1</v>
      </c>
      <c r="H20">
        <v>50</v>
      </c>
      <c r="I20"/>
      <c r="J20" cm="1">
        <f t="array" ref="J20">_xlfn.SWITCH(B20,1,75,2,61,3,49,4,37,5,25,6,13,7,4,8,1)</f>
        <v>75</v>
      </c>
      <c r="K20" t="str" cm="1">
        <f t="array" ref="K20">IFERROR(_xlfn.SWITCH(L20,2,_xlfn.XLOOKUP(C20,[1]ModifierDes!$B:$B,[1]ModifierDes!$C:$C),3,_xlfn.XLOOKUP(C20,[1]StuntDes!$B:$B,[1]StuntDes!$C:$C)),"")</f>
        <v>冰冷伤害倍率增加{0}</v>
      </c>
      <c r="L20">
        <f t="shared" si="0"/>
        <v>2</v>
      </c>
      <c r="M20" s="10" t="str">
        <f>IFERROR(_xlfn.XLOOKUP(C20,[1]StuntDes!$B:$B,[1]StuntDes!$A:$A),"")</f>
        <v/>
      </c>
      <c r="N20" s="10">
        <f>IFERROR(_xlfn.XLOOKUP(C20,[1]ModifierDes!$B:$B,[1]ModifierDes!$A:$A),"")</f>
        <v>10058</v>
      </c>
      <c r="O20" s="10" t="str">
        <f>IFERROR(_xlfn.XLOOKUP(C20,[1]AttributeName!$C:$C,[1]AttributeName!$B:$B),"")</f>
        <v/>
      </c>
      <c r="P20" s="10"/>
      <c r="Q20">
        <v>0.5</v>
      </c>
      <c r="R20">
        <v>0.7</v>
      </c>
      <c r="S20" cm="1">
        <f t="array" ref="S20">IFERROR(_xlfn.SWITCH(L20,1,_xlfn.XLOOKUP(O20,[1]AttributeName!$B:$B,[1]AttributeName!$D:$D),2,_xlfn.XLOOKUP(C20,#REF!,#REF!),3,_xlfn.XLOOKUP(C20,#REF!,#REF!)),0)</f>
        <v>0</v>
      </c>
      <c r="T20" cm="1">
        <f t="array" ref="T20">IFERROR(_xlfn.SWITCH(L20,1,_xlfn.XLOOKUP(O20,[1]AttributeName!$B:$B,[1]AttributeName!$E:$E),2,_xlfn.XLOOKUP(C20,#REF!,#REF!),3,_xlfn.XLOOKUP(C20,#REF!,#REF!)),0)</f>
        <v>0</v>
      </c>
    </row>
    <row r="21" customFormat="1" spans="1:20">
      <c r="A21">
        <f t="shared" si="2"/>
        <v>3</v>
      </c>
      <c r="B21">
        <v>2</v>
      </c>
      <c r="C21" t="s">
        <v>380</v>
      </c>
      <c r="D21" t="s">
        <v>22</v>
      </c>
      <c r="E21" t="s">
        <v>378</v>
      </c>
      <c r="F21"/>
      <c r="G21">
        <v>1</v>
      </c>
      <c r="H21">
        <v>100</v>
      </c>
      <c r="I21"/>
      <c r="J21" cm="1">
        <f t="array" ref="J21">_xlfn.SWITCH(B21,1,75,2,61,3,49,4,37,5,25,6,13,7,4,8,1)</f>
        <v>61</v>
      </c>
      <c r="K21" t="str" cm="1">
        <f t="array" ref="K21">IFERROR(_xlfn.SWITCH(L21,2,_xlfn.XLOOKUP(C21,[1]ModifierDes!$B:$B,[1]ModifierDes!$C:$C),3,_xlfn.XLOOKUP(C21,[1]StuntDes!$B:$B,[1]StuntDes!$C:$C)),"")</f>
        <v>冰冷伤害倍率增加{0}</v>
      </c>
      <c r="L21">
        <f t="shared" si="0"/>
        <v>2</v>
      </c>
      <c r="M21" s="10" t="str">
        <f>IFERROR(_xlfn.XLOOKUP(C21,[1]StuntDes!$B:$B,[1]StuntDes!$A:$A),"")</f>
        <v/>
      </c>
      <c r="N21" s="10">
        <f>IFERROR(_xlfn.XLOOKUP(C21,[1]ModifierDes!$B:$B,[1]ModifierDes!$A:$A),"")</f>
        <v>10058</v>
      </c>
      <c r="O21" s="10" t="str">
        <f>IFERROR(_xlfn.XLOOKUP(C21,[1]AttributeName!$C:$C,[1]AttributeName!$B:$B),"")</f>
        <v/>
      </c>
      <c r="P21" s="10"/>
      <c r="Q21">
        <v>0.44</v>
      </c>
      <c r="R21">
        <v>0.49</v>
      </c>
      <c r="S21" cm="1">
        <f t="array" ref="S21">IFERROR(_xlfn.SWITCH(L21,1,_xlfn.XLOOKUP(O21,[1]AttributeName!$B:$B,[1]AttributeName!$D:$D),2,_xlfn.XLOOKUP(C21,#REF!,#REF!),3,_xlfn.XLOOKUP(C21,#REF!,#REF!)),0)</f>
        <v>0</v>
      </c>
      <c r="T21" cm="1">
        <f t="array" ref="T21">IFERROR(_xlfn.SWITCH(L21,1,_xlfn.XLOOKUP(O21,[1]AttributeName!$B:$B,[1]AttributeName!$E:$E),2,_xlfn.XLOOKUP(C21,#REF!,#REF!),3,_xlfn.XLOOKUP(C21,#REF!,#REF!)),0)</f>
        <v>0</v>
      </c>
    </row>
    <row r="22" customFormat="1" spans="1:20">
      <c r="A22">
        <f t="shared" si="2"/>
        <v>3</v>
      </c>
      <c r="B22">
        <v>3</v>
      </c>
      <c r="C22" t="s">
        <v>380</v>
      </c>
      <c r="D22" t="s">
        <v>22</v>
      </c>
      <c r="E22" t="s">
        <v>378</v>
      </c>
      <c r="F22"/>
      <c r="G22">
        <v>1</v>
      </c>
      <c r="H22">
        <v>200</v>
      </c>
      <c r="I22"/>
      <c r="J22" cm="1">
        <f t="array" ref="J22">_xlfn.SWITCH(B22,1,75,2,61,3,49,4,37,5,25,6,13,7,4,8,1)</f>
        <v>49</v>
      </c>
      <c r="K22" t="str" cm="1">
        <f t="array" ref="K22">IFERROR(_xlfn.SWITCH(L22,2,_xlfn.XLOOKUP(C22,[1]ModifierDes!$B:$B,[1]ModifierDes!$C:$C),3,_xlfn.XLOOKUP(C22,[1]StuntDes!$B:$B,[1]StuntDes!$C:$C)),"")</f>
        <v>冰冷伤害倍率增加{0}</v>
      </c>
      <c r="L22">
        <f t="shared" si="0"/>
        <v>2</v>
      </c>
      <c r="M22" s="10" t="str">
        <f>IFERROR(_xlfn.XLOOKUP(C22,[1]StuntDes!$B:$B,[1]StuntDes!$A:$A),"")</f>
        <v/>
      </c>
      <c r="N22" s="10">
        <f>IFERROR(_xlfn.XLOOKUP(C22,[1]ModifierDes!$B:$B,[1]ModifierDes!$A:$A),"")</f>
        <v>10058</v>
      </c>
      <c r="O22" s="10" t="str">
        <f>IFERROR(_xlfn.XLOOKUP(C22,[1]AttributeName!$C:$C,[1]AttributeName!$B:$B),"")</f>
        <v/>
      </c>
      <c r="P22" s="10"/>
      <c r="Q22">
        <v>0.38</v>
      </c>
      <c r="R22">
        <v>0.43</v>
      </c>
      <c r="S22" cm="1">
        <f t="array" ref="S22">IFERROR(_xlfn.SWITCH(L22,1,_xlfn.XLOOKUP(O22,[1]AttributeName!$B:$B,[1]AttributeName!$D:$D),2,_xlfn.XLOOKUP(C22,#REF!,#REF!),3,_xlfn.XLOOKUP(C22,#REF!,#REF!)),0)</f>
        <v>0</v>
      </c>
      <c r="T22" cm="1">
        <f t="array" ref="T22">IFERROR(_xlfn.SWITCH(L22,1,_xlfn.XLOOKUP(O22,[1]AttributeName!$B:$B,[1]AttributeName!$E:$E),2,_xlfn.XLOOKUP(C22,#REF!,#REF!),3,_xlfn.XLOOKUP(C22,#REF!,#REF!)),0)</f>
        <v>0</v>
      </c>
    </row>
    <row r="23" customFormat="1" spans="1:20">
      <c r="A23">
        <f t="shared" si="2"/>
        <v>3</v>
      </c>
      <c r="B23">
        <v>4</v>
      </c>
      <c r="C23" t="s">
        <v>380</v>
      </c>
      <c r="D23" t="s">
        <v>22</v>
      </c>
      <c r="E23" t="s">
        <v>378</v>
      </c>
      <c r="F23"/>
      <c r="G23">
        <v>1</v>
      </c>
      <c r="H23">
        <v>500</v>
      </c>
      <c r="I23"/>
      <c r="J23" cm="1">
        <f t="array" ref="J23">_xlfn.SWITCH(B23,1,75,2,61,3,49,4,37,5,25,6,13,7,4,8,1)</f>
        <v>37</v>
      </c>
      <c r="K23" t="str" cm="1">
        <f t="array" ref="K23">IFERROR(_xlfn.SWITCH(L23,2,_xlfn.XLOOKUP(C23,[1]ModifierDes!$B:$B,[1]ModifierDes!$C:$C),3,_xlfn.XLOOKUP(C23,[1]StuntDes!$B:$B,[1]StuntDes!$C:$C)),"")</f>
        <v>冰冷伤害倍率增加{0}</v>
      </c>
      <c r="L23">
        <f t="shared" si="0"/>
        <v>2</v>
      </c>
      <c r="M23" s="10" t="str">
        <f>IFERROR(_xlfn.XLOOKUP(C23,[1]StuntDes!$B:$B,[1]StuntDes!$A:$A),"")</f>
        <v/>
      </c>
      <c r="N23" s="10">
        <f>IFERROR(_xlfn.XLOOKUP(C23,[1]ModifierDes!$B:$B,[1]ModifierDes!$A:$A),"")</f>
        <v>10058</v>
      </c>
      <c r="O23" s="10" t="str">
        <f>IFERROR(_xlfn.XLOOKUP(C23,[1]AttributeName!$C:$C,[1]AttributeName!$B:$B),"")</f>
        <v/>
      </c>
      <c r="P23" s="10"/>
      <c r="Q23">
        <v>0.32</v>
      </c>
      <c r="R23">
        <v>0.37</v>
      </c>
      <c r="S23" cm="1">
        <f t="array" ref="S23">IFERROR(_xlfn.SWITCH(L23,1,_xlfn.XLOOKUP(O23,[1]AttributeName!$B:$B,[1]AttributeName!$D:$D),2,_xlfn.XLOOKUP(C23,#REF!,#REF!),3,_xlfn.XLOOKUP(C23,#REF!,#REF!)),0)</f>
        <v>0</v>
      </c>
      <c r="T23" cm="1">
        <f t="array" ref="T23">IFERROR(_xlfn.SWITCH(L23,1,_xlfn.XLOOKUP(O23,[1]AttributeName!$B:$B,[1]AttributeName!$E:$E),2,_xlfn.XLOOKUP(C23,#REF!,#REF!),3,_xlfn.XLOOKUP(C23,#REF!,#REF!)),0)</f>
        <v>0</v>
      </c>
    </row>
    <row r="24" customFormat="1" spans="1:20">
      <c r="A24">
        <f t="shared" si="2"/>
        <v>3</v>
      </c>
      <c r="B24">
        <v>5</v>
      </c>
      <c r="C24" t="s">
        <v>380</v>
      </c>
      <c r="D24" t="s">
        <v>22</v>
      </c>
      <c r="E24" t="s">
        <v>378</v>
      </c>
      <c r="F24"/>
      <c r="G24">
        <v>1</v>
      </c>
      <c r="H24">
        <v>1000</v>
      </c>
      <c r="I24"/>
      <c r="J24" cm="1">
        <f t="array" ref="J24">_xlfn.SWITCH(B24,1,75,2,61,3,49,4,37,5,25,6,13,7,4,8,1)</f>
        <v>25</v>
      </c>
      <c r="K24" t="str" cm="1">
        <f t="array" ref="K24">IFERROR(_xlfn.SWITCH(L24,2,_xlfn.XLOOKUP(C24,[1]ModifierDes!$B:$B,[1]ModifierDes!$C:$C),3,_xlfn.XLOOKUP(C24,[1]StuntDes!$B:$B,[1]StuntDes!$C:$C)),"")</f>
        <v>冰冷伤害倍率增加{0}</v>
      </c>
      <c r="L24">
        <f t="shared" si="0"/>
        <v>2</v>
      </c>
      <c r="M24" s="10" t="str">
        <f>IFERROR(_xlfn.XLOOKUP(C24,[1]StuntDes!$B:$B,[1]StuntDes!$A:$A),"")</f>
        <v/>
      </c>
      <c r="N24" s="10">
        <f>IFERROR(_xlfn.XLOOKUP(C24,[1]ModifierDes!$B:$B,[1]ModifierDes!$A:$A),"")</f>
        <v>10058</v>
      </c>
      <c r="O24" s="10" t="str">
        <f>IFERROR(_xlfn.XLOOKUP(C24,[1]AttributeName!$C:$C,[1]AttributeName!$B:$B),"")</f>
        <v/>
      </c>
      <c r="P24" s="10"/>
      <c r="Q24">
        <v>0.26</v>
      </c>
      <c r="R24">
        <v>0.31</v>
      </c>
      <c r="S24" cm="1">
        <f t="array" ref="S24">IFERROR(_xlfn.SWITCH(L24,1,_xlfn.XLOOKUP(O24,[1]AttributeName!$B:$B,[1]AttributeName!$D:$D),2,_xlfn.XLOOKUP(C24,#REF!,#REF!),3,_xlfn.XLOOKUP(C24,#REF!,#REF!)),0)</f>
        <v>0</v>
      </c>
      <c r="T24" cm="1">
        <f t="array" ref="T24">IFERROR(_xlfn.SWITCH(L24,1,_xlfn.XLOOKUP(O24,[1]AttributeName!$B:$B,[1]AttributeName!$E:$E),2,_xlfn.XLOOKUP(C24,#REF!,#REF!),3,_xlfn.XLOOKUP(C24,#REF!,#REF!)),0)</f>
        <v>0</v>
      </c>
    </row>
    <row r="25" customFormat="1" spans="1:20">
      <c r="A25">
        <f t="shared" si="2"/>
        <v>3</v>
      </c>
      <c r="B25">
        <v>6</v>
      </c>
      <c r="C25" t="s">
        <v>380</v>
      </c>
      <c r="D25" t="s">
        <v>22</v>
      </c>
      <c r="E25" t="s">
        <v>378</v>
      </c>
      <c r="F25"/>
      <c r="G25">
        <v>1</v>
      </c>
      <c r="H25">
        <v>1000</v>
      </c>
      <c r="I25"/>
      <c r="J25" cm="1">
        <f t="array" ref="J25">_xlfn.SWITCH(B25,1,75,2,61,3,49,4,37,5,25,6,13,7,4,8,1)</f>
        <v>13</v>
      </c>
      <c r="K25" t="str" cm="1">
        <f t="array" ref="K25">IFERROR(_xlfn.SWITCH(L25,2,_xlfn.XLOOKUP(C25,[1]ModifierDes!$B:$B,[1]ModifierDes!$C:$C),3,_xlfn.XLOOKUP(C25,[1]StuntDes!$B:$B,[1]StuntDes!$C:$C)),"")</f>
        <v>冰冷伤害倍率增加{0}</v>
      </c>
      <c r="L25">
        <f t="shared" si="0"/>
        <v>2</v>
      </c>
      <c r="M25" s="10" t="str">
        <f>IFERROR(_xlfn.XLOOKUP(C25,[1]StuntDes!$B:$B,[1]StuntDes!$A:$A),"")</f>
        <v/>
      </c>
      <c r="N25" s="10">
        <f>IFERROR(_xlfn.XLOOKUP(C25,[1]ModifierDes!$B:$B,[1]ModifierDes!$A:$A),"")</f>
        <v>10058</v>
      </c>
      <c r="O25" s="10" t="str">
        <f>IFERROR(_xlfn.XLOOKUP(C25,[1]AttributeName!$C:$C,[1]AttributeName!$B:$B),"")</f>
        <v/>
      </c>
      <c r="P25" s="10"/>
      <c r="Q25">
        <v>0.2</v>
      </c>
      <c r="R25">
        <v>0.25</v>
      </c>
      <c r="S25" cm="1">
        <f t="array" ref="S25">IFERROR(_xlfn.SWITCH(L25,1,_xlfn.XLOOKUP(O25,[1]AttributeName!$B:$B,[1]AttributeName!$D:$D),2,_xlfn.XLOOKUP(C25,#REF!,#REF!),3,_xlfn.XLOOKUP(C25,#REF!,#REF!)),0)</f>
        <v>0</v>
      </c>
      <c r="T25" cm="1">
        <f t="array" ref="T25">IFERROR(_xlfn.SWITCH(L25,1,_xlfn.XLOOKUP(O25,[1]AttributeName!$B:$B,[1]AttributeName!$E:$E),2,_xlfn.XLOOKUP(C25,#REF!,#REF!),3,_xlfn.XLOOKUP(C25,#REF!,#REF!)),0)</f>
        <v>0</v>
      </c>
    </row>
    <row r="26" customFormat="1" spans="1:20">
      <c r="A26">
        <f t="shared" si="2"/>
        <v>3</v>
      </c>
      <c r="B26">
        <v>7</v>
      </c>
      <c r="C26" t="s">
        <v>380</v>
      </c>
      <c r="D26" t="s">
        <v>22</v>
      </c>
      <c r="E26" t="s">
        <v>378</v>
      </c>
      <c r="F26"/>
      <c r="G26">
        <v>1</v>
      </c>
      <c r="H26">
        <v>1000</v>
      </c>
      <c r="I26"/>
      <c r="J26" cm="1">
        <f t="array" ref="J26">_xlfn.SWITCH(B26,1,75,2,61,3,49,4,37,5,25,6,13,7,4,8,1)</f>
        <v>4</v>
      </c>
      <c r="K26" t="str" cm="1">
        <f t="array" ref="K26">IFERROR(_xlfn.SWITCH(L26,2,_xlfn.XLOOKUP(C26,[1]ModifierDes!$B:$B,[1]ModifierDes!$C:$C),3,_xlfn.XLOOKUP(C26,[1]StuntDes!$B:$B,[1]StuntDes!$C:$C)),"")</f>
        <v>冰冷伤害倍率增加{0}</v>
      </c>
      <c r="L26">
        <f t="shared" si="0"/>
        <v>2</v>
      </c>
      <c r="M26" s="10" t="str">
        <f>IFERROR(_xlfn.XLOOKUP(C26,[1]StuntDes!$B:$B,[1]StuntDes!$A:$A),"")</f>
        <v/>
      </c>
      <c r="N26" s="10">
        <f>IFERROR(_xlfn.XLOOKUP(C26,[1]ModifierDes!$B:$B,[1]ModifierDes!$A:$A),"")</f>
        <v>10058</v>
      </c>
      <c r="O26" s="10" t="str">
        <f>IFERROR(_xlfn.XLOOKUP(C26,[1]AttributeName!$C:$C,[1]AttributeName!$B:$B),"")</f>
        <v/>
      </c>
      <c r="P26" s="10"/>
      <c r="Q26">
        <v>0.14</v>
      </c>
      <c r="R26">
        <v>0.19</v>
      </c>
      <c r="S26" cm="1">
        <f t="array" ref="S26">IFERROR(_xlfn.SWITCH(L26,1,_xlfn.XLOOKUP(O26,[1]AttributeName!$B:$B,[1]AttributeName!$D:$D),2,_xlfn.XLOOKUP(C26,#REF!,#REF!),3,_xlfn.XLOOKUP(C26,#REF!,#REF!)),0)</f>
        <v>0</v>
      </c>
      <c r="T26" cm="1">
        <f t="array" ref="T26">IFERROR(_xlfn.SWITCH(L26,1,_xlfn.XLOOKUP(O26,[1]AttributeName!$B:$B,[1]AttributeName!$E:$E),2,_xlfn.XLOOKUP(C26,#REF!,#REF!),3,_xlfn.XLOOKUP(C26,#REF!,#REF!)),0)</f>
        <v>0</v>
      </c>
    </row>
    <row r="27" customFormat="1" spans="1:20">
      <c r="A27">
        <f t="shared" si="2"/>
        <v>3</v>
      </c>
      <c r="B27">
        <v>8</v>
      </c>
      <c r="C27" t="s">
        <v>380</v>
      </c>
      <c r="D27" t="s">
        <v>22</v>
      </c>
      <c r="E27" t="s">
        <v>378</v>
      </c>
      <c r="F27"/>
      <c r="G27">
        <v>1</v>
      </c>
      <c r="H27">
        <v>1000</v>
      </c>
      <c r="I27"/>
      <c r="J27" cm="1">
        <f t="array" ref="J27">_xlfn.SWITCH(B27,1,75,2,61,3,49,4,37,5,25,6,13,7,4,8,1)</f>
        <v>1</v>
      </c>
      <c r="K27" t="str" cm="1">
        <f t="array" ref="K27">IFERROR(_xlfn.SWITCH(L27,2,_xlfn.XLOOKUP(C27,[1]ModifierDes!$B:$B,[1]ModifierDes!$C:$C),3,_xlfn.XLOOKUP(C27,[1]StuntDes!$B:$B,[1]StuntDes!$C:$C)),"")</f>
        <v>冰冷伤害倍率增加{0}</v>
      </c>
      <c r="L27">
        <f t="shared" si="0"/>
        <v>2</v>
      </c>
      <c r="M27" s="10" t="str">
        <f>IFERROR(_xlfn.XLOOKUP(C27,[1]StuntDes!$B:$B,[1]StuntDes!$A:$A),"")</f>
        <v/>
      </c>
      <c r="N27" s="10">
        <f>IFERROR(_xlfn.XLOOKUP(C27,[1]ModifierDes!$B:$B,[1]ModifierDes!$A:$A),"")</f>
        <v>10058</v>
      </c>
      <c r="O27" s="10" t="str">
        <f>IFERROR(_xlfn.XLOOKUP(C27,[1]AttributeName!$C:$C,[1]AttributeName!$B:$B),"")</f>
        <v/>
      </c>
      <c r="P27" s="10"/>
      <c r="Q27">
        <v>0.08</v>
      </c>
      <c r="R27">
        <v>0.13</v>
      </c>
      <c r="S27" cm="1">
        <f t="array" ref="S27">IFERROR(_xlfn.SWITCH(L27,1,_xlfn.XLOOKUP(O27,[1]AttributeName!$B:$B,[1]AttributeName!$D:$D),2,_xlfn.XLOOKUP(C27,#REF!,#REF!),3,_xlfn.XLOOKUP(C27,#REF!,#REF!)),0)</f>
        <v>0</v>
      </c>
      <c r="T27" cm="1">
        <f t="array" ref="T27">IFERROR(_xlfn.SWITCH(L27,1,_xlfn.XLOOKUP(O27,[1]AttributeName!$B:$B,[1]AttributeName!$E:$E),2,_xlfn.XLOOKUP(C27,#REF!,#REF!),3,_xlfn.XLOOKUP(C27,#REF!,#REF!)),0)</f>
        <v>0</v>
      </c>
    </row>
    <row r="28" customFormat="1" spans="1:20">
      <c r="A28">
        <f t="shared" si="2"/>
        <v>4</v>
      </c>
      <c r="B28">
        <v>1</v>
      </c>
      <c r="C28" t="s">
        <v>381</v>
      </c>
      <c r="D28" t="s">
        <v>22</v>
      </c>
      <c r="E28" t="s">
        <v>378</v>
      </c>
      <c r="F28"/>
      <c r="G28">
        <v>1</v>
      </c>
      <c r="H28">
        <v>50</v>
      </c>
      <c r="I28"/>
      <c r="J28" cm="1">
        <f t="array" ref="J28">_xlfn.SWITCH(B28,1,75,2,61,3,49,4,37,5,25,6,13,7,4,8,1)</f>
        <v>75</v>
      </c>
      <c r="K28" t="str" cm="1">
        <f t="array" ref="K28">IFERROR(_xlfn.SWITCH(L28,2,_xlfn.XLOOKUP(C28,[1]ModifierDes!$B:$B,[1]ModifierDes!$C:$C),3,_xlfn.XLOOKUP(C28,[1]StuntDes!$B:$B,[1]StuntDes!$C:$C)),"")</f>
        <v>闪电伤害倍率增加{0}</v>
      </c>
      <c r="L28">
        <f t="shared" si="0"/>
        <v>2</v>
      </c>
      <c r="M28" s="10" t="str">
        <f>IFERROR(_xlfn.XLOOKUP(C28,[1]StuntDes!$B:$B,[1]StuntDes!$A:$A),"")</f>
        <v/>
      </c>
      <c r="N28" s="10">
        <f>IFERROR(_xlfn.XLOOKUP(C28,[1]ModifierDes!$B:$B,[1]ModifierDes!$A:$A),"")</f>
        <v>10059</v>
      </c>
      <c r="O28" s="10" t="str">
        <f>IFERROR(_xlfn.XLOOKUP(C28,[1]AttributeName!$C:$C,[1]AttributeName!$B:$B),"")</f>
        <v/>
      </c>
      <c r="P28" s="10"/>
      <c r="Q28">
        <v>0.5</v>
      </c>
      <c r="R28">
        <v>0.7</v>
      </c>
      <c r="S28" cm="1">
        <f t="array" ref="S28">IFERROR(_xlfn.SWITCH(L28,1,_xlfn.XLOOKUP(O28,[1]AttributeName!$B:$B,[1]AttributeName!$D:$D),2,_xlfn.XLOOKUP(C28,#REF!,#REF!),3,_xlfn.XLOOKUP(C28,#REF!,#REF!)),0)</f>
        <v>0</v>
      </c>
      <c r="T28" cm="1">
        <f t="array" ref="T28">IFERROR(_xlfn.SWITCH(L28,1,_xlfn.XLOOKUP(O28,[1]AttributeName!$B:$B,[1]AttributeName!$E:$E),2,_xlfn.XLOOKUP(C28,#REF!,#REF!),3,_xlfn.XLOOKUP(C28,#REF!,#REF!)),0)</f>
        <v>0</v>
      </c>
    </row>
    <row r="29" customFormat="1" spans="1:20">
      <c r="A29">
        <f t="shared" si="2"/>
        <v>4</v>
      </c>
      <c r="B29">
        <v>2</v>
      </c>
      <c r="C29" t="s">
        <v>381</v>
      </c>
      <c r="D29" t="s">
        <v>22</v>
      </c>
      <c r="E29" t="s">
        <v>378</v>
      </c>
      <c r="F29"/>
      <c r="G29">
        <v>1</v>
      </c>
      <c r="H29">
        <v>100</v>
      </c>
      <c r="I29"/>
      <c r="J29" cm="1">
        <f t="array" ref="J29">_xlfn.SWITCH(B29,1,75,2,61,3,49,4,37,5,25,6,13,7,4,8,1)</f>
        <v>61</v>
      </c>
      <c r="K29" t="str" cm="1">
        <f t="array" ref="K29">IFERROR(_xlfn.SWITCH(L29,2,_xlfn.XLOOKUP(C29,[1]ModifierDes!$B:$B,[1]ModifierDes!$C:$C),3,_xlfn.XLOOKUP(C29,[1]StuntDes!$B:$B,[1]StuntDes!$C:$C)),"")</f>
        <v>闪电伤害倍率增加{0}</v>
      </c>
      <c r="L29">
        <f t="shared" si="0"/>
        <v>2</v>
      </c>
      <c r="M29" s="10" t="str">
        <f>IFERROR(_xlfn.XLOOKUP(C29,[1]StuntDes!$B:$B,[1]StuntDes!$A:$A),"")</f>
        <v/>
      </c>
      <c r="N29" s="10">
        <f>IFERROR(_xlfn.XLOOKUP(C29,[1]ModifierDes!$B:$B,[1]ModifierDes!$A:$A),"")</f>
        <v>10059</v>
      </c>
      <c r="O29" s="10" t="str">
        <f>IFERROR(_xlfn.XLOOKUP(C29,[1]AttributeName!$C:$C,[1]AttributeName!$B:$B),"")</f>
        <v/>
      </c>
      <c r="P29" s="10"/>
      <c r="Q29">
        <v>0.44</v>
      </c>
      <c r="R29">
        <v>0.49</v>
      </c>
      <c r="S29" cm="1">
        <f t="array" ref="S29">IFERROR(_xlfn.SWITCH(L29,1,_xlfn.XLOOKUP(O29,[1]AttributeName!$B:$B,[1]AttributeName!$D:$D),2,_xlfn.XLOOKUP(C29,#REF!,#REF!),3,_xlfn.XLOOKUP(C29,#REF!,#REF!)),0)</f>
        <v>0</v>
      </c>
      <c r="T29" cm="1">
        <f t="array" ref="T29">IFERROR(_xlfn.SWITCH(L29,1,_xlfn.XLOOKUP(O29,[1]AttributeName!$B:$B,[1]AttributeName!$E:$E),2,_xlfn.XLOOKUP(C29,#REF!,#REF!),3,_xlfn.XLOOKUP(C29,#REF!,#REF!)),0)</f>
        <v>0</v>
      </c>
    </row>
    <row r="30" customFormat="1" spans="1:20">
      <c r="A30">
        <f t="shared" ref="A30:A37" si="3">A22+1</f>
        <v>4</v>
      </c>
      <c r="B30">
        <v>3</v>
      </c>
      <c r="C30" t="s">
        <v>381</v>
      </c>
      <c r="D30" t="s">
        <v>22</v>
      </c>
      <c r="E30" t="s">
        <v>378</v>
      </c>
      <c r="F30"/>
      <c r="G30">
        <v>1</v>
      </c>
      <c r="H30">
        <v>200</v>
      </c>
      <c r="I30"/>
      <c r="J30" cm="1">
        <f t="array" ref="J30">_xlfn.SWITCH(B30,1,75,2,61,3,49,4,37,5,25,6,13,7,4,8,1)</f>
        <v>49</v>
      </c>
      <c r="K30" t="str" cm="1">
        <f t="array" ref="K30">IFERROR(_xlfn.SWITCH(L30,2,_xlfn.XLOOKUP(C30,[1]ModifierDes!$B:$B,[1]ModifierDes!$C:$C),3,_xlfn.XLOOKUP(C30,[1]StuntDes!$B:$B,[1]StuntDes!$C:$C)),"")</f>
        <v>闪电伤害倍率增加{0}</v>
      </c>
      <c r="L30">
        <f t="shared" si="0"/>
        <v>2</v>
      </c>
      <c r="M30" s="10" t="str">
        <f>IFERROR(_xlfn.XLOOKUP(C30,[1]StuntDes!$B:$B,[1]StuntDes!$A:$A),"")</f>
        <v/>
      </c>
      <c r="N30" s="10">
        <f>IFERROR(_xlfn.XLOOKUP(C30,[1]ModifierDes!$B:$B,[1]ModifierDes!$A:$A),"")</f>
        <v>10059</v>
      </c>
      <c r="O30" s="10" t="str">
        <f>IFERROR(_xlfn.XLOOKUP(C30,[1]AttributeName!$C:$C,[1]AttributeName!$B:$B),"")</f>
        <v/>
      </c>
      <c r="P30" s="10"/>
      <c r="Q30">
        <v>0.38</v>
      </c>
      <c r="R30">
        <v>0.43</v>
      </c>
      <c r="S30" cm="1">
        <f t="array" ref="S30">IFERROR(_xlfn.SWITCH(L30,1,_xlfn.XLOOKUP(O30,[1]AttributeName!$B:$B,[1]AttributeName!$D:$D),2,_xlfn.XLOOKUP(C30,#REF!,#REF!),3,_xlfn.XLOOKUP(C30,#REF!,#REF!)),0)</f>
        <v>0</v>
      </c>
      <c r="T30" cm="1">
        <f t="array" ref="T30">IFERROR(_xlfn.SWITCH(L30,1,_xlfn.XLOOKUP(O30,[1]AttributeName!$B:$B,[1]AttributeName!$E:$E),2,_xlfn.XLOOKUP(C30,#REF!,#REF!),3,_xlfn.XLOOKUP(C30,#REF!,#REF!)),0)</f>
        <v>0</v>
      </c>
    </row>
    <row r="31" customFormat="1" spans="1:20">
      <c r="A31">
        <f t="shared" si="3"/>
        <v>4</v>
      </c>
      <c r="B31">
        <v>4</v>
      </c>
      <c r="C31" t="s">
        <v>381</v>
      </c>
      <c r="D31" t="s">
        <v>22</v>
      </c>
      <c r="E31" t="s">
        <v>378</v>
      </c>
      <c r="F31"/>
      <c r="G31">
        <v>1</v>
      </c>
      <c r="H31">
        <v>500</v>
      </c>
      <c r="I31"/>
      <c r="J31" cm="1">
        <f t="array" ref="J31">_xlfn.SWITCH(B31,1,75,2,61,3,49,4,37,5,25,6,13,7,4,8,1)</f>
        <v>37</v>
      </c>
      <c r="K31" t="str" cm="1">
        <f t="array" ref="K31">IFERROR(_xlfn.SWITCH(L31,2,_xlfn.XLOOKUP(C31,[1]ModifierDes!$B:$B,[1]ModifierDes!$C:$C),3,_xlfn.XLOOKUP(C31,[1]StuntDes!$B:$B,[1]StuntDes!$C:$C)),"")</f>
        <v>闪电伤害倍率增加{0}</v>
      </c>
      <c r="L31">
        <f t="shared" si="0"/>
        <v>2</v>
      </c>
      <c r="M31" s="10" t="str">
        <f>IFERROR(_xlfn.XLOOKUP(C31,[1]StuntDes!$B:$B,[1]StuntDes!$A:$A),"")</f>
        <v/>
      </c>
      <c r="N31" s="10">
        <f>IFERROR(_xlfn.XLOOKUP(C31,[1]ModifierDes!$B:$B,[1]ModifierDes!$A:$A),"")</f>
        <v>10059</v>
      </c>
      <c r="O31" s="10" t="str">
        <f>IFERROR(_xlfn.XLOOKUP(C31,[1]AttributeName!$C:$C,[1]AttributeName!$B:$B),"")</f>
        <v/>
      </c>
      <c r="P31" s="10"/>
      <c r="Q31">
        <v>0.32</v>
      </c>
      <c r="R31">
        <v>0.37</v>
      </c>
      <c r="S31" cm="1">
        <f t="array" ref="S31">IFERROR(_xlfn.SWITCH(L31,1,_xlfn.XLOOKUP(O31,[1]AttributeName!$B:$B,[1]AttributeName!$D:$D),2,_xlfn.XLOOKUP(C31,#REF!,#REF!),3,_xlfn.XLOOKUP(C31,#REF!,#REF!)),0)</f>
        <v>0</v>
      </c>
      <c r="T31" cm="1">
        <f t="array" ref="T31">IFERROR(_xlfn.SWITCH(L31,1,_xlfn.XLOOKUP(O31,[1]AttributeName!$B:$B,[1]AttributeName!$E:$E),2,_xlfn.XLOOKUP(C31,#REF!,#REF!),3,_xlfn.XLOOKUP(C31,#REF!,#REF!)),0)</f>
        <v>0</v>
      </c>
    </row>
    <row r="32" customFormat="1" spans="1:20">
      <c r="A32">
        <f t="shared" si="3"/>
        <v>4</v>
      </c>
      <c r="B32">
        <v>5</v>
      </c>
      <c r="C32" t="s">
        <v>381</v>
      </c>
      <c r="D32" t="s">
        <v>22</v>
      </c>
      <c r="E32" t="s">
        <v>378</v>
      </c>
      <c r="F32"/>
      <c r="G32">
        <v>1</v>
      </c>
      <c r="H32">
        <v>1000</v>
      </c>
      <c r="I32"/>
      <c r="J32" cm="1">
        <f t="array" ref="J32">_xlfn.SWITCH(B32,1,75,2,61,3,49,4,37,5,25,6,13,7,4,8,1)</f>
        <v>25</v>
      </c>
      <c r="K32" t="str" cm="1">
        <f t="array" ref="K32">IFERROR(_xlfn.SWITCH(L32,2,_xlfn.XLOOKUP(C32,[1]ModifierDes!$B:$B,[1]ModifierDes!$C:$C),3,_xlfn.XLOOKUP(C32,[1]StuntDes!$B:$B,[1]StuntDes!$C:$C)),"")</f>
        <v>闪电伤害倍率增加{0}</v>
      </c>
      <c r="L32">
        <f t="shared" si="0"/>
        <v>2</v>
      </c>
      <c r="M32" s="10" t="str">
        <f>IFERROR(_xlfn.XLOOKUP(C32,[1]StuntDes!$B:$B,[1]StuntDes!$A:$A),"")</f>
        <v/>
      </c>
      <c r="N32" s="10">
        <f>IFERROR(_xlfn.XLOOKUP(C32,[1]ModifierDes!$B:$B,[1]ModifierDes!$A:$A),"")</f>
        <v>10059</v>
      </c>
      <c r="O32" s="10" t="str">
        <f>IFERROR(_xlfn.XLOOKUP(C32,[1]AttributeName!$C:$C,[1]AttributeName!$B:$B),"")</f>
        <v/>
      </c>
      <c r="P32" s="10"/>
      <c r="Q32">
        <v>0.26</v>
      </c>
      <c r="R32">
        <v>0.31</v>
      </c>
      <c r="S32" cm="1">
        <f t="array" ref="S32">IFERROR(_xlfn.SWITCH(L32,1,_xlfn.XLOOKUP(O32,[1]AttributeName!$B:$B,[1]AttributeName!$D:$D),2,_xlfn.XLOOKUP(C32,#REF!,#REF!),3,_xlfn.XLOOKUP(C32,#REF!,#REF!)),0)</f>
        <v>0</v>
      </c>
      <c r="T32" cm="1">
        <f t="array" ref="T32">IFERROR(_xlfn.SWITCH(L32,1,_xlfn.XLOOKUP(O32,[1]AttributeName!$B:$B,[1]AttributeName!$E:$E),2,_xlfn.XLOOKUP(C32,#REF!,#REF!),3,_xlfn.XLOOKUP(C32,#REF!,#REF!)),0)</f>
        <v>0</v>
      </c>
    </row>
    <row r="33" customFormat="1" spans="1:20">
      <c r="A33">
        <f t="shared" si="3"/>
        <v>4</v>
      </c>
      <c r="B33">
        <v>6</v>
      </c>
      <c r="C33" t="s">
        <v>381</v>
      </c>
      <c r="D33" t="s">
        <v>22</v>
      </c>
      <c r="E33" t="s">
        <v>378</v>
      </c>
      <c r="F33"/>
      <c r="G33">
        <v>1</v>
      </c>
      <c r="H33">
        <v>1000</v>
      </c>
      <c r="I33"/>
      <c r="J33" cm="1">
        <f t="array" ref="J33">_xlfn.SWITCH(B33,1,75,2,61,3,49,4,37,5,25,6,13,7,4,8,1)</f>
        <v>13</v>
      </c>
      <c r="K33" t="str" cm="1">
        <f t="array" ref="K33">IFERROR(_xlfn.SWITCH(L33,2,_xlfn.XLOOKUP(C33,[1]ModifierDes!$B:$B,[1]ModifierDes!$C:$C),3,_xlfn.XLOOKUP(C33,[1]StuntDes!$B:$B,[1]StuntDes!$C:$C)),"")</f>
        <v>闪电伤害倍率增加{0}</v>
      </c>
      <c r="L33">
        <f t="shared" si="0"/>
        <v>2</v>
      </c>
      <c r="M33" s="10" t="str">
        <f>IFERROR(_xlfn.XLOOKUP(C33,[1]StuntDes!$B:$B,[1]StuntDes!$A:$A),"")</f>
        <v/>
      </c>
      <c r="N33" s="10">
        <f>IFERROR(_xlfn.XLOOKUP(C33,[1]ModifierDes!$B:$B,[1]ModifierDes!$A:$A),"")</f>
        <v>10059</v>
      </c>
      <c r="O33" s="10" t="str">
        <f>IFERROR(_xlfn.XLOOKUP(C33,[1]AttributeName!$C:$C,[1]AttributeName!$B:$B),"")</f>
        <v/>
      </c>
      <c r="P33" s="10"/>
      <c r="Q33">
        <v>0.2</v>
      </c>
      <c r="R33">
        <v>0.25</v>
      </c>
      <c r="S33" cm="1">
        <f t="array" ref="S33">IFERROR(_xlfn.SWITCH(L33,1,_xlfn.XLOOKUP(O33,[1]AttributeName!$B:$B,[1]AttributeName!$D:$D),2,_xlfn.XLOOKUP(C33,#REF!,#REF!),3,_xlfn.XLOOKUP(C33,#REF!,#REF!)),0)</f>
        <v>0</v>
      </c>
      <c r="T33" cm="1">
        <f t="array" ref="T33">IFERROR(_xlfn.SWITCH(L33,1,_xlfn.XLOOKUP(O33,[1]AttributeName!$B:$B,[1]AttributeName!$E:$E),2,_xlfn.XLOOKUP(C33,#REF!,#REF!),3,_xlfn.XLOOKUP(C33,#REF!,#REF!)),0)</f>
        <v>0</v>
      </c>
    </row>
    <row r="34" customFormat="1" spans="1:20">
      <c r="A34">
        <f t="shared" si="3"/>
        <v>4</v>
      </c>
      <c r="B34">
        <v>7</v>
      </c>
      <c r="C34" t="s">
        <v>381</v>
      </c>
      <c r="D34" t="s">
        <v>22</v>
      </c>
      <c r="E34" t="s">
        <v>378</v>
      </c>
      <c r="F34"/>
      <c r="G34">
        <v>1</v>
      </c>
      <c r="H34">
        <v>1000</v>
      </c>
      <c r="I34"/>
      <c r="J34" cm="1">
        <f t="array" ref="J34">_xlfn.SWITCH(B34,1,75,2,61,3,49,4,37,5,25,6,13,7,4,8,1)</f>
        <v>4</v>
      </c>
      <c r="K34" t="str" cm="1">
        <f t="array" ref="K34">IFERROR(_xlfn.SWITCH(L34,2,_xlfn.XLOOKUP(C34,[1]ModifierDes!$B:$B,[1]ModifierDes!$C:$C),3,_xlfn.XLOOKUP(C34,[1]StuntDes!$B:$B,[1]StuntDes!$C:$C)),"")</f>
        <v>闪电伤害倍率增加{0}</v>
      </c>
      <c r="L34">
        <f t="shared" si="0"/>
        <v>2</v>
      </c>
      <c r="M34" s="10" t="str">
        <f>IFERROR(_xlfn.XLOOKUP(C34,[1]StuntDes!$B:$B,[1]StuntDes!$A:$A),"")</f>
        <v/>
      </c>
      <c r="N34" s="10">
        <f>IFERROR(_xlfn.XLOOKUP(C34,[1]ModifierDes!$B:$B,[1]ModifierDes!$A:$A),"")</f>
        <v>10059</v>
      </c>
      <c r="O34" s="10" t="str">
        <f>IFERROR(_xlfn.XLOOKUP(C34,[1]AttributeName!$C:$C,[1]AttributeName!$B:$B),"")</f>
        <v/>
      </c>
      <c r="P34" s="10"/>
      <c r="Q34">
        <v>0.14</v>
      </c>
      <c r="R34">
        <v>0.19</v>
      </c>
      <c r="S34" cm="1">
        <f t="array" ref="S34">IFERROR(_xlfn.SWITCH(L34,1,_xlfn.XLOOKUP(O34,[1]AttributeName!$B:$B,[1]AttributeName!$D:$D),2,_xlfn.XLOOKUP(C34,#REF!,#REF!),3,_xlfn.XLOOKUP(C34,#REF!,#REF!)),0)</f>
        <v>0</v>
      </c>
      <c r="T34" cm="1">
        <f t="array" ref="T34">IFERROR(_xlfn.SWITCH(L34,1,_xlfn.XLOOKUP(O34,[1]AttributeName!$B:$B,[1]AttributeName!$E:$E),2,_xlfn.XLOOKUP(C34,#REF!,#REF!),3,_xlfn.XLOOKUP(C34,#REF!,#REF!)),0)</f>
        <v>0</v>
      </c>
    </row>
    <row r="35" customFormat="1" spans="1:20">
      <c r="A35">
        <f t="shared" si="3"/>
        <v>4</v>
      </c>
      <c r="B35">
        <v>8</v>
      </c>
      <c r="C35" t="s">
        <v>381</v>
      </c>
      <c r="D35" t="s">
        <v>22</v>
      </c>
      <c r="E35" t="s">
        <v>378</v>
      </c>
      <c r="F35"/>
      <c r="G35">
        <v>1</v>
      </c>
      <c r="H35">
        <v>1000</v>
      </c>
      <c r="I35"/>
      <c r="J35" cm="1">
        <f t="array" ref="J35">_xlfn.SWITCH(B35,1,75,2,61,3,49,4,37,5,25,6,13,7,4,8,1)</f>
        <v>1</v>
      </c>
      <c r="K35" t="str" cm="1">
        <f t="array" ref="K35">IFERROR(_xlfn.SWITCH(L35,2,_xlfn.XLOOKUP(C35,[1]ModifierDes!$B:$B,[1]ModifierDes!$C:$C),3,_xlfn.XLOOKUP(C35,[1]StuntDes!$B:$B,[1]StuntDes!$C:$C)),"")</f>
        <v>闪电伤害倍率增加{0}</v>
      </c>
      <c r="L35">
        <f t="shared" si="0"/>
        <v>2</v>
      </c>
      <c r="M35" s="10" t="str">
        <f>IFERROR(_xlfn.XLOOKUP(C35,[1]StuntDes!$B:$B,[1]StuntDes!$A:$A),"")</f>
        <v/>
      </c>
      <c r="N35" s="10">
        <f>IFERROR(_xlfn.XLOOKUP(C35,[1]ModifierDes!$B:$B,[1]ModifierDes!$A:$A),"")</f>
        <v>10059</v>
      </c>
      <c r="O35" s="10" t="str">
        <f>IFERROR(_xlfn.XLOOKUP(C35,[1]AttributeName!$C:$C,[1]AttributeName!$B:$B),"")</f>
        <v/>
      </c>
      <c r="P35" s="10"/>
      <c r="Q35">
        <v>0.08</v>
      </c>
      <c r="R35">
        <v>0.13</v>
      </c>
      <c r="S35" cm="1">
        <f t="array" ref="S35">IFERROR(_xlfn.SWITCH(L35,1,_xlfn.XLOOKUP(O35,[1]AttributeName!$B:$B,[1]AttributeName!$D:$D),2,_xlfn.XLOOKUP(C35,#REF!,#REF!),3,_xlfn.XLOOKUP(C35,#REF!,#REF!)),0)</f>
        <v>0</v>
      </c>
      <c r="T35" cm="1">
        <f t="array" ref="T35">IFERROR(_xlfn.SWITCH(L35,1,_xlfn.XLOOKUP(O35,[1]AttributeName!$B:$B,[1]AttributeName!$E:$E),2,_xlfn.XLOOKUP(C35,#REF!,#REF!),3,_xlfn.XLOOKUP(C35,#REF!,#REF!)),0)</f>
        <v>0</v>
      </c>
    </row>
    <row r="36" spans="1:20">
      <c r="A36">
        <f t="shared" si="3"/>
        <v>5</v>
      </c>
      <c r="B36">
        <v>1</v>
      </c>
      <c r="C36" t="s">
        <v>382</v>
      </c>
      <c r="D36" t="s">
        <v>22</v>
      </c>
      <c r="E36" t="s">
        <v>378</v>
      </c>
      <c r="G36">
        <v>1</v>
      </c>
      <c r="H36">
        <v>50</v>
      </c>
      <c r="J36" cm="1">
        <f t="array" ref="J36">_xlfn.SWITCH(B36,1,75,2,61,3,49,4,37,5,25,6,13,7,4,8,1)</f>
        <v>75</v>
      </c>
      <c r="K36" t="str" cm="1">
        <f t="array" ref="K36">IFERROR(_xlfn.SWITCH(L36,2,_xlfn.XLOOKUP(C36,[1]ModifierDes!$B:$B,[1]ModifierDes!$C:$C),3,_xlfn.XLOOKUP(C36,[1]StuntDes!$B:$B,[1]StuntDes!$C:$C)),"")</f>
        <v>混沌伤害倍率增加{0}</v>
      </c>
      <c r="L36">
        <f t="shared" si="0"/>
        <v>2</v>
      </c>
      <c r="M36" s="10" t="str">
        <f>IFERROR(_xlfn.XLOOKUP(C36,[1]StuntDes!$B:$B,[1]StuntDes!$A:$A),"")</f>
        <v/>
      </c>
      <c r="N36" s="10">
        <f>IFERROR(_xlfn.XLOOKUP(C36,[1]ModifierDes!$B:$B,[1]ModifierDes!$A:$A),"")</f>
        <v>10052</v>
      </c>
      <c r="O36" s="10" t="str">
        <f>IFERROR(_xlfn.XLOOKUP(C36,[1]AttributeName!$C:$C,[1]AttributeName!$B:$B),"")</f>
        <v/>
      </c>
      <c r="P36" s="10"/>
      <c r="Q36">
        <v>0.5</v>
      </c>
      <c r="R36">
        <v>0.7</v>
      </c>
      <c r="S36" cm="1">
        <f t="array" ref="S36">IFERROR(_xlfn.SWITCH(L36,1,_xlfn.XLOOKUP(O36,[1]AttributeName!$B:$B,[1]AttributeName!$D:$D),2,_xlfn.XLOOKUP(C36,#REF!,#REF!),3,_xlfn.XLOOKUP(C36,#REF!,#REF!)),0)</f>
        <v>0</v>
      </c>
      <c r="T36" cm="1">
        <f t="array" ref="T36">IFERROR(_xlfn.SWITCH(L36,1,_xlfn.XLOOKUP(O36,[1]AttributeName!$B:$B,[1]AttributeName!$E:$E),2,_xlfn.XLOOKUP(C36,#REF!,#REF!),3,_xlfn.XLOOKUP(C36,#REF!,#REF!)),0)</f>
        <v>0</v>
      </c>
    </row>
    <row r="37" spans="1:20">
      <c r="A37">
        <f t="shared" si="3"/>
        <v>5</v>
      </c>
      <c r="B37">
        <v>2</v>
      </c>
      <c r="C37" t="s">
        <v>382</v>
      </c>
      <c r="D37" t="s">
        <v>22</v>
      </c>
      <c r="E37" t="s">
        <v>378</v>
      </c>
      <c r="G37">
        <v>1</v>
      </c>
      <c r="H37">
        <v>100</v>
      </c>
      <c r="J37" cm="1">
        <f t="array" ref="J37">_xlfn.SWITCH(B37,1,75,2,61,3,49,4,37,5,25,6,13,7,4,8,1)</f>
        <v>61</v>
      </c>
      <c r="K37" t="str" cm="1">
        <f t="array" ref="K37">IFERROR(_xlfn.SWITCH(L37,2,_xlfn.XLOOKUP(C37,[1]ModifierDes!$B:$B,[1]ModifierDes!$C:$C),3,_xlfn.XLOOKUP(C37,[1]StuntDes!$B:$B,[1]StuntDes!$C:$C)),"")</f>
        <v>混沌伤害倍率增加{0}</v>
      </c>
      <c r="L37">
        <f t="shared" si="0"/>
        <v>2</v>
      </c>
      <c r="M37" s="10" t="str">
        <f>IFERROR(_xlfn.XLOOKUP(C37,[1]StuntDes!$B:$B,[1]StuntDes!$A:$A),"")</f>
        <v/>
      </c>
      <c r="N37" s="10">
        <f>IFERROR(_xlfn.XLOOKUP(C37,[1]ModifierDes!$B:$B,[1]ModifierDes!$A:$A),"")</f>
        <v>10052</v>
      </c>
      <c r="O37" s="10" t="str">
        <f>IFERROR(_xlfn.XLOOKUP(C37,[1]AttributeName!$C:$C,[1]AttributeName!$B:$B),"")</f>
        <v/>
      </c>
      <c r="P37" s="10"/>
      <c r="Q37">
        <v>0.44</v>
      </c>
      <c r="R37">
        <v>0.49</v>
      </c>
      <c r="S37" cm="1">
        <f t="array" ref="S37">IFERROR(_xlfn.SWITCH(L37,1,_xlfn.XLOOKUP(O37,[1]AttributeName!$B:$B,[1]AttributeName!$D:$D),2,_xlfn.XLOOKUP(C37,#REF!,#REF!),3,_xlfn.XLOOKUP(C37,#REF!,#REF!)),0)</f>
        <v>0</v>
      </c>
      <c r="T37" cm="1">
        <f t="array" ref="T37">IFERROR(_xlfn.SWITCH(L37,1,_xlfn.XLOOKUP(O37,[1]AttributeName!$B:$B,[1]AttributeName!$E:$E),2,_xlfn.XLOOKUP(C37,#REF!,#REF!),3,_xlfn.XLOOKUP(C37,#REF!,#REF!)),0)</f>
        <v>0</v>
      </c>
    </row>
    <row r="38" spans="1:20">
      <c r="A38">
        <f t="shared" ref="A38:A45" si="4">A30+1</f>
        <v>5</v>
      </c>
      <c r="B38">
        <v>3</v>
      </c>
      <c r="C38" t="s">
        <v>382</v>
      </c>
      <c r="D38" t="s">
        <v>22</v>
      </c>
      <c r="E38" t="s">
        <v>378</v>
      </c>
      <c r="G38">
        <v>1</v>
      </c>
      <c r="H38">
        <v>200</v>
      </c>
      <c r="J38" cm="1">
        <f t="array" ref="J38">_xlfn.SWITCH(B38,1,75,2,61,3,49,4,37,5,25,6,13,7,4,8,1)</f>
        <v>49</v>
      </c>
      <c r="K38" t="str" cm="1">
        <f t="array" ref="K38">IFERROR(_xlfn.SWITCH(L38,2,_xlfn.XLOOKUP(C38,[1]ModifierDes!$B:$B,[1]ModifierDes!$C:$C),3,_xlfn.XLOOKUP(C38,[1]StuntDes!$B:$B,[1]StuntDes!$C:$C)),"")</f>
        <v>混沌伤害倍率增加{0}</v>
      </c>
      <c r="L38">
        <f t="shared" si="0"/>
        <v>2</v>
      </c>
      <c r="M38" s="10" t="str">
        <f>IFERROR(_xlfn.XLOOKUP(C38,[1]StuntDes!$B:$B,[1]StuntDes!$A:$A),"")</f>
        <v/>
      </c>
      <c r="N38" s="10">
        <f>IFERROR(_xlfn.XLOOKUP(C38,[1]ModifierDes!$B:$B,[1]ModifierDes!$A:$A),"")</f>
        <v>10052</v>
      </c>
      <c r="O38" s="10" t="str">
        <f>IFERROR(_xlfn.XLOOKUP(C38,[1]AttributeName!$C:$C,[1]AttributeName!$B:$B),"")</f>
        <v/>
      </c>
      <c r="P38" s="10"/>
      <c r="Q38">
        <v>0.38</v>
      </c>
      <c r="R38">
        <v>0.43</v>
      </c>
      <c r="S38" cm="1">
        <f t="array" ref="S38">IFERROR(_xlfn.SWITCH(L38,1,_xlfn.XLOOKUP(O38,[1]AttributeName!$B:$B,[1]AttributeName!$D:$D),2,_xlfn.XLOOKUP(C38,#REF!,#REF!),3,_xlfn.XLOOKUP(C38,#REF!,#REF!)),0)</f>
        <v>0</v>
      </c>
      <c r="T38" cm="1">
        <f t="array" ref="T38">IFERROR(_xlfn.SWITCH(L38,1,_xlfn.XLOOKUP(O38,[1]AttributeName!$B:$B,[1]AttributeName!$E:$E),2,_xlfn.XLOOKUP(C38,#REF!,#REF!),3,_xlfn.XLOOKUP(C38,#REF!,#REF!)),0)</f>
        <v>0</v>
      </c>
    </row>
    <row r="39" spans="1:20">
      <c r="A39">
        <f t="shared" si="4"/>
        <v>5</v>
      </c>
      <c r="B39">
        <v>4</v>
      </c>
      <c r="C39" t="s">
        <v>382</v>
      </c>
      <c r="D39" t="s">
        <v>22</v>
      </c>
      <c r="E39" t="s">
        <v>378</v>
      </c>
      <c r="G39">
        <v>1</v>
      </c>
      <c r="H39">
        <v>500</v>
      </c>
      <c r="J39" cm="1">
        <f t="array" ref="J39">_xlfn.SWITCH(B39,1,75,2,61,3,49,4,37,5,25,6,13,7,4,8,1)</f>
        <v>37</v>
      </c>
      <c r="K39" t="str" cm="1">
        <f t="array" ref="K39">IFERROR(_xlfn.SWITCH(L39,2,_xlfn.XLOOKUP(C39,[1]ModifierDes!$B:$B,[1]ModifierDes!$C:$C),3,_xlfn.XLOOKUP(C39,[1]StuntDes!$B:$B,[1]StuntDes!$C:$C)),"")</f>
        <v>混沌伤害倍率增加{0}</v>
      </c>
      <c r="L39">
        <f t="shared" si="0"/>
        <v>2</v>
      </c>
      <c r="M39" s="10" t="str">
        <f>IFERROR(_xlfn.XLOOKUP(C39,[1]StuntDes!$B:$B,[1]StuntDes!$A:$A),"")</f>
        <v/>
      </c>
      <c r="N39" s="10">
        <f>IFERROR(_xlfn.XLOOKUP(C39,[1]ModifierDes!$B:$B,[1]ModifierDes!$A:$A),"")</f>
        <v>10052</v>
      </c>
      <c r="O39" s="10" t="str">
        <f>IFERROR(_xlfn.XLOOKUP(C39,[1]AttributeName!$C:$C,[1]AttributeName!$B:$B),"")</f>
        <v/>
      </c>
      <c r="P39" s="10"/>
      <c r="Q39">
        <v>0.32</v>
      </c>
      <c r="R39">
        <v>0.37</v>
      </c>
      <c r="S39" cm="1">
        <f t="array" ref="S39">IFERROR(_xlfn.SWITCH(L39,1,_xlfn.XLOOKUP(O39,[1]AttributeName!$B:$B,[1]AttributeName!$D:$D),2,_xlfn.XLOOKUP(C39,#REF!,#REF!),3,_xlfn.XLOOKUP(C39,#REF!,#REF!)),0)</f>
        <v>0</v>
      </c>
      <c r="T39" cm="1">
        <f t="array" ref="T39">IFERROR(_xlfn.SWITCH(L39,1,_xlfn.XLOOKUP(O39,[1]AttributeName!$B:$B,[1]AttributeName!$E:$E),2,_xlfn.XLOOKUP(C39,#REF!,#REF!),3,_xlfn.XLOOKUP(C39,#REF!,#REF!)),0)</f>
        <v>0</v>
      </c>
    </row>
    <row r="40" spans="1:20">
      <c r="A40">
        <f t="shared" si="4"/>
        <v>5</v>
      </c>
      <c r="B40">
        <v>5</v>
      </c>
      <c r="C40" t="s">
        <v>382</v>
      </c>
      <c r="D40" t="s">
        <v>22</v>
      </c>
      <c r="E40" t="s">
        <v>378</v>
      </c>
      <c r="G40">
        <v>1</v>
      </c>
      <c r="H40">
        <v>1000</v>
      </c>
      <c r="J40" cm="1">
        <f t="array" ref="J40">_xlfn.SWITCH(B40,1,75,2,61,3,49,4,37,5,25,6,13,7,4,8,1)</f>
        <v>25</v>
      </c>
      <c r="K40" t="str" cm="1">
        <f t="array" ref="K40">IFERROR(_xlfn.SWITCH(L40,2,_xlfn.XLOOKUP(C40,[1]ModifierDes!$B:$B,[1]ModifierDes!$C:$C),3,_xlfn.XLOOKUP(C40,[1]StuntDes!$B:$B,[1]StuntDes!$C:$C)),"")</f>
        <v>混沌伤害倍率增加{0}</v>
      </c>
      <c r="L40">
        <f t="shared" si="0"/>
        <v>2</v>
      </c>
      <c r="M40" s="10" t="str">
        <f>IFERROR(_xlfn.XLOOKUP(C40,[1]StuntDes!$B:$B,[1]StuntDes!$A:$A),"")</f>
        <v/>
      </c>
      <c r="N40" s="10">
        <f>IFERROR(_xlfn.XLOOKUP(C40,[1]ModifierDes!$B:$B,[1]ModifierDes!$A:$A),"")</f>
        <v>10052</v>
      </c>
      <c r="O40" s="10" t="str">
        <f>IFERROR(_xlfn.XLOOKUP(C40,[1]AttributeName!$C:$C,[1]AttributeName!$B:$B),"")</f>
        <v/>
      </c>
      <c r="P40" s="10"/>
      <c r="Q40">
        <v>0.26</v>
      </c>
      <c r="R40">
        <v>0.31</v>
      </c>
      <c r="S40" cm="1">
        <f t="array" ref="S40">IFERROR(_xlfn.SWITCH(L40,1,_xlfn.XLOOKUP(O40,[1]AttributeName!$B:$B,[1]AttributeName!$D:$D),2,_xlfn.XLOOKUP(C40,#REF!,#REF!),3,_xlfn.XLOOKUP(C40,#REF!,#REF!)),0)</f>
        <v>0</v>
      </c>
      <c r="T40" cm="1">
        <f t="array" ref="T40">IFERROR(_xlfn.SWITCH(L40,1,_xlfn.XLOOKUP(O40,[1]AttributeName!$B:$B,[1]AttributeName!$E:$E),2,_xlfn.XLOOKUP(C40,#REF!,#REF!),3,_xlfn.XLOOKUP(C40,#REF!,#REF!)),0)</f>
        <v>0</v>
      </c>
    </row>
    <row r="41" spans="1:20">
      <c r="A41">
        <f t="shared" si="4"/>
        <v>5</v>
      </c>
      <c r="B41">
        <v>6</v>
      </c>
      <c r="C41" t="s">
        <v>382</v>
      </c>
      <c r="D41" t="s">
        <v>22</v>
      </c>
      <c r="E41" t="s">
        <v>378</v>
      </c>
      <c r="G41">
        <v>1</v>
      </c>
      <c r="H41">
        <v>1000</v>
      </c>
      <c r="J41" cm="1">
        <f t="array" ref="J41">_xlfn.SWITCH(B41,1,75,2,61,3,49,4,37,5,25,6,13,7,4,8,1)</f>
        <v>13</v>
      </c>
      <c r="K41" t="str" cm="1">
        <f t="array" ref="K41">IFERROR(_xlfn.SWITCH(L41,2,_xlfn.XLOOKUP(C41,[1]ModifierDes!$B:$B,[1]ModifierDes!$C:$C),3,_xlfn.XLOOKUP(C41,[1]StuntDes!$B:$B,[1]StuntDes!$C:$C)),"")</f>
        <v>混沌伤害倍率增加{0}</v>
      </c>
      <c r="L41">
        <f t="shared" si="0"/>
        <v>2</v>
      </c>
      <c r="M41" s="10" t="str">
        <f>IFERROR(_xlfn.XLOOKUP(C41,[1]StuntDes!$B:$B,[1]StuntDes!$A:$A),"")</f>
        <v/>
      </c>
      <c r="N41" s="10">
        <f>IFERROR(_xlfn.XLOOKUP(C41,[1]ModifierDes!$B:$B,[1]ModifierDes!$A:$A),"")</f>
        <v>10052</v>
      </c>
      <c r="O41" s="10" t="str">
        <f>IFERROR(_xlfn.XLOOKUP(C41,[1]AttributeName!$C:$C,[1]AttributeName!$B:$B),"")</f>
        <v/>
      </c>
      <c r="P41" s="10"/>
      <c r="Q41">
        <v>0.2</v>
      </c>
      <c r="R41">
        <v>0.25</v>
      </c>
      <c r="S41" cm="1">
        <f t="array" ref="S41">IFERROR(_xlfn.SWITCH(L41,1,_xlfn.XLOOKUP(O41,[1]AttributeName!$B:$B,[1]AttributeName!$D:$D),2,_xlfn.XLOOKUP(C41,#REF!,#REF!),3,_xlfn.XLOOKUP(C41,#REF!,#REF!)),0)</f>
        <v>0</v>
      </c>
      <c r="T41" cm="1">
        <f t="array" ref="T41">IFERROR(_xlfn.SWITCH(L41,1,_xlfn.XLOOKUP(O41,[1]AttributeName!$B:$B,[1]AttributeName!$E:$E),2,_xlfn.XLOOKUP(C41,#REF!,#REF!),3,_xlfn.XLOOKUP(C41,#REF!,#REF!)),0)</f>
        <v>0</v>
      </c>
    </row>
    <row r="42" spans="1:20">
      <c r="A42">
        <f t="shared" si="4"/>
        <v>5</v>
      </c>
      <c r="B42">
        <v>7</v>
      </c>
      <c r="C42" t="s">
        <v>382</v>
      </c>
      <c r="D42" t="s">
        <v>22</v>
      </c>
      <c r="E42" t="s">
        <v>378</v>
      </c>
      <c r="G42">
        <v>1</v>
      </c>
      <c r="H42">
        <v>1000</v>
      </c>
      <c r="J42" cm="1">
        <f t="array" ref="J42">_xlfn.SWITCH(B42,1,75,2,61,3,49,4,37,5,25,6,13,7,4,8,1)</f>
        <v>4</v>
      </c>
      <c r="K42" t="str" cm="1">
        <f t="array" ref="K42">IFERROR(_xlfn.SWITCH(L42,2,_xlfn.XLOOKUP(C42,[1]ModifierDes!$B:$B,[1]ModifierDes!$C:$C),3,_xlfn.XLOOKUP(C42,[1]StuntDes!$B:$B,[1]StuntDes!$C:$C)),"")</f>
        <v>混沌伤害倍率增加{0}</v>
      </c>
      <c r="L42">
        <f t="shared" si="0"/>
        <v>2</v>
      </c>
      <c r="M42" s="10" t="str">
        <f>IFERROR(_xlfn.XLOOKUP(C42,[1]StuntDes!$B:$B,[1]StuntDes!$A:$A),"")</f>
        <v/>
      </c>
      <c r="N42" s="10">
        <f>IFERROR(_xlfn.XLOOKUP(C42,[1]ModifierDes!$B:$B,[1]ModifierDes!$A:$A),"")</f>
        <v>10052</v>
      </c>
      <c r="O42" s="10" t="str">
        <f>IFERROR(_xlfn.XLOOKUP(C42,[1]AttributeName!$C:$C,[1]AttributeName!$B:$B),"")</f>
        <v/>
      </c>
      <c r="P42" s="10"/>
      <c r="Q42">
        <v>0.14</v>
      </c>
      <c r="R42">
        <v>0.19</v>
      </c>
      <c r="S42" cm="1">
        <f t="array" ref="S42">IFERROR(_xlfn.SWITCH(L42,1,_xlfn.XLOOKUP(O42,[1]AttributeName!$B:$B,[1]AttributeName!$D:$D),2,_xlfn.XLOOKUP(C42,#REF!,#REF!),3,_xlfn.XLOOKUP(C42,#REF!,#REF!)),0)</f>
        <v>0</v>
      </c>
      <c r="T42" cm="1">
        <f t="array" ref="T42">IFERROR(_xlfn.SWITCH(L42,1,_xlfn.XLOOKUP(O42,[1]AttributeName!$B:$B,[1]AttributeName!$E:$E),2,_xlfn.XLOOKUP(C42,#REF!,#REF!),3,_xlfn.XLOOKUP(C42,#REF!,#REF!)),0)</f>
        <v>0</v>
      </c>
    </row>
    <row r="43" customFormat="1" spans="1:20">
      <c r="A43">
        <f t="shared" si="4"/>
        <v>5</v>
      </c>
      <c r="B43">
        <v>8</v>
      </c>
      <c r="C43" t="s">
        <v>382</v>
      </c>
      <c r="D43" t="s">
        <v>22</v>
      </c>
      <c r="E43" t="s">
        <v>378</v>
      </c>
      <c r="F43"/>
      <c r="G43">
        <v>1</v>
      </c>
      <c r="H43">
        <v>1000</v>
      </c>
      <c r="I43"/>
      <c r="J43" cm="1">
        <f t="array" ref="J43">_xlfn.SWITCH(B43,1,75,2,61,3,49,4,37,5,25,6,13,7,4,8,1)</f>
        <v>1</v>
      </c>
      <c r="K43" t="str" cm="1">
        <f t="array" ref="K43">IFERROR(_xlfn.SWITCH(L43,2,_xlfn.XLOOKUP(C43,[1]ModifierDes!$B:$B,[1]ModifierDes!$C:$C),3,_xlfn.XLOOKUP(C43,[1]StuntDes!$B:$B,[1]StuntDes!$C:$C)),"")</f>
        <v>混沌伤害倍率增加{0}</v>
      </c>
      <c r="L43">
        <f t="shared" si="0"/>
        <v>2</v>
      </c>
      <c r="M43" s="10" t="str">
        <f>IFERROR(_xlfn.XLOOKUP(C43,[1]StuntDes!$B:$B,[1]StuntDes!$A:$A),"")</f>
        <v/>
      </c>
      <c r="N43" s="10">
        <f>IFERROR(_xlfn.XLOOKUP(C43,[1]ModifierDes!$B:$B,[1]ModifierDes!$A:$A),"")</f>
        <v>10052</v>
      </c>
      <c r="O43" s="10" t="str">
        <f>IFERROR(_xlfn.XLOOKUP(C43,[1]AttributeName!$C:$C,[1]AttributeName!$B:$B),"")</f>
        <v/>
      </c>
      <c r="P43" s="10"/>
      <c r="Q43">
        <v>0.08</v>
      </c>
      <c r="R43">
        <v>0.13</v>
      </c>
      <c r="S43" cm="1">
        <f t="array" ref="S43">IFERROR(_xlfn.SWITCH(L43,1,_xlfn.XLOOKUP(O43,[1]AttributeName!$B:$B,[1]AttributeName!$D:$D),2,_xlfn.XLOOKUP(C43,#REF!,#REF!),3,_xlfn.XLOOKUP(C43,#REF!,#REF!)),0)</f>
        <v>0</v>
      </c>
      <c r="T43" cm="1">
        <f t="array" ref="T43">IFERROR(_xlfn.SWITCH(L43,1,_xlfn.XLOOKUP(O43,[1]AttributeName!$B:$B,[1]AttributeName!$E:$E),2,_xlfn.XLOOKUP(C43,#REF!,#REF!),3,_xlfn.XLOOKUP(C43,#REF!,#REF!)),0)</f>
        <v>0</v>
      </c>
    </row>
    <row r="44" spans="1:20">
      <c r="A44">
        <f t="shared" si="4"/>
        <v>6</v>
      </c>
      <c r="B44">
        <v>1</v>
      </c>
      <c r="C44" t="s">
        <v>383</v>
      </c>
      <c r="D44" t="s">
        <v>22</v>
      </c>
      <c r="E44" t="s">
        <v>378</v>
      </c>
      <c r="G44">
        <v>1</v>
      </c>
      <c r="H44">
        <v>100</v>
      </c>
      <c r="J44" cm="1">
        <f t="array" ref="J44">_xlfn.SWITCH(B44,1,75,2,61,3,49,4,37,5,25,6,13,7,4,8,1)</f>
        <v>75</v>
      </c>
      <c r="K44" t="str" cm="1">
        <f t="array" ref="K44">IFERROR(_xlfn.SWITCH(L44,2,_xlfn.XLOOKUP(C44,[1]ModifierDes!$B:$B,[1]ModifierDes!$C:$C),3,_xlfn.XLOOKUP(C44,[1]StuntDes!$B:$B,[1]StuntDes!$C:$C)),"")</f>
        <v>攻击伤害提高{0}</v>
      </c>
      <c r="L44">
        <f t="shared" si="0"/>
        <v>2</v>
      </c>
      <c r="M44" s="10" t="str">
        <f>IFERROR(_xlfn.XLOOKUP(C44,[1]StuntDes!$B:$B,[1]StuntDes!$A:$A),"")</f>
        <v/>
      </c>
      <c r="N44" s="10">
        <f>IFERROR(_xlfn.XLOOKUP(C44,[1]ModifierDes!$B:$B,[1]ModifierDes!$A:$A),"")</f>
        <v>10066</v>
      </c>
      <c r="O44" s="10" t="str">
        <f>IFERROR(_xlfn.XLOOKUP(C44,[1]AttributeName!$C:$C,[1]AttributeName!$B:$B),"")</f>
        <v/>
      </c>
      <c r="P44" s="10"/>
      <c r="Q44">
        <v>0.75</v>
      </c>
      <c r="R44">
        <v>1</v>
      </c>
      <c r="S44" cm="1">
        <f t="array" ref="S44">IFERROR(_xlfn.SWITCH(L44,1,_xlfn.XLOOKUP(O44,[1]AttributeName!$B:$B,[1]AttributeName!$D:$D),2,_xlfn.XLOOKUP(C44,#REF!,#REF!),3,_xlfn.XLOOKUP(C44,#REF!,#REF!)),0)</f>
        <v>0</v>
      </c>
      <c r="T44" cm="1">
        <f t="array" ref="T44">IFERROR(_xlfn.SWITCH(L44,1,_xlfn.XLOOKUP(O44,[1]AttributeName!$B:$B,[1]AttributeName!$E:$E),2,_xlfn.XLOOKUP(C44,#REF!,#REF!),3,_xlfn.XLOOKUP(C44,#REF!,#REF!)),0)</f>
        <v>0</v>
      </c>
    </row>
    <row r="45" spans="1:20">
      <c r="A45">
        <f t="shared" si="4"/>
        <v>6</v>
      </c>
      <c r="B45">
        <v>2</v>
      </c>
      <c r="C45" t="s">
        <v>383</v>
      </c>
      <c r="D45" t="s">
        <v>22</v>
      </c>
      <c r="E45" t="s">
        <v>378</v>
      </c>
      <c r="G45">
        <v>1</v>
      </c>
      <c r="H45">
        <v>200</v>
      </c>
      <c r="J45" cm="1">
        <f t="array" ref="J45">_xlfn.SWITCH(B45,1,75,2,61,3,49,4,37,5,25,6,13,7,4,8,1)</f>
        <v>61</v>
      </c>
      <c r="K45" t="str" cm="1">
        <f t="array" ref="K45">IFERROR(_xlfn.SWITCH(L45,2,_xlfn.XLOOKUP(C45,[1]ModifierDes!$B:$B,[1]ModifierDes!$C:$C),3,_xlfn.XLOOKUP(C45,[1]StuntDes!$B:$B,[1]StuntDes!$C:$C)),"")</f>
        <v>攻击伤害提高{0}</v>
      </c>
      <c r="L45">
        <f t="shared" si="0"/>
        <v>2</v>
      </c>
      <c r="M45" s="10" t="str">
        <f>IFERROR(_xlfn.XLOOKUP(C45,[1]StuntDes!$B:$B,[1]StuntDes!$A:$A),"")</f>
        <v/>
      </c>
      <c r="N45" s="10">
        <f>IFERROR(_xlfn.XLOOKUP(C45,[1]ModifierDes!$B:$B,[1]ModifierDes!$A:$A),"")</f>
        <v>10066</v>
      </c>
      <c r="O45" s="10" t="str">
        <f>IFERROR(_xlfn.XLOOKUP(C45,[1]AttributeName!$C:$C,[1]AttributeName!$B:$B),"")</f>
        <v/>
      </c>
      <c r="P45" s="10"/>
      <c r="Q45">
        <v>0.66</v>
      </c>
      <c r="R45">
        <v>0.74</v>
      </c>
      <c r="S45" cm="1">
        <f t="array" ref="S45">IFERROR(_xlfn.SWITCH(L45,1,_xlfn.XLOOKUP(O45,[1]AttributeName!$B:$B,[1]AttributeName!$D:$D),2,_xlfn.XLOOKUP(C45,#REF!,#REF!),3,_xlfn.XLOOKUP(C45,#REF!,#REF!)),0)</f>
        <v>0</v>
      </c>
      <c r="T45" cm="1">
        <f t="array" ref="T45">IFERROR(_xlfn.SWITCH(L45,1,_xlfn.XLOOKUP(O45,[1]AttributeName!$B:$B,[1]AttributeName!$E:$E),2,_xlfn.XLOOKUP(C45,#REF!,#REF!),3,_xlfn.XLOOKUP(C45,#REF!,#REF!)),0)</f>
        <v>0</v>
      </c>
    </row>
    <row r="46" spans="1:20">
      <c r="A46">
        <f t="shared" ref="A46:A61" si="5">A38+1</f>
        <v>6</v>
      </c>
      <c r="B46">
        <v>3</v>
      </c>
      <c r="C46" t="s">
        <v>383</v>
      </c>
      <c r="D46" t="s">
        <v>22</v>
      </c>
      <c r="E46" t="s">
        <v>378</v>
      </c>
      <c r="G46">
        <v>1</v>
      </c>
      <c r="H46">
        <v>500</v>
      </c>
      <c r="J46" cm="1">
        <f t="array" ref="J46">_xlfn.SWITCH(B46,1,75,2,61,3,49,4,37,5,25,6,13,7,4,8,1)</f>
        <v>49</v>
      </c>
      <c r="K46" t="str" cm="1">
        <f t="array" ref="K46">IFERROR(_xlfn.SWITCH(L46,2,_xlfn.XLOOKUP(C46,[1]ModifierDes!$B:$B,[1]ModifierDes!$C:$C),3,_xlfn.XLOOKUP(C46,[1]StuntDes!$B:$B,[1]StuntDes!$C:$C)),"")</f>
        <v>攻击伤害提高{0}</v>
      </c>
      <c r="L46">
        <f t="shared" si="0"/>
        <v>2</v>
      </c>
      <c r="M46" s="10" t="str">
        <f>IFERROR(_xlfn.XLOOKUP(C46,[1]StuntDes!$B:$B,[1]StuntDes!$A:$A),"")</f>
        <v/>
      </c>
      <c r="N46" s="10">
        <f>IFERROR(_xlfn.XLOOKUP(C46,[1]ModifierDes!$B:$B,[1]ModifierDes!$A:$A),"")</f>
        <v>10066</v>
      </c>
      <c r="O46" s="10" t="str">
        <f>IFERROR(_xlfn.XLOOKUP(C46,[1]AttributeName!$C:$C,[1]AttributeName!$B:$B),"")</f>
        <v/>
      </c>
      <c r="P46" s="10"/>
      <c r="Q46">
        <v>0.57</v>
      </c>
      <c r="R46">
        <v>0.65</v>
      </c>
      <c r="S46" cm="1">
        <f t="array" ref="S46">IFERROR(_xlfn.SWITCH(L46,1,_xlfn.XLOOKUP(O46,[1]AttributeName!$B:$B,[1]AttributeName!$D:$D),2,_xlfn.XLOOKUP(C46,#REF!,#REF!),3,_xlfn.XLOOKUP(C46,#REF!,#REF!)),0)</f>
        <v>0</v>
      </c>
      <c r="T46" cm="1">
        <f t="array" ref="T46">IFERROR(_xlfn.SWITCH(L46,1,_xlfn.XLOOKUP(O46,[1]AttributeName!$B:$B,[1]AttributeName!$E:$E),2,_xlfn.XLOOKUP(C46,#REF!,#REF!),3,_xlfn.XLOOKUP(C46,#REF!,#REF!)),0)</f>
        <v>0</v>
      </c>
    </row>
    <row r="47" spans="1:20">
      <c r="A47">
        <f t="shared" si="5"/>
        <v>6</v>
      </c>
      <c r="B47">
        <v>4</v>
      </c>
      <c r="C47" t="s">
        <v>383</v>
      </c>
      <c r="D47" t="s">
        <v>22</v>
      </c>
      <c r="E47" t="s">
        <v>378</v>
      </c>
      <c r="G47">
        <v>1</v>
      </c>
      <c r="H47">
        <v>1000</v>
      </c>
      <c r="J47" cm="1">
        <f t="array" ref="J47">_xlfn.SWITCH(B47,1,75,2,61,3,49,4,37,5,25,6,13,7,4,8,1)</f>
        <v>37</v>
      </c>
      <c r="K47" t="str" cm="1">
        <f t="array" ref="K47">IFERROR(_xlfn.SWITCH(L47,2,_xlfn.XLOOKUP(C47,[1]ModifierDes!$B:$B,[1]ModifierDes!$C:$C),3,_xlfn.XLOOKUP(C47,[1]StuntDes!$B:$B,[1]StuntDes!$C:$C)),"")</f>
        <v>攻击伤害提高{0}</v>
      </c>
      <c r="L47">
        <f t="shared" si="0"/>
        <v>2</v>
      </c>
      <c r="M47" s="10" t="str">
        <f>IFERROR(_xlfn.XLOOKUP(C47,[1]StuntDes!$B:$B,[1]StuntDes!$A:$A),"")</f>
        <v/>
      </c>
      <c r="N47" s="10">
        <f>IFERROR(_xlfn.XLOOKUP(C47,[1]ModifierDes!$B:$B,[1]ModifierDes!$A:$A),"")</f>
        <v>10066</v>
      </c>
      <c r="O47" s="10" t="str">
        <f>IFERROR(_xlfn.XLOOKUP(C47,[1]AttributeName!$C:$C,[1]AttributeName!$B:$B),"")</f>
        <v/>
      </c>
      <c r="P47" s="10"/>
      <c r="Q47">
        <v>0.48</v>
      </c>
      <c r="R47">
        <v>0.56</v>
      </c>
      <c r="S47" cm="1">
        <f t="array" ref="S47">IFERROR(_xlfn.SWITCH(L47,1,_xlfn.XLOOKUP(O47,[1]AttributeName!$B:$B,[1]AttributeName!$D:$D),2,_xlfn.XLOOKUP(C47,#REF!,#REF!),3,_xlfn.XLOOKUP(C47,#REF!,#REF!)),0)</f>
        <v>0</v>
      </c>
      <c r="T47" cm="1">
        <f t="array" ref="T47">IFERROR(_xlfn.SWITCH(L47,1,_xlfn.XLOOKUP(O47,[1]AttributeName!$B:$B,[1]AttributeName!$E:$E),2,_xlfn.XLOOKUP(C47,#REF!,#REF!),3,_xlfn.XLOOKUP(C47,#REF!,#REF!)),0)</f>
        <v>0</v>
      </c>
    </row>
    <row r="48" spans="1:20">
      <c r="A48">
        <f t="shared" si="5"/>
        <v>6</v>
      </c>
      <c r="B48">
        <v>5</v>
      </c>
      <c r="C48" t="s">
        <v>383</v>
      </c>
      <c r="D48" t="s">
        <v>22</v>
      </c>
      <c r="E48" t="s">
        <v>378</v>
      </c>
      <c r="G48">
        <v>1</v>
      </c>
      <c r="H48">
        <v>1000</v>
      </c>
      <c r="J48" cm="1">
        <f t="array" ref="J48">_xlfn.SWITCH(B48,1,75,2,61,3,49,4,37,5,25,6,13,7,4,8,1)</f>
        <v>25</v>
      </c>
      <c r="K48" t="str" cm="1">
        <f t="array" ref="K48">IFERROR(_xlfn.SWITCH(L48,2,_xlfn.XLOOKUP(C48,[1]ModifierDes!$B:$B,[1]ModifierDes!$C:$C),3,_xlfn.XLOOKUP(C48,[1]StuntDes!$B:$B,[1]StuntDes!$C:$C)),"")</f>
        <v>攻击伤害提高{0}</v>
      </c>
      <c r="L48">
        <f t="shared" si="0"/>
        <v>2</v>
      </c>
      <c r="M48" s="10" t="str">
        <f>IFERROR(_xlfn.XLOOKUP(C48,[1]StuntDes!$B:$B,[1]StuntDes!$A:$A),"")</f>
        <v/>
      </c>
      <c r="N48" s="10">
        <f>IFERROR(_xlfn.XLOOKUP(C48,[1]ModifierDes!$B:$B,[1]ModifierDes!$A:$A),"")</f>
        <v>10066</v>
      </c>
      <c r="O48" s="10" t="str">
        <f>IFERROR(_xlfn.XLOOKUP(C48,[1]AttributeName!$C:$C,[1]AttributeName!$B:$B),"")</f>
        <v/>
      </c>
      <c r="P48" s="10"/>
      <c r="Q48">
        <v>0.39</v>
      </c>
      <c r="R48">
        <v>0.47</v>
      </c>
      <c r="S48" cm="1">
        <f t="array" ref="S48">IFERROR(_xlfn.SWITCH(L48,1,_xlfn.XLOOKUP(O48,[1]AttributeName!$B:$B,[1]AttributeName!$D:$D),2,_xlfn.XLOOKUP(C48,#REF!,#REF!),3,_xlfn.XLOOKUP(C48,#REF!,#REF!)),0)</f>
        <v>0</v>
      </c>
      <c r="T48" cm="1">
        <f t="array" ref="T48">IFERROR(_xlfn.SWITCH(L48,1,_xlfn.XLOOKUP(O48,[1]AttributeName!$B:$B,[1]AttributeName!$E:$E),2,_xlfn.XLOOKUP(C48,#REF!,#REF!),3,_xlfn.XLOOKUP(C48,#REF!,#REF!)),0)</f>
        <v>0</v>
      </c>
    </row>
    <row r="49" spans="1:20">
      <c r="A49">
        <f t="shared" si="5"/>
        <v>6</v>
      </c>
      <c r="B49">
        <v>6</v>
      </c>
      <c r="C49" t="s">
        <v>383</v>
      </c>
      <c r="D49" t="s">
        <v>22</v>
      </c>
      <c r="E49" t="s">
        <v>378</v>
      </c>
      <c r="G49">
        <v>1</v>
      </c>
      <c r="H49">
        <v>1000</v>
      </c>
      <c r="J49" cm="1">
        <f t="array" ref="J49">_xlfn.SWITCH(B49,1,75,2,61,3,49,4,37,5,25,6,13,7,4,8,1)</f>
        <v>13</v>
      </c>
      <c r="K49" t="str" cm="1">
        <f t="array" ref="K49">IFERROR(_xlfn.SWITCH(L49,2,_xlfn.XLOOKUP(C49,[1]ModifierDes!$B:$B,[1]ModifierDes!$C:$C),3,_xlfn.XLOOKUP(C49,[1]StuntDes!$B:$B,[1]StuntDes!$C:$C)),"")</f>
        <v>攻击伤害提高{0}</v>
      </c>
      <c r="L49">
        <f t="shared" si="0"/>
        <v>2</v>
      </c>
      <c r="M49" s="10" t="str">
        <f>IFERROR(_xlfn.XLOOKUP(C49,[1]StuntDes!$B:$B,[1]StuntDes!$A:$A),"")</f>
        <v/>
      </c>
      <c r="N49" s="10">
        <f>IFERROR(_xlfn.XLOOKUP(C49,[1]ModifierDes!$B:$B,[1]ModifierDes!$A:$A),"")</f>
        <v>10066</v>
      </c>
      <c r="O49" s="10" t="str">
        <f>IFERROR(_xlfn.XLOOKUP(C49,[1]AttributeName!$C:$C,[1]AttributeName!$B:$B),"")</f>
        <v/>
      </c>
      <c r="P49" s="10"/>
      <c r="Q49">
        <v>0.3</v>
      </c>
      <c r="R49">
        <v>0.38</v>
      </c>
      <c r="S49" cm="1">
        <f t="array" ref="S49">IFERROR(_xlfn.SWITCH(L49,1,_xlfn.XLOOKUP(O49,[1]AttributeName!$B:$B,[1]AttributeName!$D:$D),2,_xlfn.XLOOKUP(C49,#REF!,#REF!),3,_xlfn.XLOOKUP(C49,#REF!,#REF!)),0)</f>
        <v>0</v>
      </c>
      <c r="T49" cm="1">
        <f t="array" ref="T49">IFERROR(_xlfn.SWITCH(L49,1,_xlfn.XLOOKUP(O49,[1]AttributeName!$B:$B,[1]AttributeName!$E:$E),2,_xlfn.XLOOKUP(C49,#REF!,#REF!),3,_xlfn.XLOOKUP(C49,#REF!,#REF!)),0)</f>
        <v>0</v>
      </c>
    </row>
    <row r="50" spans="1:20">
      <c r="A50">
        <f t="shared" si="5"/>
        <v>6</v>
      </c>
      <c r="B50">
        <v>7</v>
      </c>
      <c r="C50" t="s">
        <v>383</v>
      </c>
      <c r="D50" t="s">
        <v>22</v>
      </c>
      <c r="E50" t="s">
        <v>378</v>
      </c>
      <c r="G50">
        <v>1</v>
      </c>
      <c r="H50">
        <v>1000</v>
      </c>
      <c r="J50" cm="1">
        <f t="array" ref="J50">_xlfn.SWITCH(B50,1,75,2,61,3,49,4,37,5,25,6,13,7,4,8,1)</f>
        <v>4</v>
      </c>
      <c r="K50" t="str" cm="1">
        <f t="array" ref="K50">IFERROR(_xlfn.SWITCH(L50,2,_xlfn.XLOOKUP(C50,[1]ModifierDes!$B:$B,[1]ModifierDes!$C:$C),3,_xlfn.XLOOKUP(C50,[1]StuntDes!$B:$B,[1]StuntDes!$C:$C)),"")</f>
        <v>攻击伤害提高{0}</v>
      </c>
      <c r="L50">
        <f t="shared" si="0"/>
        <v>2</v>
      </c>
      <c r="M50" s="10" t="str">
        <f>IFERROR(_xlfn.XLOOKUP(C50,[1]StuntDes!$B:$B,[1]StuntDes!$A:$A),"")</f>
        <v/>
      </c>
      <c r="N50" s="10">
        <f>IFERROR(_xlfn.XLOOKUP(C50,[1]ModifierDes!$B:$B,[1]ModifierDes!$A:$A),"")</f>
        <v>10066</v>
      </c>
      <c r="O50" s="10" t="str">
        <f>IFERROR(_xlfn.XLOOKUP(C50,[1]AttributeName!$C:$C,[1]AttributeName!$B:$B),"")</f>
        <v/>
      </c>
      <c r="P50" s="10"/>
      <c r="Q50">
        <v>0.21</v>
      </c>
      <c r="R50">
        <v>0.29</v>
      </c>
      <c r="S50" cm="1">
        <f t="array" ref="S50">IFERROR(_xlfn.SWITCH(L50,1,_xlfn.XLOOKUP(O50,[1]AttributeName!$B:$B,[1]AttributeName!$D:$D),2,_xlfn.XLOOKUP(C50,#REF!,#REF!),3,_xlfn.XLOOKUP(C50,#REF!,#REF!)),0)</f>
        <v>0</v>
      </c>
      <c r="T50" cm="1">
        <f t="array" ref="T50">IFERROR(_xlfn.SWITCH(L50,1,_xlfn.XLOOKUP(O50,[1]AttributeName!$B:$B,[1]AttributeName!$E:$E),2,_xlfn.XLOOKUP(C50,#REF!,#REF!),3,_xlfn.XLOOKUP(C50,#REF!,#REF!)),0)</f>
        <v>0</v>
      </c>
    </row>
    <row r="51" customFormat="1" spans="1:20">
      <c r="A51">
        <f t="shared" si="5"/>
        <v>6</v>
      </c>
      <c r="B51">
        <v>8</v>
      </c>
      <c r="C51" t="s">
        <v>383</v>
      </c>
      <c r="D51" t="s">
        <v>22</v>
      </c>
      <c r="E51" t="s">
        <v>378</v>
      </c>
      <c r="F51"/>
      <c r="G51">
        <v>1</v>
      </c>
      <c r="H51">
        <v>1000</v>
      </c>
      <c r="J51" cm="1">
        <f t="array" ref="J51">_xlfn.SWITCH(B51,1,75,2,61,3,49,4,37,5,25,6,13,7,4,8,1)</f>
        <v>1</v>
      </c>
      <c r="K51" t="str" cm="1">
        <f t="array" ref="K51">IFERROR(_xlfn.SWITCH(L51,2,_xlfn.XLOOKUP(C51,[1]ModifierDes!$B:$B,[1]ModifierDes!$C:$C),3,_xlfn.XLOOKUP(C51,[1]StuntDes!$B:$B,[1]StuntDes!$C:$C)),"")</f>
        <v>攻击伤害提高{0}</v>
      </c>
      <c r="L51">
        <f t="shared" si="0"/>
        <v>2</v>
      </c>
      <c r="M51" s="10" t="str">
        <f>IFERROR(_xlfn.XLOOKUP(C51,[1]StuntDes!$B:$B,[1]StuntDes!$A:$A),"")</f>
        <v/>
      </c>
      <c r="N51" s="10">
        <f>IFERROR(_xlfn.XLOOKUP(C51,[1]ModifierDes!$B:$B,[1]ModifierDes!$A:$A),"")</f>
        <v>10066</v>
      </c>
      <c r="O51" s="10" t="str">
        <f>IFERROR(_xlfn.XLOOKUP(C51,[1]AttributeName!$C:$C,[1]AttributeName!$B:$B),"")</f>
        <v/>
      </c>
      <c r="P51" s="10"/>
      <c r="Q51">
        <v>0.12</v>
      </c>
      <c r="R51">
        <v>0.2</v>
      </c>
      <c r="S51" cm="1">
        <f t="array" ref="S51">IFERROR(_xlfn.SWITCH(L51,1,_xlfn.XLOOKUP(O51,[1]AttributeName!$B:$B,[1]AttributeName!$D:$D),2,_xlfn.XLOOKUP(C51,#REF!,#REF!),3,_xlfn.XLOOKUP(C51,#REF!,#REF!)),0)</f>
        <v>0</v>
      </c>
      <c r="T51" cm="1">
        <f t="array" ref="T51">IFERROR(_xlfn.SWITCH(L51,1,_xlfn.XLOOKUP(O51,[1]AttributeName!$B:$B,[1]AttributeName!$E:$E),2,_xlfn.XLOOKUP(C51,#REF!,#REF!),3,_xlfn.XLOOKUP(C51,#REF!,#REF!)),0)</f>
        <v>0</v>
      </c>
    </row>
    <row r="52" spans="1:20">
      <c r="A52">
        <f t="shared" si="5"/>
        <v>7</v>
      </c>
      <c r="B52">
        <v>1</v>
      </c>
      <c r="C52" t="s">
        <v>384</v>
      </c>
      <c r="D52" t="s">
        <v>22</v>
      </c>
      <c r="E52" t="s">
        <v>378</v>
      </c>
      <c r="G52">
        <v>1</v>
      </c>
      <c r="H52">
        <v>100</v>
      </c>
      <c r="J52" cm="1">
        <f t="array" ref="J52">_xlfn.SWITCH(B52,1,75,2,61,3,49,4,37,5,25,6,13,7,4,8,1)</f>
        <v>75</v>
      </c>
      <c r="K52" t="str" cm="1">
        <f t="array" ref="K52">IFERROR(_xlfn.SWITCH(L52,2,_xlfn.XLOOKUP(C52,[1]ModifierDes!$B:$B,[1]ModifierDes!$C:$C),3,_xlfn.XLOOKUP(C52,[1]StuntDes!$B:$B,[1]StuntDes!$C:$C)),"")</f>
        <v/>
      </c>
      <c r="L52">
        <f t="shared" si="0"/>
        <v>1</v>
      </c>
      <c r="M52" s="10" t="str">
        <f>IFERROR(_xlfn.XLOOKUP(C52,[1]StuntDes!$B:$B,[1]StuntDes!$A:$A),"")</f>
        <v/>
      </c>
      <c r="N52" s="10" t="str">
        <f>IFERROR(_xlfn.XLOOKUP(C52,[1]ModifierDes!$B:$B,[1]ModifierDes!$A:$A),"")</f>
        <v/>
      </c>
      <c r="O52" s="10">
        <f>IFERROR(_xlfn.XLOOKUP(C52,[1]AttributeName!$C:$C,[1]AttributeName!$B:$B),"")</f>
        <v>10303</v>
      </c>
      <c r="P52" s="10"/>
      <c r="Q52">
        <v>0.75</v>
      </c>
      <c r="R52">
        <v>1</v>
      </c>
      <c r="S52" cm="1">
        <f t="array" ref="S52">IFERROR(_xlfn.SWITCH(L52,1,_xlfn.XLOOKUP(O52,[1]AttributeName!$B:$B,[1]AttributeName!$D:$D),2,_xlfn.XLOOKUP(C52,#REF!,#REF!),3,_xlfn.XLOOKUP(C52,#REF!,#REF!)),0)</f>
        <v>2</v>
      </c>
      <c r="T52" cm="1">
        <f t="array" ref="T52">IFERROR(_xlfn.SWITCH(L52,1,_xlfn.XLOOKUP(O52,[1]AttributeName!$B:$B,[1]AttributeName!$E:$E),2,_xlfn.XLOOKUP(C52,#REF!,#REF!),3,_xlfn.XLOOKUP(C52,#REF!,#REF!)),0)</f>
        <v>2</v>
      </c>
    </row>
    <row r="53" spans="1:20">
      <c r="A53">
        <f t="shared" si="5"/>
        <v>7</v>
      </c>
      <c r="B53">
        <v>2</v>
      </c>
      <c r="C53" t="s">
        <v>384</v>
      </c>
      <c r="D53" t="s">
        <v>22</v>
      </c>
      <c r="E53" t="s">
        <v>378</v>
      </c>
      <c r="G53">
        <v>1</v>
      </c>
      <c r="H53">
        <v>200</v>
      </c>
      <c r="J53" cm="1">
        <f t="array" ref="J53">_xlfn.SWITCH(B53,1,75,2,61,3,49,4,37,5,25,6,13,7,4,8,1)</f>
        <v>61</v>
      </c>
      <c r="K53" t="str" cm="1">
        <f t="array" ref="K53">IFERROR(_xlfn.SWITCH(L53,2,_xlfn.XLOOKUP(C53,[1]ModifierDes!$B:$B,[1]ModifierDes!$C:$C),3,_xlfn.XLOOKUP(C53,[1]StuntDes!$B:$B,[1]StuntDes!$C:$C)),"")</f>
        <v/>
      </c>
      <c r="L53">
        <f t="shared" si="0"/>
        <v>1</v>
      </c>
      <c r="M53" s="10" t="str">
        <f>IFERROR(_xlfn.XLOOKUP(C53,[1]StuntDes!$B:$B,[1]StuntDes!$A:$A),"")</f>
        <v/>
      </c>
      <c r="N53" s="10" t="str">
        <f>IFERROR(_xlfn.XLOOKUP(C53,[1]ModifierDes!$B:$B,[1]ModifierDes!$A:$A),"")</f>
        <v/>
      </c>
      <c r="O53" s="10">
        <f>IFERROR(_xlfn.XLOOKUP(C53,[1]AttributeName!$C:$C,[1]AttributeName!$B:$B),"")</f>
        <v>10303</v>
      </c>
      <c r="P53" s="10"/>
      <c r="Q53">
        <v>0.66</v>
      </c>
      <c r="R53">
        <v>0.74</v>
      </c>
      <c r="S53" cm="1">
        <f t="array" ref="S53">IFERROR(_xlfn.SWITCH(L53,1,_xlfn.XLOOKUP(O53,[1]AttributeName!$B:$B,[1]AttributeName!$D:$D),2,_xlfn.XLOOKUP(C53,#REF!,#REF!),3,_xlfn.XLOOKUP(C53,#REF!,#REF!)),0)</f>
        <v>2</v>
      </c>
      <c r="T53" cm="1">
        <f t="array" ref="T53">IFERROR(_xlfn.SWITCH(L53,1,_xlfn.XLOOKUP(O53,[1]AttributeName!$B:$B,[1]AttributeName!$E:$E),2,_xlfn.XLOOKUP(C53,#REF!,#REF!),3,_xlfn.XLOOKUP(C53,#REF!,#REF!)),0)</f>
        <v>2</v>
      </c>
    </row>
    <row r="54" spans="1:20">
      <c r="A54">
        <f t="shared" si="5"/>
        <v>7</v>
      </c>
      <c r="B54">
        <v>3</v>
      </c>
      <c r="C54" t="s">
        <v>384</v>
      </c>
      <c r="D54" t="s">
        <v>22</v>
      </c>
      <c r="E54" t="s">
        <v>378</v>
      </c>
      <c r="G54">
        <v>1</v>
      </c>
      <c r="H54">
        <v>500</v>
      </c>
      <c r="J54" cm="1">
        <f t="array" ref="J54">_xlfn.SWITCH(B54,1,75,2,61,3,49,4,37,5,25,6,13,7,4,8,1)</f>
        <v>49</v>
      </c>
      <c r="K54" t="str" cm="1">
        <f t="array" ref="K54">IFERROR(_xlfn.SWITCH(L54,2,_xlfn.XLOOKUP(C54,[1]ModifierDes!$B:$B,[1]ModifierDes!$C:$C),3,_xlfn.XLOOKUP(C54,[1]StuntDes!$B:$B,[1]StuntDes!$C:$C)),"")</f>
        <v/>
      </c>
      <c r="L54">
        <f t="shared" si="0"/>
        <v>1</v>
      </c>
      <c r="M54" s="10" t="str">
        <f>IFERROR(_xlfn.XLOOKUP(C54,[1]StuntDes!$B:$B,[1]StuntDes!$A:$A),"")</f>
        <v/>
      </c>
      <c r="N54" s="10" t="str">
        <f>IFERROR(_xlfn.XLOOKUP(C54,[1]ModifierDes!$B:$B,[1]ModifierDes!$A:$A),"")</f>
        <v/>
      </c>
      <c r="O54" s="10">
        <f>IFERROR(_xlfn.XLOOKUP(C54,[1]AttributeName!$C:$C,[1]AttributeName!$B:$B),"")</f>
        <v>10303</v>
      </c>
      <c r="P54" s="10"/>
      <c r="Q54">
        <v>0.57</v>
      </c>
      <c r="R54">
        <v>0.65</v>
      </c>
      <c r="S54" cm="1">
        <f t="array" ref="S54">IFERROR(_xlfn.SWITCH(L54,1,_xlfn.XLOOKUP(O54,[1]AttributeName!$B:$B,[1]AttributeName!$D:$D),2,_xlfn.XLOOKUP(C54,#REF!,#REF!),3,_xlfn.XLOOKUP(C54,#REF!,#REF!)),0)</f>
        <v>2</v>
      </c>
      <c r="T54" cm="1">
        <f t="array" ref="T54">IFERROR(_xlfn.SWITCH(L54,1,_xlfn.XLOOKUP(O54,[1]AttributeName!$B:$B,[1]AttributeName!$E:$E),2,_xlfn.XLOOKUP(C54,#REF!,#REF!),3,_xlfn.XLOOKUP(C54,#REF!,#REF!)),0)</f>
        <v>2</v>
      </c>
    </row>
    <row r="55" spans="1:20">
      <c r="A55">
        <f t="shared" si="5"/>
        <v>7</v>
      </c>
      <c r="B55">
        <v>4</v>
      </c>
      <c r="C55" t="s">
        <v>384</v>
      </c>
      <c r="D55" t="s">
        <v>22</v>
      </c>
      <c r="E55" t="s">
        <v>378</v>
      </c>
      <c r="G55">
        <v>1</v>
      </c>
      <c r="H55">
        <v>1000</v>
      </c>
      <c r="J55" cm="1">
        <f t="array" ref="J55">_xlfn.SWITCH(B55,1,75,2,61,3,49,4,37,5,25,6,13,7,4,8,1)</f>
        <v>37</v>
      </c>
      <c r="K55" t="str" cm="1">
        <f t="array" ref="K55">IFERROR(_xlfn.SWITCH(L55,2,_xlfn.XLOOKUP(C55,[1]ModifierDes!$B:$B,[1]ModifierDes!$C:$C),3,_xlfn.XLOOKUP(C55,[1]StuntDes!$B:$B,[1]StuntDes!$C:$C)),"")</f>
        <v/>
      </c>
      <c r="L55">
        <f t="shared" si="0"/>
        <v>1</v>
      </c>
      <c r="M55" s="10" t="str">
        <f>IFERROR(_xlfn.XLOOKUP(C55,[1]StuntDes!$B:$B,[1]StuntDes!$A:$A),"")</f>
        <v/>
      </c>
      <c r="N55" s="10" t="str">
        <f>IFERROR(_xlfn.XLOOKUP(C55,[1]ModifierDes!$B:$B,[1]ModifierDes!$A:$A),"")</f>
        <v/>
      </c>
      <c r="O55" s="10">
        <f>IFERROR(_xlfn.XLOOKUP(C55,[1]AttributeName!$C:$C,[1]AttributeName!$B:$B),"")</f>
        <v>10303</v>
      </c>
      <c r="P55" s="10"/>
      <c r="Q55">
        <v>0.48</v>
      </c>
      <c r="R55">
        <v>0.56</v>
      </c>
      <c r="S55" cm="1">
        <f t="array" ref="S55">IFERROR(_xlfn.SWITCH(L55,1,_xlfn.XLOOKUP(O55,[1]AttributeName!$B:$B,[1]AttributeName!$D:$D),2,_xlfn.XLOOKUP(C55,#REF!,#REF!),3,_xlfn.XLOOKUP(C55,#REF!,#REF!)),0)</f>
        <v>2</v>
      </c>
      <c r="T55" cm="1">
        <f t="array" ref="T55">IFERROR(_xlfn.SWITCH(L55,1,_xlfn.XLOOKUP(O55,[1]AttributeName!$B:$B,[1]AttributeName!$E:$E),2,_xlfn.XLOOKUP(C55,#REF!,#REF!),3,_xlfn.XLOOKUP(C55,#REF!,#REF!)),0)</f>
        <v>2</v>
      </c>
    </row>
    <row r="56" spans="1:20">
      <c r="A56">
        <f t="shared" si="5"/>
        <v>7</v>
      </c>
      <c r="B56">
        <v>5</v>
      </c>
      <c r="C56" t="s">
        <v>384</v>
      </c>
      <c r="D56" t="s">
        <v>22</v>
      </c>
      <c r="E56" t="s">
        <v>378</v>
      </c>
      <c r="G56">
        <v>1</v>
      </c>
      <c r="H56">
        <v>1000</v>
      </c>
      <c r="J56" cm="1">
        <f t="array" ref="J56">_xlfn.SWITCH(B56,1,75,2,61,3,49,4,37,5,25,6,13,7,4,8,1)</f>
        <v>25</v>
      </c>
      <c r="K56" t="str" cm="1">
        <f t="array" ref="K56">IFERROR(_xlfn.SWITCH(L56,2,_xlfn.XLOOKUP(C56,[1]ModifierDes!$B:$B,[1]ModifierDes!$C:$C),3,_xlfn.XLOOKUP(C56,[1]StuntDes!$B:$B,[1]StuntDes!$C:$C)),"")</f>
        <v/>
      </c>
      <c r="L56">
        <f t="shared" si="0"/>
        <v>1</v>
      </c>
      <c r="M56" s="10" t="str">
        <f>IFERROR(_xlfn.XLOOKUP(C56,[1]StuntDes!$B:$B,[1]StuntDes!$A:$A),"")</f>
        <v/>
      </c>
      <c r="N56" s="10" t="str">
        <f>IFERROR(_xlfn.XLOOKUP(C56,[1]ModifierDes!$B:$B,[1]ModifierDes!$A:$A),"")</f>
        <v/>
      </c>
      <c r="O56" s="10">
        <f>IFERROR(_xlfn.XLOOKUP(C56,[1]AttributeName!$C:$C,[1]AttributeName!$B:$B),"")</f>
        <v>10303</v>
      </c>
      <c r="P56" s="10"/>
      <c r="Q56">
        <v>0.39</v>
      </c>
      <c r="R56">
        <v>0.47</v>
      </c>
      <c r="S56" cm="1">
        <f t="array" ref="S56">IFERROR(_xlfn.SWITCH(L56,1,_xlfn.XLOOKUP(O56,[1]AttributeName!$B:$B,[1]AttributeName!$D:$D),2,_xlfn.XLOOKUP(C56,#REF!,#REF!),3,_xlfn.XLOOKUP(C56,#REF!,#REF!)),0)</f>
        <v>2</v>
      </c>
      <c r="T56" cm="1">
        <f t="array" ref="T56">IFERROR(_xlfn.SWITCH(L56,1,_xlfn.XLOOKUP(O56,[1]AttributeName!$B:$B,[1]AttributeName!$E:$E),2,_xlfn.XLOOKUP(C56,#REF!,#REF!),3,_xlfn.XLOOKUP(C56,#REF!,#REF!)),0)</f>
        <v>2</v>
      </c>
    </row>
    <row r="57" spans="1:20">
      <c r="A57">
        <f t="shared" si="5"/>
        <v>7</v>
      </c>
      <c r="B57">
        <v>6</v>
      </c>
      <c r="C57" t="s">
        <v>384</v>
      </c>
      <c r="D57" t="s">
        <v>22</v>
      </c>
      <c r="E57" t="s">
        <v>378</v>
      </c>
      <c r="G57">
        <v>1</v>
      </c>
      <c r="H57">
        <v>1000</v>
      </c>
      <c r="J57" cm="1">
        <f t="array" ref="J57">_xlfn.SWITCH(B57,1,75,2,61,3,49,4,37,5,25,6,13,7,4,8,1)</f>
        <v>13</v>
      </c>
      <c r="K57" t="str" cm="1">
        <f t="array" ref="K57">IFERROR(_xlfn.SWITCH(L57,2,_xlfn.XLOOKUP(C57,[1]ModifierDes!$B:$B,[1]ModifierDes!$C:$C),3,_xlfn.XLOOKUP(C57,[1]StuntDes!$B:$B,[1]StuntDes!$C:$C)),"")</f>
        <v/>
      </c>
      <c r="L57">
        <f t="shared" si="0"/>
        <v>1</v>
      </c>
      <c r="M57" s="10" t="str">
        <f>IFERROR(_xlfn.XLOOKUP(C57,[1]StuntDes!$B:$B,[1]StuntDes!$A:$A),"")</f>
        <v/>
      </c>
      <c r="N57" s="10" t="str">
        <f>IFERROR(_xlfn.XLOOKUP(C57,[1]ModifierDes!$B:$B,[1]ModifierDes!$A:$A),"")</f>
        <v/>
      </c>
      <c r="O57" s="10">
        <f>IFERROR(_xlfn.XLOOKUP(C57,[1]AttributeName!$C:$C,[1]AttributeName!$B:$B),"")</f>
        <v>10303</v>
      </c>
      <c r="P57" s="10"/>
      <c r="Q57">
        <v>0.3</v>
      </c>
      <c r="R57">
        <v>0.38</v>
      </c>
      <c r="S57" cm="1">
        <f t="array" ref="S57">IFERROR(_xlfn.SWITCH(L57,1,_xlfn.XLOOKUP(O57,[1]AttributeName!$B:$B,[1]AttributeName!$D:$D),2,_xlfn.XLOOKUP(C57,#REF!,#REF!),3,_xlfn.XLOOKUP(C57,#REF!,#REF!)),0)</f>
        <v>2</v>
      </c>
      <c r="T57" cm="1">
        <f t="array" ref="T57">IFERROR(_xlfn.SWITCH(L57,1,_xlfn.XLOOKUP(O57,[1]AttributeName!$B:$B,[1]AttributeName!$E:$E),2,_xlfn.XLOOKUP(C57,#REF!,#REF!),3,_xlfn.XLOOKUP(C57,#REF!,#REF!)),0)</f>
        <v>2</v>
      </c>
    </row>
    <row r="58" spans="1:20">
      <c r="A58">
        <f t="shared" si="5"/>
        <v>7</v>
      </c>
      <c r="B58">
        <v>7</v>
      </c>
      <c r="C58" t="s">
        <v>384</v>
      </c>
      <c r="D58" t="s">
        <v>22</v>
      </c>
      <c r="E58" t="s">
        <v>378</v>
      </c>
      <c r="G58">
        <v>1</v>
      </c>
      <c r="H58">
        <v>1000</v>
      </c>
      <c r="J58" cm="1">
        <f t="array" ref="J58">_xlfn.SWITCH(B58,1,75,2,61,3,49,4,37,5,25,6,13,7,4,8,1)</f>
        <v>4</v>
      </c>
      <c r="K58" t="str" cm="1">
        <f t="array" ref="K58">IFERROR(_xlfn.SWITCH(L58,2,_xlfn.XLOOKUP(C58,[1]ModifierDes!$B:$B,[1]ModifierDes!$C:$C),3,_xlfn.XLOOKUP(C58,[1]StuntDes!$B:$B,[1]StuntDes!$C:$C)),"")</f>
        <v/>
      </c>
      <c r="L58">
        <f t="shared" si="0"/>
        <v>1</v>
      </c>
      <c r="M58" s="10" t="str">
        <f>IFERROR(_xlfn.XLOOKUP(C58,[1]StuntDes!$B:$B,[1]StuntDes!$A:$A),"")</f>
        <v/>
      </c>
      <c r="N58" s="10" t="str">
        <f>IFERROR(_xlfn.XLOOKUP(C58,[1]ModifierDes!$B:$B,[1]ModifierDes!$A:$A),"")</f>
        <v/>
      </c>
      <c r="O58" s="10">
        <f>IFERROR(_xlfn.XLOOKUP(C58,[1]AttributeName!$C:$C,[1]AttributeName!$B:$B),"")</f>
        <v>10303</v>
      </c>
      <c r="P58" s="10"/>
      <c r="Q58">
        <v>0.21</v>
      </c>
      <c r="R58">
        <v>0.29</v>
      </c>
      <c r="S58" cm="1">
        <f t="array" ref="S58">IFERROR(_xlfn.SWITCH(L58,1,_xlfn.XLOOKUP(O58,[1]AttributeName!$B:$B,[1]AttributeName!$D:$D),2,_xlfn.XLOOKUP(C58,#REF!,#REF!),3,_xlfn.XLOOKUP(C58,#REF!,#REF!)),0)</f>
        <v>2</v>
      </c>
      <c r="T58" cm="1">
        <f t="array" ref="T58">IFERROR(_xlfn.SWITCH(L58,1,_xlfn.XLOOKUP(O58,[1]AttributeName!$B:$B,[1]AttributeName!$E:$E),2,_xlfn.XLOOKUP(C58,#REF!,#REF!),3,_xlfn.XLOOKUP(C58,#REF!,#REF!)),0)</f>
        <v>2</v>
      </c>
    </row>
    <row r="59" customFormat="1" spans="1:20">
      <c r="A59">
        <f t="shared" si="5"/>
        <v>7</v>
      </c>
      <c r="B59">
        <v>8</v>
      </c>
      <c r="C59" t="s">
        <v>384</v>
      </c>
      <c r="D59" t="s">
        <v>22</v>
      </c>
      <c r="E59" t="s">
        <v>378</v>
      </c>
      <c r="F59"/>
      <c r="G59">
        <v>1</v>
      </c>
      <c r="H59">
        <v>1000</v>
      </c>
      <c r="J59" cm="1">
        <f t="array" ref="J59">_xlfn.SWITCH(B59,1,75,2,61,3,49,4,37,5,25,6,13,7,4,8,1)</f>
        <v>1</v>
      </c>
      <c r="K59" t="str" cm="1">
        <f t="array" ref="K59">IFERROR(_xlfn.SWITCH(L59,2,_xlfn.XLOOKUP(C59,[1]ModifierDes!$B:$B,[1]ModifierDes!$C:$C),3,_xlfn.XLOOKUP(C59,[1]StuntDes!$B:$B,[1]StuntDes!$C:$C)),"")</f>
        <v/>
      </c>
      <c r="L59">
        <f t="shared" si="0"/>
        <v>1</v>
      </c>
      <c r="M59" s="10" t="str">
        <f>IFERROR(_xlfn.XLOOKUP(C59,[1]StuntDes!$B:$B,[1]StuntDes!$A:$A),"")</f>
        <v/>
      </c>
      <c r="N59" s="10" t="str">
        <f>IFERROR(_xlfn.XLOOKUP(C59,[1]ModifierDes!$B:$B,[1]ModifierDes!$A:$A),"")</f>
        <v/>
      </c>
      <c r="O59" s="10">
        <f>IFERROR(_xlfn.XLOOKUP(C59,[1]AttributeName!$C:$C,[1]AttributeName!$B:$B),"")</f>
        <v>10303</v>
      </c>
      <c r="P59" s="10"/>
      <c r="Q59">
        <v>0.12</v>
      </c>
      <c r="R59">
        <v>0.2</v>
      </c>
      <c r="S59" cm="1">
        <f t="array" ref="S59">IFERROR(_xlfn.SWITCH(L59,1,_xlfn.XLOOKUP(O59,[1]AttributeName!$B:$B,[1]AttributeName!$D:$D),2,_xlfn.XLOOKUP(C59,#REF!,#REF!),3,_xlfn.XLOOKUP(C59,#REF!,#REF!)),0)</f>
        <v>2</v>
      </c>
      <c r="T59" cm="1">
        <f t="array" ref="T59">IFERROR(_xlfn.SWITCH(L59,1,_xlfn.XLOOKUP(O59,[1]AttributeName!$B:$B,[1]AttributeName!$E:$E),2,_xlfn.XLOOKUP(C59,#REF!,#REF!),3,_xlfn.XLOOKUP(C59,#REF!,#REF!)),0)</f>
        <v>2</v>
      </c>
    </row>
    <row r="60" spans="1:20">
      <c r="A60">
        <f t="shared" si="5"/>
        <v>8</v>
      </c>
      <c r="B60">
        <v>1</v>
      </c>
      <c r="C60" t="s">
        <v>385</v>
      </c>
      <c r="D60" t="s">
        <v>22</v>
      </c>
      <c r="E60" t="s">
        <v>378</v>
      </c>
      <c r="G60">
        <v>1</v>
      </c>
      <c r="H60">
        <v>100</v>
      </c>
      <c r="J60" cm="1">
        <f t="array" ref="J60">_xlfn.SWITCH(B60,1,75,2,61,3,49,4,37,5,25,6,13,7,4,8,1)</f>
        <v>75</v>
      </c>
      <c r="K60" t="str" cm="1">
        <f t="array" ref="K60">IFERROR(_xlfn.SWITCH(L60,2,_xlfn.XLOOKUP(C60,[1]ModifierDes!$B:$B,[1]ModifierDes!$C:$C),3,_xlfn.XLOOKUP(C60,[1]StuntDes!$B:$B,[1]StuntDes!$C:$C)),"")</f>
        <v/>
      </c>
      <c r="L60">
        <f t="shared" si="0"/>
        <v>1</v>
      </c>
      <c r="M60" s="10" t="str">
        <f>IFERROR(_xlfn.XLOOKUP(C60,[1]StuntDes!$B:$B,[1]StuntDes!$A:$A),"")</f>
        <v/>
      </c>
      <c r="N60" s="10" t="str">
        <f>IFERROR(_xlfn.XLOOKUP(C60,[1]ModifierDes!$B:$B,[1]ModifierDes!$A:$A),"")</f>
        <v/>
      </c>
      <c r="O60" s="10">
        <f>IFERROR(_xlfn.XLOOKUP(C60,[1]AttributeName!$C:$C,[1]AttributeName!$B:$B),"")</f>
        <v>10304</v>
      </c>
      <c r="P60" s="10"/>
      <c r="Q60">
        <v>0.75</v>
      </c>
      <c r="R60">
        <v>1</v>
      </c>
      <c r="S60" cm="1">
        <f t="array" ref="S60">IFERROR(_xlfn.SWITCH(L60,1,_xlfn.XLOOKUP(O60,[1]AttributeName!$B:$B,[1]AttributeName!$D:$D),2,_xlfn.XLOOKUP(C60,#REF!,#REF!),3,_xlfn.XLOOKUP(C60,#REF!,#REF!)),0)</f>
        <v>2</v>
      </c>
      <c r="T60" cm="1">
        <f t="array" ref="T60">IFERROR(_xlfn.SWITCH(L60,1,_xlfn.XLOOKUP(O60,[1]AttributeName!$B:$B,[1]AttributeName!$E:$E),2,_xlfn.XLOOKUP(C60,#REF!,#REF!),3,_xlfn.XLOOKUP(C60,#REF!,#REF!)),0)</f>
        <v>2</v>
      </c>
    </row>
    <row r="61" spans="1:20">
      <c r="A61">
        <f t="shared" si="5"/>
        <v>8</v>
      </c>
      <c r="B61">
        <v>2</v>
      </c>
      <c r="C61" t="s">
        <v>385</v>
      </c>
      <c r="D61" t="s">
        <v>22</v>
      </c>
      <c r="E61" t="s">
        <v>378</v>
      </c>
      <c r="G61">
        <v>1</v>
      </c>
      <c r="H61">
        <v>200</v>
      </c>
      <c r="J61" cm="1">
        <f t="array" ref="J61">_xlfn.SWITCH(B61,1,75,2,61,3,49,4,37,5,25,6,13,7,4,8,1)</f>
        <v>61</v>
      </c>
      <c r="K61" t="str" cm="1">
        <f t="array" ref="K61">IFERROR(_xlfn.SWITCH(L61,2,_xlfn.XLOOKUP(C61,[1]ModifierDes!$B:$B,[1]ModifierDes!$C:$C),3,_xlfn.XLOOKUP(C61,[1]StuntDes!$B:$B,[1]StuntDes!$C:$C)),"")</f>
        <v/>
      </c>
      <c r="L61">
        <f t="shared" si="0"/>
        <v>1</v>
      </c>
      <c r="M61" s="10" t="str">
        <f>IFERROR(_xlfn.XLOOKUP(C61,[1]StuntDes!$B:$B,[1]StuntDes!$A:$A),"")</f>
        <v/>
      </c>
      <c r="N61" s="10" t="str">
        <f>IFERROR(_xlfn.XLOOKUP(C61,[1]ModifierDes!$B:$B,[1]ModifierDes!$A:$A),"")</f>
        <v/>
      </c>
      <c r="O61" s="10">
        <f>IFERROR(_xlfn.XLOOKUP(C61,[1]AttributeName!$C:$C,[1]AttributeName!$B:$B),"")</f>
        <v>10304</v>
      </c>
      <c r="P61" s="10"/>
      <c r="Q61">
        <v>0.66</v>
      </c>
      <c r="R61">
        <v>0.74</v>
      </c>
      <c r="S61" cm="1">
        <f t="array" ref="S61">IFERROR(_xlfn.SWITCH(L61,1,_xlfn.XLOOKUP(O61,[1]AttributeName!$B:$B,[1]AttributeName!$D:$D),2,_xlfn.XLOOKUP(C61,#REF!,#REF!),3,_xlfn.XLOOKUP(C61,#REF!,#REF!)),0)</f>
        <v>2</v>
      </c>
      <c r="T61" cm="1">
        <f t="array" ref="T61">IFERROR(_xlfn.SWITCH(L61,1,_xlfn.XLOOKUP(O61,[1]AttributeName!$B:$B,[1]AttributeName!$E:$E),2,_xlfn.XLOOKUP(C61,#REF!,#REF!),3,_xlfn.XLOOKUP(C61,#REF!,#REF!)),0)</f>
        <v>2</v>
      </c>
    </row>
    <row r="62" spans="1:20">
      <c r="A62">
        <f t="shared" ref="A62:A69" si="6">A54+1</f>
        <v>8</v>
      </c>
      <c r="B62">
        <v>3</v>
      </c>
      <c r="C62" t="s">
        <v>385</v>
      </c>
      <c r="D62" t="s">
        <v>22</v>
      </c>
      <c r="E62" t="s">
        <v>378</v>
      </c>
      <c r="G62">
        <v>1</v>
      </c>
      <c r="H62">
        <v>500</v>
      </c>
      <c r="J62" cm="1">
        <f t="array" ref="J62">_xlfn.SWITCH(B62,1,75,2,61,3,49,4,37,5,25,6,13,7,4,8,1)</f>
        <v>49</v>
      </c>
      <c r="K62" t="str" cm="1">
        <f t="array" ref="K62">IFERROR(_xlfn.SWITCH(L62,2,_xlfn.XLOOKUP(C62,[1]ModifierDes!$B:$B,[1]ModifierDes!$C:$C),3,_xlfn.XLOOKUP(C62,[1]StuntDes!$B:$B,[1]StuntDes!$C:$C)),"")</f>
        <v/>
      </c>
      <c r="L62">
        <f t="shared" si="0"/>
        <v>1</v>
      </c>
      <c r="M62" s="10" t="str">
        <f>IFERROR(_xlfn.XLOOKUP(C62,[1]StuntDes!$B:$B,[1]StuntDes!$A:$A),"")</f>
        <v/>
      </c>
      <c r="N62" s="10" t="str">
        <f>IFERROR(_xlfn.XLOOKUP(C62,[1]ModifierDes!$B:$B,[1]ModifierDes!$A:$A),"")</f>
        <v/>
      </c>
      <c r="O62" s="10">
        <f>IFERROR(_xlfn.XLOOKUP(C62,[1]AttributeName!$C:$C,[1]AttributeName!$B:$B),"")</f>
        <v>10304</v>
      </c>
      <c r="P62" s="10"/>
      <c r="Q62">
        <v>0.57</v>
      </c>
      <c r="R62">
        <v>0.65</v>
      </c>
      <c r="S62" cm="1">
        <f t="array" ref="S62">IFERROR(_xlfn.SWITCH(L62,1,_xlfn.XLOOKUP(O62,[1]AttributeName!$B:$B,[1]AttributeName!$D:$D),2,_xlfn.XLOOKUP(C62,#REF!,#REF!),3,_xlfn.XLOOKUP(C62,#REF!,#REF!)),0)</f>
        <v>2</v>
      </c>
      <c r="T62" cm="1">
        <f t="array" ref="T62">IFERROR(_xlfn.SWITCH(L62,1,_xlfn.XLOOKUP(O62,[1]AttributeName!$B:$B,[1]AttributeName!$E:$E),2,_xlfn.XLOOKUP(C62,#REF!,#REF!),3,_xlfn.XLOOKUP(C62,#REF!,#REF!)),0)</f>
        <v>2</v>
      </c>
    </row>
    <row r="63" spans="1:20">
      <c r="A63">
        <f t="shared" si="6"/>
        <v>8</v>
      </c>
      <c r="B63">
        <v>4</v>
      </c>
      <c r="C63" t="s">
        <v>385</v>
      </c>
      <c r="D63" t="s">
        <v>22</v>
      </c>
      <c r="E63" t="s">
        <v>378</v>
      </c>
      <c r="G63">
        <v>1</v>
      </c>
      <c r="H63">
        <v>1000</v>
      </c>
      <c r="J63" cm="1">
        <f t="array" ref="J63">_xlfn.SWITCH(B63,1,75,2,61,3,49,4,37,5,25,6,13,7,4,8,1)</f>
        <v>37</v>
      </c>
      <c r="K63" t="str" cm="1">
        <f t="array" ref="K63">IFERROR(_xlfn.SWITCH(L63,2,_xlfn.XLOOKUP(C63,[1]ModifierDes!$B:$B,[1]ModifierDes!$C:$C),3,_xlfn.XLOOKUP(C63,[1]StuntDes!$B:$B,[1]StuntDes!$C:$C)),"")</f>
        <v/>
      </c>
      <c r="L63">
        <f t="shared" si="0"/>
        <v>1</v>
      </c>
      <c r="M63" s="10" t="str">
        <f>IFERROR(_xlfn.XLOOKUP(C63,[1]StuntDes!$B:$B,[1]StuntDes!$A:$A),"")</f>
        <v/>
      </c>
      <c r="N63" s="10" t="str">
        <f>IFERROR(_xlfn.XLOOKUP(C63,[1]ModifierDes!$B:$B,[1]ModifierDes!$A:$A),"")</f>
        <v/>
      </c>
      <c r="O63" s="10">
        <f>IFERROR(_xlfn.XLOOKUP(C63,[1]AttributeName!$C:$C,[1]AttributeName!$B:$B),"")</f>
        <v>10304</v>
      </c>
      <c r="P63" s="10"/>
      <c r="Q63">
        <v>0.48</v>
      </c>
      <c r="R63">
        <v>0.56</v>
      </c>
      <c r="S63" cm="1">
        <f t="array" ref="S63">IFERROR(_xlfn.SWITCH(L63,1,_xlfn.XLOOKUP(O63,[1]AttributeName!$B:$B,[1]AttributeName!$D:$D),2,_xlfn.XLOOKUP(C63,#REF!,#REF!),3,_xlfn.XLOOKUP(C63,#REF!,#REF!)),0)</f>
        <v>2</v>
      </c>
      <c r="T63" cm="1">
        <f t="array" ref="T63">IFERROR(_xlfn.SWITCH(L63,1,_xlfn.XLOOKUP(O63,[1]AttributeName!$B:$B,[1]AttributeName!$E:$E),2,_xlfn.XLOOKUP(C63,#REF!,#REF!),3,_xlfn.XLOOKUP(C63,#REF!,#REF!)),0)</f>
        <v>2</v>
      </c>
    </row>
    <row r="64" spans="1:20">
      <c r="A64">
        <f t="shared" si="6"/>
        <v>8</v>
      </c>
      <c r="B64">
        <v>5</v>
      </c>
      <c r="C64" t="s">
        <v>385</v>
      </c>
      <c r="D64" t="s">
        <v>22</v>
      </c>
      <c r="E64" t="s">
        <v>378</v>
      </c>
      <c r="G64">
        <v>1</v>
      </c>
      <c r="H64">
        <v>1000</v>
      </c>
      <c r="J64" cm="1">
        <f t="array" ref="J64">_xlfn.SWITCH(B64,1,75,2,61,3,49,4,37,5,25,6,13,7,4,8,1)</f>
        <v>25</v>
      </c>
      <c r="K64" t="str" cm="1">
        <f t="array" ref="K64">IFERROR(_xlfn.SWITCH(L64,2,_xlfn.XLOOKUP(C64,[1]ModifierDes!$B:$B,[1]ModifierDes!$C:$C),3,_xlfn.XLOOKUP(C64,[1]StuntDes!$B:$B,[1]StuntDes!$C:$C)),"")</f>
        <v/>
      </c>
      <c r="L64">
        <f t="shared" si="0"/>
        <v>1</v>
      </c>
      <c r="M64" s="10" t="str">
        <f>IFERROR(_xlfn.XLOOKUP(C64,[1]StuntDes!$B:$B,[1]StuntDes!$A:$A),"")</f>
        <v/>
      </c>
      <c r="N64" s="10" t="str">
        <f>IFERROR(_xlfn.XLOOKUP(C64,[1]ModifierDes!$B:$B,[1]ModifierDes!$A:$A),"")</f>
        <v/>
      </c>
      <c r="O64" s="10">
        <f>IFERROR(_xlfn.XLOOKUP(C64,[1]AttributeName!$C:$C,[1]AttributeName!$B:$B),"")</f>
        <v>10304</v>
      </c>
      <c r="P64" s="10"/>
      <c r="Q64">
        <v>0.39</v>
      </c>
      <c r="R64">
        <v>0.47</v>
      </c>
      <c r="S64" cm="1">
        <f t="array" ref="S64">IFERROR(_xlfn.SWITCH(L64,1,_xlfn.XLOOKUP(O64,[1]AttributeName!$B:$B,[1]AttributeName!$D:$D),2,_xlfn.XLOOKUP(C64,#REF!,#REF!),3,_xlfn.XLOOKUP(C64,#REF!,#REF!)),0)</f>
        <v>2</v>
      </c>
      <c r="T64" cm="1">
        <f t="array" ref="T64">IFERROR(_xlfn.SWITCH(L64,1,_xlfn.XLOOKUP(O64,[1]AttributeName!$B:$B,[1]AttributeName!$E:$E),2,_xlfn.XLOOKUP(C64,#REF!,#REF!),3,_xlfn.XLOOKUP(C64,#REF!,#REF!)),0)</f>
        <v>2</v>
      </c>
    </row>
    <row r="65" spans="1:20">
      <c r="A65">
        <f t="shared" si="6"/>
        <v>8</v>
      </c>
      <c r="B65">
        <v>6</v>
      </c>
      <c r="C65" t="s">
        <v>385</v>
      </c>
      <c r="D65" t="s">
        <v>22</v>
      </c>
      <c r="E65" t="s">
        <v>378</v>
      </c>
      <c r="G65">
        <v>1</v>
      </c>
      <c r="H65">
        <v>1000</v>
      </c>
      <c r="J65" cm="1">
        <f t="array" ref="J65">_xlfn.SWITCH(B65,1,75,2,61,3,49,4,37,5,25,6,13,7,4,8,1)</f>
        <v>13</v>
      </c>
      <c r="K65" t="str" cm="1">
        <f t="array" ref="K65">IFERROR(_xlfn.SWITCH(L65,2,_xlfn.XLOOKUP(C65,[1]ModifierDes!$B:$B,[1]ModifierDes!$C:$C),3,_xlfn.XLOOKUP(C65,[1]StuntDes!$B:$B,[1]StuntDes!$C:$C)),"")</f>
        <v/>
      </c>
      <c r="L65">
        <f t="shared" si="0"/>
        <v>1</v>
      </c>
      <c r="M65" s="10" t="str">
        <f>IFERROR(_xlfn.XLOOKUP(C65,[1]StuntDes!$B:$B,[1]StuntDes!$A:$A),"")</f>
        <v/>
      </c>
      <c r="N65" s="10" t="str">
        <f>IFERROR(_xlfn.XLOOKUP(C65,[1]ModifierDes!$B:$B,[1]ModifierDes!$A:$A),"")</f>
        <v/>
      </c>
      <c r="O65" s="10">
        <f>IFERROR(_xlfn.XLOOKUP(C65,[1]AttributeName!$C:$C,[1]AttributeName!$B:$B),"")</f>
        <v>10304</v>
      </c>
      <c r="P65" s="10"/>
      <c r="Q65">
        <v>0.3</v>
      </c>
      <c r="R65">
        <v>0.38</v>
      </c>
      <c r="S65" cm="1">
        <f t="array" ref="S65">IFERROR(_xlfn.SWITCH(L65,1,_xlfn.XLOOKUP(O65,[1]AttributeName!$B:$B,[1]AttributeName!$D:$D),2,_xlfn.XLOOKUP(C65,#REF!,#REF!),3,_xlfn.XLOOKUP(C65,#REF!,#REF!)),0)</f>
        <v>2</v>
      </c>
      <c r="T65" cm="1">
        <f t="array" ref="T65">IFERROR(_xlfn.SWITCH(L65,1,_xlfn.XLOOKUP(O65,[1]AttributeName!$B:$B,[1]AttributeName!$E:$E),2,_xlfn.XLOOKUP(C65,#REF!,#REF!),3,_xlfn.XLOOKUP(C65,#REF!,#REF!)),0)</f>
        <v>2</v>
      </c>
    </row>
    <row r="66" spans="1:20">
      <c r="A66">
        <f t="shared" si="6"/>
        <v>8</v>
      </c>
      <c r="B66">
        <v>7</v>
      </c>
      <c r="C66" t="s">
        <v>385</v>
      </c>
      <c r="D66" t="s">
        <v>22</v>
      </c>
      <c r="E66" t="s">
        <v>378</v>
      </c>
      <c r="G66">
        <v>1</v>
      </c>
      <c r="H66">
        <v>1000</v>
      </c>
      <c r="J66" cm="1">
        <f t="array" ref="J66">_xlfn.SWITCH(B66,1,75,2,61,3,49,4,37,5,25,6,13,7,4,8,1)</f>
        <v>4</v>
      </c>
      <c r="K66" t="str" cm="1">
        <f t="array" ref="K66">IFERROR(_xlfn.SWITCH(L66,2,_xlfn.XLOOKUP(C66,[1]ModifierDes!$B:$B,[1]ModifierDes!$C:$C),3,_xlfn.XLOOKUP(C66,[1]StuntDes!$B:$B,[1]StuntDes!$C:$C)),"")</f>
        <v/>
      </c>
      <c r="L66">
        <f t="shared" si="0"/>
        <v>1</v>
      </c>
      <c r="M66" s="10" t="str">
        <f>IFERROR(_xlfn.XLOOKUP(C66,[1]StuntDes!$B:$B,[1]StuntDes!$A:$A),"")</f>
        <v/>
      </c>
      <c r="N66" s="10" t="str">
        <f>IFERROR(_xlfn.XLOOKUP(C66,[1]ModifierDes!$B:$B,[1]ModifierDes!$A:$A),"")</f>
        <v/>
      </c>
      <c r="O66" s="10">
        <f>IFERROR(_xlfn.XLOOKUP(C66,[1]AttributeName!$C:$C,[1]AttributeName!$B:$B),"")</f>
        <v>10304</v>
      </c>
      <c r="P66" s="10"/>
      <c r="Q66">
        <v>0.21</v>
      </c>
      <c r="R66">
        <v>0.29</v>
      </c>
      <c r="S66" cm="1">
        <f t="array" ref="S66">IFERROR(_xlfn.SWITCH(L66,1,_xlfn.XLOOKUP(O66,[1]AttributeName!$B:$B,[1]AttributeName!$D:$D),2,_xlfn.XLOOKUP(C66,#REF!,#REF!),3,_xlfn.XLOOKUP(C66,#REF!,#REF!)),0)</f>
        <v>2</v>
      </c>
      <c r="T66" cm="1">
        <f t="array" ref="T66">IFERROR(_xlfn.SWITCH(L66,1,_xlfn.XLOOKUP(O66,[1]AttributeName!$B:$B,[1]AttributeName!$E:$E),2,_xlfn.XLOOKUP(C66,#REF!,#REF!),3,_xlfn.XLOOKUP(C66,#REF!,#REF!)),0)</f>
        <v>2</v>
      </c>
    </row>
    <row r="67" customFormat="1" spans="1:20">
      <c r="A67">
        <f t="shared" si="6"/>
        <v>8</v>
      </c>
      <c r="B67">
        <v>8</v>
      </c>
      <c r="C67" t="s">
        <v>385</v>
      </c>
      <c r="D67" t="s">
        <v>22</v>
      </c>
      <c r="E67" t="s">
        <v>378</v>
      </c>
      <c r="F67"/>
      <c r="G67">
        <v>1</v>
      </c>
      <c r="H67">
        <v>1000</v>
      </c>
      <c r="J67" cm="1">
        <f t="array" ref="J67">_xlfn.SWITCH(B67,1,75,2,61,3,49,4,37,5,25,6,13,7,4,8,1)</f>
        <v>1</v>
      </c>
      <c r="K67" t="str" cm="1">
        <f t="array" ref="K67">IFERROR(_xlfn.SWITCH(L67,2,_xlfn.XLOOKUP(C67,[1]ModifierDes!$B:$B,[1]ModifierDes!$C:$C),3,_xlfn.XLOOKUP(C67,[1]StuntDes!$B:$B,[1]StuntDes!$C:$C)),"")</f>
        <v/>
      </c>
      <c r="L67">
        <f t="shared" si="0"/>
        <v>1</v>
      </c>
      <c r="M67" s="10" t="str">
        <f>IFERROR(_xlfn.XLOOKUP(C67,[1]StuntDes!$B:$B,[1]StuntDes!$A:$A),"")</f>
        <v/>
      </c>
      <c r="N67" s="10" t="str">
        <f>IFERROR(_xlfn.XLOOKUP(C67,[1]ModifierDes!$B:$B,[1]ModifierDes!$A:$A),"")</f>
        <v/>
      </c>
      <c r="O67" s="10">
        <f>IFERROR(_xlfn.XLOOKUP(C67,[1]AttributeName!$C:$C,[1]AttributeName!$B:$B),"")</f>
        <v>10304</v>
      </c>
      <c r="P67" s="10"/>
      <c r="Q67">
        <v>0.12</v>
      </c>
      <c r="R67">
        <v>0.2</v>
      </c>
      <c r="S67" cm="1">
        <f t="array" ref="S67">IFERROR(_xlfn.SWITCH(L67,1,_xlfn.XLOOKUP(O67,[1]AttributeName!$B:$B,[1]AttributeName!$D:$D),2,_xlfn.XLOOKUP(C67,#REF!,#REF!),3,_xlfn.XLOOKUP(C67,#REF!,#REF!)),0)</f>
        <v>2</v>
      </c>
      <c r="T67" cm="1">
        <f t="array" ref="T67">IFERROR(_xlfn.SWITCH(L67,1,_xlfn.XLOOKUP(O67,[1]AttributeName!$B:$B,[1]AttributeName!$E:$E),2,_xlfn.XLOOKUP(C67,#REF!,#REF!),3,_xlfn.XLOOKUP(C67,#REF!,#REF!)),0)</f>
        <v>2</v>
      </c>
    </row>
    <row r="68" spans="1:20">
      <c r="A68">
        <f t="shared" si="6"/>
        <v>9</v>
      </c>
      <c r="B68">
        <v>1</v>
      </c>
      <c r="C68" t="s">
        <v>386</v>
      </c>
      <c r="D68" t="s">
        <v>22</v>
      </c>
      <c r="E68" t="s">
        <v>378</v>
      </c>
      <c r="G68">
        <v>1</v>
      </c>
      <c r="H68">
        <v>100</v>
      </c>
      <c r="J68" cm="1">
        <f t="array" ref="J68">_xlfn.SWITCH(B68,1,75,2,61,3,49,4,37,5,25,6,13,7,4,8,1)</f>
        <v>75</v>
      </c>
      <c r="K68" t="str" cm="1">
        <f t="array" ref="K68">IFERROR(_xlfn.SWITCH(L68,2,_xlfn.XLOOKUP(C68,[1]ModifierDes!$B:$B,[1]ModifierDes!$C:$C),3,_xlfn.XLOOKUP(C68,[1]StuntDes!$B:$B,[1]StuntDes!$C:$C)),"")</f>
        <v/>
      </c>
      <c r="L68">
        <f t="shared" ref="L68:L131" si="7">IF(M68="",IF(N68="",1,2),3)</f>
        <v>1</v>
      </c>
      <c r="M68" s="10" t="str">
        <f>IFERROR(_xlfn.XLOOKUP(C68,[1]StuntDes!$B:$B,[1]StuntDes!$A:$A),"")</f>
        <v/>
      </c>
      <c r="N68" s="10" t="str">
        <f>IFERROR(_xlfn.XLOOKUP(C68,[1]ModifierDes!$B:$B,[1]ModifierDes!$A:$A),"")</f>
        <v/>
      </c>
      <c r="O68" s="10">
        <f>IFERROR(_xlfn.XLOOKUP(C68,[1]AttributeName!$C:$C,[1]AttributeName!$B:$B),"")</f>
        <v>10305</v>
      </c>
      <c r="P68" s="10"/>
      <c r="Q68">
        <v>0.75</v>
      </c>
      <c r="R68">
        <v>1</v>
      </c>
      <c r="S68" cm="1">
        <f t="array" ref="S68">IFERROR(_xlfn.SWITCH(L68,1,_xlfn.XLOOKUP(O68,[1]AttributeName!$B:$B,[1]AttributeName!$D:$D),2,_xlfn.XLOOKUP(C68,#REF!,#REF!),3,_xlfn.XLOOKUP(C68,#REF!,#REF!)),0)</f>
        <v>2</v>
      </c>
      <c r="T68" cm="1">
        <f t="array" ref="T68">IFERROR(_xlfn.SWITCH(L68,1,_xlfn.XLOOKUP(O68,[1]AttributeName!$B:$B,[1]AttributeName!$E:$E),2,_xlfn.XLOOKUP(C68,#REF!,#REF!),3,_xlfn.XLOOKUP(C68,#REF!,#REF!)),0)</f>
        <v>2</v>
      </c>
    </row>
    <row r="69" spans="1:20">
      <c r="A69">
        <f t="shared" si="6"/>
        <v>9</v>
      </c>
      <c r="B69">
        <v>2</v>
      </c>
      <c r="C69" t="s">
        <v>386</v>
      </c>
      <c r="D69" t="s">
        <v>22</v>
      </c>
      <c r="E69" t="s">
        <v>378</v>
      </c>
      <c r="G69">
        <v>1</v>
      </c>
      <c r="H69">
        <v>200</v>
      </c>
      <c r="J69" cm="1">
        <f t="array" ref="J69">_xlfn.SWITCH(B69,1,75,2,61,3,49,4,37,5,25,6,13,7,4,8,1)</f>
        <v>61</v>
      </c>
      <c r="K69" t="str" cm="1">
        <f t="array" ref="K69">IFERROR(_xlfn.SWITCH(L69,2,_xlfn.XLOOKUP(C69,[1]ModifierDes!$B:$B,[1]ModifierDes!$C:$C),3,_xlfn.XLOOKUP(C69,[1]StuntDes!$B:$B,[1]StuntDes!$C:$C)),"")</f>
        <v/>
      </c>
      <c r="L69">
        <f t="shared" si="7"/>
        <v>1</v>
      </c>
      <c r="M69" s="10" t="str">
        <f>IFERROR(_xlfn.XLOOKUP(C69,[1]StuntDes!$B:$B,[1]StuntDes!$A:$A),"")</f>
        <v/>
      </c>
      <c r="N69" s="10" t="str">
        <f>IFERROR(_xlfn.XLOOKUP(C69,[1]ModifierDes!$B:$B,[1]ModifierDes!$A:$A),"")</f>
        <v/>
      </c>
      <c r="O69" s="10">
        <f>IFERROR(_xlfn.XLOOKUP(C69,[1]AttributeName!$C:$C,[1]AttributeName!$B:$B),"")</f>
        <v>10305</v>
      </c>
      <c r="P69" s="10"/>
      <c r="Q69">
        <v>0.66</v>
      </c>
      <c r="R69">
        <v>0.74</v>
      </c>
      <c r="S69" cm="1">
        <f t="array" ref="S69">IFERROR(_xlfn.SWITCH(L69,1,_xlfn.XLOOKUP(O69,[1]AttributeName!$B:$B,[1]AttributeName!$D:$D),2,_xlfn.XLOOKUP(C69,#REF!,#REF!),3,_xlfn.XLOOKUP(C69,#REF!,#REF!)),0)</f>
        <v>2</v>
      </c>
      <c r="T69" cm="1">
        <f t="array" ref="T69">IFERROR(_xlfn.SWITCH(L69,1,_xlfn.XLOOKUP(O69,[1]AttributeName!$B:$B,[1]AttributeName!$E:$E),2,_xlfn.XLOOKUP(C69,#REF!,#REF!),3,_xlfn.XLOOKUP(C69,#REF!,#REF!)),0)</f>
        <v>2</v>
      </c>
    </row>
    <row r="70" spans="1:20">
      <c r="A70">
        <f t="shared" ref="A70:A77" si="8">A62+1</f>
        <v>9</v>
      </c>
      <c r="B70">
        <v>3</v>
      </c>
      <c r="C70" t="s">
        <v>386</v>
      </c>
      <c r="D70" t="s">
        <v>22</v>
      </c>
      <c r="E70" t="s">
        <v>378</v>
      </c>
      <c r="G70">
        <v>1</v>
      </c>
      <c r="H70">
        <v>500</v>
      </c>
      <c r="J70" cm="1">
        <f t="array" ref="J70">_xlfn.SWITCH(B70,1,75,2,61,3,49,4,37,5,25,6,13,7,4,8,1)</f>
        <v>49</v>
      </c>
      <c r="K70" t="str" cm="1">
        <f t="array" ref="K70">IFERROR(_xlfn.SWITCH(L70,2,_xlfn.XLOOKUP(C70,[1]ModifierDes!$B:$B,[1]ModifierDes!$C:$C),3,_xlfn.XLOOKUP(C70,[1]StuntDes!$B:$B,[1]StuntDes!$C:$C)),"")</f>
        <v/>
      </c>
      <c r="L70">
        <f t="shared" si="7"/>
        <v>1</v>
      </c>
      <c r="M70" s="10" t="str">
        <f>IFERROR(_xlfn.XLOOKUP(C70,[1]StuntDes!$B:$B,[1]StuntDes!$A:$A),"")</f>
        <v/>
      </c>
      <c r="N70" s="10" t="str">
        <f>IFERROR(_xlfn.XLOOKUP(C70,[1]ModifierDes!$B:$B,[1]ModifierDes!$A:$A),"")</f>
        <v/>
      </c>
      <c r="O70" s="10">
        <f>IFERROR(_xlfn.XLOOKUP(C70,[1]AttributeName!$C:$C,[1]AttributeName!$B:$B),"")</f>
        <v>10305</v>
      </c>
      <c r="P70" s="10"/>
      <c r="Q70">
        <v>0.57</v>
      </c>
      <c r="R70">
        <v>0.65</v>
      </c>
      <c r="S70" cm="1">
        <f t="array" ref="S70">IFERROR(_xlfn.SWITCH(L70,1,_xlfn.XLOOKUP(O70,[1]AttributeName!$B:$B,[1]AttributeName!$D:$D),2,_xlfn.XLOOKUP(C70,#REF!,#REF!),3,_xlfn.XLOOKUP(C70,#REF!,#REF!)),0)</f>
        <v>2</v>
      </c>
      <c r="T70" cm="1">
        <f t="array" ref="T70">IFERROR(_xlfn.SWITCH(L70,1,_xlfn.XLOOKUP(O70,[1]AttributeName!$B:$B,[1]AttributeName!$E:$E),2,_xlfn.XLOOKUP(C70,#REF!,#REF!),3,_xlfn.XLOOKUP(C70,#REF!,#REF!)),0)</f>
        <v>2</v>
      </c>
    </row>
    <row r="71" spans="1:20">
      <c r="A71">
        <f t="shared" si="8"/>
        <v>9</v>
      </c>
      <c r="B71">
        <v>4</v>
      </c>
      <c r="C71" t="s">
        <v>386</v>
      </c>
      <c r="D71" t="s">
        <v>22</v>
      </c>
      <c r="E71" t="s">
        <v>378</v>
      </c>
      <c r="G71">
        <v>1</v>
      </c>
      <c r="H71">
        <v>1000</v>
      </c>
      <c r="J71" cm="1">
        <f t="array" ref="J71">_xlfn.SWITCH(B71,1,75,2,61,3,49,4,37,5,25,6,13,7,4,8,1)</f>
        <v>37</v>
      </c>
      <c r="K71" t="str" cm="1">
        <f t="array" ref="K71">IFERROR(_xlfn.SWITCH(L71,2,_xlfn.XLOOKUP(C71,[1]ModifierDes!$B:$B,[1]ModifierDes!$C:$C),3,_xlfn.XLOOKUP(C71,[1]StuntDes!$B:$B,[1]StuntDes!$C:$C)),"")</f>
        <v/>
      </c>
      <c r="L71">
        <f t="shared" si="7"/>
        <v>1</v>
      </c>
      <c r="M71" s="10" t="str">
        <f>IFERROR(_xlfn.XLOOKUP(C71,[1]StuntDes!$B:$B,[1]StuntDes!$A:$A),"")</f>
        <v/>
      </c>
      <c r="N71" s="10" t="str">
        <f>IFERROR(_xlfn.XLOOKUP(C71,[1]ModifierDes!$B:$B,[1]ModifierDes!$A:$A),"")</f>
        <v/>
      </c>
      <c r="O71" s="10">
        <f>IFERROR(_xlfn.XLOOKUP(C71,[1]AttributeName!$C:$C,[1]AttributeName!$B:$B),"")</f>
        <v>10305</v>
      </c>
      <c r="P71" s="10"/>
      <c r="Q71">
        <v>0.48</v>
      </c>
      <c r="R71">
        <v>0.56</v>
      </c>
      <c r="S71" cm="1">
        <f t="array" ref="S71">IFERROR(_xlfn.SWITCH(L71,1,_xlfn.XLOOKUP(O71,[1]AttributeName!$B:$B,[1]AttributeName!$D:$D),2,_xlfn.XLOOKUP(C71,#REF!,#REF!),3,_xlfn.XLOOKUP(C71,#REF!,#REF!)),0)</f>
        <v>2</v>
      </c>
      <c r="T71" cm="1">
        <f t="array" ref="T71">IFERROR(_xlfn.SWITCH(L71,1,_xlfn.XLOOKUP(O71,[1]AttributeName!$B:$B,[1]AttributeName!$E:$E),2,_xlfn.XLOOKUP(C71,#REF!,#REF!),3,_xlfn.XLOOKUP(C71,#REF!,#REF!)),0)</f>
        <v>2</v>
      </c>
    </row>
    <row r="72" spans="1:20">
      <c r="A72">
        <f t="shared" si="8"/>
        <v>9</v>
      </c>
      <c r="B72">
        <v>5</v>
      </c>
      <c r="C72" t="s">
        <v>386</v>
      </c>
      <c r="D72" t="s">
        <v>22</v>
      </c>
      <c r="E72" t="s">
        <v>378</v>
      </c>
      <c r="G72">
        <v>1</v>
      </c>
      <c r="H72">
        <v>1000</v>
      </c>
      <c r="J72" cm="1">
        <f t="array" ref="J72">_xlfn.SWITCH(B72,1,75,2,61,3,49,4,37,5,25,6,13,7,4,8,1)</f>
        <v>25</v>
      </c>
      <c r="K72" t="str" cm="1">
        <f t="array" ref="K72">IFERROR(_xlfn.SWITCH(L72,2,_xlfn.XLOOKUP(C72,[1]ModifierDes!$B:$B,[1]ModifierDes!$C:$C),3,_xlfn.XLOOKUP(C72,[1]StuntDes!$B:$B,[1]StuntDes!$C:$C)),"")</f>
        <v/>
      </c>
      <c r="L72">
        <f t="shared" si="7"/>
        <v>1</v>
      </c>
      <c r="M72" s="10" t="str">
        <f>IFERROR(_xlfn.XLOOKUP(C72,[1]StuntDes!$B:$B,[1]StuntDes!$A:$A),"")</f>
        <v/>
      </c>
      <c r="N72" s="10" t="str">
        <f>IFERROR(_xlfn.XLOOKUP(C72,[1]ModifierDes!$B:$B,[1]ModifierDes!$A:$A),"")</f>
        <v/>
      </c>
      <c r="O72" s="10">
        <f>IFERROR(_xlfn.XLOOKUP(C72,[1]AttributeName!$C:$C,[1]AttributeName!$B:$B),"")</f>
        <v>10305</v>
      </c>
      <c r="P72" s="10"/>
      <c r="Q72">
        <v>0.39</v>
      </c>
      <c r="R72">
        <v>0.47</v>
      </c>
      <c r="S72" cm="1">
        <f t="array" ref="S72">IFERROR(_xlfn.SWITCH(L72,1,_xlfn.XLOOKUP(O72,[1]AttributeName!$B:$B,[1]AttributeName!$D:$D),2,_xlfn.XLOOKUP(C72,#REF!,#REF!),3,_xlfn.XLOOKUP(C72,#REF!,#REF!)),0)</f>
        <v>2</v>
      </c>
      <c r="T72" cm="1">
        <f t="array" ref="T72">IFERROR(_xlfn.SWITCH(L72,1,_xlfn.XLOOKUP(O72,[1]AttributeName!$B:$B,[1]AttributeName!$E:$E),2,_xlfn.XLOOKUP(C72,#REF!,#REF!),3,_xlfn.XLOOKUP(C72,#REF!,#REF!)),0)</f>
        <v>2</v>
      </c>
    </row>
    <row r="73" spans="1:20">
      <c r="A73">
        <f t="shared" si="8"/>
        <v>9</v>
      </c>
      <c r="B73">
        <v>6</v>
      </c>
      <c r="C73" t="s">
        <v>386</v>
      </c>
      <c r="D73" t="s">
        <v>22</v>
      </c>
      <c r="E73" t="s">
        <v>378</v>
      </c>
      <c r="G73">
        <v>1</v>
      </c>
      <c r="H73">
        <v>1000</v>
      </c>
      <c r="J73" cm="1">
        <f t="array" ref="J73">_xlfn.SWITCH(B73,1,75,2,61,3,49,4,37,5,25,6,13,7,4,8,1)</f>
        <v>13</v>
      </c>
      <c r="K73" t="str" cm="1">
        <f t="array" ref="K73">IFERROR(_xlfn.SWITCH(L73,2,_xlfn.XLOOKUP(C73,[1]ModifierDes!$B:$B,[1]ModifierDes!$C:$C),3,_xlfn.XLOOKUP(C73,[1]StuntDes!$B:$B,[1]StuntDes!$C:$C)),"")</f>
        <v/>
      </c>
      <c r="L73">
        <f t="shared" si="7"/>
        <v>1</v>
      </c>
      <c r="M73" s="10" t="str">
        <f>IFERROR(_xlfn.XLOOKUP(C73,[1]StuntDes!$B:$B,[1]StuntDes!$A:$A),"")</f>
        <v/>
      </c>
      <c r="N73" s="10" t="str">
        <f>IFERROR(_xlfn.XLOOKUP(C73,[1]ModifierDes!$B:$B,[1]ModifierDes!$A:$A),"")</f>
        <v/>
      </c>
      <c r="O73" s="10">
        <f>IFERROR(_xlfn.XLOOKUP(C73,[1]AttributeName!$C:$C,[1]AttributeName!$B:$B),"")</f>
        <v>10305</v>
      </c>
      <c r="P73" s="10"/>
      <c r="Q73">
        <v>0.3</v>
      </c>
      <c r="R73">
        <v>0.38</v>
      </c>
      <c r="S73" cm="1">
        <f t="array" ref="S73">IFERROR(_xlfn.SWITCH(L73,1,_xlfn.XLOOKUP(O73,[1]AttributeName!$B:$B,[1]AttributeName!$D:$D),2,_xlfn.XLOOKUP(C73,#REF!,#REF!),3,_xlfn.XLOOKUP(C73,#REF!,#REF!)),0)</f>
        <v>2</v>
      </c>
      <c r="T73" cm="1">
        <f t="array" ref="T73">IFERROR(_xlfn.SWITCH(L73,1,_xlfn.XLOOKUP(O73,[1]AttributeName!$B:$B,[1]AttributeName!$E:$E),2,_xlfn.XLOOKUP(C73,#REF!,#REF!),3,_xlfn.XLOOKUP(C73,#REF!,#REF!)),0)</f>
        <v>2</v>
      </c>
    </row>
    <row r="74" spans="1:20">
      <c r="A74">
        <f t="shared" si="8"/>
        <v>9</v>
      </c>
      <c r="B74">
        <v>7</v>
      </c>
      <c r="C74" t="s">
        <v>386</v>
      </c>
      <c r="D74" t="s">
        <v>22</v>
      </c>
      <c r="E74" t="s">
        <v>378</v>
      </c>
      <c r="G74">
        <v>1</v>
      </c>
      <c r="H74">
        <v>1000</v>
      </c>
      <c r="J74" cm="1">
        <f t="array" ref="J74">_xlfn.SWITCH(B74,1,75,2,61,3,49,4,37,5,25,6,13,7,4,8,1)</f>
        <v>4</v>
      </c>
      <c r="K74" t="str" cm="1">
        <f t="array" ref="K74">IFERROR(_xlfn.SWITCH(L74,2,_xlfn.XLOOKUP(C74,[1]ModifierDes!$B:$B,[1]ModifierDes!$C:$C),3,_xlfn.XLOOKUP(C74,[1]StuntDes!$B:$B,[1]StuntDes!$C:$C)),"")</f>
        <v/>
      </c>
      <c r="L74">
        <f t="shared" si="7"/>
        <v>1</v>
      </c>
      <c r="M74" s="10" t="str">
        <f>IFERROR(_xlfn.XLOOKUP(C74,[1]StuntDes!$B:$B,[1]StuntDes!$A:$A),"")</f>
        <v/>
      </c>
      <c r="N74" s="10" t="str">
        <f>IFERROR(_xlfn.XLOOKUP(C74,[1]ModifierDes!$B:$B,[1]ModifierDes!$A:$A),"")</f>
        <v/>
      </c>
      <c r="O74" s="10">
        <f>IFERROR(_xlfn.XLOOKUP(C74,[1]AttributeName!$C:$C,[1]AttributeName!$B:$B),"")</f>
        <v>10305</v>
      </c>
      <c r="P74" s="10"/>
      <c r="Q74">
        <v>0.21</v>
      </c>
      <c r="R74">
        <v>0.29</v>
      </c>
      <c r="S74" cm="1">
        <f t="array" ref="S74">IFERROR(_xlfn.SWITCH(L74,1,_xlfn.XLOOKUP(O74,[1]AttributeName!$B:$B,[1]AttributeName!$D:$D),2,_xlfn.XLOOKUP(C74,#REF!,#REF!),3,_xlfn.XLOOKUP(C74,#REF!,#REF!)),0)</f>
        <v>2</v>
      </c>
      <c r="T74" cm="1">
        <f t="array" ref="T74">IFERROR(_xlfn.SWITCH(L74,1,_xlfn.XLOOKUP(O74,[1]AttributeName!$B:$B,[1]AttributeName!$E:$E),2,_xlfn.XLOOKUP(C74,#REF!,#REF!),3,_xlfn.XLOOKUP(C74,#REF!,#REF!)),0)</f>
        <v>2</v>
      </c>
    </row>
    <row r="75" customFormat="1" spans="1:20">
      <c r="A75">
        <f t="shared" si="8"/>
        <v>9</v>
      </c>
      <c r="B75">
        <v>8</v>
      </c>
      <c r="C75" t="s">
        <v>386</v>
      </c>
      <c r="D75" t="s">
        <v>22</v>
      </c>
      <c r="E75" t="s">
        <v>378</v>
      </c>
      <c r="F75"/>
      <c r="G75">
        <v>1</v>
      </c>
      <c r="H75">
        <v>1000</v>
      </c>
      <c r="J75" cm="1">
        <f t="array" ref="J75">_xlfn.SWITCH(B75,1,75,2,61,3,49,4,37,5,25,6,13,7,4,8,1)</f>
        <v>1</v>
      </c>
      <c r="K75" t="str" cm="1">
        <f t="array" ref="K75">IFERROR(_xlfn.SWITCH(L75,2,_xlfn.XLOOKUP(C75,[1]ModifierDes!$B:$B,[1]ModifierDes!$C:$C),3,_xlfn.XLOOKUP(C75,[1]StuntDes!$B:$B,[1]StuntDes!$C:$C)),"")</f>
        <v/>
      </c>
      <c r="L75">
        <f t="shared" si="7"/>
        <v>1</v>
      </c>
      <c r="M75" s="10" t="str">
        <f>IFERROR(_xlfn.XLOOKUP(C75,[1]StuntDes!$B:$B,[1]StuntDes!$A:$A),"")</f>
        <v/>
      </c>
      <c r="N75" s="10" t="str">
        <f>IFERROR(_xlfn.XLOOKUP(C75,[1]ModifierDes!$B:$B,[1]ModifierDes!$A:$A),"")</f>
        <v/>
      </c>
      <c r="O75" s="10">
        <f>IFERROR(_xlfn.XLOOKUP(C75,[1]AttributeName!$C:$C,[1]AttributeName!$B:$B),"")</f>
        <v>10305</v>
      </c>
      <c r="P75" s="10"/>
      <c r="Q75">
        <v>0.12</v>
      </c>
      <c r="R75">
        <v>0.2</v>
      </c>
      <c r="S75" cm="1">
        <f t="array" ref="S75">IFERROR(_xlfn.SWITCH(L75,1,_xlfn.XLOOKUP(O75,[1]AttributeName!$B:$B,[1]AttributeName!$D:$D),2,_xlfn.XLOOKUP(C75,#REF!,#REF!),3,_xlfn.XLOOKUP(C75,#REF!,#REF!)),0)</f>
        <v>2</v>
      </c>
      <c r="T75" cm="1">
        <f t="array" ref="T75">IFERROR(_xlfn.SWITCH(L75,1,_xlfn.XLOOKUP(O75,[1]AttributeName!$B:$B,[1]AttributeName!$E:$E),2,_xlfn.XLOOKUP(C75,#REF!,#REF!),3,_xlfn.XLOOKUP(C75,#REF!,#REF!)),0)</f>
        <v>2</v>
      </c>
    </row>
    <row r="76" spans="1:20">
      <c r="A76">
        <f t="shared" si="8"/>
        <v>10</v>
      </c>
      <c r="B76">
        <v>1</v>
      </c>
      <c r="C76" t="s">
        <v>387</v>
      </c>
      <c r="D76" t="s">
        <v>22</v>
      </c>
      <c r="E76" t="s">
        <v>378</v>
      </c>
      <c r="G76">
        <v>1</v>
      </c>
      <c r="H76">
        <v>100</v>
      </c>
      <c r="J76" cm="1">
        <f t="array" ref="J76">_xlfn.SWITCH(B76,1,75,2,61,3,49,4,37,5,25,6,13,7,4,8,1)</f>
        <v>75</v>
      </c>
      <c r="K76" t="str" cm="1">
        <f t="array" ref="K76">IFERROR(_xlfn.SWITCH(L76,2,_xlfn.XLOOKUP(C76,[1]ModifierDes!$B:$B,[1]ModifierDes!$C:$C),3,_xlfn.XLOOKUP(C76,[1]StuntDes!$B:$B,[1]StuntDes!$C:$C)),"")</f>
        <v/>
      </c>
      <c r="L76">
        <f t="shared" si="7"/>
        <v>1</v>
      </c>
      <c r="M76" s="10" t="str">
        <f>IFERROR(_xlfn.XLOOKUP(C76,[1]StuntDes!$B:$B,[1]StuntDes!$A:$A),"")</f>
        <v/>
      </c>
      <c r="N76" s="10" t="str">
        <f>IFERROR(_xlfn.XLOOKUP(C76,[1]ModifierDes!$B:$B,[1]ModifierDes!$A:$A),"")</f>
        <v/>
      </c>
      <c r="O76" s="10">
        <f>IFERROR(_xlfn.XLOOKUP(C76,[1]AttributeName!$C:$C,[1]AttributeName!$B:$B),"")</f>
        <v>10306</v>
      </c>
      <c r="P76" s="10"/>
      <c r="Q76">
        <v>0.75</v>
      </c>
      <c r="R76">
        <v>1</v>
      </c>
      <c r="S76" cm="1">
        <f t="array" ref="S76">IFERROR(_xlfn.SWITCH(L76,1,_xlfn.XLOOKUP(O76,[1]AttributeName!$B:$B,[1]AttributeName!$D:$D),2,_xlfn.XLOOKUP(C76,#REF!,#REF!),3,_xlfn.XLOOKUP(C76,#REF!,#REF!)),0)</f>
        <v>2</v>
      </c>
      <c r="T76" cm="1">
        <f t="array" ref="T76">IFERROR(_xlfn.SWITCH(L76,1,_xlfn.XLOOKUP(O76,[1]AttributeName!$B:$B,[1]AttributeName!$E:$E),2,_xlfn.XLOOKUP(C76,#REF!,#REF!),3,_xlfn.XLOOKUP(C76,#REF!,#REF!)),0)</f>
        <v>2</v>
      </c>
    </row>
    <row r="77" spans="1:20">
      <c r="A77">
        <f t="shared" si="8"/>
        <v>10</v>
      </c>
      <c r="B77">
        <v>2</v>
      </c>
      <c r="C77" t="s">
        <v>387</v>
      </c>
      <c r="D77" t="s">
        <v>22</v>
      </c>
      <c r="E77" t="s">
        <v>378</v>
      </c>
      <c r="G77">
        <v>1</v>
      </c>
      <c r="H77">
        <v>200</v>
      </c>
      <c r="J77" cm="1">
        <f t="array" ref="J77">_xlfn.SWITCH(B77,1,75,2,61,3,49,4,37,5,25,6,13,7,4,8,1)</f>
        <v>61</v>
      </c>
      <c r="K77" t="str" cm="1">
        <f t="array" ref="K77">IFERROR(_xlfn.SWITCH(L77,2,_xlfn.XLOOKUP(C77,[1]ModifierDes!$B:$B,[1]ModifierDes!$C:$C),3,_xlfn.XLOOKUP(C77,[1]StuntDes!$B:$B,[1]StuntDes!$C:$C)),"")</f>
        <v/>
      </c>
      <c r="L77">
        <f t="shared" si="7"/>
        <v>1</v>
      </c>
      <c r="M77" s="10" t="str">
        <f>IFERROR(_xlfn.XLOOKUP(C77,[1]StuntDes!$B:$B,[1]StuntDes!$A:$A),"")</f>
        <v/>
      </c>
      <c r="N77" s="10" t="str">
        <f>IFERROR(_xlfn.XLOOKUP(C77,[1]ModifierDes!$B:$B,[1]ModifierDes!$A:$A),"")</f>
        <v/>
      </c>
      <c r="O77" s="10">
        <f>IFERROR(_xlfn.XLOOKUP(C77,[1]AttributeName!$C:$C,[1]AttributeName!$B:$B),"")</f>
        <v>10306</v>
      </c>
      <c r="P77" s="10"/>
      <c r="Q77">
        <v>0.66</v>
      </c>
      <c r="R77">
        <v>0.74</v>
      </c>
      <c r="S77" cm="1">
        <f t="array" ref="S77">IFERROR(_xlfn.SWITCH(L77,1,_xlfn.XLOOKUP(O77,[1]AttributeName!$B:$B,[1]AttributeName!$D:$D),2,_xlfn.XLOOKUP(C77,#REF!,#REF!),3,_xlfn.XLOOKUP(C77,#REF!,#REF!)),0)</f>
        <v>2</v>
      </c>
      <c r="T77" cm="1">
        <f t="array" ref="T77">IFERROR(_xlfn.SWITCH(L77,1,_xlfn.XLOOKUP(O77,[1]AttributeName!$B:$B,[1]AttributeName!$E:$E),2,_xlfn.XLOOKUP(C77,#REF!,#REF!),3,_xlfn.XLOOKUP(C77,#REF!,#REF!)),0)</f>
        <v>2</v>
      </c>
    </row>
    <row r="78" spans="1:20">
      <c r="A78">
        <f t="shared" ref="A78:A85" si="9">A70+1</f>
        <v>10</v>
      </c>
      <c r="B78">
        <v>3</v>
      </c>
      <c r="C78" t="s">
        <v>387</v>
      </c>
      <c r="D78" t="s">
        <v>22</v>
      </c>
      <c r="E78" t="s">
        <v>378</v>
      </c>
      <c r="G78">
        <v>1</v>
      </c>
      <c r="H78">
        <v>500</v>
      </c>
      <c r="J78" cm="1">
        <f t="array" ref="J78">_xlfn.SWITCH(B78,1,75,2,61,3,49,4,37,5,25,6,13,7,4,8,1)</f>
        <v>49</v>
      </c>
      <c r="K78" t="str" cm="1">
        <f t="array" ref="K78">IFERROR(_xlfn.SWITCH(L78,2,_xlfn.XLOOKUP(C78,[1]ModifierDes!$B:$B,[1]ModifierDes!$C:$C),3,_xlfn.XLOOKUP(C78,[1]StuntDes!$B:$B,[1]StuntDes!$C:$C)),"")</f>
        <v/>
      </c>
      <c r="L78">
        <f t="shared" si="7"/>
        <v>1</v>
      </c>
      <c r="M78" s="10" t="str">
        <f>IFERROR(_xlfn.XLOOKUP(C78,[1]StuntDes!$B:$B,[1]StuntDes!$A:$A),"")</f>
        <v/>
      </c>
      <c r="N78" s="10" t="str">
        <f>IFERROR(_xlfn.XLOOKUP(C78,[1]ModifierDes!$B:$B,[1]ModifierDes!$A:$A),"")</f>
        <v/>
      </c>
      <c r="O78" s="10">
        <f>IFERROR(_xlfn.XLOOKUP(C78,[1]AttributeName!$C:$C,[1]AttributeName!$B:$B),"")</f>
        <v>10306</v>
      </c>
      <c r="P78" s="10"/>
      <c r="Q78">
        <v>0.57</v>
      </c>
      <c r="R78">
        <v>0.65</v>
      </c>
      <c r="S78" cm="1">
        <f t="array" ref="S78">IFERROR(_xlfn.SWITCH(L78,1,_xlfn.XLOOKUP(O78,[1]AttributeName!$B:$B,[1]AttributeName!$D:$D),2,_xlfn.XLOOKUP(C78,#REF!,#REF!),3,_xlfn.XLOOKUP(C78,#REF!,#REF!)),0)</f>
        <v>2</v>
      </c>
      <c r="T78" cm="1">
        <f t="array" ref="T78">IFERROR(_xlfn.SWITCH(L78,1,_xlfn.XLOOKUP(O78,[1]AttributeName!$B:$B,[1]AttributeName!$E:$E),2,_xlfn.XLOOKUP(C78,#REF!,#REF!),3,_xlfn.XLOOKUP(C78,#REF!,#REF!)),0)</f>
        <v>2</v>
      </c>
    </row>
    <row r="79" spans="1:20">
      <c r="A79">
        <f t="shared" si="9"/>
        <v>10</v>
      </c>
      <c r="B79">
        <v>4</v>
      </c>
      <c r="C79" t="s">
        <v>387</v>
      </c>
      <c r="D79" t="s">
        <v>22</v>
      </c>
      <c r="E79" t="s">
        <v>378</v>
      </c>
      <c r="G79">
        <v>1</v>
      </c>
      <c r="H79">
        <v>1000</v>
      </c>
      <c r="J79" cm="1">
        <f t="array" ref="J79">_xlfn.SWITCH(B79,1,75,2,61,3,49,4,37,5,25,6,13,7,4,8,1)</f>
        <v>37</v>
      </c>
      <c r="K79" t="str" cm="1">
        <f t="array" ref="K79">IFERROR(_xlfn.SWITCH(L79,2,_xlfn.XLOOKUP(C79,[1]ModifierDes!$B:$B,[1]ModifierDes!$C:$C),3,_xlfn.XLOOKUP(C79,[1]StuntDes!$B:$B,[1]StuntDes!$C:$C)),"")</f>
        <v/>
      </c>
      <c r="L79">
        <f t="shared" si="7"/>
        <v>1</v>
      </c>
      <c r="M79" s="10" t="str">
        <f>IFERROR(_xlfn.XLOOKUP(C79,[1]StuntDes!$B:$B,[1]StuntDes!$A:$A),"")</f>
        <v/>
      </c>
      <c r="N79" s="10" t="str">
        <f>IFERROR(_xlfn.XLOOKUP(C79,[1]ModifierDes!$B:$B,[1]ModifierDes!$A:$A),"")</f>
        <v/>
      </c>
      <c r="O79" s="10">
        <f>IFERROR(_xlfn.XLOOKUP(C79,[1]AttributeName!$C:$C,[1]AttributeName!$B:$B),"")</f>
        <v>10306</v>
      </c>
      <c r="P79" s="10"/>
      <c r="Q79">
        <v>0.48</v>
      </c>
      <c r="R79">
        <v>0.56</v>
      </c>
      <c r="S79" cm="1">
        <f t="array" ref="S79">IFERROR(_xlfn.SWITCH(L79,1,_xlfn.XLOOKUP(O79,[1]AttributeName!$B:$B,[1]AttributeName!$D:$D),2,_xlfn.XLOOKUP(C79,#REF!,#REF!),3,_xlfn.XLOOKUP(C79,#REF!,#REF!)),0)</f>
        <v>2</v>
      </c>
      <c r="T79" cm="1">
        <f t="array" ref="T79">IFERROR(_xlfn.SWITCH(L79,1,_xlfn.XLOOKUP(O79,[1]AttributeName!$B:$B,[1]AttributeName!$E:$E),2,_xlfn.XLOOKUP(C79,#REF!,#REF!),3,_xlfn.XLOOKUP(C79,#REF!,#REF!)),0)</f>
        <v>2</v>
      </c>
    </row>
    <row r="80" spans="1:20">
      <c r="A80">
        <f t="shared" si="9"/>
        <v>10</v>
      </c>
      <c r="B80">
        <v>5</v>
      </c>
      <c r="C80" t="s">
        <v>387</v>
      </c>
      <c r="D80" t="s">
        <v>22</v>
      </c>
      <c r="E80" t="s">
        <v>378</v>
      </c>
      <c r="G80">
        <v>1</v>
      </c>
      <c r="H80">
        <v>1000</v>
      </c>
      <c r="J80" cm="1">
        <f t="array" ref="J80">_xlfn.SWITCH(B80,1,75,2,61,3,49,4,37,5,25,6,13,7,4,8,1)</f>
        <v>25</v>
      </c>
      <c r="K80" t="str" cm="1">
        <f t="array" ref="K80">IFERROR(_xlfn.SWITCH(L80,2,_xlfn.XLOOKUP(C80,[1]ModifierDes!$B:$B,[1]ModifierDes!$C:$C),3,_xlfn.XLOOKUP(C80,[1]StuntDes!$B:$B,[1]StuntDes!$C:$C)),"")</f>
        <v/>
      </c>
      <c r="L80">
        <f t="shared" si="7"/>
        <v>1</v>
      </c>
      <c r="M80" s="10" t="str">
        <f>IFERROR(_xlfn.XLOOKUP(C80,[1]StuntDes!$B:$B,[1]StuntDes!$A:$A),"")</f>
        <v/>
      </c>
      <c r="N80" s="10" t="str">
        <f>IFERROR(_xlfn.XLOOKUP(C80,[1]ModifierDes!$B:$B,[1]ModifierDes!$A:$A),"")</f>
        <v/>
      </c>
      <c r="O80" s="10">
        <f>IFERROR(_xlfn.XLOOKUP(C80,[1]AttributeName!$C:$C,[1]AttributeName!$B:$B),"")</f>
        <v>10306</v>
      </c>
      <c r="P80" s="10"/>
      <c r="Q80">
        <v>0.39</v>
      </c>
      <c r="R80">
        <v>0.47</v>
      </c>
      <c r="S80" cm="1">
        <f t="array" ref="S80">IFERROR(_xlfn.SWITCH(L80,1,_xlfn.XLOOKUP(O80,[1]AttributeName!$B:$B,[1]AttributeName!$D:$D),2,_xlfn.XLOOKUP(C80,#REF!,#REF!),3,_xlfn.XLOOKUP(C80,#REF!,#REF!)),0)</f>
        <v>2</v>
      </c>
      <c r="T80" cm="1">
        <f t="array" ref="T80">IFERROR(_xlfn.SWITCH(L80,1,_xlfn.XLOOKUP(O80,[1]AttributeName!$B:$B,[1]AttributeName!$E:$E),2,_xlfn.XLOOKUP(C80,#REF!,#REF!),3,_xlfn.XLOOKUP(C80,#REF!,#REF!)),0)</f>
        <v>2</v>
      </c>
    </row>
    <row r="81" spans="1:20">
      <c r="A81">
        <f t="shared" si="9"/>
        <v>10</v>
      </c>
      <c r="B81">
        <v>6</v>
      </c>
      <c r="C81" t="s">
        <v>387</v>
      </c>
      <c r="D81" t="s">
        <v>22</v>
      </c>
      <c r="E81" t="s">
        <v>378</v>
      </c>
      <c r="G81">
        <v>1</v>
      </c>
      <c r="H81">
        <v>1000</v>
      </c>
      <c r="J81" cm="1">
        <f t="array" ref="J81">_xlfn.SWITCH(B81,1,75,2,61,3,49,4,37,5,25,6,13,7,4,8,1)</f>
        <v>13</v>
      </c>
      <c r="K81" t="str" cm="1">
        <f t="array" ref="K81">IFERROR(_xlfn.SWITCH(L81,2,_xlfn.XLOOKUP(C81,[1]ModifierDes!$B:$B,[1]ModifierDes!$C:$C),3,_xlfn.XLOOKUP(C81,[1]StuntDes!$B:$B,[1]StuntDes!$C:$C)),"")</f>
        <v/>
      </c>
      <c r="L81">
        <f t="shared" si="7"/>
        <v>1</v>
      </c>
      <c r="M81" s="10" t="str">
        <f>IFERROR(_xlfn.XLOOKUP(C81,[1]StuntDes!$B:$B,[1]StuntDes!$A:$A),"")</f>
        <v/>
      </c>
      <c r="N81" s="10" t="str">
        <f>IFERROR(_xlfn.XLOOKUP(C81,[1]ModifierDes!$B:$B,[1]ModifierDes!$A:$A),"")</f>
        <v/>
      </c>
      <c r="O81" s="10">
        <f>IFERROR(_xlfn.XLOOKUP(C81,[1]AttributeName!$C:$C,[1]AttributeName!$B:$B),"")</f>
        <v>10306</v>
      </c>
      <c r="P81" s="10"/>
      <c r="Q81">
        <v>0.3</v>
      </c>
      <c r="R81">
        <v>0.38</v>
      </c>
      <c r="S81" cm="1">
        <f t="array" ref="S81">IFERROR(_xlfn.SWITCH(L81,1,_xlfn.XLOOKUP(O81,[1]AttributeName!$B:$B,[1]AttributeName!$D:$D),2,_xlfn.XLOOKUP(C81,#REF!,#REF!),3,_xlfn.XLOOKUP(C81,#REF!,#REF!)),0)</f>
        <v>2</v>
      </c>
      <c r="T81" cm="1">
        <f t="array" ref="T81">IFERROR(_xlfn.SWITCH(L81,1,_xlfn.XLOOKUP(O81,[1]AttributeName!$B:$B,[1]AttributeName!$E:$E),2,_xlfn.XLOOKUP(C81,#REF!,#REF!),3,_xlfn.XLOOKUP(C81,#REF!,#REF!)),0)</f>
        <v>2</v>
      </c>
    </row>
    <row r="82" spans="1:20">
      <c r="A82">
        <f t="shared" si="9"/>
        <v>10</v>
      </c>
      <c r="B82">
        <v>7</v>
      </c>
      <c r="C82" t="s">
        <v>387</v>
      </c>
      <c r="D82" t="s">
        <v>22</v>
      </c>
      <c r="E82" t="s">
        <v>378</v>
      </c>
      <c r="G82">
        <v>1</v>
      </c>
      <c r="H82">
        <v>1000</v>
      </c>
      <c r="J82" cm="1">
        <f t="array" ref="J82">_xlfn.SWITCH(B82,1,75,2,61,3,49,4,37,5,25,6,13,7,4,8,1)</f>
        <v>4</v>
      </c>
      <c r="K82" t="str" cm="1">
        <f t="array" ref="K82">IFERROR(_xlfn.SWITCH(L82,2,_xlfn.XLOOKUP(C82,[1]ModifierDes!$B:$B,[1]ModifierDes!$C:$C),3,_xlfn.XLOOKUP(C82,[1]StuntDes!$B:$B,[1]StuntDes!$C:$C)),"")</f>
        <v/>
      </c>
      <c r="L82">
        <f t="shared" si="7"/>
        <v>1</v>
      </c>
      <c r="M82" s="10" t="str">
        <f>IFERROR(_xlfn.XLOOKUP(C82,[1]StuntDes!$B:$B,[1]StuntDes!$A:$A),"")</f>
        <v/>
      </c>
      <c r="N82" s="10" t="str">
        <f>IFERROR(_xlfn.XLOOKUP(C82,[1]ModifierDes!$B:$B,[1]ModifierDes!$A:$A),"")</f>
        <v/>
      </c>
      <c r="O82" s="10">
        <f>IFERROR(_xlfn.XLOOKUP(C82,[1]AttributeName!$C:$C,[1]AttributeName!$B:$B),"")</f>
        <v>10306</v>
      </c>
      <c r="P82" s="10"/>
      <c r="Q82">
        <v>0.21</v>
      </c>
      <c r="R82">
        <v>0.29</v>
      </c>
      <c r="S82" cm="1">
        <f t="array" ref="S82">IFERROR(_xlfn.SWITCH(L82,1,_xlfn.XLOOKUP(O82,[1]AttributeName!$B:$B,[1]AttributeName!$D:$D),2,_xlfn.XLOOKUP(C82,#REF!,#REF!),3,_xlfn.XLOOKUP(C82,#REF!,#REF!)),0)</f>
        <v>2</v>
      </c>
      <c r="T82" cm="1">
        <f t="array" ref="T82">IFERROR(_xlfn.SWITCH(L82,1,_xlfn.XLOOKUP(O82,[1]AttributeName!$B:$B,[1]AttributeName!$E:$E),2,_xlfn.XLOOKUP(C82,#REF!,#REF!),3,_xlfn.XLOOKUP(C82,#REF!,#REF!)),0)</f>
        <v>2</v>
      </c>
    </row>
    <row r="83" customFormat="1" spans="1:20">
      <c r="A83">
        <f t="shared" si="9"/>
        <v>10</v>
      </c>
      <c r="B83">
        <v>8</v>
      </c>
      <c r="C83" t="s">
        <v>387</v>
      </c>
      <c r="D83" t="s">
        <v>22</v>
      </c>
      <c r="E83" t="s">
        <v>378</v>
      </c>
      <c r="F83"/>
      <c r="G83">
        <v>1</v>
      </c>
      <c r="H83">
        <v>1000</v>
      </c>
      <c r="J83" cm="1">
        <f t="array" ref="J83">_xlfn.SWITCH(B83,1,75,2,61,3,49,4,37,5,25,6,13,7,4,8,1)</f>
        <v>1</v>
      </c>
      <c r="K83" t="str" cm="1">
        <f t="array" ref="K83">IFERROR(_xlfn.SWITCH(L83,2,_xlfn.XLOOKUP(C83,[1]ModifierDes!$B:$B,[1]ModifierDes!$C:$C),3,_xlfn.XLOOKUP(C83,[1]StuntDes!$B:$B,[1]StuntDes!$C:$C)),"")</f>
        <v/>
      </c>
      <c r="L83">
        <f t="shared" si="7"/>
        <v>1</v>
      </c>
      <c r="M83" s="10" t="str">
        <f>IFERROR(_xlfn.XLOOKUP(C83,[1]StuntDes!$B:$B,[1]StuntDes!$A:$A),"")</f>
        <v/>
      </c>
      <c r="N83" s="10" t="str">
        <f>IFERROR(_xlfn.XLOOKUP(C83,[1]ModifierDes!$B:$B,[1]ModifierDes!$A:$A),"")</f>
        <v/>
      </c>
      <c r="O83" s="10">
        <f>IFERROR(_xlfn.XLOOKUP(C83,[1]AttributeName!$C:$C,[1]AttributeName!$B:$B),"")</f>
        <v>10306</v>
      </c>
      <c r="P83" s="10"/>
      <c r="Q83">
        <v>0.12</v>
      </c>
      <c r="R83">
        <v>0.2</v>
      </c>
      <c r="S83" cm="1">
        <f t="array" ref="S83">IFERROR(_xlfn.SWITCH(L83,1,_xlfn.XLOOKUP(O83,[1]AttributeName!$B:$B,[1]AttributeName!$D:$D),2,_xlfn.XLOOKUP(C83,#REF!,#REF!),3,_xlfn.XLOOKUP(C83,#REF!,#REF!)),0)</f>
        <v>2</v>
      </c>
      <c r="T83" cm="1">
        <f t="array" ref="T83">IFERROR(_xlfn.SWITCH(L83,1,_xlfn.XLOOKUP(O83,[1]AttributeName!$B:$B,[1]AttributeName!$E:$E),2,_xlfn.XLOOKUP(C83,#REF!,#REF!),3,_xlfn.XLOOKUP(C83,#REF!,#REF!)),0)</f>
        <v>2</v>
      </c>
    </row>
    <row r="84" spans="1:20">
      <c r="A84">
        <f t="shared" si="9"/>
        <v>11</v>
      </c>
      <c r="B84">
        <v>1</v>
      </c>
      <c r="C84" t="s">
        <v>388</v>
      </c>
      <c r="D84" t="s">
        <v>22</v>
      </c>
      <c r="E84" t="s">
        <v>378</v>
      </c>
      <c r="G84">
        <v>1</v>
      </c>
      <c r="H84">
        <v>100</v>
      </c>
      <c r="J84" cm="1">
        <f t="array" ref="J84">_xlfn.SWITCH(B84,1,75,2,61,3,49,4,37,5,25,6,13,7,4,8,1)</f>
        <v>75</v>
      </c>
      <c r="K84" t="str" cm="1">
        <f t="array" ref="K84">IFERROR(_xlfn.SWITCH(L84,2,_xlfn.XLOOKUP(C84,[1]ModifierDes!$B:$B,[1]ModifierDes!$C:$C),3,_xlfn.XLOOKUP(C84,[1]StuntDes!$B:$B,[1]StuntDes!$C:$C)),"")</f>
        <v/>
      </c>
      <c r="L84">
        <f t="shared" si="7"/>
        <v>1</v>
      </c>
      <c r="M84" s="10" t="str">
        <f>IFERROR(_xlfn.XLOOKUP(C84,[1]StuntDes!$B:$B,[1]StuntDes!$A:$A),"")</f>
        <v/>
      </c>
      <c r="N84" s="10" t="str">
        <f>IFERROR(_xlfn.XLOOKUP(C84,[1]ModifierDes!$B:$B,[1]ModifierDes!$A:$A),"")</f>
        <v/>
      </c>
      <c r="O84" s="10">
        <f>IFERROR(_xlfn.XLOOKUP(C84,[1]AttributeName!$C:$C,[1]AttributeName!$B:$B),"")</f>
        <v>10307</v>
      </c>
      <c r="P84" s="10"/>
      <c r="Q84">
        <v>0.75</v>
      </c>
      <c r="R84">
        <v>1</v>
      </c>
      <c r="S84" cm="1">
        <f t="array" ref="S84">IFERROR(_xlfn.SWITCH(L84,1,_xlfn.XLOOKUP(O84,[1]AttributeName!$B:$B,[1]AttributeName!$D:$D),2,_xlfn.XLOOKUP(C84,#REF!,#REF!),3,_xlfn.XLOOKUP(C84,#REF!,#REF!)),0)</f>
        <v>2</v>
      </c>
      <c r="T84" cm="1">
        <f t="array" ref="T84">IFERROR(_xlfn.SWITCH(L84,1,_xlfn.XLOOKUP(O84,[1]AttributeName!$B:$B,[1]AttributeName!$E:$E),2,_xlfn.XLOOKUP(C84,#REF!,#REF!),3,_xlfn.XLOOKUP(C84,#REF!,#REF!)),0)</f>
        <v>2</v>
      </c>
    </row>
    <row r="85" spans="1:20">
      <c r="A85">
        <f t="shared" si="9"/>
        <v>11</v>
      </c>
      <c r="B85">
        <v>2</v>
      </c>
      <c r="C85" t="s">
        <v>388</v>
      </c>
      <c r="D85" t="s">
        <v>22</v>
      </c>
      <c r="E85" t="s">
        <v>378</v>
      </c>
      <c r="G85">
        <v>1</v>
      </c>
      <c r="H85">
        <v>200</v>
      </c>
      <c r="J85" cm="1">
        <f t="array" ref="J85">_xlfn.SWITCH(B85,1,75,2,61,3,49,4,37,5,25,6,13,7,4,8,1)</f>
        <v>61</v>
      </c>
      <c r="K85" t="str" cm="1">
        <f t="array" ref="K85">IFERROR(_xlfn.SWITCH(L85,2,_xlfn.XLOOKUP(C85,[1]ModifierDes!$B:$B,[1]ModifierDes!$C:$C),3,_xlfn.XLOOKUP(C85,[1]StuntDes!$B:$B,[1]StuntDes!$C:$C)),"")</f>
        <v/>
      </c>
      <c r="L85">
        <f t="shared" si="7"/>
        <v>1</v>
      </c>
      <c r="M85" s="10" t="str">
        <f>IFERROR(_xlfn.XLOOKUP(C85,[1]StuntDes!$B:$B,[1]StuntDes!$A:$A),"")</f>
        <v/>
      </c>
      <c r="N85" s="10" t="str">
        <f>IFERROR(_xlfn.XLOOKUP(C85,[1]ModifierDes!$B:$B,[1]ModifierDes!$A:$A),"")</f>
        <v/>
      </c>
      <c r="O85" s="10">
        <f>IFERROR(_xlfn.XLOOKUP(C85,[1]AttributeName!$C:$C,[1]AttributeName!$B:$B),"")</f>
        <v>10307</v>
      </c>
      <c r="P85" s="10"/>
      <c r="Q85">
        <v>0.66</v>
      </c>
      <c r="R85">
        <v>0.74</v>
      </c>
      <c r="S85" cm="1">
        <f t="array" ref="S85">IFERROR(_xlfn.SWITCH(L85,1,_xlfn.XLOOKUP(O85,[1]AttributeName!$B:$B,[1]AttributeName!$D:$D),2,_xlfn.XLOOKUP(C85,#REF!,#REF!),3,_xlfn.XLOOKUP(C85,#REF!,#REF!)),0)</f>
        <v>2</v>
      </c>
      <c r="T85" cm="1">
        <f t="array" ref="T85">IFERROR(_xlfn.SWITCH(L85,1,_xlfn.XLOOKUP(O85,[1]AttributeName!$B:$B,[1]AttributeName!$E:$E),2,_xlfn.XLOOKUP(C85,#REF!,#REF!),3,_xlfn.XLOOKUP(C85,#REF!,#REF!)),0)</f>
        <v>2</v>
      </c>
    </row>
    <row r="86" spans="1:20">
      <c r="A86">
        <f t="shared" ref="A86:A93" si="10">A78+1</f>
        <v>11</v>
      </c>
      <c r="B86">
        <v>3</v>
      </c>
      <c r="C86" t="s">
        <v>388</v>
      </c>
      <c r="D86" t="s">
        <v>22</v>
      </c>
      <c r="E86" t="s">
        <v>378</v>
      </c>
      <c r="G86">
        <v>1</v>
      </c>
      <c r="H86">
        <v>500</v>
      </c>
      <c r="J86" cm="1">
        <f t="array" ref="J86">_xlfn.SWITCH(B86,1,75,2,61,3,49,4,37,5,25,6,13,7,4,8,1)</f>
        <v>49</v>
      </c>
      <c r="K86" t="str" cm="1">
        <f t="array" ref="K86">IFERROR(_xlfn.SWITCH(L86,2,_xlfn.XLOOKUP(C86,[1]ModifierDes!$B:$B,[1]ModifierDes!$C:$C),3,_xlfn.XLOOKUP(C86,[1]StuntDes!$B:$B,[1]StuntDes!$C:$C)),"")</f>
        <v/>
      </c>
      <c r="L86">
        <f t="shared" si="7"/>
        <v>1</v>
      </c>
      <c r="M86" s="10" t="str">
        <f>IFERROR(_xlfn.XLOOKUP(C86,[1]StuntDes!$B:$B,[1]StuntDes!$A:$A),"")</f>
        <v/>
      </c>
      <c r="N86" s="10" t="str">
        <f>IFERROR(_xlfn.XLOOKUP(C86,[1]ModifierDes!$B:$B,[1]ModifierDes!$A:$A),"")</f>
        <v/>
      </c>
      <c r="O86" s="10">
        <f>IFERROR(_xlfn.XLOOKUP(C86,[1]AttributeName!$C:$C,[1]AttributeName!$B:$B),"")</f>
        <v>10307</v>
      </c>
      <c r="P86" s="10"/>
      <c r="Q86">
        <v>0.57</v>
      </c>
      <c r="R86">
        <v>0.65</v>
      </c>
      <c r="S86" cm="1">
        <f t="array" ref="S86">IFERROR(_xlfn.SWITCH(L86,1,_xlfn.XLOOKUP(O86,[1]AttributeName!$B:$B,[1]AttributeName!$D:$D),2,_xlfn.XLOOKUP(C86,#REF!,#REF!),3,_xlfn.XLOOKUP(C86,#REF!,#REF!)),0)</f>
        <v>2</v>
      </c>
      <c r="T86" cm="1">
        <f t="array" ref="T86">IFERROR(_xlfn.SWITCH(L86,1,_xlfn.XLOOKUP(O86,[1]AttributeName!$B:$B,[1]AttributeName!$E:$E),2,_xlfn.XLOOKUP(C86,#REF!,#REF!),3,_xlfn.XLOOKUP(C86,#REF!,#REF!)),0)</f>
        <v>2</v>
      </c>
    </row>
    <row r="87" spans="1:20">
      <c r="A87">
        <f t="shared" si="10"/>
        <v>11</v>
      </c>
      <c r="B87">
        <v>4</v>
      </c>
      <c r="C87" t="s">
        <v>388</v>
      </c>
      <c r="D87" t="s">
        <v>22</v>
      </c>
      <c r="E87" t="s">
        <v>378</v>
      </c>
      <c r="G87">
        <v>1</v>
      </c>
      <c r="H87">
        <v>1000</v>
      </c>
      <c r="J87" cm="1">
        <f t="array" ref="J87">_xlfn.SWITCH(B87,1,75,2,61,3,49,4,37,5,25,6,13,7,4,8,1)</f>
        <v>37</v>
      </c>
      <c r="K87" t="str" cm="1">
        <f t="array" ref="K87">IFERROR(_xlfn.SWITCH(L87,2,_xlfn.XLOOKUP(C87,[1]ModifierDes!$B:$B,[1]ModifierDes!$C:$C),3,_xlfn.XLOOKUP(C87,[1]StuntDes!$B:$B,[1]StuntDes!$C:$C)),"")</f>
        <v/>
      </c>
      <c r="L87">
        <f t="shared" si="7"/>
        <v>1</v>
      </c>
      <c r="M87" s="10" t="str">
        <f>IFERROR(_xlfn.XLOOKUP(C87,[1]StuntDes!$B:$B,[1]StuntDes!$A:$A),"")</f>
        <v/>
      </c>
      <c r="N87" s="10" t="str">
        <f>IFERROR(_xlfn.XLOOKUP(C87,[1]ModifierDes!$B:$B,[1]ModifierDes!$A:$A),"")</f>
        <v/>
      </c>
      <c r="O87" s="10">
        <f>IFERROR(_xlfn.XLOOKUP(C87,[1]AttributeName!$C:$C,[1]AttributeName!$B:$B),"")</f>
        <v>10307</v>
      </c>
      <c r="P87" s="10"/>
      <c r="Q87">
        <v>0.48</v>
      </c>
      <c r="R87">
        <v>0.56</v>
      </c>
      <c r="S87" cm="1">
        <f t="array" ref="S87">IFERROR(_xlfn.SWITCH(L87,1,_xlfn.XLOOKUP(O87,[1]AttributeName!$B:$B,[1]AttributeName!$D:$D),2,_xlfn.XLOOKUP(C87,#REF!,#REF!),3,_xlfn.XLOOKUP(C87,#REF!,#REF!)),0)</f>
        <v>2</v>
      </c>
      <c r="T87" cm="1">
        <f t="array" ref="T87">IFERROR(_xlfn.SWITCH(L87,1,_xlfn.XLOOKUP(O87,[1]AttributeName!$B:$B,[1]AttributeName!$E:$E),2,_xlfn.XLOOKUP(C87,#REF!,#REF!),3,_xlfn.XLOOKUP(C87,#REF!,#REF!)),0)</f>
        <v>2</v>
      </c>
    </row>
    <row r="88" spans="1:20">
      <c r="A88">
        <f t="shared" si="10"/>
        <v>11</v>
      </c>
      <c r="B88">
        <v>5</v>
      </c>
      <c r="C88" t="s">
        <v>388</v>
      </c>
      <c r="D88" t="s">
        <v>22</v>
      </c>
      <c r="E88" t="s">
        <v>378</v>
      </c>
      <c r="G88">
        <v>1</v>
      </c>
      <c r="H88">
        <v>1000</v>
      </c>
      <c r="J88" cm="1">
        <f t="array" ref="J88">_xlfn.SWITCH(B88,1,75,2,61,3,49,4,37,5,25,6,13,7,4,8,1)</f>
        <v>25</v>
      </c>
      <c r="K88" t="str" cm="1">
        <f t="array" ref="K88">IFERROR(_xlfn.SWITCH(L88,2,_xlfn.XLOOKUP(C88,[1]ModifierDes!$B:$B,[1]ModifierDes!$C:$C),3,_xlfn.XLOOKUP(C88,[1]StuntDes!$B:$B,[1]StuntDes!$C:$C)),"")</f>
        <v/>
      </c>
      <c r="L88">
        <f t="shared" si="7"/>
        <v>1</v>
      </c>
      <c r="M88" s="10" t="str">
        <f>IFERROR(_xlfn.XLOOKUP(C88,[1]StuntDes!$B:$B,[1]StuntDes!$A:$A),"")</f>
        <v/>
      </c>
      <c r="N88" s="10" t="str">
        <f>IFERROR(_xlfn.XLOOKUP(C88,[1]ModifierDes!$B:$B,[1]ModifierDes!$A:$A),"")</f>
        <v/>
      </c>
      <c r="O88" s="10">
        <f>IFERROR(_xlfn.XLOOKUP(C88,[1]AttributeName!$C:$C,[1]AttributeName!$B:$B),"")</f>
        <v>10307</v>
      </c>
      <c r="P88" s="10"/>
      <c r="Q88">
        <v>0.39</v>
      </c>
      <c r="R88">
        <v>0.47</v>
      </c>
      <c r="S88" cm="1">
        <f t="array" ref="S88">IFERROR(_xlfn.SWITCH(L88,1,_xlfn.XLOOKUP(O88,[1]AttributeName!$B:$B,[1]AttributeName!$D:$D),2,_xlfn.XLOOKUP(C88,#REF!,#REF!),3,_xlfn.XLOOKUP(C88,#REF!,#REF!)),0)</f>
        <v>2</v>
      </c>
      <c r="T88" cm="1">
        <f t="array" ref="T88">IFERROR(_xlfn.SWITCH(L88,1,_xlfn.XLOOKUP(O88,[1]AttributeName!$B:$B,[1]AttributeName!$E:$E),2,_xlfn.XLOOKUP(C88,#REF!,#REF!),3,_xlfn.XLOOKUP(C88,#REF!,#REF!)),0)</f>
        <v>2</v>
      </c>
    </row>
    <row r="89" spans="1:20">
      <c r="A89">
        <f t="shared" si="10"/>
        <v>11</v>
      </c>
      <c r="B89">
        <v>6</v>
      </c>
      <c r="C89" t="s">
        <v>388</v>
      </c>
      <c r="D89" t="s">
        <v>22</v>
      </c>
      <c r="E89" t="s">
        <v>378</v>
      </c>
      <c r="G89">
        <v>1</v>
      </c>
      <c r="H89">
        <v>1000</v>
      </c>
      <c r="J89" cm="1">
        <f t="array" ref="J89">_xlfn.SWITCH(B89,1,75,2,61,3,49,4,37,5,25,6,13,7,4,8,1)</f>
        <v>13</v>
      </c>
      <c r="K89" t="str" cm="1">
        <f t="array" ref="K89">IFERROR(_xlfn.SWITCH(L89,2,_xlfn.XLOOKUP(C89,[1]ModifierDes!$B:$B,[1]ModifierDes!$C:$C),3,_xlfn.XLOOKUP(C89,[1]StuntDes!$B:$B,[1]StuntDes!$C:$C)),"")</f>
        <v/>
      </c>
      <c r="L89">
        <f t="shared" si="7"/>
        <v>1</v>
      </c>
      <c r="M89" s="10" t="str">
        <f>IFERROR(_xlfn.XLOOKUP(C89,[1]StuntDes!$B:$B,[1]StuntDes!$A:$A),"")</f>
        <v/>
      </c>
      <c r="N89" s="10" t="str">
        <f>IFERROR(_xlfn.XLOOKUP(C89,[1]ModifierDes!$B:$B,[1]ModifierDes!$A:$A),"")</f>
        <v/>
      </c>
      <c r="O89" s="10">
        <f>IFERROR(_xlfn.XLOOKUP(C89,[1]AttributeName!$C:$C,[1]AttributeName!$B:$B),"")</f>
        <v>10307</v>
      </c>
      <c r="P89" s="10"/>
      <c r="Q89">
        <v>0.3</v>
      </c>
      <c r="R89">
        <v>0.38</v>
      </c>
      <c r="S89" cm="1">
        <f t="array" ref="S89">IFERROR(_xlfn.SWITCH(L89,1,_xlfn.XLOOKUP(O89,[1]AttributeName!$B:$B,[1]AttributeName!$D:$D),2,_xlfn.XLOOKUP(C89,#REF!,#REF!),3,_xlfn.XLOOKUP(C89,#REF!,#REF!)),0)</f>
        <v>2</v>
      </c>
      <c r="T89" cm="1">
        <f t="array" ref="T89">IFERROR(_xlfn.SWITCH(L89,1,_xlfn.XLOOKUP(O89,[1]AttributeName!$B:$B,[1]AttributeName!$E:$E),2,_xlfn.XLOOKUP(C89,#REF!,#REF!),3,_xlfn.XLOOKUP(C89,#REF!,#REF!)),0)</f>
        <v>2</v>
      </c>
    </row>
    <row r="90" spans="1:20">
      <c r="A90">
        <f t="shared" si="10"/>
        <v>11</v>
      </c>
      <c r="B90">
        <v>7</v>
      </c>
      <c r="C90" t="s">
        <v>388</v>
      </c>
      <c r="D90" t="s">
        <v>22</v>
      </c>
      <c r="E90" t="s">
        <v>378</v>
      </c>
      <c r="G90">
        <v>1</v>
      </c>
      <c r="H90">
        <v>1000</v>
      </c>
      <c r="J90" cm="1">
        <f t="array" ref="J90">_xlfn.SWITCH(B90,1,75,2,61,3,49,4,37,5,25,6,13,7,4,8,1)</f>
        <v>4</v>
      </c>
      <c r="K90" t="str" cm="1">
        <f t="array" ref="K90">IFERROR(_xlfn.SWITCH(L90,2,_xlfn.XLOOKUP(C90,[1]ModifierDes!$B:$B,[1]ModifierDes!$C:$C),3,_xlfn.XLOOKUP(C90,[1]StuntDes!$B:$B,[1]StuntDes!$C:$C)),"")</f>
        <v/>
      </c>
      <c r="L90">
        <f t="shared" si="7"/>
        <v>1</v>
      </c>
      <c r="M90" s="10" t="str">
        <f>IFERROR(_xlfn.XLOOKUP(C90,[1]StuntDes!$B:$B,[1]StuntDes!$A:$A),"")</f>
        <v/>
      </c>
      <c r="N90" s="10" t="str">
        <f>IFERROR(_xlfn.XLOOKUP(C90,[1]ModifierDes!$B:$B,[1]ModifierDes!$A:$A),"")</f>
        <v/>
      </c>
      <c r="O90" s="10">
        <f>IFERROR(_xlfn.XLOOKUP(C90,[1]AttributeName!$C:$C,[1]AttributeName!$B:$B),"")</f>
        <v>10307</v>
      </c>
      <c r="P90" s="10"/>
      <c r="Q90">
        <v>0.21</v>
      </c>
      <c r="R90">
        <v>0.29</v>
      </c>
      <c r="S90" cm="1">
        <f t="array" ref="S90">IFERROR(_xlfn.SWITCH(L90,1,_xlfn.XLOOKUP(O90,[1]AttributeName!$B:$B,[1]AttributeName!$D:$D),2,_xlfn.XLOOKUP(C90,#REF!,#REF!),3,_xlfn.XLOOKUP(C90,#REF!,#REF!)),0)</f>
        <v>2</v>
      </c>
      <c r="T90" cm="1">
        <f t="array" ref="T90">IFERROR(_xlfn.SWITCH(L90,1,_xlfn.XLOOKUP(O90,[1]AttributeName!$B:$B,[1]AttributeName!$E:$E),2,_xlfn.XLOOKUP(C90,#REF!,#REF!),3,_xlfn.XLOOKUP(C90,#REF!,#REF!)),0)</f>
        <v>2</v>
      </c>
    </row>
    <row r="91" customFormat="1" spans="1:20">
      <c r="A91">
        <f t="shared" si="10"/>
        <v>11</v>
      </c>
      <c r="B91">
        <v>8</v>
      </c>
      <c r="C91" t="s">
        <v>388</v>
      </c>
      <c r="D91" t="s">
        <v>22</v>
      </c>
      <c r="E91" t="s">
        <v>378</v>
      </c>
      <c r="F91"/>
      <c r="G91">
        <v>1</v>
      </c>
      <c r="H91">
        <v>1000</v>
      </c>
      <c r="J91" cm="1">
        <f t="array" ref="J91">_xlfn.SWITCH(B91,1,75,2,61,3,49,4,37,5,25,6,13,7,4,8,1)</f>
        <v>1</v>
      </c>
      <c r="K91" t="str" cm="1">
        <f t="array" ref="K91">IFERROR(_xlfn.SWITCH(L91,2,_xlfn.XLOOKUP(C91,[1]ModifierDes!$B:$B,[1]ModifierDes!$C:$C),3,_xlfn.XLOOKUP(C91,[1]StuntDes!$B:$B,[1]StuntDes!$C:$C)),"")</f>
        <v/>
      </c>
      <c r="L91">
        <f t="shared" si="7"/>
        <v>1</v>
      </c>
      <c r="M91" s="10" t="str">
        <f>IFERROR(_xlfn.XLOOKUP(C91,[1]StuntDes!$B:$B,[1]StuntDes!$A:$A),"")</f>
        <v/>
      </c>
      <c r="N91" s="10" t="str">
        <f>IFERROR(_xlfn.XLOOKUP(C91,[1]ModifierDes!$B:$B,[1]ModifierDes!$A:$A),"")</f>
        <v/>
      </c>
      <c r="O91" s="10">
        <f>IFERROR(_xlfn.XLOOKUP(C91,[1]AttributeName!$C:$C,[1]AttributeName!$B:$B),"")</f>
        <v>10307</v>
      </c>
      <c r="P91" s="10"/>
      <c r="Q91">
        <v>0.12</v>
      </c>
      <c r="R91">
        <v>0.2</v>
      </c>
      <c r="S91" cm="1">
        <f t="array" ref="S91">IFERROR(_xlfn.SWITCH(L91,1,_xlfn.XLOOKUP(O91,[1]AttributeName!$B:$B,[1]AttributeName!$D:$D),2,_xlfn.XLOOKUP(C91,#REF!,#REF!),3,_xlfn.XLOOKUP(C91,#REF!,#REF!)),0)</f>
        <v>2</v>
      </c>
      <c r="T91" cm="1">
        <f t="array" ref="T91">IFERROR(_xlfn.SWITCH(L91,1,_xlfn.XLOOKUP(O91,[1]AttributeName!$B:$B,[1]AttributeName!$E:$E),2,_xlfn.XLOOKUP(C91,#REF!,#REF!),3,_xlfn.XLOOKUP(C91,#REF!,#REF!)),0)</f>
        <v>2</v>
      </c>
    </row>
    <row r="92" spans="1:20">
      <c r="A92">
        <f t="shared" si="10"/>
        <v>12</v>
      </c>
      <c r="B92">
        <v>1</v>
      </c>
      <c r="C92" t="s">
        <v>389</v>
      </c>
      <c r="D92" t="s">
        <v>22</v>
      </c>
      <c r="E92" t="s">
        <v>378</v>
      </c>
      <c r="G92">
        <v>1</v>
      </c>
      <c r="H92">
        <v>1000</v>
      </c>
      <c r="J92" cm="1">
        <f t="array" ref="J92">_xlfn.SWITCH(B92,1,75,2,61,3,49,4,37,5,25,6,13,7,4,8,1)</f>
        <v>75</v>
      </c>
      <c r="K92" t="str" cm="1">
        <f t="array" ref="K92">IFERROR(_xlfn.SWITCH(L92,2,_xlfn.XLOOKUP(C92,[1]ModifierDes!$B:$B,[1]ModifierDes!$C:$C),3,_xlfn.XLOOKUP(C92,[1]StuntDes!$B:$B,[1]StuntDes!$C:$C)),"")</f>
        <v/>
      </c>
      <c r="L92">
        <f t="shared" si="7"/>
        <v>1</v>
      </c>
      <c r="M92" s="10" t="str">
        <f>IFERROR(_xlfn.XLOOKUP(C92,[1]StuntDes!$B:$B,[1]StuntDes!$A:$A),"")</f>
        <v/>
      </c>
      <c r="N92" s="10" t="str">
        <f>IFERROR(_xlfn.XLOOKUP(C92,[1]ModifierDes!$B:$B,[1]ModifierDes!$A:$A),"")</f>
        <v/>
      </c>
      <c r="O92" s="10">
        <f>IFERROR(_xlfn.XLOOKUP(C92,[1]AttributeName!$C:$C,[1]AttributeName!$B:$B),"")</f>
        <v>10001</v>
      </c>
      <c r="P92" s="10"/>
      <c r="Q92">
        <v>271</v>
      </c>
      <c r="R92">
        <v>300</v>
      </c>
      <c r="S92" cm="1">
        <f t="array" ref="S92">IFERROR(_xlfn.SWITCH(L92,1,_xlfn.XLOOKUP(O92,[1]AttributeName!$B:$B,[1]AttributeName!$D:$D),2,_xlfn.XLOOKUP(C92,#REF!,#REF!),3,_xlfn.XLOOKUP(C92,#REF!,#REF!)),0)</f>
        <v>0</v>
      </c>
      <c r="T92" cm="1">
        <f t="array" ref="T92">IFERROR(_xlfn.SWITCH(L92,1,_xlfn.XLOOKUP(O92,[1]AttributeName!$B:$B,[1]AttributeName!$E:$E),2,_xlfn.XLOOKUP(C92,#REF!,#REF!),3,_xlfn.XLOOKUP(C92,#REF!,#REF!)),0)</f>
        <v>1</v>
      </c>
    </row>
    <row r="93" spans="1:20">
      <c r="A93">
        <f t="shared" si="10"/>
        <v>12</v>
      </c>
      <c r="B93">
        <v>2</v>
      </c>
      <c r="C93" t="s">
        <v>389</v>
      </c>
      <c r="D93" t="s">
        <v>22</v>
      </c>
      <c r="E93" t="s">
        <v>378</v>
      </c>
      <c r="G93">
        <v>1</v>
      </c>
      <c r="H93">
        <v>1000</v>
      </c>
      <c r="J93" cm="1">
        <f t="array" ref="J93">_xlfn.SWITCH(B93,1,75,2,61,3,49,4,37,5,25,6,13,7,4,8,1)</f>
        <v>61</v>
      </c>
      <c r="K93" t="str" cm="1">
        <f t="array" ref="K93">IFERROR(_xlfn.SWITCH(L93,2,_xlfn.XLOOKUP(C93,[1]ModifierDes!$B:$B,[1]ModifierDes!$C:$C),3,_xlfn.XLOOKUP(C93,[1]StuntDes!$B:$B,[1]StuntDes!$C:$C)),"")</f>
        <v/>
      </c>
      <c r="L93">
        <f t="shared" si="7"/>
        <v>1</v>
      </c>
      <c r="M93" s="10" t="str">
        <f>IFERROR(_xlfn.XLOOKUP(C93,[1]StuntDes!$B:$B,[1]StuntDes!$A:$A),"")</f>
        <v/>
      </c>
      <c r="N93" s="10" t="str">
        <f>IFERROR(_xlfn.XLOOKUP(C93,[1]ModifierDes!$B:$B,[1]ModifierDes!$A:$A),"")</f>
        <v/>
      </c>
      <c r="O93" s="10">
        <f>IFERROR(_xlfn.XLOOKUP(C93,[1]AttributeName!$C:$C,[1]AttributeName!$B:$B),"")</f>
        <v>10001</v>
      </c>
      <c r="P93" s="10"/>
      <c r="Q93">
        <v>241</v>
      </c>
      <c r="R93">
        <v>270</v>
      </c>
      <c r="S93" cm="1">
        <f t="array" ref="S93">IFERROR(_xlfn.SWITCH(L93,1,_xlfn.XLOOKUP(O93,[1]AttributeName!$B:$B,[1]AttributeName!$D:$D),2,_xlfn.XLOOKUP(C93,#REF!,#REF!),3,_xlfn.XLOOKUP(C93,#REF!,#REF!)),0)</f>
        <v>0</v>
      </c>
      <c r="T93" cm="1">
        <f t="array" ref="T93">IFERROR(_xlfn.SWITCH(L93,1,_xlfn.XLOOKUP(O93,[1]AttributeName!$B:$B,[1]AttributeName!$E:$E),2,_xlfn.XLOOKUP(C93,#REF!,#REF!),3,_xlfn.XLOOKUP(C93,#REF!,#REF!)),0)</f>
        <v>1</v>
      </c>
    </row>
    <row r="94" spans="1:20">
      <c r="A94">
        <f t="shared" ref="A94:A107" si="11">A86+1</f>
        <v>12</v>
      </c>
      <c r="B94">
        <v>3</v>
      </c>
      <c r="C94" t="s">
        <v>389</v>
      </c>
      <c r="D94" t="s">
        <v>22</v>
      </c>
      <c r="E94" t="s">
        <v>378</v>
      </c>
      <c r="G94">
        <v>1</v>
      </c>
      <c r="H94">
        <v>1000</v>
      </c>
      <c r="J94" cm="1">
        <f t="array" ref="J94">_xlfn.SWITCH(B94,1,75,2,61,3,49,4,37,5,25,6,13,7,4,8,1)</f>
        <v>49</v>
      </c>
      <c r="K94" t="str" cm="1">
        <f t="array" ref="K94">IFERROR(_xlfn.SWITCH(L94,2,_xlfn.XLOOKUP(C94,[1]ModifierDes!$B:$B,[1]ModifierDes!$C:$C),3,_xlfn.XLOOKUP(C94,[1]StuntDes!$B:$B,[1]StuntDes!$C:$C)),"")</f>
        <v/>
      </c>
      <c r="L94">
        <f t="shared" si="7"/>
        <v>1</v>
      </c>
      <c r="M94" s="10" t="str">
        <f>IFERROR(_xlfn.XLOOKUP(C94,[1]StuntDes!$B:$B,[1]StuntDes!$A:$A),"")</f>
        <v/>
      </c>
      <c r="N94" s="10" t="str">
        <f>IFERROR(_xlfn.XLOOKUP(C94,[1]ModifierDes!$B:$B,[1]ModifierDes!$A:$A),"")</f>
        <v/>
      </c>
      <c r="O94" s="10">
        <f>IFERROR(_xlfn.XLOOKUP(C94,[1]AttributeName!$C:$C,[1]AttributeName!$B:$B),"")</f>
        <v>10001</v>
      </c>
      <c r="P94" s="10"/>
      <c r="Q94">
        <v>211</v>
      </c>
      <c r="R94">
        <v>240</v>
      </c>
      <c r="S94" cm="1">
        <f t="array" ref="S94">IFERROR(_xlfn.SWITCH(L94,1,_xlfn.XLOOKUP(O94,[1]AttributeName!$B:$B,[1]AttributeName!$D:$D),2,_xlfn.XLOOKUP(C94,#REF!,#REF!),3,_xlfn.XLOOKUP(C94,#REF!,#REF!)),0)</f>
        <v>0</v>
      </c>
      <c r="T94" cm="1">
        <f t="array" ref="T94">IFERROR(_xlfn.SWITCH(L94,1,_xlfn.XLOOKUP(O94,[1]AttributeName!$B:$B,[1]AttributeName!$E:$E),2,_xlfn.XLOOKUP(C94,#REF!,#REF!),3,_xlfn.XLOOKUP(C94,#REF!,#REF!)),0)</f>
        <v>1</v>
      </c>
    </row>
    <row r="95" spans="1:20">
      <c r="A95">
        <f t="shared" si="11"/>
        <v>12</v>
      </c>
      <c r="B95">
        <v>4</v>
      </c>
      <c r="C95" t="s">
        <v>389</v>
      </c>
      <c r="D95" t="s">
        <v>22</v>
      </c>
      <c r="E95" t="s">
        <v>378</v>
      </c>
      <c r="G95">
        <v>1</v>
      </c>
      <c r="H95">
        <v>1000</v>
      </c>
      <c r="J95" cm="1">
        <f t="array" ref="J95">_xlfn.SWITCH(B95,1,75,2,61,3,49,4,37,5,25,6,13,7,4,8,1)</f>
        <v>37</v>
      </c>
      <c r="K95" t="str" cm="1">
        <f t="array" ref="K95">IFERROR(_xlfn.SWITCH(L95,2,_xlfn.XLOOKUP(C95,[1]ModifierDes!$B:$B,[1]ModifierDes!$C:$C),3,_xlfn.XLOOKUP(C95,[1]StuntDes!$B:$B,[1]StuntDes!$C:$C)),"")</f>
        <v/>
      </c>
      <c r="L95">
        <f t="shared" si="7"/>
        <v>1</v>
      </c>
      <c r="M95" s="10" t="str">
        <f>IFERROR(_xlfn.XLOOKUP(C95,[1]StuntDes!$B:$B,[1]StuntDes!$A:$A),"")</f>
        <v/>
      </c>
      <c r="N95" s="10" t="str">
        <f>IFERROR(_xlfn.XLOOKUP(C95,[1]ModifierDes!$B:$B,[1]ModifierDes!$A:$A),"")</f>
        <v/>
      </c>
      <c r="O95" s="10">
        <f>IFERROR(_xlfn.XLOOKUP(C95,[1]AttributeName!$C:$C,[1]AttributeName!$B:$B),"")</f>
        <v>10001</v>
      </c>
      <c r="P95" s="10"/>
      <c r="Q95">
        <v>181</v>
      </c>
      <c r="R95">
        <v>210</v>
      </c>
      <c r="S95" cm="1">
        <f t="array" ref="S95">IFERROR(_xlfn.SWITCH(L95,1,_xlfn.XLOOKUP(O95,[1]AttributeName!$B:$B,[1]AttributeName!$D:$D),2,_xlfn.XLOOKUP(C95,#REF!,#REF!),3,_xlfn.XLOOKUP(C95,#REF!,#REF!)),0)</f>
        <v>0</v>
      </c>
      <c r="T95" cm="1">
        <f t="array" ref="T95">IFERROR(_xlfn.SWITCH(L95,1,_xlfn.XLOOKUP(O95,[1]AttributeName!$B:$B,[1]AttributeName!$E:$E),2,_xlfn.XLOOKUP(C95,#REF!,#REF!),3,_xlfn.XLOOKUP(C95,#REF!,#REF!)),0)</f>
        <v>1</v>
      </c>
    </row>
    <row r="96" spans="1:20">
      <c r="A96">
        <f t="shared" si="11"/>
        <v>12</v>
      </c>
      <c r="B96">
        <v>5</v>
      </c>
      <c r="C96" t="s">
        <v>389</v>
      </c>
      <c r="D96" t="s">
        <v>22</v>
      </c>
      <c r="E96" t="s">
        <v>378</v>
      </c>
      <c r="G96">
        <v>1</v>
      </c>
      <c r="H96">
        <v>1000</v>
      </c>
      <c r="J96" cm="1">
        <f t="array" ref="J96">_xlfn.SWITCH(B96,1,75,2,61,3,49,4,37,5,25,6,13,7,4,8,1)</f>
        <v>25</v>
      </c>
      <c r="K96" t="str" cm="1">
        <f t="array" ref="K96">IFERROR(_xlfn.SWITCH(L96,2,_xlfn.XLOOKUP(C96,[1]ModifierDes!$B:$B,[1]ModifierDes!$C:$C),3,_xlfn.XLOOKUP(C96,[1]StuntDes!$B:$B,[1]StuntDes!$C:$C)),"")</f>
        <v/>
      </c>
      <c r="L96">
        <f t="shared" si="7"/>
        <v>1</v>
      </c>
      <c r="M96" s="10" t="str">
        <f>IFERROR(_xlfn.XLOOKUP(C96,[1]StuntDes!$B:$B,[1]StuntDes!$A:$A),"")</f>
        <v/>
      </c>
      <c r="N96" s="10" t="str">
        <f>IFERROR(_xlfn.XLOOKUP(C96,[1]ModifierDes!$B:$B,[1]ModifierDes!$A:$A),"")</f>
        <v/>
      </c>
      <c r="O96" s="10">
        <f>IFERROR(_xlfn.XLOOKUP(C96,[1]AttributeName!$C:$C,[1]AttributeName!$B:$B),"")</f>
        <v>10001</v>
      </c>
      <c r="P96" s="10"/>
      <c r="Q96">
        <v>151</v>
      </c>
      <c r="R96">
        <v>180</v>
      </c>
      <c r="S96" cm="1">
        <f t="array" ref="S96">IFERROR(_xlfn.SWITCH(L96,1,_xlfn.XLOOKUP(O96,[1]AttributeName!$B:$B,[1]AttributeName!$D:$D),2,_xlfn.XLOOKUP(C96,#REF!,#REF!),3,_xlfn.XLOOKUP(C96,#REF!,#REF!)),0)</f>
        <v>0</v>
      </c>
      <c r="T96" cm="1">
        <f t="array" ref="T96">IFERROR(_xlfn.SWITCH(L96,1,_xlfn.XLOOKUP(O96,[1]AttributeName!$B:$B,[1]AttributeName!$E:$E),2,_xlfn.XLOOKUP(C96,#REF!,#REF!),3,_xlfn.XLOOKUP(C96,#REF!,#REF!)),0)</f>
        <v>1</v>
      </c>
    </row>
    <row r="97" spans="1:20">
      <c r="A97">
        <f t="shared" si="11"/>
        <v>12</v>
      </c>
      <c r="B97">
        <v>6</v>
      </c>
      <c r="C97" t="s">
        <v>389</v>
      </c>
      <c r="D97" t="s">
        <v>22</v>
      </c>
      <c r="E97" t="s">
        <v>378</v>
      </c>
      <c r="G97">
        <v>1</v>
      </c>
      <c r="H97">
        <v>1000</v>
      </c>
      <c r="J97" cm="1">
        <f t="array" ref="J97">_xlfn.SWITCH(B97,1,75,2,61,3,49,4,37,5,25,6,13,7,4,8,1)</f>
        <v>13</v>
      </c>
      <c r="K97" t="str" cm="1">
        <f t="array" ref="K97">IFERROR(_xlfn.SWITCH(L97,2,_xlfn.XLOOKUP(C97,[1]ModifierDes!$B:$B,[1]ModifierDes!$C:$C),3,_xlfn.XLOOKUP(C97,[1]StuntDes!$B:$B,[1]StuntDes!$C:$C)),"")</f>
        <v/>
      </c>
      <c r="L97">
        <f t="shared" si="7"/>
        <v>1</v>
      </c>
      <c r="M97" s="10" t="str">
        <f>IFERROR(_xlfn.XLOOKUP(C97,[1]StuntDes!$B:$B,[1]StuntDes!$A:$A),"")</f>
        <v/>
      </c>
      <c r="N97" s="10" t="str">
        <f>IFERROR(_xlfn.XLOOKUP(C97,[1]ModifierDes!$B:$B,[1]ModifierDes!$A:$A),"")</f>
        <v/>
      </c>
      <c r="O97" s="10">
        <f>IFERROR(_xlfn.XLOOKUP(C97,[1]AttributeName!$C:$C,[1]AttributeName!$B:$B),"")</f>
        <v>10001</v>
      </c>
      <c r="P97" s="10"/>
      <c r="Q97">
        <v>121</v>
      </c>
      <c r="R97">
        <v>150</v>
      </c>
      <c r="S97" cm="1">
        <f t="array" ref="S97">IFERROR(_xlfn.SWITCH(L97,1,_xlfn.XLOOKUP(O97,[1]AttributeName!$B:$B,[1]AttributeName!$D:$D),2,_xlfn.XLOOKUP(C97,#REF!,#REF!),3,_xlfn.XLOOKUP(C97,#REF!,#REF!)),0)</f>
        <v>0</v>
      </c>
      <c r="T97" cm="1">
        <f t="array" ref="T97">IFERROR(_xlfn.SWITCH(L97,1,_xlfn.XLOOKUP(O97,[1]AttributeName!$B:$B,[1]AttributeName!$E:$E),2,_xlfn.XLOOKUP(C97,#REF!,#REF!),3,_xlfn.XLOOKUP(C97,#REF!,#REF!)),0)</f>
        <v>1</v>
      </c>
    </row>
    <row r="98" spans="1:20">
      <c r="A98">
        <f t="shared" si="11"/>
        <v>12</v>
      </c>
      <c r="B98">
        <v>7</v>
      </c>
      <c r="C98" t="s">
        <v>389</v>
      </c>
      <c r="D98" t="s">
        <v>22</v>
      </c>
      <c r="E98" t="s">
        <v>378</v>
      </c>
      <c r="G98">
        <v>1</v>
      </c>
      <c r="H98">
        <v>1000</v>
      </c>
      <c r="J98" cm="1">
        <f t="array" ref="J98">_xlfn.SWITCH(B98,1,75,2,61,3,49,4,37,5,25,6,13,7,4,8,1)</f>
        <v>4</v>
      </c>
      <c r="K98" t="str" cm="1">
        <f t="array" ref="K98">IFERROR(_xlfn.SWITCH(L98,2,_xlfn.XLOOKUP(C98,[1]ModifierDes!$B:$B,[1]ModifierDes!$C:$C),3,_xlfn.XLOOKUP(C98,[1]StuntDes!$B:$B,[1]StuntDes!$C:$C)),"")</f>
        <v/>
      </c>
      <c r="L98">
        <f t="shared" si="7"/>
        <v>1</v>
      </c>
      <c r="M98" s="10" t="str">
        <f>IFERROR(_xlfn.XLOOKUP(C98,[1]StuntDes!$B:$B,[1]StuntDes!$A:$A),"")</f>
        <v/>
      </c>
      <c r="N98" s="10" t="str">
        <f>IFERROR(_xlfn.XLOOKUP(C98,[1]ModifierDes!$B:$B,[1]ModifierDes!$A:$A),"")</f>
        <v/>
      </c>
      <c r="O98" s="10">
        <f>IFERROR(_xlfn.XLOOKUP(C98,[1]AttributeName!$C:$C,[1]AttributeName!$B:$B),"")</f>
        <v>10001</v>
      </c>
      <c r="P98" s="10"/>
      <c r="Q98">
        <v>91</v>
      </c>
      <c r="R98">
        <v>120</v>
      </c>
      <c r="S98" cm="1">
        <f t="array" ref="S98">IFERROR(_xlfn.SWITCH(L98,1,_xlfn.XLOOKUP(O98,[1]AttributeName!$B:$B,[1]AttributeName!$D:$D),2,_xlfn.XLOOKUP(C98,#REF!,#REF!),3,_xlfn.XLOOKUP(C98,#REF!,#REF!)),0)</f>
        <v>0</v>
      </c>
      <c r="T98" cm="1">
        <f t="array" ref="T98">IFERROR(_xlfn.SWITCH(L98,1,_xlfn.XLOOKUP(O98,[1]AttributeName!$B:$B,[1]AttributeName!$E:$E),2,_xlfn.XLOOKUP(C98,#REF!,#REF!),3,_xlfn.XLOOKUP(C98,#REF!,#REF!)),0)</f>
        <v>1</v>
      </c>
    </row>
    <row r="99" customFormat="1" spans="1:20">
      <c r="A99">
        <f t="shared" si="11"/>
        <v>12</v>
      </c>
      <c r="B99">
        <v>8</v>
      </c>
      <c r="C99" t="s">
        <v>389</v>
      </c>
      <c r="D99" t="s">
        <v>22</v>
      </c>
      <c r="E99" t="s">
        <v>378</v>
      </c>
      <c r="F99"/>
      <c r="G99">
        <v>1</v>
      </c>
      <c r="H99">
        <v>1000</v>
      </c>
      <c r="J99" cm="1">
        <f t="array" ref="J99">_xlfn.SWITCH(B99,1,75,2,61,3,49,4,37,5,25,6,13,7,4,8,1)</f>
        <v>1</v>
      </c>
      <c r="K99" t="str" cm="1">
        <f t="array" ref="K99">IFERROR(_xlfn.SWITCH(L99,2,_xlfn.XLOOKUP(C99,[1]ModifierDes!$B:$B,[1]ModifierDes!$C:$C),3,_xlfn.XLOOKUP(C99,[1]StuntDes!$B:$B,[1]StuntDes!$C:$C)),"")</f>
        <v/>
      </c>
      <c r="L99">
        <f t="shared" si="7"/>
        <v>1</v>
      </c>
      <c r="M99" s="10" t="str">
        <f>IFERROR(_xlfn.XLOOKUP(C99,[1]StuntDes!$B:$B,[1]StuntDes!$A:$A),"")</f>
        <v/>
      </c>
      <c r="N99" s="10" t="str">
        <f>IFERROR(_xlfn.XLOOKUP(C99,[1]ModifierDes!$B:$B,[1]ModifierDes!$A:$A),"")</f>
        <v/>
      </c>
      <c r="O99" s="10">
        <f>IFERROR(_xlfn.XLOOKUP(C99,[1]AttributeName!$C:$C,[1]AttributeName!$B:$B),"")</f>
        <v>10001</v>
      </c>
      <c r="P99" s="10"/>
      <c r="Q99">
        <v>61</v>
      </c>
      <c r="R99">
        <v>90</v>
      </c>
      <c r="S99" cm="1">
        <f t="array" ref="S99">IFERROR(_xlfn.SWITCH(L99,1,_xlfn.XLOOKUP(O99,[1]AttributeName!$B:$B,[1]AttributeName!$D:$D),2,_xlfn.XLOOKUP(C99,#REF!,#REF!),3,_xlfn.XLOOKUP(C99,#REF!,#REF!)),0)</f>
        <v>0</v>
      </c>
      <c r="T99" cm="1">
        <f t="array" ref="T99">IFERROR(_xlfn.SWITCH(L99,1,_xlfn.XLOOKUP(O99,[1]AttributeName!$B:$B,[1]AttributeName!$E:$E),2,_xlfn.XLOOKUP(C99,#REF!,#REF!),3,_xlfn.XLOOKUP(C99,#REF!,#REF!)),0)</f>
        <v>1</v>
      </c>
    </row>
    <row r="100" spans="1:20">
      <c r="A100">
        <f t="shared" si="11"/>
        <v>13</v>
      </c>
      <c r="B100">
        <v>1</v>
      </c>
      <c r="C100" t="s">
        <v>390</v>
      </c>
      <c r="D100" t="s">
        <v>22</v>
      </c>
      <c r="E100" t="s">
        <v>378</v>
      </c>
      <c r="G100">
        <v>1</v>
      </c>
      <c r="H100">
        <v>1000</v>
      </c>
      <c r="J100" cm="1">
        <f t="array" ref="J100">_xlfn.SWITCH(B100,1,75,2,61,3,49,4,37,5,25,6,13,7,4,8,1)</f>
        <v>75</v>
      </c>
      <c r="K100" t="str" cm="1">
        <f t="array" ref="K100">IFERROR(_xlfn.SWITCH(L100,2,_xlfn.XLOOKUP(C100,[1]ModifierDes!$B:$B,[1]ModifierDes!$C:$C),3,_xlfn.XLOOKUP(C100,[1]StuntDes!$B:$B,[1]StuntDes!$C:$C)),"")</f>
        <v/>
      </c>
      <c r="L100">
        <f t="shared" si="7"/>
        <v>1</v>
      </c>
      <c r="M100" s="10" t="str">
        <f>IFERROR(_xlfn.XLOOKUP(C100,[1]StuntDes!$B:$B,[1]StuntDes!$A:$A),"")</f>
        <v/>
      </c>
      <c r="N100" s="10" t="str">
        <f>IFERROR(_xlfn.XLOOKUP(C100,[1]ModifierDes!$B:$B,[1]ModifierDes!$A:$A),"")</f>
        <v/>
      </c>
      <c r="O100" s="10">
        <f>IFERROR(_xlfn.XLOOKUP(C100,[1]AttributeName!$C:$C,[1]AttributeName!$B:$B),"")</f>
        <v>10009</v>
      </c>
      <c r="P100" s="10"/>
      <c r="Q100">
        <v>0.36</v>
      </c>
      <c r="R100">
        <v>0.4</v>
      </c>
      <c r="S100" cm="1">
        <f t="array" ref="S100">IFERROR(_xlfn.SWITCH(L100,1,_xlfn.XLOOKUP(O100,[1]AttributeName!$B:$B,[1]AttributeName!$D:$D),2,_xlfn.XLOOKUP(C100,#REF!,#REF!),3,_xlfn.XLOOKUP(C100,#REF!,#REF!)),0)</f>
        <v>2</v>
      </c>
      <c r="T100" cm="1">
        <f t="array" ref="T100">IFERROR(_xlfn.SWITCH(L100,1,_xlfn.XLOOKUP(O100,[1]AttributeName!$B:$B,[1]AttributeName!$E:$E),2,_xlfn.XLOOKUP(C100,#REF!,#REF!),3,_xlfn.XLOOKUP(C100,#REF!,#REF!)),0)</f>
        <v>2</v>
      </c>
    </row>
    <row r="101" spans="1:20">
      <c r="A101">
        <f t="shared" si="11"/>
        <v>13</v>
      </c>
      <c r="B101">
        <v>2</v>
      </c>
      <c r="C101" t="s">
        <v>390</v>
      </c>
      <c r="D101" t="s">
        <v>22</v>
      </c>
      <c r="E101" t="s">
        <v>378</v>
      </c>
      <c r="G101">
        <v>1</v>
      </c>
      <c r="H101">
        <v>1000</v>
      </c>
      <c r="J101" cm="1">
        <f t="array" ref="J101">_xlfn.SWITCH(B101,1,75,2,61,3,49,4,37,5,25,6,13,7,4,8,1)</f>
        <v>61</v>
      </c>
      <c r="K101" t="str" cm="1">
        <f t="array" ref="K101">IFERROR(_xlfn.SWITCH(L101,2,_xlfn.XLOOKUP(C101,[1]ModifierDes!$B:$B,[1]ModifierDes!$C:$C),3,_xlfn.XLOOKUP(C101,[1]StuntDes!$B:$B,[1]StuntDes!$C:$C)),"")</f>
        <v/>
      </c>
      <c r="L101">
        <f t="shared" si="7"/>
        <v>1</v>
      </c>
      <c r="M101" s="10" t="str">
        <f>IFERROR(_xlfn.XLOOKUP(C101,[1]StuntDes!$B:$B,[1]StuntDes!$A:$A),"")</f>
        <v/>
      </c>
      <c r="N101" s="10" t="str">
        <f>IFERROR(_xlfn.XLOOKUP(C101,[1]ModifierDes!$B:$B,[1]ModifierDes!$A:$A),"")</f>
        <v/>
      </c>
      <c r="O101" s="10">
        <f>IFERROR(_xlfn.XLOOKUP(C101,[1]AttributeName!$C:$C,[1]AttributeName!$B:$B),"")</f>
        <v>10009</v>
      </c>
      <c r="P101" s="10"/>
      <c r="Q101">
        <v>0.31</v>
      </c>
      <c r="R101">
        <v>0.35</v>
      </c>
      <c r="S101" cm="1">
        <f t="array" ref="S101">IFERROR(_xlfn.SWITCH(L101,1,_xlfn.XLOOKUP(O101,[1]AttributeName!$B:$B,[1]AttributeName!$D:$D),2,_xlfn.XLOOKUP(C101,#REF!,#REF!),3,_xlfn.XLOOKUP(C101,#REF!,#REF!)),0)</f>
        <v>2</v>
      </c>
      <c r="T101" cm="1">
        <f t="array" ref="T101">IFERROR(_xlfn.SWITCH(L101,1,_xlfn.XLOOKUP(O101,[1]AttributeName!$B:$B,[1]AttributeName!$E:$E),2,_xlfn.XLOOKUP(C101,#REF!,#REF!),3,_xlfn.XLOOKUP(C101,#REF!,#REF!)),0)</f>
        <v>2</v>
      </c>
    </row>
    <row r="102" spans="1:20">
      <c r="A102">
        <f t="shared" si="11"/>
        <v>13</v>
      </c>
      <c r="B102">
        <v>3</v>
      </c>
      <c r="C102" t="s">
        <v>390</v>
      </c>
      <c r="D102" t="s">
        <v>22</v>
      </c>
      <c r="E102" t="s">
        <v>378</v>
      </c>
      <c r="G102">
        <v>1</v>
      </c>
      <c r="H102">
        <v>1000</v>
      </c>
      <c r="J102" cm="1">
        <f t="array" ref="J102">_xlfn.SWITCH(B102,1,75,2,61,3,49,4,37,5,25,6,13,7,4,8,1)</f>
        <v>49</v>
      </c>
      <c r="K102" t="str" cm="1">
        <f t="array" ref="K102">IFERROR(_xlfn.SWITCH(L102,2,_xlfn.XLOOKUP(C102,[1]ModifierDes!$B:$B,[1]ModifierDes!$C:$C),3,_xlfn.XLOOKUP(C102,[1]StuntDes!$B:$B,[1]StuntDes!$C:$C)),"")</f>
        <v/>
      </c>
      <c r="L102">
        <f t="shared" si="7"/>
        <v>1</v>
      </c>
      <c r="M102" s="10" t="str">
        <f>IFERROR(_xlfn.XLOOKUP(C102,[1]StuntDes!$B:$B,[1]StuntDes!$A:$A),"")</f>
        <v/>
      </c>
      <c r="N102" s="10" t="str">
        <f>IFERROR(_xlfn.XLOOKUP(C102,[1]ModifierDes!$B:$B,[1]ModifierDes!$A:$A),"")</f>
        <v/>
      </c>
      <c r="O102" s="10">
        <f>IFERROR(_xlfn.XLOOKUP(C102,[1]AttributeName!$C:$C,[1]AttributeName!$B:$B),"")</f>
        <v>10009</v>
      </c>
      <c r="P102" s="10"/>
      <c r="Q102">
        <v>0.26</v>
      </c>
      <c r="R102">
        <v>0.3</v>
      </c>
      <c r="S102" cm="1">
        <f t="array" ref="S102">IFERROR(_xlfn.SWITCH(L102,1,_xlfn.XLOOKUP(O102,[1]AttributeName!$B:$B,[1]AttributeName!$D:$D),2,_xlfn.XLOOKUP(C102,#REF!,#REF!),3,_xlfn.XLOOKUP(C102,#REF!,#REF!)),0)</f>
        <v>2</v>
      </c>
      <c r="T102" cm="1">
        <f t="array" ref="T102">IFERROR(_xlfn.SWITCH(L102,1,_xlfn.XLOOKUP(O102,[1]AttributeName!$B:$B,[1]AttributeName!$E:$E),2,_xlfn.XLOOKUP(C102,#REF!,#REF!),3,_xlfn.XLOOKUP(C102,#REF!,#REF!)),0)</f>
        <v>2</v>
      </c>
    </row>
    <row r="103" spans="1:20">
      <c r="A103">
        <f t="shared" si="11"/>
        <v>13</v>
      </c>
      <c r="B103">
        <v>4</v>
      </c>
      <c r="C103" t="s">
        <v>390</v>
      </c>
      <c r="D103" t="s">
        <v>22</v>
      </c>
      <c r="E103" t="s">
        <v>378</v>
      </c>
      <c r="G103">
        <v>1</v>
      </c>
      <c r="H103">
        <v>1000</v>
      </c>
      <c r="J103" cm="1">
        <f t="array" ref="J103">_xlfn.SWITCH(B103,1,75,2,61,3,49,4,37,5,25,6,13,7,4,8,1)</f>
        <v>37</v>
      </c>
      <c r="K103" t="str" cm="1">
        <f t="array" ref="K103">IFERROR(_xlfn.SWITCH(L103,2,_xlfn.XLOOKUP(C103,[1]ModifierDes!$B:$B,[1]ModifierDes!$C:$C),3,_xlfn.XLOOKUP(C103,[1]StuntDes!$B:$B,[1]StuntDes!$C:$C)),"")</f>
        <v/>
      </c>
      <c r="L103">
        <f t="shared" si="7"/>
        <v>1</v>
      </c>
      <c r="M103" s="10" t="str">
        <f>IFERROR(_xlfn.XLOOKUP(C103,[1]StuntDes!$B:$B,[1]StuntDes!$A:$A),"")</f>
        <v/>
      </c>
      <c r="N103" s="10" t="str">
        <f>IFERROR(_xlfn.XLOOKUP(C103,[1]ModifierDes!$B:$B,[1]ModifierDes!$A:$A),"")</f>
        <v/>
      </c>
      <c r="O103" s="10">
        <f>IFERROR(_xlfn.XLOOKUP(C103,[1]AttributeName!$C:$C,[1]AttributeName!$B:$B),"")</f>
        <v>10009</v>
      </c>
      <c r="P103" s="10"/>
      <c r="Q103">
        <v>0.21</v>
      </c>
      <c r="R103">
        <v>0.25</v>
      </c>
      <c r="S103" cm="1">
        <f t="array" ref="S103">IFERROR(_xlfn.SWITCH(L103,1,_xlfn.XLOOKUP(O103,[1]AttributeName!$B:$B,[1]AttributeName!$D:$D),2,_xlfn.XLOOKUP(C103,#REF!,#REF!),3,_xlfn.XLOOKUP(C103,#REF!,#REF!)),0)</f>
        <v>2</v>
      </c>
      <c r="T103" cm="1">
        <f t="array" ref="T103">IFERROR(_xlfn.SWITCH(L103,1,_xlfn.XLOOKUP(O103,[1]AttributeName!$B:$B,[1]AttributeName!$E:$E),2,_xlfn.XLOOKUP(C103,#REF!,#REF!),3,_xlfn.XLOOKUP(C103,#REF!,#REF!)),0)</f>
        <v>2</v>
      </c>
    </row>
    <row r="104" spans="1:20">
      <c r="A104">
        <f t="shared" si="11"/>
        <v>13</v>
      </c>
      <c r="B104">
        <v>5</v>
      </c>
      <c r="C104" t="s">
        <v>390</v>
      </c>
      <c r="D104" t="s">
        <v>22</v>
      </c>
      <c r="E104" t="s">
        <v>378</v>
      </c>
      <c r="G104">
        <v>1</v>
      </c>
      <c r="H104">
        <v>1000</v>
      </c>
      <c r="J104" cm="1">
        <f t="array" ref="J104">_xlfn.SWITCH(B104,1,75,2,61,3,49,4,37,5,25,6,13,7,4,8,1)</f>
        <v>25</v>
      </c>
      <c r="K104" t="str" cm="1">
        <f t="array" ref="K104">IFERROR(_xlfn.SWITCH(L104,2,_xlfn.XLOOKUP(C104,[1]ModifierDes!$B:$B,[1]ModifierDes!$C:$C),3,_xlfn.XLOOKUP(C104,[1]StuntDes!$B:$B,[1]StuntDes!$C:$C)),"")</f>
        <v/>
      </c>
      <c r="L104">
        <f t="shared" si="7"/>
        <v>1</v>
      </c>
      <c r="M104" s="10" t="str">
        <f>IFERROR(_xlfn.XLOOKUP(C104,[1]StuntDes!$B:$B,[1]StuntDes!$A:$A),"")</f>
        <v/>
      </c>
      <c r="N104" s="10" t="str">
        <f>IFERROR(_xlfn.XLOOKUP(C104,[1]ModifierDes!$B:$B,[1]ModifierDes!$A:$A),"")</f>
        <v/>
      </c>
      <c r="O104" s="10">
        <f>IFERROR(_xlfn.XLOOKUP(C104,[1]AttributeName!$C:$C,[1]AttributeName!$B:$B),"")</f>
        <v>10009</v>
      </c>
      <c r="P104" s="10"/>
      <c r="Q104">
        <v>0.16</v>
      </c>
      <c r="R104">
        <v>0.2</v>
      </c>
      <c r="S104" cm="1">
        <f t="array" ref="S104">IFERROR(_xlfn.SWITCH(L104,1,_xlfn.XLOOKUP(O104,[1]AttributeName!$B:$B,[1]AttributeName!$D:$D),2,_xlfn.XLOOKUP(C104,#REF!,#REF!),3,_xlfn.XLOOKUP(C104,#REF!,#REF!)),0)</f>
        <v>2</v>
      </c>
      <c r="T104" cm="1">
        <f t="array" ref="T104">IFERROR(_xlfn.SWITCH(L104,1,_xlfn.XLOOKUP(O104,[1]AttributeName!$B:$B,[1]AttributeName!$E:$E),2,_xlfn.XLOOKUP(C104,#REF!,#REF!),3,_xlfn.XLOOKUP(C104,#REF!,#REF!)),0)</f>
        <v>2</v>
      </c>
    </row>
    <row r="105" spans="1:20">
      <c r="A105">
        <f t="shared" si="11"/>
        <v>13</v>
      </c>
      <c r="B105">
        <v>6</v>
      </c>
      <c r="C105" t="s">
        <v>390</v>
      </c>
      <c r="D105" t="s">
        <v>22</v>
      </c>
      <c r="E105" t="s">
        <v>378</v>
      </c>
      <c r="G105">
        <v>1</v>
      </c>
      <c r="H105">
        <v>1000</v>
      </c>
      <c r="J105" cm="1">
        <f t="array" ref="J105">_xlfn.SWITCH(B105,1,75,2,61,3,49,4,37,5,25,6,13,7,4,8,1)</f>
        <v>13</v>
      </c>
      <c r="K105" t="str" cm="1">
        <f t="array" ref="K105">IFERROR(_xlfn.SWITCH(L105,2,_xlfn.XLOOKUP(C105,[1]ModifierDes!$B:$B,[1]ModifierDes!$C:$C),3,_xlfn.XLOOKUP(C105,[1]StuntDes!$B:$B,[1]StuntDes!$C:$C)),"")</f>
        <v/>
      </c>
      <c r="L105">
        <f t="shared" si="7"/>
        <v>1</v>
      </c>
      <c r="M105" s="10" t="str">
        <f>IFERROR(_xlfn.XLOOKUP(C105,[1]StuntDes!$B:$B,[1]StuntDes!$A:$A),"")</f>
        <v/>
      </c>
      <c r="N105" s="10" t="str">
        <f>IFERROR(_xlfn.XLOOKUP(C105,[1]ModifierDes!$B:$B,[1]ModifierDes!$A:$A),"")</f>
        <v/>
      </c>
      <c r="O105" s="10">
        <f>IFERROR(_xlfn.XLOOKUP(C105,[1]AttributeName!$C:$C,[1]AttributeName!$B:$B),"")</f>
        <v>10009</v>
      </c>
      <c r="P105" s="10"/>
      <c r="Q105">
        <v>0.11</v>
      </c>
      <c r="R105">
        <v>0.15</v>
      </c>
      <c r="S105" cm="1">
        <f t="array" ref="S105">IFERROR(_xlfn.SWITCH(L105,1,_xlfn.XLOOKUP(O105,[1]AttributeName!$B:$B,[1]AttributeName!$D:$D),2,_xlfn.XLOOKUP(C105,#REF!,#REF!),3,_xlfn.XLOOKUP(C105,#REF!,#REF!)),0)</f>
        <v>2</v>
      </c>
      <c r="T105" cm="1">
        <f t="array" ref="T105">IFERROR(_xlfn.SWITCH(L105,1,_xlfn.XLOOKUP(O105,[1]AttributeName!$B:$B,[1]AttributeName!$E:$E),2,_xlfn.XLOOKUP(C105,#REF!,#REF!),3,_xlfn.XLOOKUP(C105,#REF!,#REF!)),0)</f>
        <v>2</v>
      </c>
    </row>
    <row r="106" spans="1:20">
      <c r="A106">
        <f t="shared" si="11"/>
        <v>13</v>
      </c>
      <c r="B106">
        <v>7</v>
      </c>
      <c r="C106" t="s">
        <v>390</v>
      </c>
      <c r="D106" t="s">
        <v>22</v>
      </c>
      <c r="E106" t="s">
        <v>378</v>
      </c>
      <c r="G106">
        <v>1</v>
      </c>
      <c r="H106">
        <v>1000</v>
      </c>
      <c r="J106" cm="1">
        <f t="array" ref="J106">_xlfn.SWITCH(B106,1,75,2,61,3,49,4,37,5,25,6,13,7,4,8,1)</f>
        <v>4</v>
      </c>
      <c r="K106" t="str" cm="1">
        <f t="array" ref="K106">IFERROR(_xlfn.SWITCH(L106,2,_xlfn.XLOOKUP(C106,[1]ModifierDes!$B:$B,[1]ModifierDes!$C:$C),3,_xlfn.XLOOKUP(C106,[1]StuntDes!$B:$B,[1]StuntDes!$C:$C)),"")</f>
        <v/>
      </c>
      <c r="L106">
        <f t="shared" si="7"/>
        <v>1</v>
      </c>
      <c r="M106" s="10" t="str">
        <f>IFERROR(_xlfn.XLOOKUP(C106,[1]StuntDes!$B:$B,[1]StuntDes!$A:$A),"")</f>
        <v/>
      </c>
      <c r="N106" s="10" t="str">
        <f>IFERROR(_xlfn.XLOOKUP(C106,[1]ModifierDes!$B:$B,[1]ModifierDes!$A:$A),"")</f>
        <v/>
      </c>
      <c r="O106" s="10">
        <f>IFERROR(_xlfn.XLOOKUP(C106,[1]AttributeName!$C:$C,[1]AttributeName!$B:$B),"")</f>
        <v>10009</v>
      </c>
      <c r="P106" s="10"/>
      <c r="Q106">
        <v>0.05</v>
      </c>
      <c r="R106">
        <v>0.1</v>
      </c>
      <c r="S106" cm="1">
        <f t="array" ref="S106">IFERROR(_xlfn.SWITCH(L106,1,_xlfn.XLOOKUP(O106,[1]AttributeName!$B:$B,[1]AttributeName!$D:$D),2,_xlfn.XLOOKUP(C106,#REF!,#REF!),3,_xlfn.XLOOKUP(C106,#REF!,#REF!)),0)</f>
        <v>2</v>
      </c>
      <c r="T106" cm="1">
        <f t="array" ref="T106">IFERROR(_xlfn.SWITCH(L106,1,_xlfn.XLOOKUP(O106,[1]AttributeName!$B:$B,[1]AttributeName!$E:$E),2,_xlfn.XLOOKUP(C106,#REF!,#REF!),3,_xlfn.XLOOKUP(C106,#REF!,#REF!)),0)</f>
        <v>2</v>
      </c>
    </row>
    <row r="107" customFormat="1" spans="1:20">
      <c r="A107">
        <f t="shared" si="11"/>
        <v>13</v>
      </c>
      <c r="B107">
        <v>8</v>
      </c>
      <c r="C107" t="s">
        <v>390</v>
      </c>
      <c r="D107" t="s">
        <v>22</v>
      </c>
      <c r="E107" t="s">
        <v>378</v>
      </c>
      <c r="F107"/>
      <c r="G107">
        <v>1</v>
      </c>
      <c r="H107">
        <v>1000</v>
      </c>
      <c r="J107" cm="1">
        <f t="array" ref="J107">_xlfn.SWITCH(B107,1,75,2,61,3,49,4,37,5,25,6,13,7,4,8,1)</f>
        <v>1</v>
      </c>
      <c r="K107" t="str" cm="1">
        <f t="array" ref="K107">IFERROR(_xlfn.SWITCH(L107,2,_xlfn.XLOOKUP(C107,[1]ModifierDes!$B:$B,[1]ModifierDes!$C:$C),3,_xlfn.XLOOKUP(C107,[1]StuntDes!$B:$B,[1]StuntDes!$C:$C)),"")</f>
        <v/>
      </c>
      <c r="L107">
        <f t="shared" si="7"/>
        <v>1</v>
      </c>
      <c r="M107" s="10" t="str">
        <f>IFERROR(_xlfn.XLOOKUP(C107,[1]StuntDes!$B:$B,[1]StuntDes!$A:$A),"")</f>
        <v/>
      </c>
      <c r="N107" s="10" t="str">
        <f>IFERROR(_xlfn.XLOOKUP(C107,[1]ModifierDes!$B:$B,[1]ModifierDes!$A:$A),"")</f>
        <v/>
      </c>
      <c r="O107" s="10">
        <f>IFERROR(_xlfn.XLOOKUP(C107,[1]AttributeName!$C:$C,[1]AttributeName!$B:$B),"")</f>
        <v>10009</v>
      </c>
      <c r="P107" s="10"/>
      <c r="Q107">
        <v>0.03</v>
      </c>
      <c r="R107">
        <v>0.04</v>
      </c>
      <c r="S107" cm="1">
        <f t="array" ref="S107">IFERROR(_xlfn.SWITCH(L107,1,_xlfn.XLOOKUP(O107,[1]AttributeName!$B:$B,[1]AttributeName!$D:$D),2,_xlfn.XLOOKUP(C107,#REF!,#REF!),3,_xlfn.XLOOKUP(C107,#REF!,#REF!)),0)</f>
        <v>2</v>
      </c>
      <c r="T107" cm="1">
        <f t="array" ref="T107">IFERROR(_xlfn.SWITCH(L107,1,_xlfn.XLOOKUP(O107,[1]AttributeName!$B:$B,[1]AttributeName!$E:$E),2,_xlfn.XLOOKUP(C107,#REF!,#REF!),3,_xlfn.XLOOKUP(C107,#REF!,#REF!)),0)</f>
        <v>2</v>
      </c>
    </row>
    <row r="108" customFormat="1" spans="1:20">
      <c r="A108">
        <v>51</v>
      </c>
      <c r="B108">
        <v>1</v>
      </c>
      <c r="C108" t="s">
        <v>391</v>
      </c>
      <c r="D108" t="s">
        <v>22</v>
      </c>
      <c r="E108" s="13" t="s">
        <v>392</v>
      </c>
      <c r="F108"/>
      <c r="G108">
        <v>2</v>
      </c>
      <c r="H108">
        <v>1000</v>
      </c>
      <c r="J108" cm="1">
        <f t="array" ref="J108">_xlfn.SWITCH(B108,1,75,2,61,3,49,4,37,5,25,6,13,7,4,8,1)</f>
        <v>75</v>
      </c>
      <c r="K108" t="str" cm="1">
        <f t="array" ref="K108">IFERROR(_xlfn.SWITCH(L108,2,_xlfn.XLOOKUP(C108,[1]ModifierDes!$B:$B,[1]ModifierDes!$C:$C),3,_xlfn.XLOOKUP(C108,[1]StuntDes!$B:$B,[1]StuntDes!$C:$C)),"")</f>
        <v>魔力回复率提高{0}</v>
      </c>
      <c r="L108">
        <f t="shared" si="7"/>
        <v>2</v>
      </c>
      <c r="M108" s="10" t="str">
        <f>IFERROR(_xlfn.XLOOKUP(C108,[1]StuntDes!$B:$B,[1]StuntDes!$A:$A),"")</f>
        <v/>
      </c>
      <c r="N108" s="10">
        <f>IFERROR(_xlfn.XLOOKUP(C108,[1]ModifierDes!$B:$B,[1]ModifierDes!$A:$A),"")</f>
        <v>10116</v>
      </c>
      <c r="O108" s="10" t="str">
        <f>IFERROR(_xlfn.XLOOKUP(C108,[1]AttributeName!$C:$C,[1]AttributeName!$B:$B),"")</f>
        <v/>
      </c>
      <c r="P108" s="10"/>
      <c r="Q108">
        <v>0.36</v>
      </c>
      <c r="R108">
        <v>0.4</v>
      </c>
      <c r="S108" cm="1">
        <f t="array" ref="S108">IFERROR(_xlfn.SWITCH(L108,1,_xlfn.XLOOKUP(O108,[1]AttributeName!$B:$B,[1]AttributeName!$D:$D),2,_xlfn.XLOOKUP(C108,#REF!,#REF!),3,_xlfn.XLOOKUP(C108,#REF!,#REF!)),0)</f>
        <v>0</v>
      </c>
      <c r="T108" cm="1">
        <f t="array" ref="T108">IFERROR(_xlfn.SWITCH(L108,1,_xlfn.XLOOKUP(O108,[1]AttributeName!$B:$B,[1]AttributeName!$E:$E),2,_xlfn.XLOOKUP(C108,#REF!,#REF!),3,_xlfn.XLOOKUP(C108,#REF!,#REF!)),0)</f>
        <v>0</v>
      </c>
    </row>
    <row r="109" customFormat="1" spans="1:20">
      <c r="A109">
        <v>51</v>
      </c>
      <c r="B109">
        <v>2</v>
      </c>
      <c r="C109" t="s">
        <v>391</v>
      </c>
      <c r="D109" t="s">
        <v>22</v>
      </c>
      <c r="E109" s="13" t="s">
        <v>392</v>
      </c>
      <c r="F109"/>
      <c r="G109">
        <v>2</v>
      </c>
      <c r="H109">
        <v>1000</v>
      </c>
      <c r="J109" cm="1">
        <f t="array" ref="J109">_xlfn.SWITCH(B109,1,75,2,61,3,49,4,37,5,25,6,13,7,4,8,1)</f>
        <v>61</v>
      </c>
      <c r="K109" t="str" cm="1">
        <f t="array" ref="K109">IFERROR(_xlfn.SWITCH(L109,2,_xlfn.XLOOKUP(C109,[1]ModifierDes!$B:$B,[1]ModifierDes!$C:$C),3,_xlfn.XLOOKUP(C109,[1]StuntDes!$B:$B,[1]StuntDes!$C:$C)),"")</f>
        <v>魔力回复率提高{0}</v>
      </c>
      <c r="L109">
        <f t="shared" si="7"/>
        <v>2</v>
      </c>
      <c r="M109" s="10" t="str">
        <f>IFERROR(_xlfn.XLOOKUP(C109,[1]StuntDes!$B:$B,[1]StuntDes!$A:$A),"")</f>
        <v/>
      </c>
      <c r="N109" s="10">
        <f>IFERROR(_xlfn.XLOOKUP(C109,[1]ModifierDes!$B:$B,[1]ModifierDes!$A:$A),"")</f>
        <v>10116</v>
      </c>
      <c r="O109" s="10" t="str">
        <f>IFERROR(_xlfn.XLOOKUP(C109,[1]AttributeName!$C:$C,[1]AttributeName!$B:$B),"")</f>
        <v/>
      </c>
      <c r="P109" s="10"/>
      <c r="Q109">
        <v>0.31</v>
      </c>
      <c r="R109">
        <v>0.35</v>
      </c>
      <c r="S109" cm="1">
        <f t="array" ref="S109">IFERROR(_xlfn.SWITCH(L109,1,_xlfn.XLOOKUP(O109,[1]AttributeName!$B:$B,[1]AttributeName!$D:$D),2,_xlfn.XLOOKUP(C109,#REF!,#REF!),3,_xlfn.XLOOKUP(C109,#REF!,#REF!)),0)</f>
        <v>0</v>
      </c>
      <c r="T109" cm="1">
        <f t="array" ref="T109">IFERROR(_xlfn.SWITCH(L109,1,_xlfn.XLOOKUP(O109,[1]AttributeName!$B:$B,[1]AttributeName!$E:$E),2,_xlfn.XLOOKUP(C109,#REF!,#REF!),3,_xlfn.XLOOKUP(C109,#REF!,#REF!)),0)</f>
        <v>0</v>
      </c>
    </row>
    <row r="110" customFormat="1" spans="1:20">
      <c r="A110">
        <v>51</v>
      </c>
      <c r="B110">
        <v>3</v>
      </c>
      <c r="C110" t="s">
        <v>391</v>
      </c>
      <c r="D110" t="s">
        <v>22</v>
      </c>
      <c r="E110" s="13" t="s">
        <v>392</v>
      </c>
      <c r="F110"/>
      <c r="G110">
        <v>2</v>
      </c>
      <c r="H110">
        <v>1000</v>
      </c>
      <c r="J110" cm="1">
        <f t="array" ref="J110">_xlfn.SWITCH(B110,1,75,2,61,3,49,4,37,5,25,6,13,7,4,8,1)</f>
        <v>49</v>
      </c>
      <c r="K110" t="str" cm="1">
        <f t="array" ref="K110">IFERROR(_xlfn.SWITCH(L110,2,_xlfn.XLOOKUP(C110,[1]ModifierDes!$B:$B,[1]ModifierDes!$C:$C),3,_xlfn.XLOOKUP(C110,[1]StuntDes!$B:$B,[1]StuntDes!$C:$C)),"")</f>
        <v>魔力回复率提高{0}</v>
      </c>
      <c r="L110">
        <f t="shared" si="7"/>
        <v>2</v>
      </c>
      <c r="M110" s="10" t="str">
        <f>IFERROR(_xlfn.XLOOKUP(C110,[1]StuntDes!$B:$B,[1]StuntDes!$A:$A),"")</f>
        <v/>
      </c>
      <c r="N110" s="10">
        <f>IFERROR(_xlfn.XLOOKUP(C110,[1]ModifierDes!$B:$B,[1]ModifierDes!$A:$A),"")</f>
        <v>10116</v>
      </c>
      <c r="O110" s="10" t="str">
        <f>IFERROR(_xlfn.XLOOKUP(C110,[1]AttributeName!$C:$C,[1]AttributeName!$B:$B),"")</f>
        <v/>
      </c>
      <c r="P110" s="10"/>
      <c r="Q110">
        <v>0.26</v>
      </c>
      <c r="R110">
        <v>0.3</v>
      </c>
      <c r="S110" cm="1">
        <f t="array" ref="S110">IFERROR(_xlfn.SWITCH(L110,1,_xlfn.XLOOKUP(O110,[1]AttributeName!$B:$B,[1]AttributeName!$D:$D),2,_xlfn.XLOOKUP(C110,#REF!,#REF!),3,_xlfn.XLOOKUP(C110,#REF!,#REF!)),0)</f>
        <v>0</v>
      </c>
      <c r="T110" cm="1">
        <f t="array" ref="T110">IFERROR(_xlfn.SWITCH(L110,1,_xlfn.XLOOKUP(O110,[1]AttributeName!$B:$B,[1]AttributeName!$E:$E),2,_xlfn.XLOOKUP(C110,#REF!,#REF!),3,_xlfn.XLOOKUP(C110,#REF!,#REF!)),0)</f>
        <v>0</v>
      </c>
    </row>
    <row r="111" customFormat="1" spans="1:20">
      <c r="A111">
        <v>51</v>
      </c>
      <c r="B111">
        <v>4</v>
      </c>
      <c r="C111" t="s">
        <v>391</v>
      </c>
      <c r="D111" t="s">
        <v>22</v>
      </c>
      <c r="E111" s="13" t="s">
        <v>392</v>
      </c>
      <c r="F111"/>
      <c r="G111">
        <v>2</v>
      </c>
      <c r="H111">
        <v>1000</v>
      </c>
      <c r="J111" cm="1">
        <f t="array" ref="J111">_xlfn.SWITCH(B111,1,75,2,61,3,49,4,37,5,25,6,13,7,4,8,1)</f>
        <v>37</v>
      </c>
      <c r="K111" t="str" cm="1">
        <f t="array" ref="K111">IFERROR(_xlfn.SWITCH(L111,2,_xlfn.XLOOKUP(C111,[1]ModifierDes!$B:$B,[1]ModifierDes!$C:$C),3,_xlfn.XLOOKUP(C111,[1]StuntDes!$B:$B,[1]StuntDes!$C:$C)),"")</f>
        <v>魔力回复率提高{0}</v>
      </c>
      <c r="L111">
        <f t="shared" si="7"/>
        <v>2</v>
      </c>
      <c r="M111" s="10" t="str">
        <f>IFERROR(_xlfn.XLOOKUP(C111,[1]StuntDes!$B:$B,[1]StuntDes!$A:$A),"")</f>
        <v/>
      </c>
      <c r="N111" s="10">
        <f>IFERROR(_xlfn.XLOOKUP(C111,[1]ModifierDes!$B:$B,[1]ModifierDes!$A:$A),"")</f>
        <v>10116</v>
      </c>
      <c r="O111" s="10" t="str">
        <f>IFERROR(_xlfn.XLOOKUP(C111,[1]AttributeName!$C:$C,[1]AttributeName!$B:$B),"")</f>
        <v/>
      </c>
      <c r="P111" s="10"/>
      <c r="Q111">
        <v>0.21</v>
      </c>
      <c r="R111">
        <v>0.25</v>
      </c>
      <c r="S111" cm="1">
        <f t="array" ref="S111">IFERROR(_xlfn.SWITCH(L111,1,_xlfn.XLOOKUP(O111,[1]AttributeName!$B:$B,[1]AttributeName!$D:$D),2,_xlfn.XLOOKUP(C111,#REF!,#REF!),3,_xlfn.XLOOKUP(C111,#REF!,#REF!)),0)</f>
        <v>0</v>
      </c>
      <c r="T111" cm="1">
        <f t="array" ref="T111">IFERROR(_xlfn.SWITCH(L111,1,_xlfn.XLOOKUP(O111,[1]AttributeName!$B:$B,[1]AttributeName!$E:$E),2,_xlfn.XLOOKUP(C111,#REF!,#REF!),3,_xlfn.XLOOKUP(C111,#REF!,#REF!)),0)</f>
        <v>0</v>
      </c>
    </row>
    <row r="112" customFormat="1" spans="1:20">
      <c r="A112">
        <v>51</v>
      </c>
      <c r="B112">
        <v>5</v>
      </c>
      <c r="C112" t="s">
        <v>391</v>
      </c>
      <c r="D112" t="s">
        <v>22</v>
      </c>
      <c r="E112" s="13" t="s">
        <v>392</v>
      </c>
      <c r="F112"/>
      <c r="G112">
        <v>2</v>
      </c>
      <c r="H112">
        <v>1000</v>
      </c>
      <c r="J112" cm="1">
        <f t="array" ref="J112">_xlfn.SWITCH(B112,1,75,2,61,3,49,4,37,5,25,6,13,7,4,8,1)</f>
        <v>25</v>
      </c>
      <c r="K112" t="str" cm="1">
        <f t="array" ref="K112">IFERROR(_xlfn.SWITCH(L112,2,_xlfn.XLOOKUP(C112,[1]ModifierDes!$B:$B,[1]ModifierDes!$C:$C),3,_xlfn.XLOOKUP(C112,[1]StuntDes!$B:$B,[1]StuntDes!$C:$C)),"")</f>
        <v>魔力回复率提高{0}</v>
      </c>
      <c r="L112">
        <f t="shared" si="7"/>
        <v>2</v>
      </c>
      <c r="M112" s="10" t="str">
        <f>IFERROR(_xlfn.XLOOKUP(C112,[1]StuntDes!$B:$B,[1]StuntDes!$A:$A),"")</f>
        <v/>
      </c>
      <c r="N112" s="10">
        <f>IFERROR(_xlfn.XLOOKUP(C112,[1]ModifierDes!$B:$B,[1]ModifierDes!$A:$A),"")</f>
        <v>10116</v>
      </c>
      <c r="O112" s="10" t="str">
        <f>IFERROR(_xlfn.XLOOKUP(C112,[1]AttributeName!$C:$C,[1]AttributeName!$B:$B),"")</f>
        <v/>
      </c>
      <c r="P112" s="10"/>
      <c r="Q112">
        <v>0.16</v>
      </c>
      <c r="R112">
        <v>0.2</v>
      </c>
      <c r="S112" cm="1">
        <f t="array" ref="S112">IFERROR(_xlfn.SWITCH(L112,1,_xlfn.XLOOKUP(O112,[1]AttributeName!$B:$B,[1]AttributeName!$D:$D),2,_xlfn.XLOOKUP(C112,#REF!,#REF!),3,_xlfn.XLOOKUP(C112,#REF!,#REF!)),0)</f>
        <v>0</v>
      </c>
      <c r="T112" cm="1">
        <f t="array" ref="T112">IFERROR(_xlfn.SWITCH(L112,1,_xlfn.XLOOKUP(O112,[1]AttributeName!$B:$B,[1]AttributeName!$E:$E),2,_xlfn.XLOOKUP(C112,#REF!,#REF!),3,_xlfn.XLOOKUP(C112,#REF!,#REF!)),0)</f>
        <v>0</v>
      </c>
    </row>
    <row r="113" customFormat="1" spans="1:20">
      <c r="A113">
        <v>51</v>
      </c>
      <c r="B113">
        <v>6</v>
      </c>
      <c r="C113" t="s">
        <v>391</v>
      </c>
      <c r="D113" t="s">
        <v>22</v>
      </c>
      <c r="E113" s="13" t="s">
        <v>392</v>
      </c>
      <c r="F113"/>
      <c r="G113">
        <v>2</v>
      </c>
      <c r="H113">
        <v>1000</v>
      </c>
      <c r="J113" cm="1">
        <f t="array" ref="J113">_xlfn.SWITCH(B113,1,75,2,61,3,49,4,37,5,25,6,13,7,4,8,1)</f>
        <v>13</v>
      </c>
      <c r="K113" t="str" cm="1">
        <f t="array" ref="K113">IFERROR(_xlfn.SWITCH(L113,2,_xlfn.XLOOKUP(C113,[1]ModifierDes!$B:$B,[1]ModifierDes!$C:$C),3,_xlfn.XLOOKUP(C113,[1]StuntDes!$B:$B,[1]StuntDes!$C:$C)),"")</f>
        <v>魔力回复率提高{0}</v>
      </c>
      <c r="L113">
        <f t="shared" si="7"/>
        <v>2</v>
      </c>
      <c r="M113" s="10" t="str">
        <f>IFERROR(_xlfn.XLOOKUP(C113,[1]StuntDes!$B:$B,[1]StuntDes!$A:$A),"")</f>
        <v/>
      </c>
      <c r="N113" s="10">
        <f>IFERROR(_xlfn.XLOOKUP(C113,[1]ModifierDes!$B:$B,[1]ModifierDes!$A:$A),"")</f>
        <v>10116</v>
      </c>
      <c r="O113" s="10" t="str">
        <f>IFERROR(_xlfn.XLOOKUP(C113,[1]AttributeName!$C:$C,[1]AttributeName!$B:$B),"")</f>
        <v/>
      </c>
      <c r="P113" s="10"/>
      <c r="Q113">
        <v>0.11</v>
      </c>
      <c r="R113">
        <v>0.15</v>
      </c>
      <c r="S113" cm="1">
        <f t="array" ref="S113">IFERROR(_xlfn.SWITCH(L113,1,_xlfn.XLOOKUP(O113,[1]AttributeName!$B:$B,[1]AttributeName!$D:$D),2,_xlfn.XLOOKUP(C113,#REF!,#REF!),3,_xlfn.XLOOKUP(C113,#REF!,#REF!)),0)</f>
        <v>0</v>
      </c>
      <c r="T113" cm="1">
        <f t="array" ref="T113">IFERROR(_xlfn.SWITCH(L113,1,_xlfn.XLOOKUP(O113,[1]AttributeName!$B:$B,[1]AttributeName!$E:$E),2,_xlfn.XLOOKUP(C113,#REF!,#REF!),3,_xlfn.XLOOKUP(C113,#REF!,#REF!)),0)</f>
        <v>0</v>
      </c>
    </row>
    <row r="114" customFormat="1" spans="1:20">
      <c r="A114">
        <v>51</v>
      </c>
      <c r="B114">
        <v>7</v>
      </c>
      <c r="C114" t="s">
        <v>391</v>
      </c>
      <c r="D114" t="s">
        <v>22</v>
      </c>
      <c r="E114" s="13" t="s">
        <v>392</v>
      </c>
      <c r="F114"/>
      <c r="G114">
        <v>2</v>
      </c>
      <c r="H114">
        <v>1000</v>
      </c>
      <c r="J114" cm="1">
        <f t="array" ref="J114">_xlfn.SWITCH(B114,1,75,2,61,3,49,4,37,5,25,6,13,7,4,8,1)</f>
        <v>4</v>
      </c>
      <c r="K114" t="str" cm="1">
        <f t="array" ref="K114">IFERROR(_xlfn.SWITCH(L114,2,_xlfn.XLOOKUP(C114,[1]ModifierDes!$B:$B,[1]ModifierDes!$C:$C),3,_xlfn.XLOOKUP(C114,[1]StuntDes!$B:$B,[1]StuntDes!$C:$C)),"")</f>
        <v>魔力回复率提高{0}</v>
      </c>
      <c r="L114">
        <f t="shared" si="7"/>
        <v>2</v>
      </c>
      <c r="M114" s="10" t="str">
        <f>IFERROR(_xlfn.XLOOKUP(C114,[1]StuntDes!$B:$B,[1]StuntDes!$A:$A),"")</f>
        <v/>
      </c>
      <c r="N114" s="10">
        <f>IFERROR(_xlfn.XLOOKUP(C114,[1]ModifierDes!$B:$B,[1]ModifierDes!$A:$A),"")</f>
        <v>10116</v>
      </c>
      <c r="O114" s="10" t="str">
        <f>IFERROR(_xlfn.XLOOKUP(C114,[1]AttributeName!$C:$C,[1]AttributeName!$B:$B),"")</f>
        <v/>
      </c>
      <c r="P114" s="10"/>
      <c r="Q114">
        <v>0.05</v>
      </c>
      <c r="R114">
        <v>0.1</v>
      </c>
      <c r="S114" cm="1">
        <f t="array" ref="S114">IFERROR(_xlfn.SWITCH(L114,1,_xlfn.XLOOKUP(O114,[1]AttributeName!$B:$B,[1]AttributeName!$D:$D),2,_xlfn.XLOOKUP(C114,#REF!,#REF!),3,_xlfn.XLOOKUP(C114,#REF!,#REF!)),0)</f>
        <v>0</v>
      </c>
      <c r="T114" cm="1">
        <f t="array" ref="T114">IFERROR(_xlfn.SWITCH(L114,1,_xlfn.XLOOKUP(O114,[1]AttributeName!$B:$B,[1]AttributeName!$E:$E),2,_xlfn.XLOOKUP(C114,#REF!,#REF!),3,_xlfn.XLOOKUP(C114,#REF!,#REF!)),0)</f>
        <v>0</v>
      </c>
    </row>
    <row r="115" customFormat="1" spans="1:20">
      <c r="A115">
        <v>51</v>
      </c>
      <c r="B115">
        <v>8</v>
      </c>
      <c r="C115" t="s">
        <v>391</v>
      </c>
      <c r="D115" t="s">
        <v>22</v>
      </c>
      <c r="E115" s="13" t="s">
        <v>392</v>
      </c>
      <c r="F115"/>
      <c r="G115">
        <v>2</v>
      </c>
      <c r="H115">
        <v>1000</v>
      </c>
      <c r="J115" cm="1">
        <f t="array" ref="J115">_xlfn.SWITCH(B115,1,75,2,61,3,49,4,37,5,25,6,13,7,4,8,1)</f>
        <v>1</v>
      </c>
      <c r="K115" t="str" cm="1">
        <f t="array" ref="K115">IFERROR(_xlfn.SWITCH(L115,2,_xlfn.XLOOKUP(C115,[1]ModifierDes!$B:$B,[1]ModifierDes!$C:$C),3,_xlfn.XLOOKUP(C115,[1]StuntDes!$B:$B,[1]StuntDes!$C:$C)),"")</f>
        <v>魔力回复率提高{0}</v>
      </c>
      <c r="L115">
        <f t="shared" si="7"/>
        <v>2</v>
      </c>
      <c r="M115" s="10" t="str">
        <f>IFERROR(_xlfn.XLOOKUP(C115,[1]StuntDes!$B:$B,[1]StuntDes!$A:$A),"")</f>
        <v/>
      </c>
      <c r="N115" s="10">
        <f>IFERROR(_xlfn.XLOOKUP(C115,[1]ModifierDes!$B:$B,[1]ModifierDes!$A:$A),"")</f>
        <v>10116</v>
      </c>
      <c r="O115" s="10" t="str">
        <f>IFERROR(_xlfn.XLOOKUP(C115,[1]AttributeName!$C:$C,[1]AttributeName!$B:$B),"")</f>
        <v/>
      </c>
      <c r="P115" s="10"/>
      <c r="Q115">
        <v>0.03</v>
      </c>
      <c r="R115">
        <v>0.04</v>
      </c>
      <c r="S115" cm="1">
        <f t="array" ref="S115">IFERROR(_xlfn.SWITCH(L115,1,_xlfn.XLOOKUP(O115,[1]AttributeName!$B:$B,[1]AttributeName!$D:$D),2,_xlfn.XLOOKUP(C115,#REF!,#REF!),3,_xlfn.XLOOKUP(C115,#REF!,#REF!)),0)</f>
        <v>0</v>
      </c>
      <c r="T115" cm="1">
        <f t="array" ref="T115">IFERROR(_xlfn.SWITCH(L115,1,_xlfn.XLOOKUP(O115,[1]AttributeName!$B:$B,[1]AttributeName!$E:$E),2,_xlfn.XLOOKUP(C115,#REF!,#REF!),3,_xlfn.XLOOKUP(C115,#REF!,#REF!)),0)</f>
        <v>0</v>
      </c>
    </row>
    <row r="116" spans="1:20">
      <c r="A116">
        <v>52</v>
      </c>
      <c r="B116">
        <v>2</v>
      </c>
      <c r="C116" s="13" t="s">
        <v>393</v>
      </c>
      <c r="D116" t="s">
        <v>22</v>
      </c>
      <c r="E116" s="13" t="s">
        <v>392</v>
      </c>
      <c r="G116">
        <v>2</v>
      </c>
      <c r="H116">
        <v>50</v>
      </c>
      <c r="I116">
        <v>2</v>
      </c>
      <c r="J116" cm="1">
        <f t="array" ref="J116">_xlfn.SWITCH(B116,1,75,2,61,3,49,4,37,5,25,6,13,7,4,8,1)</f>
        <v>61</v>
      </c>
      <c r="K116" t="str" cm="1">
        <f t="array" ref="K116">IFERROR(_xlfn.SWITCH(L116,2,_xlfn.XLOOKUP(C116,[1]ModifierDes!$B:$B,[1]ModifierDes!$C:$C),3,_xlfn.XLOOKUP(C116,[1]StuntDes!$B:$B,[1]StuntDes!$C:$C)),"")</f>
        <v/>
      </c>
      <c r="L116">
        <f t="shared" si="7"/>
        <v>1</v>
      </c>
      <c r="M116" s="10" t="str">
        <f>IFERROR(_xlfn.XLOOKUP(C116,[1]StuntDes!$B:$B,[1]StuntDes!$A:$A),"")</f>
        <v/>
      </c>
      <c r="N116" s="10" t="str">
        <f>IFERROR(_xlfn.XLOOKUP(C116,[1]ModifierDes!$B:$B,[1]ModifierDes!$A:$A),"")</f>
        <v/>
      </c>
      <c r="O116" s="10">
        <f>IFERROR(_xlfn.XLOOKUP(C116,[1]AttributeName!$C:$C,[1]AttributeName!$B:$B),"")</f>
        <v>10401</v>
      </c>
      <c r="P116" s="10"/>
      <c r="Q116">
        <v>4</v>
      </c>
      <c r="R116">
        <v>5</v>
      </c>
      <c r="S116" cm="1">
        <f t="array" ref="S116">IFERROR(_xlfn.SWITCH(L116,1,_xlfn.XLOOKUP(O116,[1]AttributeName!$B:$B,[1]AttributeName!$D:$D),2,_xlfn.XLOOKUP(C116,#REF!,#REF!),3,_xlfn.XLOOKUP(C116,#REF!,#REF!)),0)</f>
        <v>0</v>
      </c>
      <c r="T116" cm="1">
        <f t="array" ref="T116">IFERROR(_xlfn.SWITCH(L116,1,_xlfn.XLOOKUP(O116,[1]AttributeName!$B:$B,[1]AttributeName!$E:$E),2,_xlfn.XLOOKUP(C116,#REF!,#REF!),3,_xlfn.XLOOKUP(C116,#REF!,#REF!)),0)</f>
        <v>1</v>
      </c>
    </row>
    <row r="117" spans="1:20">
      <c r="A117">
        <v>52</v>
      </c>
      <c r="B117">
        <v>4</v>
      </c>
      <c r="C117" s="13" t="s">
        <v>393</v>
      </c>
      <c r="D117" t="s">
        <v>22</v>
      </c>
      <c r="E117" s="13" t="s">
        <v>392</v>
      </c>
      <c r="G117">
        <v>2</v>
      </c>
      <c r="H117">
        <v>100</v>
      </c>
      <c r="I117">
        <v>2</v>
      </c>
      <c r="J117" cm="1">
        <f t="array" ref="J117">_xlfn.SWITCH(B117,1,75,2,61,3,49,4,37,5,25,6,13,7,4,8,1)</f>
        <v>37</v>
      </c>
      <c r="K117" t="str" cm="1">
        <f t="array" ref="K117">IFERROR(_xlfn.SWITCH(L117,2,_xlfn.XLOOKUP(C117,[1]ModifierDes!$B:$B,[1]ModifierDes!$C:$C),3,_xlfn.XLOOKUP(C117,[1]StuntDes!$B:$B,[1]StuntDes!$C:$C)),"")</f>
        <v/>
      </c>
      <c r="L117">
        <f t="shared" si="7"/>
        <v>1</v>
      </c>
      <c r="M117" s="10" t="str">
        <f>IFERROR(_xlfn.XLOOKUP(C117,[1]StuntDes!$B:$B,[1]StuntDes!$A:$A),"")</f>
        <v/>
      </c>
      <c r="N117" s="10" t="str">
        <f>IFERROR(_xlfn.XLOOKUP(C117,[1]ModifierDes!$B:$B,[1]ModifierDes!$A:$A),"")</f>
        <v/>
      </c>
      <c r="O117" s="10">
        <f>IFERROR(_xlfn.XLOOKUP(C117,[1]AttributeName!$C:$C,[1]AttributeName!$B:$B),"")</f>
        <v>10401</v>
      </c>
      <c r="P117" s="10"/>
      <c r="Q117">
        <v>2</v>
      </c>
      <c r="R117">
        <v>3</v>
      </c>
      <c r="S117" cm="1">
        <f t="array" ref="S117">IFERROR(_xlfn.SWITCH(L117,1,_xlfn.XLOOKUP(O117,[1]AttributeName!$B:$B,[1]AttributeName!$D:$D),2,_xlfn.XLOOKUP(C117,#REF!,#REF!),3,_xlfn.XLOOKUP(C117,#REF!,#REF!)),0)</f>
        <v>0</v>
      </c>
      <c r="T117" cm="1">
        <f t="array" ref="T117">IFERROR(_xlfn.SWITCH(L117,1,_xlfn.XLOOKUP(O117,[1]AttributeName!$B:$B,[1]AttributeName!$E:$E),2,_xlfn.XLOOKUP(C117,#REF!,#REF!),3,_xlfn.XLOOKUP(C117,#REF!,#REF!)),0)</f>
        <v>1</v>
      </c>
    </row>
    <row r="118" spans="1:20">
      <c r="A118">
        <v>52</v>
      </c>
      <c r="B118">
        <v>6</v>
      </c>
      <c r="C118" s="13" t="s">
        <v>393</v>
      </c>
      <c r="D118" t="s">
        <v>22</v>
      </c>
      <c r="E118" s="13" t="s">
        <v>392</v>
      </c>
      <c r="G118">
        <v>2</v>
      </c>
      <c r="H118">
        <v>200</v>
      </c>
      <c r="I118">
        <v>2</v>
      </c>
      <c r="J118" cm="1">
        <f t="array" ref="J118">_xlfn.SWITCH(B118,1,75,2,61,3,49,4,37,5,25,6,13,7,4,8,1)</f>
        <v>13</v>
      </c>
      <c r="K118" t="str" cm="1">
        <f t="array" ref="K118">IFERROR(_xlfn.SWITCH(L118,2,_xlfn.XLOOKUP(C118,[1]ModifierDes!$B:$B,[1]ModifierDes!$C:$C),3,_xlfn.XLOOKUP(C118,[1]StuntDes!$B:$B,[1]StuntDes!$C:$C)),"")</f>
        <v/>
      </c>
      <c r="L118">
        <f t="shared" si="7"/>
        <v>1</v>
      </c>
      <c r="M118" s="10" t="str">
        <f>IFERROR(_xlfn.XLOOKUP(C118,[1]StuntDes!$B:$B,[1]StuntDes!$A:$A),"")</f>
        <v/>
      </c>
      <c r="N118" s="10" t="str">
        <f>IFERROR(_xlfn.XLOOKUP(C118,[1]ModifierDes!$B:$B,[1]ModifierDes!$A:$A),"")</f>
        <v/>
      </c>
      <c r="O118" s="10">
        <f>IFERROR(_xlfn.XLOOKUP(C118,[1]AttributeName!$C:$C,[1]AttributeName!$B:$B),"")</f>
        <v>10401</v>
      </c>
      <c r="P118" s="10"/>
      <c r="Q118">
        <v>1</v>
      </c>
      <c r="R118">
        <v>1</v>
      </c>
      <c r="S118" cm="1">
        <f t="array" ref="S118">IFERROR(_xlfn.SWITCH(L118,1,_xlfn.XLOOKUP(O118,[1]AttributeName!$B:$B,[1]AttributeName!$D:$D),2,_xlfn.XLOOKUP(C118,#REF!,#REF!),3,_xlfn.XLOOKUP(C118,#REF!,#REF!)),0)</f>
        <v>0</v>
      </c>
      <c r="T118" cm="1">
        <f t="array" ref="T118">IFERROR(_xlfn.SWITCH(L118,1,_xlfn.XLOOKUP(O118,[1]AttributeName!$B:$B,[1]AttributeName!$E:$E),2,_xlfn.XLOOKUP(C118,#REF!,#REF!),3,_xlfn.XLOOKUP(C118,#REF!,#REF!)),0)</f>
        <v>1</v>
      </c>
    </row>
    <row r="119" spans="1:20">
      <c r="A119">
        <f t="shared" ref="A119:A121" si="12">A116+1</f>
        <v>53</v>
      </c>
      <c r="B119">
        <v>1</v>
      </c>
      <c r="C119" s="13" t="s">
        <v>394</v>
      </c>
      <c r="D119" t="s">
        <v>22</v>
      </c>
      <c r="E119" s="13" t="s">
        <v>392</v>
      </c>
      <c r="G119">
        <v>2</v>
      </c>
      <c r="H119">
        <v>100</v>
      </c>
      <c r="I119">
        <v>2</v>
      </c>
      <c r="J119" cm="1">
        <f t="array" ref="J119">_xlfn.SWITCH(B119,1,75,2,61,3,49,4,37,5,25,6,13,7,4,8,1)</f>
        <v>75</v>
      </c>
      <c r="K119" t="str" cm="1">
        <f t="array" ref="K119">IFERROR(_xlfn.SWITCH(L119,2,_xlfn.XLOOKUP(C119,[1]ModifierDes!$B:$B,[1]ModifierDes!$C:$C),3,_xlfn.XLOOKUP(C119,[1]StuntDes!$B:$B,[1]StuntDes!$C:$C)),"")</f>
        <v/>
      </c>
      <c r="L119">
        <f t="shared" si="7"/>
        <v>1</v>
      </c>
      <c r="M119" s="10" t="str">
        <f>IFERROR(_xlfn.XLOOKUP(C119,[1]StuntDes!$B:$B,[1]StuntDes!$A:$A),"")</f>
        <v/>
      </c>
      <c r="N119" s="10" t="str">
        <f>IFERROR(_xlfn.XLOOKUP(C119,[1]ModifierDes!$B:$B,[1]ModifierDes!$A:$A),"")</f>
        <v/>
      </c>
      <c r="O119" s="10">
        <f>IFERROR(_xlfn.XLOOKUP(C119,[1]AttributeName!$C:$C,[1]AttributeName!$B:$B),"")</f>
        <v>10403</v>
      </c>
      <c r="P119" s="10"/>
      <c r="Q119">
        <v>4</v>
      </c>
      <c r="R119">
        <v>6</v>
      </c>
      <c r="S119" cm="1">
        <f t="array" ref="S119">IFERROR(_xlfn.SWITCH(L119,1,_xlfn.XLOOKUP(O119,[1]AttributeName!$B:$B,[1]AttributeName!$D:$D),2,_xlfn.XLOOKUP(C119,#REF!,#REF!),3,_xlfn.XLOOKUP(C119,#REF!,#REF!)),0)</f>
        <v>0</v>
      </c>
      <c r="T119" cm="1">
        <f t="array" ref="T119">IFERROR(_xlfn.SWITCH(L119,1,_xlfn.XLOOKUP(O119,[1]AttributeName!$B:$B,[1]AttributeName!$E:$E),2,_xlfn.XLOOKUP(C119,#REF!,#REF!),3,_xlfn.XLOOKUP(C119,#REF!,#REF!)),0)</f>
        <v>1</v>
      </c>
    </row>
    <row r="120" spans="1:20">
      <c r="A120">
        <f t="shared" si="12"/>
        <v>53</v>
      </c>
      <c r="B120">
        <v>3</v>
      </c>
      <c r="C120" s="13" t="s">
        <v>394</v>
      </c>
      <c r="D120" t="s">
        <v>22</v>
      </c>
      <c r="E120" s="13" t="s">
        <v>392</v>
      </c>
      <c r="G120">
        <v>2</v>
      </c>
      <c r="H120">
        <v>200</v>
      </c>
      <c r="I120">
        <v>2</v>
      </c>
      <c r="J120" cm="1">
        <f t="array" ref="J120">_xlfn.SWITCH(B120,1,75,2,61,3,49,4,37,5,25,6,13,7,4,8,1)</f>
        <v>49</v>
      </c>
      <c r="K120" t="str" cm="1">
        <f t="array" ref="K120">IFERROR(_xlfn.SWITCH(L120,2,_xlfn.XLOOKUP(C120,[1]ModifierDes!$B:$B,[1]ModifierDes!$C:$C),3,_xlfn.XLOOKUP(C120,[1]StuntDes!$B:$B,[1]StuntDes!$C:$C)),"")</f>
        <v/>
      </c>
      <c r="L120">
        <f t="shared" si="7"/>
        <v>1</v>
      </c>
      <c r="M120" s="10" t="str">
        <f>IFERROR(_xlfn.XLOOKUP(C120,[1]StuntDes!$B:$B,[1]StuntDes!$A:$A),"")</f>
        <v/>
      </c>
      <c r="N120" s="10" t="str">
        <f>IFERROR(_xlfn.XLOOKUP(C120,[1]ModifierDes!$B:$B,[1]ModifierDes!$A:$A),"")</f>
        <v/>
      </c>
      <c r="O120" s="10">
        <f>IFERROR(_xlfn.XLOOKUP(C120,[1]AttributeName!$C:$C,[1]AttributeName!$B:$B),"")</f>
        <v>10403</v>
      </c>
      <c r="P120" s="10"/>
      <c r="Q120">
        <v>2</v>
      </c>
      <c r="R120">
        <v>3</v>
      </c>
      <c r="S120" cm="1">
        <f t="array" ref="S120">IFERROR(_xlfn.SWITCH(L120,1,_xlfn.XLOOKUP(O120,[1]AttributeName!$B:$B,[1]AttributeName!$D:$D),2,_xlfn.XLOOKUP(C120,#REF!,#REF!),3,_xlfn.XLOOKUP(C120,#REF!,#REF!)),0)</f>
        <v>0</v>
      </c>
      <c r="T120" cm="1">
        <f t="array" ref="T120">IFERROR(_xlfn.SWITCH(L120,1,_xlfn.XLOOKUP(O120,[1]AttributeName!$B:$B,[1]AttributeName!$E:$E),2,_xlfn.XLOOKUP(C120,#REF!,#REF!),3,_xlfn.XLOOKUP(C120,#REF!,#REF!)),0)</f>
        <v>1</v>
      </c>
    </row>
    <row r="121" spans="1:20">
      <c r="A121">
        <f t="shared" si="12"/>
        <v>53</v>
      </c>
      <c r="B121">
        <v>5</v>
      </c>
      <c r="C121" s="13" t="s">
        <v>394</v>
      </c>
      <c r="D121" t="s">
        <v>22</v>
      </c>
      <c r="E121" s="13" t="s">
        <v>392</v>
      </c>
      <c r="G121">
        <v>2</v>
      </c>
      <c r="H121">
        <v>500</v>
      </c>
      <c r="I121">
        <v>2</v>
      </c>
      <c r="J121" cm="1">
        <f t="array" ref="J121">_xlfn.SWITCH(B121,1,75,2,61,3,49,4,37,5,25,6,13,7,4,8,1)</f>
        <v>25</v>
      </c>
      <c r="K121" t="str" cm="1">
        <f t="array" ref="K121">IFERROR(_xlfn.SWITCH(L121,2,_xlfn.XLOOKUP(C121,[1]ModifierDes!$B:$B,[1]ModifierDes!$C:$C),3,_xlfn.XLOOKUP(C121,[1]StuntDes!$B:$B,[1]StuntDes!$C:$C)),"")</f>
        <v/>
      </c>
      <c r="L121">
        <f t="shared" si="7"/>
        <v>1</v>
      </c>
      <c r="M121" s="10" t="str">
        <f>IFERROR(_xlfn.XLOOKUP(C121,[1]StuntDes!$B:$B,[1]StuntDes!$A:$A),"")</f>
        <v/>
      </c>
      <c r="N121" s="10" t="str">
        <f>IFERROR(_xlfn.XLOOKUP(C121,[1]ModifierDes!$B:$B,[1]ModifierDes!$A:$A),"")</f>
        <v/>
      </c>
      <c r="O121" s="10">
        <f>IFERROR(_xlfn.XLOOKUP(C121,[1]AttributeName!$C:$C,[1]AttributeName!$B:$B),"")</f>
        <v>10403</v>
      </c>
      <c r="P121" s="10"/>
      <c r="Q121">
        <v>1</v>
      </c>
      <c r="R121">
        <v>1</v>
      </c>
      <c r="S121" cm="1">
        <f t="array" ref="S121">IFERROR(_xlfn.SWITCH(L121,1,_xlfn.XLOOKUP(O121,[1]AttributeName!$B:$B,[1]AttributeName!$D:$D),2,_xlfn.XLOOKUP(C121,#REF!,#REF!),3,_xlfn.XLOOKUP(C121,#REF!,#REF!)),0)</f>
        <v>0</v>
      </c>
      <c r="T121" cm="1">
        <f t="array" ref="T121">IFERROR(_xlfn.SWITCH(L121,1,_xlfn.XLOOKUP(O121,[1]AttributeName!$B:$B,[1]AttributeName!$E:$E),2,_xlfn.XLOOKUP(C121,#REF!,#REF!),3,_xlfn.XLOOKUP(C121,#REF!,#REF!)),0)</f>
        <v>1</v>
      </c>
    </row>
    <row r="122" spans="1:20">
      <c r="A122">
        <f t="shared" ref="A119:A133" si="13">A119+1</f>
        <v>54</v>
      </c>
      <c r="B122">
        <f t="shared" ref="B119:B133" si="14">B119</f>
        <v>1</v>
      </c>
      <c r="C122" s="13" t="s">
        <v>395</v>
      </c>
      <c r="D122" t="s">
        <v>22</v>
      </c>
      <c r="E122" s="13" t="s">
        <v>392</v>
      </c>
      <c r="G122">
        <v>2</v>
      </c>
      <c r="H122">
        <v>100</v>
      </c>
      <c r="I122">
        <v>2</v>
      </c>
      <c r="J122" cm="1">
        <f t="array" ref="J122">_xlfn.SWITCH(B122,1,75,2,61,3,49,4,37,5,25,6,13,7,4,8,1)</f>
        <v>75</v>
      </c>
      <c r="K122" t="str" cm="1">
        <f t="array" ref="K122">IFERROR(_xlfn.SWITCH(L122,2,_xlfn.XLOOKUP(C122,[1]ModifierDes!$B:$B,[1]ModifierDes!$C:$C),3,_xlfn.XLOOKUP(C122,[1]StuntDes!$B:$B,[1]StuntDes!$C:$C)),"")</f>
        <v/>
      </c>
      <c r="L122">
        <f t="shared" si="7"/>
        <v>1</v>
      </c>
      <c r="M122" s="10" t="str">
        <f>IFERROR(_xlfn.XLOOKUP(C122,[1]StuntDes!$B:$B,[1]StuntDes!$A:$A),"")</f>
        <v/>
      </c>
      <c r="N122" s="10" t="str">
        <f>IFERROR(_xlfn.XLOOKUP(C122,[1]ModifierDes!$B:$B,[1]ModifierDes!$A:$A),"")</f>
        <v/>
      </c>
      <c r="O122" s="10">
        <f>IFERROR(_xlfn.XLOOKUP(C122,[1]AttributeName!$C:$C,[1]AttributeName!$B:$B),"")</f>
        <v>10404</v>
      </c>
      <c r="P122" s="10"/>
      <c r="Q122">
        <v>4</v>
      </c>
      <c r="R122">
        <v>6</v>
      </c>
      <c r="S122" cm="1">
        <f t="array" ref="S122">IFERROR(_xlfn.SWITCH(L122,1,_xlfn.XLOOKUP(O122,[1]AttributeName!$B:$B,[1]AttributeName!$D:$D),2,_xlfn.XLOOKUP(C122,#REF!,#REF!),3,_xlfn.XLOOKUP(C122,#REF!,#REF!)),0)</f>
        <v>0</v>
      </c>
      <c r="T122" cm="1">
        <f t="array" ref="T122">IFERROR(_xlfn.SWITCH(L122,1,_xlfn.XLOOKUP(O122,[1]AttributeName!$B:$B,[1]AttributeName!$E:$E),2,_xlfn.XLOOKUP(C122,#REF!,#REF!),3,_xlfn.XLOOKUP(C122,#REF!,#REF!)),0)</f>
        <v>1</v>
      </c>
    </row>
    <row r="123" spans="1:20">
      <c r="A123">
        <f t="shared" si="13"/>
        <v>54</v>
      </c>
      <c r="B123">
        <f t="shared" si="14"/>
        <v>3</v>
      </c>
      <c r="C123" s="13" t="s">
        <v>395</v>
      </c>
      <c r="D123" t="s">
        <v>22</v>
      </c>
      <c r="E123" s="13" t="s">
        <v>392</v>
      </c>
      <c r="G123">
        <v>2</v>
      </c>
      <c r="H123">
        <v>200</v>
      </c>
      <c r="I123">
        <v>2</v>
      </c>
      <c r="J123" cm="1">
        <f t="array" ref="J123">_xlfn.SWITCH(B123,1,75,2,61,3,49,4,37,5,25,6,13,7,4,8,1)</f>
        <v>49</v>
      </c>
      <c r="K123" t="str" cm="1">
        <f t="array" ref="K123">IFERROR(_xlfn.SWITCH(L123,2,_xlfn.XLOOKUP(C123,[1]ModifierDes!$B:$B,[1]ModifierDes!$C:$C),3,_xlfn.XLOOKUP(C123,[1]StuntDes!$B:$B,[1]StuntDes!$C:$C)),"")</f>
        <v/>
      </c>
      <c r="L123">
        <f t="shared" si="7"/>
        <v>1</v>
      </c>
      <c r="M123" s="10" t="str">
        <f>IFERROR(_xlfn.XLOOKUP(C123,[1]StuntDes!$B:$B,[1]StuntDes!$A:$A),"")</f>
        <v/>
      </c>
      <c r="N123" s="10" t="str">
        <f>IFERROR(_xlfn.XLOOKUP(C123,[1]ModifierDes!$B:$B,[1]ModifierDes!$A:$A),"")</f>
        <v/>
      </c>
      <c r="O123" s="10">
        <f>IFERROR(_xlfn.XLOOKUP(C123,[1]AttributeName!$C:$C,[1]AttributeName!$B:$B),"")</f>
        <v>10404</v>
      </c>
      <c r="P123" s="10"/>
      <c r="Q123">
        <v>2</v>
      </c>
      <c r="R123">
        <v>3</v>
      </c>
      <c r="S123" cm="1">
        <f t="array" ref="S123">IFERROR(_xlfn.SWITCH(L123,1,_xlfn.XLOOKUP(O123,[1]AttributeName!$B:$B,[1]AttributeName!$D:$D),2,_xlfn.XLOOKUP(C123,#REF!,#REF!),3,_xlfn.XLOOKUP(C123,#REF!,#REF!)),0)</f>
        <v>0</v>
      </c>
      <c r="T123" cm="1">
        <f t="array" ref="T123">IFERROR(_xlfn.SWITCH(L123,1,_xlfn.XLOOKUP(O123,[1]AttributeName!$B:$B,[1]AttributeName!$E:$E),2,_xlfn.XLOOKUP(C123,#REF!,#REF!),3,_xlfn.XLOOKUP(C123,#REF!,#REF!)),0)</f>
        <v>1</v>
      </c>
    </row>
    <row r="124" spans="1:20">
      <c r="A124">
        <f t="shared" si="13"/>
        <v>54</v>
      </c>
      <c r="B124">
        <f t="shared" si="14"/>
        <v>5</v>
      </c>
      <c r="C124" s="13" t="s">
        <v>395</v>
      </c>
      <c r="D124" t="s">
        <v>22</v>
      </c>
      <c r="E124" s="13" t="s">
        <v>392</v>
      </c>
      <c r="G124">
        <v>2</v>
      </c>
      <c r="H124">
        <v>500</v>
      </c>
      <c r="I124">
        <v>2</v>
      </c>
      <c r="J124" cm="1">
        <f t="array" ref="J124">_xlfn.SWITCH(B124,1,75,2,61,3,49,4,37,5,25,6,13,7,4,8,1)</f>
        <v>25</v>
      </c>
      <c r="K124" t="str" cm="1">
        <f t="array" ref="K124">IFERROR(_xlfn.SWITCH(L124,2,_xlfn.XLOOKUP(C124,[1]ModifierDes!$B:$B,[1]ModifierDes!$C:$C),3,_xlfn.XLOOKUP(C124,[1]StuntDes!$B:$B,[1]StuntDes!$C:$C)),"")</f>
        <v/>
      </c>
      <c r="L124">
        <f t="shared" si="7"/>
        <v>1</v>
      </c>
      <c r="M124" s="10" t="str">
        <f>IFERROR(_xlfn.XLOOKUP(C124,[1]StuntDes!$B:$B,[1]StuntDes!$A:$A),"")</f>
        <v/>
      </c>
      <c r="N124" s="10" t="str">
        <f>IFERROR(_xlfn.XLOOKUP(C124,[1]ModifierDes!$B:$B,[1]ModifierDes!$A:$A),"")</f>
        <v/>
      </c>
      <c r="O124" s="10">
        <f>IFERROR(_xlfn.XLOOKUP(C124,[1]AttributeName!$C:$C,[1]AttributeName!$B:$B),"")</f>
        <v>10404</v>
      </c>
      <c r="P124" s="10"/>
      <c r="Q124">
        <v>1</v>
      </c>
      <c r="R124">
        <v>1</v>
      </c>
      <c r="S124" cm="1">
        <f t="array" ref="S124">IFERROR(_xlfn.SWITCH(L124,1,_xlfn.XLOOKUP(O124,[1]AttributeName!$B:$B,[1]AttributeName!$D:$D),2,_xlfn.XLOOKUP(C124,#REF!,#REF!),3,_xlfn.XLOOKUP(C124,#REF!,#REF!)),0)</f>
        <v>0</v>
      </c>
      <c r="T124" cm="1">
        <f t="array" ref="T124">IFERROR(_xlfn.SWITCH(L124,1,_xlfn.XLOOKUP(O124,[1]AttributeName!$B:$B,[1]AttributeName!$E:$E),2,_xlfn.XLOOKUP(C124,#REF!,#REF!),3,_xlfn.XLOOKUP(C124,#REF!,#REF!)),0)</f>
        <v>1</v>
      </c>
    </row>
    <row r="125" spans="1:20">
      <c r="A125">
        <f t="shared" si="13"/>
        <v>55</v>
      </c>
      <c r="B125">
        <f t="shared" si="14"/>
        <v>1</v>
      </c>
      <c r="C125" s="13" t="s">
        <v>396</v>
      </c>
      <c r="D125" t="s">
        <v>22</v>
      </c>
      <c r="E125" s="13" t="s">
        <v>392</v>
      </c>
      <c r="G125">
        <v>2</v>
      </c>
      <c r="H125">
        <v>100</v>
      </c>
      <c r="I125">
        <v>2</v>
      </c>
      <c r="J125" cm="1">
        <f t="array" ref="J125">_xlfn.SWITCH(B125,1,75,2,61,3,49,4,37,5,25,6,13,7,4,8,1)</f>
        <v>75</v>
      </c>
      <c r="K125" t="str" cm="1">
        <f t="array" ref="K125">IFERROR(_xlfn.SWITCH(L125,2,_xlfn.XLOOKUP(C125,[1]ModifierDes!$B:$B,[1]ModifierDes!$C:$C),3,_xlfn.XLOOKUP(C125,[1]StuntDes!$B:$B,[1]StuntDes!$C:$C)),"")</f>
        <v/>
      </c>
      <c r="L125">
        <f t="shared" si="7"/>
        <v>1</v>
      </c>
      <c r="M125" s="10" t="str">
        <f>IFERROR(_xlfn.XLOOKUP(C125,[1]StuntDes!$B:$B,[1]StuntDes!$A:$A),"")</f>
        <v/>
      </c>
      <c r="N125" s="10" t="str">
        <f>IFERROR(_xlfn.XLOOKUP(C125,[1]ModifierDes!$B:$B,[1]ModifierDes!$A:$A),"")</f>
        <v/>
      </c>
      <c r="O125" s="10">
        <f>IFERROR(_xlfn.XLOOKUP(C125,[1]AttributeName!$C:$C,[1]AttributeName!$B:$B),"")</f>
        <v>10405</v>
      </c>
      <c r="P125" s="10"/>
      <c r="Q125">
        <v>4</v>
      </c>
      <c r="R125">
        <v>6</v>
      </c>
      <c r="S125" cm="1">
        <f t="array" ref="S125">IFERROR(_xlfn.SWITCH(L125,1,_xlfn.XLOOKUP(O125,[1]AttributeName!$B:$B,[1]AttributeName!$D:$D),2,_xlfn.XLOOKUP(C125,#REF!,#REF!),3,_xlfn.XLOOKUP(C125,#REF!,#REF!)),0)</f>
        <v>0</v>
      </c>
      <c r="T125" cm="1">
        <f t="array" ref="T125">IFERROR(_xlfn.SWITCH(L125,1,_xlfn.XLOOKUP(O125,[1]AttributeName!$B:$B,[1]AttributeName!$E:$E),2,_xlfn.XLOOKUP(C125,#REF!,#REF!),3,_xlfn.XLOOKUP(C125,#REF!,#REF!)),0)</f>
        <v>1</v>
      </c>
    </row>
    <row r="126" spans="1:20">
      <c r="A126">
        <f t="shared" si="13"/>
        <v>55</v>
      </c>
      <c r="B126">
        <f t="shared" si="14"/>
        <v>3</v>
      </c>
      <c r="C126" s="13" t="s">
        <v>396</v>
      </c>
      <c r="D126" t="s">
        <v>22</v>
      </c>
      <c r="E126" s="13" t="s">
        <v>392</v>
      </c>
      <c r="G126">
        <v>2</v>
      </c>
      <c r="H126">
        <v>200</v>
      </c>
      <c r="I126">
        <v>2</v>
      </c>
      <c r="J126" cm="1">
        <f t="array" ref="J126">_xlfn.SWITCH(B126,1,75,2,61,3,49,4,37,5,25,6,13,7,4,8,1)</f>
        <v>49</v>
      </c>
      <c r="K126" t="str" cm="1">
        <f t="array" ref="K126">IFERROR(_xlfn.SWITCH(L126,2,_xlfn.XLOOKUP(C126,[1]ModifierDes!$B:$B,[1]ModifierDes!$C:$C),3,_xlfn.XLOOKUP(C126,[1]StuntDes!$B:$B,[1]StuntDes!$C:$C)),"")</f>
        <v/>
      </c>
      <c r="L126">
        <f t="shared" si="7"/>
        <v>1</v>
      </c>
      <c r="M126" s="10" t="str">
        <f>IFERROR(_xlfn.XLOOKUP(C126,[1]StuntDes!$B:$B,[1]StuntDes!$A:$A),"")</f>
        <v/>
      </c>
      <c r="N126" s="10" t="str">
        <f>IFERROR(_xlfn.XLOOKUP(C126,[1]ModifierDes!$B:$B,[1]ModifierDes!$A:$A),"")</f>
        <v/>
      </c>
      <c r="O126" s="10">
        <f>IFERROR(_xlfn.XLOOKUP(C126,[1]AttributeName!$C:$C,[1]AttributeName!$B:$B),"")</f>
        <v>10405</v>
      </c>
      <c r="P126" s="10"/>
      <c r="Q126">
        <v>2</v>
      </c>
      <c r="R126">
        <v>3</v>
      </c>
      <c r="S126" cm="1">
        <f t="array" ref="S126">IFERROR(_xlfn.SWITCH(L126,1,_xlfn.XLOOKUP(O126,[1]AttributeName!$B:$B,[1]AttributeName!$D:$D),2,_xlfn.XLOOKUP(C126,#REF!,#REF!),3,_xlfn.XLOOKUP(C126,#REF!,#REF!)),0)</f>
        <v>0</v>
      </c>
      <c r="T126" cm="1">
        <f t="array" ref="T126">IFERROR(_xlfn.SWITCH(L126,1,_xlfn.XLOOKUP(O126,[1]AttributeName!$B:$B,[1]AttributeName!$E:$E),2,_xlfn.XLOOKUP(C126,#REF!,#REF!),3,_xlfn.XLOOKUP(C126,#REF!,#REF!)),0)</f>
        <v>1</v>
      </c>
    </row>
    <row r="127" spans="1:20">
      <c r="A127">
        <f t="shared" si="13"/>
        <v>55</v>
      </c>
      <c r="B127">
        <f t="shared" si="14"/>
        <v>5</v>
      </c>
      <c r="C127" s="13" t="s">
        <v>396</v>
      </c>
      <c r="D127" t="s">
        <v>22</v>
      </c>
      <c r="E127" s="13" t="s">
        <v>392</v>
      </c>
      <c r="G127">
        <v>2</v>
      </c>
      <c r="H127">
        <v>500</v>
      </c>
      <c r="I127">
        <v>2</v>
      </c>
      <c r="J127" cm="1">
        <f t="array" ref="J127">_xlfn.SWITCH(B127,1,75,2,61,3,49,4,37,5,25,6,13,7,4,8,1)</f>
        <v>25</v>
      </c>
      <c r="K127" t="str" cm="1">
        <f t="array" ref="K127">IFERROR(_xlfn.SWITCH(L127,2,_xlfn.XLOOKUP(C127,[1]ModifierDes!$B:$B,[1]ModifierDes!$C:$C),3,_xlfn.XLOOKUP(C127,[1]StuntDes!$B:$B,[1]StuntDes!$C:$C)),"")</f>
        <v/>
      </c>
      <c r="L127">
        <f t="shared" si="7"/>
        <v>1</v>
      </c>
      <c r="M127" s="10" t="str">
        <f>IFERROR(_xlfn.XLOOKUP(C127,[1]StuntDes!$B:$B,[1]StuntDes!$A:$A),"")</f>
        <v/>
      </c>
      <c r="N127" s="10" t="str">
        <f>IFERROR(_xlfn.XLOOKUP(C127,[1]ModifierDes!$B:$B,[1]ModifierDes!$A:$A),"")</f>
        <v/>
      </c>
      <c r="O127" s="10">
        <f>IFERROR(_xlfn.XLOOKUP(C127,[1]AttributeName!$C:$C,[1]AttributeName!$B:$B),"")</f>
        <v>10405</v>
      </c>
      <c r="P127" s="10"/>
      <c r="Q127">
        <v>1</v>
      </c>
      <c r="R127">
        <v>1</v>
      </c>
      <c r="S127" cm="1">
        <f t="array" ref="S127">IFERROR(_xlfn.SWITCH(L127,1,_xlfn.XLOOKUP(O127,[1]AttributeName!$B:$B,[1]AttributeName!$D:$D),2,_xlfn.XLOOKUP(C127,#REF!,#REF!),3,_xlfn.XLOOKUP(C127,#REF!,#REF!)),0)</f>
        <v>0</v>
      </c>
      <c r="T127" cm="1">
        <f t="array" ref="T127">IFERROR(_xlfn.SWITCH(L127,1,_xlfn.XLOOKUP(O127,[1]AttributeName!$B:$B,[1]AttributeName!$E:$E),2,_xlfn.XLOOKUP(C127,#REF!,#REF!),3,_xlfn.XLOOKUP(C127,#REF!,#REF!)),0)</f>
        <v>1</v>
      </c>
    </row>
    <row r="128" spans="1:20">
      <c r="A128">
        <f t="shared" si="13"/>
        <v>56</v>
      </c>
      <c r="B128">
        <f t="shared" si="14"/>
        <v>1</v>
      </c>
      <c r="C128" s="13" t="s">
        <v>397</v>
      </c>
      <c r="D128" t="s">
        <v>22</v>
      </c>
      <c r="E128" s="13" t="s">
        <v>392</v>
      </c>
      <c r="G128">
        <v>2</v>
      </c>
      <c r="H128">
        <v>100</v>
      </c>
      <c r="I128">
        <v>2</v>
      </c>
      <c r="J128" cm="1">
        <f t="array" ref="J128">_xlfn.SWITCH(B128,1,75,2,61,3,49,4,37,5,25,6,13,7,4,8,1)</f>
        <v>75</v>
      </c>
      <c r="K128" t="str" cm="1">
        <f t="array" ref="K128">IFERROR(_xlfn.SWITCH(L128,2,_xlfn.XLOOKUP(C128,[1]ModifierDes!$B:$B,[1]ModifierDes!$C:$C),3,_xlfn.XLOOKUP(C128,[1]StuntDes!$B:$B,[1]StuntDes!$C:$C)),"")</f>
        <v/>
      </c>
      <c r="L128">
        <f t="shared" si="7"/>
        <v>1</v>
      </c>
      <c r="M128" s="10" t="str">
        <f>IFERROR(_xlfn.XLOOKUP(C128,[1]StuntDes!$B:$B,[1]StuntDes!$A:$A),"")</f>
        <v/>
      </c>
      <c r="N128" s="10" t="str">
        <f>IFERROR(_xlfn.XLOOKUP(C128,[1]ModifierDes!$B:$B,[1]ModifierDes!$A:$A),"")</f>
        <v/>
      </c>
      <c r="O128" s="10">
        <f>IFERROR(_xlfn.XLOOKUP(C128,[1]AttributeName!$C:$C,[1]AttributeName!$B:$B),"")</f>
        <v>10406</v>
      </c>
      <c r="P128" s="10"/>
      <c r="Q128">
        <v>4</v>
      </c>
      <c r="R128">
        <v>6</v>
      </c>
      <c r="S128" cm="1">
        <f t="array" ref="S128">IFERROR(_xlfn.SWITCH(L128,1,_xlfn.XLOOKUP(O128,[1]AttributeName!$B:$B,[1]AttributeName!$D:$D),2,_xlfn.XLOOKUP(C128,#REF!,#REF!),3,_xlfn.XLOOKUP(C128,#REF!,#REF!)),0)</f>
        <v>0</v>
      </c>
      <c r="T128" cm="1">
        <f t="array" ref="T128">IFERROR(_xlfn.SWITCH(L128,1,_xlfn.XLOOKUP(O128,[1]AttributeName!$B:$B,[1]AttributeName!$E:$E),2,_xlfn.XLOOKUP(C128,#REF!,#REF!),3,_xlfn.XLOOKUP(C128,#REF!,#REF!)),0)</f>
        <v>1</v>
      </c>
    </row>
    <row r="129" spans="1:20">
      <c r="A129">
        <f t="shared" si="13"/>
        <v>56</v>
      </c>
      <c r="B129">
        <f t="shared" si="14"/>
        <v>3</v>
      </c>
      <c r="C129" s="13" t="s">
        <v>397</v>
      </c>
      <c r="D129" t="s">
        <v>22</v>
      </c>
      <c r="E129" s="13" t="s">
        <v>392</v>
      </c>
      <c r="G129">
        <v>2</v>
      </c>
      <c r="H129">
        <v>200</v>
      </c>
      <c r="I129">
        <v>2</v>
      </c>
      <c r="J129" cm="1">
        <f t="array" ref="J129">_xlfn.SWITCH(B129,1,75,2,61,3,49,4,37,5,25,6,13,7,4,8,1)</f>
        <v>49</v>
      </c>
      <c r="K129" t="str" cm="1">
        <f t="array" ref="K129">IFERROR(_xlfn.SWITCH(L129,2,_xlfn.XLOOKUP(C129,[1]ModifierDes!$B:$B,[1]ModifierDes!$C:$C),3,_xlfn.XLOOKUP(C129,[1]StuntDes!$B:$B,[1]StuntDes!$C:$C)),"")</f>
        <v/>
      </c>
      <c r="L129">
        <f t="shared" si="7"/>
        <v>1</v>
      </c>
      <c r="M129" s="10" t="str">
        <f>IFERROR(_xlfn.XLOOKUP(C129,[1]StuntDes!$B:$B,[1]StuntDes!$A:$A),"")</f>
        <v/>
      </c>
      <c r="N129" s="10" t="str">
        <f>IFERROR(_xlfn.XLOOKUP(C129,[1]ModifierDes!$B:$B,[1]ModifierDes!$A:$A),"")</f>
        <v/>
      </c>
      <c r="O129" s="10">
        <f>IFERROR(_xlfn.XLOOKUP(C129,[1]AttributeName!$C:$C,[1]AttributeName!$B:$B),"")</f>
        <v>10406</v>
      </c>
      <c r="P129" s="10"/>
      <c r="Q129">
        <v>2</v>
      </c>
      <c r="R129">
        <v>3</v>
      </c>
      <c r="S129" cm="1">
        <f t="array" ref="S129">IFERROR(_xlfn.SWITCH(L129,1,_xlfn.XLOOKUP(O129,[1]AttributeName!$B:$B,[1]AttributeName!$D:$D),2,_xlfn.XLOOKUP(C129,#REF!,#REF!),3,_xlfn.XLOOKUP(C129,#REF!,#REF!)),0)</f>
        <v>0</v>
      </c>
      <c r="T129" cm="1">
        <f t="array" ref="T129">IFERROR(_xlfn.SWITCH(L129,1,_xlfn.XLOOKUP(O129,[1]AttributeName!$B:$B,[1]AttributeName!$E:$E),2,_xlfn.XLOOKUP(C129,#REF!,#REF!),3,_xlfn.XLOOKUP(C129,#REF!,#REF!)),0)</f>
        <v>1</v>
      </c>
    </row>
    <row r="130" spans="1:20">
      <c r="A130">
        <f t="shared" si="13"/>
        <v>56</v>
      </c>
      <c r="B130">
        <f t="shared" si="14"/>
        <v>5</v>
      </c>
      <c r="C130" s="13" t="s">
        <v>397</v>
      </c>
      <c r="D130" t="s">
        <v>22</v>
      </c>
      <c r="E130" s="13" t="s">
        <v>392</v>
      </c>
      <c r="G130">
        <v>2</v>
      </c>
      <c r="H130">
        <v>500</v>
      </c>
      <c r="I130">
        <v>2</v>
      </c>
      <c r="J130" cm="1">
        <f t="array" ref="J130">_xlfn.SWITCH(B130,1,75,2,61,3,49,4,37,5,25,6,13,7,4,8,1)</f>
        <v>25</v>
      </c>
      <c r="K130" t="str" cm="1">
        <f t="array" ref="K130">IFERROR(_xlfn.SWITCH(L130,2,_xlfn.XLOOKUP(C130,[1]ModifierDes!$B:$B,[1]ModifierDes!$C:$C),3,_xlfn.XLOOKUP(C130,[1]StuntDes!$B:$B,[1]StuntDes!$C:$C)),"")</f>
        <v/>
      </c>
      <c r="L130">
        <f t="shared" si="7"/>
        <v>1</v>
      </c>
      <c r="M130" s="10" t="str">
        <f>IFERROR(_xlfn.XLOOKUP(C130,[1]StuntDes!$B:$B,[1]StuntDes!$A:$A),"")</f>
        <v/>
      </c>
      <c r="N130" s="10" t="str">
        <f>IFERROR(_xlfn.XLOOKUP(C130,[1]ModifierDes!$B:$B,[1]ModifierDes!$A:$A),"")</f>
        <v/>
      </c>
      <c r="O130" s="10">
        <f>IFERROR(_xlfn.XLOOKUP(C130,[1]AttributeName!$C:$C,[1]AttributeName!$B:$B),"")</f>
        <v>10406</v>
      </c>
      <c r="P130" s="10"/>
      <c r="Q130">
        <v>1</v>
      </c>
      <c r="R130">
        <v>1</v>
      </c>
      <c r="S130" cm="1">
        <f t="array" ref="S130">IFERROR(_xlfn.SWITCH(L130,1,_xlfn.XLOOKUP(O130,[1]AttributeName!$B:$B,[1]AttributeName!$D:$D),2,_xlfn.XLOOKUP(C130,#REF!,#REF!),3,_xlfn.XLOOKUP(C130,#REF!,#REF!)),0)</f>
        <v>0</v>
      </c>
      <c r="T130" cm="1">
        <f t="array" ref="T130">IFERROR(_xlfn.SWITCH(L130,1,_xlfn.XLOOKUP(O130,[1]AttributeName!$B:$B,[1]AttributeName!$E:$E),2,_xlfn.XLOOKUP(C130,#REF!,#REF!),3,_xlfn.XLOOKUP(C130,#REF!,#REF!)),0)</f>
        <v>1</v>
      </c>
    </row>
    <row r="131" spans="1:20">
      <c r="A131">
        <f t="shared" si="13"/>
        <v>57</v>
      </c>
      <c r="B131">
        <f t="shared" si="14"/>
        <v>1</v>
      </c>
      <c r="C131" s="13" t="s">
        <v>398</v>
      </c>
      <c r="D131" t="s">
        <v>22</v>
      </c>
      <c r="E131" s="13" t="s">
        <v>392</v>
      </c>
      <c r="G131">
        <v>2</v>
      </c>
      <c r="H131">
        <v>100</v>
      </c>
      <c r="I131">
        <v>2</v>
      </c>
      <c r="J131" cm="1">
        <f t="array" ref="J131">_xlfn.SWITCH(B131,1,75,2,61,3,49,4,37,5,25,6,13,7,4,8,1)</f>
        <v>75</v>
      </c>
      <c r="K131" t="str" cm="1">
        <f t="array" ref="K131">IFERROR(_xlfn.SWITCH(L131,2,_xlfn.XLOOKUP(C131,[1]ModifierDes!$B:$B,[1]ModifierDes!$C:$C),3,_xlfn.XLOOKUP(C131,[1]StuntDes!$B:$B,[1]StuntDes!$C:$C)),"")</f>
        <v/>
      </c>
      <c r="L131">
        <f t="shared" si="7"/>
        <v>1</v>
      </c>
      <c r="M131" s="10" t="str">
        <f>IFERROR(_xlfn.XLOOKUP(C131,[1]StuntDes!$B:$B,[1]StuntDes!$A:$A),"")</f>
        <v/>
      </c>
      <c r="N131" s="10" t="str">
        <f>IFERROR(_xlfn.XLOOKUP(C131,[1]ModifierDes!$B:$B,[1]ModifierDes!$A:$A),"")</f>
        <v/>
      </c>
      <c r="O131" s="10">
        <f>IFERROR(_xlfn.XLOOKUP(C131,[1]AttributeName!$C:$C,[1]AttributeName!$B:$B),"")</f>
        <v>10407</v>
      </c>
      <c r="P131" s="10"/>
      <c r="Q131">
        <v>4</v>
      </c>
      <c r="R131">
        <v>6</v>
      </c>
      <c r="S131" cm="1">
        <f t="array" ref="S131">IFERROR(_xlfn.SWITCH(L131,1,_xlfn.XLOOKUP(O131,[1]AttributeName!$B:$B,[1]AttributeName!$D:$D),2,_xlfn.XLOOKUP(C131,#REF!,#REF!),3,_xlfn.XLOOKUP(C131,#REF!,#REF!)),0)</f>
        <v>0</v>
      </c>
      <c r="T131" cm="1">
        <f t="array" ref="T131">IFERROR(_xlfn.SWITCH(L131,1,_xlfn.XLOOKUP(O131,[1]AttributeName!$B:$B,[1]AttributeName!$E:$E),2,_xlfn.XLOOKUP(C131,#REF!,#REF!),3,_xlfn.XLOOKUP(C131,#REF!,#REF!)),0)</f>
        <v>1</v>
      </c>
    </row>
    <row r="132" spans="1:20">
      <c r="A132">
        <f t="shared" si="13"/>
        <v>57</v>
      </c>
      <c r="B132">
        <f t="shared" si="14"/>
        <v>3</v>
      </c>
      <c r="C132" s="13" t="s">
        <v>398</v>
      </c>
      <c r="D132" t="s">
        <v>22</v>
      </c>
      <c r="E132" s="13" t="s">
        <v>392</v>
      </c>
      <c r="G132">
        <v>2</v>
      </c>
      <c r="H132">
        <v>200</v>
      </c>
      <c r="I132">
        <v>2</v>
      </c>
      <c r="J132" cm="1">
        <f t="array" ref="J132">_xlfn.SWITCH(B132,1,75,2,61,3,49,4,37,5,25,6,13,7,4,8,1)</f>
        <v>49</v>
      </c>
      <c r="K132" t="str" cm="1">
        <f t="array" ref="K132">IFERROR(_xlfn.SWITCH(L132,2,_xlfn.XLOOKUP(C132,[1]ModifierDes!$B:$B,[1]ModifierDes!$C:$C),3,_xlfn.XLOOKUP(C132,[1]StuntDes!$B:$B,[1]StuntDes!$C:$C)),"")</f>
        <v/>
      </c>
      <c r="L132">
        <f t="shared" ref="L132:L195" si="15">IF(M132="",IF(N132="",1,2),3)</f>
        <v>1</v>
      </c>
      <c r="M132" s="10" t="str">
        <f>IFERROR(_xlfn.XLOOKUP(C132,[1]StuntDes!$B:$B,[1]StuntDes!$A:$A),"")</f>
        <v/>
      </c>
      <c r="N132" s="10" t="str">
        <f>IFERROR(_xlfn.XLOOKUP(C132,[1]ModifierDes!$B:$B,[1]ModifierDes!$A:$A),"")</f>
        <v/>
      </c>
      <c r="O132" s="10">
        <f>IFERROR(_xlfn.XLOOKUP(C132,[1]AttributeName!$C:$C,[1]AttributeName!$B:$B),"")</f>
        <v>10407</v>
      </c>
      <c r="P132" s="10"/>
      <c r="Q132">
        <v>2</v>
      </c>
      <c r="R132">
        <v>3</v>
      </c>
      <c r="S132" cm="1">
        <f t="array" ref="S132">IFERROR(_xlfn.SWITCH(L132,1,_xlfn.XLOOKUP(O132,[1]AttributeName!$B:$B,[1]AttributeName!$D:$D),2,_xlfn.XLOOKUP(C132,#REF!,#REF!),3,_xlfn.XLOOKUP(C132,#REF!,#REF!)),0)</f>
        <v>0</v>
      </c>
      <c r="T132" cm="1">
        <f t="array" ref="T132">IFERROR(_xlfn.SWITCH(L132,1,_xlfn.XLOOKUP(O132,[1]AttributeName!$B:$B,[1]AttributeName!$E:$E),2,_xlfn.XLOOKUP(C132,#REF!,#REF!),3,_xlfn.XLOOKUP(C132,#REF!,#REF!)),0)</f>
        <v>1</v>
      </c>
    </row>
    <row r="133" spans="1:20">
      <c r="A133">
        <f t="shared" si="13"/>
        <v>57</v>
      </c>
      <c r="B133">
        <f t="shared" si="14"/>
        <v>5</v>
      </c>
      <c r="C133" s="13" t="s">
        <v>398</v>
      </c>
      <c r="D133" t="s">
        <v>22</v>
      </c>
      <c r="E133" s="13" t="s">
        <v>392</v>
      </c>
      <c r="G133">
        <v>2</v>
      </c>
      <c r="H133">
        <v>500</v>
      </c>
      <c r="I133">
        <v>2</v>
      </c>
      <c r="J133" cm="1">
        <f t="array" ref="J133">_xlfn.SWITCH(B133,1,75,2,61,3,49,4,37,5,25,6,13,7,4,8,1)</f>
        <v>25</v>
      </c>
      <c r="K133" t="str" cm="1">
        <f t="array" ref="K133">IFERROR(_xlfn.SWITCH(L133,2,_xlfn.XLOOKUP(C133,[1]ModifierDes!$B:$B,[1]ModifierDes!$C:$C),3,_xlfn.XLOOKUP(C133,[1]StuntDes!$B:$B,[1]StuntDes!$C:$C)),"")</f>
        <v/>
      </c>
      <c r="L133">
        <f t="shared" si="15"/>
        <v>1</v>
      </c>
      <c r="M133" s="10" t="str">
        <f>IFERROR(_xlfn.XLOOKUP(C133,[1]StuntDes!$B:$B,[1]StuntDes!$A:$A),"")</f>
        <v/>
      </c>
      <c r="N133" s="10" t="str">
        <f>IFERROR(_xlfn.XLOOKUP(C133,[1]ModifierDes!$B:$B,[1]ModifierDes!$A:$A),"")</f>
        <v/>
      </c>
      <c r="O133" s="10">
        <f>IFERROR(_xlfn.XLOOKUP(C133,[1]AttributeName!$C:$C,[1]AttributeName!$B:$B),"")</f>
        <v>10407</v>
      </c>
      <c r="P133" s="10"/>
      <c r="Q133">
        <v>1</v>
      </c>
      <c r="R133">
        <v>1</v>
      </c>
      <c r="S133" cm="1">
        <f t="array" ref="S133">IFERROR(_xlfn.SWITCH(L133,1,_xlfn.XLOOKUP(O133,[1]AttributeName!$B:$B,[1]AttributeName!$D:$D),2,_xlfn.XLOOKUP(C133,#REF!,#REF!),3,_xlfn.XLOOKUP(C133,#REF!,#REF!)),0)</f>
        <v>0</v>
      </c>
      <c r="T133" cm="1">
        <f t="array" ref="T133">IFERROR(_xlfn.SWITCH(L133,1,_xlfn.XLOOKUP(O133,[1]AttributeName!$B:$B,[1]AttributeName!$E:$E),2,_xlfn.XLOOKUP(C133,#REF!,#REF!),3,_xlfn.XLOOKUP(C133,#REF!,#REF!)),0)</f>
        <v>1</v>
      </c>
    </row>
    <row r="134" customFormat="1" spans="1:20">
      <c r="A134">
        <v>59</v>
      </c>
      <c r="B134">
        <v>1</v>
      </c>
      <c r="C134" t="s">
        <v>399</v>
      </c>
      <c r="D134" t="s">
        <v>22</v>
      </c>
      <c r="E134" s="13" t="s">
        <v>392</v>
      </c>
      <c r="F134"/>
      <c r="G134">
        <v>2</v>
      </c>
      <c r="H134">
        <v>100</v>
      </c>
      <c r="J134" cm="1">
        <f t="array" ref="J134">_xlfn.SWITCH(B134,1,75,2,61,3,49,4,37,5,25,6,13,7,4,8,1)</f>
        <v>75</v>
      </c>
      <c r="K134" t="str" cm="1">
        <f t="array" ref="K134">IFERROR(_xlfn.SWITCH(L134,2,_xlfn.XLOOKUP(C134,[1]ModifierDes!$B:$B,[1]ModifierDes!$C:$C),3,_xlfn.XLOOKUP(C134,[1]StuntDes!$B:$B,[1]StuntDes!$C:$C)),"")</f>
        <v/>
      </c>
      <c r="L134">
        <f t="shared" si="15"/>
        <v>1</v>
      </c>
      <c r="M134" s="10" t="str">
        <f>IFERROR(_xlfn.XLOOKUP(C134,[1]StuntDes!$B:$B,[1]StuntDes!$A:$A),"")</f>
        <v/>
      </c>
      <c r="N134" s="10" t="str">
        <f>IFERROR(_xlfn.XLOOKUP(C134,[1]ModifierDes!$B:$B,[1]ModifierDes!$A:$A),"")</f>
        <v/>
      </c>
      <c r="O134" s="10">
        <f>IFERROR(_xlfn.XLOOKUP(C134,[1]AttributeName!$C:$C,[1]AttributeName!$B:$B),"")</f>
        <v>10102</v>
      </c>
      <c r="P134" s="10"/>
      <c r="Q134">
        <v>1.2</v>
      </c>
      <c r="R134">
        <v>1.6</v>
      </c>
      <c r="S134" cm="1">
        <f t="array" ref="S134">IFERROR(_xlfn.SWITCH(L134,1,_xlfn.XLOOKUP(O134,[1]AttributeName!$B:$B,[1]AttributeName!$D:$D),2,_xlfn.XLOOKUP(C134,#REF!,#REF!),3,_xlfn.XLOOKUP(C134,#REF!,#REF!)),0)</f>
        <v>2</v>
      </c>
      <c r="T134" cm="1">
        <f t="array" ref="T134">IFERROR(_xlfn.SWITCH(L134,1,_xlfn.XLOOKUP(O134,[1]AttributeName!$B:$B,[1]AttributeName!$E:$E),2,_xlfn.XLOOKUP(C134,#REF!,#REF!),3,_xlfn.XLOOKUP(C134,#REF!,#REF!)),0)</f>
        <v>2</v>
      </c>
    </row>
    <row r="135" customFormat="1" spans="1:20">
      <c r="A135">
        <v>59</v>
      </c>
      <c r="B135">
        <v>2</v>
      </c>
      <c r="C135" t="s">
        <v>399</v>
      </c>
      <c r="D135" t="s">
        <v>22</v>
      </c>
      <c r="E135" s="13" t="s">
        <v>392</v>
      </c>
      <c r="F135"/>
      <c r="G135">
        <v>2</v>
      </c>
      <c r="H135">
        <v>200</v>
      </c>
      <c r="J135" cm="1">
        <f t="array" ref="J135">_xlfn.SWITCH(B135,1,75,2,61,3,49,4,37,5,25,6,13,7,4,8,1)</f>
        <v>61</v>
      </c>
      <c r="K135" t="str" cm="1">
        <f t="array" ref="K135">IFERROR(_xlfn.SWITCH(L135,2,_xlfn.XLOOKUP(C135,[1]ModifierDes!$B:$B,[1]ModifierDes!$C:$C),3,_xlfn.XLOOKUP(C135,[1]StuntDes!$B:$B,[1]StuntDes!$C:$C)),"")</f>
        <v/>
      </c>
      <c r="L135">
        <f t="shared" si="15"/>
        <v>1</v>
      </c>
      <c r="M135" s="10" t="str">
        <f>IFERROR(_xlfn.XLOOKUP(C135,[1]StuntDes!$B:$B,[1]StuntDes!$A:$A),"")</f>
        <v/>
      </c>
      <c r="N135" s="10" t="str">
        <f>IFERROR(_xlfn.XLOOKUP(C135,[1]ModifierDes!$B:$B,[1]ModifierDes!$A:$A),"")</f>
        <v/>
      </c>
      <c r="O135" s="10">
        <f>IFERROR(_xlfn.XLOOKUP(C135,[1]AttributeName!$C:$C,[1]AttributeName!$B:$B),"")</f>
        <v>10102</v>
      </c>
      <c r="P135" s="10"/>
      <c r="Q135">
        <v>1.04</v>
      </c>
      <c r="R135">
        <v>1.18</v>
      </c>
      <c r="S135" cm="1">
        <f t="array" ref="S135">IFERROR(_xlfn.SWITCH(L135,1,_xlfn.XLOOKUP(O135,[1]AttributeName!$B:$B,[1]AttributeName!$D:$D),2,_xlfn.XLOOKUP(C135,#REF!,#REF!),3,_xlfn.XLOOKUP(C135,#REF!,#REF!)),0)</f>
        <v>2</v>
      </c>
      <c r="T135" cm="1">
        <f t="array" ref="T135">IFERROR(_xlfn.SWITCH(L135,1,_xlfn.XLOOKUP(O135,[1]AttributeName!$B:$B,[1]AttributeName!$E:$E),2,_xlfn.XLOOKUP(C135,#REF!,#REF!),3,_xlfn.XLOOKUP(C135,#REF!,#REF!)),0)</f>
        <v>2</v>
      </c>
    </row>
    <row r="136" customFormat="1" spans="1:20">
      <c r="A136">
        <v>59</v>
      </c>
      <c r="B136">
        <v>3</v>
      </c>
      <c r="C136" t="s">
        <v>399</v>
      </c>
      <c r="D136" t="s">
        <v>22</v>
      </c>
      <c r="E136" s="13" t="s">
        <v>392</v>
      </c>
      <c r="F136"/>
      <c r="G136">
        <v>2</v>
      </c>
      <c r="H136">
        <v>500</v>
      </c>
      <c r="J136" cm="1">
        <f t="array" ref="J136">_xlfn.SWITCH(B136,1,75,2,61,3,49,4,37,5,25,6,13,7,4,8,1)</f>
        <v>49</v>
      </c>
      <c r="K136" t="str" cm="1">
        <f t="array" ref="K136">IFERROR(_xlfn.SWITCH(L136,2,_xlfn.XLOOKUP(C136,[1]ModifierDes!$B:$B,[1]ModifierDes!$C:$C),3,_xlfn.XLOOKUP(C136,[1]StuntDes!$B:$B,[1]StuntDes!$C:$C)),"")</f>
        <v/>
      </c>
      <c r="L136">
        <f t="shared" si="15"/>
        <v>1</v>
      </c>
      <c r="M136" s="10" t="str">
        <f>IFERROR(_xlfn.XLOOKUP(C136,[1]StuntDes!$B:$B,[1]StuntDes!$A:$A),"")</f>
        <v/>
      </c>
      <c r="N136" s="10" t="str">
        <f>IFERROR(_xlfn.XLOOKUP(C136,[1]ModifierDes!$B:$B,[1]ModifierDes!$A:$A),"")</f>
        <v/>
      </c>
      <c r="O136" s="10">
        <f>IFERROR(_xlfn.XLOOKUP(C136,[1]AttributeName!$C:$C,[1]AttributeName!$B:$B),"")</f>
        <v>10102</v>
      </c>
      <c r="P136" s="10"/>
      <c r="Q136">
        <v>0.88</v>
      </c>
      <c r="R136">
        <v>1.02</v>
      </c>
      <c r="S136" cm="1">
        <f t="array" ref="S136">IFERROR(_xlfn.SWITCH(L136,1,_xlfn.XLOOKUP(O136,[1]AttributeName!$B:$B,[1]AttributeName!$D:$D),2,_xlfn.XLOOKUP(C136,#REF!,#REF!),3,_xlfn.XLOOKUP(C136,#REF!,#REF!)),0)</f>
        <v>2</v>
      </c>
      <c r="T136" cm="1">
        <f t="array" ref="T136">IFERROR(_xlfn.SWITCH(L136,1,_xlfn.XLOOKUP(O136,[1]AttributeName!$B:$B,[1]AttributeName!$E:$E),2,_xlfn.XLOOKUP(C136,#REF!,#REF!),3,_xlfn.XLOOKUP(C136,#REF!,#REF!)),0)</f>
        <v>2</v>
      </c>
    </row>
    <row r="137" customFormat="1" spans="1:20">
      <c r="A137">
        <v>59</v>
      </c>
      <c r="B137">
        <v>4</v>
      </c>
      <c r="C137" t="s">
        <v>399</v>
      </c>
      <c r="D137" t="s">
        <v>22</v>
      </c>
      <c r="E137" s="13" t="s">
        <v>392</v>
      </c>
      <c r="F137"/>
      <c r="G137">
        <v>2</v>
      </c>
      <c r="H137">
        <v>1000</v>
      </c>
      <c r="J137" cm="1">
        <f t="array" ref="J137">_xlfn.SWITCH(B137,1,75,2,61,3,49,4,37,5,25,6,13,7,4,8,1)</f>
        <v>37</v>
      </c>
      <c r="K137" t="str" cm="1">
        <f t="array" ref="K137">IFERROR(_xlfn.SWITCH(L137,2,_xlfn.XLOOKUP(C137,[1]ModifierDes!$B:$B,[1]ModifierDes!$C:$C),3,_xlfn.XLOOKUP(C137,[1]StuntDes!$B:$B,[1]StuntDes!$C:$C)),"")</f>
        <v/>
      </c>
      <c r="L137">
        <f t="shared" si="15"/>
        <v>1</v>
      </c>
      <c r="M137" s="10" t="str">
        <f>IFERROR(_xlfn.XLOOKUP(C137,[1]StuntDes!$B:$B,[1]StuntDes!$A:$A),"")</f>
        <v/>
      </c>
      <c r="N137" s="10" t="str">
        <f>IFERROR(_xlfn.XLOOKUP(C137,[1]ModifierDes!$B:$B,[1]ModifierDes!$A:$A),"")</f>
        <v/>
      </c>
      <c r="O137" s="10">
        <f>IFERROR(_xlfn.XLOOKUP(C137,[1]AttributeName!$C:$C,[1]AttributeName!$B:$B),"")</f>
        <v>10102</v>
      </c>
      <c r="P137" s="10"/>
      <c r="Q137">
        <v>0.72</v>
      </c>
      <c r="R137">
        <v>0.86</v>
      </c>
      <c r="S137" cm="1">
        <f t="array" ref="S137">IFERROR(_xlfn.SWITCH(L137,1,_xlfn.XLOOKUP(O137,[1]AttributeName!$B:$B,[1]AttributeName!$D:$D),2,_xlfn.XLOOKUP(C137,#REF!,#REF!),3,_xlfn.XLOOKUP(C137,#REF!,#REF!)),0)</f>
        <v>2</v>
      </c>
      <c r="T137" cm="1">
        <f t="array" ref="T137">IFERROR(_xlfn.SWITCH(L137,1,_xlfn.XLOOKUP(O137,[1]AttributeName!$B:$B,[1]AttributeName!$E:$E),2,_xlfn.XLOOKUP(C137,#REF!,#REF!),3,_xlfn.XLOOKUP(C137,#REF!,#REF!)),0)</f>
        <v>2</v>
      </c>
    </row>
    <row r="138" customFormat="1" spans="1:20">
      <c r="A138">
        <v>59</v>
      </c>
      <c r="B138">
        <v>5</v>
      </c>
      <c r="C138" t="s">
        <v>399</v>
      </c>
      <c r="D138" t="s">
        <v>22</v>
      </c>
      <c r="E138" s="13" t="s">
        <v>392</v>
      </c>
      <c r="F138"/>
      <c r="G138">
        <v>2</v>
      </c>
      <c r="H138">
        <v>1000</v>
      </c>
      <c r="J138" cm="1">
        <f t="array" ref="J138">_xlfn.SWITCH(B138,1,75,2,61,3,49,4,37,5,25,6,13,7,4,8,1)</f>
        <v>25</v>
      </c>
      <c r="K138" t="str" cm="1">
        <f t="array" ref="K138">IFERROR(_xlfn.SWITCH(L138,2,_xlfn.XLOOKUP(C138,[1]ModifierDes!$B:$B,[1]ModifierDes!$C:$C),3,_xlfn.XLOOKUP(C138,[1]StuntDes!$B:$B,[1]StuntDes!$C:$C)),"")</f>
        <v/>
      </c>
      <c r="L138">
        <f t="shared" si="15"/>
        <v>1</v>
      </c>
      <c r="M138" s="10" t="str">
        <f>IFERROR(_xlfn.XLOOKUP(C138,[1]StuntDes!$B:$B,[1]StuntDes!$A:$A),"")</f>
        <v/>
      </c>
      <c r="N138" s="10" t="str">
        <f>IFERROR(_xlfn.XLOOKUP(C138,[1]ModifierDes!$B:$B,[1]ModifierDes!$A:$A),"")</f>
        <v/>
      </c>
      <c r="O138" s="10">
        <f>IFERROR(_xlfn.XLOOKUP(C138,[1]AttributeName!$C:$C,[1]AttributeName!$B:$B),"")</f>
        <v>10102</v>
      </c>
      <c r="P138" s="10"/>
      <c r="Q138">
        <v>0.56</v>
      </c>
      <c r="R138">
        <v>0.7</v>
      </c>
      <c r="S138" cm="1">
        <f t="array" ref="S138">IFERROR(_xlfn.SWITCH(L138,1,_xlfn.XLOOKUP(O138,[1]AttributeName!$B:$B,[1]AttributeName!$D:$D),2,_xlfn.XLOOKUP(C138,#REF!,#REF!),3,_xlfn.XLOOKUP(C138,#REF!,#REF!)),0)</f>
        <v>2</v>
      </c>
      <c r="T138" cm="1">
        <f t="array" ref="T138">IFERROR(_xlfn.SWITCH(L138,1,_xlfn.XLOOKUP(O138,[1]AttributeName!$B:$B,[1]AttributeName!$E:$E),2,_xlfn.XLOOKUP(C138,#REF!,#REF!),3,_xlfn.XLOOKUP(C138,#REF!,#REF!)),0)</f>
        <v>2</v>
      </c>
    </row>
    <row r="139" customFormat="1" spans="1:20">
      <c r="A139">
        <v>59</v>
      </c>
      <c r="B139">
        <v>6</v>
      </c>
      <c r="C139" t="s">
        <v>399</v>
      </c>
      <c r="D139" t="s">
        <v>22</v>
      </c>
      <c r="E139" s="13" t="s">
        <v>392</v>
      </c>
      <c r="F139"/>
      <c r="G139">
        <v>2</v>
      </c>
      <c r="H139">
        <v>1000</v>
      </c>
      <c r="J139" cm="1">
        <f t="array" ref="J139">_xlfn.SWITCH(B139,1,75,2,61,3,49,4,37,5,25,6,13,7,4,8,1)</f>
        <v>13</v>
      </c>
      <c r="K139" t="str" cm="1">
        <f t="array" ref="K139">IFERROR(_xlfn.SWITCH(L139,2,_xlfn.XLOOKUP(C139,[1]ModifierDes!$B:$B,[1]ModifierDes!$C:$C),3,_xlfn.XLOOKUP(C139,[1]StuntDes!$B:$B,[1]StuntDes!$C:$C)),"")</f>
        <v/>
      </c>
      <c r="L139">
        <f t="shared" si="15"/>
        <v>1</v>
      </c>
      <c r="M139" s="10" t="str">
        <f>IFERROR(_xlfn.XLOOKUP(C139,[1]StuntDes!$B:$B,[1]StuntDes!$A:$A),"")</f>
        <v/>
      </c>
      <c r="N139" s="10" t="str">
        <f>IFERROR(_xlfn.XLOOKUP(C139,[1]ModifierDes!$B:$B,[1]ModifierDes!$A:$A),"")</f>
        <v/>
      </c>
      <c r="O139" s="10">
        <f>IFERROR(_xlfn.XLOOKUP(C139,[1]AttributeName!$C:$C,[1]AttributeName!$B:$B),"")</f>
        <v>10102</v>
      </c>
      <c r="P139" s="10"/>
      <c r="Q139">
        <v>0.4</v>
      </c>
      <c r="R139">
        <v>0.54</v>
      </c>
      <c r="S139" cm="1">
        <f t="array" ref="S139">IFERROR(_xlfn.SWITCH(L139,1,_xlfn.XLOOKUP(O139,[1]AttributeName!$B:$B,[1]AttributeName!$D:$D),2,_xlfn.XLOOKUP(C139,#REF!,#REF!),3,_xlfn.XLOOKUP(C139,#REF!,#REF!)),0)</f>
        <v>2</v>
      </c>
      <c r="T139" cm="1">
        <f t="array" ref="T139">IFERROR(_xlfn.SWITCH(L139,1,_xlfn.XLOOKUP(O139,[1]AttributeName!$B:$B,[1]AttributeName!$E:$E),2,_xlfn.XLOOKUP(C139,#REF!,#REF!),3,_xlfn.XLOOKUP(C139,#REF!,#REF!)),0)</f>
        <v>2</v>
      </c>
    </row>
    <row r="140" customFormat="1" spans="1:20">
      <c r="A140">
        <v>59</v>
      </c>
      <c r="B140">
        <v>7</v>
      </c>
      <c r="C140" t="s">
        <v>399</v>
      </c>
      <c r="D140" t="s">
        <v>22</v>
      </c>
      <c r="E140" s="13" t="s">
        <v>392</v>
      </c>
      <c r="F140"/>
      <c r="G140">
        <v>2</v>
      </c>
      <c r="H140">
        <v>1000</v>
      </c>
      <c r="J140" cm="1">
        <f t="array" ref="J140">_xlfn.SWITCH(B140,1,75,2,61,3,49,4,37,5,25,6,13,7,4,8,1)</f>
        <v>4</v>
      </c>
      <c r="K140" t="str" cm="1">
        <f t="array" ref="K140">IFERROR(_xlfn.SWITCH(L140,2,_xlfn.XLOOKUP(C140,[1]ModifierDes!$B:$B,[1]ModifierDes!$C:$C),3,_xlfn.XLOOKUP(C140,[1]StuntDes!$B:$B,[1]StuntDes!$C:$C)),"")</f>
        <v/>
      </c>
      <c r="L140">
        <f t="shared" si="15"/>
        <v>1</v>
      </c>
      <c r="M140" s="10" t="str">
        <f>IFERROR(_xlfn.XLOOKUP(C140,[1]StuntDes!$B:$B,[1]StuntDes!$A:$A),"")</f>
        <v/>
      </c>
      <c r="N140" s="10" t="str">
        <f>IFERROR(_xlfn.XLOOKUP(C140,[1]ModifierDes!$B:$B,[1]ModifierDes!$A:$A),"")</f>
        <v/>
      </c>
      <c r="O140" s="10">
        <f>IFERROR(_xlfn.XLOOKUP(C140,[1]AttributeName!$C:$C,[1]AttributeName!$B:$B),"")</f>
        <v>10102</v>
      </c>
      <c r="P140" s="10"/>
      <c r="Q140">
        <v>0.24</v>
      </c>
      <c r="R140">
        <v>0.38</v>
      </c>
      <c r="S140" cm="1">
        <f t="array" ref="S140">IFERROR(_xlfn.SWITCH(L140,1,_xlfn.XLOOKUP(O140,[1]AttributeName!$B:$B,[1]AttributeName!$D:$D),2,_xlfn.XLOOKUP(C140,#REF!,#REF!),3,_xlfn.XLOOKUP(C140,#REF!,#REF!)),0)</f>
        <v>2</v>
      </c>
      <c r="T140" cm="1">
        <f t="array" ref="T140">IFERROR(_xlfn.SWITCH(L140,1,_xlfn.XLOOKUP(O140,[1]AttributeName!$B:$B,[1]AttributeName!$E:$E),2,_xlfn.XLOOKUP(C140,#REF!,#REF!),3,_xlfn.XLOOKUP(C140,#REF!,#REF!)),0)</f>
        <v>2</v>
      </c>
    </row>
    <row r="141" customFormat="1" spans="1:20">
      <c r="A141">
        <v>59</v>
      </c>
      <c r="B141">
        <v>8</v>
      </c>
      <c r="C141" t="s">
        <v>399</v>
      </c>
      <c r="D141" t="s">
        <v>22</v>
      </c>
      <c r="E141" s="13" t="s">
        <v>392</v>
      </c>
      <c r="F141"/>
      <c r="G141">
        <v>2</v>
      </c>
      <c r="H141">
        <v>1000</v>
      </c>
      <c r="J141" cm="1">
        <f t="array" ref="J141">_xlfn.SWITCH(B141,1,75,2,61,3,49,4,37,5,25,6,13,7,4,8,1)</f>
        <v>1</v>
      </c>
      <c r="K141" t="str" cm="1">
        <f t="array" ref="K141">IFERROR(_xlfn.SWITCH(L141,2,_xlfn.XLOOKUP(C141,[1]ModifierDes!$B:$B,[1]ModifierDes!$C:$C),3,_xlfn.XLOOKUP(C141,[1]StuntDes!$B:$B,[1]StuntDes!$C:$C)),"")</f>
        <v/>
      </c>
      <c r="L141">
        <f t="shared" si="15"/>
        <v>1</v>
      </c>
      <c r="M141" s="10" t="str">
        <f>IFERROR(_xlfn.XLOOKUP(C141,[1]StuntDes!$B:$B,[1]StuntDes!$A:$A),"")</f>
        <v/>
      </c>
      <c r="N141" s="10" t="str">
        <f>IFERROR(_xlfn.XLOOKUP(C141,[1]ModifierDes!$B:$B,[1]ModifierDes!$A:$A),"")</f>
        <v/>
      </c>
      <c r="O141" s="10">
        <f>IFERROR(_xlfn.XLOOKUP(C141,[1]AttributeName!$C:$C,[1]AttributeName!$B:$B),"")</f>
        <v>10102</v>
      </c>
      <c r="P141" s="10"/>
      <c r="Q141">
        <v>0.0799999999999998</v>
      </c>
      <c r="R141">
        <v>0.22</v>
      </c>
      <c r="S141" cm="1">
        <f t="array" ref="S141">IFERROR(_xlfn.SWITCH(L141,1,_xlfn.XLOOKUP(O141,[1]AttributeName!$B:$B,[1]AttributeName!$D:$D),2,_xlfn.XLOOKUP(C141,#REF!,#REF!),3,_xlfn.XLOOKUP(C141,#REF!,#REF!)),0)</f>
        <v>2</v>
      </c>
      <c r="T141" cm="1">
        <f t="array" ref="T141">IFERROR(_xlfn.SWITCH(L141,1,_xlfn.XLOOKUP(O141,[1]AttributeName!$B:$B,[1]AttributeName!$E:$E),2,_xlfn.XLOOKUP(C141,#REF!,#REF!),3,_xlfn.XLOOKUP(C141,#REF!,#REF!)),0)</f>
        <v>2</v>
      </c>
    </row>
    <row r="142" customFormat="1" spans="1:20">
      <c r="A142">
        <f t="shared" ref="A142:A159" si="16">A134+1</f>
        <v>60</v>
      </c>
      <c r="B142">
        <v>1</v>
      </c>
      <c r="C142" t="s">
        <v>400</v>
      </c>
      <c r="D142" t="s">
        <v>22</v>
      </c>
      <c r="E142" s="13" t="s">
        <v>392</v>
      </c>
      <c r="F142"/>
      <c r="G142">
        <v>2</v>
      </c>
      <c r="H142">
        <v>100</v>
      </c>
      <c r="J142" cm="1">
        <f t="array" ref="J142">_xlfn.SWITCH(B142,1,75,2,61,3,49,4,37,5,25,6,13,7,4,8,1)</f>
        <v>75</v>
      </c>
      <c r="K142" t="str" cm="1">
        <f t="array" ref="K142">IFERROR(_xlfn.SWITCH(L142,2,_xlfn.XLOOKUP(C142,[1]ModifierDes!$B:$B,[1]ModifierDes!$C:$C),3,_xlfn.XLOOKUP(C142,[1]StuntDes!$B:$B,[1]StuntDes!$C:$C)),"")</f>
        <v>攻击暴击伤害增加{0}</v>
      </c>
      <c r="L142">
        <f t="shared" si="15"/>
        <v>2</v>
      </c>
      <c r="M142" s="10" t="str">
        <f>IFERROR(_xlfn.XLOOKUP(C142,[1]StuntDes!$B:$B,[1]StuntDes!$A:$A),"")</f>
        <v/>
      </c>
      <c r="N142" s="10">
        <f>IFERROR(_xlfn.XLOOKUP(C142,[1]ModifierDes!$B:$B,[1]ModifierDes!$A:$A),"")</f>
        <v>10060</v>
      </c>
      <c r="O142" s="10"/>
      <c r="P142" s="10"/>
      <c r="Q142">
        <v>1.2</v>
      </c>
      <c r="R142">
        <v>1.6</v>
      </c>
      <c r="S142" cm="1">
        <f t="array" ref="S142">IFERROR(_xlfn.SWITCH(L142,1,_xlfn.XLOOKUP(O142,[1]AttributeName!$B:$B,[1]AttributeName!$D:$D),2,_xlfn.XLOOKUP(C142,#REF!,#REF!),3,_xlfn.XLOOKUP(C142,#REF!,#REF!)),0)</f>
        <v>0</v>
      </c>
      <c r="T142" cm="1">
        <f t="array" ref="T142">IFERROR(_xlfn.SWITCH(L142,1,_xlfn.XLOOKUP(O142,[1]AttributeName!$B:$B,[1]AttributeName!$E:$E),2,_xlfn.XLOOKUP(C142,#REF!,#REF!),3,_xlfn.XLOOKUP(C142,#REF!,#REF!)),0)</f>
        <v>0</v>
      </c>
    </row>
    <row r="143" customFormat="1" spans="1:20">
      <c r="A143">
        <f t="shared" si="16"/>
        <v>60</v>
      </c>
      <c r="B143">
        <v>2</v>
      </c>
      <c r="C143" t="s">
        <v>400</v>
      </c>
      <c r="D143" t="s">
        <v>22</v>
      </c>
      <c r="E143" s="13" t="s">
        <v>392</v>
      </c>
      <c r="F143"/>
      <c r="G143">
        <v>2</v>
      </c>
      <c r="H143">
        <v>200</v>
      </c>
      <c r="J143" cm="1">
        <f t="array" ref="J143">_xlfn.SWITCH(B143,1,75,2,61,3,49,4,37,5,25,6,13,7,4,8,1)</f>
        <v>61</v>
      </c>
      <c r="K143" t="str" cm="1">
        <f t="array" ref="K143">IFERROR(_xlfn.SWITCH(L143,2,_xlfn.XLOOKUP(C143,[1]ModifierDes!$B:$B,[1]ModifierDes!$C:$C),3,_xlfn.XLOOKUP(C143,[1]StuntDes!$B:$B,[1]StuntDes!$C:$C)),"")</f>
        <v>攻击暴击伤害增加{0}</v>
      </c>
      <c r="L143">
        <f t="shared" si="15"/>
        <v>2</v>
      </c>
      <c r="M143" s="10" t="str">
        <f>IFERROR(_xlfn.XLOOKUP(C143,[1]StuntDes!$B:$B,[1]StuntDes!$A:$A),"")</f>
        <v/>
      </c>
      <c r="N143" s="10">
        <f>IFERROR(_xlfn.XLOOKUP(C143,[1]ModifierDes!$B:$B,[1]ModifierDes!$A:$A),"")</f>
        <v>10060</v>
      </c>
      <c r="O143" s="10" t="str">
        <f>IFERROR(_xlfn.XLOOKUP(C143,[1]AttributeName!$C:$C,[1]AttributeName!$B:$B),"")</f>
        <v/>
      </c>
      <c r="P143" s="10"/>
      <c r="Q143">
        <v>1.04</v>
      </c>
      <c r="R143">
        <v>1.18</v>
      </c>
      <c r="S143" cm="1">
        <f t="array" ref="S143">IFERROR(_xlfn.SWITCH(L143,1,_xlfn.XLOOKUP(O143,[1]AttributeName!$B:$B,[1]AttributeName!$D:$D),2,_xlfn.XLOOKUP(C143,#REF!,#REF!),3,_xlfn.XLOOKUP(C143,#REF!,#REF!)),0)</f>
        <v>0</v>
      </c>
      <c r="T143" cm="1">
        <f t="array" ref="T143">IFERROR(_xlfn.SWITCH(L143,1,_xlfn.XLOOKUP(O143,[1]AttributeName!$B:$B,[1]AttributeName!$E:$E),2,_xlfn.XLOOKUP(C143,#REF!,#REF!),3,_xlfn.XLOOKUP(C143,#REF!,#REF!)),0)</f>
        <v>0</v>
      </c>
    </row>
    <row r="144" customFormat="1" spans="1:20">
      <c r="A144">
        <f t="shared" si="16"/>
        <v>60</v>
      </c>
      <c r="B144">
        <v>3</v>
      </c>
      <c r="C144" t="s">
        <v>400</v>
      </c>
      <c r="D144" t="s">
        <v>22</v>
      </c>
      <c r="E144" s="13" t="s">
        <v>392</v>
      </c>
      <c r="F144"/>
      <c r="G144">
        <v>2</v>
      </c>
      <c r="H144">
        <v>500</v>
      </c>
      <c r="J144" cm="1">
        <f t="array" ref="J144">_xlfn.SWITCH(B144,1,75,2,61,3,49,4,37,5,25,6,13,7,4,8,1)</f>
        <v>49</v>
      </c>
      <c r="K144" t="str" cm="1">
        <f t="array" ref="K144">IFERROR(_xlfn.SWITCH(L144,2,_xlfn.XLOOKUP(C144,[1]ModifierDes!$B:$B,[1]ModifierDes!$C:$C),3,_xlfn.XLOOKUP(C144,[1]StuntDes!$B:$B,[1]StuntDes!$C:$C)),"")</f>
        <v>攻击暴击伤害增加{0}</v>
      </c>
      <c r="L144">
        <f t="shared" si="15"/>
        <v>2</v>
      </c>
      <c r="M144" s="10" t="str">
        <f>IFERROR(_xlfn.XLOOKUP(C144,[1]StuntDes!$B:$B,[1]StuntDes!$A:$A),"")</f>
        <v/>
      </c>
      <c r="N144" s="10">
        <f>IFERROR(_xlfn.XLOOKUP(C144,[1]ModifierDes!$B:$B,[1]ModifierDes!$A:$A),"")</f>
        <v>10060</v>
      </c>
      <c r="O144" s="10" t="str">
        <f>IFERROR(_xlfn.XLOOKUP(C144,[1]AttributeName!$C:$C,[1]AttributeName!$B:$B),"")</f>
        <v/>
      </c>
      <c r="P144" s="10"/>
      <c r="Q144">
        <v>0.88</v>
      </c>
      <c r="R144">
        <v>1.02</v>
      </c>
      <c r="S144" cm="1">
        <f t="array" ref="S144">IFERROR(_xlfn.SWITCH(L144,1,_xlfn.XLOOKUP(O144,[1]AttributeName!$B:$B,[1]AttributeName!$D:$D),2,_xlfn.XLOOKUP(C144,#REF!,#REF!),3,_xlfn.XLOOKUP(C144,#REF!,#REF!)),0)</f>
        <v>0</v>
      </c>
      <c r="T144" cm="1">
        <f t="array" ref="T144">IFERROR(_xlfn.SWITCH(L144,1,_xlfn.XLOOKUP(O144,[1]AttributeName!$B:$B,[1]AttributeName!$E:$E),2,_xlfn.XLOOKUP(C144,#REF!,#REF!),3,_xlfn.XLOOKUP(C144,#REF!,#REF!)),0)</f>
        <v>0</v>
      </c>
    </row>
    <row r="145" customFormat="1" spans="1:20">
      <c r="A145">
        <f t="shared" si="16"/>
        <v>60</v>
      </c>
      <c r="B145">
        <v>4</v>
      </c>
      <c r="C145" t="s">
        <v>400</v>
      </c>
      <c r="D145" t="s">
        <v>22</v>
      </c>
      <c r="E145" s="13" t="s">
        <v>392</v>
      </c>
      <c r="F145"/>
      <c r="G145">
        <v>2</v>
      </c>
      <c r="H145">
        <v>1000</v>
      </c>
      <c r="J145" cm="1">
        <f t="array" ref="J145">_xlfn.SWITCH(B145,1,75,2,61,3,49,4,37,5,25,6,13,7,4,8,1)</f>
        <v>37</v>
      </c>
      <c r="K145" t="str" cm="1">
        <f t="array" ref="K145">IFERROR(_xlfn.SWITCH(L145,2,_xlfn.XLOOKUP(C145,[1]ModifierDes!$B:$B,[1]ModifierDes!$C:$C),3,_xlfn.XLOOKUP(C145,[1]StuntDes!$B:$B,[1]StuntDes!$C:$C)),"")</f>
        <v>攻击暴击伤害增加{0}</v>
      </c>
      <c r="L145">
        <f t="shared" si="15"/>
        <v>2</v>
      </c>
      <c r="M145" s="10" t="str">
        <f>IFERROR(_xlfn.XLOOKUP(C145,[1]StuntDes!$B:$B,[1]StuntDes!$A:$A),"")</f>
        <v/>
      </c>
      <c r="N145" s="10">
        <f>IFERROR(_xlfn.XLOOKUP(C145,[1]ModifierDes!$B:$B,[1]ModifierDes!$A:$A),"")</f>
        <v>10060</v>
      </c>
      <c r="O145" s="10" t="str">
        <f>IFERROR(_xlfn.XLOOKUP(C145,[1]AttributeName!$C:$C,[1]AttributeName!$B:$B),"")</f>
        <v/>
      </c>
      <c r="P145" s="10"/>
      <c r="Q145">
        <v>0.72</v>
      </c>
      <c r="R145">
        <v>0.86</v>
      </c>
      <c r="S145" cm="1">
        <f t="array" ref="S145">IFERROR(_xlfn.SWITCH(L145,1,_xlfn.XLOOKUP(O145,[1]AttributeName!$B:$B,[1]AttributeName!$D:$D),2,_xlfn.XLOOKUP(C145,#REF!,#REF!),3,_xlfn.XLOOKUP(C145,#REF!,#REF!)),0)</f>
        <v>0</v>
      </c>
      <c r="T145" cm="1">
        <f t="array" ref="T145">IFERROR(_xlfn.SWITCH(L145,1,_xlfn.XLOOKUP(O145,[1]AttributeName!$B:$B,[1]AttributeName!$E:$E),2,_xlfn.XLOOKUP(C145,#REF!,#REF!),3,_xlfn.XLOOKUP(C145,#REF!,#REF!)),0)</f>
        <v>0</v>
      </c>
    </row>
    <row r="146" customFormat="1" spans="1:20">
      <c r="A146">
        <f t="shared" si="16"/>
        <v>60</v>
      </c>
      <c r="B146">
        <v>5</v>
      </c>
      <c r="C146" t="s">
        <v>400</v>
      </c>
      <c r="D146" t="s">
        <v>22</v>
      </c>
      <c r="E146" s="13" t="s">
        <v>392</v>
      </c>
      <c r="F146"/>
      <c r="G146">
        <v>2</v>
      </c>
      <c r="H146">
        <v>1000</v>
      </c>
      <c r="J146" cm="1">
        <f t="array" ref="J146">_xlfn.SWITCH(B146,1,75,2,61,3,49,4,37,5,25,6,13,7,4,8,1)</f>
        <v>25</v>
      </c>
      <c r="K146" t="str" cm="1">
        <f t="array" ref="K146">IFERROR(_xlfn.SWITCH(L146,2,_xlfn.XLOOKUP(C146,[1]ModifierDes!$B:$B,[1]ModifierDes!$C:$C),3,_xlfn.XLOOKUP(C146,[1]StuntDes!$B:$B,[1]StuntDes!$C:$C)),"")</f>
        <v>攻击暴击伤害增加{0}</v>
      </c>
      <c r="L146">
        <f t="shared" si="15"/>
        <v>2</v>
      </c>
      <c r="M146" s="10" t="str">
        <f>IFERROR(_xlfn.XLOOKUP(C146,[1]StuntDes!$B:$B,[1]StuntDes!$A:$A),"")</f>
        <v/>
      </c>
      <c r="N146" s="10">
        <f>IFERROR(_xlfn.XLOOKUP(C146,[1]ModifierDes!$B:$B,[1]ModifierDes!$A:$A),"")</f>
        <v>10060</v>
      </c>
      <c r="O146" s="10" t="str">
        <f>IFERROR(_xlfn.XLOOKUP(C146,[1]AttributeName!$C:$C,[1]AttributeName!$B:$B),"")</f>
        <v/>
      </c>
      <c r="P146" s="10"/>
      <c r="Q146">
        <v>0.56</v>
      </c>
      <c r="R146">
        <v>0.7</v>
      </c>
      <c r="S146" cm="1">
        <f t="array" ref="S146">IFERROR(_xlfn.SWITCH(L146,1,_xlfn.XLOOKUP(O146,[1]AttributeName!$B:$B,[1]AttributeName!$D:$D),2,_xlfn.XLOOKUP(C146,#REF!,#REF!),3,_xlfn.XLOOKUP(C146,#REF!,#REF!)),0)</f>
        <v>0</v>
      </c>
      <c r="T146" cm="1">
        <f t="array" ref="T146">IFERROR(_xlfn.SWITCH(L146,1,_xlfn.XLOOKUP(O146,[1]AttributeName!$B:$B,[1]AttributeName!$E:$E),2,_xlfn.XLOOKUP(C146,#REF!,#REF!),3,_xlfn.XLOOKUP(C146,#REF!,#REF!)),0)</f>
        <v>0</v>
      </c>
    </row>
    <row r="147" customFormat="1" spans="1:20">
      <c r="A147">
        <f t="shared" si="16"/>
        <v>60</v>
      </c>
      <c r="B147">
        <v>6</v>
      </c>
      <c r="C147" t="s">
        <v>400</v>
      </c>
      <c r="D147" t="s">
        <v>22</v>
      </c>
      <c r="E147" s="13" t="s">
        <v>392</v>
      </c>
      <c r="F147"/>
      <c r="G147">
        <v>2</v>
      </c>
      <c r="H147">
        <v>1000</v>
      </c>
      <c r="J147" cm="1">
        <f t="array" ref="J147">_xlfn.SWITCH(B147,1,75,2,61,3,49,4,37,5,25,6,13,7,4,8,1)</f>
        <v>13</v>
      </c>
      <c r="K147" t="str" cm="1">
        <f t="array" ref="K147">IFERROR(_xlfn.SWITCH(L147,2,_xlfn.XLOOKUP(C147,[1]ModifierDes!$B:$B,[1]ModifierDes!$C:$C),3,_xlfn.XLOOKUP(C147,[1]StuntDes!$B:$B,[1]StuntDes!$C:$C)),"")</f>
        <v>攻击暴击伤害增加{0}</v>
      </c>
      <c r="L147">
        <f t="shared" si="15"/>
        <v>2</v>
      </c>
      <c r="M147" s="10" t="str">
        <f>IFERROR(_xlfn.XLOOKUP(C147,[1]StuntDes!$B:$B,[1]StuntDes!$A:$A),"")</f>
        <v/>
      </c>
      <c r="N147" s="10">
        <f>IFERROR(_xlfn.XLOOKUP(C147,[1]ModifierDes!$B:$B,[1]ModifierDes!$A:$A),"")</f>
        <v>10060</v>
      </c>
      <c r="O147" s="10" t="str">
        <f>IFERROR(_xlfn.XLOOKUP(C147,[1]AttributeName!$C:$C,[1]AttributeName!$B:$B),"")</f>
        <v/>
      </c>
      <c r="P147" s="10"/>
      <c r="Q147">
        <v>0.4</v>
      </c>
      <c r="R147">
        <v>0.54</v>
      </c>
      <c r="S147" cm="1">
        <f t="array" ref="S147">IFERROR(_xlfn.SWITCH(L147,1,_xlfn.XLOOKUP(O147,[1]AttributeName!$B:$B,[1]AttributeName!$D:$D),2,_xlfn.XLOOKUP(C147,#REF!,#REF!),3,_xlfn.XLOOKUP(C147,#REF!,#REF!)),0)</f>
        <v>0</v>
      </c>
      <c r="T147" cm="1">
        <f t="array" ref="T147">IFERROR(_xlfn.SWITCH(L147,1,_xlfn.XLOOKUP(O147,[1]AttributeName!$B:$B,[1]AttributeName!$E:$E),2,_xlfn.XLOOKUP(C147,#REF!,#REF!),3,_xlfn.XLOOKUP(C147,#REF!,#REF!)),0)</f>
        <v>0</v>
      </c>
    </row>
    <row r="148" customFormat="1" spans="1:20">
      <c r="A148">
        <f t="shared" si="16"/>
        <v>60</v>
      </c>
      <c r="B148">
        <v>7</v>
      </c>
      <c r="C148" t="s">
        <v>400</v>
      </c>
      <c r="D148" t="s">
        <v>22</v>
      </c>
      <c r="E148" s="13" t="s">
        <v>392</v>
      </c>
      <c r="F148"/>
      <c r="G148">
        <v>2</v>
      </c>
      <c r="H148">
        <v>1000</v>
      </c>
      <c r="J148" cm="1">
        <f t="array" ref="J148">_xlfn.SWITCH(B148,1,75,2,61,3,49,4,37,5,25,6,13,7,4,8,1)</f>
        <v>4</v>
      </c>
      <c r="K148" t="str" cm="1">
        <f t="array" ref="K148">IFERROR(_xlfn.SWITCH(L148,2,_xlfn.XLOOKUP(C148,[1]ModifierDes!$B:$B,[1]ModifierDes!$C:$C),3,_xlfn.XLOOKUP(C148,[1]StuntDes!$B:$B,[1]StuntDes!$C:$C)),"")</f>
        <v>攻击暴击伤害增加{0}</v>
      </c>
      <c r="L148">
        <f t="shared" si="15"/>
        <v>2</v>
      </c>
      <c r="M148" s="10" t="str">
        <f>IFERROR(_xlfn.XLOOKUP(C148,[1]StuntDes!$B:$B,[1]StuntDes!$A:$A),"")</f>
        <v/>
      </c>
      <c r="N148" s="10">
        <f>IFERROR(_xlfn.XLOOKUP(C148,[1]ModifierDes!$B:$B,[1]ModifierDes!$A:$A),"")</f>
        <v>10060</v>
      </c>
      <c r="O148" s="10" t="str">
        <f>IFERROR(_xlfn.XLOOKUP(C148,[1]AttributeName!$C:$C,[1]AttributeName!$B:$B),"")</f>
        <v/>
      </c>
      <c r="P148" s="10"/>
      <c r="Q148">
        <v>0.24</v>
      </c>
      <c r="R148">
        <v>0.38</v>
      </c>
      <c r="S148" cm="1">
        <f t="array" ref="S148">IFERROR(_xlfn.SWITCH(L148,1,_xlfn.XLOOKUP(O148,[1]AttributeName!$B:$B,[1]AttributeName!$D:$D),2,_xlfn.XLOOKUP(C148,#REF!,#REF!),3,_xlfn.XLOOKUP(C148,#REF!,#REF!)),0)</f>
        <v>0</v>
      </c>
      <c r="T148" cm="1">
        <f t="array" ref="T148">IFERROR(_xlfn.SWITCH(L148,1,_xlfn.XLOOKUP(O148,[1]AttributeName!$B:$B,[1]AttributeName!$E:$E),2,_xlfn.XLOOKUP(C148,#REF!,#REF!),3,_xlfn.XLOOKUP(C148,#REF!,#REF!)),0)</f>
        <v>0</v>
      </c>
    </row>
    <row r="149" customFormat="1" spans="1:20">
      <c r="A149">
        <f t="shared" si="16"/>
        <v>60</v>
      </c>
      <c r="B149">
        <v>8</v>
      </c>
      <c r="C149" t="s">
        <v>400</v>
      </c>
      <c r="D149" t="s">
        <v>22</v>
      </c>
      <c r="E149" s="13" t="s">
        <v>392</v>
      </c>
      <c r="F149"/>
      <c r="G149">
        <v>2</v>
      </c>
      <c r="H149">
        <v>1000</v>
      </c>
      <c r="J149" cm="1">
        <f t="array" ref="J149">_xlfn.SWITCH(B149,1,75,2,61,3,49,4,37,5,25,6,13,7,4,8,1)</f>
        <v>1</v>
      </c>
      <c r="K149" t="str" cm="1">
        <f t="array" ref="K149">IFERROR(_xlfn.SWITCH(L149,2,_xlfn.XLOOKUP(C149,[1]ModifierDes!$B:$B,[1]ModifierDes!$C:$C),3,_xlfn.XLOOKUP(C149,[1]StuntDes!$B:$B,[1]StuntDes!$C:$C)),"")</f>
        <v>攻击暴击伤害增加{0}</v>
      </c>
      <c r="L149">
        <f t="shared" si="15"/>
        <v>2</v>
      </c>
      <c r="M149" s="10" t="str">
        <f>IFERROR(_xlfn.XLOOKUP(C149,[1]StuntDes!$B:$B,[1]StuntDes!$A:$A),"")</f>
        <v/>
      </c>
      <c r="N149" s="10">
        <f>IFERROR(_xlfn.XLOOKUP(C149,[1]ModifierDes!$B:$B,[1]ModifierDes!$A:$A),"")</f>
        <v>10060</v>
      </c>
      <c r="O149" s="10" t="str">
        <f>IFERROR(_xlfn.XLOOKUP(C149,[1]AttributeName!$C:$C,[1]AttributeName!$B:$B),"")</f>
        <v/>
      </c>
      <c r="P149" s="10"/>
      <c r="Q149">
        <v>0.0799999999999998</v>
      </c>
      <c r="R149">
        <v>0.22</v>
      </c>
      <c r="S149" cm="1">
        <f t="array" ref="S149">IFERROR(_xlfn.SWITCH(L149,1,_xlfn.XLOOKUP(O149,[1]AttributeName!$B:$B,[1]AttributeName!$D:$D),2,_xlfn.XLOOKUP(C149,#REF!,#REF!),3,_xlfn.XLOOKUP(C149,#REF!,#REF!)),0)</f>
        <v>0</v>
      </c>
      <c r="T149" cm="1">
        <f t="array" ref="T149">IFERROR(_xlfn.SWITCH(L149,1,_xlfn.XLOOKUP(O149,[1]AttributeName!$B:$B,[1]AttributeName!$E:$E),2,_xlfn.XLOOKUP(C149,#REF!,#REF!),3,_xlfn.XLOOKUP(C149,#REF!,#REF!)),0)</f>
        <v>0</v>
      </c>
    </row>
    <row r="150" customFormat="1" spans="1:20">
      <c r="A150">
        <f t="shared" si="16"/>
        <v>61</v>
      </c>
      <c r="B150">
        <v>1</v>
      </c>
      <c r="C150" t="s">
        <v>401</v>
      </c>
      <c r="D150" t="s">
        <v>22</v>
      </c>
      <c r="E150" s="13" t="s">
        <v>392</v>
      </c>
      <c r="F150"/>
      <c r="G150">
        <v>2</v>
      </c>
      <c r="H150">
        <v>100</v>
      </c>
      <c r="J150" cm="1">
        <f t="array" ref="J150">_xlfn.SWITCH(B150,1,75,2,61,3,49,4,37,5,25,6,13,7,4,8,1)</f>
        <v>75</v>
      </c>
      <c r="K150" t="str" cm="1">
        <f t="array" ref="K150">IFERROR(_xlfn.SWITCH(L150,2,_xlfn.XLOOKUP(C150,[1]ModifierDes!$B:$B,[1]ModifierDes!$C:$C),3,_xlfn.XLOOKUP(C150,[1]StuntDes!$B:$B,[1]StuntDes!$C:$C)),"")</f>
        <v/>
      </c>
      <c r="L150">
        <f t="shared" si="15"/>
        <v>1</v>
      </c>
      <c r="M150" s="10" t="str">
        <f>IFERROR(_xlfn.XLOOKUP(C150,[1]StuntDes!$B:$B,[1]StuntDes!$A:$A),"")</f>
        <v/>
      </c>
      <c r="N150" s="10" t="str">
        <f>IFERROR(_xlfn.XLOOKUP(C150,[1]ModifierDes!$B:$B,[1]ModifierDes!$A:$A),"")</f>
        <v/>
      </c>
      <c r="O150" s="10">
        <f>IFERROR(_xlfn.XLOOKUP(C150,[1]AttributeName!$C:$C,[1]AttributeName!$B:$B),"")</f>
        <v>10500</v>
      </c>
      <c r="P150" s="10"/>
      <c r="Q150">
        <v>0.6</v>
      </c>
      <c r="R150">
        <v>0.8</v>
      </c>
      <c r="S150" cm="1">
        <f t="array" ref="S150">IFERROR(_xlfn.SWITCH(L150,1,_xlfn.XLOOKUP(O150,[1]AttributeName!$B:$B,[1]AttributeName!$D:$D),2,_xlfn.XLOOKUP(C150,#REF!,#REF!),3,_xlfn.XLOOKUP(C150,#REF!,#REF!)),0)</f>
        <v>2</v>
      </c>
      <c r="T150" cm="1">
        <f t="array" ref="T150">IFERROR(_xlfn.SWITCH(L150,1,_xlfn.XLOOKUP(O150,[1]AttributeName!$B:$B,[1]AttributeName!$E:$E),2,_xlfn.XLOOKUP(C150,#REF!,#REF!),3,_xlfn.XLOOKUP(C150,#REF!,#REF!)),0)</f>
        <v>2</v>
      </c>
    </row>
    <row r="151" customFormat="1" spans="1:20">
      <c r="A151">
        <f t="shared" si="16"/>
        <v>61</v>
      </c>
      <c r="B151">
        <v>2</v>
      </c>
      <c r="C151" t="s">
        <v>401</v>
      </c>
      <c r="D151" t="s">
        <v>22</v>
      </c>
      <c r="E151" s="13" t="s">
        <v>392</v>
      </c>
      <c r="F151"/>
      <c r="G151">
        <v>2</v>
      </c>
      <c r="H151">
        <v>200</v>
      </c>
      <c r="J151" cm="1">
        <f t="array" ref="J151">_xlfn.SWITCH(B151,1,75,2,61,3,49,4,37,5,25,6,13,7,4,8,1)</f>
        <v>61</v>
      </c>
      <c r="K151" t="str" cm="1">
        <f t="array" ref="K151">IFERROR(_xlfn.SWITCH(L151,2,_xlfn.XLOOKUP(C151,[1]ModifierDes!$B:$B,[1]ModifierDes!$C:$C),3,_xlfn.XLOOKUP(C151,[1]StuntDes!$B:$B,[1]StuntDes!$C:$C)),"")</f>
        <v/>
      </c>
      <c r="L151">
        <f t="shared" si="15"/>
        <v>1</v>
      </c>
      <c r="M151" s="10" t="str">
        <f>IFERROR(_xlfn.XLOOKUP(C151,[1]StuntDes!$B:$B,[1]StuntDes!$A:$A),"")</f>
        <v/>
      </c>
      <c r="N151" s="10" t="str">
        <f>IFERROR(_xlfn.XLOOKUP(C151,[1]ModifierDes!$B:$B,[1]ModifierDes!$A:$A),"")</f>
        <v/>
      </c>
      <c r="O151" s="10">
        <f>IFERROR(_xlfn.XLOOKUP(C151,[1]AttributeName!$C:$C,[1]AttributeName!$B:$B),"")</f>
        <v>10500</v>
      </c>
      <c r="P151" s="10"/>
      <c r="Q151">
        <v>0.52</v>
      </c>
      <c r="R151">
        <v>0.59</v>
      </c>
      <c r="S151" cm="1">
        <f t="array" ref="S151">IFERROR(_xlfn.SWITCH(L151,1,_xlfn.XLOOKUP(O151,[1]AttributeName!$B:$B,[1]AttributeName!$D:$D),2,_xlfn.XLOOKUP(C151,#REF!,#REF!),3,_xlfn.XLOOKUP(C151,#REF!,#REF!)),0)</f>
        <v>2</v>
      </c>
      <c r="T151" cm="1">
        <f t="array" ref="T151">IFERROR(_xlfn.SWITCH(L151,1,_xlfn.XLOOKUP(O151,[1]AttributeName!$B:$B,[1]AttributeName!$E:$E),2,_xlfn.XLOOKUP(C151,#REF!,#REF!),3,_xlfn.XLOOKUP(C151,#REF!,#REF!)),0)</f>
        <v>2</v>
      </c>
    </row>
    <row r="152" customFormat="1" spans="1:20">
      <c r="A152">
        <f t="shared" si="16"/>
        <v>61</v>
      </c>
      <c r="B152">
        <v>3</v>
      </c>
      <c r="C152" t="s">
        <v>401</v>
      </c>
      <c r="D152" t="s">
        <v>22</v>
      </c>
      <c r="E152" s="13" t="s">
        <v>392</v>
      </c>
      <c r="F152"/>
      <c r="G152">
        <v>2</v>
      </c>
      <c r="H152">
        <v>500</v>
      </c>
      <c r="J152" cm="1">
        <f t="array" ref="J152">_xlfn.SWITCH(B152,1,75,2,61,3,49,4,37,5,25,6,13,7,4,8,1)</f>
        <v>49</v>
      </c>
      <c r="K152" t="str" cm="1">
        <f t="array" ref="K152">IFERROR(_xlfn.SWITCH(L152,2,_xlfn.XLOOKUP(C152,[1]ModifierDes!$B:$B,[1]ModifierDes!$C:$C),3,_xlfn.XLOOKUP(C152,[1]StuntDes!$B:$B,[1]StuntDes!$C:$C)),"")</f>
        <v/>
      </c>
      <c r="L152">
        <f t="shared" si="15"/>
        <v>1</v>
      </c>
      <c r="M152" s="10" t="str">
        <f>IFERROR(_xlfn.XLOOKUP(C152,[1]StuntDes!$B:$B,[1]StuntDes!$A:$A),"")</f>
        <v/>
      </c>
      <c r="N152" s="10" t="str">
        <f>IFERROR(_xlfn.XLOOKUP(C152,[1]ModifierDes!$B:$B,[1]ModifierDes!$A:$A),"")</f>
        <v/>
      </c>
      <c r="O152" s="10">
        <f>IFERROR(_xlfn.XLOOKUP(C152,[1]AttributeName!$C:$C,[1]AttributeName!$B:$B),"")</f>
        <v>10500</v>
      </c>
      <c r="P152" s="10"/>
      <c r="Q152">
        <v>0.44</v>
      </c>
      <c r="R152">
        <v>0.51</v>
      </c>
      <c r="S152" cm="1">
        <f t="array" ref="S152">IFERROR(_xlfn.SWITCH(L152,1,_xlfn.XLOOKUP(O152,[1]AttributeName!$B:$B,[1]AttributeName!$D:$D),2,_xlfn.XLOOKUP(C152,#REF!,#REF!),3,_xlfn.XLOOKUP(C152,#REF!,#REF!)),0)</f>
        <v>2</v>
      </c>
      <c r="T152" cm="1">
        <f t="array" ref="T152">IFERROR(_xlfn.SWITCH(L152,1,_xlfn.XLOOKUP(O152,[1]AttributeName!$B:$B,[1]AttributeName!$E:$E),2,_xlfn.XLOOKUP(C152,#REF!,#REF!),3,_xlfn.XLOOKUP(C152,#REF!,#REF!)),0)</f>
        <v>2</v>
      </c>
    </row>
    <row r="153" customFormat="1" spans="1:20">
      <c r="A153">
        <f t="shared" si="16"/>
        <v>61</v>
      </c>
      <c r="B153">
        <v>4</v>
      </c>
      <c r="C153" t="s">
        <v>401</v>
      </c>
      <c r="D153" t="s">
        <v>22</v>
      </c>
      <c r="E153" s="13" t="s">
        <v>392</v>
      </c>
      <c r="F153"/>
      <c r="G153">
        <v>2</v>
      </c>
      <c r="H153">
        <v>1000</v>
      </c>
      <c r="J153" cm="1">
        <f t="array" ref="J153">_xlfn.SWITCH(B153,1,75,2,61,3,49,4,37,5,25,6,13,7,4,8,1)</f>
        <v>37</v>
      </c>
      <c r="K153" t="str" cm="1">
        <f t="array" ref="K153">IFERROR(_xlfn.SWITCH(L153,2,_xlfn.XLOOKUP(C153,[1]ModifierDes!$B:$B,[1]ModifierDes!$C:$C),3,_xlfn.XLOOKUP(C153,[1]StuntDes!$B:$B,[1]StuntDes!$C:$C)),"")</f>
        <v/>
      </c>
      <c r="L153">
        <f t="shared" si="15"/>
        <v>1</v>
      </c>
      <c r="M153" s="10" t="str">
        <f>IFERROR(_xlfn.XLOOKUP(C153,[1]StuntDes!$B:$B,[1]StuntDes!$A:$A),"")</f>
        <v/>
      </c>
      <c r="N153" s="10" t="str">
        <f>IFERROR(_xlfn.XLOOKUP(C153,[1]ModifierDes!$B:$B,[1]ModifierDes!$A:$A),"")</f>
        <v/>
      </c>
      <c r="O153" s="10">
        <f>IFERROR(_xlfn.XLOOKUP(C153,[1]AttributeName!$C:$C,[1]AttributeName!$B:$B),"")</f>
        <v>10500</v>
      </c>
      <c r="P153" s="10"/>
      <c r="Q153">
        <v>0.36</v>
      </c>
      <c r="R153">
        <v>0.43</v>
      </c>
      <c r="S153" cm="1">
        <f t="array" ref="S153">IFERROR(_xlfn.SWITCH(L153,1,_xlfn.XLOOKUP(O153,[1]AttributeName!$B:$B,[1]AttributeName!$D:$D),2,_xlfn.XLOOKUP(C153,#REF!,#REF!),3,_xlfn.XLOOKUP(C153,#REF!,#REF!)),0)</f>
        <v>2</v>
      </c>
      <c r="T153" cm="1">
        <f t="array" ref="T153">IFERROR(_xlfn.SWITCH(L153,1,_xlfn.XLOOKUP(O153,[1]AttributeName!$B:$B,[1]AttributeName!$E:$E),2,_xlfn.XLOOKUP(C153,#REF!,#REF!),3,_xlfn.XLOOKUP(C153,#REF!,#REF!)),0)</f>
        <v>2</v>
      </c>
    </row>
    <row r="154" customFormat="1" spans="1:20">
      <c r="A154">
        <f t="shared" si="16"/>
        <v>61</v>
      </c>
      <c r="B154">
        <v>5</v>
      </c>
      <c r="C154" t="s">
        <v>401</v>
      </c>
      <c r="D154" t="s">
        <v>22</v>
      </c>
      <c r="E154" s="13" t="s">
        <v>392</v>
      </c>
      <c r="F154"/>
      <c r="G154">
        <v>2</v>
      </c>
      <c r="H154">
        <v>1000</v>
      </c>
      <c r="J154" cm="1">
        <f t="array" ref="J154">_xlfn.SWITCH(B154,1,75,2,61,3,49,4,37,5,25,6,13,7,4,8,1)</f>
        <v>25</v>
      </c>
      <c r="K154" t="str" cm="1">
        <f t="array" ref="K154">IFERROR(_xlfn.SWITCH(L154,2,_xlfn.XLOOKUP(C154,[1]ModifierDes!$B:$B,[1]ModifierDes!$C:$C),3,_xlfn.XLOOKUP(C154,[1]StuntDes!$B:$B,[1]StuntDes!$C:$C)),"")</f>
        <v/>
      </c>
      <c r="L154">
        <f t="shared" si="15"/>
        <v>1</v>
      </c>
      <c r="M154" s="10" t="str">
        <f>IFERROR(_xlfn.XLOOKUP(C154,[1]StuntDes!$B:$B,[1]StuntDes!$A:$A),"")</f>
        <v/>
      </c>
      <c r="N154" s="10" t="str">
        <f>IFERROR(_xlfn.XLOOKUP(C154,[1]ModifierDes!$B:$B,[1]ModifierDes!$A:$A),"")</f>
        <v/>
      </c>
      <c r="O154" s="10">
        <f>IFERROR(_xlfn.XLOOKUP(C154,[1]AttributeName!$C:$C,[1]AttributeName!$B:$B),"")</f>
        <v>10500</v>
      </c>
      <c r="P154" s="10"/>
      <c r="Q154">
        <v>0.28</v>
      </c>
      <c r="R154">
        <v>0.35</v>
      </c>
      <c r="S154" cm="1">
        <f t="array" ref="S154">IFERROR(_xlfn.SWITCH(L154,1,_xlfn.XLOOKUP(O154,[1]AttributeName!$B:$B,[1]AttributeName!$D:$D),2,_xlfn.XLOOKUP(C154,#REF!,#REF!),3,_xlfn.XLOOKUP(C154,#REF!,#REF!)),0)</f>
        <v>2</v>
      </c>
      <c r="T154" cm="1">
        <f t="array" ref="T154">IFERROR(_xlfn.SWITCH(L154,1,_xlfn.XLOOKUP(O154,[1]AttributeName!$B:$B,[1]AttributeName!$E:$E),2,_xlfn.XLOOKUP(C154,#REF!,#REF!),3,_xlfn.XLOOKUP(C154,#REF!,#REF!)),0)</f>
        <v>2</v>
      </c>
    </row>
    <row r="155" customFormat="1" spans="1:20">
      <c r="A155">
        <f t="shared" si="16"/>
        <v>61</v>
      </c>
      <c r="B155">
        <v>6</v>
      </c>
      <c r="C155" t="s">
        <v>401</v>
      </c>
      <c r="D155" t="s">
        <v>22</v>
      </c>
      <c r="E155" s="13" t="s">
        <v>392</v>
      </c>
      <c r="F155"/>
      <c r="G155">
        <v>2</v>
      </c>
      <c r="H155">
        <v>1000</v>
      </c>
      <c r="J155" cm="1">
        <f t="array" ref="J155">_xlfn.SWITCH(B155,1,75,2,61,3,49,4,37,5,25,6,13,7,4,8,1)</f>
        <v>13</v>
      </c>
      <c r="K155" t="str" cm="1">
        <f t="array" ref="K155">IFERROR(_xlfn.SWITCH(L155,2,_xlfn.XLOOKUP(C155,[1]ModifierDes!$B:$B,[1]ModifierDes!$C:$C),3,_xlfn.XLOOKUP(C155,[1]StuntDes!$B:$B,[1]StuntDes!$C:$C)),"")</f>
        <v/>
      </c>
      <c r="L155">
        <f t="shared" si="15"/>
        <v>1</v>
      </c>
      <c r="M155" s="10" t="str">
        <f>IFERROR(_xlfn.XLOOKUP(C155,[1]StuntDes!$B:$B,[1]StuntDes!$A:$A),"")</f>
        <v/>
      </c>
      <c r="N155" s="10" t="str">
        <f>IFERROR(_xlfn.XLOOKUP(C155,[1]ModifierDes!$B:$B,[1]ModifierDes!$A:$A),"")</f>
        <v/>
      </c>
      <c r="O155" s="10">
        <f>IFERROR(_xlfn.XLOOKUP(C155,[1]AttributeName!$C:$C,[1]AttributeName!$B:$B),"")</f>
        <v>10500</v>
      </c>
      <c r="P155" s="10"/>
      <c r="Q155">
        <v>0.2</v>
      </c>
      <c r="R155">
        <v>0.27</v>
      </c>
      <c r="S155" cm="1">
        <f t="array" ref="S155">IFERROR(_xlfn.SWITCH(L155,1,_xlfn.XLOOKUP(O155,[1]AttributeName!$B:$B,[1]AttributeName!$D:$D),2,_xlfn.XLOOKUP(C155,#REF!,#REF!),3,_xlfn.XLOOKUP(C155,#REF!,#REF!)),0)</f>
        <v>2</v>
      </c>
      <c r="T155" cm="1">
        <f t="array" ref="T155">IFERROR(_xlfn.SWITCH(L155,1,_xlfn.XLOOKUP(O155,[1]AttributeName!$B:$B,[1]AttributeName!$E:$E),2,_xlfn.XLOOKUP(C155,#REF!,#REF!),3,_xlfn.XLOOKUP(C155,#REF!,#REF!)),0)</f>
        <v>2</v>
      </c>
    </row>
    <row r="156" customFormat="1" spans="1:20">
      <c r="A156">
        <f t="shared" si="16"/>
        <v>61</v>
      </c>
      <c r="B156">
        <v>7</v>
      </c>
      <c r="C156" t="s">
        <v>401</v>
      </c>
      <c r="D156" t="s">
        <v>22</v>
      </c>
      <c r="E156" s="13" t="s">
        <v>392</v>
      </c>
      <c r="F156"/>
      <c r="G156">
        <v>2</v>
      </c>
      <c r="H156">
        <v>1000</v>
      </c>
      <c r="J156" cm="1">
        <f t="array" ref="J156">_xlfn.SWITCH(B156,1,75,2,61,3,49,4,37,5,25,6,13,7,4,8,1)</f>
        <v>4</v>
      </c>
      <c r="K156" t="str" cm="1">
        <f t="array" ref="K156">IFERROR(_xlfn.SWITCH(L156,2,_xlfn.XLOOKUP(C156,[1]ModifierDes!$B:$B,[1]ModifierDes!$C:$C),3,_xlfn.XLOOKUP(C156,[1]StuntDes!$B:$B,[1]StuntDes!$C:$C)),"")</f>
        <v/>
      </c>
      <c r="L156">
        <f t="shared" si="15"/>
        <v>1</v>
      </c>
      <c r="M156" s="10" t="str">
        <f>IFERROR(_xlfn.XLOOKUP(C156,[1]StuntDes!$B:$B,[1]StuntDes!$A:$A),"")</f>
        <v/>
      </c>
      <c r="N156" s="10" t="str">
        <f>IFERROR(_xlfn.XLOOKUP(C156,[1]ModifierDes!$B:$B,[1]ModifierDes!$A:$A),"")</f>
        <v/>
      </c>
      <c r="O156" s="10">
        <f>IFERROR(_xlfn.XLOOKUP(C156,[1]AttributeName!$C:$C,[1]AttributeName!$B:$B),"")</f>
        <v>10500</v>
      </c>
      <c r="P156" s="10"/>
      <c r="Q156">
        <v>0.12</v>
      </c>
      <c r="R156">
        <v>0.19</v>
      </c>
      <c r="S156" cm="1">
        <f t="array" ref="S156">IFERROR(_xlfn.SWITCH(L156,1,_xlfn.XLOOKUP(O156,[1]AttributeName!$B:$B,[1]AttributeName!$D:$D),2,_xlfn.XLOOKUP(C156,#REF!,#REF!),3,_xlfn.XLOOKUP(C156,#REF!,#REF!)),0)</f>
        <v>2</v>
      </c>
      <c r="T156" cm="1">
        <f t="array" ref="T156">IFERROR(_xlfn.SWITCH(L156,1,_xlfn.XLOOKUP(O156,[1]AttributeName!$B:$B,[1]AttributeName!$E:$E),2,_xlfn.XLOOKUP(C156,#REF!,#REF!),3,_xlfn.XLOOKUP(C156,#REF!,#REF!)),0)</f>
        <v>2</v>
      </c>
    </row>
    <row r="157" customFormat="1" spans="1:20">
      <c r="A157">
        <f t="shared" si="16"/>
        <v>61</v>
      </c>
      <c r="B157">
        <v>8</v>
      </c>
      <c r="C157" t="s">
        <v>401</v>
      </c>
      <c r="D157" t="s">
        <v>22</v>
      </c>
      <c r="E157" s="13" t="s">
        <v>392</v>
      </c>
      <c r="F157"/>
      <c r="G157">
        <v>2</v>
      </c>
      <c r="H157">
        <v>1000</v>
      </c>
      <c r="J157" cm="1">
        <f t="array" ref="J157">_xlfn.SWITCH(B157,1,75,2,61,3,49,4,37,5,25,6,13,7,4,8,1)</f>
        <v>1</v>
      </c>
      <c r="K157" t="str" cm="1">
        <f t="array" ref="K157">IFERROR(_xlfn.SWITCH(L157,2,_xlfn.XLOOKUP(C157,[1]ModifierDes!$B:$B,[1]ModifierDes!$C:$C),3,_xlfn.XLOOKUP(C157,[1]StuntDes!$B:$B,[1]StuntDes!$C:$C)),"")</f>
        <v/>
      </c>
      <c r="L157">
        <f t="shared" si="15"/>
        <v>1</v>
      </c>
      <c r="M157" s="10" t="str">
        <f>IFERROR(_xlfn.XLOOKUP(C157,[1]StuntDes!$B:$B,[1]StuntDes!$A:$A),"")</f>
        <v/>
      </c>
      <c r="N157" s="10" t="str">
        <f>IFERROR(_xlfn.XLOOKUP(C157,[1]ModifierDes!$B:$B,[1]ModifierDes!$A:$A),"")</f>
        <v/>
      </c>
      <c r="O157" s="10">
        <f>IFERROR(_xlfn.XLOOKUP(C157,[1]AttributeName!$C:$C,[1]AttributeName!$B:$B),"")</f>
        <v>10500</v>
      </c>
      <c r="P157" s="10"/>
      <c r="Q157">
        <v>0.0399999999999999</v>
      </c>
      <c r="R157">
        <v>0.11</v>
      </c>
      <c r="S157" cm="1">
        <f t="array" ref="S157">IFERROR(_xlfn.SWITCH(L157,1,_xlfn.XLOOKUP(O157,[1]AttributeName!$B:$B,[1]AttributeName!$D:$D),2,_xlfn.XLOOKUP(C157,#REF!,#REF!),3,_xlfn.XLOOKUP(C157,#REF!,#REF!)),0)</f>
        <v>2</v>
      </c>
      <c r="T157" cm="1">
        <f t="array" ref="T157">IFERROR(_xlfn.SWITCH(L157,1,_xlfn.XLOOKUP(O157,[1]AttributeName!$B:$B,[1]AttributeName!$E:$E),2,_xlfn.XLOOKUP(C157,#REF!,#REF!),3,_xlfn.XLOOKUP(C157,#REF!,#REF!)),0)</f>
        <v>2</v>
      </c>
    </row>
    <row r="158" customFormat="1" spans="1:20">
      <c r="A158">
        <f t="shared" si="16"/>
        <v>62</v>
      </c>
      <c r="B158">
        <v>1</v>
      </c>
      <c r="C158" s="14" t="s">
        <v>402</v>
      </c>
      <c r="D158" t="s">
        <v>22</v>
      </c>
      <c r="E158" s="13" t="s">
        <v>392</v>
      </c>
      <c r="F158"/>
      <c r="G158">
        <v>2</v>
      </c>
      <c r="H158">
        <v>100</v>
      </c>
      <c r="J158" cm="1">
        <f t="array" ref="J158">_xlfn.SWITCH(B158,1,75,2,61,3,49,4,37,5,25,6,13,7,4,8,1)</f>
        <v>75</v>
      </c>
      <c r="K158" t="str" cm="1">
        <f t="array" ref="K158">IFERROR(_xlfn.SWITCH(L158,2,_xlfn.XLOOKUP(C158,[1]ModifierDes!$B:$B,[1]ModifierDes!$C:$C),3,_xlfn.XLOOKUP(C158,[1]StuntDes!$B:$B,[1]StuntDes!$C:$C)),"")</f>
        <v/>
      </c>
      <c r="L158">
        <f t="shared" si="15"/>
        <v>1</v>
      </c>
      <c r="M158" s="10" t="str">
        <f>IFERROR(_xlfn.XLOOKUP(C158,[1]StuntDes!$B:$B,[1]StuntDes!$A:$A),"")</f>
        <v/>
      </c>
      <c r="N158" s="10" t="str">
        <f>IFERROR(_xlfn.XLOOKUP(C158,[1]ModifierDes!$B:$B,[1]ModifierDes!$A:$A),"")</f>
        <v/>
      </c>
      <c r="O158" s="10">
        <f>IFERROR(_xlfn.XLOOKUP(C158,[1]AttributeName!$C:$C,[1]AttributeName!$B:$B),"")</f>
        <v>10501</v>
      </c>
      <c r="P158" s="10"/>
      <c r="Q158">
        <v>0.6</v>
      </c>
      <c r="R158">
        <v>0.8</v>
      </c>
      <c r="S158" cm="1">
        <f t="array" ref="S158">IFERROR(_xlfn.SWITCH(L158,1,_xlfn.XLOOKUP(O158,[1]AttributeName!$B:$B,[1]AttributeName!$D:$D),2,_xlfn.XLOOKUP(C158,#REF!,#REF!),3,_xlfn.XLOOKUP(C158,#REF!,#REF!)),0)</f>
        <v>2</v>
      </c>
      <c r="T158" cm="1">
        <f t="array" ref="T158">IFERROR(_xlfn.SWITCH(L158,1,_xlfn.XLOOKUP(O158,[1]AttributeName!$B:$B,[1]AttributeName!$E:$E),2,_xlfn.XLOOKUP(C158,#REF!,#REF!),3,_xlfn.XLOOKUP(C158,#REF!,#REF!)),0)</f>
        <v>2</v>
      </c>
    </row>
    <row r="159" customFormat="1" spans="1:20">
      <c r="A159">
        <f t="shared" si="16"/>
        <v>62</v>
      </c>
      <c r="B159">
        <v>2</v>
      </c>
      <c r="C159" s="14" t="s">
        <v>402</v>
      </c>
      <c r="D159" t="s">
        <v>22</v>
      </c>
      <c r="E159" s="13" t="s">
        <v>392</v>
      </c>
      <c r="F159"/>
      <c r="G159">
        <v>2</v>
      </c>
      <c r="H159">
        <v>200</v>
      </c>
      <c r="J159" cm="1">
        <f t="array" ref="J159">_xlfn.SWITCH(B159,1,75,2,61,3,49,4,37,5,25,6,13,7,4,8,1)</f>
        <v>61</v>
      </c>
      <c r="K159" t="str" cm="1">
        <f t="array" ref="K159">IFERROR(_xlfn.SWITCH(L159,2,_xlfn.XLOOKUP(C159,[1]ModifierDes!$B:$B,[1]ModifierDes!$C:$C),3,_xlfn.XLOOKUP(C159,[1]StuntDes!$B:$B,[1]StuntDes!$C:$C)),"")</f>
        <v/>
      </c>
      <c r="L159">
        <f t="shared" si="15"/>
        <v>1</v>
      </c>
      <c r="M159" s="10" t="str">
        <f>IFERROR(_xlfn.XLOOKUP(C159,[1]StuntDes!$B:$B,[1]StuntDes!$A:$A),"")</f>
        <v/>
      </c>
      <c r="N159" s="10" t="str">
        <f>IFERROR(_xlfn.XLOOKUP(C159,[1]ModifierDes!$B:$B,[1]ModifierDes!$A:$A),"")</f>
        <v/>
      </c>
      <c r="O159" s="10">
        <f>IFERROR(_xlfn.XLOOKUP(C159,[1]AttributeName!$C:$C,[1]AttributeName!$B:$B),"")</f>
        <v>10501</v>
      </c>
      <c r="P159" s="10"/>
      <c r="Q159">
        <v>0.52</v>
      </c>
      <c r="R159">
        <v>0.59</v>
      </c>
      <c r="S159" cm="1">
        <f t="array" ref="S159">IFERROR(_xlfn.SWITCH(L159,1,_xlfn.XLOOKUP(O159,[1]AttributeName!$B:$B,[1]AttributeName!$D:$D),2,_xlfn.XLOOKUP(C159,#REF!,#REF!),3,_xlfn.XLOOKUP(C159,#REF!,#REF!)),0)</f>
        <v>2</v>
      </c>
      <c r="T159" cm="1">
        <f t="array" ref="T159">IFERROR(_xlfn.SWITCH(L159,1,_xlfn.XLOOKUP(O159,[1]AttributeName!$B:$B,[1]AttributeName!$E:$E),2,_xlfn.XLOOKUP(C159,#REF!,#REF!),3,_xlfn.XLOOKUP(C159,#REF!,#REF!)),0)</f>
        <v>2</v>
      </c>
    </row>
    <row r="160" customFormat="1" spans="1:20">
      <c r="A160">
        <f t="shared" ref="A160:A205" si="17">A152+1</f>
        <v>62</v>
      </c>
      <c r="B160">
        <v>3</v>
      </c>
      <c r="C160" s="14" t="s">
        <v>402</v>
      </c>
      <c r="D160" t="s">
        <v>22</v>
      </c>
      <c r="E160" s="13" t="s">
        <v>392</v>
      </c>
      <c r="F160"/>
      <c r="G160">
        <v>2</v>
      </c>
      <c r="H160">
        <v>500</v>
      </c>
      <c r="J160" cm="1">
        <f t="array" ref="J160">_xlfn.SWITCH(B160,1,75,2,61,3,49,4,37,5,25,6,13,7,4,8,1)</f>
        <v>49</v>
      </c>
      <c r="K160" t="str" cm="1">
        <f t="array" ref="K160">IFERROR(_xlfn.SWITCH(L160,2,_xlfn.XLOOKUP(C160,[1]ModifierDes!$B:$B,[1]ModifierDes!$C:$C),3,_xlfn.XLOOKUP(C160,[1]StuntDes!$B:$B,[1]StuntDes!$C:$C)),"")</f>
        <v/>
      </c>
      <c r="L160">
        <f t="shared" si="15"/>
        <v>1</v>
      </c>
      <c r="M160" s="10" t="str">
        <f>IFERROR(_xlfn.XLOOKUP(C160,[1]StuntDes!$B:$B,[1]StuntDes!$A:$A),"")</f>
        <v/>
      </c>
      <c r="N160" s="10" t="str">
        <f>IFERROR(_xlfn.XLOOKUP(C160,[1]ModifierDes!$B:$B,[1]ModifierDes!$A:$A),"")</f>
        <v/>
      </c>
      <c r="O160" s="10">
        <f>IFERROR(_xlfn.XLOOKUP(C160,[1]AttributeName!$C:$C,[1]AttributeName!$B:$B),"")</f>
        <v>10501</v>
      </c>
      <c r="P160" s="10"/>
      <c r="Q160">
        <v>0.44</v>
      </c>
      <c r="R160">
        <v>0.51</v>
      </c>
      <c r="S160" cm="1">
        <f t="array" ref="S160">IFERROR(_xlfn.SWITCH(L160,1,_xlfn.XLOOKUP(O160,[1]AttributeName!$B:$B,[1]AttributeName!$D:$D),2,_xlfn.XLOOKUP(C160,#REF!,#REF!),3,_xlfn.XLOOKUP(C160,#REF!,#REF!)),0)</f>
        <v>2</v>
      </c>
      <c r="T160" cm="1">
        <f t="array" ref="T160">IFERROR(_xlfn.SWITCH(L160,1,_xlfn.XLOOKUP(O160,[1]AttributeName!$B:$B,[1]AttributeName!$E:$E),2,_xlfn.XLOOKUP(C160,#REF!,#REF!),3,_xlfn.XLOOKUP(C160,#REF!,#REF!)),0)</f>
        <v>2</v>
      </c>
    </row>
    <row r="161" customFormat="1" spans="1:20">
      <c r="A161">
        <f t="shared" si="17"/>
        <v>62</v>
      </c>
      <c r="B161">
        <v>4</v>
      </c>
      <c r="C161" s="14" t="s">
        <v>402</v>
      </c>
      <c r="D161" t="s">
        <v>22</v>
      </c>
      <c r="E161" s="13" t="s">
        <v>392</v>
      </c>
      <c r="F161"/>
      <c r="G161">
        <v>2</v>
      </c>
      <c r="H161">
        <v>1000</v>
      </c>
      <c r="J161" cm="1">
        <f t="array" ref="J161">_xlfn.SWITCH(B161,1,75,2,61,3,49,4,37,5,25,6,13,7,4,8,1)</f>
        <v>37</v>
      </c>
      <c r="K161" t="str" cm="1">
        <f t="array" ref="K161">IFERROR(_xlfn.SWITCH(L161,2,_xlfn.XLOOKUP(C161,[1]ModifierDes!$B:$B,[1]ModifierDes!$C:$C),3,_xlfn.XLOOKUP(C161,[1]StuntDes!$B:$B,[1]StuntDes!$C:$C)),"")</f>
        <v/>
      </c>
      <c r="L161">
        <f t="shared" si="15"/>
        <v>1</v>
      </c>
      <c r="M161" s="10" t="str">
        <f>IFERROR(_xlfn.XLOOKUP(C161,[1]StuntDes!$B:$B,[1]StuntDes!$A:$A),"")</f>
        <v/>
      </c>
      <c r="N161" s="10" t="str">
        <f>IFERROR(_xlfn.XLOOKUP(C161,[1]ModifierDes!$B:$B,[1]ModifierDes!$A:$A),"")</f>
        <v/>
      </c>
      <c r="O161" s="10">
        <f>IFERROR(_xlfn.XLOOKUP(C161,[1]AttributeName!$C:$C,[1]AttributeName!$B:$B),"")</f>
        <v>10501</v>
      </c>
      <c r="P161" s="10"/>
      <c r="Q161">
        <v>0.36</v>
      </c>
      <c r="R161">
        <v>0.43</v>
      </c>
      <c r="S161" cm="1">
        <f t="array" ref="S161">IFERROR(_xlfn.SWITCH(L161,1,_xlfn.XLOOKUP(O161,[1]AttributeName!$B:$B,[1]AttributeName!$D:$D),2,_xlfn.XLOOKUP(C161,#REF!,#REF!),3,_xlfn.XLOOKUP(C161,#REF!,#REF!)),0)</f>
        <v>2</v>
      </c>
      <c r="T161" cm="1">
        <f t="array" ref="T161">IFERROR(_xlfn.SWITCH(L161,1,_xlfn.XLOOKUP(O161,[1]AttributeName!$B:$B,[1]AttributeName!$E:$E),2,_xlfn.XLOOKUP(C161,#REF!,#REF!),3,_xlfn.XLOOKUP(C161,#REF!,#REF!)),0)</f>
        <v>2</v>
      </c>
    </row>
    <row r="162" customFormat="1" spans="1:20">
      <c r="A162">
        <f t="shared" si="17"/>
        <v>62</v>
      </c>
      <c r="B162">
        <v>5</v>
      </c>
      <c r="C162" s="14" t="s">
        <v>402</v>
      </c>
      <c r="D162" t="s">
        <v>22</v>
      </c>
      <c r="E162" s="13" t="s">
        <v>392</v>
      </c>
      <c r="F162"/>
      <c r="G162">
        <v>2</v>
      </c>
      <c r="H162">
        <v>1000</v>
      </c>
      <c r="J162" cm="1">
        <f t="array" ref="J162">_xlfn.SWITCH(B162,1,75,2,61,3,49,4,37,5,25,6,13,7,4,8,1)</f>
        <v>25</v>
      </c>
      <c r="K162" t="str" cm="1">
        <f t="array" ref="K162">IFERROR(_xlfn.SWITCH(L162,2,_xlfn.XLOOKUP(C162,[1]ModifierDes!$B:$B,[1]ModifierDes!$C:$C),3,_xlfn.XLOOKUP(C162,[1]StuntDes!$B:$B,[1]StuntDes!$C:$C)),"")</f>
        <v/>
      </c>
      <c r="L162">
        <f t="shared" si="15"/>
        <v>1</v>
      </c>
      <c r="M162" s="10" t="str">
        <f>IFERROR(_xlfn.XLOOKUP(C162,[1]StuntDes!$B:$B,[1]StuntDes!$A:$A),"")</f>
        <v/>
      </c>
      <c r="N162" s="10" t="str">
        <f>IFERROR(_xlfn.XLOOKUP(C162,[1]ModifierDes!$B:$B,[1]ModifierDes!$A:$A),"")</f>
        <v/>
      </c>
      <c r="O162" s="10">
        <f>IFERROR(_xlfn.XLOOKUP(C162,[1]AttributeName!$C:$C,[1]AttributeName!$B:$B),"")</f>
        <v>10501</v>
      </c>
      <c r="P162" s="10"/>
      <c r="Q162">
        <v>0.28</v>
      </c>
      <c r="R162">
        <v>0.35</v>
      </c>
      <c r="S162" cm="1">
        <f t="array" ref="S162">IFERROR(_xlfn.SWITCH(L162,1,_xlfn.XLOOKUP(O162,[1]AttributeName!$B:$B,[1]AttributeName!$D:$D),2,_xlfn.XLOOKUP(C162,#REF!,#REF!),3,_xlfn.XLOOKUP(C162,#REF!,#REF!)),0)</f>
        <v>2</v>
      </c>
      <c r="T162" cm="1">
        <f t="array" ref="T162">IFERROR(_xlfn.SWITCH(L162,1,_xlfn.XLOOKUP(O162,[1]AttributeName!$B:$B,[1]AttributeName!$E:$E),2,_xlfn.XLOOKUP(C162,#REF!,#REF!),3,_xlfn.XLOOKUP(C162,#REF!,#REF!)),0)</f>
        <v>2</v>
      </c>
    </row>
    <row r="163" customFormat="1" spans="1:20">
      <c r="A163">
        <f t="shared" si="17"/>
        <v>62</v>
      </c>
      <c r="B163">
        <v>6</v>
      </c>
      <c r="C163" s="14" t="s">
        <v>402</v>
      </c>
      <c r="D163" t="s">
        <v>22</v>
      </c>
      <c r="E163" s="13" t="s">
        <v>392</v>
      </c>
      <c r="F163"/>
      <c r="G163">
        <v>2</v>
      </c>
      <c r="H163">
        <v>1000</v>
      </c>
      <c r="J163" cm="1">
        <f t="array" ref="J163">_xlfn.SWITCH(B163,1,75,2,61,3,49,4,37,5,25,6,13,7,4,8,1)</f>
        <v>13</v>
      </c>
      <c r="K163" t="str" cm="1">
        <f t="array" ref="K163">IFERROR(_xlfn.SWITCH(L163,2,_xlfn.XLOOKUP(C163,[1]ModifierDes!$B:$B,[1]ModifierDes!$C:$C),3,_xlfn.XLOOKUP(C163,[1]StuntDes!$B:$B,[1]StuntDes!$C:$C)),"")</f>
        <v/>
      </c>
      <c r="L163">
        <f t="shared" si="15"/>
        <v>1</v>
      </c>
      <c r="M163" s="10" t="str">
        <f>IFERROR(_xlfn.XLOOKUP(C163,[1]StuntDes!$B:$B,[1]StuntDes!$A:$A),"")</f>
        <v/>
      </c>
      <c r="N163" s="10" t="str">
        <f>IFERROR(_xlfn.XLOOKUP(C163,[1]ModifierDes!$B:$B,[1]ModifierDes!$A:$A),"")</f>
        <v/>
      </c>
      <c r="O163" s="10">
        <f>IFERROR(_xlfn.XLOOKUP(C163,[1]AttributeName!$C:$C,[1]AttributeName!$B:$B),"")</f>
        <v>10501</v>
      </c>
      <c r="P163" s="10"/>
      <c r="Q163">
        <v>0.2</v>
      </c>
      <c r="R163">
        <v>0.27</v>
      </c>
      <c r="S163" cm="1">
        <f t="array" ref="S163">IFERROR(_xlfn.SWITCH(L163,1,_xlfn.XLOOKUP(O163,[1]AttributeName!$B:$B,[1]AttributeName!$D:$D),2,_xlfn.XLOOKUP(C163,#REF!,#REF!),3,_xlfn.XLOOKUP(C163,#REF!,#REF!)),0)</f>
        <v>2</v>
      </c>
      <c r="T163" cm="1">
        <f t="array" ref="T163">IFERROR(_xlfn.SWITCH(L163,1,_xlfn.XLOOKUP(O163,[1]AttributeName!$B:$B,[1]AttributeName!$E:$E),2,_xlfn.XLOOKUP(C163,#REF!,#REF!),3,_xlfn.XLOOKUP(C163,#REF!,#REF!)),0)</f>
        <v>2</v>
      </c>
    </row>
    <row r="164" customFormat="1" spans="1:20">
      <c r="A164">
        <f t="shared" si="17"/>
        <v>62</v>
      </c>
      <c r="B164">
        <v>7</v>
      </c>
      <c r="C164" s="14" t="s">
        <v>402</v>
      </c>
      <c r="D164" t="s">
        <v>22</v>
      </c>
      <c r="E164" s="13" t="s">
        <v>392</v>
      </c>
      <c r="F164"/>
      <c r="G164">
        <v>2</v>
      </c>
      <c r="H164">
        <v>1000</v>
      </c>
      <c r="J164" cm="1">
        <f t="array" ref="J164">_xlfn.SWITCH(B164,1,75,2,61,3,49,4,37,5,25,6,13,7,4,8,1)</f>
        <v>4</v>
      </c>
      <c r="K164" t="str" cm="1">
        <f t="array" ref="K164">IFERROR(_xlfn.SWITCH(L164,2,_xlfn.XLOOKUP(C164,[1]ModifierDes!$B:$B,[1]ModifierDes!$C:$C),3,_xlfn.XLOOKUP(C164,[1]StuntDes!$B:$B,[1]StuntDes!$C:$C)),"")</f>
        <v/>
      </c>
      <c r="L164">
        <f t="shared" si="15"/>
        <v>1</v>
      </c>
      <c r="M164" s="10" t="str">
        <f>IFERROR(_xlfn.XLOOKUP(C164,[1]StuntDes!$B:$B,[1]StuntDes!$A:$A),"")</f>
        <v/>
      </c>
      <c r="N164" s="10" t="str">
        <f>IFERROR(_xlfn.XLOOKUP(C164,[1]ModifierDes!$B:$B,[1]ModifierDes!$A:$A),"")</f>
        <v/>
      </c>
      <c r="O164" s="10">
        <f>IFERROR(_xlfn.XLOOKUP(C164,[1]AttributeName!$C:$C,[1]AttributeName!$B:$B),"")</f>
        <v>10501</v>
      </c>
      <c r="P164" s="10"/>
      <c r="Q164">
        <v>0.12</v>
      </c>
      <c r="R164">
        <v>0.19</v>
      </c>
      <c r="S164" cm="1">
        <f t="array" ref="S164">IFERROR(_xlfn.SWITCH(L164,1,_xlfn.XLOOKUP(O164,[1]AttributeName!$B:$B,[1]AttributeName!$D:$D),2,_xlfn.XLOOKUP(C164,#REF!,#REF!),3,_xlfn.XLOOKUP(C164,#REF!,#REF!)),0)</f>
        <v>2</v>
      </c>
      <c r="T164" cm="1">
        <f t="array" ref="T164">IFERROR(_xlfn.SWITCH(L164,1,_xlfn.XLOOKUP(O164,[1]AttributeName!$B:$B,[1]AttributeName!$E:$E),2,_xlfn.XLOOKUP(C164,#REF!,#REF!),3,_xlfn.XLOOKUP(C164,#REF!,#REF!)),0)</f>
        <v>2</v>
      </c>
    </row>
    <row r="165" customFormat="1" spans="1:20">
      <c r="A165">
        <f t="shared" si="17"/>
        <v>62</v>
      </c>
      <c r="B165">
        <v>8</v>
      </c>
      <c r="C165" s="14" t="s">
        <v>402</v>
      </c>
      <c r="D165" t="s">
        <v>22</v>
      </c>
      <c r="E165" s="13" t="s">
        <v>392</v>
      </c>
      <c r="F165"/>
      <c r="G165">
        <v>2</v>
      </c>
      <c r="H165">
        <v>1000</v>
      </c>
      <c r="J165" cm="1">
        <f t="array" ref="J165">_xlfn.SWITCH(B165,1,75,2,61,3,49,4,37,5,25,6,13,7,4,8,1)</f>
        <v>1</v>
      </c>
      <c r="K165" t="str" cm="1">
        <f t="array" ref="K165">IFERROR(_xlfn.SWITCH(L165,2,_xlfn.XLOOKUP(C165,[1]ModifierDes!$B:$B,[1]ModifierDes!$C:$C),3,_xlfn.XLOOKUP(C165,[1]StuntDes!$B:$B,[1]StuntDes!$C:$C)),"")</f>
        <v/>
      </c>
      <c r="L165">
        <f t="shared" si="15"/>
        <v>1</v>
      </c>
      <c r="M165" s="10" t="str">
        <f>IFERROR(_xlfn.XLOOKUP(C165,[1]StuntDes!$B:$B,[1]StuntDes!$A:$A),"")</f>
        <v/>
      </c>
      <c r="N165" s="10" t="str">
        <f>IFERROR(_xlfn.XLOOKUP(C165,[1]ModifierDes!$B:$B,[1]ModifierDes!$A:$A),"")</f>
        <v/>
      </c>
      <c r="O165" s="10">
        <f>IFERROR(_xlfn.XLOOKUP(C165,[1]AttributeName!$C:$C,[1]AttributeName!$B:$B),"")</f>
        <v>10501</v>
      </c>
      <c r="P165" s="10"/>
      <c r="Q165">
        <v>0.0399999999999999</v>
      </c>
      <c r="R165">
        <v>0.11</v>
      </c>
      <c r="S165" cm="1">
        <f t="array" ref="S165">IFERROR(_xlfn.SWITCH(L165,1,_xlfn.XLOOKUP(O165,[1]AttributeName!$B:$B,[1]AttributeName!$D:$D),2,_xlfn.XLOOKUP(C165,#REF!,#REF!),3,_xlfn.XLOOKUP(C165,#REF!,#REF!)),0)</f>
        <v>2</v>
      </c>
      <c r="T165" cm="1">
        <f t="array" ref="T165">IFERROR(_xlfn.SWITCH(L165,1,_xlfn.XLOOKUP(O165,[1]AttributeName!$B:$B,[1]AttributeName!$E:$E),2,_xlfn.XLOOKUP(C165,#REF!,#REF!),3,_xlfn.XLOOKUP(C165,#REF!,#REF!)),0)</f>
        <v>2</v>
      </c>
    </row>
    <row r="166" customFormat="1" spans="1:20">
      <c r="A166">
        <f t="shared" si="17"/>
        <v>63</v>
      </c>
      <c r="B166">
        <v>1</v>
      </c>
      <c r="C166" t="s">
        <v>403</v>
      </c>
      <c r="D166" t="s">
        <v>22</v>
      </c>
      <c r="E166" s="13" t="s">
        <v>392</v>
      </c>
      <c r="F166"/>
      <c r="G166">
        <v>2</v>
      </c>
      <c r="H166">
        <v>100</v>
      </c>
      <c r="J166" cm="1">
        <f t="array" ref="J166">_xlfn.SWITCH(B166,1,75,2,61,3,49,4,37,5,25,6,13,7,4,8,1)</f>
        <v>75</v>
      </c>
      <c r="K166" t="str" cm="1">
        <f t="array" ref="K166">IFERROR(_xlfn.SWITCH(L166,2,_xlfn.XLOOKUP(C166,[1]ModifierDes!$B:$B,[1]ModifierDes!$C:$C),3,_xlfn.XLOOKUP(C166,[1]StuntDes!$B:$B,[1]StuntDes!$C:$C)),"")</f>
        <v/>
      </c>
      <c r="L166">
        <f t="shared" si="15"/>
        <v>1</v>
      </c>
      <c r="M166" s="10" t="str">
        <f>IFERROR(_xlfn.XLOOKUP(C166,[1]StuntDes!$B:$B,[1]StuntDes!$A:$A),"")</f>
        <v/>
      </c>
      <c r="N166" s="10" t="str">
        <f>IFERROR(_xlfn.XLOOKUP(C166,[1]ModifierDes!$B:$B,[1]ModifierDes!$A:$A),"")</f>
        <v/>
      </c>
      <c r="O166" s="10">
        <f>IFERROR(_xlfn.XLOOKUP(C166,[1]AttributeName!$C:$C,[1]AttributeName!$B:$B),"")</f>
        <v>10502</v>
      </c>
      <c r="P166" s="10"/>
      <c r="Q166">
        <v>0.6</v>
      </c>
      <c r="R166">
        <v>0.8</v>
      </c>
      <c r="S166" cm="1">
        <f t="array" ref="S166">IFERROR(_xlfn.SWITCH(L166,1,_xlfn.XLOOKUP(O166,[1]AttributeName!$B:$B,[1]AttributeName!$D:$D),2,_xlfn.XLOOKUP(C166,#REF!,#REF!),3,_xlfn.XLOOKUP(C166,#REF!,#REF!)),0)</f>
        <v>2</v>
      </c>
      <c r="T166" cm="1">
        <f t="array" ref="T166">IFERROR(_xlfn.SWITCH(L166,1,_xlfn.XLOOKUP(O166,[1]AttributeName!$B:$B,[1]AttributeName!$E:$E),2,_xlfn.XLOOKUP(C166,#REF!,#REF!),3,_xlfn.XLOOKUP(C166,#REF!,#REF!)),0)</f>
        <v>2</v>
      </c>
    </row>
    <row r="167" customFormat="1" spans="1:20">
      <c r="A167">
        <f t="shared" si="17"/>
        <v>63</v>
      </c>
      <c r="B167">
        <v>2</v>
      </c>
      <c r="C167" t="s">
        <v>403</v>
      </c>
      <c r="D167" t="s">
        <v>22</v>
      </c>
      <c r="E167" s="13" t="s">
        <v>392</v>
      </c>
      <c r="F167"/>
      <c r="G167">
        <v>2</v>
      </c>
      <c r="H167">
        <v>200</v>
      </c>
      <c r="J167" cm="1">
        <f t="array" ref="J167">_xlfn.SWITCH(B167,1,75,2,61,3,49,4,37,5,25,6,13,7,4,8,1)</f>
        <v>61</v>
      </c>
      <c r="K167" t="str" cm="1">
        <f t="array" ref="K167">IFERROR(_xlfn.SWITCH(L167,2,_xlfn.XLOOKUP(C167,[1]ModifierDes!$B:$B,[1]ModifierDes!$C:$C),3,_xlfn.XLOOKUP(C167,[1]StuntDes!$B:$B,[1]StuntDes!$C:$C)),"")</f>
        <v/>
      </c>
      <c r="L167">
        <f t="shared" si="15"/>
        <v>1</v>
      </c>
      <c r="M167" s="10" t="str">
        <f>IFERROR(_xlfn.XLOOKUP(C167,[1]StuntDes!$B:$B,[1]StuntDes!$A:$A),"")</f>
        <v/>
      </c>
      <c r="N167" s="10" t="str">
        <f>IFERROR(_xlfn.XLOOKUP(C167,[1]ModifierDes!$B:$B,[1]ModifierDes!$A:$A),"")</f>
        <v/>
      </c>
      <c r="O167" s="10">
        <f>IFERROR(_xlfn.XLOOKUP(C167,[1]AttributeName!$C:$C,[1]AttributeName!$B:$B),"")</f>
        <v>10502</v>
      </c>
      <c r="P167" s="10"/>
      <c r="Q167">
        <v>0.52</v>
      </c>
      <c r="R167">
        <v>0.59</v>
      </c>
      <c r="S167" cm="1">
        <f t="array" ref="S167">IFERROR(_xlfn.SWITCH(L167,1,_xlfn.XLOOKUP(O167,[1]AttributeName!$B:$B,[1]AttributeName!$D:$D),2,_xlfn.XLOOKUP(C167,#REF!,#REF!),3,_xlfn.XLOOKUP(C167,#REF!,#REF!)),0)</f>
        <v>2</v>
      </c>
      <c r="T167" cm="1">
        <f t="array" ref="T167">IFERROR(_xlfn.SWITCH(L167,1,_xlfn.XLOOKUP(O167,[1]AttributeName!$B:$B,[1]AttributeName!$E:$E),2,_xlfn.XLOOKUP(C167,#REF!,#REF!),3,_xlfn.XLOOKUP(C167,#REF!,#REF!)),0)</f>
        <v>2</v>
      </c>
    </row>
    <row r="168" customFormat="1" spans="1:20">
      <c r="A168">
        <f t="shared" si="17"/>
        <v>63</v>
      </c>
      <c r="B168">
        <v>3</v>
      </c>
      <c r="C168" t="s">
        <v>403</v>
      </c>
      <c r="D168" t="s">
        <v>22</v>
      </c>
      <c r="E168" s="13" t="s">
        <v>392</v>
      </c>
      <c r="F168"/>
      <c r="G168">
        <v>2</v>
      </c>
      <c r="H168">
        <v>500</v>
      </c>
      <c r="J168" cm="1">
        <f t="array" ref="J168">_xlfn.SWITCH(B168,1,75,2,61,3,49,4,37,5,25,6,13,7,4,8,1)</f>
        <v>49</v>
      </c>
      <c r="K168" t="str" cm="1">
        <f t="array" ref="K168">IFERROR(_xlfn.SWITCH(L168,2,_xlfn.XLOOKUP(C168,[1]ModifierDes!$B:$B,[1]ModifierDes!$C:$C),3,_xlfn.XLOOKUP(C168,[1]StuntDes!$B:$B,[1]StuntDes!$C:$C)),"")</f>
        <v/>
      </c>
      <c r="L168">
        <f t="shared" si="15"/>
        <v>1</v>
      </c>
      <c r="M168" s="10" t="str">
        <f>IFERROR(_xlfn.XLOOKUP(C168,[1]StuntDes!$B:$B,[1]StuntDes!$A:$A),"")</f>
        <v/>
      </c>
      <c r="N168" s="10" t="str">
        <f>IFERROR(_xlfn.XLOOKUP(C168,[1]ModifierDes!$B:$B,[1]ModifierDes!$A:$A),"")</f>
        <v/>
      </c>
      <c r="O168" s="10">
        <f>IFERROR(_xlfn.XLOOKUP(C168,[1]AttributeName!$C:$C,[1]AttributeName!$B:$B),"")</f>
        <v>10502</v>
      </c>
      <c r="P168" s="10"/>
      <c r="Q168">
        <v>0.44</v>
      </c>
      <c r="R168">
        <v>0.51</v>
      </c>
      <c r="S168" cm="1">
        <f t="array" ref="S168">IFERROR(_xlfn.SWITCH(L168,1,_xlfn.XLOOKUP(O168,[1]AttributeName!$B:$B,[1]AttributeName!$D:$D),2,_xlfn.XLOOKUP(C168,#REF!,#REF!),3,_xlfn.XLOOKUP(C168,#REF!,#REF!)),0)</f>
        <v>2</v>
      </c>
      <c r="T168" cm="1">
        <f t="array" ref="T168">IFERROR(_xlfn.SWITCH(L168,1,_xlfn.XLOOKUP(O168,[1]AttributeName!$B:$B,[1]AttributeName!$E:$E),2,_xlfn.XLOOKUP(C168,#REF!,#REF!),3,_xlfn.XLOOKUP(C168,#REF!,#REF!)),0)</f>
        <v>2</v>
      </c>
    </row>
    <row r="169" customFormat="1" spans="1:20">
      <c r="A169">
        <f t="shared" si="17"/>
        <v>63</v>
      </c>
      <c r="B169">
        <v>4</v>
      </c>
      <c r="C169" t="s">
        <v>403</v>
      </c>
      <c r="D169" t="s">
        <v>22</v>
      </c>
      <c r="E169" s="13" t="s">
        <v>392</v>
      </c>
      <c r="F169"/>
      <c r="G169">
        <v>2</v>
      </c>
      <c r="H169">
        <v>1000</v>
      </c>
      <c r="J169" cm="1">
        <f t="array" ref="J169">_xlfn.SWITCH(B169,1,75,2,61,3,49,4,37,5,25,6,13,7,4,8,1)</f>
        <v>37</v>
      </c>
      <c r="K169" t="str" cm="1">
        <f t="array" ref="K169">IFERROR(_xlfn.SWITCH(L169,2,_xlfn.XLOOKUP(C169,[1]ModifierDes!$B:$B,[1]ModifierDes!$C:$C),3,_xlfn.XLOOKUP(C169,[1]StuntDes!$B:$B,[1]StuntDes!$C:$C)),"")</f>
        <v/>
      </c>
      <c r="L169">
        <f t="shared" si="15"/>
        <v>1</v>
      </c>
      <c r="M169" s="10" t="str">
        <f>IFERROR(_xlfn.XLOOKUP(C169,[1]StuntDes!$B:$B,[1]StuntDes!$A:$A),"")</f>
        <v/>
      </c>
      <c r="N169" s="10" t="str">
        <f>IFERROR(_xlfn.XLOOKUP(C169,[1]ModifierDes!$B:$B,[1]ModifierDes!$A:$A),"")</f>
        <v/>
      </c>
      <c r="O169" s="10">
        <f>IFERROR(_xlfn.XLOOKUP(C169,[1]AttributeName!$C:$C,[1]AttributeName!$B:$B),"")</f>
        <v>10502</v>
      </c>
      <c r="P169" s="10"/>
      <c r="Q169">
        <v>0.36</v>
      </c>
      <c r="R169">
        <v>0.43</v>
      </c>
      <c r="S169" cm="1">
        <f t="array" ref="S169">IFERROR(_xlfn.SWITCH(L169,1,_xlfn.XLOOKUP(O169,[1]AttributeName!$B:$B,[1]AttributeName!$D:$D),2,_xlfn.XLOOKUP(C169,#REF!,#REF!),3,_xlfn.XLOOKUP(C169,#REF!,#REF!)),0)</f>
        <v>2</v>
      </c>
      <c r="T169" cm="1">
        <f t="array" ref="T169">IFERROR(_xlfn.SWITCH(L169,1,_xlfn.XLOOKUP(O169,[1]AttributeName!$B:$B,[1]AttributeName!$E:$E),2,_xlfn.XLOOKUP(C169,#REF!,#REF!),3,_xlfn.XLOOKUP(C169,#REF!,#REF!)),0)</f>
        <v>2</v>
      </c>
    </row>
    <row r="170" customFormat="1" spans="1:20">
      <c r="A170">
        <f t="shared" si="17"/>
        <v>63</v>
      </c>
      <c r="B170">
        <v>5</v>
      </c>
      <c r="C170" t="s">
        <v>403</v>
      </c>
      <c r="D170" t="s">
        <v>22</v>
      </c>
      <c r="E170" s="13" t="s">
        <v>392</v>
      </c>
      <c r="F170"/>
      <c r="G170">
        <v>2</v>
      </c>
      <c r="H170">
        <v>1000</v>
      </c>
      <c r="J170" cm="1">
        <f t="array" ref="J170">_xlfn.SWITCH(B170,1,75,2,61,3,49,4,37,5,25,6,13,7,4,8,1)</f>
        <v>25</v>
      </c>
      <c r="K170" t="str" cm="1">
        <f t="array" ref="K170">IFERROR(_xlfn.SWITCH(L170,2,_xlfn.XLOOKUP(C170,[1]ModifierDes!$B:$B,[1]ModifierDes!$C:$C),3,_xlfn.XLOOKUP(C170,[1]StuntDes!$B:$B,[1]StuntDes!$C:$C)),"")</f>
        <v/>
      </c>
      <c r="L170">
        <f t="shared" si="15"/>
        <v>1</v>
      </c>
      <c r="M170" s="10" t="str">
        <f>IFERROR(_xlfn.XLOOKUP(C170,[1]StuntDes!$B:$B,[1]StuntDes!$A:$A),"")</f>
        <v/>
      </c>
      <c r="N170" s="10" t="str">
        <f>IFERROR(_xlfn.XLOOKUP(C170,[1]ModifierDes!$B:$B,[1]ModifierDes!$A:$A),"")</f>
        <v/>
      </c>
      <c r="O170" s="10">
        <f>IFERROR(_xlfn.XLOOKUP(C170,[1]AttributeName!$C:$C,[1]AttributeName!$B:$B),"")</f>
        <v>10502</v>
      </c>
      <c r="P170" s="10"/>
      <c r="Q170">
        <v>0.28</v>
      </c>
      <c r="R170">
        <v>0.35</v>
      </c>
      <c r="S170" cm="1">
        <f t="array" ref="S170">IFERROR(_xlfn.SWITCH(L170,1,_xlfn.XLOOKUP(O170,[1]AttributeName!$B:$B,[1]AttributeName!$D:$D),2,_xlfn.XLOOKUP(C170,#REF!,#REF!),3,_xlfn.XLOOKUP(C170,#REF!,#REF!)),0)</f>
        <v>2</v>
      </c>
      <c r="T170" cm="1">
        <f t="array" ref="T170">IFERROR(_xlfn.SWITCH(L170,1,_xlfn.XLOOKUP(O170,[1]AttributeName!$B:$B,[1]AttributeName!$E:$E),2,_xlfn.XLOOKUP(C170,#REF!,#REF!),3,_xlfn.XLOOKUP(C170,#REF!,#REF!)),0)</f>
        <v>2</v>
      </c>
    </row>
    <row r="171" customFormat="1" spans="1:20">
      <c r="A171">
        <f t="shared" si="17"/>
        <v>63</v>
      </c>
      <c r="B171">
        <v>6</v>
      </c>
      <c r="C171" t="s">
        <v>403</v>
      </c>
      <c r="D171" t="s">
        <v>22</v>
      </c>
      <c r="E171" s="13" t="s">
        <v>392</v>
      </c>
      <c r="F171"/>
      <c r="G171">
        <v>2</v>
      </c>
      <c r="H171">
        <v>1000</v>
      </c>
      <c r="J171" cm="1">
        <f t="array" ref="J171">_xlfn.SWITCH(B171,1,75,2,61,3,49,4,37,5,25,6,13,7,4,8,1)</f>
        <v>13</v>
      </c>
      <c r="K171" t="str" cm="1">
        <f t="array" ref="K171">IFERROR(_xlfn.SWITCH(L171,2,_xlfn.XLOOKUP(C171,[1]ModifierDes!$B:$B,[1]ModifierDes!$C:$C),3,_xlfn.XLOOKUP(C171,[1]StuntDes!$B:$B,[1]StuntDes!$C:$C)),"")</f>
        <v/>
      </c>
      <c r="L171">
        <f t="shared" si="15"/>
        <v>1</v>
      </c>
      <c r="M171" s="10" t="str">
        <f>IFERROR(_xlfn.XLOOKUP(C171,[1]StuntDes!$B:$B,[1]StuntDes!$A:$A),"")</f>
        <v/>
      </c>
      <c r="N171" s="10" t="str">
        <f>IFERROR(_xlfn.XLOOKUP(C171,[1]ModifierDes!$B:$B,[1]ModifierDes!$A:$A),"")</f>
        <v/>
      </c>
      <c r="O171" s="10">
        <f>IFERROR(_xlfn.XLOOKUP(C171,[1]AttributeName!$C:$C,[1]AttributeName!$B:$B),"")</f>
        <v>10502</v>
      </c>
      <c r="P171" s="10"/>
      <c r="Q171">
        <v>0.2</v>
      </c>
      <c r="R171">
        <v>0.27</v>
      </c>
      <c r="S171" cm="1">
        <f t="array" ref="S171">IFERROR(_xlfn.SWITCH(L171,1,_xlfn.XLOOKUP(O171,[1]AttributeName!$B:$B,[1]AttributeName!$D:$D),2,_xlfn.XLOOKUP(C171,#REF!,#REF!),3,_xlfn.XLOOKUP(C171,#REF!,#REF!)),0)</f>
        <v>2</v>
      </c>
      <c r="T171" cm="1">
        <f t="array" ref="T171">IFERROR(_xlfn.SWITCH(L171,1,_xlfn.XLOOKUP(O171,[1]AttributeName!$B:$B,[1]AttributeName!$E:$E),2,_xlfn.XLOOKUP(C171,#REF!,#REF!),3,_xlfn.XLOOKUP(C171,#REF!,#REF!)),0)</f>
        <v>2</v>
      </c>
    </row>
    <row r="172" customFormat="1" spans="1:20">
      <c r="A172">
        <f t="shared" si="17"/>
        <v>63</v>
      </c>
      <c r="B172">
        <v>7</v>
      </c>
      <c r="C172" t="s">
        <v>403</v>
      </c>
      <c r="D172" t="s">
        <v>22</v>
      </c>
      <c r="E172" s="13" t="s">
        <v>392</v>
      </c>
      <c r="F172"/>
      <c r="G172">
        <v>2</v>
      </c>
      <c r="H172">
        <v>1000</v>
      </c>
      <c r="J172" cm="1">
        <f t="array" ref="J172">_xlfn.SWITCH(B172,1,75,2,61,3,49,4,37,5,25,6,13,7,4,8,1)</f>
        <v>4</v>
      </c>
      <c r="K172" t="str" cm="1">
        <f t="array" ref="K172">IFERROR(_xlfn.SWITCH(L172,2,_xlfn.XLOOKUP(C172,[1]ModifierDes!$B:$B,[1]ModifierDes!$C:$C),3,_xlfn.XLOOKUP(C172,[1]StuntDes!$B:$B,[1]StuntDes!$C:$C)),"")</f>
        <v/>
      </c>
      <c r="L172">
        <f t="shared" si="15"/>
        <v>1</v>
      </c>
      <c r="M172" s="10" t="str">
        <f>IFERROR(_xlfn.XLOOKUP(C172,[1]StuntDes!$B:$B,[1]StuntDes!$A:$A),"")</f>
        <v/>
      </c>
      <c r="N172" s="10" t="str">
        <f>IFERROR(_xlfn.XLOOKUP(C172,[1]ModifierDes!$B:$B,[1]ModifierDes!$A:$A),"")</f>
        <v/>
      </c>
      <c r="O172" s="10">
        <f>IFERROR(_xlfn.XLOOKUP(C172,[1]AttributeName!$C:$C,[1]AttributeName!$B:$B),"")</f>
        <v>10502</v>
      </c>
      <c r="P172" s="10"/>
      <c r="Q172">
        <v>0.12</v>
      </c>
      <c r="R172">
        <v>0.19</v>
      </c>
      <c r="S172" cm="1">
        <f t="array" ref="S172">IFERROR(_xlfn.SWITCH(L172,1,_xlfn.XLOOKUP(O172,[1]AttributeName!$B:$B,[1]AttributeName!$D:$D),2,_xlfn.XLOOKUP(C172,#REF!,#REF!),3,_xlfn.XLOOKUP(C172,#REF!,#REF!)),0)</f>
        <v>2</v>
      </c>
      <c r="T172" cm="1">
        <f t="array" ref="T172">IFERROR(_xlfn.SWITCH(L172,1,_xlfn.XLOOKUP(O172,[1]AttributeName!$B:$B,[1]AttributeName!$E:$E),2,_xlfn.XLOOKUP(C172,#REF!,#REF!),3,_xlfn.XLOOKUP(C172,#REF!,#REF!)),0)</f>
        <v>2</v>
      </c>
    </row>
    <row r="173" customFormat="1" spans="1:20">
      <c r="A173">
        <f t="shared" si="17"/>
        <v>63</v>
      </c>
      <c r="B173">
        <v>8</v>
      </c>
      <c r="C173" t="s">
        <v>403</v>
      </c>
      <c r="D173" t="s">
        <v>22</v>
      </c>
      <c r="E173" s="13" t="s">
        <v>392</v>
      </c>
      <c r="F173"/>
      <c r="G173">
        <v>2</v>
      </c>
      <c r="H173">
        <v>1000</v>
      </c>
      <c r="J173" cm="1">
        <f t="array" ref="J173">_xlfn.SWITCH(B173,1,75,2,61,3,49,4,37,5,25,6,13,7,4,8,1)</f>
        <v>1</v>
      </c>
      <c r="K173" t="str" cm="1">
        <f t="array" ref="K173">IFERROR(_xlfn.SWITCH(L173,2,_xlfn.XLOOKUP(C173,[1]ModifierDes!$B:$B,[1]ModifierDes!$C:$C),3,_xlfn.XLOOKUP(C173,[1]StuntDes!$B:$B,[1]StuntDes!$C:$C)),"")</f>
        <v/>
      </c>
      <c r="L173">
        <f t="shared" si="15"/>
        <v>1</v>
      </c>
      <c r="M173" s="10" t="str">
        <f>IFERROR(_xlfn.XLOOKUP(C173,[1]StuntDes!$B:$B,[1]StuntDes!$A:$A),"")</f>
        <v/>
      </c>
      <c r="N173" s="10" t="str">
        <f>IFERROR(_xlfn.XLOOKUP(C173,[1]ModifierDes!$B:$B,[1]ModifierDes!$A:$A),"")</f>
        <v/>
      </c>
      <c r="O173" s="10">
        <f>IFERROR(_xlfn.XLOOKUP(C173,[1]AttributeName!$C:$C,[1]AttributeName!$B:$B),"")</f>
        <v>10502</v>
      </c>
      <c r="P173" s="10"/>
      <c r="Q173">
        <v>0.0399999999999999</v>
      </c>
      <c r="R173">
        <v>0.11</v>
      </c>
      <c r="S173" cm="1">
        <f t="array" ref="S173">IFERROR(_xlfn.SWITCH(L173,1,_xlfn.XLOOKUP(O173,[1]AttributeName!$B:$B,[1]AttributeName!$D:$D),2,_xlfn.XLOOKUP(C173,#REF!,#REF!),3,_xlfn.XLOOKUP(C173,#REF!,#REF!)),0)</f>
        <v>2</v>
      </c>
      <c r="T173" cm="1">
        <f t="array" ref="T173">IFERROR(_xlfn.SWITCH(L173,1,_xlfn.XLOOKUP(O173,[1]AttributeName!$B:$B,[1]AttributeName!$E:$E),2,_xlfn.XLOOKUP(C173,#REF!,#REF!),3,_xlfn.XLOOKUP(C173,#REF!,#REF!)),0)</f>
        <v>2</v>
      </c>
    </row>
    <row r="174" customFormat="1" spans="1:20">
      <c r="A174">
        <f t="shared" si="17"/>
        <v>64</v>
      </c>
      <c r="B174">
        <v>1</v>
      </c>
      <c r="C174" s="14" t="s">
        <v>404</v>
      </c>
      <c r="D174" t="s">
        <v>22</v>
      </c>
      <c r="E174" s="13" t="s">
        <v>392</v>
      </c>
      <c r="F174"/>
      <c r="G174">
        <v>2</v>
      </c>
      <c r="H174">
        <v>100</v>
      </c>
      <c r="J174" cm="1">
        <f t="array" ref="J174">_xlfn.SWITCH(B174,1,75,2,61,3,49,4,37,5,25,6,13,7,4,8,1)</f>
        <v>75</v>
      </c>
      <c r="K174" t="str" cm="1">
        <f t="array" ref="K174">IFERROR(_xlfn.SWITCH(L174,2,_xlfn.XLOOKUP(C174,[1]ModifierDes!$B:$B,[1]ModifierDes!$C:$C),3,_xlfn.XLOOKUP(C174,[1]StuntDes!$B:$B,[1]StuntDes!$C:$C)),"")</f>
        <v/>
      </c>
      <c r="L174">
        <f t="shared" si="15"/>
        <v>1</v>
      </c>
      <c r="M174" s="10" t="str">
        <f>IFERROR(_xlfn.XLOOKUP(C174,[1]StuntDes!$B:$B,[1]StuntDes!$A:$A),"")</f>
        <v/>
      </c>
      <c r="N174" s="10" t="str">
        <f>IFERROR(_xlfn.XLOOKUP(C174,[1]ModifierDes!$B:$B,[1]ModifierDes!$A:$A),"")</f>
        <v/>
      </c>
      <c r="O174" s="10">
        <f>IFERROR(_xlfn.XLOOKUP(C174,[1]AttributeName!$C:$C,[1]AttributeName!$B:$B),"")</f>
        <v>10503</v>
      </c>
      <c r="P174" s="10"/>
      <c r="Q174">
        <v>0.6</v>
      </c>
      <c r="R174">
        <v>0.8</v>
      </c>
      <c r="S174" cm="1">
        <f t="array" ref="S174">IFERROR(_xlfn.SWITCH(L174,1,_xlfn.XLOOKUP(O174,[1]AttributeName!$B:$B,[1]AttributeName!$D:$D),2,_xlfn.XLOOKUP(C174,#REF!,#REF!),3,_xlfn.XLOOKUP(C174,#REF!,#REF!)),0)</f>
        <v>2</v>
      </c>
      <c r="T174" cm="1">
        <f t="array" ref="T174">IFERROR(_xlfn.SWITCH(L174,1,_xlfn.XLOOKUP(O174,[1]AttributeName!$B:$B,[1]AttributeName!$E:$E),2,_xlfn.XLOOKUP(C174,#REF!,#REF!),3,_xlfn.XLOOKUP(C174,#REF!,#REF!)),0)</f>
        <v>2</v>
      </c>
    </row>
    <row r="175" customFormat="1" spans="1:20">
      <c r="A175">
        <f t="shared" si="17"/>
        <v>64</v>
      </c>
      <c r="B175">
        <v>2</v>
      </c>
      <c r="C175" s="14" t="s">
        <v>404</v>
      </c>
      <c r="D175" t="s">
        <v>22</v>
      </c>
      <c r="E175" s="13" t="s">
        <v>392</v>
      </c>
      <c r="F175"/>
      <c r="G175">
        <v>2</v>
      </c>
      <c r="H175">
        <v>200</v>
      </c>
      <c r="J175" cm="1">
        <f t="array" ref="J175">_xlfn.SWITCH(B175,1,75,2,61,3,49,4,37,5,25,6,13,7,4,8,1)</f>
        <v>61</v>
      </c>
      <c r="K175" t="str" cm="1">
        <f t="array" ref="K175">IFERROR(_xlfn.SWITCH(L175,2,_xlfn.XLOOKUP(C175,[1]ModifierDes!$B:$B,[1]ModifierDes!$C:$C),3,_xlfn.XLOOKUP(C175,[1]StuntDes!$B:$B,[1]StuntDes!$C:$C)),"")</f>
        <v/>
      </c>
      <c r="L175">
        <f t="shared" si="15"/>
        <v>1</v>
      </c>
      <c r="M175" s="10" t="str">
        <f>IFERROR(_xlfn.XLOOKUP(C175,[1]StuntDes!$B:$B,[1]StuntDes!$A:$A),"")</f>
        <v/>
      </c>
      <c r="N175" s="10" t="str">
        <f>IFERROR(_xlfn.XLOOKUP(C175,[1]ModifierDes!$B:$B,[1]ModifierDes!$A:$A),"")</f>
        <v/>
      </c>
      <c r="O175" s="10">
        <f>IFERROR(_xlfn.XLOOKUP(C175,[1]AttributeName!$C:$C,[1]AttributeName!$B:$B),"")</f>
        <v>10503</v>
      </c>
      <c r="P175" s="10"/>
      <c r="Q175">
        <v>0.52</v>
      </c>
      <c r="R175">
        <v>0.59</v>
      </c>
      <c r="S175" cm="1">
        <f t="array" ref="S175">IFERROR(_xlfn.SWITCH(L175,1,_xlfn.XLOOKUP(O175,[1]AttributeName!$B:$B,[1]AttributeName!$D:$D),2,_xlfn.XLOOKUP(C175,#REF!,#REF!),3,_xlfn.XLOOKUP(C175,#REF!,#REF!)),0)</f>
        <v>2</v>
      </c>
      <c r="T175" cm="1">
        <f t="array" ref="T175">IFERROR(_xlfn.SWITCH(L175,1,_xlfn.XLOOKUP(O175,[1]AttributeName!$B:$B,[1]AttributeName!$E:$E),2,_xlfn.XLOOKUP(C175,#REF!,#REF!),3,_xlfn.XLOOKUP(C175,#REF!,#REF!)),0)</f>
        <v>2</v>
      </c>
    </row>
    <row r="176" customFormat="1" spans="1:20">
      <c r="A176">
        <f t="shared" si="17"/>
        <v>64</v>
      </c>
      <c r="B176">
        <v>3</v>
      </c>
      <c r="C176" s="14" t="s">
        <v>404</v>
      </c>
      <c r="D176" t="s">
        <v>22</v>
      </c>
      <c r="E176" s="13" t="s">
        <v>392</v>
      </c>
      <c r="F176"/>
      <c r="G176">
        <v>2</v>
      </c>
      <c r="H176">
        <v>500</v>
      </c>
      <c r="J176" cm="1">
        <f t="array" ref="J176">_xlfn.SWITCH(B176,1,75,2,61,3,49,4,37,5,25,6,13,7,4,8,1)</f>
        <v>49</v>
      </c>
      <c r="K176" t="str" cm="1">
        <f t="array" ref="K176">IFERROR(_xlfn.SWITCH(L176,2,_xlfn.XLOOKUP(C176,[1]ModifierDes!$B:$B,[1]ModifierDes!$C:$C),3,_xlfn.XLOOKUP(C176,[1]StuntDes!$B:$B,[1]StuntDes!$C:$C)),"")</f>
        <v/>
      </c>
      <c r="L176">
        <f t="shared" si="15"/>
        <v>1</v>
      </c>
      <c r="M176" s="10" t="str">
        <f>IFERROR(_xlfn.XLOOKUP(C176,[1]StuntDes!$B:$B,[1]StuntDes!$A:$A),"")</f>
        <v/>
      </c>
      <c r="N176" s="10" t="str">
        <f>IFERROR(_xlfn.XLOOKUP(C176,[1]ModifierDes!$B:$B,[1]ModifierDes!$A:$A),"")</f>
        <v/>
      </c>
      <c r="O176" s="10">
        <f>IFERROR(_xlfn.XLOOKUP(C176,[1]AttributeName!$C:$C,[1]AttributeName!$B:$B),"")</f>
        <v>10503</v>
      </c>
      <c r="P176" s="10"/>
      <c r="Q176">
        <v>0.44</v>
      </c>
      <c r="R176">
        <v>0.51</v>
      </c>
      <c r="S176" cm="1">
        <f t="array" ref="S176">IFERROR(_xlfn.SWITCH(L176,1,_xlfn.XLOOKUP(O176,[1]AttributeName!$B:$B,[1]AttributeName!$D:$D),2,_xlfn.XLOOKUP(C176,#REF!,#REF!),3,_xlfn.XLOOKUP(C176,#REF!,#REF!)),0)</f>
        <v>2</v>
      </c>
      <c r="T176" cm="1">
        <f t="array" ref="T176">IFERROR(_xlfn.SWITCH(L176,1,_xlfn.XLOOKUP(O176,[1]AttributeName!$B:$B,[1]AttributeName!$E:$E),2,_xlfn.XLOOKUP(C176,#REF!,#REF!),3,_xlfn.XLOOKUP(C176,#REF!,#REF!)),0)</f>
        <v>2</v>
      </c>
    </row>
    <row r="177" customFormat="1" spans="1:20">
      <c r="A177">
        <f t="shared" si="17"/>
        <v>64</v>
      </c>
      <c r="B177">
        <v>4</v>
      </c>
      <c r="C177" s="14" t="s">
        <v>404</v>
      </c>
      <c r="D177" t="s">
        <v>22</v>
      </c>
      <c r="E177" s="13" t="s">
        <v>392</v>
      </c>
      <c r="F177"/>
      <c r="G177">
        <v>2</v>
      </c>
      <c r="H177">
        <v>1000</v>
      </c>
      <c r="J177" cm="1">
        <f t="array" ref="J177">_xlfn.SWITCH(B177,1,75,2,61,3,49,4,37,5,25,6,13,7,4,8,1)</f>
        <v>37</v>
      </c>
      <c r="K177" t="str" cm="1">
        <f t="array" ref="K177">IFERROR(_xlfn.SWITCH(L177,2,_xlfn.XLOOKUP(C177,[1]ModifierDes!$B:$B,[1]ModifierDes!$C:$C),3,_xlfn.XLOOKUP(C177,[1]StuntDes!$B:$B,[1]StuntDes!$C:$C)),"")</f>
        <v/>
      </c>
      <c r="L177">
        <f t="shared" si="15"/>
        <v>1</v>
      </c>
      <c r="M177" s="10" t="str">
        <f>IFERROR(_xlfn.XLOOKUP(C177,[1]StuntDes!$B:$B,[1]StuntDes!$A:$A),"")</f>
        <v/>
      </c>
      <c r="N177" s="10" t="str">
        <f>IFERROR(_xlfn.XLOOKUP(C177,[1]ModifierDes!$B:$B,[1]ModifierDes!$A:$A),"")</f>
        <v/>
      </c>
      <c r="O177" s="10">
        <f>IFERROR(_xlfn.XLOOKUP(C177,[1]AttributeName!$C:$C,[1]AttributeName!$B:$B),"")</f>
        <v>10503</v>
      </c>
      <c r="P177" s="10"/>
      <c r="Q177">
        <v>0.36</v>
      </c>
      <c r="R177">
        <v>0.43</v>
      </c>
      <c r="S177" cm="1">
        <f t="array" ref="S177">IFERROR(_xlfn.SWITCH(L177,1,_xlfn.XLOOKUP(O177,[1]AttributeName!$B:$B,[1]AttributeName!$D:$D),2,_xlfn.XLOOKUP(C177,#REF!,#REF!),3,_xlfn.XLOOKUP(C177,#REF!,#REF!)),0)</f>
        <v>2</v>
      </c>
      <c r="T177" cm="1">
        <f t="array" ref="T177">IFERROR(_xlfn.SWITCH(L177,1,_xlfn.XLOOKUP(O177,[1]AttributeName!$B:$B,[1]AttributeName!$E:$E),2,_xlfn.XLOOKUP(C177,#REF!,#REF!),3,_xlfn.XLOOKUP(C177,#REF!,#REF!)),0)</f>
        <v>2</v>
      </c>
    </row>
    <row r="178" customFormat="1" spans="1:20">
      <c r="A178">
        <f t="shared" si="17"/>
        <v>64</v>
      </c>
      <c r="B178">
        <v>5</v>
      </c>
      <c r="C178" s="14" t="s">
        <v>404</v>
      </c>
      <c r="D178" t="s">
        <v>22</v>
      </c>
      <c r="E178" s="13" t="s">
        <v>392</v>
      </c>
      <c r="F178"/>
      <c r="G178">
        <v>2</v>
      </c>
      <c r="H178">
        <v>1000</v>
      </c>
      <c r="J178" cm="1">
        <f t="array" ref="J178">_xlfn.SWITCH(B178,1,75,2,61,3,49,4,37,5,25,6,13,7,4,8,1)</f>
        <v>25</v>
      </c>
      <c r="K178" t="str" cm="1">
        <f t="array" ref="K178">IFERROR(_xlfn.SWITCH(L178,2,_xlfn.XLOOKUP(C178,[1]ModifierDes!$B:$B,[1]ModifierDes!$C:$C),3,_xlfn.XLOOKUP(C178,[1]StuntDes!$B:$B,[1]StuntDes!$C:$C)),"")</f>
        <v/>
      </c>
      <c r="L178">
        <f t="shared" si="15"/>
        <v>1</v>
      </c>
      <c r="M178" s="10" t="str">
        <f>IFERROR(_xlfn.XLOOKUP(C178,[1]StuntDes!$B:$B,[1]StuntDes!$A:$A),"")</f>
        <v/>
      </c>
      <c r="N178" s="10" t="str">
        <f>IFERROR(_xlfn.XLOOKUP(C178,[1]ModifierDes!$B:$B,[1]ModifierDes!$A:$A),"")</f>
        <v/>
      </c>
      <c r="O178" s="10">
        <f>IFERROR(_xlfn.XLOOKUP(C178,[1]AttributeName!$C:$C,[1]AttributeName!$B:$B),"")</f>
        <v>10503</v>
      </c>
      <c r="P178" s="10"/>
      <c r="Q178">
        <v>0.28</v>
      </c>
      <c r="R178">
        <v>0.35</v>
      </c>
      <c r="S178" cm="1">
        <f t="array" ref="S178">IFERROR(_xlfn.SWITCH(L178,1,_xlfn.XLOOKUP(O178,[1]AttributeName!$B:$B,[1]AttributeName!$D:$D),2,_xlfn.XLOOKUP(C178,#REF!,#REF!),3,_xlfn.XLOOKUP(C178,#REF!,#REF!)),0)</f>
        <v>2</v>
      </c>
      <c r="T178" cm="1">
        <f t="array" ref="T178">IFERROR(_xlfn.SWITCH(L178,1,_xlfn.XLOOKUP(O178,[1]AttributeName!$B:$B,[1]AttributeName!$E:$E),2,_xlfn.XLOOKUP(C178,#REF!,#REF!),3,_xlfn.XLOOKUP(C178,#REF!,#REF!)),0)</f>
        <v>2</v>
      </c>
    </row>
    <row r="179" customFormat="1" spans="1:20">
      <c r="A179">
        <f t="shared" si="17"/>
        <v>64</v>
      </c>
      <c r="B179">
        <v>6</v>
      </c>
      <c r="C179" s="14" t="s">
        <v>404</v>
      </c>
      <c r="D179" t="s">
        <v>22</v>
      </c>
      <c r="E179" s="13" t="s">
        <v>392</v>
      </c>
      <c r="F179"/>
      <c r="G179">
        <v>2</v>
      </c>
      <c r="H179">
        <v>1000</v>
      </c>
      <c r="J179" cm="1">
        <f t="array" ref="J179">_xlfn.SWITCH(B179,1,75,2,61,3,49,4,37,5,25,6,13,7,4,8,1)</f>
        <v>13</v>
      </c>
      <c r="K179" t="str" cm="1">
        <f t="array" ref="K179">IFERROR(_xlfn.SWITCH(L179,2,_xlfn.XLOOKUP(C179,[1]ModifierDes!$B:$B,[1]ModifierDes!$C:$C),3,_xlfn.XLOOKUP(C179,[1]StuntDes!$B:$B,[1]StuntDes!$C:$C)),"")</f>
        <v/>
      </c>
      <c r="L179">
        <f t="shared" si="15"/>
        <v>1</v>
      </c>
      <c r="M179" s="10" t="str">
        <f>IFERROR(_xlfn.XLOOKUP(C179,[1]StuntDes!$B:$B,[1]StuntDes!$A:$A),"")</f>
        <v/>
      </c>
      <c r="N179" s="10" t="str">
        <f>IFERROR(_xlfn.XLOOKUP(C179,[1]ModifierDes!$B:$B,[1]ModifierDes!$A:$A),"")</f>
        <v/>
      </c>
      <c r="O179" s="10">
        <f>IFERROR(_xlfn.XLOOKUP(C179,[1]AttributeName!$C:$C,[1]AttributeName!$B:$B),"")</f>
        <v>10503</v>
      </c>
      <c r="P179" s="10"/>
      <c r="Q179">
        <v>0.2</v>
      </c>
      <c r="R179">
        <v>0.27</v>
      </c>
      <c r="S179" cm="1">
        <f t="array" ref="S179">IFERROR(_xlfn.SWITCH(L179,1,_xlfn.XLOOKUP(O179,[1]AttributeName!$B:$B,[1]AttributeName!$D:$D),2,_xlfn.XLOOKUP(C179,#REF!,#REF!),3,_xlfn.XLOOKUP(C179,#REF!,#REF!)),0)</f>
        <v>2</v>
      </c>
      <c r="T179" cm="1">
        <f t="array" ref="T179">IFERROR(_xlfn.SWITCH(L179,1,_xlfn.XLOOKUP(O179,[1]AttributeName!$B:$B,[1]AttributeName!$E:$E),2,_xlfn.XLOOKUP(C179,#REF!,#REF!),3,_xlfn.XLOOKUP(C179,#REF!,#REF!)),0)</f>
        <v>2</v>
      </c>
    </row>
    <row r="180" customFormat="1" spans="1:20">
      <c r="A180">
        <f t="shared" si="17"/>
        <v>64</v>
      </c>
      <c r="B180">
        <v>7</v>
      </c>
      <c r="C180" s="14" t="s">
        <v>404</v>
      </c>
      <c r="D180" t="s">
        <v>22</v>
      </c>
      <c r="E180" s="13" t="s">
        <v>392</v>
      </c>
      <c r="F180"/>
      <c r="G180">
        <v>2</v>
      </c>
      <c r="H180">
        <v>1000</v>
      </c>
      <c r="J180" cm="1">
        <f t="array" ref="J180">_xlfn.SWITCH(B180,1,75,2,61,3,49,4,37,5,25,6,13,7,4,8,1)</f>
        <v>4</v>
      </c>
      <c r="K180" t="str" cm="1">
        <f t="array" ref="K180">IFERROR(_xlfn.SWITCH(L180,2,_xlfn.XLOOKUP(C180,[1]ModifierDes!$B:$B,[1]ModifierDes!$C:$C),3,_xlfn.XLOOKUP(C180,[1]StuntDes!$B:$B,[1]StuntDes!$C:$C)),"")</f>
        <v/>
      </c>
      <c r="L180">
        <f t="shared" si="15"/>
        <v>1</v>
      </c>
      <c r="M180" s="10" t="str">
        <f>IFERROR(_xlfn.XLOOKUP(C180,[1]StuntDes!$B:$B,[1]StuntDes!$A:$A),"")</f>
        <v/>
      </c>
      <c r="N180" s="10" t="str">
        <f>IFERROR(_xlfn.XLOOKUP(C180,[1]ModifierDes!$B:$B,[1]ModifierDes!$A:$A),"")</f>
        <v/>
      </c>
      <c r="O180" s="10">
        <f>IFERROR(_xlfn.XLOOKUP(C180,[1]AttributeName!$C:$C,[1]AttributeName!$B:$B),"")</f>
        <v>10503</v>
      </c>
      <c r="P180" s="10"/>
      <c r="Q180">
        <v>0.12</v>
      </c>
      <c r="R180">
        <v>0.19</v>
      </c>
      <c r="S180" cm="1">
        <f t="array" ref="S180">IFERROR(_xlfn.SWITCH(L180,1,_xlfn.XLOOKUP(O180,[1]AttributeName!$B:$B,[1]AttributeName!$D:$D),2,_xlfn.XLOOKUP(C180,#REF!,#REF!),3,_xlfn.XLOOKUP(C180,#REF!,#REF!)),0)</f>
        <v>2</v>
      </c>
      <c r="T180" cm="1">
        <f t="array" ref="T180">IFERROR(_xlfn.SWITCH(L180,1,_xlfn.XLOOKUP(O180,[1]AttributeName!$B:$B,[1]AttributeName!$E:$E),2,_xlfn.XLOOKUP(C180,#REF!,#REF!),3,_xlfn.XLOOKUP(C180,#REF!,#REF!)),0)</f>
        <v>2</v>
      </c>
    </row>
    <row r="181" customFormat="1" spans="1:20">
      <c r="A181">
        <f t="shared" si="17"/>
        <v>64</v>
      </c>
      <c r="B181">
        <v>8</v>
      </c>
      <c r="C181" s="14" t="s">
        <v>404</v>
      </c>
      <c r="D181" t="s">
        <v>22</v>
      </c>
      <c r="E181" s="13" t="s">
        <v>392</v>
      </c>
      <c r="F181"/>
      <c r="G181">
        <v>2</v>
      </c>
      <c r="H181">
        <v>1000</v>
      </c>
      <c r="J181" cm="1">
        <f t="array" ref="J181">_xlfn.SWITCH(B181,1,75,2,61,3,49,4,37,5,25,6,13,7,4,8,1)</f>
        <v>1</v>
      </c>
      <c r="K181" t="str" cm="1">
        <f t="array" ref="K181">IFERROR(_xlfn.SWITCH(L181,2,_xlfn.XLOOKUP(C181,[1]ModifierDes!$B:$B,[1]ModifierDes!$C:$C),3,_xlfn.XLOOKUP(C181,[1]StuntDes!$B:$B,[1]StuntDes!$C:$C)),"")</f>
        <v/>
      </c>
      <c r="L181">
        <f t="shared" si="15"/>
        <v>1</v>
      </c>
      <c r="M181" s="10" t="str">
        <f>IFERROR(_xlfn.XLOOKUP(C181,[1]StuntDes!$B:$B,[1]StuntDes!$A:$A),"")</f>
        <v/>
      </c>
      <c r="N181" s="10" t="str">
        <f>IFERROR(_xlfn.XLOOKUP(C181,[1]ModifierDes!$B:$B,[1]ModifierDes!$A:$A),"")</f>
        <v/>
      </c>
      <c r="O181" s="10">
        <f>IFERROR(_xlfn.XLOOKUP(C181,[1]AttributeName!$C:$C,[1]AttributeName!$B:$B),"")</f>
        <v>10503</v>
      </c>
      <c r="P181" s="10"/>
      <c r="Q181">
        <v>0.0399999999999999</v>
      </c>
      <c r="R181">
        <v>0.11</v>
      </c>
      <c r="S181" cm="1">
        <f t="array" ref="S181">IFERROR(_xlfn.SWITCH(L181,1,_xlfn.XLOOKUP(O181,[1]AttributeName!$B:$B,[1]AttributeName!$D:$D),2,_xlfn.XLOOKUP(C181,#REF!,#REF!),3,_xlfn.XLOOKUP(C181,#REF!,#REF!)),0)</f>
        <v>2</v>
      </c>
      <c r="T181" cm="1">
        <f t="array" ref="T181">IFERROR(_xlfn.SWITCH(L181,1,_xlfn.XLOOKUP(O181,[1]AttributeName!$B:$B,[1]AttributeName!$E:$E),2,_xlfn.XLOOKUP(C181,#REF!,#REF!),3,_xlfn.XLOOKUP(C181,#REF!,#REF!)),0)</f>
        <v>2</v>
      </c>
    </row>
    <row r="182" customFormat="1" spans="1:20">
      <c r="A182">
        <f t="shared" si="17"/>
        <v>65</v>
      </c>
      <c r="B182">
        <v>1</v>
      </c>
      <c r="C182" s="14" t="s">
        <v>405</v>
      </c>
      <c r="D182" t="s">
        <v>22</v>
      </c>
      <c r="E182" s="13" t="s">
        <v>392</v>
      </c>
      <c r="F182"/>
      <c r="G182">
        <v>2</v>
      </c>
      <c r="H182">
        <v>100</v>
      </c>
      <c r="J182" cm="1">
        <f t="array" ref="J182">_xlfn.SWITCH(B182,1,75,2,61,3,49,4,37,5,25,6,13,7,4,8,1)</f>
        <v>75</v>
      </c>
      <c r="K182" t="str" cm="1">
        <f t="array" ref="K182">IFERROR(_xlfn.SWITCH(L182,2,_xlfn.XLOOKUP(C182,[1]ModifierDes!$B:$B,[1]ModifierDes!$C:$C),3,_xlfn.XLOOKUP(C182,[1]StuntDes!$B:$B,[1]StuntDes!$C:$C)),"")</f>
        <v/>
      </c>
      <c r="L182">
        <f t="shared" si="15"/>
        <v>1</v>
      </c>
      <c r="M182" s="10" t="str">
        <f>IFERROR(_xlfn.XLOOKUP(C182,[1]StuntDes!$B:$B,[1]StuntDes!$A:$A),"")</f>
        <v/>
      </c>
      <c r="N182" s="10" t="str">
        <f>IFERROR(_xlfn.XLOOKUP(C182,[1]ModifierDes!$B:$B,[1]ModifierDes!$A:$A),"")</f>
        <v/>
      </c>
      <c r="O182" s="10">
        <f>IFERROR(_xlfn.XLOOKUP(C182,[1]AttributeName!$C:$C,[1]AttributeName!$B:$B),"")</f>
        <v>10504</v>
      </c>
      <c r="P182" s="10"/>
      <c r="Q182">
        <v>0.6</v>
      </c>
      <c r="R182">
        <v>0.8</v>
      </c>
      <c r="S182" cm="1">
        <f t="array" ref="S182">IFERROR(_xlfn.SWITCH(L182,1,_xlfn.XLOOKUP(O182,[1]AttributeName!$B:$B,[1]AttributeName!$D:$D),2,_xlfn.XLOOKUP(C182,#REF!,#REF!),3,_xlfn.XLOOKUP(C182,#REF!,#REF!)),0)</f>
        <v>2</v>
      </c>
      <c r="T182" cm="1">
        <f t="array" ref="T182">IFERROR(_xlfn.SWITCH(L182,1,_xlfn.XLOOKUP(O182,[1]AttributeName!$B:$B,[1]AttributeName!$E:$E),2,_xlfn.XLOOKUP(C182,#REF!,#REF!),3,_xlfn.XLOOKUP(C182,#REF!,#REF!)),0)</f>
        <v>2</v>
      </c>
    </row>
    <row r="183" customFormat="1" spans="1:20">
      <c r="A183">
        <f t="shared" si="17"/>
        <v>65</v>
      </c>
      <c r="B183">
        <v>2</v>
      </c>
      <c r="C183" s="14" t="s">
        <v>405</v>
      </c>
      <c r="D183" t="s">
        <v>22</v>
      </c>
      <c r="E183" s="13" t="s">
        <v>392</v>
      </c>
      <c r="F183"/>
      <c r="G183">
        <v>2</v>
      </c>
      <c r="H183">
        <v>200</v>
      </c>
      <c r="J183" cm="1">
        <f t="array" ref="J183">_xlfn.SWITCH(B183,1,75,2,61,3,49,4,37,5,25,6,13,7,4,8,1)</f>
        <v>61</v>
      </c>
      <c r="K183" t="str" cm="1">
        <f t="array" ref="K183">IFERROR(_xlfn.SWITCH(L183,2,_xlfn.XLOOKUP(C183,[1]ModifierDes!$B:$B,[1]ModifierDes!$C:$C),3,_xlfn.XLOOKUP(C183,[1]StuntDes!$B:$B,[1]StuntDes!$C:$C)),"")</f>
        <v/>
      </c>
      <c r="L183">
        <f t="shared" si="15"/>
        <v>1</v>
      </c>
      <c r="M183" s="10" t="str">
        <f>IFERROR(_xlfn.XLOOKUP(C183,[1]StuntDes!$B:$B,[1]StuntDes!$A:$A),"")</f>
        <v/>
      </c>
      <c r="N183" s="10" t="str">
        <f>IFERROR(_xlfn.XLOOKUP(C183,[1]ModifierDes!$B:$B,[1]ModifierDes!$A:$A),"")</f>
        <v/>
      </c>
      <c r="O183" s="10">
        <f>IFERROR(_xlfn.XLOOKUP(C183,[1]AttributeName!$C:$C,[1]AttributeName!$B:$B),"")</f>
        <v>10504</v>
      </c>
      <c r="P183" s="10"/>
      <c r="Q183">
        <v>0.52</v>
      </c>
      <c r="R183">
        <v>0.59</v>
      </c>
      <c r="S183" cm="1">
        <f t="array" ref="S183">IFERROR(_xlfn.SWITCH(L183,1,_xlfn.XLOOKUP(O183,[1]AttributeName!$B:$B,[1]AttributeName!$D:$D),2,_xlfn.XLOOKUP(C183,#REF!,#REF!),3,_xlfn.XLOOKUP(C183,#REF!,#REF!)),0)</f>
        <v>2</v>
      </c>
      <c r="T183" cm="1">
        <f t="array" ref="T183">IFERROR(_xlfn.SWITCH(L183,1,_xlfn.XLOOKUP(O183,[1]AttributeName!$B:$B,[1]AttributeName!$E:$E),2,_xlfn.XLOOKUP(C183,#REF!,#REF!),3,_xlfn.XLOOKUP(C183,#REF!,#REF!)),0)</f>
        <v>2</v>
      </c>
    </row>
    <row r="184" customFormat="1" spans="1:20">
      <c r="A184">
        <f t="shared" si="17"/>
        <v>65</v>
      </c>
      <c r="B184">
        <v>3</v>
      </c>
      <c r="C184" s="14" t="s">
        <v>405</v>
      </c>
      <c r="D184" t="s">
        <v>22</v>
      </c>
      <c r="E184" s="13" t="s">
        <v>392</v>
      </c>
      <c r="F184"/>
      <c r="G184">
        <v>2</v>
      </c>
      <c r="H184">
        <v>500</v>
      </c>
      <c r="J184" cm="1">
        <f t="array" ref="J184">_xlfn.SWITCH(B184,1,75,2,61,3,49,4,37,5,25,6,13,7,4,8,1)</f>
        <v>49</v>
      </c>
      <c r="K184" t="str" cm="1">
        <f t="array" ref="K184">IFERROR(_xlfn.SWITCH(L184,2,_xlfn.XLOOKUP(C184,[1]ModifierDes!$B:$B,[1]ModifierDes!$C:$C),3,_xlfn.XLOOKUP(C184,[1]StuntDes!$B:$B,[1]StuntDes!$C:$C)),"")</f>
        <v/>
      </c>
      <c r="L184">
        <f t="shared" si="15"/>
        <v>1</v>
      </c>
      <c r="M184" s="10" t="str">
        <f>IFERROR(_xlfn.XLOOKUP(C184,[1]StuntDes!$B:$B,[1]StuntDes!$A:$A),"")</f>
        <v/>
      </c>
      <c r="N184" s="10" t="str">
        <f>IFERROR(_xlfn.XLOOKUP(C184,[1]ModifierDes!$B:$B,[1]ModifierDes!$A:$A),"")</f>
        <v/>
      </c>
      <c r="O184" s="10">
        <f>IFERROR(_xlfn.XLOOKUP(C184,[1]AttributeName!$C:$C,[1]AttributeName!$B:$B),"")</f>
        <v>10504</v>
      </c>
      <c r="P184" s="10"/>
      <c r="Q184">
        <v>0.44</v>
      </c>
      <c r="R184">
        <v>0.51</v>
      </c>
      <c r="S184" cm="1">
        <f t="array" ref="S184">IFERROR(_xlfn.SWITCH(L184,1,_xlfn.XLOOKUP(O184,[1]AttributeName!$B:$B,[1]AttributeName!$D:$D),2,_xlfn.XLOOKUP(C184,#REF!,#REF!),3,_xlfn.XLOOKUP(C184,#REF!,#REF!)),0)</f>
        <v>2</v>
      </c>
      <c r="T184" cm="1">
        <f t="array" ref="T184">IFERROR(_xlfn.SWITCH(L184,1,_xlfn.XLOOKUP(O184,[1]AttributeName!$B:$B,[1]AttributeName!$E:$E),2,_xlfn.XLOOKUP(C184,#REF!,#REF!),3,_xlfn.XLOOKUP(C184,#REF!,#REF!)),0)</f>
        <v>2</v>
      </c>
    </row>
    <row r="185" customFormat="1" spans="1:20">
      <c r="A185">
        <f t="shared" si="17"/>
        <v>65</v>
      </c>
      <c r="B185">
        <v>4</v>
      </c>
      <c r="C185" s="14" t="s">
        <v>405</v>
      </c>
      <c r="D185" t="s">
        <v>22</v>
      </c>
      <c r="E185" s="13" t="s">
        <v>392</v>
      </c>
      <c r="F185"/>
      <c r="G185">
        <v>2</v>
      </c>
      <c r="H185">
        <v>1000</v>
      </c>
      <c r="J185" cm="1">
        <f t="array" ref="J185">_xlfn.SWITCH(B185,1,75,2,61,3,49,4,37,5,25,6,13,7,4,8,1)</f>
        <v>37</v>
      </c>
      <c r="K185" t="str" cm="1">
        <f t="array" ref="K185">IFERROR(_xlfn.SWITCH(L185,2,_xlfn.XLOOKUP(C185,[1]ModifierDes!$B:$B,[1]ModifierDes!$C:$C),3,_xlfn.XLOOKUP(C185,[1]StuntDes!$B:$B,[1]StuntDes!$C:$C)),"")</f>
        <v/>
      </c>
      <c r="L185">
        <f t="shared" si="15"/>
        <v>1</v>
      </c>
      <c r="M185" s="10" t="str">
        <f>IFERROR(_xlfn.XLOOKUP(C185,[1]StuntDes!$B:$B,[1]StuntDes!$A:$A),"")</f>
        <v/>
      </c>
      <c r="N185" s="10" t="str">
        <f>IFERROR(_xlfn.XLOOKUP(C185,[1]ModifierDes!$B:$B,[1]ModifierDes!$A:$A),"")</f>
        <v/>
      </c>
      <c r="O185" s="10">
        <f>IFERROR(_xlfn.XLOOKUP(C185,[1]AttributeName!$C:$C,[1]AttributeName!$B:$B),"")</f>
        <v>10504</v>
      </c>
      <c r="P185" s="10"/>
      <c r="Q185">
        <v>0.36</v>
      </c>
      <c r="R185">
        <v>0.43</v>
      </c>
      <c r="S185" cm="1">
        <f t="array" ref="S185">IFERROR(_xlfn.SWITCH(L185,1,_xlfn.XLOOKUP(O185,[1]AttributeName!$B:$B,[1]AttributeName!$D:$D),2,_xlfn.XLOOKUP(C185,#REF!,#REF!),3,_xlfn.XLOOKUP(C185,#REF!,#REF!)),0)</f>
        <v>2</v>
      </c>
      <c r="T185" cm="1">
        <f t="array" ref="T185">IFERROR(_xlfn.SWITCH(L185,1,_xlfn.XLOOKUP(O185,[1]AttributeName!$B:$B,[1]AttributeName!$E:$E),2,_xlfn.XLOOKUP(C185,#REF!,#REF!),3,_xlfn.XLOOKUP(C185,#REF!,#REF!)),0)</f>
        <v>2</v>
      </c>
    </row>
    <row r="186" customFormat="1" spans="1:20">
      <c r="A186">
        <f t="shared" si="17"/>
        <v>65</v>
      </c>
      <c r="B186">
        <v>5</v>
      </c>
      <c r="C186" s="14" t="s">
        <v>405</v>
      </c>
      <c r="D186" t="s">
        <v>22</v>
      </c>
      <c r="E186" s="13" t="s">
        <v>392</v>
      </c>
      <c r="F186"/>
      <c r="G186">
        <v>2</v>
      </c>
      <c r="H186">
        <v>1000</v>
      </c>
      <c r="J186" cm="1">
        <f t="array" ref="J186">_xlfn.SWITCH(B186,1,75,2,61,3,49,4,37,5,25,6,13,7,4,8,1)</f>
        <v>25</v>
      </c>
      <c r="K186" t="str" cm="1">
        <f t="array" ref="K186">IFERROR(_xlfn.SWITCH(L186,2,_xlfn.XLOOKUP(C186,[1]ModifierDes!$B:$B,[1]ModifierDes!$C:$C),3,_xlfn.XLOOKUP(C186,[1]StuntDes!$B:$B,[1]StuntDes!$C:$C)),"")</f>
        <v/>
      </c>
      <c r="L186">
        <f t="shared" si="15"/>
        <v>1</v>
      </c>
      <c r="M186" s="10" t="str">
        <f>IFERROR(_xlfn.XLOOKUP(C186,[1]StuntDes!$B:$B,[1]StuntDes!$A:$A),"")</f>
        <v/>
      </c>
      <c r="N186" s="10" t="str">
        <f>IFERROR(_xlfn.XLOOKUP(C186,[1]ModifierDes!$B:$B,[1]ModifierDes!$A:$A),"")</f>
        <v/>
      </c>
      <c r="O186" s="10">
        <f>IFERROR(_xlfn.XLOOKUP(C186,[1]AttributeName!$C:$C,[1]AttributeName!$B:$B),"")</f>
        <v>10504</v>
      </c>
      <c r="P186" s="10"/>
      <c r="Q186">
        <v>0.28</v>
      </c>
      <c r="R186">
        <v>0.35</v>
      </c>
      <c r="S186" cm="1">
        <f t="array" ref="S186">IFERROR(_xlfn.SWITCH(L186,1,_xlfn.XLOOKUP(O186,[1]AttributeName!$B:$B,[1]AttributeName!$D:$D),2,_xlfn.XLOOKUP(C186,#REF!,#REF!),3,_xlfn.XLOOKUP(C186,#REF!,#REF!)),0)</f>
        <v>2</v>
      </c>
      <c r="T186" cm="1">
        <f t="array" ref="T186">IFERROR(_xlfn.SWITCH(L186,1,_xlfn.XLOOKUP(O186,[1]AttributeName!$B:$B,[1]AttributeName!$E:$E),2,_xlfn.XLOOKUP(C186,#REF!,#REF!),3,_xlfn.XLOOKUP(C186,#REF!,#REF!)),0)</f>
        <v>2</v>
      </c>
    </row>
    <row r="187" customFormat="1" spans="1:20">
      <c r="A187">
        <f t="shared" si="17"/>
        <v>65</v>
      </c>
      <c r="B187">
        <v>6</v>
      </c>
      <c r="C187" s="14" t="s">
        <v>405</v>
      </c>
      <c r="D187" t="s">
        <v>22</v>
      </c>
      <c r="E187" s="13" t="s">
        <v>392</v>
      </c>
      <c r="F187"/>
      <c r="G187">
        <v>2</v>
      </c>
      <c r="H187">
        <v>1000</v>
      </c>
      <c r="J187" cm="1">
        <f t="array" ref="J187">_xlfn.SWITCH(B187,1,75,2,61,3,49,4,37,5,25,6,13,7,4,8,1)</f>
        <v>13</v>
      </c>
      <c r="K187" t="str" cm="1">
        <f t="array" ref="K187">IFERROR(_xlfn.SWITCH(L187,2,_xlfn.XLOOKUP(C187,[1]ModifierDes!$B:$B,[1]ModifierDes!$C:$C),3,_xlfn.XLOOKUP(C187,[1]StuntDes!$B:$B,[1]StuntDes!$C:$C)),"")</f>
        <v/>
      </c>
      <c r="L187">
        <f t="shared" si="15"/>
        <v>1</v>
      </c>
      <c r="M187" s="10" t="str">
        <f>IFERROR(_xlfn.XLOOKUP(C187,[1]StuntDes!$B:$B,[1]StuntDes!$A:$A),"")</f>
        <v/>
      </c>
      <c r="N187" s="10" t="str">
        <f>IFERROR(_xlfn.XLOOKUP(C187,[1]ModifierDes!$B:$B,[1]ModifierDes!$A:$A),"")</f>
        <v/>
      </c>
      <c r="O187" s="10">
        <f>IFERROR(_xlfn.XLOOKUP(C187,[1]AttributeName!$C:$C,[1]AttributeName!$B:$B),"")</f>
        <v>10504</v>
      </c>
      <c r="P187" s="10"/>
      <c r="Q187">
        <v>0.2</v>
      </c>
      <c r="R187">
        <v>0.27</v>
      </c>
      <c r="S187" cm="1">
        <f t="array" ref="S187">IFERROR(_xlfn.SWITCH(L187,1,_xlfn.XLOOKUP(O187,[1]AttributeName!$B:$B,[1]AttributeName!$D:$D),2,_xlfn.XLOOKUP(C187,#REF!,#REF!),3,_xlfn.XLOOKUP(C187,#REF!,#REF!)),0)</f>
        <v>2</v>
      </c>
      <c r="T187" cm="1">
        <f t="array" ref="T187">IFERROR(_xlfn.SWITCH(L187,1,_xlfn.XLOOKUP(O187,[1]AttributeName!$B:$B,[1]AttributeName!$E:$E),2,_xlfn.XLOOKUP(C187,#REF!,#REF!),3,_xlfn.XLOOKUP(C187,#REF!,#REF!)),0)</f>
        <v>2</v>
      </c>
    </row>
    <row r="188" customFormat="1" spans="1:20">
      <c r="A188">
        <f t="shared" si="17"/>
        <v>65</v>
      </c>
      <c r="B188">
        <v>7</v>
      </c>
      <c r="C188" s="14" t="s">
        <v>405</v>
      </c>
      <c r="D188" t="s">
        <v>22</v>
      </c>
      <c r="E188" s="13" t="s">
        <v>392</v>
      </c>
      <c r="F188"/>
      <c r="G188">
        <v>2</v>
      </c>
      <c r="H188">
        <v>1000</v>
      </c>
      <c r="J188" cm="1">
        <f t="array" ref="J188">_xlfn.SWITCH(B188,1,75,2,61,3,49,4,37,5,25,6,13,7,4,8,1)</f>
        <v>4</v>
      </c>
      <c r="K188" t="str" cm="1">
        <f t="array" ref="K188">IFERROR(_xlfn.SWITCH(L188,2,_xlfn.XLOOKUP(C188,[1]ModifierDes!$B:$B,[1]ModifierDes!$C:$C),3,_xlfn.XLOOKUP(C188,[1]StuntDes!$B:$B,[1]StuntDes!$C:$C)),"")</f>
        <v/>
      </c>
      <c r="L188">
        <f t="shared" si="15"/>
        <v>1</v>
      </c>
      <c r="M188" s="10" t="str">
        <f>IFERROR(_xlfn.XLOOKUP(C188,[1]StuntDes!$B:$B,[1]StuntDes!$A:$A),"")</f>
        <v/>
      </c>
      <c r="N188" s="10" t="str">
        <f>IFERROR(_xlfn.XLOOKUP(C188,[1]ModifierDes!$B:$B,[1]ModifierDes!$A:$A),"")</f>
        <v/>
      </c>
      <c r="O188" s="10">
        <f>IFERROR(_xlfn.XLOOKUP(C188,[1]AttributeName!$C:$C,[1]AttributeName!$B:$B),"")</f>
        <v>10504</v>
      </c>
      <c r="P188" s="10"/>
      <c r="Q188">
        <v>0.12</v>
      </c>
      <c r="R188">
        <v>0.19</v>
      </c>
      <c r="S188" cm="1">
        <f t="array" ref="S188">IFERROR(_xlfn.SWITCH(L188,1,_xlfn.XLOOKUP(O188,[1]AttributeName!$B:$B,[1]AttributeName!$D:$D),2,_xlfn.XLOOKUP(C188,#REF!,#REF!),3,_xlfn.XLOOKUP(C188,#REF!,#REF!)),0)</f>
        <v>2</v>
      </c>
      <c r="T188" cm="1">
        <f t="array" ref="T188">IFERROR(_xlfn.SWITCH(L188,1,_xlfn.XLOOKUP(O188,[1]AttributeName!$B:$B,[1]AttributeName!$E:$E),2,_xlfn.XLOOKUP(C188,#REF!,#REF!),3,_xlfn.XLOOKUP(C188,#REF!,#REF!)),0)</f>
        <v>2</v>
      </c>
    </row>
    <row r="189" customFormat="1" spans="1:20">
      <c r="A189">
        <f t="shared" si="17"/>
        <v>65</v>
      </c>
      <c r="B189">
        <v>8</v>
      </c>
      <c r="C189" s="14" t="s">
        <v>405</v>
      </c>
      <c r="D189" t="s">
        <v>22</v>
      </c>
      <c r="E189" s="13" t="s">
        <v>392</v>
      </c>
      <c r="F189"/>
      <c r="G189">
        <v>2</v>
      </c>
      <c r="H189">
        <v>1000</v>
      </c>
      <c r="J189" cm="1">
        <f t="array" ref="J189">_xlfn.SWITCH(B189,1,75,2,61,3,49,4,37,5,25,6,13,7,4,8,1)</f>
        <v>1</v>
      </c>
      <c r="K189" t="str" cm="1">
        <f t="array" ref="K189">IFERROR(_xlfn.SWITCH(L189,2,_xlfn.XLOOKUP(C189,[1]ModifierDes!$B:$B,[1]ModifierDes!$C:$C),3,_xlfn.XLOOKUP(C189,[1]StuntDes!$B:$B,[1]StuntDes!$C:$C)),"")</f>
        <v/>
      </c>
      <c r="L189">
        <f t="shared" si="15"/>
        <v>1</v>
      </c>
      <c r="M189" s="10" t="str">
        <f>IFERROR(_xlfn.XLOOKUP(C189,[1]StuntDes!$B:$B,[1]StuntDes!$A:$A),"")</f>
        <v/>
      </c>
      <c r="N189" s="10" t="str">
        <f>IFERROR(_xlfn.XLOOKUP(C189,[1]ModifierDes!$B:$B,[1]ModifierDes!$A:$A),"")</f>
        <v/>
      </c>
      <c r="O189" s="10">
        <f>IFERROR(_xlfn.XLOOKUP(C189,[1]AttributeName!$C:$C,[1]AttributeName!$B:$B),"")</f>
        <v>10504</v>
      </c>
      <c r="P189" s="10"/>
      <c r="Q189">
        <v>0.0399999999999999</v>
      </c>
      <c r="R189">
        <v>0.11</v>
      </c>
      <c r="S189" cm="1">
        <f t="array" ref="S189">IFERROR(_xlfn.SWITCH(L189,1,_xlfn.XLOOKUP(O189,[1]AttributeName!$B:$B,[1]AttributeName!$D:$D),2,_xlfn.XLOOKUP(C189,#REF!,#REF!),3,_xlfn.XLOOKUP(C189,#REF!,#REF!)),0)</f>
        <v>2</v>
      </c>
      <c r="T189" cm="1">
        <f t="array" ref="T189">IFERROR(_xlfn.SWITCH(L189,1,_xlfn.XLOOKUP(O189,[1]AttributeName!$B:$B,[1]AttributeName!$E:$E),2,_xlfn.XLOOKUP(C189,#REF!,#REF!),3,_xlfn.XLOOKUP(C189,#REF!,#REF!)),0)</f>
        <v>2</v>
      </c>
    </row>
    <row r="190" customFormat="1" spans="1:20">
      <c r="A190">
        <f t="shared" si="17"/>
        <v>66</v>
      </c>
      <c r="B190">
        <v>1</v>
      </c>
      <c r="C190" t="s">
        <v>406</v>
      </c>
      <c r="D190" t="s">
        <v>22</v>
      </c>
      <c r="E190" s="13" t="s">
        <v>392</v>
      </c>
      <c r="F190"/>
      <c r="G190">
        <v>2</v>
      </c>
      <c r="H190">
        <v>250</v>
      </c>
      <c r="J190" cm="1">
        <f t="array" ref="J190">_xlfn.SWITCH(B190,1,75,2,61,3,49,4,37,5,25,6,13,7,4,8,1)</f>
        <v>75</v>
      </c>
      <c r="K190" t="str" cm="1">
        <f t="array" ref="K190">IFERROR(_xlfn.SWITCH(L190,2,_xlfn.XLOOKUP(C190,[1]ModifierDes!$B:$B,[1]ModifierDes!$C:$C),3,_xlfn.XLOOKUP(C190,[1]StuntDes!$B:$B,[1]StuntDes!$C:$C)),"")</f>
        <v>攻击速度提高{0}</v>
      </c>
      <c r="L190">
        <f t="shared" si="15"/>
        <v>2</v>
      </c>
      <c r="M190" s="10" t="str">
        <f>IFERROR(_xlfn.XLOOKUP(C190,[1]StuntDes!$B:$B,[1]StuntDes!$A:$A),"")</f>
        <v/>
      </c>
      <c r="N190" s="10">
        <f>IFERROR(_xlfn.XLOOKUP(C190,[1]ModifierDes!$B:$B,[1]ModifierDes!$A:$A),"")</f>
        <v>10031</v>
      </c>
      <c r="O190" s="10" t="str">
        <f>IFERROR(_xlfn.XLOOKUP(C190,[1]AttributeName!$C:$C,[1]AttributeName!$B:$B),"")</f>
        <v/>
      </c>
      <c r="P190" s="10"/>
      <c r="Q190">
        <v>0.22</v>
      </c>
      <c r="R190">
        <v>0.24</v>
      </c>
      <c r="S190" cm="1">
        <f t="array" ref="S190">IFERROR(_xlfn.SWITCH(L190,1,_xlfn.XLOOKUP(O190,[1]AttributeName!$B:$B,[1]AttributeName!$D:$D),2,_xlfn.XLOOKUP(C190,#REF!,#REF!),3,_xlfn.XLOOKUP(C190,#REF!,#REF!)),0)</f>
        <v>0</v>
      </c>
      <c r="T190" cm="1">
        <f t="array" ref="T190">IFERROR(_xlfn.SWITCH(L190,1,_xlfn.XLOOKUP(O190,[1]AttributeName!$B:$B,[1]AttributeName!$E:$E),2,_xlfn.XLOOKUP(C190,#REF!,#REF!),3,_xlfn.XLOOKUP(C190,#REF!,#REF!)),0)</f>
        <v>0</v>
      </c>
    </row>
    <row r="191" customFormat="1" spans="1:20">
      <c r="A191">
        <f t="shared" si="17"/>
        <v>66</v>
      </c>
      <c r="B191">
        <v>2</v>
      </c>
      <c r="C191" t="s">
        <v>406</v>
      </c>
      <c r="D191" t="s">
        <v>22</v>
      </c>
      <c r="E191" s="13" t="s">
        <v>392</v>
      </c>
      <c r="F191"/>
      <c r="G191">
        <v>2</v>
      </c>
      <c r="H191">
        <v>500</v>
      </c>
      <c r="J191" cm="1">
        <f t="array" ref="J191">_xlfn.SWITCH(B191,1,75,2,61,3,49,4,37,5,25,6,13,7,4,8,1)</f>
        <v>61</v>
      </c>
      <c r="K191" t="str" cm="1">
        <f t="array" ref="K191">IFERROR(_xlfn.SWITCH(L191,2,_xlfn.XLOOKUP(C191,[1]ModifierDes!$B:$B,[1]ModifierDes!$C:$C),3,_xlfn.XLOOKUP(C191,[1]StuntDes!$B:$B,[1]StuntDes!$C:$C)),"")</f>
        <v>攻击速度提高{0}</v>
      </c>
      <c r="L191">
        <f t="shared" si="15"/>
        <v>2</v>
      </c>
      <c r="M191" s="10" t="str">
        <f>IFERROR(_xlfn.XLOOKUP(C191,[1]StuntDes!$B:$B,[1]StuntDes!$A:$A),"")</f>
        <v/>
      </c>
      <c r="N191" s="10">
        <f>IFERROR(_xlfn.XLOOKUP(C191,[1]ModifierDes!$B:$B,[1]ModifierDes!$A:$A),"")</f>
        <v>10031</v>
      </c>
      <c r="O191" s="10" t="str">
        <f>IFERROR(_xlfn.XLOOKUP(C191,[1]AttributeName!$C:$C,[1]AttributeName!$B:$B),"")</f>
        <v/>
      </c>
      <c r="P191" s="10"/>
      <c r="Q191">
        <v>0.19</v>
      </c>
      <c r="R191">
        <v>0.21</v>
      </c>
      <c r="S191" cm="1">
        <f t="array" ref="S191">IFERROR(_xlfn.SWITCH(L191,1,_xlfn.XLOOKUP(O191,[1]AttributeName!$B:$B,[1]AttributeName!$D:$D),2,_xlfn.XLOOKUP(C191,#REF!,#REF!),3,_xlfn.XLOOKUP(C191,#REF!,#REF!)),0)</f>
        <v>0</v>
      </c>
      <c r="T191" cm="1">
        <f t="array" ref="T191">IFERROR(_xlfn.SWITCH(L191,1,_xlfn.XLOOKUP(O191,[1]AttributeName!$B:$B,[1]AttributeName!$E:$E),2,_xlfn.XLOOKUP(C191,#REF!,#REF!),3,_xlfn.XLOOKUP(C191,#REF!,#REF!)),0)</f>
        <v>0</v>
      </c>
    </row>
    <row r="192" customFormat="1" spans="1:20">
      <c r="A192">
        <f t="shared" si="17"/>
        <v>66</v>
      </c>
      <c r="B192">
        <v>3</v>
      </c>
      <c r="C192" t="s">
        <v>406</v>
      </c>
      <c r="D192" t="s">
        <v>22</v>
      </c>
      <c r="E192" s="13" t="s">
        <v>392</v>
      </c>
      <c r="F192"/>
      <c r="G192">
        <v>2</v>
      </c>
      <c r="H192">
        <v>750</v>
      </c>
      <c r="J192" cm="1">
        <f t="array" ref="J192">_xlfn.SWITCH(B192,1,75,2,61,3,49,4,37,5,25,6,13,7,4,8,1)</f>
        <v>49</v>
      </c>
      <c r="K192" t="str" cm="1">
        <f t="array" ref="K192">IFERROR(_xlfn.SWITCH(L192,2,_xlfn.XLOOKUP(C192,[1]ModifierDes!$B:$B,[1]ModifierDes!$C:$C),3,_xlfn.XLOOKUP(C192,[1]StuntDes!$B:$B,[1]StuntDes!$C:$C)),"")</f>
        <v>攻击速度提高{0}</v>
      </c>
      <c r="L192">
        <f t="shared" si="15"/>
        <v>2</v>
      </c>
      <c r="M192" s="10" t="str">
        <f>IFERROR(_xlfn.XLOOKUP(C192,[1]StuntDes!$B:$B,[1]StuntDes!$A:$A),"")</f>
        <v/>
      </c>
      <c r="N192" s="10">
        <f>IFERROR(_xlfn.XLOOKUP(C192,[1]ModifierDes!$B:$B,[1]ModifierDes!$A:$A),"")</f>
        <v>10031</v>
      </c>
      <c r="O192" s="10" t="str">
        <f>IFERROR(_xlfn.XLOOKUP(C192,[1]AttributeName!$C:$C,[1]AttributeName!$B:$B),"")</f>
        <v/>
      </c>
      <c r="P192" s="10"/>
      <c r="Q192">
        <v>0.16</v>
      </c>
      <c r="R192">
        <v>0.18</v>
      </c>
      <c r="S192" cm="1">
        <f t="array" ref="S192">IFERROR(_xlfn.SWITCH(L192,1,_xlfn.XLOOKUP(O192,[1]AttributeName!$B:$B,[1]AttributeName!$D:$D),2,_xlfn.XLOOKUP(C192,#REF!,#REF!),3,_xlfn.XLOOKUP(C192,#REF!,#REF!)),0)</f>
        <v>0</v>
      </c>
      <c r="T192" cm="1">
        <f t="array" ref="T192">IFERROR(_xlfn.SWITCH(L192,1,_xlfn.XLOOKUP(O192,[1]AttributeName!$B:$B,[1]AttributeName!$E:$E),2,_xlfn.XLOOKUP(C192,#REF!,#REF!),3,_xlfn.XLOOKUP(C192,#REF!,#REF!)),0)</f>
        <v>0</v>
      </c>
    </row>
    <row r="193" customFormat="1" spans="1:20">
      <c r="A193">
        <f t="shared" si="17"/>
        <v>66</v>
      </c>
      <c r="B193">
        <v>4</v>
      </c>
      <c r="C193" t="s">
        <v>406</v>
      </c>
      <c r="D193" t="s">
        <v>22</v>
      </c>
      <c r="E193" s="13" t="s">
        <v>392</v>
      </c>
      <c r="F193"/>
      <c r="G193">
        <v>2</v>
      </c>
      <c r="H193">
        <v>1000</v>
      </c>
      <c r="J193" cm="1">
        <f t="array" ref="J193">_xlfn.SWITCH(B193,1,75,2,61,3,49,4,37,5,25,6,13,7,4,8,1)</f>
        <v>37</v>
      </c>
      <c r="K193" t="str" cm="1">
        <f t="array" ref="K193">IFERROR(_xlfn.SWITCH(L193,2,_xlfn.XLOOKUP(C193,[1]ModifierDes!$B:$B,[1]ModifierDes!$C:$C),3,_xlfn.XLOOKUP(C193,[1]StuntDes!$B:$B,[1]StuntDes!$C:$C)),"")</f>
        <v>攻击速度提高{0}</v>
      </c>
      <c r="L193">
        <f t="shared" si="15"/>
        <v>2</v>
      </c>
      <c r="M193" s="10" t="str">
        <f>IFERROR(_xlfn.XLOOKUP(C193,[1]StuntDes!$B:$B,[1]StuntDes!$A:$A),"")</f>
        <v/>
      </c>
      <c r="N193" s="10">
        <f>IFERROR(_xlfn.XLOOKUP(C193,[1]ModifierDes!$B:$B,[1]ModifierDes!$A:$A),"")</f>
        <v>10031</v>
      </c>
      <c r="O193" s="10" t="str">
        <f>IFERROR(_xlfn.XLOOKUP(C193,[1]AttributeName!$C:$C,[1]AttributeName!$B:$B),"")</f>
        <v/>
      </c>
      <c r="P193" s="10"/>
      <c r="Q193">
        <v>0.13</v>
      </c>
      <c r="R193">
        <v>0.15</v>
      </c>
      <c r="S193" cm="1">
        <f t="array" ref="S193">IFERROR(_xlfn.SWITCH(L193,1,_xlfn.XLOOKUP(O193,[1]AttributeName!$B:$B,[1]AttributeName!$D:$D),2,_xlfn.XLOOKUP(C193,#REF!,#REF!),3,_xlfn.XLOOKUP(C193,#REF!,#REF!)),0)</f>
        <v>0</v>
      </c>
      <c r="T193" cm="1">
        <f t="array" ref="T193">IFERROR(_xlfn.SWITCH(L193,1,_xlfn.XLOOKUP(O193,[1]AttributeName!$B:$B,[1]AttributeName!$E:$E),2,_xlfn.XLOOKUP(C193,#REF!,#REF!),3,_xlfn.XLOOKUP(C193,#REF!,#REF!)),0)</f>
        <v>0</v>
      </c>
    </row>
    <row r="194" customFormat="1" spans="1:20">
      <c r="A194">
        <f t="shared" si="17"/>
        <v>66</v>
      </c>
      <c r="B194">
        <v>5</v>
      </c>
      <c r="C194" t="s">
        <v>406</v>
      </c>
      <c r="D194" t="s">
        <v>22</v>
      </c>
      <c r="E194" s="13" t="s">
        <v>392</v>
      </c>
      <c r="F194"/>
      <c r="G194">
        <v>2</v>
      </c>
      <c r="H194">
        <v>1000</v>
      </c>
      <c r="J194" cm="1">
        <f t="array" ref="J194">_xlfn.SWITCH(B194,1,75,2,61,3,49,4,37,5,25,6,13,7,4,8,1)</f>
        <v>25</v>
      </c>
      <c r="K194" t="str" cm="1">
        <f t="array" ref="K194">IFERROR(_xlfn.SWITCH(L194,2,_xlfn.XLOOKUP(C194,[1]ModifierDes!$B:$B,[1]ModifierDes!$C:$C),3,_xlfn.XLOOKUP(C194,[1]StuntDes!$B:$B,[1]StuntDes!$C:$C)),"")</f>
        <v>攻击速度提高{0}</v>
      </c>
      <c r="L194">
        <f t="shared" si="15"/>
        <v>2</v>
      </c>
      <c r="M194" s="10" t="str">
        <f>IFERROR(_xlfn.XLOOKUP(C194,[1]StuntDes!$B:$B,[1]StuntDes!$A:$A),"")</f>
        <v/>
      </c>
      <c r="N194" s="10">
        <f>IFERROR(_xlfn.XLOOKUP(C194,[1]ModifierDes!$B:$B,[1]ModifierDes!$A:$A),"")</f>
        <v>10031</v>
      </c>
      <c r="O194" s="10" t="str">
        <f>IFERROR(_xlfn.XLOOKUP(C194,[1]AttributeName!$C:$C,[1]AttributeName!$B:$B),"")</f>
        <v/>
      </c>
      <c r="P194" s="10"/>
      <c r="Q194">
        <v>0.1</v>
      </c>
      <c r="R194">
        <v>0.12</v>
      </c>
      <c r="S194" cm="1">
        <f t="array" ref="S194">IFERROR(_xlfn.SWITCH(L194,1,_xlfn.XLOOKUP(O194,[1]AttributeName!$B:$B,[1]AttributeName!$D:$D),2,_xlfn.XLOOKUP(C194,#REF!,#REF!),3,_xlfn.XLOOKUP(C194,#REF!,#REF!)),0)</f>
        <v>0</v>
      </c>
      <c r="T194" cm="1">
        <f t="array" ref="T194">IFERROR(_xlfn.SWITCH(L194,1,_xlfn.XLOOKUP(O194,[1]AttributeName!$B:$B,[1]AttributeName!$E:$E),2,_xlfn.XLOOKUP(C194,#REF!,#REF!),3,_xlfn.XLOOKUP(C194,#REF!,#REF!)),0)</f>
        <v>0</v>
      </c>
    </row>
    <row r="195" customFormat="1" spans="1:20">
      <c r="A195">
        <f t="shared" si="17"/>
        <v>66</v>
      </c>
      <c r="B195">
        <v>6</v>
      </c>
      <c r="C195" t="s">
        <v>406</v>
      </c>
      <c r="D195" t="s">
        <v>22</v>
      </c>
      <c r="E195" s="13" t="s">
        <v>392</v>
      </c>
      <c r="F195"/>
      <c r="G195">
        <v>2</v>
      </c>
      <c r="H195">
        <v>1000</v>
      </c>
      <c r="J195" cm="1">
        <f t="array" ref="J195">_xlfn.SWITCH(B195,1,75,2,61,3,49,4,37,5,25,6,13,7,4,8,1)</f>
        <v>13</v>
      </c>
      <c r="K195" t="str" cm="1">
        <f t="array" ref="K195">IFERROR(_xlfn.SWITCH(L195,2,_xlfn.XLOOKUP(C195,[1]ModifierDes!$B:$B,[1]ModifierDes!$C:$C),3,_xlfn.XLOOKUP(C195,[1]StuntDes!$B:$B,[1]StuntDes!$C:$C)),"")</f>
        <v>攻击速度提高{0}</v>
      </c>
      <c r="L195">
        <f t="shared" si="15"/>
        <v>2</v>
      </c>
      <c r="M195" s="10" t="str">
        <f>IFERROR(_xlfn.XLOOKUP(C195,[1]StuntDes!$B:$B,[1]StuntDes!$A:$A),"")</f>
        <v/>
      </c>
      <c r="N195" s="10">
        <f>IFERROR(_xlfn.XLOOKUP(C195,[1]ModifierDes!$B:$B,[1]ModifierDes!$A:$A),"")</f>
        <v>10031</v>
      </c>
      <c r="O195" s="10" t="str">
        <f>IFERROR(_xlfn.XLOOKUP(C195,[1]AttributeName!$C:$C,[1]AttributeName!$B:$B),"")</f>
        <v/>
      </c>
      <c r="P195" s="10"/>
      <c r="Q195">
        <v>0.07</v>
      </c>
      <c r="R195">
        <v>0.09</v>
      </c>
      <c r="S195" cm="1">
        <f t="array" ref="S195">IFERROR(_xlfn.SWITCH(L195,1,_xlfn.XLOOKUP(O195,[1]AttributeName!$B:$B,[1]AttributeName!$D:$D),2,_xlfn.XLOOKUP(C195,#REF!,#REF!),3,_xlfn.XLOOKUP(C195,#REF!,#REF!)),0)</f>
        <v>0</v>
      </c>
      <c r="T195" cm="1">
        <f t="array" ref="T195">IFERROR(_xlfn.SWITCH(L195,1,_xlfn.XLOOKUP(O195,[1]AttributeName!$B:$B,[1]AttributeName!$E:$E),2,_xlfn.XLOOKUP(C195,#REF!,#REF!),3,_xlfn.XLOOKUP(C195,#REF!,#REF!)),0)</f>
        <v>0</v>
      </c>
    </row>
    <row r="196" customFormat="1" spans="1:20">
      <c r="A196">
        <f t="shared" si="17"/>
        <v>66</v>
      </c>
      <c r="B196">
        <v>7</v>
      </c>
      <c r="C196" t="s">
        <v>406</v>
      </c>
      <c r="D196" t="s">
        <v>22</v>
      </c>
      <c r="E196" s="13" t="s">
        <v>392</v>
      </c>
      <c r="F196"/>
      <c r="G196">
        <v>2</v>
      </c>
      <c r="H196">
        <v>1000</v>
      </c>
      <c r="J196" cm="1">
        <f t="array" ref="J196">_xlfn.SWITCH(B196,1,75,2,61,3,49,4,37,5,25,6,13,7,4,8,1)</f>
        <v>4</v>
      </c>
      <c r="K196" t="str" cm="1">
        <f t="array" ref="K196">IFERROR(_xlfn.SWITCH(L196,2,_xlfn.XLOOKUP(C196,[1]ModifierDes!$B:$B,[1]ModifierDes!$C:$C),3,_xlfn.XLOOKUP(C196,[1]StuntDes!$B:$B,[1]StuntDes!$C:$C)),"")</f>
        <v>攻击速度提高{0}</v>
      </c>
      <c r="L196">
        <f t="shared" ref="L196:L259" si="18">IF(M196="",IF(N196="",1,2),3)</f>
        <v>2</v>
      </c>
      <c r="M196" s="10" t="str">
        <f>IFERROR(_xlfn.XLOOKUP(C196,[1]StuntDes!$B:$B,[1]StuntDes!$A:$A),"")</f>
        <v/>
      </c>
      <c r="N196" s="10">
        <f>IFERROR(_xlfn.XLOOKUP(C196,[1]ModifierDes!$B:$B,[1]ModifierDes!$A:$A),"")</f>
        <v>10031</v>
      </c>
      <c r="O196" s="10" t="str">
        <f>IFERROR(_xlfn.XLOOKUP(C196,[1]AttributeName!$C:$C,[1]AttributeName!$B:$B),"")</f>
        <v/>
      </c>
      <c r="P196" s="10"/>
      <c r="Q196">
        <v>0.04</v>
      </c>
      <c r="R196">
        <v>0.07</v>
      </c>
      <c r="S196" cm="1">
        <f t="array" ref="S196">IFERROR(_xlfn.SWITCH(L196,1,_xlfn.XLOOKUP(O196,[1]AttributeName!$B:$B,[1]AttributeName!$D:$D),2,_xlfn.XLOOKUP(C196,#REF!,#REF!),3,_xlfn.XLOOKUP(C196,#REF!,#REF!)),0)</f>
        <v>0</v>
      </c>
      <c r="T196" cm="1">
        <f t="array" ref="T196">IFERROR(_xlfn.SWITCH(L196,1,_xlfn.XLOOKUP(O196,[1]AttributeName!$B:$B,[1]AttributeName!$E:$E),2,_xlfn.XLOOKUP(C196,#REF!,#REF!),3,_xlfn.XLOOKUP(C196,#REF!,#REF!)),0)</f>
        <v>0</v>
      </c>
    </row>
    <row r="197" customFormat="1" spans="1:20">
      <c r="A197">
        <f t="shared" si="17"/>
        <v>66</v>
      </c>
      <c r="B197">
        <v>8</v>
      </c>
      <c r="C197" t="s">
        <v>406</v>
      </c>
      <c r="D197" t="s">
        <v>22</v>
      </c>
      <c r="E197" s="13" t="s">
        <v>392</v>
      </c>
      <c r="F197"/>
      <c r="G197">
        <v>2</v>
      </c>
      <c r="H197">
        <v>1000</v>
      </c>
      <c r="J197" cm="1">
        <f t="array" ref="J197">_xlfn.SWITCH(B197,1,75,2,61,3,49,4,37,5,25,6,13,7,4,8,1)</f>
        <v>1</v>
      </c>
      <c r="K197" t="str" cm="1">
        <f t="array" ref="K197">IFERROR(_xlfn.SWITCH(L197,2,_xlfn.XLOOKUP(C197,[1]ModifierDes!$B:$B,[1]ModifierDes!$C:$C),3,_xlfn.XLOOKUP(C197,[1]StuntDes!$B:$B,[1]StuntDes!$C:$C)),"")</f>
        <v>攻击速度提高{0}</v>
      </c>
      <c r="L197">
        <f t="shared" si="18"/>
        <v>2</v>
      </c>
      <c r="M197" s="10" t="str">
        <f>IFERROR(_xlfn.XLOOKUP(C197,[1]StuntDes!$B:$B,[1]StuntDes!$A:$A),"")</f>
        <v/>
      </c>
      <c r="N197" s="10">
        <f>IFERROR(_xlfn.XLOOKUP(C197,[1]ModifierDes!$B:$B,[1]ModifierDes!$A:$A),"")</f>
        <v>10031</v>
      </c>
      <c r="O197" s="10" t="str">
        <f>IFERROR(_xlfn.XLOOKUP(C197,[1]AttributeName!$C:$C,[1]AttributeName!$B:$B),"")</f>
        <v/>
      </c>
      <c r="P197" s="10"/>
      <c r="Q197">
        <v>0.01</v>
      </c>
      <c r="R197">
        <v>0.03</v>
      </c>
      <c r="S197" cm="1">
        <f t="array" ref="S197">IFERROR(_xlfn.SWITCH(L197,1,_xlfn.XLOOKUP(O197,[1]AttributeName!$B:$B,[1]AttributeName!$D:$D),2,_xlfn.XLOOKUP(C197,#REF!,#REF!),3,_xlfn.XLOOKUP(C197,#REF!,#REF!)),0)</f>
        <v>0</v>
      </c>
      <c r="T197" cm="1">
        <f t="array" ref="T197">IFERROR(_xlfn.SWITCH(L197,1,_xlfn.XLOOKUP(O197,[1]AttributeName!$B:$B,[1]AttributeName!$E:$E),2,_xlfn.XLOOKUP(C197,#REF!,#REF!),3,_xlfn.XLOOKUP(C197,#REF!,#REF!)),0)</f>
        <v>0</v>
      </c>
    </row>
    <row r="198" customFormat="1" spans="1:20">
      <c r="A198">
        <f t="shared" si="17"/>
        <v>67</v>
      </c>
      <c r="B198">
        <v>1</v>
      </c>
      <c r="C198" t="s">
        <v>407</v>
      </c>
      <c r="D198" t="s">
        <v>22</v>
      </c>
      <c r="E198" s="13" t="s">
        <v>392</v>
      </c>
      <c r="F198"/>
      <c r="G198">
        <v>2</v>
      </c>
      <c r="H198">
        <v>500</v>
      </c>
      <c r="J198" cm="1">
        <f t="array" ref="J198">_xlfn.SWITCH(B198,1,75,2,61,3,49,4,37,5,25,6,13,7,4,8,1)</f>
        <v>75</v>
      </c>
      <c r="K198" t="str" cm="1">
        <f t="array" ref="K198">IFERROR(_xlfn.SWITCH(L198,2,_xlfn.XLOOKUP(C198,[1]ModifierDes!$B:$B,[1]ModifierDes!$C:$C),3,_xlfn.XLOOKUP(C198,[1]StuntDes!$B:$B,[1]StuntDes!$C:$C)),"")</f>
        <v/>
      </c>
      <c r="L198">
        <f t="shared" si="18"/>
        <v>1</v>
      </c>
      <c r="M198" s="10" t="str">
        <f>IFERROR(_xlfn.XLOOKUP(C198,[1]StuntDes!$B:$B,[1]StuntDes!$A:$A),"")</f>
        <v/>
      </c>
      <c r="N198" s="10" t="str">
        <f>IFERROR(_xlfn.XLOOKUP(C198,[1]ModifierDes!$B:$B,[1]ModifierDes!$A:$A),"")</f>
        <v/>
      </c>
      <c r="O198" s="10">
        <f>IFERROR(_xlfn.XLOOKUP(C198,[1]AttributeName!$C:$C,[1]AttributeName!$B:$B),"")</f>
        <v>11006</v>
      </c>
      <c r="P198" s="10"/>
      <c r="Q198">
        <v>0.71</v>
      </c>
      <c r="R198">
        <v>0.8</v>
      </c>
      <c r="S198" cm="1">
        <f t="array" ref="S198">IFERROR(_xlfn.SWITCH(L198,1,_xlfn.XLOOKUP(O198,[1]AttributeName!$B:$B,[1]AttributeName!$D:$D),2,_xlfn.XLOOKUP(C198,#REF!,#REF!),3,_xlfn.XLOOKUP(C198,#REF!,#REF!)),0)</f>
        <v>2</v>
      </c>
      <c r="T198" cm="1">
        <f t="array" ref="T198">IFERROR(_xlfn.SWITCH(L198,1,_xlfn.XLOOKUP(O198,[1]AttributeName!$B:$B,[1]AttributeName!$E:$E),2,_xlfn.XLOOKUP(C198,#REF!,#REF!),3,_xlfn.XLOOKUP(C198,#REF!,#REF!)),0)</f>
        <v>2</v>
      </c>
    </row>
    <row r="199" customFormat="1" spans="1:20">
      <c r="A199">
        <f t="shared" si="17"/>
        <v>67</v>
      </c>
      <c r="B199">
        <v>2</v>
      </c>
      <c r="C199" t="s">
        <v>407</v>
      </c>
      <c r="D199" t="s">
        <v>22</v>
      </c>
      <c r="E199" s="13" t="s">
        <v>392</v>
      </c>
      <c r="F199"/>
      <c r="G199">
        <v>2</v>
      </c>
      <c r="H199">
        <v>500</v>
      </c>
      <c r="J199" cm="1">
        <f t="array" ref="J199">_xlfn.SWITCH(B199,1,75,2,61,3,49,4,37,5,25,6,13,7,4,8,1)</f>
        <v>61</v>
      </c>
      <c r="K199" t="str" cm="1">
        <f t="array" ref="K199">IFERROR(_xlfn.SWITCH(L199,2,_xlfn.XLOOKUP(C199,[1]ModifierDes!$B:$B,[1]ModifierDes!$C:$C),3,_xlfn.XLOOKUP(C199,[1]StuntDes!$B:$B,[1]StuntDes!$C:$C)),"")</f>
        <v/>
      </c>
      <c r="L199">
        <f t="shared" si="18"/>
        <v>1</v>
      </c>
      <c r="M199" s="10" t="str">
        <f>IFERROR(_xlfn.XLOOKUP(C199,[1]StuntDes!$B:$B,[1]StuntDes!$A:$A),"")</f>
        <v/>
      </c>
      <c r="N199" s="10" t="str">
        <f>IFERROR(_xlfn.XLOOKUP(C199,[1]ModifierDes!$B:$B,[1]ModifierDes!$A:$A),"")</f>
        <v/>
      </c>
      <c r="O199" s="10">
        <f>IFERROR(_xlfn.XLOOKUP(C199,[1]AttributeName!$C:$C,[1]AttributeName!$B:$B),"")</f>
        <v>11006</v>
      </c>
      <c r="P199" s="10"/>
      <c r="Q199">
        <v>0.61</v>
      </c>
      <c r="R199">
        <v>0.7</v>
      </c>
      <c r="S199" cm="1">
        <f t="array" ref="S199">IFERROR(_xlfn.SWITCH(L199,1,_xlfn.XLOOKUP(O199,[1]AttributeName!$B:$B,[1]AttributeName!$D:$D),2,_xlfn.XLOOKUP(C199,#REF!,#REF!),3,_xlfn.XLOOKUP(C199,#REF!,#REF!)),0)</f>
        <v>2</v>
      </c>
      <c r="T199" cm="1">
        <f t="array" ref="T199">IFERROR(_xlfn.SWITCH(L199,1,_xlfn.XLOOKUP(O199,[1]AttributeName!$B:$B,[1]AttributeName!$E:$E),2,_xlfn.XLOOKUP(C199,#REF!,#REF!),3,_xlfn.XLOOKUP(C199,#REF!,#REF!)),0)</f>
        <v>2</v>
      </c>
    </row>
    <row r="200" customFormat="1" spans="1:20">
      <c r="A200">
        <f t="shared" si="17"/>
        <v>67</v>
      </c>
      <c r="B200">
        <v>3</v>
      </c>
      <c r="C200" t="s">
        <v>407</v>
      </c>
      <c r="D200" t="s">
        <v>22</v>
      </c>
      <c r="E200" s="13" t="s">
        <v>392</v>
      </c>
      <c r="F200"/>
      <c r="G200">
        <v>2</v>
      </c>
      <c r="H200">
        <v>1000</v>
      </c>
      <c r="J200" cm="1">
        <f t="array" ref="J200">_xlfn.SWITCH(B200,1,75,2,61,3,49,4,37,5,25,6,13,7,4,8,1)</f>
        <v>49</v>
      </c>
      <c r="K200" t="str" cm="1">
        <f t="array" ref="K200">IFERROR(_xlfn.SWITCH(L200,2,_xlfn.XLOOKUP(C200,[1]ModifierDes!$B:$B,[1]ModifierDes!$C:$C),3,_xlfn.XLOOKUP(C200,[1]StuntDes!$B:$B,[1]StuntDes!$C:$C)),"")</f>
        <v/>
      </c>
      <c r="L200">
        <f t="shared" si="18"/>
        <v>1</v>
      </c>
      <c r="M200" s="10" t="str">
        <f>IFERROR(_xlfn.XLOOKUP(C200,[1]StuntDes!$B:$B,[1]StuntDes!$A:$A),"")</f>
        <v/>
      </c>
      <c r="N200" s="10" t="str">
        <f>IFERROR(_xlfn.XLOOKUP(C200,[1]ModifierDes!$B:$B,[1]ModifierDes!$A:$A),"")</f>
        <v/>
      </c>
      <c r="O200" s="10">
        <f>IFERROR(_xlfn.XLOOKUP(C200,[1]AttributeName!$C:$C,[1]AttributeName!$B:$B),"")</f>
        <v>11006</v>
      </c>
      <c r="P200" s="10"/>
      <c r="Q200">
        <v>0.51</v>
      </c>
      <c r="R200">
        <v>0.6</v>
      </c>
      <c r="S200" cm="1">
        <f t="array" ref="S200">IFERROR(_xlfn.SWITCH(L200,1,_xlfn.XLOOKUP(O200,[1]AttributeName!$B:$B,[1]AttributeName!$D:$D),2,_xlfn.XLOOKUP(C200,#REF!,#REF!),3,_xlfn.XLOOKUP(C200,#REF!,#REF!)),0)</f>
        <v>2</v>
      </c>
      <c r="T200" cm="1">
        <f t="array" ref="T200">IFERROR(_xlfn.SWITCH(L200,1,_xlfn.XLOOKUP(O200,[1]AttributeName!$B:$B,[1]AttributeName!$E:$E),2,_xlfn.XLOOKUP(C200,#REF!,#REF!),3,_xlfn.XLOOKUP(C200,#REF!,#REF!)),0)</f>
        <v>2</v>
      </c>
    </row>
    <row r="201" customFormat="1" spans="1:20">
      <c r="A201">
        <f t="shared" si="17"/>
        <v>67</v>
      </c>
      <c r="B201">
        <v>4</v>
      </c>
      <c r="C201" t="s">
        <v>407</v>
      </c>
      <c r="D201" t="s">
        <v>22</v>
      </c>
      <c r="E201" s="13" t="s">
        <v>392</v>
      </c>
      <c r="F201"/>
      <c r="G201">
        <v>2</v>
      </c>
      <c r="H201">
        <v>1000</v>
      </c>
      <c r="J201" cm="1">
        <f t="array" ref="J201">_xlfn.SWITCH(B201,1,75,2,61,3,49,4,37,5,25,6,13,7,4,8,1)</f>
        <v>37</v>
      </c>
      <c r="K201" t="str" cm="1">
        <f t="array" ref="K201">IFERROR(_xlfn.SWITCH(L201,2,_xlfn.XLOOKUP(C201,[1]ModifierDes!$B:$B,[1]ModifierDes!$C:$C),3,_xlfn.XLOOKUP(C201,[1]StuntDes!$B:$B,[1]StuntDes!$C:$C)),"")</f>
        <v/>
      </c>
      <c r="L201">
        <f t="shared" si="18"/>
        <v>1</v>
      </c>
      <c r="M201" s="10" t="str">
        <f>IFERROR(_xlfn.XLOOKUP(C201,[1]StuntDes!$B:$B,[1]StuntDes!$A:$A),"")</f>
        <v/>
      </c>
      <c r="N201" s="10" t="str">
        <f>IFERROR(_xlfn.XLOOKUP(C201,[1]ModifierDes!$B:$B,[1]ModifierDes!$A:$A),"")</f>
        <v/>
      </c>
      <c r="O201" s="10">
        <f>IFERROR(_xlfn.XLOOKUP(C201,[1]AttributeName!$C:$C,[1]AttributeName!$B:$B),"")</f>
        <v>11006</v>
      </c>
      <c r="P201" s="10"/>
      <c r="Q201">
        <v>0.41</v>
      </c>
      <c r="R201">
        <v>0.5</v>
      </c>
      <c r="S201" cm="1">
        <f t="array" ref="S201">IFERROR(_xlfn.SWITCH(L201,1,_xlfn.XLOOKUP(O201,[1]AttributeName!$B:$B,[1]AttributeName!$D:$D),2,_xlfn.XLOOKUP(C201,#REF!,#REF!),3,_xlfn.XLOOKUP(C201,#REF!,#REF!)),0)</f>
        <v>2</v>
      </c>
      <c r="T201" cm="1">
        <f t="array" ref="T201">IFERROR(_xlfn.SWITCH(L201,1,_xlfn.XLOOKUP(O201,[1]AttributeName!$B:$B,[1]AttributeName!$E:$E),2,_xlfn.XLOOKUP(C201,#REF!,#REF!),3,_xlfn.XLOOKUP(C201,#REF!,#REF!)),0)</f>
        <v>2</v>
      </c>
    </row>
    <row r="202" customFormat="1" spans="1:20">
      <c r="A202">
        <f t="shared" si="17"/>
        <v>67</v>
      </c>
      <c r="B202">
        <v>5</v>
      </c>
      <c r="C202" t="s">
        <v>407</v>
      </c>
      <c r="D202" t="s">
        <v>22</v>
      </c>
      <c r="E202" s="13" t="s">
        <v>392</v>
      </c>
      <c r="F202"/>
      <c r="G202">
        <v>2</v>
      </c>
      <c r="H202">
        <v>1000</v>
      </c>
      <c r="J202" cm="1">
        <f t="array" ref="J202">_xlfn.SWITCH(B202,1,75,2,61,3,49,4,37,5,25,6,13,7,4,8,1)</f>
        <v>25</v>
      </c>
      <c r="K202" t="str" cm="1">
        <f t="array" ref="K202">IFERROR(_xlfn.SWITCH(L202,2,_xlfn.XLOOKUP(C202,[1]ModifierDes!$B:$B,[1]ModifierDes!$C:$C),3,_xlfn.XLOOKUP(C202,[1]StuntDes!$B:$B,[1]StuntDes!$C:$C)),"")</f>
        <v/>
      </c>
      <c r="L202">
        <f t="shared" si="18"/>
        <v>1</v>
      </c>
      <c r="M202" s="10" t="str">
        <f>IFERROR(_xlfn.XLOOKUP(C202,[1]StuntDes!$B:$B,[1]StuntDes!$A:$A),"")</f>
        <v/>
      </c>
      <c r="N202" s="10" t="str">
        <f>IFERROR(_xlfn.XLOOKUP(C202,[1]ModifierDes!$B:$B,[1]ModifierDes!$A:$A),"")</f>
        <v/>
      </c>
      <c r="O202" s="10">
        <f>IFERROR(_xlfn.XLOOKUP(C202,[1]AttributeName!$C:$C,[1]AttributeName!$B:$B),"")</f>
        <v>11006</v>
      </c>
      <c r="P202" s="10"/>
      <c r="Q202">
        <v>0.31</v>
      </c>
      <c r="R202">
        <v>0.4</v>
      </c>
      <c r="S202" cm="1">
        <f t="array" ref="S202">IFERROR(_xlfn.SWITCH(L202,1,_xlfn.XLOOKUP(O202,[1]AttributeName!$B:$B,[1]AttributeName!$D:$D),2,_xlfn.XLOOKUP(C202,#REF!,#REF!),3,_xlfn.XLOOKUP(C202,#REF!,#REF!)),0)</f>
        <v>2</v>
      </c>
      <c r="T202" cm="1">
        <f t="array" ref="T202">IFERROR(_xlfn.SWITCH(L202,1,_xlfn.XLOOKUP(O202,[1]AttributeName!$B:$B,[1]AttributeName!$E:$E),2,_xlfn.XLOOKUP(C202,#REF!,#REF!),3,_xlfn.XLOOKUP(C202,#REF!,#REF!)),0)</f>
        <v>2</v>
      </c>
    </row>
    <row r="203" customFormat="1" spans="1:20">
      <c r="A203">
        <f t="shared" si="17"/>
        <v>67</v>
      </c>
      <c r="B203">
        <v>6</v>
      </c>
      <c r="C203" t="s">
        <v>407</v>
      </c>
      <c r="D203" t="s">
        <v>22</v>
      </c>
      <c r="E203" s="13" t="s">
        <v>392</v>
      </c>
      <c r="F203"/>
      <c r="G203">
        <v>2</v>
      </c>
      <c r="H203">
        <v>1000</v>
      </c>
      <c r="J203" cm="1">
        <f t="array" ref="J203">_xlfn.SWITCH(B203,1,75,2,61,3,49,4,37,5,25,6,13,7,4,8,1)</f>
        <v>13</v>
      </c>
      <c r="K203" t="str" cm="1">
        <f t="array" ref="K203">IFERROR(_xlfn.SWITCH(L203,2,_xlfn.XLOOKUP(C203,[1]ModifierDes!$B:$B,[1]ModifierDes!$C:$C),3,_xlfn.XLOOKUP(C203,[1]StuntDes!$B:$B,[1]StuntDes!$C:$C)),"")</f>
        <v/>
      </c>
      <c r="L203">
        <f t="shared" si="18"/>
        <v>1</v>
      </c>
      <c r="M203" s="10" t="str">
        <f>IFERROR(_xlfn.XLOOKUP(C203,[1]StuntDes!$B:$B,[1]StuntDes!$A:$A),"")</f>
        <v/>
      </c>
      <c r="N203" s="10" t="str">
        <f>IFERROR(_xlfn.XLOOKUP(C203,[1]ModifierDes!$B:$B,[1]ModifierDes!$A:$A),"")</f>
        <v/>
      </c>
      <c r="O203" s="10">
        <f>IFERROR(_xlfn.XLOOKUP(C203,[1]AttributeName!$C:$C,[1]AttributeName!$B:$B),"")</f>
        <v>11006</v>
      </c>
      <c r="P203" s="10"/>
      <c r="Q203">
        <v>0.21</v>
      </c>
      <c r="R203">
        <v>0.3</v>
      </c>
      <c r="S203" cm="1">
        <f t="array" ref="S203">IFERROR(_xlfn.SWITCH(L203,1,_xlfn.XLOOKUP(O203,[1]AttributeName!$B:$B,[1]AttributeName!$D:$D),2,_xlfn.XLOOKUP(C203,#REF!,#REF!),3,_xlfn.XLOOKUP(C203,#REF!,#REF!)),0)</f>
        <v>2</v>
      </c>
      <c r="T203" cm="1">
        <f t="array" ref="T203">IFERROR(_xlfn.SWITCH(L203,1,_xlfn.XLOOKUP(O203,[1]AttributeName!$B:$B,[1]AttributeName!$E:$E),2,_xlfn.XLOOKUP(C203,#REF!,#REF!),3,_xlfn.XLOOKUP(C203,#REF!,#REF!)),0)</f>
        <v>2</v>
      </c>
    </row>
    <row r="204" customFormat="1" spans="1:20">
      <c r="A204">
        <f t="shared" si="17"/>
        <v>67</v>
      </c>
      <c r="B204">
        <v>7</v>
      </c>
      <c r="C204" t="s">
        <v>407</v>
      </c>
      <c r="D204" t="s">
        <v>22</v>
      </c>
      <c r="E204" s="13" t="s">
        <v>392</v>
      </c>
      <c r="F204"/>
      <c r="G204">
        <v>2</v>
      </c>
      <c r="H204">
        <v>1000</v>
      </c>
      <c r="J204" cm="1">
        <f t="array" ref="J204">_xlfn.SWITCH(B204,1,75,2,61,3,49,4,37,5,25,6,13,7,4,8,1)</f>
        <v>4</v>
      </c>
      <c r="K204" t="str" cm="1">
        <f t="array" ref="K204">IFERROR(_xlfn.SWITCH(L204,2,_xlfn.XLOOKUP(C204,[1]ModifierDes!$B:$B,[1]ModifierDes!$C:$C),3,_xlfn.XLOOKUP(C204,[1]StuntDes!$B:$B,[1]StuntDes!$C:$C)),"")</f>
        <v/>
      </c>
      <c r="L204">
        <f t="shared" si="18"/>
        <v>1</v>
      </c>
      <c r="M204" s="10" t="str">
        <f>IFERROR(_xlfn.XLOOKUP(C204,[1]StuntDes!$B:$B,[1]StuntDes!$A:$A),"")</f>
        <v/>
      </c>
      <c r="N204" s="10" t="str">
        <f>IFERROR(_xlfn.XLOOKUP(C204,[1]ModifierDes!$B:$B,[1]ModifierDes!$A:$A),"")</f>
        <v/>
      </c>
      <c r="O204" s="10">
        <f>IFERROR(_xlfn.XLOOKUP(C204,[1]AttributeName!$C:$C,[1]AttributeName!$B:$B),"")</f>
        <v>11006</v>
      </c>
      <c r="P204" s="10"/>
      <c r="Q204">
        <v>0.11</v>
      </c>
      <c r="R204">
        <v>0.2</v>
      </c>
      <c r="S204" cm="1">
        <f t="array" ref="S204">IFERROR(_xlfn.SWITCH(L204,1,_xlfn.XLOOKUP(O204,[1]AttributeName!$B:$B,[1]AttributeName!$D:$D),2,_xlfn.XLOOKUP(C204,#REF!,#REF!),3,_xlfn.XLOOKUP(C204,#REF!,#REF!)),0)</f>
        <v>2</v>
      </c>
      <c r="T204" cm="1">
        <f t="array" ref="T204">IFERROR(_xlfn.SWITCH(L204,1,_xlfn.XLOOKUP(O204,[1]AttributeName!$B:$B,[1]AttributeName!$E:$E),2,_xlfn.XLOOKUP(C204,#REF!,#REF!),3,_xlfn.XLOOKUP(C204,#REF!,#REF!)),0)</f>
        <v>2</v>
      </c>
    </row>
    <row r="205" customFormat="1" spans="1:20">
      <c r="A205">
        <f t="shared" si="17"/>
        <v>67</v>
      </c>
      <c r="B205">
        <v>8</v>
      </c>
      <c r="C205" t="s">
        <v>407</v>
      </c>
      <c r="D205" t="s">
        <v>22</v>
      </c>
      <c r="E205" s="13" t="s">
        <v>392</v>
      </c>
      <c r="F205"/>
      <c r="G205">
        <v>2</v>
      </c>
      <c r="H205">
        <v>1000</v>
      </c>
      <c r="J205" cm="1">
        <f t="array" ref="J205">_xlfn.SWITCH(B205,1,75,2,61,3,49,4,37,5,25,6,13,7,4,8,1)</f>
        <v>1</v>
      </c>
      <c r="K205" t="str" cm="1">
        <f t="array" ref="K205">IFERROR(_xlfn.SWITCH(L205,2,_xlfn.XLOOKUP(C205,[1]ModifierDes!$B:$B,[1]ModifierDes!$C:$C),3,_xlfn.XLOOKUP(C205,[1]StuntDes!$B:$B,[1]StuntDes!$C:$C)),"")</f>
        <v/>
      </c>
      <c r="L205">
        <f t="shared" si="18"/>
        <v>1</v>
      </c>
      <c r="M205" s="10" t="str">
        <f>IFERROR(_xlfn.XLOOKUP(C205,[1]StuntDes!$B:$B,[1]StuntDes!$A:$A),"")</f>
        <v/>
      </c>
      <c r="N205" s="10" t="str">
        <f>IFERROR(_xlfn.XLOOKUP(C205,[1]ModifierDes!$B:$B,[1]ModifierDes!$A:$A),"")</f>
        <v/>
      </c>
      <c r="O205" s="10">
        <f>IFERROR(_xlfn.XLOOKUP(C205,[1]AttributeName!$C:$C,[1]AttributeName!$B:$B),"")</f>
        <v>11006</v>
      </c>
      <c r="P205" s="10"/>
      <c r="Q205">
        <v>0.0100000000000001</v>
      </c>
      <c r="R205">
        <v>0.0999999999999994</v>
      </c>
      <c r="S205" cm="1">
        <f t="array" ref="S205">IFERROR(_xlfn.SWITCH(L205,1,_xlfn.XLOOKUP(O205,[1]AttributeName!$B:$B,[1]AttributeName!$D:$D),2,_xlfn.XLOOKUP(C205,#REF!,#REF!),3,_xlfn.XLOOKUP(C205,#REF!,#REF!)),0)</f>
        <v>2</v>
      </c>
      <c r="T205" cm="1">
        <f t="array" ref="T205">IFERROR(_xlfn.SWITCH(L205,1,_xlfn.XLOOKUP(O205,[1]AttributeName!$B:$B,[1]AttributeName!$E:$E),2,_xlfn.XLOOKUP(C205,#REF!,#REF!),3,_xlfn.XLOOKUP(C205,#REF!,#REF!)),0)</f>
        <v>2</v>
      </c>
    </row>
    <row r="206" customFormat="1" spans="1:20">
      <c r="A206">
        <f t="shared" ref="A206:A237" si="19">A198+1</f>
        <v>68</v>
      </c>
      <c r="B206">
        <v>1</v>
      </c>
      <c r="C206" t="s">
        <v>408</v>
      </c>
      <c r="D206" t="s">
        <v>22</v>
      </c>
      <c r="E206" s="13" t="s">
        <v>392</v>
      </c>
      <c r="F206"/>
      <c r="G206">
        <v>2</v>
      </c>
      <c r="H206">
        <v>500</v>
      </c>
      <c r="J206" cm="1">
        <f t="array" ref="J206">_xlfn.SWITCH(B206,1,75,2,61,3,49,4,37,5,25,6,13,7,4,8,1)</f>
        <v>75</v>
      </c>
      <c r="K206" t="str" cm="1">
        <f t="array" ref="K206">IFERROR(_xlfn.SWITCH(L206,2,_xlfn.XLOOKUP(C206,[1]ModifierDes!$B:$B,[1]ModifierDes!$C:$C),3,_xlfn.XLOOKUP(C206,[1]StuntDes!$B:$B,[1]StuntDes!$C:$C)),"")</f>
        <v/>
      </c>
      <c r="L206">
        <f t="shared" si="18"/>
        <v>1</v>
      </c>
      <c r="M206" s="10" t="str">
        <f>IFERROR(_xlfn.XLOOKUP(C206,[1]StuntDes!$B:$B,[1]StuntDes!$A:$A),"")</f>
        <v/>
      </c>
      <c r="N206" s="10" t="str">
        <f>IFERROR(_xlfn.XLOOKUP(C206,[1]ModifierDes!$B:$B,[1]ModifierDes!$A:$A),"")</f>
        <v/>
      </c>
      <c r="O206" s="10">
        <f>IFERROR(_xlfn.XLOOKUP(C206,[1]AttributeName!$C:$C,[1]AttributeName!$B:$B),"")</f>
        <v>10801</v>
      </c>
      <c r="P206" s="10"/>
      <c r="Q206">
        <v>0.71</v>
      </c>
      <c r="R206">
        <v>0.8</v>
      </c>
      <c r="S206" cm="1">
        <f t="array" ref="S206">IFERROR(_xlfn.SWITCH(L206,1,_xlfn.XLOOKUP(O206,[1]AttributeName!$B:$B,[1]AttributeName!$D:$D),2,_xlfn.XLOOKUP(C206,#REF!,#REF!),3,_xlfn.XLOOKUP(C206,#REF!,#REF!)),0)</f>
        <v>2</v>
      </c>
      <c r="T206" cm="1">
        <f t="array" ref="T206">IFERROR(_xlfn.SWITCH(L206,1,_xlfn.XLOOKUP(O206,[1]AttributeName!$B:$B,[1]AttributeName!$E:$E),2,_xlfn.XLOOKUP(C206,#REF!,#REF!),3,_xlfn.XLOOKUP(C206,#REF!,#REF!)),0)</f>
        <v>2</v>
      </c>
    </row>
    <row r="207" customFormat="1" spans="1:20">
      <c r="A207">
        <f t="shared" si="19"/>
        <v>68</v>
      </c>
      <c r="B207">
        <v>2</v>
      </c>
      <c r="C207" t="s">
        <v>408</v>
      </c>
      <c r="D207" t="s">
        <v>22</v>
      </c>
      <c r="E207" s="13" t="s">
        <v>392</v>
      </c>
      <c r="F207"/>
      <c r="G207">
        <v>2</v>
      </c>
      <c r="H207">
        <v>500</v>
      </c>
      <c r="J207" cm="1">
        <f t="array" ref="J207">_xlfn.SWITCH(B207,1,75,2,61,3,49,4,37,5,25,6,13,7,4,8,1)</f>
        <v>61</v>
      </c>
      <c r="K207" t="str" cm="1">
        <f t="array" ref="K207">IFERROR(_xlfn.SWITCH(L207,2,_xlfn.XLOOKUP(C207,[1]ModifierDes!$B:$B,[1]ModifierDes!$C:$C),3,_xlfn.XLOOKUP(C207,[1]StuntDes!$B:$B,[1]StuntDes!$C:$C)),"")</f>
        <v/>
      </c>
      <c r="L207">
        <f t="shared" si="18"/>
        <v>1</v>
      </c>
      <c r="M207" s="10" t="str">
        <f>IFERROR(_xlfn.XLOOKUP(C207,[1]StuntDes!$B:$B,[1]StuntDes!$A:$A),"")</f>
        <v/>
      </c>
      <c r="N207" s="10" t="str">
        <f>IFERROR(_xlfn.XLOOKUP(C207,[1]ModifierDes!$B:$B,[1]ModifierDes!$A:$A),"")</f>
        <v/>
      </c>
      <c r="O207" s="10">
        <f>IFERROR(_xlfn.XLOOKUP(C207,[1]AttributeName!$C:$C,[1]AttributeName!$B:$B),"")</f>
        <v>10801</v>
      </c>
      <c r="P207" s="10"/>
      <c r="Q207">
        <v>0.61</v>
      </c>
      <c r="R207">
        <v>0.7</v>
      </c>
      <c r="S207" cm="1">
        <f t="array" ref="S207">IFERROR(_xlfn.SWITCH(L207,1,_xlfn.XLOOKUP(O207,[1]AttributeName!$B:$B,[1]AttributeName!$D:$D),2,_xlfn.XLOOKUP(C207,#REF!,#REF!),3,_xlfn.XLOOKUP(C207,#REF!,#REF!)),0)</f>
        <v>2</v>
      </c>
      <c r="T207" cm="1">
        <f t="array" ref="T207">IFERROR(_xlfn.SWITCH(L207,1,_xlfn.XLOOKUP(O207,[1]AttributeName!$B:$B,[1]AttributeName!$E:$E),2,_xlfn.XLOOKUP(C207,#REF!,#REF!),3,_xlfn.XLOOKUP(C207,#REF!,#REF!)),0)</f>
        <v>2</v>
      </c>
    </row>
    <row r="208" customFormat="1" spans="1:20">
      <c r="A208">
        <f t="shared" si="19"/>
        <v>68</v>
      </c>
      <c r="B208">
        <v>3</v>
      </c>
      <c r="C208" t="s">
        <v>408</v>
      </c>
      <c r="D208" t="s">
        <v>22</v>
      </c>
      <c r="E208" s="13" t="s">
        <v>392</v>
      </c>
      <c r="F208"/>
      <c r="G208">
        <v>2</v>
      </c>
      <c r="H208">
        <v>1000</v>
      </c>
      <c r="J208" cm="1">
        <f t="array" ref="J208">_xlfn.SWITCH(B208,1,75,2,61,3,49,4,37,5,25,6,13,7,4,8,1)</f>
        <v>49</v>
      </c>
      <c r="K208" t="str" cm="1">
        <f t="array" ref="K208">IFERROR(_xlfn.SWITCH(L208,2,_xlfn.XLOOKUP(C208,[1]ModifierDes!$B:$B,[1]ModifierDes!$C:$C),3,_xlfn.XLOOKUP(C208,[1]StuntDes!$B:$B,[1]StuntDes!$C:$C)),"")</f>
        <v/>
      </c>
      <c r="L208">
        <f t="shared" si="18"/>
        <v>1</v>
      </c>
      <c r="M208" s="10" t="str">
        <f>IFERROR(_xlfn.XLOOKUP(C208,[1]StuntDes!$B:$B,[1]StuntDes!$A:$A),"")</f>
        <v/>
      </c>
      <c r="N208" s="10" t="str">
        <f>IFERROR(_xlfn.XLOOKUP(C208,[1]ModifierDes!$B:$B,[1]ModifierDes!$A:$A),"")</f>
        <v/>
      </c>
      <c r="O208" s="10">
        <f>IFERROR(_xlfn.XLOOKUP(C208,[1]AttributeName!$C:$C,[1]AttributeName!$B:$B),"")</f>
        <v>10801</v>
      </c>
      <c r="P208" s="10"/>
      <c r="Q208">
        <v>0.51</v>
      </c>
      <c r="R208">
        <v>0.6</v>
      </c>
      <c r="S208" cm="1">
        <f t="array" ref="S208">IFERROR(_xlfn.SWITCH(L208,1,_xlfn.XLOOKUP(O208,[1]AttributeName!$B:$B,[1]AttributeName!$D:$D),2,_xlfn.XLOOKUP(C208,#REF!,#REF!),3,_xlfn.XLOOKUP(C208,#REF!,#REF!)),0)</f>
        <v>2</v>
      </c>
      <c r="T208" cm="1">
        <f t="array" ref="T208">IFERROR(_xlfn.SWITCH(L208,1,_xlfn.XLOOKUP(O208,[1]AttributeName!$B:$B,[1]AttributeName!$E:$E),2,_xlfn.XLOOKUP(C208,#REF!,#REF!),3,_xlfn.XLOOKUP(C208,#REF!,#REF!)),0)</f>
        <v>2</v>
      </c>
    </row>
    <row r="209" customFormat="1" spans="1:20">
      <c r="A209">
        <f t="shared" si="19"/>
        <v>68</v>
      </c>
      <c r="B209">
        <v>4</v>
      </c>
      <c r="C209" t="s">
        <v>408</v>
      </c>
      <c r="D209" t="s">
        <v>22</v>
      </c>
      <c r="E209" s="13" t="s">
        <v>392</v>
      </c>
      <c r="F209"/>
      <c r="G209">
        <v>2</v>
      </c>
      <c r="H209">
        <v>1000</v>
      </c>
      <c r="J209" cm="1">
        <f t="array" ref="J209">_xlfn.SWITCH(B209,1,75,2,61,3,49,4,37,5,25,6,13,7,4,8,1)</f>
        <v>37</v>
      </c>
      <c r="K209" t="str" cm="1">
        <f t="array" ref="K209">IFERROR(_xlfn.SWITCH(L209,2,_xlfn.XLOOKUP(C209,[1]ModifierDes!$B:$B,[1]ModifierDes!$C:$C),3,_xlfn.XLOOKUP(C209,[1]StuntDes!$B:$B,[1]StuntDes!$C:$C)),"")</f>
        <v/>
      </c>
      <c r="L209">
        <f t="shared" si="18"/>
        <v>1</v>
      </c>
      <c r="M209" s="10" t="str">
        <f>IFERROR(_xlfn.XLOOKUP(C209,[1]StuntDes!$B:$B,[1]StuntDes!$A:$A),"")</f>
        <v/>
      </c>
      <c r="N209" s="10" t="str">
        <f>IFERROR(_xlfn.XLOOKUP(C209,[1]ModifierDes!$B:$B,[1]ModifierDes!$A:$A),"")</f>
        <v/>
      </c>
      <c r="O209" s="10">
        <f>IFERROR(_xlfn.XLOOKUP(C209,[1]AttributeName!$C:$C,[1]AttributeName!$B:$B),"")</f>
        <v>10801</v>
      </c>
      <c r="P209" s="10"/>
      <c r="Q209">
        <v>0.41</v>
      </c>
      <c r="R209">
        <v>0.5</v>
      </c>
      <c r="S209" cm="1">
        <f t="array" ref="S209">IFERROR(_xlfn.SWITCH(L209,1,_xlfn.XLOOKUP(O209,[1]AttributeName!$B:$B,[1]AttributeName!$D:$D),2,_xlfn.XLOOKUP(C209,#REF!,#REF!),3,_xlfn.XLOOKUP(C209,#REF!,#REF!)),0)</f>
        <v>2</v>
      </c>
      <c r="T209" cm="1">
        <f t="array" ref="T209">IFERROR(_xlfn.SWITCH(L209,1,_xlfn.XLOOKUP(O209,[1]AttributeName!$B:$B,[1]AttributeName!$E:$E),2,_xlfn.XLOOKUP(C209,#REF!,#REF!),3,_xlfn.XLOOKUP(C209,#REF!,#REF!)),0)</f>
        <v>2</v>
      </c>
    </row>
    <row r="210" customFormat="1" spans="1:20">
      <c r="A210">
        <f t="shared" si="19"/>
        <v>68</v>
      </c>
      <c r="B210">
        <v>5</v>
      </c>
      <c r="C210" t="s">
        <v>408</v>
      </c>
      <c r="D210" t="s">
        <v>22</v>
      </c>
      <c r="E210" s="13" t="s">
        <v>392</v>
      </c>
      <c r="F210"/>
      <c r="G210">
        <v>2</v>
      </c>
      <c r="H210">
        <v>1000</v>
      </c>
      <c r="J210" cm="1">
        <f t="array" ref="J210">_xlfn.SWITCH(B210,1,75,2,61,3,49,4,37,5,25,6,13,7,4,8,1)</f>
        <v>25</v>
      </c>
      <c r="K210" t="str" cm="1">
        <f t="array" ref="K210">IFERROR(_xlfn.SWITCH(L210,2,_xlfn.XLOOKUP(C210,[1]ModifierDes!$B:$B,[1]ModifierDes!$C:$C),3,_xlfn.XLOOKUP(C210,[1]StuntDes!$B:$B,[1]StuntDes!$C:$C)),"")</f>
        <v/>
      </c>
      <c r="L210">
        <f t="shared" si="18"/>
        <v>1</v>
      </c>
      <c r="M210" s="10" t="str">
        <f>IFERROR(_xlfn.XLOOKUP(C210,[1]StuntDes!$B:$B,[1]StuntDes!$A:$A),"")</f>
        <v/>
      </c>
      <c r="N210" s="10" t="str">
        <f>IFERROR(_xlfn.XLOOKUP(C210,[1]ModifierDes!$B:$B,[1]ModifierDes!$A:$A),"")</f>
        <v/>
      </c>
      <c r="O210" s="10">
        <f>IFERROR(_xlfn.XLOOKUP(C210,[1]AttributeName!$C:$C,[1]AttributeName!$B:$B),"")</f>
        <v>10801</v>
      </c>
      <c r="P210" s="10"/>
      <c r="Q210">
        <v>0.31</v>
      </c>
      <c r="R210">
        <v>0.4</v>
      </c>
      <c r="S210" cm="1">
        <f t="array" ref="S210">IFERROR(_xlfn.SWITCH(L210,1,_xlfn.XLOOKUP(O210,[1]AttributeName!$B:$B,[1]AttributeName!$D:$D),2,_xlfn.XLOOKUP(C210,#REF!,#REF!),3,_xlfn.XLOOKUP(C210,#REF!,#REF!)),0)</f>
        <v>2</v>
      </c>
      <c r="T210" cm="1">
        <f t="array" ref="T210">IFERROR(_xlfn.SWITCH(L210,1,_xlfn.XLOOKUP(O210,[1]AttributeName!$B:$B,[1]AttributeName!$E:$E),2,_xlfn.XLOOKUP(C210,#REF!,#REF!),3,_xlfn.XLOOKUP(C210,#REF!,#REF!)),0)</f>
        <v>2</v>
      </c>
    </row>
    <row r="211" customFormat="1" spans="1:20">
      <c r="A211">
        <f t="shared" si="19"/>
        <v>68</v>
      </c>
      <c r="B211">
        <v>6</v>
      </c>
      <c r="C211" t="s">
        <v>408</v>
      </c>
      <c r="D211" t="s">
        <v>22</v>
      </c>
      <c r="E211" s="13" t="s">
        <v>392</v>
      </c>
      <c r="F211"/>
      <c r="G211">
        <v>2</v>
      </c>
      <c r="H211">
        <v>1000</v>
      </c>
      <c r="J211" cm="1">
        <f t="array" ref="J211">_xlfn.SWITCH(B211,1,75,2,61,3,49,4,37,5,25,6,13,7,4,8,1)</f>
        <v>13</v>
      </c>
      <c r="K211" t="str" cm="1">
        <f t="array" ref="K211">IFERROR(_xlfn.SWITCH(L211,2,_xlfn.XLOOKUP(C211,[1]ModifierDes!$B:$B,[1]ModifierDes!$C:$C),3,_xlfn.XLOOKUP(C211,[1]StuntDes!$B:$B,[1]StuntDes!$C:$C)),"")</f>
        <v/>
      </c>
      <c r="L211">
        <f t="shared" si="18"/>
        <v>1</v>
      </c>
      <c r="M211" s="10" t="str">
        <f>IFERROR(_xlfn.XLOOKUP(C211,[1]StuntDes!$B:$B,[1]StuntDes!$A:$A),"")</f>
        <v/>
      </c>
      <c r="N211" s="10" t="str">
        <f>IFERROR(_xlfn.XLOOKUP(C211,[1]ModifierDes!$B:$B,[1]ModifierDes!$A:$A),"")</f>
        <v/>
      </c>
      <c r="O211" s="10">
        <f>IFERROR(_xlfn.XLOOKUP(C211,[1]AttributeName!$C:$C,[1]AttributeName!$B:$B),"")</f>
        <v>10801</v>
      </c>
      <c r="P211" s="10"/>
      <c r="Q211">
        <v>0.21</v>
      </c>
      <c r="R211">
        <v>0.3</v>
      </c>
      <c r="S211" cm="1">
        <f t="array" ref="S211">IFERROR(_xlfn.SWITCH(L211,1,_xlfn.XLOOKUP(O211,[1]AttributeName!$B:$B,[1]AttributeName!$D:$D),2,_xlfn.XLOOKUP(C211,#REF!,#REF!),3,_xlfn.XLOOKUP(C211,#REF!,#REF!)),0)</f>
        <v>2</v>
      </c>
      <c r="T211" cm="1">
        <f t="array" ref="T211">IFERROR(_xlfn.SWITCH(L211,1,_xlfn.XLOOKUP(O211,[1]AttributeName!$B:$B,[1]AttributeName!$E:$E),2,_xlfn.XLOOKUP(C211,#REF!,#REF!),3,_xlfn.XLOOKUP(C211,#REF!,#REF!)),0)</f>
        <v>2</v>
      </c>
    </row>
    <row r="212" customFormat="1" spans="1:20">
      <c r="A212">
        <f t="shared" si="19"/>
        <v>68</v>
      </c>
      <c r="B212">
        <v>7</v>
      </c>
      <c r="C212" t="s">
        <v>408</v>
      </c>
      <c r="D212" t="s">
        <v>22</v>
      </c>
      <c r="E212" s="13" t="s">
        <v>392</v>
      </c>
      <c r="F212"/>
      <c r="G212">
        <v>2</v>
      </c>
      <c r="H212">
        <v>1000</v>
      </c>
      <c r="J212" cm="1">
        <f t="array" ref="J212">_xlfn.SWITCH(B212,1,75,2,61,3,49,4,37,5,25,6,13,7,4,8,1)</f>
        <v>4</v>
      </c>
      <c r="K212" t="str" cm="1">
        <f t="array" ref="K212">IFERROR(_xlfn.SWITCH(L212,2,_xlfn.XLOOKUP(C212,[1]ModifierDes!$B:$B,[1]ModifierDes!$C:$C),3,_xlfn.XLOOKUP(C212,[1]StuntDes!$B:$B,[1]StuntDes!$C:$C)),"")</f>
        <v/>
      </c>
      <c r="L212">
        <f t="shared" si="18"/>
        <v>1</v>
      </c>
      <c r="M212" s="10" t="str">
        <f>IFERROR(_xlfn.XLOOKUP(C212,[1]StuntDes!$B:$B,[1]StuntDes!$A:$A),"")</f>
        <v/>
      </c>
      <c r="N212" s="10" t="str">
        <f>IFERROR(_xlfn.XLOOKUP(C212,[1]ModifierDes!$B:$B,[1]ModifierDes!$A:$A),"")</f>
        <v/>
      </c>
      <c r="O212" s="10">
        <f>IFERROR(_xlfn.XLOOKUP(C212,[1]AttributeName!$C:$C,[1]AttributeName!$B:$B),"")</f>
        <v>10801</v>
      </c>
      <c r="P212" s="10"/>
      <c r="Q212">
        <v>0.11</v>
      </c>
      <c r="R212">
        <v>0.2</v>
      </c>
      <c r="S212" cm="1">
        <f t="array" ref="S212">IFERROR(_xlfn.SWITCH(L212,1,_xlfn.XLOOKUP(O212,[1]AttributeName!$B:$B,[1]AttributeName!$D:$D),2,_xlfn.XLOOKUP(C212,#REF!,#REF!),3,_xlfn.XLOOKUP(C212,#REF!,#REF!)),0)</f>
        <v>2</v>
      </c>
      <c r="T212" cm="1">
        <f t="array" ref="T212">IFERROR(_xlfn.SWITCH(L212,1,_xlfn.XLOOKUP(O212,[1]AttributeName!$B:$B,[1]AttributeName!$E:$E),2,_xlfn.XLOOKUP(C212,#REF!,#REF!),3,_xlfn.XLOOKUP(C212,#REF!,#REF!)),0)</f>
        <v>2</v>
      </c>
    </row>
    <row r="213" customFormat="1" spans="1:20">
      <c r="A213">
        <f t="shared" si="19"/>
        <v>68</v>
      </c>
      <c r="B213">
        <v>8</v>
      </c>
      <c r="C213" t="s">
        <v>408</v>
      </c>
      <c r="D213" t="s">
        <v>22</v>
      </c>
      <c r="E213" s="13" t="s">
        <v>392</v>
      </c>
      <c r="F213"/>
      <c r="G213">
        <v>2</v>
      </c>
      <c r="H213">
        <v>1000</v>
      </c>
      <c r="J213" cm="1">
        <f t="array" ref="J213">_xlfn.SWITCH(B213,1,75,2,61,3,49,4,37,5,25,6,13,7,4,8,1)</f>
        <v>1</v>
      </c>
      <c r="K213" t="str" cm="1">
        <f t="array" ref="K213">IFERROR(_xlfn.SWITCH(L213,2,_xlfn.XLOOKUP(C213,[1]ModifierDes!$B:$B,[1]ModifierDes!$C:$C),3,_xlfn.XLOOKUP(C213,[1]StuntDes!$B:$B,[1]StuntDes!$C:$C)),"")</f>
        <v/>
      </c>
      <c r="L213">
        <f t="shared" si="18"/>
        <v>1</v>
      </c>
      <c r="M213" s="10" t="str">
        <f>IFERROR(_xlfn.XLOOKUP(C213,[1]StuntDes!$B:$B,[1]StuntDes!$A:$A),"")</f>
        <v/>
      </c>
      <c r="N213" s="10" t="str">
        <f>IFERROR(_xlfn.XLOOKUP(C213,[1]ModifierDes!$B:$B,[1]ModifierDes!$A:$A),"")</f>
        <v/>
      </c>
      <c r="O213" s="10">
        <f>IFERROR(_xlfn.XLOOKUP(C213,[1]AttributeName!$C:$C,[1]AttributeName!$B:$B),"")</f>
        <v>10801</v>
      </c>
      <c r="P213" s="10"/>
      <c r="Q213">
        <v>0.0100000000000001</v>
      </c>
      <c r="R213">
        <v>0.0999999999999994</v>
      </c>
      <c r="S213" cm="1">
        <f t="array" ref="S213">IFERROR(_xlfn.SWITCH(L213,1,_xlfn.XLOOKUP(O213,[1]AttributeName!$B:$B,[1]AttributeName!$D:$D),2,_xlfn.XLOOKUP(C213,#REF!,#REF!),3,_xlfn.XLOOKUP(C213,#REF!,#REF!)),0)</f>
        <v>2</v>
      </c>
      <c r="T213" cm="1">
        <f t="array" ref="T213">IFERROR(_xlfn.SWITCH(L213,1,_xlfn.XLOOKUP(O213,[1]AttributeName!$B:$B,[1]AttributeName!$E:$E),2,_xlfn.XLOOKUP(C213,#REF!,#REF!),3,_xlfn.XLOOKUP(C213,#REF!,#REF!)),0)</f>
        <v>2</v>
      </c>
    </row>
    <row r="214" customFormat="1" spans="1:20">
      <c r="A214">
        <f t="shared" si="19"/>
        <v>69</v>
      </c>
      <c r="B214">
        <v>1</v>
      </c>
      <c r="C214" t="s">
        <v>409</v>
      </c>
      <c r="D214" t="s">
        <v>22</v>
      </c>
      <c r="E214" s="13" t="s">
        <v>392</v>
      </c>
      <c r="F214"/>
      <c r="G214">
        <v>2</v>
      </c>
      <c r="H214">
        <v>500</v>
      </c>
      <c r="J214" cm="1">
        <f t="array" ref="J214">_xlfn.SWITCH(B214,1,75,2,61,3,49,4,37,5,25,6,13,7,4,8,1)</f>
        <v>75</v>
      </c>
      <c r="K214" t="str" cm="1">
        <f t="array" ref="K214">IFERROR(_xlfn.SWITCH(L214,2,_xlfn.XLOOKUP(C214,[1]ModifierDes!$B:$B,[1]ModifierDes!$C:$C),3,_xlfn.XLOOKUP(C214,[1]StuntDes!$B:$B,[1]StuntDes!$C:$C)),"")</f>
        <v/>
      </c>
      <c r="L214">
        <f t="shared" si="18"/>
        <v>1</v>
      </c>
      <c r="M214" s="10" t="str">
        <f>IFERROR(_xlfn.XLOOKUP(C214,[1]StuntDes!$B:$B,[1]StuntDes!$A:$A),"")</f>
        <v/>
      </c>
      <c r="N214" s="10" t="str">
        <f>IFERROR(_xlfn.XLOOKUP(C214,[1]ModifierDes!$B:$B,[1]ModifierDes!$A:$A),"")</f>
        <v/>
      </c>
      <c r="O214" s="10">
        <f>IFERROR(_xlfn.XLOOKUP(C214,[1]AttributeName!$C:$C,[1]AttributeName!$B:$B),"")</f>
        <v>11009</v>
      </c>
      <c r="P214" s="10"/>
      <c r="Q214">
        <v>0.71</v>
      </c>
      <c r="R214">
        <v>0.8</v>
      </c>
      <c r="S214" cm="1">
        <f t="array" ref="S214">IFERROR(_xlfn.SWITCH(L214,1,_xlfn.XLOOKUP(O214,[1]AttributeName!$B:$B,[1]AttributeName!$D:$D),2,_xlfn.XLOOKUP(C214,#REF!,#REF!),3,_xlfn.XLOOKUP(C214,#REF!,#REF!)),0)</f>
        <v>2</v>
      </c>
      <c r="T214" cm="1">
        <f t="array" ref="T214">IFERROR(_xlfn.SWITCH(L214,1,_xlfn.XLOOKUP(O214,[1]AttributeName!$B:$B,[1]AttributeName!$E:$E),2,_xlfn.XLOOKUP(C214,#REF!,#REF!),3,_xlfn.XLOOKUP(C214,#REF!,#REF!)),0)</f>
        <v>2</v>
      </c>
    </row>
    <row r="215" customFormat="1" spans="1:20">
      <c r="A215">
        <f t="shared" si="19"/>
        <v>69</v>
      </c>
      <c r="B215">
        <v>2</v>
      </c>
      <c r="C215" t="s">
        <v>409</v>
      </c>
      <c r="D215" t="s">
        <v>22</v>
      </c>
      <c r="E215" s="13" t="s">
        <v>392</v>
      </c>
      <c r="F215"/>
      <c r="G215">
        <v>2</v>
      </c>
      <c r="H215">
        <v>500</v>
      </c>
      <c r="J215" cm="1">
        <f t="array" ref="J215">_xlfn.SWITCH(B215,1,75,2,61,3,49,4,37,5,25,6,13,7,4,8,1)</f>
        <v>61</v>
      </c>
      <c r="K215" t="str" cm="1">
        <f t="array" ref="K215">IFERROR(_xlfn.SWITCH(L215,2,_xlfn.XLOOKUP(C215,[1]ModifierDes!$B:$B,[1]ModifierDes!$C:$C),3,_xlfn.XLOOKUP(C215,[1]StuntDes!$B:$B,[1]StuntDes!$C:$C)),"")</f>
        <v/>
      </c>
      <c r="L215">
        <f t="shared" si="18"/>
        <v>1</v>
      </c>
      <c r="M215" s="10" t="str">
        <f>IFERROR(_xlfn.XLOOKUP(C215,[1]StuntDes!$B:$B,[1]StuntDes!$A:$A),"")</f>
        <v/>
      </c>
      <c r="N215" s="10" t="str">
        <f>IFERROR(_xlfn.XLOOKUP(C215,[1]ModifierDes!$B:$B,[1]ModifierDes!$A:$A),"")</f>
        <v/>
      </c>
      <c r="O215" s="10">
        <f>IFERROR(_xlfn.XLOOKUP(C215,[1]AttributeName!$C:$C,[1]AttributeName!$B:$B),"")</f>
        <v>11009</v>
      </c>
      <c r="P215" s="10"/>
      <c r="Q215">
        <v>0.61</v>
      </c>
      <c r="R215">
        <v>0.7</v>
      </c>
      <c r="S215" cm="1">
        <f t="array" ref="S215">IFERROR(_xlfn.SWITCH(L215,1,_xlfn.XLOOKUP(O215,[1]AttributeName!$B:$B,[1]AttributeName!$D:$D),2,_xlfn.XLOOKUP(C215,#REF!,#REF!),3,_xlfn.XLOOKUP(C215,#REF!,#REF!)),0)</f>
        <v>2</v>
      </c>
      <c r="T215" cm="1">
        <f t="array" ref="T215">IFERROR(_xlfn.SWITCH(L215,1,_xlfn.XLOOKUP(O215,[1]AttributeName!$B:$B,[1]AttributeName!$E:$E),2,_xlfn.XLOOKUP(C215,#REF!,#REF!),3,_xlfn.XLOOKUP(C215,#REF!,#REF!)),0)</f>
        <v>2</v>
      </c>
    </row>
    <row r="216" customFormat="1" spans="1:20">
      <c r="A216">
        <f t="shared" si="19"/>
        <v>69</v>
      </c>
      <c r="B216">
        <v>3</v>
      </c>
      <c r="C216" t="s">
        <v>409</v>
      </c>
      <c r="D216" t="s">
        <v>22</v>
      </c>
      <c r="E216" s="13" t="s">
        <v>392</v>
      </c>
      <c r="F216"/>
      <c r="G216">
        <v>2</v>
      </c>
      <c r="H216">
        <v>1000</v>
      </c>
      <c r="J216" cm="1">
        <f t="array" ref="J216">_xlfn.SWITCH(B216,1,75,2,61,3,49,4,37,5,25,6,13,7,4,8,1)</f>
        <v>49</v>
      </c>
      <c r="K216" t="str" cm="1">
        <f t="array" ref="K216">IFERROR(_xlfn.SWITCH(L216,2,_xlfn.XLOOKUP(C216,[1]ModifierDes!$B:$B,[1]ModifierDes!$C:$C),3,_xlfn.XLOOKUP(C216,[1]StuntDes!$B:$B,[1]StuntDes!$C:$C)),"")</f>
        <v/>
      </c>
      <c r="L216">
        <f t="shared" si="18"/>
        <v>1</v>
      </c>
      <c r="M216" s="10" t="str">
        <f>IFERROR(_xlfn.XLOOKUP(C216,[1]StuntDes!$B:$B,[1]StuntDes!$A:$A),"")</f>
        <v/>
      </c>
      <c r="N216" s="10" t="str">
        <f>IFERROR(_xlfn.XLOOKUP(C216,[1]ModifierDes!$B:$B,[1]ModifierDes!$A:$A),"")</f>
        <v/>
      </c>
      <c r="O216" s="10">
        <f>IFERROR(_xlfn.XLOOKUP(C216,[1]AttributeName!$C:$C,[1]AttributeName!$B:$B),"")</f>
        <v>11009</v>
      </c>
      <c r="P216" s="10"/>
      <c r="Q216">
        <v>0.51</v>
      </c>
      <c r="R216">
        <v>0.6</v>
      </c>
      <c r="S216" cm="1">
        <f t="array" ref="S216">IFERROR(_xlfn.SWITCH(L216,1,_xlfn.XLOOKUP(O216,[1]AttributeName!$B:$B,[1]AttributeName!$D:$D),2,_xlfn.XLOOKUP(C216,#REF!,#REF!),3,_xlfn.XLOOKUP(C216,#REF!,#REF!)),0)</f>
        <v>2</v>
      </c>
      <c r="T216" cm="1">
        <f t="array" ref="T216">IFERROR(_xlfn.SWITCH(L216,1,_xlfn.XLOOKUP(O216,[1]AttributeName!$B:$B,[1]AttributeName!$E:$E),2,_xlfn.XLOOKUP(C216,#REF!,#REF!),3,_xlfn.XLOOKUP(C216,#REF!,#REF!)),0)</f>
        <v>2</v>
      </c>
    </row>
    <row r="217" customFormat="1" spans="1:20">
      <c r="A217">
        <f t="shared" si="19"/>
        <v>69</v>
      </c>
      <c r="B217">
        <v>4</v>
      </c>
      <c r="C217" t="s">
        <v>409</v>
      </c>
      <c r="D217" t="s">
        <v>22</v>
      </c>
      <c r="E217" s="13" t="s">
        <v>392</v>
      </c>
      <c r="F217"/>
      <c r="G217">
        <v>2</v>
      </c>
      <c r="H217">
        <v>1000</v>
      </c>
      <c r="J217" cm="1">
        <f t="array" ref="J217">_xlfn.SWITCH(B217,1,75,2,61,3,49,4,37,5,25,6,13,7,4,8,1)</f>
        <v>37</v>
      </c>
      <c r="K217" t="str" cm="1">
        <f t="array" ref="K217">IFERROR(_xlfn.SWITCH(L217,2,_xlfn.XLOOKUP(C217,[1]ModifierDes!$B:$B,[1]ModifierDes!$C:$C),3,_xlfn.XLOOKUP(C217,[1]StuntDes!$B:$B,[1]StuntDes!$C:$C)),"")</f>
        <v/>
      </c>
      <c r="L217">
        <f t="shared" si="18"/>
        <v>1</v>
      </c>
      <c r="M217" s="10" t="str">
        <f>IFERROR(_xlfn.XLOOKUP(C217,[1]StuntDes!$B:$B,[1]StuntDes!$A:$A),"")</f>
        <v/>
      </c>
      <c r="N217" s="10" t="str">
        <f>IFERROR(_xlfn.XLOOKUP(C217,[1]ModifierDes!$B:$B,[1]ModifierDes!$A:$A),"")</f>
        <v/>
      </c>
      <c r="O217" s="10">
        <f>IFERROR(_xlfn.XLOOKUP(C217,[1]AttributeName!$C:$C,[1]AttributeName!$B:$B),"")</f>
        <v>11009</v>
      </c>
      <c r="P217" s="10"/>
      <c r="Q217">
        <v>0.41</v>
      </c>
      <c r="R217">
        <v>0.5</v>
      </c>
      <c r="S217" cm="1">
        <f t="array" ref="S217">IFERROR(_xlfn.SWITCH(L217,1,_xlfn.XLOOKUP(O217,[1]AttributeName!$B:$B,[1]AttributeName!$D:$D),2,_xlfn.XLOOKUP(C217,#REF!,#REF!),3,_xlfn.XLOOKUP(C217,#REF!,#REF!)),0)</f>
        <v>2</v>
      </c>
      <c r="T217" cm="1">
        <f t="array" ref="T217">IFERROR(_xlfn.SWITCH(L217,1,_xlfn.XLOOKUP(O217,[1]AttributeName!$B:$B,[1]AttributeName!$E:$E),2,_xlfn.XLOOKUP(C217,#REF!,#REF!),3,_xlfn.XLOOKUP(C217,#REF!,#REF!)),0)</f>
        <v>2</v>
      </c>
    </row>
    <row r="218" customFormat="1" spans="1:20">
      <c r="A218">
        <f t="shared" si="19"/>
        <v>69</v>
      </c>
      <c r="B218">
        <v>5</v>
      </c>
      <c r="C218" t="s">
        <v>409</v>
      </c>
      <c r="D218" t="s">
        <v>22</v>
      </c>
      <c r="E218" s="13" t="s">
        <v>392</v>
      </c>
      <c r="F218"/>
      <c r="G218">
        <v>2</v>
      </c>
      <c r="H218">
        <v>1000</v>
      </c>
      <c r="J218" cm="1">
        <f t="array" ref="J218">_xlfn.SWITCH(B218,1,75,2,61,3,49,4,37,5,25,6,13,7,4,8,1)</f>
        <v>25</v>
      </c>
      <c r="K218" t="str" cm="1">
        <f t="array" ref="K218">IFERROR(_xlfn.SWITCH(L218,2,_xlfn.XLOOKUP(C218,[1]ModifierDes!$B:$B,[1]ModifierDes!$C:$C),3,_xlfn.XLOOKUP(C218,[1]StuntDes!$B:$B,[1]StuntDes!$C:$C)),"")</f>
        <v/>
      </c>
      <c r="L218">
        <f t="shared" si="18"/>
        <v>1</v>
      </c>
      <c r="M218" s="10" t="str">
        <f>IFERROR(_xlfn.XLOOKUP(C218,[1]StuntDes!$B:$B,[1]StuntDes!$A:$A),"")</f>
        <v/>
      </c>
      <c r="N218" s="10" t="str">
        <f>IFERROR(_xlfn.XLOOKUP(C218,[1]ModifierDes!$B:$B,[1]ModifierDes!$A:$A),"")</f>
        <v/>
      </c>
      <c r="O218" s="10">
        <f>IFERROR(_xlfn.XLOOKUP(C218,[1]AttributeName!$C:$C,[1]AttributeName!$B:$B),"")</f>
        <v>11009</v>
      </c>
      <c r="P218" s="10"/>
      <c r="Q218">
        <v>0.31</v>
      </c>
      <c r="R218">
        <v>0.4</v>
      </c>
      <c r="S218" cm="1">
        <f t="array" ref="S218">IFERROR(_xlfn.SWITCH(L218,1,_xlfn.XLOOKUP(O218,[1]AttributeName!$B:$B,[1]AttributeName!$D:$D),2,_xlfn.XLOOKUP(C218,#REF!,#REF!),3,_xlfn.XLOOKUP(C218,#REF!,#REF!)),0)</f>
        <v>2</v>
      </c>
      <c r="T218" cm="1">
        <f t="array" ref="T218">IFERROR(_xlfn.SWITCH(L218,1,_xlfn.XLOOKUP(O218,[1]AttributeName!$B:$B,[1]AttributeName!$E:$E),2,_xlfn.XLOOKUP(C218,#REF!,#REF!),3,_xlfn.XLOOKUP(C218,#REF!,#REF!)),0)</f>
        <v>2</v>
      </c>
    </row>
    <row r="219" customFormat="1" spans="1:20">
      <c r="A219">
        <f t="shared" si="19"/>
        <v>69</v>
      </c>
      <c r="B219">
        <v>6</v>
      </c>
      <c r="C219" t="s">
        <v>409</v>
      </c>
      <c r="D219" t="s">
        <v>22</v>
      </c>
      <c r="E219" s="13" t="s">
        <v>392</v>
      </c>
      <c r="F219"/>
      <c r="G219">
        <v>2</v>
      </c>
      <c r="H219">
        <v>1000</v>
      </c>
      <c r="J219" cm="1">
        <f t="array" ref="J219">_xlfn.SWITCH(B219,1,75,2,61,3,49,4,37,5,25,6,13,7,4,8,1)</f>
        <v>13</v>
      </c>
      <c r="K219" t="str" cm="1">
        <f t="array" ref="K219">IFERROR(_xlfn.SWITCH(L219,2,_xlfn.XLOOKUP(C219,[1]ModifierDes!$B:$B,[1]ModifierDes!$C:$C),3,_xlfn.XLOOKUP(C219,[1]StuntDes!$B:$B,[1]StuntDes!$C:$C)),"")</f>
        <v/>
      </c>
      <c r="L219">
        <f t="shared" si="18"/>
        <v>1</v>
      </c>
      <c r="M219" s="10" t="str">
        <f>IFERROR(_xlfn.XLOOKUP(C219,[1]StuntDes!$B:$B,[1]StuntDes!$A:$A),"")</f>
        <v/>
      </c>
      <c r="N219" s="10" t="str">
        <f>IFERROR(_xlfn.XLOOKUP(C219,[1]ModifierDes!$B:$B,[1]ModifierDes!$A:$A),"")</f>
        <v/>
      </c>
      <c r="O219" s="10">
        <f>IFERROR(_xlfn.XLOOKUP(C219,[1]AttributeName!$C:$C,[1]AttributeName!$B:$B),"")</f>
        <v>11009</v>
      </c>
      <c r="P219" s="10"/>
      <c r="Q219">
        <v>0.21</v>
      </c>
      <c r="R219">
        <v>0.3</v>
      </c>
      <c r="S219" cm="1">
        <f t="array" ref="S219">IFERROR(_xlfn.SWITCH(L219,1,_xlfn.XLOOKUP(O219,[1]AttributeName!$B:$B,[1]AttributeName!$D:$D),2,_xlfn.XLOOKUP(C219,#REF!,#REF!),3,_xlfn.XLOOKUP(C219,#REF!,#REF!)),0)</f>
        <v>2</v>
      </c>
      <c r="T219" cm="1">
        <f t="array" ref="T219">IFERROR(_xlfn.SWITCH(L219,1,_xlfn.XLOOKUP(O219,[1]AttributeName!$B:$B,[1]AttributeName!$E:$E),2,_xlfn.XLOOKUP(C219,#REF!,#REF!),3,_xlfn.XLOOKUP(C219,#REF!,#REF!)),0)</f>
        <v>2</v>
      </c>
    </row>
    <row r="220" customFormat="1" spans="1:20">
      <c r="A220">
        <f t="shared" si="19"/>
        <v>69</v>
      </c>
      <c r="B220">
        <v>7</v>
      </c>
      <c r="C220" t="s">
        <v>409</v>
      </c>
      <c r="D220" t="s">
        <v>22</v>
      </c>
      <c r="E220" s="13" t="s">
        <v>392</v>
      </c>
      <c r="F220"/>
      <c r="G220">
        <v>2</v>
      </c>
      <c r="H220">
        <v>1000</v>
      </c>
      <c r="J220" cm="1">
        <f t="array" ref="J220">_xlfn.SWITCH(B220,1,75,2,61,3,49,4,37,5,25,6,13,7,4,8,1)</f>
        <v>4</v>
      </c>
      <c r="K220" t="str" cm="1">
        <f t="array" ref="K220">IFERROR(_xlfn.SWITCH(L220,2,_xlfn.XLOOKUP(C220,[1]ModifierDes!$B:$B,[1]ModifierDes!$C:$C),3,_xlfn.XLOOKUP(C220,[1]StuntDes!$B:$B,[1]StuntDes!$C:$C)),"")</f>
        <v/>
      </c>
      <c r="L220">
        <f t="shared" si="18"/>
        <v>1</v>
      </c>
      <c r="M220" s="10" t="str">
        <f>IFERROR(_xlfn.XLOOKUP(C220,[1]StuntDes!$B:$B,[1]StuntDes!$A:$A),"")</f>
        <v/>
      </c>
      <c r="N220" s="10" t="str">
        <f>IFERROR(_xlfn.XLOOKUP(C220,[1]ModifierDes!$B:$B,[1]ModifierDes!$A:$A),"")</f>
        <v/>
      </c>
      <c r="O220" s="10">
        <f>IFERROR(_xlfn.XLOOKUP(C220,[1]AttributeName!$C:$C,[1]AttributeName!$B:$B),"")</f>
        <v>11009</v>
      </c>
      <c r="P220" s="10"/>
      <c r="Q220">
        <v>0.11</v>
      </c>
      <c r="R220">
        <v>0.2</v>
      </c>
      <c r="S220" cm="1">
        <f t="array" ref="S220">IFERROR(_xlfn.SWITCH(L220,1,_xlfn.XLOOKUP(O220,[1]AttributeName!$B:$B,[1]AttributeName!$D:$D),2,_xlfn.XLOOKUP(C220,#REF!,#REF!),3,_xlfn.XLOOKUP(C220,#REF!,#REF!)),0)</f>
        <v>2</v>
      </c>
      <c r="T220" cm="1">
        <f t="array" ref="T220">IFERROR(_xlfn.SWITCH(L220,1,_xlfn.XLOOKUP(O220,[1]AttributeName!$B:$B,[1]AttributeName!$E:$E),2,_xlfn.XLOOKUP(C220,#REF!,#REF!),3,_xlfn.XLOOKUP(C220,#REF!,#REF!)),0)</f>
        <v>2</v>
      </c>
    </row>
    <row r="221" customFormat="1" spans="1:20">
      <c r="A221">
        <f t="shared" si="19"/>
        <v>69</v>
      </c>
      <c r="B221">
        <v>8</v>
      </c>
      <c r="C221" t="s">
        <v>409</v>
      </c>
      <c r="D221" t="s">
        <v>22</v>
      </c>
      <c r="E221" s="13" t="s">
        <v>392</v>
      </c>
      <c r="F221"/>
      <c r="G221">
        <v>2</v>
      </c>
      <c r="H221">
        <v>1000</v>
      </c>
      <c r="J221" cm="1">
        <f t="array" ref="J221">_xlfn.SWITCH(B221,1,75,2,61,3,49,4,37,5,25,6,13,7,4,8,1)</f>
        <v>1</v>
      </c>
      <c r="K221" t="str" cm="1">
        <f t="array" ref="K221">IFERROR(_xlfn.SWITCH(L221,2,_xlfn.XLOOKUP(C221,[1]ModifierDes!$B:$B,[1]ModifierDes!$C:$C),3,_xlfn.XLOOKUP(C221,[1]StuntDes!$B:$B,[1]StuntDes!$C:$C)),"")</f>
        <v/>
      </c>
      <c r="L221">
        <f t="shared" si="18"/>
        <v>1</v>
      </c>
      <c r="M221" s="10" t="str">
        <f>IFERROR(_xlfn.XLOOKUP(C221,[1]StuntDes!$B:$B,[1]StuntDes!$A:$A),"")</f>
        <v/>
      </c>
      <c r="N221" s="10" t="str">
        <f>IFERROR(_xlfn.XLOOKUP(C221,[1]ModifierDes!$B:$B,[1]ModifierDes!$A:$A),"")</f>
        <v/>
      </c>
      <c r="O221" s="10">
        <f>IFERROR(_xlfn.XLOOKUP(C221,[1]AttributeName!$C:$C,[1]AttributeName!$B:$B),"")</f>
        <v>11009</v>
      </c>
      <c r="P221" s="10"/>
      <c r="Q221">
        <v>0.0100000000000001</v>
      </c>
      <c r="R221">
        <v>0.0999999999999994</v>
      </c>
      <c r="S221" cm="1">
        <f t="array" ref="S221">IFERROR(_xlfn.SWITCH(L221,1,_xlfn.XLOOKUP(O221,[1]AttributeName!$B:$B,[1]AttributeName!$D:$D),2,_xlfn.XLOOKUP(C221,#REF!,#REF!),3,_xlfn.XLOOKUP(C221,#REF!,#REF!)),0)</f>
        <v>2</v>
      </c>
      <c r="T221" cm="1">
        <f t="array" ref="T221">IFERROR(_xlfn.SWITCH(L221,1,_xlfn.XLOOKUP(O221,[1]AttributeName!$B:$B,[1]AttributeName!$E:$E),2,_xlfn.XLOOKUP(C221,#REF!,#REF!),3,_xlfn.XLOOKUP(C221,#REF!,#REF!)),0)</f>
        <v>2</v>
      </c>
    </row>
    <row r="222" customFormat="1" spans="1:20">
      <c r="A222">
        <f t="shared" si="19"/>
        <v>70</v>
      </c>
      <c r="B222">
        <v>1</v>
      </c>
      <c r="C222" t="s">
        <v>410</v>
      </c>
      <c r="D222" t="s">
        <v>22</v>
      </c>
      <c r="E222" s="13" t="s">
        <v>392</v>
      </c>
      <c r="F222"/>
      <c r="G222">
        <v>2</v>
      </c>
      <c r="H222">
        <v>500</v>
      </c>
      <c r="J222" cm="1">
        <f t="array" ref="J222">_xlfn.SWITCH(B222,1,75,2,61,3,49,4,37,5,25,6,13,7,4,8,1)</f>
        <v>75</v>
      </c>
      <c r="K222" t="str" cm="1">
        <f t="array" ref="K222">IFERROR(_xlfn.SWITCH(L222,2,_xlfn.XLOOKUP(C222,[1]ModifierDes!$B:$B,[1]ModifierDes!$C:$C),3,_xlfn.XLOOKUP(C222,[1]StuntDes!$B:$B,[1]StuntDes!$C:$C)),"")</f>
        <v/>
      </c>
      <c r="L222">
        <f t="shared" si="18"/>
        <v>1</v>
      </c>
      <c r="M222" s="10" t="str">
        <f>IFERROR(_xlfn.XLOOKUP(C222,[1]StuntDes!$B:$B,[1]StuntDes!$A:$A),"")</f>
        <v/>
      </c>
      <c r="N222" s="10" t="str">
        <f>IFERROR(_xlfn.XLOOKUP(C222,[1]ModifierDes!$B:$B,[1]ModifierDes!$A:$A),"")</f>
        <v/>
      </c>
      <c r="O222" s="10">
        <f>IFERROR(_xlfn.XLOOKUP(C222,[1]AttributeName!$C:$C,[1]AttributeName!$B:$B),"")</f>
        <v>10803</v>
      </c>
      <c r="P222" s="10"/>
      <c r="Q222">
        <v>0.71</v>
      </c>
      <c r="R222">
        <v>0.8</v>
      </c>
      <c r="S222" cm="1">
        <f t="array" ref="S222">IFERROR(_xlfn.SWITCH(L222,1,_xlfn.XLOOKUP(O222,[1]AttributeName!$B:$B,[1]AttributeName!$D:$D),2,_xlfn.XLOOKUP(C222,#REF!,#REF!),3,_xlfn.XLOOKUP(C222,#REF!,#REF!)),0)</f>
        <v>2</v>
      </c>
      <c r="T222" cm="1">
        <f t="array" ref="T222">IFERROR(_xlfn.SWITCH(L222,1,_xlfn.XLOOKUP(O222,[1]AttributeName!$B:$B,[1]AttributeName!$E:$E),2,_xlfn.XLOOKUP(C222,#REF!,#REF!),3,_xlfn.XLOOKUP(C222,#REF!,#REF!)),0)</f>
        <v>2</v>
      </c>
    </row>
    <row r="223" customFormat="1" spans="1:20">
      <c r="A223">
        <f t="shared" si="19"/>
        <v>70</v>
      </c>
      <c r="B223">
        <v>2</v>
      </c>
      <c r="C223" t="s">
        <v>410</v>
      </c>
      <c r="D223" t="s">
        <v>22</v>
      </c>
      <c r="E223" s="13" t="s">
        <v>392</v>
      </c>
      <c r="F223"/>
      <c r="G223">
        <v>2</v>
      </c>
      <c r="H223">
        <v>500</v>
      </c>
      <c r="J223" cm="1">
        <f t="array" ref="J223">_xlfn.SWITCH(B223,1,75,2,61,3,49,4,37,5,25,6,13,7,4,8,1)</f>
        <v>61</v>
      </c>
      <c r="K223" t="str" cm="1">
        <f t="array" ref="K223">IFERROR(_xlfn.SWITCH(L223,2,_xlfn.XLOOKUP(C223,[1]ModifierDes!$B:$B,[1]ModifierDes!$C:$C),3,_xlfn.XLOOKUP(C223,[1]StuntDes!$B:$B,[1]StuntDes!$C:$C)),"")</f>
        <v/>
      </c>
      <c r="L223">
        <f t="shared" si="18"/>
        <v>1</v>
      </c>
      <c r="M223" s="10" t="str">
        <f>IFERROR(_xlfn.XLOOKUP(C223,[1]StuntDes!$B:$B,[1]StuntDes!$A:$A),"")</f>
        <v/>
      </c>
      <c r="N223" s="10" t="str">
        <f>IFERROR(_xlfn.XLOOKUP(C223,[1]ModifierDes!$B:$B,[1]ModifierDes!$A:$A),"")</f>
        <v/>
      </c>
      <c r="O223" s="10">
        <f>IFERROR(_xlfn.XLOOKUP(C223,[1]AttributeName!$C:$C,[1]AttributeName!$B:$B),"")</f>
        <v>10803</v>
      </c>
      <c r="P223" s="10"/>
      <c r="Q223">
        <v>0.61</v>
      </c>
      <c r="R223">
        <v>0.7</v>
      </c>
      <c r="S223" cm="1">
        <f t="array" ref="S223">IFERROR(_xlfn.SWITCH(L223,1,_xlfn.XLOOKUP(O223,[1]AttributeName!$B:$B,[1]AttributeName!$D:$D),2,_xlfn.XLOOKUP(C223,#REF!,#REF!),3,_xlfn.XLOOKUP(C223,#REF!,#REF!)),0)</f>
        <v>2</v>
      </c>
      <c r="T223" cm="1">
        <f t="array" ref="T223">IFERROR(_xlfn.SWITCH(L223,1,_xlfn.XLOOKUP(O223,[1]AttributeName!$B:$B,[1]AttributeName!$E:$E),2,_xlfn.XLOOKUP(C223,#REF!,#REF!),3,_xlfn.XLOOKUP(C223,#REF!,#REF!)),0)</f>
        <v>2</v>
      </c>
    </row>
    <row r="224" customFormat="1" spans="1:20">
      <c r="A224">
        <f t="shared" si="19"/>
        <v>70</v>
      </c>
      <c r="B224">
        <v>3</v>
      </c>
      <c r="C224" t="s">
        <v>410</v>
      </c>
      <c r="D224" t="s">
        <v>22</v>
      </c>
      <c r="E224" s="13" t="s">
        <v>392</v>
      </c>
      <c r="F224"/>
      <c r="G224">
        <v>2</v>
      </c>
      <c r="H224">
        <v>1000</v>
      </c>
      <c r="J224" cm="1">
        <f t="array" ref="J224">_xlfn.SWITCH(B224,1,75,2,61,3,49,4,37,5,25,6,13,7,4,8,1)</f>
        <v>49</v>
      </c>
      <c r="K224" t="str" cm="1">
        <f t="array" ref="K224">IFERROR(_xlfn.SWITCH(L224,2,_xlfn.XLOOKUP(C224,[1]ModifierDes!$B:$B,[1]ModifierDes!$C:$C),3,_xlfn.XLOOKUP(C224,[1]StuntDes!$B:$B,[1]StuntDes!$C:$C)),"")</f>
        <v/>
      </c>
      <c r="L224">
        <f t="shared" si="18"/>
        <v>1</v>
      </c>
      <c r="M224" s="10" t="str">
        <f>IFERROR(_xlfn.XLOOKUP(C224,[1]StuntDes!$B:$B,[1]StuntDes!$A:$A),"")</f>
        <v/>
      </c>
      <c r="N224" s="10" t="str">
        <f>IFERROR(_xlfn.XLOOKUP(C224,[1]ModifierDes!$B:$B,[1]ModifierDes!$A:$A),"")</f>
        <v/>
      </c>
      <c r="O224" s="10">
        <f>IFERROR(_xlfn.XLOOKUP(C224,[1]AttributeName!$C:$C,[1]AttributeName!$B:$B),"")</f>
        <v>10803</v>
      </c>
      <c r="P224" s="10"/>
      <c r="Q224">
        <v>0.51</v>
      </c>
      <c r="R224">
        <v>0.6</v>
      </c>
      <c r="S224" cm="1">
        <f t="array" ref="S224">IFERROR(_xlfn.SWITCH(L224,1,_xlfn.XLOOKUP(O224,[1]AttributeName!$B:$B,[1]AttributeName!$D:$D),2,_xlfn.XLOOKUP(C224,#REF!,#REF!),3,_xlfn.XLOOKUP(C224,#REF!,#REF!)),0)</f>
        <v>2</v>
      </c>
      <c r="T224" cm="1">
        <f t="array" ref="T224">IFERROR(_xlfn.SWITCH(L224,1,_xlfn.XLOOKUP(O224,[1]AttributeName!$B:$B,[1]AttributeName!$E:$E),2,_xlfn.XLOOKUP(C224,#REF!,#REF!),3,_xlfn.XLOOKUP(C224,#REF!,#REF!)),0)</f>
        <v>2</v>
      </c>
    </row>
    <row r="225" customFormat="1" spans="1:20">
      <c r="A225">
        <f t="shared" si="19"/>
        <v>70</v>
      </c>
      <c r="B225">
        <v>4</v>
      </c>
      <c r="C225" t="s">
        <v>410</v>
      </c>
      <c r="D225" t="s">
        <v>22</v>
      </c>
      <c r="E225" s="13" t="s">
        <v>392</v>
      </c>
      <c r="F225"/>
      <c r="G225">
        <v>2</v>
      </c>
      <c r="H225">
        <v>1000</v>
      </c>
      <c r="J225" cm="1">
        <f t="array" ref="J225">_xlfn.SWITCH(B225,1,75,2,61,3,49,4,37,5,25,6,13,7,4,8,1)</f>
        <v>37</v>
      </c>
      <c r="K225" t="str" cm="1">
        <f t="array" ref="K225">IFERROR(_xlfn.SWITCH(L225,2,_xlfn.XLOOKUP(C225,[1]ModifierDes!$B:$B,[1]ModifierDes!$C:$C),3,_xlfn.XLOOKUP(C225,[1]StuntDes!$B:$B,[1]StuntDes!$C:$C)),"")</f>
        <v/>
      </c>
      <c r="L225">
        <f t="shared" si="18"/>
        <v>1</v>
      </c>
      <c r="M225" s="10" t="str">
        <f>IFERROR(_xlfn.XLOOKUP(C225,[1]StuntDes!$B:$B,[1]StuntDes!$A:$A),"")</f>
        <v/>
      </c>
      <c r="N225" s="10" t="str">
        <f>IFERROR(_xlfn.XLOOKUP(C225,[1]ModifierDes!$B:$B,[1]ModifierDes!$A:$A),"")</f>
        <v/>
      </c>
      <c r="O225" s="10">
        <f>IFERROR(_xlfn.XLOOKUP(C225,[1]AttributeName!$C:$C,[1]AttributeName!$B:$B),"")</f>
        <v>10803</v>
      </c>
      <c r="P225" s="10"/>
      <c r="Q225">
        <v>0.41</v>
      </c>
      <c r="R225">
        <v>0.5</v>
      </c>
      <c r="S225" cm="1">
        <f t="array" ref="S225">IFERROR(_xlfn.SWITCH(L225,1,_xlfn.XLOOKUP(O225,[1]AttributeName!$B:$B,[1]AttributeName!$D:$D),2,_xlfn.XLOOKUP(C225,#REF!,#REF!),3,_xlfn.XLOOKUP(C225,#REF!,#REF!)),0)</f>
        <v>2</v>
      </c>
      <c r="T225" cm="1">
        <f t="array" ref="T225">IFERROR(_xlfn.SWITCH(L225,1,_xlfn.XLOOKUP(O225,[1]AttributeName!$B:$B,[1]AttributeName!$E:$E),2,_xlfn.XLOOKUP(C225,#REF!,#REF!),3,_xlfn.XLOOKUP(C225,#REF!,#REF!)),0)</f>
        <v>2</v>
      </c>
    </row>
    <row r="226" customFormat="1" spans="1:20">
      <c r="A226">
        <f t="shared" si="19"/>
        <v>70</v>
      </c>
      <c r="B226">
        <v>5</v>
      </c>
      <c r="C226" t="s">
        <v>410</v>
      </c>
      <c r="D226" t="s">
        <v>22</v>
      </c>
      <c r="E226" s="13" t="s">
        <v>392</v>
      </c>
      <c r="F226"/>
      <c r="G226">
        <v>2</v>
      </c>
      <c r="H226">
        <v>1000</v>
      </c>
      <c r="J226" cm="1">
        <f t="array" ref="J226">_xlfn.SWITCH(B226,1,75,2,61,3,49,4,37,5,25,6,13,7,4,8,1)</f>
        <v>25</v>
      </c>
      <c r="K226" t="str" cm="1">
        <f t="array" ref="K226">IFERROR(_xlfn.SWITCH(L226,2,_xlfn.XLOOKUP(C226,[1]ModifierDes!$B:$B,[1]ModifierDes!$C:$C),3,_xlfn.XLOOKUP(C226,[1]StuntDes!$B:$B,[1]StuntDes!$C:$C)),"")</f>
        <v/>
      </c>
      <c r="L226">
        <f t="shared" si="18"/>
        <v>1</v>
      </c>
      <c r="M226" s="10" t="str">
        <f>IFERROR(_xlfn.XLOOKUP(C226,[1]StuntDes!$B:$B,[1]StuntDes!$A:$A),"")</f>
        <v/>
      </c>
      <c r="N226" s="10" t="str">
        <f>IFERROR(_xlfn.XLOOKUP(C226,[1]ModifierDes!$B:$B,[1]ModifierDes!$A:$A),"")</f>
        <v/>
      </c>
      <c r="O226" s="10">
        <f>IFERROR(_xlfn.XLOOKUP(C226,[1]AttributeName!$C:$C,[1]AttributeName!$B:$B),"")</f>
        <v>10803</v>
      </c>
      <c r="P226" s="10"/>
      <c r="Q226">
        <v>0.31</v>
      </c>
      <c r="R226">
        <v>0.4</v>
      </c>
      <c r="S226" cm="1">
        <f t="array" ref="S226">IFERROR(_xlfn.SWITCH(L226,1,_xlfn.XLOOKUP(O226,[1]AttributeName!$B:$B,[1]AttributeName!$D:$D),2,_xlfn.XLOOKUP(C226,#REF!,#REF!),3,_xlfn.XLOOKUP(C226,#REF!,#REF!)),0)</f>
        <v>2</v>
      </c>
      <c r="T226" cm="1">
        <f t="array" ref="T226">IFERROR(_xlfn.SWITCH(L226,1,_xlfn.XLOOKUP(O226,[1]AttributeName!$B:$B,[1]AttributeName!$E:$E),2,_xlfn.XLOOKUP(C226,#REF!,#REF!),3,_xlfn.XLOOKUP(C226,#REF!,#REF!)),0)</f>
        <v>2</v>
      </c>
    </row>
    <row r="227" customFormat="1" spans="1:20">
      <c r="A227">
        <f t="shared" si="19"/>
        <v>70</v>
      </c>
      <c r="B227">
        <v>6</v>
      </c>
      <c r="C227" t="s">
        <v>410</v>
      </c>
      <c r="D227" t="s">
        <v>22</v>
      </c>
      <c r="E227" s="13" t="s">
        <v>392</v>
      </c>
      <c r="F227"/>
      <c r="G227">
        <v>2</v>
      </c>
      <c r="H227">
        <v>1000</v>
      </c>
      <c r="J227" cm="1">
        <f t="array" ref="J227">_xlfn.SWITCH(B227,1,75,2,61,3,49,4,37,5,25,6,13,7,4,8,1)</f>
        <v>13</v>
      </c>
      <c r="K227" t="str" cm="1">
        <f t="array" ref="K227">IFERROR(_xlfn.SWITCH(L227,2,_xlfn.XLOOKUP(C227,[1]ModifierDes!$B:$B,[1]ModifierDes!$C:$C),3,_xlfn.XLOOKUP(C227,[1]StuntDes!$B:$B,[1]StuntDes!$C:$C)),"")</f>
        <v/>
      </c>
      <c r="L227">
        <f t="shared" si="18"/>
        <v>1</v>
      </c>
      <c r="M227" s="10" t="str">
        <f>IFERROR(_xlfn.XLOOKUP(C227,[1]StuntDes!$B:$B,[1]StuntDes!$A:$A),"")</f>
        <v/>
      </c>
      <c r="N227" s="10" t="str">
        <f>IFERROR(_xlfn.XLOOKUP(C227,[1]ModifierDes!$B:$B,[1]ModifierDes!$A:$A),"")</f>
        <v/>
      </c>
      <c r="O227" s="10">
        <f>IFERROR(_xlfn.XLOOKUP(C227,[1]AttributeName!$C:$C,[1]AttributeName!$B:$B),"")</f>
        <v>10803</v>
      </c>
      <c r="P227" s="10"/>
      <c r="Q227">
        <v>0.21</v>
      </c>
      <c r="R227">
        <v>0.3</v>
      </c>
      <c r="S227" cm="1">
        <f t="array" ref="S227">IFERROR(_xlfn.SWITCH(L227,1,_xlfn.XLOOKUP(O227,[1]AttributeName!$B:$B,[1]AttributeName!$D:$D),2,_xlfn.XLOOKUP(C227,#REF!,#REF!),3,_xlfn.XLOOKUP(C227,#REF!,#REF!)),0)</f>
        <v>2</v>
      </c>
      <c r="T227" cm="1">
        <f t="array" ref="T227">IFERROR(_xlfn.SWITCH(L227,1,_xlfn.XLOOKUP(O227,[1]AttributeName!$B:$B,[1]AttributeName!$E:$E),2,_xlfn.XLOOKUP(C227,#REF!,#REF!),3,_xlfn.XLOOKUP(C227,#REF!,#REF!)),0)</f>
        <v>2</v>
      </c>
    </row>
    <row r="228" customFormat="1" spans="1:20">
      <c r="A228">
        <f t="shared" si="19"/>
        <v>70</v>
      </c>
      <c r="B228">
        <v>7</v>
      </c>
      <c r="C228" t="s">
        <v>410</v>
      </c>
      <c r="D228" t="s">
        <v>22</v>
      </c>
      <c r="E228" s="13" t="s">
        <v>392</v>
      </c>
      <c r="F228"/>
      <c r="G228">
        <v>2</v>
      </c>
      <c r="H228">
        <v>1000</v>
      </c>
      <c r="J228" cm="1">
        <f t="array" ref="J228">_xlfn.SWITCH(B228,1,75,2,61,3,49,4,37,5,25,6,13,7,4,8,1)</f>
        <v>4</v>
      </c>
      <c r="K228" t="str" cm="1">
        <f t="array" ref="K228">IFERROR(_xlfn.SWITCH(L228,2,_xlfn.XLOOKUP(C228,[1]ModifierDes!$B:$B,[1]ModifierDes!$C:$C),3,_xlfn.XLOOKUP(C228,[1]StuntDes!$B:$B,[1]StuntDes!$C:$C)),"")</f>
        <v/>
      </c>
      <c r="L228">
        <f t="shared" si="18"/>
        <v>1</v>
      </c>
      <c r="M228" s="10" t="str">
        <f>IFERROR(_xlfn.XLOOKUP(C228,[1]StuntDes!$B:$B,[1]StuntDes!$A:$A),"")</f>
        <v/>
      </c>
      <c r="N228" s="10" t="str">
        <f>IFERROR(_xlfn.XLOOKUP(C228,[1]ModifierDes!$B:$B,[1]ModifierDes!$A:$A),"")</f>
        <v/>
      </c>
      <c r="O228" s="10">
        <f>IFERROR(_xlfn.XLOOKUP(C228,[1]AttributeName!$C:$C,[1]AttributeName!$B:$B),"")</f>
        <v>10803</v>
      </c>
      <c r="P228" s="10"/>
      <c r="Q228">
        <v>0.11</v>
      </c>
      <c r="R228">
        <v>0.2</v>
      </c>
      <c r="S228" cm="1">
        <f t="array" ref="S228">IFERROR(_xlfn.SWITCH(L228,1,_xlfn.XLOOKUP(O228,[1]AttributeName!$B:$B,[1]AttributeName!$D:$D),2,_xlfn.XLOOKUP(C228,#REF!,#REF!),3,_xlfn.XLOOKUP(C228,#REF!,#REF!)),0)</f>
        <v>2</v>
      </c>
      <c r="T228" cm="1">
        <f t="array" ref="T228">IFERROR(_xlfn.SWITCH(L228,1,_xlfn.XLOOKUP(O228,[1]AttributeName!$B:$B,[1]AttributeName!$E:$E),2,_xlfn.XLOOKUP(C228,#REF!,#REF!),3,_xlfn.XLOOKUP(C228,#REF!,#REF!)),0)</f>
        <v>2</v>
      </c>
    </row>
    <row r="229" customFormat="1" spans="1:20">
      <c r="A229">
        <f t="shared" si="19"/>
        <v>70</v>
      </c>
      <c r="B229">
        <v>8</v>
      </c>
      <c r="C229" t="s">
        <v>410</v>
      </c>
      <c r="D229" t="s">
        <v>22</v>
      </c>
      <c r="E229" s="13" t="s">
        <v>392</v>
      </c>
      <c r="F229"/>
      <c r="G229">
        <v>2</v>
      </c>
      <c r="H229">
        <v>1000</v>
      </c>
      <c r="J229" cm="1">
        <f t="array" ref="J229">_xlfn.SWITCH(B229,1,75,2,61,3,49,4,37,5,25,6,13,7,4,8,1)</f>
        <v>1</v>
      </c>
      <c r="K229" t="str" cm="1">
        <f t="array" ref="K229">IFERROR(_xlfn.SWITCH(L229,2,_xlfn.XLOOKUP(C229,[1]ModifierDes!$B:$B,[1]ModifierDes!$C:$C),3,_xlfn.XLOOKUP(C229,[1]StuntDes!$B:$B,[1]StuntDes!$C:$C)),"")</f>
        <v/>
      </c>
      <c r="L229">
        <f t="shared" si="18"/>
        <v>1</v>
      </c>
      <c r="M229" s="10" t="str">
        <f>IFERROR(_xlfn.XLOOKUP(C229,[1]StuntDes!$B:$B,[1]StuntDes!$A:$A),"")</f>
        <v/>
      </c>
      <c r="N229" s="10" t="str">
        <f>IFERROR(_xlfn.XLOOKUP(C229,[1]ModifierDes!$B:$B,[1]ModifierDes!$A:$A),"")</f>
        <v/>
      </c>
      <c r="O229" s="10">
        <f>IFERROR(_xlfn.XLOOKUP(C229,[1]AttributeName!$C:$C,[1]AttributeName!$B:$B),"")</f>
        <v>10803</v>
      </c>
      <c r="P229" s="10"/>
      <c r="Q229">
        <v>0.0100000000000001</v>
      </c>
      <c r="R229">
        <v>0.0999999999999994</v>
      </c>
      <c r="S229" cm="1">
        <f t="array" ref="S229">IFERROR(_xlfn.SWITCH(L229,1,_xlfn.XLOOKUP(O229,[1]AttributeName!$B:$B,[1]AttributeName!$D:$D),2,_xlfn.XLOOKUP(C229,#REF!,#REF!),3,_xlfn.XLOOKUP(C229,#REF!,#REF!)),0)</f>
        <v>2</v>
      </c>
      <c r="T229" cm="1">
        <f t="array" ref="T229">IFERROR(_xlfn.SWITCH(L229,1,_xlfn.XLOOKUP(O229,[1]AttributeName!$B:$B,[1]AttributeName!$E:$E),2,_xlfn.XLOOKUP(C229,#REF!,#REF!),3,_xlfn.XLOOKUP(C229,#REF!,#REF!)),0)</f>
        <v>2</v>
      </c>
    </row>
    <row r="230" customFormat="1" spans="1:20">
      <c r="A230">
        <f t="shared" si="19"/>
        <v>71</v>
      </c>
      <c r="B230">
        <v>1</v>
      </c>
      <c r="C230" t="s">
        <v>411</v>
      </c>
      <c r="D230" t="s">
        <v>22</v>
      </c>
      <c r="E230" s="13" t="s">
        <v>392</v>
      </c>
      <c r="F230"/>
      <c r="G230">
        <v>2</v>
      </c>
      <c r="H230">
        <v>500</v>
      </c>
      <c r="J230" cm="1">
        <f t="array" ref="J230">_xlfn.SWITCH(B230,1,75,2,61,3,49,4,37,5,25,6,13,7,4,8,1)</f>
        <v>75</v>
      </c>
      <c r="K230" t="str" cm="1">
        <f t="array" ref="K230">IFERROR(_xlfn.SWITCH(L230,2,_xlfn.XLOOKUP(C230,[1]ModifierDes!$B:$B,[1]ModifierDes!$C:$C),3,_xlfn.XLOOKUP(C230,[1]StuntDes!$B:$B,[1]StuntDes!$C:$C)),"")</f>
        <v/>
      </c>
      <c r="L230">
        <f t="shared" si="18"/>
        <v>1</v>
      </c>
      <c r="M230" s="10" t="str">
        <f>IFERROR(_xlfn.XLOOKUP(C230,[1]StuntDes!$B:$B,[1]StuntDes!$A:$A),"")</f>
        <v/>
      </c>
      <c r="N230" s="10" t="str">
        <f>IFERROR(_xlfn.XLOOKUP(C230,[1]ModifierDes!$B:$B,[1]ModifierDes!$A:$A),"")</f>
        <v/>
      </c>
      <c r="O230" s="10">
        <f>IFERROR(_xlfn.XLOOKUP(C230,[1]AttributeName!$C:$C,[1]AttributeName!$B:$B),"")</f>
        <v>10804</v>
      </c>
      <c r="P230" s="10"/>
      <c r="Q230">
        <v>0.71</v>
      </c>
      <c r="R230">
        <v>0.8</v>
      </c>
      <c r="S230" cm="1">
        <f t="array" ref="S230">IFERROR(_xlfn.SWITCH(L230,1,_xlfn.XLOOKUP(O230,[1]AttributeName!$B:$B,[1]AttributeName!$D:$D),2,_xlfn.XLOOKUP(C230,#REF!,#REF!),3,_xlfn.XLOOKUP(C230,#REF!,#REF!)),0)</f>
        <v>2</v>
      </c>
      <c r="T230" cm="1">
        <f t="array" ref="T230">IFERROR(_xlfn.SWITCH(L230,1,_xlfn.XLOOKUP(O230,[1]AttributeName!$B:$B,[1]AttributeName!$E:$E),2,_xlfn.XLOOKUP(C230,#REF!,#REF!),3,_xlfn.XLOOKUP(C230,#REF!,#REF!)),0)</f>
        <v>2</v>
      </c>
    </row>
    <row r="231" customFormat="1" spans="1:20">
      <c r="A231">
        <f t="shared" si="19"/>
        <v>71</v>
      </c>
      <c r="B231">
        <v>2</v>
      </c>
      <c r="C231" t="s">
        <v>411</v>
      </c>
      <c r="D231" t="s">
        <v>22</v>
      </c>
      <c r="E231" s="13" t="s">
        <v>392</v>
      </c>
      <c r="F231"/>
      <c r="G231">
        <v>2</v>
      </c>
      <c r="H231">
        <v>500</v>
      </c>
      <c r="J231" cm="1">
        <f t="array" ref="J231">_xlfn.SWITCH(B231,1,75,2,61,3,49,4,37,5,25,6,13,7,4,8,1)</f>
        <v>61</v>
      </c>
      <c r="K231" t="str" cm="1">
        <f t="array" ref="K231">IFERROR(_xlfn.SWITCH(L231,2,_xlfn.XLOOKUP(C231,[1]ModifierDes!$B:$B,[1]ModifierDes!$C:$C),3,_xlfn.XLOOKUP(C231,[1]StuntDes!$B:$B,[1]StuntDes!$C:$C)),"")</f>
        <v/>
      </c>
      <c r="L231">
        <f t="shared" si="18"/>
        <v>1</v>
      </c>
      <c r="M231" s="10" t="str">
        <f>IFERROR(_xlfn.XLOOKUP(C231,[1]StuntDes!$B:$B,[1]StuntDes!$A:$A),"")</f>
        <v/>
      </c>
      <c r="N231" s="10" t="str">
        <f>IFERROR(_xlfn.XLOOKUP(C231,[1]ModifierDes!$B:$B,[1]ModifierDes!$A:$A),"")</f>
        <v/>
      </c>
      <c r="O231" s="10">
        <f>IFERROR(_xlfn.XLOOKUP(C231,[1]AttributeName!$C:$C,[1]AttributeName!$B:$B),"")</f>
        <v>10804</v>
      </c>
      <c r="P231" s="10"/>
      <c r="Q231">
        <v>0.61</v>
      </c>
      <c r="R231">
        <v>0.7</v>
      </c>
      <c r="S231" cm="1">
        <f t="array" ref="S231">IFERROR(_xlfn.SWITCH(L231,1,_xlfn.XLOOKUP(O231,[1]AttributeName!$B:$B,[1]AttributeName!$D:$D),2,_xlfn.XLOOKUP(C231,#REF!,#REF!),3,_xlfn.XLOOKUP(C231,#REF!,#REF!)),0)</f>
        <v>2</v>
      </c>
      <c r="T231" cm="1">
        <f t="array" ref="T231">IFERROR(_xlfn.SWITCH(L231,1,_xlfn.XLOOKUP(O231,[1]AttributeName!$B:$B,[1]AttributeName!$E:$E),2,_xlfn.XLOOKUP(C231,#REF!,#REF!),3,_xlfn.XLOOKUP(C231,#REF!,#REF!)),0)</f>
        <v>2</v>
      </c>
    </row>
    <row r="232" customFormat="1" spans="1:20">
      <c r="A232">
        <f t="shared" si="19"/>
        <v>71</v>
      </c>
      <c r="B232">
        <v>3</v>
      </c>
      <c r="C232" t="s">
        <v>411</v>
      </c>
      <c r="D232" t="s">
        <v>22</v>
      </c>
      <c r="E232" s="13" t="s">
        <v>392</v>
      </c>
      <c r="F232"/>
      <c r="G232">
        <v>2</v>
      </c>
      <c r="H232">
        <v>1000</v>
      </c>
      <c r="J232" cm="1">
        <f t="array" ref="J232">_xlfn.SWITCH(B232,1,75,2,61,3,49,4,37,5,25,6,13,7,4,8,1)</f>
        <v>49</v>
      </c>
      <c r="K232" t="str" cm="1">
        <f t="array" ref="K232">IFERROR(_xlfn.SWITCH(L232,2,_xlfn.XLOOKUP(C232,[1]ModifierDes!$B:$B,[1]ModifierDes!$C:$C),3,_xlfn.XLOOKUP(C232,[1]StuntDes!$B:$B,[1]StuntDes!$C:$C)),"")</f>
        <v/>
      </c>
      <c r="L232">
        <f t="shared" si="18"/>
        <v>1</v>
      </c>
      <c r="M232" s="10" t="str">
        <f>IFERROR(_xlfn.XLOOKUP(C232,[1]StuntDes!$B:$B,[1]StuntDes!$A:$A),"")</f>
        <v/>
      </c>
      <c r="N232" s="10" t="str">
        <f>IFERROR(_xlfn.XLOOKUP(C232,[1]ModifierDes!$B:$B,[1]ModifierDes!$A:$A),"")</f>
        <v/>
      </c>
      <c r="O232" s="10">
        <f>IFERROR(_xlfn.XLOOKUP(C232,[1]AttributeName!$C:$C,[1]AttributeName!$B:$B),"")</f>
        <v>10804</v>
      </c>
      <c r="P232" s="10"/>
      <c r="Q232">
        <v>0.51</v>
      </c>
      <c r="R232">
        <v>0.6</v>
      </c>
      <c r="S232" cm="1">
        <f t="array" ref="S232">IFERROR(_xlfn.SWITCH(L232,1,_xlfn.XLOOKUP(O232,[1]AttributeName!$B:$B,[1]AttributeName!$D:$D),2,_xlfn.XLOOKUP(C232,#REF!,#REF!),3,_xlfn.XLOOKUP(C232,#REF!,#REF!)),0)</f>
        <v>2</v>
      </c>
      <c r="T232" cm="1">
        <f t="array" ref="T232">IFERROR(_xlfn.SWITCH(L232,1,_xlfn.XLOOKUP(O232,[1]AttributeName!$B:$B,[1]AttributeName!$E:$E),2,_xlfn.XLOOKUP(C232,#REF!,#REF!),3,_xlfn.XLOOKUP(C232,#REF!,#REF!)),0)</f>
        <v>2</v>
      </c>
    </row>
    <row r="233" customFormat="1" spans="1:20">
      <c r="A233">
        <f t="shared" si="19"/>
        <v>71</v>
      </c>
      <c r="B233">
        <v>4</v>
      </c>
      <c r="C233" t="s">
        <v>411</v>
      </c>
      <c r="D233" t="s">
        <v>22</v>
      </c>
      <c r="E233" s="13" t="s">
        <v>392</v>
      </c>
      <c r="F233"/>
      <c r="G233">
        <v>2</v>
      </c>
      <c r="H233">
        <v>1000</v>
      </c>
      <c r="J233" cm="1">
        <f t="array" ref="J233">_xlfn.SWITCH(B233,1,75,2,61,3,49,4,37,5,25,6,13,7,4,8,1)</f>
        <v>37</v>
      </c>
      <c r="K233" t="str" cm="1">
        <f t="array" ref="K233">IFERROR(_xlfn.SWITCH(L233,2,_xlfn.XLOOKUP(C233,[1]ModifierDes!$B:$B,[1]ModifierDes!$C:$C),3,_xlfn.XLOOKUP(C233,[1]StuntDes!$B:$B,[1]StuntDes!$C:$C)),"")</f>
        <v/>
      </c>
      <c r="L233">
        <f t="shared" si="18"/>
        <v>1</v>
      </c>
      <c r="M233" s="10" t="str">
        <f>IFERROR(_xlfn.XLOOKUP(C233,[1]StuntDes!$B:$B,[1]StuntDes!$A:$A),"")</f>
        <v/>
      </c>
      <c r="N233" s="10" t="str">
        <f>IFERROR(_xlfn.XLOOKUP(C233,[1]ModifierDes!$B:$B,[1]ModifierDes!$A:$A),"")</f>
        <v/>
      </c>
      <c r="O233" s="10">
        <f>IFERROR(_xlfn.XLOOKUP(C233,[1]AttributeName!$C:$C,[1]AttributeName!$B:$B),"")</f>
        <v>10804</v>
      </c>
      <c r="P233" s="10"/>
      <c r="Q233">
        <v>0.41</v>
      </c>
      <c r="R233">
        <v>0.5</v>
      </c>
      <c r="S233" cm="1">
        <f t="array" ref="S233">IFERROR(_xlfn.SWITCH(L233,1,_xlfn.XLOOKUP(O233,[1]AttributeName!$B:$B,[1]AttributeName!$D:$D),2,_xlfn.XLOOKUP(C233,#REF!,#REF!),3,_xlfn.XLOOKUP(C233,#REF!,#REF!)),0)</f>
        <v>2</v>
      </c>
      <c r="T233" cm="1">
        <f t="array" ref="T233">IFERROR(_xlfn.SWITCH(L233,1,_xlfn.XLOOKUP(O233,[1]AttributeName!$B:$B,[1]AttributeName!$E:$E),2,_xlfn.XLOOKUP(C233,#REF!,#REF!),3,_xlfn.XLOOKUP(C233,#REF!,#REF!)),0)</f>
        <v>2</v>
      </c>
    </row>
    <row r="234" customFormat="1" spans="1:20">
      <c r="A234">
        <f t="shared" si="19"/>
        <v>71</v>
      </c>
      <c r="B234">
        <v>5</v>
      </c>
      <c r="C234" t="s">
        <v>411</v>
      </c>
      <c r="D234" t="s">
        <v>22</v>
      </c>
      <c r="E234" s="13" t="s">
        <v>392</v>
      </c>
      <c r="F234"/>
      <c r="G234">
        <v>2</v>
      </c>
      <c r="H234">
        <v>1000</v>
      </c>
      <c r="J234" cm="1">
        <f t="array" ref="J234">_xlfn.SWITCH(B234,1,75,2,61,3,49,4,37,5,25,6,13,7,4,8,1)</f>
        <v>25</v>
      </c>
      <c r="K234" t="str" cm="1">
        <f t="array" ref="K234">IFERROR(_xlfn.SWITCH(L234,2,_xlfn.XLOOKUP(C234,[1]ModifierDes!$B:$B,[1]ModifierDes!$C:$C),3,_xlfn.XLOOKUP(C234,[1]StuntDes!$B:$B,[1]StuntDes!$C:$C)),"")</f>
        <v/>
      </c>
      <c r="L234">
        <f t="shared" si="18"/>
        <v>1</v>
      </c>
      <c r="M234" s="10" t="str">
        <f>IFERROR(_xlfn.XLOOKUP(C234,[1]StuntDes!$B:$B,[1]StuntDes!$A:$A),"")</f>
        <v/>
      </c>
      <c r="N234" s="10" t="str">
        <f>IFERROR(_xlfn.XLOOKUP(C234,[1]ModifierDes!$B:$B,[1]ModifierDes!$A:$A),"")</f>
        <v/>
      </c>
      <c r="O234" s="10">
        <f>IFERROR(_xlfn.XLOOKUP(C234,[1]AttributeName!$C:$C,[1]AttributeName!$B:$B),"")</f>
        <v>10804</v>
      </c>
      <c r="P234" s="10"/>
      <c r="Q234">
        <v>0.31</v>
      </c>
      <c r="R234">
        <v>0.4</v>
      </c>
      <c r="S234" cm="1">
        <f t="array" ref="S234">IFERROR(_xlfn.SWITCH(L234,1,_xlfn.XLOOKUP(O234,[1]AttributeName!$B:$B,[1]AttributeName!$D:$D),2,_xlfn.XLOOKUP(C234,#REF!,#REF!),3,_xlfn.XLOOKUP(C234,#REF!,#REF!)),0)</f>
        <v>2</v>
      </c>
      <c r="T234" cm="1">
        <f t="array" ref="T234">IFERROR(_xlfn.SWITCH(L234,1,_xlfn.XLOOKUP(O234,[1]AttributeName!$B:$B,[1]AttributeName!$E:$E),2,_xlfn.XLOOKUP(C234,#REF!,#REF!),3,_xlfn.XLOOKUP(C234,#REF!,#REF!)),0)</f>
        <v>2</v>
      </c>
    </row>
    <row r="235" customFormat="1" spans="1:20">
      <c r="A235">
        <f t="shared" si="19"/>
        <v>71</v>
      </c>
      <c r="B235">
        <v>6</v>
      </c>
      <c r="C235" t="s">
        <v>411</v>
      </c>
      <c r="D235" t="s">
        <v>22</v>
      </c>
      <c r="E235" s="13" t="s">
        <v>392</v>
      </c>
      <c r="F235"/>
      <c r="G235">
        <v>2</v>
      </c>
      <c r="H235">
        <v>1000</v>
      </c>
      <c r="J235" cm="1">
        <f t="array" ref="J235">_xlfn.SWITCH(B235,1,75,2,61,3,49,4,37,5,25,6,13,7,4,8,1)</f>
        <v>13</v>
      </c>
      <c r="K235" t="str" cm="1">
        <f t="array" ref="K235">IFERROR(_xlfn.SWITCH(L235,2,_xlfn.XLOOKUP(C235,[1]ModifierDes!$B:$B,[1]ModifierDes!$C:$C),3,_xlfn.XLOOKUP(C235,[1]StuntDes!$B:$B,[1]StuntDes!$C:$C)),"")</f>
        <v/>
      </c>
      <c r="L235">
        <f t="shared" si="18"/>
        <v>1</v>
      </c>
      <c r="M235" s="10" t="str">
        <f>IFERROR(_xlfn.XLOOKUP(C235,[1]StuntDes!$B:$B,[1]StuntDes!$A:$A),"")</f>
        <v/>
      </c>
      <c r="N235" s="10" t="str">
        <f>IFERROR(_xlfn.XLOOKUP(C235,[1]ModifierDes!$B:$B,[1]ModifierDes!$A:$A),"")</f>
        <v/>
      </c>
      <c r="O235" s="10">
        <f>IFERROR(_xlfn.XLOOKUP(C235,[1]AttributeName!$C:$C,[1]AttributeName!$B:$B),"")</f>
        <v>10804</v>
      </c>
      <c r="P235" s="10"/>
      <c r="Q235">
        <v>0.21</v>
      </c>
      <c r="R235">
        <v>0.3</v>
      </c>
      <c r="S235" cm="1">
        <f t="array" ref="S235">IFERROR(_xlfn.SWITCH(L235,1,_xlfn.XLOOKUP(O235,[1]AttributeName!$B:$B,[1]AttributeName!$D:$D),2,_xlfn.XLOOKUP(C235,#REF!,#REF!),3,_xlfn.XLOOKUP(C235,#REF!,#REF!)),0)</f>
        <v>2</v>
      </c>
      <c r="T235" cm="1">
        <f t="array" ref="T235">IFERROR(_xlfn.SWITCH(L235,1,_xlfn.XLOOKUP(O235,[1]AttributeName!$B:$B,[1]AttributeName!$E:$E),2,_xlfn.XLOOKUP(C235,#REF!,#REF!),3,_xlfn.XLOOKUP(C235,#REF!,#REF!)),0)</f>
        <v>2</v>
      </c>
    </row>
    <row r="236" customFormat="1" spans="1:20">
      <c r="A236">
        <f t="shared" si="19"/>
        <v>71</v>
      </c>
      <c r="B236">
        <v>7</v>
      </c>
      <c r="C236" t="s">
        <v>411</v>
      </c>
      <c r="D236" t="s">
        <v>22</v>
      </c>
      <c r="E236" s="13" t="s">
        <v>392</v>
      </c>
      <c r="F236"/>
      <c r="G236">
        <v>2</v>
      </c>
      <c r="H236">
        <v>1000</v>
      </c>
      <c r="J236" cm="1">
        <f t="array" ref="J236">_xlfn.SWITCH(B236,1,75,2,61,3,49,4,37,5,25,6,13,7,4,8,1)</f>
        <v>4</v>
      </c>
      <c r="K236" t="str" cm="1">
        <f t="array" ref="K236">IFERROR(_xlfn.SWITCH(L236,2,_xlfn.XLOOKUP(C236,[1]ModifierDes!$B:$B,[1]ModifierDes!$C:$C),3,_xlfn.XLOOKUP(C236,[1]StuntDes!$B:$B,[1]StuntDes!$C:$C)),"")</f>
        <v/>
      </c>
      <c r="L236">
        <f t="shared" si="18"/>
        <v>1</v>
      </c>
      <c r="M236" s="10" t="str">
        <f>IFERROR(_xlfn.XLOOKUP(C236,[1]StuntDes!$B:$B,[1]StuntDes!$A:$A),"")</f>
        <v/>
      </c>
      <c r="N236" s="10" t="str">
        <f>IFERROR(_xlfn.XLOOKUP(C236,[1]ModifierDes!$B:$B,[1]ModifierDes!$A:$A),"")</f>
        <v/>
      </c>
      <c r="O236" s="10">
        <f>IFERROR(_xlfn.XLOOKUP(C236,[1]AttributeName!$C:$C,[1]AttributeName!$B:$B),"")</f>
        <v>10804</v>
      </c>
      <c r="P236" s="10"/>
      <c r="Q236">
        <v>0.11</v>
      </c>
      <c r="R236">
        <v>0.2</v>
      </c>
      <c r="S236" cm="1">
        <f t="array" ref="S236">IFERROR(_xlfn.SWITCH(L236,1,_xlfn.XLOOKUP(O236,[1]AttributeName!$B:$B,[1]AttributeName!$D:$D),2,_xlfn.XLOOKUP(C236,#REF!,#REF!),3,_xlfn.XLOOKUP(C236,#REF!,#REF!)),0)</f>
        <v>2</v>
      </c>
      <c r="T236" cm="1">
        <f t="array" ref="T236">IFERROR(_xlfn.SWITCH(L236,1,_xlfn.XLOOKUP(O236,[1]AttributeName!$B:$B,[1]AttributeName!$E:$E),2,_xlfn.XLOOKUP(C236,#REF!,#REF!),3,_xlfn.XLOOKUP(C236,#REF!,#REF!)),0)</f>
        <v>2</v>
      </c>
    </row>
    <row r="237" customFormat="1" spans="1:20">
      <c r="A237">
        <f t="shared" si="19"/>
        <v>71</v>
      </c>
      <c r="B237">
        <v>8</v>
      </c>
      <c r="C237" t="s">
        <v>411</v>
      </c>
      <c r="D237" t="s">
        <v>22</v>
      </c>
      <c r="E237" s="13" t="s">
        <v>392</v>
      </c>
      <c r="F237"/>
      <c r="G237">
        <v>2</v>
      </c>
      <c r="H237">
        <v>1000</v>
      </c>
      <c r="J237" cm="1">
        <f t="array" ref="J237">_xlfn.SWITCH(B237,1,75,2,61,3,49,4,37,5,25,6,13,7,4,8,1)</f>
        <v>1</v>
      </c>
      <c r="K237" t="str" cm="1">
        <f t="array" ref="K237">IFERROR(_xlfn.SWITCH(L237,2,_xlfn.XLOOKUP(C237,[1]ModifierDes!$B:$B,[1]ModifierDes!$C:$C),3,_xlfn.XLOOKUP(C237,[1]StuntDes!$B:$B,[1]StuntDes!$C:$C)),"")</f>
        <v/>
      </c>
      <c r="L237">
        <f t="shared" si="18"/>
        <v>1</v>
      </c>
      <c r="M237" s="10" t="str">
        <f>IFERROR(_xlfn.XLOOKUP(C237,[1]StuntDes!$B:$B,[1]StuntDes!$A:$A),"")</f>
        <v/>
      </c>
      <c r="N237" s="10" t="str">
        <f>IFERROR(_xlfn.XLOOKUP(C237,[1]ModifierDes!$B:$B,[1]ModifierDes!$A:$A),"")</f>
        <v/>
      </c>
      <c r="O237" s="10">
        <f>IFERROR(_xlfn.XLOOKUP(C237,[1]AttributeName!$C:$C,[1]AttributeName!$B:$B),"")</f>
        <v>10804</v>
      </c>
      <c r="P237" s="10"/>
      <c r="Q237">
        <v>0.0100000000000001</v>
      </c>
      <c r="R237">
        <v>0.0999999999999994</v>
      </c>
      <c r="S237" cm="1">
        <f t="array" ref="S237">IFERROR(_xlfn.SWITCH(L237,1,_xlfn.XLOOKUP(O237,[1]AttributeName!$B:$B,[1]AttributeName!$D:$D),2,_xlfn.XLOOKUP(C237,#REF!,#REF!),3,_xlfn.XLOOKUP(C237,#REF!,#REF!)),0)</f>
        <v>2</v>
      </c>
      <c r="T237" cm="1">
        <f t="array" ref="T237">IFERROR(_xlfn.SWITCH(L237,1,_xlfn.XLOOKUP(O237,[1]AttributeName!$B:$B,[1]AttributeName!$E:$E),2,_xlfn.XLOOKUP(C237,#REF!,#REF!),3,_xlfn.XLOOKUP(C237,#REF!,#REF!)),0)</f>
        <v>2</v>
      </c>
    </row>
    <row r="238" customFormat="1" spans="1:20">
      <c r="A238">
        <f t="shared" ref="A238:A261" si="20">A230+1</f>
        <v>72</v>
      </c>
      <c r="B238">
        <v>1</v>
      </c>
      <c r="C238" t="s">
        <v>412</v>
      </c>
      <c r="D238" t="s">
        <v>22</v>
      </c>
      <c r="E238" s="13" t="s">
        <v>392</v>
      </c>
      <c r="F238"/>
      <c r="G238">
        <v>2</v>
      </c>
      <c r="H238">
        <v>1000</v>
      </c>
      <c r="J238" cm="1">
        <f t="array" ref="J238">_xlfn.SWITCH(B238,1,75,2,61,3,49,4,37,5,25,6,13,7,4,8,1)</f>
        <v>75</v>
      </c>
      <c r="K238" t="str" cm="1">
        <f t="array" ref="K238">IFERROR(_xlfn.SWITCH(L238,2,_xlfn.XLOOKUP(C238,[1]ModifierDes!$B:$B,[1]ModifierDes!$C:$C),3,_xlfn.XLOOKUP(C238,[1]StuntDes!$B:$B,[1]StuntDes!$C:$C)),"")</f>
        <v/>
      </c>
      <c r="L238">
        <f t="shared" si="18"/>
        <v>1</v>
      </c>
      <c r="M238" s="10" t="str">
        <f>IFERROR(_xlfn.XLOOKUP(C238,[1]StuntDes!$B:$B,[1]StuntDes!$A:$A),"")</f>
        <v/>
      </c>
      <c r="N238" s="10" t="str">
        <f>IFERROR(_xlfn.XLOOKUP(C238,[1]ModifierDes!$B:$B,[1]ModifierDes!$A:$A),"")</f>
        <v/>
      </c>
      <c r="O238" s="10">
        <f>IFERROR(_xlfn.XLOOKUP(C238,[1]AttributeName!$C:$C,[1]AttributeName!$B:$B),"")</f>
        <v>10019</v>
      </c>
      <c r="P238" s="10"/>
      <c r="Q238">
        <v>28</v>
      </c>
      <c r="R238">
        <v>31</v>
      </c>
      <c r="S238" cm="1">
        <f t="array" ref="S238">IFERROR(_xlfn.SWITCH(L238,1,_xlfn.XLOOKUP(O238,[1]AttributeName!$B:$B,[1]AttributeName!$D:$D),2,_xlfn.XLOOKUP(C238,#REF!,#REF!),3,_xlfn.XLOOKUP(C238,#REF!,#REF!)),0)</f>
        <v>0</v>
      </c>
      <c r="T238" cm="1">
        <f t="array" ref="T238">IFERROR(_xlfn.SWITCH(L238,1,_xlfn.XLOOKUP(O238,[1]AttributeName!$B:$B,[1]AttributeName!$E:$E),2,_xlfn.XLOOKUP(C238,#REF!,#REF!),3,_xlfn.XLOOKUP(C238,#REF!,#REF!)),0)</f>
        <v>1</v>
      </c>
    </row>
    <row r="239" customFormat="1" spans="1:20">
      <c r="A239">
        <f t="shared" si="20"/>
        <v>72</v>
      </c>
      <c r="B239">
        <v>2</v>
      </c>
      <c r="C239" t="s">
        <v>412</v>
      </c>
      <c r="D239" t="s">
        <v>22</v>
      </c>
      <c r="E239" s="13" t="s">
        <v>392</v>
      </c>
      <c r="F239"/>
      <c r="G239">
        <v>2</v>
      </c>
      <c r="H239">
        <v>1000</v>
      </c>
      <c r="J239" cm="1">
        <f t="array" ref="J239">_xlfn.SWITCH(B239,1,75,2,61,3,49,4,37,5,25,6,13,7,4,8,1)</f>
        <v>61</v>
      </c>
      <c r="K239" t="str" cm="1">
        <f t="array" ref="K239">IFERROR(_xlfn.SWITCH(L239,2,_xlfn.XLOOKUP(C239,[1]ModifierDes!$B:$B,[1]ModifierDes!$C:$C),3,_xlfn.XLOOKUP(C239,[1]StuntDes!$B:$B,[1]StuntDes!$C:$C)),"")</f>
        <v/>
      </c>
      <c r="L239">
        <f t="shared" si="18"/>
        <v>1</v>
      </c>
      <c r="M239" s="10" t="str">
        <f>IFERROR(_xlfn.XLOOKUP(C239,[1]StuntDes!$B:$B,[1]StuntDes!$A:$A),"")</f>
        <v/>
      </c>
      <c r="N239" s="10" t="str">
        <f>IFERROR(_xlfn.XLOOKUP(C239,[1]ModifierDes!$B:$B,[1]ModifierDes!$A:$A),"")</f>
        <v/>
      </c>
      <c r="O239" s="10">
        <f>IFERROR(_xlfn.XLOOKUP(C239,[1]AttributeName!$C:$C,[1]AttributeName!$B:$B),"")</f>
        <v>10019</v>
      </c>
      <c r="P239" s="10"/>
      <c r="Q239">
        <v>24</v>
      </c>
      <c r="R239">
        <v>27</v>
      </c>
      <c r="S239" cm="1">
        <f t="array" ref="S239">IFERROR(_xlfn.SWITCH(L239,1,_xlfn.XLOOKUP(O239,[1]AttributeName!$B:$B,[1]AttributeName!$D:$D),2,_xlfn.XLOOKUP(C239,#REF!,#REF!),3,_xlfn.XLOOKUP(C239,#REF!,#REF!)),0)</f>
        <v>0</v>
      </c>
      <c r="T239" cm="1">
        <f t="array" ref="T239">IFERROR(_xlfn.SWITCH(L239,1,_xlfn.XLOOKUP(O239,[1]AttributeName!$B:$B,[1]AttributeName!$E:$E),2,_xlfn.XLOOKUP(C239,#REF!,#REF!),3,_xlfn.XLOOKUP(C239,#REF!,#REF!)),0)</f>
        <v>1</v>
      </c>
    </row>
    <row r="240" customFormat="1" spans="1:20">
      <c r="A240">
        <f t="shared" si="20"/>
        <v>72</v>
      </c>
      <c r="B240">
        <v>3</v>
      </c>
      <c r="C240" t="s">
        <v>412</v>
      </c>
      <c r="D240" t="s">
        <v>22</v>
      </c>
      <c r="E240" s="13" t="s">
        <v>392</v>
      </c>
      <c r="F240"/>
      <c r="G240">
        <v>2</v>
      </c>
      <c r="H240">
        <v>1000</v>
      </c>
      <c r="J240" cm="1">
        <f t="array" ref="J240">_xlfn.SWITCH(B240,1,75,2,61,3,49,4,37,5,25,6,13,7,4,8,1)</f>
        <v>49</v>
      </c>
      <c r="K240" t="str" cm="1">
        <f t="array" ref="K240">IFERROR(_xlfn.SWITCH(L240,2,_xlfn.XLOOKUP(C240,[1]ModifierDes!$B:$B,[1]ModifierDes!$C:$C),3,_xlfn.XLOOKUP(C240,[1]StuntDes!$B:$B,[1]StuntDes!$C:$C)),"")</f>
        <v/>
      </c>
      <c r="L240">
        <f t="shared" si="18"/>
        <v>1</v>
      </c>
      <c r="M240" s="10" t="str">
        <f>IFERROR(_xlfn.XLOOKUP(C240,[1]StuntDes!$B:$B,[1]StuntDes!$A:$A),"")</f>
        <v/>
      </c>
      <c r="N240" s="10" t="str">
        <f>IFERROR(_xlfn.XLOOKUP(C240,[1]ModifierDes!$B:$B,[1]ModifierDes!$A:$A),"")</f>
        <v/>
      </c>
      <c r="O240" s="10">
        <f>IFERROR(_xlfn.XLOOKUP(C240,[1]AttributeName!$C:$C,[1]AttributeName!$B:$B),"")</f>
        <v>10019</v>
      </c>
      <c r="P240" s="10"/>
      <c r="Q240">
        <v>20</v>
      </c>
      <c r="R240">
        <v>23</v>
      </c>
      <c r="S240" cm="1">
        <f t="array" ref="S240">IFERROR(_xlfn.SWITCH(L240,1,_xlfn.XLOOKUP(O240,[1]AttributeName!$B:$B,[1]AttributeName!$D:$D),2,_xlfn.XLOOKUP(C240,#REF!,#REF!),3,_xlfn.XLOOKUP(C240,#REF!,#REF!)),0)</f>
        <v>0</v>
      </c>
      <c r="T240" cm="1">
        <f t="array" ref="T240">IFERROR(_xlfn.SWITCH(L240,1,_xlfn.XLOOKUP(O240,[1]AttributeName!$B:$B,[1]AttributeName!$E:$E),2,_xlfn.XLOOKUP(C240,#REF!,#REF!),3,_xlfn.XLOOKUP(C240,#REF!,#REF!)),0)</f>
        <v>1</v>
      </c>
    </row>
    <row r="241" customFormat="1" spans="1:20">
      <c r="A241">
        <f t="shared" si="20"/>
        <v>72</v>
      </c>
      <c r="B241">
        <v>4</v>
      </c>
      <c r="C241" t="s">
        <v>412</v>
      </c>
      <c r="D241" t="s">
        <v>22</v>
      </c>
      <c r="E241" s="13" t="s">
        <v>392</v>
      </c>
      <c r="F241"/>
      <c r="G241">
        <v>2</v>
      </c>
      <c r="H241">
        <v>1000</v>
      </c>
      <c r="J241" cm="1">
        <f t="array" ref="J241">_xlfn.SWITCH(B241,1,75,2,61,3,49,4,37,5,25,6,13,7,4,8,1)</f>
        <v>37</v>
      </c>
      <c r="K241" t="str" cm="1">
        <f t="array" ref="K241">IFERROR(_xlfn.SWITCH(L241,2,_xlfn.XLOOKUP(C241,[1]ModifierDes!$B:$B,[1]ModifierDes!$C:$C),3,_xlfn.XLOOKUP(C241,[1]StuntDes!$B:$B,[1]StuntDes!$C:$C)),"")</f>
        <v/>
      </c>
      <c r="L241">
        <f t="shared" si="18"/>
        <v>1</v>
      </c>
      <c r="M241" s="10" t="str">
        <f>IFERROR(_xlfn.XLOOKUP(C241,[1]StuntDes!$B:$B,[1]StuntDes!$A:$A),"")</f>
        <v/>
      </c>
      <c r="N241" s="10" t="str">
        <f>IFERROR(_xlfn.XLOOKUP(C241,[1]ModifierDes!$B:$B,[1]ModifierDes!$A:$A),"")</f>
        <v/>
      </c>
      <c r="O241" s="10">
        <f>IFERROR(_xlfn.XLOOKUP(C241,[1]AttributeName!$C:$C,[1]AttributeName!$B:$B),"")</f>
        <v>10019</v>
      </c>
      <c r="P241" s="10"/>
      <c r="Q241">
        <v>16</v>
      </c>
      <c r="R241">
        <v>19</v>
      </c>
      <c r="S241" cm="1">
        <f t="array" ref="S241">IFERROR(_xlfn.SWITCH(L241,1,_xlfn.XLOOKUP(O241,[1]AttributeName!$B:$B,[1]AttributeName!$D:$D),2,_xlfn.XLOOKUP(C241,#REF!,#REF!),3,_xlfn.XLOOKUP(C241,#REF!,#REF!)),0)</f>
        <v>0</v>
      </c>
      <c r="T241" cm="1">
        <f t="array" ref="T241">IFERROR(_xlfn.SWITCH(L241,1,_xlfn.XLOOKUP(O241,[1]AttributeName!$B:$B,[1]AttributeName!$E:$E),2,_xlfn.XLOOKUP(C241,#REF!,#REF!),3,_xlfn.XLOOKUP(C241,#REF!,#REF!)),0)</f>
        <v>1</v>
      </c>
    </row>
    <row r="242" customFormat="1" spans="1:20">
      <c r="A242">
        <f t="shared" si="20"/>
        <v>72</v>
      </c>
      <c r="B242">
        <v>5</v>
      </c>
      <c r="C242" t="s">
        <v>412</v>
      </c>
      <c r="D242" t="s">
        <v>22</v>
      </c>
      <c r="E242" s="13" t="s">
        <v>392</v>
      </c>
      <c r="F242"/>
      <c r="G242">
        <v>2</v>
      </c>
      <c r="H242">
        <v>1000</v>
      </c>
      <c r="J242" cm="1">
        <f t="array" ref="J242">_xlfn.SWITCH(B242,1,75,2,61,3,49,4,37,5,25,6,13,7,4,8,1)</f>
        <v>25</v>
      </c>
      <c r="K242" t="str" cm="1">
        <f t="array" ref="K242">IFERROR(_xlfn.SWITCH(L242,2,_xlfn.XLOOKUP(C242,[1]ModifierDes!$B:$B,[1]ModifierDes!$C:$C),3,_xlfn.XLOOKUP(C242,[1]StuntDes!$B:$B,[1]StuntDes!$C:$C)),"")</f>
        <v/>
      </c>
      <c r="L242">
        <f t="shared" si="18"/>
        <v>1</v>
      </c>
      <c r="M242" s="10" t="str">
        <f>IFERROR(_xlfn.XLOOKUP(C242,[1]StuntDes!$B:$B,[1]StuntDes!$A:$A),"")</f>
        <v/>
      </c>
      <c r="N242" s="10" t="str">
        <f>IFERROR(_xlfn.XLOOKUP(C242,[1]ModifierDes!$B:$B,[1]ModifierDes!$A:$A),"")</f>
        <v/>
      </c>
      <c r="O242" s="10">
        <f>IFERROR(_xlfn.XLOOKUP(C242,[1]AttributeName!$C:$C,[1]AttributeName!$B:$B),"")</f>
        <v>10019</v>
      </c>
      <c r="P242" s="10"/>
      <c r="Q242">
        <v>12</v>
      </c>
      <c r="R242">
        <v>15</v>
      </c>
      <c r="S242" cm="1">
        <f t="array" ref="S242">IFERROR(_xlfn.SWITCH(L242,1,_xlfn.XLOOKUP(O242,[1]AttributeName!$B:$B,[1]AttributeName!$D:$D),2,_xlfn.XLOOKUP(C242,#REF!,#REF!),3,_xlfn.XLOOKUP(C242,#REF!,#REF!)),0)</f>
        <v>0</v>
      </c>
      <c r="T242" cm="1">
        <f t="array" ref="T242">IFERROR(_xlfn.SWITCH(L242,1,_xlfn.XLOOKUP(O242,[1]AttributeName!$B:$B,[1]AttributeName!$E:$E),2,_xlfn.XLOOKUP(C242,#REF!,#REF!),3,_xlfn.XLOOKUP(C242,#REF!,#REF!)),0)</f>
        <v>1</v>
      </c>
    </row>
    <row r="243" customFormat="1" spans="1:20">
      <c r="A243">
        <f t="shared" si="20"/>
        <v>72</v>
      </c>
      <c r="B243">
        <v>6</v>
      </c>
      <c r="C243" t="s">
        <v>412</v>
      </c>
      <c r="D243" t="s">
        <v>22</v>
      </c>
      <c r="E243" s="13" t="s">
        <v>392</v>
      </c>
      <c r="F243"/>
      <c r="G243">
        <v>2</v>
      </c>
      <c r="H243">
        <v>1000</v>
      </c>
      <c r="J243" cm="1">
        <f t="array" ref="J243">_xlfn.SWITCH(B243,1,75,2,61,3,49,4,37,5,25,6,13,7,4,8,1)</f>
        <v>13</v>
      </c>
      <c r="K243" t="str" cm="1">
        <f t="array" ref="K243">IFERROR(_xlfn.SWITCH(L243,2,_xlfn.XLOOKUP(C243,[1]ModifierDes!$B:$B,[1]ModifierDes!$C:$C),3,_xlfn.XLOOKUP(C243,[1]StuntDes!$B:$B,[1]StuntDes!$C:$C)),"")</f>
        <v/>
      </c>
      <c r="L243">
        <f t="shared" si="18"/>
        <v>1</v>
      </c>
      <c r="M243" s="10" t="str">
        <f>IFERROR(_xlfn.XLOOKUP(C243,[1]StuntDes!$B:$B,[1]StuntDes!$A:$A),"")</f>
        <v/>
      </c>
      <c r="N243" s="10" t="str">
        <f>IFERROR(_xlfn.XLOOKUP(C243,[1]ModifierDes!$B:$B,[1]ModifierDes!$A:$A),"")</f>
        <v/>
      </c>
      <c r="O243" s="10">
        <f>IFERROR(_xlfn.XLOOKUP(C243,[1]AttributeName!$C:$C,[1]AttributeName!$B:$B),"")</f>
        <v>10019</v>
      </c>
      <c r="P243" s="10"/>
      <c r="Q243">
        <v>8</v>
      </c>
      <c r="R243">
        <v>11</v>
      </c>
      <c r="S243" cm="1">
        <f t="array" ref="S243">IFERROR(_xlfn.SWITCH(L243,1,_xlfn.XLOOKUP(O243,[1]AttributeName!$B:$B,[1]AttributeName!$D:$D),2,_xlfn.XLOOKUP(C243,#REF!,#REF!),3,_xlfn.XLOOKUP(C243,#REF!,#REF!)),0)</f>
        <v>0</v>
      </c>
      <c r="T243" cm="1">
        <f t="array" ref="T243">IFERROR(_xlfn.SWITCH(L243,1,_xlfn.XLOOKUP(O243,[1]AttributeName!$B:$B,[1]AttributeName!$E:$E),2,_xlfn.XLOOKUP(C243,#REF!,#REF!),3,_xlfn.XLOOKUP(C243,#REF!,#REF!)),0)</f>
        <v>1</v>
      </c>
    </row>
    <row r="244" customFormat="1" spans="1:20">
      <c r="A244">
        <f t="shared" si="20"/>
        <v>72</v>
      </c>
      <c r="B244">
        <v>7</v>
      </c>
      <c r="C244" t="s">
        <v>412</v>
      </c>
      <c r="D244" t="s">
        <v>22</v>
      </c>
      <c r="E244" s="13" t="s">
        <v>392</v>
      </c>
      <c r="F244"/>
      <c r="G244">
        <v>2</v>
      </c>
      <c r="H244">
        <v>1000</v>
      </c>
      <c r="J244" cm="1">
        <f t="array" ref="J244">_xlfn.SWITCH(B244,1,75,2,61,3,49,4,37,5,25,6,13,7,4,8,1)</f>
        <v>4</v>
      </c>
      <c r="K244" t="str" cm="1">
        <f t="array" ref="K244">IFERROR(_xlfn.SWITCH(L244,2,_xlfn.XLOOKUP(C244,[1]ModifierDes!$B:$B,[1]ModifierDes!$C:$C),3,_xlfn.XLOOKUP(C244,[1]StuntDes!$B:$B,[1]StuntDes!$C:$C)),"")</f>
        <v/>
      </c>
      <c r="L244">
        <f t="shared" si="18"/>
        <v>1</v>
      </c>
      <c r="M244" s="10" t="str">
        <f>IFERROR(_xlfn.XLOOKUP(C244,[1]StuntDes!$B:$B,[1]StuntDes!$A:$A),"")</f>
        <v/>
      </c>
      <c r="N244" s="10" t="str">
        <f>IFERROR(_xlfn.XLOOKUP(C244,[1]ModifierDes!$B:$B,[1]ModifierDes!$A:$A),"")</f>
        <v/>
      </c>
      <c r="O244" s="10">
        <f>IFERROR(_xlfn.XLOOKUP(C244,[1]AttributeName!$C:$C,[1]AttributeName!$B:$B),"")</f>
        <v>10019</v>
      </c>
      <c r="P244" s="10"/>
      <c r="Q244">
        <v>4</v>
      </c>
      <c r="R244">
        <v>7</v>
      </c>
      <c r="S244" cm="1">
        <f t="array" ref="S244">IFERROR(_xlfn.SWITCH(L244,1,_xlfn.XLOOKUP(O244,[1]AttributeName!$B:$B,[1]AttributeName!$D:$D),2,_xlfn.XLOOKUP(C244,#REF!,#REF!),3,_xlfn.XLOOKUP(C244,#REF!,#REF!)),0)</f>
        <v>0</v>
      </c>
      <c r="T244" cm="1">
        <f t="array" ref="T244">IFERROR(_xlfn.SWITCH(L244,1,_xlfn.XLOOKUP(O244,[1]AttributeName!$B:$B,[1]AttributeName!$E:$E),2,_xlfn.XLOOKUP(C244,#REF!,#REF!),3,_xlfn.XLOOKUP(C244,#REF!,#REF!)),0)</f>
        <v>1</v>
      </c>
    </row>
    <row r="245" customFormat="1" spans="1:20">
      <c r="A245">
        <f t="shared" si="20"/>
        <v>72</v>
      </c>
      <c r="B245">
        <v>8</v>
      </c>
      <c r="C245" t="s">
        <v>412</v>
      </c>
      <c r="D245" t="s">
        <v>22</v>
      </c>
      <c r="E245" s="13" t="s">
        <v>392</v>
      </c>
      <c r="F245"/>
      <c r="G245">
        <v>2</v>
      </c>
      <c r="H245">
        <v>1000</v>
      </c>
      <c r="J245" cm="1">
        <f t="array" ref="J245">_xlfn.SWITCH(B245,1,75,2,61,3,49,4,37,5,25,6,13,7,4,8,1)</f>
        <v>1</v>
      </c>
      <c r="K245" t="str" cm="1">
        <f t="array" ref="K245">IFERROR(_xlfn.SWITCH(L245,2,_xlfn.XLOOKUP(C245,[1]ModifierDes!$B:$B,[1]ModifierDes!$C:$C),3,_xlfn.XLOOKUP(C245,[1]StuntDes!$B:$B,[1]StuntDes!$C:$C)),"")</f>
        <v/>
      </c>
      <c r="L245">
        <f t="shared" si="18"/>
        <v>1</v>
      </c>
      <c r="M245" s="10" t="str">
        <f>IFERROR(_xlfn.XLOOKUP(C245,[1]StuntDes!$B:$B,[1]StuntDes!$A:$A),"")</f>
        <v/>
      </c>
      <c r="N245" s="10" t="str">
        <f>IFERROR(_xlfn.XLOOKUP(C245,[1]ModifierDes!$B:$B,[1]ModifierDes!$A:$A),"")</f>
        <v/>
      </c>
      <c r="O245" s="10">
        <f>IFERROR(_xlfn.XLOOKUP(C245,[1]AttributeName!$C:$C,[1]AttributeName!$B:$B),"")</f>
        <v>10019</v>
      </c>
      <c r="P245" s="10"/>
      <c r="Q245">
        <v>1</v>
      </c>
      <c r="R245">
        <v>3</v>
      </c>
      <c r="S245" cm="1">
        <f t="array" ref="S245">IFERROR(_xlfn.SWITCH(L245,1,_xlfn.XLOOKUP(O245,[1]AttributeName!$B:$B,[1]AttributeName!$D:$D),2,_xlfn.XLOOKUP(C245,#REF!,#REF!),3,_xlfn.XLOOKUP(C245,#REF!,#REF!)),0)</f>
        <v>0</v>
      </c>
      <c r="T245" cm="1">
        <f t="array" ref="T245">IFERROR(_xlfn.SWITCH(L245,1,_xlfn.XLOOKUP(O245,[1]AttributeName!$B:$B,[1]AttributeName!$E:$E),2,_xlfn.XLOOKUP(C245,#REF!,#REF!),3,_xlfn.XLOOKUP(C245,#REF!,#REF!)),0)</f>
        <v>1</v>
      </c>
    </row>
    <row r="246" customFormat="1" spans="1:20">
      <c r="A246">
        <f t="shared" si="20"/>
        <v>73</v>
      </c>
      <c r="B246">
        <v>1</v>
      </c>
      <c r="C246" t="s">
        <v>413</v>
      </c>
      <c r="D246" t="s">
        <v>22</v>
      </c>
      <c r="E246" s="13" t="s">
        <v>392</v>
      </c>
      <c r="F246"/>
      <c r="G246">
        <v>2</v>
      </c>
      <c r="H246">
        <v>1000</v>
      </c>
      <c r="J246" cm="1">
        <f t="array" ref="J246">_xlfn.SWITCH(B246,1,75,2,61,3,49,4,37,5,25,6,13,7,4,8,1)</f>
        <v>75</v>
      </c>
      <c r="K246" t="str" cm="1">
        <f t="array" ref="K246">IFERROR(_xlfn.SWITCH(L246,2,_xlfn.XLOOKUP(C246,[1]ModifierDes!$B:$B,[1]ModifierDes!$C:$C),3,_xlfn.XLOOKUP(C246,[1]StuntDes!$B:$B,[1]StuntDes!$C:$C)),"")</f>
        <v/>
      </c>
      <c r="L246">
        <f t="shared" si="18"/>
        <v>1</v>
      </c>
      <c r="M246" s="10" t="str">
        <f>IFERROR(_xlfn.XLOOKUP(C246,[1]StuntDes!$B:$B,[1]StuntDes!$A:$A),"")</f>
        <v/>
      </c>
      <c r="N246" s="10" t="str">
        <f>IFERROR(_xlfn.XLOOKUP(C246,[1]ModifierDes!$B:$B,[1]ModifierDes!$A:$A),"")</f>
        <v/>
      </c>
      <c r="O246" s="10">
        <f>IFERROR(_xlfn.XLOOKUP(C246,[1]AttributeName!$C:$C,[1]AttributeName!$B:$B),"")</f>
        <v>10020</v>
      </c>
      <c r="P246" s="10"/>
      <c r="Q246">
        <v>28</v>
      </c>
      <c r="R246">
        <v>31</v>
      </c>
      <c r="S246" cm="1">
        <f t="array" ref="S246">IFERROR(_xlfn.SWITCH(L246,1,_xlfn.XLOOKUP(O246,[1]AttributeName!$B:$B,[1]AttributeName!$D:$D),2,_xlfn.XLOOKUP(C246,#REF!,#REF!),3,_xlfn.XLOOKUP(C246,#REF!,#REF!)),0)</f>
        <v>0</v>
      </c>
      <c r="T246" cm="1">
        <f t="array" ref="T246">IFERROR(_xlfn.SWITCH(L246,1,_xlfn.XLOOKUP(O246,[1]AttributeName!$B:$B,[1]AttributeName!$E:$E),2,_xlfn.XLOOKUP(C246,#REF!,#REF!),3,_xlfn.XLOOKUP(C246,#REF!,#REF!)),0)</f>
        <v>1</v>
      </c>
    </row>
    <row r="247" customFormat="1" spans="1:20">
      <c r="A247">
        <f t="shared" si="20"/>
        <v>73</v>
      </c>
      <c r="B247">
        <v>2</v>
      </c>
      <c r="C247" t="s">
        <v>413</v>
      </c>
      <c r="D247" t="s">
        <v>22</v>
      </c>
      <c r="E247" s="13" t="s">
        <v>392</v>
      </c>
      <c r="F247"/>
      <c r="G247">
        <v>2</v>
      </c>
      <c r="H247">
        <v>1000</v>
      </c>
      <c r="J247" cm="1">
        <f t="array" ref="J247">_xlfn.SWITCH(B247,1,75,2,61,3,49,4,37,5,25,6,13,7,4,8,1)</f>
        <v>61</v>
      </c>
      <c r="K247" t="str" cm="1">
        <f t="array" ref="K247">IFERROR(_xlfn.SWITCH(L247,2,_xlfn.XLOOKUP(C247,[1]ModifierDes!$B:$B,[1]ModifierDes!$C:$C),3,_xlfn.XLOOKUP(C247,[1]StuntDes!$B:$B,[1]StuntDes!$C:$C)),"")</f>
        <v/>
      </c>
      <c r="L247">
        <f t="shared" si="18"/>
        <v>1</v>
      </c>
      <c r="M247" s="10" t="str">
        <f>IFERROR(_xlfn.XLOOKUP(C247,[1]StuntDes!$B:$B,[1]StuntDes!$A:$A),"")</f>
        <v/>
      </c>
      <c r="N247" s="10" t="str">
        <f>IFERROR(_xlfn.XLOOKUP(C247,[1]ModifierDes!$B:$B,[1]ModifierDes!$A:$A),"")</f>
        <v/>
      </c>
      <c r="O247" s="10">
        <f>IFERROR(_xlfn.XLOOKUP(C247,[1]AttributeName!$C:$C,[1]AttributeName!$B:$B),"")</f>
        <v>10020</v>
      </c>
      <c r="P247" s="10"/>
      <c r="Q247">
        <v>24</v>
      </c>
      <c r="R247">
        <v>27</v>
      </c>
      <c r="S247" cm="1">
        <f t="array" ref="S247">IFERROR(_xlfn.SWITCH(L247,1,_xlfn.XLOOKUP(O247,[1]AttributeName!$B:$B,[1]AttributeName!$D:$D),2,_xlfn.XLOOKUP(C247,#REF!,#REF!),3,_xlfn.XLOOKUP(C247,#REF!,#REF!)),0)</f>
        <v>0</v>
      </c>
      <c r="T247" cm="1">
        <f t="array" ref="T247">IFERROR(_xlfn.SWITCH(L247,1,_xlfn.XLOOKUP(O247,[1]AttributeName!$B:$B,[1]AttributeName!$E:$E),2,_xlfn.XLOOKUP(C247,#REF!,#REF!),3,_xlfn.XLOOKUP(C247,#REF!,#REF!)),0)</f>
        <v>1</v>
      </c>
    </row>
    <row r="248" customFormat="1" spans="1:20">
      <c r="A248">
        <f t="shared" si="20"/>
        <v>73</v>
      </c>
      <c r="B248">
        <v>3</v>
      </c>
      <c r="C248" t="s">
        <v>413</v>
      </c>
      <c r="D248" t="s">
        <v>22</v>
      </c>
      <c r="E248" s="13" t="s">
        <v>392</v>
      </c>
      <c r="F248"/>
      <c r="G248">
        <v>2</v>
      </c>
      <c r="H248">
        <v>1000</v>
      </c>
      <c r="J248" cm="1">
        <f t="array" ref="J248">_xlfn.SWITCH(B248,1,75,2,61,3,49,4,37,5,25,6,13,7,4,8,1)</f>
        <v>49</v>
      </c>
      <c r="K248" t="str" cm="1">
        <f t="array" ref="K248">IFERROR(_xlfn.SWITCH(L248,2,_xlfn.XLOOKUP(C248,[1]ModifierDes!$B:$B,[1]ModifierDes!$C:$C),3,_xlfn.XLOOKUP(C248,[1]StuntDes!$B:$B,[1]StuntDes!$C:$C)),"")</f>
        <v/>
      </c>
      <c r="L248">
        <f t="shared" si="18"/>
        <v>1</v>
      </c>
      <c r="M248" s="10" t="str">
        <f>IFERROR(_xlfn.XLOOKUP(C248,[1]StuntDes!$B:$B,[1]StuntDes!$A:$A),"")</f>
        <v/>
      </c>
      <c r="N248" s="10" t="str">
        <f>IFERROR(_xlfn.XLOOKUP(C248,[1]ModifierDes!$B:$B,[1]ModifierDes!$A:$A),"")</f>
        <v/>
      </c>
      <c r="O248" s="10">
        <f>IFERROR(_xlfn.XLOOKUP(C248,[1]AttributeName!$C:$C,[1]AttributeName!$B:$B),"")</f>
        <v>10020</v>
      </c>
      <c r="P248" s="10"/>
      <c r="Q248">
        <v>20</v>
      </c>
      <c r="R248">
        <v>23</v>
      </c>
      <c r="S248" cm="1">
        <f t="array" ref="S248">IFERROR(_xlfn.SWITCH(L248,1,_xlfn.XLOOKUP(O248,[1]AttributeName!$B:$B,[1]AttributeName!$D:$D),2,_xlfn.XLOOKUP(C248,#REF!,#REF!),3,_xlfn.XLOOKUP(C248,#REF!,#REF!)),0)</f>
        <v>0</v>
      </c>
      <c r="T248" cm="1">
        <f t="array" ref="T248">IFERROR(_xlfn.SWITCH(L248,1,_xlfn.XLOOKUP(O248,[1]AttributeName!$B:$B,[1]AttributeName!$E:$E),2,_xlfn.XLOOKUP(C248,#REF!,#REF!),3,_xlfn.XLOOKUP(C248,#REF!,#REF!)),0)</f>
        <v>1</v>
      </c>
    </row>
    <row r="249" customFormat="1" spans="1:20">
      <c r="A249">
        <f t="shared" si="20"/>
        <v>73</v>
      </c>
      <c r="B249">
        <v>4</v>
      </c>
      <c r="C249" t="s">
        <v>413</v>
      </c>
      <c r="D249" t="s">
        <v>22</v>
      </c>
      <c r="E249" s="13" t="s">
        <v>392</v>
      </c>
      <c r="F249"/>
      <c r="G249">
        <v>2</v>
      </c>
      <c r="H249">
        <v>1000</v>
      </c>
      <c r="J249" cm="1">
        <f t="array" ref="J249">_xlfn.SWITCH(B249,1,75,2,61,3,49,4,37,5,25,6,13,7,4,8,1)</f>
        <v>37</v>
      </c>
      <c r="K249" t="str" cm="1">
        <f t="array" ref="K249">IFERROR(_xlfn.SWITCH(L249,2,_xlfn.XLOOKUP(C249,[1]ModifierDes!$B:$B,[1]ModifierDes!$C:$C),3,_xlfn.XLOOKUP(C249,[1]StuntDes!$B:$B,[1]StuntDes!$C:$C)),"")</f>
        <v/>
      </c>
      <c r="L249">
        <f t="shared" si="18"/>
        <v>1</v>
      </c>
      <c r="M249" s="10" t="str">
        <f>IFERROR(_xlfn.XLOOKUP(C249,[1]StuntDes!$B:$B,[1]StuntDes!$A:$A),"")</f>
        <v/>
      </c>
      <c r="N249" s="10" t="str">
        <f>IFERROR(_xlfn.XLOOKUP(C249,[1]ModifierDes!$B:$B,[1]ModifierDes!$A:$A),"")</f>
        <v/>
      </c>
      <c r="O249" s="10">
        <f>IFERROR(_xlfn.XLOOKUP(C249,[1]AttributeName!$C:$C,[1]AttributeName!$B:$B),"")</f>
        <v>10020</v>
      </c>
      <c r="P249" s="10"/>
      <c r="Q249">
        <v>16</v>
      </c>
      <c r="R249">
        <v>19</v>
      </c>
      <c r="S249" cm="1">
        <f t="array" ref="S249">IFERROR(_xlfn.SWITCH(L249,1,_xlfn.XLOOKUP(O249,[1]AttributeName!$B:$B,[1]AttributeName!$D:$D),2,_xlfn.XLOOKUP(C249,#REF!,#REF!),3,_xlfn.XLOOKUP(C249,#REF!,#REF!)),0)</f>
        <v>0</v>
      </c>
      <c r="T249" cm="1">
        <f t="array" ref="T249">IFERROR(_xlfn.SWITCH(L249,1,_xlfn.XLOOKUP(O249,[1]AttributeName!$B:$B,[1]AttributeName!$E:$E),2,_xlfn.XLOOKUP(C249,#REF!,#REF!),3,_xlfn.XLOOKUP(C249,#REF!,#REF!)),0)</f>
        <v>1</v>
      </c>
    </row>
    <row r="250" customFormat="1" spans="1:20">
      <c r="A250">
        <f t="shared" si="20"/>
        <v>73</v>
      </c>
      <c r="B250">
        <v>5</v>
      </c>
      <c r="C250" t="s">
        <v>413</v>
      </c>
      <c r="D250" t="s">
        <v>22</v>
      </c>
      <c r="E250" s="13" t="s">
        <v>392</v>
      </c>
      <c r="F250"/>
      <c r="G250">
        <v>2</v>
      </c>
      <c r="H250">
        <v>1000</v>
      </c>
      <c r="J250" cm="1">
        <f t="array" ref="J250">_xlfn.SWITCH(B250,1,75,2,61,3,49,4,37,5,25,6,13,7,4,8,1)</f>
        <v>25</v>
      </c>
      <c r="K250" t="str" cm="1">
        <f t="array" ref="K250">IFERROR(_xlfn.SWITCH(L250,2,_xlfn.XLOOKUP(C250,[1]ModifierDes!$B:$B,[1]ModifierDes!$C:$C),3,_xlfn.XLOOKUP(C250,[1]StuntDes!$B:$B,[1]StuntDes!$C:$C)),"")</f>
        <v/>
      </c>
      <c r="L250">
        <f t="shared" si="18"/>
        <v>1</v>
      </c>
      <c r="M250" s="10" t="str">
        <f>IFERROR(_xlfn.XLOOKUP(C250,[1]StuntDes!$B:$B,[1]StuntDes!$A:$A),"")</f>
        <v/>
      </c>
      <c r="N250" s="10" t="str">
        <f>IFERROR(_xlfn.XLOOKUP(C250,[1]ModifierDes!$B:$B,[1]ModifierDes!$A:$A),"")</f>
        <v/>
      </c>
      <c r="O250" s="10">
        <f>IFERROR(_xlfn.XLOOKUP(C250,[1]AttributeName!$C:$C,[1]AttributeName!$B:$B),"")</f>
        <v>10020</v>
      </c>
      <c r="P250" s="10"/>
      <c r="Q250">
        <v>12</v>
      </c>
      <c r="R250">
        <v>15</v>
      </c>
      <c r="S250" cm="1">
        <f t="array" ref="S250">IFERROR(_xlfn.SWITCH(L250,1,_xlfn.XLOOKUP(O250,[1]AttributeName!$B:$B,[1]AttributeName!$D:$D),2,_xlfn.XLOOKUP(C250,#REF!,#REF!),3,_xlfn.XLOOKUP(C250,#REF!,#REF!)),0)</f>
        <v>0</v>
      </c>
      <c r="T250" cm="1">
        <f t="array" ref="T250">IFERROR(_xlfn.SWITCH(L250,1,_xlfn.XLOOKUP(O250,[1]AttributeName!$B:$B,[1]AttributeName!$E:$E),2,_xlfn.XLOOKUP(C250,#REF!,#REF!),3,_xlfn.XLOOKUP(C250,#REF!,#REF!)),0)</f>
        <v>1</v>
      </c>
    </row>
    <row r="251" customFormat="1" spans="1:20">
      <c r="A251">
        <f t="shared" si="20"/>
        <v>73</v>
      </c>
      <c r="B251">
        <v>6</v>
      </c>
      <c r="C251" t="s">
        <v>413</v>
      </c>
      <c r="D251" t="s">
        <v>22</v>
      </c>
      <c r="E251" s="13" t="s">
        <v>392</v>
      </c>
      <c r="F251"/>
      <c r="G251">
        <v>2</v>
      </c>
      <c r="H251">
        <v>1000</v>
      </c>
      <c r="J251" cm="1">
        <f t="array" ref="J251">_xlfn.SWITCH(B251,1,75,2,61,3,49,4,37,5,25,6,13,7,4,8,1)</f>
        <v>13</v>
      </c>
      <c r="K251" t="str" cm="1">
        <f t="array" ref="K251">IFERROR(_xlfn.SWITCH(L251,2,_xlfn.XLOOKUP(C251,[1]ModifierDes!$B:$B,[1]ModifierDes!$C:$C),3,_xlfn.XLOOKUP(C251,[1]StuntDes!$B:$B,[1]StuntDes!$C:$C)),"")</f>
        <v/>
      </c>
      <c r="L251">
        <f t="shared" si="18"/>
        <v>1</v>
      </c>
      <c r="M251" s="10" t="str">
        <f>IFERROR(_xlfn.XLOOKUP(C251,[1]StuntDes!$B:$B,[1]StuntDes!$A:$A),"")</f>
        <v/>
      </c>
      <c r="N251" s="10" t="str">
        <f>IFERROR(_xlfn.XLOOKUP(C251,[1]ModifierDes!$B:$B,[1]ModifierDes!$A:$A),"")</f>
        <v/>
      </c>
      <c r="O251" s="10">
        <f>IFERROR(_xlfn.XLOOKUP(C251,[1]AttributeName!$C:$C,[1]AttributeName!$B:$B),"")</f>
        <v>10020</v>
      </c>
      <c r="P251" s="10"/>
      <c r="Q251">
        <v>8</v>
      </c>
      <c r="R251">
        <v>11</v>
      </c>
      <c r="S251" cm="1">
        <f t="array" ref="S251">IFERROR(_xlfn.SWITCH(L251,1,_xlfn.XLOOKUP(O251,[1]AttributeName!$B:$B,[1]AttributeName!$D:$D),2,_xlfn.XLOOKUP(C251,#REF!,#REF!),3,_xlfn.XLOOKUP(C251,#REF!,#REF!)),0)</f>
        <v>0</v>
      </c>
      <c r="T251" cm="1">
        <f t="array" ref="T251">IFERROR(_xlfn.SWITCH(L251,1,_xlfn.XLOOKUP(O251,[1]AttributeName!$B:$B,[1]AttributeName!$E:$E),2,_xlfn.XLOOKUP(C251,#REF!,#REF!),3,_xlfn.XLOOKUP(C251,#REF!,#REF!)),0)</f>
        <v>1</v>
      </c>
    </row>
    <row r="252" customFormat="1" spans="1:20">
      <c r="A252">
        <f t="shared" si="20"/>
        <v>73</v>
      </c>
      <c r="B252">
        <v>7</v>
      </c>
      <c r="C252" t="s">
        <v>413</v>
      </c>
      <c r="D252" t="s">
        <v>22</v>
      </c>
      <c r="E252" s="13" t="s">
        <v>392</v>
      </c>
      <c r="F252"/>
      <c r="G252">
        <v>2</v>
      </c>
      <c r="H252">
        <v>1000</v>
      </c>
      <c r="J252" cm="1">
        <f t="array" ref="J252">_xlfn.SWITCH(B252,1,75,2,61,3,49,4,37,5,25,6,13,7,4,8,1)</f>
        <v>4</v>
      </c>
      <c r="K252" t="str" cm="1">
        <f t="array" ref="K252">IFERROR(_xlfn.SWITCH(L252,2,_xlfn.XLOOKUP(C252,[1]ModifierDes!$B:$B,[1]ModifierDes!$C:$C),3,_xlfn.XLOOKUP(C252,[1]StuntDes!$B:$B,[1]StuntDes!$C:$C)),"")</f>
        <v/>
      </c>
      <c r="L252">
        <f t="shared" si="18"/>
        <v>1</v>
      </c>
      <c r="M252" s="10" t="str">
        <f>IFERROR(_xlfn.XLOOKUP(C252,[1]StuntDes!$B:$B,[1]StuntDes!$A:$A),"")</f>
        <v/>
      </c>
      <c r="N252" s="10" t="str">
        <f>IFERROR(_xlfn.XLOOKUP(C252,[1]ModifierDes!$B:$B,[1]ModifierDes!$A:$A),"")</f>
        <v/>
      </c>
      <c r="O252" s="10">
        <f>IFERROR(_xlfn.XLOOKUP(C252,[1]AttributeName!$C:$C,[1]AttributeName!$B:$B),"")</f>
        <v>10020</v>
      </c>
      <c r="P252" s="10"/>
      <c r="Q252">
        <v>4</v>
      </c>
      <c r="R252">
        <v>7</v>
      </c>
      <c r="S252" cm="1">
        <f t="array" ref="S252">IFERROR(_xlfn.SWITCH(L252,1,_xlfn.XLOOKUP(O252,[1]AttributeName!$B:$B,[1]AttributeName!$D:$D),2,_xlfn.XLOOKUP(C252,#REF!,#REF!),3,_xlfn.XLOOKUP(C252,#REF!,#REF!)),0)</f>
        <v>0</v>
      </c>
      <c r="T252" cm="1">
        <f t="array" ref="T252">IFERROR(_xlfn.SWITCH(L252,1,_xlfn.XLOOKUP(O252,[1]AttributeName!$B:$B,[1]AttributeName!$E:$E),2,_xlfn.XLOOKUP(C252,#REF!,#REF!),3,_xlfn.XLOOKUP(C252,#REF!,#REF!)),0)</f>
        <v>1</v>
      </c>
    </row>
    <row r="253" customFormat="1" spans="1:20">
      <c r="A253">
        <f t="shared" si="20"/>
        <v>73</v>
      </c>
      <c r="B253">
        <v>8</v>
      </c>
      <c r="C253" t="s">
        <v>413</v>
      </c>
      <c r="D253" t="s">
        <v>22</v>
      </c>
      <c r="E253" s="13" t="s">
        <v>392</v>
      </c>
      <c r="F253"/>
      <c r="G253">
        <v>2</v>
      </c>
      <c r="H253">
        <v>1000</v>
      </c>
      <c r="J253" cm="1">
        <f t="array" ref="J253">_xlfn.SWITCH(B253,1,75,2,61,3,49,4,37,5,25,6,13,7,4,8,1)</f>
        <v>1</v>
      </c>
      <c r="K253" t="str" cm="1">
        <f t="array" ref="K253">IFERROR(_xlfn.SWITCH(L253,2,_xlfn.XLOOKUP(C253,[1]ModifierDes!$B:$B,[1]ModifierDes!$C:$C),3,_xlfn.XLOOKUP(C253,[1]StuntDes!$B:$B,[1]StuntDes!$C:$C)),"")</f>
        <v/>
      </c>
      <c r="L253">
        <f t="shared" si="18"/>
        <v>1</v>
      </c>
      <c r="M253" s="10" t="str">
        <f>IFERROR(_xlfn.XLOOKUP(C253,[1]StuntDes!$B:$B,[1]StuntDes!$A:$A),"")</f>
        <v/>
      </c>
      <c r="N253" s="10" t="str">
        <f>IFERROR(_xlfn.XLOOKUP(C253,[1]ModifierDes!$B:$B,[1]ModifierDes!$A:$A),"")</f>
        <v/>
      </c>
      <c r="O253" s="10">
        <f>IFERROR(_xlfn.XLOOKUP(C253,[1]AttributeName!$C:$C,[1]AttributeName!$B:$B),"")</f>
        <v>10020</v>
      </c>
      <c r="P253" s="10"/>
      <c r="Q253">
        <v>1</v>
      </c>
      <c r="R253">
        <v>3</v>
      </c>
      <c r="S253" cm="1">
        <f t="array" ref="S253">IFERROR(_xlfn.SWITCH(L253,1,_xlfn.XLOOKUP(O253,[1]AttributeName!$B:$B,[1]AttributeName!$D:$D),2,_xlfn.XLOOKUP(C253,#REF!,#REF!),3,_xlfn.XLOOKUP(C253,#REF!,#REF!)),0)</f>
        <v>0</v>
      </c>
      <c r="T253" cm="1">
        <f t="array" ref="T253">IFERROR(_xlfn.SWITCH(L253,1,_xlfn.XLOOKUP(O253,[1]AttributeName!$B:$B,[1]AttributeName!$E:$E),2,_xlfn.XLOOKUP(C253,#REF!,#REF!),3,_xlfn.XLOOKUP(C253,#REF!,#REF!)),0)</f>
        <v>1</v>
      </c>
    </row>
    <row r="254" customFormat="1" spans="1:20">
      <c r="A254">
        <f t="shared" si="20"/>
        <v>74</v>
      </c>
      <c r="B254">
        <v>1</v>
      </c>
      <c r="C254" t="s">
        <v>414</v>
      </c>
      <c r="D254" t="s">
        <v>22</v>
      </c>
      <c r="E254" s="13" t="s">
        <v>392</v>
      </c>
      <c r="F254"/>
      <c r="G254">
        <v>2</v>
      </c>
      <c r="H254">
        <v>1000</v>
      </c>
      <c r="J254" cm="1">
        <f t="array" ref="J254">_xlfn.SWITCH(B254,1,75,2,61,3,49,4,37,5,25,6,13,7,4,8,1)</f>
        <v>75</v>
      </c>
      <c r="K254" t="str" cm="1">
        <f t="array" ref="K254">IFERROR(_xlfn.SWITCH(L254,2,_xlfn.XLOOKUP(C254,[1]ModifierDes!$B:$B,[1]ModifierDes!$C:$C),3,_xlfn.XLOOKUP(C254,[1]StuntDes!$B:$B,[1]StuntDes!$C:$C)),"")</f>
        <v/>
      </c>
      <c r="L254">
        <f t="shared" si="18"/>
        <v>1</v>
      </c>
      <c r="M254" s="10" t="str">
        <f>IFERROR(_xlfn.XLOOKUP(C254,[1]StuntDes!$B:$B,[1]StuntDes!$A:$A),"")</f>
        <v/>
      </c>
      <c r="N254" s="10" t="str">
        <f>IFERROR(_xlfn.XLOOKUP(C254,[1]ModifierDes!$B:$B,[1]ModifierDes!$A:$A),"")</f>
        <v/>
      </c>
      <c r="O254" s="10">
        <f>IFERROR(_xlfn.XLOOKUP(C254,[1]AttributeName!$C:$C,[1]AttributeName!$B:$B),"")</f>
        <v>10900</v>
      </c>
      <c r="P254" s="10"/>
      <c r="Q254">
        <v>15</v>
      </c>
      <c r="R254">
        <v>16</v>
      </c>
      <c r="S254" cm="1">
        <f t="array" ref="S254">IFERROR(_xlfn.SWITCH(L254,1,_xlfn.XLOOKUP(O254,[1]AttributeName!$B:$B,[1]AttributeName!$D:$D),2,_xlfn.XLOOKUP(C254,#REF!,#REF!),3,_xlfn.XLOOKUP(C254,#REF!,#REF!)),0)</f>
        <v>0</v>
      </c>
      <c r="T254" cm="1">
        <f t="array" ref="T254">IFERROR(_xlfn.SWITCH(L254,1,_xlfn.XLOOKUP(O254,[1]AttributeName!$B:$B,[1]AttributeName!$E:$E),2,_xlfn.XLOOKUP(C254,#REF!,#REF!),3,_xlfn.XLOOKUP(C254,#REF!,#REF!)),0)</f>
        <v>1</v>
      </c>
    </row>
    <row r="255" customFormat="1" spans="1:20">
      <c r="A255">
        <f t="shared" si="20"/>
        <v>74</v>
      </c>
      <c r="B255">
        <v>2</v>
      </c>
      <c r="C255" t="s">
        <v>414</v>
      </c>
      <c r="D255" t="s">
        <v>22</v>
      </c>
      <c r="E255" s="13" t="s">
        <v>392</v>
      </c>
      <c r="F255"/>
      <c r="G255">
        <v>2</v>
      </c>
      <c r="H255">
        <v>1000</v>
      </c>
      <c r="J255" cm="1">
        <f t="array" ref="J255">_xlfn.SWITCH(B255,1,75,2,61,3,49,4,37,5,25,6,13,7,4,8,1)</f>
        <v>61</v>
      </c>
      <c r="K255" t="str" cm="1">
        <f t="array" ref="K255">IFERROR(_xlfn.SWITCH(L255,2,_xlfn.XLOOKUP(C255,[1]ModifierDes!$B:$B,[1]ModifierDes!$C:$C),3,_xlfn.XLOOKUP(C255,[1]StuntDes!$B:$B,[1]StuntDes!$C:$C)),"")</f>
        <v/>
      </c>
      <c r="L255">
        <f t="shared" si="18"/>
        <v>1</v>
      </c>
      <c r="M255" s="10" t="str">
        <f>IFERROR(_xlfn.XLOOKUP(C255,[1]StuntDes!$B:$B,[1]StuntDes!$A:$A),"")</f>
        <v/>
      </c>
      <c r="N255" s="10" t="str">
        <f>IFERROR(_xlfn.XLOOKUP(C255,[1]ModifierDes!$B:$B,[1]ModifierDes!$A:$A),"")</f>
        <v/>
      </c>
      <c r="O255" s="10">
        <f>IFERROR(_xlfn.XLOOKUP(C255,[1]AttributeName!$C:$C,[1]AttributeName!$B:$B),"")</f>
        <v>10900</v>
      </c>
      <c r="P255" s="10"/>
      <c r="Q255">
        <v>13</v>
      </c>
      <c r="R255">
        <v>14</v>
      </c>
      <c r="S255" cm="1">
        <f t="array" ref="S255">IFERROR(_xlfn.SWITCH(L255,1,_xlfn.XLOOKUP(O255,[1]AttributeName!$B:$B,[1]AttributeName!$D:$D),2,_xlfn.XLOOKUP(C255,#REF!,#REF!),3,_xlfn.XLOOKUP(C255,#REF!,#REF!)),0)</f>
        <v>0</v>
      </c>
      <c r="T255" cm="1">
        <f t="array" ref="T255">IFERROR(_xlfn.SWITCH(L255,1,_xlfn.XLOOKUP(O255,[1]AttributeName!$B:$B,[1]AttributeName!$E:$E),2,_xlfn.XLOOKUP(C255,#REF!,#REF!),3,_xlfn.XLOOKUP(C255,#REF!,#REF!)),0)</f>
        <v>1</v>
      </c>
    </row>
    <row r="256" customFormat="1" spans="1:20">
      <c r="A256">
        <f t="shared" si="20"/>
        <v>74</v>
      </c>
      <c r="B256">
        <v>3</v>
      </c>
      <c r="C256" t="s">
        <v>414</v>
      </c>
      <c r="D256" t="s">
        <v>22</v>
      </c>
      <c r="E256" s="13" t="s">
        <v>392</v>
      </c>
      <c r="F256"/>
      <c r="G256">
        <v>2</v>
      </c>
      <c r="H256">
        <v>1000</v>
      </c>
      <c r="J256" cm="1">
        <f t="array" ref="J256">_xlfn.SWITCH(B256,1,75,2,61,3,49,4,37,5,25,6,13,7,4,8,1)</f>
        <v>49</v>
      </c>
      <c r="K256" t="str" cm="1">
        <f t="array" ref="K256">IFERROR(_xlfn.SWITCH(L256,2,_xlfn.XLOOKUP(C256,[1]ModifierDes!$B:$B,[1]ModifierDes!$C:$C),3,_xlfn.XLOOKUP(C256,[1]StuntDes!$B:$B,[1]StuntDes!$C:$C)),"")</f>
        <v/>
      </c>
      <c r="L256">
        <f t="shared" si="18"/>
        <v>1</v>
      </c>
      <c r="M256" s="10" t="str">
        <f>IFERROR(_xlfn.XLOOKUP(C256,[1]StuntDes!$B:$B,[1]StuntDes!$A:$A),"")</f>
        <v/>
      </c>
      <c r="N256" s="10" t="str">
        <f>IFERROR(_xlfn.XLOOKUP(C256,[1]ModifierDes!$B:$B,[1]ModifierDes!$A:$A),"")</f>
        <v/>
      </c>
      <c r="O256" s="10">
        <f>IFERROR(_xlfn.XLOOKUP(C256,[1]AttributeName!$C:$C,[1]AttributeName!$B:$B),"")</f>
        <v>10900</v>
      </c>
      <c r="P256" s="10"/>
      <c r="Q256">
        <v>11</v>
      </c>
      <c r="R256">
        <v>12</v>
      </c>
      <c r="S256" cm="1">
        <f t="array" ref="S256">IFERROR(_xlfn.SWITCH(L256,1,_xlfn.XLOOKUP(O256,[1]AttributeName!$B:$B,[1]AttributeName!$D:$D),2,_xlfn.XLOOKUP(C256,#REF!,#REF!),3,_xlfn.XLOOKUP(C256,#REF!,#REF!)),0)</f>
        <v>0</v>
      </c>
      <c r="T256" cm="1">
        <f t="array" ref="T256">IFERROR(_xlfn.SWITCH(L256,1,_xlfn.XLOOKUP(O256,[1]AttributeName!$B:$B,[1]AttributeName!$E:$E),2,_xlfn.XLOOKUP(C256,#REF!,#REF!),3,_xlfn.XLOOKUP(C256,#REF!,#REF!)),0)</f>
        <v>1</v>
      </c>
    </row>
    <row r="257" customFormat="1" spans="1:20">
      <c r="A257">
        <f t="shared" si="20"/>
        <v>74</v>
      </c>
      <c r="B257">
        <v>4</v>
      </c>
      <c r="C257" t="s">
        <v>414</v>
      </c>
      <c r="D257" t="s">
        <v>22</v>
      </c>
      <c r="E257" s="13" t="s">
        <v>392</v>
      </c>
      <c r="F257"/>
      <c r="G257">
        <v>2</v>
      </c>
      <c r="H257">
        <v>1000</v>
      </c>
      <c r="J257" cm="1">
        <f t="array" ref="J257">_xlfn.SWITCH(B257,1,75,2,61,3,49,4,37,5,25,6,13,7,4,8,1)</f>
        <v>37</v>
      </c>
      <c r="K257" t="str" cm="1">
        <f t="array" ref="K257">IFERROR(_xlfn.SWITCH(L257,2,_xlfn.XLOOKUP(C257,[1]ModifierDes!$B:$B,[1]ModifierDes!$C:$C),3,_xlfn.XLOOKUP(C257,[1]StuntDes!$B:$B,[1]StuntDes!$C:$C)),"")</f>
        <v/>
      </c>
      <c r="L257">
        <f t="shared" si="18"/>
        <v>1</v>
      </c>
      <c r="M257" s="10" t="str">
        <f>IFERROR(_xlfn.XLOOKUP(C257,[1]StuntDes!$B:$B,[1]StuntDes!$A:$A),"")</f>
        <v/>
      </c>
      <c r="N257" s="10" t="str">
        <f>IFERROR(_xlfn.XLOOKUP(C257,[1]ModifierDes!$B:$B,[1]ModifierDes!$A:$A),"")</f>
        <v/>
      </c>
      <c r="O257" s="10">
        <f>IFERROR(_xlfn.XLOOKUP(C257,[1]AttributeName!$C:$C,[1]AttributeName!$B:$B),"")</f>
        <v>10900</v>
      </c>
      <c r="P257" s="10"/>
      <c r="Q257">
        <v>9</v>
      </c>
      <c r="R257">
        <v>10</v>
      </c>
      <c r="S257" cm="1">
        <f t="array" ref="S257">IFERROR(_xlfn.SWITCH(L257,1,_xlfn.XLOOKUP(O257,[1]AttributeName!$B:$B,[1]AttributeName!$D:$D),2,_xlfn.XLOOKUP(C257,#REF!,#REF!),3,_xlfn.XLOOKUP(C257,#REF!,#REF!)),0)</f>
        <v>0</v>
      </c>
      <c r="T257" cm="1">
        <f t="array" ref="T257">IFERROR(_xlfn.SWITCH(L257,1,_xlfn.XLOOKUP(O257,[1]AttributeName!$B:$B,[1]AttributeName!$E:$E),2,_xlfn.XLOOKUP(C257,#REF!,#REF!),3,_xlfn.XLOOKUP(C257,#REF!,#REF!)),0)</f>
        <v>1</v>
      </c>
    </row>
    <row r="258" customFormat="1" spans="1:20">
      <c r="A258">
        <f t="shared" si="20"/>
        <v>74</v>
      </c>
      <c r="B258">
        <v>5</v>
      </c>
      <c r="C258" t="s">
        <v>414</v>
      </c>
      <c r="D258" t="s">
        <v>22</v>
      </c>
      <c r="E258" s="13" t="s">
        <v>392</v>
      </c>
      <c r="F258"/>
      <c r="G258">
        <v>2</v>
      </c>
      <c r="H258">
        <v>1000</v>
      </c>
      <c r="J258" cm="1">
        <f t="array" ref="J258">_xlfn.SWITCH(B258,1,75,2,61,3,49,4,37,5,25,6,13,7,4,8,1)</f>
        <v>25</v>
      </c>
      <c r="K258" t="str" cm="1">
        <f t="array" ref="K258">IFERROR(_xlfn.SWITCH(L258,2,_xlfn.XLOOKUP(C258,[1]ModifierDes!$B:$B,[1]ModifierDes!$C:$C),3,_xlfn.XLOOKUP(C258,[1]StuntDes!$B:$B,[1]StuntDes!$C:$C)),"")</f>
        <v/>
      </c>
      <c r="L258">
        <f t="shared" si="18"/>
        <v>1</v>
      </c>
      <c r="M258" s="10" t="str">
        <f>IFERROR(_xlfn.XLOOKUP(C258,[1]StuntDes!$B:$B,[1]StuntDes!$A:$A),"")</f>
        <v/>
      </c>
      <c r="N258" s="10" t="str">
        <f>IFERROR(_xlfn.XLOOKUP(C258,[1]ModifierDes!$B:$B,[1]ModifierDes!$A:$A),"")</f>
        <v/>
      </c>
      <c r="O258" s="10">
        <f>IFERROR(_xlfn.XLOOKUP(C258,[1]AttributeName!$C:$C,[1]AttributeName!$B:$B),"")</f>
        <v>10900</v>
      </c>
      <c r="P258" s="10"/>
      <c r="Q258">
        <v>7</v>
      </c>
      <c r="R258">
        <v>8</v>
      </c>
      <c r="S258" cm="1">
        <f t="array" ref="S258">IFERROR(_xlfn.SWITCH(L258,1,_xlfn.XLOOKUP(O258,[1]AttributeName!$B:$B,[1]AttributeName!$D:$D),2,_xlfn.XLOOKUP(C258,#REF!,#REF!),3,_xlfn.XLOOKUP(C258,#REF!,#REF!)),0)</f>
        <v>0</v>
      </c>
      <c r="T258" cm="1">
        <f t="array" ref="T258">IFERROR(_xlfn.SWITCH(L258,1,_xlfn.XLOOKUP(O258,[1]AttributeName!$B:$B,[1]AttributeName!$E:$E),2,_xlfn.XLOOKUP(C258,#REF!,#REF!),3,_xlfn.XLOOKUP(C258,#REF!,#REF!)),0)</f>
        <v>1</v>
      </c>
    </row>
    <row r="259" customFormat="1" spans="1:20">
      <c r="A259">
        <f t="shared" si="20"/>
        <v>74</v>
      </c>
      <c r="B259">
        <v>6</v>
      </c>
      <c r="C259" t="s">
        <v>414</v>
      </c>
      <c r="D259" t="s">
        <v>22</v>
      </c>
      <c r="E259" s="13" t="s">
        <v>392</v>
      </c>
      <c r="F259"/>
      <c r="G259">
        <v>2</v>
      </c>
      <c r="H259">
        <v>1000</v>
      </c>
      <c r="J259" cm="1">
        <f t="array" ref="J259">_xlfn.SWITCH(B259,1,75,2,61,3,49,4,37,5,25,6,13,7,4,8,1)</f>
        <v>13</v>
      </c>
      <c r="K259" t="str" cm="1">
        <f t="array" ref="K259">IFERROR(_xlfn.SWITCH(L259,2,_xlfn.XLOOKUP(C259,[1]ModifierDes!$B:$B,[1]ModifierDes!$C:$C),3,_xlfn.XLOOKUP(C259,[1]StuntDes!$B:$B,[1]StuntDes!$C:$C)),"")</f>
        <v/>
      </c>
      <c r="L259">
        <f t="shared" si="18"/>
        <v>1</v>
      </c>
      <c r="M259" s="10" t="str">
        <f>IFERROR(_xlfn.XLOOKUP(C259,[1]StuntDes!$B:$B,[1]StuntDes!$A:$A),"")</f>
        <v/>
      </c>
      <c r="N259" s="10" t="str">
        <f>IFERROR(_xlfn.XLOOKUP(C259,[1]ModifierDes!$B:$B,[1]ModifierDes!$A:$A),"")</f>
        <v/>
      </c>
      <c r="O259" s="10">
        <f>IFERROR(_xlfn.XLOOKUP(C259,[1]AttributeName!$C:$C,[1]AttributeName!$B:$B),"")</f>
        <v>10900</v>
      </c>
      <c r="P259" s="10"/>
      <c r="Q259">
        <v>5</v>
      </c>
      <c r="R259">
        <v>6</v>
      </c>
      <c r="S259" cm="1">
        <f t="array" ref="S259">IFERROR(_xlfn.SWITCH(L259,1,_xlfn.XLOOKUP(O259,[1]AttributeName!$B:$B,[1]AttributeName!$D:$D),2,_xlfn.XLOOKUP(C259,#REF!,#REF!),3,_xlfn.XLOOKUP(C259,#REF!,#REF!)),0)</f>
        <v>0</v>
      </c>
      <c r="T259" cm="1">
        <f t="array" ref="T259">IFERROR(_xlfn.SWITCH(L259,1,_xlfn.XLOOKUP(O259,[1]AttributeName!$B:$B,[1]AttributeName!$E:$E),2,_xlfn.XLOOKUP(C259,#REF!,#REF!),3,_xlfn.XLOOKUP(C259,#REF!,#REF!)),0)</f>
        <v>1</v>
      </c>
    </row>
    <row r="260" customFormat="1" spans="1:20">
      <c r="A260">
        <f t="shared" si="20"/>
        <v>74</v>
      </c>
      <c r="B260">
        <v>7</v>
      </c>
      <c r="C260" t="s">
        <v>414</v>
      </c>
      <c r="D260" t="s">
        <v>22</v>
      </c>
      <c r="E260" s="13" t="s">
        <v>392</v>
      </c>
      <c r="F260"/>
      <c r="G260">
        <v>2</v>
      </c>
      <c r="H260">
        <v>1000</v>
      </c>
      <c r="J260" cm="1">
        <f t="array" ref="J260">_xlfn.SWITCH(B260,1,75,2,61,3,49,4,37,5,25,6,13,7,4,8,1)</f>
        <v>4</v>
      </c>
      <c r="K260" t="str" cm="1">
        <f t="array" ref="K260">IFERROR(_xlfn.SWITCH(L260,2,_xlfn.XLOOKUP(C260,[1]ModifierDes!$B:$B,[1]ModifierDes!$C:$C),3,_xlfn.XLOOKUP(C260,[1]StuntDes!$B:$B,[1]StuntDes!$C:$C)),"")</f>
        <v/>
      </c>
      <c r="L260">
        <f t="shared" ref="L260:L323" si="21">IF(M260="",IF(N260="",1,2),3)</f>
        <v>1</v>
      </c>
      <c r="M260" s="10" t="str">
        <f>IFERROR(_xlfn.XLOOKUP(C260,[1]StuntDes!$B:$B,[1]StuntDes!$A:$A),"")</f>
        <v/>
      </c>
      <c r="N260" s="10" t="str">
        <f>IFERROR(_xlfn.XLOOKUP(C260,[1]ModifierDes!$B:$B,[1]ModifierDes!$A:$A),"")</f>
        <v/>
      </c>
      <c r="O260" s="10">
        <f>IFERROR(_xlfn.XLOOKUP(C260,[1]AttributeName!$C:$C,[1]AttributeName!$B:$B),"")</f>
        <v>10900</v>
      </c>
      <c r="P260" s="10"/>
      <c r="Q260">
        <v>3</v>
      </c>
      <c r="R260">
        <v>4</v>
      </c>
      <c r="S260" cm="1">
        <f t="array" ref="S260">IFERROR(_xlfn.SWITCH(L260,1,_xlfn.XLOOKUP(O260,[1]AttributeName!$B:$B,[1]AttributeName!$D:$D),2,_xlfn.XLOOKUP(C260,#REF!,#REF!),3,_xlfn.XLOOKUP(C260,#REF!,#REF!)),0)</f>
        <v>0</v>
      </c>
      <c r="T260" cm="1">
        <f t="array" ref="T260">IFERROR(_xlfn.SWITCH(L260,1,_xlfn.XLOOKUP(O260,[1]AttributeName!$B:$B,[1]AttributeName!$E:$E),2,_xlfn.XLOOKUP(C260,#REF!,#REF!),3,_xlfn.XLOOKUP(C260,#REF!,#REF!)),0)</f>
        <v>1</v>
      </c>
    </row>
    <row r="261" customFormat="1" spans="1:20">
      <c r="A261">
        <f t="shared" si="20"/>
        <v>74</v>
      </c>
      <c r="B261">
        <v>8</v>
      </c>
      <c r="C261" t="s">
        <v>414</v>
      </c>
      <c r="D261" t="s">
        <v>22</v>
      </c>
      <c r="E261" s="13" t="s">
        <v>392</v>
      </c>
      <c r="F261"/>
      <c r="G261">
        <v>2</v>
      </c>
      <c r="H261">
        <v>1000</v>
      </c>
      <c r="J261" cm="1">
        <f t="array" ref="J261">_xlfn.SWITCH(B261,1,75,2,61,3,49,4,37,5,25,6,13,7,4,8,1)</f>
        <v>1</v>
      </c>
      <c r="K261" t="str" cm="1">
        <f t="array" ref="K261">IFERROR(_xlfn.SWITCH(L261,2,_xlfn.XLOOKUP(C261,[1]ModifierDes!$B:$B,[1]ModifierDes!$C:$C),3,_xlfn.XLOOKUP(C261,[1]StuntDes!$B:$B,[1]StuntDes!$C:$C)),"")</f>
        <v/>
      </c>
      <c r="L261">
        <f t="shared" si="21"/>
        <v>1</v>
      </c>
      <c r="M261" s="10" t="str">
        <f>IFERROR(_xlfn.XLOOKUP(C261,[1]StuntDes!$B:$B,[1]StuntDes!$A:$A),"")</f>
        <v/>
      </c>
      <c r="N261" s="10" t="str">
        <f>IFERROR(_xlfn.XLOOKUP(C261,[1]ModifierDes!$B:$B,[1]ModifierDes!$A:$A),"")</f>
        <v/>
      </c>
      <c r="O261" s="10">
        <f>IFERROR(_xlfn.XLOOKUP(C261,[1]AttributeName!$C:$C,[1]AttributeName!$B:$B),"")</f>
        <v>10900</v>
      </c>
      <c r="P261" s="10"/>
      <c r="Q261">
        <v>1</v>
      </c>
      <c r="R261">
        <v>2</v>
      </c>
      <c r="S261" cm="1">
        <f t="array" ref="S261">IFERROR(_xlfn.SWITCH(L261,1,_xlfn.XLOOKUP(O261,[1]AttributeName!$B:$B,[1]AttributeName!$D:$D),2,_xlfn.XLOOKUP(C261,#REF!,#REF!),3,_xlfn.XLOOKUP(C261,#REF!,#REF!)),0)</f>
        <v>0</v>
      </c>
      <c r="T261" cm="1">
        <f t="array" ref="T261">IFERROR(_xlfn.SWITCH(L261,1,_xlfn.XLOOKUP(O261,[1]AttributeName!$B:$B,[1]AttributeName!$E:$E),2,_xlfn.XLOOKUP(C261,#REF!,#REF!),3,_xlfn.XLOOKUP(C261,#REF!,#REF!)),0)</f>
        <v>1</v>
      </c>
    </row>
    <row r="262" spans="1:20">
      <c r="A262">
        <v>101</v>
      </c>
      <c r="B262">
        <v>1</v>
      </c>
      <c r="C262" t="s">
        <v>389</v>
      </c>
      <c r="D262" t="s">
        <v>415</v>
      </c>
      <c r="E262" t="s">
        <v>378</v>
      </c>
      <c r="G262">
        <v>1</v>
      </c>
      <c r="H262">
        <v>1000</v>
      </c>
      <c r="J262" cm="1">
        <f t="array" ref="J262">_xlfn.SWITCH(B262,1,75,2,61,3,49,4,37,5,25,6,13,7,4,8,1)</f>
        <v>75</v>
      </c>
      <c r="K262" t="str" cm="1">
        <f t="array" ref="K262">IFERROR(_xlfn.SWITCH(L262,2,_xlfn.XLOOKUP(C262,[1]ModifierDes!$B:$B,[1]ModifierDes!$C:$C),3,_xlfn.XLOOKUP(C262,[1]StuntDes!$B:$B,[1]StuntDes!$C:$C)),"")</f>
        <v/>
      </c>
      <c r="L262">
        <f t="shared" si="21"/>
        <v>1</v>
      </c>
      <c r="M262" s="10" t="str">
        <f>IFERROR(_xlfn.XLOOKUP(C262,[1]StuntDes!$B:$B,[1]StuntDes!$A:$A),"")</f>
        <v/>
      </c>
      <c r="N262" s="10" t="str">
        <f>IFERROR(_xlfn.XLOOKUP(C262,[1]ModifierDes!$B:$B,[1]ModifierDes!$A:$A),"")</f>
        <v/>
      </c>
      <c r="O262" s="10">
        <f>IFERROR(_xlfn.XLOOKUP(C262,[1]AttributeName!$C:$C,[1]AttributeName!$B:$B),"")</f>
        <v>10001</v>
      </c>
      <c r="P262" s="10"/>
      <c r="Q262">
        <v>950</v>
      </c>
      <c r="R262">
        <v>1050</v>
      </c>
      <c r="S262" cm="1">
        <f t="array" ref="S262">IFERROR(_xlfn.SWITCH(L262,1,_xlfn.XLOOKUP(O262,[1]AttributeName!$B:$B,[1]AttributeName!$D:$D),2,_xlfn.XLOOKUP(C262,#REF!,#REF!),3,_xlfn.XLOOKUP(C262,#REF!,#REF!)),0)</f>
        <v>0</v>
      </c>
      <c r="T262" cm="1">
        <f t="array" ref="T262">IFERROR(_xlfn.SWITCH(L262,1,_xlfn.XLOOKUP(O262,[1]AttributeName!$B:$B,[1]AttributeName!$E:$E),2,_xlfn.XLOOKUP(C262,#REF!,#REF!),3,_xlfn.XLOOKUP(C262,#REF!,#REF!)),0)</f>
        <v>1</v>
      </c>
    </row>
    <row r="263" spans="1:20">
      <c r="A263">
        <v>101</v>
      </c>
      <c r="B263">
        <v>2</v>
      </c>
      <c r="C263" t="s">
        <v>389</v>
      </c>
      <c r="D263" t="s">
        <v>415</v>
      </c>
      <c r="E263" t="s">
        <v>378</v>
      </c>
      <c r="G263">
        <v>1</v>
      </c>
      <c r="H263">
        <v>1000</v>
      </c>
      <c r="J263" cm="1">
        <f t="array" ref="J263">_xlfn.SWITCH(B263,1,75,2,61,3,49,4,37,5,25,6,13,7,4,8,1)</f>
        <v>61</v>
      </c>
      <c r="K263" t="str" cm="1">
        <f t="array" ref="K263">IFERROR(_xlfn.SWITCH(L263,2,_xlfn.XLOOKUP(C263,[1]ModifierDes!$B:$B,[1]ModifierDes!$C:$C),3,_xlfn.XLOOKUP(C263,[1]StuntDes!$B:$B,[1]StuntDes!$C:$C)),"")</f>
        <v/>
      </c>
      <c r="L263">
        <f t="shared" si="21"/>
        <v>1</v>
      </c>
      <c r="M263" s="10" t="str">
        <f>IFERROR(_xlfn.XLOOKUP(C263,[1]StuntDes!$B:$B,[1]StuntDes!$A:$A),"")</f>
        <v/>
      </c>
      <c r="N263" s="10" t="str">
        <f>IFERROR(_xlfn.XLOOKUP(C263,[1]ModifierDes!$B:$B,[1]ModifierDes!$A:$A),"")</f>
        <v/>
      </c>
      <c r="O263" s="10">
        <f>IFERROR(_xlfn.XLOOKUP(C263,[1]AttributeName!$C:$C,[1]AttributeName!$B:$B),"")</f>
        <v>10001</v>
      </c>
      <c r="P263" s="10"/>
      <c r="Q263">
        <v>520</v>
      </c>
      <c r="R263">
        <v>600</v>
      </c>
      <c r="S263" cm="1">
        <f t="array" ref="S263">IFERROR(_xlfn.SWITCH(L263,1,_xlfn.XLOOKUP(O263,[1]AttributeName!$B:$B,[1]AttributeName!$D:$D),2,_xlfn.XLOOKUP(C263,#REF!,#REF!),3,_xlfn.XLOOKUP(C263,#REF!,#REF!)),0)</f>
        <v>0</v>
      </c>
      <c r="T263" cm="1">
        <f t="array" ref="T263">IFERROR(_xlfn.SWITCH(L263,1,_xlfn.XLOOKUP(O263,[1]AttributeName!$B:$B,[1]AttributeName!$E:$E),2,_xlfn.XLOOKUP(C263,#REF!,#REF!),3,_xlfn.XLOOKUP(C263,#REF!,#REF!)),0)</f>
        <v>1</v>
      </c>
    </row>
    <row r="264" spans="1:20">
      <c r="A264">
        <v>101</v>
      </c>
      <c r="B264">
        <v>3</v>
      </c>
      <c r="C264" t="s">
        <v>389</v>
      </c>
      <c r="D264" t="s">
        <v>415</v>
      </c>
      <c r="E264" t="s">
        <v>378</v>
      </c>
      <c r="G264">
        <v>1</v>
      </c>
      <c r="H264">
        <v>1000</v>
      </c>
      <c r="J264" cm="1">
        <f t="array" ref="J264">_xlfn.SWITCH(B264,1,75,2,61,3,49,4,37,5,25,6,13,7,4,8,1)</f>
        <v>49</v>
      </c>
      <c r="K264" t="str" cm="1">
        <f t="array" ref="K264">IFERROR(_xlfn.SWITCH(L264,2,_xlfn.XLOOKUP(C264,[1]ModifierDes!$B:$B,[1]ModifierDes!$C:$C),3,_xlfn.XLOOKUP(C264,[1]StuntDes!$B:$B,[1]StuntDes!$C:$C)),"")</f>
        <v/>
      </c>
      <c r="L264">
        <f t="shared" si="21"/>
        <v>1</v>
      </c>
      <c r="M264" s="10" t="str">
        <f>IFERROR(_xlfn.XLOOKUP(C264,[1]StuntDes!$B:$B,[1]StuntDes!$A:$A),"")</f>
        <v/>
      </c>
      <c r="N264" s="10" t="str">
        <f>IFERROR(_xlfn.XLOOKUP(C264,[1]ModifierDes!$B:$B,[1]ModifierDes!$A:$A),"")</f>
        <v/>
      </c>
      <c r="O264" s="10">
        <f>IFERROR(_xlfn.XLOOKUP(C264,[1]AttributeName!$C:$C,[1]AttributeName!$B:$B),"")</f>
        <v>10001</v>
      </c>
      <c r="P264" s="10"/>
      <c r="Q264">
        <v>250</v>
      </c>
      <c r="R264">
        <v>310</v>
      </c>
      <c r="S264" cm="1">
        <f t="array" ref="S264">IFERROR(_xlfn.SWITCH(L264,1,_xlfn.XLOOKUP(O264,[1]AttributeName!$B:$B,[1]AttributeName!$D:$D),2,_xlfn.XLOOKUP(C264,#REF!,#REF!),3,_xlfn.XLOOKUP(C264,#REF!,#REF!)),0)</f>
        <v>0</v>
      </c>
      <c r="T264" cm="1">
        <f t="array" ref="T264">IFERROR(_xlfn.SWITCH(L264,1,_xlfn.XLOOKUP(O264,[1]AttributeName!$B:$B,[1]AttributeName!$E:$E),2,_xlfn.XLOOKUP(C264,#REF!,#REF!),3,_xlfn.XLOOKUP(C264,#REF!,#REF!)),0)</f>
        <v>1</v>
      </c>
    </row>
    <row r="265" spans="1:20">
      <c r="A265">
        <v>101</v>
      </c>
      <c r="B265">
        <v>4</v>
      </c>
      <c r="C265" t="s">
        <v>389</v>
      </c>
      <c r="D265" t="s">
        <v>415</v>
      </c>
      <c r="E265" t="s">
        <v>378</v>
      </c>
      <c r="G265">
        <v>1</v>
      </c>
      <c r="H265">
        <v>1000</v>
      </c>
      <c r="J265" cm="1">
        <f t="array" ref="J265">_xlfn.SWITCH(B265,1,75,2,61,3,49,4,37,5,25,6,13,7,4,8,1)</f>
        <v>37</v>
      </c>
      <c r="K265" t="str" cm="1">
        <f t="array" ref="K265">IFERROR(_xlfn.SWITCH(L265,2,_xlfn.XLOOKUP(C265,[1]ModifierDes!$B:$B,[1]ModifierDes!$C:$C),3,_xlfn.XLOOKUP(C265,[1]StuntDes!$B:$B,[1]StuntDes!$C:$C)),"")</f>
        <v/>
      </c>
      <c r="L265">
        <f t="shared" si="21"/>
        <v>1</v>
      </c>
      <c r="M265" s="10" t="str">
        <f>IFERROR(_xlfn.XLOOKUP(C265,[1]StuntDes!$B:$B,[1]StuntDes!$A:$A),"")</f>
        <v/>
      </c>
      <c r="N265" s="10" t="str">
        <f>IFERROR(_xlfn.XLOOKUP(C265,[1]ModifierDes!$B:$B,[1]ModifierDes!$A:$A),"")</f>
        <v/>
      </c>
      <c r="O265" s="10">
        <f>IFERROR(_xlfn.XLOOKUP(C265,[1]AttributeName!$C:$C,[1]AttributeName!$B:$B),"")</f>
        <v>10001</v>
      </c>
      <c r="P265" s="10"/>
      <c r="Q265">
        <v>120</v>
      </c>
      <c r="R265">
        <v>160</v>
      </c>
      <c r="S265" cm="1">
        <f t="array" ref="S265">IFERROR(_xlfn.SWITCH(L265,1,_xlfn.XLOOKUP(O265,[1]AttributeName!$B:$B,[1]AttributeName!$D:$D),2,_xlfn.XLOOKUP(C265,#REF!,#REF!),3,_xlfn.XLOOKUP(C265,#REF!,#REF!)),0)</f>
        <v>0</v>
      </c>
      <c r="T265" cm="1">
        <f t="array" ref="T265">IFERROR(_xlfn.SWITCH(L265,1,_xlfn.XLOOKUP(O265,[1]AttributeName!$B:$B,[1]AttributeName!$E:$E),2,_xlfn.XLOOKUP(C265,#REF!,#REF!),3,_xlfn.XLOOKUP(C265,#REF!,#REF!)),0)</f>
        <v>1</v>
      </c>
    </row>
    <row r="266" spans="1:20">
      <c r="A266">
        <v>101</v>
      </c>
      <c r="B266">
        <v>5</v>
      </c>
      <c r="C266" t="s">
        <v>389</v>
      </c>
      <c r="D266" t="s">
        <v>415</v>
      </c>
      <c r="E266" t="s">
        <v>378</v>
      </c>
      <c r="G266">
        <v>1</v>
      </c>
      <c r="H266">
        <v>1000</v>
      </c>
      <c r="J266" cm="1">
        <f t="array" ref="J266">_xlfn.SWITCH(B266,1,75,2,61,3,49,4,37,5,25,6,13,7,4,8,1)</f>
        <v>25</v>
      </c>
      <c r="K266" t="str" cm="1">
        <f t="array" ref="K266">IFERROR(_xlfn.SWITCH(L266,2,_xlfn.XLOOKUP(C266,[1]ModifierDes!$B:$B,[1]ModifierDes!$C:$C),3,_xlfn.XLOOKUP(C266,[1]StuntDes!$B:$B,[1]StuntDes!$C:$C)),"")</f>
        <v/>
      </c>
      <c r="L266">
        <f t="shared" si="21"/>
        <v>1</v>
      </c>
      <c r="M266" s="10" t="str">
        <f>IFERROR(_xlfn.XLOOKUP(C266,[1]StuntDes!$B:$B,[1]StuntDes!$A:$A),"")</f>
        <v/>
      </c>
      <c r="N266" s="10" t="str">
        <f>IFERROR(_xlfn.XLOOKUP(C266,[1]ModifierDes!$B:$B,[1]ModifierDes!$A:$A),"")</f>
        <v/>
      </c>
      <c r="O266" s="10">
        <f>IFERROR(_xlfn.XLOOKUP(C266,[1]AttributeName!$C:$C,[1]AttributeName!$B:$B),"")</f>
        <v>10001</v>
      </c>
      <c r="P266" s="10"/>
      <c r="Q266">
        <v>60</v>
      </c>
      <c r="R266">
        <v>80</v>
      </c>
      <c r="S266" cm="1">
        <f t="array" ref="S266">IFERROR(_xlfn.SWITCH(L266,1,_xlfn.XLOOKUP(O266,[1]AttributeName!$B:$B,[1]AttributeName!$D:$D),2,_xlfn.XLOOKUP(C266,#REF!,#REF!),3,_xlfn.XLOOKUP(C266,#REF!,#REF!)),0)</f>
        <v>0</v>
      </c>
      <c r="T266" cm="1">
        <f t="array" ref="T266">IFERROR(_xlfn.SWITCH(L266,1,_xlfn.XLOOKUP(O266,[1]AttributeName!$B:$B,[1]AttributeName!$E:$E),2,_xlfn.XLOOKUP(C266,#REF!,#REF!),3,_xlfn.XLOOKUP(C266,#REF!,#REF!)),0)</f>
        <v>1</v>
      </c>
    </row>
    <row r="267" spans="1:20">
      <c r="A267">
        <v>101</v>
      </c>
      <c r="B267">
        <v>6</v>
      </c>
      <c r="C267" t="s">
        <v>389</v>
      </c>
      <c r="D267" t="s">
        <v>415</v>
      </c>
      <c r="E267" t="s">
        <v>378</v>
      </c>
      <c r="G267">
        <v>1</v>
      </c>
      <c r="H267">
        <v>1000</v>
      </c>
      <c r="J267" cm="1">
        <f t="array" ref="J267">_xlfn.SWITCH(B267,1,75,2,61,3,49,4,37,5,25,6,13,7,4,8,1)</f>
        <v>13</v>
      </c>
      <c r="K267" t="str" cm="1">
        <f t="array" ref="K267">IFERROR(_xlfn.SWITCH(L267,2,_xlfn.XLOOKUP(C267,[1]ModifierDes!$B:$B,[1]ModifierDes!$C:$C),3,_xlfn.XLOOKUP(C267,[1]StuntDes!$B:$B,[1]StuntDes!$C:$C)),"")</f>
        <v/>
      </c>
      <c r="L267">
        <f t="shared" si="21"/>
        <v>1</v>
      </c>
      <c r="M267" s="10" t="str">
        <f>IFERROR(_xlfn.XLOOKUP(C267,[1]StuntDes!$B:$B,[1]StuntDes!$A:$A),"")</f>
        <v/>
      </c>
      <c r="N267" s="10" t="str">
        <f>IFERROR(_xlfn.XLOOKUP(C267,[1]ModifierDes!$B:$B,[1]ModifierDes!$A:$A),"")</f>
        <v/>
      </c>
      <c r="O267" s="10">
        <f>IFERROR(_xlfn.XLOOKUP(C267,[1]AttributeName!$C:$C,[1]AttributeName!$B:$B),"")</f>
        <v>10001</v>
      </c>
      <c r="P267" s="10"/>
      <c r="Q267">
        <v>30</v>
      </c>
      <c r="R267">
        <v>40</v>
      </c>
      <c r="S267" cm="1">
        <f t="array" ref="S267">IFERROR(_xlfn.SWITCH(L267,1,_xlfn.XLOOKUP(O267,[1]AttributeName!$B:$B,[1]AttributeName!$D:$D),2,_xlfn.XLOOKUP(C267,#REF!,#REF!),3,_xlfn.XLOOKUP(C267,#REF!,#REF!)),0)</f>
        <v>0</v>
      </c>
      <c r="T267" cm="1">
        <f t="array" ref="T267">IFERROR(_xlfn.SWITCH(L267,1,_xlfn.XLOOKUP(O267,[1]AttributeName!$B:$B,[1]AttributeName!$E:$E),2,_xlfn.XLOOKUP(C267,#REF!,#REF!),3,_xlfn.XLOOKUP(C267,#REF!,#REF!)),0)</f>
        <v>1</v>
      </c>
    </row>
    <row r="268" spans="1:20">
      <c r="A268">
        <v>101</v>
      </c>
      <c r="B268">
        <v>7</v>
      </c>
      <c r="C268" t="s">
        <v>389</v>
      </c>
      <c r="D268" t="s">
        <v>415</v>
      </c>
      <c r="E268" t="s">
        <v>378</v>
      </c>
      <c r="G268">
        <v>1</v>
      </c>
      <c r="H268">
        <v>1000</v>
      </c>
      <c r="J268" cm="1">
        <f t="array" ref="J268">_xlfn.SWITCH(B268,1,75,2,61,3,49,4,37,5,25,6,13,7,4,8,1)</f>
        <v>4</v>
      </c>
      <c r="K268" t="str" cm="1">
        <f t="array" ref="K268">IFERROR(_xlfn.SWITCH(L268,2,_xlfn.XLOOKUP(C268,[1]ModifierDes!$B:$B,[1]ModifierDes!$C:$C),3,_xlfn.XLOOKUP(C268,[1]StuntDes!$B:$B,[1]StuntDes!$C:$C)),"")</f>
        <v/>
      </c>
      <c r="L268">
        <f t="shared" si="21"/>
        <v>1</v>
      </c>
      <c r="M268" s="10" t="str">
        <f>IFERROR(_xlfn.XLOOKUP(C268,[1]StuntDes!$B:$B,[1]StuntDes!$A:$A),"")</f>
        <v/>
      </c>
      <c r="N268" s="10" t="str">
        <f>IFERROR(_xlfn.XLOOKUP(C268,[1]ModifierDes!$B:$B,[1]ModifierDes!$A:$A),"")</f>
        <v/>
      </c>
      <c r="O268" s="10">
        <f>IFERROR(_xlfn.XLOOKUP(C268,[1]AttributeName!$C:$C,[1]AttributeName!$B:$B),"")</f>
        <v>10001</v>
      </c>
      <c r="P268" s="10"/>
      <c r="Q268">
        <v>12</v>
      </c>
      <c r="R268">
        <v>20</v>
      </c>
      <c r="S268" cm="1">
        <f t="array" ref="S268">IFERROR(_xlfn.SWITCH(L268,1,_xlfn.XLOOKUP(O268,[1]AttributeName!$B:$B,[1]AttributeName!$D:$D),2,_xlfn.XLOOKUP(C268,#REF!,#REF!),3,_xlfn.XLOOKUP(C268,#REF!,#REF!)),0)</f>
        <v>0</v>
      </c>
      <c r="T268" cm="1">
        <f t="array" ref="T268">IFERROR(_xlfn.SWITCH(L268,1,_xlfn.XLOOKUP(O268,[1]AttributeName!$B:$B,[1]AttributeName!$E:$E),2,_xlfn.XLOOKUP(C268,#REF!,#REF!),3,_xlfn.XLOOKUP(C268,#REF!,#REF!)),0)</f>
        <v>1</v>
      </c>
    </row>
    <row r="269" customFormat="1" spans="1:20">
      <c r="A269">
        <v>101</v>
      </c>
      <c r="B269">
        <v>8</v>
      </c>
      <c r="C269" t="s">
        <v>389</v>
      </c>
      <c r="D269" t="s">
        <v>415</v>
      </c>
      <c r="E269" t="s">
        <v>378</v>
      </c>
      <c r="F269"/>
      <c r="G269">
        <v>1</v>
      </c>
      <c r="H269">
        <v>1000</v>
      </c>
      <c r="J269" cm="1">
        <f t="array" ref="J269">_xlfn.SWITCH(B269,1,75,2,61,3,49,4,37,5,25,6,13,7,4,8,1)</f>
        <v>1</v>
      </c>
      <c r="K269" t="str" cm="1">
        <f t="array" ref="K269">IFERROR(_xlfn.SWITCH(L269,2,_xlfn.XLOOKUP(C269,[1]ModifierDes!$B:$B,[1]ModifierDes!$C:$C),3,_xlfn.XLOOKUP(C269,[1]StuntDes!$B:$B,[1]StuntDes!$C:$C)),"")</f>
        <v/>
      </c>
      <c r="L269">
        <f t="shared" si="21"/>
        <v>1</v>
      </c>
      <c r="M269" s="10" t="str">
        <f>IFERROR(_xlfn.XLOOKUP(C269,[1]StuntDes!$B:$B,[1]StuntDes!$A:$A),"")</f>
        <v/>
      </c>
      <c r="N269" s="10" t="str">
        <f>IFERROR(_xlfn.XLOOKUP(C269,[1]ModifierDes!$B:$B,[1]ModifierDes!$A:$A),"")</f>
        <v/>
      </c>
      <c r="O269" s="10">
        <f>IFERROR(_xlfn.XLOOKUP(C269,[1]AttributeName!$C:$C,[1]AttributeName!$B:$B),"")</f>
        <v>10001</v>
      </c>
      <c r="P269" s="10"/>
      <c r="Q269">
        <v>6</v>
      </c>
      <c r="R269">
        <v>10</v>
      </c>
      <c r="S269" cm="1">
        <f t="array" ref="S269">IFERROR(_xlfn.SWITCH(L269,1,_xlfn.XLOOKUP(O269,[1]AttributeName!$B:$B,[1]AttributeName!$D:$D),2,_xlfn.XLOOKUP(C269,#REF!,#REF!),3,_xlfn.XLOOKUP(C269,#REF!,#REF!)),0)</f>
        <v>0</v>
      </c>
      <c r="T269" cm="1">
        <f t="array" ref="T269">IFERROR(_xlfn.SWITCH(L269,1,_xlfn.XLOOKUP(O269,[1]AttributeName!$B:$B,[1]AttributeName!$E:$E),2,_xlfn.XLOOKUP(C269,#REF!,#REF!),3,_xlfn.XLOOKUP(C269,#REF!,#REF!)),0)</f>
        <v>1</v>
      </c>
    </row>
    <row r="270" customFormat="1" spans="1:20">
      <c r="A270">
        <f>A262+1</f>
        <v>102</v>
      </c>
      <c r="B270">
        <v>1</v>
      </c>
      <c r="C270" t="s">
        <v>416</v>
      </c>
      <c r="D270" t="s">
        <v>415</v>
      </c>
      <c r="E270" t="s">
        <v>378</v>
      </c>
      <c r="F270"/>
      <c r="G270">
        <v>1</v>
      </c>
      <c r="H270">
        <v>1000</v>
      </c>
      <c r="J270" cm="1">
        <f t="array" ref="J270">_xlfn.SWITCH(B270,1,75,2,61,3,49,4,37,5,25,6,13,7,4,8,1)</f>
        <v>75</v>
      </c>
      <c r="K270" t="str" cm="1">
        <f t="array" ref="K270">IFERROR(_xlfn.SWITCH(L270,2,_xlfn.XLOOKUP(C270,[1]ModifierDes!$B:$B,[1]ModifierDes!$C:$C),3,_xlfn.XLOOKUP(C270,[1]StuntDes!$B:$B,[1]StuntDes!$C:$C)),"")</f>
        <v/>
      </c>
      <c r="L270">
        <f t="shared" si="21"/>
        <v>1</v>
      </c>
      <c r="M270" s="10" t="str">
        <f>IFERROR(_xlfn.XLOOKUP(C270,[1]StuntDes!$B:$B,[1]StuntDes!$A:$A),"")</f>
        <v/>
      </c>
      <c r="N270" s="10" t="str">
        <f>IFERROR(_xlfn.XLOOKUP(C270,[1]ModifierDes!$B:$B,[1]ModifierDes!$A:$A),"")</f>
        <v/>
      </c>
      <c r="O270" s="10">
        <f>IFERROR(_xlfn.XLOOKUP(C270,[1]AttributeName!$C:$C,[1]AttributeName!$B:$B),"")</f>
        <v>10002</v>
      </c>
      <c r="P270" s="10"/>
      <c r="Q270">
        <v>71</v>
      </c>
      <c r="R270">
        <v>80</v>
      </c>
      <c r="S270" cm="1">
        <f t="array" ref="S270">IFERROR(_xlfn.SWITCH(L270,1,_xlfn.XLOOKUP(O270,[1]AttributeName!$B:$B,[1]AttributeName!$D:$D),2,_xlfn.XLOOKUP(C270,#REF!,#REF!),3,_xlfn.XLOOKUP(C270,#REF!,#REF!)),0)</f>
        <v>0</v>
      </c>
      <c r="T270" cm="1">
        <f t="array" ref="T270">IFERROR(_xlfn.SWITCH(L270,1,_xlfn.XLOOKUP(O270,[1]AttributeName!$B:$B,[1]AttributeName!$E:$E),2,_xlfn.XLOOKUP(C270,#REF!,#REF!),3,_xlfn.XLOOKUP(C270,#REF!,#REF!)),0)</f>
        <v>1</v>
      </c>
    </row>
    <row r="271" customFormat="1" spans="1:20">
      <c r="A271">
        <f>A263+1</f>
        <v>102</v>
      </c>
      <c r="B271">
        <v>2</v>
      </c>
      <c r="C271" t="s">
        <v>416</v>
      </c>
      <c r="D271" t="s">
        <v>415</v>
      </c>
      <c r="E271" t="s">
        <v>378</v>
      </c>
      <c r="F271"/>
      <c r="G271">
        <v>1</v>
      </c>
      <c r="H271">
        <v>1000</v>
      </c>
      <c r="J271" cm="1">
        <f t="array" ref="J271">_xlfn.SWITCH(B271,1,75,2,61,3,49,4,37,5,25,6,13,7,4,8,1)</f>
        <v>61</v>
      </c>
      <c r="K271" t="str" cm="1">
        <f t="array" ref="K271">IFERROR(_xlfn.SWITCH(L271,2,_xlfn.XLOOKUP(C271,[1]ModifierDes!$B:$B,[1]ModifierDes!$C:$C),3,_xlfn.XLOOKUP(C271,[1]StuntDes!$B:$B,[1]StuntDes!$C:$C)),"")</f>
        <v/>
      </c>
      <c r="L271">
        <f t="shared" si="21"/>
        <v>1</v>
      </c>
      <c r="M271" s="10" t="str">
        <f>IFERROR(_xlfn.XLOOKUP(C271,[1]StuntDes!$B:$B,[1]StuntDes!$A:$A),"")</f>
        <v/>
      </c>
      <c r="N271" s="10" t="str">
        <f>IFERROR(_xlfn.XLOOKUP(C271,[1]ModifierDes!$B:$B,[1]ModifierDes!$A:$A),"")</f>
        <v/>
      </c>
      <c r="O271" s="10">
        <f>IFERROR(_xlfn.XLOOKUP(C271,[1]AttributeName!$C:$C,[1]AttributeName!$B:$B),"")</f>
        <v>10002</v>
      </c>
      <c r="P271" s="10"/>
      <c r="Q271">
        <v>61</v>
      </c>
      <c r="R271">
        <v>70</v>
      </c>
      <c r="S271" cm="1">
        <f t="array" ref="S271">IFERROR(_xlfn.SWITCH(L271,1,_xlfn.XLOOKUP(O271,[1]AttributeName!$B:$B,[1]AttributeName!$D:$D),2,_xlfn.XLOOKUP(C271,#REF!,#REF!),3,_xlfn.XLOOKUP(C271,#REF!,#REF!)),0)</f>
        <v>0</v>
      </c>
      <c r="T271" cm="1">
        <f t="array" ref="T271">IFERROR(_xlfn.SWITCH(L271,1,_xlfn.XLOOKUP(O271,[1]AttributeName!$B:$B,[1]AttributeName!$E:$E),2,_xlfn.XLOOKUP(C271,#REF!,#REF!),3,_xlfn.XLOOKUP(C271,#REF!,#REF!)),0)</f>
        <v>1</v>
      </c>
    </row>
    <row r="272" customFormat="1" spans="1:20">
      <c r="A272">
        <f t="shared" ref="A271:A334" si="22">A264+1</f>
        <v>102</v>
      </c>
      <c r="B272">
        <v>3</v>
      </c>
      <c r="C272" t="s">
        <v>416</v>
      </c>
      <c r="D272" t="s">
        <v>415</v>
      </c>
      <c r="E272" t="s">
        <v>378</v>
      </c>
      <c r="F272"/>
      <c r="G272">
        <v>1</v>
      </c>
      <c r="H272">
        <v>1000</v>
      </c>
      <c r="J272" cm="1">
        <f t="array" ref="J272">_xlfn.SWITCH(B272,1,75,2,61,3,49,4,37,5,25,6,13,7,4,8,1)</f>
        <v>49</v>
      </c>
      <c r="K272" t="str" cm="1">
        <f t="array" ref="K272">IFERROR(_xlfn.SWITCH(L272,2,_xlfn.XLOOKUP(C272,[1]ModifierDes!$B:$B,[1]ModifierDes!$C:$C),3,_xlfn.XLOOKUP(C272,[1]StuntDes!$B:$B,[1]StuntDes!$C:$C)),"")</f>
        <v/>
      </c>
      <c r="L272">
        <f t="shared" si="21"/>
        <v>1</v>
      </c>
      <c r="M272" s="10" t="str">
        <f>IFERROR(_xlfn.XLOOKUP(C272,[1]StuntDes!$B:$B,[1]StuntDes!$A:$A),"")</f>
        <v/>
      </c>
      <c r="N272" s="10" t="str">
        <f>IFERROR(_xlfn.XLOOKUP(C272,[1]ModifierDes!$B:$B,[1]ModifierDes!$A:$A),"")</f>
        <v/>
      </c>
      <c r="O272" s="10">
        <f>IFERROR(_xlfn.XLOOKUP(C272,[1]AttributeName!$C:$C,[1]AttributeName!$B:$B),"")</f>
        <v>10002</v>
      </c>
      <c r="P272" s="10"/>
      <c r="Q272">
        <v>51</v>
      </c>
      <c r="R272">
        <v>60</v>
      </c>
      <c r="S272" cm="1">
        <f t="array" ref="S272">IFERROR(_xlfn.SWITCH(L272,1,_xlfn.XLOOKUP(O272,[1]AttributeName!$B:$B,[1]AttributeName!$D:$D),2,_xlfn.XLOOKUP(C272,#REF!,#REF!),3,_xlfn.XLOOKUP(C272,#REF!,#REF!)),0)</f>
        <v>0</v>
      </c>
      <c r="T272" cm="1">
        <f t="array" ref="T272">IFERROR(_xlfn.SWITCH(L272,1,_xlfn.XLOOKUP(O272,[1]AttributeName!$B:$B,[1]AttributeName!$E:$E),2,_xlfn.XLOOKUP(C272,#REF!,#REF!),3,_xlfn.XLOOKUP(C272,#REF!,#REF!)),0)</f>
        <v>1</v>
      </c>
    </row>
    <row r="273" customFormat="1" spans="1:20">
      <c r="A273">
        <f t="shared" si="22"/>
        <v>102</v>
      </c>
      <c r="B273">
        <v>4</v>
      </c>
      <c r="C273" t="s">
        <v>416</v>
      </c>
      <c r="D273" t="s">
        <v>415</v>
      </c>
      <c r="E273" t="s">
        <v>378</v>
      </c>
      <c r="F273"/>
      <c r="G273">
        <v>1</v>
      </c>
      <c r="H273">
        <v>1000</v>
      </c>
      <c r="J273" cm="1">
        <f t="array" ref="J273">_xlfn.SWITCH(B273,1,75,2,61,3,49,4,37,5,25,6,13,7,4,8,1)</f>
        <v>37</v>
      </c>
      <c r="K273" t="str" cm="1">
        <f t="array" ref="K273">IFERROR(_xlfn.SWITCH(L273,2,_xlfn.XLOOKUP(C273,[1]ModifierDes!$B:$B,[1]ModifierDes!$C:$C),3,_xlfn.XLOOKUP(C273,[1]StuntDes!$B:$B,[1]StuntDes!$C:$C)),"")</f>
        <v/>
      </c>
      <c r="L273">
        <f t="shared" si="21"/>
        <v>1</v>
      </c>
      <c r="M273" s="10" t="str">
        <f>IFERROR(_xlfn.XLOOKUP(C273,[1]StuntDes!$B:$B,[1]StuntDes!$A:$A),"")</f>
        <v/>
      </c>
      <c r="N273" s="10" t="str">
        <f>IFERROR(_xlfn.XLOOKUP(C273,[1]ModifierDes!$B:$B,[1]ModifierDes!$A:$A),"")</f>
        <v/>
      </c>
      <c r="O273" s="10">
        <f>IFERROR(_xlfn.XLOOKUP(C273,[1]AttributeName!$C:$C,[1]AttributeName!$B:$B),"")</f>
        <v>10002</v>
      </c>
      <c r="P273" s="10"/>
      <c r="Q273">
        <v>41</v>
      </c>
      <c r="R273">
        <v>50</v>
      </c>
      <c r="S273" cm="1">
        <f t="array" ref="S273">IFERROR(_xlfn.SWITCH(L273,1,_xlfn.XLOOKUP(O273,[1]AttributeName!$B:$B,[1]AttributeName!$D:$D),2,_xlfn.XLOOKUP(C273,#REF!,#REF!),3,_xlfn.XLOOKUP(C273,#REF!,#REF!)),0)</f>
        <v>0</v>
      </c>
      <c r="T273" cm="1">
        <f t="array" ref="T273">IFERROR(_xlfn.SWITCH(L273,1,_xlfn.XLOOKUP(O273,[1]AttributeName!$B:$B,[1]AttributeName!$E:$E),2,_xlfn.XLOOKUP(C273,#REF!,#REF!),3,_xlfn.XLOOKUP(C273,#REF!,#REF!)),0)</f>
        <v>1</v>
      </c>
    </row>
    <row r="274" customFormat="1" spans="1:20">
      <c r="A274">
        <f t="shared" si="22"/>
        <v>102</v>
      </c>
      <c r="B274">
        <v>5</v>
      </c>
      <c r="C274" t="s">
        <v>416</v>
      </c>
      <c r="D274" t="s">
        <v>415</v>
      </c>
      <c r="E274" t="s">
        <v>378</v>
      </c>
      <c r="F274"/>
      <c r="G274">
        <v>1</v>
      </c>
      <c r="H274">
        <v>1000</v>
      </c>
      <c r="J274" cm="1">
        <f t="array" ref="J274">_xlfn.SWITCH(B274,1,75,2,61,3,49,4,37,5,25,6,13,7,4,8,1)</f>
        <v>25</v>
      </c>
      <c r="K274" t="str" cm="1">
        <f t="array" ref="K274">IFERROR(_xlfn.SWITCH(L274,2,_xlfn.XLOOKUP(C274,[1]ModifierDes!$B:$B,[1]ModifierDes!$C:$C),3,_xlfn.XLOOKUP(C274,[1]StuntDes!$B:$B,[1]StuntDes!$C:$C)),"")</f>
        <v/>
      </c>
      <c r="L274">
        <f t="shared" si="21"/>
        <v>1</v>
      </c>
      <c r="M274" s="10" t="str">
        <f>IFERROR(_xlfn.XLOOKUP(C274,[1]StuntDes!$B:$B,[1]StuntDes!$A:$A),"")</f>
        <v/>
      </c>
      <c r="N274" s="10" t="str">
        <f>IFERROR(_xlfn.XLOOKUP(C274,[1]ModifierDes!$B:$B,[1]ModifierDes!$A:$A),"")</f>
        <v/>
      </c>
      <c r="O274" s="10">
        <f>IFERROR(_xlfn.XLOOKUP(C274,[1]AttributeName!$C:$C,[1]AttributeName!$B:$B),"")</f>
        <v>10002</v>
      </c>
      <c r="P274" s="10"/>
      <c r="Q274">
        <v>31</v>
      </c>
      <c r="R274">
        <v>40</v>
      </c>
      <c r="S274" cm="1">
        <f t="array" ref="S274">IFERROR(_xlfn.SWITCH(L274,1,_xlfn.XLOOKUP(O274,[1]AttributeName!$B:$B,[1]AttributeName!$D:$D),2,_xlfn.XLOOKUP(C274,#REF!,#REF!),3,_xlfn.XLOOKUP(C274,#REF!,#REF!)),0)</f>
        <v>0</v>
      </c>
      <c r="T274" cm="1">
        <f t="array" ref="T274">IFERROR(_xlfn.SWITCH(L274,1,_xlfn.XLOOKUP(O274,[1]AttributeName!$B:$B,[1]AttributeName!$E:$E),2,_xlfn.XLOOKUP(C274,#REF!,#REF!),3,_xlfn.XLOOKUP(C274,#REF!,#REF!)),0)</f>
        <v>1</v>
      </c>
    </row>
    <row r="275" customFormat="1" spans="1:20">
      <c r="A275">
        <f t="shared" si="22"/>
        <v>102</v>
      </c>
      <c r="B275">
        <v>6</v>
      </c>
      <c r="C275" t="s">
        <v>416</v>
      </c>
      <c r="D275" t="s">
        <v>415</v>
      </c>
      <c r="E275" t="s">
        <v>378</v>
      </c>
      <c r="F275"/>
      <c r="G275">
        <v>1</v>
      </c>
      <c r="H275">
        <v>1000</v>
      </c>
      <c r="J275" cm="1">
        <f t="array" ref="J275">_xlfn.SWITCH(B275,1,75,2,61,3,49,4,37,5,25,6,13,7,4,8,1)</f>
        <v>13</v>
      </c>
      <c r="K275" t="str" cm="1">
        <f t="array" ref="K275">IFERROR(_xlfn.SWITCH(L275,2,_xlfn.XLOOKUP(C275,[1]ModifierDes!$B:$B,[1]ModifierDes!$C:$C),3,_xlfn.XLOOKUP(C275,[1]StuntDes!$B:$B,[1]StuntDes!$C:$C)),"")</f>
        <v/>
      </c>
      <c r="L275">
        <f t="shared" si="21"/>
        <v>1</v>
      </c>
      <c r="M275" s="10" t="str">
        <f>IFERROR(_xlfn.XLOOKUP(C275,[1]StuntDes!$B:$B,[1]StuntDes!$A:$A),"")</f>
        <v/>
      </c>
      <c r="N275" s="10" t="str">
        <f>IFERROR(_xlfn.XLOOKUP(C275,[1]ModifierDes!$B:$B,[1]ModifierDes!$A:$A),"")</f>
        <v/>
      </c>
      <c r="O275" s="10">
        <f>IFERROR(_xlfn.XLOOKUP(C275,[1]AttributeName!$C:$C,[1]AttributeName!$B:$B),"")</f>
        <v>10002</v>
      </c>
      <c r="P275" s="10"/>
      <c r="Q275">
        <v>21</v>
      </c>
      <c r="R275">
        <v>30</v>
      </c>
      <c r="S275" cm="1">
        <f t="array" ref="S275">IFERROR(_xlfn.SWITCH(L275,1,_xlfn.XLOOKUP(O275,[1]AttributeName!$B:$B,[1]AttributeName!$D:$D),2,_xlfn.XLOOKUP(C275,#REF!,#REF!),3,_xlfn.XLOOKUP(C275,#REF!,#REF!)),0)</f>
        <v>0</v>
      </c>
      <c r="T275" cm="1">
        <f t="array" ref="T275">IFERROR(_xlfn.SWITCH(L275,1,_xlfn.XLOOKUP(O275,[1]AttributeName!$B:$B,[1]AttributeName!$E:$E),2,_xlfn.XLOOKUP(C275,#REF!,#REF!),3,_xlfn.XLOOKUP(C275,#REF!,#REF!)),0)</f>
        <v>1</v>
      </c>
    </row>
    <row r="276" customFormat="1" spans="1:20">
      <c r="A276">
        <f t="shared" si="22"/>
        <v>102</v>
      </c>
      <c r="B276">
        <v>7</v>
      </c>
      <c r="C276" t="s">
        <v>416</v>
      </c>
      <c r="D276" t="s">
        <v>415</v>
      </c>
      <c r="E276" t="s">
        <v>378</v>
      </c>
      <c r="F276"/>
      <c r="G276">
        <v>1</v>
      </c>
      <c r="H276">
        <v>1000</v>
      </c>
      <c r="J276" cm="1">
        <f t="array" ref="J276">_xlfn.SWITCH(B276,1,75,2,61,3,49,4,37,5,25,6,13,7,4,8,1)</f>
        <v>4</v>
      </c>
      <c r="K276" t="str" cm="1">
        <f t="array" ref="K276">IFERROR(_xlfn.SWITCH(L276,2,_xlfn.XLOOKUP(C276,[1]ModifierDes!$B:$B,[1]ModifierDes!$C:$C),3,_xlfn.XLOOKUP(C276,[1]StuntDes!$B:$B,[1]StuntDes!$C:$C)),"")</f>
        <v/>
      </c>
      <c r="L276">
        <f t="shared" si="21"/>
        <v>1</v>
      </c>
      <c r="M276" s="10" t="str">
        <f>IFERROR(_xlfn.XLOOKUP(C276,[1]StuntDes!$B:$B,[1]StuntDes!$A:$A),"")</f>
        <v/>
      </c>
      <c r="N276" s="10" t="str">
        <f>IFERROR(_xlfn.XLOOKUP(C276,[1]ModifierDes!$B:$B,[1]ModifierDes!$A:$A),"")</f>
        <v/>
      </c>
      <c r="O276" s="10">
        <f>IFERROR(_xlfn.XLOOKUP(C276,[1]AttributeName!$C:$C,[1]AttributeName!$B:$B),"")</f>
        <v>10002</v>
      </c>
      <c r="P276" s="10"/>
      <c r="Q276">
        <v>10</v>
      </c>
      <c r="R276">
        <v>20</v>
      </c>
      <c r="S276" cm="1">
        <f t="array" ref="S276">IFERROR(_xlfn.SWITCH(L276,1,_xlfn.XLOOKUP(O276,[1]AttributeName!$B:$B,[1]AttributeName!$D:$D),2,_xlfn.XLOOKUP(C276,#REF!,#REF!),3,_xlfn.XLOOKUP(C276,#REF!,#REF!)),0)</f>
        <v>0</v>
      </c>
      <c r="T276" cm="1">
        <f t="array" ref="T276">IFERROR(_xlfn.SWITCH(L276,1,_xlfn.XLOOKUP(O276,[1]AttributeName!$B:$B,[1]AttributeName!$E:$E),2,_xlfn.XLOOKUP(C276,#REF!,#REF!),3,_xlfn.XLOOKUP(C276,#REF!,#REF!)),0)</f>
        <v>1</v>
      </c>
    </row>
    <row r="277" customFormat="1" spans="1:20">
      <c r="A277">
        <f t="shared" si="22"/>
        <v>102</v>
      </c>
      <c r="B277">
        <v>8</v>
      </c>
      <c r="C277" t="s">
        <v>416</v>
      </c>
      <c r="D277" t="s">
        <v>415</v>
      </c>
      <c r="E277" t="s">
        <v>378</v>
      </c>
      <c r="F277"/>
      <c r="G277">
        <v>1</v>
      </c>
      <c r="H277">
        <v>1000</v>
      </c>
      <c r="J277" cm="1">
        <f t="array" ref="J277">_xlfn.SWITCH(B277,1,75,2,61,3,49,4,37,5,25,6,13,7,4,8,1)</f>
        <v>1</v>
      </c>
      <c r="K277" t="str" cm="1">
        <f t="array" ref="K277">IFERROR(_xlfn.SWITCH(L277,2,_xlfn.XLOOKUP(C277,[1]ModifierDes!$B:$B,[1]ModifierDes!$C:$C),3,_xlfn.XLOOKUP(C277,[1]StuntDes!$B:$B,[1]StuntDes!$C:$C)),"")</f>
        <v/>
      </c>
      <c r="L277">
        <f t="shared" si="21"/>
        <v>1</v>
      </c>
      <c r="M277" s="10" t="str">
        <f>IFERROR(_xlfn.XLOOKUP(C277,[1]StuntDes!$B:$B,[1]StuntDes!$A:$A),"")</f>
        <v/>
      </c>
      <c r="N277" s="10" t="str">
        <f>IFERROR(_xlfn.XLOOKUP(C277,[1]ModifierDes!$B:$B,[1]ModifierDes!$A:$A),"")</f>
        <v/>
      </c>
      <c r="O277" s="10">
        <f>IFERROR(_xlfn.XLOOKUP(C277,[1]AttributeName!$C:$C,[1]AttributeName!$B:$B),"")</f>
        <v>10002</v>
      </c>
      <c r="P277" s="10"/>
      <c r="Q277">
        <v>5</v>
      </c>
      <c r="R277">
        <v>9</v>
      </c>
      <c r="S277" cm="1">
        <f t="array" ref="S277">IFERROR(_xlfn.SWITCH(L277,1,_xlfn.XLOOKUP(O277,[1]AttributeName!$B:$B,[1]AttributeName!$D:$D),2,_xlfn.XLOOKUP(C277,#REF!,#REF!),3,_xlfn.XLOOKUP(C277,#REF!,#REF!)),0)</f>
        <v>0</v>
      </c>
      <c r="T277" cm="1">
        <f t="array" ref="T277">IFERROR(_xlfn.SWITCH(L277,1,_xlfn.XLOOKUP(O277,[1]AttributeName!$B:$B,[1]AttributeName!$E:$E),2,_xlfn.XLOOKUP(C277,#REF!,#REF!),3,_xlfn.XLOOKUP(C277,#REF!,#REF!)),0)</f>
        <v>1</v>
      </c>
    </row>
    <row r="278" customFormat="1" spans="1:20">
      <c r="A278">
        <f t="shared" si="22"/>
        <v>103</v>
      </c>
      <c r="B278">
        <v>1</v>
      </c>
      <c r="C278" t="s">
        <v>417</v>
      </c>
      <c r="D278" t="s">
        <v>415</v>
      </c>
      <c r="E278" t="s">
        <v>378</v>
      </c>
      <c r="F278"/>
      <c r="G278">
        <v>1</v>
      </c>
      <c r="H278">
        <v>1000</v>
      </c>
      <c r="J278" cm="1">
        <f t="array" ref="J278">_xlfn.SWITCH(B278,1,75,2,61,3,49,4,37,5,25,6,13,7,4,8,1)</f>
        <v>75</v>
      </c>
      <c r="K278" t="str" cm="1">
        <f t="array" ref="K278">IFERROR(_xlfn.SWITCH(L278,2,_xlfn.XLOOKUP(C278,[1]ModifierDes!$B:$B,[1]ModifierDes!$C:$C),3,_xlfn.XLOOKUP(C278,[1]StuntDes!$B:$B,[1]StuntDes!$C:$C)),"")</f>
        <v/>
      </c>
      <c r="L278">
        <f t="shared" si="21"/>
        <v>1</v>
      </c>
      <c r="M278" s="10" t="str">
        <f>IFERROR(_xlfn.XLOOKUP(C278,[1]StuntDes!$B:$B,[1]StuntDes!$A:$A),"")</f>
        <v/>
      </c>
      <c r="N278" s="10" t="str">
        <f>IFERROR(_xlfn.XLOOKUP(C278,[1]ModifierDes!$B:$B,[1]ModifierDes!$A:$A),"")</f>
        <v/>
      </c>
      <c r="O278" s="10">
        <f>IFERROR(_xlfn.XLOOKUP(C278,[1]AttributeName!$C:$C,[1]AttributeName!$B:$B),"")</f>
        <v>10700</v>
      </c>
      <c r="P278" s="10"/>
      <c r="Q278">
        <v>0.08</v>
      </c>
      <c r="R278">
        <v>0.1</v>
      </c>
      <c r="S278" cm="1">
        <f t="array" ref="S278">IFERROR(_xlfn.SWITCH(L278,1,_xlfn.XLOOKUP(O278,[1]AttributeName!$B:$B,[1]AttributeName!$D:$D),2,_xlfn.XLOOKUP(C278,#REF!,#REF!),3,_xlfn.XLOOKUP(C278,#REF!,#REF!)),0)</f>
        <v>2</v>
      </c>
      <c r="T278" cm="1">
        <f t="array" ref="T278">IFERROR(_xlfn.SWITCH(L278,1,_xlfn.XLOOKUP(O278,[1]AttributeName!$B:$B,[1]AttributeName!$E:$E),2,_xlfn.XLOOKUP(C278,#REF!,#REF!),3,_xlfn.XLOOKUP(C278,#REF!,#REF!)),0)</f>
        <v>2</v>
      </c>
    </row>
    <row r="279" customFormat="1" spans="1:20">
      <c r="A279">
        <f t="shared" si="22"/>
        <v>103</v>
      </c>
      <c r="B279">
        <v>2</v>
      </c>
      <c r="C279" t="s">
        <v>417</v>
      </c>
      <c r="D279" t="s">
        <v>415</v>
      </c>
      <c r="E279" t="s">
        <v>378</v>
      </c>
      <c r="F279"/>
      <c r="G279">
        <v>1</v>
      </c>
      <c r="H279">
        <v>1000</v>
      </c>
      <c r="J279" cm="1">
        <f t="array" ref="J279">_xlfn.SWITCH(B279,1,75,2,61,3,49,4,37,5,25,6,13,7,4,8,1)</f>
        <v>61</v>
      </c>
      <c r="K279" t="str" cm="1">
        <f t="array" ref="K279">IFERROR(_xlfn.SWITCH(L279,2,_xlfn.XLOOKUP(C279,[1]ModifierDes!$B:$B,[1]ModifierDes!$C:$C),3,_xlfn.XLOOKUP(C279,[1]StuntDes!$B:$B,[1]StuntDes!$C:$C)),"")</f>
        <v/>
      </c>
      <c r="L279">
        <f t="shared" si="21"/>
        <v>1</v>
      </c>
      <c r="M279" s="10" t="str">
        <f>IFERROR(_xlfn.XLOOKUP(C279,[1]StuntDes!$B:$B,[1]StuntDes!$A:$A),"")</f>
        <v/>
      </c>
      <c r="N279" s="10" t="str">
        <f>IFERROR(_xlfn.XLOOKUP(C279,[1]ModifierDes!$B:$B,[1]ModifierDes!$A:$A),"")</f>
        <v/>
      </c>
      <c r="O279" s="10">
        <f>IFERROR(_xlfn.XLOOKUP(C279,[1]AttributeName!$C:$C,[1]AttributeName!$B:$B),"")</f>
        <v>10700</v>
      </c>
      <c r="P279" s="10"/>
      <c r="Q279">
        <v>0.07</v>
      </c>
      <c r="R279">
        <v>0.07</v>
      </c>
      <c r="S279" cm="1">
        <f t="array" ref="S279">IFERROR(_xlfn.SWITCH(L279,1,_xlfn.XLOOKUP(O279,[1]AttributeName!$B:$B,[1]AttributeName!$D:$D),2,_xlfn.XLOOKUP(C279,#REF!,#REF!),3,_xlfn.XLOOKUP(C279,#REF!,#REF!)),0)</f>
        <v>2</v>
      </c>
      <c r="T279" cm="1">
        <f t="array" ref="T279">IFERROR(_xlfn.SWITCH(L279,1,_xlfn.XLOOKUP(O279,[1]AttributeName!$B:$B,[1]AttributeName!$E:$E),2,_xlfn.XLOOKUP(C279,#REF!,#REF!),3,_xlfn.XLOOKUP(C279,#REF!,#REF!)),0)</f>
        <v>2</v>
      </c>
    </row>
    <row r="280" customFormat="1" spans="1:20">
      <c r="A280">
        <f t="shared" si="22"/>
        <v>103</v>
      </c>
      <c r="B280">
        <v>3</v>
      </c>
      <c r="C280" t="s">
        <v>417</v>
      </c>
      <c r="D280" t="s">
        <v>415</v>
      </c>
      <c r="E280" t="s">
        <v>378</v>
      </c>
      <c r="F280"/>
      <c r="G280">
        <v>1</v>
      </c>
      <c r="H280">
        <v>1000</v>
      </c>
      <c r="J280" cm="1">
        <f t="array" ref="J280">_xlfn.SWITCH(B280,1,75,2,61,3,49,4,37,5,25,6,13,7,4,8,1)</f>
        <v>49</v>
      </c>
      <c r="K280" t="str" cm="1">
        <f t="array" ref="K280">IFERROR(_xlfn.SWITCH(L280,2,_xlfn.XLOOKUP(C280,[1]ModifierDes!$B:$B,[1]ModifierDes!$C:$C),3,_xlfn.XLOOKUP(C280,[1]StuntDes!$B:$B,[1]StuntDes!$C:$C)),"")</f>
        <v/>
      </c>
      <c r="L280">
        <f t="shared" si="21"/>
        <v>1</v>
      </c>
      <c r="M280" s="10" t="str">
        <f>IFERROR(_xlfn.XLOOKUP(C280,[1]StuntDes!$B:$B,[1]StuntDes!$A:$A),"")</f>
        <v/>
      </c>
      <c r="N280" s="10" t="str">
        <f>IFERROR(_xlfn.XLOOKUP(C280,[1]ModifierDes!$B:$B,[1]ModifierDes!$A:$A),"")</f>
        <v/>
      </c>
      <c r="O280" s="10">
        <f>IFERROR(_xlfn.XLOOKUP(C280,[1]AttributeName!$C:$C,[1]AttributeName!$B:$B),"")</f>
        <v>10700</v>
      </c>
      <c r="P280" s="10"/>
      <c r="Q280">
        <v>0.06</v>
      </c>
      <c r="R280">
        <v>0.06</v>
      </c>
      <c r="S280" cm="1">
        <f t="array" ref="S280">IFERROR(_xlfn.SWITCH(L280,1,_xlfn.XLOOKUP(O280,[1]AttributeName!$B:$B,[1]AttributeName!$D:$D),2,_xlfn.XLOOKUP(C280,#REF!,#REF!),3,_xlfn.XLOOKUP(C280,#REF!,#REF!)),0)</f>
        <v>2</v>
      </c>
      <c r="T280" cm="1">
        <f t="array" ref="T280">IFERROR(_xlfn.SWITCH(L280,1,_xlfn.XLOOKUP(O280,[1]AttributeName!$B:$B,[1]AttributeName!$E:$E),2,_xlfn.XLOOKUP(C280,#REF!,#REF!),3,_xlfn.XLOOKUP(C280,#REF!,#REF!)),0)</f>
        <v>2</v>
      </c>
    </row>
    <row r="281" customFormat="1" spans="1:20">
      <c r="A281">
        <f t="shared" si="22"/>
        <v>103</v>
      </c>
      <c r="B281">
        <v>4</v>
      </c>
      <c r="C281" t="s">
        <v>417</v>
      </c>
      <c r="D281" t="s">
        <v>415</v>
      </c>
      <c r="E281" t="s">
        <v>378</v>
      </c>
      <c r="F281"/>
      <c r="G281">
        <v>1</v>
      </c>
      <c r="H281">
        <v>1000</v>
      </c>
      <c r="J281" cm="1">
        <f t="array" ref="J281">_xlfn.SWITCH(B281,1,75,2,61,3,49,4,37,5,25,6,13,7,4,8,1)</f>
        <v>37</v>
      </c>
      <c r="K281" t="str" cm="1">
        <f t="array" ref="K281">IFERROR(_xlfn.SWITCH(L281,2,_xlfn.XLOOKUP(C281,[1]ModifierDes!$B:$B,[1]ModifierDes!$C:$C),3,_xlfn.XLOOKUP(C281,[1]StuntDes!$B:$B,[1]StuntDes!$C:$C)),"")</f>
        <v/>
      </c>
      <c r="L281">
        <f t="shared" si="21"/>
        <v>1</v>
      </c>
      <c r="M281" s="10" t="str">
        <f>IFERROR(_xlfn.XLOOKUP(C281,[1]StuntDes!$B:$B,[1]StuntDes!$A:$A),"")</f>
        <v/>
      </c>
      <c r="N281" s="10" t="str">
        <f>IFERROR(_xlfn.XLOOKUP(C281,[1]ModifierDes!$B:$B,[1]ModifierDes!$A:$A),"")</f>
        <v/>
      </c>
      <c r="O281" s="10">
        <f>IFERROR(_xlfn.XLOOKUP(C281,[1]AttributeName!$C:$C,[1]AttributeName!$B:$B),"")</f>
        <v>10700</v>
      </c>
      <c r="P281" s="10"/>
      <c r="Q281">
        <v>0.05</v>
      </c>
      <c r="R281">
        <v>0.05</v>
      </c>
      <c r="S281" cm="1">
        <f t="array" ref="S281">IFERROR(_xlfn.SWITCH(L281,1,_xlfn.XLOOKUP(O281,[1]AttributeName!$B:$B,[1]AttributeName!$D:$D),2,_xlfn.XLOOKUP(C281,#REF!,#REF!),3,_xlfn.XLOOKUP(C281,#REF!,#REF!)),0)</f>
        <v>2</v>
      </c>
      <c r="T281" cm="1">
        <f t="array" ref="T281">IFERROR(_xlfn.SWITCH(L281,1,_xlfn.XLOOKUP(O281,[1]AttributeName!$B:$B,[1]AttributeName!$E:$E),2,_xlfn.XLOOKUP(C281,#REF!,#REF!),3,_xlfn.XLOOKUP(C281,#REF!,#REF!)),0)</f>
        <v>2</v>
      </c>
    </row>
    <row r="282" customFormat="1" spans="1:20">
      <c r="A282">
        <f t="shared" si="22"/>
        <v>103</v>
      </c>
      <c r="B282">
        <v>5</v>
      </c>
      <c r="C282" t="s">
        <v>417</v>
      </c>
      <c r="D282" t="s">
        <v>415</v>
      </c>
      <c r="E282" t="s">
        <v>378</v>
      </c>
      <c r="F282"/>
      <c r="G282">
        <v>1</v>
      </c>
      <c r="H282">
        <v>1000</v>
      </c>
      <c r="J282" cm="1">
        <f t="array" ref="J282">_xlfn.SWITCH(B282,1,75,2,61,3,49,4,37,5,25,6,13,7,4,8,1)</f>
        <v>25</v>
      </c>
      <c r="K282" t="str" cm="1">
        <f t="array" ref="K282">IFERROR(_xlfn.SWITCH(L282,2,_xlfn.XLOOKUP(C282,[1]ModifierDes!$B:$B,[1]ModifierDes!$C:$C),3,_xlfn.XLOOKUP(C282,[1]StuntDes!$B:$B,[1]StuntDes!$C:$C)),"")</f>
        <v/>
      </c>
      <c r="L282">
        <f t="shared" si="21"/>
        <v>1</v>
      </c>
      <c r="M282" s="10" t="str">
        <f>IFERROR(_xlfn.XLOOKUP(C282,[1]StuntDes!$B:$B,[1]StuntDes!$A:$A),"")</f>
        <v/>
      </c>
      <c r="N282" s="10" t="str">
        <f>IFERROR(_xlfn.XLOOKUP(C282,[1]ModifierDes!$B:$B,[1]ModifierDes!$A:$A),"")</f>
        <v/>
      </c>
      <c r="O282" s="10">
        <f>IFERROR(_xlfn.XLOOKUP(C282,[1]AttributeName!$C:$C,[1]AttributeName!$B:$B),"")</f>
        <v>10700</v>
      </c>
      <c r="P282" s="10"/>
      <c r="Q282">
        <v>0.04</v>
      </c>
      <c r="R282">
        <v>0.04</v>
      </c>
      <c r="S282" cm="1">
        <f t="array" ref="S282">IFERROR(_xlfn.SWITCH(L282,1,_xlfn.XLOOKUP(O282,[1]AttributeName!$B:$B,[1]AttributeName!$D:$D),2,_xlfn.XLOOKUP(C282,#REF!,#REF!),3,_xlfn.XLOOKUP(C282,#REF!,#REF!)),0)</f>
        <v>2</v>
      </c>
      <c r="T282" cm="1">
        <f t="array" ref="T282">IFERROR(_xlfn.SWITCH(L282,1,_xlfn.XLOOKUP(O282,[1]AttributeName!$B:$B,[1]AttributeName!$E:$E),2,_xlfn.XLOOKUP(C282,#REF!,#REF!),3,_xlfn.XLOOKUP(C282,#REF!,#REF!)),0)</f>
        <v>2</v>
      </c>
    </row>
    <row r="283" customFormat="1" spans="1:20">
      <c r="A283">
        <f t="shared" si="22"/>
        <v>103</v>
      </c>
      <c r="B283">
        <v>6</v>
      </c>
      <c r="C283" t="s">
        <v>417</v>
      </c>
      <c r="D283" t="s">
        <v>415</v>
      </c>
      <c r="E283" t="s">
        <v>378</v>
      </c>
      <c r="F283"/>
      <c r="G283">
        <v>1</v>
      </c>
      <c r="H283">
        <v>1000</v>
      </c>
      <c r="J283" cm="1">
        <f t="array" ref="J283">_xlfn.SWITCH(B283,1,75,2,61,3,49,4,37,5,25,6,13,7,4,8,1)</f>
        <v>13</v>
      </c>
      <c r="K283" t="str" cm="1">
        <f t="array" ref="K283">IFERROR(_xlfn.SWITCH(L283,2,_xlfn.XLOOKUP(C283,[1]ModifierDes!$B:$B,[1]ModifierDes!$C:$C),3,_xlfn.XLOOKUP(C283,[1]StuntDes!$B:$B,[1]StuntDes!$C:$C)),"")</f>
        <v/>
      </c>
      <c r="L283">
        <f t="shared" si="21"/>
        <v>1</v>
      </c>
      <c r="M283" s="10" t="str">
        <f>IFERROR(_xlfn.XLOOKUP(C283,[1]StuntDes!$B:$B,[1]StuntDes!$A:$A),"")</f>
        <v/>
      </c>
      <c r="N283" s="10" t="str">
        <f>IFERROR(_xlfn.XLOOKUP(C283,[1]ModifierDes!$B:$B,[1]ModifierDes!$A:$A),"")</f>
        <v/>
      </c>
      <c r="O283" s="10">
        <f>IFERROR(_xlfn.XLOOKUP(C283,[1]AttributeName!$C:$C,[1]AttributeName!$B:$B),"")</f>
        <v>10700</v>
      </c>
      <c r="P283" s="10"/>
      <c r="Q283">
        <v>0.03</v>
      </c>
      <c r="R283">
        <v>0.03</v>
      </c>
      <c r="S283" cm="1">
        <f t="array" ref="S283">IFERROR(_xlfn.SWITCH(L283,1,_xlfn.XLOOKUP(O283,[1]AttributeName!$B:$B,[1]AttributeName!$D:$D),2,_xlfn.XLOOKUP(C283,#REF!,#REF!),3,_xlfn.XLOOKUP(C283,#REF!,#REF!)),0)</f>
        <v>2</v>
      </c>
      <c r="T283" cm="1">
        <f t="array" ref="T283">IFERROR(_xlfn.SWITCH(L283,1,_xlfn.XLOOKUP(O283,[1]AttributeName!$B:$B,[1]AttributeName!$E:$E),2,_xlfn.XLOOKUP(C283,#REF!,#REF!),3,_xlfn.XLOOKUP(C283,#REF!,#REF!)),0)</f>
        <v>2</v>
      </c>
    </row>
    <row r="284" customFormat="1" spans="1:20">
      <c r="A284">
        <f t="shared" si="22"/>
        <v>103</v>
      </c>
      <c r="B284">
        <v>7</v>
      </c>
      <c r="C284" t="s">
        <v>417</v>
      </c>
      <c r="D284" t="s">
        <v>415</v>
      </c>
      <c r="E284" t="s">
        <v>378</v>
      </c>
      <c r="F284"/>
      <c r="G284">
        <v>1</v>
      </c>
      <c r="H284">
        <v>1000</v>
      </c>
      <c r="J284" cm="1">
        <f t="array" ref="J284">_xlfn.SWITCH(B284,1,75,2,61,3,49,4,37,5,25,6,13,7,4,8,1)</f>
        <v>4</v>
      </c>
      <c r="K284" t="str" cm="1">
        <f t="array" ref="K284">IFERROR(_xlfn.SWITCH(L284,2,_xlfn.XLOOKUP(C284,[1]ModifierDes!$B:$B,[1]ModifierDes!$C:$C),3,_xlfn.XLOOKUP(C284,[1]StuntDes!$B:$B,[1]StuntDes!$C:$C)),"")</f>
        <v/>
      </c>
      <c r="L284">
        <f t="shared" si="21"/>
        <v>1</v>
      </c>
      <c r="M284" s="10" t="str">
        <f>IFERROR(_xlfn.XLOOKUP(C284,[1]StuntDes!$B:$B,[1]StuntDes!$A:$A),"")</f>
        <v/>
      </c>
      <c r="N284" s="10" t="str">
        <f>IFERROR(_xlfn.XLOOKUP(C284,[1]ModifierDes!$B:$B,[1]ModifierDes!$A:$A),"")</f>
        <v/>
      </c>
      <c r="O284" s="10">
        <f>IFERROR(_xlfn.XLOOKUP(C284,[1]AttributeName!$C:$C,[1]AttributeName!$B:$B),"")</f>
        <v>10700</v>
      </c>
      <c r="P284" s="10"/>
      <c r="Q284">
        <v>0.02</v>
      </c>
      <c r="R284">
        <v>0.02</v>
      </c>
      <c r="S284" cm="1">
        <f t="array" ref="S284">IFERROR(_xlfn.SWITCH(L284,1,_xlfn.XLOOKUP(O284,[1]AttributeName!$B:$B,[1]AttributeName!$D:$D),2,_xlfn.XLOOKUP(C284,#REF!,#REF!),3,_xlfn.XLOOKUP(C284,#REF!,#REF!)),0)</f>
        <v>2</v>
      </c>
      <c r="T284" cm="1">
        <f t="array" ref="T284">IFERROR(_xlfn.SWITCH(L284,1,_xlfn.XLOOKUP(O284,[1]AttributeName!$B:$B,[1]AttributeName!$E:$E),2,_xlfn.XLOOKUP(C284,#REF!,#REF!),3,_xlfn.XLOOKUP(C284,#REF!,#REF!)),0)</f>
        <v>2</v>
      </c>
    </row>
    <row r="285" customFormat="1" spans="1:20">
      <c r="A285">
        <f t="shared" si="22"/>
        <v>103</v>
      </c>
      <c r="B285">
        <v>8</v>
      </c>
      <c r="C285" t="s">
        <v>417</v>
      </c>
      <c r="D285" t="s">
        <v>415</v>
      </c>
      <c r="E285" t="s">
        <v>378</v>
      </c>
      <c r="F285"/>
      <c r="G285">
        <v>1</v>
      </c>
      <c r="H285">
        <v>1000</v>
      </c>
      <c r="J285" cm="1">
        <f t="array" ref="J285">_xlfn.SWITCH(B285,1,75,2,61,3,49,4,37,5,25,6,13,7,4,8,1)</f>
        <v>1</v>
      </c>
      <c r="K285" t="str" cm="1">
        <f t="array" ref="K285">IFERROR(_xlfn.SWITCH(L285,2,_xlfn.XLOOKUP(C285,[1]ModifierDes!$B:$B,[1]ModifierDes!$C:$C),3,_xlfn.XLOOKUP(C285,[1]StuntDes!$B:$B,[1]StuntDes!$C:$C)),"")</f>
        <v/>
      </c>
      <c r="L285">
        <f t="shared" si="21"/>
        <v>1</v>
      </c>
      <c r="M285" s="10" t="str">
        <f>IFERROR(_xlfn.XLOOKUP(C285,[1]StuntDes!$B:$B,[1]StuntDes!$A:$A),"")</f>
        <v/>
      </c>
      <c r="N285" s="10" t="str">
        <f>IFERROR(_xlfn.XLOOKUP(C285,[1]ModifierDes!$B:$B,[1]ModifierDes!$A:$A),"")</f>
        <v/>
      </c>
      <c r="O285" s="10">
        <f>IFERROR(_xlfn.XLOOKUP(C285,[1]AttributeName!$C:$C,[1]AttributeName!$B:$B),"")</f>
        <v>10700</v>
      </c>
      <c r="P285" s="10"/>
      <c r="Q285">
        <v>0.01</v>
      </c>
      <c r="R285">
        <v>0.01</v>
      </c>
      <c r="S285" cm="1">
        <f t="array" ref="S285">IFERROR(_xlfn.SWITCH(L285,1,_xlfn.XLOOKUP(O285,[1]AttributeName!$B:$B,[1]AttributeName!$D:$D),2,_xlfn.XLOOKUP(C285,#REF!,#REF!),3,_xlfn.XLOOKUP(C285,#REF!,#REF!)),0)</f>
        <v>2</v>
      </c>
      <c r="T285" cm="1">
        <f t="array" ref="T285">IFERROR(_xlfn.SWITCH(L285,1,_xlfn.XLOOKUP(O285,[1]AttributeName!$B:$B,[1]AttributeName!$E:$E),2,_xlfn.XLOOKUP(C285,#REF!,#REF!),3,_xlfn.XLOOKUP(C285,#REF!,#REF!)),0)</f>
        <v>2</v>
      </c>
    </row>
    <row r="286" customFormat="1" spans="1:20">
      <c r="A286">
        <f t="shared" si="22"/>
        <v>104</v>
      </c>
      <c r="B286">
        <v>1</v>
      </c>
      <c r="C286" t="s">
        <v>383</v>
      </c>
      <c r="D286" t="s">
        <v>415</v>
      </c>
      <c r="E286" t="s">
        <v>378</v>
      </c>
      <c r="F286"/>
      <c r="G286">
        <v>1</v>
      </c>
      <c r="H286">
        <v>50</v>
      </c>
      <c r="J286" cm="1">
        <f t="array" ref="J286">_xlfn.SWITCH(B286,1,75,2,61,3,49,4,37,5,25,6,13,7,4,8,1)</f>
        <v>75</v>
      </c>
      <c r="K286" t="str" cm="1">
        <f t="array" ref="K286">IFERROR(_xlfn.SWITCH(L286,2,_xlfn.XLOOKUP(C286,[1]ModifierDes!$B:$B,[1]ModifierDes!$C:$C),3,_xlfn.XLOOKUP(C286,[1]StuntDes!$B:$B,[1]StuntDes!$C:$C)),"")</f>
        <v>攻击伤害提高{0}</v>
      </c>
      <c r="L286">
        <f t="shared" si="21"/>
        <v>2</v>
      </c>
      <c r="M286" s="10" t="str">
        <f>IFERROR(_xlfn.XLOOKUP(C286,[1]StuntDes!$B:$B,[1]StuntDes!$A:$A),"")</f>
        <v/>
      </c>
      <c r="N286" s="10">
        <f>IFERROR(_xlfn.XLOOKUP(C286,[1]ModifierDes!$B:$B,[1]ModifierDes!$A:$A),"")</f>
        <v>10066</v>
      </c>
      <c r="O286" s="10" t="str">
        <f>IFERROR(_xlfn.XLOOKUP(C286,[1]AttributeName!$C:$C,[1]AttributeName!$B:$B),"")</f>
        <v/>
      </c>
      <c r="P286" s="10"/>
      <c r="Q286">
        <v>0.25</v>
      </c>
      <c r="R286">
        <v>0.35</v>
      </c>
      <c r="S286" cm="1">
        <f t="array" ref="S286">IFERROR(_xlfn.SWITCH(L286,1,_xlfn.XLOOKUP(O286,[1]AttributeName!$B:$B,[1]AttributeName!$D:$D),2,_xlfn.XLOOKUP(C286,#REF!,#REF!),3,_xlfn.XLOOKUP(C286,#REF!,#REF!)),0)</f>
        <v>0</v>
      </c>
      <c r="T286" cm="1">
        <f t="array" ref="T286">IFERROR(_xlfn.SWITCH(L286,1,_xlfn.XLOOKUP(O286,[1]AttributeName!$B:$B,[1]AttributeName!$E:$E),2,_xlfn.XLOOKUP(C286,#REF!,#REF!),3,_xlfn.XLOOKUP(C286,#REF!,#REF!)),0)</f>
        <v>0</v>
      </c>
    </row>
    <row r="287" customFormat="1" spans="1:20">
      <c r="A287">
        <f t="shared" si="22"/>
        <v>104</v>
      </c>
      <c r="B287">
        <v>2</v>
      </c>
      <c r="C287" t="s">
        <v>383</v>
      </c>
      <c r="D287" t="s">
        <v>415</v>
      </c>
      <c r="E287" t="s">
        <v>378</v>
      </c>
      <c r="F287"/>
      <c r="G287">
        <v>1</v>
      </c>
      <c r="H287">
        <v>100</v>
      </c>
      <c r="I287">
        <v>3</v>
      </c>
      <c r="J287" cm="1">
        <f t="array" ref="J287">_xlfn.SWITCH(B287,1,75,2,61,3,49,4,37,5,25,6,13,7,4,8,1)</f>
        <v>61</v>
      </c>
      <c r="K287" t="str" cm="1">
        <f t="array" ref="K287">IFERROR(_xlfn.SWITCH(L287,2,_xlfn.XLOOKUP(C287,[1]ModifierDes!$B:$B,[1]ModifierDes!$C:$C),3,_xlfn.XLOOKUP(C287,[1]StuntDes!$B:$B,[1]StuntDes!$C:$C)),"")</f>
        <v>攻击伤害提高{0}</v>
      </c>
      <c r="L287">
        <f t="shared" si="21"/>
        <v>2</v>
      </c>
      <c r="M287" s="10" t="str">
        <f>IFERROR(_xlfn.XLOOKUP(C287,[1]StuntDes!$B:$B,[1]StuntDes!$A:$A),"")</f>
        <v/>
      </c>
      <c r="N287" s="10">
        <f>IFERROR(_xlfn.XLOOKUP(C287,[1]ModifierDes!$B:$B,[1]ModifierDes!$A:$A),"")</f>
        <v>10066</v>
      </c>
      <c r="O287" s="10" t="str">
        <f>IFERROR(_xlfn.XLOOKUP(C287,[1]AttributeName!$C:$C,[1]AttributeName!$B:$B),"")</f>
        <v/>
      </c>
      <c r="P287" s="10"/>
      <c r="Q287">
        <v>0.22</v>
      </c>
      <c r="R287">
        <v>0.24</v>
      </c>
      <c r="S287" cm="1">
        <f t="array" ref="S287">IFERROR(_xlfn.SWITCH(L287,1,_xlfn.XLOOKUP(O287,[1]AttributeName!$B:$B,[1]AttributeName!$D:$D),2,_xlfn.XLOOKUP(C287,#REF!,#REF!),3,_xlfn.XLOOKUP(C287,#REF!,#REF!)),0)</f>
        <v>0</v>
      </c>
      <c r="T287" cm="1">
        <f t="array" ref="T287">IFERROR(_xlfn.SWITCH(L287,1,_xlfn.XLOOKUP(O287,[1]AttributeName!$B:$B,[1]AttributeName!$E:$E),2,_xlfn.XLOOKUP(C287,#REF!,#REF!),3,_xlfn.XLOOKUP(C287,#REF!,#REF!)),0)</f>
        <v>0</v>
      </c>
    </row>
    <row r="288" customFormat="1" spans="1:20">
      <c r="A288">
        <f t="shared" si="22"/>
        <v>104</v>
      </c>
      <c r="B288">
        <v>3</v>
      </c>
      <c r="C288" t="s">
        <v>383</v>
      </c>
      <c r="D288" t="s">
        <v>415</v>
      </c>
      <c r="E288" t="s">
        <v>378</v>
      </c>
      <c r="F288"/>
      <c r="G288">
        <v>1</v>
      </c>
      <c r="H288">
        <v>200</v>
      </c>
      <c r="I288">
        <v>3</v>
      </c>
      <c r="J288" cm="1">
        <f t="array" ref="J288">_xlfn.SWITCH(B288,1,75,2,61,3,49,4,37,5,25,6,13,7,4,8,1)</f>
        <v>49</v>
      </c>
      <c r="K288" t="str" cm="1">
        <f t="array" ref="K288">IFERROR(_xlfn.SWITCH(L288,2,_xlfn.XLOOKUP(C288,[1]ModifierDes!$B:$B,[1]ModifierDes!$C:$C),3,_xlfn.XLOOKUP(C288,[1]StuntDes!$B:$B,[1]StuntDes!$C:$C)),"")</f>
        <v>攻击伤害提高{0}</v>
      </c>
      <c r="L288">
        <f t="shared" si="21"/>
        <v>2</v>
      </c>
      <c r="M288" s="10" t="str">
        <f>IFERROR(_xlfn.XLOOKUP(C288,[1]StuntDes!$B:$B,[1]StuntDes!$A:$A),"")</f>
        <v/>
      </c>
      <c r="N288" s="10">
        <f>IFERROR(_xlfn.XLOOKUP(C288,[1]ModifierDes!$B:$B,[1]ModifierDes!$A:$A),"")</f>
        <v>10066</v>
      </c>
      <c r="O288" s="10" t="str">
        <f>IFERROR(_xlfn.XLOOKUP(C288,[1]AttributeName!$C:$C,[1]AttributeName!$B:$B),"")</f>
        <v/>
      </c>
      <c r="P288" s="10"/>
      <c r="Q288">
        <v>0.19</v>
      </c>
      <c r="R288">
        <v>0.21</v>
      </c>
      <c r="S288" cm="1">
        <f t="array" ref="S288">IFERROR(_xlfn.SWITCH(L288,1,_xlfn.XLOOKUP(O288,[1]AttributeName!$B:$B,[1]AttributeName!$D:$D),2,_xlfn.XLOOKUP(C288,#REF!,#REF!),3,_xlfn.XLOOKUP(C288,#REF!,#REF!)),0)</f>
        <v>0</v>
      </c>
      <c r="T288" cm="1">
        <f t="array" ref="T288">IFERROR(_xlfn.SWITCH(L288,1,_xlfn.XLOOKUP(O288,[1]AttributeName!$B:$B,[1]AttributeName!$E:$E),2,_xlfn.XLOOKUP(C288,#REF!,#REF!),3,_xlfn.XLOOKUP(C288,#REF!,#REF!)),0)</f>
        <v>0</v>
      </c>
    </row>
    <row r="289" customFormat="1" spans="1:20">
      <c r="A289">
        <f t="shared" si="22"/>
        <v>104</v>
      </c>
      <c r="B289">
        <v>4</v>
      </c>
      <c r="C289" t="s">
        <v>383</v>
      </c>
      <c r="D289" t="s">
        <v>415</v>
      </c>
      <c r="E289" t="s">
        <v>378</v>
      </c>
      <c r="F289"/>
      <c r="G289">
        <v>1</v>
      </c>
      <c r="H289">
        <v>500</v>
      </c>
      <c r="I289">
        <v>3</v>
      </c>
      <c r="J289" cm="1">
        <f t="array" ref="J289">_xlfn.SWITCH(B289,1,75,2,61,3,49,4,37,5,25,6,13,7,4,8,1)</f>
        <v>37</v>
      </c>
      <c r="K289" t="str" cm="1">
        <f t="array" ref="K289">IFERROR(_xlfn.SWITCH(L289,2,_xlfn.XLOOKUP(C289,[1]ModifierDes!$B:$B,[1]ModifierDes!$C:$C),3,_xlfn.XLOOKUP(C289,[1]StuntDes!$B:$B,[1]StuntDes!$C:$C)),"")</f>
        <v>攻击伤害提高{0}</v>
      </c>
      <c r="L289">
        <f t="shared" si="21"/>
        <v>2</v>
      </c>
      <c r="M289" s="10" t="str">
        <f>IFERROR(_xlfn.XLOOKUP(C289,[1]StuntDes!$B:$B,[1]StuntDes!$A:$A),"")</f>
        <v/>
      </c>
      <c r="N289" s="10">
        <f>IFERROR(_xlfn.XLOOKUP(C289,[1]ModifierDes!$B:$B,[1]ModifierDes!$A:$A),"")</f>
        <v>10066</v>
      </c>
      <c r="O289" s="10" t="str">
        <f>IFERROR(_xlfn.XLOOKUP(C289,[1]AttributeName!$C:$C,[1]AttributeName!$B:$B),"")</f>
        <v/>
      </c>
      <c r="P289" s="10"/>
      <c r="Q289">
        <v>0.16</v>
      </c>
      <c r="R289">
        <v>0.18</v>
      </c>
      <c r="S289" cm="1">
        <f t="array" ref="S289">IFERROR(_xlfn.SWITCH(L289,1,_xlfn.XLOOKUP(O289,[1]AttributeName!$B:$B,[1]AttributeName!$D:$D),2,_xlfn.XLOOKUP(C289,#REF!,#REF!),3,_xlfn.XLOOKUP(C289,#REF!,#REF!)),0)</f>
        <v>0</v>
      </c>
      <c r="T289" cm="1">
        <f t="array" ref="T289">IFERROR(_xlfn.SWITCH(L289,1,_xlfn.XLOOKUP(O289,[1]AttributeName!$B:$B,[1]AttributeName!$E:$E),2,_xlfn.XLOOKUP(C289,#REF!,#REF!),3,_xlfn.XLOOKUP(C289,#REF!,#REF!)),0)</f>
        <v>0</v>
      </c>
    </row>
    <row r="290" customFormat="1" spans="1:20">
      <c r="A290">
        <f t="shared" si="22"/>
        <v>104</v>
      </c>
      <c r="B290">
        <v>5</v>
      </c>
      <c r="C290" t="s">
        <v>383</v>
      </c>
      <c r="D290" t="s">
        <v>415</v>
      </c>
      <c r="E290" t="s">
        <v>378</v>
      </c>
      <c r="F290"/>
      <c r="G290">
        <v>1</v>
      </c>
      <c r="H290">
        <v>750</v>
      </c>
      <c r="I290">
        <v>3</v>
      </c>
      <c r="J290" cm="1">
        <f t="array" ref="J290">_xlfn.SWITCH(B290,1,75,2,61,3,49,4,37,5,25,6,13,7,4,8,1)</f>
        <v>25</v>
      </c>
      <c r="K290" t="str" cm="1">
        <f t="array" ref="K290">IFERROR(_xlfn.SWITCH(L290,2,_xlfn.XLOOKUP(C290,[1]ModifierDes!$B:$B,[1]ModifierDes!$C:$C),3,_xlfn.XLOOKUP(C290,[1]StuntDes!$B:$B,[1]StuntDes!$C:$C)),"")</f>
        <v>攻击伤害提高{0}</v>
      </c>
      <c r="L290">
        <f t="shared" si="21"/>
        <v>2</v>
      </c>
      <c r="M290" s="10" t="str">
        <f>IFERROR(_xlfn.XLOOKUP(C290,[1]StuntDes!$B:$B,[1]StuntDes!$A:$A),"")</f>
        <v/>
      </c>
      <c r="N290" s="10">
        <f>IFERROR(_xlfn.XLOOKUP(C290,[1]ModifierDes!$B:$B,[1]ModifierDes!$A:$A),"")</f>
        <v>10066</v>
      </c>
      <c r="O290" s="10" t="str">
        <f>IFERROR(_xlfn.XLOOKUP(C290,[1]AttributeName!$C:$C,[1]AttributeName!$B:$B),"")</f>
        <v/>
      </c>
      <c r="P290" s="10"/>
      <c r="Q290">
        <v>0.13</v>
      </c>
      <c r="R290">
        <v>0.15</v>
      </c>
      <c r="S290" cm="1">
        <f t="array" ref="S290">IFERROR(_xlfn.SWITCH(L290,1,_xlfn.XLOOKUP(O290,[1]AttributeName!$B:$B,[1]AttributeName!$D:$D),2,_xlfn.XLOOKUP(C290,#REF!,#REF!),3,_xlfn.XLOOKUP(C290,#REF!,#REF!)),0)</f>
        <v>0</v>
      </c>
      <c r="T290" cm="1">
        <f t="array" ref="T290">IFERROR(_xlfn.SWITCH(L290,1,_xlfn.XLOOKUP(O290,[1]AttributeName!$B:$B,[1]AttributeName!$E:$E),2,_xlfn.XLOOKUP(C290,#REF!,#REF!),3,_xlfn.XLOOKUP(C290,#REF!,#REF!)),0)</f>
        <v>0</v>
      </c>
    </row>
    <row r="291" customFormat="1" spans="1:20">
      <c r="A291">
        <f t="shared" si="22"/>
        <v>104</v>
      </c>
      <c r="B291">
        <v>6</v>
      </c>
      <c r="C291" t="s">
        <v>383</v>
      </c>
      <c r="D291" t="s">
        <v>415</v>
      </c>
      <c r="E291" t="s">
        <v>378</v>
      </c>
      <c r="F291"/>
      <c r="G291">
        <v>1</v>
      </c>
      <c r="H291">
        <v>1000</v>
      </c>
      <c r="I291">
        <v>3</v>
      </c>
      <c r="J291" cm="1">
        <f t="array" ref="J291">_xlfn.SWITCH(B291,1,75,2,61,3,49,4,37,5,25,6,13,7,4,8,1)</f>
        <v>13</v>
      </c>
      <c r="K291" t="str" cm="1">
        <f t="array" ref="K291">IFERROR(_xlfn.SWITCH(L291,2,_xlfn.XLOOKUP(C291,[1]ModifierDes!$B:$B,[1]ModifierDes!$C:$C),3,_xlfn.XLOOKUP(C291,[1]StuntDes!$B:$B,[1]StuntDes!$C:$C)),"")</f>
        <v>攻击伤害提高{0}</v>
      </c>
      <c r="L291">
        <f t="shared" si="21"/>
        <v>2</v>
      </c>
      <c r="M291" s="10" t="str">
        <f>IFERROR(_xlfn.XLOOKUP(C291,[1]StuntDes!$B:$B,[1]StuntDes!$A:$A),"")</f>
        <v/>
      </c>
      <c r="N291" s="10">
        <f>IFERROR(_xlfn.XLOOKUP(C291,[1]ModifierDes!$B:$B,[1]ModifierDes!$A:$A),"")</f>
        <v>10066</v>
      </c>
      <c r="O291" s="10" t="str">
        <f>IFERROR(_xlfn.XLOOKUP(C291,[1]AttributeName!$C:$C,[1]AttributeName!$B:$B),"")</f>
        <v/>
      </c>
      <c r="P291" s="10"/>
      <c r="Q291">
        <v>0.0999999999999999</v>
      </c>
      <c r="R291">
        <v>0.12</v>
      </c>
      <c r="S291" cm="1">
        <f t="array" ref="S291">IFERROR(_xlfn.SWITCH(L291,1,_xlfn.XLOOKUP(O291,[1]AttributeName!$B:$B,[1]AttributeName!$D:$D),2,_xlfn.XLOOKUP(C291,#REF!,#REF!),3,_xlfn.XLOOKUP(C291,#REF!,#REF!)),0)</f>
        <v>0</v>
      </c>
      <c r="T291" cm="1">
        <f t="array" ref="T291">IFERROR(_xlfn.SWITCH(L291,1,_xlfn.XLOOKUP(O291,[1]AttributeName!$B:$B,[1]AttributeName!$E:$E),2,_xlfn.XLOOKUP(C291,#REF!,#REF!),3,_xlfn.XLOOKUP(C291,#REF!,#REF!)),0)</f>
        <v>0</v>
      </c>
    </row>
    <row r="292" customFormat="1" spans="1:20">
      <c r="A292">
        <f t="shared" si="22"/>
        <v>104</v>
      </c>
      <c r="B292">
        <v>7</v>
      </c>
      <c r="C292" t="s">
        <v>383</v>
      </c>
      <c r="D292" t="s">
        <v>415</v>
      </c>
      <c r="E292" t="s">
        <v>378</v>
      </c>
      <c r="F292"/>
      <c r="G292">
        <v>1</v>
      </c>
      <c r="H292">
        <v>1000</v>
      </c>
      <c r="I292">
        <v>3</v>
      </c>
      <c r="J292" cm="1">
        <f t="array" ref="J292">_xlfn.SWITCH(B292,1,75,2,61,3,49,4,37,5,25,6,13,7,4,8,1)</f>
        <v>4</v>
      </c>
      <c r="K292" t="str" cm="1">
        <f t="array" ref="K292">IFERROR(_xlfn.SWITCH(L292,2,_xlfn.XLOOKUP(C292,[1]ModifierDes!$B:$B,[1]ModifierDes!$C:$C),3,_xlfn.XLOOKUP(C292,[1]StuntDes!$B:$B,[1]StuntDes!$C:$C)),"")</f>
        <v>攻击伤害提高{0}</v>
      </c>
      <c r="L292">
        <f t="shared" si="21"/>
        <v>2</v>
      </c>
      <c r="M292" s="10" t="str">
        <f>IFERROR(_xlfn.XLOOKUP(C292,[1]StuntDes!$B:$B,[1]StuntDes!$A:$A),"")</f>
        <v/>
      </c>
      <c r="N292" s="10">
        <f>IFERROR(_xlfn.XLOOKUP(C292,[1]ModifierDes!$B:$B,[1]ModifierDes!$A:$A),"")</f>
        <v>10066</v>
      </c>
      <c r="O292" s="10" t="str">
        <f>IFERROR(_xlfn.XLOOKUP(C292,[1]AttributeName!$C:$C,[1]AttributeName!$B:$B),"")</f>
        <v/>
      </c>
      <c r="P292" s="10"/>
      <c r="Q292">
        <v>0.0699999999999999</v>
      </c>
      <c r="R292">
        <v>0.09</v>
      </c>
      <c r="S292" cm="1">
        <f t="array" ref="S292">IFERROR(_xlfn.SWITCH(L292,1,_xlfn.XLOOKUP(O292,[1]AttributeName!$B:$B,[1]AttributeName!$D:$D),2,_xlfn.XLOOKUP(C292,#REF!,#REF!),3,_xlfn.XLOOKUP(C292,#REF!,#REF!)),0)</f>
        <v>0</v>
      </c>
      <c r="T292" cm="1">
        <f t="array" ref="T292">IFERROR(_xlfn.SWITCH(L292,1,_xlfn.XLOOKUP(O292,[1]AttributeName!$B:$B,[1]AttributeName!$E:$E),2,_xlfn.XLOOKUP(C292,#REF!,#REF!),3,_xlfn.XLOOKUP(C292,#REF!,#REF!)),0)</f>
        <v>0</v>
      </c>
    </row>
    <row r="293" customFormat="1" spans="1:20">
      <c r="A293">
        <f t="shared" si="22"/>
        <v>104</v>
      </c>
      <c r="B293">
        <v>8</v>
      </c>
      <c r="C293" t="s">
        <v>383</v>
      </c>
      <c r="D293" t="s">
        <v>415</v>
      </c>
      <c r="E293" t="s">
        <v>378</v>
      </c>
      <c r="F293"/>
      <c r="G293">
        <v>1</v>
      </c>
      <c r="H293">
        <v>1000</v>
      </c>
      <c r="I293">
        <v>3</v>
      </c>
      <c r="J293" cm="1">
        <f t="array" ref="J293">_xlfn.SWITCH(B293,1,75,2,61,3,49,4,37,5,25,6,13,7,4,8,1)</f>
        <v>1</v>
      </c>
      <c r="K293" t="str" cm="1">
        <f t="array" ref="K293">IFERROR(_xlfn.SWITCH(L293,2,_xlfn.XLOOKUP(C293,[1]ModifierDes!$B:$B,[1]ModifierDes!$C:$C),3,_xlfn.XLOOKUP(C293,[1]StuntDes!$B:$B,[1]StuntDes!$C:$C)),"")</f>
        <v>攻击伤害提高{0}</v>
      </c>
      <c r="L293">
        <f t="shared" si="21"/>
        <v>2</v>
      </c>
      <c r="M293" s="10" t="str">
        <f>IFERROR(_xlfn.XLOOKUP(C293,[1]StuntDes!$B:$B,[1]StuntDes!$A:$A),"")</f>
        <v/>
      </c>
      <c r="N293" s="10">
        <f>IFERROR(_xlfn.XLOOKUP(C293,[1]ModifierDes!$B:$B,[1]ModifierDes!$A:$A),"")</f>
        <v>10066</v>
      </c>
      <c r="O293" s="10" t="str">
        <f>IFERROR(_xlfn.XLOOKUP(C293,[1]AttributeName!$C:$C,[1]AttributeName!$B:$B),"")</f>
        <v/>
      </c>
      <c r="P293" s="10"/>
      <c r="Q293">
        <v>0.0399999999999998</v>
      </c>
      <c r="R293">
        <v>0.06</v>
      </c>
      <c r="S293" cm="1">
        <f t="array" ref="S293">IFERROR(_xlfn.SWITCH(L293,1,_xlfn.XLOOKUP(O293,[1]AttributeName!$B:$B,[1]AttributeName!$D:$D),2,_xlfn.XLOOKUP(C293,#REF!,#REF!),3,_xlfn.XLOOKUP(C293,#REF!,#REF!)),0)</f>
        <v>0</v>
      </c>
      <c r="T293" cm="1">
        <f t="array" ref="T293">IFERROR(_xlfn.SWITCH(L293,1,_xlfn.XLOOKUP(O293,[1]AttributeName!$B:$B,[1]AttributeName!$E:$E),2,_xlfn.XLOOKUP(C293,#REF!,#REF!),3,_xlfn.XLOOKUP(C293,#REF!,#REF!)),0)</f>
        <v>0</v>
      </c>
    </row>
    <row r="294" customFormat="1" spans="1:20">
      <c r="A294">
        <f t="shared" si="22"/>
        <v>105</v>
      </c>
      <c r="B294">
        <v>1</v>
      </c>
      <c r="C294" t="s">
        <v>418</v>
      </c>
      <c r="D294" t="s">
        <v>415</v>
      </c>
      <c r="E294" t="s">
        <v>378</v>
      </c>
      <c r="F294"/>
      <c r="G294">
        <v>1</v>
      </c>
      <c r="H294">
        <v>50</v>
      </c>
      <c r="I294">
        <v>3</v>
      </c>
      <c r="J294" cm="1">
        <f t="array" ref="J294">_xlfn.SWITCH(B294,1,75,2,61,3,49,4,37,5,25,6,13,7,4,8,1)</f>
        <v>75</v>
      </c>
      <c r="K294" t="str" cm="1">
        <f t="array" ref="K294">IFERROR(_xlfn.SWITCH(L294,2,_xlfn.XLOOKUP(C294,[1]ModifierDes!$B:$B,[1]ModifierDes!$C:$C),3,_xlfn.XLOOKUP(C294,[1]StuntDes!$B:$B,[1]StuntDes!$C:$C)),"")</f>
        <v>法术伤害提高{0}</v>
      </c>
      <c r="L294">
        <f t="shared" si="21"/>
        <v>2</v>
      </c>
      <c r="M294" s="10" t="str">
        <f>IFERROR(_xlfn.XLOOKUP(C294,[1]StuntDes!$B:$B,[1]StuntDes!$A:$A),"")</f>
        <v/>
      </c>
      <c r="N294" s="10">
        <f>IFERROR(_xlfn.XLOOKUP(C294,[1]ModifierDes!$B:$B,[1]ModifierDes!$A:$A),"")</f>
        <v>10067</v>
      </c>
      <c r="O294" s="10" t="str">
        <f>IFERROR(_xlfn.XLOOKUP(C294,[1]AttributeName!$C:$C,[1]AttributeName!$B:$B),"")</f>
        <v/>
      </c>
      <c r="P294" s="10"/>
      <c r="Q294">
        <v>0.25</v>
      </c>
      <c r="R294">
        <v>0.35</v>
      </c>
      <c r="S294" cm="1">
        <f t="array" ref="S294">IFERROR(_xlfn.SWITCH(L294,1,_xlfn.XLOOKUP(O294,[1]AttributeName!$B:$B,[1]AttributeName!$D:$D),2,_xlfn.XLOOKUP(C294,#REF!,#REF!),3,_xlfn.XLOOKUP(C294,#REF!,#REF!)),0)</f>
        <v>0</v>
      </c>
      <c r="T294" cm="1">
        <f t="array" ref="T294">IFERROR(_xlfn.SWITCH(L294,1,_xlfn.XLOOKUP(O294,[1]AttributeName!$B:$B,[1]AttributeName!$E:$E),2,_xlfn.XLOOKUP(C294,#REF!,#REF!),3,_xlfn.XLOOKUP(C294,#REF!,#REF!)),0)</f>
        <v>0</v>
      </c>
    </row>
    <row r="295" customFormat="1" spans="1:20">
      <c r="A295">
        <f t="shared" si="22"/>
        <v>105</v>
      </c>
      <c r="B295">
        <v>2</v>
      </c>
      <c r="C295" t="s">
        <v>418</v>
      </c>
      <c r="D295" t="s">
        <v>415</v>
      </c>
      <c r="E295" t="s">
        <v>378</v>
      </c>
      <c r="F295"/>
      <c r="G295">
        <v>1</v>
      </c>
      <c r="H295">
        <v>100</v>
      </c>
      <c r="I295">
        <v>3</v>
      </c>
      <c r="J295" cm="1">
        <f t="array" ref="J295">_xlfn.SWITCH(B295,1,75,2,61,3,49,4,37,5,25,6,13,7,4,8,1)</f>
        <v>61</v>
      </c>
      <c r="K295" t="str" cm="1">
        <f t="array" ref="K295">IFERROR(_xlfn.SWITCH(L295,2,_xlfn.XLOOKUP(C295,[1]ModifierDes!$B:$B,[1]ModifierDes!$C:$C),3,_xlfn.XLOOKUP(C295,[1]StuntDes!$B:$B,[1]StuntDes!$C:$C)),"")</f>
        <v>法术伤害提高{0}</v>
      </c>
      <c r="L295">
        <f t="shared" si="21"/>
        <v>2</v>
      </c>
      <c r="M295" s="10" t="str">
        <f>IFERROR(_xlfn.XLOOKUP(C295,[1]StuntDes!$B:$B,[1]StuntDes!$A:$A),"")</f>
        <v/>
      </c>
      <c r="N295" s="10">
        <f>IFERROR(_xlfn.XLOOKUP(C295,[1]ModifierDes!$B:$B,[1]ModifierDes!$A:$A),"")</f>
        <v>10067</v>
      </c>
      <c r="O295" s="10" t="str">
        <f>IFERROR(_xlfn.XLOOKUP(C295,[1]AttributeName!$C:$C,[1]AttributeName!$B:$B),"")</f>
        <v/>
      </c>
      <c r="P295" s="10"/>
      <c r="Q295">
        <v>0.22</v>
      </c>
      <c r="R295">
        <v>0.24</v>
      </c>
      <c r="S295" cm="1">
        <f t="array" ref="S295">IFERROR(_xlfn.SWITCH(L295,1,_xlfn.XLOOKUP(O295,[1]AttributeName!$B:$B,[1]AttributeName!$D:$D),2,_xlfn.XLOOKUP(C295,#REF!,#REF!),3,_xlfn.XLOOKUP(C295,#REF!,#REF!)),0)</f>
        <v>0</v>
      </c>
      <c r="T295" cm="1">
        <f t="array" ref="T295">IFERROR(_xlfn.SWITCH(L295,1,_xlfn.XLOOKUP(O295,[1]AttributeName!$B:$B,[1]AttributeName!$E:$E),2,_xlfn.XLOOKUP(C295,#REF!,#REF!),3,_xlfn.XLOOKUP(C295,#REF!,#REF!)),0)</f>
        <v>0</v>
      </c>
    </row>
    <row r="296" customFormat="1" spans="1:20">
      <c r="A296">
        <f t="shared" si="22"/>
        <v>105</v>
      </c>
      <c r="B296">
        <v>3</v>
      </c>
      <c r="C296" t="s">
        <v>418</v>
      </c>
      <c r="D296" t="s">
        <v>415</v>
      </c>
      <c r="E296" t="s">
        <v>378</v>
      </c>
      <c r="F296"/>
      <c r="G296">
        <v>1</v>
      </c>
      <c r="H296">
        <v>200</v>
      </c>
      <c r="I296">
        <v>3</v>
      </c>
      <c r="J296" cm="1">
        <f t="array" ref="J296">_xlfn.SWITCH(B296,1,75,2,61,3,49,4,37,5,25,6,13,7,4,8,1)</f>
        <v>49</v>
      </c>
      <c r="K296" t="str" cm="1">
        <f t="array" ref="K296">IFERROR(_xlfn.SWITCH(L296,2,_xlfn.XLOOKUP(C296,[1]ModifierDes!$B:$B,[1]ModifierDes!$C:$C),3,_xlfn.XLOOKUP(C296,[1]StuntDes!$B:$B,[1]StuntDes!$C:$C)),"")</f>
        <v>法术伤害提高{0}</v>
      </c>
      <c r="L296">
        <f t="shared" si="21"/>
        <v>2</v>
      </c>
      <c r="M296" s="10" t="str">
        <f>IFERROR(_xlfn.XLOOKUP(C296,[1]StuntDes!$B:$B,[1]StuntDes!$A:$A),"")</f>
        <v/>
      </c>
      <c r="N296" s="10">
        <f>IFERROR(_xlfn.XLOOKUP(C296,[1]ModifierDes!$B:$B,[1]ModifierDes!$A:$A),"")</f>
        <v>10067</v>
      </c>
      <c r="O296" s="10" t="str">
        <f>IFERROR(_xlfn.XLOOKUP(C296,[1]AttributeName!$C:$C,[1]AttributeName!$B:$B),"")</f>
        <v/>
      </c>
      <c r="P296" s="10"/>
      <c r="Q296">
        <v>0.19</v>
      </c>
      <c r="R296">
        <v>0.21</v>
      </c>
      <c r="S296" cm="1">
        <f t="array" ref="S296">IFERROR(_xlfn.SWITCH(L296,1,_xlfn.XLOOKUP(O296,[1]AttributeName!$B:$B,[1]AttributeName!$D:$D),2,_xlfn.XLOOKUP(C296,#REF!,#REF!),3,_xlfn.XLOOKUP(C296,#REF!,#REF!)),0)</f>
        <v>0</v>
      </c>
      <c r="T296" cm="1">
        <f t="array" ref="T296">IFERROR(_xlfn.SWITCH(L296,1,_xlfn.XLOOKUP(O296,[1]AttributeName!$B:$B,[1]AttributeName!$E:$E),2,_xlfn.XLOOKUP(C296,#REF!,#REF!),3,_xlfn.XLOOKUP(C296,#REF!,#REF!)),0)</f>
        <v>0</v>
      </c>
    </row>
    <row r="297" customFormat="1" spans="1:20">
      <c r="A297">
        <f t="shared" si="22"/>
        <v>105</v>
      </c>
      <c r="B297">
        <v>4</v>
      </c>
      <c r="C297" t="s">
        <v>418</v>
      </c>
      <c r="D297" t="s">
        <v>415</v>
      </c>
      <c r="E297" t="s">
        <v>378</v>
      </c>
      <c r="F297"/>
      <c r="G297">
        <v>1</v>
      </c>
      <c r="H297">
        <v>500</v>
      </c>
      <c r="I297">
        <v>3</v>
      </c>
      <c r="J297" cm="1">
        <f t="array" ref="J297">_xlfn.SWITCH(B297,1,75,2,61,3,49,4,37,5,25,6,13,7,4,8,1)</f>
        <v>37</v>
      </c>
      <c r="K297" t="str" cm="1">
        <f t="array" ref="K297">IFERROR(_xlfn.SWITCH(L297,2,_xlfn.XLOOKUP(C297,[1]ModifierDes!$B:$B,[1]ModifierDes!$C:$C),3,_xlfn.XLOOKUP(C297,[1]StuntDes!$B:$B,[1]StuntDes!$C:$C)),"")</f>
        <v>法术伤害提高{0}</v>
      </c>
      <c r="L297">
        <f t="shared" si="21"/>
        <v>2</v>
      </c>
      <c r="M297" s="10" t="str">
        <f>IFERROR(_xlfn.XLOOKUP(C297,[1]StuntDes!$B:$B,[1]StuntDes!$A:$A),"")</f>
        <v/>
      </c>
      <c r="N297" s="10">
        <f>IFERROR(_xlfn.XLOOKUP(C297,[1]ModifierDes!$B:$B,[1]ModifierDes!$A:$A),"")</f>
        <v>10067</v>
      </c>
      <c r="O297" s="10" t="str">
        <f>IFERROR(_xlfn.XLOOKUP(C297,[1]AttributeName!$C:$C,[1]AttributeName!$B:$B),"")</f>
        <v/>
      </c>
      <c r="P297" s="10"/>
      <c r="Q297">
        <v>0.16</v>
      </c>
      <c r="R297">
        <v>0.18</v>
      </c>
      <c r="S297" cm="1">
        <f t="array" ref="S297">IFERROR(_xlfn.SWITCH(L297,1,_xlfn.XLOOKUP(O297,[1]AttributeName!$B:$B,[1]AttributeName!$D:$D),2,_xlfn.XLOOKUP(C297,#REF!,#REF!),3,_xlfn.XLOOKUP(C297,#REF!,#REF!)),0)</f>
        <v>0</v>
      </c>
      <c r="T297" cm="1">
        <f t="array" ref="T297">IFERROR(_xlfn.SWITCH(L297,1,_xlfn.XLOOKUP(O297,[1]AttributeName!$B:$B,[1]AttributeName!$E:$E),2,_xlfn.XLOOKUP(C297,#REF!,#REF!),3,_xlfn.XLOOKUP(C297,#REF!,#REF!)),0)</f>
        <v>0</v>
      </c>
    </row>
    <row r="298" customFormat="1" spans="1:20">
      <c r="A298">
        <f t="shared" si="22"/>
        <v>105</v>
      </c>
      <c r="B298">
        <v>5</v>
      </c>
      <c r="C298" t="s">
        <v>418</v>
      </c>
      <c r="D298" t="s">
        <v>415</v>
      </c>
      <c r="E298" t="s">
        <v>378</v>
      </c>
      <c r="F298"/>
      <c r="G298">
        <v>1</v>
      </c>
      <c r="H298">
        <v>750</v>
      </c>
      <c r="I298">
        <v>3</v>
      </c>
      <c r="J298" cm="1">
        <f t="array" ref="J298">_xlfn.SWITCH(B298,1,75,2,61,3,49,4,37,5,25,6,13,7,4,8,1)</f>
        <v>25</v>
      </c>
      <c r="K298" t="str" cm="1">
        <f t="array" ref="K298">IFERROR(_xlfn.SWITCH(L298,2,_xlfn.XLOOKUP(C298,[1]ModifierDes!$B:$B,[1]ModifierDes!$C:$C),3,_xlfn.XLOOKUP(C298,[1]StuntDes!$B:$B,[1]StuntDes!$C:$C)),"")</f>
        <v>法术伤害提高{0}</v>
      </c>
      <c r="L298">
        <f t="shared" si="21"/>
        <v>2</v>
      </c>
      <c r="M298" s="10" t="str">
        <f>IFERROR(_xlfn.XLOOKUP(C298,[1]StuntDes!$B:$B,[1]StuntDes!$A:$A),"")</f>
        <v/>
      </c>
      <c r="N298" s="10">
        <f>IFERROR(_xlfn.XLOOKUP(C298,[1]ModifierDes!$B:$B,[1]ModifierDes!$A:$A),"")</f>
        <v>10067</v>
      </c>
      <c r="O298" s="10" t="str">
        <f>IFERROR(_xlfn.XLOOKUP(C298,[1]AttributeName!$C:$C,[1]AttributeName!$B:$B),"")</f>
        <v/>
      </c>
      <c r="P298" s="10"/>
      <c r="Q298">
        <v>0.13</v>
      </c>
      <c r="R298">
        <v>0.15</v>
      </c>
      <c r="S298" cm="1">
        <f t="array" ref="S298">IFERROR(_xlfn.SWITCH(L298,1,_xlfn.XLOOKUP(O298,[1]AttributeName!$B:$B,[1]AttributeName!$D:$D),2,_xlfn.XLOOKUP(C298,#REF!,#REF!),3,_xlfn.XLOOKUP(C298,#REF!,#REF!)),0)</f>
        <v>0</v>
      </c>
      <c r="T298" cm="1">
        <f t="array" ref="T298">IFERROR(_xlfn.SWITCH(L298,1,_xlfn.XLOOKUP(O298,[1]AttributeName!$B:$B,[1]AttributeName!$E:$E),2,_xlfn.XLOOKUP(C298,#REF!,#REF!),3,_xlfn.XLOOKUP(C298,#REF!,#REF!)),0)</f>
        <v>0</v>
      </c>
    </row>
    <row r="299" customFormat="1" spans="1:20">
      <c r="A299">
        <f t="shared" si="22"/>
        <v>105</v>
      </c>
      <c r="B299">
        <v>6</v>
      </c>
      <c r="C299" t="s">
        <v>418</v>
      </c>
      <c r="D299" t="s">
        <v>415</v>
      </c>
      <c r="E299" t="s">
        <v>378</v>
      </c>
      <c r="F299"/>
      <c r="G299">
        <v>1</v>
      </c>
      <c r="H299">
        <v>1000</v>
      </c>
      <c r="I299">
        <v>3</v>
      </c>
      <c r="J299" cm="1">
        <f t="array" ref="J299">_xlfn.SWITCH(B299,1,75,2,61,3,49,4,37,5,25,6,13,7,4,8,1)</f>
        <v>13</v>
      </c>
      <c r="K299" t="str" cm="1">
        <f t="array" ref="K299">IFERROR(_xlfn.SWITCH(L299,2,_xlfn.XLOOKUP(C299,[1]ModifierDes!$B:$B,[1]ModifierDes!$C:$C),3,_xlfn.XLOOKUP(C299,[1]StuntDes!$B:$B,[1]StuntDes!$C:$C)),"")</f>
        <v>法术伤害提高{0}</v>
      </c>
      <c r="L299">
        <f t="shared" si="21"/>
        <v>2</v>
      </c>
      <c r="M299" s="10" t="str">
        <f>IFERROR(_xlfn.XLOOKUP(C299,[1]StuntDes!$B:$B,[1]StuntDes!$A:$A),"")</f>
        <v/>
      </c>
      <c r="N299" s="10">
        <f>IFERROR(_xlfn.XLOOKUP(C299,[1]ModifierDes!$B:$B,[1]ModifierDes!$A:$A),"")</f>
        <v>10067</v>
      </c>
      <c r="O299" s="10" t="str">
        <f>IFERROR(_xlfn.XLOOKUP(C299,[1]AttributeName!$C:$C,[1]AttributeName!$B:$B),"")</f>
        <v/>
      </c>
      <c r="P299" s="10"/>
      <c r="Q299">
        <v>0.0999999999999999</v>
      </c>
      <c r="R299">
        <v>0.12</v>
      </c>
      <c r="S299" cm="1">
        <f t="array" ref="S299">IFERROR(_xlfn.SWITCH(L299,1,_xlfn.XLOOKUP(O299,[1]AttributeName!$B:$B,[1]AttributeName!$D:$D),2,_xlfn.XLOOKUP(C299,#REF!,#REF!),3,_xlfn.XLOOKUP(C299,#REF!,#REF!)),0)</f>
        <v>0</v>
      </c>
      <c r="T299" cm="1">
        <f t="array" ref="T299">IFERROR(_xlfn.SWITCH(L299,1,_xlfn.XLOOKUP(O299,[1]AttributeName!$B:$B,[1]AttributeName!$E:$E),2,_xlfn.XLOOKUP(C299,#REF!,#REF!),3,_xlfn.XLOOKUP(C299,#REF!,#REF!)),0)</f>
        <v>0</v>
      </c>
    </row>
    <row r="300" customFormat="1" spans="1:20">
      <c r="A300">
        <f t="shared" si="22"/>
        <v>105</v>
      </c>
      <c r="B300">
        <v>7</v>
      </c>
      <c r="C300" t="s">
        <v>418</v>
      </c>
      <c r="D300" t="s">
        <v>415</v>
      </c>
      <c r="E300" t="s">
        <v>378</v>
      </c>
      <c r="F300"/>
      <c r="G300">
        <v>1</v>
      </c>
      <c r="H300">
        <v>1000</v>
      </c>
      <c r="I300">
        <v>3</v>
      </c>
      <c r="J300" cm="1">
        <f t="array" ref="J300">_xlfn.SWITCH(B300,1,75,2,61,3,49,4,37,5,25,6,13,7,4,8,1)</f>
        <v>4</v>
      </c>
      <c r="K300" t="str" cm="1">
        <f t="array" ref="K300">IFERROR(_xlfn.SWITCH(L300,2,_xlfn.XLOOKUP(C300,[1]ModifierDes!$B:$B,[1]ModifierDes!$C:$C),3,_xlfn.XLOOKUP(C300,[1]StuntDes!$B:$B,[1]StuntDes!$C:$C)),"")</f>
        <v>法术伤害提高{0}</v>
      </c>
      <c r="L300">
        <f t="shared" si="21"/>
        <v>2</v>
      </c>
      <c r="M300" s="10" t="str">
        <f>IFERROR(_xlfn.XLOOKUP(C300,[1]StuntDes!$B:$B,[1]StuntDes!$A:$A),"")</f>
        <v/>
      </c>
      <c r="N300" s="10">
        <f>IFERROR(_xlfn.XLOOKUP(C300,[1]ModifierDes!$B:$B,[1]ModifierDes!$A:$A),"")</f>
        <v>10067</v>
      </c>
      <c r="O300" s="10" t="str">
        <f>IFERROR(_xlfn.XLOOKUP(C300,[1]AttributeName!$C:$C,[1]AttributeName!$B:$B),"")</f>
        <v/>
      </c>
      <c r="P300" s="10"/>
      <c r="Q300">
        <v>0.0699999999999999</v>
      </c>
      <c r="R300">
        <v>0.09</v>
      </c>
      <c r="S300" cm="1">
        <f t="array" ref="S300">IFERROR(_xlfn.SWITCH(L300,1,_xlfn.XLOOKUP(O300,[1]AttributeName!$B:$B,[1]AttributeName!$D:$D),2,_xlfn.XLOOKUP(C300,#REF!,#REF!),3,_xlfn.XLOOKUP(C300,#REF!,#REF!)),0)</f>
        <v>0</v>
      </c>
      <c r="T300" cm="1">
        <f t="array" ref="T300">IFERROR(_xlfn.SWITCH(L300,1,_xlfn.XLOOKUP(O300,[1]AttributeName!$B:$B,[1]AttributeName!$E:$E),2,_xlfn.XLOOKUP(C300,#REF!,#REF!),3,_xlfn.XLOOKUP(C300,#REF!,#REF!)),0)</f>
        <v>0</v>
      </c>
    </row>
    <row r="301" customFormat="1" spans="1:20">
      <c r="A301">
        <f t="shared" si="22"/>
        <v>105</v>
      </c>
      <c r="B301">
        <v>8</v>
      </c>
      <c r="C301" t="s">
        <v>418</v>
      </c>
      <c r="D301" t="s">
        <v>415</v>
      </c>
      <c r="E301" t="s">
        <v>378</v>
      </c>
      <c r="F301"/>
      <c r="G301">
        <v>1</v>
      </c>
      <c r="H301">
        <v>1000</v>
      </c>
      <c r="I301">
        <v>3</v>
      </c>
      <c r="J301" cm="1">
        <f t="array" ref="J301">_xlfn.SWITCH(B301,1,75,2,61,3,49,4,37,5,25,6,13,7,4,8,1)</f>
        <v>1</v>
      </c>
      <c r="K301" t="str" cm="1">
        <f t="array" ref="K301">IFERROR(_xlfn.SWITCH(L301,2,_xlfn.XLOOKUP(C301,[1]ModifierDes!$B:$B,[1]ModifierDes!$C:$C),3,_xlfn.XLOOKUP(C301,[1]StuntDes!$B:$B,[1]StuntDes!$C:$C)),"")</f>
        <v>法术伤害提高{0}</v>
      </c>
      <c r="L301">
        <f t="shared" si="21"/>
        <v>2</v>
      </c>
      <c r="M301" s="10" t="str">
        <f>IFERROR(_xlfn.XLOOKUP(C301,[1]StuntDes!$B:$B,[1]StuntDes!$A:$A),"")</f>
        <v/>
      </c>
      <c r="N301" s="10">
        <f>IFERROR(_xlfn.XLOOKUP(C301,[1]ModifierDes!$B:$B,[1]ModifierDes!$A:$A),"")</f>
        <v>10067</v>
      </c>
      <c r="O301" s="10" t="str">
        <f>IFERROR(_xlfn.XLOOKUP(C301,[1]AttributeName!$C:$C,[1]AttributeName!$B:$B),"")</f>
        <v/>
      </c>
      <c r="P301" s="10"/>
      <c r="Q301">
        <v>0.0399999999999998</v>
      </c>
      <c r="R301">
        <v>0.06</v>
      </c>
      <c r="S301" cm="1">
        <f t="array" ref="S301">IFERROR(_xlfn.SWITCH(L301,1,_xlfn.XLOOKUP(O301,[1]AttributeName!$B:$B,[1]AttributeName!$D:$D),2,_xlfn.XLOOKUP(C301,#REF!,#REF!),3,_xlfn.XLOOKUP(C301,#REF!,#REF!)),0)</f>
        <v>0</v>
      </c>
      <c r="T301" cm="1">
        <f t="array" ref="T301">IFERROR(_xlfn.SWITCH(L301,1,_xlfn.XLOOKUP(O301,[1]AttributeName!$B:$B,[1]AttributeName!$E:$E),2,_xlfn.XLOOKUP(C301,#REF!,#REF!),3,_xlfn.XLOOKUP(C301,#REF!,#REF!)),0)</f>
        <v>0</v>
      </c>
    </row>
    <row r="302" customFormat="1" spans="1:20">
      <c r="A302">
        <f t="shared" si="22"/>
        <v>106</v>
      </c>
      <c r="B302">
        <v>1</v>
      </c>
      <c r="C302" t="s">
        <v>384</v>
      </c>
      <c r="D302" t="s">
        <v>415</v>
      </c>
      <c r="E302" t="s">
        <v>378</v>
      </c>
      <c r="F302"/>
      <c r="G302">
        <v>1</v>
      </c>
      <c r="H302">
        <v>100</v>
      </c>
      <c r="I302">
        <v>3</v>
      </c>
      <c r="J302" cm="1">
        <f t="array" ref="J302">_xlfn.SWITCH(B302,1,75,2,61,3,49,4,37,5,25,6,13,7,4,8,1)</f>
        <v>75</v>
      </c>
      <c r="K302" t="str" cm="1">
        <f t="array" ref="K302">IFERROR(_xlfn.SWITCH(L302,2,_xlfn.XLOOKUP(C302,[1]ModifierDes!$B:$B,[1]ModifierDes!$C:$C),3,_xlfn.XLOOKUP(C302,[1]StuntDes!$B:$B,[1]StuntDes!$C:$C)),"")</f>
        <v/>
      </c>
      <c r="L302">
        <f t="shared" si="21"/>
        <v>1</v>
      </c>
      <c r="M302" s="10" t="str">
        <f>IFERROR(_xlfn.XLOOKUP(C302,[1]StuntDes!$B:$B,[1]StuntDes!$A:$A),"")</f>
        <v/>
      </c>
      <c r="N302" s="10" t="str">
        <f>IFERROR(_xlfn.XLOOKUP(C302,[1]ModifierDes!$B:$B,[1]ModifierDes!$A:$A),"")</f>
        <v/>
      </c>
      <c r="O302" s="10">
        <f>IFERROR(_xlfn.XLOOKUP(C302,[1]AttributeName!$C:$C,[1]AttributeName!$B:$B),"")</f>
        <v>10303</v>
      </c>
      <c r="P302" s="10"/>
      <c r="Q302">
        <v>0.25</v>
      </c>
      <c r="R302">
        <v>0.35</v>
      </c>
      <c r="S302" cm="1">
        <f t="array" ref="S302">IFERROR(_xlfn.SWITCH(L302,1,_xlfn.XLOOKUP(O302,[1]AttributeName!$B:$B,[1]AttributeName!$D:$D),2,_xlfn.XLOOKUP(C302,#REF!,#REF!),3,_xlfn.XLOOKUP(C302,#REF!,#REF!)),0)</f>
        <v>2</v>
      </c>
      <c r="T302" cm="1">
        <f t="array" ref="T302">IFERROR(_xlfn.SWITCH(L302,1,_xlfn.XLOOKUP(O302,[1]AttributeName!$B:$B,[1]AttributeName!$E:$E),2,_xlfn.XLOOKUP(C302,#REF!,#REF!),3,_xlfn.XLOOKUP(C302,#REF!,#REF!)),0)</f>
        <v>2</v>
      </c>
    </row>
    <row r="303" customFormat="1" spans="1:20">
      <c r="A303">
        <f t="shared" si="22"/>
        <v>106</v>
      </c>
      <c r="B303">
        <v>2</v>
      </c>
      <c r="C303" t="s">
        <v>384</v>
      </c>
      <c r="D303" t="s">
        <v>415</v>
      </c>
      <c r="E303" t="s">
        <v>378</v>
      </c>
      <c r="F303"/>
      <c r="G303">
        <v>1</v>
      </c>
      <c r="H303">
        <v>200</v>
      </c>
      <c r="I303">
        <v>3</v>
      </c>
      <c r="J303" cm="1">
        <f t="array" ref="J303">_xlfn.SWITCH(B303,1,75,2,61,3,49,4,37,5,25,6,13,7,4,8,1)</f>
        <v>61</v>
      </c>
      <c r="K303" t="str" cm="1">
        <f t="array" ref="K303">IFERROR(_xlfn.SWITCH(L303,2,_xlfn.XLOOKUP(C303,[1]ModifierDes!$B:$B,[1]ModifierDes!$C:$C),3,_xlfn.XLOOKUP(C303,[1]StuntDes!$B:$B,[1]StuntDes!$C:$C)),"")</f>
        <v/>
      </c>
      <c r="L303">
        <f t="shared" si="21"/>
        <v>1</v>
      </c>
      <c r="M303" s="10" t="str">
        <f>IFERROR(_xlfn.XLOOKUP(C303,[1]StuntDes!$B:$B,[1]StuntDes!$A:$A),"")</f>
        <v/>
      </c>
      <c r="N303" s="10" t="str">
        <f>IFERROR(_xlfn.XLOOKUP(C303,[1]ModifierDes!$B:$B,[1]ModifierDes!$A:$A),"")</f>
        <v/>
      </c>
      <c r="O303" s="10">
        <f>IFERROR(_xlfn.XLOOKUP(C303,[1]AttributeName!$C:$C,[1]AttributeName!$B:$B),"")</f>
        <v>10303</v>
      </c>
      <c r="P303" s="10"/>
      <c r="Q303">
        <v>0.22</v>
      </c>
      <c r="R303">
        <v>0.24</v>
      </c>
      <c r="S303" cm="1">
        <f t="array" ref="S303">IFERROR(_xlfn.SWITCH(L303,1,_xlfn.XLOOKUP(O303,[1]AttributeName!$B:$B,[1]AttributeName!$D:$D),2,_xlfn.XLOOKUP(C303,#REF!,#REF!),3,_xlfn.XLOOKUP(C303,#REF!,#REF!)),0)</f>
        <v>2</v>
      </c>
      <c r="T303" cm="1">
        <f t="array" ref="T303">IFERROR(_xlfn.SWITCH(L303,1,_xlfn.XLOOKUP(O303,[1]AttributeName!$B:$B,[1]AttributeName!$E:$E),2,_xlfn.XLOOKUP(C303,#REF!,#REF!),3,_xlfn.XLOOKUP(C303,#REF!,#REF!)),0)</f>
        <v>2</v>
      </c>
    </row>
    <row r="304" customFormat="1" spans="1:20">
      <c r="A304">
        <f t="shared" si="22"/>
        <v>106</v>
      </c>
      <c r="B304">
        <v>3</v>
      </c>
      <c r="C304" t="s">
        <v>384</v>
      </c>
      <c r="D304" t="s">
        <v>415</v>
      </c>
      <c r="E304" t="s">
        <v>378</v>
      </c>
      <c r="F304"/>
      <c r="G304">
        <v>1</v>
      </c>
      <c r="H304">
        <v>500</v>
      </c>
      <c r="I304">
        <v>3</v>
      </c>
      <c r="J304" cm="1">
        <f t="array" ref="J304">_xlfn.SWITCH(B304,1,75,2,61,3,49,4,37,5,25,6,13,7,4,8,1)</f>
        <v>49</v>
      </c>
      <c r="K304" t="str" cm="1">
        <f t="array" ref="K304">IFERROR(_xlfn.SWITCH(L304,2,_xlfn.XLOOKUP(C304,[1]ModifierDes!$B:$B,[1]ModifierDes!$C:$C),3,_xlfn.XLOOKUP(C304,[1]StuntDes!$B:$B,[1]StuntDes!$C:$C)),"")</f>
        <v/>
      </c>
      <c r="L304">
        <f t="shared" si="21"/>
        <v>1</v>
      </c>
      <c r="M304" s="10" t="str">
        <f>IFERROR(_xlfn.XLOOKUP(C304,[1]StuntDes!$B:$B,[1]StuntDes!$A:$A),"")</f>
        <v/>
      </c>
      <c r="N304" s="10" t="str">
        <f>IFERROR(_xlfn.XLOOKUP(C304,[1]ModifierDes!$B:$B,[1]ModifierDes!$A:$A),"")</f>
        <v/>
      </c>
      <c r="O304" s="10">
        <f>IFERROR(_xlfn.XLOOKUP(C304,[1]AttributeName!$C:$C,[1]AttributeName!$B:$B),"")</f>
        <v>10303</v>
      </c>
      <c r="P304" s="10"/>
      <c r="Q304">
        <v>0.19</v>
      </c>
      <c r="R304">
        <v>0.21</v>
      </c>
      <c r="S304" cm="1">
        <f t="array" ref="S304">IFERROR(_xlfn.SWITCH(L304,1,_xlfn.XLOOKUP(O304,[1]AttributeName!$B:$B,[1]AttributeName!$D:$D),2,_xlfn.XLOOKUP(C304,#REF!,#REF!),3,_xlfn.XLOOKUP(C304,#REF!,#REF!)),0)</f>
        <v>2</v>
      </c>
      <c r="T304" cm="1">
        <f t="array" ref="T304">IFERROR(_xlfn.SWITCH(L304,1,_xlfn.XLOOKUP(O304,[1]AttributeName!$B:$B,[1]AttributeName!$E:$E),2,_xlfn.XLOOKUP(C304,#REF!,#REF!),3,_xlfn.XLOOKUP(C304,#REF!,#REF!)),0)</f>
        <v>2</v>
      </c>
    </row>
    <row r="305" customFormat="1" spans="1:20">
      <c r="A305">
        <f t="shared" si="22"/>
        <v>106</v>
      </c>
      <c r="B305">
        <v>4</v>
      </c>
      <c r="C305" t="s">
        <v>384</v>
      </c>
      <c r="D305" t="s">
        <v>415</v>
      </c>
      <c r="E305" t="s">
        <v>378</v>
      </c>
      <c r="F305"/>
      <c r="G305">
        <v>1</v>
      </c>
      <c r="H305">
        <v>1000</v>
      </c>
      <c r="I305">
        <v>3</v>
      </c>
      <c r="J305" cm="1">
        <f t="array" ref="J305">_xlfn.SWITCH(B305,1,75,2,61,3,49,4,37,5,25,6,13,7,4,8,1)</f>
        <v>37</v>
      </c>
      <c r="K305" t="str" cm="1">
        <f t="array" ref="K305">IFERROR(_xlfn.SWITCH(L305,2,_xlfn.XLOOKUP(C305,[1]ModifierDes!$B:$B,[1]ModifierDes!$C:$C),3,_xlfn.XLOOKUP(C305,[1]StuntDes!$B:$B,[1]StuntDes!$C:$C)),"")</f>
        <v/>
      </c>
      <c r="L305">
        <f t="shared" si="21"/>
        <v>1</v>
      </c>
      <c r="M305" s="10" t="str">
        <f>IFERROR(_xlfn.XLOOKUP(C305,[1]StuntDes!$B:$B,[1]StuntDes!$A:$A),"")</f>
        <v/>
      </c>
      <c r="N305" s="10" t="str">
        <f>IFERROR(_xlfn.XLOOKUP(C305,[1]ModifierDes!$B:$B,[1]ModifierDes!$A:$A),"")</f>
        <v/>
      </c>
      <c r="O305" s="10">
        <f>IFERROR(_xlfn.XLOOKUP(C305,[1]AttributeName!$C:$C,[1]AttributeName!$B:$B),"")</f>
        <v>10303</v>
      </c>
      <c r="P305" s="10"/>
      <c r="Q305">
        <v>0.16</v>
      </c>
      <c r="R305">
        <v>0.18</v>
      </c>
      <c r="S305" cm="1">
        <f t="array" ref="S305">IFERROR(_xlfn.SWITCH(L305,1,_xlfn.XLOOKUP(O305,[1]AttributeName!$B:$B,[1]AttributeName!$D:$D),2,_xlfn.XLOOKUP(C305,#REF!,#REF!),3,_xlfn.XLOOKUP(C305,#REF!,#REF!)),0)</f>
        <v>2</v>
      </c>
      <c r="T305" cm="1">
        <f t="array" ref="T305">IFERROR(_xlfn.SWITCH(L305,1,_xlfn.XLOOKUP(O305,[1]AttributeName!$B:$B,[1]AttributeName!$E:$E),2,_xlfn.XLOOKUP(C305,#REF!,#REF!),3,_xlfn.XLOOKUP(C305,#REF!,#REF!)),0)</f>
        <v>2</v>
      </c>
    </row>
    <row r="306" customFormat="1" spans="1:20">
      <c r="A306">
        <f t="shared" si="22"/>
        <v>106</v>
      </c>
      <c r="B306">
        <v>5</v>
      </c>
      <c r="C306" t="s">
        <v>384</v>
      </c>
      <c r="D306" t="s">
        <v>415</v>
      </c>
      <c r="E306" t="s">
        <v>378</v>
      </c>
      <c r="F306"/>
      <c r="G306">
        <v>1</v>
      </c>
      <c r="H306">
        <v>1000</v>
      </c>
      <c r="I306">
        <v>3</v>
      </c>
      <c r="J306" cm="1">
        <f t="array" ref="J306">_xlfn.SWITCH(B306,1,75,2,61,3,49,4,37,5,25,6,13,7,4,8,1)</f>
        <v>25</v>
      </c>
      <c r="K306" t="str" cm="1">
        <f t="array" ref="K306">IFERROR(_xlfn.SWITCH(L306,2,_xlfn.XLOOKUP(C306,[1]ModifierDes!$B:$B,[1]ModifierDes!$C:$C),3,_xlfn.XLOOKUP(C306,[1]StuntDes!$B:$B,[1]StuntDes!$C:$C)),"")</f>
        <v/>
      </c>
      <c r="L306">
        <f t="shared" si="21"/>
        <v>1</v>
      </c>
      <c r="M306" s="10" t="str">
        <f>IFERROR(_xlfn.XLOOKUP(C306,[1]StuntDes!$B:$B,[1]StuntDes!$A:$A),"")</f>
        <v/>
      </c>
      <c r="N306" s="10" t="str">
        <f>IFERROR(_xlfn.XLOOKUP(C306,[1]ModifierDes!$B:$B,[1]ModifierDes!$A:$A),"")</f>
        <v/>
      </c>
      <c r="O306" s="10">
        <f>IFERROR(_xlfn.XLOOKUP(C306,[1]AttributeName!$C:$C,[1]AttributeName!$B:$B),"")</f>
        <v>10303</v>
      </c>
      <c r="P306" s="10"/>
      <c r="Q306">
        <v>0.13</v>
      </c>
      <c r="R306">
        <v>0.15</v>
      </c>
      <c r="S306" cm="1">
        <f t="array" ref="S306">IFERROR(_xlfn.SWITCH(L306,1,_xlfn.XLOOKUP(O306,[1]AttributeName!$B:$B,[1]AttributeName!$D:$D),2,_xlfn.XLOOKUP(C306,#REF!,#REF!),3,_xlfn.XLOOKUP(C306,#REF!,#REF!)),0)</f>
        <v>2</v>
      </c>
      <c r="T306" cm="1">
        <f t="array" ref="T306">IFERROR(_xlfn.SWITCH(L306,1,_xlfn.XLOOKUP(O306,[1]AttributeName!$B:$B,[1]AttributeName!$E:$E),2,_xlfn.XLOOKUP(C306,#REF!,#REF!),3,_xlfn.XLOOKUP(C306,#REF!,#REF!)),0)</f>
        <v>2</v>
      </c>
    </row>
    <row r="307" customFormat="1" spans="1:20">
      <c r="A307">
        <f t="shared" si="22"/>
        <v>106</v>
      </c>
      <c r="B307">
        <v>6</v>
      </c>
      <c r="C307" t="s">
        <v>384</v>
      </c>
      <c r="D307" t="s">
        <v>415</v>
      </c>
      <c r="E307" t="s">
        <v>378</v>
      </c>
      <c r="F307"/>
      <c r="G307">
        <v>1</v>
      </c>
      <c r="H307">
        <v>1000</v>
      </c>
      <c r="I307">
        <v>3</v>
      </c>
      <c r="J307" cm="1">
        <f t="array" ref="J307">_xlfn.SWITCH(B307,1,75,2,61,3,49,4,37,5,25,6,13,7,4,8,1)</f>
        <v>13</v>
      </c>
      <c r="K307" t="str" cm="1">
        <f t="array" ref="K307">IFERROR(_xlfn.SWITCH(L307,2,_xlfn.XLOOKUP(C307,[1]ModifierDes!$B:$B,[1]ModifierDes!$C:$C),3,_xlfn.XLOOKUP(C307,[1]StuntDes!$B:$B,[1]StuntDes!$C:$C)),"")</f>
        <v/>
      </c>
      <c r="L307">
        <f t="shared" si="21"/>
        <v>1</v>
      </c>
      <c r="M307" s="10" t="str">
        <f>IFERROR(_xlfn.XLOOKUP(C307,[1]StuntDes!$B:$B,[1]StuntDes!$A:$A),"")</f>
        <v/>
      </c>
      <c r="N307" s="10" t="str">
        <f>IFERROR(_xlfn.XLOOKUP(C307,[1]ModifierDes!$B:$B,[1]ModifierDes!$A:$A),"")</f>
        <v/>
      </c>
      <c r="O307" s="10">
        <f>IFERROR(_xlfn.XLOOKUP(C307,[1]AttributeName!$C:$C,[1]AttributeName!$B:$B),"")</f>
        <v>10303</v>
      </c>
      <c r="P307" s="10"/>
      <c r="Q307">
        <v>0.0999999999999999</v>
      </c>
      <c r="R307">
        <v>0.12</v>
      </c>
      <c r="S307" cm="1">
        <f t="array" ref="S307">IFERROR(_xlfn.SWITCH(L307,1,_xlfn.XLOOKUP(O307,[1]AttributeName!$B:$B,[1]AttributeName!$D:$D),2,_xlfn.XLOOKUP(C307,#REF!,#REF!),3,_xlfn.XLOOKUP(C307,#REF!,#REF!)),0)</f>
        <v>2</v>
      </c>
      <c r="T307" cm="1">
        <f t="array" ref="T307">IFERROR(_xlfn.SWITCH(L307,1,_xlfn.XLOOKUP(O307,[1]AttributeName!$B:$B,[1]AttributeName!$E:$E),2,_xlfn.XLOOKUP(C307,#REF!,#REF!),3,_xlfn.XLOOKUP(C307,#REF!,#REF!)),0)</f>
        <v>2</v>
      </c>
    </row>
    <row r="308" customFormat="1" spans="1:20">
      <c r="A308">
        <f t="shared" si="22"/>
        <v>106</v>
      </c>
      <c r="B308">
        <v>7</v>
      </c>
      <c r="C308" t="s">
        <v>384</v>
      </c>
      <c r="D308" t="s">
        <v>415</v>
      </c>
      <c r="E308" t="s">
        <v>378</v>
      </c>
      <c r="F308"/>
      <c r="G308">
        <v>1</v>
      </c>
      <c r="H308">
        <v>1000</v>
      </c>
      <c r="I308">
        <v>3</v>
      </c>
      <c r="J308" cm="1">
        <f t="array" ref="J308">_xlfn.SWITCH(B308,1,75,2,61,3,49,4,37,5,25,6,13,7,4,8,1)</f>
        <v>4</v>
      </c>
      <c r="K308" t="str" cm="1">
        <f t="array" ref="K308">IFERROR(_xlfn.SWITCH(L308,2,_xlfn.XLOOKUP(C308,[1]ModifierDes!$B:$B,[1]ModifierDes!$C:$C),3,_xlfn.XLOOKUP(C308,[1]StuntDes!$B:$B,[1]StuntDes!$C:$C)),"")</f>
        <v/>
      </c>
      <c r="L308">
        <f t="shared" si="21"/>
        <v>1</v>
      </c>
      <c r="M308" s="10" t="str">
        <f>IFERROR(_xlfn.XLOOKUP(C308,[1]StuntDes!$B:$B,[1]StuntDes!$A:$A),"")</f>
        <v/>
      </c>
      <c r="N308" s="10" t="str">
        <f>IFERROR(_xlfn.XLOOKUP(C308,[1]ModifierDes!$B:$B,[1]ModifierDes!$A:$A),"")</f>
        <v/>
      </c>
      <c r="O308" s="10">
        <f>IFERROR(_xlfn.XLOOKUP(C308,[1]AttributeName!$C:$C,[1]AttributeName!$B:$B),"")</f>
        <v>10303</v>
      </c>
      <c r="P308" s="10"/>
      <c r="Q308">
        <v>0.0699999999999999</v>
      </c>
      <c r="R308">
        <v>0.09</v>
      </c>
      <c r="S308" cm="1">
        <f t="array" ref="S308">IFERROR(_xlfn.SWITCH(L308,1,_xlfn.XLOOKUP(O308,[1]AttributeName!$B:$B,[1]AttributeName!$D:$D),2,_xlfn.XLOOKUP(C308,#REF!,#REF!),3,_xlfn.XLOOKUP(C308,#REF!,#REF!)),0)</f>
        <v>2</v>
      </c>
      <c r="T308" cm="1">
        <f t="array" ref="T308">IFERROR(_xlfn.SWITCH(L308,1,_xlfn.XLOOKUP(O308,[1]AttributeName!$B:$B,[1]AttributeName!$E:$E),2,_xlfn.XLOOKUP(C308,#REF!,#REF!),3,_xlfn.XLOOKUP(C308,#REF!,#REF!)),0)</f>
        <v>2</v>
      </c>
    </row>
    <row r="309" customFormat="1" spans="1:20">
      <c r="A309">
        <f t="shared" si="22"/>
        <v>106</v>
      </c>
      <c r="B309">
        <v>8</v>
      </c>
      <c r="C309" t="s">
        <v>384</v>
      </c>
      <c r="D309" t="s">
        <v>415</v>
      </c>
      <c r="E309" t="s">
        <v>378</v>
      </c>
      <c r="F309"/>
      <c r="G309">
        <v>1</v>
      </c>
      <c r="H309">
        <v>1000</v>
      </c>
      <c r="I309">
        <v>3</v>
      </c>
      <c r="J309" cm="1">
        <f t="array" ref="J309">_xlfn.SWITCH(B309,1,75,2,61,3,49,4,37,5,25,6,13,7,4,8,1)</f>
        <v>1</v>
      </c>
      <c r="K309" t="str" cm="1">
        <f t="array" ref="K309">IFERROR(_xlfn.SWITCH(L309,2,_xlfn.XLOOKUP(C309,[1]ModifierDes!$B:$B,[1]ModifierDes!$C:$C),3,_xlfn.XLOOKUP(C309,[1]StuntDes!$B:$B,[1]StuntDes!$C:$C)),"")</f>
        <v/>
      </c>
      <c r="L309">
        <f t="shared" si="21"/>
        <v>1</v>
      </c>
      <c r="M309" s="10" t="str">
        <f>IFERROR(_xlfn.XLOOKUP(C309,[1]StuntDes!$B:$B,[1]StuntDes!$A:$A),"")</f>
        <v/>
      </c>
      <c r="N309" s="10" t="str">
        <f>IFERROR(_xlfn.XLOOKUP(C309,[1]ModifierDes!$B:$B,[1]ModifierDes!$A:$A),"")</f>
        <v/>
      </c>
      <c r="O309" s="10">
        <f>IFERROR(_xlfn.XLOOKUP(C309,[1]AttributeName!$C:$C,[1]AttributeName!$B:$B),"")</f>
        <v>10303</v>
      </c>
      <c r="P309" s="10"/>
      <c r="Q309">
        <v>0.0399999999999998</v>
      </c>
      <c r="R309">
        <v>0.06</v>
      </c>
      <c r="S309" cm="1">
        <f t="array" ref="S309">IFERROR(_xlfn.SWITCH(L309,1,_xlfn.XLOOKUP(O309,[1]AttributeName!$B:$B,[1]AttributeName!$D:$D),2,_xlfn.XLOOKUP(C309,#REF!,#REF!),3,_xlfn.XLOOKUP(C309,#REF!,#REF!)),0)</f>
        <v>2</v>
      </c>
      <c r="T309" cm="1">
        <f t="array" ref="T309">IFERROR(_xlfn.SWITCH(L309,1,_xlfn.XLOOKUP(O309,[1]AttributeName!$B:$B,[1]AttributeName!$E:$E),2,_xlfn.XLOOKUP(C309,#REF!,#REF!),3,_xlfn.XLOOKUP(C309,#REF!,#REF!)),0)</f>
        <v>2</v>
      </c>
    </row>
    <row r="310" customFormat="1" spans="1:20">
      <c r="A310">
        <f t="shared" si="22"/>
        <v>107</v>
      </c>
      <c r="B310">
        <v>1</v>
      </c>
      <c r="C310" t="s">
        <v>385</v>
      </c>
      <c r="D310" t="s">
        <v>415</v>
      </c>
      <c r="E310" t="s">
        <v>378</v>
      </c>
      <c r="F310"/>
      <c r="G310">
        <v>1</v>
      </c>
      <c r="H310">
        <v>100</v>
      </c>
      <c r="I310">
        <v>3</v>
      </c>
      <c r="J310" cm="1">
        <f t="array" ref="J310">_xlfn.SWITCH(B310,1,75,2,61,3,49,4,37,5,25,6,13,7,4,8,1)</f>
        <v>75</v>
      </c>
      <c r="K310" t="str" cm="1">
        <f t="array" ref="K310">IFERROR(_xlfn.SWITCH(L310,2,_xlfn.XLOOKUP(C310,[1]ModifierDes!$B:$B,[1]ModifierDes!$C:$C),3,_xlfn.XLOOKUP(C310,[1]StuntDes!$B:$B,[1]StuntDes!$C:$C)),"")</f>
        <v/>
      </c>
      <c r="L310">
        <f t="shared" si="21"/>
        <v>1</v>
      </c>
      <c r="M310" s="10" t="str">
        <f>IFERROR(_xlfn.XLOOKUP(C310,[1]StuntDes!$B:$B,[1]StuntDes!$A:$A),"")</f>
        <v/>
      </c>
      <c r="N310" s="10" t="str">
        <f>IFERROR(_xlfn.XLOOKUP(C310,[1]ModifierDes!$B:$B,[1]ModifierDes!$A:$A),"")</f>
        <v/>
      </c>
      <c r="O310" s="10">
        <f>IFERROR(_xlfn.XLOOKUP(C310,[1]AttributeName!$C:$C,[1]AttributeName!$B:$B),"")</f>
        <v>10304</v>
      </c>
      <c r="P310" s="10"/>
      <c r="Q310">
        <v>0.25</v>
      </c>
      <c r="R310">
        <v>0.35</v>
      </c>
      <c r="S310" cm="1">
        <f t="array" ref="S310">IFERROR(_xlfn.SWITCH(L310,1,_xlfn.XLOOKUP(O310,[1]AttributeName!$B:$B,[1]AttributeName!$D:$D),2,_xlfn.XLOOKUP(C310,#REF!,#REF!),3,_xlfn.XLOOKUP(C310,#REF!,#REF!)),0)</f>
        <v>2</v>
      </c>
      <c r="T310" cm="1">
        <f t="array" ref="T310">IFERROR(_xlfn.SWITCH(L310,1,_xlfn.XLOOKUP(O310,[1]AttributeName!$B:$B,[1]AttributeName!$E:$E),2,_xlfn.XLOOKUP(C310,#REF!,#REF!),3,_xlfn.XLOOKUP(C310,#REF!,#REF!)),0)</f>
        <v>2</v>
      </c>
    </row>
    <row r="311" customFormat="1" spans="1:20">
      <c r="A311">
        <f t="shared" si="22"/>
        <v>107</v>
      </c>
      <c r="B311">
        <v>2</v>
      </c>
      <c r="C311" t="s">
        <v>385</v>
      </c>
      <c r="D311" t="s">
        <v>415</v>
      </c>
      <c r="E311" t="s">
        <v>378</v>
      </c>
      <c r="F311"/>
      <c r="G311">
        <v>1</v>
      </c>
      <c r="H311">
        <v>200</v>
      </c>
      <c r="I311">
        <v>3</v>
      </c>
      <c r="J311" cm="1">
        <f t="array" ref="J311">_xlfn.SWITCH(B311,1,75,2,61,3,49,4,37,5,25,6,13,7,4,8,1)</f>
        <v>61</v>
      </c>
      <c r="K311" t="str" cm="1">
        <f t="array" ref="K311">IFERROR(_xlfn.SWITCH(L311,2,_xlfn.XLOOKUP(C311,[1]ModifierDes!$B:$B,[1]ModifierDes!$C:$C),3,_xlfn.XLOOKUP(C311,[1]StuntDes!$B:$B,[1]StuntDes!$C:$C)),"")</f>
        <v/>
      </c>
      <c r="L311">
        <f t="shared" si="21"/>
        <v>1</v>
      </c>
      <c r="M311" s="10" t="str">
        <f>IFERROR(_xlfn.XLOOKUP(C311,[1]StuntDes!$B:$B,[1]StuntDes!$A:$A),"")</f>
        <v/>
      </c>
      <c r="N311" s="10" t="str">
        <f>IFERROR(_xlfn.XLOOKUP(C311,[1]ModifierDes!$B:$B,[1]ModifierDes!$A:$A),"")</f>
        <v/>
      </c>
      <c r="O311" s="10">
        <f>IFERROR(_xlfn.XLOOKUP(C311,[1]AttributeName!$C:$C,[1]AttributeName!$B:$B),"")</f>
        <v>10304</v>
      </c>
      <c r="P311" s="10"/>
      <c r="Q311">
        <v>0.22</v>
      </c>
      <c r="R311">
        <v>0.24</v>
      </c>
      <c r="S311" cm="1">
        <f t="array" ref="S311">IFERROR(_xlfn.SWITCH(L311,1,_xlfn.XLOOKUP(O311,[1]AttributeName!$B:$B,[1]AttributeName!$D:$D),2,_xlfn.XLOOKUP(C311,#REF!,#REF!),3,_xlfn.XLOOKUP(C311,#REF!,#REF!)),0)</f>
        <v>2</v>
      </c>
      <c r="T311" cm="1">
        <f t="array" ref="T311">IFERROR(_xlfn.SWITCH(L311,1,_xlfn.XLOOKUP(O311,[1]AttributeName!$B:$B,[1]AttributeName!$E:$E),2,_xlfn.XLOOKUP(C311,#REF!,#REF!),3,_xlfn.XLOOKUP(C311,#REF!,#REF!)),0)</f>
        <v>2</v>
      </c>
    </row>
    <row r="312" customFormat="1" spans="1:20">
      <c r="A312">
        <f t="shared" si="22"/>
        <v>107</v>
      </c>
      <c r="B312">
        <v>3</v>
      </c>
      <c r="C312" t="s">
        <v>385</v>
      </c>
      <c r="D312" t="s">
        <v>415</v>
      </c>
      <c r="E312" t="s">
        <v>378</v>
      </c>
      <c r="F312"/>
      <c r="G312">
        <v>1</v>
      </c>
      <c r="H312">
        <v>500</v>
      </c>
      <c r="I312">
        <v>3</v>
      </c>
      <c r="J312" cm="1">
        <f t="array" ref="J312">_xlfn.SWITCH(B312,1,75,2,61,3,49,4,37,5,25,6,13,7,4,8,1)</f>
        <v>49</v>
      </c>
      <c r="K312" t="str" cm="1">
        <f t="array" ref="K312">IFERROR(_xlfn.SWITCH(L312,2,_xlfn.XLOOKUP(C312,[1]ModifierDes!$B:$B,[1]ModifierDes!$C:$C),3,_xlfn.XLOOKUP(C312,[1]StuntDes!$B:$B,[1]StuntDes!$C:$C)),"")</f>
        <v/>
      </c>
      <c r="L312">
        <f t="shared" si="21"/>
        <v>1</v>
      </c>
      <c r="M312" s="10" t="str">
        <f>IFERROR(_xlfn.XLOOKUP(C312,[1]StuntDes!$B:$B,[1]StuntDes!$A:$A),"")</f>
        <v/>
      </c>
      <c r="N312" s="10" t="str">
        <f>IFERROR(_xlfn.XLOOKUP(C312,[1]ModifierDes!$B:$B,[1]ModifierDes!$A:$A),"")</f>
        <v/>
      </c>
      <c r="O312" s="10">
        <f>IFERROR(_xlfn.XLOOKUP(C312,[1]AttributeName!$C:$C,[1]AttributeName!$B:$B),"")</f>
        <v>10304</v>
      </c>
      <c r="P312" s="10"/>
      <c r="Q312">
        <v>0.19</v>
      </c>
      <c r="R312">
        <v>0.21</v>
      </c>
      <c r="S312" cm="1">
        <f t="array" ref="S312">IFERROR(_xlfn.SWITCH(L312,1,_xlfn.XLOOKUP(O312,[1]AttributeName!$B:$B,[1]AttributeName!$D:$D),2,_xlfn.XLOOKUP(C312,#REF!,#REF!),3,_xlfn.XLOOKUP(C312,#REF!,#REF!)),0)</f>
        <v>2</v>
      </c>
      <c r="T312" cm="1">
        <f t="array" ref="T312">IFERROR(_xlfn.SWITCH(L312,1,_xlfn.XLOOKUP(O312,[1]AttributeName!$B:$B,[1]AttributeName!$E:$E),2,_xlfn.XLOOKUP(C312,#REF!,#REF!),3,_xlfn.XLOOKUP(C312,#REF!,#REF!)),0)</f>
        <v>2</v>
      </c>
    </row>
    <row r="313" customFormat="1" spans="1:20">
      <c r="A313">
        <f t="shared" si="22"/>
        <v>107</v>
      </c>
      <c r="B313">
        <v>4</v>
      </c>
      <c r="C313" t="s">
        <v>385</v>
      </c>
      <c r="D313" t="s">
        <v>415</v>
      </c>
      <c r="E313" t="s">
        <v>378</v>
      </c>
      <c r="F313"/>
      <c r="G313">
        <v>1</v>
      </c>
      <c r="H313">
        <v>1000</v>
      </c>
      <c r="I313">
        <v>3</v>
      </c>
      <c r="J313" cm="1">
        <f t="array" ref="J313">_xlfn.SWITCH(B313,1,75,2,61,3,49,4,37,5,25,6,13,7,4,8,1)</f>
        <v>37</v>
      </c>
      <c r="K313" t="str" cm="1">
        <f t="array" ref="K313">IFERROR(_xlfn.SWITCH(L313,2,_xlfn.XLOOKUP(C313,[1]ModifierDes!$B:$B,[1]ModifierDes!$C:$C),3,_xlfn.XLOOKUP(C313,[1]StuntDes!$B:$B,[1]StuntDes!$C:$C)),"")</f>
        <v/>
      </c>
      <c r="L313">
        <f t="shared" si="21"/>
        <v>1</v>
      </c>
      <c r="M313" s="10" t="str">
        <f>IFERROR(_xlfn.XLOOKUP(C313,[1]StuntDes!$B:$B,[1]StuntDes!$A:$A),"")</f>
        <v/>
      </c>
      <c r="N313" s="10" t="str">
        <f>IFERROR(_xlfn.XLOOKUP(C313,[1]ModifierDes!$B:$B,[1]ModifierDes!$A:$A),"")</f>
        <v/>
      </c>
      <c r="O313" s="10">
        <f>IFERROR(_xlfn.XLOOKUP(C313,[1]AttributeName!$C:$C,[1]AttributeName!$B:$B),"")</f>
        <v>10304</v>
      </c>
      <c r="P313" s="10"/>
      <c r="Q313">
        <v>0.16</v>
      </c>
      <c r="R313">
        <v>0.18</v>
      </c>
      <c r="S313" cm="1">
        <f t="array" ref="S313">IFERROR(_xlfn.SWITCH(L313,1,_xlfn.XLOOKUP(O313,[1]AttributeName!$B:$B,[1]AttributeName!$D:$D),2,_xlfn.XLOOKUP(C313,#REF!,#REF!),3,_xlfn.XLOOKUP(C313,#REF!,#REF!)),0)</f>
        <v>2</v>
      </c>
      <c r="T313" cm="1">
        <f t="array" ref="T313">IFERROR(_xlfn.SWITCH(L313,1,_xlfn.XLOOKUP(O313,[1]AttributeName!$B:$B,[1]AttributeName!$E:$E),2,_xlfn.XLOOKUP(C313,#REF!,#REF!),3,_xlfn.XLOOKUP(C313,#REF!,#REF!)),0)</f>
        <v>2</v>
      </c>
    </row>
    <row r="314" customFormat="1" spans="1:20">
      <c r="A314">
        <f t="shared" si="22"/>
        <v>107</v>
      </c>
      <c r="B314">
        <v>5</v>
      </c>
      <c r="C314" t="s">
        <v>385</v>
      </c>
      <c r="D314" t="s">
        <v>415</v>
      </c>
      <c r="E314" t="s">
        <v>378</v>
      </c>
      <c r="F314"/>
      <c r="G314">
        <v>1</v>
      </c>
      <c r="H314">
        <v>1000</v>
      </c>
      <c r="I314">
        <v>3</v>
      </c>
      <c r="J314" cm="1">
        <f t="array" ref="J314">_xlfn.SWITCH(B314,1,75,2,61,3,49,4,37,5,25,6,13,7,4,8,1)</f>
        <v>25</v>
      </c>
      <c r="K314" t="str" cm="1">
        <f t="array" ref="K314">IFERROR(_xlfn.SWITCH(L314,2,_xlfn.XLOOKUP(C314,[1]ModifierDes!$B:$B,[1]ModifierDes!$C:$C),3,_xlfn.XLOOKUP(C314,[1]StuntDes!$B:$B,[1]StuntDes!$C:$C)),"")</f>
        <v/>
      </c>
      <c r="L314">
        <f t="shared" si="21"/>
        <v>1</v>
      </c>
      <c r="M314" s="10" t="str">
        <f>IFERROR(_xlfn.XLOOKUP(C314,[1]StuntDes!$B:$B,[1]StuntDes!$A:$A),"")</f>
        <v/>
      </c>
      <c r="N314" s="10" t="str">
        <f>IFERROR(_xlfn.XLOOKUP(C314,[1]ModifierDes!$B:$B,[1]ModifierDes!$A:$A),"")</f>
        <v/>
      </c>
      <c r="O314" s="10">
        <f>IFERROR(_xlfn.XLOOKUP(C314,[1]AttributeName!$C:$C,[1]AttributeName!$B:$B),"")</f>
        <v>10304</v>
      </c>
      <c r="P314" s="10"/>
      <c r="Q314">
        <v>0.13</v>
      </c>
      <c r="R314">
        <v>0.15</v>
      </c>
      <c r="S314" cm="1">
        <f t="array" ref="S314">IFERROR(_xlfn.SWITCH(L314,1,_xlfn.XLOOKUP(O314,[1]AttributeName!$B:$B,[1]AttributeName!$D:$D),2,_xlfn.XLOOKUP(C314,#REF!,#REF!),3,_xlfn.XLOOKUP(C314,#REF!,#REF!)),0)</f>
        <v>2</v>
      </c>
      <c r="T314" cm="1">
        <f t="array" ref="T314">IFERROR(_xlfn.SWITCH(L314,1,_xlfn.XLOOKUP(O314,[1]AttributeName!$B:$B,[1]AttributeName!$E:$E),2,_xlfn.XLOOKUP(C314,#REF!,#REF!),3,_xlfn.XLOOKUP(C314,#REF!,#REF!)),0)</f>
        <v>2</v>
      </c>
    </row>
    <row r="315" customFormat="1" spans="1:20">
      <c r="A315">
        <f t="shared" si="22"/>
        <v>107</v>
      </c>
      <c r="B315">
        <v>6</v>
      </c>
      <c r="C315" t="s">
        <v>385</v>
      </c>
      <c r="D315" t="s">
        <v>415</v>
      </c>
      <c r="E315" t="s">
        <v>378</v>
      </c>
      <c r="F315"/>
      <c r="G315">
        <v>1</v>
      </c>
      <c r="H315">
        <v>1000</v>
      </c>
      <c r="I315">
        <v>3</v>
      </c>
      <c r="J315" cm="1">
        <f t="array" ref="J315">_xlfn.SWITCH(B315,1,75,2,61,3,49,4,37,5,25,6,13,7,4,8,1)</f>
        <v>13</v>
      </c>
      <c r="K315" t="str" cm="1">
        <f t="array" ref="K315">IFERROR(_xlfn.SWITCH(L315,2,_xlfn.XLOOKUP(C315,[1]ModifierDes!$B:$B,[1]ModifierDes!$C:$C),3,_xlfn.XLOOKUP(C315,[1]StuntDes!$B:$B,[1]StuntDes!$C:$C)),"")</f>
        <v/>
      </c>
      <c r="L315">
        <f t="shared" si="21"/>
        <v>1</v>
      </c>
      <c r="M315" s="10" t="str">
        <f>IFERROR(_xlfn.XLOOKUP(C315,[1]StuntDes!$B:$B,[1]StuntDes!$A:$A),"")</f>
        <v/>
      </c>
      <c r="N315" s="10" t="str">
        <f>IFERROR(_xlfn.XLOOKUP(C315,[1]ModifierDes!$B:$B,[1]ModifierDes!$A:$A),"")</f>
        <v/>
      </c>
      <c r="O315" s="10">
        <f>IFERROR(_xlfn.XLOOKUP(C315,[1]AttributeName!$C:$C,[1]AttributeName!$B:$B),"")</f>
        <v>10304</v>
      </c>
      <c r="P315" s="10"/>
      <c r="Q315">
        <v>0.0999999999999999</v>
      </c>
      <c r="R315">
        <v>0.12</v>
      </c>
      <c r="S315" cm="1">
        <f t="array" ref="S315">IFERROR(_xlfn.SWITCH(L315,1,_xlfn.XLOOKUP(O315,[1]AttributeName!$B:$B,[1]AttributeName!$D:$D),2,_xlfn.XLOOKUP(C315,#REF!,#REF!),3,_xlfn.XLOOKUP(C315,#REF!,#REF!)),0)</f>
        <v>2</v>
      </c>
      <c r="T315" cm="1">
        <f t="array" ref="T315">IFERROR(_xlfn.SWITCH(L315,1,_xlfn.XLOOKUP(O315,[1]AttributeName!$B:$B,[1]AttributeName!$E:$E),2,_xlfn.XLOOKUP(C315,#REF!,#REF!),3,_xlfn.XLOOKUP(C315,#REF!,#REF!)),0)</f>
        <v>2</v>
      </c>
    </row>
    <row r="316" customFormat="1" spans="1:20">
      <c r="A316">
        <f t="shared" si="22"/>
        <v>107</v>
      </c>
      <c r="B316">
        <v>7</v>
      </c>
      <c r="C316" t="s">
        <v>385</v>
      </c>
      <c r="D316" t="s">
        <v>415</v>
      </c>
      <c r="E316" t="s">
        <v>378</v>
      </c>
      <c r="F316"/>
      <c r="G316">
        <v>1</v>
      </c>
      <c r="H316">
        <v>1000</v>
      </c>
      <c r="I316">
        <v>3</v>
      </c>
      <c r="J316" cm="1">
        <f t="array" ref="J316">_xlfn.SWITCH(B316,1,75,2,61,3,49,4,37,5,25,6,13,7,4,8,1)</f>
        <v>4</v>
      </c>
      <c r="K316" t="str" cm="1">
        <f t="array" ref="K316">IFERROR(_xlfn.SWITCH(L316,2,_xlfn.XLOOKUP(C316,[1]ModifierDes!$B:$B,[1]ModifierDes!$C:$C),3,_xlfn.XLOOKUP(C316,[1]StuntDes!$B:$B,[1]StuntDes!$C:$C)),"")</f>
        <v/>
      </c>
      <c r="L316">
        <f t="shared" si="21"/>
        <v>1</v>
      </c>
      <c r="M316" s="10" t="str">
        <f>IFERROR(_xlfn.XLOOKUP(C316,[1]StuntDes!$B:$B,[1]StuntDes!$A:$A),"")</f>
        <v/>
      </c>
      <c r="N316" s="10" t="str">
        <f>IFERROR(_xlfn.XLOOKUP(C316,[1]ModifierDes!$B:$B,[1]ModifierDes!$A:$A),"")</f>
        <v/>
      </c>
      <c r="O316" s="10">
        <f>IFERROR(_xlfn.XLOOKUP(C316,[1]AttributeName!$C:$C,[1]AttributeName!$B:$B),"")</f>
        <v>10304</v>
      </c>
      <c r="P316" s="10"/>
      <c r="Q316">
        <v>0.0699999999999999</v>
      </c>
      <c r="R316">
        <v>0.09</v>
      </c>
      <c r="S316" cm="1">
        <f t="array" ref="S316">IFERROR(_xlfn.SWITCH(L316,1,_xlfn.XLOOKUP(O316,[1]AttributeName!$B:$B,[1]AttributeName!$D:$D),2,_xlfn.XLOOKUP(C316,#REF!,#REF!),3,_xlfn.XLOOKUP(C316,#REF!,#REF!)),0)</f>
        <v>2</v>
      </c>
      <c r="T316" cm="1">
        <f t="array" ref="T316">IFERROR(_xlfn.SWITCH(L316,1,_xlfn.XLOOKUP(O316,[1]AttributeName!$B:$B,[1]AttributeName!$E:$E),2,_xlfn.XLOOKUP(C316,#REF!,#REF!),3,_xlfn.XLOOKUP(C316,#REF!,#REF!)),0)</f>
        <v>2</v>
      </c>
    </row>
    <row r="317" customFormat="1" spans="1:20">
      <c r="A317">
        <f t="shared" si="22"/>
        <v>107</v>
      </c>
      <c r="B317">
        <v>8</v>
      </c>
      <c r="C317" t="s">
        <v>385</v>
      </c>
      <c r="D317" t="s">
        <v>415</v>
      </c>
      <c r="E317" t="s">
        <v>378</v>
      </c>
      <c r="F317"/>
      <c r="G317">
        <v>1</v>
      </c>
      <c r="H317">
        <v>1000</v>
      </c>
      <c r="I317">
        <v>3</v>
      </c>
      <c r="J317" cm="1">
        <f t="array" ref="J317">_xlfn.SWITCH(B317,1,75,2,61,3,49,4,37,5,25,6,13,7,4,8,1)</f>
        <v>1</v>
      </c>
      <c r="K317" t="str" cm="1">
        <f t="array" ref="K317">IFERROR(_xlfn.SWITCH(L317,2,_xlfn.XLOOKUP(C317,[1]ModifierDes!$B:$B,[1]ModifierDes!$C:$C),3,_xlfn.XLOOKUP(C317,[1]StuntDes!$B:$B,[1]StuntDes!$C:$C)),"")</f>
        <v/>
      </c>
      <c r="L317">
        <f t="shared" si="21"/>
        <v>1</v>
      </c>
      <c r="M317" s="10" t="str">
        <f>IFERROR(_xlfn.XLOOKUP(C317,[1]StuntDes!$B:$B,[1]StuntDes!$A:$A),"")</f>
        <v/>
      </c>
      <c r="N317" s="10" t="str">
        <f>IFERROR(_xlfn.XLOOKUP(C317,[1]ModifierDes!$B:$B,[1]ModifierDes!$A:$A),"")</f>
        <v/>
      </c>
      <c r="O317" s="10">
        <f>IFERROR(_xlfn.XLOOKUP(C317,[1]AttributeName!$C:$C,[1]AttributeName!$B:$B),"")</f>
        <v>10304</v>
      </c>
      <c r="P317" s="10"/>
      <c r="Q317">
        <v>0.0399999999999998</v>
      </c>
      <c r="R317">
        <v>0.06</v>
      </c>
      <c r="S317" cm="1">
        <f t="array" ref="S317">IFERROR(_xlfn.SWITCH(L317,1,_xlfn.XLOOKUP(O317,[1]AttributeName!$B:$B,[1]AttributeName!$D:$D),2,_xlfn.XLOOKUP(C317,#REF!,#REF!),3,_xlfn.XLOOKUP(C317,#REF!,#REF!)),0)</f>
        <v>2</v>
      </c>
      <c r="T317" cm="1">
        <f t="array" ref="T317">IFERROR(_xlfn.SWITCH(L317,1,_xlfn.XLOOKUP(O317,[1]AttributeName!$B:$B,[1]AttributeName!$E:$E),2,_xlfn.XLOOKUP(C317,#REF!,#REF!),3,_xlfn.XLOOKUP(C317,#REF!,#REF!)),0)</f>
        <v>2</v>
      </c>
    </row>
    <row r="318" customFormat="1" spans="1:20">
      <c r="A318">
        <f t="shared" si="22"/>
        <v>108</v>
      </c>
      <c r="B318">
        <v>1</v>
      </c>
      <c r="C318" t="s">
        <v>386</v>
      </c>
      <c r="D318" t="s">
        <v>415</v>
      </c>
      <c r="E318" t="s">
        <v>378</v>
      </c>
      <c r="F318"/>
      <c r="G318">
        <v>1</v>
      </c>
      <c r="H318">
        <v>100</v>
      </c>
      <c r="I318">
        <v>3</v>
      </c>
      <c r="J318" cm="1">
        <f t="array" ref="J318">_xlfn.SWITCH(B318,1,75,2,61,3,49,4,37,5,25,6,13,7,4,8,1)</f>
        <v>75</v>
      </c>
      <c r="K318" t="str" cm="1">
        <f t="array" ref="K318">IFERROR(_xlfn.SWITCH(L318,2,_xlfn.XLOOKUP(C318,[1]ModifierDes!$B:$B,[1]ModifierDes!$C:$C),3,_xlfn.XLOOKUP(C318,[1]StuntDes!$B:$B,[1]StuntDes!$C:$C)),"")</f>
        <v/>
      </c>
      <c r="L318">
        <f t="shared" si="21"/>
        <v>1</v>
      </c>
      <c r="M318" s="10" t="str">
        <f>IFERROR(_xlfn.XLOOKUP(C318,[1]StuntDes!$B:$B,[1]StuntDes!$A:$A),"")</f>
        <v/>
      </c>
      <c r="N318" s="10" t="str">
        <f>IFERROR(_xlfn.XLOOKUP(C318,[1]ModifierDes!$B:$B,[1]ModifierDes!$A:$A),"")</f>
        <v/>
      </c>
      <c r="O318" s="10">
        <f>IFERROR(_xlfn.XLOOKUP(C318,[1]AttributeName!$C:$C,[1]AttributeName!$B:$B),"")</f>
        <v>10305</v>
      </c>
      <c r="P318" s="10"/>
      <c r="Q318">
        <v>0.25</v>
      </c>
      <c r="R318">
        <v>0.35</v>
      </c>
      <c r="S318" cm="1">
        <f t="array" ref="S318">IFERROR(_xlfn.SWITCH(L318,1,_xlfn.XLOOKUP(O318,[1]AttributeName!$B:$B,[1]AttributeName!$D:$D),2,_xlfn.XLOOKUP(C318,#REF!,#REF!),3,_xlfn.XLOOKUP(C318,#REF!,#REF!)),0)</f>
        <v>2</v>
      </c>
      <c r="T318" cm="1">
        <f t="array" ref="T318">IFERROR(_xlfn.SWITCH(L318,1,_xlfn.XLOOKUP(O318,[1]AttributeName!$B:$B,[1]AttributeName!$E:$E),2,_xlfn.XLOOKUP(C318,#REF!,#REF!),3,_xlfn.XLOOKUP(C318,#REF!,#REF!)),0)</f>
        <v>2</v>
      </c>
    </row>
    <row r="319" customFormat="1" spans="1:20">
      <c r="A319">
        <f t="shared" si="22"/>
        <v>108</v>
      </c>
      <c r="B319">
        <v>2</v>
      </c>
      <c r="C319" t="s">
        <v>386</v>
      </c>
      <c r="D319" t="s">
        <v>415</v>
      </c>
      <c r="E319" t="s">
        <v>378</v>
      </c>
      <c r="F319"/>
      <c r="G319">
        <v>1</v>
      </c>
      <c r="H319">
        <v>200</v>
      </c>
      <c r="I319">
        <v>3</v>
      </c>
      <c r="J319" cm="1">
        <f t="array" ref="J319">_xlfn.SWITCH(B319,1,75,2,61,3,49,4,37,5,25,6,13,7,4,8,1)</f>
        <v>61</v>
      </c>
      <c r="K319" t="str" cm="1">
        <f t="array" ref="K319">IFERROR(_xlfn.SWITCH(L319,2,_xlfn.XLOOKUP(C319,[1]ModifierDes!$B:$B,[1]ModifierDes!$C:$C),3,_xlfn.XLOOKUP(C319,[1]StuntDes!$B:$B,[1]StuntDes!$C:$C)),"")</f>
        <v/>
      </c>
      <c r="L319">
        <f t="shared" si="21"/>
        <v>1</v>
      </c>
      <c r="M319" s="10" t="str">
        <f>IFERROR(_xlfn.XLOOKUP(C319,[1]StuntDes!$B:$B,[1]StuntDes!$A:$A),"")</f>
        <v/>
      </c>
      <c r="N319" s="10" t="str">
        <f>IFERROR(_xlfn.XLOOKUP(C319,[1]ModifierDes!$B:$B,[1]ModifierDes!$A:$A),"")</f>
        <v/>
      </c>
      <c r="O319" s="10">
        <f>IFERROR(_xlfn.XLOOKUP(C319,[1]AttributeName!$C:$C,[1]AttributeName!$B:$B),"")</f>
        <v>10305</v>
      </c>
      <c r="P319" s="10"/>
      <c r="Q319">
        <v>0.22</v>
      </c>
      <c r="R319">
        <v>0.24</v>
      </c>
      <c r="S319" cm="1">
        <f t="array" ref="S319">IFERROR(_xlfn.SWITCH(L319,1,_xlfn.XLOOKUP(O319,[1]AttributeName!$B:$B,[1]AttributeName!$D:$D),2,_xlfn.XLOOKUP(C319,#REF!,#REF!),3,_xlfn.XLOOKUP(C319,#REF!,#REF!)),0)</f>
        <v>2</v>
      </c>
      <c r="T319" cm="1">
        <f t="array" ref="T319">IFERROR(_xlfn.SWITCH(L319,1,_xlfn.XLOOKUP(O319,[1]AttributeName!$B:$B,[1]AttributeName!$E:$E),2,_xlfn.XLOOKUP(C319,#REF!,#REF!),3,_xlfn.XLOOKUP(C319,#REF!,#REF!)),0)</f>
        <v>2</v>
      </c>
    </row>
    <row r="320" customFormat="1" spans="1:20">
      <c r="A320">
        <f t="shared" si="22"/>
        <v>108</v>
      </c>
      <c r="B320">
        <v>3</v>
      </c>
      <c r="C320" t="s">
        <v>386</v>
      </c>
      <c r="D320" t="s">
        <v>415</v>
      </c>
      <c r="E320" t="s">
        <v>378</v>
      </c>
      <c r="F320"/>
      <c r="G320">
        <v>1</v>
      </c>
      <c r="H320">
        <v>500</v>
      </c>
      <c r="I320">
        <v>3</v>
      </c>
      <c r="J320" cm="1">
        <f t="array" ref="J320">_xlfn.SWITCH(B320,1,75,2,61,3,49,4,37,5,25,6,13,7,4,8,1)</f>
        <v>49</v>
      </c>
      <c r="K320" t="str" cm="1">
        <f t="array" ref="K320">IFERROR(_xlfn.SWITCH(L320,2,_xlfn.XLOOKUP(C320,[1]ModifierDes!$B:$B,[1]ModifierDes!$C:$C),3,_xlfn.XLOOKUP(C320,[1]StuntDes!$B:$B,[1]StuntDes!$C:$C)),"")</f>
        <v/>
      </c>
      <c r="L320">
        <f t="shared" si="21"/>
        <v>1</v>
      </c>
      <c r="M320" s="10" t="str">
        <f>IFERROR(_xlfn.XLOOKUP(C320,[1]StuntDes!$B:$B,[1]StuntDes!$A:$A),"")</f>
        <v/>
      </c>
      <c r="N320" s="10" t="str">
        <f>IFERROR(_xlfn.XLOOKUP(C320,[1]ModifierDes!$B:$B,[1]ModifierDes!$A:$A),"")</f>
        <v/>
      </c>
      <c r="O320" s="10">
        <f>IFERROR(_xlfn.XLOOKUP(C320,[1]AttributeName!$C:$C,[1]AttributeName!$B:$B),"")</f>
        <v>10305</v>
      </c>
      <c r="P320" s="10"/>
      <c r="Q320">
        <v>0.19</v>
      </c>
      <c r="R320">
        <v>0.21</v>
      </c>
      <c r="S320" cm="1">
        <f t="array" ref="S320">IFERROR(_xlfn.SWITCH(L320,1,_xlfn.XLOOKUP(O320,[1]AttributeName!$B:$B,[1]AttributeName!$D:$D),2,_xlfn.XLOOKUP(C320,#REF!,#REF!),3,_xlfn.XLOOKUP(C320,#REF!,#REF!)),0)</f>
        <v>2</v>
      </c>
      <c r="T320" cm="1">
        <f t="array" ref="T320">IFERROR(_xlfn.SWITCH(L320,1,_xlfn.XLOOKUP(O320,[1]AttributeName!$B:$B,[1]AttributeName!$E:$E),2,_xlfn.XLOOKUP(C320,#REF!,#REF!),3,_xlfn.XLOOKUP(C320,#REF!,#REF!)),0)</f>
        <v>2</v>
      </c>
    </row>
    <row r="321" customFormat="1" spans="1:20">
      <c r="A321">
        <f t="shared" si="22"/>
        <v>108</v>
      </c>
      <c r="B321">
        <v>4</v>
      </c>
      <c r="C321" t="s">
        <v>386</v>
      </c>
      <c r="D321" t="s">
        <v>415</v>
      </c>
      <c r="E321" t="s">
        <v>378</v>
      </c>
      <c r="F321"/>
      <c r="G321">
        <v>1</v>
      </c>
      <c r="H321">
        <v>1000</v>
      </c>
      <c r="I321">
        <v>3</v>
      </c>
      <c r="J321" cm="1">
        <f t="array" ref="J321">_xlfn.SWITCH(B321,1,75,2,61,3,49,4,37,5,25,6,13,7,4,8,1)</f>
        <v>37</v>
      </c>
      <c r="K321" t="str" cm="1">
        <f t="array" ref="K321">IFERROR(_xlfn.SWITCH(L321,2,_xlfn.XLOOKUP(C321,[1]ModifierDes!$B:$B,[1]ModifierDes!$C:$C),3,_xlfn.XLOOKUP(C321,[1]StuntDes!$B:$B,[1]StuntDes!$C:$C)),"")</f>
        <v/>
      </c>
      <c r="L321">
        <f t="shared" si="21"/>
        <v>1</v>
      </c>
      <c r="M321" s="10" t="str">
        <f>IFERROR(_xlfn.XLOOKUP(C321,[1]StuntDes!$B:$B,[1]StuntDes!$A:$A),"")</f>
        <v/>
      </c>
      <c r="N321" s="10" t="str">
        <f>IFERROR(_xlfn.XLOOKUP(C321,[1]ModifierDes!$B:$B,[1]ModifierDes!$A:$A),"")</f>
        <v/>
      </c>
      <c r="O321" s="10">
        <f>IFERROR(_xlfn.XLOOKUP(C321,[1]AttributeName!$C:$C,[1]AttributeName!$B:$B),"")</f>
        <v>10305</v>
      </c>
      <c r="P321" s="10"/>
      <c r="Q321">
        <v>0.16</v>
      </c>
      <c r="R321">
        <v>0.18</v>
      </c>
      <c r="S321" cm="1">
        <f t="array" ref="S321">IFERROR(_xlfn.SWITCH(L321,1,_xlfn.XLOOKUP(O321,[1]AttributeName!$B:$B,[1]AttributeName!$D:$D),2,_xlfn.XLOOKUP(C321,#REF!,#REF!),3,_xlfn.XLOOKUP(C321,#REF!,#REF!)),0)</f>
        <v>2</v>
      </c>
      <c r="T321" cm="1">
        <f t="array" ref="T321">IFERROR(_xlfn.SWITCH(L321,1,_xlfn.XLOOKUP(O321,[1]AttributeName!$B:$B,[1]AttributeName!$E:$E),2,_xlfn.XLOOKUP(C321,#REF!,#REF!),3,_xlfn.XLOOKUP(C321,#REF!,#REF!)),0)</f>
        <v>2</v>
      </c>
    </row>
    <row r="322" customFormat="1" spans="1:20">
      <c r="A322">
        <f t="shared" si="22"/>
        <v>108</v>
      </c>
      <c r="B322">
        <v>5</v>
      </c>
      <c r="C322" t="s">
        <v>386</v>
      </c>
      <c r="D322" t="s">
        <v>415</v>
      </c>
      <c r="E322" t="s">
        <v>378</v>
      </c>
      <c r="F322"/>
      <c r="G322">
        <v>1</v>
      </c>
      <c r="H322">
        <v>1000</v>
      </c>
      <c r="I322">
        <v>3</v>
      </c>
      <c r="J322" cm="1">
        <f t="array" ref="J322">_xlfn.SWITCH(B322,1,75,2,61,3,49,4,37,5,25,6,13,7,4,8,1)</f>
        <v>25</v>
      </c>
      <c r="K322" t="str" cm="1">
        <f t="array" ref="K322">IFERROR(_xlfn.SWITCH(L322,2,_xlfn.XLOOKUP(C322,[1]ModifierDes!$B:$B,[1]ModifierDes!$C:$C),3,_xlfn.XLOOKUP(C322,[1]StuntDes!$B:$B,[1]StuntDes!$C:$C)),"")</f>
        <v/>
      </c>
      <c r="L322">
        <f t="shared" si="21"/>
        <v>1</v>
      </c>
      <c r="M322" s="10" t="str">
        <f>IFERROR(_xlfn.XLOOKUP(C322,[1]StuntDes!$B:$B,[1]StuntDes!$A:$A),"")</f>
        <v/>
      </c>
      <c r="N322" s="10" t="str">
        <f>IFERROR(_xlfn.XLOOKUP(C322,[1]ModifierDes!$B:$B,[1]ModifierDes!$A:$A),"")</f>
        <v/>
      </c>
      <c r="O322" s="10">
        <f>IFERROR(_xlfn.XLOOKUP(C322,[1]AttributeName!$C:$C,[1]AttributeName!$B:$B),"")</f>
        <v>10305</v>
      </c>
      <c r="P322" s="10"/>
      <c r="Q322">
        <v>0.13</v>
      </c>
      <c r="R322">
        <v>0.15</v>
      </c>
      <c r="S322" cm="1">
        <f t="array" ref="S322">IFERROR(_xlfn.SWITCH(L322,1,_xlfn.XLOOKUP(O322,[1]AttributeName!$B:$B,[1]AttributeName!$D:$D),2,_xlfn.XLOOKUP(C322,#REF!,#REF!),3,_xlfn.XLOOKUP(C322,#REF!,#REF!)),0)</f>
        <v>2</v>
      </c>
      <c r="T322" cm="1">
        <f t="array" ref="T322">IFERROR(_xlfn.SWITCH(L322,1,_xlfn.XLOOKUP(O322,[1]AttributeName!$B:$B,[1]AttributeName!$E:$E),2,_xlfn.XLOOKUP(C322,#REF!,#REF!),3,_xlfn.XLOOKUP(C322,#REF!,#REF!)),0)</f>
        <v>2</v>
      </c>
    </row>
    <row r="323" customFormat="1" spans="1:20">
      <c r="A323">
        <f t="shared" si="22"/>
        <v>108</v>
      </c>
      <c r="B323">
        <v>6</v>
      </c>
      <c r="C323" t="s">
        <v>386</v>
      </c>
      <c r="D323" t="s">
        <v>415</v>
      </c>
      <c r="E323" t="s">
        <v>378</v>
      </c>
      <c r="F323"/>
      <c r="G323">
        <v>1</v>
      </c>
      <c r="H323">
        <v>1000</v>
      </c>
      <c r="I323">
        <v>3</v>
      </c>
      <c r="J323" cm="1">
        <f t="array" ref="J323">_xlfn.SWITCH(B323,1,75,2,61,3,49,4,37,5,25,6,13,7,4,8,1)</f>
        <v>13</v>
      </c>
      <c r="K323" t="str" cm="1">
        <f t="array" ref="K323">IFERROR(_xlfn.SWITCH(L323,2,_xlfn.XLOOKUP(C323,[1]ModifierDes!$B:$B,[1]ModifierDes!$C:$C),3,_xlfn.XLOOKUP(C323,[1]StuntDes!$B:$B,[1]StuntDes!$C:$C)),"")</f>
        <v/>
      </c>
      <c r="L323">
        <f t="shared" si="21"/>
        <v>1</v>
      </c>
      <c r="M323" s="10" t="str">
        <f>IFERROR(_xlfn.XLOOKUP(C323,[1]StuntDes!$B:$B,[1]StuntDes!$A:$A),"")</f>
        <v/>
      </c>
      <c r="N323" s="10" t="str">
        <f>IFERROR(_xlfn.XLOOKUP(C323,[1]ModifierDes!$B:$B,[1]ModifierDes!$A:$A),"")</f>
        <v/>
      </c>
      <c r="O323" s="10">
        <f>IFERROR(_xlfn.XLOOKUP(C323,[1]AttributeName!$C:$C,[1]AttributeName!$B:$B),"")</f>
        <v>10305</v>
      </c>
      <c r="P323" s="10"/>
      <c r="Q323">
        <v>0.0999999999999999</v>
      </c>
      <c r="R323">
        <v>0.12</v>
      </c>
      <c r="S323" cm="1">
        <f t="array" ref="S323">IFERROR(_xlfn.SWITCH(L323,1,_xlfn.XLOOKUP(O323,[1]AttributeName!$B:$B,[1]AttributeName!$D:$D),2,_xlfn.XLOOKUP(C323,#REF!,#REF!),3,_xlfn.XLOOKUP(C323,#REF!,#REF!)),0)</f>
        <v>2</v>
      </c>
      <c r="T323" cm="1">
        <f t="array" ref="T323">IFERROR(_xlfn.SWITCH(L323,1,_xlfn.XLOOKUP(O323,[1]AttributeName!$B:$B,[1]AttributeName!$E:$E),2,_xlfn.XLOOKUP(C323,#REF!,#REF!),3,_xlfn.XLOOKUP(C323,#REF!,#REF!)),0)</f>
        <v>2</v>
      </c>
    </row>
    <row r="324" customFormat="1" spans="1:20">
      <c r="A324">
        <f t="shared" si="22"/>
        <v>108</v>
      </c>
      <c r="B324">
        <v>7</v>
      </c>
      <c r="C324" t="s">
        <v>386</v>
      </c>
      <c r="D324" t="s">
        <v>415</v>
      </c>
      <c r="E324" t="s">
        <v>378</v>
      </c>
      <c r="F324"/>
      <c r="G324">
        <v>1</v>
      </c>
      <c r="H324">
        <v>1000</v>
      </c>
      <c r="I324">
        <v>3</v>
      </c>
      <c r="J324" cm="1">
        <f t="array" ref="J324">_xlfn.SWITCH(B324,1,75,2,61,3,49,4,37,5,25,6,13,7,4,8,1)</f>
        <v>4</v>
      </c>
      <c r="K324" t="str" cm="1">
        <f t="array" ref="K324">IFERROR(_xlfn.SWITCH(L324,2,_xlfn.XLOOKUP(C324,[1]ModifierDes!$B:$B,[1]ModifierDes!$C:$C),3,_xlfn.XLOOKUP(C324,[1]StuntDes!$B:$B,[1]StuntDes!$C:$C)),"")</f>
        <v/>
      </c>
      <c r="L324">
        <f t="shared" ref="L324:L387" si="23">IF(M324="",IF(N324="",1,2),3)</f>
        <v>1</v>
      </c>
      <c r="M324" s="10" t="str">
        <f>IFERROR(_xlfn.XLOOKUP(C324,[1]StuntDes!$B:$B,[1]StuntDes!$A:$A),"")</f>
        <v/>
      </c>
      <c r="N324" s="10" t="str">
        <f>IFERROR(_xlfn.XLOOKUP(C324,[1]ModifierDes!$B:$B,[1]ModifierDes!$A:$A),"")</f>
        <v/>
      </c>
      <c r="O324" s="10">
        <f>IFERROR(_xlfn.XLOOKUP(C324,[1]AttributeName!$C:$C,[1]AttributeName!$B:$B),"")</f>
        <v>10305</v>
      </c>
      <c r="P324" s="10"/>
      <c r="Q324">
        <v>0.0699999999999999</v>
      </c>
      <c r="R324">
        <v>0.09</v>
      </c>
      <c r="S324" cm="1">
        <f t="array" ref="S324">IFERROR(_xlfn.SWITCH(L324,1,_xlfn.XLOOKUP(O324,[1]AttributeName!$B:$B,[1]AttributeName!$D:$D),2,_xlfn.XLOOKUP(C324,#REF!,#REF!),3,_xlfn.XLOOKUP(C324,#REF!,#REF!)),0)</f>
        <v>2</v>
      </c>
      <c r="T324" cm="1">
        <f t="array" ref="T324">IFERROR(_xlfn.SWITCH(L324,1,_xlfn.XLOOKUP(O324,[1]AttributeName!$B:$B,[1]AttributeName!$E:$E),2,_xlfn.XLOOKUP(C324,#REF!,#REF!),3,_xlfn.XLOOKUP(C324,#REF!,#REF!)),0)</f>
        <v>2</v>
      </c>
    </row>
    <row r="325" customFormat="1" spans="1:20">
      <c r="A325">
        <f t="shared" si="22"/>
        <v>108</v>
      </c>
      <c r="B325">
        <v>8</v>
      </c>
      <c r="C325" t="s">
        <v>386</v>
      </c>
      <c r="D325" t="s">
        <v>415</v>
      </c>
      <c r="E325" t="s">
        <v>378</v>
      </c>
      <c r="F325"/>
      <c r="G325">
        <v>1</v>
      </c>
      <c r="H325">
        <v>1000</v>
      </c>
      <c r="I325">
        <v>3</v>
      </c>
      <c r="J325" cm="1">
        <f t="array" ref="J325">_xlfn.SWITCH(B325,1,75,2,61,3,49,4,37,5,25,6,13,7,4,8,1)</f>
        <v>1</v>
      </c>
      <c r="K325" t="str" cm="1">
        <f t="array" ref="K325">IFERROR(_xlfn.SWITCH(L325,2,_xlfn.XLOOKUP(C325,[1]ModifierDes!$B:$B,[1]ModifierDes!$C:$C),3,_xlfn.XLOOKUP(C325,[1]StuntDes!$B:$B,[1]StuntDes!$C:$C)),"")</f>
        <v/>
      </c>
      <c r="L325">
        <f t="shared" si="23"/>
        <v>1</v>
      </c>
      <c r="M325" s="10" t="str">
        <f>IFERROR(_xlfn.XLOOKUP(C325,[1]StuntDes!$B:$B,[1]StuntDes!$A:$A),"")</f>
        <v/>
      </c>
      <c r="N325" s="10" t="str">
        <f>IFERROR(_xlfn.XLOOKUP(C325,[1]ModifierDes!$B:$B,[1]ModifierDes!$A:$A),"")</f>
        <v/>
      </c>
      <c r="O325" s="10">
        <f>IFERROR(_xlfn.XLOOKUP(C325,[1]AttributeName!$C:$C,[1]AttributeName!$B:$B),"")</f>
        <v>10305</v>
      </c>
      <c r="P325" s="10"/>
      <c r="Q325">
        <v>0.0399999999999998</v>
      </c>
      <c r="R325">
        <v>0.06</v>
      </c>
      <c r="S325" cm="1">
        <f t="array" ref="S325">IFERROR(_xlfn.SWITCH(L325,1,_xlfn.XLOOKUP(O325,[1]AttributeName!$B:$B,[1]AttributeName!$D:$D),2,_xlfn.XLOOKUP(C325,#REF!,#REF!),3,_xlfn.XLOOKUP(C325,#REF!,#REF!)),0)</f>
        <v>2</v>
      </c>
      <c r="T325" cm="1">
        <f t="array" ref="T325">IFERROR(_xlfn.SWITCH(L325,1,_xlfn.XLOOKUP(O325,[1]AttributeName!$B:$B,[1]AttributeName!$E:$E),2,_xlfn.XLOOKUP(C325,#REF!,#REF!),3,_xlfn.XLOOKUP(C325,#REF!,#REF!)),0)</f>
        <v>2</v>
      </c>
    </row>
    <row r="326" customFormat="1" spans="1:20">
      <c r="A326">
        <f t="shared" si="22"/>
        <v>109</v>
      </c>
      <c r="B326">
        <v>1</v>
      </c>
      <c r="C326" t="s">
        <v>387</v>
      </c>
      <c r="D326" t="s">
        <v>415</v>
      </c>
      <c r="E326" t="s">
        <v>378</v>
      </c>
      <c r="F326"/>
      <c r="G326">
        <v>1</v>
      </c>
      <c r="H326">
        <v>100</v>
      </c>
      <c r="I326">
        <v>3</v>
      </c>
      <c r="J326" cm="1">
        <f t="array" ref="J326">_xlfn.SWITCH(B326,1,75,2,61,3,49,4,37,5,25,6,13,7,4,8,1)</f>
        <v>75</v>
      </c>
      <c r="K326" t="str" cm="1">
        <f t="array" ref="K326">IFERROR(_xlfn.SWITCH(L326,2,_xlfn.XLOOKUP(C326,[1]ModifierDes!$B:$B,[1]ModifierDes!$C:$C),3,_xlfn.XLOOKUP(C326,[1]StuntDes!$B:$B,[1]StuntDes!$C:$C)),"")</f>
        <v/>
      </c>
      <c r="L326">
        <f t="shared" si="23"/>
        <v>1</v>
      </c>
      <c r="M326" s="10" t="str">
        <f>IFERROR(_xlfn.XLOOKUP(C326,[1]StuntDes!$B:$B,[1]StuntDes!$A:$A),"")</f>
        <v/>
      </c>
      <c r="N326" s="10" t="str">
        <f>IFERROR(_xlfn.XLOOKUP(C326,[1]ModifierDes!$B:$B,[1]ModifierDes!$A:$A),"")</f>
        <v/>
      </c>
      <c r="O326" s="10">
        <f>IFERROR(_xlfn.XLOOKUP(C326,[1]AttributeName!$C:$C,[1]AttributeName!$B:$B),"")</f>
        <v>10306</v>
      </c>
      <c r="P326" s="10"/>
      <c r="Q326">
        <v>0.25</v>
      </c>
      <c r="R326">
        <v>0.35</v>
      </c>
      <c r="S326" cm="1">
        <f t="array" ref="S326">IFERROR(_xlfn.SWITCH(L326,1,_xlfn.XLOOKUP(O326,[1]AttributeName!$B:$B,[1]AttributeName!$D:$D),2,_xlfn.XLOOKUP(C326,#REF!,#REF!),3,_xlfn.XLOOKUP(C326,#REF!,#REF!)),0)</f>
        <v>2</v>
      </c>
      <c r="T326" cm="1">
        <f t="array" ref="T326">IFERROR(_xlfn.SWITCH(L326,1,_xlfn.XLOOKUP(O326,[1]AttributeName!$B:$B,[1]AttributeName!$E:$E),2,_xlfn.XLOOKUP(C326,#REF!,#REF!),3,_xlfn.XLOOKUP(C326,#REF!,#REF!)),0)</f>
        <v>2</v>
      </c>
    </row>
    <row r="327" customFormat="1" spans="1:20">
      <c r="A327">
        <f t="shared" si="22"/>
        <v>109</v>
      </c>
      <c r="B327">
        <v>2</v>
      </c>
      <c r="C327" t="s">
        <v>387</v>
      </c>
      <c r="D327" t="s">
        <v>415</v>
      </c>
      <c r="E327" t="s">
        <v>378</v>
      </c>
      <c r="F327"/>
      <c r="G327">
        <v>1</v>
      </c>
      <c r="H327">
        <v>200</v>
      </c>
      <c r="I327">
        <v>3</v>
      </c>
      <c r="J327" cm="1">
        <f t="array" ref="J327">_xlfn.SWITCH(B327,1,75,2,61,3,49,4,37,5,25,6,13,7,4,8,1)</f>
        <v>61</v>
      </c>
      <c r="K327" t="str" cm="1">
        <f t="array" ref="K327">IFERROR(_xlfn.SWITCH(L327,2,_xlfn.XLOOKUP(C327,[1]ModifierDes!$B:$B,[1]ModifierDes!$C:$C),3,_xlfn.XLOOKUP(C327,[1]StuntDes!$B:$B,[1]StuntDes!$C:$C)),"")</f>
        <v/>
      </c>
      <c r="L327">
        <f t="shared" si="23"/>
        <v>1</v>
      </c>
      <c r="M327" s="10" t="str">
        <f>IFERROR(_xlfn.XLOOKUP(C327,[1]StuntDes!$B:$B,[1]StuntDes!$A:$A),"")</f>
        <v/>
      </c>
      <c r="N327" s="10" t="str">
        <f>IFERROR(_xlfn.XLOOKUP(C327,[1]ModifierDes!$B:$B,[1]ModifierDes!$A:$A),"")</f>
        <v/>
      </c>
      <c r="O327" s="10">
        <f>IFERROR(_xlfn.XLOOKUP(C327,[1]AttributeName!$C:$C,[1]AttributeName!$B:$B),"")</f>
        <v>10306</v>
      </c>
      <c r="P327" s="10"/>
      <c r="Q327">
        <v>0.22</v>
      </c>
      <c r="R327">
        <v>0.24</v>
      </c>
      <c r="S327" cm="1">
        <f t="array" ref="S327">IFERROR(_xlfn.SWITCH(L327,1,_xlfn.XLOOKUP(O327,[1]AttributeName!$B:$B,[1]AttributeName!$D:$D),2,_xlfn.XLOOKUP(C327,#REF!,#REF!),3,_xlfn.XLOOKUP(C327,#REF!,#REF!)),0)</f>
        <v>2</v>
      </c>
      <c r="T327" cm="1">
        <f t="array" ref="T327">IFERROR(_xlfn.SWITCH(L327,1,_xlfn.XLOOKUP(O327,[1]AttributeName!$B:$B,[1]AttributeName!$E:$E),2,_xlfn.XLOOKUP(C327,#REF!,#REF!),3,_xlfn.XLOOKUP(C327,#REF!,#REF!)),0)</f>
        <v>2</v>
      </c>
    </row>
    <row r="328" customFormat="1" spans="1:20">
      <c r="A328">
        <f t="shared" si="22"/>
        <v>109</v>
      </c>
      <c r="B328">
        <v>3</v>
      </c>
      <c r="C328" t="s">
        <v>387</v>
      </c>
      <c r="D328" t="s">
        <v>415</v>
      </c>
      <c r="E328" t="s">
        <v>378</v>
      </c>
      <c r="F328"/>
      <c r="G328">
        <v>1</v>
      </c>
      <c r="H328">
        <v>500</v>
      </c>
      <c r="I328">
        <v>3</v>
      </c>
      <c r="J328" cm="1">
        <f t="array" ref="J328">_xlfn.SWITCH(B328,1,75,2,61,3,49,4,37,5,25,6,13,7,4,8,1)</f>
        <v>49</v>
      </c>
      <c r="K328" t="str" cm="1">
        <f t="array" ref="K328">IFERROR(_xlfn.SWITCH(L328,2,_xlfn.XLOOKUP(C328,[1]ModifierDes!$B:$B,[1]ModifierDes!$C:$C),3,_xlfn.XLOOKUP(C328,[1]StuntDes!$B:$B,[1]StuntDes!$C:$C)),"")</f>
        <v/>
      </c>
      <c r="L328">
        <f t="shared" si="23"/>
        <v>1</v>
      </c>
      <c r="M328" s="10" t="str">
        <f>IFERROR(_xlfn.XLOOKUP(C328,[1]StuntDes!$B:$B,[1]StuntDes!$A:$A),"")</f>
        <v/>
      </c>
      <c r="N328" s="10" t="str">
        <f>IFERROR(_xlfn.XLOOKUP(C328,[1]ModifierDes!$B:$B,[1]ModifierDes!$A:$A),"")</f>
        <v/>
      </c>
      <c r="O328" s="10">
        <f>IFERROR(_xlfn.XLOOKUP(C328,[1]AttributeName!$C:$C,[1]AttributeName!$B:$B),"")</f>
        <v>10306</v>
      </c>
      <c r="P328" s="10"/>
      <c r="Q328">
        <v>0.19</v>
      </c>
      <c r="R328">
        <v>0.21</v>
      </c>
      <c r="S328" cm="1">
        <f t="array" ref="S328">IFERROR(_xlfn.SWITCH(L328,1,_xlfn.XLOOKUP(O328,[1]AttributeName!$B:$B,[1]AttributeName!$D:$D),2,_xlfn.XLOOKUP(C328,#REF!,#REF!),3,_xlfn.XLOOKUP(C328,#REF!,#REF!)),0)</f>
        <v>2</v>
      </c>
      <c r="T328" cm="1">
        <f t="array" ref="T328">IFERROR(_xlfn.SWITCH(L328,1,_xlfn.XLOOKUP(O328,[1]AttributeName!$B:$B,[1]AttributeName!$E:$E),2,_xlfn.XLOOKUP(C328,#REF!,#REF!),3,_xlfn.XLOOKUP(C328,#REF!,#REF!)),0)</f>
        <v>2</v>
      </c>
    </row>
    <row r="329" customFormat="1" spans="1:20">
      <c r="A329">
        <f t="shared" si="22"/>
        <v>109</v>
      </c>
      <c r="B329">
        <v>4</v>
      </c>
      <c r="C329" t="s">
        <v>387</v>
      </c>
      <c r="D329" t="s">
        <v>415</v>
      </c>
      <c r="E329" t="s">
        <v>378</v>
      </c>
      <c r="F329"/>
      <c r="G329">
        <v>1</v>
      </c>
      <c r="H329">
        <v>1000</v>
      </c>
      <c r="I329">
        <v>3</v>
      </c>
      <c r="J329" cm="1">
        <f t="array" ref="J329">_xlfn.SWITCH(B329,1,75,2,61,3,49,4,37,5,25,6,13,7,4,8,1)</f>
        <v>37</v>
      </c>
      <c r="K329" t="str" cm="1">
        <f t="array" ref="K329">IFERROR(_xlfn.SWITCH(L329,2,_xlfn.XLOOKUP(C329,[1]ModifierDes!$B:$B,[1]ModifierDes!$C:$C),3,_xlfn.XLOOKUP(C329,[1]StuntDes!$B:$B,[1]StuntDes!$C:$C)),"")</f>
        <v/>
      </c>
      <c r="L329">
        <f t="shared" si="23"/>
        <v>1</v>
      </c>
      <c r="M329" s="10" t="str">
        <f>IFERROR(_xlfn.XLOOKUP(C329,[1]StuntDes!$B:$B,[1]StuntDes!$A:$A),"")</f>
        <v/>
      </c>
      <c r="N329" s="10" t="str">
        <f>IFERROR(_xlfn.XLOOKUP(C329,[1]ModifierDes!$B:$B,[1]ModifierDes!$A:$A),"")</f>
        <v/>
      </c>
      <c r="O329" s="10">
        <f>IFERROR(_xlfn.XLOOKUP(C329,[1]AttributeName!$C:$C,[1]AttributeName!$B:$B),"")</f>
        <v>10306</v>
      </c>
      <c r="P329" s="10"/>
      <c r="Q329">
        <v>0.16</v>
      </c>
      <c r="R329">
        <v>0.18</v>
      </c>
      <c r="S329" cm="1">
        <f t="array" ref="S329">IFERROR(_xlfn.SWITCH(L329,1,_xlfn.XLOOKUP(O329,[1]AttributeName!$B:$B,[1]AttributeName!$D:$D),2,_xlfn.XLOOKUP(C329,#REF!,#REF!),3,_xlfn.XLOOKUP(C329,#REF!,#REF!)),0)</f>
        <v>2</v>
      </c>
      <c r="T329" cm="1">
        <f t="array" ref="T329">IFERROR(_xlfn.SWITCH(L329,1,_xlfn.XLOOKUP(O329,[1]AttributeName!$B:$B,[1]AttributeName!$E:$E),2,_xlfn.XLOOKUP(C329,#REF!,#REF!),3,_xlfn.XLOOKUP(C329,#REF!,#REF!)),0)</f>
        <v>2</v>
      </c>
    </row>
    <row r="330" customFormat="1" spans="1:20">
      <c r="A330">
        <f t="shared" si="22"/>
        <v>109</v>
      </c>
      <c r="B330">
        <v>5</v>
      </c>
      <c r="C330" t="s">
        <v>387</v>
      </c>
      <c r="D330" t="s">
        <v>415</v>
      </c>
      <c r="E330" t="s">
        <v>378</v>
      </c>
      <c r="F330"/>
      <c r="G330">
        <v>1</v>
      </c>
      <c r="H330">
        <v>1000</v>
      </c>
      <c r="I330">
        <v>3</v>
      </c>
      <c r="J330" cm="1">
        <f t="array" ref="J330">_xlfn.SWITCH(B330,1,75,2,61,3,49,4,37,5,25,6,13,7,4,8,1)</f>
        <v>25</v>
      </c>
      <c r="K330" t="str" cm="1">
        <f t="array" ref="K330">IFERROR(_xlfn.SWITCH(L330,2,_xlfn.XLOOKUP(C330,[1]ModifierDes!$B:$B,[1]ModifierDes!$C:$C),3,_xlfn.XLOOKUP(C330,[1]StuntDes!$B:$B,[1]StuntDes!$C:$C)),"")</f>
        <v/>
      </c>
      <c r="L330">
        <f t="shared" si="23"/>
        <v>1</v>
      </c>
      <c r="M330" s="10" t="str">
        <f>IFERROR(_xlfn.XLOOKUP(C330,[1]StuntDes!$B:$B,[1]StuntDes!$A:$A),"")</f>
        <v/>
      </c>
      <c r="N330" s="10" t="str">
        <f>IFERROR(_xlfn.XLOOKUP(C330,[1]ModifierDes!$B:$B,[1]ModifierDes!$A:$A),"")</f>
        <v/>
      </c>
      <c r="O330" s="10">
        <f>IFERROR(_xlfn.XLOOKUP(C330,[1]AttributeName!$C:$C,[1]AttributeName!$B:$B),"")</f>
        <v>10306</v>
      </c>
      <c r="P330" s="10"/>
      <c r="Q330">
        <v>0.13</v>
      </c>
      <c r="R330">
        <v>0.15</v>
      </c>
      <c r="S330" cm="1">
        <f t="array" ref="S330">IFERROR(_xlfn.SWITCH(L330,1,_xlfn.XLOOKUP(O330,[1]AttributeName!$B:$B,[1]AttributeName!$D:$D),2,_xlfn.XLOOKUP(C330,#REF!,#REF!),3,_xlfn.XLOOKUP(C330,#REF!,#REF!)),0)</f>
        <v>2</v>
      </c>
      <c r="T330" cm="1">
        <f t="array" ref="T330">IFERROR(_xlfn.SWITCH(L330,1,_xlfn.XLOOKUP(O330,[1]AttributeName!$B:$B,[1]AttributeName!$E:$E),2,_xlfn.XLOOKUP(C330,#REF!,#REF!),3,_xlfn.XLOOKUP(C330,#REF!,#REF!)),0)</f>
        <v>2</v>
      </c>
    </row>
    <row r="331" customFormat="1" spans="1:20">
      <c r="A331">
        <f t="shared" si="22"/>
        <v>109</v>
      </c>
      <c r="B331">
        <v>6</v>
      </c>
      <c r="C331" t="s">
        <v>387</v>
      </c>
      <c r="D331" t="s">
        <v>415</v>
      </c>
      <c r="E331" t="s">
        <v>378</v>
      </c>
      <c r="F331"/>
      <c r="G331">
        <v>1</v>
      </c>
      <c r="H331">
        <v>1000</v>
      </c>
      <c r="I331">
        <v>3</v>
      </c>
      <c r="J331" cm="1">
        <f t="array" ref="J331">_xlfn.SWITCH(B331,1,75,2,61,3,49,4,37,5,25,6,13,7,4,8,1)</f>
        <v>13</v>
      </c>
      <c r="K331" t="str" cm="1">
        <f t="array" ref="K331">IFERROR(_xlfn.SWITCH(L331,2,_xlfn.XLOOKUP(C331,[1]ModifierDes!$B:$B,[1]ModifierDes!$C:$C),3,_xlfn.XLOOKUP(C331,[1]StuntDes!$B:$B,[1]StuntDes!$C:$C)),"")</f>
        <v/>
      </c>
      <c r="L331">
        <f t="shared" si="23"/>
        <v>1</v>
      </c>
      <c r="M331" s="10" t="str">
        <f>IFERROR(_xlfn.XLOOKUP(C331,[1]StuntDes!$B:$B,[1]StuntDes!$A:$A),"")</f>
        <v/>
      </c>
      <c r="N331" s="10" t="str">
        <f>IFERROR(_xlfn.XLOOKUP(C331,[1]ModifierDes!$B:$B,[1]ModifierDes!$A:$A),"")</f>
        <v/>
      </c>
      <c r="O331" s="10">
        <f>IFERROR(_xlfn.XLOOKUP(C331,[1]AttributeName!$C:$C,[1]AttributeName!$B:$B),"")</f>
        <v>10306</v>
      </c>
      <c r="P331" s="10"/>
      <c r="Q331">
        <v>0.0999999999999999</v>
      </c>
      <c r="R331">
        <v>0.12</v>
      </c>
      <c r="S331" cm="1">
        <f t="array" ref="S331">IFERROR(_xlfn.SWITCH(L331,1,_xlfn.XLOOKUP(O331,[1]AttributeName!$B:$B,[1]AttributeName!$D:$D),2,_xlfn.XLOOKUP(C331,#REF!,#REF!),3,_xlfn.XLOOKUP(C331,#REF!,#REF!)),0)</f>
        <v>2</v>
      </c>
      <c r="T331" cm="1">
        <f t="array" ref="T331">IFERROR(_xlfn.SWITCH(L331,1,_xlfn.XLOOKUP(O331,[1]AttributeName!$B:$B,[1]AttributeName!$E:$E),2,_xlfn.XLOOKUP(C331,#REF!,#REF!),3,_xlfn.XLOOKUP(C331,#REF!,#REF!)),0)</f>
        <v>2</v>
      </c>
    </row>
    <row r="332" customFormat="1" spans="1:20">
      <c r="A332">
        <f t="shared" si="22"/>
        <v>109</v>
      </c>
      <c r="B332">
        <v>7</v>
      </c>
      <c r="C332" t="s">
        <v>387</v>
      </c>
      <c r="D332" t="s">
        <v>415</v>
      </c>
      <c r="E332" t="s">
        <v>378</v>
      </c>
      <c r="F332"/>
      <c r="G332">
        <v>1</v>
      </c>
      <c r="H332">
        <v>1000</v>
      </c>
      <c r="I332">
        <v>3</v>
      </c>
      <c r="J332" cm="1">
        <f t="array" ref="J332">_xlfn.SWITCH(B332,1,75,2,61,3,49,4,37,5,25,6,13,7,4,8,1)</f>
        <v>4</v>
      </c>
      <c r="K332" t="str" cm="1">
        <f t="array" ref="K332">IFERROR(_xlfn.SWITCH(L332,2,_xlfn.XLOOKUP(C332,[1]ModifierDes!$B:$B,[1]ModifierDes!$C:$C),3,_xlfn.XLOOKUP(C332,[1]StuntDes!$B:$B,[1]StuntDes!$C:$C)),"")</f>
        <v/>
      </c>
      <c r="L332">
        <f t="shared" si="23"/>
        <v>1</v>
      </c>
      <c r="M332" s="10" t="str">
        <f>IFERROR(_xlfn.XLOOKUP(C332,[1]StuntDes!$B:$B,[1]StuntDes!$A:$A),"")</f>
        <v/>
      </c>
      <c r="N332" s="10" t="str">
        <f>IFERROR(_xlfn.XLOOKUP(C332,[1]ModifierDes!$B:$B,[1]ModifierDes!$A:$A),"")</f>
        <v/>
      </c>
      <c r="O332" s="10">
        <f>IFERROR(_xlfn.XLOOKUP(C332,[1]AttributeName!$C:$C,[1]AttributeName!$B:$B),"")</f>
        <v>10306</v>
      </c>
      <c r="P332" s="10"/>
      <c r="Q332">
        <v>0.0699999999999999</v>
      </c>
      <c r="R332">
        <v>0.09</v>
      </c>
      <c r="S332" cm="1">
        <f t="array" ref="S332">IFERROR(_xlfn.SWITCH(L332,1,_xlfn.XLOOKUP(O332,[1]AttributeName!$B:$B,[1]AttributeName!$D:$D),2,_xlfn.XLOOKUP(C332,#REF!,#REF!),3,_xlfn.XLOOKUP(C332,#REF!,#REF!)),0)</f>
        <v>2</v>
      </c>
      <c r="T332" cm="1">
        <f t="array" ref="T332">IFERROR(_xlfn.SWITCH(L332,1,_xlfn.XLOOKUP(O332,[1]AttributeName!$B:$B,[1]AttributeName!$E:$E),2,_xlfn.XLOOKUP(C332,#REF!,#REF!),3,_xlfn.XLOOKUP(C332,#REF!,#REF!)),0)</f>
        <v>2</v>
      </c>
    </row>
    <row r="333" customFormat="1" spans="1:20">
      <c r="A333">
        <f t="shared" si="22"/>
        <v>109</v>
      </c>
      <c r="B333">
        <v>8</v>
      </c>
      <c r="C333" t="s">
        <v>387</v>
      </c>
      <c r="D333" t="s">
        <v>415</v>
      </c>
      <c r="E333" t="s">
        <v>378</v>
      </c>
      <c r="F333"/>
      <c r="G333">
        <v>1</v>
      </c>
      <c r="H333">
        <v>1000</v>
      </c>
      <c r="I333">
        <v>3</v>
      </c>
      <c r="J333" cm="1">
        <f t="array" ref="J333">_xlfn.SWITCH(B333,1,75,2,61,3,49,4,37,5,25,6,13,7,4,8,1)</f>
        <v>1</v>
      </c>
      <c r="K333" t="str" cm="1">
        <f t="array" ref="K333">IFERROR(_xlfn.SWITCH(L333,2,_xlfn.XLOOKUP(C333,[1]ModifierDes!$B:$B,[1]ModifierDes!$C:$C),3,_xlfn.XLOOKUP(C333,[1]StuntDes!$B:$B,[1]StuntDes!$C:$C)),"")</f>
        <v/>
      </c>
      <c r="L333">
        <f t="shared" si="23"/>
        <v>1</v>
      </c>
      <c r="M333" s="10" t="str">
        <f>IFERROR(_xlfn.XLOOKUP(C333,[1]StuntDes!$B:$B,[1]StuntDes!$A:$A),"")</f>
        <v/>
      </c>
      <c r="N333" s="10" t="str">
        <f>IFERROR(_xlfn.XLOOKUP(C333,[1]ModifierDes!$B:$B,[1]ModifierDes!$A:$A),"")</f>
        <v/>
      </c>
      <c r="O333" s="10">
        <f>IFERROR(_xlfn.XLOOKUP(C333,[1]AttributeName!$C:$C,[1]AttributeName!$B:$B),"")</f>
        <v>10306</v>
      </c>
      <c r="P333" s="10"/>
      <c r="Q333">
        <v>0.0399999999999998</v>
      </c>
      <c r="R333">
        <v>0.06</v>
      </c>
      <c r="S333" cm="1">
        <f t="array" ref="S333">IFERROR(_xlfn.SWITCH(L333,1,_xlfn.XLOOKUP(O333,[1]AttributeName!$B:$B,[1]AttributeName!$D:$D),2,_xlfn.XLOOKUP(C333,#REF!,#REF!),3,_xlfn.XLOOKUP(C333,#REF!,#REF!)),0)</f>
        <v>2</v>
      </c>
      <c r="T333" cm="1">
        <f t="array" ref="T333">IFERROR(_xlfn.SWITCH(L333,1,_xlfn.XLOOKUP(O333,[1]AttributeName!$B:$B,[1]AttributeName!$E:$E),2,_xlfn.XLOOKUP(C333,#REF!,#REF!),3,_xlfn.XLOOKUP(C333,#REF!,#REF!)),0)</f>
        <v>2</v>
      </c>
    </row>
    <row r="334" customFormat="1" spans="1:20">
      <c r="A334">
        <f t="shared" si="22"/>
        <v>110</v>
      </c>
      <c r="B334">
        <v>1</v>
      </c>
      <c r="C334" t="s">
        <v>388</v>
      </c>
      <c r="D334" t="s">
        <v>415</v>
      </c>
      <c r="E334" t="s">
        <v>378</v>
      </c>
      <c r="F334"/>
      <c r="G334">
        <v>1</v>
      </c>
      <c r="H334">
        <v>100</v>
      </c>
      <c r="I334">
        <v>3</v>
      </c>
      <c r="J334" cm="1">
        <f t="array" ref="J334">_xlfn.SWITCH(B334,1,75,2,61,3,49,4,37,5,25,6,13,7,4,8,1)</f>
        <v>75</v>
      </c>
      <c r="K334" t="str" cm="1">
        <f t="array" ref="K334">IFERROR(_xlfn.SWITCH(L334,2,_xlfn.XLOOKUP(C334,[1]ModifierDes!$B:$B,[1]ModifierDes!$C:$C),3,_xlfn.XLOOKUP(C334,[1]StuntDes!$B:$B,[1]StuntDes!$C:$C)),"")</f>
        <v/>
      </c>
      <c r="L334">
        <f t="shared" si="23"/>
        <v>1</v>
      </c>
      <c r="M334" s="10" t="str">
        <f>IFERROR(_xlfn.XLOOKUP(C334,[1]StuntDes!$B:$B,[1]StuntDes!$A:$A),"")</f>
        <v/>
      </c>
      <c r="N334" s="10" t="str">
        <f>IFERROR(_xlfn.XLOOKUP(C334,[1]ModifierDes!$B:$B,[1]ModifierDes!$A:$A),"")</f>
        <v/>
      </c>
      <c r="O334" s="10">
        <f>IFERROR(_xlfn.XLOOKUP(C334,[1]AttributeName!$C:$C,[1]AttributeName!$B:$B),"")</f>
        <v>10307</v>
      </c>
      <c r="P334" s="10"/>
      <c r="Q334">
        <v>0.25</v>
      </c>
      <c r="R334">
        <v>0.35</v>
      </c>
      <c r="S334" cm="1">
        <f t="array" ref="S334">IFERROR(_xlfn.SWITCH(L334,1,_xlfn.XLOOKUP(O334,[1]AttributeName!$B:$B,[1]AttributeName!$D:$D),2,_xlfn.XLOOKUP(C334,#REF!,#REF!),3,_xlfn.XLOOKUP(C334,#REF!,#REF!)),0)</f>
        <v>2</v>
      </c>
      <c r="T334" cm="1">
        <f t="array" ref="T334">IFERROR(_xlfn.SWITCH(L334,1,_xlfn.XLOOKUP(O334,[1]AttributeName!$B:$B,[1]AttributeName!$E:$E),2,_xlfn.XLOOKUP(C334,#REF!,#REF!),3,_xlfn.XLOOKUP(C334,#REF!,#REF!)),0)</f>
        <v>2</v>
      </c>
    </row>
    <row r="335" customFormat="1" spans="1:20">
      <c r="A335">
        <f t="shared" ref="A335:A373" si="24">A327+1</f>
        <v>110</v>
      </c>
      <c r="B335">
        <v>2</v>
      </c>
      <c r="C335" t="s">
        <v>388</v>
      </c>
      <c r="D335" t="s">
        <v>415</v>
      </c>
      <c r="E335" t="s">
        <v>378</v>
      </c>
      <c r="F335"/>
      <c r="G335">
        <v>1</v>
      </c>
      <c r="H335">
        <v>200</v>
      </c>
      <c r="I335">
        <v>3</v>
      </c>
      <c r="J335" cm="1">
        <f t="array" ref="J335">_xlfn.SWITCH(B335,1,75,2,61,3,49,4,37,5,25,6,13,7,4,8,1)</f>
        <v>61</v>
      </c>
      <c r="K335" t="str" cm="1">
        <f t="array" ref="K335">IFERROR(_xlfn.SWITCH(L335,2,_xlfn.XLOOKUP(C335,[1]ModifierDes!$B:$B,[1]ModifierDes!$C:$C),3,_xlfn.XLOOKUP(C335,[1]StuntDes!$B:$B,[1]StuntDes!$C:$C)),"")</f>
        <v/>
      </c>
      <c r="L335">
        <f t="shared" si="23"/>
        <v>1</v>
      </c>
      <c r="M335" s="10" t="str">
        <f>IFERROR(_xlfn.XLOOKUP(C335,[1]StuntDes!$B:$B,[1]StuntDes!$A:$A),"")</f>
        <v/>
      </c>
      <c r="N335" s="10" t="str">
        <f>IFERROR(_xlfn.XLOOKUP(C335,[1]ModifierDes!$B:$B,[1]ModifierDes!$A:$A),"")</f>
        <v/>
      </c>
      <c r="O335" s="10">
        <f>IFERROR(_xlfn.XLOOKUP(C335,[1]AttributeName!$C:$C,[1]AttributeName!$B:$B),"")</f>
        <v>10307</v>
      </c>
      <c r="P335" s="10"/>
      <c r="Q335">
        <v>0.22</v>
      </c>
      <c r="R335">
        <v>0.24</v>
      </c>
      <c r="S335" cm="1">
        <f t="array" ref="S335">IFERROR(_xlfn.SWITCH(L335,1,_xlfn.XLOOKUP(O335,[1]AttributeName!$B:$B,[1]AttributeName!$D:$D),2,_xlfn.XLOOKUP(C335,#REF!,#REF!),3,_xlfn.XLOOKUP(C335,#REF!,#REF!)),0)</f>
        <v>2</v>
      </c>
      <c r="T335" cm="1">
        <f t="array" ref="T335">IFERROR(_xlfn.SWITCH(L335,1,_xlfn.XLOOKUP(O335,[1]AttributeName!$B:$B,[1]AttributeName!$E:$E),2,_xlfn.XLOOKUP(C335,#REF!,#REF!),3,_xlfn.XLOOKUP(C335,#REF!,#REF!)),0)</f>
        <v>2</v>
      </c>
    </row>
    <row r="336" customFormat="1" spans="1:20">
      <c r="A336">
        <f t="shared" si="24"/>
        <v>110</v>
      </c>
      <c r="B336">
        <v>3</v>
      </c>
      <c r="C336" t="s">
        <v>388</v>
      </c>
      <c r="D336" t="s">
        <v>415</v>
      </c>
      <c r="E336" t="s">
        <v>378</v>
      </c>
      <c r="F336"/>
      <c r="G336">
        <v>1</v>
      </c>
      <c r="H336">
        <v>500</v>
      </c>
      <c r="I336">
        <v>3</v>
      </c>
      <c r="J336" cm="1">
        <f t="array" ref="J336">_xlfn.SWITCH(B336,1,75,2,61,3,49,4,37,5,25,6,13,7,4,8,1)</f>
        <v>49</v>
      </c>
      <c r="K336" t="str" cm="1">
        <f t="array" ref="K336">IFERROR(_xlfn.SWITCH(L336,2,_xlfn.XLOOKUP(C336,[1]ModifierDes!$B:$B,[1]ModifierDes!$C:$C),3,_xlfn.XLOOKUP(C336,[1]StuntDes!$B:$B,[1]StuntDes!$C:$C)),"")</f>
        <v/>
      </c>
      <c r="L336">
        <f t="shared" si="23"/>
        <v>1</v>
      </c>
      <c r="M336" s="10" t="str">
        <f>IFERROR(_xlfn.XLOOKUP(C336,[1]StuntDes!$B:$B,[1]StuntDes!$A:$A),"")</f>
        <v/>
      </c>
      <c r="N336" s="10" t="str">
        <f>IFERROR(_xlfn.XLOOKUP(C336,[1]ModifierDes!$B:$B,[1]ModifierDes!$A:$A),"")</f>
        <v/>
      </c>
      <c r="O336" s="10">
        <f>IFERROR(_xlfn.XLOOKUP(C336,[1]AttributeName!$C:$C,[1]AttributeName!$B:$B),"")</f>
        <v>10307</v>
      </c>
      <c r="P336" s="10"/>
      <c r="Q336">
        <v>0.19</v>
      </c>
      <c r="R336">
        <v>0.21</v>
      </c>
      <c r="S336" cm="1">
        <f t="array" ref="S336">IFERROR(_xlfn.SWITCH(L336,1,_xlfn.XLOOKUP(O336,[1]AttributeName!$B:$B,[1]AttributeName!$D:$D),2,_xlfn.XLOOKUP(C336,#REF!,#REF!),3,_xlfn.XLOOKUP(C336,#REF!,#REF!)),0)</f>
        <v>2</v>
      </c>
      <c r="T336" cm="1">
        <f t="array" ref="T336">IFERROR(_xlfn.SWITCH(L336,1,_xlfn.XLOOKUP(O336,[1]AttributeName!$B:$B,[1]AttributeName!$E:$E),2,_xlfn.XLOOKUP(C336,#REF!,#REF!),3,_xlfn.XLOOKUP(C336,#REF!,#REF!)),0)</f>
        <v>2</v>
      </c>
    </row>
    <row r="337" customFormat="1" spans="1:20">
      <c r="A337">
        <f t="shared" si="24"/>
        <v>110</v>
      </c>
      <c r="B337">
        <v>4</v>
      </c>
      <c r="C337" t="s">
        <v>388</v>
      </c>
      <c r="D337" t="s">
        <v>415</v>
      </c>
      <c r="E337" t="s">
        <v>378</v>
      </c>
      <c r="F337"/>
      <c r="G337">
        <v>1</v>
      </c>
      <c r="H337">
        <v>1000</v>
      </c>
      <c r="I337">
        <v>3</v>
      </c>
      <c r="J337" cm="1">
        <f t="array" ref="J337">_xlfn.SWITCH(B337,1,75,2,61,3,49,4,37,5,25,6,13,7,4,8,1)</f>
        <v>37</v>
      </c>
      <c r="K337" t="str" cm="1">
        <f t="array" ref="K337">IFERROR(_xlfn.SWITCH(L337,2,_xlfn.XLOOKUP(C337,[1]ModifierDes!$B:$B,[1]ModifierDes!$C:$C),3,_xlfn.XLOOKUP(C337,[1]StuntDes!$B:$B,[1]StuntDes!$C:$C)),"")</f>
        <v/>
      </c>
      <c r="L337">
        <f t="shared" si="23"/>
        <v>1</v>
      </c>
      <c r="M337" s="10" t="str">
        <f>IFERROR(_xlfn.XLOOKUP(C337,[1]StuntDes!$B:$B,[1]StuntDes!$A:$A),"")</f>
        <v/>
      </c>
      <c r="N337" s="10" t="str">
        <f>IFERROR(_xlfn.XLOOKUP(C337,[1]ModifierDes!$B:$B,[1]ModifierDes!$A:$A),"")</f>
        <v/>
      </c>
      <c r="O337" s="10">
        <f>IFERROR(_xlfn.XLOOKUP(C337,[1]AttributeName!$C:$C,[1]AttributeName!$B:$B),"")</f>
        <v>10307</v>
      </c>
      <c r="P337" s="10"/>
      <c r="Q337">
        <v>0.16</v>
      </c>
      <c r="R337">
        <v>0.18</v>
      </c>
      <c r="S337" cm="1">
        <f t="array" ref="S337">IFERROR(_xlfn.SWITCH(L337,1,_xlfn.XLOOKUP(O337,[1]AttributeName!$B:$B,[1]AttributeName!$D:$D),2,_xlfn.XLOOKUP(C337,#REF!,#REF!),3,_xlfn.XLOOKUP(C337,#REF!,#REF!)),0)</f>
        <v>2</v>
      </c>
      <c r="T337" cm="1">
        <f t="array" ref="T337">IFERROR(_xlfn.SWITCH(L337,1,_xlfn.XLOOKUP(O337,[1]AttributeName!$B:$B,[1]AttributeName!$E:$E),2,_xlfn.XLOOKUP(C337,#REF!,#REF!),3,_xlfn.XLOOKUP(C337,#REF!,#REF!)),0)</f>
        <v>2</v>
      </c>
    </row>
    <row r="338" customFormat="1" spans="1:20">
      <c r="A338">
        <f t="shared" si="24"/>
        <v>110</v>
      </c>
      <c r="B338">
        <v>5</v>
      </c>
      <c r="C338" t="s">
        <v>388</v>
      </c>
      <c r="D338" t="s">
        <v>415</v>
      </c>
      <c r="E338" t="s">
        <v>378</v>
      </c>
      <c r="F338"/>
      <c r="G338">
        <v>1</v>
      </c>
      <c r="H338">
        <v>1000</v>
      </c>
      <c r="I338">
        <v>3</v>
      </c>
      <c r="J338" cm="1">
        <f t="array" ref="J338">_xlfn.SWITCH(B338,1,75,2,61,3,49,4,37,5,25,6,13,7,4,8,1)</f>
        <v>25</v>
      </c>
      <c r="K338" t="str" cm="1">
        <f t="array" ref="K338">IFERROR(_xlfn.SWITCH(L338,2,_xlfn.XLOOKUP(C338,[1]ModifierDes!$B:$B,[1]ModifierDes!$C:$C),3,_xlfn.XLOOKUP(C338,[1]StuntDes!$B:$B,[1]StuntDes!$C:$C)),"")</f>
        <v/>
      </c>
      <c r="L338">
        <f t="shared" si="23"/>
        <v>1</v>
      </c>
      <c r="M338" s="10" t="str">
        <f>IFERROR(_xlfn.XLOOKUP(C338,[1]StuntDes!$B:$B,[1]StuntDes!$A:$A),"")</f>
        <v/>
      </c>
      <c r="N338" s="10" t="str">
        <f>IFERROR(_xlfn.XLOOKUP(C338,[1]ModifierDes!$B:$B,[1]ModifierDes!$A:$A),"")</f>
        <v/>
      </c>
      <c r="O338" s="10">
        <f>IFERROR(_xlfn.XLOOKUP(C338,[1]AttributeName!$C:$C,[1]AttributeName!$B:$B),"")</f>
        <v>10307</v>
      </c>
      <c r="P338" s="10"/>
      <c r="Q338">
        <v>0.13</v>
      </c>
      <c r="R338">
        <v>0.15</v>
      </c>
      <c r="S338" cm="1">
        <f t="array" ref="S338">IFERROR(_xlfn.SWITCH(L338,1,_xlfn.XLOOKUP(O338,[1]AttributeName!$B:$B,[1]AttributeName!$D:$D),2,_xlfn.XLOOKUP(C338,#REF!,#REF!),3,_xlfn.XLOOKUP(C338,#REF!,#REF!)),0)</f>
        <v>2</v>
      </c>
      <c r="T338" cm="1">
        <f t="array" ref="T338">IFERROR(_xlfn.SWITCH(L338,1,_xlfn.XLOOKUP(O338,[1]AttributeName!$B:$B,[1]AttributeName!$E:$E),2,_xlfn.XLOOKUP(C338,#REF!,#REF!),3,_xlfn.XLOOKUP(C338,#REF!,#REF!)),0)</f>
        <v>2</v>
      </c>
    </row>
    <row r="339" customFormat="1" spans="1:20">
      <c r="A339">
        <f t="shared" si="24"/>
        <v>110</v>
      </c>
      <c r="B339">
        <v>6</v>
      </c>
      <c r="C339" t="s">
        <v>388</v>
      </c>
      <c r="D339" t="s">
        <v>415</v>
      </c>
      <c r="E339" t="s">
        <v>378</v>
      </c>
      <c r="F339"/>
      <c r="G339">
        <v>1</v>
      </c>
      <c r="H339">
        <v>1000</v>
      </c>
      <c r="I339">
        <v>3</v>
      </c>
      <c r="J339" cm="1">
        <f t="array" ref="J339">_xlfn.SWITCH(B339,1,75,2,61,3,49,4,37,5,25,6,13,7,4,8,1)</f>
        <v>13</v>
      </c>
      <c r="K339" t="str" cm="1">
        <f t="array" ref="K339">IFERROR(_xlfn.SWITCH(L339,2,_xlfn.XLOOKUP(C339,[1]ModifierDes!$B:$B,[1]ModifierDes!$C:$C),3,_xlfn.XLOOKUP(C339,[1]StuntDes!$B:$B,[1]StuntDes!$C:$C)),"")</f>
        <v/>
      </c>
      <c r="L339">
        <f t="shared" si="23"/>
        <v>1</v>
      </c>
      <c r="M339" s="10" t="str">
        <f>IFERROR(_xlfn.XLOOKUP(C339,[1]StuntDes!$B:$B,[1]StuntDes!$A:$A),"")</f>
        <v/>
      </c>
      <c r="N339" s="10" t="str">
        <f>IFERROR(_xlfn.XLOOKUP(C339,[1]ModifierDes!$B:$B,[1]ModifierDes!$A:$A),"")</f>
        <v/>
      </c>
      <c r="O339" s="10">
        <f>IFERROR(_xlfn.XLOOKUP(C339,[1]AttributeName!$C:$C,[1]AttributeName!$B:$B),"")</f>
        <v>10307</v>
      </c>
      <c r="P339" s="10"/>
      <c r="Q339">
        <v>0.0999999999999999</v>
      </c>
      <c r="R339">
        <v>0.12</v>
      </c>
      <c r="S339" cm="1">
        <f t="array" ref="S339">IFERROR(_xlfn.SWITCH(L339,1,_xlfn.XLOOKUP(O339,[1]AttributeName!$B:$B,[1]AttributeName!$D:$D),2,_xlfn.XLOOKUP(C339,#REF!,#REF!),3,_xlfn.XLOOKUP(C339,#REF!,#REF!)),0)</f>
        <v>2</v>
      </c>
      <c r="T339" cm="1">
        <f t="array" ref="T339">IFERROR(_xlfn.SWITCH(L339,1,_xlfn.XLOOKUP(O339,[1]AttributeName!$B:$B,[1]AttributeName!$E:$E),2,_xlfn.XLOOKUP(C339,#REF!,#REF!),3,_xlfn.XLOOKUP(C339,#REF!,#REF!)),0)</f>
        <v>2</v>
      </c>
    </row>
    <row r="340" customFormat="1" spans="1:20">
      <c r="A340">
        <f t="shared" si="24"/>
        <v>110</v>
      </c>
      <c r="B340">
        <v>7</v>
      </c>
      <c r="C340" t="s">
        <v>388</v>
      </c>
      <c r="D340" t="s">
        <v>415</v>
      </c>
      <c r="E340" t="s">
        <v>378</v>
      </c>
      <c r="F340"/>
      <c r="G340">
        <v>1</v>
      </c>
      <c r="H340">
        <v>1000</v>
      </c>
      <c r="I340">
        <v>3</v>
      </c>
      <c r="J340" cm="1">
        <f t="array" ref="J340">_xlfn.SWITCH(B340,1,75,2,61,3,49,4,37,5,25,6,13,7,4,8,1)</f>
        <v>4</v>
      </c>
      <c r="K340" t="str" cm="1">
        <f t="array" ref="K340">IFERROR(_xlfn.SWITCH(L340,2,_xlfn.XLOOKUP(C340,[1]ModifierDes!$B:$B,[1]ModifierDes!$C:$C),3,_xlfn.XLOOKUP(C340,[1]StuntDes!$B:$B,[1]StuntDes!$C:$C)),"")</f>
        <v/>
      </c>
      <c r="L340">
        <f t="shared" si="23"/>
        <v>1</v>
      </c>
      <c r="M340" s="10" t="str">
        <f>IFERROR(_xlfn.XLOOKUP(C340,[1]StuntDes!$B:$B,[1]StuntDes!$A:$A),"")</f>
        <v/>
      </c>
      <c r="N340" s="10" t="str">
        <f>IFERROR(_xlfn.XLOOKUP(C340,[1]ModifierDes!$B:$B,[1]ModifierDes!$A:$A),"")</f>
        <v/>
      </c>
      <c r="O340" s="10">
        <f>IFERROR(_xlfn.XLOOKUP(C340,[1]AttributeName!$C:$C,[1]AttributeName!$B:$B),"")</f>
        <v>10307</v>
      </c>
      <c r="P340" s="10"/>
      <c r="Q340">
        <v>0.0699999999999999</v>
      </c>
      <c r="R340">
        <v>0.09</v>
      </c>
      <c r="S340" cm="1">
        <f t="array" ref="S340">IFERROR(_xlfn.SWITCH(L340,1,_xlfn.XLOOKUP(O340,[1]AttributeName!$B:$B,[1]AttributeName!$D:$D),2,_xlfn.XLOOKUP(C340,#REF!,#REF!),3,_xlfn.XLOOKUP(C340,#REF!,#REF!)),0)</f>
        <v>2</v>
      </c>
      <c r="T340" cm="1">
        <f t="array" ref="T340">IFERROR(_xlfn.SWITCH(L340,1,_xlfn.XLOOKUP(O340,[1]AttributeName!$B:$B,[1]AttributeName!$E:$E),2,_xlfn.XLOOKUP(C340,#REF!,#REF!),3,_xlfn.XLOOKUP(C340,#REF!,#REF!)),0)</f>
        <v>2</v>
      </c>
    </row>
    <row r="341" customFormat="1" spans="1:20">
      <c r="A341">
        <f t="shared" si="24"/>
        <v>110</v>
      </c>
      <c r="B341">
        <v>8</v>
      </c>
      <c r="C341" t="s">
        <v>388</v>
      </c>
      <c r="D341" t="s">
        <v>415</v>
      </c>
      <c r="E341" t="s">
        <v>378</v>
      </c>
      <c r="F341"/>
      <c r="G341">
        <v>1</v>
      </c>
      <c r="H341">
        <v>1000</v>
      </c>
      <c r="I341">
        <v>3</v>
      </c>
      <c r="J341" cm="1">
        <f t="array" ref="J341">_xlfn.SWITCH(B341,1,75,2,61,3,49,4,37,5,25,6,13,7,4,8,1)</f>
        <v>1</v>
      </c>
      <c r="K341" t="str" cm="1">
        <f t="array" ref="K341">IFERROR(_xlfn.SWITCH(L341,2,_xlfn.XLOOKUP(C341,[1]ModifierDes!$B:$B,[1]ModifierDes!$C:$C),3,_xlfn.XLOOKUP(C341,[1]StuntDes!$B:$B,[1]StuntDes!$C:$C)),"")</f>
        <v/>
      </c>
      <c r="L341">
        <f t="shared" si="23"/>
        <v>1</v>
      </c>
      <c r="M341" s="10" t="str">
        <f>IFERROR(_xlfn.XLOOKUP(C341,[1]StuntDes!$B:$B,[1]StuntDes!$A:$A),"")</f>
        <v/>
      </c>
      <c r="N341" s="10" t="str">
        <f>IFERROR(_xlfn.XLOOKUP(C341,[1]ModifierDes!$B:$B,[1]ModifierDes!$A:$A),"")</f>
        <v/>
      </c>
      <c r="O341" s="10">
        <f>IFERROR(_xlfn.XLOOKUP(C341,[1]AttributeName!$C:$C,[1]AttributeName!$B:$B),"")</f>
        <v>10307</v>
      </c>
      <c r="P341" s="10"/>
      <c r="Q341">
        <v>0.0399999999999998</v>
      </c>
      <c r="R341">
        <v>0.06</v>
      </c>
      <c r="S341" cm="1">
        <f t="array" ref="S341">IFERROR(_xlfn.SWITCH(L341,1,_xlfn.XLOOKUP(O341,[1]AttributeName!$B:$B,[1]AttributeName!$D:$D),2,_xlfn.XLOOKUP(C341,#REF!,#REF!),3,_xlfn.XLOOKUP(C341,#REF!,#REF!)),0)</f>
        <v>2</v>
      </c>
      <c r="T341" cm="1">
        <f t="array" ref="T341">IFERROR(_xlfn.SWITCH(L341,1,_xlfn.XLOOKUP(O341,[1]AttributeName!$B:$B,[1]AttributeName!$E:$E),2,_xlfn.XLOOKUP(C341,#REF!,#REF!),3,_xlfn.XLOOKUP(C341,#REF!,#REF!)),0)</f>
        <v>2</v>
      </c>
    </row>
    <row r="342" customFormat="1" spans="1:20">
      <c r="A342">
        <f t="shared" si="24"/>
        <v>111</v>
      </c>
      <c r="B342">
        <v>1</v>
      </c>
      <c r="C342" t="s">
        <v>419</v>
      </c>
      <c r="D342" t="s">
        <v>415</v>
      </c>
      <c r="E342" t="s">
        <v>378</v>
      </c>
      <c r="F342"/>
      <c r="G342">
        <v>1</v>
      </c>
      <c r="H342">
        <v>250</v>
      </c>
      <c r="J342" cm="1">
        <f t="array" ref="J342">_xlfn.SWITCH(B342,1,75,2,61,3,49,4,37,5,25,6,13,7,4,8,1)</f>
        <v>75</v>
      </c>
      <c r="K342" t="str" cm="1">
        <f t="array" ref="K342">IFERROR(_xlfn.SWITCH(L342,2,_xlfn.XLOOKUP(C342,[1]ModifierDes!$B:$B,[1]ModifierDes!$C:$C),3,_xlfn.XLOOKUP(C342,[1]StuntDes!$B:$B,[1]StuntDes!$C:$C)),"")</f>
        <v/>
      </c>
      <c r="L342">
        <f t="shared" si="23"/>
        <v>1</v>
      </c>
      <c r="M342" s="10" t="str">
        <f>IFERROR(_xlfn.XLOOKUP(C342,[1]StuntDes!$B:$B,[1]StuntDes!$A:$A),"")</f>
        <v/>
      </c>
      <c r="N342" s="10" t="str">
        <f>IFERROR(_xlfn.XLOOKUP(C342,[1]ModifierDes!$B:$B,[1]ModifierDes!$A:$A),"")</f>
        <v/>
      </c>
      <c r="O342" s="10">
        <f>IFERROR(_xlfn.XLOOKUP(C342,[1]AttributeName!$C:$C,[1]AttributeName!$B:$B),"")</f>
        <v>11012</v>
      </c>
      <c r="P342" s="10"/>
      <c r="Q342">
        <v>0.08</v>
      </c>
      <c r="R342">
        <v>0.1</v>
      </c>
      <c r="S342" cm="1">
        <f t="array" ref="S342">IFERROR(_xlfn.SWITCH(L342,1,_xlfn.XLOOKUP(O342,[1]AttributeName!$B:$B,[1]AttributeName!$D:$D),2,_xlfn.XLOOKUP(C342,#REF!,#REF!),3,_xlfn.XLOOKUP(C342,#REF!,#REF!)),0)</f>
        <v>2</v>
      </c>
      <c r="T342" cm="1">
        <f t="array" ref="T342">IFERROR(_xlfn.SWITCH(L342,1,_xlfn.XLOOKUP(O342,[1]AttributeName!$B:$B,[1]AttributeName!$E:$E),2,_xlfn.XLOOKUP(C342,#REF!,#REF!),3,_xlfn.XLOOKUP(C342,#REF!,#REF!)),0)</f>
        <v>2</v>
      </c>
    </row>
    <row r="343" customFormat="1" spans="1:20">
      <c r="A343">
        <f t="shared" si="24"/>
        <v>111</v>
      </c>
      <c r="B343">
        <v>2</v>
      </c>
      <c r="C343" t="s">
        <v>419</v>
      </c>
      <c r="D343" t="s">
        <v>415</v>
      </c>
      <c r="E343" t="s">
        <v>378</v>
      </c>
      <c r="F343"/>
      <c r="G343">
        <v>1</v>
      </c>
      <c r="H343">
        <v>500</v>
      </c>
      <c r="J343" cm="1">
        <f t="array" ref="J343">_xlfn.SWITCH(B343,1,75,2,61,3,49,4,37,5,25,6,13,7,4,8,1)</f>
        <v>61</v>
      </c>
      <c r="K343" t="str" cm="1">
        <f t="array" ref="K343">IFERROR(_xlfn.SWITCH(L343,2,_xlfn.XLOOKUP(C343,[1]ModifierDes!$B:$B,[1]ModifierDes!$C:$C),3,_xlfn.XLOOKUP(C343,[1]StuntDes!$B:$B,[1]StuntDes!$C:$C)),"")</f>
        <v/>
      </c>
      <c r="L343">
        <f t="shared" si="23"/>
        <v>1</v>
      </c>
      <c r="M343" s="10" t="str">
        <f>IFERROR(_xlfn.XLOOKUP(C343,[1]StuntDes!$B:$B,[1]StuntDes!$A:$A),"")</f>
        <v/>
      </c>
      <c r="N343" s="10" t="str">
        <f>IFERROR(_xlfn.XLOOKUP(C343,[1]ModifierDes!$B:$B,[1]ModifierDes!$A:$A),"")</f>
        <v/>
      </c>
      <c r="O343" s="10">
        <f>IFERROR(_xlfn.XLOOKUP(C343,[1]AttributeName!$C:$C,[1]AttributeName!$B:$B),"")</f>
        <v>11012</v>
      </c>
      <c r="P343" s="10"/>
      <c r="Q343">
        <v>0.07</v>
      </c>
      <c r="R343">
        <v>0.07</v>
      </c>
      <c r="S343" cm="1">
        <f t="array" ref="S343">IFERROR(_xlfn.SWITCH(L343,1,_xlfn.XLOOKUP(O343,[1]AttributeName!$B:$B,[1]AttributeName!$D:$D),2,_xlfn.XLOOKUP(C343,#REF!,#REF!),3,_xlfn.XLOOKUP(C343,#REF!,#REF!)),0)</f>
        <v>2</v>
      </c>
      <c r="T343" cm="1">
        <f t="array" ref="T343">IFERROR(_xlfn.SWITCH(L343,1,_xlfn.XLOOKUP(O343,[1]AttributeName!$B:$B,[1]AttributeName!$E:$E),2,_xlfn.XLOOKUP(C343,#REF!,#REF!),3,_xlfn.XLOOKUP(C343,#REF!,#REF!)),0)</f>
        <v>2</v>
      </c>
    </row>
    <row r="344" customFormat="1" spans="1:20">
      <c r="A344">
        <f t="shared" si="24"/>
        <v>111</v>
      </c>
      <c r="B344">
        <v>3</v>
      </c>
      <c r="C344" t="s">
        <v>419</v>
      </c>
      <c r="D344" t="s">
        <v>415</v>
      </c>
      <c r="E344" t="s">
        <v>378</v>
      </c>
      <c r="F344"/>
      <c r="G344">
        <v>1</v>
      </c>
      <c r="H344">
        <v>750</v>
      </c>
      <c r="J344" cm="1">
        <f t="array" ref="J344">_xlfn.SWITCH(B344,1,75,2,61,3,49,4,37,5,25,6,13,7,4,8,1)</f>
        <v>49</v>
      </c>
      <c r="K344" t="str" cm="1">
        <f t="array" ref="K344">IFERROR(_xlfn.SWITCH(L344,2,_xlfn.XLOOKUP(C344,[1]ModifierDes!$B:$B,[1]ModifierDes!$C:$C),3,_xlfn.XLOOKUP(C344,[1]StuntDes!$B:$B,[1]StuntDes!$C:$C)),"")</f>
        <v/>
      </c>
      <c r="L344">
        <f t="shared" si="23"/>
        <v>1</v>
      </c>
      <c r="M344" s="10" t="str">
        <f>IFERROR(_xlfn.XLOOKUP(C344,[1]StuntDes!$B:$B,[1]StuntDes!$A:$A),"")</f>
        <v/>
      </c>
      <c r="N344" s="10" t="str">
        <f>IFERROR(_xlfn.XLOOKUP(C344,[1]ModifierDes!$B:$B,[1]ModifierDes!$A:$A),"")</f>
        <v/>
      </c>
      <c r="O344" s="10">
        <f>IFERROR(_xlfn.XLOOKUP(C344,[1]AttributeName!$C:$C,[1]AttributeName!$B:$B),"")</f>
        <v>11012</v>
      </c>
      <c r="P344" s="10"/>
      <c r="Q344">
        <v>0.06</v>
      </c>
      <c r="R344">
        <v>0.06</v>
      </c>
      <c r="S344" cm="1">
        <f t="array" ref="S344">IFERROR(_xlfn.SWITCH(L344,1,_xlfn.XLOOKUP(O344,[1]AttributeName!$B:$B,[1]AttributeName!$D:$D),2,_xlfn.XLOOKUP(C344,#REF!,#REF!),3,_xlfn.XLOOKUP(C344,#REF!,#REF!)),0)</f>
        <v>2</v>
      </c>
      <c r="T344" cm="1">
        <f t="array" ref="T344">IFERROR(_xlfn.SWITCH(L344,1,_xlfn.XLOOKUP(O344,[1]AttributeName!$B:$B,[1]AttributeName!$E:$E),2,_xlfn.XLOOKUP(C344,#REF!,#REF!),3,_xlfn.XLOOKUP(C344,#REF!,#REF!)),0)</f>
        <v>2</v>
      </c>
    </row>
    <row r="345" customFormat="1" spans="1:20">
      <c r="A345">
        <f t="shared" si="24"/>
        <v>111</v>
      </c>
      <c r="B345">
        <v>4</v>
      </c>
      <c r="C345" t="s">
        <v>419</v>
      </c>
      <c r="D345" t="s">
        <v>415</v>
      </c>
      <c r="E345" t="s">
        <v>378</v>
      </c>
      <c r="F345"/>
      <c r="G345">
        <v>1</v>
      </c>
      <c r="H345">
        <v>1000</v>
      </c>
      <c r="J345" cm="1">
        <f t="array" ref="J345">_xlfn.SWITCH(B345,1,75,2,61,3,49,4,37,5,25,6,13,7,4,8,1)</f>
        <v>37</v>
      </c>
      <c r="K345" t="str" cm="1">
        <f t="array" ref="K345">IFERROR(_xlfn.SWITCH(L345,2,_xlfn.XLOOKUP(C345,[1]ModifierDes!$B:$B,[1]ModifierDes!$C:$C),3,_xlfn.XLOOKUP(C345,[1]StuntDes!$B:$B,[1]StuntDes!$C:$C)),"")</f>
        <v/>
      </c>
      <c r="L345">
        <f t="shared" si="23"/>
        <v>1</v>
      </c>
      <c r="M345" s="10" t="str">
        <f>IFERROR(_xlfn.XLOOKUP(C345,[1]StuntDes!$B:$B,[1]StuntDes!$A:$A),"")</f>
        <v/>
      </c>
      <c r="N345" s="10" t="str">
        <f>IFERROR(_xlfn.XLOOKUP(C345,[1]ModifierDes!$B:$B,[1]ModifierDes!$A:$A),"")</f>
        <v/>
      </c>
      <c r="O345" s="10">
        <f>IFERROR(_xlfn.XLOOKUP(C345,[1]AttributeName!$C:$C,[1]AttributeName!$B:$B),"")</f>
        <v>11012</v>
      </c>
      <c r="P345" s="10"/>
      <c r="Q345">
        <v>0.05</v>
      </c>
      <c r="R345">
        <v>0.05</v>
      </c>
      <c r="S345" cm="1">
        <f t="array" ref="S345">IFERROR(_xlfn.SWITCH(L345,1,_xlfn.XLOOKUP(O345,[1]AttributeName!$B:$B,[1]AttributeName!$D:$D),2,_xlfn.XLOOKUP(C345,#REF!,#REF!),3,_xlfn.XLOOKUP(C345,#REF!,#REF!)),0)</f>
        <v>2</v>
      </c>
      <c r="T345" cm="1">
        <f t="array" ref="T345">IFERROR(_xlfn.SWITCH(L345,1,_xlfn.XLOOKUP(O345,[1]AttributeName!$B:$B,[1]AttributeName!$E:$E),2,_xlfn.XLOOKUP(C345,#REF!,#REF!),3,_xlfn.XLOOKUP(C345,#REF!,#REF!)),0)</f>
        <v>2</v>
      </c>
    </row>
    <row r="346" customFormat="1" spans="1:20">
      <c r="A346">
        <f t="shared" si="24"/>
        <v>111</v>
      </c>
      <c r="B346">
        <v>5</v>
      </c>
      <c r="C346" t="s">
        <v>419</v>
      </c>
      <c r="D346" t="s">
        <v>415</v>
      </c>
      <c r="E346" t="s">
        <v>378</v>
      </c>
      <c r="F346"/>
      <c r="G346">
        <v>1</v>
      </c>
      <c r="H346">
        <v>1000</v>
      </c>
      <c r="J346" cm="1">
        <f t="array" ref="J346">_xlfn.SWITCH(B346,1,75,2,61,3,49,4,37,5,25,6,13,7,4,8,1)</f>
        <v>25</v>
      </c>
      <c r="K346" t="str" cm="1">
        <f t="array" ref="K346">IFERROR(_xlfn.SWITCH(L346,2,_xlfn.XLOOKUP(C346,[1]ModifierDes!$B:$B,[1]ModifierDes!$C:$C),3,_xlfn.XLOOKUP(C346,[1]StuntDes!$B:$B,[1]StuntDes!$C:$C)),"")</f>
        <v/>
      </c>
      <c r="L346">
        <f t="shared" si="23"/>
        <v>1</v>
      </c>
      <c r="M346" s="10" t="str">
        <f>IFERROR(_xlfn.XLOOKUP(C346,[1]StuntDes!$B:$B,[1]StuntDes!$A:$A),"")</f>
        <v/>
      </c>
      <c r="N346" s="10" t="str">
        <f>IFERROR(_xlfn.XLOOKUP(C346,[1]ModifierDes!$B:$B,[1]ModifierDes!$A:$A),"")</f>
        <v/>
      </c>
      <c r="O346" s="10">
        <f>IFERROR(_xlfn.XLOOKUP(C346,[1]AttributeName!$C:$C,[1]AttributeName!$B:$B),"")</f>
        <v>11012</v>
      </c>
      <c r="P346" s="10"/>
      <c r="Q346">
        <v>0.04</v>
      </c>
      <c r="R346">
        <v>0.04</v>
      </c>
      <c r="S346" cm="1">
        <f t="array" ref="S346">IFERROR(_xlfn.SWITCH(L346,1,_xlfn.XLOOKUP(O346,[1]AttributeName!$B:$B,[1]AttributeName!$D:$D),2,_xlfn.XLOOKUP(C346,#REF!,#REF!),3,_xlfn.XLOOKUP(C346,#REF!,#REF!)),0)</f>
        <v>2</v>
      </c>
      <c r="T346" cm="1">
        <f t="array" ref="T346">IFERROR(_xlfn.SWITCH(L346,1,_xlfn.XLOOKUP(O346,[1]AttributeName!$B:$B,[1]AttributeName!$E:$E),2,_xlfn.XLOOKUP(C346,#REF!,#REF!),3,_xlfn.XLOOKUP(C346,#REF!,#REF!)),0)</f>
        <v>2</v>
      </c>
    </row>
    <row r="347" customFormat="1" spans="1:20">
      <c r="A347">
        <f t="shared" si="24"/>
        <v>111</v>
      </c>
      <c r="B347">
        <v>6</v>
      </c>
      <c r="C347" t="s">
        <v>419</v>
      </c>
      <c r="D347" t="s">
        <v>415</v>
      </c>
      <c r="E347" t="s">
        <v>378</v>
      </c>
      <c r="F347"/>
      <c r="G347">
        <v>1</v>
      </c>
      <c r="H347">
        <v>1000</v>
      </c>
      <c r="J347" cm="1">
        <f t="array" ref="J347">_xlfn.SWITCH(B347,1,75,2,61,3,49,4,37,5,25,6,13,7,4,8,1)</f>
        <v>13</v>
      </c>
      <c r="K347" t="str" cm="1">
        <f t="array" ref="K347">IFERROR(_xlfn.SWITCH(L347,2,_xlfn.XLOOKUP(C347,[1]ModifierDes!$B:$B,[1]ModifierDes!$C:$C),3,_xlfn.XLOOKUP(C347,[1]StuntDes!$B:$B,[1]StuntDes!$C:$C)),"")</f>
        <v/>
      </c>
      <c r="L347">
        <f t="shared" si="23"/>
        <v>1</v>
      </c>
      <c r="M347" s="10" t="str">
        <f>IFERROR(_xlfn.XLOOKUP(C347,[1]StuntDes!$B:$B,[1]StuntDes!$A:$A),"")</f>
        <v/>
      </c>
      <c r="N347" s="10" t="str">
        <f>IFERROR(_xlfn.XLOOKUP(C347,[1]ModifierDes!$B:$B,[1]ModifierDes!$A:$A),"")</f>
        <v/>
      </c>
      <c r="O347" s="10">
        <f>IFERROR(_xlfn.XLOOKUP(C347,[1]AttributeName!$C:$C,[1]AttributeName!$B:$B),"")</f>
        <v>11012</v>
      </c>
      <c r="P347" s="10"/>
      <c r="Q347">
        <v>0.03</v>
      </c>
      <c r="R347">
        <v>0.03</v>
      </c>
      <c r="S347" cm="1">
        <f t="array" ref="S347">IFERROR(_xlfn.SWITCH(L347,1,_xlfn.XLOOKUP(O347,[1]AttributeName!$B:$B,[1]AttributeName!$D:$D),2,_xlfn.XLOOKUP(C347,#REF!,#REF!),3,_xlfn.XLOOKUP(C347,#REF!,#REF!)),0)</f>
        <v>2</v>
      </c>
      <c r="T347" cm="1">
        <f t="array" ref="T347">IFERROR(_xlfn.SWITCH(L347,1,_xlfn.XLOOKUP(O347,[1]AttributeName!$B:$B,[1]AttributeName!$E:$E),2,_xlfn.XLOOKUP(C347,#REF!,#REF!),3,_xlfn.XLOOKUP(C347,#REF!,#REF!)),0)</f>
        <v>2</v>
      </c>
    </row>
    <row r="348" customFormat="1" spans="1:20">
      <c r="A348">
        <f t="shared" si="24"/>
        <v>111</v>
      </c>
      <c r="B348">
        <v>7</v>
      </c>
      <c r="C348" t="s">
        <v>419</v>
      </c>
      <c r="D348" t="s">
        <v>415</v>
      </c>
      <c r="E348" t="s">
        <v>378</v>
      </c>
      <c r="F348"/>
      <c r="G348">
        <v>1</v>
      </c>
      <c r="H348">
        <v>1000</v>
      </c>
      <c r="J348" cm="1">
        <f t="array" ref="J348">_xlfn.SWITCH(B348,1,75,2,61,3,49,4,37,5,25,6,13,7,4,8,1)</f>
        <v>4</v>
      </c>
      <c r="K348" t="str" cm="1">
        <f t="array" ref="K348">IFERROR(_xlfn.SWITCH(L348,2,_xlfn.XLOOKUP(C348,[1]ModifierDes!$B:$B,[1]ModifierDes!$C:$C),3,_xlfn.XLOOKUP(C348,[1]StuntDes!$B:$B,[1]StuntDes!$C:$C)),"")</f>
        <v/>
      </c>
      <c r="L348">
        <f t="shared" si="23"/>
        <v>1</v>
      </c>
      <c r="M348" s="10" t="str">
        <f>IFERROR(_xlfn.XLOOKUP(C348,[1]StuntDes!$B:$B,[1]StuntDes!$A:$A),"")</f>
        <v/>
      </c>
      <c r="N348" s="10" t="str">
        <f>IFERROR(_xlfn.XLOOKUP(C348,[1]ModifierDes!$B:$B,[1]ModifierDes!$A:$A),"")</f>
        <v/>
      </c>
      <c r="O348" s="10">
        <f>IFERROR(_xlfn.XLOOKUP(C348,[1]AttributeName!$C:$C,[1]AttributeName!$B:$B),"")</f>
        <v>11012</v>
      </c>
      <c r="P348" s="10"/>
      <c r="Q348">
        <v>0.02</v>
      </c>
      <c r="R348">
        <v>0.02</v>
      </c>
      <c r="S348" cm="1">
        <f t="array" ref="S348">IFERROR(_xlfn.SWITCH(L348,1,_xlfn.XLOOKUP(O348,[1]AttributeName!$B:$B,[1]AttributeName!$D:$D),2,_xlfn.XLOOKUP(C348,#REF!,#REF!),3,_xlfn.XLOOKUP(C348,#REF!,#REF!)),0)</f>
        <v>2</v>
      </c>
      <c r="T348" cm="1">
        <f t="array" ref="T348">IFERROR(_xlfn.SWITCH(L348,1,_xlfn.XLOOKUP(O348,[1]AttributeName!$B:$B,[1]AttributeName!$E:$E),2,_xlfn.XLOOKUP(C348,#REF!,#REF!),3,_xlfn.XLOOKUP(C348,#REF!,#REF!)),0)</f>
        <v>2</v>
      </c>
    </row>
    <row r="349" customFormat="1" spans="1:20">
      <c r="A349">
        <f t="shared" si="24"/>
        <v>111</v>
      </c>
      <c r="B349">
        <v>8</v>
      </c>
      <c r="C349" t="s">
        <v>419</v>
      </c>
      <c r="D349" t="s">
        <v>415</v>
      </c>
      <c r="E349" t="s">
        <v>378</v>
      </c>
      <c r="F349"/>
      <c r="G349">
        <v>1</v>
      </c>
      <c r="H349">
        <v>1000</v>
      </c>
      <c r="J349" cm="1">
        <f t="array" ref="J349">_xlfn.SWITCH(B349,1,75,2,61,3,49,4,37,5,25,6,13,7,4,8,1)</f>
        <v>1</v>
      </c>
      <c r="K349" t="str" cm="1">
        <f t="array" ref="K349">IFERROR(_xlfn.SWITCH(L349,2,_xlfn.XLOOKUP(C349,[1]ModifierDes!$B:$B,[1]ModifierDes!$C:$C),3,_xlfn.XLOOKUP(C349,[1]StuntDes!$B:$B,[1]StuntDes!$C:$C)),"")</f>
        <v/>
      </c>
      <c r="L349">
        <f t="shared" si="23"/>
        <v>1</v>
      </c>
      <c r="M349" s="10" t="str">
        <f>IFERROR(_xlfn.XLOOKUP(C349,[1]StuntDes!$B:$B,[1]StuntDes!$A:$A),"")</f>
        <v/>
      </c>
      <c r="N349" s="10" t="str">
        <f>IFERROR(_xlfn.XLOOKUP(C349,[1]ModifierDes!$B:$B,[1]ModifierDes!$A:$A),"")</f>
        <v/>
      </c>
      <c r="O349" s="10">
        <f>IFERROR(_xlfn.XLOOKUP(C349,[1]AttributeName!$C:$C,[1]AttributeName!$B:$B),"")</f>
        <v>11012</v>
      </c>
      <c r="P349" s="10"/>
      <c r="Q349">
        <v>0.01</v>
      </c>
      <c r="R349">
        <v>0.01</v>
      </c>
      <c r="S349" cm="1">
        <f t="array" ref="S349">IFERROR(_xlfn.SWITCH(L349,1,_xlfn.XLOOKUP(O349,[1]AttributeName!$B:$B,[1]AttributeName!$D:$D),2,_xlfn.XLOOKUP(C349,#REF!,#REF!),3,_xlfn.XLOOKUP(C349,#REF!,#REF!)),0)</f>
        <v>2</v>
      </c>
      <c r="T349" cm="1">
        <f t="array" ref="T349">IFERROR(_xlfn.SWITCH(L349,1,_xlfn.XLOOKUP(O349,[1]AttributeName!$B:$B,[1]AttributeName!$E:$E),2,_xlfn.XLOOKUP(C349,#REF!,#REF!),3,_xlfn.XLOOKUP(C349,#REF!,#REF!)),0)</f>
        <v>2</v>
      </c>
    </row>
    <row r="350" customFormat="1" spans="1:20">
      <c r="A350">
        <f t="shared" si="24"/>
        <v>112</v>
      </c>
      <c r="B350">
        <v>1</v>
      </c>
      <c r="C350" t="s">
        <v>420</v>
      </c>
      <c r="D350" t="s">
        <v>415</v>
      </c>
      <c r="E350" t="s">
        <v>378</v>
      </c>
      <c r="F350"/>
      <c r="G350">
        <v>1</v>
      </c>
      <c r="H350">
        <v>250</v>
      </c>
      <c r="J350" cm="1">
        <f t="array" ref="J350">_xlfn.SWITCH(B350,1,75,2,61,3,49,4,37,5,25,6,13,7,4,8,1)</f>
        <v>75</v>
      </c>
      <c r="K350" t="str" cm="1">
        <f t="array" ref="K350">IFERROR(_xlfn.SWITCH(L350,2,_xlfn.XLOOKUP(C350,[1]ModifierDes!$B:$B,[1]ModifierDes!$C:$C),3,_xlfn.XLOOKUP(C350,[1]StuntDes!$B:$B,[1]StuntDes!$C:$C)),"")</f>
        <v/>
      </c>
      <c r="L350">
        <f t="shared" si="23"/>
        <v>1</v>
      </c>
      <c r="M350" s="10" t="str">
        <f>IFERROR(_xlfn.XLOOKUP(C350,[1]StuntDes!$B:$B,[1]StuntDes!$A:$A),"")</f>
        <v/>
      </c>
      <c r="N350" s="10" t="str">
        <f>IFERROR(_xlfn.XLOOKUP(C350,[1]ModifierDes!$B:$B,[1]ModifierDes!$A:$A),"")</f>
        <v/>
      </c>
      <c r="O350" s="10">
        <f>IFERROR(_xlfn.XLOOKUP(C350,[1]AttributeName!$C:$C,[1]AttributeName!$B:$B),"")</f>
        <v>11013</v>
      </c>
      <c r="P350" s="10"/>
      <c r="Q350">
        <v>0.08</v>
      </c>
      <c r="R350">
        <v>0.1</v>
      </c>
      <c r="S350" cm="1">
        <f t="array" ref="S350">IFERROR(_xlfn.SWITCH(L350,1,_xlfn.XLOOKUP(O350,[1]AttributeName!$B:$B,[1]AttributeName!$D:$D),2,_xlfn.XLOOKUP(C350,#REF!,#REF!),3,_xlfn.XLOOKUP(C350,#REF!,#REF!)),0)</f>
        <v>2</v>
      </c>
      <c r="T350" cm="1">
        <f t="array" ref="T350">IFERROR(_xlfn.SWITCH(L350,1,_xlfn.XLOOKUP(O350,[1]AttributeName!$B:$B,[1]AttributeName!$E:$E),2,_xlfn.XLOOKUP(C350,#REF!,#REF!),3,_xlfn.XLOOKUP(C350,#REF!,#REF!)),0)</f>
        <v>2</v>
      </c>
    </row>
    <row r="351" customFormat="1" spans="1:20">
      <c r="A351">
        <f t="shared" si="24"/>
        <v>112</v>
      </c>
      <c r="B351">
        <v>2</v>
      </c>
      <c r="C351" t="s">
        <v>420</v>
      </c>
      <c r="D351" t="s">
        <v>415</v>
      </c>
      <c r="E351" t="s">
        <v>378</v>
      </c>
      <c r="F351"/>
      <c r="G351">
        <v>1</v>
      </c>
      <c r="H351">
        <v>500</v>
      </c>
      <c r="J351" cm="1">
        <f t="array" ref="J351">_xlfn.SWITCH(B351,1,75,2,61,3,49,4,37,5,25,6,13,7,4,8,1)</f>
        <v>61</v>
      </c>
      <c r="K351" t="str" cm="1">
        <f t="array" ref="K351">IFERROR(_xlfn.SWITCH(L351,2,_xlfn.XLOOKUP(C351,[1]ModifierDes!$B:$B,[1]ModifierDes!$C:$C),3,_xlfn.XLOOKUP(C351,[1]StuntDes!$B:$B,[1]StuntDes!$C:$C)),"")</f>
        <v/>
      </c>
      <c r="L351">
        <f t="shared" si="23"/>
        <v>1</v>
      </c>
      <c r="M351" s="10" t="str">
        <f>IFERROR(_xlfn.XLOOKUP(C351,[1]StuntDes!$B:$B,[1]StuntDes!$A:$A),"")</f>
        <v/>
      </c>
      <c r="N351" s="10" t="str">
        <f>IFERROR(_xlfn.XLOOKUP(C351,[1]ModifierDes!$B:$B,[1]ModifierDes!$A:$A),"")</f>
        <v/>
      </c>
      <c r="O351" s="10">
        <f>IFERROR(_xlfn.XLOOKUP(C351,[1]AttributeName!$C:$C,[1]AttributeName!$B:$B),"")</f>
        <v>11013</v>
      </c>
      <c r="P351" s="10"/>
      <c r="Q351">
        <v>0.07</v>
      </c>
      <c r="R351">
        <v>0.07</v>
      </c>
      <c r="S351" cm="1">
        <f t="array" ref="S351">IFERROR(_xlfn.SWITCH(L351,1,_xlfn.XLOOKUP(O351,[1]AttributeName!$B:$B,[1]AttributeName!$D:$D),2,_xlfn.XLOOKUP(C351,#REF!,#REF!),3,_xlfn.XLOOKUP(C351,#REF!,#REF!)),0)</f>
        <v>2</v>
      </c>
      <c r="T351" cm="1">
        <f t="array" ref="T351">IFERROR(_xlfn.SWITCH(L351,1,_xlfn.XLOOKUP(O351,[1]AttributeName!$B:$B,[1]AttributeName!$E:$E),2,_xlfn.XLOOKUP(C351,#REF!,#REF!),3,_xlfn.XLOOKUP(C351,#REF!,#REF!)),0)</f>
        <v>2</v>
      </c>
    </row>
    <row r="352" customFormat="1" spans="1:20">
      <c r="A352">
        <f t="shared" si="24"/>
        <v>112</v>
      </c>
      <c r="B352">
        <v>3</v>
      </c>
      <c r="C352" t="s">
        <v>420</v>
      </c>
      <c r="D352" t="s">
        <v>415</v>
      </c>
      <c r="E352" t="s">
        <v>378</v>
      </c>
      <c r="F352"/>
      <c r="G352">
        <v>1</v>
      </c>
      <c r="H352">
        <v>750</v>
      </c>
      <c r="J352" cm="1">
        <f t="array" ref="J352">_xlfn.SWITCH(B352,1,75,2,61,3,49,4,37,5,25,6,13,7,4,8,1)</f>
        <v>49</v>
      </c>
      <c r="K352" t="str" cm="1">
        <f t="array" ref="K352">IFERROR(_xlfn.SWITCH(L352,2,_xlfn.XLOOKUP(C352,[1]ModifierDes!$B:$B,[1]ModifierDes!$C:$C),3,_xlfn.XLOOKUP(C352,[1]StuntDes!$B:$B,[1]StuntDes!$C:$C)),"")</f>
        <v/>
      </c>
      <c r="L352">
        <f t="shared" si="23"/>
        <v>1</v>
      </c>
      <c r="M352" s="10" t="str">
        <f>IFERROR(_xlfn.XLOOKUP(C352,[1]StuntDes!$B:$B,[1]StuntDes!$A:$A),"")</f>
        <v/>
      </c>
      <c r="N352" s="10" t="str">
        <f>IFERROR(_xlfn.XLOOKUP(C352,[1]ModifierDes!$B:$B,[1]ModifierDes!$A:$A),"")</f>
        <v/>
      </c>
      <c r="O352" s="10">
        <f>IFERROR(_xlfn.XLOOKUP(C352,[1]AttributeName!$C:$C,[1]AttributeName!$B:$B),"")</f>
        <v>11013</v>
      </c>
      <c r="P352" s="10"/>
      <c r="Q352">
        <v>0.06</v>
      </c>
      <c r="R352">
        <v>0.06</v>
      </c>
      <c r="S352" cm="1">
        <f t="array" ref="S352">IFERROR(_xlfn.SWITCH(L352,1,_xlfn.XLOOKUP(O352,[1]AttributeName!$B:$B,[1]AttributeName!$D:$D),2,_xlfn.XLOOKUP(C352,#REF!,#REF!),3,_xlfn.XLOOKUP(C352,#REF!,#REF!)),0)</f>
        <v>2</v>
      </c>
      <c r="T352" cm="1">
        <f t="array" ref="T352">IFERROR(_xlfn.SWITCH(L352,1,_xlfn.XLOOKUP(O352,[1]AttributeName!$B:$B,[1]AttributeName!$E:$E),2,_xlfn.XLOOKUP(C352,#REF!,#REF!),3,_xlfn.XLOOKUP(C352,#REF!,#REF!)),0)</f>
        <v>2</v>
      </c>
    </row>
    <row r="353" customFormat="1" spans="1:20">
      <c r="A353">
        <f t="shared" si="24"/>
        <v>112</v>
      </c>
      <c r="B353">
        <v>4</v>
      </c>
      <c r="C353" t="s">
        <v>420</v>
      </c>
      <c r="D353" t="s">
        <v>415</v>
      </c>
      <c r="E353" t="s">
        <v>378</v>
      </c>
      <c r="F353"/>
      <c r="G353">
        <v>1</v>
      </c>
      <c r="H353">
        <v>1000</v>
      </c>
      <c r="J353" cm="1">
        <f t="array" ref="J353">_xlfn.SWITCH(B353,1,75,2,61,3,49,4,37,5,25,6,13,7,4,8,1)</f>
        <v>37</v>
      </c>
      <c r="K353" t="str" cm="1">
        <f t="array" ref="K353">IFERROR(_xlfn.SWITCH(L353,2,_xlfn.XLOOKUP(C353,[1]ModifierDes!$B:$B,[1]ModifierDes!$C:$C),3,_xlfn.XLOOKUP(C353,[1]StuntDes!$B:$B,[1]StuntDes!$C:$C)),"")</f>
        <v/>
      </c>
      <c r="L353">
        <f t="shared" si="23"/>
        <v>1</v>
      </c>
      <c r="M353" s="10" t="str">
        <f>IFERROR(_xlfn.XLOOKUP(C353,[1]StuntDes!$B:$B,[1]StuntDes!$A:$A),"")</f>
        <v/>
      </c>
      <c r="N353" s="10" t="str">
        <f>IFERROR(_xlfn.XLOOKUP(C353,[1]ModifierDes!$B:$B,[1]ModifierDes!$A:$A),"")</f>
        <v/>
      </c>
      <c r="O353" s="10">
        <f>IFERROR(_xlfn.XLOOKUP(C353,[1]AttributeName!$C:$C,[1]AttributeName!$B:$B),"")</f>
        <v>11013</v>
      </c>
      <c r="P353" s="10"/>
      <c r="Q353">
        <v>0.05</v>
      </c>
      <c r="R353">
        <v>0.05</v>
      </c>
      <c r="S353" cm="1">
        <f t="array" ref="S353">IFERROR(_xlfn.SWITCH(L353,1,_xlfn.XLOOKUP(O353,[1]AttributeName!$B:$B,[1]AttributeName!$D:$D),2,_xlfn.XLOOKUP(C353,#REF!,#REF!),3,_xlfn.XLOOKUP(C353,#REF!,#REF!)),0)</f>
        <v>2</v>
      </c>
      <c r="T353" cm="1">
        <f t="array" ref="T353">IFERROR(_xlfn.SWITCH(L353,1,_xlfn.XLOOKUP(O353,[1]AttributeName!$B:$B,[1]AttributeName!$E:$E),2,_xlfn.XLOOKUP(C353,#REF!,#REF!),3,_xlfn.XLOOKUP(C353,#REF!,#REF!)),0)</f>
        <v>2</v>
      </c>
    </row>
    <row r="354" customFormat="1" spans="1:20">
      <c r="A354">
        <f t="shared" si="24"/>
        <v>112</v>
      </c>
      <c r="B354">
        <v>5</v>
      </c>
      <c r="C354" t="s">
        <v>420</v>
      </c>
      <c r="D354" t="s">
        <v>415</v>
      </c>
      <c r="E354" t="s">
        <v>378</v>
      </c>
      <c r="F354"/>
      <c r="G354">
        <v>1</v>
      </c>
      <c r="H354">
        <v>1000</v>
      </c>
      <c r="J354" cm="1">
        <f t="array" ref="J354">_xlfn.SWITCH(B354,1,75,2,61,3,49,4,37,5,25,6,13,7,4,8,1)</f>
        <v>25</v>
      </c>
      <c r="K354" t="str" cm="1">
        <f t="array" ref="K354">IFERROR(_xlfn.SWITCH(L354,2,_xlfn.XLOOKUP(C354,[1]ModifierDes!$B:$B,[1]ModifierDes!$C:$C),3,_xlfn.XLOOKUP(C354,[1]StuntDes!$B:$B,[1]StuntDes!$C:$C)),"")</f>
        <v/>
      </c>
      <c r="L354">
        <f t="shared" si="23"/>
        <v>1</v>
      </c>
      <c r="M354" s="10" t="str">
        <f>IFERROR(_xlfn.XLOOKUP(C354,[1]StuntDes!$B:$B,[1]StuntDes!$A:$A),"")</f>
        <v/>
      </c>
      <c r="N354" s="10" t="str">
        <f>IFERROR(_xlfn.XLOOKUP(C354,[1]ModifierDes!$B:$B,[1]ModifierDes!$A:$A),"")</f>
        <v/>
      </c>
      <c r="O354" s="10">
        <f>IFERROR(_xlfn.XLOOKUP(C354,[1]AttributeName!$C:$C,[1]AttributeName!$B:$B),"")</f>
        <v>11013</v>
      </c>
      <c r="P354" s="10"/>
      <c r="Q354">
        <v>0.04</v>
      </c>
      <c r="R354">
        <v>0.04</v>
      </c>
      <c r="S354" cm="1">
        <f t="array" ref="S354">IFERROR(_xlfn.SWITCH(L354,1,_xlfn.XLOOKUP(O354,[1]AttributeName!$B:$B,[1]AttributeName!$D:$D),2,_xlfn.XLOOKUP(C354,#REF!,#REF!),3,_xlfn.XLOOKUP(C354,#REF!,#REF!)),0)</f>
        <v>2</v>
      </c>
      <c r="T354" cm="1">
        <f t="array" ref="T354">IFERROR(_xlfn.SWITCH(L354,1,_xlfn.XLOOKUP(O354,[1]AttributeName!$B:$B,[1]AttributeName!$E:$E),2,_xlfn.XLOOKUP(C354,#REF!,#REF!),3,_xlfn.XLOOKUP(C354,#REF!,#REF!)),0)</f>
        <v>2</v>
      </c>
    </row>
    <row r="355" customFormat="1" spans="1:20">
      <c r="A355">
        <f t="shared" si="24"/>
        <v>112</v>
      </c>
      <c r="B355">
        <v>6</v>
      </c>
      <c r="C355" t="s">
        <v>420</v>
      </c>
      <c r="D355" t="s">
        <v>415</v>
      </c>
      <c r="E355" t="s">
        <v>378</v>
      </c>
      <c r="F355"/>
      <c r="G355">
        <v>1</v>
      </c>
      <c r="H355">
        <v>1000</v>
      </c>
      <c r="J355" cm="1">
        <f t="array" ref="J355">_xlfn.SWITCH(B355,1,75,2,61,3,49,4,37,5,25,6,13,7,4,8,1)</f>
        <v>13</v>
      </c>
      <c r="K355" t="str" cm="1">
        <f t="array" ref="K355">IFERROR(_xlfn.SWITCH(L355,2,_xlfn.XLOOKUP(C355,[1]ModifierDes!$B:$B,[1]ModifierDes!$C:$C),3,_xlfn.XLOOKUP(C355,[1]StuntDes!$B:$B,[1]StuntDes!$C:$C)),"")</f>
        <v/>
      </c>
      <c r="L355">
        <f t="shared" si="23"/>
        <v>1</v>
      </c>
      <c r="M355" s="10" t="str">
        <f>IFERROR(_xlfn.XLOOKUP(C355,[1]StuntDes!$B:$B,[1]StuntDes!$A:$A),"")</f>
        <v/>
      </c>
      <c r="N355" s="10" t="str">
        <f>IFERROR(_xlfn.XLOOKUP(C355,[1]ModifierDes!$B:$B,[1]ModifierDes!$A:$A),"")</f>
        <v/>
      </c>
      <c r="O355" s="10">
        <f>IFERROR(_xlfn.XLOOKUP(C355,[1]AttributeName!$C:$C,[1]AttributeName!$B:$B),"")</f>
        <v>11013</v>
      </c>
      <c r="P355" s="10"/>
      <c r="Q355">
        <v>0.03</v>
      </c>
      <c r="R355">
        <v>0.03</v>
      </c>
      <c r="S355" cm="1">
        <f t="array" ref="S355">IFERROR(_xlfn.SWITCH(L355,1,_xlfn.XLOOKUP(O355,[1]AttributeName!$B:$B,[1]AttributeName!$D:$D),2,_xlfn.XLOOKUP(C355,#REF!,#REF!),3,_xlfn.XLOOKUP(C355,#REF!,#REF!)),0)</f>
        <v>2</v>
      </c>
      <c r="T355" cm="1">
        <f t="array" ref="T355">IFERROR(_xlfn.SWITCH(L355,1,_xlfn.XLOOKUP(O355,[1]AttributeName!$B:$B,[1]AttributeName!$E:$E),2,_xlfn.XLOOKUP(C355,#REF!,#REF!),3,_xlfn.XLOOKUP(C355,#REF!,#REF!)),0)</f>
        <v>2</v>
      </c>
    </row>
    <row r="356" customFormat="1" spans="1:20">
      <c r="A356">
        <f t="shared" si="24"/>
        <v>112</v>
      </c>
      <c r="B356">
        <v>7</v>
      </c>
      <c r="C356" t="s">
        <v>420</v>
      </c>
      <c r="D356" t="s">
        <v>415</v>
      </c>
      <c r="E356" t="s">
        <v>378</v>
      </c>
      <c r="F356"/>
      <c r="G356">
        <v>1</v>
      </c>
      <c r="H356">
        <v>1000</v>
      </c>
      <c r="J356" cm="1">
        <f t="array" ref="J356">_xlfn.SWITCH(B356,1,75,2,61,3,49,4,37,5,25,6,13,7,4,8,1)</f>
        <v>4</v>
      </c>
      <c r="K356" t="str" cm="1">
        <f t="array" ref="K356">IFERROR(_xlfn.SWITCH(L356,2,_xlfn.XLOOKUP(C356,[1]ModifierDes!$B:$B,[1]ModifierDes!$C:$C),3,_xlfn.XLOOKUP(C356,[1]StuntDes!$B:$B,[1]StuntDes!$C:$C)),"")</f>
        <v/>
      </c>
      <c r="L356">
        <f t="shared" si="23"/>
        <v>1</v>
      </c>
      <c r="M356" s="10" t="str">
        <f>IFERROR(_xlfn.XLOOKUP(C356,[1]StuntDes!$B:$B,[1]StuntDes!$A:$A),"")</f>
        <v/>
      </c>
      <c r="N356" s="10" t="str">
        <f>IFERROR(_xlfn.XLOOKUP(C356,[1]ModifierDes!$B:$B,[1]ModifierDes!$A:$A),"")</f>
        <v/>
      </c>
      <c r="O356" s="10">
        <f>IFERROR(_xlfn.XLOOKUP(C356,[1]AttributeName!$C:$C,[1]AttributeName!$B:$B),"")</f>
        <v>11013</v>
      </c>
      <c r="P356" s="10"/>
      <c r="Q356">
        <v>0.02</v>
      </c>
      <c r="R356">
        <v>0.02</v>
      </c>
      <c r="S356" cm="1">
        <f t="array" ref="S356">IFERROR(_xlfn.SWITCH(L356,1,_xlfn.XLOOKUP(O356,[1]AttributeName!$B:$B,[1]AttributeName!$D:$D),2,_xlfn.XLOOKUP(C356,#REF!,#REF!),3,_xlfn.XLOOKUP(C356,#REF!,#REF!)),0)</f>
        <v>2</v>
      </c>
      <c r="T356" cm="1">
        <f t="array" ref="T356">IFERROR(_xlfn.SWITCH(L356,1,_xlfn.XLOOKUP(O356,[1]AttributeName!$B:$B,[1]AttributeName!$E:$E),2,_xlfn.XLOOKUP(C356,#REF!,#REF!),3,_xlfn.XLOOKUP(C356,#REF!,#REF!)),0)</f>
        <v>2</v>
      </c>
    </row>
    <row r="357" customFormat="1" spans="1:20">
      <c r="A357">
        <f t="shared" si="24"/>
        <v>112</v>
      </c>
      <c r="B357">
        <v>8</v>
      </c>
      <c r="C357" t="s">
        <v>420</v>
      </c>
      <c r="D357" t="s">
        <v>415</v>
      </c>
      <c r="E357" t="s">
        <v>378</v>
      </c>
      <c r="F357"/>
      <c r="G357">
        <v>1</v>
      </c>
      <c r="H357">
        <v>1000</v>
      </c>
      <c r="J357" cm="1">
        <f t="array" ref="J357">_xlfn.SWITCH(B357,1,75,2,61,3,49,4,37,5,25,6,13,7,4,8,1)</f>
        <v>1</v>
      </c>
      <c r="K357" t="str" cm="1">
        <f t="array" ref="K357">IFERROR(_xlfn.SWITCH(L357,2,_xlfn.XLOOKUP(C357,[1]ModifierDes!$B:$B,[1]ModifierDes!$C:$C),3,_xlfn.XLOOKUP(C357,[1]StuntDes!$B:$B,[1]StuntDes!$C:$C)),"")</f>
        <v/>
      </c>
      <c r="L357">
        <f t="shared" si="23"/>
        <v>1</v>
      </c>
      <c r="M357" s="10" t="str">
        <f>IFERROR(_xlfn.XLOOKUP(C357,[1]StuntDes!$B:$B,[1]StuntDes!$A:$A),"")</f>
        <v/>
      </c>
      <c r="N357" s="10" t="str">
        <f>IFERROR(_xlfn.XLOOKUP(C357,[1]ModifierDes!$B:$B,[1]ModifierDes!$A:$A),"")</f>
        <v/>
      </c>
      <c r="O357" s="10">
        <f>IFERROR(_xlfn.XLOOKUP(C357,[1]AttributeName!$C:$C,[1]AttributeName!$B:$B),"")</f>
        <v>11013</v>
      </c>
      <c r="P357" s="10"/>
      <c r="Q357">
        <v>0.01</v>
      </c>
      <c r="R357">
        <v>0.01</v>
      </c>
      <c r="S357" cm="1">
        <f t="array" ref="S357">IFERROR(_xlfn.SWITCH(L357,1,_xlfn.XLOOKUP(O357,[1]AttributeName!$B:$B,[1]AttributeName!$D:$D),2,_xlfn.XLOOKUP(C357,#REF!,#REF!),3,_xlfn.XLOOKUP(C357,#REF!,#REF!)),0)</f>
        <v>2</v>
      </c>
      <c r="T357" cm="1">
        <f t="array" ref="T357">IFERROR(_xlfn.SWITCH(L357,1,_xlfn.XLOOKUP(O357,[1]AttributeName!$B:$B,[1]AttributeName!$E:$E),2,_xlfn.XLOOKUP(C357,#REF!,#REF!),3,_xlfn.XLOOKUP(C357,#REF!,#REF!)),0)</f>
        <v>2</v>
      </c>
    </row>
    <row r="358" customFormat="1" spans="1:20">
      <c r="A358">
        <f t="shared" si="24"/>
        <v>113</v>
      </c>
      <c r="B358">
        <v>1</v>
      </c>
      <c r="C358" t="s">
        <v>421</v>
      </c>
      <c r="D358" t="s">
        <v>415</v>
      </c>
      <c r="E358" t="s">
        <v>378</v>
      </c>
      <c r="F358"/>
      <c r="G358">
        <v>1</v>
      </c>
      <c r="H358">
        <v>250</v>
      </c>
      <c r="J358" cm="1">
        <f t="array" ref="J358">_xlfn.SWITCH(B358,1,75,2,61,3,49,4,37,5,25,6,13,7,4,8,1)</f>
        <v>75</v>
      </c>
      <c r="K358" t="str" cm="1">
        <f t="array" ref="K358">IFERROR(_xlfn.SWITCH(L358,2,_xlfn.XLOOKUP(C358,[1]ModifierDes!$B:$B,[1]ModifierDes!$C:$C),3,_xlfn.XLOOKUP(C358,[1]StuntDes!$B:$B,[1]StuntDes!$C:$C)),"")</f>
        <v/>
      </c>
      <c r="L358">
        <f t="shared" si="23"/>
        <v>1</v>
      </c>
      <c r="M358" s="10" t="str">
        <f>IFERROR(_xlfn.XLOOKUP(C358,[1]StuntDes!$B:$B,[1]StuntDes!$A:$A),"")</f>
        <v/>
      </c>
      <c r="N358" s="10" t="str">
        <f>IFERROR(_xlfn.XLOOKUP(C358,[1]ModifierDes!$B:$B,[1]ModifierDes!$A:$A),"")</f>
        <v/>
      </c>
      <c r="O358" s="10">
        <f>IFERROR(_xlfn.XLOOKUP(C358,[1]AttributeName!$C:$C,[1]AttributeName!$B:$B),"")</f>
        <v>11015</v>
      </c>
      <c r="P358" s="10"/>
      <c r="Q358">
        <v>0.08</v>
      </c>
      <c r="R358">
        <v>0.1</v>
      </c>
      <c r="S358" cm="1">
        <f t="array" ref="S358">IFERROR(_xlfn.SWITCH(L358,1,_xlfn.XLOOKUP(O358,[1]AttributeName!$B:$B,[1]AttributeName!$D:$D),2,_xlfn.XLOOKUP(C358,#REF!,#REF!),3,_xlfn.XLOOKUP(C358,#REF!,#REF!)),0)</f>
        <v>2</v>
      </c>
      <c r="T358" cm="1">
        <f t="array" ref="T358">IFERROR(_xlfn.SWITCH(L358,1,_xlfn.XLOOKUP(O358,[1]AttributeName!$B:$B,[1]AttributeName!$E:$E),2,_xlfn.XLOOKUP(C358,#REF!,#REF!),3,_xlfn.XLOOKUP(C358,#REF!,#REF!)),0)</f>
        <v>2</v>
      </c>
    </row>
    <row r="359" customFormat="1" spans="1:20">
      <c r="A359">
        <f t="shared" si="24"/>
        <v>113</v>
      </c>
      <c r="B359">
        <v>2</v>
      </c>
      <c r="C359" t="s">
        <v>421</v>
      </c>
      <c r="D359" t="s">
        <v>415</v>
      </c>
      <c r="E359" t="s">
        <v>378</v>
      </c>
      <c r="F359"/>
      <c r="G359">
        <v>1</v>
      </c>
      <c r="H359">
        <v>500</v>
      </c>
      <c r="J359" cm="1">
        <f t="array" ref="J359">_xlfn.SWITCH(B359,1,75,2,61,3,49,4,37,5,25,6,13,7,4,8,1)</f>
        <v>61</v>
      </c>
      <c r="K359" t="str" cm="1">
        <f t="array" ref="K359">IFERROR(_xlfn.SWITCH(L359,2,_xlfn.XLOOKUP(C359,[1]ModifierDes!$B:$B,[1]ModifierDes!$C:$C),3,_xlfn.XLOOKUP(C359,[1]StuntDes!$B:$B,[1]StuntDes!$C:$C)),"")</f>
        <v/>
      </c>
      <c r="L359">
        <f t="shared" si="23"/>
        <v>1</v>
      </c>
      <c r="M359" s="10" t="str">
        <f>IFERROR(_xlfn.XLOOKUP(C359,[1]StuntDes!$B:$B,[1]StuntDes!$A:$A),"")</f>
        <v/>
      </c>
      <c r="N359" s="10" t="str">
        <f>IFERROR(_xlfn.XLOOKUP(C359,[1]ModifierDes!$B:$B,[1]ModifierDes!$A:$A),"")</f>
        <v/>
      </c>
      <c r="O359" s="10">
        <f>IFERROR(_xlfn.XLOOKUP(C359,[1]AttributeName!$C:$C,[1]AttributeName!$B:$B),"")</f>
        <v>11015</v>
      </c>
      <c r="P359" s="10"/>
      <c r="Q359">
        <v>0.07</v>
      </c>
      <c r="R359">
        <v>0.07</v>
      </c>
      <c r="S359" cm="1">
        <f t="array" ref="S359">IFERROR(_xlfn.SWITCH(L359,1,_xlfn.XLOOKUP(O359,[1]AttributeName!$B:$B,[1]AttributeName!$D:$D),2,_xlfn.XLOOKUP(C359,#REF!,#REF!),3,_xlfn.XLOOKUP(C359,#REF!,#REF!)),0)</f>
        <v>2</v>
      </c>
      <c r="T359" cm="1">
        <f t="array" ref="T359">IFERROR(_xlfn.SWITCH(L359,1,_xlfn.XLOOKUP(O359,[1]AttributeName!$B:$B,[1]AttributeName!$E:$E),2,_xlfn.XLOOKUP(C359,#REF!,#REF!),3,_xlfn.XLOOKUP(C359,#REF!,#REF!)),0)</f>
        <v>2</v>
      </c>
    </row>
    <row r="360" customFormat="1" spans="1:20">
      <c r="A360">
        <f t="shared" si="24"/>
        <v>113</v>
      </c>
      <c r="B360">
        <v>3</v>
      </c>
      <c r="C360" t="s">
        <v>421</v>
      </c>
      <c r="D360" t="s">
        <v>415</v>
      </c>
      <c r="E360" t="s">
        <v>378</v>
      </c>
      <c r="F360"/>
      <c r="G360">
        <v>1</v>
      </c>
      <c r="H360">
        <v>750</v>
      </c>
      <c r="J360" cm="1">
        <f t="array" ref="J360">_xlfn.SWITCH(B360,1,75,2,61,3,49,4,37,5,25,6,13,7,4,8,1)</f>
        <v>49</v>
      </c>
      <c r="K360" t="str" cm="1">
        <f t="array" ref="K360">IFERROR(_xlfn.SWITCH(L360,2,_xlfn.XLOOKUP(C360,[1]ModifierDes!$B:$B,[1]ModifierDes!$C:$C),3,_xlfn.XLOOKUP(C360,[1]StuntDes!$B:$B,[1]StuntDes!$C:$C)),"")</f>
        <v/>
      </c>
      <c r="L360">
        <f t="shared" si="23"/>
        <v>1</v>
      </c>
      <c r="M360" s="10" t="str">
        <f>IFERROR(_xlfn.XLOOKUP(C360,[1]StuntDes!$B:$B,[1]StuntDes!$A:$A),"")</f>
        <v/>
      </c>
      <c r="N360" s="10" t="str">
        <f>IFERROR(_xlfn.XLOOKUP(C360,[1]ModifierDes!$B:$B,[1]ModifierDes!$A:$A),"")</f>
        <v/>
      </c>
      <c r="O360" s="10">
        <f>IFERROR(_xlfn.XLOOKUP(C360,[1]AttributeName!$C:$C,[1]AttributeName!$B:$B),"")</f>
        <v>11015</v>
      </c>
      <c r="P360" s="10"/>
      <c r="Q360">
        <v>0.06</v>
      </c>
      <c r="R360">
        <v>0.06</v>
      </c>
      <c r="S360" cm="1">
        <f t="array" ref="S360">IFERROR(_xlfn.SWITCH(L360,1,_xlfn.XLOOKUP(O360,[1]AttributeName!$B:$B,[1]AttributeName!$D:$D),2,_xlfn.XLOOKUP(C360,#REF!,#REF!),3,_xlfn.XLOOKUP(C360,#REF!,#REF!)),0)</f>
        <v>2</v>
      </c>
      <c r="T360" cm="1">
        <f t="array" ref="T360">IFERROR(_xlfn.SWITCH(L360,1,_xlfn.XLOOKUP(O360,[1]AttributeName!$B:$B,[1]AttributeName!$E:$E),2,_xlfn.XLOOKUP(C360,#REF!,#REF!),3,_xlfn.XLOOKUP(C360,#REF!,#REF!)),0)</f>
        <v>2</v>
      </c>
    </row>
    <row r="361" customFormat="1" spans="1:20">
      <c r="A361">
        <f t="shared" si="24"/>
        <v>113</v>
      </c>
      <c r="B361">
        <v>4</v>
      </c>
      <c r="C361" t="s">
        <v>421</v>
      </c>
      <c r="D361" t="s">
        <v>415</v>
      </c>
      <c r="E361" t="s">
        <v>378</v>
      </c>
      <c r="F361"/>
      <c r="G361">
        <v>1</v>
      </c>
      <c r="H361">
        <v>1000</v>
      </c>
      <c r="J361" cm="1">
        <f t="array" ref="J361">_xlfn.SWITCH(B361,1,75,2,61,3,49,4,37,5,25,6,13,7,4,8,1)</f>
        <v>37</v>
      </c>
      <c r="K361" t="str" cm="1">
        <f t="array" ref="K361">IFERROR(_xlfn.SWITCH(L361,2,_xlfn.XLOOKUP(C361,[1]ModifierDes!$B:$B,[1]ModifierDes!$C:$C),3,_xlfn.XLOOKUP(C361,[1]StuntDes!$B:$B,[1]StuntDes!$C:$C)),"")</f>
        <v/>
      </c>
      <c r="L361">
        <f t="shared" si="23"/>
        <v>1</v>
      </c>
      <c r="M361" s="10" t="str">
        <f>IFERROR(_xlfn.XLOOKUP(C361,[1]StuntDes!$B:$B,[1]StuntDes!$A:$A),"")</f>
        <v/>
      </c>
      <c r="N361" s="10" t="str">
        <f>IFERROR(_xlfn.XLOOKUP(C361,[1]ModifierDes!$B:$B,[1]ModifierDes!$A:$A),"")</f>
        <v/>
      </c>
      <c r="O361" s="10">
        <f>IFERROR(_xlfn.XLOOKUP(C361,[1]AttributeName!$C:$C,[1]AttributeName!$B:$B),"")</f>
        <v>11015</v>
      </c>
      <c r="P361" s="10"/>
      <c r="Q361">
        <v>0.05</v>
      </c>
      <c r="R361">
        <v>0.05</v>
      </c>
      <c r="S361" cm="1">
        <f t="array" ref="S361">IFERROR(_xlfn.SWITCH(L361,1,_xlfn.XLOOKUP(O361,[1]AttributeName!$B:$B,[1]AttributeName!$D:$D),2,_xlfn.XLOOKUP(C361,#REF!,#REF!),3,_xlfn.XLOOKUP(C361,#REF!,#REF!)),0)</f>
        <v>2</v>
      </c>
      <c r="T361" cm="1">
        <f t="array" ref="T361">IFERROR(_xlfn.SWITCH(L361,1,_xlfn.XLOOKUP(O361,[1]AttributeName!$B:$B,[1]AttributeName!$E:$E),2,_xlfn.XLOOKUP(C361,#REF!,#REF!),3,_xlfn.XLOOKUP(C361,#REF!,#REF!)),0)</f>
        <v>2</v>
      </c>
    </row>
    <row r="362" customFormat="1" spans="1:20">
      <c r="A362">
        <f t="shared" si="24"/>
        <v>113</v>
      </c>
      <c r="B362">
        <v>5</v>
      </c>
      <c r="C362" t="s">
        <v>421</v>
      </c>
      <c r="D362" t="s">
        <v>415</v>
      </c>
      <c r="E362" t="s">
        <v>378</v>
      </c>
      <c r="F362"/>
      <c r="G362">
        <v>1</v>
      </c>
      <c r="H362">
        <v>1000</v>
      </c>
      <c r="J362" cm="1">
        <f t="array" ref="J362">_xlfn.SWITCH(B362,1,75,2,61,3,49,4,37,5,25,6,13,7,4,8,1)</f>
        <v>25</v>
      </c>
      <c r="K362" t="str" cm="1">
        <f t="array" ref="K362">IFERROR(_xlfn.SWITCH(L362,2,_xlfn.XLOOKUP(C362,[1]ModifierDes!$B:$B,[1]ModifierDes!$C:$C),3,_xlfn.XLOOKUP(C362,[1]StuntDes!$B:$B,[1]StuntDes!$C:$C)),"")</f>
        <v/>
      </c>
      <c r="L362">
        <f t="shared" si="23"/>
        <v>1</v>
      </c>
      <c r="M362" s="10" t="str">
        <f>IFERROR(_xlfn.XLOOKUP(C362,[1]StuntDes!$B:$B,[1]StuntDes!$A:$A),"")</f>
        <v/>
      </c>
      <c r="N362" s="10" t="str">
        <f>IFERROR(_xlfn.XLOOKUP(C362,[1]ModifierDes!$B:$B,[1]ModifierDes!$A:$A),"")</f>
        <v/>
      </c>
      <c r="O362" s="10">
        <f>IFERROR(_xlfn.XLOOKUP(C362,[1]AttributeName!$C:$C,[1]AttributeName!$B:$B),"")</f>
        <v>11015</v>
      </c>
      <c r="P362" s="10"/>
      <c r="Q362">
        <v>0.04</v>
      </c>
      <c r="R362">
        <v>0.04</v>
      </c>
      <c r="S362" cm="1">
        <f t="array" ref="S362">IFERROR(_xlfn.SWITCH(L362,1,_xlfn.XLOOKUP(O362,[1]AttributeName!$B:$B,[1]AttributeName!$D:$D),2,_xlfn.XLOOKUP(C362,#REF!,#REF!),3,_xlfn.XLOOKUP(C362,#REF!,#REF!)),0)</f>
        <v>2</v>
      </c>
      <c r="T362" cm="1">
        <f t="array" ref="T362">IFERROR(_xlfn.SWITCH(L362,1,_xlfn.XLOOKUP(O362,[1]AttributeName!$B:$B,[1]AttributeName!$E:$E),2,_xlfn.XLOOKUP(C362,#REF!,#REF!),3,_xlfn.XLOOKUP(C362,#REF!,#REF!)),0)</f>
        <v>2</v>
      </c>
    </row>
    <row r="363" customFormat="1" spans="1:20">
      <c r="A363">
        <f t="shared" si="24"/>
        <v>113</v>
      </c>
      <c r="B363">
        <v>6</v>
      </c>
      <c r="C363" t="s">
        <v>421</v>
      </c>
      <c r="D363" t="s">
        <v>415</v>
      </c>
      <c r="E363" t="s">
        <v>378</v>
      </c>
      <c r="F363"/>
      <c r="G363">
        <v>1</v>
      </c>
      <c r="H363">
        <v>1000</v>
      </c>
      <c r="J363" cm="1">
        <f t="array" ref="J363">_xlfn.SWITCH(B363,1,75,2,61,3,49,4,37,5,25,6,13,7,4,8,1)</f>
        <v>13</v>
      </c>
      <c r="K363" t="str" cm="1">
        <f t="array" ref="K363">IFERROR(_xlfn.SWITCH(L363,2,_xlfn.XLOOKUP(C363,[1]ModifierDes!$B:$B,[1]ModifierDes!$C:$C),3,_xlfn.XLOOKUP(C363,[1]StuntDes!$B:$B,[1]StuntDes!$C:$C)),"")</f>
        <v/>
      </c>
      <c r="L363">
        <f t="shared" si="23"/>
        <v>1</v>
      </c>
      <c r="M363" s="10" t="str">
        <f>IFERROR(_xlfn.XLOOKUP(C363,[1]StuntDes!$B:$B,[1]StuntDes!$A:$A),"")</f>
        <v/>
      </c>
      <c r="N363" s="10" t="str">
        <f>IFERROR(_xlfn.XLOOKUP(C363,[1]ModifierDes!$B:$B,[1]ModifierDes!$A:$A),"")</f>
        <v/>
      </c>
      <c r="O363" s="10">
        <f>IFERROR(_xlfn.XLOOKUP(C363,[1]AttributeName!$C:$C,[1]AttributeName!$B:$B),"")</f>
        <v>11015</v>
      </c>
      <c r="P363" s="10"/>
      <c r="Q363">
        <v>0.03</v>
      </c>
      <c r="R363">
        <v>0.03</v>
      </c>
      <c r="S363" cm="1">
        <f t="array" ref="S363">IFERROR(_xlfn.SWITCH(L363,1,_xlfn.XLOOKUP(O363,[1]AttributeName!$B:$B,[1]AttributeName!$D:$D),2,_xlfn.XLOOKUP(C363,#REF!,#REF!),3,_xlfn.XLOOKUP(C363,#REF!,#REF!)),0)</f>
        <v>2</v>
      </c>
      <c r="T363" cm="1">
        <f t="array" ref="T363">IFERROR(_xlfn.SWITCH(L363,1,_xlfn.XLOOKUP(O363,[1]AttributeName!$B:$B,[1]AttributeName!$E:$E),2,_xlfn.XLOOKUP(C363,#REF!,#REF!),3,_xlfn.XLOOKUP(C363,#REF!,#REF!)),0)</f>
        <v>2</v>
      </c>
    </row>
    <row r="364" customFormat="1" spans="1:20">
      <c r="A364">
        <f t="shared" si="24"/>
        <v>113</v>
      </c>
      <c r="B364">
        <v>7</v>
      </c>
      <c r="C364" t="s">
        <v>421</v>
      </c>
      <c r="D364" t="s">
        <v>415</v>
      </c>
      <c r="E364" t="s">
        <v>378</v>
      </c>
      <c r="F364"/>
      <c r="G364">
        <v>1</v>
      </c>
      <c r="H364">
        <v>1000</v>
      </c>
      <c r="J364" cm="1">
        <f t="array" ref="J364">_xlfn.SWITCH(B364,1,75,2,61,3,49,4,37,5,25,6,13,7,4,8,1)</f>
        <v>4</v>
      </c>
      <c r="K364" t="str" cm="1">
        <f t="array" ref="K364">IFERROR(_xlfn.SWITCH(L364,2,_xlfn.XLOOKUP(C364,[1]ModifierDes!$B:$B,[1]ModifierDes!$C:$C),3,_xlfn.XLOOKUP(C364,[1]StuntDes!$B:$B,[1]StuntDes!$C:$C)),"")</f>
        <v/>
      </c>
      <c r="L364">
        <f t="shared" si="23"/>
        <v>1</v>
      </c>
      <c r="M364" s="10" t="str">
        <f>IFERROR(_xlfn.XLOOKUP(C364,[1]StuntDes!$B:$B,[1]StuntDes!$A:$A),"")</f>
        <v/>
      </c>
      <c r="N364" s="10" t="str">
        <f>IFERROR(_xlfn.XLOOKUP(C364,[1]ModifierDes!$B:$B,[1]ModifierDes!$A:$A),"")</f>
        <v/>
      </c>
      <c r="O364" s="10">
        <f>IFERROR(_xlfn.XLOOKUP(C364,[1]AttributeName!$C:$C,[1]AttributeName!$B:$B),"")</f>
        <v>11015</v>
      </c>
      <c r="P364" s="10"/>
      <c r="Q364">
        <v>0.02</v>
      </c>
      <c r="R364">
        <v>0.02</v>
      </c>
      <c r="S364" cm="1">
        <f t="array" ref="S364">IFERROR(_xlfn.SWITCH(L364,1,_xlfn.XLOOKUP(O364,[1]AttributeName!$B:$B,[1]AttributeName!$D:$D),2,_xlfn.XLOOKUP(C364,#REF!,#REF!),3,_xlfn.XLOOKUP(C364,#REF!,#REF!)),0)</f>
        <v>2</v>
      </c>
      <c r="T364" cm="1">
        <f t="array" ref="T364">IFERROR(_xlfn.SWITCH(L364,1,_xlfn.XLOOKUP(O364,[1]AttributeName!$B:$B,[1]AttributeName!$E:$E),2,_xlfn.XLOOKUP(C364,#REF!,#REF!),3,_xlfn.XLOOKUP(C364,#REF!,#REF!)),0)</f>
        <v>2</v>
      </c>
    </row>
    <row r="365" customFormat="1" spans="1:20">
      <c r="A365">
        <f t="shared" si="24"/>
        <v>113</v>
      </c>
      <c r="B365">
        <v>8</v>
      </c>
      <c r="C365" t="s">
        <v>421</v>
      </c>
      <c r="D365" t="s">
        <v>415</v>
      </c>
      <c r="E365" t="s">
        <v>378</v>
      </c>
      <c r="F365"/>
      <c r="G365">
        <v>1</v>
      </c>
      <c r="H365">
        <v>1000</v>
      </c>
      <c r="J365" cm="1">
        <f t="array" ref="J365">_xlfn.SWITCH(B365,1,75,2,61,3,49,4,37,5,25,6,13,7,4,8,1)</f>
        <v>1</v>
      </c>
      <c r="K365" t="str" cm="1">
        <f t="array" ref="K365">IFERROR(_xlfn.SWITCH(L365,2,_xlfn.XLOOKUP(C365,[1]ModifierDes!$B:$B,[1]ModifierDes!$C:$C),3,_xlfn.XLOOKUP(C365,[1]StuntDes!$B:$B,[1]StuntDes!$C:$C)),"")</f>
        <v/>
      </c>
      <c r="L365">
        <f t="shared" si="23"/>
        <v>1</v>
      </c>
      <c r="M365" s="10" t="str">
        <f>IFERROR(_xlfn.XLOOKUP(C365,[1]StuntDes!$B:$B,[1]StuntDes!$A:$A),"")</f>
        <v/>
      </c>
      <c r="N365" s="10" t="str">
        <f>IFERROR(_xlfn.XLOOKUP(C365,[1]ModifierDes!$B:$B,[1]ModifierDes!$A:$A),"")</f>
        <v/>
      </c>
      <c r="O365" s="10">
        <f>IFERROR(_xlfn.XLOOKUP(C365,[1]AttributeName!$C:$C,[1]AttributeName!$B:$B),"")</f>
        <v>11015</v>
      </c>
      <c r="P365" s="10"/>
      <c r="Q365">
        <v>0.01</v>
      </c>
      <c r="R365">
        <v>0.01</v>
      </c>
      <c r="S365" cm="1">
        <f t="array" ref="S365">IFERROR(_xlfn.SWITCH(L365,1,_xlfn.XLOOKUP(O365,[1]AttributeName!$B:$B,[1]AttributeName!$D:$D),2,_xlfn.XLOOKUP(C365,#REF!,#REF!),3,_xlfn.XLOOKUP(C365,#REF!,#REF!)),0)</f>
        <v>2</v>
      </c>
      <c r="T365" cm="1">
        <f t="array" ref="T365">IFERROR(_xlfn.SWITCH(L365,1,_xlfn.XLOOKUP(O365,[1]AttributeName!$B:$B,[1]AttributeName!$E:$E),2,_xlfn.XLOOKUP(C365,#REF!,#REF!),3,_xlfn.XLOOKUP(C365,#REF!,#REF!)),0)</f>
        <v>2</v>
      </c>
    </row>
    <row r="366" customFormat="1" spans="1:20">
      <c r="A366">
        <f t="shared" si="24"/>
        <v>114</v>
      </c>
      <c r="B366">
        <v>1</v>
      </c>
      <c r="C366" t="s">
        <v>422</v>
      </c>
      <c r="D366" t="s">
        <v>415</v>
      </c>
      <c r="E366" t="s">
        <v>378</v>
      </c>
      <c r="F366"/>
      <c r="G366">
        <v>1</v>
      </c>
      <c r="H366">
        <v>250</v>
      </c>
      <c r="J366" cm="1">
        <f t="array" ref="J366">_xlfn.SWITCH(B366,1,75,2,61,3,49,4,37,5,25,6,13,7,4,8,1)</f>
        <v>75</v>
      </c>
      <c r="K366" t="str" cm="1">
        <f t="array" ref="K366">IFERROR(_xlfn.SWITCH(L366,2,_xlfn.XLOOKUP(C366,[1]ModifierDes!$B:$B,[1]ModifierDes!$C:$C),3,_xlfn.XLOOKUP(C366,[1]StuntDes!$B:$B,[1]StuntDes!$C:$C)),"")</f>
        <v/>
      </c>
      <c r="L366">
        <f t="shared" si="23"/>
        <v>1</v>
      </c>
      <c r="M366" s="10" t="str">
        <f>IFERROR(_xlfn.XLOOKUP(C366,[1]StuntDes!$B:$B,[1]StuntDes!$A:$A),"")</f>
        <v/>
      </c>
      <c r="N366" s="10" t="str">
        <f>IFERROR(_xlfn.XLOOKUP(C366,[1]ModifierDes!$B:$B,[1]ModifierDes!$A:$A),"")</f>
        <v/>
      </c>
      <c r="O366" s="10">
        <f>IFERROR(_xlfn.XLOOKUP(C366,[1]AttributeName!$C:$C,[1]AttributeName!$B:$B),"")</f>
        <v>10011</v>
      </c>
      <c r="P366" s="10"/>
      <c r="Q366">
        <v>0.08</v>
      </c>
      <c r="R366">
        <v>0.1</v>
      </c>
      <c r="S366" cm="1">
        <f t="array" ref="S366">IFERROR(_xlfn.SWITCH(L366,1,_xlfn.XLOOKUP(O366,[1]AttributeName!$B:$B,[1]AttributeName!$D:$D),2,_xlfn.XLOOKUP(C366,#REF!,#REF!),3,_xlfn.XLOOKUP(C366,#REF!,#REF!)),0)</f>
        <v>2</v>
      </c>
      <c r="T366" cm="1">
        <f t="array" ref="T366">IFERROR(_xlfn.SWITCH(L366,1,_xlfn.XLOOKUP(O366,[1]AttributeName!$B:$B,[1]AttributeName!$E:$E),2,_xlfn.XLOOKUP(C366,#REF!,#REF!),3,_xlfn.XLOOKUP(C366,#REF!,#REF!)),0)</f>
        <v>2</v>
      </c>
    </row>
    <row r="367" customFormat="1" spans="1:20">
      <c r="A367">
        <f t="shared" si="24"/>
        <v>114</v>
      </c>
      <c r="B367">
        <v>2</v>
      </c>
      <c r="C367" t="s">
        <v>422</v>
      </c>
      <c r="D367" t="s">
        <v>415</v>
      </c>
      <c r="E367" t="s">
        <v>378</v>
      </c>
      <c r="F367"/>
      <c r="G367">
        <v>1</v>
      </c>
      <c r="H367">
        <v>500</v>
      </c>
      <c r="J367" cm="1">
        <f t="array" ref="J367">_xlfn.SWITCH(B367,1,75,2,61,3,49,4,37,5,25,6,13,7,4,8,1)</f>
        <v>61</v>
      </c>
      <c r="K367" t="str" cm="1">
        <f t="array" ref="K367">IFERROR(_xlfn.SWITCH(L367,2,_xlfn.XLOOKUP(C367,[1]ModifierDes!$B:$B,[1]ModifierDes!$C:$C),3,_xlfn.XLOOKUP(C367,[1]StuntDes!$B:$B,[1]StuntDes!$C:$C)),"")</f>
        <v/>
      </c>
      <c r="L367">
        <f t="shared" si="23"/>
        <v>1</v>
      </c>
      <c r="M367" s="10" t="str">
        <f>IFERROR(_xlfn.XLOOKUP(C367,[1]StuntDes!$B:$B,[1]StuntDes!$A:$A),"")</f>
        <v/>
      </c>
      <c r="N367" s="10" t="str">
        <f>IFERROR(_xlfn.XLOOKUP(C367,[1]ModifierDes!$B:$B,[1]ModifierDes!$A:$A),"")</f>
        <v/>
      </c>
      <c r="O367" s="10">
        <f>IFERROR(_xlfn.XLOOKUP(C367,[1]AttributeName!$C:$C,[1]AttributeName!$B:$B),"")</f>
        <v>10011</v>
      </c>
      <c r="P367" s="10"/>
      <c r="Q367">
        <v>0.07</v>
      </c>
      <c r="R367">
        <v>0.07</v>
      </c>
      <c r="S367" cm="1">
        <f t="array" ref="S367">IFERROR(_xlfn.SWITCH(L367,1,_xlfn.XLOOKUP(O367,[1]AttributeName!$B:$B,[1]AttributeName!$D:$D),2,_xlfn.XLOOKUP(C367,#REF!,#REF!),3,_xlfn.XLOOKUP(C367,#REF!,#REF!)),0)</f>
        <v>2</v>
      </c>
      <c r="T367" cm="1">
        <f t="array" ref="T367">IFERROR(_xlfn.SWITCH(L367,1,_xlfn.XLOOKUP(O367,[1]AttributeName!$B:$B,[1]AttributeName!$E:$E),2,_xlfn.XLOOKUP(C367,#REF!,#REF!),3,_xlfn.XLOOKUP(C367,#REF!,#REF!)),0)</f>
        <v>2</v>
      </c>
    </row>
    <row r="368" customFormat="1" spans="1:20">
      <c r="A368">
        <f t="shared" si="24"/>
        <v>114</v>
      </c>
      <c r="B368">
        <v>3</v>
      </c>
      <c r="C368" t="s">
        <v>422</v>
      </c>
      <c r="D368" t="s">
        <v>415</v>
      </c>
      <c r="E368" t="s">
        <v>378</v>
      </c>
      <c r="F368"/>
      <c r="G368">
        <v>1</v>
      </c>
      <c r="H368">
        <v>750</v>
      </c>
      <c r="J368" cm="1">
        <f t="array" ref="J368">_xlfn.SWITCH(B368,1,75,2,61,3,49,4,37,5,25,6,13,7,4,8,1)</f>
        <v>49</v>
      </c>
      <c r="K368" t="str" cm="1">
        <f t="array" ref="K368">IFERROR(_xlfn.SWITCH(L368,2,_xlfn.XLOOKUP(C368,[1]ModifierDes!$B:$B,[1]ModifierDes!$C:$C),3,_xlfn.XLOOKUP(C368,[1]StuntDes!$B:$B,[1]StuntDes!$C:$C)),"")</f>
        <v/>
      </c>
      <c r="L368">
        <f t="shared" si="23"/>
        <v>1</v>
      </c>
      <c r="M368" s="10" t="str">
        <f>IFERROR(_xlfn.XLOOKUP(C368,[1]StuntDes!$B:$B,[1]StuntDes!$A:$A),"")</f>
        <v/>
      </c>
      <c r="N368" s="10" t="str">
        <f>IFERROR(_xlfn.XLOOKUP(C368,[1]ModifierDes!$B:$B,[1]ModifierDes!$A:$A),"")</f>
        <v/>
      </c>
      <c r="O368" s="10">
        <f>IFERROR(_xlfn.XLOOKUP(C368,[1]AttributeName!$C:$C,[1]AttributeName!$B:$B),"")</f>
        <v>10011</v>
      </c>
      <c r="P368" s="10"/>
      <c r="Q368">
        <v>0.06</v>
      </c>
      <c r="R368">
        <v>0.06</v>
      </c>
      <c r="S368" cm="1">
        <f t="array" ref="S368">IFERROR(_xlfn.SWITCH(L368,1,_xlfn.XLOOKUP(O368,[1]AttributeName!$B:$B,[1]AttributeName!$D:$D),2,_xlfn.XLOOKUP(C368,#REF!,#REF!),3,_xlfn.XLOOKUP(C368,#REF!,#REF!)),0)</f>
        <v>2</v>
      </c>
      <c r="T368" cm="1">
        <f t="array" ref="T368">IFERROR(_xlfn.SWITCH(L368,1,_xlfn.XLOOKUP(O368,[1]AttributeName!$B:$B,[1]AttributeName!$E:$E),2,_xlfn.XLOOKUP(C368,#REF!,#REF!),3,_xlfn.XLOOKUP(C368,#REF!,#REF!)),0)</f>
        <v>2</v>
      </c>
    </row>
    <row r="369" customFormat="1" spans="1:20">
      <c r="A369">
        <f t="shared" si="24"/>
        <v>114</v>
      </c>
      <c r="B369">
        <v>4</v>
      </c>
      <c r="C369" t="s">
        <v>422</v>
      </c>
      <c r="D369" t="s">
        <v>415</v>
      </c>
      <c r="E369" t="s">
        <v>378</v>
      </c>
      <c r="F369"/>
      <c r="G369">
        <v>1</v>
      </c>
      <c r="H369">
        <v>1000</v>
      </c>
      <c r="J369" cm="1">
        <f t="array" ref="J369">_xlfn.SWITCH(B369,1,75,2,61,3,49,4,37,5,25,6,13,7,4,8,1)</f>
        <v>37</v>
      </c>
      <c r="K369" t="str" cm="1">
        <f t="array" ref="K369">IFERROR(_xlfn.SWITCH(L369,2,_xlfn.XLOOKUP(C369,[1]ModifierDes!$B:$B,[1]ModifierDes!$C:$C),3,_xlfn.XLOOKUP(C369,[1]StuntDes!$B:$B,[1]StuntDes!$C:$C)),"")</f>
        <v/>
      </c>
      <c r="L369">
        <f t="shared" si="23"/>
        <v>1</v>
      </c>
      <c r="M369" s="10" t="str">
        <f>IFERROR(_xlfn.XLOOKUP(C369,[1]StuntDes!$B:$B,[1]StuntDes!$A:$A),"")</f>
        <v/>
      </c>
      <c r="N369" s="10" t="str">
        <f>IFERROR(_xlfn.XLOOKUP(C369,[1]ModifierDes!$B:$B,[1]ModifierDes!$A:$A),"")</f>
        <v/>
      </c>
      <c r="O369" s="10">
        <f>IFERROR(_xlfn.XLOOKUP(C369,[1]AttributeName!$C:$C,[1]AttributeName!$B:$B),"")</f>
        <v>10011</v>
      </c>
      <c r="P369" s="10"/>
      <c r="Q369">
        <v>0.05</v>
      </c>
      <c r="R369">
        <v>0.05</v>
      </c>
      <c r="S369" cm="1">
        <f t="array" ref="S369">IFERROR(_xlfn.SWITCH(L369,1,_xlfn.XLOOKUP(O369,[1]AttributeName!$B:$B,[1]AttributeName!$D:$D),2,_xlfn.XLOOKUP(C369,#REF!,#REF!),3,_xlfn.XLOOKUP(C369,#REF!,#REF!)),0)</f>
        <v>2</v>
      </c>
      <c r="T369" cm="1">
        <f t="array" ref="T369">IFERROR(_xlfn.SWITCH(L369,1,_xlfn.XLOOKUP(O369,[1]AttributeName!$B:$B,[1]AttributeName!$E:$E),2,_xlfn.XLOOKUP(C369,#REF!,#REF!),3,_xlfn.XLOOKUP(C369,#REF!,#REF!)),0)</f>
        <v>2</v>
      </c>
    </row>
    <row r="370" customFormat="1" spans="1:20">
      <c r="A370">
        <f t="shared" si="24"/>
        <v>114</v>
      </c>
      <c r="B370">
        <v>5</v>
      </c>
      <c r="C370" t="s">
        <v>422</v>
      </c>
      <c r="D370" t="s">
        <v>415</v>
      </c>
      <c r="E370" t="s">
        <v>378</v>
      </c>
      <c r="F370"/>
      <c r="G370">
        <v>1</v>
      </c>
      <c r="H370">
        <v>1000</v>
      </c>
      <c r="J370" cm="1">
        <f t="array" ref="J370">_xlfn.SWITCH(B370,1,75,2,61,3,49,4,37,5,25,6,13,7,4,8,1)</f>
        <v>25</v>
      </c>
      <c r="K370" t="str" cm="1">
        <f t="array" ref="K370">IFERROR(_xlfn.SWITCH(L370,2,_xlfn.XLOOKUP(C370,[1]ModifierDes!$B:$B,[1]ModifierDes!$C:$C),3,_xlfn.XLOOKUP(C370,[1]StuntDes!$B:$B,[1]StuntDes!$C:$C)),"")</f>
        <v/>
      </c>
      <c r="L370">
        <f t="shared" si="23"/>
        <v>1</v>
      </c>
      <c r="M370" s="10" t="str">
        <f>IFERROR(_xlfn.XLOOKUP(C370,[1]StuntDes!$B:$B,[1]StuntDes!$A:$A),"")</f>
        <v/>
      </c>
      <c r="N370" s="10" t="str">
        <f>IFERROR(_xlfn.XLOOKUP(C370,[1]ModifierDes!$B:$B,[1]ModifierDes!$A:$A),"")</f>
        <v/>
      </c>
      <c r="O370" s="10">
        <f>IFERROR(_xlfn.XLOOKUP(C370,[1]AttributeName!$C:$C,[1]AttributeName!$B:$B),"")</f>
        <v>10011</v>
      </c>
      <c r="P370" s="10"/>
      <c r="Q370">
        <v>0.04</v>
      </c>
      <c r="R370">
        <v>0.04</v>
      </c>
      <c r="S370" cm="1">
        <f t="array" ref="S370">IFERROR(_xlfn.SWITCH(L370,1,_xlfn.XLOOKUP(O370,[1]AttributeName!$B:$B,[1]AttributeName!$D:$D),2,_xlfn.XLOOKUP(C370,#REF!,#REF!),3,_xlfn.XLOOKUP(C370,#REF!,#REF!)),0)</f>
        <v>2</v>
      </c>
      <c r="T370" cm="1">
        <f t="array" ref="T370">IFERROR(_xlfn.SWITCH(L370,1,_xlfn.XLOOKUP(O370,[1]AttributeName!$B:$B,[1]AttributeName!$E:$E),2,_xlfn.XLOOKUP(C370,#REF!,#REF!),3,_xlfn.XLOOKUP(C370,#REF!,#REF!)),0)</f>
        <v>2</v>
      </c>
    </row>
    <row r="371" customFormat="1" spans="1:20">
      <c r="A371">
        <f t="shared" si="24"/>
        <v>114</v>
      </c>
      <c r="B371">
        <v>6</v>
      </c>
      <c r="C371" t="s">
        <v>422</v>
      </c>
      <c r="D371" t="s">
        <v>415</v>
      </c>
      <c r="E371" t="s">
        <v>378</v>
      </c>
      <c r="F371"/>
      <c r="G371">
        <v>1</v>
      </c>
      <c r="H371">
        <v>1000</v>
      </c>
      <c r="J371" cm="1">
        <f t="array" ref="J371">_xlfn.SWITCH(B371,1,75,2,61,3,49,4,37,5,25,6,13,7,4,8,1)</f>
        <v>13</v>
      </c>
      <c r="K371" t="str" cm="1">
        <f t="array" ref="K371">IFERROR(_xlfn.SWITCH(L371,2,_xlfn.XLOOKUP(C371,[1]ModifierDes!$B:$B,[1]ModifierDes!$C:$C),3,_xlfn.XLOOKUP(C371,[1]StuntDes!$B:$B,[1]StuntDes!$C:$C)),"")</f>
        <v/>
      </c>
      <c r="L371">
        <f t="shared" si="23"/>
        <v>1</v>
      </c>
      <c r="M371" s="10" t="str">
        <f>IFERROR(_xlfn.XLOOKUP(C371,[1]StuntDes!$B:$B,[1]StuntDes!$A:$A),"")</f>
        <v/>
      </c>
      <c r="N371" s="10" t="str">
        <f>IFERROR(_xlfn.XLOOKUP(C371,[1]ModifierDes!$B:$B,[1]ModifierDes!$A:$A),"")</f>
        <v/>
      </c>
      <c r="O371" s="10">
        <f>IFERROR(_xlfn.XLOOKUP(C371,[1]AttributeName!$C:$C,[1]AttributeName!$B:$B),"")</f>
        <v>10011</v>
      </c>
      <c r="P371" s="10"/>
      <c r="Q371">
        <v>0.03</v>
      </c>
      <c r="R371">
        <v>0.03</v>
      </c>
      <c r="S371" cm="1">
        <f t="array" ref="S371">IFERROR(_xlfn.SWITCH(L371,1,_xlfn.XLOOKUP(O371,[1]AttributeName!$B:$B,[1]AttributeName!$D:$D),2,_xlfn.XLOOKUP(C371,#REF!,#REF!),3,_xlfn.XLOOKUP(C371,#REF!,#REF!)),0)</f>
        <v>2</v>
      </c>
      <c r="T371" cm="1">
        <f t="array" ref="T371">IFERROR(_xlfn.SWITCH(L371,1,_xlfn.XLOOKUP(O371,[1]AttributeName!$B:$B,[1]AttributeName!$E:$E),2,_xlfn.XLOOKUP(C371,#REF!,#REF!),3,_xlfn.XLOOKUP(C371,#REF!,#REF!)),0)</f>
        <v>2</v>
      </c>
    </row>
    <row r="372" customFormat="1" spans="1:20">
      <c r="A372">
        <f t="shared" si="24"/>
        <v>114</v>
      </c>
      <c r="B372">
        <v>7</v>
      </c>
      <c r="C372" t="s">
        <v>422</v>
      </c>
      <c r="D372" t="s">
        <v>415</v>
      </c>
      <c r="E372" t="s">
        <v>378</v>
      </c>
      <c r="F372"/>
      <c r="G372">
        <v>1</v>
      </c>
      <c r="H372">
        <v>1000</v>
      </c>
      <c r="J372" cm="1">
        <f t="array" ref="J372">_xlfn.SWITCH(B372,1,75,2,61,3,49,4,37,5,25,6,13,7,4,8,1)</f>
        <v>4</v>
      </c>
      <c r="K372" t="str" cm="1">
        <f t="array" ref="K372">IFERROR(_xlfn.SWITCH(L372,2,_xlfn.XLOOKUP(C372,[1]ModifierDes!$B:$B,[1]ModifierDes!$C:$C),3,_xlfn.XLOOKUP(C372,[1]StuntDes!$B:$B,[1]StuntDes!$C:$C)),"")</f>
        <v/>
      </c>
      <c r="L372">
        <f t="shared" si="23"/>
        <v>1</v>
      </c>
      <c r="M372" s="10" t="str">
        <f>IFERROR(_xlfn.XLOOKUP(C372,[1]StuntDes!$B:$B,[1]StuntDes!$A:$A),"")</f>
        <v/>
      </c>
      <c r="N372" s="10" t="str">
        <f>IFERROR(_xlfn.XLOOKUP(C372,[1]ModifierDes!$B:$B,[1]ModifierDes!$A:$A),"")</f>
        <v/>
      </c>
      <c r="O372" s="10">
        <f>IFERROR(_xlfn.XLOOKUP(C372,[1]AttributeName!$C:$C,[1]AttributeName!$B:$B),"")</f>
        <v>10011</v>
      </c>
      <c r="P372" s="10"/>
      <c r="Q372">
        <v>0.02</v>
      </c>
      <c r="R372">
        <v>0.02</v>
      </c>
      <c r="S372" cm="1">
        <f t="array" ref="S372">IFERROR(_xlfn.SWITCH(L372,1,_xlfn.XLOOKUP(O372,[1]AttributeName!$B:$B,[1]AttributeName!$D:$D),2,_xlfn.XLOOKUP(C372,#REF!,#REF!),3,_xlfn.XLOOKUP(C372,#REF!,#REF!)),0)</f>
        <v>2</v>
      </c>
      <c r="T372" cm="1">
        <f t="array" ref="T372">IFERROR(_xlfn.SWITCH(L372,1,_xlfn.XLOOKUP(O372,[1]AttributeName!$B:$B,[1]AttributeName!$E:$E),2,_xlfn.XLOOKUP(C372,#REF!,#REF!),3,_xlfn.XLOOKUP(C372,#REF!,#REF!)),0)</f>
        <v>2</v>
      </c>
    </row>
    <row r="373" customFormat="1" spans="1:20">
      <c r="A373">
        <f t="shared" si="24"/>
        <v>114</v>
      </c>
      <c r="B373">
        <v>8</v>
      </c>
      <c r="C373" t="s">
        <v>422</v>
      </c>
      <c r="D373" t="s">
        <v>415</v>
      </c>
      <c r="E373" t="s">
        <v>378</v>
      </c>
      <c r="F373"/>
      <c r="G373">
        <v>1</v>
      </c>
      <c r="H373">
        <v>1000</v>
      </c>
      <c r="J373" cm="1">
        <f t="array" ref="J373">_xlfn.SWITCH(B373,1,75,2,61,3,49,4,37,5,25,6,13,7,4,8,1)</f>
        <v>1</v>
      </c>
      <c r="K373" t="str" cm="1">
        <f t="array" ref="K373">IFERROR(_xlfn.SWITCH(L373,2,_xlfn.XLOOKUP(C373,[1]ModifierDes!$B:$B,[1]ModifierDes!$C:$C),3,_xlfn.XLOOKUP(C373,[1]StuntDes!$B:$B,[1]StuntDes!$C:$C)),"")</f>
        <v/>
      </c>
      <c r="L373">
        <f t="shared" si="23"/>
        <v>1</v>
      </c>
      <c r="M373" s="10" t="str">
        <f>IFERROR(_xlfn.XLOOKUP(C373,[1]StuntDes!$B:$B,[1]StuntDes!$A:$A),"")</f>
        <v/>
      </c>
      <c r="N373" s="10" t="str">
        <f>IFERROR(_xlfn.XLOOKUP(C373,[1]ModifierDes!$B:$B,[1]ModifierDes!$A:$A),"")</f>
        <v/>
      </c>
      <c r="O373" s="10">
        <f>IFERROR(_xlfn.XLOOKUP(C373,[1]AttributeName!$C:$C,[1]AttributeName!$B:$B),"")</f>
        <v>10011</v>
      </c>
      <c r="P373" s="10"/>
      <c r="Q373">
        <v>0.01</v>
      </c>
      <c r="R373">
        <v>0.01</v>
      </c>
      <c r="S373" cm="1">
        <f t="array" ref="S373">IFERROR(_xlfn.SWITCH(L373,1,_xlfn.XLOOKUP(O373,[1]AttributeName!$B:$B,[1]AttributeName!$D:$D),2,_xlfn.XLOOKUP(C373,#REF!,#REF!),3,_xlfn.XLOOKUP(C373,#REF!,#REF!)),0)</f>
        <v>2</v>
      </c>
      <c r="T373" cm="1">
        <f t="array" ref="T373">IFERROR(_xlfn.SWITCH(L373,1,_xlfn.XLOOKUP(O373,[1]AttributeName!$B:$B,[1]AttributeName!$E:$E),2,_xlfn.XLOOKUP(C373,#REF!,#REF!),3,_xlfn.XLOOKUP(C373,#REF!,#REF!)),0)</f>
        <v>2</v>
      </c>
    </row>
    <row r="374" customFormat="1" spans="1:20">
      <c r="A374">
        <v>151</v>
      </c>
      <c r="B374">
        <v>1</v>
      </c>
      <c r="C374" t="s">
        <v>73</v>
      </c>
      <c r="D374" t="s">
        <v>415</v>
      </c>
      <c r="E374" t="s">
        <v>392</v>
      </c>
      <c r="F374"/>
      <c r="G374">
        <v>2</v>
      </c>
      <c r="H374">
        <v>250</v>
      </c>
      <c r="J374" cm="1">
        <f t="array" ref="J374">_xlfn.SWITCH(B374,1,75,2,61,3,49,4,37,5,25,6,13,7,4,8,1)</f>
        <v>75</v>
      </c>
      <c r="K374" t="str" cm="1">
        <f t="array" ref="K374">IFERROR(_xlfn.SWITCH(L374,2,_xlfn.XLOOKUP(C374,[1]ModifierDes!$B:$B,[1]ModifierDes!$C:$C),3,_xlfn.XLOOKUP(C374,[1]StuntDes!$B:$B,[1]StuntDes!$C:$C)),"")</f>
        <v/>
      </c>
      <c r="L374">
        <f t="shared" si="23"/>
        <v>1</v>
      </c>
      <c r="M374" s="10" t="str">
        <f>IFERROR(_xlfn.XLOOKUP(C374,[1]StuntDes!$B:$B,[1]StuntDes!$A:$A),"")</f>
        <v/>
      </c>
      <c r="N374" s="10" t="str">
        <f>IFERROR(_xlfn.XLOOKUP(C374,[1]ModifierDes!$B:$B,[1]ModifierDes!$A:$A),"")</f>
        <v/>
      </c>
      <c r="O374" s="10">
        <f>IFERROR(_xlfn.XLOOKUP(C374,[1]AttributeName!$C:$C,[1]AttributeName!$B:$B),"")</f>
        <v>10311</v>
      </c>
      <c r="P374" s="10"/>
      <c r="Q374">
        <v>0.3</v>
      </c>
      <c r="R374">
        <v>0.4</v>
      </c>
      <c r="S374" cm="1">
        <f t="array" ref="S374">IFERROR(_xlfn.SWITCH(L374,1,_xlfn.XLOOKUP(O374,[1]AttributeName!$B:$B,[1]AttributeName!$D:$D),2,_xlfn.XLOOKUP(C374,#REF!,#REF!),3,_xlfn.XLOOKUP(C374,#REF!,#REF!)),0)</f>
        <v>2</v>
      </c>
      <c r="T374" cm="1">
        <f t="array" ref="T374">IFERROR(_xlfn.SWITCH(L374,1,_xlfn.XLOOKUP(O374,[1]AttributeName!$B:$B,[1]AttributeName!$E:$E),2,_xlfn.XLOOKUP(C374,#REF!,#REF!),3,_xlfn.XLOOKUP(C374,#REF!,#REF!)),0)</f>
        <v>2</v>
      </c>
    </row>
    <row r="375" customFormat="1" spans="1:20">
      <c r="A375">
        <v>151</v>
      </c>
      <c r="B375">
        <v>2</v>
      </c>
      <c r="C375" t="s">
        <v>73</v>
      </c>
      <c r="D375" t="s">
        <v>415</v>
      </c>
      <c r="E375" t="s">
        <v>392</v>
      </c>
      <c r="F375"/>
      <c r="G375">
        <v>2</v>
      </c>
      <c r="H375">
        <v>500</v>
      </c>
      <c r="J375" cm="1">
        <f t="array" ref="J375">_xlfn.SWITCH(B375,1,75,2,61,3,49,4,37,5,25,6,13,7,4,8,1)</f>
        <v>61</v>
      </c>
      <c r="K375" t="str" cm="1">
        <f t="array" ref="K375">IFERROR(_xlfn.SWITCH(L375,2,_xlfn.XLOOKUP(C375,[1]ModifierDes!$B:$B,[1]ModifierDes!$C:$C),3,_xlfn.XLOOKUP(C375,[1]StuntDes!$B:$B,[1]StuntDes!$C:$C)),"")</f>
        <v/>
      </c>
      <c r="L375">
        <f t="shared" si="23"/>
        <v>1</v>
      </c>
      <c r="M375" s="10" t="str">
        <f>IFERROR(_xlfn.XLOOKUP(C375,[1]StuntDes!$B:$B,[1]StuntDes!$A:$A),"")</f>
        <v/>
      </c>
      <c r="N375" s="10" t="str">
        <f>IFERROR(_xlfn.XLOOKUP(C375,[1]ModifierDes!$B:$B,[1]ModifierDes!$A:$A),"")</f>
        <v/>
      </c>
      <c r="O375" s="10">
        <f>IFERROR(_xlfn.XLOOKUP(C375,[1]AttributeName!$C:$C,[1]AttributeName!$B:$B),"")</f>
        <v>10311</v>
      </c>
      <c r="P375" s="10"/>
      <c r="Q375">
        <v>0.26</v>
      </c>
      <c r="R375">
        <v>0.29</v>
      </c>
      <c r="S375" cm="1">
        <f t="array" ref="S375">IFERROR(_xlfn.SWITCH(L375,1,_xlfn.XLOOKUP(O375,[1]AttributeName!$B:$B,[1]AttributeName!$D:$D),2,_xlfn.XLOOKUP(C375,#REF!,#REF!),3,_xlfn.XLOOKUP(C375,#REF!,#REF!)),0)</f>
        <v>2</v>
      </c>
      <c r="T375" cm="1">
        <f t="array" ref="T375">IFERROR(_xlfn.SWITCH(L375,1,_xlfn.XLOOKUP(O375,[1]AttributeName!$B:$B,[1]AttributeName!$E:$E),2,_xlfn.XLOOKUP(C375,#REF!,#REF!),3,_xlfn.XLOOKUP(C375,#REF!,#REF!)),0)</f>
        <v>2</v>
      </c>
    </row>
    <row r="376" customFormat="1" spans="1:20">
      <c r="A376">
        <v>151</v>
      </c>
      <c r="B376">
        <v>3</v>
      </c>
      <c r="C376" t="s">
        <v>73</v>
      </c>
      <c r="D376" t="s">
        <v>415</v>
      </c>
      <c r="E376" t="s">
        <v>392</v>
      </c>
      <c r="F376"/>
      <c r="G376">
        <v>2</v>
      </c>
      <c r="H376">
        <v>750</v>
      </c>
      <c r="J376" cm="1">
        <f t="array" ref="J376">_xlfn.SWITCH(B376,1,75,2,61,3,49,4,37,5,25,6,13,7,4,8,1)</f>
        <v>49</v>
      </c>
      <c r="K376" t="str" cm="1">
        <f t="array" ref="K376">IFERROR(_xlfn.SWITCH(L376,2,_xlfn.XLOOKUP(C376,[1]ModifierDes!$B:$B,[1]ModifierDes!$C:$C),3,_xlfn.XLOOKUP(C376,[1]StuntDes!$B:$B,[1]StuntDes!$C:$C)),"")</f>
        <v/>
      </c>
      <c r="L376">
        <f t="shared" si="23"/>
        <v>1</v>
      </c>
      <c r="M376" s="10" t="str">
        <f>IFERROR(_xlfn.XLOOKUP(C376,[1]StuntDes!$B:$B,[1]StuntDes!$A:$A),"")</f>
        <v/>
      </c>
      <c r="N376" s="10" t="str">
        <f>IFERROR(_xlfn.XLOOKUP(C376,[1]ModifierDes!$B:$B,[1]ModifierDes!$A:$A),"")</f>
        <v/>
      </c>
      <c r="O376" s="10">
        <f>IFERROR(_xlfn.XLOOKUP(C376,[1]AttributeName!$C:$C,[1]AttributeName!$B:$B),"")</f>
        <v>10311</v>
      </c>
      <c r="P376" s="10"/>
      <c r="Q376">
        <v>0.22</v>
      </c>
      <c r="R376">
        <v>0.25</v>
      </c>
      <c r="S376" cm="1">
        <f t="array" ref="S376">IFERROR(_xlfn.SWITCH(L376,1,_xlfn.XLOOKUP(O376,[1]AttributeName!$B:$B,[1]AttributeName!$D:$D),2,_xlfn.XLOOKUP(C376,#REF!,#REF!),3,_xlfn.XLOOKUP(C376,#REF!,#REF!)),0)</f>
        <v>2</v>
      </c>
      <c r="T376" cm="1">
        <f t="array" ref="T376">IFERROR(_xlfn.SWITCH(L376,1,_xlfn.XLOOKUP(O376,[1]AttributeName!$B:$B,[1]AttributeName!$E:$E),2,_xlfn.XLOOKUP(C376,#REF!,#REF!),3,_xlfn.XLOOKUP(C376,#REF!,#REF!)),0)</f>
        <v>2</v>
      </c>
    </row>
    <row r="377" customFormat="1" spans="1:20">
      <c r="A377">
        <v>151</v>
      </c>
      <c r="B377">
        <v>4</v>
      </c>
      <c r="C377" t="s">
        <v>73</v>
      </c>
      <c r="D377" t="s">
        <v>415</v>
      </c>
      <c r="E377" t="s">
        <v>392</v>
      </c>
      <c r="F377"/>
      <c r="G377">
        <v>2</v>
      </c>
      <c r="H377">
        <v>1000</v>
      </c>
      <c r="J377" cm="1">
        <f t="array" ref="J377">_xlfn.SWITCH(B377,1,75,2,61,3,49,4,37,5,25,6,13,7,4,8,1)</f>
        <v>37</v>
      </c>
      <c r="K377" t="str" cm="1">
        <f t="array" ref="K377">IFERROR(_xlfn.SWITCH(L377,2,_xlfn.XLOOKUP(C377,[1]ModifierDes!$B:$B,[1]ModifierDes!$C:$C),3,_xlfn.XLOOKUP(C377,[1]StuntDes!$B:$B,[1]StuntDes!$C:$C)),"")</f>
        <v/>
      </c>
      <c r="L377">
        <f t="shared" si="23"/>
        <v>1</v>
      </c>
      <c r="M377" s="10" t="str">
        <f>IFERROR(_xlfn.XLOOKUP(C377,[1]StuntDes!$B:$B,[1]StuntDes!$A:$A),"")</f>
        <v/>
      </c>
      <c r="N377" s="10" t="str">
        <f>IFERROR(_xlfn.XLOOKUP(C377,[1]ModifierDes!$B:$B,[1]ModifierDes!$A:$A),"")</f>
        <v/>
      </c>
      <c r="O377" s="10">
        <f>IFERROR(_xlfn.XLOOKUP(C377,[1]AttributeName!$C:$C,[1]AttributeName!$B:$B),"")</f>
        <v>10311</v>
      </c>
      <c r="P377" s="10"/>
      <c r="Q377">
        <v>0.18</v>
      </c>
      <c r="R377">
        <v>0.21</v>
      </c>
      <c r="S377" cm="1">
        <f t="array" ref="S377">IFERROR(_xlfn.SWITCH(L377,1,_xlfn.XLOOKUP(O377,[1]AttributeName!$B:$B,[1]AttributeName!$D:$D),2,_xlfn.XLOOKUP(C377,#REF!,#REF!),3,_xlfn.XLOOKUP(C377,#REF!,#REF!)),0)</f>
        <v>2</v>
      </c>
      <c r="T377" cm="1">
        <f t="array" ref="T377">IFERROR(_xlfn.SWITCH(L377,1,_xlfn.XLOOKUP(O377,[1]AttributeName!$B:$B,[1]AttributeName!$E:$E),2,_xlfn.XLOOKUP(C377,#REF!,#REF!),3,_xlfn.XLOOKUP(C377,#REF!,#REF!)),0)</f>
        <v>2</v>
      </c>
    </row>
    <row r="378" customFormat="1" spans="1:20">
      <c r="A378">
        <v>151</v>
      </c>
      <c r="B378">
        <v>5</v>
      </c>
      <c r="C378" t="s">
        <v>73</v>
      </c>
      <c r="D378" t="s">
        <v>415</v>
      </c>
      <c r="E378" t="s">
        <v>392</v>
      </c>
      <c r="F378"/>
      <c r="G378">
        <v>2</v>
      </c>
      <c r="H378">
        <v>1000</v>
      </c>
      <c r="J378" cm="1">
        <f t="array" ref="J378">_xlfn.SWITCH(B378,1,75,2,61,3,49,4,37,5,25,6,13,7,4,8,1)</f>
        <v>25</v>
      </c>
      <c r="K378" t="str" cm="1">
        <f t="array" ref="K378">IFERROR(_xlfn.SWITCH(L378,2,_xlfn.XLOOKUP(C378,[1]ModifierDes!$B:$B,[1]ModifierDes!$C:$C),3,_xlfn.XLOOKUP(C378,[1]StuntDes!$B:$B,[1]StuntDes!$C:$C)),"")</f>
        <v/>
      </c>
      <c r="L378">
        <f t="shared" si="23"/>
        <v>1</v>
      </c>
      <c r="M378" s="10" t="str">
        <f>IFERROR(_xlfn.XLOOKUP(C378,[1]StuntDes!$B:$B,[1]StuntDes!$A:$A),"")</f>
        <v/>
      </c>
      <c r="N378" s="10" t="str">
        <f>IFERROR(_xlfn.XLOOKUP(C378,[1]ModifierDes!$B:$B,[1]ModifierDes!$A:$A),"")</f>
        <v/>
      </c>
      <c r="O378" s="10">
        <f>IFERROR(_xlfn.XLOOKUP(C378,[1]AttributeName!$C:$C,[1]AttributeName!$B:$B),"")</f>
        <v>10311</v>
      </c>
      <c r="P378" s="10"/>
      <c r="Q378">
        <v>0.14</v>
      </c>
      <c r="R378">
        <v>0.17</v>
      </c>
      <c r="S378" cm="1">
        <f t="array" ref="S378">IFERROR(_xlfn.SWITCH(L378,1,_xlfn.XLOOKUP(O378,[1]AttributeName!$B:$B,[1]AttributeName!$D:$D),2,_xlfn.XLOOKUP(C378,#REF!,#REF!),3,_xlfn.XLOOKUP(C378,#REF!,#REF!)),0)</f>
        <v>2</v>
      </c>
      <c r="T378" cm="1">
        <f t="array" ref="T378">IFERROR(_xlfn.SWITCH(L378,1,_xlfn.XLOOKUP(O378,[1]AttributeName!$B:$B,[1]AttributeName!$E:$E),2,_xlfn.XLOOKUP(C378,#REF!,#REF!),3,_xlfn.XLOOKUP(C378,#REF!,#REF!)),0)</f>
        <v>2</v>
      </c>
    </row>
    <row r="379" customFormat="1" spans="1:20">
      <c r="A379">
        <v>151</v>
      </c>
      <c r="B379">
        <v>6</v>
      </c>
      <c r="C379" t="s">
        <v>73</v>
      </c>
      <c r="D379" t="s">
        <v>415</v>
      </c>
      <c r="E379" t="s">
        <v>392</v>
      </c>
      <c r="F379"/>
      <c r="G379">
        <v>2</v>
      </c>
      <c r="H379">
        <v>1000</v>
      </c>
      <c r="J379" cm="1">
        <f t="array" ref="J379">_xlfn.SWITCH(B379,1,75,2,61,3,49,4,37,5,25,6,13,7,4,8,1)</f>
        <v>13</v>
      </c>
      <c r="K379" t="str" cm="1">
        <f t="array" ref="K379">IFERROR(_xlfn.SWITCH(L379,2,_xlfn.XLOOKUP(C379,[1]ModifierDes!$B:$B,[1]ModifierDes!$C:$C),3,_xlfn.XLOOKUP(C379,[1]StuntDes!$B:$B,[1]StuntDes!$C:$C)),"")</f>
        <v/>
      </c>
      <c r="L379">
        <f t="shared" si="23"/>
        <v>1</v>
      </c>
      <c r="M379" s="10" t="str">
        <f>IFERROR(_xlfn.XLOOKUP(C379,[1]StuntDes!$B:$B,[1]StuntDes!$A:$A),"")</f>
        <v/>
      </c>
      <c r="N379" s="10" t="str">
        <f>IFERROR(_xlfn.XLOOKUP(C379,[1]ModifierDes!$B:$B,[1]ModifierDes!$A:$A),"")</f>
        <v/>
      </c>
      <c r="O379" s="10">
        <f>IFERROR(_xlfn.XLOOKUP(C379,[1]AttributeName!$C:$C,[1]AttributeName!$B:$B),"")</f>
        <v>10311</v>
      </c>
      <c r="P379" s="10"/>
      <c r="Q379">
        <v>0.1</v>
      </c>
      <c r="R379">
        <v>0.13</v>
      </c>
      <c r="S379" cm="1">
        <f t="array" ref="S379">IFERROR(_xlfn.SWITCH(L379,1,_xlfn.XLOOKUP(O379,[1]AttributeName!$B:$B,[1]AttributeName!$D:$D),2,_xlfn.XLOOKUP(C379,#REF!,#REF!),3,_xlfn.XLOOKUP(C379,#REF!,#REF!)),0)</f>
        <v>2</v>
      </c>
      <c r="T379" cm="1">
        <f t="array" ref="T379">IFERROR(_xlfn.SWITCH(L379,1,_xlfn.XLOOKUP(O379,[1]AttributeName!$B:$B,[1]AttributeName!$E:$E),2,_xlfn.XLOOKUP(C379,#REF!,#REF!),3,_xlfn.XLOOKUP(C379,#REF!,#REF!)),0)</f>
        <v>2</v>
      </c>
    </row>
    <row r="380" customFormat="1" spans="1:20">
      <c r="A380">
        <v>151</v>
      </c>
      <c r="B380">
        <v>7</v>
      </c>
      <c r="C380" t="s">
        <v>73</v>
      </c>
      <c r="D380" t="s">
        <v>415</v>
      </c>
      <c r="E380" t="s">
        <v>392</v>
      </c>
      <c r="F380"/>
      <c r="G380">
        <v>2</v>
      </c>
      <c r="H380">
        <v>1000</v>
      </c>
      <c r="J380" cm="1">
        <f t="array" ref="J380">_xlfn.SWITCH(B380,1,75,2,61,3,49,4,37,5,25,6,13,7,4,8,1)</f>
        <v>4</v>
      </c>
      <c r="K380" t="str" cm="1">
        <f t="array" ref="K380">IFERROR(_xlfn.SWITCH(L380,2,_xlfn.XLOOKUP(C380,[1]ModifierDes!$B:$B,[1]ModifierDes!$C:$C),3,_xlfn.XLOOKUP(C380,[1]StuntDes!$B:$B,[1]StuntDes!$C:$C)),"")</f>
        <v/>
      </c>
      <c r="L380">
        <f t="shared" si="23"/>
        <v>1</v>
      </c>
      <c r="M380" s="10" t="str">
        <f>IFERROR(_xlfn.XLOOKUP(C380,[1]StuntDes!$B:$B,[1]StuntDes!$A:$A),"")</f>
        <v/>
      </c>
      <c r="N380" s="10" t="str">
        <f>IFERROR(_xlfn.XLOOKUP(C380,[1]ModifierDes!$B:$B,[1]ModifierDes!$A:$A),"")</f>
        <v/>
      </c>
      <c r="O380" s="10">
        <f>IFERROR(_xlfn.XLOOKUP(C380,[1]AttributeName!$C:$C,[1]AttributeName!$B:$B),"")</f>
        <v>10311</v>
      </c>
      <c r="P380" s="10"/>
      <c r="Q380">
        <v>0.06</v>
      </c>
      <c r="R380">
        <v>0.0900000000000001</v>
      </c>
      <c r="S380" cm="1">
        <f t="array" ref="S380">IFERROR(_xlfn.SWITCH(L380,1,_xlfn.XLOOKUP(O380,[1]AttributeName!$B:$B,[1]AttributeName!$D:$D),2,_xlfn.XLOOKUP(C380,#REF!,#REF!),3,_xlfn.XLOOKUP(C380,#REF!,#REF!)),0)</f>
        <v>2</v>
      </c>
      <c r="T380" cm="1">
        <f t="array" ref="T380">IFERROR(_xlfn.SWITCH(L380,1,_xlfn.XLOOKUP(O380,[1]AttributeName!$B:$B,[1]AttributeName!$E:$E),2,_xlfn.XLOOKUP(C380,#REF!,#REF!),3,_xlfn.XLOOKUP(C380,#REF!,#REF!)),0)</f>
        <v>2</v>
      </c>
    </row>
    <row r="381" customFormat="1" spans="1:20">
      <c r="A381">
        <v>151</v>
      </c>
      <c r="B381">
        <v>8</v>
      </c>
      <c r="C381" t="s">
        <v>73</v>
      </c>
      <c r="D381" t="s">
        <v>415</v>
      </c>
      <c r="E381" t="s">
        <v>392</v>
      </c>
      <c r="F381"/>
      <c r="G381">
        <v>2</v>
      </c>
      <c r="H381">
        <v>1000</v>
      </c>
      <c r="J381" cm="1">
        <f t="array" ref="J381">_xlfn.SWITCH(B381,1,75,2,61,3,49,4,37,5,25,6,13,7,4,8,1)</f>
        <v>1</v>
      </c>
      <c r="K381" t="str" cm="1">
        <f t="array" ref="K381">IFERROR(_xlfn.SWITCH(L381,2,_xlfn.XLOOKUP(C381,[1]ModifierDes!$B:$B,[1]ModifierDes!$C:$C),3,_xlfn.XLOOKUP(C381,[1]StuntDes!$B:$B,[1]StuntDes!$C:$C)),"")</f>
        <v/>
      </c>
      <c r="L381">
        <f t="shared" si="23"/>
        <v>1</v>
      </c>
      <c r="M381" s="10" t="str">
        <f>IFERROR(_xlfn.XLOOKUP(C381,[1]StuntDes!$B:$B,[1]StuntDes!$A:$A),"")</f>
        <v/>
      </c>
      <c r="N381" s="10" t="str">
        <f>IFERROR(_xlfn.XLOOKUP(C381,[1]ModifierDes!$B:$B,[1]ModifierDes!$A:$A),"")</f>
        <v/>
      </c>
      <c r="O381" s="10">
        <f>IFERROR(_xlfn.XLOOKUP(C381,[1]AttributeName!$C:$C,[1]AttributeName!$B:$B),"")</f>
        <v>10311</v>
      </c>
      <c r="P381" s="10"/>
      <c r="Q381">
        <v>0.02</v>
      </c>
      <c r="R381">
        <v>0.0500000000000001</v>
      </c>
      <c r="S381" cm="1">
        <f t="array" ref="S381">IFERROR(_xlfn.SWITCH(L381,1,_xlfn.XLOOKUP(O381,[1]AttributeName!$B:$B,[1]AttributeName!$D:$D),2,_xlfn.XLOOKUP(C381,#REF!,#REF!),3,_xlfn.XLOOKUP(C381,#REF!,#REF!)),0)</f>
        <v>2</v>
      </c>
      <c r="T381" cm="1">
        <f t="array" ref="T381">IFERROR(_xlfn.SWITCH(L381,1,_xlfn.XLOOKUP(O381,[1]AttributeName!$B:$B,[1]AttributeName!$E:$E),2,_xlfn.XLOOKUP(C381,#REF!,#REF!),3,_xlfn.XLOOKUP(C381,#REF!,#REF!)),0)</f>
        <v>2</v>
      </c>
    </row>
    <row r="382" customFormat="1" spans="1:20">
      <c r="A382">
        <f t="shared" ref="A382:A421" si="25">A374+1</f>
        <v>152</v>
      </c>
      <c r="B382">
        <v>1</v>
      </c>
      <c r="C382" t="s">
        <v>423</v>
      </c>
      <c r="D382" t="s">
        <v>415</v>
      </c>
      <c r="E382" t="s">
        <v>392</v>
      </c>
      <c r="F382"/>
      <c r="G382">
        <v>2</v>
      </c>
      <c r="H382">
        <v>250</v>
      </c>
      <c r="J382" cm="1">
        <f t="array" ref="J382">_xlfn.SWITCH(B382,1,75,2,61,3,49,4,37,5,25,6,13,7,4,8,1)</f>
        <v>75</v>
      </c>
      <c r="K382" t="str" cm="1">
        <f t="array" ref="K382">IFERROR(_xlfn.SWITCH(L382,2,_xlfn.XLOOKUP(C382,[1]ModifierDes!$B:$B,[1]ModifierDes!$C:$C),3,_xlfn.XLOOKUP(C382,[1]StuntDes!$B:$B,[1]StuntDes!$C:$C)),"")</f>
        <v/>
      </c>
      <c r="L382">
        <f t="shared" si="23"/>
        <v>1</v>
      </c>
      <c r="M382" s="10" t="str">
        <f>IFERROR(_xlfn.XLOOKUP(C382,[1]StuntDes!$B:$B,[1]StuntDes!$A:$A),"")</f>
        <v/>
      </c>
      <c r="N382" s="10" t="str">
        <f>IFERROR(_xlfn.XLOOKUP(C382,[1]ModifierDes!$B:$B,[1]ModifierDes!$A:$A),"")</f>
        <v/>
      </c>
      <c r="O382" s="10">
        <f>IFERROR(_xlfn.XLOOKUP(C382,[1]AttributeName!$C:$C,[1]AttributeName!$B:$B),"")</f>
        <v>10312</v>
      </c>
      <c r="P382" s="10"/>
      <c r="Q382">
        <v>0.3</v>
      </c>
      <c r="R382">
        <v>0.4</v>
      </c>
      <c r="S382" cm="1">
        <f t="array" ref="S382">IFERROR(_xlfn.SWITCH(L382,1,_xlfn.XLOOKUP(O382,[1]AttributeName!$B:$B,[1]AttributeName!$D:$D),2,_xlfn.XLOOKUP(C382,#REF!,#REF!),3,_xlfn.XLOOKUP(C382,#REF!,#REF!)),0)</f>
        <v>2</v>
      </c>
      <c r="T382" cm="1">
        <f t="array" ref="T382">IFERROR(_xlfn.SWITCH(L382,1,_xlfn.XLOOKUP(O382,[1]AttributeName!$B:$B,[1]AttributeName!$E:$E),2,_xlfn.XLOOKUP(C382,#REF!,#REF!),3,_xlfn.XLOOKUP(C382,#REF!,#REF!)),0)</f>
        <v>2</v>
      </c>
    </row>
    <row r="383" customFormat="1" spans="1:20">
      <c r="A383">
        <f t="shared" si="25"/>
        <v>152</v>
      </c>
      <c r="B383">
        <v>2</v>
      </c>
      <c r="C383" t="s">
        <v>423</v>
      </c>
      <c r="D383" t="s">
        <v>415</v>
      </c>
      <c r="E383" t="s">
        <v>392</v>
      </c>
      <c r="F383"/>
      <c r="G383">
        <v>2</v>
      </c>
      <c r="H383">
        <v>500</v>
      </c>
      <c r="J383" cm="1">
        <f t="array" ref="J383">_xlfn.SWITCH(B383,1,75,2,61,3,49,4,37,5,25,6,13,7,4,8,1)</f>
        <v>61</v>
      </c>
      <c r="K383" t="str" cm="1">
        <f t="array" ref="K383">IFERROR(_xlfn.SWITCH(L383,2,_xlfn.XLOOKUP(C383,[1]ModifierDes!$B:$B,[1]ModifierDes!$C:$C),3,_xlfn.XLOOKUP(C383,[1]StuntDes!$B:$B,[1]StuntDes!$C:$C)),"")</f>
        <v/>
      </c>
      <c r="L383">
        <f t="shared" si="23"/>
        <v>1</v>
      </c>
      <c r="M383" s="10" t="str">
        <f>IFERROR(_xlfn.XLOOKUP(C383,[1]StuntDes!$B:$B,[1]StuntDes!$A:$A),"")</f>
        <v/>
      </c>
      <c r="N383" s="10" t="str">
        <f>IFERROR(_xlfn.XLOOKUP(C383,[1]ModifierDes!$B:$B,[1]ModifierDes!$A:$A),"")</f>
        <v/>
      </c>
      <c r="O383" s="10">
        <f>IFERROR(_xlfn.XLOOKUP(C383,[1]AttributeName!$C:$C,[1]AttributeName!$B:$B),"")</f>
        <v>10312</v>
      </c>
      <c r="P383" s="10"/>
      <c r="Q383">
        <v>0.26</v>
      </c>
      <c r="R383">
        <v>0.29</v>
      </c>
      <c r="S383" cm="1">
        <f t="array" ref="S383">IFERROR(_xlfn.SWITCH(L383,1,_xlfn.XLOOKUP(O383,[1]AttributeName!$B:$B,[1]AttributeName!$D:$D),2,_xlfn.XLOOKUP(C383,#REF!,#REF!),3,_xlfn.XLOOKUP(C383,#REF!,#REF!)),0)</f>
        <v>2</v>
      </c>
      <c r="T383" cm="1">
        <f t="array" ref="T383">IFERROR(_xlfn.SWITCH(L383,1,_xlfn.XLOOKUP(O383,[1]AttributeName!$B:$B,[1]AttributeName!$E:$E),2,_xlfn.XLOOKUP(C383,#REF!,#REF!),3,_xlfn.XLOOKUP(C383,#REF!,#REF!)),0)</f>
        <v>2</v>
      </c>
    </row>
    <row r="384" customFormat="1" spans="1:20">
      <c r="A384">
        <f t="shared" si="25"/>
        <v>152</v>
      </c>
      <c r="B384">
        <v>3</v>
      </c>
      <c r="C384" t="s">
        <v>423</v>
      </c>
      <c r="D384" t="s">
        <v>415</v>
      </c>
      <c r="E384" t="s">
        <v>392</v>
      </c>
      <c r="F384"/>
      <c r="G384">
        <v>2</v>
      </c>
      <c r="H384">
        <v>750</v>
      </c>
      <c r="J384" cm="1">
        <f t="array" ref="J384">_xlfn.SWITCH(B384,1,75,2,61,3,49,4,37,5,25,6,13,7,4,8,1)</f>
        <v>49</v>
      </c>
      <c r="K384" t="str" cm="1">
        <f t="array" ref="K384">IFERROR(_xlfn.SWITCH(L384,2,_xlfn.XLOOKUP(C384,[1]ModifierDes!$B:$B,[1]ModifierDes!$C:$C),3,_xlfn.XLOOKUP(C384,[1]StuntDes!$B:$B,[1]StuntDes!$C:$C)),"")</f>
        <v/>
      </c>
      <c r="L384">
        <f t="shared" si="23"/>
        <v>1</v>
      </c>
      <c r="M384" s="10" t="str">
        <f>IFERROR(_xlfn.XLOOKUP(C384,[1]StuntDes!$B:$B,[1]StuntDes!$A:$A),"")</f>
        <v/>
      </c>
      <c r="N384" s="10" t="str">
        <f>IFERROR(_xlfn.XLOOKUP(C384,[1]ModifierDes!$B:$B,[1]ModifierDes!$A:$A),"")</f>
        <v/>
      </c>
      <c r="O384" s="10">
        <f>IFERROR(_xlfn.XLOOKUP(C384,[1]AttributeName!$C:$C,[1]AttributeName!$B:$B),"")</f>
        <v>10312</v>
      </c>
      <c r="P384" s="10"/>
      <c r="Q384">
        <v>0.22</v>
      </c>
      <c r="R384">
        <v>0.25</v>
      </c>
      <c r="S384" cm="1">
        <f t="array" ref="S384">IFERROR(_xlfn.SWITCH(L384,1,_xlfn.XLOOKUP(O384,[1]AttributeName!$B:$B,[1]AttributeName!$D:$D),2,_xlfn.XLOOKUP(C384,#REF!,#REF!),3,_xlfn.XLOOKUP(C384,#REF!,#REF!)),0)</f>
        <v>2</v>
      </c>
      <c r="T384" cm="1">
        <f t="array" ref="T384">IFERROR(_xlfn.SWITCH(L384,1,_xlfn.XLOOKUP(O384,[1]AttributeName!$B:$B,[1]AttributeName!$E:$E),2,_xlfn.XLOOKUP(C384,#REF!,#REF!),3,_xlfn.XLOOKUP(C384,#REF!,#REF!)),0)</f>
        <v>2</v>
      </c>
    </row>
    <row r="385" customFormat="1" spans="1:20">
      <c r="A385">
        <f t="shared" si="25"/>
        <v>152</v>
      </c>
      <c r="B385">
        <v>4</v>
      </c>
      <c r="C385" t="s">
        <v>423</v>
      </c>
      <c r="D385" t="s">
        <v>415</v>
      </c>
      <c r="E385" t="s">
        <v>392</v>
      </c>
      <c r="F385"/>
      <c r="G385">
        <v>2</v>
      </c>
      <c r="H385">
        <v>1000</v>
      </c>
      <c r="J385" cm="1">
        <f t="array" ref="J385">_xlfn.SWITCH(B385,1,75,2,61,3,49,4,37,5,25,6,13,7,4,8,1)</f>
        <v>37</v>
      </c>
      <c r="K385" t="str" cm="1">
        <f t="array" ref="K385">IFERROR(_xlfn.SWITCH(L385,2,_xlfn.XLOOKUP(C385,[1]ModifierDes!$B:$B,[1]ModifierDes!$C:$C),3,_xlfn.XLOOKUP(C385,[1]StuntDes!$B:$B,[1]StuntDes!$C:$C)),"")</f>
        <v/>
      </c>
      <c r="L385">
        <f t="shared" si="23"/>
        <v>1</v>
      </c>
      <c r="M385" s="10" t="str">
        <f>IFERROR(_xlfn.XLOOKUP(C385,[1]StuntDes!$B:$B,[1]StuntDes!$A:$A),"")</f>
        <v/>
      </c>
      <c r="N385" s="10" t="str">
        <f>IFERROR(_xlfn.XLOOKUP(C385,[1]ModifierDes!$B:$B,[1]ModifierDes!$A:$A),"")</f>
        <v/>
      </c>
      <c r="O385" s="10">
        <f>IFERROR(_xlfn.XLOOKUP(C385,[1]AttributeName!$C:$C,[1]AttributeName!$B:$B),"")</f>
        <v>10312</v>
      </c>
      <c r="P385" s="10"/>
      <c r="Q385">
        <v>0.18</v>
      </c>
      <c r="R385">
        <v>0.21</v>
      </c>
      <c r="S385" cm="1">
        <f t="array" ref="S385">IFERROR(_xlfn.SWITCH(L385,1,_xlfn.XLOOKUP(O385,[1]AttributeName!$B:$B,[1]AttributeName!$D:$D),2,_xlfn.XLOOKUP(C385,#REF!,#REF!),3,_xlfn.XLOOKUP(C385,#REF!,#REF!)),0)</f>
        <v>2</v>
      </c>
      <c r="T385" cm="1">
        <f t="array" ref="T385">IFERROR(_xlfn.SWITCH(L385,1,_xlfn.XLOOKUP(O385,[1]AttributeName!$B:$B,[1]AttributeName!$E:$E),2,_xlfn.XLOOKUP(C385,#REF!,#REF!),3,_xlfn.XLOOKUP(C385,#REF!,#REF!)),0)</f>
        <v>2</v>
      </c>
    </row>
    <row r="386" customFormat="1" spans="1:20">
      <c r="A386">
        <f t="shared" si="25"/>
        <v>152</v>
      </c>
      <c r="B386">
        <v>5</v>
      </c>
      <c r="C386" t="s">
        <v>423</v>
      </c>
      <c r="D386" t="s">
        <v>415</v>
      </c>
      <c r="E386" t="s">
        <v>392</v>
      </c>
      <c r="F386"/>
      <c r="G386">
        <v>2</v>
      </c>
      <c r="H386">
        <v>1000</v>
      </c>
      <c r="J386" cm="1">
        <f t="array" ref="J386">_xlfn.SWITCH(B386,1,75,2,61,3,49,4,37,5,25,6,13,7,4,8,1)</f>
        <v>25</v>
      </c>
      <c r="K386" t="str" cm="1">
        <f t="array" ref="K386">IFERROR(_xlfn.SWITCH(L386,2,_xlfn.XLOOKUP(C386,[1]ModifierDes!$B:$B,[1]ModifierDes!$C:$C),3,_xlfn.XLOOKUP(C386,[1]StuntDes!$B:$B,[1]StuntDes!$C:$C)),"")</f>
        <v/>
      </c>
      <c r="L386">
        <f t="shared" si="23"/>
        <v>1</v>
      </c>
      <c r="M386" s="10" t="str">
        <f>IFERROR(_xlfn.XLOOKUP(C386,[1]StuntDes!$B:$B,[1]StuntDes!$A:$A),"")</f>
        <v/>
      </c>
      <c r="N386" s="10" t="str">
        <f>IFERROR(_xlfn.XLOOKUP(C386,[1]ModifierDes!$B:$B,[1]ModifierDes!$A:$A),"")</f>
        <v/>
      </c>
      <c r="O386" s="10">
        <f>IFERROR(_xlfn.XLOOKUP(C386,[1]AttributeName!$C:$C,[1]AttributeName!$B:$B),"")</f>
        <v>10312</v>
      </c>
      <c r="P386" s="10"/>
      <c r="Q386">
        <v>0.14</v>
      </c>
      <c r="R386">
        <v>0.17</v>
      </c>
      <c r="S386" cm="1">
        <f t="array" ref="S386">IFERROR(_xlfn.SWITCH(L386,1,_xlfn.XLOOKUP(O386,[1]AttributeName!$B:$B,[1]AttributeName!$D:$D),2,_xlfn.XLOOKUP(C386,#REF!,#REF!),3,_xlfn.XLOOKUP(C386,#REF!,#REF!)),0)</f>
        <v>2</v>
      </c>
      <c r="T386" cm="1">
        <f t="array" ref="T386">IFERROR(_xlfn.SWITCH(L386,1,_xlfn.XLOOKUP(O386,[1]AttributeName!$B:$B,[1]AttributeName!$E:$E),2,_xlfn.XLOOKUP(C386,#REF!,#REF!),3,_xlfn.XLOOKUP(C386,#REF!,#REF!)),0)</f>
        <v>2</v>
      </c>
    </row>
    <row r="387" customFormat="1" spans="1:20">
      <c r="A387">
        <f t="shared" si="25"/>
        <v>152</v>
      </c>
      <c r="B387">
        <v>6</v>
      </c>
      <c r="C387" t="s">
        <v>423</v>
      </c>
      <c r="D387" t="s">
        <v>415</v>
      </c>
      <c r="E387" t="s">
        <v>392</v>
      </c>
      <c r="F387"/>
      <c r="G387">
        <v>2</v>
      </c>
      <c r="H387">
        <v>1000</v>
      </c>
      <c r="J387" cm="1">
        <f t="array" ref="J387">_xlfn.SWITCH(B387,1,75,2,61,3,49,4,37,5,25,6,13,7,4,8,1)</f>
        <v>13</v>
      </c>
      <c r="K387" t="str" cm="1">
        <f t="array" ref="K387">IFERROR(_xlfn.SWITCH(L387,2,_xlfn.XLOOKUP(C387,[1]ModifierDes!$B:$B,[1]ModifierDes!$C:$C),3,_xlfn.XLOOKUP(C387,[1]StuntDes!$B:$B,[1]StuntDes!$C:$C)),"")</f>
        <v/>
      </c>
      <c r="L387">
        <f t="shared" si="23"/>
        <v>1</v>
      </c>
      <c r="M387" s="10" t="str">
        <f>IFERROR(_xlfn.XLOOKUP(C387,[1]StuntDes!$B:$B,[1]StuntDes!$A:$A),"")</f>
        <v/>
      </c>
      <c r="N387" s="10" t="str">
        <f>IFERROR(_xlfn.XLOOKUP(C387,[1]ModifierDes!$B:$B,[1]ModifierDes!$A:$A),"")</f>
        <v/>
      </c>
      <c r="O387" s="10">
        <f>IFERROR(_xlfn.XLOOKUP(C387,[1]AttributeName!$C:$C,[1]AttributeName!$B:$B),"")</f>
        <v>10312</v>
      </c>
      <c r="P387" s="10"/>
      <c r="Q387">
        <v>0.1</v>
      </c>
      <c r="R387">
        <v>0.13</v>
      </c>
      <c r="S387" cm="1">
        <f t="array" ref="S387">IFERROR(_xlfn.SWITCH(L387,1,_xlfn.XLOOKUP(O387,[1]AttributeName!$B:$B,[1]AttributeName!$D:$D),2,_xlfn.XLOOKUP(C387,#REF!,#REF!),3,_xlfn.XLOOKUP(C387,#REF!,#REF!)),0)</f>
        <v>2</v>
      </c>
      <c r="T387" cm="1">
        <f t="array" ref="T387">IFERROR(_xlfn.SWITCH(L387,1,_xlfn.XLOOKUP(O387,[1]AttributeName!$B:$B,[1]AttributeName!$E:$E),2,_xlfn.XLOOKUP(C387,#REF!,#REF!),3,_xlfn.XLOOKUP(C387,#REF!,#REF!)),0)</f>
        <v>2</v>
      </c>
    </row>
    <row r="388" customFormat="1" spans="1:20">
      <c r="A388">
        <f t="shared" si="25"/>
        <v>152</v>
      </c>
      <c r="B388">
        <v>7</v>
      </c>
      <c r="C388" t="s">
        <v>423</v>
      </c>
      <c r="D388" t="s">
        <v>415</v>
      </c>
      <c r="E388" t="s">
        <v>392</v>
      </c>
      <c r="F388"/>
      <c r="G388">
        <v>2</v>
      </c>
      <c r="H388">
        <v>1000</v>
      </c>
      <c r="J388" cm="1">
        <f t="array" ref="J388">_xlfn.SWITCH(B388,1,75,2,61,3,49,4,37,5,25,6,13,7,4,8,1)</f>
        <v>4</v>
      </c>
      <c r="K388" t="str" cm="1">
        <f t="array" ref="K388">IFERROR(_xlfn.SWITCH(L388,2,_xlfn.XLOOKUP(C388,[1]ModifierDes!$B:$B,[1]ModifierDes!$C:$C),3,_xlfn.XLOOKUP(C388,[1]StuntDes!$B:$B,[1]StuntDes!$C:$C)),"")</f>
        <v/>
      </c>
      <c r="L388">
        <f t="shared" ref="L388:L451" si="26">IF(M388="",IF(N388="",1,2),3)</f>
        <v>1</v>
      </c>
      <c r="M388" s="10" t="str">
        <f>IFERROR(_xlfn.XLOOKUP(C388,[1]StuntDes!$B:$B,[1]StuntDes!$A:$A),"")</f>
        <v/>
      </c>
      <c r="N388" s="10" t="str">
        <f>IFERROR(_xlfn.XLOOKUP(C388,[1]ModifierDes!$B:$B,[1]ModifierDes!$A:$A),"")</f>
        <v/>
      </c>
      <c r="O388" s="10">
        <f>IFERROR(_xlfn.XLOOKUP(C388,[1]AttributeName!$C:$C,[1]AttributeName!$B:$B),"")</f>
        <v>10312</v>
      </c>
      <c r="P388" s="10"/>
      <c r="Q388">
        <v>0.06</v>
      </c>
      <c r="R388">
        <v>0.0900000000000001</v>
      </c>
      <c r="S388" cm="1">
        <f t="array" ref="S388">IFERROR(_xlfn.SWITCH(L388,1,_xlfn.XLOOKUP(O388,[1]AttributeName!$B:$B,[1]AttributeName!$D:$D),2,_xlfn.XLOOKUP(C388,#REF!,#REF!),3,_xlfn.XLOOKUP(C388,#REF!,#REF!)),0)</f>
        <v>2</v>
      </c>
      <c r="T388" cm="1">
        <f t="array" ref="T388">IFERROR(_xlfn.SWITCH(L388,1,_xlfn.XLOOKUP(O388,[1]AttributeName!$B:$B,[1]AttributeName!$E:$E),2,_xlfn.XLOOKUP(C388,#REF!,#REF!),3,_xlfn.XLOOKUP(C388,#REF!,#REF!)),0)</f>
        <v>2</v>
      </c>
    </row>
    <row r="389" customFormat="1" spans="1:20">
      <c r="A389">
        <f t="shared" si="25"/>
        <v>152</v>
      </c>
      <c r="B389">
        <v>8</v>
      </c>
      <c r="C389" t="s">
        <v>423</v>
      </c>
      <c r="D389" t="s">
        <v>415</v>
      </c>
      <c r="E389" t="s">
        <v>392</v>
      </c>
      <c r="F389"/>
      <c r="G389">
        <v>2</v>
      </c>
      <c r="H389">
        <v>1000</v>
      </c>
      <c r="J389" cm="1">
        <f t="array" ref="J389">_xlfn.SWITCH(B389,1,75,2,61,3,49,4,37,5,25,6,13,7,4,8,1)</f>
        <v>1</v>
      </c>
      <c r="K389" t="str" cm="1">
        <f t="array" ref="K389">IFERROR(_xlfn.SWITCH(L389,2,_xlfn.XLOOKUP(C389,[1]ModifierDes!$B:$B,[1]ModifierDes!$C:$C),3,_xlfn.XLOOKUP(C389,[1]StuntDes!$B:$B,[1]StuntDes!$C:$C)),"")</f>
        <v/>
      </c>
      <c r="L389">
        <f t="shared" si="26"/>
        <v>1</v>
      </c>
      <c r="M389" s="10" t="str">
        <f>IFERROR(_xlfn.XLOOKUP(C389,[1]StuntDes!$B:$B,[1]StuntDes!$A:$A),"")</f>
        <v/>
      </c>
      <c r="N389" s="10" t="str">
        <f>IFERROR(_xlfn.XLOOKUP(C389,[1]ModifierDes!$B:$B,[1]ModifierDes!$A:$A),"")</f>
        <v/>
      </c>
      <c r="O389" s="10">
        <f>IFERROR(_xlfn.XLOOKUP(C389,[1]AttributeName!$C:$C,[1]AttributeName!$B:$B),"")</f>
        <v>10312</v>
      </c>
      <c r="P389" s="10"/>
      <c r="Q389">
        <v>0.02</v>
      </c>
      <c r="R389">
        <v>0.0500000000000001</v>
      </c>
      <c r="S389" cm="1">
        <f t="array" ref="S389">IFERROR(_xlfn.SWITCH(L389,1,_xlfn.XLOOKUP(O389,[1]AttributeName!$B:$B,[1]AttributeName!$D:$D),2,_xlfn.XLOOKUP(C389,#REF!,#REF!),3,_xlfn.XLOOKUP(C389,#REF!,#REF!)),0)</f>
        <v>2</v>
      </c>
      <c r="T389" cm="1">
        <f t="array" ref="T389">IFERROR(_xlfn.SWITCH(L389,1,_xlfn.XLOOKUP(O389,[1]AttributeName!$B:$B,[1]AttributeName!$E:$E),2,_xlfn.XLOOKUP(C389,#REF!,#REF!),3,_xlfn.XLOOKUP(C389,#REF!,#REF!)),0)</f>
        <v>2</v>
      </c>
    </row>
    <row r="390" customFormat="1" spans="1:20">
      <c r="A390">
        <f t="shared" si="25"/>
        <v>153</v>
      </c>
      <c r="B390">
        <v>1</v>
      </c>
      <c r="C390" t="s">
        <v>424</v>
      </c>
      <c r="D390" t="s">
        <v>415</v>
      </c>
      <c r="E390" t="s">
        <v>392</v>
      </c>
      <c r="F390"/>
      <c r="G390">
        <v>2</v>
      </c>
      <c r="H390">
        <v>250</v>
      </c>
      <c r="J390" cm="1">
        <f t="array" ref="J390">_xlfn.SWITCH(B390,1,75,2,61,3,49,4,37,5,25,6,13,7,4,8,1)</f>
        <v>75</v>
      </c>
      <c r="K390" t="str" cm="1">
        <f t="array" ref="K390">IFERROR(_xlfn.SWITCH(L390,2,_xlfn.XLOOKUP(C390,[1]ModifierDes!$B:$B,[1]ModifierDes!$C:$C),3,_xlfn.XLOOKUP(C390,[1]StuntDes!$B:$B,[1]StuntDes!$C:$C)),"")</f>
        <v/>
      </c>
      <c r="L390">
        <f t="shared" si="26"/>
        <v>1</v>
      </c>
      <c r="M390" s="10" t="str">
        <f>IFERROR(_xlfn.XLOOKUP(C390,[1]StuntDes!$B:$B,[1]StuntDes!$A:$A),"")</f>
        <v/>
      </c>
      <c r="N390" s="10" t="str">
        <f>IFERROR(_xlfn.XLOOKUP(C390,[1]ModifierDes!$B:$B,[1]ModifierDes!$A:$A),"")</f>
        <v/>
      </c>
      <c r="O390" s="10">
        <f>IFERROR(_xlfn.XLOOKUP(C390,[1]AttributeName!$C:$C,[1]AttributeName!$B:$B),"")</f>
        <v>10313</v>
      </c>
      <c r="P390" s="10"/>
      <c r="Q390">
        <v>0.3</v>
      </c>
      <c r="R390">
        <v>0.4</v>
      </c>
      <c r="S390" cm="1">
        <f t="array" ref="S390">IFERROR(_xlfn.SWITCH(L390,1,_xlfn.XLOOKUP(O390,[1]AttributeName!$B:$B,[1]AttributeName!$D:$D),2,_xlfn.XLOOKUP(C390,#REF!,#REF!),3,_xlfn.XLOOKUP(C390,#REF!,#REF!)),0)</f>
        <v>2</v>
      </c>
      <c r="T390" cm="1">
        <f t="array" ref="T390">IFERROR(_xlfn.SWITCH(L390,1,_xlfn.XLOOKUP(O390,[1]AttributeName!$B:$B,[1]AttributeName!$E:$E),2,_xlfn.XLOOKUP(C390,#REF!,#REF!),3,_xlfn.XLOOKUP(C390,#REF!,#REF!)),0)</f>
        <v>2</v>
      </c>
    </row>
    <row r="391" customFormat="1" spans="1:20">
      <c r="A391">
        <f t="shared" si="25"/>
        <v>153</v>
      </c>
      <c r="B391">
        <v>2</v>
      </c>
      <c r="C391" t="s">
        <v>424</v>
      </c>
      <c r="D391" t="s">
        <v>415</v>
      </c>
      <c r="E391" t="s">
        <v>392</v>
      </c>
      <c r="F391"/>
      <c r="G391">
        <v>2</v>
      </c>
      <c r="H391">
        <v>500</v>
      </c>
      <c r="J391" cm="1">
        <f t="array" ref="J391">_xlfn.SWITCH(B391,1,75,2,61,3,49,4,37,5,25,6,13,7,4,8,1)</f>
        <v>61</v>
      </c>
      <c r="K391" t="str" cm="1">
        <f t="array" ref="K391">IFERROR(_xlfn.SWITCH(L391,2,_xlfn.XLOOKUP(C391,[1]ModifierDes!$B:$B,[1]ModifierDes!$C:$C),3,_xlfn.XLOOKUP(C391,[1]StuntDes!$B:$B,[1]StuntDes!$C:$C)),"")</f>
        <v/>
      </c>
      <c r="L391">
        <f t="shared" si="26"/>
        <v>1</v>
      </c>
      <c r="M391" s="10" t="str">
        <f>IFERROR(_xlfn.XLOOKUP(C391,[1]StuntDes!$B:$B,[1]StuntDes!$A:$A),"")</f>
        <v/>
      </c>
      <c r="N391" s="10" t="str">
        <f>IFERROR(_xlfn.XLOOKUP(C391,[1]ModifierDes!$B:$B,[1]ModifierDes!$A:$A),"")</f>
        <v/>
      </c>
      <c r="O391" s="10">
        <f>IFERROR(_xlfn.XLOOKUP(C391,[1]AttributeName!$C:$C,[1]AttributeName!$B:$B),"")</f>
        <v>10313</v>
      </c>
      <c r="P391" s="10"/>
      <c r="Q391">
        <v>0.26</v>
      </c>
      <c r="R391">
        <v>0.29</v>
      </c>
      <c r="S391" cm="1">
        <f t="array" ref="S391">IFERROR(_xlfn.SWITCH(L391,1,_xlfn.XLOOKUP(O391,[1]AttributeName!$B:$B,[1]AttributeName!$D:$D),2,_xlfn.XLOOKUP(C391,#REF!,#REF!),3,_xlfn.XLOOKUP(C391,#REF!,#REF!)),0)</f>
        <v>2</v>
      </c>
      <c r="T391" cm="1">
        <f t="array" ref="T391">IFERROR(_xlfn.SWITCH(L391,1,_xlfn.XLOOKUP(O391,[1]AttributeName!$B:$B,[1]AttributeName!$E:$E),2,_xlfn.XLOOKUP(C391,#REF!,#REF!),3,_xlfn.XLOOKUP(C391,#REF!,#REF!)),0)</f>
        <v>2</v>
      </c>
    </row>
    <row r="392" customFormat="1" spans="1:20">
      <c r="A392">
        <f t="shared" si="25"/>
        <v>153</v>
      </c>
      <c r="B392">
        <v>3</v>
      </c>
      <c r="C392" t="s">
        <v>424</v>
      </c>
      <c r="D392" t="s">
        <v>415</v>
      </c>
      <c r="E392" t="s">
        <v>392</v>
      </c>
      <c r="F392"/>
      <c r="G392">
        <v>2</v>
      </c>
      <c r="H392">
        <v>750</v>
      </c>
      <c r="J392" cm="1">
        <f t="array" ref="J392">_xlfn.SWITCH(B392,1,75,2,61,3,49,4,37,5,25,6,13,7,4,8,1)</f>
        <v>49</v>
      </c>
      <c r="K392" t="str" cm="1">
        <f t="array" ref="K392">IFERROR(_xlfn.SWITCH(L392,2,_xlfn.XLOOKUP(C392,[1]ModifierDes!$B:$B,[1]ModifierDes!$C:$C),3,_xlfn.XLOOKUP(C392,[1]StuntDes!$B:$B,[1]StuntDes!$C:$C)),"")</f>
        <v/>
      </c>
      <c r="L392">
        <f t="shared" si="26"/>
        <v>1</v>
      </c>
      <c r="M392" s="10" t="str">
        <f>IFERROR(_xlfn.XLOOKUP(C392,[1]StuntDes!$B:$B,[1]StuntDes!$A:$A),"")</f>
        <v/>
      </c>
      <c r="N392" s="10" t="str">
        <f>IFERROR(_xlfn.XLOOKUP(C392,[1]ModifierDes!$B:$B,[1]ModifierDes!$A:$A),"")</f>
        <v/>
      </c>
      <c r="O392" s="10">
        <f>IFERROR(_xlfn.XLOOKUP(C392,[1]AttributeName!$C:$C,[1]AttributeName!$B:$B),"")</f>
        <v>10313</v>
      </c>
      <c r="P392" s="10"/>
      <c r="Q392">
        <v>0.22</v>
      </c>
      <c r="R392">
        <v>0.25</v>
      </c>
      <c r="S392" cm="1">
        <f t="array" ref="S392">IFERROR(_xlfn.SWITCH(L392,1,_xlfn.XLOOKUP(O392,[1]AttributeName!$B:$B,[1]AttributeName!$D:$D),2,_xlfn.XLOOKUP(C392,#REF!,#REF!),3,_xlfn.XLOOKUP(C392,#REF!,#REF!)),0)</f>
        <v>2</v>
      </c>
      <c r="T392" cm="1">
        <f t="array" ref="T392">IFERROR(_xlfn.SWITCH(L392,1,_xlfn.XLOOKUP(O392,[1]AttributeName!$B:$B,[1]AttributeName!$E:$E),2,_xlfn.XLOOKUP(C392,#REF!,#REF!),3,_xlfn.XLOOKUP(C392,#REF!,#REF!)),0)</f>
        <v>2</v>
      </c>
    </row>
    <row r="393" customFormat="1" spans="1:20">
      <c r="A393">
        <f t="shared" si="25"/>
        <v>153</v>
      </c>
      <c r="B393">
        <v>4</v>
      </c>
      <c r="C393" t="s">
        <v>424</v>
      </c>
      <c r="D393" t="s">
        <v>415</v>
      </c>
      <c r="E393" t="s">
        <v>392</v>
      </c>
      <c r="F393"/>
      <c r="G393">
        <v>2</v>
      </c>
      <c r="H393">
        <v>1000</v>
      </c>
      <c r="J393" cm="1">
        <f t="array" ref="J393">_xlfn.SWITCH(B393,1,75,2,61,3,49,4,37,5,25,6,13,7,4,8,1)</f>
        <v>37</v>
      </c>
      <c r="K393" t="str" cm="1">
        <f t="array" ref="K393">IFERROR(_xlfn.SWITCH(L393,2,_xlfn.XLOOKUP(C393,[1]ModifierDes!$B:$B,[1]ModifierDes!$C:$C),3,_xlfn.XLOOKUP(C393,[1]StuntDes!$B:$B,[1]StuntDes!$C:$C)),"")</f>
        <v/>
      </c>
      <c r="L393">
        <f t="shared" si="26"/>
        <v>1</v>
      </c>
      <c r="M393" s="10" t="str">
        <f>IFERROR(_xlfn.XLOOKUP(C393,[1]StuntDes!$B:$B,[1]StuntDes!$A:$A),"")</f>
        <v/>
      </c>
      <c r="N393" s="10" t="str">
        <f>IFERROR(_xlfn.XLOOKUP(C393,[1]ModifierDes!$B:$B,[1]ModifierDes!$A:$A),"")</f>
        <v/>
      </c>
      <c r="O393" s="10">
        <f>IFERROR(_xlfn.XLOOKUP(C393,[1]AttributeName!$C:$C,[1]AttributeName!$B:$B),"")</f>
        <v>10313</v>
      </c>
      <c r="P393" s="10"/>
      <c r="Q393">
        <v>0.18</v>
      </c>
      <c r="R393">
        <v>0.21</v>
      </c>
      <c r="S393" cm="1">
        <f t="array" ref="S393">IFERROR(_xlfn.SWITCH(L393,1,_xlfn.XLOOKUP(O393,[1]AttributeName!$B:$B,[1]AttributeName!$D:$D),2,_xlfn.XLOOKUP(C393,#REF!,#REF!),3,_xlfn.XLOOKUP(C393,#REF!,#REF!)),0)</f>
        <v>2</v>
      </c>
      <c r="T393" cm="1">
        <f t="array" ref="T393">IFERROR(_xlfn.SWITCH(L393,1,_xlfn.XLOOKUP(O393,[1]AttributeName!$B:$B,[1]AttributeName!$E:$E),2,_xlfn.XLOOKUP(C393,#REF!,#REF!),3,_xlfn.XLOOKUP(C393,#REF!,#REF!)),0)</f>
        <v>2</v>
      </c>
    </row>
    <row r="394" customFormat="1" spans="1:20">
      <c r="A394">
        <f t="shared" si="25"/>
        <v>153</v>
      </c>
      <c r="B394">
        <v>5</v>
      </c>
      <c r="C394" t="s">
        <v>424</v>
      </c>
      <c r="D394" t="s">
        <v>415</v>
      </c>
      <c r="E394" t="s">
        <v>392</v>
      </c>
      <c r="F394"/>
      <c r="G394">
        <v>2</v>
      </c>
      <c r="H394">
        <v>1000</v>
      </c>
      <c r="J394" cm="1">
        <f t="array" ref="J394">_xlfn.SWITCH(B394,1,75,2,61,3,49,4,37,5,25,6,13,7,4,8,1)</f>
        <v>25</v>
      </c>
      <c r="K394" t="str" cm="1">
        <f t="array" ref="K394">IFERROR(_xlfn.SWITCH(L394,2,_xlfn.XLOOKUP(C394,[1]ModifierDes!$B:$B,[1]ModifierDes!$C:$C),3,_xlfn.XLOOKUP(C394,[1]StuntDes!$B:$B,[1]StuntDes!$C:$C)),"")</f>
        <v/>
      </c>
      <c r="L394">
        <f t="shared" si="26"/>
        <v>1</v>
      </c>
      <c r="M394" s="10" t="str">
        <f>IFERROR(_xlfn.XLOOKUP(C394,[1]StuntDes!$B:$B,[1]StuntDes!$A:$A),"")</f>
        <v/>
      </c>
      <c r="N394" s="10" t="str">
        <f>IFERROR(_xlfn.XLOOKUP(C394,[1]ModifierDes!$B:$B,[1]ModifierDes!$A:$A),"")</f>
        <v/>
      </c>
      <c r="O394" s="10">
        <f>IFERROR(_xlfn.XLOOKUP(C394,[1]AttributeName!$C:$C,[1]AttributeName!$B:$B),"")</f>
        <v>10313</v>
      </c>
      <c r="P394" s="10"/>
      <c r="Q394">
        <v>0.14</v>
      </c>
      <c r="R394">
        <v>0.17</v>
      </c>
      <c r="S394" cm="1">
        <f t="array" ref="S394">IFERROR(_xlfn.SWITCH(L394,1,_xlfn.XLOOKUP(O394,[1]AttributeName!$B:$B,[1]AttributeName!$D:$D),2,_xlfn.XLOOKUP(C394,#REF!,#REF!),3,_xlfn.XLOOKUP(C394,#REF!,#REF!)),0)</f>
        <v>2</v>
      </c>
      <c r="T394" cm="1">
        <f t="array" ref="T394">IFERROR(_xlfn.SWITCH(L394,1,_xlfn.XLOOKUP(O394,[1]AttributeName!$B:$B,[1]AttributeName!$E:$E),2,_xlfn.XLOOKUP(C394,#REF!,#REF!),3,_xlfn.XLOOKUP(C394,#REF!,#REF!)),0)</f>
        <v>2</v>
      </c>
    </row>
    <row r="395" customFormat="1" spans="1:20">
      <c r="A395">
        <f t="shared" si="25"/>
        <v>153</v>
      </c>
      <c r="B395">
        <v>6</v>
      </c>
      <c r="C395" t="s">
        <v>424</v>
      </c>
      <c r="D395" t="s">
        <v>415</v>
      </c>
      <c r="E395" t="s">
        <v>392</v>
      </c>
      <c r="F395"/>
      <c r="G395">
        <v>2</v>
      </c>
      <c r="H395">
        <v>1000</v>
      </c>
      <c r="J395" cm="1">
        <f t="array" ref="J395">_xlfn.SWITCH(B395,1,75,2,61,3,49,4,37,5,25,6,13,7,4,8,1)</f>
        <v>13</v>
      </c>
      <c r="K395" t="str" cm="1">
        <f t="array" ref="K395">IFERROR(_xlfn.SWITCH(L395,2,_xlfn.XLOOKUP(C395,[1]ModifierDes!$B:$B,[1]ModifierDes!$C:$C),3,_xlfn.XLOOKUP(C395,[1]StuntDes!$B:$B,[1]StuntDes!$C:$C)),"")</f>
        <v/>
      </c>
      <c r="L395">
        <f t="shared" si="26"/>
        <v>1</v>
      </c>
      <c r="M395" s="10" t="str">
        <f>IFERROR(_xlfn.XLOOKUP(C395,[1]StuntDes!$B:$B,[1]StuntDes!$A:$A),"")</f>
        <v/>
      </c>
      <c r="N395" s="10" t="str">
        <f>IFERROR(_xlfn.XLOOKUP(C395,[1]ModifierDes!$B:$B,[1]ModifierDes!$A:$A),"")</f>
        <v/>
      </c>
      <c r="O395" s="10">
        <f>IFERROR(_xlfn.XLOOKUP(C395,[1]AttributeName!$C:$C,[1]AttributeName!$B:$B),"")</f>
        <v>10313</v>
      </c>
      <c r="P395" s="10"/>
      <c r="Q395">
        <v>0.1</v>
      </c>
      <c r="R395">
        <v>0.13</v>
      </c>
      <c r="S395" cm="1">
        <f t="array" ref="S395">IFERROR(_xlfn.SWITCH(L395,1,_xlfn.XLOOKUP(O395,[1]AttributeName!$B:$B,[1]AttributeName!$D:$D),2,_xlfn.XLOOKUP(C395,#REF!,#REF!),3,_xlfn.XLOOKUP(C395,#REF!,#REF!)),0)</f>
        <v>2</v>
      </c>
      <c r="T395" cm="1">
        <f t="array" ref="T395">IFERROR(_xlfn.SWITCH(L395,1,_xlfn.XLOOKUP(O395,[1]AttributeName!$B:$B,[1]AttributeName!$E:$E),2,_xlfn.XLOOKUP(C395,#REF!,#REF!),3,_xlfn.XLOOKUP(C395,#REF!,#REF!)),0)</f>
        <v>2</v>
      </c>
    </row>
    <row r="396" customFormat="1" spans="1:20">
      <c r="A396">
        <f t="shared" si="25"/>
        <v>153</v>
      </c>
      <c r="B396">
        <v>7</v>
      </c>
      <c r="C396" t="s">
        <v>424</v>
      </c>
      <c r="D396" t="s">
        <v>415</v>
      </c>
      <c r="E396" t="s">
        <v>392</v>
      </c>
      <c r="F396"/>
      <c r="G396">
        <v>2</v>
      </c>
      <c r="H396">
        <v>1000</v>
      </c>
      <c r="J396" cm="1">
        <f t="array" ref="J396">_xlfn.SWITCH(B396,1,75,2,61,3,49,4,37,5,25,6,13,7,4,8,1)</f>
        <v>4</v>
      </c>
      <c r="K396" t="str" cm="1">
        <f t="array" ref="K396">IFERROR(_xlfn.SWITCH(L396,2,_xlfn.XLOOKUP(C396,[1]ModifierDes!$B:$B,[1]ModifierDes!$C:$C),3,_xlfn.XLOOKUP(C396,[1]StuntDes!$B:$B,[1]StuntDes!$C:$C)),"")</f>
        <v/>
      </c>
      <c r="L396">
        <f t="shared" si="26"/>
        <v>1</v>
      </c>
      <c r="M396" s="10" t="str">
        <f>IFERROR(_xlfn.XLOOKUP(C396,[1]StuntDes!$B:$B,[1]StuntDes!$A:$A),"")</f>
        <v/>
      </c>
      <c r="N396" s="10" t="str">
        <f>IFERROR(_xlfn.XLOOKUP(C396,[1]ModifierDes!$B:$B,[1]ModifierDes!$A:$A),"")</f>
        <v/>
      </c>
      <c r="O396" s="10">
        <f>IFERROR(_xlfn.XLOOKUP(C396,[1]AttributeName!$C:$C,[1]AttributeName!$B:$B),"")</f>
        <v>10313</v>
      </c>
      <c r="P396" s="10"/>
      <c r="Q396">
        <v>0.06</v>
      </c>
      <c r="R396">
        <v>0.0900000000000001</v>
      </c>
      <c r="S396" cm="1">
        <f t="array" ref="S396">IFERROR(_xlfn.SWITCH(L396,1,_xlfn.XLOOKUP(O396,[1]AttributeName!$B:$B,[1]AttributeName!$D:$D),2,_xlfn.XLOOKUP(C396,#REF!,#REF!),3,_xlfn.XLOOKUP(C396,#REF!,#REF!)),0)</f>
        <v>2</v>
      </c>
      <c r="T396" cm="1">
        <f t="array" ref="T396">IFERROR(_xlfn.SWITCH(L396,1,_xlfn.XLOOKUP(O396,[1]AttributeName!$B:$B,[1]AttributeName!$E:$E),2,_xlfn.XLOOKUP(C396,#REF!,#REF!),3,_xlfn.XLOOKUP(C396,#REF!,#REF!)),0)</f>
        <v>2</v>
      </c>
    </row>
    <row r="397" customFormat="1" spans="1:20">
      <c r="A397">
        <f t="shared" si="25"/>
        <v>153</v>
      </c>
      <c r="B397">
        <v>8</v>
      </c>
      <c r="C397" t="s">
        <v>424</v>
      </c>
      <c r="D397" t="s">
        <v>415</v>
      </c>
      <c r="E397" t="s">
        <v>392</v>
      </c>
      <c r="F397"/>
      <c r="G397">
        <v>2</v>
      </c>
      <c r="H397">
        <v>1000</v>
      </c>
      <c r="J397" cm="1">
        <f t="array" ref="J397">_xlfn.SWITCH(B397,1,75,2,61,3,49,4,37,5,25,6,13,7,4,8,1)</f>
        <v>1</v>
      </c>
      <c r="K397" t="str" cm="1">
        <f t="array" ref="K397">IFERROR(_xlfn.SWITCH(L397,2,_xlfn.XLOOKUP(C397,[1]ModifierDes!$B:$B,[1]ModifierDes!$C:$C),3,_xlfn.XLOOKUP(C397,[1]StuntDes!$B:$B,[1]StuntDes!$C:$C)),"")</f>
        <v/>
      </c>
      <c r="L397">
        <f t="shared" si="26"/>
        <v>1</v>
      </c>
      <c r="M397" s="10" t="str">
        <f>IFERROR(_xlfn.XLOOKUP(C397,[1]StuntDes!$B:$B,[1]StuntDes!$A:$A),"")</f>
        <v/>
      </c>
      <c r="N397" s="10" t="str">
        <f>IFERROR(_xlfn.XLOOKUP(C397,[1]ModifierDes!$B:$B,[1]ModifierDes!$A:$A),"")</f>
        <v/>
      </c>
      <c r="O397" s="10">
        <f>IFERROR(_xlfn.XLOOKUP(C397,[1]AttributeName!$C:$C,[1]AttributeName!$B:$B),"")</f>
        <v>10313</v>
      </c>
      <c r="P397" s="10"/>
      <c r="Q397">
        <v>0.02</v>
      </c>
      <c r="R397">
        <v>0.0500000000000001</v>
      </c>
      <c r="S397" cm="1">
        <f t="array" ref="S397">IFERROR(_xlfn.SWITCH(L397,1,_xlfn.XLOOKUP(O397,[1]AttributeName!$B:$B,[1]AttributeName!$D:$D),2,_xlfn.XLOOKUP(C397,#REF!,#REF!),3,_xlfn.XLOOKUP(C397,#REF!,#REF!)),0)</f>
        <v>2</v>
      </c>
      <c r="T397" cm="1">
        <f t="array" ref="T397">IFERROR(_xlfn.SWITCH(L397,1,_xlfn.XLOOKUP(O397,[1]AttributeName!$B:$B,[1]AttributeName!$E:$E),2,_xlfn.XLOOKUP(C397,#REF!,#REF!),3,_xlfn.XLOOKUP(C397,#REF!,#REF!)),0)</f>
        <v>2</v>
      </c>
    </row>
    <row r="398" customFormat="1" spans="1:20">
      <c r="A398">
        <f t="shared" si="25"/>
        <v>154</v>
      </c>
      <c r="B398">
        <v>1</v>
      </c>
      <c r="C398" t="s">
        <v>425</v>
      </c>
      <c r="D398" t="s">
        <v>415</v>
      </c>
      <c r="E398" t="s">
        <v>392</v>
      </c>
      <c r="F398"/>
      <c r="G398">
        <v>2</v>
      </c>
      <c r="H398">
        <v>250</v>
      </c>
      <c r="J398" cm="1">
        <f t="array" ref="J398">_xlfn.SWITCH(B398,1,75,2,61,3,49,4,37,5,25,6,13,7,4,8,1)</f>
        <v>75</v>
      </c>
      <c r="K398" t="str" cm="1">
        <f t="array" ref="K398">IFERROR(_xlfn.SWITCH(L398,2,_xlfn.XLOOKUP(C398,[1]ModifierDes!$B:$B,[1]ModifierDes!$C:$C),3,_xlfn.XLOOKUP(C398,[1]StuntDes!$B:$B,[1]StuntDes!$C:$C)),"")</f>
        <v/>
      </c>
      <c r="L398">
        <f t="shared" si="26"/>
        <v>1</v>
      </c>
      <c r="M398" s="10" t="str">
        <f>IFERROR(_xlfn.XLOOKUP(C398,[1]StuntDes!$B:$B,[1]StuntDes!$A:$A),"")</f>
        <v/>
      </c>
      <c r="N398" s="10" t="str">
        <f>IFERROR(_xlfn.XLOOKUP(C398,[1]ModifierDes!$B:$B,[1]ModifierDes!$A:$A),"")</f>
        <v/>
      </c>
      <c r="O398" s="10">
        <f>IFERROR(_xlfn.XLOOKUP(C398,[1]AttributeName!$C:$C,[1]AttributeName!$B:$B),"")</f>
        <v>10314</v>
      </c>
      <c r="P398" s="10"/>
      <c r="Q398">
        <v>0.3</v>
      </c>
      <c r="R398">
        <v>0.4</v>
      </c>
      <c r="S398" cm="1">
        <f t="array" ref="S398">IFERROR(_xlfn.SWITCH(L398,1,_xlfn.XLOOKUP(O398,[1]AttributeName!$B:$B,[1]AttributeName!$D:$D),2,_xlfn.XLOOKUP(C398,#REF!,#REF!),3,_xlfn.XLOOKUP(C398,#REF!,#REF!)),0)</f>
        <v>2</v>
      </c>
      <c r="T398" cm="1">
        <f t="array" ref="T398">IFERROR(_xlfn.SWITCH(L398,1,_xlfn.XLOOKUP(O398,[1]AttributeName!$B:$B,[1]AttributeName!$E:$E),2,_xlfn.XLOOKUP(C398,#REF!,#REF!),3,_xlfn.XLOOKUP(C398,#REF!,#REF!)),0)</f>
        <v>2</v>
      </c>
    </row>
    <row r="399" customFormat="1" spans="1:20">
      <c r="A399">
        <f t="shared" si="25"/>
        <v>154</v>
      </c>
      <c r="B399">
        <v>2</v>
      </c>
      <c r="C399" t="s">
        <v>425</v>
      </c>
      <c r="D399" t="s">
        <v>415</v>
      </c>
      <c r="E399" t="s">
        <v>392</v>
      </c>
      <c r="F399"/>
      <c r="G399">
        <v>2</v>
      </c>
      <c r="H399">
        <v>500</v>
      </c>
      <c r="J399" cm="1">
        <f t="array" ref="J399">_xlfn.SWITCH(B399,1,75,2,61,3,49,4,37,5,25,6,13,7,4,8,1)</f>
        <v>61</v>
      </c>
      <c r="K399" t="str" cm="1">
        <f t="array" ref="K399">IFERROR(_xlfn.SWITCH(L399,2,_xlfn.XLOOKUP(C399,[1]ModifierDes!$B:$B,[1]ModifierDes!$C:$C),3,_xlfn.XLOOKUP(C399,[1]StuntDes!$B:$B,[1]StuntDes!$C:$C)),"")</f>
        <v/>
      </c>
      <c r="L399">
        <f t="shared" si="26"/>
        <v>1</v>
      </c>
      <c r="M399" s="10" t="str">
        <f>IFERROR(_xlfn.XLOOKUP(C399,[1]StuntDes!$B:$B,[1]StuntDes!$A:$A),"")</f>
        <v/>
      </c>
      <c r="N399" s="10" t="str">
        <f>IFERROR(_xlfn.XLOOKUP(C399,[1]ModifierDes!$B:$B,[1]ModifierDes!$A:$A),"")</f>
        <v/>
      </c>
      <c r="O399" s="10">
        <f>IFERROR(_xlfn.XLOOKUP(C399,[1]AttributeName!$C:$C,[1]AttributeName!$B:$B),"")</f>
        <v>10314</v>
      </c>
      <c r="P399" s="10"/>
      <c r="Q399">
        <v>0.26</v>
      </c>
      <c r="R399">
        <v>0.29</v>
      </c>
      <c r="S399" cm="1">
        <f t="array" ref="S399">IFERROR(_xlfn.SWITCH(L399,1,_xlfn.XLOOKUP(O399,[1]AttributeName!$B:$B,[1]AttributeName!$D:$D),2,_xlfn.XLOOKUP(C399,#REF!,#REF!),3,_xlfn.XLOOKUP(C399,#REF!,#REF!)),0)</f>
        <v>2</v>
      </c>
      <c r="T399" cm="1">
        <f t="array" ref="T399">IFERROR(_xlfn.SWITCH(L399,1,_xlfn.XLOOKUP(O399,[1]AttributeName!$B:$B,[1]AttributeName!$E:$E),2,_xlfn.XLOOKUP(C399,#REF!,#REF!),3,_xlfn.XLOOKUP(C399,#REF!,#REF!)),0)</f>
        <v>2</v>
      </c>
    </row>
    <row r="400" customFormat="1" spans="1:20">
      <c r="A400">
        <f t="shared" si="25"/>
        <v>154</v>
      </c>
      <c r="B400">
        <v>3</v>
      </c>
      <c r="C400" t="s">
        <v>425</v>
      </c>
      <c r="D400" t="s">
        <v>415</v>
      </c>
      <c r="E400" t="s">
        <v>392</v>
      </c>
      <c r="F400"/>
      <c r="G400">
        <v>2</v>
      </c>
      <c r="H400">
        <v>750</v>
      </c>
      <c r="J400" cm="1">
        <f t="array" ref="J400">_xlfn.SWITCH(B400,1,75,2,61,3,49,4,37,5,25,6,13,7,4,8,1)</f>
        <v>49</v>
      </c>
      <c r="K400" t="str" cm="1">
        <f t="array" ref="K400">IFERROR(_xlfn.SWITCH(L400,2,_xlfn.XLOOKUP(C400,[1]ModifierDes!$B:$B,[1]ModifierDes!$C:$C),3,_xlfn.XLOOKUP(C400,[1]StuntDes!$B:$B,[1]StuntDes!$C:$C)),"")</f>
        <v/>
      </c>
      <c r="L400">
        <f t="shared" si="26"/>
        <v>1</v>
      </c>
      <c r="M400" s="10" t="str">
        <f>IFERROR(_xlfn.XLOOKUP(C400,[1]StuntDes!$B:$B,[1]StuntDes!$A:$A),"")</f>
        <v/>
      </c>
      <c r="N400" s="10" t="str">
        <f>IFERROR(_xlfn.XLOOKUP(C400,[1]ModifierDes!$B:$B,[1]ModifierDes!$A:$A),"")</f>
        <v/>
      </c>
      <c r="O400" s="10">
        <f>IFERROR(_xlfn.XLOOKUP(C400,[1]AttributeName!$C:$C,[1]AttributeName!$B:$B),"")</f>
        <v>10314</v>
      </c>
      <c r="P400" s="10"/>
      <c r="Q400">
        <v>0.22</v>
      </c>
      <c r="R400">
        <v>0.25</v>
      </c>
      <c r="S400" cm="1">
        <f t="array" ref="S400">IFERROR(_xlfn.SWITCH(L400,1,_xlfn.XLOOKUP(O400,[1]AttributeName!$B:$B,[1]AttributeName!$D:$D),2,_xlfn.XLOOKUP(C400,#REF!,#REF!),3,_xlfn.XLOOKUP(C400,#REF!,#REF!)),0)</f>
        <v>2</v>
      </c>
      <c r="T400" cm="1">
        <f t="array" ref="T400">IFERROR(_xlfn.SWITCH(L400,1,_xlfn.XLOOKUP(O400,[1]AttributeName!$B:$B,[1]AttributeName!$E:$E),2,_xlfn.XLOOKUP(C400,#REF!,#REF!),3,_xlfn.XLOOKUP(C400,#REF!,#REF!)),0)</f>
        <v>2</v>
      </c>
    </row>
    <row r="401" customFormat="1" spans="1:20">
      <c r="A401">
        <f t="shared" si="25"/>
        <v>154</v>
      </c>
      <c r="B401">
        <v>4</v>
      </c>
      <c r="C401" t="s">
        <v>425</v>
      </c>
      <c r="D401" t="s">
        <v>415</v>
      </c>
      <c r="E401" t="s">
        <v>392</v>
      </c>
      <c r="F401"/>
      <c r="G401">
        <v>2</v>
      </c>
      <c r="H401">
        <v>1000</v>
      </c>
      <c r="J401" cm="1">
        <f t="array" ref="J401">_xlfn.SWITCH(B401,1,75,2,61,3,49,4,37,5,25,6,13,7,4,8,1)</f>
        <v>37</v>
      </c>
      <c r="K401" t="str" cm="1">
        <f t="array" ref="K401">IFERROR(_xlfn.SWITCH(L401,2,_xlfn.XLOOKUP(C401,[1]ModifierDes!$B:$B,[1]ModifierDes!$C:$C),3,_xlfn.XLOOKUP(C401,[1]StuntDes!$B:$B,[1]StuntDes!$C:$C)),"")</f>
        <v/>
      </c>
      <c r="L401">
        <f t="shared" si="26"/>
        <v>1</v>
      </c>
      <c r="M401" s="10" t="str">
        <f>IFERROR(_xlfn.XLOOKUP(C401,[1]StuntDes!$B:$B,[1]StuntDes!$A:$A),"")</f>
        <v/>
      </c>
      <c r="N401" s="10" t="str">
        <f>IFERROR(_xlfn.XLOOKUP(C401,[1]ModifierDes!$B:$B,[1]ModifierDes!$A:$A),"")</f>
        <v/>
      </c>
      <c r="O401" s="10">
        <f>IFERROR(_xlfn.XLOOKUP(C401,[1]AttributeName!$C:$C,[1]AttributeName!$B:$B),"")</f>
        <v>10314</v>
      </c>
      <c r="P401" s="10"/>
      <c r="Q401">
        <v>0.18</v>
      </c>
      <c r="R401">
        <v>0.21</v>
      </c>
      <c r="S401" cm="1">
        <f t="array" ref="S401">IFERROR(_xlfn.SWITCH(L401,1,_xlfn.XLOOKUP(O401,[1]AttributeName!$B:$B,[1]AttributeName!$D:$D),2,_xlfn.XLOOKUP(C401,#REF!,#REF!),3,_xlfn.XLOOKUP(C401,#REF!,#REF!)),0)</f>
        <v>2</v>
      </c>
      <c r="T401" cm="1">
        <f t="array" ref="T401">IFERROR(_xlfn.SWITCH(L401,1,_xlfn.XLOOKUP(O401,[1]AttributeName!$B:$B,[1]AttributeName!$E:$E),2,_xlfn.XLOOKUP(C401,#REF!,#REF!),3,_xlfn.XLOOKUP(C401,#REF!,#REF!)),0)</f>
        <v>2</v>
      </c>
    </row>
    <row r="402" customFormat="1" spans="1:20">
      <c r="A402">
        <f t="shared" si="25"/>
        <v>154</v>
      </c>
      <c r="B402">
        <v>5</v>
      </c>
      <c r="C402" t="s">
        <v>425</v>
      </c>
      <c r="D402" t="s">
        <v>415</v>
      </c>
      <c r="E402" t="s">
        <v>392</v>
      </c>
      <c r="F402"/>
      <c r="G402">
        <v>2</v>
      </c>
      <c r="H402">
        <v>1000</v>
      </c>
      <c r="J402" cm="1">
        <f t="array" ref="J402">_xlfn.SWITCH(B402,1,75,2,61,3,49,4,37,5,25,6,13,7,4,8,1)</f>
        <v>25</v>
      </c>
      <c r="K402" t="str" cm="1">
        <f t="array" ref="K402">IFERROR(_xlfn.SWITCH(L402,2,_xlfn.XLOOKUP(C402,[1]ModifierDes!$B:$B,[1]ModifierDes!$C:$C),3,_xlfn.XLOOKUP(C402,[1]StuntDes!$B:$B,[1]StuntDes!$C:$C)),"")</f>
        <v/>
      </c>
      <c r="L402">
        <f t="shared" si="26"/>
        <v>1</v>
      </c>
      <c r="M402" s="10" t="str">
        <f>IFERROR(_xlfn.XLOOKUP(C402,[1]StuntDes!$B:$B,[1]StuntDes!$A:$A),"")</f>
        <v/>
      </c>
      <c r="N402" s="10" t="str">
        <f>IFERROR(_xlfn.XLOOKUP(C402,[1]ModifierDes!$B:$B,[1]ModifierDes!$A:$A),"")</f>
        <v/>
      </c>
      <c r="O402" s="10">
        <f>IFERROR(_xlfn.XLOOKUP(C402,[1]AttributeName!$C:$C,[1]AttributeName!$B:$B),"")</f>
        <v>10314</v>
      </c>
      <c r="P402" s="10"/>
      <c r="Q402">
        <v>0.14</v>
      </c>
      <c r="R402">
        <v>0.17</v>
      </c>
      <c r="S402" cm="1">
        <f t="array" ref="S402">IFERROR(_xlfn.SWITCH(L402,1,_xlfn.XLOOKUP(O402,[1]AttributeName!$B:$B,[1]AttributeName!$D:$D),2,_xlfn.XLOOKUP(C402,#REF!,#REF!),3,_xlfn.XLOOKUP(C402,#REF!,#REF!)),0)</f>
        <v>2</v>
      </c>
      <c r="T402" cm="1">
        <f t="array" ref="T402">IFERROR(_xlfn.SWITCH(L402,1,_xlfn.XLOOKUP(O402,[1]AttributeName!$B:$B,[1]AttributeName!$E:$E),2,_xlfn.XLOOKUP(C402,#REF!,#REF!),3,_xlfn.XLOOKUP(C402,#REF!,#REF!)),0)</f>
        <v>2</v>
      </c>
    </row>
    <row r="403" customFormat="1" spans="1:20">
      <c r="A403">
        <f t="shared" si="25"/>
        <v>154</v>
      </c>
      <c r="B403">
        <v>6</v>
      </c>
      <c r="C403" t="s">
        <v>425</v>
      </c>
      <c r="D403" t="s">
        <v>415</v>
      </c>
      <c r="E403" t="s">
        <v>392</v>
      </c>
      <c r="F403"/>
      <c r="G403">
        <v>2</v>
      </c>
      <c r="H403">
        <v>1000</v>
      </c>
      <c r="J403" cm="1">
        <f t="array" ref="J403">_xlfn.SWITCH(B403,1,75,2,61,3,49,4,37,5,25,6,13,7,4,8,1)</f>
        <v>13</v>
      </c>
      <c r="K403" t="str" cm="1">
        <f t="array" ref="K403">IFERROR(_xlfn.SWITCH(L403,2,_xlfn.XLOOKUP(C403,[1]ModifierDes!$B:$B,[1]ModifierDes!$C:$C),3,_xlfn.XLOOKUP(C403,[1]StuntDes!$B:$B,[1]StuntDes!$C:$C)),"")</f>
        <v/>
      </c>
      <c r="L403">
        <f t="shared" si="26"/>
        <v>1</v>
      </c>
      <c r="M403" s="10" t="str">
        <f>IFERROR(_xlfn.XLOOKUP(C403,[1]StuntDes!$B:$B,[1]StuntDes!$A:$A),"")</f>
        <v/>
      </c>
      <c r="N403" s="10" t="str">
        <f>IFERROR(_xlfn.XLOOKUP(C403,[1]ModifierDes!$B:$B,[1]ModifierDes!$A:$A),"")</f>
        <v/>
      </c>
      <c r="O403" s="10">
        <f>IFERROR(_xlfn.XLOOKUP(C403,[1]AttributeName!$C:$C,[1]AttributeName!$B:$B),"")</f>
        <v>10314</v>
      </c>
      <c r="P403" s="10"/>
      <c r="Q403">
        <v>0.1</v>
      </c>
      <c r="R403">
        <v>0.13</v>
      </c>
      <c r="S403" cm="1">
        <f t="array" ref="S403">IFERROR(_xlfn.SWITCH(L403,1,_xlfn.XLOOKUP(O403,[1]AttributeName!$B:$B,[1]AttributeName!$D:$D),2,_xlfn.XLOOKUP(C403,#REF!,#REF!),3,_xlfn.XLOOKUP(C403,#REF!,#REF!)),0)</f>
        <v>2</v>
      </c>
      <c r="T403" cm="1">
        <f t="array" ref="T403">IFERROR(_xlfn.SWITCH(L403,1,_xlfn.XLOOKUP(O403,[1]AttributeName!$B:$B,[1]AttributeName!$E:$E),2,_xlfn.XLOOKUP(C403,#REF!,#REF!),3,_xlfn.XLOOKUP(C403,#REF!,#REF!)),0)</f>
        <v>2</v>
      </c>
    </row>
    <row r="404" customFormat="1" spans="1:20">
      <c r="A404">
        <f t="shared" si="25"/>
        <v>154</v>
      </c>
      <c r="B404">
        <v>7</v>
      </c>
      <c r="C404" t="s">
        <v>425</v>
      </c>
      <c r="D404" t="s">
        <v>415</v>
      </c>
      <c r="E404" t="s">
        <v>392</v>
      </c>
      <c r="F404"/>
      <c r="G404">
        <v>2</v>
      </c>
      <c r="H404">
        <v>1000</v>
      </c>
      <c r="J404" cm="1">
        <f t="array" ref="J404">_xlfn.SWITCH(B404,1,75,2,61,3,49,4,37,5,25,6,13,7,4,8,1)</f>
        <v>4</v>
      </c>
      <c r="K404" t="str" cm="1">
        <f t="array" ref="K404">IFERROR(_xlfn.SWITCH(L404,2,_xlfn.XLOOKUP(C404,[1]ModifierDes!$B:$B,[1]ModifierDes!$C:$C),3,_xlfn.XLOOKUP(C404,[1]StuntDes!$B:$B,[1]StuntDes!$C:$C)),"")</f>
        <v/>
      </c>
      <c r="L404">
        <f t="shared" si="26"/>
        <v>1</v>
      </c>
      <c r="M404" s="10" t="str">
        <f>IFERROR(_xlfn.XLOOKUP(C404,[1]StuntDes!$B:$B,[1]StuntDes!$A:$A),"")</f>
        <v/>
      </c>
      <c r="N404" s="10" t="str">
        <f>IFERROR(_xlfn.XLOOKUP(C404,[1]ModifierDes!$B:$B,[1]ModifierDes!$A:$A),"")</f>
        <v/>
      </c>
      <c r="O404" s="10">
        <f>IFERROR(_xlfn.XLOOKUP(C404,[1]AttributeName!$C:$C,[1]AttributeName!$B:$B),"")</f>
        <v>10314</v>
      </c>
      <c r="P404" s="10"/>
      <c r="Q404">
        <v>0.06</v>
      </c>
      <c r="R404">
        <v>0.0900000000000001</v>
      </c>
      <c r="S404" cm="1">
        <f t="array" ref="S404">IFERROR(_xlfn.SWITCH(L404,1,_xlfn.XLOOKUP(O404,[1]AttributeName!$B:$B,[1]AttributeName!$D:$D),2,_xlfn.XLOOKUP(C404,#REF!,#REF!),3,_xlfn.XLOOKUP(C404,#REF!,#REF!)),0)</f>
        <v>2</v>
      </c>
      <c r="T404" cm="1">
        <f t="array" ref="T404">IFERROR(_xlfn.SWITCH(L404,1,_xlfn.XLOOKUP(O404,[1]AttributeName!$B:$B,[1]AttributeName!$E:$E),2,_xlfn.XLOOKUP(C404,#REF!,#REF!),3,_xlfn.XLOOKUP(C404,#REF!,#REF!)),0)</f>
        <v>2</v>
      </c>
    </row>
    <row r="405" customFormat="1" spans="1:20">
      <c r="A405">
        <f t="shared" si="25"/>
        <v>154</v>
      </c>
      <c r="B405">
        <v>8</v>
      </c>
      <c r="C405" t="s">
        <v>425</v>
      </c>
      <c r="D405" t="s">
        <v>415</v>
      </c>
      <c r="E405" t="s">
        <v>392</v>
      </c>
      <c r="F405"/>
      <c r="G405">
        <v>2</v>
      </c>
      <c r="H405">
        <v>1000</v>
      </c>
      <c r="J405" cm="1">
        <f t="array" ref="J405">_xlfn.SWITCH(B405,1,75,2,61,3,49,4,37,5,25,6,13,7,4,8,1)</f>
        <v>1</v>
      </c>
      <c r="K405" t="str" cm="1">
        <f t="array" ref="K405">IFERROR(_xlfn.SWITCH(L405,2,_xlfn.XLOOKUP(C405,[1]ModifierDes!$B:$B,[1]ModifierDes!$C:$C),3,_xlfn.XLOOKUP(C405,[1]StuntDes!$B:$B,[1]StuntDes!$C:$C)),"")</f>
        <v/>
      </c>
      <c r="L405">
        <f t="shared" si="26"/>
        <v>1</v>
      </c>
      <c r="M405" s="10" t="str">
        <f>IFERROR(_xlfn.XLOOKUP(C405,[1]StuntDes!$B:$B,[1]StuntDes!$A:$A),"")</f>
        <v/>
      </c>
      <c r="N405" s="10" t="str">
        <f>IFERROR(_xlfn.XLOOKUP(C405,[1]ModifierDes!$B:$B,[1]ModifierDes!$A:$A),"")</f>
        <v/>
      </c>
      <c r="O405" s="10">
        <f>IFERROR(_xlfn.XLOOKUP(C405,[1]AttributeName!$C:$C,[1]AttributeName!$B:$B),"")</f>
        <v>10314</v>
      </c>
      <c r="P405" s="10"/>
      <c r="Q405">
        <v>0.02</v>
      </c>
      <c r="R405">
        <v>0.0500000000000001</v>
      </c>
      <c r="S405" cm="1">
        <f t="array" ref="S405">IFERROR(_xlfn.SWITCH(L405,1,_xlfn.XLOOKUP(O405,[1]AttributeName!$B:$B,[1]AttributeName!$D:$D),2,_xlfn.XLOOKUP(C405,#REF!,#REF!),3,_xlfn.XLOOKUP(C405,#REF!,#REF!)),0)</f>
        <v>2</v>
      </c>
      <c r="T405" cm="1">
        <f t="array" ref="T405">IFERROR(_xlfn.SWITCH(L405,1,_xlfn.XLOOKUP(O405,[1]AttributeName!$B:$B,[1]AttributeName!$E:$E),2,_xlfn.XLOOKUP(C405,#REF!,#REF!),3,_xlfn.XLOOKUP(C405,#REF!,#REF!)),0)</f>
        <v>2</v>
      </c>
    </row>
    <row r="406" customFormat="1" spans="1:20">
      <c r="A406">
        <f t="shared" si="25"/>
        <v>155</v>
      </c>
      <c r="B406">
        <v>1</v>
      </c>
      <c r="C406" t="s">
        <v>82</v>
      </c>
      <c r="D406" t="s">
        <v>415</v>
      </c>
      <c r="E406" t="s">
        <v>392</v>
      </c>
      <c r="F406"/>
      <c r="G406">
        <v>2</v>
      </c>
      <c r="H406">
        <v>50</v>
      </c>
      <c r="J406" cm="1">
        <f t="array" ref="J406">_xlfn.SWITCH(B406,1,75,2,61,3,49,4,37,5,25,6,13,7,4,8,1)</f>
        <v>75</v>
      </c>
      <c r="K406" t="str" cm="1">
        <f t="array" ref="K406">IFERROR(_xlfn.SWITCH(L406,2,_xlfn.XLOOKUP(C406,[1]ModifierDes!$B:$B,[1]ModifierDes!$C:$C),3,_xlfn.XLOOKUP(C406,[1]StuntDes!$B:$B,[1]StuntDes!$C:$C)),"")</f>
        <v/>
      </c>
      <c r="L406">
        <f t="shared" si="26"/>
        <v>1</v>
      </c>
      <c r="M406" s="10" t="str">
        <f>IFERROR(_xlfn.XLOOKUP(C406,[1]StuntDes!$B:$B,[1]StuntDes!$A:$A),"")</f>
        <v/>
      </c>
      <c r="N406" s="10" t="str">
        <f>IFERROR(_xlfn.XLOOKUP(C406,[1]ModifierDes!$B:$B,[1]ModifierDes!$A:$A),"")</f>
        <v/>
      </c>
      <c r="O406" s="10">
        <f>IFERROR(_xlfn.XLOOKUP(C406,[1]AttributeName!$C:$C,[1]AttributeName!$B:$B),"")</f>
        <v>10315</v>
      </c>
      <c r="P406" s="10"/>
      <c r="Q406">
        <v>0.2</v>
      </c>
      <c r="R406">
        <v>0.25</v>
      </c>
      <c r="S406" cm="1">
        <f t="array" ref="S406">IFERROR(_xlfn.SWITCH(L406,1,_xlfn.XLOOKUP(O406,[1]AttributeName!$B:$B,[1]AttributeName!$D:$D),2,_xlfn.XLOOKUP(C406,#REF!,#REF!),3,_xlfn.XLOOKUP(C406,#REF!,#REF!)),0)</f>
        <v>2</v>
      </c>
      <c r="T406" cm="1">
        <f t="array" ref="T406">IFERROR(_xlfn.SWITCH(L406,1,_xlfn.XLOOKUP(O406,[1]AttributeName!$B:$B,[1]AttributeName!$E:$E),2,_xlfn.XLOOKUP(C406,#REF!,#REF!),3,_xlfn.XLOOKUP(C406,#REF!,#REF!)),0)</f>
        <v>2</v>
      </c>
    </row>
    <row r="407" customFormat="1" spans="1:20">
      <c r="A407">
        <f t="shared" si="25"/>
        <v>155</v>
      </c>
      <c r="B407">
        <v>2</v>
      </c>
      <c r="C407" t="s">
        <v>82</v>
      </c>
      <c r="D407" t="s">
        <v>415</v>
      </c>
      <c r="E407" t="s">
        <v>392</v>
      </c>
      <c r="F407"/>
      <c r="G407">
        <v>2</v>
      </c>
      <c r="H407">
        <v>100</v>
      </c>
      <c r="J407" cm="1">
        <f t="array" ref="J407">_xlfn.SWITCH(B407,1,75,2,61,3,49,4,37,5,25,6,13,7,4,8,1)</f>
        <v>61</v>
      </c>
      <c r="K407" t="str" cm="1">
        <f t="array" ref="K407">IFERROR(_xlfn.SWITCH(L407,2,_xlfn.XLOOKUP(C407,[1]ModifierDes!$B:$B,[1]ModifierDes!$C:$C),3,_xlfn.XLOOKUP(C407,[1]StuntDes!$B:$B,[1]StuntDes!$C:$C)),"")</f>
        <v/>
      </c>
      <c r="L407">
        <f t="shared" si="26"/>
        <v>1</v>
      </c>
      <c r="M407" s="10" t="str">
        <f>IFERROR(_xlfn.XLOOKUP(C407,[1]StuntDes!$B:$B,[1]StuntDes!$A:$A),"")</f>
        <v/>
      </c>
      <c r="N407" s="10" t="str">
        <f>IFERROR(_xlfn.XLOOKUP(C407,[1]ModifierDes!$B:$B,[1]ModifierDes!$A:$A),"")</f>
        <v/>
      </c>
      <c r="O407" s="10">
        <f>IFERROR(_xlfn.XLOOKUP(C407,[1]AttributeName!$C:$C,[1]AttributeName!$B:$B),"")</f>
        <v>10315</v>
      </c>
      <c r="P407" s="10"/>
      <c r="Q407">
        <v>0.17</v>
      </c>
      <c r="R407">
        <v>0.19</v>
      </c>
      <c r="S407" cm="1">
        <f t="array" ref="S407">IFERROR(_xlfn.SWITCH(L407,1,_xlfn.XLOOKUP(O407,[1]AttributeName!$B:$B,[1]AttributeName!$D:$D),2,_xlfn.XLOOKUP(C407,#REF!,#REF!),3,_xlfn.XLOOKUP(C407,#REF!,#REF!)),0)</f>
        <v>2</v>
      </c>
      <c r="T407" cm="1">
        <f t="array" ref="T407">IFERROR(_xlfn.SWITCH(L407,1,_xlfn.XLOOKUP(O407,[1]AttributeName!$B:$B,[1]AttributeName!$E:$E),2,_xlfn.XLOOKUP(C407,#REF!,#REF!),3,_xlfn.XLOOKUP(C407,#REF!,#REF!)),0)</f>
        <v>2</v>
      </c>
    </row>
    <row r="408" customFormat="1" spans="1:20">
      <c r="A408">
        <f t="shared" si="25"/>
        <v>155</v>
      </c>
      <c r="B408">
        <v>3</v>
      </c>
      <c r="C408" t="s">
        <v>82</v>
      </c>
      <c r="D408" t="s">
        <v>415</v>
      </c>
      <c r="E408" t="s">
        <v>392</v>
      </c>
      <c r="F408"/>
      <c r="G408">
        <v>2</v>
      </c>
      <c r="H408">
        <v>250</v>
      </c>
      <c r="J408" cm="1">
        <f t="array" ref="J408">_xlfn.SWITCH(B408,1,75,2,61,3,49,4,37,5,25,6,13,7,4,8,1)</f>
        <v>49</v>
      </c>
      <c r="K408" t="str" cm="1">
        <f t="array" ref="K408">IFERROR(_xlfn.SWITCH(L408,2,_xlfn.XLOOKUP(C408,[1]ModifierDes!$B:$B,[1]ModifierDes!$C:$C),3,_xlfn.XLOOKUP(C408,[1]StuntDes!$B:$B,[1]StuntDes!$C:$C)),"")</f>
        <v/>
      </c>
      <c r="L408">
        <f t="shared" si="26"/>
        <v>1</v>
      </c>
      <c r="M408" s="10" t="str">
        <f>IFERROR(_xlfn.XLOOKUP(C408,[1]StuntDes!$B:$B,[1]StuntDes!$A:$A),"")</f>
        <v/>
      </c>
      <c r="N408" s="10" t="str">
        <f>IFERROR(_xlfn.XLOOKUP(C408,[1]ModifierDes!$B:$B,[1]ModifierDes!$A:$A),"")</f>
        <v/>
      </c>
      <c r="O408" s="10">
        <f>IFERROR(_xlfn.XLOOKUP(C408,[1]AttributeName!$C:$C,[1]AttributeName!$B:$B),"")</f>
        <v>10315</v>
      </c>
      <c r="P408" s="10"/>
      <c r="Q408">
        <v>0.14</v>
      </c>
      <c r="R408">
        <v>0.16</v>
      </c>
      <c r="S408" cm="1">
        <f t="array" ref="S408">IFERROR(_xlfn.SWITCH(L408,1,_xlfn.XLOOKUP(O408,[1]AttributeName!$B:$B,[1]AttributeName!$D:$D),2,_xlfn.XLOOKUP(C408,#REF!,#REF!),3,_xlfn.XLOOKUP(C408,#REF!,#REF!)),0)</f>
        <v>2</v>
      </c>
      <c r="T408" cm="1">
        <f t="array" ref="T408">IFERROR(_xlfn.SWITCH(L408,1,_xlfn.XLOOKUP(O408,[1]AttributeName!$B:$B,[1]AttributeName!$E:$E),2,_xlfn.XLOOKUP(C408,#REF!,#REF!),3,_xlfn.XLOOKUP(C408,#REF!,#REF!)),0)</f>
        <v>2</v>
      </c>
    </row>
    <row r="409" customFormat="1" spans="1:20">
      <c r="A409">
        <f t="shared" si="25"/>
        <v>155</v>
      </c>
      <c r="B409">
        <v>4</v>
      </c>
      <c r="C409" t="s">
        <v>82</v>
      </c>
      <c r="D409" t="s">
        <v>415</v>
      </c>
      <c r="E409" t="s">
        <v>392</v>
      </c>
      <c r="F409"/>
      <c r="G409">
        <v>2</v>
      </c>
      <c r="H409">
        <v>500</v>
      </c>
      <c r="J409" cm="1">
        <f t="array" ref="J409">_xlfn.SWITCH(B409,1,75,2,61,3,49,4,37,5,25,6,13,7,4,8,1)</f>
        <v>37</v>
      </c>
      <c r="K409" t="str" cm="1">
        <f t="array" ref="K409">IFERROR(_xlfn.SWITCH(L409,2,_xlfn.XLOOKUP(C409,[1]ModifierDes!$B:$B,[1]ModifierDes!$C:$C),3,_xlfn.XLOOKUP(C409,[1]StuntDes!$B:$B,[1]StuntDes!$C:$C)),"")</f>
        <v/>
      </c>
      <c r="L409">
        <f t="shared" si="26"/>
        <v>1</v>
      </c>
      <c r="M409" s="10" t="str">
        <f>IFERROR(_xlfn.XLOOKUP(C409,[1]StuntDes!$B:$B,[1]StuntDes!$A:$A),"")</f>
        <v/>
      </c>
      <c r="N409" s="10" t="str">
        <f>IFERROR(_xlfn.XLOOKUP(C409,[1]ModifierDes!$B:$B,[1]ModifierDes!$A:$A),"")</f>
        <v/>
      </c>
      <c r="O409" s="10">
        <f>IFERROR(_xlfn.XLOOKUP(C409,[1]AttributeName!$C:$C,[1]AttributeName!$B:$B),"")</f>
        <v>10315</v>
      </c>
      <c r="P409" s="10"/>
      <c r="Q409">
        <v>0.11</v>
      </c>
      <c r="R409">
        <v>0.13</v>
      </c>
      <c r="S409" cm="1">
        <f t="array" ref="S409">IFERROR(_xlfn.SWITCH(L409,1,_xlfn.XLOOKUP(O409,[1]AttributeName!$B:$B,[1]AttributeName!$D:$D),2,_xlfn.XLOOKUP(C409,#REF!,#REF!),3,_xlfn.XLOOKUP(C409,#REF!,#REF!)),0)</f>
        <v>2</v>
      </c>
      <c r="T409" cm="1">
        <f t="array" ref="T409">IFERROR(_xlfn.SWITCH(L409,1,_xlfn.XLOOKUP(O409,[1]AttributeName!$B:$B,[1]AttributeName!$E:$E),2,_xlfn.XLOOKUP(C409,#REF!,#REF!),3,_xlfn.XLOOKUP(C409,#REF!,#REF!)),0)</f>
        <v>2</v>
      </c>
    </row>
    <row r="410" customFormat="1" spans="1:20">
      <c r="A410">
        <f t="shared" si="25"/>
        <v>155</v>
      </c>
      <c r="B410">
        <v>5</v>
      </c>
      <c r="C410" t="s">
        <v>82</v>
      </c>
      <c r="D410" t="s">
        <v>415</v>
      </c>
      <c r="E410" t="s">
        <v>392</v>
      </c>
      <c r="F410"/>
      <c r="G410">
        <v>2</v>
      </c>
      <c r="H410">
        <v>500</v>
      </c>
      <c r="J410" cm="1">
        <f t="array" ref="J410">_xlfn.SWITCH(B410,1,75,2,61,3,49,4,37,5,25,6,13,7,4,8,1)</f>
        <v>25</v>
      </c>
      <c r="K410" t="str" cm="1">
        <f t="array" ref="K410">IFERROR(_xlfn.SWITCH(L410,2,_xlfn.XLOOKUP(C410,[1]ModifierDes!$B:$B,[1]ModifierDes!$C:$C),3,_xlfn.XLOOKUP(C410,[1]StuntDes!$B:$B,[1]StuntDes!$C:$C)),"")</f>
        <v/>
      </c>
      <c r="L410">
        <f t="shared" si="26"/>
        <v>1</v>
      </c>
      <c r="M410" s="10" t="str">
        <f>IFERROR(_xlfn.XLOOKUP(C410,[1]StuntDes!$B:$B,[1]StuntDes!$A:$A),"")</f>
        <v/>
      </c>
      <c r="N410" s="10" t="str">
        <f>IFERROR(_xlfn.XLOOKUP(C410,[1]ModifierDes!$B:$B,[1]ModifierDes!$A:$A),"")</f>
        <v/>
      </c>
      <c r="O410" s="10">
        <f>IFERROR(_xlfn.XLOOKUP(C410,[1]AttributeName!$C:$C,[1]AttributeName!$B:$B),"")</f>
        <v>10315</v>
      </c>
      <c r="P410" s="10"/>
      <c r="Q410">
        <v>0.08</v>
      </c>
      <c r="R410">
        <v>0.1</v>
      </c>
      <c r="S410" cm="1">
        <f t="array" ref="S410">IFERROR(_xlfn.SWITCH(L410,1,_xlfn.XLOOKUP(O410,[1]AttributeName!$B:$B,[1]AttributeName!$D:$D),2,_xlfn.XLOOKUP(C410,#REF!,#REF!),3,_xlfn.XLOOKUP(C410,#REF!,#REF!)),0)</f>
        <v>2</v>
      </c>
      <c r="T410" cm="1">
        <f t="array" ref="T410">IFERROR(_xlfn.SWITCH(L410,1,_xlfn.XLOOKUP(O410,[1]AttributeName!$B:$B,[1]AttributeName!$E:$E),2,_xlfn.XLOOKUP(C410,#REF!,#REF!),3,_xlfn.XLOOKUP(C410,#REF!,#REF!)),0)</f>
        <v>2</v>
      </c>
    </row>
    <row r="411" customFormat="1" spans="1:20">
      <c r="A411">
        <f t="shared" si="25"/>
        <v>155</v>
      </c>
      <c r="B411">
        <v>6</v>
      </c>
      <c r="C411" t="s">
        <v>82</v>
      </c>
      <c r="D411" t="s">
        <v>415</v>
      </c>
      <c r="E411" t="s">
        <v>392</v>
      </c>
      <c r="F411"/>
      <c r="G411">
        <v>2</v>
      </c>
      <c r="H411">
        <v>500</v>
      </c>
      <c r="J411" cm="1">
        <f t="array" ref="J411">_xlfn.SWITCH(B411,1,75,2,61,3,49,4,37,5,25,6,13,7,4,8,1)</f>
        <v>13</v>
      </c>
      <c r="K411" t="str" cm="1">
        <f t="array" ref="K411">IFERROR(_xlfn.SWITCH(L411,2,_xlfn.XLOOKUP(C411,[1]ModifierDes!$B:$B,[1]ModifierDes!$C:$C),3,_xlfn.XLOOKUP(C411,[1]StuntDes!$B:$B,[1]StuntDes!$C:$C)),"")</f>
        <v/>
      </c>
      <c r="L411">
        <f t="shared" si="26"/>
        <v>1</v>
      </c>
      <c r="M411" s="10" t="str">
        <f>IFERROR(_xlfn.XLOOKUP(C411,[1]StuntDes!$B:$B,[1]StuntDes!$A:$A),"")</f>
        <v/>
      </c>
      <c r="N411" s="10" t="str">
        <f>IFERROR(_xlfn.XLOOKUP(C411,[1]ModifierDes!$B:$B,[1]ModifierDes!$A:$A),"")</f>
        <v/>
      </c>
      <c r="O411" s="10">
        <f>IFERROR(_xlfn.XLOOKUP(C411,[1]AttributeName!$C:$C,[1]AttributeName!$B:$B),"")</f>
        <v>10315</v>
      </c>
      <c r="P411" s="10"/>
      <c r="Q411">
        <v>0.05</v>
      </c>
      <c r="R411">
        <v>0.07</v>
      </c>
      <c r="S411" cm="1">
        <f t="array" ref="S411">IFERROR(_xlfn.SWITCH(L411,1,_xlfn.XLOOKUP(O411,[1]AttributeName!$B:$B,[1]AttributeName!$D:$D),2,_xlfn.XLOOKUP(C411,#REF!,#REF!),3,_xlfn.XLOOKUP(C411,#REF!,#REF!)),0)</f>
        <v>2</v>
      </c>
      <c r="T411" cm="1">
        <f t="array" ref="T411">IFERROR(_xlfn.SWITCH(L411,1,_xlfn.XLOOKUP(O411,[1]AttributeName!$B:$B,[1]AttributeName!$E:$E),2,_xlfn.XLOOKUP(C411,#REF!,#REF!),3,_xlfn.XLOOKUP(C411,#REF!,#REF!)),0)</f>
        <v>2</v>
      </c>
    </row>
    <row r="412" customFormat="1" spans="1:20">
      <c r="A412">
        <f t="shared" si="25"/>
        <v>155</v>
      </c>
      <c r="B412">
        <v>7</v>
      </c>
      <c r="C412" t="s">
        <v>82</v>
      </c>
      <c r="D412" t="s">
        <v>415</v>
      </c>
      <c r="E412" t="s">
        <v>392</v>
      </c>
      <c r="F412"/>
      <c r="G412">
        <v>2</v>
      </c>
      <c r="H412">
        <v>500</v>
      </c>
      <c r="J412" cm="1">
        <f t="array" ref="J412">_xlfn.SWITCH(B412,1,75,2,61,3,49,4,37,5,25,6,13,7,4,8,1)</f>
        <v>4</v>
      </c>
      <c r="K412" t="str" cm="1">
        <f t="array" ref="K412">IFERROR(_xlfn.SWITCH(L412,2,_xlfn.XLOOKUP(C412,[1]ModifierDes!$B:$B,[1]ModifierDes!$C:$C),3,_xlfn.XLOOKUP(C412,[1]StuntDes!$B:$B,[1]StuntDes!$C:$C)),"")</f>
        <v/>
      </c>
      <c r="L412">
        <f t="shared" si="26"/>
        <v>1</v>
      </c>
      <c r="M412" s="10" t="str">
        <f>IFERROR(_xlfn.XLOOKUP(C412,[1]StuntDes!$B:$B,[1]StuntDes!$A:$A),"")</f>
        <v/>
      </c>
      <c r="N412" s="10" t="str">
        <f>IFERROR(_xlfn.XLOOKUP(C412,[1]ModifierDes!$B:$B,[1]ModifierDes!$A:$A),"")</f>
        <v/>
      </c>
      <c r="O412" s="10">
        <f>IFERROR(_xlfn.XLOOKUP(C412,[1]AttributeName!$C:$C,[1]AttributeName!$B:$B),"")</f>
        <v>10315</v>
      </c>
      <c r="P412" s="10"/>
      <c r="Q412">
        <v>0.02</v>
      </c>
      <c r="R412">
        <v>0.04</v>
      </c>
      <c r="S412" cm="1">
        <f t="array" ref="S412">IFERROR(_xlfn.SWITCH(L412,1,_xlfn.XLOOKUP(O412,[1]AttributeName!$B:$B,[1]AttributeName!$D:$D),2,_xlfn.XLOOKUP(C412,#REF!,#REF!),3,_xlfn.XLOOKUP(C412,#REF!,#REF!)),0)</f>
        <v>2</v>
      </c>
      <c r="T412" cm="1">
        <f t="array" ref="T412">IFERROR(_xlfn.SWITCH(L412,1,_xlfn.XLOOKUP(O412,[1]AttributeName!$B:$B,[1]AttributeName!$E:$E),2,_xlfn.XLOOKUP(C412,#REF!,#REF!),3,_xlfn.XLOOKUP(C412,#REF!,#REF!)),0)</f>
        <v>2</v>
      </c>
    </row>
    <row r="413" customFormat="1" spans="1:20">
      <c r="A413">
        <f t="shared" si="25"/>
        <v>155</v>
      </c>
      <c r="B413">
        <v>8</v>
      </c>
      <c r="C413" t="s">
        <v>82</v>
      </c>
      <c r="D413" t="s">
        <v>415</v>
      </c>
      <c r="E413" t="s">
        <v>392</v>
      </c>
      <c r="F413"/>
      <c r="G413">
        <v>2</v>
      </c>
      <c r="H413">
        <v>500</v>
      </c>
      <c r="J413" cm="1">
        <f t="array" ref="J413">_xlfn.SWITCH(B413,1,75,2,61,3,49,4,37,5,25,6,13,7,4,8,1)</f>
        <v>1</v>
      </c>
      <c r="K413" t="str" cm="1">
        <f t="array" ref="K413">IFERROR(_xlfn.SWITCH(L413,2,_xlfn.XLOOKUP(C413,[1]ModifierDes!$B:$B,[1]ModifierDes!$C:$C),3,_xlfn.XLOOKUP(C413,[1]StuntDes!$B:$B,[1]StuntDes!$C:$C)),"")</f>
        <v/>
      </c>
      <c r="L413">
        <f t="shared" si="26"/>
        <v>1</v>
      </c>
      <c r="M413" s="10" t="str">
        <f>IFERROR(_xlfn.XLOOKUP(C413,[1]StuntDes!$B:$B,[1]StuntDes!$A:$A),"")</f>
        <v/>
      </c>
      <c r="N413" s="10" t="str">
        <f>IFERROR(_xlfn.XLOOKUP(C413,[1]ModifierDes!$B:$B,[1]ModifierDes!$A:$A),"")</f>
        <v/>
      </c>
      <c r="O413" s="10">
        <f>IFERROR(_xlfn.XLOOKUP(C413,[1]AttributeName!$C:$C,[1]AttributeName!$B:$B),"")</f>
        <v>10315</v>
      </c>
      <c r="P413" s="10"/>
      <c r="Q413">
        <v>0.01</v>
      </c>
      <c r="R413">
        <v>0.01</v>
      </c>
      <c r="S413" cm="1">
        <f t="array" ref="S413">IFERROR(_xlfn.SWITCH(L413,1,_xlfn.XLOOKUP(O413,[1]AttributeName!$B:$B,[1]AttributeName!$D:$D),2,_xlfn.XLOOKUP(C413,#REF!,#REF!),3,_xlfn.XLOOKUP(C413,#REF!,#REF!)),0)</f>
        <v>2</v>
      </c>
      <c r="T413" cm="1">
        <f t="array" ref="T413">IFERROR(_xlfn.SWITCH(L413,1,_xlfn.XLOOKUP(O413,[1]AttributeName!$B:$B,[1]AttributeName!$E:$E),2,_xlfn.XLOOKUP(C413,#REF!,#REF!),3,_xlfn.XLOOKUP(C413,#REF!,#REF!)),0)</f>
        <v>2</v>
      </c>
    </row>
    <row r="414" customFormat="1" spans="1:20">
      <c r="A414">
        <v>156</v>
      </c>
      <c r="B414">
        <v>1</v>
      </c>
      <c r="C414" t="s">
        <v>400</v>
      </c>
      <c r="D414" t="s">
        <v>415</v>
      </c>
      <c r="E414" t="s">
        <v>392</v>
      </c>
      <c r="F414"/>
      <c r="G414">
        <v>2</v>
      </c>
      <c r="H414">
        <v>50</v>
      </c>
      <c r="I414">
        <v>3</v>
      </c>
      <c r="J414" cm="1">
        <f t="array" ref="J414">_xlfn.SWITCH(B414,1,75,2,61,3,49,4,37,5,25,6,13,7,4,8,1)</f>
        <v>75</v>
      </c>
      <c r="K414" t="str" cm="1">
        <f t="array" ref="K414">IFERROR(_xlfn.SWITCH(L414,2,_xlfn.XLOOKUP(C414,[1]ModifierDes!$B:$B,[1]ModifierDes!$C:$C),3,_xlfn.XLOOKUP(C414,[1]StuntDes!$B:$B,[1]StuntDes!$C:$C)),"")</f>
        <v>攻击暴击伤害增加{0}</v>
      </c>
      <c r="L414">
        <f t="shared" si="26"/>
        <v>2</v>
      </c>
      <c r="M414" s="10" t="str">
        <f>IFERROR(_xlfn.XLOOKUP(C414,[1]StuntDes!$B:$B,[1]StuntDes!$A:$A),"")</f>
        <v/>
      </c>
      <c r="N414" s="10">
        <f>IFERROR(_xlfn.XLOOKUP(C414,[1]ModifierDes!$B:$B,[1]ModifierDes!$A:$A),"")</f>
        <v>10060</v>
      </c>
      <c r="O414" s="10" t="str">
        <f>IFERROR(_xlfn.XLOOKUP(C414,[1]AttributeName!$C:$C,[1]AttributeName!$B:$B),"")</f>
        <v/>
      </c>
      <c r="P414" s="10"/>
      <c r="Q414">
        <v>0.6</v>
      </c>
      <c r="R414">
        <v>0.8</v>
      </c>
      <c r="S414" cm="1">
        <f t="array" ref="S414">IFERROR(_xlfn.SWITCH(L414,1,_xlfn.XLOOKUP(O414,[1]AttributeName!$B:$B,[1]AttributeName!$D:$D),2,_xlfn.XLOOKUP(C414,#REF!,#REF!),3,_xlfn.XLOOKUP(C414,#REF!,#REF!)),0)</f>
        <v>0</v>
      </c>
      <c r="T414" cm="1">
        <f t="array" ref="T414">IFERROR(_xlfn.SWITCH(L414,1,_xlfn.XLOOKUP(O414,[1]AttributeName!$B:$B,[1]AttributeName!$E:$E),2,_xlfn.XLOOKUP(C414,#REF!,#REF!),3,_xlfn.XLOOKUP(C414,#REF!,#REF!)),0)</f>
        <v>0</v>
      </c>
    </row>
    <row r="415" customFormat="1" spans="1:20">
      <c r="A415">
        <v>156</v>
      </c>
      <c r="B415">
        <v>2</v>
      </c>
      <c r="C415" t="s">
        <v>400</v>
      </c>
      <c r="D415" t="s">
        <v>415</v>
      </c>
      <c r="E415" t="s">
        <v>392</v>
      </c>
      <c r="F415"/>
      <c r="G415">
        <v>2</v>
      </c>
      <c r="H415">
        <v>100</v>
      </c>
      <c r="I415">
        <v>3</v>
      </c>
      <c r="J415" cm="1">
        <f t="array" ref="J415">_xlfn.SWITCH(B415,1,75,2,61,3,49,4,37,5,25,6,13,7,4,8,1)</f>
        <v>61</v>
      </c>
      <c r="K415" t="str" cm="1">
        <f t="array" ref="K415">IFERROR(_xlfn.SWITCH(L415,2,_xlfn.XLOOKUP(C415,[1]ModifierDes!$B:$B,[1]ModifierDes!$C:$C),3,_xlfn.XLOOKUP(C415,[1]StuntDes!$B:$B,[1]StuntDes!$C:$C)),"")</f>
        <v>攻击暴击伤害增加{0}</v>
      </c>
      <c r="L415">
        <f t="shared" si="26"/>
        <v>2</v>
      </c>
      <c r="M415" s="10" t="str">
        <f>IFERROR(_xlfn.XLOOKUP(C415,[1]StuntDes!$B:$B,[1]StuntDes!$A:$A),"")</f>
        <v/>
      </c>
      <c r="N415" s="10">
        <f>IFERROR(_xlfn.XLOOKUP(C415,[1]ModifierDes!$B:$B,[1]ModifierDes!$A:$A),"")</f>
        <v>10060</v>
      </c>
      <c r="O415" s="10" t="str">
        <f>IFERROR(_xlfn.XLOOKUP(C415,[1]AttributeName!$C:$C,[1]AttributeName!$B:$B),"")</f>
        <v/>
      </c>
      <c r="P415" s="10"/>
      <c r="Q415">
        <v>0.52</v>
      </c>
      <c r="R415">
        <v>0.58</v>
      </c>
      <c r="S415" cm="1">
        <f t="array" ref="S415">IFERROR(_xlfn.SWITCH(L415,1,_xlfn.XLOOKUP(O415,[1]AttributeName!$B:$B,[1]AttributeName!$D:$D),2,_xlfn.XLOOKUP(C415,#REF!,#REF!),3,_xlfn.XLOOKUP(C415,#REF!,#REF!)),0)</f>
        <v>0</v>
      </c>
      <c r="T415" cm="1">
        <f t="array" ref="T415">IFERROR(_xlfn.SWITCH(L415,1,_xlfn.XLOOKUP(O415,[1]AttributeName!$B:$B,[1]AttributeName!$E:$E),2,_xlfn.XLOOKUP(C415,#REF!,#REF!),3,_xlfn.XLOOKUP(C415,#REF!,#REF!)),0)</f>
        <v>0</v>
      </c>
    </row>
    <row r="416" customFormat="1" spans="1:20">
      <c r="A416">
        <v>156</v>
      </c>
      <c r="B416">
        <v>3</v>
      </c>
      <c r="C416" t="s">
        <v>400</v>
      </c>
      <c r="D416" t="s">
        <v>415</v>
      </c>
      <c r="E416" t="s">
        <v>392</v>
      </c>
      <c r="F416"/>
      <c r="G416">
        <v>2</v>
      </c>
      <c r="H416">
        <v>250</v>
      </c>
      <c r="I416">
        <v>3</v>
      </c>
      <c r="J416" cm="1">
        <f t="array" ref="J416">_xlfn.SWITCH(B416,1,75,2,61,3,49,4,37,5,25,6,13,7,4,8,1)</f>
        <v>49</v>
      </c>
      <c r="K416" t="str" cm="1">
        <f t="array" ref="K416">IFERROR(_xlfn.SWITCH(L416,2,_xlfn.XLOOKUP(C416,[1]ModifierDes!$B:$B,[1]ModifierDes!$C:$C),3,_xlfn.XLOOKUP(C416,[1]StuntDes!$B:$B,[1]StuntDes!$C:$C)),"")</f>
        <v>攻击暴击伤害增加{0}</v>
      </c>
      <c r="L416">
        <f t="shared" si="26"/>
        <v>2</v>
      </c>
      <c r="M416" s="10" t="str">
        <f>IFERROR(_xlfn.XLOOKUP(C416,[1]StuntDes!$B:$B,[1]StuntDes!$A:$A),"")</f>
        <v/>
      </c>
      <c r="N416" s="10">
        <f>IFERROR(_xlfn.XLOOKUP(C416,[1]ModifierDes!$B:$B,[1]ModifierDes!$A:$A),"")</f>
        <v>10060</v>
      </c>
      <c r="O416" s="10" t="str">
        <f>IFERROR(_xlfn.XLOOKUP(C416,[1]AttributeName!$C:$C,[1]AttributeName!$B:$B),"")</f>
        <v/>
      </c>
      <c r="P416" s="10"/>
      <c r="Q416">
        <v>0.44</v>
      </c>
      <c r="R416">
        <v>0.5</v>
      </c>
      <c r="S416" cm="1">
        <f t="array" ref="S416">IFERROR(_xlfn.SWITCH(L416,1,_xlfn.XLOOKUP(O416,[1]AttributeName!$B:$B,[1]AttributeName!$D:$D),2,_xlfn.XLOOKUP(C416,#REF!,#REF!),3,_xlfn.XLOOKUP(C416,#REF!,#REF!)),0)</f>
        <v>0</v>
      </c>
      <c r="T416" cm="1">
        <f t="array" ref="T416">IFERROR(_xlfn.SWITCH(L416,1,_xlfn.XLOOKUP(O416,[1]AttributeName!$B:$B,[1]AttributeName!$E:$E),2,_xlfn.XLOOKUP(C416,#REF!,#REF!),3,_xlfn.XLOOKUP(C416,#REF!,#REF!)),0)</f>
        <v>0</v>
      </c>
    </row>
    <row r="417" customFormat="1" spans="1:20">
      <c r="A417">
        <v>156</v>
      </c>
      <c r="B417">
        <v>4</v>
      </c>
      <c r="C417" t="s">
        <v>400</v>
      </c>
      <c r="D417" t="s">
        <v>415</v>
      </c>
      <c r="E417" t="s">
        <v>392</v>
      </c>
      <c r="F417"/>
      <c r="G417">
        <v>2</v>
      </c>
      <c r="H417">
        <v>500</v>
      </c>
      <c r="I417">
        <v>3</v>
      </c>
      <c r="J417" cm="1">
        <f t="array" ref="J417">_xlfn.SWITCH(B417,1,75,2,61,3,49,4,37,5,25,6,13,7,4,8,1)</f>
        <v>37</v>
      </c>
      <c r="K417" t="str" cm="1">
        <f t="array" ref="K417">IFERROR(_xlfn.SWITCH(L417,2,_xlfn.XLOOKUP(C417,[1]ModifierDes!$B:$B,[1]ModifierDes!$C:$C),3,_xlfn.XLOOKUP(C417,[1]StuntDes!$B:$B,[1]StuntDes!$C:$C)),"")</f>
        <v>攻击暴击伤害增加{0}</v>
      </c>
      <c r="L417">
        <f t="shared" si="26"/>
        <v>2</v>
      </c>
      <c r="M417" s="10" t="str">
        <f>IFERROR(_xlfn.XLOOKUP(C417,[1]StuntDes!$B:$B,[1]StuntDes!$A:$A),"")</f>
        <v/>
      </c>
      <c r="N417" s="10">
        <f>IFERROR(_xlfn.XLOOKUP(C417,[1]ModifierDes!$B:$B,[1]ModifierDes!$A:$A),"")</f>
        <v>10060</v>
      </c>
      <c r="O417" s="10" t="str">
        <f>IFERROR(_xlfn.XLOOKUP(C417,[1]AttributeName!$C:$C,[1]AttributeName!$B:$B),"")</f>
        <v/>
      </c>
      <c r="P417" s="10"/>
      <c r="Q417">
        <v>0.36</v>
      </c>
      <c r="R417">
        <v>0.42</v>
      </c>
      <c r="S417" cm="1">
        <f t="array" ref="S417">IFERROR(_xlfn.SWITCH(L417,1,_xlfn.XLOOKUP(O417,[1]AttributeName!$B:$B,[1]AttributeName!$D:$D),2,_xlfn.XLOOKUP(C417,#REF!,#REF!),3,_xlfn.XLOOKUP(C417,#REF!,#REF!)),0)</f>
        <v>0</v>
      </c>
      <c r="T417" cm="1">
        <f t="array" ref="T417">IFERROR(_xlfn.SWITCH(L417,1,_xlfn.XLOOKUP(O417,[1]AttributeName!$B:$B,[1]AttributeName!$E:$E),2,_xlfn.XLOOKUP(C417,#REF!,#REF!),3,_xlfn.XLOOKUP(C417,#REF!,#REF!)),0)</f>
        <v>0</v>
      </c>
    </row>
    <row r="418" customFormat="1" spans="1:20">
      <c r="A418">
        <v>156</v>
      </c>
      <c r="B418">
        <v>5</v>
      </c>
      <c r="C418" t="s">
        <v>400</v>
      </c>
      <c r="D418" t="s">
        <v>415</v>
      </c>
      <c r="E418" t="s">
        <v>392</v>
      </c>
      <c r="F418"/>
      <c r="G418">
        <v>2</v>
      </c>
      <c r="H418">
        <v>500</v>
      </c>
      <c r="I418">
        <v>3</v>
      </c>
      <c r="J418" cm="1">
        <f t="array" ref="J418">_xlfn.SWITCH(B418,1,75,2,61,3,49,4,37,5,25,6,13,7,4,8,1)</f>
        <v>25</v>
      </c>
      <c r="K418" t="str" cm="1">
        <f t="array" ref="K418">IFERROR(_xlfn.SWITCH(L418,2,_xlfn.XLOOKUP(C418,[1]ModifierDes!$B:$B,[1]ModifierDes!$C:$C),3,_xlfn.XLOOKUP(C418,[1]StuntDes!$B:$B,[1]StuntDes!$C:$C)),"")</f>
        <v>攻击暴击伤害增加{0}</v>
      </c>
      <c r="L418">
        <f t="shared" si="26"/>
        <v>2</v>
      </c>
      <c r="M418" s="10" t="str">
        <f>IFERROR(_xlfn.XLOOKUP(C418,[1]StuntDes!$B:$B,[1]StuntDes!$A:$A),"")</f>
        <v/>
      </c>
      <c r="N418" s="10">
        <f>IFERROR(_xlfn.XLOOKUP(C418,[1]ModifierDes!$B:$B,[1]ModifierDes!$A:$A),"")</f>
        <v>10060</v>
      </c>
      <c r="O418" s="10" t="str">
        <f>IFERROR(_xlfn.XLOOKUP(C418,[1]AttributeName!$C:$C,[1]AttributeName!$B:$B),"")</f>
        <v/>
      </c>
      <c r="P418" s="10"/>
      <c r="Q418">
        <v>0.28</v>
      </c>
      <c r="R418">
        <v>0.34</v>
      </c>
      <c r="S418" cm="1">
        <f t="array" ref="S418">IFERROR(_xlfn.SWITCH(L418,1,_xlfn.XLOOKUP(O418,[1]AttributeName!$B:$B,[1]AttributeName!$D:$D),2,_xlfn.XLOOKUP(C418,#REF!,#REF!),3,_xlfn.XLOOKUP(C418,#REF!,#REF!)),0)</f>
        <v>0</v>
      </c>
      <c r="T418" cm="1">
        <f t="array" ref="T418">IFERROR(_xlfn.SWITCH(L418,1,_xlfn.XLOOKUP(O418,[1]AttributeName!$B:$B,[1]AttributeName!$E:$E),2,_xlfn.XLOOKUP(C418,#REF!,#REF!),3,_xlfn.XLOOKUP(C418,#REF!,#REF!)),0)</f>
        <v>0</v>
      </c>
    </row>
    <row r="419" customFormat="1" spans="1:20">
      <c r="A419">
        <v>156</v>
      </c>
      <c r="B419">
        <v>6</v>
      </c>
      <c r="C419" t="s">
        <v>400</v>
      </c>
      <c r="D419" t="s">
        <v>415</v>
      </c>
      <c r="E419" t="s">
        <v>392</v>
      </c>
      <c r="F419"/>
      <c r="G419">
        <v>2</v>
      </c>
      <c r="H419">
        <v>500</v>
      </c>
      <c r="I419">
        <v>3</v>
      </c>
      <c r="J419" cm="1">
        <f t="array" ref="J419">_xlfn.SWITCH(B419,1,75,2,61,3,49,4,37,5,25,6,13,7,4,8,1)</f>
        <v>13</v>
      </c>
      <c r="K419" t="str" cm="1">
        <f t="array" ref="K419">IFERROR(_xlfn.SWITCH(L419,2,_xlfn.XLOOKUP(C419,[1]ModifierDes!$B:$B,[1]ModifierDes!$C:$C),3,_xlfn.XLOOKUP(C419,[1]StuntDes!$B:$B,[1]StuntDes!$C:$C)),"")</f>
        <v>攻击暴击伤害增加{0}</v>
      </c>
      <c r="L419">
        <f t="shared" si="26"/>
        <v>2</v>
      </c>
      <c r="M419" s="10" t="str">
        <f>IFERROR(_xlfn.XLOOKUP(C419,[1]StuntDes!$B:$B,[1]StuntDes!$A:$A),"")</f>
        <v/>
      </c>
      <c r="N419" s="10">
        <f>IFERROR(_xlfn.XLOOKUP(C419,[1]ModifierDes!$B:$B,[1]ModifierDes!$A:$A),"")</f>
        <v>10060</v>
      </c>
      <c r="O419" s="10" t="str">
        <f>IFERROR(_xlfn.XLOOKUP(C419,[1]AttributeName!$C:$C,[1]AttributeName!$B:$B),"")</f>
        <v/>
      </c>
      <c r="P419" s="10"/>
      <c r="Q419">
        <v>0.2</v>
      </c>
      <c r="R419">
        <v>0.26</v>
      </c>
      <c r="S419" cm="1">
        <f t="array" ref="S419">IFERROR(_xlfn.SWITCH(L419,1,_xlfn.XLOOKUP(O419,[1]AttributeName!$B:$B,[1]AttributeName!$D:$D),2,_xlfn.XLOOKUP(C419,#REF!,#REF!),3,_xlfn.XLOOKUP(C419,#REF!,#REF!)),0)</f>
        <v>0</v>
      </c>
      <c r="T419" cm="1">
        <f t="array" ref="T419">IFERROR(_xlfn.SWITCH(L419,1,_xlfn.XLOOKUP(O419,[1]AttributeName!$B:$B,[1]AttributeName!$E:$E),2,_xlfn.XLOOKUP(C419,#REF!,#REF!),3,_xlfn.XLOOKUP(C419,#REF!,#REF!)),0)</f>
        <v>0</v>
      </c>
    </row>
    <row r="420" customFormat="1" spans="1:20">
      <c r="A420">
        <v>156</v>
      </c>
      <c r="B420">
        <v>7</v>
      </c>
      <c r="C420" t="s">
        <v>400</v>
      </c>
      <c r="D420" t="s">
        <v>415</v>
      </c>
      <c r="E420" t="s">
        <v>392</v>
      </c>
      <c r="F420"/>
      <c r="G420">
        <v>2</v>
      </c>
      <c r="H420">
        <v>500</v>
      </c>
      <c r="I420">
        <v>3</v>
      </c>
      <c r="J420" cm="1">
        <f t="array" ref="J420">_xlfn.SWITCH(B420,1,75,2,61,3,49,4,37,5,25,6,13,7,4,8,1)</f>
        <v>4</v>
      </c>
      <c r="K420" t="str" cm="1">
        <f t="array" ref="K420">IFERROR(_xlfn.SWITCH(L420,2,_xlfn.XLOOKUP(C420,[1]ModifierDes!$B:$B,[1]ModifierDes!$C:$C),3,_xlfn.XLOOKUP(C420,[1]StuntDes!$B:$B,[1]StuntDes!$C:$C)),"")</f>
        <v>攻击暴击伤害增加{0}</v>
      </c>
      <c r="L420">
        <f t="shared" si="26"/>
        <v>2</v>
      </c>
      <c r="M420" s="10" t="str">
        <f>IFERROR(_xlfn.XLOOKUP(C420,[1]StuntDes!$B:$B,[1]StuntDes!$A:$A),"")</f>
        <v/>
      </c>
      <c r="N420" s="10">
        <f>IFERROR(_xlfn.XLOOKUP(C420,[1]ModifierDes!$B:$B,[1]ModifierDes!$A:$A),"")</f>
        <v>10060</v>
      </c>
      <c r="O420" s="10" t="str">
        <f>IFERROR(_xlfn.XLOOKUP(C420,[1]AttributeName!$C:$C,[1]AttributeName!$B:$B),"")</f>
        <v/>
      </c>
      <c r="P420" s="10"/>
      <c r="Q420">
        <v>0.12</v>
      </c>
      <c r="R420">
        <v>0.18</v>
      </c>
      <c r="S420" cm="1">
        <f t="array" ref="S420">IFERROR(_xlfn.SWITCH(L420,1,_xlfn.XLOOKUP(O420,[1]AttributeName!$B:$B,[1]AttributeName!$D:$D),2,_xlfn.XLOOKUP(C420,#REF!,#REF!),3,_xlfn.XLOOKUP(C420,#REF!,#REF!)),0)</f>
        <v>0</v>
      </c>
      <c r="T420" cm="1">
        <f t="array" ref="T420">IFERROR(_xlfn.SWITCH(L420,1,_xlfn.XLOOKUP(O420,[1]AttributeName!$B:$B,[1]AttributeName!$E:$E),2,_xlfn.XLOOKUP(C420,#REF!,#REF!),3,_xlfn.XLOOKUP(C420,#REF!,#REF!)),0)</f>
        <v>0</v>
      </c>
    </row>
    <row r="421" customFormat="1" spans="1:20">
      <c r="A421">
        <v>156</v>
      </c>
      <c r="B421">
        <v>8</v>
      </c>
      <c r="C421" t="s">
        <v>400</v>
      </c>
      <c r="D421" t="s">
        <v>415</v>
      </c>
      <c r="E421" t="s">
        <v>392</v>
      </c>
      <c r="F421"/>
      <c r="G421">
        <v>2</v>
      </c>
      <c r="H421">
        <v>500</v>
      </c>
      <c r="I421">
        <v>3</v>
      </c>
      <c r="J421" cm="1">
        <f t="array" ref="J421">_xlfn.SWITCH(B421,1,75,2,61,3,49,4,37,5,25,6,13,7,4,8,1)</f>
        <v>1</v>
      </c>
      <c r="K421" t="str" cm="1">
        <f t="array" ref="K421">IFERROR(_xlfn.SWITCH(L421,2,_xlfn.XLOOKUP(C421,[1]ModifierDes!$B:$B,[1]ModifierDes!$C:$C),3,_xlfn.XLOOKUP(C421,[1]StuntDes!$B:$B,[1]StuntDes!$C:$C)),"")</f>
        <v>攻击暴击伤害增加{0}</v>
      </c>
      <c r="L421">
        <f t="shared" si="26"/>
        <v>2</v>
      </c>
      <c r="M421" s="10" t="str">
        <f>IFERROR(_xlfn.XLOOKUP(C421,[1]StuntDes!$B:$B,[1]StuntDes!$A:$A),"")</f>
        <v/>
      </c>
      <c r="N421" s="10">
        <f>IFERROR(_xlfn.XLOOKUP(C421,[1]ModifierDes!$B:$B,[1]ModifierDes!$A:$A),"")</f>
        <v>10060</v>
      </c>
      <c r="O421" s="10" t="str">
        <f>IFERROR(_xlfn.XLOOKUP(C421,[1]AttributeName!$C:$C,[1]AttributeName!$B:$B),"")</f>
        <v/>
      </c>
      <c r="P421" s="10"/>
      <c r="Q421">
        <v>0.04</v>
      </c>
      <c r="R421">
        <v>0.1</v>
      </c>
      <c r="S421" cm="1">
        <f t="array" ref="S421">IFERROR(_xlfn.SWITCH(L421,1,_xlfn.XLOOKUP(O421,[1]AttributeName!$B:$B,[1]AttributeName!$D:$D),2,_xlfn.XLOOKUP(C421,#REF!,#REF!),3,_xlfn.XLOOKUP(C421,#REF!,#REF!)),0)</f>
        <v>0</v>
      </c>
      <c r="T421" cm="1">
        <f t="array" ref="T421">IFERROR(_xlfn.SWITCH(L421,1,_xlfn.XLOOKUP(O421,[1]AttributeName!$B:$B,[1]AttributeName!$E:$E),2,_xlfn.XLOOKUP(C421,#REF!,#REF!),3,_xlfn.XLOOKUP(C421,#REF!,#REF!)),0)</f>
        <v>0</v>
      </c>
    </row>
    <row r="422" customFormat="1" spans="1:20">
      <c r="A422">
        <f t="shared" ref="A422:A485" si="27">A414+1</f>
        <v>157</v>
      </c>
      <c r="B422">
        <v>1</v>
      </c>
      <c r="C422" t="s">
        <v>426</v>
      </c>
      <c r="D422" t="s">
        <v>415</v>
      </c>
      <c r="E422" t="s">
        <v>392</v>
      </c>
      <c r="F422"/>
      <c r="G422">
        <v>2</v>
      </c>
      <c r="H422">
        <v>50</v>
      </c>
      <c r="I422">
        <v>3</v>
      </c>
      <c r="J422" cm="1">
        <f t="array" ref="J422">_xlfn.SWITCH(B422,1,75,2,61,3,49,4,37,5,25,6,13,7,4,8,1)</f>
        <v>75</v>
      </c>
      <c r="K422" t="str" cm="1">
        <f t="array" ref="K422">IFERROR(_xlfn.SWITCH(L422,2,_xlfn.XLOOKUP(C422,[1]ModifierDes!$B:$B,[1]ModifierDes!$C:$C),3,_xlfn.XLOOKUP(C422,[1]StuntDes!$B:$B,[1]StuntDes!$C:$C)),"")</f>
        <v>法术暴击伤害增加{0}</v>
      </c>
      <c r="L422">
        <f t="shared" si="26"/>
        <v>2</v>
      </c>
      <c r="M422" s="10" t="str">
        <f>IFERROR(_xlfn.XLOOKUP(C422,[1]StuntDes!$B:$B,[1]StuntDes!$A:$A),"")</f>
        <v/>
      </c>
      <c r="N422" s="10">
        <f>IFERROR(_xlfn.XLOOKUP(C422,[1]ModifierDes!$B:$B,[1]ModifierDes!$A:$A),"")</f>
        <v>10061</v>
      </c>
      <c r="O422" s="10" t="str">
        <f>IFERROR(_xlfn.XLOOKUP(C422,[1]AttributeName!$C:$C,[1]AttributeName!$B:$B),"")</f>
        <v/>
      </c>
      <c r="P422" s="10"/>
      <c r="Q422">
        <v>0.6</v>
      </c>
      <c r="R422">
        <v>0.8</v>
      </c>
      <c r="S422" cm="1">
        <f t="array" ref="S422">IFERROR(_xlfn.SWITCH(L422,1,_xlfn.XLOOKUP(O422,[1]AttributeName!$B:$B,[1]AttributeName!$D:$D),2,_xlfn.XLOOKUP(C422,#REF!,#REF!),3,_xlfn.XLOOKUP(C422,#REF!,#REF!)),0)</f>
        <v>0</v>
      </c>
      <c r="T422" cm="1">
        <f t="array" ref="T422">IFERROR(_xlfn.SWITCH(L422,1,_xlfn.XLOOKUP(O422,[1]AttributeName!$B:$B,[1]AttributeName!$E:$E),2,_xlfn.XLOOKUP(C422,#REF!,#REF!),3,_xlfn.XLOOKUP(C422,#REF!,#REF!)),0)</f>
        <v>0</v>
      </c>
    </row>
    <row r="423" customFormat="1" spans="1:20">
      <c r="A423">
        <f t="shared" si="27"/>
        <v>157</v>
      </c>
      <c r="B423">
        <v>2</v>
      </c>
      <c r="C423" t="s">
        <v>426</v>
      </c>
      <c r="D423" t="s">
        <v>415</v>
      </c>
      <c r="E423" t="s">
        <v>392</v>
      </c>
      <c r="F423"/>
      <c r="G423">
        <v>2</v>
      </c>
      <c r="H423">
        <v>100</v>
      </c>
      <c r="I423">
        <v>3</v>
      </c>
      <c r="J423" cm="1">
        <f t="array" ref="J423">_xlfn.SWITCH(B423,1,75,2,61,3,49,4,37,5,25,6,13,7,4,8,1)</f>
        <v>61</v>
      </c>
      <c r="K423" t="str" cm="1">
        <f t="array" ref="K423">IFERROR(_xlfn.SWITCH(L423,2,_xlfn.XLOOKUP(C423,[1]ModifierDes!$B:$B,[1]ModifierDes!$C:$C),3,_xlfn.XLOOKUP(C423,[1]StuntDes!$B:$B,[1]StuntDes!$C:$C)),"")</f>
        <v>法术暴击伤害增加{0}</v>
      </c>
      <c r="L423">
        <f t="shared" si="26"/>
        <v>2</v>
      </c>
      <c r="M423" s="10" t="str">
        <f>IFERROR(_xlfn.XLOOKUP(C423,[1]StuntDes!$B:$B,[1]StuntDes!$A:$A),"")</f>
        <v/>
      </c>
      <c r="N423" s="10">
        <f>IFERROR(_xlfn.XLOOKUP(C423,[1]ModifierDes!$B:$B,[1]ModifierDes!$A:$A),"")</f>
        <v>10061</v>
      </c>
      <c r="O423" s="10" t="str">
        <f>IFERROR(_xlfn.XLOOKUP(C423,[1]AttributeName!$C:$C,[1]AttributeName!$B:$B),"")</f>
        <v/>
      </c>
      <c r="P423" s="10"/>
      <c r="Q423">
        <v>0.52</v>
      </c>
      <c r="R423">
        <v>0.58</v>
      </c>
      <c r="S423" cm="1">
        <f t="array" ref="S423">IFERROR(_xlfn.SWITCH(L423,1,_xlfn.XLOOKUP(O423,[1]AttributeName!$B:$B,[1]AttributeName!$D:$D),2,_xlfn.XLOOKUP(C423,#REF!,#REF!),3,_xlfn.XLOOKUP(C423,#REF!,#REF!)),0)</f>
        <v>0</v>
      </c>
      <c r="T423" cm="1">
        <f t="array" ref="T423">IFERROR(_xlfn.SWITCH(L423,1,_xlfn.XLOOKUP(O423,[1]AttributeName!$B:$B,[1]AttributeName!$E:$E),2,_xlfn.XLOOKUP(C423,#REF!,#REF!),3,_xlfn.XLOOKUP(C423,#REF!,#REF!)),0)</f>
        <v>0</v>
      </c>
    </row>
    <row r="424" customFormat="1" spans="1:20">
      <c r="A424">
        <f t="shared" si="27"/>
        <v>157</v>
      </c>
      <c r="B424">
        <v>3</v>
      </c>
      <c r="C424" t="s">
        <v>426</v>
      </c>
      <c r="D424" t="s">
        <v>415</v>
      </c>
      <c r="E424" t="s">
        <v>392</v>
      </c>
      <c r="F424"/>
      <c r="G424">
        <v>2</v>
      </c>
      <c r="H424">
        <v>250</v>
      </c>
      <c r="I424">
        <v>3</v>
      </c>
      <c r="J424" cm="1">
        <f t="array" ref="J424">_xlfn.SWITCH(B424,1,75,2,61,3,49,4,37,5,25,6,13,7,4,8,1)</f>
        <v>49</v>
      </c>
      <c r="K424" t="str" cm="1">
        <f t="array" ref="K424">IFERROR(_xlfn.SWITCH(L424,2,_xlfn.XLOOKUP(C424,[1]ModifierDes!$B:$B,[1]ModifierDes!$C:$C),3,_xlfn.XLOOKUP(C424,[1]StuntDes!$B:$B,[1]StuntDes!$C:$C)),"")</f>
        <v>法术暴击伤害增加{0}</v>
      </c>
      <c r="L424">
        <f t="shared" si="26"/>
        <v>2</v>
      </c>
      <c r="M424" s="10" t="str">
        <f>IFERROR(_xlfn.XLOOKUP(C424,[1]StuntDes!$B:$B,[1]StuntDes!$A:$A),"")</f>
        <v/>
      </c>
      <c r="N424" s="10">
        <f>IFERROR(_xlfn.XLOOKUP(C424,[1]ModifierDes!$B:$B,[1]ModifierDes!$A:$A),"")</f>
        <v>10061</v>
      </c>
      <c r="O424" s="10" t="str">
        <f>IFERROR(_xlfn.XLOOKUP(C424,[1]AttributeName!$C:$C,[1]AttributeName!$B:$B),"")</f>
        <v/>
      </c>
      <c r="P424" s="10"/>
      <c r="Q424">
        <v>0.44</v>
      </c>
      <c r="R424">
        <v>0.5</v>
      </c>
      <c r="S424" cm="1">
        <f t="array" ref="S424">IFERROR(_xlfn.SWITCH(L424,1,_xlfn.XLOOKUP(O424,[1]AttributeName!$B:$B,[1]AttributeName!$D:$D),2,_xlfn.XLOOKUP(C424,#REF!,#REF!),3,_xlfn.XLOOKUP(C424,#REF!,#REF!)),0)</f>
        <v>0</v>
      </c>
      <c r="T424" cm="1">
        <f t="array" ref="T424">IFERROR(_xlfn.SWITCH(L424,1,_xlfn.XLOOKUP(O424,[1]AttributeName!$B:$B,[1]AttributeName!$E:$E),2,_xlfn.XLOOKUP(C424,#REF!,#REF!),3,_xlfn.XLOOKUP(C424,#REF!,#REF!)),0)</f>
        <v>0</v>
      </c>
    </row>
    <row r="425" customFormat="1" spans="1:20">
      <c r="A425">
        <f t="shared" si="27"/>
        <v>157</v>
      </c>
      <c r="B425">
        <v>4</v>
      </c>
      <c r="C425" t="s">
        <v>426</v>
      </c>
      <c r="D425" t="s">
        <v>415</v>
      </c>
      <c r="E425" t="s">
        <v>392</v>
      </c>
      <c r="F425"/>
      <c r="G425">
        <v>2</v>
      </c>
      <c r="H425">
        <v>500</v>
      </c>
      <c r="I425">
        <v>3</v>
      </c>
      <c r="J425" cm="1">
        <f t="array" ref="J425">_xlfn.SWITCH(B425,1,75,2,61,3,49,4,37,5,25,6,13,7,4,8,1)</f>
        <v>37</v>
      </c>
      <c r="K425" t="str" cm="1">
        <f t="array" ref="K425">IFERROR(_xlfn.SWITCH(L425,2,_xlfn.XLOOKUP(C425,[1]ModifierDes!$B:$B,[1]ModifierDes!$C:$C),3,_xlfn.XLOOKUP(C425,[1]StuntDes!$B:$B,[1]StuntDes!$C:$C)),"")</f>
        <v>法术暴击伤害增加{0}</v>
      </c>
      <c r="L425">
        <f t="shared" si="26"/>
        <v>2</v>
      </c>
      <c r="M425" s="10" t="str">
        <f>IFERROR(_xlfn.XLOOKUP(C425,[1]StuntDes!$B:$B,[1]StuntDes!$A:$A),"")</f>
        <v/>
      </c>
      <c r="N425" s="10">
        <f>IFERROR(_xlfn.XLOOKUP(C425,[1]ModifierDes!$B:$B,[1]ModifierDes!$A:$A),"")</f>
        <v>10061</v>
      </c>
      <c r="O425" s="10" t="str">
        <f>IFERROR(_xlfn.XLOOKUP(C425,[1]AttributeName!$C:$C,[1]AttributeName!$B:$B),"")</f>
        <v/>
      </c>
      <c r="P425" s="10"/>
      <c r="Q425">
        <v>0.36</v>
      </c>
      <c r="R425">
        <v>0.42</v>
      </c>
      <c r="S425" cm="1">
        <f t="array" ref="S425">IFERROR(_xlfn.SWITCH(L425,1,_xlfn.XLOOKUP(O425,[1]AttributeName!$B:$B,[1]AttributeName!$D:$D),2,_xlfn.XLOOKUP(C425,#REF!,#REF!),3,_xlfn.XLOOKUP(C425,#REF!,#REF!)),0)</f>
        <v>0</v>
      </c>
      <c r="T425" cm="1">
        <f t="array" ref="T425">IFERROR(_xlfn.SWITCH(L425,1,_xlfn.XLOOKUP(O425,[1]AttributeName!$B:$B,[1]AttributeName!$E:$E),2,_xlfn.XLOOKUP(C425,#REF!,#REF!),3,_xlfn.XLOOKUP(C425,#REF!,#REF!)),0)</f>
        <v>0</v>
      </c>
    </row>
    <row r="426" customFormat="1" spans="1:20">
      <c r="A426">
        <f t="shared" si="27"/>
        <v>157</v>
      </c>
      <c r="B426">
        <v>5</v>
      </c>
      <c r="C426" t="s">
        <v>426</v>
      </c>
      <c r="D426" t="s">
        <v>415</v>
      </c>
      <c r="E426" t="s">
        <v>392</v>
      </c>
      <c r="F426"/>
      <c r="G426">
        <v>2</v>
      </c>
      <c r="H426">
        <v>500</v>
      </c>
      <c r="I426">
        <v>3</v>
      </c>
      <c r="J426" cm="1">
        <f t="array" ref="J426">_xlfn.SWITCH(B426,1,75,2,61,3,49,4,37,5,25,6,13,7,4,8,1)</f>
        <v>25</v>
      </c>
      <c r="K426" t="str" cm="1">
        <f t="array" ref="K426">IFERROR(_xlfn.SWITCH(L426,2,_xlfn.XLOOKUP(C426,[1]ModifierDes!$B:$B,[1]ModifierDes!$C:$C),3,_xlfn.XLOOKUP(C426,[1]StuntDes!$B:$B,[1]StuntDes!$C:$C)),"")</f>
        <v>法术暴击伤害增加{0}</v>
      </c>
      <c r="L426">
        <f t="shared" si="26"/>
        <v>2</v>
      </c>
      <c r="M426" s="10" t="str">
        <f>IFERROR(_xlfn.XLOOKUP(C426,[1]StuntDes!$B:$B,[1]StuntDes!$A:$A),"")</f>
        <v/>
      </c>
      <c r="N426" s="10">
        <f>IFERROR(_xlfn.XLOOKUP(C426,[1]ModifierDes!$B:$B,[1]ModifierDes!$A:$A),"")</f>
        <v>10061</v>
      </c>
      <c r="O426" s="10" t="str">
        <f>IFERROR(_xlfn.XLOOKUP(C426,[1]AttributeName!$C:$C,[1]AttributeName!$B:$B),"")</f>
        <v/>
      </c>
      <c r="P426" s="10"/>
      <c r="Q426">
        <v>0.28</v>
      </c>
      <c r="R426">
        <v>0.34</v>
      </c>
      <c r="S426" cm="1">
        <f t="array" ref="S426">IFERROR(_xlfn.SWITCH(L426,1,_xlfn.XLOOKUP(O426,[1]AttributeName!$B:$B,[1]AttributeName!$D:$D),2,_xlfn.XLOOKUP(C426,#REF!,#REF!),3,_xlfn.XLOOKUP(C426,#REF!,#REF!)),0)</f>
        <v>0</v>
      </c>
      <c r="T426" cm="1">
        <f t="array" ref="T426">IFERROR(_xlfn.SWITCH(L426,1,_xlfn.XLOOKUP(O426,[1]AttributeName!$B:$B,[1]AttributeName!$E:$E),2,_xlfn.XLOOKUP(C426,#REF!,#REF!),3,_xlfn.XLOOKUP(C426,#REF!,#REF!)),0)</f>
        <v>0</v>
      </c>
    </row>
    <row r="427" customFormat="1" spans="1:20">
      <c r="A427">
        <f t="shared" si="27"/>
        <v>157</v>
      </c>
      <c r="B427">
        <v>6</v>
      </c>
      <c r="C427" t="s">
        <v>426</v>
      </c>
      <c r="D427" t="s">
        <v>415</v>
      </c>
      <c r="E427" t="s">
        <v>392</v>
      </c>
      <c r="F427"/>
      <c r="G427">
        <v>2</v>
      </c>
      <c r="H427">
        <v>500</v>
      </c>
      <c r="I427">
        <v>3</v>
      </c>
      <c r="J427" cm="1">
        <f t="array" ref="J427">_xlfn.SWITCH(B427,1,75,2,61,3,49,4,37,5,25,6,13,7,4,8,1)</f>
        <v>13</v>
      </c>
      <c r="K427" t="str" cm="1">
        <f t="array" ref="K427">IFERROR(_xlfn.SWITCH(L427,2,_xlfn.XLOOKUP(C427,[1]ModifierDes!$B:$B,[1]ModifierDes!$C:$C),3,_xlfn.XLOOKUP(C427,[1]StuntDes!$B:$B,[1]StuntDes!$C:$C)),"")</f>
        <v>法术暴击伤害增加{0}</v>
      </c>
      <c r="L427">
        <f t="shared" si="26"/>
        <v>2</v>
      </c>
      <c r="M427" s="10" t="str">
        <f>IFERROR(_xlfn.XLOOKUP(C427,[1]StuntDes!$B:$B,[1]StuntDes!$A:$A),"")</f>
        <v/>
      </c>
      <c r="N427" s="10">
        <f>IFERROR(_xlfn.XLOOKUP(C427,[1]ModifierDes!$B:$B,[1]ModifierDes!$A:$A),"")</f>
        <v>10061</v>
      </c>
      <c r="O427" s="10" t="str">
        <f>IFERROR(_xlfn.XLOOKUP(C427,[1]AttributeName!$C:$C,[1]AttributeName!$B:$B),"")</f>
        <v/>
      </c>
      <c r="P427" s="10"/>
      <c r="Q427">
        <v>0.2</v>
      </c>
      <c r="R427">
        <v>0.26</v>
      </c>
      <c r="S427" cm="1">
        <f t="array" ref="S427">IFERROR(_xlfn.SWITCH(L427,1,_xlfn.XLOOKUP(O427,[1]AttributeName!$B:$B,[1]AttributeName!$D:$D),2,_xlfn.XLOOKUP(C427,#REF!,#REF!),3,_xlfn.XLOOKUP(C427,#REF!,#REF!)),0)</f>
        <v>0</v>
      </c>
      <c r="T427" cm="1">
        <f t="array" ref="T427">IFERROR(_xlfn.SWITCH(L427,1,_xlfn.XLOOKUP(O427,[1]AttributeName!$B:$B,[1]AttributeName!$E:$E),2,_xlfn.XLOOKUP(C427,#REF!,#REF!),3,_xlfn.XLOOKUP(C427,#REF!,#REF!)),0)</f>
        <v>0</v>
      </c>
    </row>
    <row r="428" customFormat="1" spans="1:20">
      <c r="A428">
        <f t="shared" si="27"/>
        <v>157</v>
      </c>
      <c r="B428">
        <v>7</v>
      </c>
      <c r="C428" t="s">
        <v>426</v>
      </c>
      <c r="D428" t="s">
        <v>415</v>
      </c>
      <c r="E428" t="s">
        <v>392</v>
      </c>
      <c r="F428"/>
      <c r="G428">
        <v>2</v>
      </c>
      <c r="H428">
        <v>500</v>
      </c>
      <c r="I428">
        <v>3</v>
      </c>
      <c r="J428" cm="1">
        <f t="array" ref="J428">_xlfn.SWITCH(B428,1,75,2,61,3,49,4,37,5,25,6,13,7,4,8,1)</f>
        <v>4</v>
      </c>
      <c r="K428" t="str" cm="1">
        <f t="array" ref="K428">IFERROR(_xlfn.SWITCH(L428,2,_xlfn.XLOOKUP(C428,[1]ModifierDes!$B:$B,[1]ModifierDes!$C:$C),3,_xlfn.XLOOKUP(C428,[1]StuntDes!$B:$B,[1]StuntDes!$C:$C)),"")</f>
        <v>法术暴击伤害增加{0}</v>
      </c>
      <c r="L428">
        <f t="shared" si="26"/>
        <v>2</v>
      </c>
      <c r="M428" s="10" t="str">
        <f>IFERROR(_xlfn.XLOOKUP(C428,[1]StuntDes!$B:$B,[1]StuntDes!$A:$A),"")</f>
        <v/>
      </c>
      <c r="N428" s="10">
        <f>IFERROR(_xlfn.XLOOKUP(C428,[1]ModifierDes!$B:$B,[1]ModifierDes!$A:$A),"")</f>
        <v>10061</v>
      </c>
      <c r="O428" s="10" t="str">
        <f>IFERROR(_xlfn.XLOOKUP(C428,[1]AttributeName!$C:$C,[1]AttributeName!$B:$B),"")</f>
        <v/>
      </c>
      <c r="P428" s="10"/>
      <c r="Q428">
        <v>0.12</v>
      </c>
      <c r="R428">
        <v>0.18</v>
      </c>
      <c r="S428" cm="1">
        <f t="array" ref="S428">IFERROR(_xlfn.SWITCH(L428,1,_xlfn.XLOOKUP(O428,[1]AttributeName!$B:$B,[1]AttributeName!$D:$D),2,_xlfn.XLOOKUP(C428,#REF!,#REF!),3,_xlfn.XLOOKUP(C428,#REF!,#REF!)),0)</f>
        <v>0</v>
      </c>
      <c r="T428" cm="1">
        <f t="array" ref="T428">IFERROR(_xlfn.SWITCH(L428,1,_xlfn.XLOOKUP(O428,[1]AttributeName!$B:$B,[1]AttributeName!$E:$E),2,_xlfn.XLOOKUP(C428,#REF!,#REF!),3,_xlfn.XLOOKUP(C428,#REF!,#REF!)),0)</f>
        <v>0</v>
      </c>
    </row>
    <row r="429" customFormat="1" spans="1:20">
      <c r="A429">
        <f t="shared" si="27"/>
        <v>157</v>
      </c>
      <c r="B429">
        <v>8</v>
      </c>
      <c r="C429" t="s">
        <v>426</v>
      </c>
      <c r="D429" t="s">
        <v>415</v>
      </c>
      <c r="E429" t="s">
        <v>392</v>
      </c>
      <c r="F429"/>
      <c r="G429">
        <v>2</v>
      </c>
      <c r="H429">
        <v>500</v>
      </c>
      <c r="I429">
        <v>3</v>
      </c>
      <c r="J429" cm="1">
        <f t="array" ref="J429">_xlfn.SWITCH(B429,1,75,2,61,3,49,4,37,5,25,6,13,7,4,8,1)</f>
        <v>1</v>
      </c>
      <c r="K429" t="str" cm="1">
        <f t="array" ref="K429">IFERROR(_xlfn.SWITCH(L429,2,_xlfn.XLOOKUP(C429,[1]ModifierDes!$B:$B,[1]ModifierDes!$C:$C),3,_xlfn.XLOOKUP(C429,[1]StuntDes!$B:$B,[1]StuntDes!$C:$C)),"")</f>
        <v>法术暴击伤害增加{0}</v>
      </c>
      <c r="L429">
        <f t="shared" si="26"/>
        <v>2</v>
      </c>
      <c r="M429" s="10" t="str">
        <f>IFERROR(_xlfn.XLOOKUP(C429,[1]StuntDes!$B:$B,[1]StuntDes!$A:$A),"")</f>
        <v/>
      </c>
      <c r="N429" s="10">
        <f>IFERROR(_xlfn.XLOOKUP(C429,[1]ModifierDes!$B:$B,[1]ModifierDes!$A:$A),"")</f>
        <v>10061</v>
      </c>
      <c r="O429" s="10" t="str">
        <f>IFERROR(_xlfn.XLOOKUP(C429,[1]AttributeName!$C:$C,[1]AttributeName!$B:$B),"")</f>
        <v/>
      </c>
      <c r="P429" s="10"/>
      <c r="Q429">
        <v>0.04</v>
      </c>
      <c r="R429">
        <v>0.1</v>
      </c>
      <c r="S429" cm="1">
        <f t="array" ref="S429">IFERROR(_xlfn.SWITCH(L429,1,_xlfn.XLOOKUP(O429,[1]AttributeName!$B:$B,[1]AttributeName!$D:$D),2,_xlfn.XLOOKUP(C429,#REF!,#REF!),3,_xlfn.XLOOKUP(C429,#REF!,#REF!)),0)</f>
        <v>0</v>
      </c>
      <c r="T429" cm="1">
        <f t="array" ref="T429">IFERROR(_xlfn.SWITCH(L429,1,_xlfn.XLOOKUP(O429,[1]AttributeName!$B:$B,[1]AttributeName!$E:$E),2,_xlfn.XLOOKUP(C429,#REF!,#REF!),3,_xlfn.XLOOKUP(C429,#REF!,#REF!)),0)</f>
        <v>0</v>
      </c>
    </row>
    <row r="430" customFormat="1" spans="1:20">
      <c r="A430">
        <f t="shared" si="27"/>
        <v>158</v>
      </c>
      <c r="B430">
        <v>1</v>
      </c>
      <c r="C430" t="s">
        <v>401</v>
      </c>
      <c r="D430" t="s">
        <v>415</v>
      </c>
      <c r="E430" t="s">
        <v>392</v>
      </c>
      <c r="F430"/>
      <c r="G430">
        <v>2</v>
      </c>
      <c r="H430">
        <v>50</v>
      </c>
      <c r="I430">
        <v>3</v>
      </c>
      <c r="J430" cm="1">
        <f t="array" ref="J430">_xlfn.SWITCH(B430,1,75,2,61,3,49,4,37,5,25,6,13,7,4,8,1)</f>
        <v>75</v>
      </c>
      <c r="K430" t="str" cm="1">
        <f t="array" ref="K430">IFERROR(_xlfn.SWITCH(L430,2,_xlfn.XLOOKUP(C430,[1]ModifierDes!$B:$B,[1]ModifierDes!$C:$C),3,_xlfn.XLOOKUP(C430,[1]StuntDes!$B:$B,[1]StuntDes!$C:$C)),"")</f>
        <v/>
      </c>
      <c r="L430">
        <f t="shared" si="26"/>
        <v>1</v>
      </c>
      <c r="M430" s="10" t="str">
        <f>IFERROR(_xlfn.XLOOKUP(C430,[1]StuntDes!$B:$B,[1]StuntDes!$A:$A),"")</f>
        <v/>
      </c>
      <c r="N430" s="10" t="str">
        <f>IFERROR(_xlfn.XLOOKUP(C430,[1]ModifierDes!$B:$B,[1]ModifierDes!$A:$A),"")</f>
        <v/>
      </c>
      <c r="O430" s="10">
        <f>IFERROR(_xlfn.XLOOKUP(C430,[1]AttributeName!$C:$C,[1]AttributeName!$B:$B),"")</f>
        <v>10500</v>
      </c>
      <c r="P430" s="10"/>
      <c r="Q430">
        <v>0.3</v>
      </c>
      <c r="R430">
        <v>0.4</v>
      </c>
      <c r="S430" cm="1">
        <f t="array" ref="S430">IFERROR(_xlfn.SWITCH(L430,1,_xlfn.XLOOKUP(O430,[1]AttributeName!$B:$B,[1]AttributeName!$D:$D),2,_xlfn.XLOOKUP(C430,#REF!,#REF!),3,_xlfn.XLOOKUP(C430,#REF!,#REF!)),0)</f>
        <v>2</v>
      </c>
      <c r="T430" cm="1">
        <f t="array" ref="T430">IFERROR(_xlfn.SWITCH(L430,1,_xlfn.XLOOKUP(O430,[1]AttributeName!$B:$B,[1]AttributeName!$E:$E),2,_xlfn.XLOOKUP(C430,#REF!,#REF!),3,_xlfn.XLOOKUP(C430,#REF!,#REF!)),0)</f>
        <v>2</v>
      </c>
    </row>
    <row r="431" customFormat="1" spans="1:20">
      <c r="A431">
        <f t="shared" si="27"/>
        <v>158</v>
      </c>
      <c r="B431">
        <v>2</v>
      </c>
      <c r="C431" t="s">
        <v>401</v>
      </c>
      <c r="D431" t="s">
        <v>415</v>
      </c>
      <c r="E431" t="s">
        <v>392</v>
      </c>
      <c r="F431"/>
      <c r="G431">
        <v>2</v>
      </c>
      <c r="H431">
        <v>100</v>
      </c>
      <c r="I431">
        <v>3</v>
      </c>
      <c r="J431" cm="1">
        <f t="array" ref="J431">_xlfn.SWITCH(B431,1,75,2,61,3,49,4,37,5,25,6,13,7,4,8,1)</f>
        <v>61</v>
      </c>
      <c r="K431" t="str" cm="1">
        <f t="array" ref="K431">IFERROR(_xlfn.SWITCH(L431,2,_xlfn.XLOOKUP(C431,[1]ModifierDes!$B:$B,[1]ModifierDes!$C:$C),3,_xlfn.XLOOKUP(C431,[1]StuntDes!$B:$B,[1]StuntDes!$C:$C)),"")</f>
        <v/>
      </c>
      <c r="L431">
        <f t="shared" si="26"/>
        <v>1</v>
      </c>
      <c r="M431" s="10" t="str">
        <f>IFERROR(_xlfn.XLOOKUP(C431,[1]StuntDes!$B:$B,[1]StuntDes!$A:$A),"")</f>
        <v/>
      </c>
      <c r="N431" s="10" t="str">
        <f>IFERROR(_xlfn.XLOOKUP(C431,[1]ModifierDes!$B:$B,[1]ModifierDes!$A:$A),"")</f>
        <v/>
      </c>
      <c r="O431" s="10">
        <f>IFERROR(_xlfn.XLOOKUP(C431,[1]AttributeName!$C:$C,[1]AttributeName!$B:$B),"")</f>
        <v>10500</v>
      </c>
      <c r="P431" s="10"/>
      <c r="Q431">
        <v>0.26</v>
      </c>
      <c r="R431">
        <v>0.29</v>
      </c>
      <c r="S431" cm="1">
        <f t="array" ref="S431">IFERROR(_xlfn.SWITCH(L431,1,_xlfn.XLOOKUP(O431,[1]AttributeName!$B:$B,[1]AttributeName!$D:$D),2,_xlfn.XLOOKUP(C431,#REF!,#REF!),3,_xlfn.XLOOKUP(C431,#REF!,#REF!)),0)</f>
        <v>2</v>
      </c>
      <c r="T431" cm="1">
        <f t="array" ref="T431">IFERROR(_xlfn.SWITCH(L431,1,_xlfn.XLOOKUP(O431,[1]AttributeName!$B:$B,[1]AttributeName!$E:$E),2,_xlfn.XLOOKUP(C431,#REF!,#REF!),3,_xlfn.XLOOKUP(C431,#REF!,#REF!)),0)</f>
        <v>2</v>
      </c>
    </row>
    <row r="432" customFormat="1" spans="1:20">
      <c r="A432">
        <f t="shared" si="27"/>
        <v>158</v>
      </c>
      <c r="B432">
        <v>3</v>
      </c>
      <c r="C432" t="s">
        <v>401</v>
      </c>
      <c r="D432" t="s">
        <v>415</v>
      </c>
      <c r="E432" t="s">
        <v>392</v>
      </c>
      <c r="F432"/>
      <c r="G432">
        <v>2</v>
      </c>
      <c r="H432">
        <v>250</v>
      </c>
      <c r="I432">
        <v>3</v>
      </c>
      <c r="J432" cm="1">
        <f t="array" ref="J432">_xlfn.SWITCH(B432,1,75,2,61,3,49,4,37,5,25,6,13,7,4,8,1)</f>
        <v>49</v>
      </c>
      <c r="K432" t="str" cm="1">
        <f t="array" ref="K432">IFERROR(_xlfn.SWITCH(L432,2,_xlfn.XLOOKUP(C432,[1]ModifierDes!$B:$B,[1]ModifierDes!$C:$C),3,_xlfn.XLOOKUP(C432,[1]StuntDes!$B:$B,[1]StuntDes!$C:$C)),"")</f>
        <v/>
      </c>
      <c r="L432">
        <f t="shared" si="26"/>
        <v>1</v>
      </c>
      <c r="M432" s="10" t="str">
        <f>IFERROR(_xlfn.XLOOKUP(C432,[1]StuntDes!$B:$B,[1]StuntDes!$A:$A),"")</f>
        <v/>
      </c>
      <c r="N432" s="10" t="str">
        <f>IFERROR(_xlfn.XLOOKUP(C432,[1]ModifierDes!$B:$B,[1]ModifierDes!$A:$A),"")</f>
        <v/>
      </c>
      <c r="O432" s="10">
        <f>IFERROR(_xlfn.XLOOKUP(C432,[1]AttributeName!$C:$C,[1]AttributeName!$B:$B),"")</f>
        <v>10500</v>
      </c>
      <c r="P432" s="10"/>
      <c r="Q432">
        <v>0.22</v>
      </c>
      <c r="R432">
        <v>0.25</v>
      </c>
      <c r="S432" cm="1">
        <f t="array" ref="S432">IFERROR(_xlfn.SWITCH(L432,1,_xlfn.XLOOKUP(O432,[1]AttributeName!$B:$B,[1]AttributeName!$D:$D),2,_xlfn.XLOOKUP(C432,#REF!,#REF!),3,_xlfn.XLOOKUP(C432,#REF!,#REF!)),0)</f>
        <v>2</v>
      </c>
      <c r="T432" cm="1">
        <f t="array" ref="T432">IFERROR(_xlfn.SWITCH(L432,1,_xlfn.XLOOKUP(O432,[1]AttributeName!$B:$B,[1]AttributeName!$E:$E),2,_xlfn.XLOOKUP(C432,#REF!,#REF!),3,_xlfn.XLOOKUP(C432,#REF!,#REF!)),0)</f>
        <v>2</v>
      </c>
    </row>
    <row r="433" customFormat="1" spans="1:20">
      <c r="A433">
        <f t="shared" si="27"/>
        <v>158</v>
      </c>
      <c r="B433">
        <v>4</v>
      </c>
      <c r="C433" t="s">
        <v>401</v>
      </c>
      <c r="D433" t="s">
        <v>415</v>
      </c>
      <c r="E433" t="s">
        <v>392</v>
      </c>
      <c r="F433"/>
      <c r="G433">
        <v>2</v>
      </c>
      <c r="H433">
        <v>500</v>
      </c>
      <c r="I433">
        <v>3</v>
      </c>
      <c r="J433" cm="1">
        <f t="array" ref="J433">_xlfn.SWITCH(B433,1,75,2,61,3,49,4,37,5,25,6,13,7,4,8,1)</f>
        <v>37</v>
      </c>
      <c r="K433" t="str" cm="1">
        <f t="array" ref="K433">IFERROR(_xlfn.SWITCH(L433,2,_xlfn.XLOOKUP(C433,[1]ModifierDes!$B:$B,[1]ModifierDes!$C:$C),3,_xlfn.XLOOKUP(C433,[1]StuntDes!$B:$B,[1]StuntDes!$C:$C)),"")</f>
        <v/>
      </c>
      <c r="L433">
        <f t="shared" si="26"/>
        <v>1</v>
      </c>
      <c r="M433" s="10" t="str">
        <f>IFERROR(_xlfn.XLOOKUP(C433,[1]StuntDes!$B:$B,[1]StuntDes!$A:$A),"")</f>
        <v/>
      </c>
      <c r="N433" s="10" t="str">
        <f>IFERROR(_xlfn.XLOOKUP(C433,[1]ModifierDes!$B:$B,[1]ModifierDes!$A:$A),"")</f>
        <v/>
      </c>
      <c r="O433" s="10">
        <f>IFERROR(_xlfn.XLOOKUP(C433,[1]AttributeName!$C:$C,[1]AttributeName!$B:$B),"")</f>
        <v>10500</v>
      </c>
      <c r="P433" s="10"/>
      <c r="Q433">
        <v>0.18</v>
      </c>
      <c r="R433">
        <v>0.21</v>
      </c>
      <c r="S433" cm="1">
        <f t="array" ref="S433">IFERROR(_xlfn.SWITCH(L433,1,_xlfn.XLOOKUP(O433,[1]AttributeName!$B:$B,[1]AttributeName!$D:$D),2,_xlfn.XLOOKUP(C433,#REF!,#REF!),3,_xlfn.XLOOKUP(C433,#REF!,#REF!)),0)</f>
        <v>2</v>
      </c>
      <c r="T433" cm="1">
        <f t="array" ref="T433">IFERROR(_xlfn.SWITCH(L433,1,_xlfn.XLOOKUP(O433,[1]AttributeName!$B:$B,[1]AttributeName!$E:$E),2,_xlfn.XLOOKUP(C433,#REF!,#REF!),3,_xlfn.XLOOKUP(C433,#REF!,#REF!)),0)</f>
        <v>2</v>
      </c>
    </row>
    <row r="434" customFormat="1" spans="1:20">
      <c r="A434">
        <f t="shared" si="27"/>
        <v>158</v>
      </c>
      <c r="B434">
        <v>5</v>
      </c>
      <c r="C434" t="s">
        <v>401</v>
      </c>
      <c r="D434" t="s">
        <v>415</v>
      </c>
      <c r="E434" t="s">
        <v>392</v>
      </c>
      <c r="F434"/>
      <c r="G434">
        <v>2</v>
      </c>
      <c r="H434">
        <v>500</v>
      </c>
      <c r="I434">
        <v>3</v>
      </c>
      <c r="J434" cm="1">
        <f t="array" ref="J434">_xlfn.SWITCH(B434,1,75,2,61,3,49,4,37,5,25,6,13,7,4,8,1)</f>
        <v>25</v>
      </c>
      <c r="K434" t="str" cm="1">
        <f t="array" ref="K434">IFERROR(_xlfn.SWITCH(L434,2,_xlfn.XLOOKUP(C434,[1]ModifierDes!$B:$B,[1]ModifierDes!$C:$C),3,_xlfn.XLOOKUP(C434,[1]StuntDes!$B:$B,[1]StuntDes!$C:$C)),"")</f>
        <v/>
      </c>
      <c r="L434">
        <f t="shared" si="26"/>
        <v>1</v>
      </c>
      <c r="M434" s="10" t="str">
        <f>IFERROR(_xlfn.XLOOKUP(C434,[1]StuntDes!$B:$B,[1]StuntDes!$A:$A),"")</f>
        <v/>
      </c>
      <c r="N434" s="10" t="str">
        <f>IFERROR(_xlfn.XLOOKUP(C434,[1]ModifierDes!$B:$B,[1]ModifierDes!$A:$A),"")</f>
        <v/>
      </c>
      <c r="O434" s="10">
        <f>IFERROR(_xlfn.XLOOKUP(C434,[1]AttributeName!$C:$C,[1]AttributeName!$B:$B),"")</f>
        <v>10500</v>
      </c>
      <c r="P434" s="10"/>
      <c r="Q434">
        <v>0.14</v>
      </c>
      <c r="R434">
        <v>0.17</v>
      </c>
      <c r="S434" cm="1">
        <f t="array" ref="S434">IFERROR(_xlfn.SWITCH(L434,1,_xlfn.XLOOKUP(O434,[1]AttributeName!$B:$B,[1]AttributeName!$D:$D),2,_xlfn.XLOOKUP(C434,#REF!,#REF!),3,_xlfn.XLOOKUP(C434,#REF!,#REF!)),0)</f>
        <v>2</v>
      </c>
      <c r="T434" cm="1">
        <f t="array" ref="T434">IFERROR(_xlfn.SWITCH(L434,1,_xlfn.XLOOKUP(O434,[1]AttributeName!$B:$B,[1]AttributeName!$E:$E),2,_xlfn.XLOOKUP(C434,#REF!,#REF!),3,_xlfn.XLOOKUP(C434,#REF!,#REF!)),0)</f>
        <v>2</v>
      </c>
    </row>
    <row r="435" customFormat="1" spans="1:20">
      <c r="A435">
        <f t="shared" si="27"/>
        <v>158</v>
      </c>
      <c r="B435">
        <v>6</v>
      </c>
      <c r="C435" t="s">
        <v>401</v>
      </c>
      <c r="D435" t="s">
        <v>415</v>
      </c>
      <c r="E435" t="s">
        <v>392</v>
      </c>
      <c r="F435"/>
      <c r="G435">
        <v>2</v>
      </c>
      <c r="H435">
        <v>500</v>
      </c>
      <c r="I435">
        <v>3</v>
      </c>
      <c r="J435" cm="1">
        <f t="array" ref="J435">_xlfn.SWITCH(B435,1,75,2,61,3,49,4,37,5,25,6,13,7,4,8,1)</f>
        <v>13</v>
      </c>
      <c r="K435" t="str" cm="1">
        <f t="array" ref="K435">IFERROR(_xlfn.SWITCH(L435,2,_xlfn.XLOOKUP(C435,[1]ModifierDes!$B:$B,[1]ModifierDes!$C:$C),3,_xlfn.XLOOKUP(C435,[1]StuntDes!$B:$B,[1]StuntDes!$C:$C)),"")</f>
        <v/>
      </c>
      <c r="L435">
        <f t="shared" si="26"/>
        <v>1</v>
      </c>
      <c r="M435" s="10" t="str">
        <f>IFERROR(_xlfn.XLOOKUP(C435,[1]StuntDes!$B:$B,[1]StuntDes!$A:$A),"")</f>
        <v/>
      </c>
      <c r="N435" s="10" t="str">
        <f>IFERROR(_xlfn.XLOOKUP(C435,[1]ModifierDes!$B:$B,[1]ModifierDes!$A:$A),"")</f>
        <v/>
      </c>
      <c r="O435" s="10">
        <f>IFERROR(_xlfn.XLOOKUP(C435,[1]AttributeName!$C:$C,[1]AttributeName!$B:$B),"")</f>
        <v>10500</v>
      </c>
      <c r="P435" s="10"/>
      <c r="Q435">
        <v>0.1</v>
      </c>
      <c r="R435">
        <v>0.13</v>
      </c>
      <c r="S435" cm="1">
        <f t="array" ref="S435">IFERROR(_xlfn.SWITCH(L435,1,_xlfn.XLOOKUP(O435,[1]AttributeName!$B:$B,[1]AttributeName!$D:$D),2,_xlfn.XLOOKUP(C435,#REF!,#REF!),3,_xlfn.XLOOKUP(C435,#REF!,#REF!)),0)</f>
        <v>2</v>
      </c>
      <c r="T435" cm="1">
        <f t="array" ref="T435">IFERROR(_xlfn.SWITCH(L435,1,_xlfn.XLOOKUP(O435,[1]AttributeName!$B:$B,[1]AttributeName!$E:$E),2,_xlfn.XLOOKUP(C435,#REF!,#REF!),3,_xlfn.XLOOKUP(C435,#REF!,#REF!)),0)</f>
        <v>2</v>
      </c>
    </row>
    <row r="436" customFormat="1" spans="1:20">
      <c r="A436">
        <f t="shared" si="27"/>
        <v>158</v>
      </c>
      <c r="B436">
        <v>7</v>
      </c>
      <c r="C436" t="s">
        <v>401</v>
      </c>
      <c r="D436" t="s">
        <v>415</v>
      </c>
      <c r="E436" t="s">
        <v>392</v>
      </c>
      <c r="F436"/>
      <c r="G436">
        <v>2</v>
      </c>
      <c r="H436">
        <v>500</v>
      </c>
      <c r="I436">
        <v>3</v>
      </c>
      <c r="J436" cm="1">
        <f t="array" ref="J436">_xlfn.SWITCH(B436,1,75,2,61,3,49,4,37,5,25,6,13,7,4,8,1)</f>
        <v>4</v>
      </c>
      <c r="K436" t="str" cm="1">
        <f t="array" ref="K436">IFERROR(_xlfn.SWITCH(L436,2,_xlfn.XLOOKUP(C436,[1]ModifierDes!$B:$B,[1]ModifierDes!$C:$C),3,_xlfn.XLOOKUP(C436,[1]StuntDes!$B:$B,[1]StuntDes!$C:$C)),"")</f>
        <v/>
      </c>
      <c r="L436">
        <f t="shared" si="26"/>
        <v>1</v>
      </c>
      <c r="M436" s="10" t="str">
        <f>IFERROR(_xlfn.XLOOKUP(C436,[1]StuntDes!$B:$B,[1]StuntDes!$A:$A),"")</f>
        <v/>
      </c>
      <c r="N436" s="10" t="str">
        <f>IFERROR(_xlfn.XLOOKUP(C436,[1]ModifierDes!$B:$B,[1]ModifierDes!$A:$A),"")</f>
        <v/>
      </c>
      <c r="O436" s="10">
        <f>IFERROR(_xlfn.XLOOKUP(C436,[1]AttributeName!$C:$C,[1]AttributeName!$B:$B),"")</f>
        <v>10500</v>
      </c>
      <c r="P436" s="10"/>
      <c r="Q436">
        <v>0.06</v>
      </c>
      <c r="R436">
        <v>0.0900000000000001</v>
      </c>
      <c r="S436" cm="1">
        <f t="array" ref="S436">IFERROR(_xlfn.SWITCH(L436,1,_xlfn.XLOOKUP(O436,[1]AttributeName!$B:$B,[1]AttributeName!$D:$D),2,_xlfn.XLOOKUP(C436,#REF!,#REF!),3,_xlfn.XLOOKUP(C436,#REF!,#REF!)),0)</f>
        <v>2</v>
      </c>
      <c r="T436" cm="1">
        <f t="array" ref="T436">IFERROR(_xlfn.SWITCH(L436,1,_xlfn.XLOOKUP(O436,[1]AttributeName!$B:$B,[1]AttributeName!$E:$E),2,_xlfn.XLOOKUP(C436,#REF!,#REF!),3,_xlfn.XLOOKUP(C436,#REF!,#REF!)),0)</f>
        <v>2</v>
      </c>
    </row>
    <row r="437" customFormat="1" spans="1:20">
      <c r="A437">
        <f t="shared" si="27"/>
        <v>158</v>
      </c>
      <c r="B437">
        <v>8</v>
      </c>
      <c r="C437" t="s">
        <v>401</v>
      </c>
      <c r="D437" t="s">
        <v>415</v>
      </c>
      <c r="E437" t="s">
        <v>392</v>
      </c>
      <c r="F437"/>
      <c r="G437">
        <v>2</v>
      </c>
      <c r="H437">
        <v>500</v>
      </c>
      <c r="I437">
        <v>3</v>
      </c>
      <c r="J437" cm="1">
        <f t="array" ref="J437">_xlfn.SWITCH(B437,1,75,2,61,3,49,4,37,5,25,6,13,7,4,8,1)</f>
        <v>1</v>
      </c>
      <c r="K437" t="str" cm="1">
        <f t="array" ref="K437">IFERROR(_xlfn.SWITCH(L437,2,_xlfn.XLOOKUP(C437,[1]ModifierDes!$B:$B,[1]ModifierDes!$C:$C),3,_xlfn.XLOOKUP(C437,[1]StuntDes!$B:$B,[1]StuntDes!$C:$C)),"")</f>
        <v/>
      </c>
      <c r="L437">
        <f t="shared" si="26"/>
        <v>1</v>
      </c>
      <c r="M437" s="10" t="str">
        <f>IFERROR(_xlfn.XLOOKUP(C437,[1]StuntDes!$B:$B,[1]StuntDes!$A:$A),"")</f>
        <v/>
      </c>
      <c r="N437" s="10" t="str">
        <f>IFERROR(_xlfn.XLOOKUP(C437,[1]ModifierDes!$B:$B,[1]ModifierDes!$A:$A),"")</f>
        <v/>
      </c>
      <c r="O437" s="10">
        <f>IFERROR(_xlfn.XLOOKUP(C437,[1]AttributeName!$C:$C,[1]AttributeName!$B:$B),"")</f>
        <v>10500</v>
      </c>
      <c r="P437" s="10"/>
      <c r="Q437">
        <v>0.02</v>
      </c>
      <c r="R437">
        <v>0.0500000000000001</v>
      </c>
      <c r="S437" cm="1">
        <f t="array" ref="S437">IFERROR(_xlfn.SWITCH(L437,1,_xlfn.XLOOKUP(O437,[1]AttributeName!$B:$B,[1]AttributeName!$D:$D),2,_xlfn.XLOOKUP(C437,#REF!,#REF!),3,_xlfn.XLOOKUP(C437,#REF!,#REF!)),0)</f>
        <v>2</v>
      </c>
      <c r="T437" cm="1">
        <f t="array" ref="T437">IFERROR(_xlfn.SWITCH(L437,1,_xlfn.XLOOKUP(O437,[1]AttributeName!$B:$B,[1]AttributeName!$E:$E),2,_xlfn.XLOOKUP(C437,#REF!,#REF!),3,_xlfn.XLOOKUP(C437,#REF!,#REF!)),0)</f>
        <v>2</v>
      </c>
    </row>
    <row r="438" customFormat="1" spans="1:20">
      <c r="A438">
        <f t="shared" si="27"/>
        <v>159</v>
      </c>
      <c r="B438">
        <v>1</v>
      </c>
      <c r="C438" t="s">
        <v>402</v>
      </c>
      <c r="D438" t="s">
        <v>415</v>
      </c>
      <c r="E438" t="s">
        <v>392</v>
      </c>
      <c r="F438"/>
      <c r="G438">
        <v>2</v>
      </c>
      <c r="H438">
        <v>50</v>
      </c>
      <c r="I438">
        <v>3</v>
      </c>
      <c r="J438" cm="1">
        <f t="array" ref="J438">_xlfn.SWITCH(B438,1,75,2,61,3,49,4,37,5,25,6,13,7,4,8,1)</f>
        <v>75</v>
      </c>
      <c r="K438" t="str" cm="1">
        <f t="array" ref="K438">IFERROR(_xlfn.SWITCH(L438,2,_xlfn.XLOOKUP(C438,[1]ModifierDes!$B:$B,[1]ModifierDes!$C:$C),3,_xlfn.XLOOKUP(C438,[1]StuntDes!$B:$B,[1]StuntDes!$C:$C)),"")</f>
        <v/>
      </c>
      <c r="L438">
        <f t="shared" si="26"/>
        <v>1</v>
      </c>
      <c r="M438" s="10" t="str">
        <f>IFERROR(_xlfn.XLOOKUP(C438,[1]StuntDes!$B:$B,[1]StuntDes!$A:$A),"")</f>
        <v/>
      </c>
      <c r="N438" s="10" t="str">
        <f>IFERROR(_xlfn.XLOOKUP(C438,[1]ModifierDes!$B:$B,[1]ModifierDes!$A:$A),"")</f>
        <v/>
      </c>
      <c r="O438" s="10">
        <f>IFERROR(_xlfn.XLOOKUP(C438,[1]AttributeName!$C:$C,[1]AttributeName!$B:$B),"")</f>
        <v>10501</v>
      </c>
      <c r="P438" s="10"/>
      <c r="Q438">
        <v>0.3</v>
      </c>
      <c r="R438">
        <v>0.4</v>
      </c>
      <c r="S438" cm="1">
        <f t="array" ref="S438">IFERROR(_xlfn.SWITCH(L438,1,_xlfn.XLOOKUP(O438,[1]AttributeName!$B:$B,[1]AttributeName!$D:$D),2,_xlfn.XLOOKUP(C438,#REF!,#REF!),3,_xlfn.XLOOKUP(C438,#REF!,#REF!)),0)</f>
        <v>2</v>
      </c>
      <c r="T438" cm="1">
        <f t="array" ref="T438">IFERROR(_xlfn.SWITCH(L438,1,_xlfn.XLOOKUP(O438,[1]AttributeName!$B:$B,[1]AttributeName!$E:$E),2,_xlfn.XLOOKUP(C438,#REF!,#REF!),3,_xlfn.XLOOKUP(C438,#REF!,#REF!)),0)</f>
        <v>2</v>
      </c>
    </row>
    <row r="439" customFormat="1" spans="1:20">
      <c r="A439">
        <f t="shared" si="27"/>
        <v>159</v>
      </c>
      <c r="B439">
        <v>2</v>
      </c>
      <c r="C439" t="s">
        <v>402</v>
      </c>
      <c r="D439" t="s">
        <v>415</v>
      </c>
      <c r="E439" t="s">
        <v>392</v>
      </c>
      <c r="F439"/>
      <c r="G439">
        <v>2</v>
      </c>
      <c r="H439">
        <v>100</v>
      </c>
      <c r="I439">
        <v>3</v>
      </c>
      <c r="J439" cm="1">
        <f t="array" ref="J439">_xlfn.SWITCH(B439,1,75,2,61,3,49,4,37,5,25,6,13,7,4,8,1)</f>
        <v>61</v>
      </c>
      <c r="K439" t="str" cm="1">
        <f t="array" ref="K439">IFERROR(_xlfn.SWITCH(L439,2,_xlfn.XLOOKUP(C439,[1]ModifierDes!$B:$B,[1]ModifierDes!$C:$C),3,_xlfn.XLOOKUP(C439,[1]StuntDes!$B:$B,[1]StuntDes!$C:$C)),"")</f>
        <v/>
      </c>
      <c r="L439">
        <f t="shared" si="26"/>
        <v>1</v>
      </c>
      <c r="M439" s="10" t="str">
        <f>IFERROR(_xlfn.XLOOKUP(C439,[1]StuntDes!$B:$B,[1]StuntDes!$A:$A),"")</f>
        <v/>
      </c>
      <c r="N439" s="10" t="str">
        <f>IFERROR(_xlfn.XLOOKUP(C439,[1]ModifierDes!$B:$B,[1]ModifierDes!$A:$A),"")</f>
        <v/>
      </c>
      <c r="O439" s="10">
        <f>IFERROR(_xlfn.XLOOKUP(C439,[1]AttributeName!$C:$C,[1]AttributeName!$B:$B),"")</f>
        <v>10501</v>
      </c>
      <c r="P439" s="10"/>
      <c r="Q439">
        <v>0.26</v>
      </c>
      <c r="R439">
        <v>0.29</v>
      </c>
      <c r="S439" cm="1">
        <f t="array" ref="S439">IFERROR(_xlfn.SWITCH(L439,1,_xlfn.XLOOKUP(O439,[1]AttributeName!$B:$B,[1]AttributeName!$D:$D),2,_xlfn.XLOOKUP(C439,#REF!,#REF!),3,_xlfn.XLOOKUP(C439,#REF!,#REF!)),0)</f>
        <v>2</v>
      </c>
      <c r="T439" cm="1">
        <f t="array" ref="T439">IFERROR(_xlfn.SWITCH(L439,1,_xlfn.XLOOKUP(O439,[1]AttributeName!$B:$B,[1]AttributeName!$E:$E),2,_xlfn.XLOOKUP(C439,#REF!,#REF!),3,_xlfn.XLOOKUP(C439,#REF!,#REF!)),0)</f>
        <v>2</v>
      </c>
    </row>
    <row r="440" customFormat="1" spans="1:20">
      <c r="A440">
        <f t="shared" si="27"/>
        <v>159</v>
      </c>
      <c r="B440">
        <v>3</v>
      </c>
      <c r="C440" t="s">
        <v>402</v>
      </c>
      <c r="D440" t="s">
        <v>415</v>
      </c>
      <c r="E440" t="s">
        <v>392</v>
      </c>
      <c r="F440"/>
      <c r="G440">
        <v>2</v>
      </c>
      <c r="H440">
        <v>250</v>
      </c>
      <c r="I440">
        <v>3</v>
      </c>
      <c r="J440" cm="1">
        <f t="array" ref="J440">_xlfn.SWITCH(B440,1,75,2,61,3,49,4,37,5,25,6,13,7,4,8,1)</f>
        <v>49</v>
      </c>
      <c r="K440" t="str" cm="1">
        <f t="array" ref="K440">IFERROR(_xlfn.SWITCH(L440,2,_xlfn.XLOOKUP(C440,[1]ModifierDes!$B:$B,[1]ModifierDes!$C:$C),3,_xlfn.XLOOKUP(C440,[1]StuntDes!$B:$B,[1]StuntDes!$C:$C)),"")</f>
        <v/>
      </c>
      <c r="L440">
        <f t="shared" si="26"/>
        <v>1</v>
      </c>
      <c r="M440" s="10" t="str">
        <f>IFERROR(_xlfn.XLOOKUP(C440,[1]StuntDes!$B:$B,[1]StuntDes!$A:$A),"")</f>
        <v/>
      </c>
      <c r="N440" s="10" t="str">
        <f>IFERROR(_xlfn.XLOOKUP(C440,[1]ModifierDes!$B:$B,[1]ModifierDes!$A:$A),"")</f>
        <v/>
      </c>
      <c r="O440" s="10">
        <f>IFERROR(_xlfn.XLOOKUP(C440,[1]AttributeName!$C:$C,[1]AttributeName!$B:$B),"")</f>
        <v>10501</v>
      </c>
      <c r="P440" s="10"/>
      <c r="Q440">
        <v>0.22</v>
      </c>
      <c r="R440">
        <v>0.25</v>
      </c>
      <c r="S440" cm="1">
        <f t="array" ref="S440">IFERROR(_xlfn.SWITCH(L440,1,_xlfn.XLOOKUP(O440,[1]AttributeName!$B:$B,[1]AttributeName!$D:$D),2,_xlfn.XLOOKUP(C440,#REF!,#REF!),3,_xlfn.XLOOKUP(C440,#REF!,#REF!)),0)</f>
        <v>2</v>
      </c>
      <c r="T440" cm="1">
        <f t="array" ref="T440">IFERROR(_xlfn.SWITCH(L440,1,_xlfn.XLOOKUP(O440,[1]AttributeName!$B:$B,[1]AttributeName!$E:$E),2,_xlfn.XLOOKUP(C440,#REF!,#REF!),3,_xlfn.XLOOKUP(C440,#REF!,#REF!)),0)</f>
        <v>2</v>
      </c>
    </row>
    <row r="441" customFormat="1" spans="1:20">
      <c r="A441">
        <f t="shared" si="27"/>
        <v>159</v>
      </c>
      <c r="B441">
        <v>4</v>
      </c>
      <c r="C441" t="s">
        <v>402</v>
      </c>
      <c r="D441" t="s">
        <v>415</v>
      </c>
      <c r="E441" t="s">
        <v>392</v>
      </c>
      <c r="F441"/>
      <c r="G441">
        <v>2</v>
      </c>
      <c r="H441">
        <v>500</v>
      </c>
      <c r="I441">
        <v>3</v>
      </c>
      <c r="J441" cm="1">
        <f t="array" ref="J441">_xlfn.SWITCH(B441,1,75,2,61,3,49,4,37,5,25,6,13,7,4,8,1)</f>
        <v>37</v>
      </c>
      <c r="K441" t="str" cm="1">
        <f t="array" ref="K441">IFERROR(_xlfn.SWITCH(L441,2,_xlfn.XLOOKUP(C441,[1]ModifierDes!$B:$B,[1]ModifierDes!$C:$C),3,_xlfn.XLOOKUP(C441,[1]StuntDes!$B:$B,[1]StuntDes!$C:$C)),"")</f>
        <v/>
      </c>
      <c r="L441">
        <f t="shared" si="26"/>
        <v>1</v>
      </c>
      <c r="M441" s="10" t="str">
        <f>IFERROR(_xlfn.XLOOKUP(C441,[1]StuntDes!$B:$B,[1]StuntDes!$A:$A),"")</f>
        <v/>
      </c>
      <c r="N441" s="10" t="str">
        <f>IFERROR(_xlfn.XLOOKUP(C441,[1]ModifierDes!$B:$B,[1]ModifierDes!$A:$A),"")</f>
        <v/>
      </c>
      <c r="O441" s="10">
        <f>IFERROR(_xlfn.XLOOKUP(C441,[1]AttributeName!$C:$C,[1]AttributeName!$B:$B),"")</f>
        <v>10501</v>
      </c>
      <c r="P441" s="10"/>
      <c r="Q441">
        <v>0.18</v>
      </c>
      <c r="R441">
        <v>0.21</v>
      </c>
      <c r="S441" cm="1">
        <f t="array" ref="S441">IFERROR(_xlfn.SWITCH(L441,1,_xlfn.XLOOKUP(O441,[1]AttributeName!$B:$B,[1]AttributeName!$D:$D),2,_xlfn.XLOOKUP(C441,#REF!,#REF!),3,_xlfn.XLOOKUP(C441,#REF!,#REF!)),0)</f>
        <v>2</v>
      </c>
      <c r="T441" cm="1">
        <f t="array" ref="T441">IFERROR(_xlfn.SWITCH(L441,1,_xlfn.XLOOKUP(O441,[1]AttributeName!$B:$B,[1]AttributeName!$E:$E),2,_xlfn.XLOOKUP(C441,#REF!,#REF!),3,_xlfn.XLOOKUP(C441,#REF!,#REF!)),0)</f>
        <v>2</v>
      </c>
    </row>
    <row r="442" customFormat="1" spans="1:20">
      <c r="A442">
        <f t="shared" si="27"/>
        <v>159</v>
      </c>
      <c r="B442">
        <v>5</v>
      </c>
      <c r="C442" t="s">
        <v>402</v>
      </c>
      <c r="D442" t="s">
        <v>415</v>
      </c>
      <c r="E442" t="s">
        <v>392</v>
      </c>
      <c r="F442"/>
      <c r="G442">
        <v>2</v>
      </c>
      <c r="H442">
        <v>500</v>
      </c>
      <c r="I442">
        <v>3</v>
      </c>
      <c r="J442" cm="1">
        <f t="array" ref="J442">_xlfn.SWITCH(B442,1,75,2,61,3,49,4,37,5,25,6,13,7,4,8,1)</f>
        <v>25</v>
      </c>
      <c r="K442" t="str" cm="1">
        <f t="array" ref="K442">IFERROR(_xlfn.SWITCH(L442,2,_xlfn.XLOOKUP(C442,[1]ModifierDes!$B:$B,[1]ModifierDes!$C:$C),3,_xlfn.XLOOKUP(C442,[1]StuntDes!$B:$B,[1]StuntDes!$C:$C)),"")</f>
        <v/>
      </c>
      <c r="L442">
        <f t="shared" si="26"/>
        <v>1</v>
      </c>
      <c r="M442" s="10" t="str">
        <f>IFERROR(_xlfn.XLOOKUP(C442,[1]StuntDes!$B:$B,[1]StuntDes!$A:$A),"")</f>
        <v/>
      </c>
      <c r="N442" s="10" t="str">
        <f>IFERROR(_xlfn.XLOOKUP(C442,[1]ModifierDes!$B:$B,[1]ModifierDes!$A:$A),"")</f>
        <v/>
      </c>
      <c r="O442" s="10">
        <f>IFERROR(_xlfn.XLOOKUP(C442,[1]AttributeName!$C:$C,[1]AttributeName!$B:$B),"")</f>
        <v>10501</v>
      </c>
      <c r="P442" s="10"/>
      <c r="Q442">
        <v>0.14</v>
      </c>
      <c r="R442">
        <v>0.17</v>
      </c>
      <c r="S442" cm="1">
        <f t="array" ref="S442">IFERROR(_xlfn.SWITCH(L442,1,_xlfn.XLOOKUP(O442,[1]AttributeName!$B:$B,[1]AttributeName!$D:$D),2,_xlfn.XLOOKUP(C442,#REF!,#REF!),3,_xlfn.XLOOKUP(C442,#REF!,#REF!)),0)</f>
        <v>2</v>
      </c>
      <c r="T442" cm="1">
        <f t="array" ref="T442">IFERROR(_xlfn.SWITCH(L442,1,_xlfn.XLOOKUP(O442,[1]AttributeName!$B:$B,[1]AttributeName!$E:$E),2,_xlfn.XLOOKUP(C442,#REF!,#REF!),3,_xlfn.XLOOKUP(C442,#REF!,#REF!)),0)</f>
        <v>2</v>
      </c>
    </row>
    <row r="443" customFormat="1" spans="1:20">
      <c r="A443">
        <f t="shared" si="27"/>
        <v>159</v>
      </c>
      <c r="B443">
        <v>6</v>
      </c>
      <c r="C443" t="s">
        <v>402</v>
      </c>
      <c r="D443" t="s">
        <v>415</v>
      </c>
      <c r="E443" t="s">
        <v>392</v>
      </c>
      <c r="F443"/>
      <c r="G443">
        <v>2</v>
      </c>
      <c r="H443">
        <v>500</v>
      </c>
      <c r="I443">
        <v>3</v>
      </c>
      <c r="J443" cm="1">
        <f t="array" ref="J443">_xlfn.SWITCH(B443,1,75,2,61,3,49,4,37,5,25,6,13,7,4,8,1)</f>
        <v>13</v>
      </c>
      <c r="K443" t="str" cm="1">
        <f t="array" ref="K443">IFERROR(_xlfn.SWITCH(L443,2,_xlfn.XLOOKUP(C443,[1]ModifierDes!$B:$B,[1]ModifierDes!$C:$C),3,_xlfn.XLOOKUP(C443,[1]StuntDes!$B:$B,[1]StuntDes!$C:$C)),"")</f>
        <v/>
      </c>
      <c r="L443">
        <f t="shared" si="26"/>
        <v>1</v>
      </c>
      <c r="M443" s="10" t="str">
        <f>IFERROR(_xlfn.XLOOKUP(C443,[1]StuntDes!$B:$B,[1]StuntDes!$A:$A),"")</f>
        <v/>
      </c>
      <c r="N443" s="10" t="str">
        <f>IFERROR(_xlfn.XLOOKUP(C443,[1]ModifierDes!$B:$B,[1]ModifierDes!$A:$A),"")</f>
        <v/>
      </c>
      <c r="O443" s="10">
        <f>IFERROR(_xlfn.XLOOKUP(C443,[1]AttributeName!$C:$C,[1]AttributeName!$B:$B),"")</f>
        <v>10501</v>
      </c>
      <c r="P443" s="10"/>
      <c r="Q443">
        <v>0.1</v>
      </c>
      <c r="R443">
        <v>0.13</v>
      </c>
      <c r="S443" cm="1">
        <f t="array" ref="S443">IFERROR(_xlfn.SWITCH(L443,1,_xlfn.XLOOKUP(O443,[1]AttributeName!$B:$B,[1]AttributeName!$D:$D),2,_xlfn.XLOOKUP(C443,#REF!,#REF!),3,_xlfn.XLOOKUP(C443,#REF!,#REF!)),0)</f>
        <v>2</v>
      </c>
      <c r="T443" cm="1">
        <f t="array" ref="T443">IFERROR(_xlfn.SWITCH(L443,1,_xlfn.XLOOKUP(O443,[1]AttributeName!$B:$B,[1]AttributeName!$E:$E),2,_xlfn.XLOOKUP(C443,#REF!,#REF!),3,_xlfn.XLOOKUP(C443,#REF!,#REF!)),0)</f>
        <v>2</v>
      </c>
    </row>
    <row r="444" customFormat="1" spans="1:20">
      <c r="A444">
        <f t="shared" si="27"/>
        <v>159</v>
      </c>
      <c r="B444">
        <v>7</v>
      </c>
      <c r="C444" t="s">
        <v>402</v>
      </c>
      <c r="D444" t="s">
        <v>415</v>
      </c>
      <c r="E444" t="s">
        <v>392</v>
      </c>
      <c r="F444"/>
      <c r="G444">
        <v>2</v>
      </c>
      <c r="H444">
        <v>500</v>
      </c>
      <c r="I444">
        <v>3</v>
      </c>
      <c r="J444" cm="1">
        <f t="array" ref="J444">_xlfn.SWITCH(B444,1,75,2,61,3,49,4,37,5,25,6,13,7,4,8,1)</f>
        <v>4</v>
      </c>
      <c r="K444" t="str" cm="1">
        <f t="array" ref="K444">IFERROR(_xlfn.SWITCH(L444,2,_xlfn.XLOOKUP(C444,[1]ModifierDes!$B:$B,[1]ModifierDes!$C:$C),3,_xlfn.XLOOKUP(C444,[1]StuntDes!$B:$B,[1]StuntDes!$C:$C)),"")</f>
        <v/>
      </c>
      <c r="L444">
        <f t="shared" si="26"/>
        <v>1</v>
      </c>
      <c r="M444" s="10" t="str">
        <f>IFERROR(_xlfn.XLOOKUP(C444,[1]StuntDes!$B:$B,[1]StuntDes!$A:$A),"")</f>
        <v/>
      </c>
      <c r="N444" s="10" t="str">
        <f>IFERROR(_xlfn.XLOOKUP(C444,[1]ModifierDes!$B:$B,[1]ModifierDes!$A:$A),"")</f>
        <v/>
      </c>
      <c r="O444" s="10">
        <f>IFERROR(_xlfn.XLOOKUP(C444,[1]AttributeName!$C:$C,[1]AttributeName!$B:$B),"")</f>
        <v>10501</v>
      </c>
      <c r="P444" s="10"/>
      <c r="Q444">
        <v>0.06</v>
      </c>
      <c r="R444">
        <v>0.0900000000000001</v>
      </c>
      <c r="S444" cm="1">
        <f t="array" ref="S444">IFERROR(_xlfn.SWITCH(L444,1,_xlfn.XLOOKUP(O444,[1]AttributeName!$B:$B,[1]AttributeName!$D:$D),2,_xlfn.XLOOKUP(C444,#REF!,#REF!),3,_xlfn.XLOOKUP(C444,#REF!,#REF!)),0)</f>
        <v>2</v>
      </c>
      <c r="T444" cm="1">
        <f t="array" ref="T444">IFERROR(_xlfn.SWITCH(L444,1,_xlfn.XLOOKUP(O444,[1]AttributeName!$B:$B,[1]AttributeName!$E:$E),2,_xlfn.XLOOKUP(C444,#REF!,#REF!),3,_xlfn.XLOOKUP(C444,#REF!,#REF!)),0)</f>
        <v>2</v>
      </c>
    </row>
    <row r="445" customFormat="1" spans="1:20">
      <c r="A445">
        <f t="shared" si="27"/>
        <v>159</v>
      </c>
      <c r="B445">
        <v>8</v>
      </c>
      <c r="C445" t="s">
        <v>402</v>
      </c>
      <c r="D445" t="s">
        <v>415</v>
      </c>
      <c r="E445" t="s">
        <v>392</v>
      </c>
      <c r="F445"/>
      <c r="G445">
        <v>2</v>
      </c>
      <c r="H445">
        <v>500</v>
      </c>
      <c r="I445">
        <v>3</v>
      </c>
      <c r="J445" cm="1">
        <f t="array" ref="J445">_xlfn.SWITCH(B445,1,75,2,61,3,49,4,37,5,25,6,13,7,4,8,1)</f>
        <v>1</v>
      </c>
      <c r="K445" t="str" cm="1">
        <f t="array" ref="K445">IFERROR(_xlfn.SWITCH(L445,2,_xlfn.XLOOKUP(C445,[1]ModifierDes!$B:$B,[1]ModifierDes!$C:$C),3,_xlfn.XLOOKUP(C445,[1]StuntDes!$B:$B,[1]StuntDes!$C:$C)),"")</f>
        <v/>
      </c>
      <c r="L445">
        <f t="shared" si="26"/>
        <v>1</v>
      </c>
      <c r="M445" s="10" t="str">
        <f>IFERROR(_xlfn.XLOOKUP(C445,[1]StuntDes!$B:$B,[1]StuntDes!$A:$A),"")</f>
        <v/>
      </c>
      <c r="N445" s="10" t="str">
        <f>IFERROR(_xlfn.XLOOKUP(C445,[1]ModifierDes!$B:$B,[1]ModifierDes!$A:$A),"")</f>
        <v/>
      </c>
      <c r="O445" s="10">
        <f>IFERROR(_xlfn.XLOOKUP(C445,[1]AttributeName!$C:$C,[1]AttributeName!$B:$B),"")</f>
        <v>10501</v>
      </c>
      <c r="P445" s="10"/>
      <c r="Q445">
        <v>0.02</v>
      </c>
      <c r="R445">
        <v>0.0500000000000001</v>
      </c>
      <c r="S445" cm="1">
        <f t="array" ref="S445">IFERROR(_xlfn.SWITCH(L445,1,_xlfn.XLOOKUP(O445,[1]AttributeName!$B:$B,[1]AttributeName!$D:$D),2,_xlfn.XLOOKUP(C445,#REF!,#REF!),3,_xlfn.XLOOKUP(C445,#REF!,#REF!)),0)</f>
        <v>2</v>
      </c>
      <c r="T445" cm="1">
        <f t="array" ref="T445">IFERROR(_xlfn.SWITCH(L445,1,_xlfn.XLOOKUP(O445,[1]AttributeName!$B:$B,[1]AttributeName!$E:$E),2,_xlfn.XLOOKUP(C445,#REF!,#REF!),3,_xlfn.XLOOKUP(C445,#REF!,#REF!)),0)</f>
        <v>2</v>
      </c>
    </row>
    <row r="446" customFormat="1" spans="1:20">
      <c r="A446">
        <f t="shared" si="27"/>
        <v>160</v>
      </c>
      <c r="B446">
        <v>1</v>
      </c>
      <c r="C446" t="s">
        <v>403</v>
      </c>
      <c r="D446" t="s">
        <v>415</v>
      </c>
      <c r="E446" t="s">
        <v>392</v>
      </c>
      <c r="F446"/>
      <c r="G446">
        <v>2</v>
      </c>
      <c r="H446">
        <v>50</v>
      </c>
      <c r="I446">
        <v>3</v>
      </c>
      <c r="J446" cm="1">
        <f t="array" ref="J446">_xlfn.SWITCH(B446,1,75,2,61,3,49,4,37,5,25,6,13,7,4,8,1)</f>
        <v>75</v>
      </c>
      <c r="K446" t="str" cm="1">
        <f t="array" ref="K446">IFERROR(_xlfn.SWITCH(L446,2,_xlfn.XLOOKUP(C446,[1]ModifierDes!$B:$B,[1]ModifierDes!$C:$C),3,_xlfn.XLOOKUP(C446,[1]StuntDes!$B:$B,[1]StuntDes!$C:$C)),"")</f>
        <v/>
      </c>
      <c r="L446">
        <f t="shared" si="26"/>
        <v>1</v>
      </c>
      <c r="M446" s="10" t="str">
        <f>IFERROR(_xlfn.XLOOKUP(C446,[1]StuntDes!$B:$B,[1]StuntDes!$A:$A),"")</f>
        <v/>
      </c>
      <c r="N446" s="10" t="str">
        <f>IFERROR(_xlfn.XLOOKUP(C446,[1]ModifierDes!$B:$B,[1]ModifierDes!$A:$A),"")</f>
        <v/>
      </c>
      <c r="O446" s="10">
        <f>IFERROR(_xlfn.XLOOKUP(C446,[1]AttributeName!$C:$C,[1]AttributeName!$B:$B),"")</f>
        <v>10502</v>
      </c>
      <c r="P446" s="10"/>
      <c r="Q446">
        <v>0.3</v>
      </c>
      <c r="R446">
        <v>0.4</v>
      </c>
      <c r="S446" cm="1">
        <f t="array" ref="S446">IFERROR(_xlfn.SWITCH(L446,1,_xlfn.XLOOKUP(O446,[1]AttributeName!$B:$B,[1]AttributeName!$D:$D),2,_xlfn.XLOOKUP(C446,#REF!,#REF!),3,_xlfn.XLOOKUP(C446,#REF!,#REF!)),0)</f>
        <v>2</v>
      </c>
      <c r="T446" cm="1">
        <f t="array" ref="T446">IFERROR(_xlfn.SWITCH(L446,1,_xlfn.XLOOKUP(O446,[1]AttributeName!$B:$B,[1]AttributeName!$E:$E),2,_xlfn.XLOOKUP(C446,#REF!,#REF!),3,_xlfn.XLOOKUP(C446,#REF!,#REF!)),0)</f>
        <v>2</v>
      </c>
    </row>
    <row r="447" customFormat="1" spans="1:20">
      <c r="A447">
        <f t="shared" si="27"/>
        <v>160</v>
      </c>
      <c r="B447">
        <v>2</v>
      </c>
      <c r="C447" t="s">
        <v>403</v>
      </c>
      <c r="D447" t="s">
        <v>415</v>
      </c>
      <c r="E447" t="s">
        <v>392</v>
      </c>
      <c r="F447"/>
      <c r="G447">
        <v>2</v>
      </c>
      <c r="H447">
        <v>100</v>
      </c>
      <c r="I447">
        <v>3</v>
      </c>
      <c r="J447" cm="1">
        <f t="array" ref="J447">_xlfn.SWITCH(B447,1,75,2,61,3,49,4,37,5,25,6,13,7,4,8,1)</f>
        <v>61</v>
      </c>
      <c r="K447" t="str" cm="1">
        <f t="array" ref="K447">IFERROR(_xlfn.SWITCH(L447,2,_xlfn.XLOOKUP(C447,[1]ModifierDes!$B:$B,[1]ModifierDes!$C:$C),3,_xlfn.XLOOKUP(C447,[1]StuntDes!$B:$B,[1]StuntDes!$C:$C)),"")</f>
        <v/>
      </c>
      <c r="L447">
        <f t="shared" si="26"/>
        <v>1</v>
      </c>
      <c r="M447" s="10" t="str">
        <f>IFERROR(_xlfn.XLOOKUP(C447,[1]StuntDes!$B:$B,[1]StuntDes!$A:$A),"")</f>
        <v/>
      </c>
      <c r="N447" s="10" t="str">
        <f>IFERROR(_xlfn.XLOOKUP(C447,[1]ModifierDes!$B:$B,[1]ModifierDes!$A:$A),"")</f>
        <v/>
      </c>
      <c r="O447" s="10">
        <f>IFERROR(_xlfn.XLOOKUP(C447,[1]AttributeName!$C:$C,[1]AttributeName!$B:$B),"")</f>
        <v>10502</v>
      </c>
      <c r="P447" s="10"/>
      <c r="Q447">
        <v>0.26</v>
      </c>
      <c r="R447">
        <v>0.29</v>
      </c>
      <c r="S447" cm="1">
        <f t="array" ref="S447">IFERROR(_xlfn.SWITCH(L447,1,_xlfn.XLOOKUP(O447,[1]AttributeName!$B:$B,[1]AttributeName!$D:$D),2,_xlfn.XLOOKUP(C447,#REF!,#REF!),3,_xlfn.XLOOKUP(C447,#REF!,#REF!)),0)</f>
        <v>2</v>
      </c>
      <c r="T447" cm="1">
        <f t="array" ref="T447">IFERROR(_xlfn.SWITCH(L447,1,_xlfn.XLOOKUP(O447,[1]AttributeName!$B:$B,[1]AttributeName!$E:$E),2,_xlfn.XLOOKUP(C447,#REF!,#REF!),3,_xlfn.XLOOKUP(C447,#REF!,#REF!)),0)</f>
        <v>2</v>
      </c>
    </row>
    <row r="448" customFormat="1" spans="1:20">
      <c r="A448">
        <f t="shared" si="27"/>
        <v>160</v>
      </c>
      <c r="B448">
        <v>3</v>
      </c>
      <c r="C448" t="s">
        <v>403</v>
      </c>
      <c r="D448" t="s">
        <v>415</v>
      </c>
      <c r="E448" t="s">
        <v>392</v>
      </c>
      <c r="F448"/>
      <c r="G448">
        <v>2</v>
      </c>
      <c r="H448">
        <v>250</v>
      </c>
      <c r="I448">
        <v>3</v>
      </c>
      <c r="J448" cm="1">
        <f t="array" ref="J448">_xlfn.SWITCH(B448,1,75,2,61,3,49,4,37,5,25,6,13,7,4,8,1)</f>
        <v>49</v>
      </c>
      <c r="K448" t="str" cm="1">
        <f t="array" ref="K448">IFERROR(_xlfn.SWITCH(L448,2,_xlfn.XLOOKUP(C448,[1]ModifierDes!$B:$B,[1]ModifierDes!$C:$C),3,_xlfn.XLOOKUP(C448,[1]StuntDes!$B:$B,[1]StuntDes!$C:$C)),"")</f>
        <v/>
      </c>
      <c r="L448">
        <f t="shared" si="26"/>
        <v>1</v>
      </c>
      <c r="M448" s="10" t="str">
        <f>IFERROR(_xlfn.XLOOKUP(C448,[1]StuntDes!$B:$B,[1]StuntDes!$A:$A),"")</f>
        <v/>
      </c>
      <c r="N448" s="10" t="str">
        <f>IFERROR(_xlfn.XLOOKUP(C448,[1]ModifierDes!$B:$B,[1]ModifierDes!$A:$A),"")</f>
        <v/>
      </c>
      <c r="O448" s="10">
        <f>IFERROR(_xlfn.XLOOKUP(C448,[1]AttributeName!$C:$C,[1]AttributeName!$B:$B),"")</f>
        <v>10502</v>
      </c>
      <c r="P448" s="10"/>
      <c r="Q448">
        <v>0.22</v>
      </c>
      <c r="R448">
        <v>0.25</v>
      </c>
      <c r="S448" cm="1">
        <f t="array" ref="S448">IFERROR(_xlfn.SWITCH(L448,1,_xlfn.XLOOKUP(O448,[1]AttributeName!$B:$B,[1]AttributeName!$D:$D),2,_xlfn.XLOOKUP(C448,#REF!,#REF!),3,_xlfn.XLOOKUP(C448,#REF!,#REF!)),0)</f>
        <v>2</v>
      </c>
      <c r="T448" cm="1">
        <f t="array" ref="T448">IFERROR(_xlfn.SWITCH(L448,1,_xlfn.XLOOKUP(O448,[1]AttributeName!$B:$B,[1]AttributeName!$E:$E),2,_xlfn.XLOOKUP(C448,#REF!,#REF!),3,_xlfn.XLOOKUP(C448,#REF!,#REF!)),0)</f>
        <v>2</v>
      </c>
    </row>
    <row r="449" customFormat="1" spans="1:20">
      <c r="A449">
        <f t="shared" si="27"/>
        <v>160</v>
      </c>
      <c r="B449">
        <v>4</v>
      </c>
      <c r="C449" t="s">
        <v>403</v>
      </c>
      <c r="D449" t="s">
        <v>415</v>
      </c>
      <c r="E449" t="s">
        <v>392</v>
      </c>
      <c r="F449"/>
      <c r="G449">
        <v>2</v>
      </c>
      <c r="H449">
        <v>500</v>
      </c>
      <c r="I449">
        <v>3</v>
      </c>
      <c r="J449" cm="1">
        <f t="array" ref="J449">_xlfn.SWITCH(B449,1,75,2,61,3,49,4,37,5,25,6,13,7,4,8,1)</f>
        <v>37</v>
      </c>
      <c r="K449" t="str" cm="1">
        <f t="array" ref="K449">IFERROR(_xlfn.SWITCH(L449,2,_xlfn.XLOOKUP(C449,[1]ModifierDes!$B:$B,[1]ModifierDes!$C:$C),3,_xlfn.XLOOKUP(C449,[1]StuntDes!$B:$B,[1]StuntDes!$C:$C)),"")</f>
        <v/>
      </c>
      <c r="L449">
        <f t="shared" si="26"/>
        <v>1</v>
      </c>
      <c r="M449" s="10" t="str">
        <f>IFERROR(_xlfn.XLOOKUP(C449,[1]StuntDes!$B:$B,[1]StuntDes!$A:$A),"")</f>
        <v/>
      </c>
      <c r="N449" s="10" t="str">
        <f>IFERROR(_xlfn.XLOOKUP(C449,[1]ModifierDes!$B:$B,[1]ModifierDes!$A:$A),"")</f>
        <v/>
      </c>
      <c r="O449" s="10">
        <f>IFERROR(_xlfn.XLOOKUP(C449,[1]AttributeName!$C:$C,[1]AttributeName!$B:$B),"")</f>
        <v>10502</v>
      </c>
      <c r="P449" s="10"/>
      <c r="Q449">
        <v>0.18</v>
      </c>
      <c r="R449">
        <v>0.21</v>
      </c>
      <c r="S449" cm="1">
        <f t="array" ref="S449">IFERROR(_xlfn.SWITCH(L449,1,_xlfn.XLOOKUP(O449,[1]AttributeName!$B:$B,[1]AttributeName!$D:$D),2,_xlfn.XLOOKUP(C449,#REF!,#REF!),3,_xlfn.XLOOKUP(C449,#REF!,#REF!)),0)</f>
        <v>2</v>
      </c>
      <c r="T449" cm="1">
        <f t="array" ref="T449">IFERROR(_xlfn.SWITCH(L449,1,_xlfn.XLOOKUP(O449,[1]AttributeName!$B:$B,[1]AttributeName!$E:$E),2,_xlfn.XLOOKUP(C449,#REF!,#REF!),3,_xlfn.XLOOKUP(C449,#REF!,#REF!)),0)</f>
        <v>2</v>
      </c>
    </row>
    <row r="450" customFormat="1" spans="1:20">
      <c r="A450">
        <f t="shared" si="27"/>
        <v>160</v>
      </c>
      <c r="B450">
        <v>5</v>
      </c>
      <c r="C450" t="s">
        <v>403</v>
      </c>
      <c r="D450" t="s">
        <v>415</v>
      </c>
      <c r="E450" t="s">
        <v>392</v>
      </c>
      <c r="F450"/>
      <c r="G450">
        <v>2</v>
      </c>
      <c r="H450">
        <v>500</v>
      </c>
      <c r="I450">
        <v>3</v>
      </c>
      <c r="J450" cm="1">
        <f t="array" ref="J450">_xlfn.SWITCH(B450,1,75,2,61,3,49,4,37,5,25,6,13,7,4,8,1)</f>
        <v>25</v>
      </c>
      <c r="K450" t="str" cm="1">
        <f t="array" ref="K450">IFERROR(_xlfn.SWITCH(L450,2,_xlfn.XLOOKUP(C450,[1]ModifierDes!$B:$B,[1]ModifierDes!$C:$C),3,_xlfn.XLOOKUP(C450,[1]StuntDes!$B:$B,[1]StuntDes!$C:$C)),"")</f>
        <v/>
      </c>
      <c r="L450">
        <f t="shared" si="26"/>
        <v>1</v>
      </c>
      <c r="M450" s="10" t="str">
        <f>IFERROR(_xlfn.XLOOKUP(C450,[1]StuntDes!$B:$B,[1]StuntDes!$A:$A),"")</f>
        <v/>
      </c>
      <c r="N450" s="10" t="str">
        <f>IFERROR(_xlfn.XLOOKUP(C450,[1]ModifierDes!$B:$B,[1]ModifierDes!$A:$A),"")</f>
        <v/>
      </c>
      <c r="O450" s="10">
        <f>IFERROR(_xlfn.XLOOKUP(C450,[1]AttributeName!$C:$C,[1]AttributeName!$B:$B),"")</f>
        <v>10502</v>
      </c>
      <c r="P450" s="10"/>
      <c r="Q450">
        <v>0.14</v>
      </c>
      <c r="R450">
        <v>0.17</v>
      </c>
      <c r="S450" cm="1">
        <f t="array" ref="S450">IFERROR(_xlfn.SWITCH(L450,1,_xlfn.XLOOKUP(O450,[1]AttributeName!$B:$B,[1]AttributeName!$D:$D),2,_xlfn.XLOOKUP(C450,#REF!,#REF!),3,_xlfn.XLOOKUP(C450,#REF!,#REF!)),0)</f>
        <v>2</v>
      </c>
      <c r="T450" cm="1">
        <f t="array" ref="T450">IFERROR(_xlfn.SWITCH(L450,1,_xlfn.XLOOKUP(O450,[1]AttributeName!$B:$B,[1]AttributeName!$E:$E),2,_xlfn.XLOOKUP(C450,#REF!,#REF!),3,_xlfn.XLOOKUP(C450,#REF!,#REF!)),0)</f>
        <v>2</v>
      </c>
    </row>
    <row r="451" customFormat="1" spans="1:20">
      <c r="A451">
        <f t="shared" si="27"/>
        <v>160</v>
      </c>
      <c r="B451">
        <v>6</v>
      </c>
      <c r="C451" t="s">
        <v>403</v>
      </c>
      <c r="D451" t="s">
        <v>415</v>
      </c>
      <c r="E451" t="s">
        <v>392</v>
      </c>
      <c r="F451"/>
      <c r="G451">
        <v>2</v>
      </c>
      <c r="H451">
        <v>500</v>
      </c>
      <c r="I451">
        <v>3</v>
      </c>
      <c r="J451" cm="1">
        <f t="array" ref="J451">_xlfn.SWITCH(B451,1,75,2,61,3,49,4,37,5,25,6,13,7,4,8,1)</f>
        <v>13</v>
      </c>
      <c r="K451" t="str" cm="1">
        <f t="array" ref="K451">IFERROR(_xlfn.SWITCH(L451,2,_xlfn.XLOOKUP(C451,[1]ModifierDes!$B:$B,[1]ModifierDes!$C:$C),3,_xlfn.XLOOKUP(C451,[1]StuntDes!$B:$B,[1]StuntDes!$C:$C)),"")</f>
        <v/>
      </c>
      <c r="L451">
        <f t="shared" si="26"/>
        <v>1</v>
      </c>
      <c r="M451" s="10" t="str">
        <f>IFERROR(_xlfn.XLOOKUP(C451,[1]StuntDes!$B:$B,[1]StuntDes!$A:$A),"")</f>
        <v/>
      </c>
      <c r="N451" s="10" t="str">
        <f>IFERROR(_xlfn.XLOOKUP(C451,[1]ModifierDes!$B:$B,[1]ModifierDes!$A:$A),"")</f>
        <v/>
      </c>
      <c r="O451" s="10">
        <f>IFERROR(_xlfn.XLOOKUP(C451,[1]AttributeName!$C:$C,[1]AttributeName!$B:$B),"")</f>
        <v>10502</v>
      </c>
      <c r="P451" s="10"/>
      <c r="Q451">
        <v>0.1</v>
      </c>
      <c r="R451">
        <v>0.13</v>
      </c>
      <c r="S451" cm="1">
        <f t="array" ref="S451">IFERROR(_xlfn.SWITCH(L451,1,_xlfn.XLOOKUP(O451,[1]AttributeName!$B:$B,[1]AttributeName!$D:$D),2,_xlfn.XLOOKUP(C451,#REF!,#REF!),3,_xlfn.XLOOKUP(C451,#REF!,#REF!)),0)</f>
        <v>2</v>
      </c>
      <c r="T451" cm="1">
        <f t="array" ref="T451">IFERROR(_xlfn.SWITCH(L451,1,_xlfn.XLOOKUP(O451,[1]AttributeName!$B:$B,[1]AttributeName!$E:$E),2,_xlfn.XLOOKUP(C451,#REF!,#REF!),3,_xlfn.XLOOKUP(C451,#REF!,#REF!)),0)</f>
        <v>2</v>
      </c>
    </row>
    <row r="452" customFormat="1" spans="1:20">
      <c r="A452">
        <f t="shared" si="27"/>
        <v>160</v>
      </c>
      <c r="B452">
        <v>7</v>
      </c>
      <c r="C452" t="s">
        <v>403</v>
      </c>
      <c r="D452" t="s">
        <v>415</v>
      </c>
      <c r="E452" t="s">
        <v>392</v>
      </c>
      <c r="F452"/>
      <c r="G452">
        <v>2</v>
      </c>
      <c r="H452">
        <v>500</v>
      </c>
      <c r="I452">
        <v>3</v>
      </c>
      <c r="J452" cm="1">
        <f t="array" ref="J452">_xlfn.SWITCH(B452,1,75,2,61,3,49,4,37,5,25,6,13,7,4,8,1)</f>
        <v>4</v>
      </c>
      <c r="K452" t="str" cm="1">
        <f t="array" ref="K452">IFERROR(_xlfn.SWITCH(L452,2,_xlfn.XLOOKUP(C452,[1]ModifierDes!$B:$B,[1]ModifierDes!$C:$C),3,_xlfn.XLOOKUP(C452,[1]StuntDes!$B:$B,[1]StuntDes!$C:$C)),"")</f>
        <v/>
      </c>
      <c r="L452">
        <f t="shared" ref="L452:L515" si="28">IF(M452="",IF(N452="",1,2),3)</f>
        <v>1</v>
      </c>
      <c r="M452" s="10" t="str">
        <f>IFERROR(_xlfn.XLOOKUP(C452,[1]StuntDes!$B:$B,[1]StuntDes!$A:$A),"")</f>
        <v/>
      </c>
      <c r="N452" s="10" t="str">
        <f>IFERROR(_xlfn.XLOOKUP(C452,[1]ModifierDes!$B:$B,[1]ModifierDes!$A:$A),"")</f>
        <v/>
      </c>
      <c r="O452" s="10">
        <f>IFERROR(_xlfn.XLOOKUP(C452,[1]AttributeName!$C:$C,[1]AttributeName!$B:$B),"")</f>
        <v>10502</v>
      </c>
      <c r="P452" s="10"/>
      <c r="Q452">
        <v>0.06</v>
      </c>
      <c r="R452">
        <v>0.0900000000000001</v>
      </c>
      <c r="S452" cm="1">
        <f t="array" ref="S452">IFERROR(_xlfn.SWITCH(L452,1,_xlfn.XLOOKUP(O452,[1]AttributeName!$B:$B,[1]AttributeName!$D:$D),2,_xlfn.XLOOKUP(C452,#REF!,#REF!),3,_xlfn.XLOOKUP(C452,#REF!,#REF!)),0)</f>
        <v>2</v>
      </c>
      <c r="T452" cm="1">
        <f t="array" ref="T452">IFERROR(_xlfn.SWITCH(L452,1,_xlfn.XLOOKUP(O452,[1]AttributeName!$B:$B,[1]AttributeName!$E:$E),2,_xlfn.XLOOKUP(C452,#REF!,#REF!),3,_xlfn.XLOOKUP(C452,#REF!,#REF!)),0)</f>
        <v>2</v>
      </c>
    </row>
    <row r="453" customFormat="1" spans="1:20">
      <c r="A453">
        <f t="shared" si="27"/>
        <v>160</v>
      </c>
      <c r="B453">
        <v>8</v>
      </c>
      <c r="C453" t="s">
        <v>403</v>
      </c>
      <c r="D453" t="s">
        <v>415</v>
      </c>
      <c r="E453" t="s">
        <v>392</v>
      </c>
      <c r="F453"/>
      <c r="G453">
        <v>2</v>
      </c>
      <c r="H453">
        <v>500</v>
      </c>
      <c r="I453">
        <v>3</v>
      </c>
      <c r="J453" cm="1">
        <f t="array" ref="J453">_xlfn.SWITCH(B453,1,75,2,61,3,49,4,37,5,25,6,13,7,4,8,1)</f>
        <v>1</v>
      </c>
      <c r="K453" t="str" cm="1">
        <f t="array" ref="K453">IFERROR(_xlfn.SWITCH(L453,2,_xlfn.XLOOKUP(C453,[1]ModifierDes!$B:$B,[1]ModifierDes!$C:$C),3,_xlfn.XLOOKUP(C453,[1]StuntDes!$B:$B,[1]StuntDes!$C:$C)),"")</f>
        <v/>
      </c>
      <c r="L453">
        <f t="shared" si="28"/>
        <v>1</v>
      </c>
      <c r="M453" s="10" t="str">
        <f>IFERROR(_xlfn.XLOOKUP(C453,[1]StuntDes!$B:$B,[1]StuntDes!$A:$A),"")</f>
        <v/>
      </c>
      <c r="N453" s="10" t="str">
        <f>IFERROR(_xlfn.XLOOKUP(C453,[1]ModifierDes!$B:$B,[1]ModifierDes!$A:$A),"")</f>
        <v/>
      </c>
      <c r="O453" s="10">
        <f>IFERROR(_xlfn.XLOOKUP(C453,[1]AttributeName!$C:$C,[1]AttributeName!$B:$B),"")</f>
        <v>10502</v>
      </c>
      <c r="P453" s="10"/>
      <c r="Q453">
        <v>0.02</v>
      </c>
      <c r="R453">
        <v>0.0500000000000001</v>
      </c>
      <c r="S453" cm="1">
        <f t="array" ref="S453">IFERROR(_xlfn.SWITCH(L453,1,_xlfn.XLOOKUP(O453,[1]AttributeName!$B:$B,[1]AttributeName!$D:$D),2,_xlfn.XLOOKUP(C453,#REF!,#REF!),3,_xlfn.XLOOKUP(C453,#REF!,#REF!)),0)</f>
        <v>2</v>
      </c>
      <c r="T453" cm="1">
        <f t="array" ref="T453">IFERROR(_xlfn.SWITCH(L453,1,_xlfn.XLOOKUP(O453,[1]AttributeName!$B:$B,[1]AttributeName!$E:$E),2,_xlfn.XLOOKUP(C453,#REF!,#REF!),3,_xlfn.XLOOKUP(C453,#REF!,#REF!)),0)</f>
        <v>2</v>
      </c>
    </row>
    <row r="454" customFormat="1" spans="1:20">
      <c r="A454">
        <f t="shared" si="27"/>
        <v>161</v>
      </c>
      <c r="B454">
        <v>1</v>
      </c>
      <c r="C454" t="s">
        <v>404</v>
      </c>
      <c r="D454" t="s">
        <v>415</v>
      </c>
      <c r="E454" t="s">
        <v>392</v>
      </c>
      <c r="F454"/>
      <c r="G454">
        <v>2</v>
      </c>
      <c r="H454">
        <v>50</v>
      </c>
      <c r="I454">
        <v>3</v>
      </c>
      <c r="J454" cm="1">
        <f t="array" ref="J454">_xlfn.SWITCH(B454,1,75,2,61,3,49,4,37,5,25,6,13,7,4,8,1)</f>
        <v>75</v>
      </c>
      <c r="K454" t="str" cm="1">
        <f t="array" ref="K454">IFERROR(_xlfn.SWITCH(L454,2,_xlfn.XLOOKUP(C454,[1]ModifierDes!$B:$B,[1]ModifierDes!$C:$C),3,_xlfn.XLOOKUP(C454,[1]StuntDes!$B:$B,[1]StuntDes!$C:$C)),"")</f>
        <v/>
      </c>
      <c r="L454">
        <f t="shared" si="28"/>
        <v>1</v>
      </c>
      <c r="M454" s="10" t="str">
        <f>IFERROR(_xlfn.XLOOKUP(C454,[1]StuntDes!$B:$B,[1]StuntDes!$A:$A),"")</f>
        <v/>
      </c>
      <c r="N454" s="10" t="str">
        <f>IFERROR(_xlfn.XLOOKUP(C454,[1]ModifierDes!$B:$B,[1]ModifierDes!$A:$A),"")</f>
        <v/>
      </c>
      <c r="O454" s="10">
        <f>IFERROR(_xlfn.XLOOKUP(C454,[1]AttributeName!$C:$C,[1]AttributeName!$B:$B),"")</f>
        <v>10503</v>
      </c>
      <c r="P454" s="10"/>
      <c r="Q454">
        <v>0.3</v>
      </c>
      <c r="R454">
        <v>0.4</v>
      </c>
      <c r="S454" cm="1">
        <f t="array" ref="S454">IFERROR(_xlfn.SWITCH(L454,1,_xlfn.XLOOKUP(O454,[1]AttributeName!$B:$B,[1]AttributeName!$D:$D),2,_xlfn.XLOOKUP(C454,#REF!,#REF!),3,_xlfn.XLOOKUP(C454,#REF!,#REF!)),0)</f>
        <v>2</v>
      </c>
      <c r="T454" cm="1">
        <f t="array" ref="T454">IFERROR(_xlfn.SWITCH(L454,1,_xlfn.XLOOKUP(O454,[1]AttributeName!$B:$B,[1]AttributeName!$E:$E),2,_xlfn.XLOOKUP(C454,#REF!,#REF!),3,_xlfn.XLOOKUP(C454,#REF!,#REF!)),0)</f>
        <v>2</v>
      </c>
    </row>
    <row r="455" customFormat="1" spans="1:20">
      <c r="A455">
        <f t="shared" si="27"/>
        <v>161</v>
      </c>
      <c r="B455">
        <v>2</v>
      </c>
      <c r="C455" t="s">
        <v>404</v>
      </c>
      <c r="D455" t="s">
        <v>415</v>
      </c>
      <c r="E455" t="s">
        <v>392</v>
      </c>
      <c r="F455"/>
      <c r="G455">
        <v>2</v>
      </c>
      <c r="H455">
        <v>100</v>
      </c>
      <c r="I455">
        <v>3</v>
      </c>
      <c r="J455" cm="1">
        <f t="array" ref="J455">_xlfn.SWITCH(B455,1,75,2,61,3,49,4,37,5,25,6,13,7,4,8,1)</f>
        <v>61</v>
      </c>
      <c r="K455" t="str" cm="1">
        <f t="array" ref="K455">IFERROR(_xlfn.SWITCH(L455,2,_xlfn.XLOOKUP(C455,[1]ModifierDes!$B:$B,[1]ModifierDes!$C:$C),3,_xlfn.XLOOKUP(C455,[1]StuntDes!$B:$B,[1]StuntDes!$C:$C)),"")</f>
        <v/>
      </c>
      <c r="L455">
        <f t="shared" si="28"/>
        <v>1</v>
      </c>
      <c r="M455" s="10" t="str">
        <f>IFERROR(_xlfn.XLOOKUP(C455,[1]StuntDes!$B:$B,[1]StuntDes!$A:$A),"")</f>
        <v/>
      </c>
      <c r="N455" s="10" t="str">
        <f>IFERROR(_xlfn.XLOOKUP(C455,[1]ModifierDes!$B:$B,[1]ModifierDes!$A:$A),"")</f>
        <v/>
      </c>
      <c r="O455" s="10">
        <f>IFERROR(_xlfn.XLOOKUP(C455,[1]AttributeName!$C:$C,[1]AttributeName!$B:$B),"")</f>
        <v>10503</v>
      </c>
      <c r="P455" s="10"/>
      <c r="Q455">
        <v>0.26</v>
      </c>
      <c r="R455">
        <v>0.29</v>
      </c>
      <c r="S455" cm="1">
        <f t="array" ref="S455">IFERROR(_xlfn.SWITCH(L455,1,_xlfn.XLOOKUP(O455,[1]AttributeName!$B:$B,[1]AttributeName!$D:$D),2,_xlfn.XLOOKUP(C455,#REF!,#REF!),3,_xlfn.XLOOKUP(C455,#REF!,#REF!)),0)</f>
        <v>2</v>
      </c>
      <c r="T455" cm="1">
        <f t="array" ref="T455">IFERROR(_xlfn.SWITCH(L455,1,_xlfn.XLOOKUP(O455,[1]AttributeName!$B:$B,[1]AttributeName!$E:$E),2,_xlfn.XLOOKUP(C455,#REF!,#REF!),3,_xlfn.XLOOKUP(C455,#REF!,#REF!)),0)</f>
        <v>2</v>
      </c>
    </row>
    <row r="456" customFormat="1" spans="1:20">
      <c r="A456">
        <f t="shared" si="27"/>
        <v>161</v>
      </c>
      <c r="B456">
        <v>3</v>
      </c>
      <c r="C456" t="s">
        <v>404</v>
      </c>
      <c r="D456" t="s">
        <v>415</v>
      </c>
      <c r="E456" t="s">
        <v>392</v>
      </c>
      <c r="F456"/>
      <c r="G456">
        <v>2</v>
      </c>
      <c r="H456">
        <v>250</v>
      </c>
      <c r="I456">
        <v>3</v>
      </c>
      <c r="J456" cm="1">
        <f t="array" ref="J456">_xlfn.SWITCH(B456,1,75,2,61,3,49,4,37,5,25,6,13,7,4,8,1)</f>
        <v>49</v>
      </c>
      <c r="K456" t="str" cm="1">
        <f t="array" ref="K456">IFERROR(_xlfn.SWITCH(L456,2,_xlfn.XLOOKUP(C456,[1]ModifierDes!$B:$B,[1]ModifierDes!$C:$C),3,_xlfn.XLOOKUP(C456,[1]StuntDes!$B:$B,[1]StuntDes!$C:$C)),"")</f>
        <v/>
      </c>
      <c r="L456">
        <f t="shared" si="28"/>
        <v>1</v>
      </c>
      <c r="M456" s="10" t="str">
        <f>IFERROR(_xlfn.XLOOKUP(C456,[1]StuntDes!$B:$B,[1]StuntDes!$A:$A),"")</f>
        <v/>
      </c>
      <c r="N456" s="10" t="str">
        <f>IFERROR(_xlfn.XLOOKUP(C456,[1]ModifierDes!$B:$B,[1]ModifierDes!$A:$A),"")</f>
        <v/>
      </c>
      <c r="O456" s="10">
        <f>IFERROR(_xlfn.XLOOKUP(C456,[1]AttributeName!$C:$C,[1]AttributeName!$B:$B),"")</f>
        <v>10503</v>
      </c>
      <c r="P456" s="10"/>
      <c r="Q456">
        <v>0.22</v>
      </c>
      <c r="R456">
        <v>0.25</v>
      </c>
      <c r="S456" cm="1">
        <f t="array" ref="S456">IFERROR(_xlfn.SWITCH(L456,1,_xlfn.XLOOKUP(O456,[1]AttributeName!$B:$B,[1]AttributeName!$D:$D),2,_xlfn.XLOOKUP(C456,#REF!,#REF!),3,_xlfn.XLOOKUP(C456,#REF!,#REF!)),0)</f>
        <v>2</v>
      </c>
      <c r="T456" cm="1">
        <f t="array" ref="T456">IFERROR(_xlfn.SWITCH(L456,1,_xlfn.XLOOKUP(O456,[1]AttributeName!$B:$B,[1]AttributeName!$E:$E),2,_xlfn.XLOOKUP(C456,#REF!,#REF!),3,_xlfn.XLOOKUP(C456,#REF!,#REF!)),0)</f>
        <v>2</v>
      </c>
    </row>
    <row r="457" customFormat="1" spans="1:20">
      <c r="A457">
        <f t="shared" si="27"/>
        <v>161</v>
      </c>
      <c r="B457">
        <v>4</v>
      </c>
      <c r="C457" t="s">
        <v>404</v>
      </c>
      <c r="D457" t="s">
        <v>415</v>
      </c>
      <c r="E457" t="s">
        <v>392</v>
      </c>
      <c r="F457"/>
      <c r="G457">
        <v>2</v>
      </c>
      <c r="H457">
        <v>500</v>
      </c>
      <c r="I457">
        <v>3</v>
      </c>
      <c r="J457" cm="1">
        <f t="array" ref="J457">_xlfn.SWITCH(B457,1,75,2,61,3,49,4,37,5,25,6,13,7,4,8,1)</f>
        <v>37</v>
      </c>
      <c r="K457" t="str" cm="1">
        <f t="array" ref="K457">IFERROR(_xlfn.SWITCH(L457,2,_xlfn.XLOOKUP(C457,[1]ModifierDes!$B:$B,[1]ModifierDes!$C:$C),3,_xlfn.XLOOKUP(C457,[1]StuntDes!$B:$B,[1]StuntDes!$C:$C)),"")</f>
        <v/>
      </c>
      <c r="L457">
        <f t="shared" si="28"/>
        <v>1</v>
      </c>
      <c r="M457" s="10" t="str">
        <f>IFERROR(_xlfn.XLOOKUP(C457,[1]StuntDes!$B:$B,[1]StuntDes!$A:$A),"")</f>
        <v/>
      </c>
      <c r="N457" s="10" t="str">
        <f>IFERROR(_xlfn.XLOOKUP(C457,[1]ModifierDes!$B:$B,[1]ModifierDes!$A:$A),"")</f>
        <v/>
      </c>
      <c r="O457" s="10">
        <f>IFERROR(_xlfn.XLOOKUP(C457,[1]AttributeName!$C:$C,[1]AttributeName!$B:$B),"")</f>
        <v>10503</v>
      </c>
      <c r="P457" s="10"/>
      <c r="Q457">
        <v>0.18</v>
      </c>
      <c r="R457">
        <v>0.21</v>
      </c>
      <c r="S457" cm="1">
        <f t="array" ref="S457">IFERROR(_xlfn.SWITCH(L457,1,_xlfn.XLOOKUP(O457,[1]AttributeName!$B:$B,[1]AttributeName!$D:$D),2,_xlfn.XLOOKUP(C457,#REF!,#REF!),3,_xlfn.XLOOKUP(C457,#REF!,#REF!)),0)</f>
        <v>2</v>
      </c>
      <c r="T457" cm="1">
        <f t="array" ref="T457">IFERROR(_xlfn.SWITCH(L457,1,_xlfn.XLOOKUP(O457,[1]AttributeName!$B:$B,[1]AttributeName!$E:$E),2,_xlfn.XLOOKUP(C457,#REF!,#REF!),3,_xlfn.XLOOKUP(C457,#REF!,#REF!)),0)</f>
        <v>2</v>
      </c>
    </row>
    <row r="458" customFormat="1" spans="1:20">
      <c r="A458">
        <f t="shared" si="27"/>
        <v>161</v>
      </c>
      <c r="B458">
        <v>5</v>
      </c>
      <c r="C458" t="s">
        <v>404</v>
      </c>
      <c r="D458" t="s">
        <v>415</v>
      </c>
      <c r="E458" t="s">
        <v>392</v>
      </c>
      <c r="F458"/>
      <c r="G458">
        <v>2</v>
      </c>
      <c r="H458">
        <v>500</v>
      </c>
      <c r="I458">
        <v>3</v>
      </c>
      <c r="J458" cm="1">
        <f t="array" ref="J458">_xlfn.SWITCH(B458,1,75,2,61,3,49,4,37,5,25,6,13,7,4,8,1)</f>
        <v>25</v>
      </c>
      <c r="K458" t="str" cm="1">
        <f t="array" ref="K458">IFERROR(_xlfn.SWITCH(L458,2,_xlfn.XLOOKUP(C458,[1]ModifierDes!$B:$B,[1]ModifierDes!$C:$C),3,_xlfn.XLOOKUP(C458,[1]StuntDes!$B:$B,[1]StuntDes!$C:$C)),"")</f>
        <v/>
      </c>
      <c r="L458">
        <f t="shared" si="28"/>
        <v>1</v>
      </c>
      <c r="M458" s="10" t="str">
        <f>IFERROR(_xlfn.XLOOKUP(C458,[1]StuntDes!$B:$B,[1]StuntDes!$A:$A),"")</f>
        <v/>
      </c>
      <c r="N458" s="10" t="str">
        <f>IFERROR(_xlfn.XLOOKUP(C458,[1]ModifierDes!$B:$B,[1]ModifierDes!$A:$A),"")</f>
        <v/>
      </c>
      <c r="O458" s="10">
        <f>IFERROR(_xlfn.XLOOKUP(C458,[1]AttributeName!$C:$C,[1]AttributeName!$B:$B),"")</f>
        <v>10503</v>
      </c>
      <c r="P458" s="10"/>
      <c r="Q458">
        <v>0.14</v>
      </c>
      <c r="R458">
        <v>0.17</v>
      </c>
      <c r="S458" cm="1">
        <f t="array" ref="S458">IFERROR(_xlfn.SWITCH(L458,1,_xlfn.XLOOKUP(O458,[1]AttributeName!$B:$B,[1]AttributeName!$D:$D),2,_xlfn.XLOOKUP(C458,#REF!,#REF!),3,_xlfn.XLOOKUP(C458,#REF!,#REF!)),0)</f>
        <v>2</v>
      </c>
      <c r="T458" cm="1">
        <f t="array" ref="T458">IFERROR(_xlfn.SWITCH(L458,1,_xlfn.XLOOKUP(O458,[1]AttributeName!$B:$B,[1]AttributeName!$E:$E),2,_xlfn.XLOOKUP(C458,#REF!,#REF!),3,_xlfn.XLOOKUP(C458,#REF!,#REF!)),0)</f>
        <v>2</v>
      </c>
    </row>
    <row r="459" customFormat="1" spans="1:20">
      <c r="A459">
        <f t="shared" si="27"/>
        <v>161</v>
      </c>
      <c r="B459">
        <v>6</v>
      </c>
      <c r="C459" t="s">
        <v>404</v>
      </c>
      <c r="D459" t="s">
        <v>415</v>
      </c>
      <c r="E459" t="s">
        <v>392</v>
      </c>
      <c r="F459"/>
      <c r="G459">
        <v>2</v>
      </c>
      <c r="H459">
        <v>500</v>
      </c>
      <c r="I459">
        <v>3</v>
      </c>
      <c r="J459" cm="1">
        <f t="array" ref="J459">_xlfn.SWITCH(B459,1,75,2,61,3,49,4,37,5,25,6,13,7,4,8,1)</f>
        <v>13</v>
      </c>
      <c r="K459" t="str" cm="1">
        <f t="array" ref="K459">IFERROR(_xlfn.SWITCH(L459,2,_xlfn.XLOOKUP(C459,[1]ModifierDes!$B:$B,[1]ModifierDes!$C:$C),3,_xlfn.XLOOKUP(C459,[1]StuntDes!$B:$B,[1]StuntDes!$C:$C)),"")</f>
        <v/>
      </c>
      <c r="L459">
        <f t="shared" si="28"/>
        <v>1</v>
      </c>
      <c r="M459" s="10" t="str">
        <f>IFERROR(_xlfn.XLOOKUP(C459,[1]StuntDes!$B:$B,[1]StuntDes!$A:$A),"")</f>
        <v/>
      </c>
      <c r="N459" s="10" t="str">
        <f>IFERROR(_xlfn.XLOOKUP(C459,[1]ModifierDes!$B:$B,[1]ModifierDes!$A:$A),"")</f>
        <v/>
      </c>
      <c r="O459" s="10">
        <f>IFERROR(_xlfn.XLOOKUP(C459,[1]AttributeName!$C:$C,[1]AttributeName!$B:$B),"")</f>
        <v>10503</v>
      </c>
      <c r="P459" s="10"/>
      <c r="Q459">
        <v>0.1</v>
      </c>
      <c r="R459">
        <v>0.13</v>
      </c>
      <c r="S459" cm="1">
        <f t="array" ref="S459">IFERROR(_xlfn.SWITCH(L459,1,_xlfn.XLOOKUP(O459,[1]AttributeName!$B:$B,[1]AttributeName!$D:$D),2,_xlfn.XLOOKUP(C459,#REF!,#REF!),3,_xlfn.XLOOKUP(C459,#REF!,#REF!)),0)</f>
        <v>2</v>
      </c>
      <c r="T459" cm="1">
        <f t="array" ref="T459">IFERROR(_xlfn.SWITCH(L459,1,_xlfn.XLOOKUP(O459,[1]AttributeName!$B:$B,[1]AttributeName!$E:$E),2,_xlfn.XLOOKUP(C459,#REF!,#REF!),3,_xlfn.XLOOKUP(C459,#REF!,#REF!)),0)</f>
        <v>2</v>
      </c>
    </row>
    <row r="460" customFormat="1" spans="1:20">
      <c r="A460">
        <f t="shared" si="27"/>
        <v>161</v>
      </c>
      <c r="B460">
        <v>7</v>
      </c>
      <c r="C460" t="s">
        <v>404</v>
      </c>
      <c r="D460" t="s">
        <v>415</v>
      </c>
      <c r="E460" t="s">
        <v>392</v>
      </c>
      <c r="F460"/>
      <c r="G460">
        <v>2</v>
      </c>
      <c r="H460">
        <v>500</v>
      </c>
      <c r="I460">
        <v>3</v>
      </c>
      <c r="J460" cm="1">
        <f t="array" ref="J460">_xlfn.SWITCH(B460,1,75,2,61,3,49,4,37,5,25,6,13,7,4,8,1)</f>
        <v>4</v>
      </c>
      <c r="K460" t="str" cm="1">
        <f t="array" ref="K460">IFERROR(_xlfn.SWITCH(L460,2,_xlfn.XLOOKUP(C460,[1]ModifierDes!$B:$B,[1]ModifierDes!$C:$C),3,_xlfn.XLOOKUP(C460,[1]StuntDes!$B:$B,[1]StuntDes!$C:$C)),"")</f>
        <v/>
      </c>
      <c r="L460">
        <f t="shared" si="28"/>
        <v>1</v>
      </c>
      <c r="M460" s="10" t="str">
        <f>IFERROR(_xlfn.XLOOKUP(C460,[1]StuntDes!$B:$B,[1]StuntDes!$A:$A),"")</f>
        <v/>
      </c>
      <c r="N460" s="10" t="str">
        <f>IFERROR(_xlfn.XLOOKUP(C460,[1]ModifierDes!$B:$B,[1]ModifierDes!$A:$A),"")</f>
        <v/>
      </c>
      <c r="O460" s="10">
        <f>IFERROR(_xlfn.XLOOKUP(C460,[1]AttributeName!$C:$C,[1]AttributeName!$B:$B),"")</f>
        <v>10503</v>
      </c>
      <c r="P460" s="10"/>
      <c r="Q460">
        <v>0.06</v>
      </c>
      <c r="R460">
        <v>0.0900000000000001</v>
      </c>
      <c r="S460" cm="1">
        <f t="array" ref="S460">IFERROR(_xlfn.SWITCH(L460,1,_xlfn.XLOOKUP(O460,[1]AttributeName!$B:$B,[1]AttributeName!$D:$D),2,_xlfn.XLOOKUP(C460,#REF!,#REF!),3,_xlfn.XLOOKUP(C460,#REF!,#REF!)),0)</f>
        <v>2</v>
      </c>
      <c r="T460" cm="1">
        <f t="array" ref="T460">IFERROR(_xlfn.SWITCH(L460,1,_xlfn.XLOOKUP(O460,[1]AttributeName!$B:$B,[1]AttributeName!$E:$E),2,_xlfn.XLOOKUP(C460,#REF!,#REF!),3,_xlfn.XLOOKUP(C460,#REF!,#REF!)),0)</f>
        <v>2</v>
      </c>
    </row>
    <row r="461" customFormat="1" spans="1:20">
      <c r="A461">
        <f t="shared" si="27"/>
        <v>161</v>
      </c>
      <c r="B461">
        <v>8</v>
      </c>
      <c r="C461" t="s">
        <v>404</v>
      </c>
      <c r="D461" t="s">
        <v>415</v>
      </c>
      <c r="E461" t="s">
        <v>392</v>
      </c>
      <c r="F461"/>
      <c r="G461">
        <v>2</v>
      </c>
      <c r="H461">
        <v>500</v>
      </c>
      <c r="I461">
        <v>3</v>
      </c>
      <c r="J461" cm="1">
        <f t="array" ref="J461">_xlfn.SWITCH(B461,1,75,2,61,3,49,4,37,5,25,6,13,7,4,8,1)</f>
        <v>1</v>
      </c>
      <c r="K461" t="str" cm="1">
        <f t="array" ref="K461">IFERROR(_xlfn.SWITCH(L461,2,_xlfn.XLOOKUP(C461,[1]ModifierDes!$B:$B,[1]ModifierDes!$C:$C),3,_xlfn.XLOOKUP(C461,[1]StuntDes!$B:$B,[1]StuntDes!$C:$C)),"")</f>
        <v/>
      </c>
      <c r="L461">
        <f t="shared" si="28"/>
        <v>1</v>
      </c>
      <c r="M461" s="10" t="str">
        <f>IFERROR(_xlfn.XLOOKUP(C461,[1]StuntDes!$B:$B,[1]StuntDes!$A:$A),"")</f>
        <v/>
      </c>
      <c r="N461" s="10" t="str">
        <f>IFERROR(_xlfn.XLOOKUP(C461,[1]ModifierDes!$B:$B,[1]ModifierDes!$A:$A),"")</f>
        <v/>
      </c>
      <c r="O461" s="10">
        <f>IFERROR(_xlfn.XLOOKUP(C461,[1]AttributeName!$C:$C,[1]AttributeName!$B:$B),"")</f>
        <v>10503</v>
      </c>
      <c r="P461" s="10"/>
      <c r="Q461">
        <v>0.02</v>
      </c>
      <c r="R461">
        <v>0.0500000000000001</v>
      </c>
      <c r="S461" cm="1">
        <f t="array" ref="S461">IFERROR(_xlfn.SWITCH(L461,1,_xlfn.XLOOKUP(O461,[1]AttributeName!$B:$B,[1]AttributeName!$D:$D),2,_xlfn.XLOOKUP(C461,#REF!,#REF!),3,_xlfn.XLOOKUP(C461,#REF!,#REF!)),0)</f>
        <v>2</v>
      </c>
      <c r="T461" cm="1">
        <f t="array" ref="T461">IFERROR(_xlfn.SWITCH(L461,1,_xlfn.XLOOKUP(O461,[1]AttributeName!$B:$B,[1]AttributeName!$E:$E),2,_xlfn.XLOOKUP(C461,#REF!,#REF!),3,_xlfn.XLOOKUP(C461,#REF!,#REF!)),0)</f>
        <v>2</v>
      </c>
    </row>
    <row r="462" customFormat="1" spans="1:20">
      <c r="A462">
        <f t="shared" si="27"/>
        <v>162</v>
      </c>
      <c r="B462">
        <v>1</v>
      </c>
      <c r="C462" t="s">
        <v>405</v>
      </c>
      <c r="D462" t="s">
        <v>415</v>
      </c>
      <c r="E462" t="s">
        <v>392</v>
      </c>
      <c r="F462"/>
      <c r="G462">
        <v>2</v>
      </c>
      <c r="H462">
        <v>50</v>
      </c>
      <c r="I462">
        <v>3</v>
      </c>
      <c r="J462" cm="1">
        <f t="array" ref="J462">_xlfn.SWITCH(B462,1,75,2,61,3,49,4,37,5,25,6,13,7,4,8,1)</f>
        <v>75</v>
      </c>
      <c r="K462" t="str" cm="1">
        <f t="array" ref="K462">IFERROR(_xlfn.SWITCH(L462,2,_xlfn.XLOOKUP(C462,[1]ModifierDes!$B:$B,[1]ModifierDes!$C:$C),3,_xlfn.XLOOKUP(C462,[1]StuntDes!$B:$B,[1]StuntDes!$C:$C)),"")</f>
        <v/>
      </c>
      <c r="L462">
        <f t="shared" si="28"/>
        <v>1</v>
      </c>
      <c r="M462" s="10" t="str">
        <f>IFERROR(_xlfn.XLOOKUP(C462,[1]StuntDes!$B:$B,[1]StuntDes!$A:$A),"")</f>
        <v/>
      </c>
      <c r="N462" s="10" t="str">
        <f>IFERROR(_xlfn.XLOOKUP(C462,[1]ModifierDes!$B:$B,[1]ModifierDes!$A:$A),"")</f>
        <v/>
      </c>
      <c r="O462" s="10">
        <f>IFERROR(_xlfn.XLOOKUP(C462,[1]AttributeName!$C:$C,[1]AttributeName!$B:$B),"")</f>
        <v>10504</v>
      </c>
      <c r="P462" s="10"/>
      <c r="Q462">
        <v>0.3</v>
      </c>
      <c r="R462">
        <v>0.4</v>
      </c>
      <c r="S462" cm="1">
        <f t="array" ref="S462">IFERROR(_xlfn.SWITCH(L462,1,_xlfn.XLOOKUP(O462,[1]AttributeName!$B:$B,[1]AttributeName!$D:$D),2,_xlfn.XLOOKUP(C462,#REF!,#REF!),3,_xlfn.XLOOKUP(C462,#REF!,#REF!)),0)</f>
        <v>2</v>
      </c>
      <c r="T462" cm="1">
        <f t="array" ref="T462">IFERROR(_xlfn.SWITCH(L462,1,_xlfn.XLOOKUP(O462,[1]AttributeName!$B:$B,[1]AttributeName!$E:$E),2,_xlfn.XLOOKUP(C462,#REF!,#REF!),3,_xlfn.XLOOKUP(C462,#REF!,#REF!)),0)</f>
        <v>2</v>
      </c>
    </row>
    <row r="463" customFormat="1" spans="1:20">
      <c r="A463">
        <f t="shared" si="27"/>
        <v>162</v>
      </c>
      <c r="B463">
        <v>2</v>
      </c>
      <c r="C463" t="s">
        <v>405</v>
      </c>
      <c r="D463" t="s">
        <v>415</v>
      </c>
      <c r="E463" t="s">
        <v>392</v>
      </c>
      <c r="F463"/>
      <c r="G463">
        <v>2</v>
      </c>
      <c r="H463">
        <v>100</v>
      </c>
      <c r="I463">
        <v>3</v>
      </c>
      <c r="J463" cm="1">
        <f t="array" ref="J463">_xlfn.SWITCH(B463,1,75,2,61,3,49,4,37,5,25,6,13,7,4,8,1)</f>
        <v>61</v>
      </c>
      <c r="K463" t="str" cm="1">
        <f t="array" ref="K463">IFERROR(_xlfn.SWITCH(L463,2,_xlfn.XLOOKUP(C463,[1]ModifierDes!$B:$B,[1]ModifierDes!$C:$C),3,_xlfn.XLOOKUP(C463,[1]StuntDes!$B:$B,[1]StuntDes!$C:$C)),"")</f>
        <v/>
      </c>
      <c r="L463">
        <f t="shared" si="28"/>
        <v>1</v>
      </c>
      <c r="M463" s="10" t="str">
        <f>IFERROR(_xlfn.XLOOKUP(C463,[1]StuntDes!$B:$B,[1]StuntDes!$A:$A),"")</f>
        <v/>
      </c>
      <c r="N463" s="10" t="str">
        <f>IFERROR(_xlfn.XLOOKUP(C463,[1]ModifierDes!$B:$B,[1]ModifierDes!$A:$A),"")</f>
        <v/>
      </c>
      <c r="O463" s="10">
        <f>IFERROR(_xlfn.XLOOKUP(C463,[1]AttributeName!$C:$C,[1]AttributeName!$B:$B),"")</f>
        <v>10504</v>
      </c>
      <c r="P463" s="10"/>
      <c r="Q463">
        <v>0.26</v>
      </c>
      <c r="R463">
        <v>0.29</v>
      </c>
      <c r="S463" cm="1">
        <f t="array" ref="S463">IFERROR(_xlfn.SWITCH(L463,1,_xlfn.XLOOKUP(O463,[1]AttributeName!$B:$B,[1]AttributeName!$D:$D),2,_xlfn.XLOOKUP(C463,#REF!,#REF!),3,_xlfn.XLOOKUP(C463,#REF!,#REF!)),0)</f>
        <v>2</v>
      </c>
      <c r="T463" cm="1">
        <f t="array" ref="T463">IFERROR(_xlfn.SWITCH(L463,1,_xlfn.XLOOKUP(O463,[1]AttributeName!$B:$B,[1]AttributeName!$E:$E),2,_xlfn.XLOOKUP(C463,#REF!,#REF!),3,_xlfn.XLOOKUP(C463,#REF!,#REF!)),0)</f>
        <v>2</v>
      </c>
    </row>
    <row r="464" customFormat="1" spans="1:20">
      <c r="A464">
        <f t="shared" si="27"/>
        <v>162</v>
      </c>
      <c r="B464">
        <v>3</v>
      </c>
      <c r="C464" t="s">
        <v>405</v>
      </c>
      <c r="D464" t="s">
        <v>415</v>
      </c>
      <c r="E464" t="s">
        <v>392</v>
      </c>
      <c r="F464"/>
      <c r="G464">
        <v>2</v>
      </c>
      <c r="H464">
        <v>250</v>
      </c>
      <c r="I464">
        <v>3</v>
      </c>
      <c r="J464" cm="1">
        <f t="array" ref="J464">_xlfn.SWITCH(B464,1,75,2,61,3,49,4,37,5,25,6,13,7,4,8,1)</f>
        <v>49</v>
      </c>
      <c r="K464" t="str" cm="1">
        <f t="array" ref="K464">IFERROR(_xlfn.SWITCH(L464,2,_xlfn.XLOOKUP(C464,[1]ModifierDes!$B:$B,[1]ModifierDes!$C:$C),3,_xlfn.XLOOKUP(C464,[1]StuntDes!$B:$B,[1]StuntDes!$C:$C)),"")</f>
        <v/>
      </c>
      <c r="L464">
        <f t="shared" si="28"/>
        <v>1</v>
      </c>
      <c r="M464" s="10" t="str">
        <f>IFERROR(_xlfn.XLOOKUP(C464,[1]StuntDes!$B:$B,[1]StuntDes!$A:$A),"")</f>
        <v/>
      </c>
      <c r="N464" s="10" t="str">
        <f>IFERROR(_xlfn.XLOOKUP(C464,[1]ModifierDes!$B:$B,[1]ModifierDes!$A:$A),"")</f>
        <v/>
      </c>
      <c r="O464" s="10">
        <f>IFERROR(_xlfn.XLOOKUP(C464,[1]AttributeName!$C:$C,[1]AttributeName!$B:$B),"")</f>
        <v>10504</v>
      </c>
      <c r="P464" s="10"/>
      <c r="Q464">
        <v>0.22</v>
      </c>
      <c r="R464">
        <v>0.25</v>
      </c>
      <c r="S464" cm="1">
        <f t="array" ref="S464">IFERROR(_xlfn.SWITCH(L464,1,_xlfn.XLOOKUP(O464,[1]AttributeName!$B:$B,[1]AttributeName!$D:$D),2,_xlfn.XLOOKUP(C464,#REF!,#REF!),3,_xlfn.XLOOKUP(C464,#REF!,#REF!)),0)</f>
        <v>2</v>
      </c>
      <c r="T464" cm="1">
        <f t="array" ref="T464">IFERROR(_xlfn.SWITCH(L464,1,_xlfn.XLOOKUP(O464,[1]AttributeName!$B:$B,[1]AttributeName!$E:$E),2,_xlfn.XLOOKUP(C464,#REF!,#REF!),3,_xlfn.XLOOKUP(C464,#REF!,#REF!)),0)</f>
        <v>2</v>
      </c>
    </row>
    <row r="465" customFormat="1" spans="1:20">
      <c r="A465">
        <f t="shared" si="27"/>
        <v>162</v>
      </c>
      <c r="B465">
        <v>4</v>
      </c>
      <c r="C465" t="s">
        <v>405</v>
      </c>
      <c r="D465" t="s">
        <v>415</v>
      </c>
      <c r="E465" t="s">
        <v>392</v>
      </c>
      <c r="F465"/>
      <c r="G465">
        <v>2</v>
      </c>
      <c r="H465">
        <v>500</v>
      </c>
      <c r="I465">
        <v>3</v>
      </c>
      <c r="J465" cm="1">
        <f t="array" ref="J465">_xlfn.SWITCH(B465,1,75,2,61,3,49,4,37,5,25,6,13,7,4,8,1)</f>
        <v>37</v>
      </c>
      <c r="K465" t="str" cm="1">
        <f t="array" ref="K465">IFERROR(_xlfn.SWITCH(L465,2,_xlfn.XLOOKUP(C465,[1]ModifierDes!$B:$B,[1]ModifierDes!$C:$C),3,_xlfn.XLOOKUP(C465,[1]StuntDes!$B:$B,[1]StuntDes!$C:$C)),"")</f>
        <v/>
      </c>
      <c r="L465">
        <f t="shared" si="28"/>
        <v>1</v>
      </c>
      <c r="M465" s="10" t="str">
        <f>IFERROR(_xlfn.XLOOKUP(C465,[1]StuntDes!$B:$B,[1]StuntDes!$A:$A),"")</f>
        <v/>
      </c>
      <c r="N465" s="10" t="str">
        <f>IFERROR(_xlfn.XLOOKUP(C465,[1]ModifierDes!$B:$B,[1]ModifierDes!$A:$A),"")</f>
        <v/>
      </c>
      <c r="O465" s="10">
        <f>IFERROR(_xlfn.XLOOKUP(C465,[1]AttributeName!$C:$C,[1]AttributeName!$B:$B),"")</f>
        <v>10504</v>
      </c>
      <c r="P465" s="10"/>
      <c r="Q465">
        <v>0.18</v>
      </c>
      <c r="R465">
        <v>0.21</v>
      </c>
      <c r="S465" cm="1">
        <f t="array" ref="S465">IFERROR(_xlfn.SWITCH(L465,1,_xlfn.XLOOKUP(O465,[1]AttributeName!$B:$B,[1]AttributeName!$D:$D),2,_xlfn.XLOOKUP(C465,#REF!,#REF!),3,_xlfn.XLOOKUP(C465,#REF!,#REF!)),0)</f>
        <v>2</v>
      </c>
      <c r="T465" cm="1">
        <f t="array" ref="T465">IFERROR(_xlfn.SWITCH(L465,1,_xlfn.XLOOKUP(O465,[1]AttributeName!$B:$B,[1]AttributeName!$E:$E),2,_xlfn.XLOOKUP(C465,#REF!,#REF!),3,_xlfn.XLOOKUP(C465,#REF!,#REF!)),0)</f>
        <v>2</v>
      </c>
    </row>
    <row r="466" customFormat="1" spans="1:20">
      <c r="A466">
        <f t="shared" si="27"/>
        <v>162</v>
      </c>
      <c r="B466">
        <v>5</v>
      </c>
      <c r="C466" t="s">
        <v>405</v>
      </c>
      <c r="D466" t="s">
        <v>415</v>
      </c>
      <c r="E466" t="s">
        <v>392</v>
      </c>
      <c r="F466"/>
      <c r="G466">
        <v>2</v>
      </c>
      <c r="H466">
        <v>500</v>
      </c>
      <c r="I466">
        <v>3</v>
      </c>
      <c r="J466" cm="1">
        <f t="array" ref="J466">_xlfn.SWITCH(B466,1,75,2,61,3,49,4,37,5,25,6,13,7,4,8,1)</f>
        <v>25</v>
      </c>
      <c r="K466" t="str" cm="1">
        <f t="array" ref="K466">IFERROR(_xlfn.SWITCH(L466,2,_xlfn.XLOOKUP(C466,[1]ModifierDes!$B:$B,[1]ModifierDes!$C:$C),3,_xlfn.XLOOKUP(C466,[1]StuntDes!$B:$B,[1]StuntDes!$C:$C)),"")</f>
        <v/>
      </c>
      <c r="L466">
        <f t="shared" si="28"/>
        <v>1</v>
      </c>
      <c r="M466" s="10" t="str">
        <f>IFERROR(_xlfn.XLOOKUP(C466,[1]StuntDes!$B:$B,[1]StuntDes!$A:$A),"")</f>
        <v/>
      </c>
      <c r="N466" s="10" t="str">
        <f>IFERROR(_xlfn.XLOOKUP(C466,[1]ModifierDes!$B:$B,[1]ModifierDes!$A:$A),"")</f>
        <v/>
      </c>
      <c r="O466" s="10">
        <f>IFERROR(_xlfn.XLOOKUP(C466,[1]AttributeName!$C:$C,[1]AttributeName!$B:$B),"")</f>
        <v>10504</v>
      </c>
      <c r="P466" s="10"/>
      <c r="Q466">
        <v>0.14</v>
      </c>
      <c r="R466">
        <v>0.17</v>
      </c>
      <c r="S466" cm="1">
        <f t="array" ref="S466">IFERROR(_xlfn.SWITCH(L466,1,_xlfn.XLOOKUP(O466,[1]AttributeName!$B:$B,[1]AttributeName!$D:$D),2,_xlfn.XLOOKUP(C466,#REF!,#REF!),3,_xlfn.XLOOKUP(C466,#REF!,#REF!)),0)</f>
        <v>2</v>
      </c>
      <c r="T466" cm="1">
        <f t="array" ref="T466">IFERROR(_xlfn.SWITCH(L466,1,_xlfn.XLOOKUP(O466,[1]AttributeName!$B:$B,[1]AttributeName!$E:$E),2,_xlfn.XLOOKUP(C466,#REF!,#REF!),3,_xlfn.XLOOKUP(C466,#REF!,#REF!)),0)</f>
        <v>2</v>
      </c>
    </row>
    <row r="467" customFormat="1" spans="1:20">
      <c r="A467">
        <f t="shared" si="27"/>
        <v>162</v>
      </c>
      <c r="B467">
        <v>6</v>
      </c>
      <c r="C467" t="s">
        <v>405</v>
      </c>
      <c r="D467" t="s">
        <v>415</v>
      </c>
      <c r="E467" t="s">
        <v>392</v>
      </c>
      <c r="F467"/>
      <c r="G467">
        <v>2</v>
      </c>
      <c r="H467">
        <v>500</v>
      </c>
      <c r="I467">
        <v>3</v>
      </c>
      <c r="J467" cm="1">
        <f t="array" ref="J467">_xlfn.SWITCH(B467,1,75,2,61,3,49,4,37,5,25,6,13,7,4,8,1)</f>
        <v>13</v>
      </c>
      <c r="K467" t="str" cm="1">
        <f t="array" ref="K467">IFERROR(_xlfn.SWITCH(L467,2,_xlfn.XLOOKUP(C467,[1]ModifierDes!$B:$B,[1]ModifierDes!$C:$C),3,_xlfn.XLOOKUP(C467,[1]StuntDes!$B:$B,[1]StuntDes!$C:$C)),"")</f>
        <v/>
      </c>
      <c r="L467">
        <f t="shared" si="28"/>
        <v>1</v>
      </c>
      <c r="M467" s="10" t="str">
        <f>IFERROR(_xlfn.XLOOKUP(C467,[1]StuntDes!$B:$B,[1]StuntDes!$A:$A),"")</f>
        <v/>
      </c>
      <c r="N467" s="10" t="str">
        <f>IFERROR(_xlfn.XLOOKUP(C467,[1]ModifierDes!$B:$B,[1]ModifierDes!$A:$A),"")</f>
        <v/>
      </c>
      <c r="O467" s="10">
        <f>IFERROR(_xlfn.XLOOKUP(C467,[1]AttributeName!$C:$C,[1]AttributeName!$B:$B),"")</f>
        <v>10504</v>
      </c>
      <c r="P467" s="10"/>
      <c r="Q467">
        <v>0.1</v>
      </c>
      <c r="R467">
        <v>0.13</v>
      </c>
      <c r="S467" cm="1">
        <f t="array" ref="S467">IFERROR(_xlfn.SWITCH(L467,1,_xlfn.XLOOKUP(O467,[1]AttributeName!$B:$B,[1]AttributeName!$D:$D),2,_xlfn.XLOOKUP(C467,#REF!,#REF!),3,_xlfn.XLOOKUP(C467,#REF!,#REF!)),0)</f>
        <v>2</v>
      </c>
      <c r="T467" cm="1">
        <f t="array" ref="T467">IFERROR(_xlfn.SWITCH(L467,1,_xlfn.XLOOKUP(O467,[1]AttributeName!$B:$B,[1]AttributeName!$E:$E),2,_xlfn.XLOOKUP(C467,#REF!,#REF!),3,_xlfn.XLOOKUP(C467,#REF!,#REF!)),0)</f>
        <v>2</v>
      </c>
    </row>
    <row r="468" customFormat="1" spans="1:20">
      <c r="A468">
        <f t="shared" si="27"/>
        <v>162</v>
      </c>
      <c r="B468">
        <v>7</v>
      </c>
      <c r="C468" t="s">
        <v>405</v>
      </c>
      <c r="D468" t="s">
        <v>415</v>
      </c>
      <c r="E468" t="s">
        <v>392</v>
      </c>
      <c r="F468"/>
      <c r="G468">
        <v>2</v>
      </c>
      <c r="H468">
        <v>500</v>
      </c>
      <c r="I468">
        <v>3</v>
      </c>
      <c r="J468" cm="1">
        <f t="array" ref="J468">_xlfn.SWITCH(B468,1,75,2,61,3,49,4,37,5,25,6,13,7,4,8,1)</f>
        <v>4</v>
      </c>
      <c r="K468" t="str" cm="1">
        <f t="array" ref="K468">IFERROR(_xlfn.SWITCH(L468,2,_xlfn.XLOOKUP(C468,[1]ModifierDes!$B:$B,[1]ModifierDes!$C:$C),3,_xlfn.XLOOKUP(C468,[1]StuntDes!$B:$B,[1]StuntDes!$C:$C)),"")</f>
        <v/>
      </c>
      <c r="L468">
        <f t="shared" si="28"/>
        <v>1</v>
      </c>
      <c r="M468" s="10" t="str">
        <f>IFERROR(_xlfn.XLOOKUP(C468,[1]StuntDes!$B:$B,[1]StuntDes!$A:$A),"")</f>
        <v/>
      </c>
      <c r="N468" s="10" t="str">
        <f>IFERROR(_xlfn.XLOOKUP(C468,[1]ModifierDes!$B:$B,[1]ModifierDes!$A:$A),"")</f>
        <v/>
      </c>
      <c r="O468" s="10">
        <f>IFERROR(_xlfn.XLOOKUP(C468,[1]AttributeName!$C:$C,[1]AttributeName!$B:$B),"")</f>
        <v>10504</v>
      </c>
      <c r="P468" s="10"/>
      <c r="Q468">
        <v>0.06</v>
      </c>
      <c r="R468">
        <v>0.0900000000000001</v>
      </c>
      <c r="S468" cm="1">
        <f t="array" ref="S468">IFERROR(_xlfn.SWITCH(L468,1,_xlfn.XLOOKUP(O468,[1]AttributeName!$B:$B,[1]AttributeName!$D:$D),2,_xlfn.XLOOKUP(C468,#REF!,#REF!),3,_xlfn.XLOOKUP(C468,#REF!,#REF!)),0)</f>
        <v>2</v>
      </c>
      <c r="T468" cm="1">
        <f t="array" ref="T468">IFERROR(_xlfn.SWITCH(L468,1,_xlfn.XLOOKUP(O468,[1]AttributeName!$B:$B,[1]AttributeName!$E:$E),2,_xlfn.XLOOKUP(C468,#REF!,#REF!),3,_xlfn.XLOOKUP(C468,#REF!,#REF!)),0)</f>
        <v>2</v>
      </c>
    </row>
    <row r="469" customFormat="1" spans="1:20">
      <c r="A469">
        <f t="shared" si="27"/>
        <v>162</v>
      </c>
      <c r="B469">
        <v>8</v>
      </c>
      <c r="C469" t="s">
        <v>405</v>
      </c>
      <c r="D469" t="s">
        <v>415</v>
      </c>
      <c r="E469" t="s">
        <v>392</v>
      </c>
      <c r="F469"/>
      <c r="G469">
        <v>2</v>
      </c>
      <c r="H469">
        <v>500</v>
      </c>
      <c r="I469">
        <v>3</v>
      </c>
      <c r="J469" cm="1">
        <f t="array" ref="J469">_xlfn.SWITCH(B469,1,75,2,61,3,49,4,37,5,25,6,13,7,4,8,1)</f>
        <v>1</v>
      </c>
      <c r="K469" t="str" cm="1">
        <f t="array" ref="K469">IFERROR(_xlfn.SWITCH(L469,2,_xlfn.XLOOKUP(C469,[1]ModifierDes!$B:$B,[1]ModifierDes!$C:$C),3,_xlfn.XLOOKUP(C469,[1]StuntDes!$B:$B,[1]StuntDes!$C:$C)),"")</f>
        <v/>
      </c>
      <c r="L469">
        <f t="shared" si="28"/>
        <v>1</v>
      </c>
      <c r="M469" s="10" t="str">
        <f>IFERROR(_xlfn.XLOOKUP(C469,[1]StuntDes!$B:$B,[1]StuntDes!$A:$A),"")</f>
        <v/>
      </c>
      <c r="N469" s="10" t="str">
        <f>IFERROR(_xlfn.XLOOKUP(C469,[1]ModifierDes!$B:$B,[1]ModifierDes!$A:$A),"")</f>
        <v/>
      </c>
      <c r="O469" s="10">
        <f>IFERROR(_xlfn.XLOOKUP(C469,[1]AttributeName!$C:$C,[1]AttributeName!$B:$B),"")</f>
        <v>10504</v>
      </c>
      <c r="P469" s="10"/>
      <c r="Q469">
        <v>0.02</v>
      </c>
      <c r="R469">
        <v>0.0500000000000001</v>
      </c>
      <c r="S469" cm="1">
        <f t="array" ref="S469">IFERROR(_xlfn.SWITCH(L469,1,_xlfn.XLOOKUP(O469,[1]AttributeName!$B:$B,[1]AttributeName!$D:$D),2,_xlfn.XLOOKUP(C469,#REF!,#REF!),3,_xlfn.XLOOKUP(C469,#REF!,#REF!)),0)</f>
        <v>2</v>
      </c>
      <c r="T469" cm="1">
        <f t="array" ref="T469">IFERROR(_xlfn.SWITCH(L469,1,_xlfn.XLOOKUP(O469,[1]AttributeName!$B:$B,[1]AttributeName!$E:$E),2,_xlfn.XLOOKUP(C469,#REF!,#REF!),3,_xlfn.XLOOKUP(C469,#REF!,#REF!)),0)</f>
        <v>2</v>
      </c>
    </row>
    <row r="470" customFormat="1" spans="1:20">
      <c r="A470">
        <f t="shared" si="27"/>
        <v>163</v>
      </c>
      <c r="B470">
        <v>1</v>
      </c>
      <c r="C470" t="s">
        <v>414</v>
      </c>
      <c r="D470" t="s">
        <v>415</v>
      </c>
      <c r="E470" t="s">
        <v>392</v>
      </c>
      <c r="F470"/>
      <c r="G470">
        <v>2</v>
      </c>
      <c r="H470">
        <v>50</v>
      </c>
      <c r="I470">
        <v>3</v>
      </c>
      <c r="J470" cm="1">
        <f t="array" ref="J470">_xlfn.SWITCH(B470,1,75,2,61,3,49,4,37,5,25,6,13,7,4,8,1)</f>
        <v>75</v>
      </c>
      <c r="K470" t="str" cm="1">
        <f t="array" ref="K470">IFERROR(_xlfn.SWITCH(L470,2,_xlfn.XLOOKUP(C470,[1]ModifierDes!$B:$B,[1]ModifierDes!$C:$C),3,_xlfn.XLOOKUP(C470,[1]StuntDes!$B:$B,[1]StuntDes!$C:$C)),"")</f>
        <v/>
      </c>
      <c r="L470">
        <f t="shared" si="28"/>
        <v>1</v>
      </c>
      <c r="M470" s="10" t="str">
        <f>IFERROR(_xlfn.XLOOKUP(C470,[1]StuntDes!$B:$B,[1]StuntDes!$A:$A),"")</f>
        <v/>
      </c>
      <c r="N470" s="10" t="str">
        <f>IFERROR(_xlfn.XLOOKUP(C470,[1]ModifierDes!$B:$B,[1]ModifierDes!$A:$A),"")</f>
        <v/>
      </c>
      <c r="O470" s="10">
        <f>IFERROR(_xlfn.XLOOKUP(C470,[1]AttributeName!$C:$C,[1]AttributeName!$B:$B),"")</f>
        <v>10900</v>
      </c>
      <c r="P470" s="10"/>
      <c r="Q470">
        <v>15</v>
      </c>
      <c r="R470">
        <v>16</v>
      </c>
      <c r="S470" cm="1">
        <f t="array" ref="S470">IFERROR(_xlfn.SWITCH(L470,1,_xlfn.XLOOKUP(O470,[1]AttributeName!$B:$B,[1]AttributeName!$D:$D),2,_xlfn.XLOOKUP(C470,#REF!,#REF!),3,_xlfn.XLOOKUP(C470,#REF!,#REF!)),0)</f>
        <v>0</v>
      </c>
      <c r="T470" cm="1">
        <f t="array" ref="T470">IFERROR(_xlfn.SWITCH(L470,1,_xlfn.XLOOKUP(O470,[1]AttributeName!$B:$B,[1]AttributeName!$E:$E),2,_xlfn.XLOOKUP(C470,#REF!,#REF!),3,_xlfn.XLOOKUP(C470,#REF!,#REF!)),0)</f>
        <v>1</v>
      </c>
    </row>
    <row r="471" customFormat="1" spans="1:20">
      <c r="A471">
        <f t="shared" si="27"/>
        <v>163</v>
      </c>
      <c r="B471">
        <v>2</v>
      </c>
      <c r="C471" t="s">
        <v>414</v>
      </c>
      <c r="D471" t="s">
        <v>415</v>
      </c>
      <c r="E471" t="s">
        <v>392</v>
      </c>
      <c r="F471"/>
      <c r="G471">
        <v>2</v>
      </c>
      <c r="H471">
        <v>100</v>
      </c>
      <c r="I471">
        <v>3</v>
      </c>
      <c r="J471" cm="1">
        <f t="array" ref="J471">_xlfn.SWITCH(B471,1,75,2,61,3,49,4,37,5,25,6,13,7,4,8,1)</f>
        <v>61</v>
      </c>
      <c r="K471" t="str" cm="1">
        <f t="array" ref="K471">IFERROR(_xlfn.SWITCH(L471,2,_xlfn.XLOOKUP(C471,[1]ModifierDes!$B:$B,[1]ModifierDes!$C:$C),3,_xlfn.XLOOKUP(C471,[1]StuntDes!$B:$B,[1]StuntDes!$C:$C)),"")</f>
        <v/>
      </c>
      <c r="L471">
        <f t="shared" si="28"/>
        <v>1</v>
      </c>
      <c r="M471" s="10" t="str">
        <f>IFERROR(_xlfn.XLOOKUP(C471,[1]StuntDes!$B:$B,[1]StuntDes!$A:$A),"")</f>
        <v/>
      </c>
      <c r="N471" s="10" t="str">
        <f>IFERROR(_xlfn.XLOOKUP(C471,[1]ModifierDes!$B:$B,[1]ModifierDes!$A:$A),"")</f>
        <v/>
      </c>
      <c r="O471" s="10">
        <f>IFERROR(_xlfn.XLOOKUP(C471,[1]AttributeName!$C:$C,[1]AttributeName!$B:$B),"")</f>
        <v>10900</v>
      </c>
      <c r="P471" s="10"/>
      <c r="Q471">
        <v>13</v>
      </c>
      <c r="R471">
        <v>14</v>
      </c>
      <c r="S471" cm="1">
        <f t="array" ref="S471">IFERROR(_xlfn.SWITCH(L471,1,_xlfn.XLOOKUP(O471,[1]AttributeName!$B:$B,[1]AttributeName!$D:$D),2,_xlfn.XLOOKUP(C471,#REF!,#REF!),3,_xlfn.XLOOKUP(C471,#REF!,#REF!)),0)</f>
        <v>0</v>
      </c>
      <c r="T471" cm="1">
        <f t="array" ref="T471">IFERROR(_xlfn.SWITCH(L471,1,_xlfn.XLOOKUP(O471,[1]AttributeName!$B:$B,[1]AttributeName!$E:$E),2,_xlfn.XLOOKUP(C471,#REF!,#REF!),3,_xlfn.XLOOKUP(C471,#REF!,#REF!)),0)</f>
        <v>1</v>
      </c>
    </row>
    <row r="472" customFormat="1" spans="1:20">
      <c r="A472">
        <f t="shared" si="27"/>
        <v>163</v>
      </c>
      <c r="B472">
        <v>3</v>
      </c>
      <c r="C472" t="s">
        <v>414</v>
      </c>
      <c r="D472" t="s">
        <v>415</v>
      </c>
      <c r="E472" t="s">
        <v>392</v>
      </c>
      <c r="F472"/>
      <c r="G472">
        <v>2</v>
      </c>
      <c r="H472">
        <v>250</v>
      </c>
      <c r="I472">
        <v>3</v>
      </c>
      <c r="J472" cm="1">
        <f t="array" ref="J472">_xlfn.SWITCH(B472,1,75,2,61,3,49,4,37,5,25,6,13,7,4,8,1)</f>
        <v>49</v>
      </c>
      <c r="K472" t="str" cm="1">
        <f t="array" ref="K472">IFERROR(_xlfn.SWITCH(L472,2,_xlfn.XLOOKUP(C472,[1]ModifierDes!$B:$B,[1]ModifierDes!$C:$C),3,_xlfn.XLOOKUP(C472,[1]StuntDes!$B:$B,[1]StuntDes!$C:$C)),"")</f>
        <v/>
      </c>
      <c r="L472">
        <f t="shared" si="28"/>
        <v>1</v>
      </c>
      <c r="M472" s="10" t="str">
        <f>IFERROR(_xlfn.XLOOKUP(C472,[1]StuntDes!$B:$B,[1]StuntDes!$A:$A),"")</f>
        <v/>
      </c>
      <c r="N472" s="10" t="str">
        <f>IFERROR(_xlfn.XLOOKUP(C472,[1]ModifierDes!$B:$B,[1]ModifierDes!$A:$A),"")</f>
        <v/>
      </c>
      <c r="O472" s="10">
        <f>IFERROR(_xlfn.XLOOKUP(C472,[1]AttributeName!$C:$C,[1]AttributeName!$B:$B),"")</f>
        <v>10900</v>
      </c>
      <c r="P472" s="10"/>
      <c r="Q472">
        <v>11</v>
      </c>
      <c r="R472">
        <v>12</v>
      </c>
      <c r="S472" cm="1">
        <f t="array" ref="S472">IFERROR(_xlfn.SWITCH(L472,1,_xlfn.XLOOKUP(O472,[1]AttributeName!$B:$B,[1]AttributeName!$D:$D),2,_xlfn.XLOOKUP(C472,#REF!,#REF!),3,_xlfn.XLOOKUP(C472,#REF!,#REF!)),0)</f>
        <v>0</v>
      </c>
      <c r="T472" cm="1">
        <f t="array" ref="T472">IFERROR(_xlfn.SWITCH(L472,1,_xlfn.XLOOKUP(O472,[1]AttributeName!$B:$B,[1]AttributeName!$E:$E),2,_xlfn.XLOOKUP(C472,#REF!,#REF!),3,_xlfn.XLOOKUP(C472,#REF!,#REF!)),0)</f>
        <v>1</v>
      </c>
    </row>
    <row r="473" customFormat="1" spans="1:20">
      <c r="A473">
        <f t="shared" si="27"/>
        <v>163</v>
      </c>
      <c r="B473">
        <v>4</v>
      </c>
      <c r="C473" t="s">
        <v>414</v>
      </c>
      <c r="D473" t="s">
        <v>415</v>
      </c>
      <c r="E473" t="s">
        <v>392</v>
      </c>
      <c r="F473"/>
      <c r="G473">
        <v>2</v>
      </c>
      <c r="H473">
        <v>500</v>
      </c>
      <c r="I473">
        <v>3</v>
      </c>
      <c r="J473" cm="1">
        <f t="array" ref="J473">_xlfn.SWITCH(B473,1,75,2,61,3,49,4,37,5,25,6,13,7,4,8,1)</f>
        <v>37</v>
      </c>
      <c r="K473" t="str" cm="1">
        <f t="array" ref="K473">IFERROR(_xlfn.SWITCH(L473,2,_xlfn.XLOOKUP(C473,[1]ModifierDes!$B:$B,[1]ModifierDes!$C:$C),3,_xlfn.XLOOKUP(C473,[1]StuntDes!$B:$B,[1]StuntDes!$C:$C)),"")</f>
        <v/>
      </c>
      <c r="L473">
        <f t="shared" si="28"/>
        <v>1</v>
      </c>
      <c r="M473" s="10" t="str">
        <f>IFERROR(_xlfn.XLOOKUP(C473,[1]StuntDes!$B:$B,[1]StuntDes!$A:$A),"")</f>
        <v/>
      </c>
      <c r="N473" s="10" t="str">
        <f>IFERROR(_xlfn.XLOOKUP(C473,[1]ModifierDes!$B:$B,[1]ModifierDes!$A:$A),"")</f>
        <v/>
      </c>
      <c r="O473" s="10">
        <f>IFERROR(_xlfn.XLOOKUP(C473,[1]AttributeName!$C:$C,[1]AttributeName!$B:$B),"")</f>
        <v>10900</v>
      </c>
      <c r="P473" s="10"/>
      <c r="Q473">
        <v>9</v>
      </c>
      <c r="R473">
        <v>10</v>
      </c>
      <c r="S473" cm="1">
        <f t="array" ref="S473">IFERROR(_xlfn.SWITCH(L473,1,_xlfn.XLOOKUP(O473,[1]AttributeName!$B:$B,[1]AttributeName!$D:$D),2,_xlfn.XLOOKUP(C473,#REF!,#REF!),3,_xlfn.XLOOKUP(C473,#REF!,#REF!)),0)</f>
        <v>0</v>
      </c>
      <c r="T473" cm="1">
        <f t="array" ref="T473">IFERROR(_xlfn.SWITCH(L473,1,_xlfn.XLOOKUP(O473,[1]AttributeName!$B:$B,[1]AttributeName!$E:$E),2,_xlfn.XLOOKUP(C473,#REF!,#REF!),3,_xlfn.XLOOKUP(C473,#REF!,#REF!)),0)</f>
        <v>1</v>
      </c>
    </row>
    <row r="474" customFormat="1" spans="1:20">
      <c r="A474">
        <f t="shared" si="27"/>
        <v>163</v>
      </c>
      <c r="B474">
        <v>5</v>
      </c>
      <c r="C474" t="s">
        <v>414</v>
      </c>
      <c r="D474" t="s">
        <v>415</v>
      </c>
      <c r="E474" t="s">
        <v>392</v>
      </c>
      <c r="F474"/>
      <c r="G474">
        <v>2</v>
      </c>
      <c r="H474">
        <v>500</v>
      </c>
      <c r="I474">
        <v>3</v>
      </c>
      <c r="J474" cm="1">
        <f t="array" ref="J474">_xlfn.SWITCH(B474,1,75,2,61,3,49,4,37,5,25,6,13,7,4,8,1)</f>
        <v>25</v>
      </c>
      <c r="K474" t="str" cm="1">
        <f t="array" ref="K474">IFERROR(_xlfn.SWITCH(L474,2,_xlfn.XLOOKUP(C474,[1]ModifierDes!$B:$B,[1]ModifierDes!$C:$C),3,_xlfn.XLOOKUP(C474,[1]StuntDes!$B:$B,[1]StuntDes!$C:$C)),"")</f>
        <v/>
      </c>
      <c r="L474">
        <f t="shared" si="28"/>
        <v>1</v>
      </c>
      <c r="M474" s="10" t="str">
        <f>IFERROR(_xlfn.XLOOKUP(C474,[1]StuntDes!$B:$B,[1]StuntDes!$A:$A),"")</f>
        <v/>
      </c>
      <c r="N474" s="10" t="str">
        <f>IFERROR(_xlfn.XLOOKUP(C474,[1]ModifierDes!$B:$B,[1]ModifierDes!$A:$A),"")</f>
        <v/>
      </c>
      <c r="O474" s="10">
        <f>IFERROR(_xlfn.XLOOKUP(C474,[1]AttributeName!$C:$C,[1]AttributeName!$B:$B),"")</f>
        <v>10900</v>
      </c>
      <c r="P474" s="10"/>
      <c r="Q474">
        <v>7</v>
      </c>
      <c r="R474">
        <v>8</v>
      </c>
      <c r="S474" cm="1">
        <f t="array" ref="S474">IFERROR(_xlfn.SWITCH(L474,1,_xlfn.XLOOKUP(O474,[1]AttributeName!$B:$B,[1]AttributeName!$D:$D),2,_xlfn.XLOOKUP(C474,#REF!,#REF!),3,_xlfn.XLOOKUP(C474,#REF!,#REF!)),0)</f>
        <v>0</v>
      </c>
      <c r="T474" cm="1">
        <f t="array" ref="T474">IFERROR(_xlfn.SWITCH(L474,1,_xlfn.XLOOKUP(O474,[1]AttributeName!$B:$B,[1]AttributeName!$E:$E),2,_xlfn.XLOOKUP(C474,#REF!,#REF!),3,_xlfn.XLOOKUP(C474,#REF!,#REF!)),0)</f>
        <v>1</v>
      </c>
    </row>
    <row r="475" customFormat="1" spans="1:20">
      <c r="A475">
        <f t="shared" si="27"/>
        <v>163</v>
      </c>
      <c r="B475">
        <v>6</v>
      </c>
      <c r="C475" t="s">
        <v>414</v>
      </c>
      <c r="D475" t="s">
        <v>415</v>
      </c>
      <c r="E475" t="s">
        <v>392</v>
      </c>
      <c r="F475"/>
      <c r="G475">
        <v>2</v>
      </c>
      <c r="H475">
        <v>500</v>
      </c>
      <c r="I475">
        <v>3</v>
      </c>
      <c r="J475" cm="1">
        <f t="array" ref="J475">_xlfn.SWITCH(B475,1,75,2,61,3,49,4,37,5,25,6,13,7,4,8,1)</f>
        <v>13</v>
      </c>
      <c r="K475" t="str" cm="1">
        <f t="array" ref="K475">IFERROR(_xlfn.SWITCH(L475,2,_xlfn.XLOOKUP(C475,[1]ModifierDes!$B:$B,[1]ModifierDes!$C:$C),3,_xlfn.XLOOKUP(C475,[1]StuntDes!$B:$B,[1]StuntDes!$C:$C)),"")</f>
        <v/>
      </c>
      <c r="L475">
        <f t="shared" si="28"/>
        <v>1</v>
      </c>
      <c r="M475" s="10" t="str">
        <f>IFERROR(_xlfn.XLOOKUP(C475,[1]StuntDes!$B:$B,[1]StuntDes!$A:$A),"")</f>
        <v/>
      </c>
      <c r="N475" s="10" t="str">
        <f>IFERROR(_xlfn.XLOOKUP(C475,[1]ModifierDes!$B:$B,[1]ModifierDes!$A:$A),"")</f>
        <v/>
      </c>
      <c r="O475" s="10">
        <f>IFERROR(_xlfn.XLOOKUP(C475,[1]AttributeName!$C:$C,[1]AttributeName!$B:$B),"")</f>
        <v>10900</v>
      </c>
      <c r="P475" s="10"/>
      <c r="Q475">
        <v>5</v>
      </c>
      <c r="R475">
        <v>6</v>
      </c>
      <c r="S475" cm="1">
        <f t="array" ref="S475">IFERROR(_xlfn.SWITCH(L475,1,_xlfn.XLOOKUP(O475,[1]AttributeName!$B:$B,[1]AttributeName!$D:$D),2,_xlfn.XLOOKUP(C475,#REF!,#REF!),3,_xlfn.XLOOKUP(C475,#REF!,#REF!)),0)</f>
        <v>0</v>
      </c>
      <c r="T475" cm="1">
        <f t="array" ref="T475">IFERROR(_xlfn.SWITCH(L475,1,_xlfn.XLOOKUP(O475,[1]AttributeName!$B:$B,[1]AttributeName!$E:$E),2,_xlfn.XLOOKUP(C475,#REF!,#REF!),3,_xlfn.XLOOKUP(C475,#REF!,#REF!)),0)</f>
        <v>1</v>
      </c>
    </row>
    <row r="476" customFormat="1" spans="1:20">
      <c r="A476">
        <f t="shared" si="27"/>
        <v>163</v>
      </c>
      <c r="B476">
        <v>7</v>
      </c>
      <c r="C476" t="s">
        <v>414</v>
      </c>
      <c r="D476" t="s">
        <v>415</v>
      </c>
      <c r="E476" t="s">
        <v>392</v>
      </c>
      <c r="F476"/>
      <c r="G476">
        <v>2</v>
      </c>
      <c r="H476">
        <v>500</v>
      </c>
      <c r="I476">
        <v>3</v>
      </c>
      <c r="J476" cm="1">
        <f t="array" ref="J476">_xlfn.SWITCH(B476,1,75,2,61,3,49,4,37,5,25,6,13,7,4,8,1)</f>
        <v>4</v>
      </c>
      <c r="K476" t="str" cm="1">
        <f t="array" ref="K476">IFERROR(_xlfn.SWITCH(L476,2,_xlfn.XLOOKUP(C476,[1]ModifierDes!$B:$B,[1]ModifierDes!$C:$C),3,_xlfn.XLOOKUP(C476,[1]StuntDes!$B:$B,[1]StuntDes!$C:$C)),"")</f>
        <v/>
      </c>
      <c r="L476">
        <f t="shared" si="28"/>
        <v>1</v>
      </c>
      <c r="M476" s="10" t="str">
        <f>IFERROR(_xlfn.XLOOKUP(C476,[1]StuntDes!$B:$B,[1]StuntDes!$A:$A),"")</f>
        <v/>
      </c>
      <c r="N476" s="10" t="str">
        <f>IFERROR(_xlfn.XLOOKUP(C476,[1]ModifierDes!$B:$B,[1]ModifierDes!$A:$A),"")</f>
        <v/>
      </c>
      <c r="O476" s="10">
        <f>IFERROR(_xlfn.XLOOKUP(C476,[1]AttributeName!$C:$C,[1]AttributeName!$B:$B),"")</f>
        <v>10900</v>
      </c>
      <c r="P476" s="10"/>
      <c r="Q476">
        <v>3</v>
      </c>
      <c r="R476">
        <v>4</v>
      </c>
      <c r="S476" cm="1">
        <f t="array" ref="S476">IFERROR(_xlfn.SWITCH(L476,1,_xlfn.XLOOKUP(O476,[1]AttributeName!$B:$B,[1]AttributeName!$D:$D),2,_xlfn.XLOOKUP(C476,#REF!,#REF!),3,_xlfn.XLOOKUP(C476,#REF!,#REF!)),0)</f>
        <v>0</v>
      </c>
      <c r="T476" cm="1">
        <f t="array" ref="T476">IFERROR(_xlfn.SWITCH(L476,1,_xlfn.XLOOKUP(O476,[1]AttributeName!$B:$B,[1]AttributeName!$E:$E),2,_xlfn.XLOOKUP(C476,#REF!,#REF!),3,_xlfn.XLOOKUP(C476,#REF!,#REF!)),0)</f>
        <v>1</v>
      </c>
    </row>
    <row r="477" customFormat="1" spans="1:20">
      <c r="A477">
        <f t="shared" si="27"/>
        <v>163</v>
      </c>
      <c r="B477">
        <v>8</v>
      </c>
      <c r="C477" t="s">
        <v>414</v>
      </c>
      <c r="D477" t="s">
        <v>415</v>
      </c>
      <c r="E477" t="s">
        <v>392</v>
      </c>
      <c r="F477"/>
      <c r="G477">
        <v>2</v>
      </c>
      <c r="H477">
        <v>500</v>
      </c>
      <c r="I477">
        <v>3</v>
      </c>
      <c r="J477" cm="1">
        <f t="array" ref="J477">_xlfn.SWITCH(B477,1,75,2,61,3,49,4,37,5,25,6,13,7,4,8,1)</f>
        <v>1</v>
      </c>
      <c r="K477" t="str" cm="1">
        <f t="array" ref="K477">IFERROR(_xlfn.SWITCH(L477,2,_xlfn.XLOOKUP(C477,[1]ModifierDes!$B:$B,[1]ModifierDes!$C:$C),3,_xlfn.XLOOKUP(C477,[1]StuntDes!$B:$B,[1]StuntDes!$C:$C)),"")</f>
        <v/>
      </c>
      <c r="L477">
        <f t="shared" si="28"/>
        <v>1</v>
      </c>
      <c r="M477" s="10" t="str">
        <f>IFERROR(_xlfn.XLOOKUP(C477,[1]StuntDes!$B:$B,[1]StuntDes!$A:$A),"")</f>
        <v/>
      </c>
      <c r="N477" s="10" t="str">
        <f>IFERROR(_xlfn.XLOOKUP(C477,[1]ModifierDes!$B:$B,[1]ModifierDes!$A:$A),"")</f>
        <v/>
      </c>
      <c r="O477" s="10">
        <f>IFERROR(_xlfn.XLOOKUP(C477,[1]AttributeName!$C:$C,[1]AttributeName!$B:$B),"")</f>
        <v>10900</v>
      </c>
      <c r="P477" s="10"/>
      <c r="Q477">
        <v>1</v>
      </c>
      <c r="R477">
        <v>2</v>
      </c>
      <c r="S477" cm="1">
        <f t="array" ref="S477">IFERROR(_xlfn.SWITCH(L477,1,_xlfn.XLOOKUP(O477,[1]AttributeName!$B:$B,[1]AttributeName!$D:$D),2,_xlfn.XLOOKUP(C477,#REF!,#REF!),3,_xlfn.XLOOKUP(C477,#REF!,#REF!)),0)</f>
        <v>0</v>
      </c>
      <c r="T477" cm="1">
        <f t="array" ref="T477">IFERROR(_xlfn.SWITCH(L477,1,_xlfn.XLOOKUP(O477,[1]AttributeName!$B:$B,[1]AttributeName!$E:$E),2,_xlfn.XLOOKUP(C477,#REF!,#REF!),3,_xlfn.XLOOKUP(C477,#REF!,#REF!)),0)</f>
        <v>1</v>
      </c>
    </row>
    <row r="478" customFormat="1" spans="1:20">
      <c r="A478">
        <f t="shared" si="27"/>
        <v>164</v>
      </c>
      <c r="B478">
        <v>1</v>
      </c>
      <c r="C478" t="s">
        <v>427</v>
      </c>
      <c r="D478" t="s">
        <v>415</v>
      </c>
      <c r="E478" t="s">
        <v>392</v>
      </c>
      <c r="F478"/>
      <c r="G478">
        <v>2</v>
      </c>
      <c r="H478">
        <v>50</v>
      </c>
      <c r="I478">
        <v>3</v>
      </c>
      <c r="J478" cm="1">
        <f t="array" ref="J478">_xlfn.SWITCH(B478,1,75,2,61,3,49,4,37,5,25,6,13,7,4,8,1)</f>
        <v>75</v>
      </c>
      <c r="K478" t="str" cm="1">
        <f t="array" ref="K478">IFERROR(_xlfn.SWITCH(L478,2,_xlfn.XLOOKUP(C478,[1]ModifierDes!$B:$B,[1]ModifierDes!$C:$C),3,_xlfn.XLOOKUP(C478,[1]StuntDes!$B:$B,[1]StuntDes!$C:$C)),"")</f>
        <v/>
      </c>
      <c r="L478">
        <f t="shared" si="28"/>
        <v>1</v>
      </c>
      <c r="M478" s="10" t="str">
        <f>IFERROR(_xlfn.XLOOKUP(C478,[1]StuntDes!$B:$B,[1]StuntDes!$A:$A),"")</f>
        <v/>
      </c>
      <c r="N478" s="10" t="str">
        <f>IFERROR(_xlfn.XLOOKUP(C478,[1]ModifierDes!$B:$B,[1]ModifierDes!$A:$A),"")</f>
        <v/>
      </c>
      <c r="O478" s="10">
        <f>IFERROR(_xlfn.XLOOKUP(C478,[1]AttributeName!$C:$C,[1]AttributeName!$B:$B),"")</f>
        <v>10003</v>
      </c>
      <c r="P478" s="10"/>
      <c r="Q478">
        <v>8</v>
      </c>
      <c r="R478">
        <v>10</v>
      </c>
      <c r="S478" cm="1">
        <f t="array" ref="S478">IFERROR(_xlfn.SWITCH(L478,1,_xlfn.XLOOKUP(O478,[1]AttributeName!$B:$B,[1]AttributeName!$D:$D),2,_xlfn.XLOOKUP(C478,#REF!,#REF!),3,_xlfn.XLOOKUP(C478,#REF!,#REF!)),0)</f>
        <v>0</v>
      </c>
      <c r="T478" cm="1">
        <f t="array" ref="T478">IFERROR(_xlfn.SWITCH(L478,1,_xlfn.XLOOKUP(O478,[1]AttributeName!$B:$B,[1]AttributeName!$E:$E),2,_xlfn.XLOOKUP(C478,#REF!,#REF!),3,_xlfn.XLOOKUP(C478,#REF!,#REF!)),0)</f>
        <v>1</v>
      </c>
    </row>
    <row r="479" customFormat="1" spans="1:20">
      <c r="A479">
        <f t="shared" si="27"/>
        <v>164</v>
      </c>
      <c r="B479">
        <v>2</v>
      </c>
      <c r="C479" t="s">
        <v>427</v>
      </c>
      <c r="D479" t="s">
        <v>415</v>
      </c>
      <c r="E479" t="s">
        <v>392</v>
      </c>
      <c r="F479"/>
      <c r="G479">
        <v>2</v>
      </c>
      <c r="H479">
        <v>100</v>
      </c>
      <c r="I479">
        <v>3</v>
      </c>
      <c r="J479" cm="1">
        <f t="array" ref="J479">_xlfn.SWITCH(B479,1,75,2,61,3,49,4,37,5,25,6,13,7,4,8,1)</f>
        <v>61</v>
      </c>
      <c r="K479" t="str" cm="1">
        <f t="array" ref="K479">IFERROR(_xlfn.SWITCH(L479,2,_xlfn.XLOOKUP(C479,[1]ModifierDes!$B:$B,[1]ModifierDes!$C:$C),3,_xlfn.XLOOKUP(C479,[1]StuntDes!$B:$B,[1]StuntDes!$C:$C)),"")</f>
        <v/>
      </c>
      <c r="L479">
        <f t="shared" si="28"/>
        <v>1</v>
      </c>
      <c r="M479" s="10" t="str">
        <f>IFERROR(_xlfn.XLOOKUP(C479,[1]StuntDes!$B:$B,[1]StuntDes!$A:$A),"")</f>
        <v/>
      </c>
      <c r="N479" s="10" t="str">
        <f>IFERROR(_xlfn.XLOOKUP(C479,[1]ModifierDes!$B:$B,[1]ModifierDes!$A:$A),"")</f>
        <v/>
      </c>
      <c r="O479" s="10">
        <f>IFERROR(_xlfn.XLOOKUP(C479,[1]AttributeName!$C:$C,[1]AttributeName!$B:$B),"")</f>
        <v>10003</v>
      </c>
      <c r="P479" s="10"/>
      <c r="Q479">
        <v>7</v>
      </c>
      <c r="R479">
        <v>7</v>
      </c>
      <c r="S479" cm="1">
        <f t="array" ref="S479">IFERROR(_xlfn.SWITCH(L479,1,_xlfn.XLOOKUP(O479,[1]AttributeName!$B:$B,[1]AttributeName!$D:$D),2,_xlfn.XLOOKUP(C479,#REF!,#REF!),3,_xlfn.XLOOKUP(C479,#REF!,#REF!)),0)</f>
        <v>0</v>
      </c>
      <c r="T479" cm="1">
        <f t="array" ref="T479">IFERROR(_xlfn.SWITCH(L479,1,_xlfn.XLOOKUP(O479,[1]AttributeName!$B:$B,[1]AttributeName!$E:$E),2,_xlfn.XLOOKUP(C479,#REF!,#REF!),3,_xlfn.XLOOKUP(C479,#REF!,#REF!)),0)</f>
        <v>1</v>
      </c>
    </row>
    <row r="480" customFormat="1" spans="1:20">
      <c r="A480">
        <f t="shared" si="27"/>
        <v>164</v>
      </c>
      <c r="B480">
        <v>3</v>
      </c>
      <c r="C480" t="s">
        <v>427</v>
      </c>
      <c r="D480" t="s">
        <v>415</v>
      </c>
      <c r="E480" t="s">
        <v>392</v>
      </c>
      <c r="F480"/>
      <c r="G480">
        <v>2</v>
      </c>
      <c r="H480">
        <v>250</v>
      </c>
      <c r="I480">
        <v>3</v>
      </c>
      <c r="J480" cm="1">
        <f t="array" ref="J480">_xlfn.SWITCH(B480,1,75,2,61,3,49,4,37,5,25,6,13,7,4,8,1)</f>
        <v>49</v>
      </c>
      <c r="K480" t="str" cm="1">
        <f t="array" ref="K480">IFERROR(_xlfn.SWITCH(L480,2,_xlfn.XLOOKUP(C480,[1]ModifierDes!$B:$B,[1]ModifierDes!$C:$C),3,_xlfn.XLOOKUP(C480,[1]StuntDes!$B:$B,[1]StuntDes!$C:$C)),"")</f>
        <v/>
      </c>
      <c r="L480">
        <f t="shared" si="28"/>
        <v>1</v>
      </c>
      <c r="M480" s="10" t="str">
        <f>IFERROR(_xlfn.XLOOKUP(C480,[1]StuntDes!$B:$B,[1]StuntDes!$A:$A),"")</f>
        <v/>
      </c>
      <c r="N480" s="10" t="str">
        <f>IFERROR(_xlfn.XLOOKUP(C480,[1]ModifierDes!$B:$B,[1]ModifierDes!$A:$A),"")</f>
        <v/>
      </c>
      <c r="O480" s="10">
        <f>IFERROR(_xlfn.XLOOKUP(C480,[1]AttributeName!$C:$C,[1]AttributeName!$B:$B),"")</f>
        <v>10003</v>
      </c>
      <c r="P480" s="10"/>
      <c r="Q480">
        <v>6</v>
      </c>
      <c r="R480">
        <v>6</v>
      </c>
      <c r="S480" cm="1">
        <f t="array" ref="S480">IFERROR(_xlfn.SWITCH(L480,1,_xlfn.XLOOKUP(O480,[1]AttributeName!$B:$B,[1]AttributeName!$D:$D),2,_xlfn.XLOOKUP(C480,#REF!,#REF!),3,_xlfn.XLOOKUP(C480,#REF!,#REF!)),0)</f>
        <v>0</v>
      </c>
      <c r="T480" cm="1">
        <f t="array" ref="T480">IFERROR(_xlfn.SWITCH(L480,1,_xlfn.XLOOKUP(O480,[1]AttributeName!$B:$B,[1]AttributeName!$E:$E),2,_xlfn.XLOOKUP(C480,#REF!,#REF!),3,_xlfn.XLOOKUP(C480,#REF!,#REF!)),0)</f>
        <v>1</v>
      </c>
    </row>
    <row r="481" customFormat="1" spans="1:20">
      <c r="A481">
        <f t="shared" si="27"/>
        <v>164</v>
      </c>
      <c r="B481">
        <v>4</v>
      </c>
      <c r="C481" t="s">
        <v>427</v>
      </c>
      <c r="D481" t="s">
        <v>415</v>
      </c>
      <c r="E481" t="s">
        <v>392</v>
      </c>
      <c r="F481"/>
      <c r="G481">
        <v>2</v>
      </c>
      <c r="H481">
        <v>500</v>
      </c>
      <c r="I481">
        <v>3</v>
      </c>
      <c r="J481" cm="1">
        <f t="array" ref="J481">_xlfn.SWITCH(B481,1,75,2,61,3,49,4,37,5,25,6,13,7,4,8,1)</f>
        <v>37</v>
      </c>
      <c r="K481" t="str" cm="1">
        <f t="array" ref="K481">IFERROR(_xlfn.SWITCH(L481,2,_xlfn.XLOOKUP(C481,[1]ModifierDes!$B:$B,[1]ModifierDes!$C:$C),3,_xlfn.XLOOKUP(C481,[1]StuntDes!$B:$B,[1]StuntDes!$C:$C)),"")</f>
        <v/>
      </c>
      <c r="L481">
        <f t="shared" si="28"/>
        <v>1</v>
      </c>
      <c r="M481" s="10" t="str">
        <f>IFERROR(_xlfn.XLOOKUP(C481,[1]StuntDes!$B:$B,[1]StuntDes!$A:$A),"")</f>
        <v/>
      </c>
      <c r="N481" s="10" t="str">
        <f>IFERROR(_xlfn.XLOOKUP(C481,[1]ModifierDes!$B:$B,[1]ModifierDes!$A:$A),"")</f>
        <v/>
      </c>
      <c r="O481" s="10">
        <f>IFERROR(_xlfn.XLOOKUP(C481,[1]AttributeName!$C:$C,[1]AttributeName!$B:$B),"")</f>
        <v>10003</v>
      </c>
      <c r="P481" s="10"/>
      <c r="Q481">
        <v>5</v>
      </c>
      <c r="R481">
        <v>5</v>
      </c>
      <c r="S481" cm="1">
        <f t="array" ref="S481">IFERROR(_xlfn.SWITCH(L481,1,_xlfn.XLOOKUP(O481,[1]AttributeName!$B:$B,[1]AttributeName!$D:$D),2,_xlfn.XLOOKUP(C481,#REF!,#REF!),3,_xlfn.XLOOKUP(C481,#REF!,#REF!)),0)</f>
        <v>0</v>
      </c>
      <c r="T481" cm="1">
        <f t="array" ref="T481">IFERROR(_xlfn.SWITCH(L481,1,_xlfn.XLOOKUP(O481,[1]AttributeName!$B:$B,[1]AttributeName!$E:$E),2,_xlfn.XLOOKUP(C481,#REF!,#REF!),3,_xlfn.XLOOKUP(C481,#REF!,#REF!)),0)</f>
        <v>1</v>
      </c>
    </row>
    <row r="482" customFormat="1" spans="1:20">
      <c r="A482">
        <f t="shared" si="27"/>
        <v>164</v>
      </c>
      <c r="B482">
        <v>5</v>
      </c>
      <c r="C482" t="s">
        <v>427</v>
      </c>
      <c r="D482" t="s">
        <v>415</v>
      </c>
      <c r="E482" t="s">
        <v>392</v>
      </c>
      <c r="F482"/>
      <c r="G482">
        <v>2</v>
      </c>
      <c r="H482">
        <v>500</v>
      </c>
      <c r="I482">
        <v>3</v>
      </c>
      <c r="J482" cm="1">
        <f t="array" ref="J482">_xlfn.SWITCH(B482,1,75,2,61,3,49,4,37,5,25,6,13,7,4,8,1)</f>
        <v>25</v>
      </c>
      <c r="K482" t="str" cm="1">
        <f t="array" ref="K482">IFERROR(_xlfn.SWITCH(L482,2,_xlfn.XLOOKUP(C482,[1]ModifierDes!$B:$B,[1]ModifierDes!$C:$C),3,_xlfn.XLOOKUP(C482,[1]StuntDes!$B:$B,[1]StuntDes!$C:$C)),"")</f>
        <v/>
      </c>
      <c r="L482">
        <f t="shared" si="28"/>
        <v>1</v>
      </c>
      <c r="M482" s="10" t="str">
        <f>IFERROR(_xlfn.XLOOKUP(C482,[1]StuntDes!$B:$B,[1]StuntDes!$A:$A),"")</f>
        <v/>
      </c>
      <c r="N482" s="10" t="str">
        <f>IFERROR(_xlfn.XLOOKUP(C482,[1]ModifierDes!$B:$B,[1]ModifierDes!$A:$A),"")</f>
        <v/>
      </c>
      <c r="O482" s="10">
        <f>IFERROR(_xlfn.XLOOKUP(C482,[1]AttributeName!$C:$C,[1]AttributeName!$B:$B),"")</f>
        <v>10003</v>
      </c>
      <c r="P482" s="10"/>
      <c r="Q482">
        <v>4</v>
      </c>
      <c r="R482">
        <v>4</v>
      </c>
      <c r="S482" cm="1">
        <f t="array" ref="S482">IFERROR(_xlfn.SWITCH(L482,1,_xlfn.XLOOKUP(O482,[1]AttributeName!$B:$B,[1]AttributeName!$D:$D),2,_xlfn.XLOOKUP(C482,#REF!,#REF!),3,_xlfn.XLOOKUP(C482,#REF!,#REF!)),0)</f>
        <v>0</v>
      </c>
      <c r="T482" cm="1">
        <f t="array" ref="T482">IFERROR(_xlfn.SWITCH(L482,1,_xlfn.XLOOKUP(O482,[1]AttributeName!$B:$B,[1]AttributeName!$E:$E),2,_xlfn.XLOOKUP(C482,#REF!,#REF!),3,_xlfn.XLOOKUP(C482,#REF!,#REF!)),0)</f>
        <v>1</v>
      </c>
    </row>
    <row r="483" customFormat="1" spans="1:20">
      <c r="A483">
        <f t="shared" si="27"/>
        <v>164</v>
      </c>
      <c r="B483">
        <v>6</v>
      </c>
      <c r="C483" t="s">
        <v>427</v>
      </c>
      <c r="D483" t="s">
        <v>415</v>
      </c>
      <c r="E483" t="s">
        <v>392</v>
      </c>
      <c r="F483"/>
      <c r="G483">
        <v>2</v>
      </c>
      <c r="H483">
        <v>500</v>
      </c>
      <c r="I483">
        <v>3</v>
      </c>
      <c r="J483" cm="1">
        <f t="array" ref="J483">_xlfn.SWITCH(B483,1,75,2,61,3,49,4,37,5,25,6,13,7,4,8,1)</f>
        <v>13</v>
      </c>
      <c r="K483" t="str" cm="1">
        <f t="array" ref="K483">IFERROR(_xlfn.SWITCH(L483,2,_xlfn.XLOOKUP(C483,[1]ModifierDes!$B:$B,[1]ModifierDes!$C:$C),3,_xlfn.XLOOKUP(C483,[1]StuntDes!$B:$B,[1]StuntDes!$C:$C)),"")</f>
        <v/>
      </c>
      <c r="L483">
        <f t="shared" si="28"/>
        <v>1</v>
      </c>
      <c r="M483" s="10" t="str">
        <f>IFERROR(_xlfn.XLOOKUP(C483,[1]StuntDes!$B:$B,[1]StuntDes!$A:$A),"")</f>
        <v/>
      </c>
      <c r="N483" s="10" t="str">
        <f>IFERROR(_xlfn.XLOOKUP(C483,[1]ModifierDes!$B:$B,[1]ModifierDes!$A:$A),"")</f>
        <v/>
      </c>
      <c r="O483" s="10">
        <f>IFERROR(_xlfn.XLOOKUP(C483,[1]AttributeName!$C:$C,[1]AttributeName!$B:$B),"")</f>
        <v>10003</v>
      </c>
      <c r="P483" s="10"/>
      <c r="Q483">
        <v>3</v>
      </c>
      <c r="R483">
        <v>3</v>
      </c>
      <c r="S483" cm="1">
        <f t="array" ref="S483">IFERROR(_xlfn.SWITCH(L483,1,_xlfn.XLOOKUP(O483,[1]AttributeName!$B:$B,[1]AttributeName!$D:$D),2,_xlfn.XLOOKUP(C483,#REF!,#REF!),3,_xlfn.XLOOKUP(C483,#REF!,#REF!)),0)</f>
        <v>0</v>
      </c>
      <c r="T483" cm="1">
        <f t="array" ref="T483">IFERROR(_xlfn.SWITCH(L483,1,_xlfn.XLOOKUP(O483,[1]AttributeName!$B:$B,[1]AttributeName!$E:$E),2,_xlfn.XLOOKUP(C483,#REF!,#REF!),3,_xlfn.XLOOKUP(C483,#REF!,#REF!)),0)</f>
        <v>1</v>
      </c>
    </row>
    <row r="484" customFormat="1" spans="1:20">
      <c r="A484">
        <f t="shared" si="27"/>
        <v>164</v>
      </c>
      <c r="B484">
        <v>7</v>
      </c>
      <c r="C484" t="s">
        <v>427</v>
      </c>
      <c r="D484" t="s">
        <v>415</v>
      </c>
      <c r="E484" t="s">
        <v>392</v>
      </c>
      <c r="F484"/>
      <c r="G484">
        <v>2</v>
      </c>
      <c r="H484">
        <v>500</v>
      </c>
      <c r="I484">
        <v>3</v>
      </c>
      <c r="J484" cm="1">
        <f t="array" ref="J484">_xlfn.SWITCH(B484,1,75,2,61,3,49,4,37,5,25,6,13,7,4,8,1)</f>
        <v>4</v>
      </c>
      <c r="K484" t="str" cm="1">
        <f t="array" ref="K484">IFERROR(_xlfn.SWITCH(L484,2,_xlfn.XLOOKUP(C484,[1]ModifierDes!$B:$B,[1]ModifierDes!$C:$C),3,_xlfn.XLOOKUP(C484,[1]StuntDes!$B:$B,[1]StuntDes!$C:$C)),"")</f>
        <v/>
      </c>
      <c r="L484">
        <f t="shared" si="28"/>
        <v>1</v>
      </c>
      <c r="M484" s="10" t="str">
        <f>IFERROR(_xlfn.XLOOKUP(C484,[1]StuntDes!$B:$B,[1]StuntDes!$A:$A),"")</f>
        <v/>
      </c>
      <c r="N484" s="10" t="str">
        <f>IFERROR(_xlfn.XLOOKUP(C484,[1]ModifierDes!$B:$B,[1]ModifierDes!$A:$A),"")</f>
        <v/>
      </c>
      <c r="O484" s="10">
        <f>IFERROR(_xlfn.XLOOKUP(C484,[1]AttributeName!$C:$C,[1]AttributeName!$B:$B),"")</f>
        <v>10003</v>
      </c>
      <c r="P484" s="10"/>
      <c r="Q484">
        <v>2</v>
      </c>
      <c r="R484">
        <v>2</v>
      </c>
      <c r="S484" cm="1">
        <f t="array" ref="S484">IFERROR(_xlfn.SWITCH(L484,1,_xlfn.XLOOKUP(O484,[1]AttributeName!$B:$B,[1]AttributeName!$D:$D),2,_xlfn.XLOOKUP(C484,#REF!,#REF!),3,_xlfn.XLOOKUP(C484,#REF!,#REF!)),0)</f>
        <v>0</v>
      </c>
      <c r="T484" cm="1">
        <f t="array" ref="T484">IFERROR(_xlfn.SWITCH(L484,1,_xlfn.XLOOKUP(O484,[1]AttributeName!$B:$B,[1]AttributeName!$E:$E),2,_xlfn.XLOOKUP(C484,#REF!,#REF!),3,_xlfn.XLOOKUP(C484,#REF!,#REF!)),0)</f>
        <v>1</v>
      </c>
    </row>
    <row r="485" customFormat="1" spans="1:20">
      <c r="A485">
        <f t="shared" si="27"/>
        <v>164</v>
      </c>
      <c r="B485">
        <v>8</v>
      </c>
      <c r="C485" t="s">
        <v>427</v>
      </c>
      <c r="D485" t="s">
        <v>415</v>
      </c>
      <c r="E485" t="s">
        <v>392</v>
      </c>
      <c r="F485"/>
      <c r="G485">
        <v>2</v>
      </c>
      <c r="H485">
        <v>500</v>
      </c>
      <c r="I485">
        <v>3</v>
      </c>
      <c r="J485" cm="1">
        <f t="array" ref="J485">_xlfn.SWITCH(B485,1,75,2,61,3,49,4,37,5,25,6,13,7,4,8,1)</f>
        <v>1</v>
      </c>
      <c r="K485" t="str" cm="1">
        <f t="array" ref="K485">IFERROR(_xlfn.SWITCH(L485,2,_xlfn.XLOOKUP(C485,[1]ModifierDes!$B:$B,[1]ModifierDes!$C:$C),3,_xlfn.XLOOKUP(C485,[1]StuntDes!$B:$B,[1]StuntDes!$C:$C)),"")</f>
        <v/>
      </c>
      <c r="L485">
        <f t="shared" si="28"/>
        <v>1</v>
      </c>
      <c r="M485" s="10" t="str">
        <f>IFERROR(_xlfn.XLOOKUP(C485,[1]StuntDes!$B:$B,[1]StuntDes!$A:$A),"")</f>
        <v/>
      </c>
      <c r="N485" s="10" t="str">
        <f>IFERROR(_xlfn.XLOOKUP(C485,[1]ModifierDes!$B:$B,[1]ModifierDes!$A:$A),"")</f>
        <v/>
      </c>
      <c r="O485" s="10">
        <f>IFERROR(_xlfn.XLOOKUP(C485,[1]AttributeName!$C:$C,[1]AttributeName!$B:$B),"")</f>
        <v>10003</v>
      </c>
      <c r="P485" s="10"/>
      <c r="Q485">
        <v>1</v>
      </c>
      <c r="R485">
        <v>1</v>
      </c>
      <c r="S485" cm="1">
        <f t="array" ref="S485">IFERROR(_xlfn.SWITCH(L485,1,_xlfn.XLOOKUP(O485,[1]AttributeName!$B:$B,[1]AttributeName!$D:$D),2,_xlfn.XLOOKUP(C485,#REF!,#REF!),3,_xlfn.XLOOKUP(C485,#REF!,#REF!)),0)</f>
        <v>0</v>
      </c>
      <c r="T485" cm="1">
        <f t="array" ref="T485">IFERROR(_xlfn.SWITCH(L485,1,_xlfn.XLOOKUP(O485,[1]AttributeName!$B:$B,[1]AttributeName!$E:$E),2,_xlfn.XLOOKUP(C485,#REF!,#REF!),3,_xlfn.XLOOKUP(C485,#REF!,#REF!)),0)</f>
        <v>1</v>
      </c>
    </row>
    <row r="486" customFormat="1" spans="1:20">
      <c r="A486">
        <v>201</v>
      </c>
      <c r="B486">
        <v>1</v>
      </c>
      <c r="C486" t="s">
        <v>389</v>
      </c>
      <c r="D486" t="s">
        <v>25</v>
      </c>
      <c r="E486" t="s">
        <v>378</v>
      </c>
      <c r="F486"/>
      <c r="G486">
        <v>1</v>
      </c>
      <c r="H486">
        <v>1000</v>
      </c>
      <c r="J486" cm="1">
        <f t="array" ref="J486">_xlfn.SWITCH(B486,1,75,2,61,3,49,4,37,5,25,6,13,7,4,8,1)</f>
        <v>75</v>
      </c>
      <c r="K486" t="str" cm="1">
        <f t="array" ref="K486">IFERROR(_xlfn.SWITCH(L486,2,_xlfn.XLOOKUP(C486,[1]ModifierDes!$B:$B,[1]ModifierDes!$C:$C),3,_xlfn.XLOOKUP(C486,[1]StuntDes!$B:$B,[1]StuntDes!$C:$C)),"")</f>
        <v/>
      </c>
      <c r="L486">
        <f t="shared" si="28"/>
        <v>1</v>
      </c>
      <c r="M486" s="10" t="str">
        <f>IFERROR(_xlfn.XLOOKUP(C486,[1]StuntDes!$B:$B,[1]StuntDes!$A:$A),"")</f>
        <v/>
      </c>
      <c r="N486" s="10" t="str">
        <f>IFERROR(_xlfn.XLOOKUP(C486,[1]ModifierDes!$B:$B,[1]ModifierDes!$A:$A),"")</f>
        <v/>
      </c>
      <c r="O486" s="10">
        <f>IFERROR(_xlfn.XLOOKUP(C486,[1]AttributeName!$C:$C,[1]AttributeName!$B:$B),"")</f>
        <v>10001</v>
      </c>
      <c r="P486" s="10"/>
      <c r="Q486">
        <v>950</v>
      </c>
      <c r="R486">
        <v>1050</v>
      </c>
      <c r="S486" cm="1">
        <f t="array" ref="S486">IFERROR(_xlfn.SWITCH(L486,1,_xlfn.XLOOKUP(O486,[1]AttributeName!$B:$B,[1]AttributeName!$D:$D),2,_xlfn.XLOOKUP(C486,#REF!,#REF!),3,_xlfn.XLOOKUP(C486,#REF!,#REF!)),0)</f>
        <v>0</v>
      </c>
      <c r="T486" cm="1">
        <f t="array" ref="T486">IFERROR(_xlfn.SWITCH(L486,1,_xlfn.XLOOKUP(O486,[1]AttributeName!$B:$B,[1]AttributeName!$E:$E),2,_xlfn.XLOOKUP(C486,#REF!,#REF!),3,_xlfn.XLOOKUP(C486,#REF!,#REF!)),0)</f>
        <v>1</v>
      </c>
    </row>
    <row r="487" customFormat="1" spans="1:20">
      <c r="A487">
        <v>201</v>
      </c>
      <c r="B487">
        <v>2</v>
      </c>
      <c r="C487" t="s">
        <v>389</v>
      </c>
      <c r="D487" t="s">
        <v>25</v>
      </c>
      <c r="E487" t="s">
        <v>378</v>
      </c>
      <c r="F487"/>
      <c r="G487">
        <v>1</v>
      </c>
      <c r="H487">
        <v>1000</v>
      </c>
      <c r="J487" cm="1">
        <f t="array" ref="J487">_xlfn.SWITCH(B487,1,75,2,61,3,49,4,37,5,25,6,13,7,4,8,1)</f>
        <v>61</v>
      </c>
      <c r="K487" t="str" cm="1">
        <f t="array" ref="K487">IFERROR(_xlfn.SWITCH(L487,2,_xlfn.XLOOKUP(C487,[1]ModifierDes!$B:$B,[1]ModifierDes!$C:$C),3,_xlfn.XLOOKUP(C487,[1]StuntDes!$B:$B,[1]StuntDes!$C:$C)),"")</f>
        <v/>
      </c>
      <c r="L487">
        <f t="shared" si="28"/>
        <v>1</v>
      </c>
      <c r="M487" s="10" t="str">
        <f>IFERROR(_xlfn.XLOOKUP(C487,[1]StuntDes!$B:$B,[1]StuntDes!$A:$A),"")</f>
        <v/>
      </c>
      <c r="N487" s="10" t="str">
        <f>IFERROR(_xlfn.XLOOKUP(C487,[1]ModifierDes!$B:$B,[1]ModifierDes!$A:$A),"")</f>
        <v/>
      </c>
      <c r="O487" s="10">
        <f>IFERROR(_xlfn.XLOOKUP(C487,[1]AttributeName!$C:$C,[1]AttributeName!$B:$B),"")</f>
        <v>10001</v>
      </c>
      <c r="P487" s="10"/>
      <c r="Q487">
        <v>520</v>
      </c>
      <c r="R487">
        <v>600</v>
      </c>
      <c r="S487" cm="1">
        <f t="array" ref="S487">IFERROR(_xlfn.SWITCH(L487,1,_xlfn.XLOOKUP(O487,[1]AttributeName!$B:$B,[1]AttributeName!$D:$D),2,_xlfn.XLOOKUP(C487,#REF!,#REF!),3,_xlfn.XLOOKUP(C487,#REF!,#REF!)),0)</f>
        <v>0</v>
      </c>
      <c r="T487" cm="1">
        <f t="array" ref="T487">IFERROR(_xlfn.SWITCH(L487,1,_xlfn.XLOOKUP(O487,[1]AttributeName!$B:$B,[1]AttributeName!$E:$E),2,_xlfn.XLOOKUP(C487,#REF!,#REF!),3,_xlfn.XLOOKUP(C487,#REF!,#REF!)),0)</f>
        <v>1</v>
      </c>
    </row>
    <row r="488" customFormat="1" spans="1:20">
      <c r="A488">
        <v>201</v>
      </c>
      <c r="B488">
        <v>3</v>
      </c>
      <c r="C488" t="s">
        <v>389</v>
      </c>
      <c r="D488" t="s">
        <v>25</v>
      </c>
      <c r="E488" t="s">
        <v>378</v>
      </c>
      <c r="F488"/>
      <c r="G488">
        <v>1</v>
      </c>
      <c r="H488">
        <v>1000</v>
      </c>
      <c r="J488" cm="1">
        <f t="array" ref="J488">_xlfn.SWITCH(B488,1,75,2,61,3,49,4,37,5,25,6,13,7,4,8,1)</f>
        <v>49</v>
      </c>
      <c r="K488" t="str" cm="1">
        <f t="array" ref="K488">IFERROR(_xlfn.SWITCH(L488,2,_xlfn.XLOOKUP(C488,[1]ModifierDes!$B:$B,[1]ModifierDes!$C:$C),3,_xlfn.XLOOKUP(C488,[1]StuntDes!$B:$B,[1]StuntDes!$C:$C)),"")</f>
        <v/>
      </c>
      <c r="L488">
        <f t="shared" si="28"/>
        <v>1</v>
      </c>
      <c r="M488" s="10" t="str">
        <f>IFERROR(_xlfn.XLOOKUP(C488,[1]StuntDes!$B:$B,[1]StuntDes!$A:$A),"")</f>
        <v/>
      </c>
      <c r="N488" s="10" t="str">
        <f>IFERROR(_xlfn.XLOOKUP(C488,[1]ModifierDes!$B:$B,[1]ModifierDes!$A:$A),"")</f>
        <v/>
      </c>
      <c r="O488" s="10">
        <f>IFERROR(_xlfn.XLOOKUP(C488,[1]AttributeName!$C:$C,[1]AttributeName!$B:$B),"")</f>
        <v>10001</v>
      </c>
      <c r="P488" s="10"/>
      <c r="Q488">
        <v>250</v>
      </c>
      <c r="R488">
        <v>310</v>
      </c>
      <c r="S488" cm="1">
        <f t="array" ref="S488">IFERROR(_xlfn.SWITCH(L488,1,_xlfn.XLOOKUP(O488,[1]AttributeName!$B:$B,[1]AttributeName!$D:$D),2,_xlfn.XLOOKUP(C488,#REF!,#REF!),3,_xlfn.XLOOKUP(C488,#REF!,#REF!)),0)</f>
        <v>0</v>
      </c>
      <c r="T488" cm="1">
        <f t="array" ref="T488">IFERROR(_xlfn.SWITCH(L488,1,_xlfn.XLOOKUP(O488,[1]AttributeName!$B:$B,[1]AttributeName!$E:$E),2,_xlfn.XLOOKUP(C488,#REF!,#REF!),3,_xlfn.XLOOKUP(C488,#REF!,#REF!)),0)</f>
        <v>1</v>
      </c>
    </row>
    <row r="489" customFormat="1" spans="1:20">
      <c r="A489">
        <v>201</v>
      </c>
      <c r="B489">
        <v>4</v>
      </c>
      <c r="C489" t="s">
        <v>389</v>
      </c>
      <c r="D489" t="s">
        <v>25</v>
      </c>
      <c r="E489" t="s">
        <v>378</v>
      </c>
      <c r="F489"/>
      <c r="G489">
        <v>1</v>
      </c>
      <c r="H489">
        <v>1000</v>
      </c>
      <c r="J489" cm="1">
        <f t="array" ref="J489">_xlfn.SWITCH(B489,1,75,2,61,3,49,4,37,5,25,6,13,7,4,8,1)</f>
        <v>37</v>
      </c>
      <c r="K489" t="str" cm="1">
        <f t="array" ref="K489">IFERROR(_xlfn.SWITCH(L489,2,_xlfn.XLOOKUP(C489,[1]ModifierDes!$B:$B,[1]ModifierDes!$C:$C),3,_xlfn.XLOOKUP(C489,[1]StuntDes!$B:$B,[1]StuntDes!$C:$C)),"")</f>
        <v/>
      </c>
      <c r="L489">
        <f t="shared" si="28"/>
        <v>1</v>
      </c>
      <c r="M489" s="10" t="str">
        <f>IFERROR(_xlfn.XLOOKUP(C489,[1]StuntDes!$B:$B,[1]StuntDes!$A:$A),"")</f>
        <v/>
      </c>
      <c r="N489" s="10" t="str">
        <f>IFERROR(_xlfn.XLOOKUP(C489,[1]ModifierDes!$B:$B,[1]ModifierDes!$A:$A),"")</f>
        <v/>
      </c>
      <c r="O489" s="10">
        <f>IFERROR(_xlfn.XLOOKUP(C489,[1]AttributeName!$C:$C,[1]AttributeName!$B:$B),"")</f>
        <v>10001</v>
      </c>
      <c r="P489" s="10"/>
      <c r="Q489">
        <v>120</v>
      </c>
      <c r="R489">
        <v>160</v>
      </c>
      <c r="S489" cm="1">
        <f t="array" ref="S489">IFERROR(_xlfn.SWITCH(L489,1,_xlfn.XLOOKUP(O489,[1]AttributeName!$B:$B,[1]AttributeName!$D:$D),2,_xlfn.XLOOKUP(C489,#REF!,#REF!),3,_xlfn.XLOOKUP(C489,#REF!,#REF!)),0)</f>
        <v>0</v>
      </c>
      <c r="T489" cm="1">
        <f t="array" ref="T489">IFERROR(_xlfn.SWITCH(L489,1,_xlfn.XLOOKUP(O489,[1]AttributeName!$B:$B,[1]AttributeName!$E:$E),2,_xlfn.XLOOKUP(C489,#REF!,#REF!),3,_xlfn.XLOOKUP(C489,#REF!,#REF!)),0)</f>
        <v>1</v>
      </c>
    </row>
    <row r="490" customFormat="1" spans="1:20">
      <c r="A490">
        <v>201</v>
      </c>
      <c r="B490">
        <v>5</v>
      </c>
      <c r="C490" t="s">
        <v>389</v>
      </c>
      <c r="D490" t="s">
        <v>25</v>
      </c>
      <c r="E490" t="s">
        <v>378</v>
      </c>
      <c r="F490"/>
      <c r="G490">
        <v>1</v>
      </c>
      <c r="H490">
        <v>1000</v>
      </c>
      <c r="J490" cm="1">
        <f t="array" ref="J490">_xlfn.SWITCH(B490,1,75,2,61,3,49,4,37,5,25,6,13,7,4,8,1)</f>
        <v>25</v>
      </c>
      <c r="K490" t="str" cm="1">
        <f t="array" ref="K490">IFERROR(_xlfn.SWITCH(L490,2,_xlfn.XLOOKUP(C490,[1]ModifierDes!$B:$B,[1]ModifierDes!$C:$C),3,_xlfn.XLOOKUP(C490,[1]StuntDes!$B:$B,[1]StuntDes!$C:$C)),"")</f>
        <v/>
      </c>
      <c r="L490">
        <f t="shared" si="28"/>
        <v>1</v>
      </c>
      <c r="M490" s="10" t="str">
        <f>IFERROR(_xlfn.XLOOKUP(C490,[1]StuntDes!$B:$B,[1]StuntDes!$A:$A),"")</f>
        <v/>
      </c>
      <c r="N490" s="10" t="str">
        <f>IFERROR(_xlfn.XLOOKUP(C490,[1]ModifierDes!$B:$B,[1]ModifierDes!$A:$A),"")</f>
        <v/>
      </c>
      <c r="O490" s="10">
        <f>IFERROR(_xlfn.XLOOKUP(C490,[1]AttributeName!$C:$C,[1]AttributeName!$B:$B),"")</f>
        <v>10001</v>
      </c>
      <c r="P490" s="10"/>
      <c r="Q490">
        <v>60</v>
      </c>
      <c r="R490">
        <v>80</v>
      </c>
      <c r="S490" cm="1">
        <f t="array" ref="S490">IFERROR(_xlfn.SWITCH(L490,1,_xlfn.XLOOKUP(O490,[1]AttributeName!$B:$B,[1]AttributeName!$D:$D),2,_xlfn.XLOOKUP(C490,#REF!,#REF!),3,_xlfn.XLOOKUP(C490,#REF!,#REF!)),0)</f>
        <v>0</v>
      </c>
      <c r="T490" cm="1">
        <f t="array" ref="T490">IFERROR(_xlfn.SWITCH(L490,1,_xlfn.XLOOKUP(O490,[1]AttributeName!$B:$B,[1]AttributeName!$E:$E),2,_xlfn.XLOOKUP(C490,#REF!,#REF!),3,_xlfn.XLOOKUP(C490,#REF!,#REF!)),0)</f>
        <v>1</v>
      </c>
    </row>
    <row r="491" customFormat="1" spans="1:20">
      <c r="A491">
        <v>201</v>
      </c>
      <c r="B491">
        <v>6</v>
      </c>
      <c r="C491" t="s">
        <v>389</v>
      </c>
      <c r="D491" t="s">
        <v>25</v>
      </c>
      <c r="E491" t="s">
        <v>378</v>
      </c>
      <c r="F491"/>
      <c r="G491">
        <v>1</v>
      </c>
      <c r="H491">
        <v>1000</v>
      </c>
      <c r="J491" cm="1">
        <f t="array" ref="J491">_xlfn.SWITCH(B491,1,75,2,61,3,49,4,37,5,25,6,13,7,4,8,1)</f>
        <v>13</v>
      </c>
      <c r="K491" t="str" cm="1">
        <f t="array" ref="K491">IFERROR(_xlfn.SWITCH(L491,2,_xlfn.XLOOKUP(C491,[1]ModifierDes!$B:$B,[1]ModifierDes!$C:$C),3,_xlfn.XLOOKUP(C491,[1]StuntDes!$B:$B,[1]StuntDes!$C:$C)),"")</f>
        <v/>
      </c>
      <c r="L491">
        <f t="shared" si="28"/>
        <v>1</v>
      </c>
      <c r="M491" s="10" t="str">
        <f>IFERROR(_xlfn.XLOOKUP(C491,[1]StuntDes!$B:$B,[1]StuntDes!$A:$A),"")</f>
        <v/>
      </c>
      <c r="N491" s="10" t="str">
        <f>IFERROR(_xlfn.XLOOKUP(C491,[1]ModifierDes!$B:$B,[1]ModifierDes!$A:$A),"")</f>
        <v/>
      </c>
      <c r="O491" s="10">
        <f>IFERROR(_xlfn.XLOOKUP(C491,[1]AttributeName!$C:$C,[1]AttributeName!$B:$B),"")</f>
        <v>10001</v>
      </c>
      <c r="P491" s="10"/>
      <c r="Q491">
        <v>30</v>
      </c>
      <c r="R491">
        <v>40</v>
      </c>
      <c r="S491" cm="1">
        <f t="array" ref="S491">IFERROR(_xlfn.SWITCH(L491,1,_xlfn.XLOOKUP(O491,[1]AttributeName!$B:$B,[1]AttributeName!$D:$D),2,_xlfn.XLOOKUP(C491,#REF!,#REF!),3,_xlfn.XLOOKUP(C491,#REF!,#REF!)),0)</f>
        <v>0</v>
      </c>
      <c r="T491" cm="1">
        <f t="array" ref="T491">IFERROR(_xlfn.SWITCH(L491,1,_xlfn.XLOOKUP(O491,[1]AttributeName!$B:$B,[1]AttributeName!$E:$E),2,_xlfn.XLOOKUP(C491,#REF!,#REF!),3,_xlfn.XLOOKUP(C491,#REF!,#REF!)),0)</f>
        <v>1</v>
      </c>
    </row>
    <row r="492" customFormat="1" spans="1:20">
      <c r="A492">
        <v>201</v>
      </c>
      <c r="B492">
        <v>7</v>
      </c>
      <c r="C492" t="s">
        <v>389</v>
      </c>
      <c r="D492" t="s">
        <v>25</v>
      </c>
      <c r="E492" t="s">
        <v>378</v>
      </c>
      <c r="F492"/>
      <c r="G492">
        <v>1</v>
      </c>
      <c r="H492">
        <v>1000</v>
      </c>
      <c r="J492" cm="1">
        <f t="array" ref="J492">_xlfn.SWITCH(B492,1,75,2,61,3,49,4,37,5,25,6,13,7,4,8,1)</f>
        <v>4</v>
      </c>
      <c r="K492" t="str" cm="1">
        <f t="array" ref="K492">IFERROR(_xlfn.SWITCH(L492,2,_xlfn.XLOOKUP(C492,[1]ModifierDes!$B:$B,[1]ModifierDes!$C:$C),3,_xlfn.XLOOKUP(C492,[1]StuntDes!$B:$B,[1]StuntDes!$C:$C)),"")</f>
        <v/>
      </c>
      <c r="L492">
        <f t="shared" si="28"/>
        <v>1</v>
      </c>
      <c r="M492" s="10" t="str">
        <f>IFERROR(_xlfn.XLOOKUP(C492,[1]StuntDes!$B:$B,[1]StuntDes!$A:$A),"")</f>
        <v/>
      </c>
      <c r="N492" s="10" t="str">
        <f>IFERROR(_xlfn.XLOOKUP(C492,[1]ModifierDes!$B:$B,[1]ModifierDes!$A:$A),"")</f>
        <v/>
      </c>
      <c r="O492" s="10">
        <f>IFERROR(_xlfn.XLOOKUP(C492,[1]AttributeName!$C:$C,[1]AttributeName!$B:$B),"")</f>
        <v>10001</v>
      </c>
      <c r="P492" s="10"/>
      <c r="Q492">
        <v>12</v>
      </c>
      <c r="R492">
        <v>20</v>
      </c>
      <c r="S492" cm="1">
        <f t="array" ref="S492">IFERROR(_xlfn.SWITCH(L492,1,_xlfn.XLOOKUP(O492,[1]AttributeName!$B:$B,[1]AttributeName!$D:$D),2,_xlfn.XLOOKUP(C492,#REF!,#REF!),3,_xlfn.XLOOKUP(C492,#REF!,#REF!)),0)</f>
        <v>0</v>
      </c>
      <c r="T492" cm="1">
        <f t="array" ref="T492">IFERROR(_xlfn.SWITCH(L492,1,_xlfn.XLOOKUP(O492,[1]AttributeName!$B:$B,[1]AttributeName!$E:$E),2,_xlfn.XLOOKUP(C492,#REF!,#REF!),3,_xlfn.XLOOKUP(C492,#REF!,#REF!)),0)</f>
        <v>1</v>
      </c>
    </row>
    <row r="493" customFormat="1" spans="1:20">
      <c r="A493">
        <v>201</v>
      </c>
      <c r="B493">
        <v>8</v>
      </c>
      <c r="C493" t="s">
        <v>389</v>
      </c>
      <c r="D493" t="s">
        <v>25</v>
      </c>
      <c r="E493" t="s">
        <v>378</v>
      </c>
      <c r="F493"/>
      <c r="G493">
        <v>1</v>
      </c>
      <c r="H493">
        <v>1000</v>
      </c>
      <c r="J493" cm="1">
        <f t="array" ref="J493">_xlfn.SWITCH(B493,1,75,2,61,3,49,4,37,5,25,6,13,7,4,8,1)</f>
        <v>1</v>
      </c>
      <c r="K493" t="str" cm="1">
        <f t="array" ref="K493">IFERROR(_xlfn.SWITCH(L493,2,_xlfn.XLOOKUP(C493,[1]ModifierDes!$B:$B,[1]ModifierDes!$C:$C),3,_xlfn.XLOOKUP(C493,[1]StuntDes!$B:$B,[1]StuntDes!$C:$C)),"")</f>
        <v/>
      </c>
      <c r="L493">
        <f t="shared" si="28"/>
        <v>1</v>
      </c>
      <c r="M493" s="10" t="str">
        <f>IFERROR(_xlfn.XLOOKUP(C493,[1]StuntDes!$B:$B,[1]StuntDes!$A:$A),"")</f>
        <v/>
      </c>
      <c r="N493" s="10" t="str">
        <f>IFERROR(_xlfn.XLOOKUP(C493,[1]ModifierDes!$B:$B,[1]ModifierDes!$A:$A),"")</f>
        <v/>
      </c>
      <c r="O493" s="10">
        <f>IFERROR(_xlfn.XLOOKUP(C493,[1]AttributeName!$C:$C,[1]AttributeName!$B:$B),"")</f>
        <v>10001</v>
      </c>
      <c r="P493" s="10"/>
      <c r="Q493">
        <v>6</v>
      </c>
      <c r="R493">
        <v>10</v>
      </c>
      <c r="S493" cm="1">
        <f t="array" ref="S493">IFERROR(_xlfn.SWITCH(L493,1,_xlfn.XLOOKUP(O493,[1]AttributeName!$B:$B,[1]AttributeName!$D:$D),2,_xlfn.XLOOKUP(C493,#REF!,#REF!),3,_xlfn.XLOOKUP(C493,#REF!,#REF!)),0)</f>
        <v>0</v>
      </c>
      <c r="T493" cm="1">
        <f t="array" ref="T493">IFERROR(_xlfn.SWITCH(L493,1,_xlfn.XLOOKUP(O493,[1]AttributeName!$B:$B,[1]AttributeName!$E:$E),2,_xlfn.XLOOKUP(C493,#REF!,#REF!),3,_xlfn.XLOOKUP(C493,#REF!,#REF!)),0)</f>
        <v>1</v>
      </c>
    </row>
    <row r="494" customFormat="1" spans="1:20">
      <c r="A494">
        <f t="shared" ref="A494:A557" si="29">A486+1</f>
        <v>202</v>
      </c>
      <c r="B494">
        <v>1</v>
      </c>
      <c r="C494" t="s">
        <v>416</v>
      </c>
      <c r="D494" t="s">
        <v>25</v>
      </c>
      <c r="E494" t="s">
        <v>378</v>
      </c>
      <c r="F494"/>
      <c r="G494">
        <v>1</v>
      </c>
      <c r="H494">
        <v>1000</v>
      </c>
      <c r="J494" cm="1">
        <f t="array" ref="J494">_xlfn.SWITCH(B494,1,75,2,61,3,49,4,37,5,25,6,13,7,4,8,1)</f>
        <v>75</v>
      </c>
      <c r="K494" t="str" cm="1">
        <f t="array" ref="K494">IFERROR(_xlfn.SWITCH(L494,2,_xlfn.XLOOKUP(C494,[1]ModifierDes!$B:$B,[1]ModifierDes!$C:$C),3,_xlfn.XLOOKUP(C494,[1]StuntDes!$B:$B,[1]StuntDes!$C:$C)),"")</f>
        <v/>
      </c>
      <c r="L494">
        <f t="shared" si="28"/>
        <v>1</v>
      </c>
      <c r="M494" s="10" t="str">
        <f>IFERROR(_xlfn.XLOOKUP(C494,[1]StuntDes!$B:$B,[1]StuntDes!$A:$A),"")</f>
        <v/>
      </c>
      <c r="N494" s="10" t="str">
        <f>IFERROR(_xlfn.XLOOKUP(C494,[1]ModifierDes!$B:$B,[1]ModifierDes!$A:$A),"")</f>
        <v/>
      </c>
      <c r="O494" s="10">
        <f>IFERROR(_xlfn.XLOOKUP(C494,[1]AttributeName!$C:$C,[1]AttributeName!$B:$B),"")</f>
        <v>10002</v>
      </c>
      <c r="P494" s="10"/>
      <c r="Q494">
        <v>71</v>
      </c>
      <c r="R494">
        <v>80</v>
      </c>
      <c r="S494" cm="1">
        <f t="array" ref="S494">IFERROR(_xlfn.SWITCH(L494,1,_xlfn.XLOOKUP(O494,[1]AttributeName!$B:$B,[1]AttributeName!$D:$D),2,_xlfn.XLOOKUP(C494,#REF!,#REF!),3,_xlfn.XLOOKUP(C494,#REF!,#REF!)),0)</f>
        <v>0</v>
      </c>
      <c r="T494" cm="1">
        <f t="array" ref="T494">IFERROR(_xlfn.SWITCH(L494,1,_xlfn.XLOOKUP(O494,[1]AttributeName!$B:$B,[1]AttributeName!$E:$E),2,_xlfn.XLOOKUP(C494,#REF!,#REF!),3,_xlfn.XLOOKUP(C494,#REF!,#REF!)),0)</f>
        <v>1</v>
      </c>
    </row>
    <row r="495" customFormat="1" spans="1:20">
      <c r="A495">
        <f t="shared" si="29"/>
        <v>202</v>
      </c>
      <c r="B495">
        <v>2</v>
      </c>
      <c r="C495" t="s">
        <v>416</v>
      </c>
      <c r="D495" t="s">
        <v>25</v>
      </c>
      <c r="E495" t="s">
        <v>378</v>
      </c>
      <c r="F495"/>
      <c r="G495">
        <v>1</v>
      </c>
      <c r="H495">
        <v>1000</v>
      </c>
      <c r="J495" cm="1">
        <f t="array" ref="J495">_xlfn.SWITCH(B495,1,75,2,61,3,49,4,37,5,25,6,13,7,4,8,1)</f>
        <v>61</v>
      </c>
      <c r="K495" t="str" cm="1">
        <f t="array" ref="K495">IFERROR(_xlfn.SWITCH(L495,2,_xlfn.XLOOKUP(C495,[1]ModifierDes!$B:$B,[1]ModifierDes!$C:$C),3,_xlfn.XLOOKUP(C495,[1]StuntDes!$B:$B,[1]StuntDes!$C:$C)),"")</f>
        <v/>
      </c>
      <c r="L495">
        <f t="shared" si="28"/>
        <v>1</v>
      </c>
      <c r="M495" s="10" t="str">
        <f>IFERROR(_xlfn.XLOOKUP(C495,[1]StuntDes!$B:$B,[1]StuntDes!$A:$A),"")</f>
        <v/>
      </c>
      <c r="N495" s="10" t="str">
        <f>IFERROR(_xlfn.XLOOKUP(C495,[1]ModifierDes!$B:$B,[1]ModifierDes!$A:$A),"")</f>
        <v/>
      </c>
      <c r="O495" s="10">
        <f>IFERROR(_xlfn.XLOOKUP(C495,[1]AttributeName!$C:$C,[1]AttributeName!$B:$B),"")</f>
        <v>10002</v>
      </c>
      <c r="P495" s="10"/>
      <c r="Q495">
        <v>61</v>
      </c>
      <c r="R495">
        <v>70</v>
      </c>
      <c r="S495" cm="1">
        <f t="array" ref="S495">IFERROR(_xlfn.SWITCH(L495,1,_xlfn.XLOOKUP(O495,[1]AttributeName!$B:$B,[1]AttributeName!$D:$D),2,_xlfn.XLOOKUP(C495,#REF!,#REF!),3,_xlfn.XLOOKUP(C495,#REF!,#REF!)),0)</f>
        <v>0</v>
      </c>
      <c r="T495" cm="1">
        <f t="array" ref="T495">IFERROR(_xlfn.SWITCH(L495,1,_xlfn.XLOOKUP(O495,[1]AttributeName!$B:$B,[1]AttributeName!$E:$E),2,_xlfn.XLOOKUP(C495,#REF!,#REF!),3,_xlfn.XLOOKUP(C495,#REF!,#REF!)),0)</f>
        <v>1</v>
      </c>
    </row>
    <row r="496" customFormat="1" spans="1:20">
      <c r="A496">
        <f t="shared" si="29"/>
        <v>202</v>
      </c>
      <c r="B496">
        <v>3</v>
      </c>
      <c r="C496" t="s">
        <v>416</v>
      </c>
      <c r="D496" t="s">
        <v>25</v>
      </c>
      <c r="E496" t="s">
        <v>378</v>
      </c>
      <c r="F496"/>
      <c r="G496">
        <v>1</v>
      </c>
      <c r="H496">
        <v>1000</v>
      </c>
      <c r="J496" cm="1">
        <f t="array" ref="J496">_xlfn.SWITCH(B496,1,75,2,61,3,49,4,37,5,25,6,13,7,4,8,1)</f>
        <v>49</v>
      </c>
      <c r="K496" t="str" cm="1">
        <f t="array" ref="K496">IFERROR(_xlfn.SWITCH(L496,2,_xlfn.XLOOKUP(C496,[1]ModifierDes!$B:$B,[1]ModifierDes!$C:$C),3,_xlfn.XLOOKUP(C496,[1]StuntDes!$B:$B,[1]StuntDes!$C:$C)),"")</f>
        <v/>
      </c>
      <c r="L496">
        <f t="shared" si="28"/>
        <v>1</v>
      </c>
      <c r="M496" s="10" t="str">
        <f>IFERROR(_xlfn.XLOOKUP(C496,[1]StuntDes!$B:$B,[1]StuntDes!$A:$A),"")</f>
        <v/>
      </c>
      <c r="N496" s="10" t="str">
        <f>IFERROR(_xlfn.XLOOKUP(C496,[1]ModifierDes!$B:$B,[1]ModifierDes!$A:$A),"")</f>
        <v/>
      </c>
      <c r="O496" s="10">
        <f>IFERROR(_xlfn.XLOOKUP(C496,[1]AttributeName!$C:$C,[1]AttributeName!$B:$B),"")</f>
        <v>10002</v>
      </c>
      <c r="P496" s="10"/>
      <c r="Q496">
        <v>51</v>
      </c>
      <c r="R496">
        <v>60</v>
      </c>
      <c r="S496" cm="1">
        <f t="array" ref="S496">IFERROR(_xlfn.SWITCH(L496,1,_xlfn.XLOOKUP(O496,[1]AttributeName!$B:$B,[1]AttributeName!$D:$D),2,_xlfn.XLOOKUP(C496,#REF!,#REF!),3,_xlfn.XLOOKUP(C496,#REF!,#REF!)),0)</f>
        <v>0</v>
      </c>
      <c r="T496" cm="1">
        <f t="array" ref="T496">IFERROR(_xlfn.SWITCH(L496,1,_xlfn.XLOOKUP(O496,[1]AttributeName!$B:$B,[1]AttributeName!$E:$E),2,_xlfn.XLOOKUP(C496,#REF!,#REF!),3,_xlfn.XLOOKUP(C496,#REF!,#REF!)),0)</f>
        <v>1</v>
      </c>
    </row>
    <row r="497" customFormat="1" spans="1:20">
      <c r="A497">
        <f t="shared" si="29"/>
        <v>202</v>
      </c>
      <c r="B497">
        <v>4</v>
      </c>
      <c r="C497" t="s">
        <v>416</v>
      </c>
      <c r="D497" t="s">
        <v>25</v>
      </c>
      <c r="E497" t="s">
        <v>378</v>
      </c>
      <c r="F497"/>
      <c r="G497">
        <v>1</v>
      </c>
      <c r="H497">
        <v>1000</v>
      </c>
      <c r="J497" cm="1">
        <f t="array" ref="J497">_xlfn.SWITCH(B497,1,75,2,61,3,49,4,37,5,25,6,13,7,4,8,1)</f>
        <v>37</v>
      </c>
      <c r="K497" t="str" cm="1">
        <f t="array" ref="K497">IFERROR(_xlfn.SWITCH(L497,2,_xlfn.XLOOKUP(C497,[1]ModifierDes!$B:$B,[1]ModifierDes!$C:$C),3,_xlfn.XLOOKUP(C497,[1]StuntDes!$B:$B,[1]StuntDes!$C:$C)),"")</f>
        <v/>
      </c>
      <c r="L497">
        <f t="shared" si="28"/>
        <v>1</v>
      </c>
      <c r="M497" s="10" t="str">
        <f>IFERROR(_xlfn.XLOOKUP(C497,[1]StuntDes!$B:$B,[1]StuntDes!$A:$A),"")</f>
        <v/>
      </c>
      <c r="N497" s="10" t="str">
        <f>IFERROR(_xlfn.XLOOKUP(C497,[1]ModifierDes!$B:$B,[1]ModifierDes!$A:$A),"")</f>
        <v/>
      </c>
      <c r="O497" s="10">
        <f>IFERROR(_xlfn.XLOOKUP(C497,[1]AttributeName!$C:$C,[1]AttributeName!$B:$B),"")</f>
        <v>10002</v>
      </c>
      <c r="P497" s="10"/>
      <c r="Q497">
        <v>41</v>
      </c>
      <c r="R497">
        <v>50</v>
      </c>
      <c r="S497" cm="1">
        <f t="array" ref="S497">IFERROR(_xlfn.SWITCH(L497,1,_xlfn.XLOOKUP(O497,[1]AttributeName!$B:$B,[1]AttributeName!$D:$D),2,_xlfn.XLOOKUP(C497,#REF!,#REF!),3,_xlfn.XLOOKUP(C497,#REF!,#REF!)),0)</f>
        <v>0</v>
      </c>
      <c r="T497" cm="1">
        <f t="array" ref="T497">IFERROR(_xlfn.SWITCH(L497,1,_xlfn.XLOOKUP(O497,[1]AttributeName!$B:$B,[1]AttributeName!$E:$E),2,_xlfn.XLOOKUP(C497,#REF!,#REF!),3,_xlfn.XLOOKUP(C497,#REF!,#REF!)),0)</f>
        <v>1</v>
      </c>
    </row>
    <row r="498" customFormat="1" spans="1:20">
      <c r="A498">
        <f t="shared" si="29"/>
        <v>202</v>
      </c>
      <c r="B498">
        <v>5</v>
      </c>
      <c r="C498" t="s">
        <v>416</v>
      </c>
      <c r="D498" t="s">
        <v>25</v>
      </c>
      <c r="E498" t="s">
        <v>378</v>
      </c>
      <c r="F498"/>
      <c r="G498">
        <v>1</v>
      </c>
      <c r="H498">
        <v>1000</v>
      </c>
      <c r="J498" cm="1">
        <f t="array" ref="J498">_xlfn.SWITCH(B498,1,75,2,61,3,49,4,37,5,25,6,13,7,4,8,1)</f>
        <v>25</v>
      </c>
      <c r="K498" t="str" cm="1">
        <f t="array" ref="K498">IFERROR(_xlfn.SWITCH(L498,2,_xlfn.XLOOKUP(C498,[1]ModifierDes!$B:$B,[1]ModifierDes!$C:$C),3,_xlfn.XLOOKUP(C498,[1]StuntDes!$B:$B,[1]StuntDes!$C:$C)),"")</f>
        <v/>
      </c>
      <c r="L498">
        <f t="shared" si="28"/>
        <v>1</v>
      </c>
      <c r="M498" s="10" t="str">
        <f>IFERROR(_xlfn.XLOOKUP(C498,[1]StuntDes!$B:$B,[1]StuntDes!$A:$A),"")</f>
        <v/>
      </c>
      <c r="N498" s="10" t="str">
        <f>IFERROR(_xlfn.XLOOKUP(C498,[1]ModifierDes!$B:$B,[1]ModifierDes!$A:$A),"")</f>
        <v/>
      </c>
      <c r="O498" s="10">
        <f>IFERROR(_xlfn.XLOOKUP(C498,[1]AttributeName!$C:$C,[1]AttributeName!$B:$B),"")</f>
        <v>10002</v>
      </c>
      <c r="P498" s="10"/>
      <c r="Q498">
        <v>31</v>
      </c>
      <c r="R498">
        <v>40</v>
      </c>
      <c r="S498" cm="1">
        <f t="array" ref="S498">IFERROR(_xlfn.SWITCH(L498,1,_xlfn.XLOOKUP(O498,[1]AttributeName!$B:$B,[1]AttributeName!$D:$D),2,_xlfn.XLOOKUP(C498,#REF!,#REF!),3,_xlfn.XLOOKUP(C498,#REF!,#REF!)),0)</f>
        <v>0</v>
      </c>
      <c r="T498" cm="1">
        <f t="array" ref="T498">IFERROR(_xlfn.SWITCH(L498,1,_xlfn.XLOOKUP(O498,[1]AttributeName!$B:$B,[1]AttributeName!$E:$E),2,_xlfn.XLOOKUP(C498,#REF!,#REF!),3,_xlfn.XLOOKUP(C498,#REF!,#REF!)),0)</f>
        <v>1</v>
      </c>
    </row>
    <row r="499" customFormat="1" spans="1:20">
      <c r="A499">
        <f t="shared" si="29"/>
        <v>202</v>
      </c>
      <c r="B499">
        <v>6</v>
      </c>
      <c r="C499" t="s">
        <v>416</v>
      </c>
      <c r="D499" t="s">
        <v>25</v>
      </c>
      <c r="E499" t="s">
        <v>378</v>
      </c>
      <c r="F499"/>
      <c r="G499">
        <v>1</v>
      </c>
      <c r="H499">
        <v>1000</v>
      </c>
      <c r="J499" cm="1">
        <f t="array" ref="J499">_xlfn.SWITCH(B499,1,75,2,61,3,49,4,37,5,25,6,13,7,4,8,1)</f>
        <v>13</v>
      </c>
      <c r="K499" t="str" cm="1">
        <f t="array" ref="K499">IFERROR(_xlfn.SWITCH(L499,2,_xlfn.XLOOKUP(C499,[1]ModifierDes!$B:$B,[1]ModifierDes!$C:$C),3,_xlfn.XLOOKUP(C499,[1]StuntDes!$B:$B,[1]StuntDes!$C:$C)),"")</f>
        <v/>
      </c>
      <c r="L499">
        <f t="shared" si="28"/>
        <v>1</v>
      </c>
      <c r="M499" s="10" t="str">
        <f>IFERROR(_xlfn.XLOOKUP(C499,[1]StuntDes!$B:$B,[1]StuntDes!$A:$A),"")</f>
        <v/>
      </c>
      <c r="N499" s="10" t="str">
        <f>IFERROR(_xlfn.XLOOKUP(C499,[1]ModifierDes!$B:$B,[1]ModifierDes!$A:$A),"")</f>
        <v/>
      </c>
      <c r="O499" s="10">
        <f>IFERROR(_xlfn.XLOOKUP(C499,[1]AttributeName!$C:$C,[1]AttributeName!$B:$B),"")</f>
        <v>10002</v>
      </c>
      <c r="P499" s="10"/>
      <c r="Q499">
        <v>21</v>
      </c>
      <c r="R499">
        <v>30</v>
      </c>
      <c r="S499" cm="1">
        <f t="array" ref="S499">IFERROR(_xlfn.SWITCH(L499,1,_xlfn.XLOOKUP(O499,[1]AttributeName!$B:$B,[1]AttributeName!$D:$D),2,_xlfn.XLOOKUP(C499,#REF!,#REF!),3,_xlfn.XLOOKUP(C499,#REF!,#REF!)),0)</f>
        <v>0</v>
      </c>
      <c r="T499" cm="1">
        <f t="array" ref="T499">IFERROR(_xlfn.SWITCH(L499,1,_xlfn.XLOOKUP(O499,[1]AttributeName!$B:$B,[1]AttributeName!$E:$E),2,_xlfn.XLOOKUP(C499,#REF!,#REF!),3,_xlfn.XLOOKUP(C499,#REF!,#REF!)),0)</f>
        <v>1</v>
      </c>
    </row>
    <row r="500" customFormat="1" spans="1:20">
      <c r="A500">
        <f t="shared" si="29"/>
        <v>202</v>
      </c>
      <c r="B500">
        <v>7</v>
      </c>
      <c r="C500" t="s">
        <v>416</v>
      </c>
      <c r="D500" t="s">
        <v>25</v>
      </c>
      <c r="E500" t="s">
        <v>378</v>
      </c>
      <c r="F500"/>
      <c r="G500">
        <v>1</v>
      </c>
      <c r="H500">
        <v>1000</v>
      </c>
      <c r="J500" cm="1">
        <f t="array" ref="J500">_xlfn.SWITCH(B500,1,75,2,61,3,49,4,37,5,25,6,13,7,4,8,1)</f>
        <v>4</v>
      </c>
      <c r="K500" t="str" cm="1">
        <f t="array" ref="K500">IFERROR(_xlfn.SWITCH(L500,2,_xlfn.XLOOKUP(C500,[1]ModifierDes!$B:$B,[1]ModifierDes!$C:$C),3,_xlfn.XLOOKUP(C500,[1]StuntDes!$B:$B,[1]StuntDes!$C:$C)),"")</f>
        <v/>
      </c>
      <c r="L500">
        <f t="shared" si="28"/>
        <v>1</v>
      </c>
      <c r="M500" s="10" t="str">
        <f>IFERROR(_xlfn.XLOOKUP(C500,[1]StuntDes!$B:$B,[1]StuntDes!$A:$A),"")</f>
        <v/>
      </c>
      <c r="N500" s="10" t="str">
        <f>IFERROR(_xlfn.XLOOKUP(C500,[1]ModifierDes!$B:$B,[1]ModifierDes!$A:$A),"")</f>
        <v/>
      </c>
      <c r="O500" s="10">
        <f>IFERROR(_xlfn.XLOOKUP(C500,[1]AttributeName!$C:$C,[1]AttributeName!$B:$B),"")</f>
        <v>10002</v>
      </c>
      <c r="P500" s="10"/>
      <c r="Q500">
        <v>10</v>
      </c>
      <c r="R500">
        <v>20</v>
      </c>
      <c r="S500" cm="1">
        <f t="array" ref="S500">IFERROR(_xlfn.SWITCH(L500,1,_xlfn.XLOOKUP(O500,[1]AttributeName!$B:$B,[1]AttributeName!$D:$D),2,_xlfn.XLOOKUP(C500,#REF!,#REF!),3,_xlfn.XLOOKUP(C500,#REF!,#REF!)),0)</f>
        <v>0</v>
      </c>
      <c r="T500" cm="1">
        <f t="array" ref="T500">IFERROR(_xlfn.SWITCH(L500,1,_xlfn.XLOOKUP(O500,[1]AttributeName!$B:$B,[1]AttributeName!$E:$E),2,_xlfn.XLOOKUP(C500,#REF!,#REF!),3,_xlfn.XLOOKUP(C500,#REF!,#REF!)),0)</f>
        <v>1</v>
      </c>
    </row>
    <row r="501" customFormat="1" spans="1:20">
      <c r="A501">
        <f t="shared" si="29"/>
        <v>202</v>
      </c>
      <c r="B501">
        <v>8</v>
      </c>
      <c r="C501" t="s">
        <v>416</v>
      </c>
      <c r="D501" t="s">
        <v>25</v>
      </c>
      <c r="E501" t="s">
        <v>378</v>
      </c>
      <c r="F501"/>
      <c r="G501">
        <v>1</v>
      </c>
      <c r="H501">
        <v>1000</v>
      </c>
      <c r="J501" cm="1">
        <f t="array" ref="J501">_xlfn.SWITCH(B501,1,75,2,61,3,49,4,37,5,25,6,13,7,4,8,1)</f>
        <v>1</v>
      </c>
      <c r="K501" t="str" cm="1">
        <f t="array" ref="K501">IFERROR(_xlfn.SWITCH(L501,2,_xlfn.XLOOKUP(C501,[1]ModifierDes!$B:$B,[1]ModifierDes!$C:$C),3,_xlfn.XLOOKUP(C501,[1]StuntDes!$B:$B,[1]StuntDes!$C:$C)),"")</f>
        <v/>
      </c>
      <c r="L501">
        <f t="shared" si="28"/>
        <v>1</v>
      </c>
      <c r="M501" s="10" t="str">
        <f>IFERROR(_xlfn.XLOOKUP(C501,[1]StuntDes!$B:$B,[1]StuntDes!$A:$A),"")</f>
        <v/>
      </c>
      <c r="N501" s="10" t="str">
        <f>IFERROR(_xlfn.XLOOKUP(C501,[1]ModifierDes!$B:$B,[1]ModifierDes!$A:$A),"")</f>
        <v/>
      </c>
      <c r="O501" s="10">
        <f>IFERROR(_xlfn.XLOOKUP(C501,[1]AttributeName!$C:$C,[1]AttributeName!$B:$B),"")</f>
        <v>10002</v>
      </c>
      <c r="P501" s="10"/>
      <c r="Q501">
        <v>5</v>
      </c>
      <c r="R501">
        <v>9</v>
      </c>
      <c r="S501" cm="1">
        <f t="array" ref="S501">IFERROR(_xlfn.SWITCH(L501,1,_xlfn.XLOOKUP(O501,[1]AttributeName!$B:$B,[1]AttributeName!$D:$D),2,_xlfn.XLOOKUP(C501,#REF!,#REF!),3,_xlfn.XLOOKUP(C501,#REF!,#REF!)),0)</f>
        <v>0</v>
      </c>
      <c r="T501" cm="1">
        <f t="array" ref="T501">IFERROR(_xlfn.SWITCH(L501,1,_xlfn.XLOOKUP(O501,[1]AttributeName!$B:$B,[1]AttributeName!$E:$E),2,_xlfn.XLOOKUP(C501,#REF!,#REF!),3,_xlfn.XLOOKUP(C501,#REF!,#REF!)),0)</f>
        <v>1</v>
      </c>
    </row>
    <row r="502" customFormat="1" spans="1:20">
      <c r="A502">
        <f t="shared" si="29"/>
        <v>203</v>
      </c>
      <c r="B502">
        <v>1</v>
      </c>
      <c r="C502" t="s">
        <v>417</v>
      </c>
      <c r="D502" t="s">
        <v>25</v>
      </c>
      <c r="E502" t="s">
        <v>378</v>
      </c>
      <c r="F502"/>
      <c r="G502">
        <v>1</v>
      </c>
      <c r="H502">
        <v>1000</v>
      </c>
      <c r="J502" cm="1">
        <f t="array" ref="J502">_xlfn.SWITCH(B502,1,75,2,61,3,49,4,37,5,25,6,13,7,4,8,1)</f>
        <v>75</v>
      </c>
      <c r="K502" t="str" cm="1">
        <f t="array" ref="K502">IFERROR(_xlfn.SWITCH(L502,2,_xlfn.XLOOKUP(C502,[1]ModifierDes!$B:$B,[1]ModifierDes!$C:$C),3,_xlfn.XLOOKUP(C502,[1]StuntDes!$B:$B,[1]StuntDes!$C:$C)),"")</f>
        <v/>
      </c>
      <c r="L502">
        <f t="shared" si="28"/>
        <v>1</v>
      </c>
      <c r="M502" s="10" t="str">
        <f>IFERROR(_xlfn.XLOOKUP(C502,[1]StuntDes!$B:$B,[1]StuntDes!$A:$A),"")</f>
        <v/>
      </c>
      <c r="N502" s="10" t="str">
        <f>IFERROR(_xlfn.XLOOKUP(C502,[1]ModifierDes!$B:$B,[1]ModifierDes!$A:$A),"")</f>
        <v/>
      </c>
      <c r="O502" s="10">
        <f>IFERROR(_xlfn.XLOOKUP(C502,[1]AttributeName!$C:$C,[1]AttributeName!$B:$B),"")</f>
        <v>10700</v>
      </c>
      <c r="P502" s="10"/>
      <c r="Q502">
        <v>0.08</v>
      </c>
      <c r="R502">
        <v>0.1</v>
      </c>
      <c r="S502" cm="1">
        <f t="array" ref="S502">IFERROR(_xlfn.SWITCH(L502,1,_xlfn.XLOOKUP(O502,[1]AttributeName!$B:$B,[1]AttributeName!$D:$D),2,_xlfn.XLOOKUP(C502,#REF!,#REF!),3,_xlfn.XLOOKUP(C502,#REF!,#REF!)),0)</f>
        <v>2</v>
      </c>
      <c r="T502" cm="1">
        <f t="array" ref="T502">IFERROR(_xlfn.SWITCH(L502,1,_xlfn.XLOOKUP(O502,[1]AttributeName!$B:$B,[1]AttributeName!$E:$E),2,_xlfn.XLOOKUP(C502,#REF!,#REF!),3,_xlfn.XLOOKUP(C502,#REF!,#REF!)),0)</f>
        <v>2</v>
      </c>
    </row>
    <row r="503" customFormat="1" spans="1:20">
      <c r="A503">
        <f t="shared" si="29"/>
        <v>203</v>
      </c>
      <c r="B503">
        <v>2</v>
      </c>
      <c r="C503" t="s">
        <v>417</v>
      </c>
      <c r="D503" t="s">
        <v>25</v>
      </c>
      <c r="E503" t="s">
        <v>378</v>
      </c>
      <c r="F503"/>
      <c r="G503">
        <v>1</v>
      </c>
      <c r="H503">
        <v>1000</v>
      </c>
      <c r="J503" cm="1">
        <f t="array" ref="J503">_xlfn.SWITCH(B503,1,75,2,61,3,49,4,37,5,25,6,13,7,4,8,1)</f>
        <v>61</v>
      </c>
      <c r="K503" t="str" cm="1">
        <f t="array" ref="K503">IFERROR(_xlfn.SWITCH(L503,2,_xlfn.XLOOKUP(C503,[1]ModifierDes!$B:$B,[1]ModifierDes!$C:$C),3,_xlfn.XLOOKUP(C503,[1]StuntDes!$B:$B,[1]StuntDes!$C:$C)),"")</f>
        <v/>
      </c>
      <c r="L503">
        <f t="shared" si="28"/>
        <v>1</v>
      </c>
      <c r="M503" s="10" t="str">
        <f>IFERROR(_xlfn.XLOOKUP(C503,[1]StuntDes!$B:$B,[1]StuntDes!$A:$A),"")</f>
        <v/>
      </c>
      <c r="N503" s="10" t="str">
        <f>IFERROR(_xlfn.XLOOKUP(C503,[1]ModifierDes!$B:$B,[1]ModifierDes!$A:$A),"")</f>
        <v/>
      </c>
      <c r="O503" s="10">
        <f>IFERROR(_xlfn.XLOOKUP(C503,[1]AttributeName!$C:$C,[1]AttributeName!$B:$B),"")</f>
        <v>10700</v>
      </c>
      <c r="P503" s="10"/>
      <c r="Q503">
        <v>0.07</v>
      </c>
      <c r="R503">
        <v>0.07</v>
      </c>
      <c r="S503" cm="1">
        <f t="array" ref="S503">IFERROR(_xlfn.SWITCH(L503,1,_xlfn.XLOOKUP(O503,[1]AttributeName!$B:$B,[1]AttributeName!$D:$D),2,_xlfn.XLOOKUP(C503,#REF!,#REF!),3,_xlfn.XLOOKUP(C503,#REF!,#REF!)),0)</f>
        <v>2</v>
      </c>
      <c r="T503" cm="1">
        <f t="array" ref="T503">IFERROR(_xlfn.SWITCH(L503,1,_xlfn.XLOOKUP(O503,[1]AttributeName!$B:$B,[1]AttributeName!$E:$E),2,_xlfn.XLOOKUP(C503,#REF!,#REF!),3,_xlfn.XLOOKUP(C503,#REF!,#REF!)),0)</f>
        <v>2</v>
      </c>
    </row>
    <row r="504" customFormat="1" spans="1:20">
      <c r="A504">
        <f t="shared" si="29"/>
        <v>203</v>
      </c>
      <c r="B504">
        <v>3</v>
      </c>
      <c r="C504" t="s">
        <v>417</v>
      </c>
      <c r="D504" t="s">
        <v>25</v>
      </c>
      <c r="E504" t="s">
        <v>378</v>
      </c>
      <c r="F504"/>
      <c r="G504">
        <v>1</v>
      </c>
      <c r="H504">
        <v>1000</v>
      </c>
      <c r="J504" cm="1">
        <f t="array" ref="J504">_xlfn.SWITCH(B504,1,75,2,61,3,49,4,37,5,25,6,13,7,4,8,1)</f>
        <v>49</v>
      </c>
      <c r="K504" t="str" cm="1">
        <f t="array" ref="K504">IFERROR(_xlfn.SWITCH(L504,2,_xlfn.XLOOKUP(C504,[1]ModifierDes!$B:$B,[1]ModifierDes!$C:$C),3,_xlfn.XLOOKUP(C504,[1]StuntDes!$B:$B,[1]StuntDes!$C:$C)),"")</f>
        <v/>
      </c>
      <c r="L504">
        <f t="shared" si="28"/>
        <v>1</v>
      </c>
      <c r="M504" s="10" t="str">
        <f>IFERROR(_xlfn.XLOOKUP(C504,[1]StuntDes!$B:$B,[1]StuntDes!$A:$A),"")</f>
        <v/>
      </c>
      <c r="N504" s="10" t="str">
        <f>IFERROR(_xlfn.XLOOKUP(C504,[1]ModifierDes!$B:$B,[1]ModifierDes!$A:$A),"")</f>
        <v/>
      </c>
      <c r="O504" s="10">
        <f>IFERROR(_xlfn.XLOOKUP(C504,[1]AttributeName!$C:$C,[1]AttributeName!$B:$B),"")</f>
        <v>10700</v>
      </c>
      <c r="P504" s="10"/>
      <c r="Q504">
        <v>0.06</v>
      </c>
      <c r="R504">
        <v>0.06</v>
      </c>
      <c r="S504" cm="1">
        <f t="array" ref="S504">IFERROR(_xlfn.SWITCH(L504,1,_xlfn.XLOOKUP(O504,[1]AttributeName!$B:$B,[1]AttributeName!$D:$D),2,_xlfn.XLOOKUP(C504,#REF!,#REF!),3,_xlfn.XLOOKUP(C504,#REF!,#REF!)),0)</f>
        <v>2</v>
      </c>
      <c r="T504" cm="1">
        <f t="array" ref="T504">IFERROR(_xlfn.SWITCH(L504,1,_xlfn.XLOOKUP(O504,[1]AttributeName!$B:$B,[1]AttributeName!$E:$E),2,_xlfn.XLOOKUP(C504,#REF!,#REF!),3,_xlfn.XLOOKUP(C504,#REF!,#REF!)),0)</f>
        <v>2</v>
      </c>
    </row>
    <row r="505" customFormat="1" spans="1:20">
      <c r="A505">
        <f t="shared" si="29"/>
        <v>203</v>
      </c>
      <c r="B505">
        <v>4</v>
      </c>
      <c r="C505" t="s">
        <v>417</v>
      </c>
      <c r="D505" t="s">
        <v>25</v>
      </c>
      <c r="E505" t="s">
        <v>378</v>
      </c>
      <c r="F505"/>
      <c r="G505">
        <v>1</v>
      </c>
      <c r="H505">
        <v>1000</v>
      </c>
      <c r="J505" cm="1">
        <f t="array" ref="J505">_xlfn.SWITCH(B505,1,75,2,61,3,49,4,37,5,25,6,13,7,4,8,1)</f>
        <v>37</v>
      </c>
      <c r="K505" t="str" cm="1">
        <f t="array" ref="K505">IFERROR(_xlfn.SWITCH(L505,2,_xlfn.XLOOKUP(C505,[1]ModifierDes!$B:$B,[1]ModifierDes!$C:$C),3,_xlfn.XLOOKUP(C505,[1]StuntDes!$B:$B,[1]StuntDes!$C:$C)),"")</f>
        <v/>
      </c>
      <c r="L505">
        <f t="shared" si="28"/>
        <v>1</v>
      </c>
      <c r="M505" s="10" t="str">
        <f>IFERROR(_xlfn.XLOOKUP(C505,[1]StuntDes!$B:$B,[1]StuntDes!$A:$A),"")</f>
        <v/>
      </c>
      <c r="N505" s="10" t="str">
        <f>IFERROR(_xlfn.XLOOKUP(C505,[1]ModifierDes!$B:$B,[1]ModifierDes!$A:$A),"")</f>
        <v/>
      </c>
      <c r="O505" s="10">
        <f>IFERROR(_xlfn.XLOOKUP(C505,[1]AttributeName!$C:$C,[1]AttributeName!$B:$B),"")</f>
        <v>10700</v>
      </c>
      <c r="P505" s="10"/>
      <c r="Q505">
        <v>0.05</v>
      </c>
      <c r="R505">
        <v>0.05</v>
      </c>
      <c r="S505" cm="1">
        <f t="array" ref="S505">IFERROR(_xlfn.SWITCH(L505,1,_xlfn.XLOOKUP(O505,[1]AttributeName!$B:$B,[1]AttributeName!$D:$D),2,_xlfn.XLOOKUP(C505,#REF!,#REF!),3,_xlfn.XLOOKUP(C505,#REF!,#REF!)),0)</f>
        <v>2</v>
      </c>
      <c r="T505" cm="1">
        <f t="array" ref="T505">IFERROR(_xlfn.SWITCH(L505,1,_xlfn.XLOOKUP(O505,[1]AttributeName!$B:$B,[1]AttributeName!$E:$E),2,_xlfn.XLOOKUP(C505,#REF!,#REF!),3,_xlfn.XLOOKUP(C505,#REF!,#REF!)),0)</f>
        <v>2</v>
      </c>
    </row>
    <row r="506" customFormat="1" spans="1:20">
      <c r="A506">
        <f t="shared" si="29"/>
        <v>203</v>
      </c>
      <c r="B506">
        <v>5</v>
      </c>
      <c r="C506" t="s">
        <v>417</v>
      </c>
      <c r="D506" t="s">
        <v>25</v>
      </c>
      <c r="E506" t="s">
        <v>378</v>
      </c>
      <c r="F506"/>
      <c r="G506">
        <v>1</v>
      </c>
      <c r="H506">
        <v>1000</v>
      </c>
      <c r="J506" cm="1">
        <f t="array" ref="J506">_xlfn.SWITCH(B506,1,75,2,61,3,49,4,37,5,25,6,13,7,4,8,1)</f>
        <v>25</v>
      </c>
      <c r="K506" t="str" cm="1">
        <f t="array" ref="K506">IFERROR(_xlfn.SWITCH(L506,2,_xlfn.XLOOKUP(C506,[1]ModifierDes!$B:$B,[1]ModifierDes!$C:$C),3,_xlfn.XLOOKUP(C506,[1]StuntDes!$B:$B,[1]StuntDes!$C:$C)),"")</f>
        <v/>
      </c>
      <c r="L506">
        <f t="shared" si="28"/>
        <v>1</v>
      </c>
      <c r="M506" s="10" t="str">
        <f>IFERROR(_xlfn.XLOOKUP(C506,[1]StuntDes!$B:$B,[1]StuntDes!$A:$A),"")</f>
        <v/>
      </c>
      <c r="N506" s="10" t="str">
        <f>IFERROR(_xlfn.XLOOKUP(C506,[1]ModifierDes!$B:$B,[1]ModifierDes!$A:$A),"")</f>
        <v/>
      </c>
      <c r="O506" s="10">
        <f>IFERROR(_xlfn.XLOOKUP(C506,[1]AttributeName!$C:$C,[1]AttributeName!$B:$B),"")</f>
        <v>10700</v>
      </c>
      <c r="P506" s="10"/>
      <c r="Q506">
        <v>0.04</v>
      </c>
      <c r="R506">
        <v>0.04</v>
      </c>
      <c r="S506" cm="1">
        <f t="array" ref="S506">IFERROR(_xlfn.SWITCH(L506,1,_xlfn.XLOOKUP(O506,[1]AttributeName!$B:$B,[1]AttributeName!$D:$D),2,_xlfn.XLOOKUP(C506,#REF!,#REF!),3,_xlfn.XLOOKUP(C506,#REF!,#REF!)),0)</f>
        <v>2</v>
      </c>
      <c r="T506" cm="1">
        <f t="array" ref="T506">IFERROR(_xlfn.SWITCH(L506,1,_xlfn.XLOOKUP(O506,[1]AttributeName!$B:$B,[1]AttributeName!$E:$E),2,_xlfn.XLOOKUP(C506,#REF!,#REF!),3,_xlfn.XLOOKUP(C506,#REF!,#REF!)),0)</f>
        <v>2</v>
      </c>
    </row>
    <row r="507" customFormat="1" spans="1:20">
      <c r="A507">
        <f t="shared" si="29"/>
        <v>203</v>
      </c>
      <c r="B507">
        <v>6</v>
      </c>
      <c r="C507" t="s">
        <v>417</v>
      </c>
      <c r="D507" t="s">
        <v>25</v>
      </c>
      <c r="E507" t="s">
        <v>378</v>
      </c>
      <c r="F507"/>
      <c r="G507">
        <v>1</v>
      </c>
      <c r="H507">
        <v>1000</v>
      </c>
      <c r="J507" cm="1">
        <f t="array" ref="J507">_xlfn.SWITCH(B507,1,75,2,61,3,49,4,37,5,25,6,13,7,4,8,1)</f>
        <v>13</v>
      </c>
      <c r="K507" t="str" cm="1">
        <f t="array" ref="K507">IFERROR(_xlfn.SWITCH(L507,2,_xlfn.XLOOKUP(C507,[1]ModifierDes!$B:$B,[1]ModifierDes!$C:$C),3,_xlfn.XLOOKUP(C507,[1]StuntDes!$B:$B,[1]StuntDes!$C:$C)),"")</f>
        <v/>
      </c>
      <c r="L507">
        <f t="shared" si="28"/>
        <v>1</v>
      </c>
      <c r="M507" s="10" t="str">
        <f>IFERROR(_xlfn.XLOOKUP(C507,[1]StuntDes!$B:$B,[1]StuntDes!$A:$A),"")</f>
        <v/>
      </c>
      <c r="N507" s="10" t="str">
        <f>IFERROR(_xlfn.XLOOKUP(C507,[1]ModifierDes!$B:$B,[1]ModifierDes!$A:$A),"")</f>
        <v/>
      </c>
      <c r="O507" s="10">
        <f>IFERROR(_xlfn.XLOOKUP(C507,[1]AttributeName!$C:$C,[1]AttributeName!$B:$B),"")</f>
        <v>10700</v>
      </c>
      <c r="P507" s="10"/>
      <c r="Q507">
        <v>0.03</v>
      </c>
      <c r="R507">
        <v>0.03</v>
      </c>
      <c r="S507" cm="1">
        <f t="array" ref="S507">IFERROR(_xlfn.SWITCH(L507,1,_xlfn.XLOOKUP(O507,[1]AttributeName!$B:$B,[1]AttributeName!$D:$D),2,_xlfn.XLOOKUP(C507,#REF!,#REF!),3,_xlfn.XLOOKUP(C507,#REF!,#REF!)),0)</f>
        <v>2</v>
      </c>
      <c r="T507" cm="1">
        <f t="array" ref="T507">IFERROR(_xlfn.SWITCH(L507,1,_xlfn.XLOOKUP(O507,[1]AttributeName!$B:$B,[1]AttributeName!$E:$E),2,_xlfn.XLOOKUP(C507,#REF!,#REF!),3,_xlfn.XLOOKUP(C507,#REF!,#REF!)),0)</f>
        <v>2</v>
      </c>
    </row>
    <row r="508" customFormat="1" spans="1:20">
      <c r="A508">
        <f t="shared" si="29"/>
        <v>203</v>
      </c>
      <c r="B508">
        <v>7</v>
      </c>
      <c r="C508" t="s">
        <v>417</v>
      </c>
      <c r="D508" t="s">
        <v>25</v>
      </c>
      <c r="E508" t="s">
        <v>378</v>
      </c>
      <c r="F508"/>
      <c r="G508">
        <v>1</v>
      </c>
      <c r="H508">
        <v>1000</v>
      </c>
      <c r="J508" cm="1">
        <f t="array" ref="J508">_xlfn.SWITCH(B508,1,75,2,61,3,49,4,37,5,25,6,13,7,4,8,1)</f>
        <v>4</v>
      </c>
      <c r="K508" t="str" cm="1">
        <f t="array" ref="K508">IFERROR(_xlfn.SWITCH(L508,2,_xlfn.XLOOKUP(C508,[1]ModifierDes!$B:$B,[1]ModifierDes!$C:$C),3,_xlfn.XLOOKUP(C508,[1]StuntDes!$B:$B,[1]StuntDes!$C:$C)),"")</f>
        <v/>
      </c>
      <c r="L508">
        <f t="shared" si="28"/>
        <v>1</v>
      </c>
      <c r="M508" s="10" t="str">
        <f>IFERROR(_xlfn.XLOOKUP(C508,[1]StuntDes!$B:$B,[1]StuntDes!$A:$A),"")</f>
        <v/>
      </c>
      <c r="N508" s="10" t="str">
        <f>IFERROR(_xlfn.XLOOKUP(C508,[1]ModifierDes!$B:$B,[1]ModifierDes!$A:$A),"")</f>
        <v/>
      </c>
      <c r="O508" s="10">
        <f>IFERROR(_xlfn.XLOOKUP(C508,[1]AttributeName!$C:$C,[1]AttributeName!$B:$B),"")</f>
        <v>10700</v>
      </c>
      <c r="P508" s="10"/>
      <c r="Q508">
        <v>0.02</v>
      </c>
      <c r="R508">
        <v>0.02</v>
      </c>
      <c r="S508" cm="1">
        <f t="array" ref="S508">IFERROR(_xlfn.SWITCH(L508,1,_xlfn.XLOOKUP(O508,[1]AttributeName!$B:$B,[1]AttributeName!$D:$D),2,_xlfn.XLOOKUP(C508,#REF!,#REF!),3,_xlfn.XLOOKUP(C508,#REF!,#REF!)),0)</f>
        <v>2</v>
      </c>
      <c r="T508" cm="1">
        <f t="array" ref="T508">IFERROR(_xlfn.SWITCH(L508,1,_xlfn.XLOOKUP(O508,[1]AttributeName!$B:$B,[1]AttributeName!$E:$E),2,_xlfn.XLOOKUP(C508,#REF!,#REF!),3,_xlfn.XLOOKUP(C508,#REF!,#REF!)),0)</f>
        <v>2</v>
      </c>
    </row>
    <row r="509" customFormat="1" spans="1:20">
      <c r="A509">
        <f t="shared" si="29"/>
        <v>203</v>
      </c>
      <c r="B509">
        <v>8</v>
      </c>
      <c r="C509" t="s">
        <v>417</v>
      </c>
      <c r="D509" t="s">
        <v>25</v>
      </c>
      <c r="E509" t="s">
        <v>378</v>
      </c>
      <c r="F509"/>
      <c r="G509">
        <v>1</v>
      </c>
      <c r="H509">
        <v>1000</v>
      </c>
      <c r="J509" cm="1">
        <f t="array" ref="J509">_xlfn.SWITCH(B509,1,75,2,61,3,49,4,37,5,25,6,13,7,4,8,1)</f>
        <v>1</v>
      </c>
      <c r="K509" t="str" cm="1">
        <f t="array" ref="K509">IFERROR(_xlfn.SWITCH(L509,2,_xlfn.XLOOKUP(C509,[1]ModifierDes!$B:$B,[1]ModifierDes!$C:$C),3,_xlfn.XLOOKUP(C509,[1]StuntDes!$B:$B,[1]StuntDes!$C:$C)),"")</f>
        <v/>
      </c>
      <c r="L509">
        <f t="shared" si="28"/>
        <v>1</v>
      </c>
      <c r="M509" s="10" t="str">
        <f>IFERROR(_xlfn.XLOOKUP(C509,[1]StuntDes!$B:$B,[1]StuntDes!$A:$A),"")</f>
        <v/>
      </c>
      <c r="N509" s="10" t="str">
        <f>IFERROR(_xlfn.XLOOKUP(C509,[1]ModifierDes!$B:$B,[1]ModifierDes!$A:$A),"")</f>
        <v/>
      </c>
      <c r="O509" s="10">
        <f>IFERROR(_xlfn.XLOOKUP(C509,[1]AttributeName!$C:$C,[1]AttributeName!$B:$B),"")</f>
        <v>10700</v>
      </c>
      <c r="P509" s="10"/>
      <c r="Q509">
        <v>0.01</v>
      </c>
      <c r="R509">
        <v>0.01</v>
      </c>
      <c r="S509" cm="1">
        <f t="array" ref="S509">IFERROR(_xlfn.SWITCH(L509,1,_xlfn.XLOOKUP(O509,[1]AttributeName!$B:$B,[1]AttributeName!$D:$D),2,_xlfn.XLOOKUP(C509,#REF!,#REF!),3,_xlfn.XLOOKUP(C509,#REF!,#REF!)),0)</f>
        <v>2</v>
      </c>
      <c r="T509" cm="1">
        <f t="array" ref="T509">IFERROR(_xlfn.SWITCH(L509,1,_xlfn.XLOOKUP(O509,[1]AttributeName!$B:$B,[1]AttributeName!$E:$E),2,_xlfn.XLOOKUP(C509,#REF!,#REF!),3,_xlfn.XLOOKUP(C509,#REF!,#REF!)),0)</f>
        <v>2</v>
      </c>
    </row>
    <row r="510" customFormat="1" spans="1:20">
      <c r="A510">
        <f t="shared" si="29"/>
        <v>204</v>
      </c>
      <c r="B510">
        <v>1</v>
      </c>
      <c r="C510" t="s">
        <v>383</v>
      </c>
      <c r="D510" t="s">
        <v>25</v>
      </c>
      <c r="E510" t="s">
        <v>378</v>
      </c>
      <c r="F510"/>
      <c r="G510">
        <v>1</v>
      </c>
      <c r="H510">
        <v>50</v>
      </c>
      <c r="J510" cm="1">
        <f t="array" ref="J510">_xlfn.SWITCH(B510,1,75,2,61,3,49,4,37,5,25,6,13,7,4,8,1)</f>
        <v>75</v>
      </c>
      <c r="K510" t="str" cm="1">
        <f t="array" ref="K510">IFERROR(_xlfn.SWITCH(L510,2,_xlfn.XLOOKUP(C510,[1]ModifierDes!$B:$B,[1]ModifierDes!$C:$C),3,_xlfn.XLOOKUP(C510,[1]StuntDes!$B:$B,[1]StuntDes!$C:$C)),"")</f>
        <v>攻击伤害提高{0}</v>
      </c>
      <c r="L510">
        <f t="shared" si="28"/>
        <v>2</v>
      </c>
      <c r="M510" s="10" t="str">
        <f>IFERROR(_xlfn.XLOOKUP(C510,[1]StuntDes!$B:$B,[1]StuntDes!$A:$A),"")</f>
        <v/>
      </c>
      <c r="N510" s="10">
        <f>IFERROR(_xlfn.XLOOKUP(C510,[1]ModifierDes!$B:$B,[1]ModifierDes!$A:$A),"")</f>
        <v>10066</v>
      </c>
      <c r="O510" s="10" t="str">
        <f>IFERROR(_xlfn.XLOOKUP(C510,[1]AttributeName!$C:$C,[1]AttributeName!$B:$B),"")</f>
        <v/>
      </c>
      <c r="P510" s="10"/>
      <c r="Q510">
        <v>0.25</v>
      </c>
      <c r="R510">
        <v>0.35</v>
      </c>
      <c r="S510" cm="1">
        <f t="array" ref="S510">IFERROR(_xlfn.SWITCH(L510,1,_xlfn.XLOOKUP(O510,[1]AttributeName!$B:$B,[1]AttributeName!$D:$D),2,_xlfn.XLOOKUP(C510,#REF!,#REF!),3,_xlfn.XLOOKUP(C510,#REF!,#REF!)),0)</f>
        <v>0</v>
      </c>
      <c r="T510" cm="1">
        <f t="array" ref="T510">IFERROR(_xlfn.SWITCH(L510,1,_xlfn.XLOOKUP(O510,[1]AttributeName!$B:$B,[1]AttributeName!$E:$E),2,_xlfn.XLOOKUP(C510,#REF!,#REF!),3,_xlfn.XLOOKUP(C510,#REF!,#REF!)),0)</f>
        <v>0</v>
      </c>
    </row>
    <row r="511" customFormat="1" spans="1:20">
      <c r="A511">
        <f t="shared" si="29"/>
        <v>204</v>
      </c>
      <c r="B511">
        <v>2</v>
      </c>
      <c r="C511" t="s">
        <v>383</v>
      </c>
      <c r="D511" t="s">
        <v>25</v>
      </c>
      <c r="E511" t="s">
        <v>378</v>
      </c>
      <c r="F511"/>
      <c r="G511">
        <v>1</v>
      </c>
      <c r="H511">
        <v>100</v>
      </c>
      <c r="I511">
        <v>3</v>
      </c>
      <c r="J511" cm="1">
        <f t="array" ref="J511">_xlfn.SWITCH(B511,1,75,2,61,3,49,4,37,5,25,6,13,7,4,8,1)</f>
        <v>61</v>
      </c>
      <c r="K511" t="str" cm="1">
        <f t="array" ref="K511">IFERROR(_xlfn.SWITCH(L511,2,_xlfn.XLOOKUP(C511,[1]ModifierDes!$B:$B,[1]ModifierDes!$C:$C),3,_xlfn.XLOOKUP(C511,[1]StuntDes!$B:$B,[1]StuntDes!$C:$C)),"")</f>
        <v>攻击伤害提高{0}</v>
      </c>
      <c r="L511">
        <f t="shared" si="28"/>
        <v>2</v>
      </c>
      <c r="M511" s="10" t="str">
        <f>IFERROR(_xlfn.XLOOKUP(C511,[1]StuntDes!$B:$B,[1]StuntDes!$A:$A),"")</f>
        <v/>
      </c>
      <c r="N511" s="10">
        <f>IFERROR(_xlfn.XLOOKUP(C511,[1]ModifierDes!$B:$B,[1]ModifierDes!$A:$A),"")</f>
        <v>10066</v>
      </c>
      <c r="O511" s="10" t="str">
        <f>IFERROR(_xlfn.XLOOKUP(C511,[1]AttributeName!$C:$C,[1]AttributeName!$B:$B),"")</f>
        <v/>
      </c>
      <c r="P511" s="10"/>
      <c r="Q511">
        <v>0.22</v>
      </c>
      <c r="R511">
        <v>0.24</v>
      </c>
      <c r="S511" cm="1">
        <f t="array" ref="S511">IFERROR(_xlfn.SWITCH(L511,1,_xlfn.XLOOKUP(O511,[1]AttributeName!$B:$B,[1]AttributeName!$D:$D),2,_xlfn.XLOOKUP(C511,#REF!,#REF!),3,_xlfn.XLOOKUP(C511,#REF!,#REF!)),0)</f>
        <v>0</v>
      </c>
      <c r="T511" cm="1">
        <f t="array" ref="T511">IFERROR(_xlfn.SWITCH(L511,1,_xlfn.XLOOKUP(O511,[1]AttributeName!$B:$B,[1]AttributeName!$E:$E),2,_xlfn.XLOOKUP(C511,#REF!,#REF!),3,_xlfn.XLOOKUP(C511,#REF!,#REF!)),0)</f>
        <v>0</v>
      </c>
    </row>
    <row r="512" customFormat="1" spans="1:20">
      <c r="A512">
        <f t="shared" si="29"/>
        <v>204</v>
      </c>
      <c r="B512">
        <v>3</v>
      </c>
      <c r="C512" t="s">
        <v>383</v>
      </c>
      <c r="D512" t="s">
        <v>25</v>
      </c>
      <c r="E512" t="s">
        <v>378</v>
      </c>
      <c r="F512"/>
      <c r="G512">
        <v>1</v>
      </c>
      <c r="H512">
        <v>200</v>
      </c>
      <c r="I512">
        <v>3</v>
      </c>
      <c r="J512" cm="1">
        <f t="array" ref="J512">_xlfn.SWITCH(B512,1,75,2,61,3,49,4,37,5,25,6,13,7,4,8,1)</f>
        <v>49</v>
      </c>
      <c r="K512" t="str" cm="1">
        <f t="array" ref="K512">IFERROR(_xlfn.SWITCH(L512,2,_xlfn.XLOOKUP(C512,[1]ModifierDes!$B:$B,[1]ModifierDes!$C:$C),3,_xlfn.XLOOKUP(C512,[1]StuntDes!$B:$B,[1]StuntDes!$C:$C)),"")</f>
        <v>攻击伤害提高{0}</v>
      </c>
      <c r="L512">
        <f t="shared" si="28"/>
        <v>2</v>
      </c>
      <c r="M512" s="10" t="str">
        <f>IFERROR(_xlfn.XLOOKUP(C512,[1]StuntDes!$B:$B,[1]StuntDes!$A:$A),"")</f>
        <v/>
      </c>
      <c r="N512" s="10">
        <f>IFERROR(_xlfn.XLOOKUP(C512,[1]ModifierDes!$B:$B,[1]ModifierDes!$A:$A),"")</f>
        <v>10066</v>
      </c>
      <c r="O512" s="10" t="str">
        <f>IFERROR(_xlfn.XLOOKUP(C512,[1]AttributeName!$C:$C,[1]AttributeName!$B:$B),"")</f>
        <v/>
      </c>
      <c r="P512" s="10"/>
      <c r="Q512">
        <v>0.19</v>
      </c>
      <c r="R512">
        <v>0.21</v>
      </c>
      <c r="S512" cm="1">
        <f t="array" ref="S512">IFERROR(_xlfn.SWITCH(L512,1,_xlfn.XLOOKUP(O512,[1]AttributeName!$B:$B,[1]AttributeName!$D:$D),2,_xlfn.XLOOKUP(C512,#REF!,#REF!),3,_xlfn.XLOOKUP(C512,#REF!,#REF!)),0)</f>
        <v>0</v>
      </c>
      <c r="T512" cm="1">
        <f t="array" ref="T512">IFERROR(_xlfn.SWITCH(L512,1,_xlfn.XLOOKUP(O512,[1]AttributeName!$B:$B,[1]AttributeName!$E:$E),2,_xlfn.XLOOKUP(C512,#REF!,#REF!),3,_xlfn.XLOOKUP(C512,#REF!,#REF!)),0)</f>
        <v>0</v>
      </c>
    </row>
    <row r="513" customFormat="1" spans="1:20">
      <c r="A513">
        <f t="shared" si="29"/>
        <v>204</v>
      </c>
      <c r="B513">
        <v>4</v>
      </c>
      <c r="C513" t="s">
        <v>383</v>
      </c>
      <c r="D513" t="s">
        <v>25</v>
      </c>
      <c r="E513" t="s">
        <v>378</v>
      </c>
      <c r="F513"/>
      <c r="G513">
        <v>1</v>
      </c>
      <c r="H513">
        <v>500</v>
      </c>
      <c r="I513">
        <v>3</v>
      </c>
      <c r="J513" cm="1">
        <f t="array" ref="J513">_xlfn.SWITCH(B513,1,75,2,61,3,49,4,37,5,25,6,13,7,4,8,1)</f>
        <v>37</v>
      </c>
      <c r="K513" t="str" cm="1">
        <f t="array" ref="K513">IFERROR(_xlfn.SWITCH(L513,2,_xlfn.XLOOKUP(C513,[1]ModifierDes!$B:$B,[1]ModifierDes!$C:$C),3,_xlfn.XLOOKUP(C513,[1]StuntDes!$B:$B,[1]StuntDes!$C:$C)),"")</f>
        <v>攻击伤害提高{0}</v>
      </c>
      <c r="L513">
        <f t="shared" si="28"/>
        <v>2</v>
      </c>
      <c r="M513" s="10" t="str">
        <f>IFERROR(_xlfn.XLOOKUP(C513,[1]StuntDes!$B:$B,[1]StuntDes!$A:$A),"")</f>
        <v/>
      </c>
      <c r="N513" s="10">
        <f>IFERROR(_xlfn.XLOOKUP(C513,[1]ModifierDes!$B:$B,[1]ModifierDes!$A:$A),"")</f>
        <v>10066</v>
      </c>
      <c r="O513" s="10" t="str">
        <f>IFERROR(_xlfn.XLOOKUP(C513,[1]AttributeName!$C:$C,[1]AttributeName!$B:$B),"")</f>
        <v/>
      </c>
      <c r="P513" s="10"/>
      <c r="Q513">
        <v>0.16</v>
      </c>
      <c r="R513">
        <v>0.18</v>
      </c>
      <c r="S513" cm="1">
        <f t="array" ref="S513">IFERROR(_xlfn.SWITCH(L513,1,_xlfn.XLOOKUP(O513,[1]AttributeName!$B:$B,[1]AttributeName!$D:$D),2,_xlfn.XLOOKUP(C513,#REF!,#REF!),3,_xlfn.XLOOKUP(C513,#REF!,#REF!)),0)</f>
        <v>0</v>
      </c>
      <c r="T513" cm="1">
        <f t="array" ref="T513">IFERROR(_xlfn.SWITCH(L513,1,_xlfn.XLOOKUP(O513,[1]AttributeName!$B:$B,[1]AttributeName!$E:$E),2,_xlfn.XLOOKUP(C513,#REF!,#REF!),3,_xlfn.XLOOKUP(C513,#REF!,#REF!)),0)</f>
        <v>0</v>
      </c>
    </row>
    <row r="514" customFormat="1" spans="1:20">
      <c r="A514">
        <f t="shared" si="29"/>
        <v>204</v>
      </c>
      <c r="B514">
        <v>5</v>
      </c>
      <c r="C514" t="s">
        <v>383</v>
      </c>
      <c r="D514" t="s">
        <v>25</v>
      </c>
      <c r="E514" t="s">
        <v>378</v>
      </c>
      <c r="F514"/>
      <c r="G514">
        <v>1</v>
      </c>
      <c r="H514">
        <v>750</v>
      </c>
      <c r="I514">
        <v>3</v>
      </c>
      <c r="J514" cm="1">
        <f t="array" ref="J514">_xlfn.SWITCH(B514,1,75,2,61,3,49,4,37,5,25,6,13,7,4,8,1)</f>
        <v>25</v>
      </c>
      <c r="K514" t="str" cm="1">
        <f t="array" ref="K514">IFERROR(_xlfn.SWITCH(L514,2,_xlfn.XLOOKUP(C514,[1]ModifierDes!$B:$B,[1]ModifierDes!$C:$C),3,_xlfn.XLOOKUP(C514,[1]StuntDes!$B:$B,[1]StuntDes!$C:$C)),"")</f>
        <v>攻击伤害提高{0}</v>
      </c>
      <c r="L514">
        <f t="shared" si="28"/>
        <v>2</v>
      </c>
      <c r="M514" s="10" t="str">
        <f>IFERROR(_xlfn.XLOOKUP(C514,[1]StuntDes!$B:$B,[1]StuntDes!$A:$A),"")</f>
        <v/>
      </c>
      <c r="N514" s="10">
        <f>IFERROR(_xlfn.XLOOKUP(C514,[1]ModifierDes!$B:$B,[1]ModifierDes!$A:$A),"")</f>
        <v>10066</v>
      </c>
      <c r="O514" s="10" t="str">
        <f>IFERROR(_xlfn.XLOOKUP(C514,[1]AttributeName!$C:$C,[1]AttributeName!$B:$B),"")</f>
        <v/>
      </c>
      <c r="P514" s="10"/>
      <c r="Q514">
        <v>0.13</v>
      </c>
      <c r="R514">
        <v>0.15</v>
      </c>
      <c r="S514" cm="1">
        <f t="array" ref="S514">IFERROR(_xlfn.SWITCH(L514,1,_xlfn.XLOOKUP(O514,[1]AttributeName!$B:$B,[1]AttributeName!$D:$D),2,_xlfn.XLOOKUP(C514,#REF!,#REF!),3,_xlfn.XLOOKUP(C514,#REF!,#REF!)),0)</f>
        <v>0</v>
      </c>
      <c r="T514" cm="1">
        <f t="array" ref="T514">IFERROR(_xlfn.SWITCH(L514,1,_xlfn.XLOOKUP(O514,[1]AttributeName!$B:$B,[1]AttributeName!$E:$E),2,_xlfn.XLOOKUP(C514,#REF!,#REF!),3,_xlfn.XLOOKUP(C514,#REF!,#REF!)),0)</f>
        <v>0</v>
      </c>
    </row>
    <row r="515" customFormat="1" spans="1:20">
      <c r="A515">
        <f t="shared" si="29"/>
        <v>204</v>
      </c>
      <c r="B515">
        <v>6</v>
      </c>
      <c r="C515" t="s">
        <v>383</v>
      </c>
      <c r="D515" t="s">
        <v>25</v>
      </c>
      <c r="E515" t="s">
        <v>378</v>
      </c>
      <c r="F515"/>
      <c r="G515">
        <v>1</v>
      </c>
      <c r="H515">
        <v>1000</v>
      </c>
      <c r="I515">
        <v>3</v>
      </c>
      <c r="J515" cm="1">
        <f t="array" ref="J515">_xlfn.SWITCH(B515,1,75,2,61,3,49,4,37,5,25,6,13,7,4,8,1)</f>
        <v>13</v>
      </c>
      <c r="K515" t="str" cm="1">
        <f t="array" ref="K515">IFERROR(_xlfn.SWITCH(L515,2,_xlfn.XLOOKUP(C515,[1]ModifierDes!$B:$B,[1]ModifierDes!$C:$C),3,_xlfn.XLOOKUP(C515,[1]StuntDes!$B:$B,[1]StuntDes!$C:$C)),"")</f>
        <v>攻击伤害提高{0}</v>
      </c>
      <c r="L515">
        <f t="shared" si="28"/>
        <v>2</v>
      </c>
      <c r="M515" s="10" t="str">
        <f>IFERROR(_xlfn.XLOOKUP(C515,[1]StuntDes!$B:$B,[1]StuntDes!$A:$A),"")</f>
        <v/>
      </c>
      <c r="N515" s="10">
        <f>IFERROR(_xlfn.XLOOKUP(C515,[1]ModifierDes!$B:$B,[1]ModifierDes!$A:$A),"")</f>
        <v>10066</v>
      </c>
      <c r="O515" s="10" t="str">
        <f>IFERROR(_xlfn.XLOOKUP(C515,[1]AttributeName!$C:$C,[1]AttributeName!$B:$B),"")</f>
        <v/>
      </c>
      <c r="P515" s="10"/>
      <c r="Q515">
        <v>0.0999999999999999</v>
      </c>
      <c r="R515">
        <v>0.12</v>
      </c>
      <c r="S515" cm="1">
        <f t="array" ref="S515">IFERROR(_xlfn.SWITCH(L515,1,_xlfn.XLOOKUP(O515,[1]AttributeName!$B:$B,[1]AttributeName!$D:$D),2,_xlfn.XLOOKUP(C515,#REF!,#REF!),3,_xlfn.XLOOKUP(C515,#REF!,#REF!)),0)</f>
        <v>0</v>
      </c>
      <c r="T515" cm="1">
        <f t="array" ref="T515">IFERROR(_xlfn.SWITCH(L515,1,_xlfn.XLOOKUP(O515,[1]AttributeName!$B:$B,[1]AttributeName!$E:$E),2,_xlfn.XLOOKUP(C515,#REF!,#REF!),3,_xlfn.XLOOKUP(C515,#REF!,#REF!)),0)</f>
        <v>0</v>
      </c>
    </row>
    <row r="516" customFormat="1" spans="1:20">
      <c r="A516">
        <f t="shared" si="29"/>
        <v>204</v>
      </c>
      <c r="B516">
        <v>7</v>
      </c>
      <c r="C516" t="s">
        <v>383</v>
      </c>
      <c r="D516" t="s">
        <v>25</v>
      </c>
      <c r="E516" t="s">
        <v>378</v>
      </c>
      <c r="F516"/>
      <c r="G516">
        <v>1</v>
      </c>
      <c r="H516">
        <v>1000</v>
      </c>
      <c r="I516">
        <v>3</v>
      </c>
      <c r="J516" cm="1">
        <f t="array" ref="J516">_xlfn.SWITCH(B516,1,75,2,61,3,49,4,37,5,25,6,13,7,4,8,1)</f>
        <v>4</v>
      </c>
      <c r="K516" t="str" cm="1">
        <f t="array" ref="K516">IFERROR(_xlfn.SWITCH(L516,2,_xlfn.XLOOKUP(C516,[1]ModifierDes!$B:$B,[1]ModifierDes!$C:$C),3,_xlfn.XLOOKUP(C516,[1]StuntDes!$B:$B,[1]StuntDes!$C:$C)),"")</f>
        <v>攻击伤害提高{0}</v>
      </c>
      <c r="L516">
        <f t="shared" ref="L516:L579" si="30">IF(M516="",IF(N516="",1,2),3)</f>
        <v>2</v>
      </c>
      <c r="M516" s="10" t="str">
        <f>IFERROR(_xlfn.XLOOKUP(C516,[1]StuntDes!$B:$B,[1]StuntDes!$A:$A),"")</f>
        <v/>
      </c>
      <c r="N516" s="10">
        <f>IFERROR(_xlfn.XLOOKUP(C516,[1]ModifierDes!$B:$B,[1]ModifierDes!$A:$A),"")</f>
        <v>10066</v>
      </c>
      <c r="O516" s="10" t="str">
        <f>IFERROR(_xlfn.XLOOKUP(C516,[1]AttributeName!$C:$C,[1]AttributeName!$B:$B),"")</f>
        <v/>
      </c>
      <c r="P516" s="10"/>
      <c r="Q516">
        <v>0.0699999999999999</v>
      </c>
      <c r="R516">
        <v>0.09</v>
      </c>
      <c r="S516" cm="1">
        <f t="array" ref="S516">IFERROR(_xlfn.SWITCH(L516,1,_xlfn.XLOOKUP(O516,[1]AttributeName!$B:$B,[1]AttributeName!$D:$D),2,_xlfn.XLOOKUP(C516,#REF!,#REF!),3,_xlfn.XLOOKUP(C516,#REF!,#REF!)),0)</f>
        <v>0</v>
      </c>
      <c r="T516" cm="1">
        <f t="array" ref="T516">IFERROR(_xlfn.SWITCH(L516,1,_xlfn.XLOOKUP(O516,[1]AttributeName!$B:$B,[1]AttributeName!$E:$E),2,_xlfn.XLOOKUP(C516,#REF!,#REF!),3,_xlfn.XLOOKUP(C516,#REF!,#REF!)),0)</f>
        <v>0</v>
      </c>
    </row>
    <row r="517" customFormat="1" spans="1:20">
      <c r="A517">
        <f t="shared" si="29"/>
        <v>204</v>
      </c>
      <c r="B517">
        <v>8</v>
      </c>
      <c r="C517" t="s">
        <v>383</v>
      </c>
      <c r="D517" t="s">
        <v>25</v>
      </c>
      <c r="E517" t="s">
        <v>378</v>
      </c>
      <c r="F517"/>
      <c r="G517">
        <v>1</v>
      </c>
      <c r="H517">
        <v>1000</v>
      </c>
      <c r="I517">
        <v>3</v>
      </c>
      <c r="J517" cm="1">
        <f t="array" ref="J517">_xlfn.SWITCH(B517,1,75,2,61,3,49,4,37,5,25,6,13,7,4,8,1)</f>
        <v>1</v>
      </c>
      <c r="K517" t="str" cm="1">
        <f t="array" ref="K517">IFERROR(_xlfn.SWITCH(L517,2,_xlfn.XLOOKUP(C517,[1]ModifierDes!$B:$B,[1]ModifierDes!$C:$C),3,_xlfn.XLOOKUP(C517,[1]StuntDes!$B:$B,[1]StuntDes!$C:$C)),"")</f>
        <v>攻击伤害提高{0}</v>
      </c>
      <c r="L517">
        <f t="shared" si="30"/>
        <v>2</v>
      </c>
      <c r="M517" s="10" t="str">
        <f>IFERROR(_xlfn.XLOOKUP(C517,[1]StuntDes!$B:$B,[1]StuntDes!$A:$A),"")</f>
        <v/>
      </c>
      <c r="N517" s="10">
        <f>IFERROR(_xlfn.XLOOKUP(C517,[1]ModifierDes!$B:$B,[1]ModifierDes!$A:$A),"")</f>
        <v>10066</v>
      </c>
      <c r="O517" s="10" t="str">
        <f>IFERROR(_xlfn.XLOOKUP(C517,[1]AttributeName!$C:$C,[1]AttributeName!$B:$B),"")</f>
        <v/>
      </c>
      <c r="P517" s="10"/>
      <c r="Q517">
        <v>0.0399999999999998</v>
      </c>
      <c r="R517">
        <v>0.06</v>
      </c>
      <c r="S517" cm="1">
        <f t="array" ref="S517">IFERROR(_xlfn.SWITCH(L517,1,_xlfn.XLOOKUP(O517,[1]AttributeName!$B:$B,[1]AttributeName!$D:$D),2,_xlfn.XLOOKUP(C517,#REF!,#REF!),3,_xlfn.XLOOKUP(C517,#REF!,#REF!)),0)</f>
        <v>0</v>
      </c>
      <c r="T517" cm="1">
        <f t="array" ref="T517">IFERROR(_xlfn.SWITCH(L517,1,_xlfn.XLOOKUP(O517,[1]AttributeName!$B:$B,[1]AttributeName!$E:$E),2,_xlfn.XLOOKUP(C517,#REF!,#REF!),3,_xlfn.XLOOKUP(C517,#REF!,#REF!)),0)</f>
        <v>0</v>
      </c>
    </row>
    <row r="518" customFormat="1" spans="1:20">
      <c r="A518">
        <f t="shared" si="29"/>
        <v>205</v>
      </c>
      <c r="B518">
        <v>1</v>
      </c>
      <c r="C518" t="s">
        <v>418</v>
      </c>
      <c r="D518" t="s">
        <v>25</v>
      </c>
      <c r="E518" t="s">
        <v>378</v>
      </c>
      <c r="F518"/>
      <c r="G518">
        <v>1</v>
      </c>
      <c r="H518">
        <v>50</v>
      </c>
      <c r="I518">
        <v>3</v>
      </c>
      <c r="J518" cm="1">
        <f t="array" ref="J518">_xlfn.SWITCH(B518,1,75,2,61,3,49,4,37,5,25,6,13,7,4,8,1)</f>
        <v>75</v>
      </c>
      <c r="K518" t="str" cm="1">
        <f t="array" ref="K518">IFERROR(_xlfn.SWITCH(L518,2,_xlfn.XLOOKUP(C518,[1]ModifierDes!$B:$B,[1]ModifierDes!$C:$C),3,_xlfn.XLOOKUP(C518,[1]StuntDes!$B:$B,[1]StuntDes!$C:$C)),"")</f>
        <v>法术伤害提高{0}</v>
      </c>
      <c r="L518">
        <f t="shared" si="30"/>
        <v>2</v>
      </c>
      <c r="M518" s="10" t="str">
        <f>IFERROR(_xlfn.XLOOKUP(C518,[1]StuntDes!$B:$B,[1]StuntDes!$A:$A),"")</f>
        <v/>
      </c>
      <c r="N518" s="10">
        <f>IFERROR(_xlfn.XLOOKUP(C518,[1]ModifierDes!$B:$B,[1]ModifierDes!$A:$A),"")</f>
        <v>10067</v>
      </c>
      <c r="O518" s="10" t="str">
        <f>IFERROR(_xlfn.XLOOKUP(C518,[1]AttributeName!$C:$C,[1]AttributeName!$B:$B),"")</f>
        <v/>
      </c>
      <c r="P518" s="10"/>
      <c r="Q518">
        <v>0.25</v>
      </c>
      <c r="R518">
        <v>0.35</v>
      </c>
      <c r="S518" cm="1">
        <f t="array" ref="S518">IFERROR(_xlfn.SWITCH(L518,1,_xlfn.XLOOKUP(O518,[1]AttributeName!$B:$B,[1]AttributeName!$D:$D),2,_xlfn.XLOOKUP(C518,#REF!,#REF!),3,_xlfn.XLOOKUP(C518,#REF!,#REF!)),0)</f>
        <v>0</v>
      </c>
      <c r="T518" cm="1">
        <f t="array" ref="T518">IFERROR(_xlfn.SWITCH(L518,1,_xlfn.XLOOKUP(O518,[1]AttributeName!$B:$B,[1]AttributeName!$E:$E),2,_xlfn.XLOOKUP(C518,#REF!,#REF!),3,_xlfn.XLOOKUP(C518,#REF!,#REF!)),0)</f>
        <v>0</v>
      </c>
    </row>
    <row r="519" customFormat="1" spans="1:20">
      <c r="A519">
        <f t="shared" si="29"/>
        <v>205</v>
      </c>
      <c r="B519">
        <v>2</v>
      </c>
      <c r="C519" t="s">
        <v>418</v>
      </c>
      <c r="D519" t="s">
        <v>25</v>
      </c>
      <c r="E519" t="s">
        <v>378</v>
      </c>
      <c r="F519"/>
      <c r="G519">
        <v>1</v>
      </c>
      <c r="H519">
        <v>100</v>
      </c>
      <c r="I519">
        <v>3</v>
      </c>
      <c r="J519" cm="1">
        <f t="array" ref="J519">_xlfn.SWITCH(B519,1,75,2,61,3,49,4,37,5,25,6,13,7,4,8,1)</f>
        <v>61</v>
      </c>
      <c r="K519" t="str" cm="1">
        <f t="array" ref="K519">IFERROR(_xlfn.SWITCH(L519,2,_xlfn.XLOOKUP(C519,[1]ModifierDes!$B:$B,[1]ModifierDes!$C:$C),3,_xlfn.XLOOKUP(C519,[1]StuntDes!$B:$B,[1]StuntDes!$C:$C)),"")</f>
        <v>法术伤害提高{0}</v>
      </c>
      <c r="L519">
        <f t="shared" si="30"/>
        <v>2</v>
      </c>
      <c r="M519" s="10" t="str">
        <f>IFERROR(_xlfn.XLOOKUP(C519,[1]StuntDes!$B:$B,[1]StuntDes!$A:$A),"")</f>
        <v/>
      </c>
      <c r="N519" s="10">
        <f>IFERROR(_xlfn.XLOOKUP(C519,[1]ModifierDes!$B:$B,[1]ModifierDes!$A:$A),"")</f>
        <v>10067</v>
      </c>
      <c r="O519" s="10" t="str">
        <f>IFERROR(_xlfn.XLOOKUP(C519,[1]AttributeName!$C:$C,[1]AttributeName!$B:$B),"")</f>
        <v/>
      </c>
      <c r="P519" s="10"/>
      <c r="Q519">
        <v>0.22</v>
      </c>
      <c r="R519">
        <v>0.24</v>
      </c>
      <c r="S519" cm="1">
        <f t="array" ref="S519">IFERROR(_xlfn.SWITCH(L519,1,_xlfn.XLOOKUP(O519,[1]AttributeName!$B:$B,[1]AttributeName!$D:$D),2,_xlfn.XLOOKUP(C519,#REF!,#REF!),3,_xlfn.XLOOKUP(C519,#REF!,#REF!)),0)</f>
        <v>0</v>
      </c>
      <c r="T519" cm="1">
        <f t="array" ref="T519">IFERROR(_xlfn.SWITCH(L519,1,_xlfn.XLOOKUP(O519,[1]AttributeName!$B:$B,[1]AttributeName!$E:$E),2,_xlfn.XLOOKUP(C519,#REF!,#REF!),3,_xlfn.XLOOKUP(C519,#REF!,#REF!)),0)</f>
        <v>0</v>
      </c>
    </row>
    <row r="520" customFormat="1" spans="1:20">
      <c r="A520">
        <f t="shared" si="29"/>
        <v>205</v>
      </c>
      <c r="B520">
        <v>3</v>
      </c>
      <c r="C520" t="s">
        <v>418</v>
      </c>
      <c r="D520" t="s">
        <v>25</v>
      </c>
      <c r="E520" t="s">
        <v>378</v>
      </c>
      <c r="F520"/>
      <c r="G520">
        <v>1</v>
      </c>
      <c r="H520">
        <v>200</v>
      </c>
      <c r="I520">
        <v>3</v>
      </c>
      <c r="J520" cm="1">
        <f t="array" ref="J520">_xlfn.SWITCH(B520,1,75,2,61,3,49,4,37,5,25,6,13,7,4,8,1)</f>
        <v>49</v>
      </c>
      <c r="K520" t="str" cm="1">
        <f t="array" ref="K520">IFERROR(_xlfn.SWITCH(L520,2,_xlfn.XLOOKUP(C520,[1]ModifierDes!$B:$B,[1]ModifierDes!$C:$C),3,_xlfn.XLOOKUP(C520,[1]StuntDes!$B:$B,[1]StuntDes!$C:$C)),"")</f>
        <v>法术伤害提高{0}</v>
      </c>
      <c r="L520">
        <f t="shared" si="30"/>
        <v>2</v>
      </c>
      <c r="M520" s="10" t="str">
        <f>IFERROR(_xlfn.XLOOKUP(C520,[1]StuntDes!$B:$B,[1]StuntDes!$A:$A),"")</f>
        <v/>
      </c>
      <c r="N520" s="10">
        <f>IFERROR(_xlfn.XLOOKUP(C520,[1]ModifierDes!$B:$B,[1]ModifierDes!$A:$A),"")</f>
        <v>10067</v>
      </c>
      <c r="O520" s="10" t="str">
        <f>IFERROR(_xlfn.XLOOKUP(C520,[1]AttributeName!$C:$C,[1]AttributeName!$B:$B),"")</f>
        <v/>
      </c>
      <c r="P520" s="10"/>
      <c r="Q520">
        <v>0.19</v>
      </c>
      <c r="R520">
        <v>0.21</v>
      </c>
      <c r="S520" cm="1">
        <f t="array" ref="S520">IFERROR(_xlfn.SWITCH(L520,1,_xlfn.XLOOKUP(O520,[1]AttributeName!$B:$B,[1]AttributeName!$D:$D),2,_xlfn.XLOOKUP(C520,#REF!,#REF!),3,_xlfn.XLOOKUP(C520,#REF!,#REF!)),0)</f>
        <v>0</v>
      </c>
      <c r="T520" cm="1">
        <f t="array" ref="T520">IFERROR(_xlfn.SWITCH(L520,1,_xlfn.XLOOKUP(O520,[1]AttributeName!$B:$B,[1]AttributeName!$E:$E),2,_xlfn.XLOOKUP(C520,#REF!,#REF!),3,_xlfn.XLOOKUP(C520,#REF!,#REF!)),0)</f>
        <v>0</v>
      </c>
    </row>
    <row r="521" customFormat="1" spans="1:20">
      <c r="A521">
        <f t="shared" si="29"/>
        <v>205</v>
      </c>
      <c r="B521">
        <v>4</v>
      </c>
      <c r="C521" t="s">
        <v>418</v>
      </c>
      <c r="D521" t="s">
        <v>25</v>
      </c>
      <c r="E521" t="s">
        <v>378</v>
      </c>
      <c r="F521"/>
      <c r="G521">
        <v>1</v>
      </c>
      <c r="H521">
        <v>500</v>
      </c>
      <c r="I521">
        <v>3</v>
      </c>
      <c r="J521" cm="1">
        <f t="array" ref="J521">_xlfn.SWITCH(B521,1,75,2,61,3,49,4,37,5,25,6,13,7,4,8,1)</f>
        <v>37</v>
      </c>
      <c r="K521" t="str" cm="1">
        <f t="array" ref="K521">IFERROR(_xlfn.SWITCH(L521,2,_xlfn.XLOOKUP(C521,[1]ModifierDes!$B:$B,[1]ModifierDes!$C:$C),3,_xlfn.XLOOKUP(C521,[1]StuntDes!$B:$B,[1]StuntDes!$C:$C)),"")</f>
        <v>法术伤害提高{0}</v>
      </c>
      <c r="L521">
        <f t="shared" si="30"/>
        <v>2</v>
      </c>
      <c r="M521" s="10" t="str">
        <f>IFERROR(_xlfn.XLOOKUP(C521,[1]StuntDes!$B:$B,[1]StuntDes!$A:$A),"")</f>
        <v/>
      </c>
      <c r="N521" s="10">
        <f>IFERROR(_xlfn.XLOOKUP(C521,[1]ModifierDes!$B:$B,[1]ModifierDes!$A:$A),"")</f>
        <v>10067</v>
      </c>
      <c r="O521" s="10" t="str">
        <f>IFERROR(_xlfn.XLOOKUP(C521,[1]AttributeName!$C:$C,[1]AttributeName!$B:$B),"")</f>
        <v/>
      </c>
      <c r="P521" s="10"/>
      <c r="Q521">
        <v>0.16</v>
      </c>
      <c r="R521">
        <v>0.18</v>
      </c>
      <c r="S521" cm="1">
        <f t="array" ref="S521">IFERROR(_xlfn.SWITCH(L521,1,_xlfn.XLOOKUP(O521,[1]AttributeName!$B:$B,[1]AttributeName!$D:$D),2,_xlfn.XLOOKUP(C521,#REF!,#REF!),3,_xlfn.XLOOKUP(C521,#REF!,#REF!)),0)</f>
        <v>0</v>
      </c>
      <c r="T521" cm="1">
        <f t="array" ref="T521">IFERROR(_xlfn.SWITCH(L521,1,_xlfn.XLOOKUP(O521,[1]AttributeName!$B:$B,[1]AttributeName!$E:$E),2,_xlfn.XLOOKUP(C521,#REF!,#REF!),3,_xlfn.XLOOKUP(C521,#REF!,#REF!)),0)</f>
        <v>0</v>
      </c>
    </row>
    <row r="522" customFormat="1" spans="1:20">
      <c r="A522">
        <f t="shared" si="29"/>
        <v>205</v>
      </c>
      <c r="B522">
        <v>5</v>
      </c>
      <c r="C522" t="s">
        <v>418</v>
      </c>
      <c r="D522" t="s">
        <v>25</v>
      </c>
      <c r="E522" t="s">
        <v>378</v>
      </c>
      <c r="F522"/>
      <c r="G522">
        <v>1</v>
      </c>
      <c r="H522">
        <v>750</v>
      </c>
      <c r="I522">
        <v>3</v>
      </c>
      <c r="J522" cm="1">
        <f t="array" ref="J522">_xlfn.SWITCH(B522,1,75,2,61,3,49,4,37,5,25,6,13,7,4,8,1)</f>
        <v>25</v>
      </c>
      <c r="K522" t="str" cm="1">
        <f t="array" ref="K522">IFERROR(_xlfn.SWITCH(L522,2,_xlfn.XLOOKUP(C522,[1]ModifierDes!$B:$B,[1]ModifierDes!$C:$C),3,_xlfn.XLOOKUP(C522,[1]StuntDes!$B:$B,[1]StuntDes!$C:$C)),"")</f>
        <v>法术伤害提高{0}</v>
      </c>
      <c r="L522">
        <f t="shared" si="30"/>
        <v>2</v>
      </c>
      <c r="M522" s="10" t="str">
        <f>IFERROR(_xlfn.XLOOKUP(C522,[1]StuntDes!$B:$B,[1]StuntDes!$A:$A),"")</f>
        <v/>
      </c>
      <c r="N522" s="10">
        <f>IFERROR(_xlfn.XLOOKUP(C522,[1]ModifierDes!$B:$B,[1]ModifierDes!$A:$A),"")</f>
        <v>10067</v>
      </c>
      <c r="O522" s="10" t="str">
        <f>IFERROR(_xlfn.XLOOKUP(C522,[1]AttributeName!$C:$C,[1]AttributeName!$B:$B),"")</f>
        <v/>
      </c>
      <c r="P522" s="10"/>
      <c r="Q522">
        <v>0.13</v>
      </c>
      <c r="R522">
        <v>0.15</v>
      </c>
      <c r="S522" cm="1">
        <f t="array" ref="S522">IFERROR(_xlfn.SWITCH(L522,1,_xlfn.XLOOKUP(O522,[1]AttributeName!$B:$B,[1]AttributeName!$D:$D),2,_xlfn.XLOOKUP(C522,#REF!,#REF!),3,_xlfn.XLOOKUP(C522,#REF!,#REF!)),0)</f>
        <v>0</v>
      </c>
      <c r="T522" cm="1">
        <f t="array" ref="T522">IFERROR(_xlfn.SWITCH(L522,1,_xlfn.XLOOKUP(O522,[1]AttributeName!$B:$B,[1]AttributeName!$E:$E),2,_xlfn.XLOOKUP(C522,#REF!,#REF!),3,_xlfn.XLOOKUP(C522,#REF!,#REF!)),0)</f>
        <v>0</v>
      </c>
    </row>
    <row r="523" customFormat="1" spans="1:20">
      <c r="A523">
        <f t="shared" si="29"/>
        <v>205</v>
      </c>
      <c r="B523">
        <v>6</v>
      </c>
      <c r="C523" t="s">
        <v>418</v>
      </c>
      <c r="D523" t="s">
        <v>25</v>
      </c>
      <c r="E523" t="s">
        <v>378</v>
      </c>
      <c r="F523"/>
      <c r="G523">
        <v>1</v>
      </c>
      <c r="H523">
        <v>1000</v>
      </c>
      <c r="I523">
        <v>3</v>
      </c>
      <c r="J523" cm="1">
        <f t="array" ref="J523">_xlfn.SWITCH(B523,1,75,2,61,3,49,4,37,5,25,6,13,7,4,8,1)</f>
        <v>13</v>
      </c>
      <c r="K523" t="str" cm="1">
        <f t="array" ref="K523">IFERROR(_xlfn.SWITCH(L523,2,_xlfn.XLOOKUP(C523,[1]ModifierDes!$B:$B,[1]ModifierDes!$C:$C),3,_xlfn.XLOOKUP(C523,[1]StuntDes!$B:$B,[1]StuntDes!$C:$C)),"")</f>
        <v>法术伤害提高{0}</v>
      </c>
      <c r="L523">
        <f t="shared" si="30"/>
        <v>2</v>
      </c>
      <c r="M523" s="10" t="str">
        <f>IFERROR(_xlfn.XLOOKUP(C523,[1]StuntDes!$B:$B,[1]StuntDes!$A:$A),"")</f>
        <v/>
      </c>
      <c r="N523" s="10">
        <f>IFERROR(_xlfn.XLOOKUP(C523,[1]ModifierDes!$B:$B,[1]ModifierDes!$A:$A),"")</f>
        <v>10067</v>
      </c>
      <c r="O523" s="10" t="str">
        <f>IFERROR(_xlfn.XLOOKUP(C523,[1]AttributeName!$C:$C,[1]AttributeName!$B:$B),"")</f>
        <v/>
      </c>
      <c r="P523" s="10"/>
      <c r="Q523">
        <v>0.0999999999999999</v>
      </c>
      <c r="R523">
        <v>0.12</v>
      </c>
      <c r="S523" cm="1">
        <f t="array" ref="S523">IFERROR(_xlfn.SWITCH(L523,1,_xlfn.XLOOKUP(O523,[1]AttributeName!$B:$B,[1]AttributeName!$D:$D),2,_xlfn.XLOOKUP(C523,#REF!,#REF!),3,_xlfn.XLOOKUP(C523,#REF!,#REF!)),0)</f>
        <v>0</v>
      </c>
      <c r="T523" cm="1">
        <f t="array" ref="T523">IFERROR(_xlfn.SWITCH(L523,1,_xlfn.XLOOKUP(O523,[1]AttributeName!$B:$B,[1]AttributeName!$E:$E),2,_xlfn.XLOOKUP(C523,#REF!,#REF!),3,_xlfn.XLOOKUP(C523,#REF!,#REF!)),0)</f>
        <v>0</v>
      </c>
    </row>
    <row r="524" customFormat="1" spans="1:20">
      <c r="A524">
        <f t="shared" si="29"/>
        <v>205</v>
      </c>
      <c r="B524">
        <v>7</v>
      </c>
      <c r="C524" t="s">
        <v>418</v>
      </c>
      <c r="D524" t="s">
        <v>25</v>
      </c>
      <c r="E524" t="s">
        <v>378</v>
      </c>
      <c r="F524"/>
      <c r="G524">
        <v>1</v>
      </c>
      <c r="H524">
        <v>1000</v>
      </c>
      <c r="I524">
        <v>3</v>
      </c>
      <c r="J524" cm="1">
        <f t="array" ref="J524">_xlfn.SWITCH(B524,1,75,2,61,3,49,4,37,5,25,6,13,7,4,8,1)</f>
        <v>4</v>
      </c>
      <c r="K524" t="str" cm="1">
        <f t="array" ref="K524">IFERROR(_xlfn.SWITCH(L524,2,_xlfn.XLOOKUP(C524,[1]ModifierDes!$B:$B,[1]ModifierDes!$C:$C),3,_xlfn.XLOOKUP(C524,[1]StuntDes!$B:$B,[1]StuntDes!$C:$C)),"")</f>
        <v>法术伤害提高{0}</v>
      </c>
      <c r="L524">
        <f t="shared" si="30"/>
        <v>2</v>
      </c>
      <c r="M524" s="10" t="str">
        <f>IFERROR(_xlfn.XLOOKUP(C524,[1]StuntDes!$B:$B,[1]StuntDes!$A:$A),"")</f>
        <v/>
      </c>
      <c r="N524" s="10">
        <f>IFERROR(_xlfn.XLOOKUP(C524,[1]ModifierDes!$B:$B,[1]ModifierDes!$A:$A),"")</f>
        <v>10067</v>
      </c>
      <c r="O524" s="10" t="str">
        <f>IFERROR(_xlfn.XLOOKUP(C524,[1]AttributeName!$C:$C,[1]AttributeName!$B:$B),"")</f>
        <v/>
      </c>
      <c r="P524" s="10"/>
      <c r="Q524">
        <v>0.0699999999999999</v>
      </c>
      <c r="R524">
        <v>0.09</v>
      </c>
      <c r="S524" cm="1">
        <f t="array" ref="S524">IFERROR(_xlfn.SWITCH(L524,1,_xlfn.XLOOKUP(O524,[1]AttributeName!$B:$B,[1]AttributeName!$D:$D),2,_xlfn.XLOOKUP(C524,#REF!,#REF!),3,_xlfn.XLOOKUP(C524,#REF!,#REF!)),0)</f>
        <v>0</v>
      </c>
      <c r="T524" cm="1">
        <f t="array" ref="T524">IFERROR(_xlfn.SWITCH(L524,1,_xlfn.XLOOKUP(O524,[1]AttributeName!$B:$B,[1]AttributeName!$E:$E),2,_xlfn.XLOOKUP(C524,#REF!,#REF!),3,_xlfn.XLOOKUP(C524,#REF!,#REF!)),0)</f>
        <v>0</v>
      </c>
    </row>
    <row r="525" customFormat="1" spans="1:20">
      <c r="A525">
        <f t="shared" si="29"/>
        <v>205</v>
      </c>
      <c r="B525">
        <v>8</v>
      </c>
      <c r="C525" t="s">
        <v>418</v>
      </c>
      <c r="D525" t="s">
        <v>25</v>
      </c>
      <c r="E525" t="s">
        <v>378</v>
      </c>
      <c r="F525"/>
      <c r="G525">
        <v>1</v>
      </c>
      <c r="H525">
        <v>1000</v>
      </c>
      <c r="I525">
        <v>3</v>
      </c>
      <c r="J525" cm="1">
        <f t="array" ref="J525">_xlfn.SWITCH(B525,1,75,2,61,3,49,4,37,5,25,6,13,7,4,8,1)</f>
        <v>1</v>
      </c>
      <c r="K525" t="str" cm="1">
        <f t="array" ref="K525">IFERROR(_xlfn.SWITCH(L525,2,_xlfn.XLOOKUP(C525,[1]ModifierDes!$B:$B,[1]ModifierDes!$C:$C),3,_xlfn.XLOOKUP(C525,[1]StuntDes!$B:$B,[1]StuntDes!$C:$C)),"")</f>
        <v>法术伤害提高{0}</v>
      </c>
      <c r="L525">
        <f t="shared" si="30"/>
        <v>2</v>
      </c>
      <c r="M525" s="10" t="str">
        <f>IFERROR(_xlfn.XLOOKUP(C525,[1]StuntDes!$B:$B,[1]StuntDes!$A:$A),"")</f>
        <v/>
      </c>
      <c r="N525" s="10">
        <f>IFERROR(_xlfn.XLOOKUP(C525,[1]ModifierDes!$B:$B,[1]ModifierDes!$A:$A),"")</f>
        <v>10067</v>
      </c>
      <c r="O525" s="10" t="str">
        <f>IFERROR(_xlfn.XLOOKUP(C525,[1]AttributeName!$C:$C,[1]AttributeName!$B:$B),"")</f>
        <v/>
      </c>
      <c r="P525" s="10"/>
      <c r="Q525">
        <v>0.0399999999999998</v>
      </c>
      <c r="R525">
        <v>0.06</v>
      </c>
      <c r="S525" cm="1">
        <f t="array" ref="S525">IFERROR(_xlfn.SWITCH(L525,1,_xlfn.XLOOKUP(O525,[1]AttributeName!$B:$B,[1]AttributeName!$D:$D),2,_xlfn.XLOOKUP(C525,#REF!,#REF!),3,_xlfn.XLOOKUP(C525,#REF!,#REF!)),0)</f>
        <v>0</v>
      </c>
      <c r="T525" cm="1">
        <f t="array" ref="T525">IFERROR(_xlfn.SWITCH(L525,1,_xlfn.XLOOKUP(O525,[1]AttributeName!$B:$B,[1]AttributeName!$E:$E),2,_xlfn.XLOOKUP(C525,#REF!,#REF!),3,_xlfn.XLOOKUP(C525,#REF!,#REF!)),0)</f>
        <v>0</v>
      </c>
    </row>
    <row r="526" customFormat="1" spans="1:20">
      <c r="A526">
        <f t="shared" si="29"/>
        <v>206</v>
      </c>
      <c r="B526">
        <v>1</v>
      </c>
      <c r="C526" t="s">
        <v>384</v>
      </c>
      <c r="D526" t="s">
        <v>25</v>
      </c>
      <c r="E526" t="s">
        <v>378</v>
      </c>
      <c r="F526"/>
      <c r="G526">
        <v>1</v>
      </c>
      <c r="H526">
        <v>100</v>
      </c>
      <c r="I526">
        <v>3</v>
      </c>
      <c r="J526" cm="1">
        <f t="array" ref="J526">_xlfn.SWITCH(B526,1,75,2,61,3,49,4,37,5,25,6,13,7,4,8,1)</f>
        <v>75</v>
      </c>
      <c r="K526" t="str" cm="1">
        <f t="array" ref="K526">IFERROR(_xlfn.SWITCH(L526,2,_xlfn.XLOOKUP(C526,[1]ModifierDes!$B:$B,[1]ModifierDes!$C:$C),3,_xlfn.XLOOKUP(C526,[1]StuntDes!$B:$B,[1]StuntDes!$C:$C)),"")</f>
        <v/>
      </c>
      <c r="L526">
        <f t="shared" si="30"/>
        <v>1</v>
      </c>
      <c r="M526" s="10" t="str">
        <f>IFERROR(_xlfn.XLOOKUP(C526,[1]StuntDes!$B:$B,[1]StuntDes!$A:$A),"")</f>
        <v/>
      </c>
      <c r="N526" s="10" t="str">
        <f>IFERROR(_xlfn.XLOOKUP(C526,[1]ModifierDes!$B:$B,[1]ModifierDes!$A:$A),"")</f>
        <v/>
      </c>
      <c r="O526" s="10">
        <f>IFERROR(_xlfn.XLOOKUP(C526,[1]AttributeName!$C:$C,[1]AttributeName!$B:$B),"")</f>
        <v>10303</v>
      </c>
      <c r="P526" s="10"/>
      <c r="Q526">
        <v>0.25</v>
      </c>
      <c r="R526">
        <v>0.35</v>
      </c>
      <c r="S526" cm="1">
        <f t="array" ref="S526">IFERROR(_xlfn.SWITCH(L526,1,_xlfn.XLOOKUP(O526,[1]AttributeName!$B:$B,[1]AttributeName!$D:$D),2,_xlfn.XLOOKUP(C526,#REF!,#REF!),3,_xlfn.XLOOKUP(C526,#REF!,#REF!)),0)</f>
        <v>2</v>
      </c>
      <c r="T526" cm="1">
        <f t="array" ref="T526">IFERROR(_xlfn.SWITCH(L526,1,_xlfn.XLOOKUP(O526,[1]AttributeName!$B:$B,[1]AttributeName!$E:$E),2,_xlfn.XLOOKUP(C526,#REF!,#REF!),3,_xlfn.XLOOKUP(C526,#REF!,#REF!)),0)</f>
        <v>2</v>
      </c>
    </row>
    <row r="527" customFormat="1" spans="1:20">
      <c r="A527">
        <f t="shared" si="29"/>
        <v>206</v>
      </c>
      <c r="B527">
        <v>2</v>
      </c>
      <c r="C527" t="s">
        <v>384</v>
      </c>
      <c r="D527" t="s">
        <v>25</v>
      </c>
      <c r="E527" t="s">
        <v>378</v>
      </c>
      <c r="F527"/>
      <c r="G527">
        <v>1</v>
      </c>
      <c r="H527">
        <v>200</v>
      </c>
      <c r="I527">
        <v>3</v>
      </c>
      <c r="J527" cm="1">
        <f t="array" ref="J527">_xlfn.SWITCH(B527,1,75,2,61,3,49,4,37,5,25,6,13,7,4,8,1)</f>
        <v>61</v>
      </c>
      <c r="K527" t="str" cm="1">
        <f t="array" ref="K527">IFERROR(_xlfn.SWITCH(L527,2,_xlfn.XLOOKUP(C527,[1]ModifierDes!$B:$B,[1]ModifierDes!$C:$C),3,_xlfn.XLOOKUP(C527,[1]StuntDes!$B:$B,[1]StuntDes!$C:$C)),"")</f>
        <v/>
      </c>
      <c r="L527">
        <f t="shared" si="30"/>
        <v>1</v>
      </c>
      <c r="M527" s="10" t="str">
        <f>IFERROR(_xlfn.XLOOKUP(C527,[1]StuntDes!$B:$B,[1]StuntDes!$A:$A),"")</f>
        <v/>
      </c>
      <c r="N527" s="10" t="str">
        <f>IFERROR(_xlfn.XLOOKUP(C527,[1]ModifierDes!$B:$B,[1]ModifierDes!$A:$A),"")</f>
        <v/>
      </c>
      <c r="O527" s="10">
        <f>IFERROR(_xlfn.XLOOKUP(C527,[1]AttributeName!$C:$C,[1]AttributeName!$B:$B),"")</f>
        <v>10303</v>
      </c>
      <c r="P527" s="10"/>
      <c r="Q527">
        <v>0.22</v>
      </c>
      <c r="R527">
        <v>0.24</v>
      </c>
      <c r="S527" cm="1">
        <f t="array" ref="S527">IFERROR(_xlfn.SWITCH(L527,1,_xlfn.XLOOKUP(O527,[1]AttributeName!$B:$B,[1]AttributeName!$D:$D),2,_xlfn.XLOOKUP(C527,#REF!,#REF!),3,_xlfn.XLOOKUP(C527,#REF!,#REF!)),0)</f>
        <v>2</v>
      </c>
      <c r="T527" cm="1">
        <f t="array" ref="T527">IFERROR(_xlfn.SWITCH(L527,1,_xlfn.XLOOKUP(O527,[1]AttributeName!$B:$B,[1]AttributeName!$E:$E),2,_xlfn.XLOOKUP(C527,#REF!,#REF!),3,_xlfn.XLOOKUP(C527,#REF!,#REF!)),0)</f>
        <v>2</v>
      </c>
    </row>
    <row r="528" customFormat="1" spans="1:20">
      <c r="A528">
        <f t="shared" si="29"/>
        <v>206</v>
      </c>
      <c r="B528">
        <v>3</v>
      </c>
      <c r="C528" t="s">
        <v>384</v>
      </c>
      <c r="D528" t="s">
        <v>25</v>
      </c>
      <c r="E528" t="s">
        <v>378</v>
      </c>
      <c r="F528"/>
      <c r="G528">
        <v>1</v>
      </c>
      <c r="H528">
        <v>500</v>
      </c>
      <c r="I528">
        <v>3</v>
      </c>
      <c r="J528" cm="1">
        <f t="array" ref="J528">_xlfn.SWITCH(B528,1,75,2,61,3,49,4,37,5,25,6,13,7,4,8,1)</f>
        <v>49</v>
      </c>
      <c r="K528" t="str" cm="1">
        <f t="array" ref="K528">IFERROR(_xlfn.SWITCH(L528,2,_xlfn.XLOOKUP(C528,[1]ModifierDes!$B:$B,[1]ModifierDes!$C:$C),3,_xlfn.XLOOKUP(C528,[1]StuntDes!$B:$B,[1]StuntDes!$C:$C)),"")</f>
        <v/>
      </c>
      <c r="L528">
        <f t="shared" si="30"/>
        <v>1</v>
      </c>
      <c r="M528" s="10" t="str">
        <f>IFERROR(_xlfn.XLOOKUP(C528,[1]StuntDes!$B:$B,[1]StuntDes!$A:$A),"")</f>
        <v/>
      </c>
      <c r="N528" s="10" t="str">
        <f>IFERROR(_xlfn.XLOOKUP(C528,[1]ModifierDes!$B:$B,[1]ModifierDes!$A:$A),"")</f>
        <v/>
      </c>
      <c r="O528" s="10">
        <f>IFERROR(_xlfn.XLOOKUP(C528,[1]AttributeName!$C:$C,[1]AttributeName!$B:$B),"")</f>
        <v>10303</v>
      </c>
      <c r="P528" s="10"/>
      <c r="Q528">
        <v>0.19</v>
      </c>
      <c r="R528">
        <v>0.21</v>
      </c>
      <c r="S528" cm="1">
        <f t="array" ref="S528">IFERROR(_xlfn.SWITCH(L528,1,_xlfn.XLOOKUP(O528,[1]AttributeName!$B:$B,[1]AttributeName!$D:$D),2,_xlfn.XLOOKUP(C528,#REF!,#REF!),3,_xlfn.XLOOKUP(C528,#REF!,#REF!)),0)</f>
        <v>2</v>
      </c>
      <c r="T528" cm="1">
        <f t="array" ref="T528">IFERROR(_xlfn.SWITCH(L528,1,_xlfn.XLOOKUP(O528,[1]AttributeName!$B:$B,[1]AttributeName!$E:$E),2,_xlfn.XLOOKUP(C528,#REF!,#REF!),3,_xlfn.XLOOKUP(C528,#REF!,#REF!)),0)</f>
        <v>2</v>
      </c>
    </row>
    <row r="529" customFormat="1" spans="1:20">
      <c r="A529">
        <f t="shared" si="29"/>
        <v>206</v>
      </c>
      <c r="B529">
        <v>4</v>
      </c>
      <c r="C529" t="s">
        <v>384</v>
      </c>
      <c r="D529" t="s">
        <v>25</v>
      </c>
      <c r="E529" t="s">
        <v>378</v>
      </c>
      <c r="F529"/>
      <c r="G529">
        <v>1</v>
      </c>
      <c r="H529">
        <v>1000</v>
      </c>
      <c r="I529">
        <v>3</v>
      </c>
      <c r="J529" cm="1">
        <f t="array" ref="J529">_xlfn.SWITCH(B529,1,75,2,61,3,49,4,37,5,25,6,13,7,4,8,1)</f>
        <v>37</v>
      </c>
      <c r="K529" t="str" cm="1">
        <f t="array" ref="K529">IFERROR(_xlfn.SWITCH(L529,2,_xlfn.XLOOKUP(C529,[1]ModifierDes!$B:$B,[1]ModifierDes!$C:$C),3,_xlfn.XLOOKUP(C529,[1]StuntDes!$B:$B,[1]StuntDes!$C:$C)),"")</f>
        <v/>
      </c>
      <c r="L529">
        <f t="shared" si="30"/>
        <v>1</v>
      </c>
      <c r="M529" s="10" t="str">
        <f>IFERROR(_xlfn.XLOOKUP(C529,[1]StuntDes!$B:$B,[1]StuntDes!$A:$A),"")</f>
        <v/>
      </c>
      <c r="N529" s="10" t="str">
        <f>IFERROR(_xlfn.XLOOKUP(C529,[1]ModifierDes!$B:$B,[1]ModifierDes!$A:$A),"")</f>
        <v/>
      </c>
      <c r="O529" s="10">
        <f>IFERROR(_xlfn.XLOOKUP(C529,[1]AttributeName!$C:$C,[1]AttributeName!$B:$B),"")</f>
        <v>10303</v>
      </c>
      <c r="P529" s="10"/>
      <c r="Q529">
        <v>0.16</v>
      </c>
      <c r="R529">
        <v>0.18</v>
      </c>
      <c r="S529" cm="1">
        <f t="array" ref="S529">IFERROR(_xlfn.SWITCH(L529,1,_xlfn.XLOOKUP(O529,[1]AttributeName!$B:$B,[1]AttributeName!$D:$D),2,_xlfn.XLOOKUP(C529,#REF!,#REF!),3,_xlfn.XLOOKUP(C529,#REF!,#REF!)),0)</f>
        <v>2</v>
      </c>
      <c r="T529" cm="1">
        <f t="array" ref="T529">IFERROR(_xlfn.SWITCH(L529,1,_xlfn.XLOOKUP(O529,[1]AttributeName!$B:$B,[1]AttributeName!$E:$E),2,_xlfn.XLOOKUP(C529,#REF!,#REF!),3,_xlfn.XLOOKUP(C529,#REF!,#REF!)),0)</f>
        <v>2</v>
      </c>
    </row>
    <row r="530" customFormat="1" spans="1:20">
      <c r="A530">
        <f t="shared" si="29"/>
        <v>206</v>
      </c>
      <c r="B530">
        <v>5</v>
      </c>
      <c r="C530" t="s">
        <v>384</v>
      </c>
      <c r="D530" t="s">
        <v>25</v>
      </c>
      <c r="E530" t="s">
        <v>378</v>
      </c>
      <c r="F530"/>
      <c r="G530">
        <v>1</v>
      </c>
      <c r="H530">
        <v>1000</v>
      </c>
      <c r="I530">
        <v>3</v>
      </c>
      <c r="J530" cm="1">
        <f t="array" ref="J530">_xlfn.SWITCH(B530,1,75,2,61,3,49,4,37,5,25,6,13,7,4,8,1)</f>
        <v>25</v>
      </c>
      <c r="K530" t="str" cm="1">
        <f t="array" ref="K530">IFERROR(_xlfn.SWITCH(L530,2,_xlfn.XLOOKUP(C530,[1]ModifierDes!$B:$B,[1]ModifierDes!$C:$C),3,_xlfn.XLOOKUP(C530,[1]StuntDes!$B:$B,[1]StuntDes!$C:$C)),"")</f>
        <v/>
      </c>
      <c r="L530">
        <f t="shared" si="30"/>
        <v>1</v>
      </c>
      <c r="M530" s="10" t="str">
        <f>IFERROR(_xlfn.XLOOKUP(C530,[1]StuntDes!$B:$B,[1]StuntDes!$A:$A),"")</f>
        <v/>
      </c>
      <c r="N530" s="10" t="str">
        <f>IFERROR(_xlfn.XLOOKUP(C530,[1]ModifierDes!$B:$B,[1]ModifierDes!$A:$A),"")</f>
        <v/>
      </c>
      <c r="O530" s="10">
        <f>IFERROR(_xlfn.XLOOKUP(C530,[1]AttributeName!$C:$C,[1]AttributeName!$B:$B),"")</f>
        <v>10303</v>
      </c>
      <c r="P530" s="10"/>
      <c r="Q530">
        <v>0.13</v>
      </c>
      <c r="R530">
        <v>0.15</v>
      </c>
      <c r="S530" cm="1">
        <f t="array" ref="S530">IFERROR(_xlfn.SWITCH(L530,1,_xlfn.XLOOKUP(O530,[1]AttributeName!$B:$B,[1]AttributeName!$D:$D),2,_xlfn.XLOOKUP(C530,#REF!,#REF!),3,_xlfn.XLOOKUP(C530,#REF!,#REF!)),0)</f>
        <v>2</v>
      </c>
      <c r="T530" cm="1">
        <f t="array" ref="T530">IFERROR(_xlfn.SWITCH(L530,1,_xlfn.XLOOKUP(O530,[1]AttributeName!$B:$B,[1]AttributeName!$E:$E),2,_xlfn.XLOOKUP(C530,#REF!,#REF!),3,_xlfn.XLOOKUP(C530,#REF!,#REF!)),0)</f>
        <v>2</v>
      </c>
    </row>
    <row r="531" customFormat="1" spans="1:20">
      <c r="A531">
        <f t="shared" si="29"/>
        <v>206</v>
      </c>
      <c r="B531">
        <v>6</v>
      </c>
      <c r="C531" t="s">
        <v>384</v>
      </c>
      <c r="D531" t="s">
        <v>25</v>
      </c>
      <c r="E531" t="s">
        <v>378</v>
      </c>
      <c r="F531"/>
      <c r="G531">
        <v>1</v>
      </c>
      <c r="H531">
        <v>1000</v>
      </c>
      <c r="I531">
        <v>3</v>
      </c>
      <c r="J531" cm="1">
        <f t="array" ref="J531">_xlfn.SWITCH(B531,1,75,2,61,3,49,4,37,5,25,6,13,7,4,8,1)</f>
        <v>13</v>
      </c>
      <c r="K531" t="str" cm="1">
        <f t="array" ref="K531">IFERROR(_xlfn.SWITCH(L531,2,_xlfn.XLOOKUP(C531,[1]ModifierDes!$B:$B,[1]ModifierDes!$C:$C),3,_xlfn.XLOOKUP(C531,[1]StuntDes!$B:$B,[1]StuntDes!$C:$C)),"")</f>
        <v/>
      </c>
      <c r="L531">
        <f t="shared" si="30"/>
        <v>1</v>
      </c>
      <c r="M531" s="10" t="str">
        <f>IFERROR(_xlfn.XLOOKUP(C531,[1]StuntDes!$B:$B,[1]StuntDes!$A:$A),"")</f>
        <v/>
      </c>
      <c r="N531" s="10" t="str">
        <f>IFERROR(_xlfn.XLOOKUP(C531,[1]ModifierDes!$B:$B,[1]ModifierDes!$A:$A),"")</f>
        <v/>
      </c>
      <c r="O531" s="10">
        <f>IFERROR(_xlfn.XLOOKUP(C531,[1]AttributeName!$C:$C,[1]AttributeName!$B:$B),"")</f>
        <v>10303</v>
      </c>
      <c r="P531" s="10"/>
      <c r="Q531">
        <v>0.0999999999999999</v>
      </c>
      <c r="R531">
        <v>0.12</v>
      </c>
      <c r="S531" cm="1">
        <f t="array" ref="S531">IFERROR(_xlfn.SWITCH(L531,1,_xlfn.XLOOKUP(O531,[1]AttributeName!$B:$B,[1]AttributeName!$D:$D),2,_xlfn.XLOOKUP(C531,#REF!,#REF!),3,_xlfn.XLOOKUP(C531,#REF!,#REF!)),0)</f>
        <v>2</v>
      </c>
      <c r="T531" cm="1">
        <f t="array" ref="T531">IFERROR(_xlfn.SWITCH(L531,1,_xlfn.XLOOKUP(O531,[1]AttributeName!$B:$B,[1]AttributeName!$E:$E),2,_xlfn.XLOOKUP(C531,#REF!,#REF!),3,_xlfn.XLOOKUP(C531,#REF!,#REF!)),0)</f>
        <v>2</v>
      </c>
    </row>
    <row r="532" customFormat="1" spans="1:20">
      <c r="A532">
        <f t="shared" si="29"/>
        <v>206</v>
      </c>
      <c r="B532">
        <v>7</v>
      </c>
      <c r="C532" t="s">
        <v>384</v>
      </c>
      <c r="D532" t="s">
        <v>25</v>
      </c>
      <c r="E532" t="s">
        <v>378</v>
      </c>
      <c r="F532"/>
      <c r="G532">
        <v>1</v>
      </c>
      <c r="H532">
        <v>1000</v>
      </c>
      <c r="I532">
        <v>3</v>
      </c>
      <c r="J532" cm="1">
        <f t="array" ref="J532">_xlfn.SWITCH(B532,1,75,2,61,3,49,4,37,5,25,6,13,7,4,8,1)</f>
        <v>4</v>
      </c>
      <c r="K532" t="str" cm="1">
        <f t="array" ref="K532">IFERROR(_xlfn.SWITCH(L532,2,_xlfn.XLOOKUP(C532,[1]ModifierDes!$B:$B,[1]ModifierDes!$C:$C),3,_xlfn.XLOOKUP(C532,[1]StuntDes!$B:$B,[1]StuntDes!$C:$C)),"")</f>
        <v/>
      </c>
      <c r="L532">
        <f t="shared" si="30"/>
        <v>1</v>
      </c>
      <c r="M532" s="10" t="str">
        <f>IFERROR(_xlfn.XLOOKUP(C532,[1]StuntDes!$B:$B,[1]StuntDes!$A:$A),"")</f>
        <v/>
      </c>
      <c r="N532" s="10" t="str">
        <f>IFERROR(_xlfn.XLOOKUP(C532,[1]ModifierDes!$B:$B,[1]ModifierDes!$A:$A),"")</f>
        <v/>
      </c>
      <c r="O532" s="10">
        <f>IFERROR(_xlfn.XLOOKUP(C532,[1]AttributeName!$C:$C,[1]AttributeName!$B:$B),"")</f>
        <v>10303</v>
      </c>
      <c r="P532" s="10"/>
      <c r="Q532">
        <v>0.0699999999999999</v>
      </c>
      <c r="R532">
        <v>0.09</v>
      </c>
      <c r="S532" cm="1">
        <f t="array" ref="S532">IFERROR(_xlfn.SWITCH(L532,1,_xlfn.XLOOKUP(O532,[1]AttributeName!$B:$B,[1]AttributeName!$D:$D),2,_xlfn.XLOOKUP(C532,#REF!,#REF!),3,_xlfn.XLOOKUP(C532,#REF!,#REF!)),0)</f>
        <v>2</v>
      </c>
      <c r="T532" cm="1">
        <f t="array" ref="T532">IFERROR(_xlfn.SWITCH(L532,1,_xlfn.XLOOKUP(O532,[1]AttributeName!$B:$B,[1]AttributeName!$E:$E),2,_xlfn.XLOOKUP(C532,#REF!,#REF!),3,_xlfn.XLOOKUP(C532,#REF!,#REF!)),0)</f>
        <v>2</v>
      </c>
    </row>
    <row r="533" customFormat="1" spans="1:20">
      <c r="A533">
        <f t="shared" si="29"/>
        <v>206</v>
      </c>
      <c r="B533">
        <v>8</v>
      </c>
      <c r="C533" t="s">
        <v>384</v>
      </c>
      <c r="D533" t="s">
        <v>25</v>
      </c>
      <c r="E533" t="s">
        <v>378</v>
      </c>
      <c r="F533"/>
      <c r="G533">
        <v>1</v>
      </c>
      <c r="H533">
        <v>1000</v>
      </c>
      <c r="I533">
        <v>3</v>
      </c>
      <c r="J533" cm="1">
        <f t="array" ref="J533">_xlfn.SWITCH(B533,1,75,2,61,3,49,4,37,5,25,6,13,7,4,8,1)</f>
        <v>1</v>
      </c>
      <c r="K533" t="str" cm="1">
        <f t="array" ref="K533">IFERROR(_xlfn.SWITCH(L533,2,_xlfn.XLOOKUP(C533,[1]ModifierDes!$B:$B,[1]ModifierDes!$C:$C),3,_xlfn.XLOOKUP(C533,[1]StuntDes!$B:$B,[1]StuntDes!$C:$C)),"")</f>
        <v/>
      </c>
      <c r="L533">
        <f t="shared" si="30"/>
        <v>1</v>
      </c>
      <c r="M533" s="10" t="str">
        <f>IFERROR(_xlfn.XLOOKUP(C533,[1]StuntDes!$B:$B,[1]StuntDes!$A:$A),"")</f>
        <v/>
      </c>
      <c r="N533" s="10" t="str">
        <f>IFERROR(_xlfn.XLOOKUP(C533,[1]ModifierDes!$B:$B,[1]ModifierDes!$A:$A),"")</f>
        <v/>
      </c>
      <c r="O533" s="10">
        <f>IFERROR(_xlfn.XLOOKUP(C533,[1]AttributeName!$C:$C,[1]AttributeName!$B:$B),"")</f>
        <v>10303</v>
      </c>
      <c r="P533" s="10"/>
      <c r="Q533">
        <v>0.0399999999999998</v>
      </c>
      <c r="R533">
        <v>0.06</v>
      </c>
      <c r="S533" cm="1">
        <f t="array" ref="S533">IFERROR(_xlfn.SWITCH(L533,1,_xlfn.XLOOKUP(O533,[1]AttributeName!$B:$B,[1]AttributeName!$D:$D),2,_xlfn.XLOOKUP(C533,#REF!,#REF!),3,_xlfn.XLOOKUP(C533,#REF!,#REF!)),0)</f>
        <v>2</v>
      </c>
      <c r="T533" cm="1">
        <f t="array" ref="T533">IFERROR(_xlfn.SWITCH(L533,1,_xlfn.XLOOKUP(O533,[1]AttributeName!$B:$B,[1]AttributeName!$E:$E),2,_xlfn.XLOOKUP(C533,#REF!,#REF!),3,_xlfn.XLOOKUP(C533,#REF!,#REF!)),0)</f>
        <v>2</v>
      </c>
    </row>
    <row r="534" customFormat="1" spans="1:20">
      <c r="A534">
        <f t="shared" si="29"/>
        <v>207</v>
      </c>
      <c r="B534">
        <v>1</v>
      </c>
      <c r="C534" t="s">
        <v>385</v>
      </c>
      <c r="D534" t="s">
        <v>25</v>
      </c>
      <c r="E534" t="s">
        <v>378</v>
      </c>
      <c r="F534"/>
      <c r="G534">
        <v>1</v>
      </c>
      <c r="H534">
        <v>100</v>
      </c>
      <c r="I534">
        <v>3</v>
      </c>
      <c r="J534" cm="1">
        <f t="array" ref="J534">_xlfn.SWITCH(B534,1,75,2,61,3,49,4,37,5,25,6,13,7,4,8,1)</f>
        <v>75</v>
      </c>
      <c r="K534" t="str" cm="1">
        <f t="array" ref="K534">IFERROR(_xlfn.SWITCH(L534,2,_xlfn.XLOOKUP(C534,[1]ModifierDes!$B:$B,[1]ModifierDes!$C:$C),3,_xlfn.XLOOKUP(C534,[1]StuntDes!$B:$B,[1]StuntDes!$C:$C)),"")</f>
        <v/>
      </c>
      <c r="L534">
        <f t="shared" si="30"/>
        <v>1</v>
      </c>
      <c r="M534" s="10" t="str">
        <f>IFERROR(_xlfn.XLOOKUP(C534,[1]StuntDes!$B:$B,[1]StuntDes!$A:$A),"")</f>
        <v/>
      </c>
      <c r="N534" s="10" t="str">
        <f>IFERROR(_xlfn.XLOOKUP(C534,[1]ModifierDes!$B:$B,[1]ModifierDes!$A:$A),"")</f>
        <v/>
      </c>
      <c r="O534" s="10">
        <f>IFERROR(_xlfn.XLOOKUP(C534,[1]AttributeName!$C:$C,[1]AttributeName!$B:$B),"")</f>
        <v>10304</v>
      </c>
      <c r="P534" s="10"/>
      <c r="Q534">
        <v>0.25</v>
      </c>
      <c r="R534">
        <v>0.35</v>
      </c>
      <c r="S534" cm="1">
        <f t="array" ref="S534">IFERROR(_xlfn.SWITCH(L534,1,_xlfn.XLOOKUP(O534,[1]AttributeName!$B:$B,[1]AttributeName!$D:$D),2,_xlfn.XLOOKUP(C534,#REF!,#REF!),3,_xlfn.XLOOKUP(C534,#REF!,#REF!)),0)</f>
        <v>2</v>
      </c>
      <c r="T534" cm="1">
        <f t="array" ref="T534">IFERROR(_xlfn.SWITCH(L534,1,_xlfn.XLOOKUP(O534,[1]AttributeName!$B:$B,[1]AttributeName!$E:$E),2,_xlfn.XLOOKUP(C534,#REF!,#REF!),3,_xlfn.XLOOKUP(C534,#REF!,#REF!)),0)</f>
        <v>2</v>
      </c>
    </row>
    <row r="535" customFormat="1" spans="1:20">
      <c r="A535">
        <f t="shared" si="29"/>
        <v>207</v>
      </c>
      <c r="B535">
        <v>2</v>
      </c>
      <c r="C535" t="s">
        <v>385</v>
      </c>
      <c r="D535" t="s">
        <v>25</v>
      </c>
      <c r="E535" t="s">
        <v>378</v>
      </c>
      <c r="F535"/>
      <c r="G535">
        <v>1</v>
      </c>
      <c r="H535">
        <v>200</v>
      </c>
      <c r="I535">
        <v>3</v>
      </c>
      <c r="J535" cm="1">
        <f t="array" ref="J535">_xlfn.SWITCH(B535,1,75,2,61,3,49,4,37,5,25,6,13,7,4,8,1)</f>
        <v>61</v>
      </c>
      <c r="K535" t="str" cm="1">
        <f t="array" ref="K535">IFERROR(_xlfn.SWITCH(L535,2,_xlfn.XLOOKUP(C535,[1]ModifierDes!$B:$B,[1]ModifierDes!$C:$C),3,_xlfn.XLOOKUP(C535,[1]StuntDes!$B:$B,[1]StuntDes!$C:$C)),"")</f>
        <v/>
      </c>
      <c r="L535">
        <f t="shared" si="30"/>
        <v>1</v>
      </c>
      <c r="M535" s="10" t="str">
        <f>IFERROR(_xlfn.XLOOKUP(C535,[1]StuntDes!$B:$B,[1]StuntDes!$A:$A),"")</f>
        <v/>
      </c>
      <c r="N535" s="10" t="str">
        <f>IFERROR(_xlfn.XLOOKUP(C535,[1]ModifierDes!$B:$B,[1]ModifierDes!$A:$A),"")</f>
        <v/>
      </c>
      <c r="O535" s="10">
        <f>IFERROR(_xlfn.XLOOKUP(C535,[1]AttributeName!$C:$C,[1]AttributeName!$B:$B),"")</f>
        <v>10304</v>
      </c>
      <c r="P535" s="10"/>
      <c r="Q535">
        <v>0.22</v>
      </c>
      <c r="R535">
        <v>0.24</v>
      </c>
      <c r="S535" cm="1">
        <f t="array" ref="S535">IFERROR(_xlfn.SWITCH(L535,1,_xlfn.XLOOKUP(O535,[1]AttributeName!$B:$B,[1]AttributeName!$D:$D),2,_xlfn.XLOOKUP(C535,#REF!,#REF!),3,_xlfn.XLOOKUP(C535,#REF!,#REF!)),0)</f>
        <v>2</v>
      </c>
      <c r="T535" cm="1">
        <f t="array" ref="T535">IFERROR(_xlfn.SWITCH(L535,1,_xlfn.XLOOKUP(O535,[1]AttributeName!$B:$B,[1]AttributeName!$E:$E),2,_xlfn.XLOOKUP(C535,#REF!,#REF!),3,_xlfn.XLOOKUP(C535,#REF!,#REF!)),0)</f>
        <v>2</v>
      </c>
    </row>
    <row r="536" customFormat="1" spans="1:20">
      <c r="A536">
        <f t="shared" si="29"/>
        <v>207</v>
      </c>
      <c r="B536">
        <v>3</v>
      </c>
      <c r="C536" t="s">
        <v>385</v>
      </c>
      <c r="D536" t="s">
        <v>25</v>
      </c>
      <c r="E536" t="s">
        <v>378</v>
      </c>
      <c r="F536"/>
      <c r="G536">
        <v>1</v>
      </c>
      <c r="H536">
        <v>500</v>
      </c>
      <c r="I536">
        <v>3</v>
      </c>
      <c r="J536" cm="1">
        <f t="array" ref="J536">_xlfn.SWITCH(B536,1,75,2,61,3,49,4,37,5,25,6,13,7,4,8,1)</f>
        <v>49</v>
      </c>
      <c r="K536" t="str" cm="1">
        <f t="array" ref="K536">IFERROR(_xlfn.SWITCH(L536,2,_xlfn.XLOOKUP(C536,[1]ModifierDes!$B:$B,[1]ModifierDes!$C:$C),3,_xlfn.XLOOKUP(C536,[1]StuntDes!$B:$B,[1]StuntDes!$C:$C)),"")</f>
        <v/>
      </c>
      <c r="L536">
        <f t="shared" si="30"/>
        <v>1</v>
      </c>
      <c r="M536" s="10" t="str">
        <f>IFERROR(_xlfn.XLOOKUP(C536,[1]StuntDes!$B:$B,[1]StuntDes!$A:$A),"")</f>
        <v/>
      </c>
      <c r="N536" s="10" t="str">
        <f>IFERROR(_xlfn.XLOOKUP(C536,[1]ModifierDes!$B:$B,[1]ModifierDes!$A:$A),"")</f>
        <v/>
      </c>
      <c r="O536" s="10">
        <f>IFERROR(_xlfn.XLOOKUP(C536,[1]AttributeName!$C:$C,[1]AttributeName!$B:$B),"")</f>
        <v>10304</v>
      </c>
      <c r="P536" s="10"/>
      <c r="Q536">
        <v>0.19</v>
      </c>
      <c r="R536">
        <v>0.21</v>
      </c>
      <c r="S536" cm="1">
        <f t="array" ref="S536">IFERROR(_xlfn.SWITCH(L536,1,_xlfn.XLOOKUP(O536,[1]AttributeName!$B:$B,[1]AttributeName!$D:$D),2,_xlfn.XLOOKUP(C536,#REF!,#REF!),3,_xlfn.XLOOKUP(C536,#REF!,#REF!)),0)</f>
        <v>2</v>
      </c>
      <c r="T536" cm="1">
        <f t="array" ref="T536">IFERROR(_xlfn.SWITCH(L536,1,_xlfn.XLOOKUP(O536,[1]AttributeName!$B:$B,[1]AttributeName!$E:$E),2,_xlfn.XLOOKUP(C536,#REF!,#REF!),3,_xlfn.XLOOKUP(C536,#REF!,#REF!)),0)</f>
        <v>2</v>
      </c>
    </row>
    <row r="537" customFormat="1" spans="1:20">
      <c r="A537">
        <f t="shared" si="29"/>
        <v>207</v>
      </c>
      <c r="B537">
        <v>4</v>
      </c>
      <c r="C537" t="s">
        <v>385</v>
      </c>
      <c r="D537" t="s">
        <v>25</v>
      </c>
      <c r="E537" t="s">
        <v>378</v>
      </c>
      <c r="F537"/>
      <c r="G537">
        <v>1</v>
      </c>
      <c r="H537">
        <v>1000</v>
      </c>
      <c r="I537">
        <v>3</v>
      </c>
      <c r="J537" cm="1">
        <f t="array" ref="J537">_xlfn.SWITCH(B537,1,75,2,61,3,49,4,37,5,25,6,13,7,4,8,1)</f>
        <v>37</v>
      </c>
      <c r="K537" t="str" cm="1">
        <f t="array" ref="K537">IFERROR(_xlfn.SWITCH(L537,2,_xlfn.XLOOKUP(C537,[1]ModifierDes!$B:$B,[1]ModifierDes!$C:$C),3,_xlfn.XLOOKUP(C537,[1]StuntDes!$B:$B,[1]StuntDes!$C:$C)),"")</f>
        <v/>
      </c>
      <c r="L537">
        <f t="shared" si="30"/>
        <v>1</v>
      </c>
      <c r="M537" s="10" t="str">
        <f>IFERROR(_xlfn.XLOOKUP(C537,[1]StuntDes!$B:$B,[1]StuntDes!$A:$A),"")</f>
        <v/>
      </c>
      <c r="N537" s="10" t="str">
        <f>IFERROR(_xlfn.XLOOKUP(C537,[1]ModifierDes!$B:$B,[1]ModifierDes!$A:$A),"")</f>
        <v/>
      </c>
      <c r="O537" s="10">
        <f>IFERROR(_xlfn.XLOOKUP(C537,[1]AttributeName!$C:$C,[1]AttributeName!$B:$B),"")</f>
        <v>10304</v>
      </c>
      <c r="P537" s="10"/>
      <c r="Q537">
        <v>0.16</v>
      </c>
      <c r="R537">
        <v>0.18</v>
      </c>
      <c r="S537" cm="1">
        <f t="array" ref="S537">IFERROR(_xlfn.SWITCH(L537,1,_xlfn.XLOOKUP(O537,[1]AttributeName!$B:$B,[1]AttributeName!$D:$D),2,_xlfn.XLOOKUP(C537,#REF!,#REF!),3,_xlfn.XLOOKUP(C537,#REF!,#REF!)),0)</f>
        <v>2</v>
      </c>
      <c r="T537" cm="1">
        <f t="array" ref="T537">IFERROR(_xlfn.SWITCH(L537,1,_xlfn.XLOOKUP(O537,[1]AttributeName!$B:$B,[1]AttributeName!$E:$E),2,_xlfn.XLOOKUP(C537,#REF!,#REF!),3,_xlfn.XLOOKUP(C537,#REF!,#REF!)),0)</f>
        <v>2</v>
      </c>
    </row>
    <row r="538" customFormat="1" spans="1:20">
      <c r="A538">
        <f t="shared" si="29"/>
        <v>207</v>
      </c>
      <c r="B538">
        <v>5</v>
      </c>
      <c r="C538" t="s">
        <v>385</v>
      </c>
      <c r="D538" t="s">
        <v>25</v>
      </c>
      <c r="E538" t="s">
        <v>378</v>
      </c>
      <c r="F538"/>
      <c r="G538">
        <v>1</v>
      </c>
      <c r="H538">
        <v>1000</v>
      </c>
      <c r="I538">
        <v>3</v>
      </c>
      <c r="J538" cm="1">
        <f t="array" ref="J538">_xlfn.SWITCH(B538,1,75,2,61,3,49,4,37,5,25,6,13,7,4,8,1)</f>
        <v>25</v>
      </c>
      <c r="K538" t="str" cm="1">
        <f t="array" ref="K538">IFERROR(_xlfn.SWITCH(L538,2,_xlfn.XLOOKUP(C538,[1]ModifierDes!$B:$B,[1]ModifierDes!$C:$C),3,_xlfn.XLOOKUP(C538,[1]StuntDes!$B:$B,[1]StuntDes!$C:$C)),"")</f>
        <v/>
      </c>
      <c r="L538">
        <f t="shared" si="30"/>
        <v>1</v>
      </c>
      <c r="M538" s="10" t="str">
        <f>IFERROR(_xlfn.XLOOKUP(C538,[1]StuntDes!$B:$B,[1]StuntDes!$A:$A),"")</f>
        <v/>
      </c>
      <c r="N538" s="10" t="str">
        <f>IFERROR(_xlfn.XLOOKUP(C538,[1]ModifierDes!$B:$B,[1]ModifierDes!$A:$A),"")</f>
        <v/>
      </c>
      <c r="O538" s="10">
        <f>IFERROR(_xlfn.XLOOKUP(C538,[1]AttributeName!$C:$C,[1]AttributeName!$B:$B),"")</f>
        <v>10304</v>
      </c>
      <c r="P538" s="10"/>
      <c r="Q538">
        <v>0.13</v>
      </c>
      <c r="R538">
        <v>0.15</v>
      </c>
      <c r="S538" cm="1">
        <f t="array" ref="S538">IFERROR(_xlfn.SWITCH(L538,1,_xlfn.XLOOKUP(O538,[1]AttributeName!$B:$B,[1]AttributeName!$D:$D),2,_xlfn.XLOOKUP(C538,#REF!,#REF!),3,_xlfn.XLOOKUP(C538,#REF!,#REF!)),0)</f>
        <v>2</v>
      </c>
      <c r="T538" cm="1">
        <f t="array" ref="T538">IFERROR(_xlfn.SWITCH(L538,1,_xlfn.XLOOKUP(O538,[1]AttributeName!$B:$B,[1]AttributeName!$E:$E),2,_xlfn.XLOOKUP(C538,#REF!,#REF!),3,_xlfn.XLOOKUP(C538,#REF!,#REF!)),0)</f>
        <v>2</v>
      </c>
    </row>
    <row r="539" customFormat="1" spans="1:20">
      <c r="A539">
        <f t="shared" si="29"/>
        <v>207</v>
      </c>
      <c r="B539">
        <v>6</v>
      </c>
      <c r="C539" t="s">
        <v>385</v>
      </c>
      <c r="D539" t="s">
        <v>25</v>
      </c>
      <c r="E539" t="s">
        <v>378</v>
      </c>
      <c r="F539"/>
      <c r="G539">
        <v>1</v>
      </c>
      <c r="H539">
        <v>1000</v>
      </c>
      <c r="I539">
        <v>3</v>
      </c>
      <c r="J539" cm="1">
        <f t="array" ref="J539">_xlfn.SWITCH(B539,1,75,2,61,3,49,4,37,5,25,6,13,7,4,8,1)</f>
        <v>13</v>
      </c>
      <c r="K539" t="str" cm="1">
        <f t="array" ref="K539">IFERROR(_xlfn.SWITCH(L539,2,_xlfn.XLOOKUP(C539,[1]ModifierDes!$B:$B,[1]ModifierDes!$C:$C),3,_xlfn.XLOOKUP(C539,[1]StuntDes!$B:$B,[1]StuntDes!$C:$C)),"")</f>
        <v/>
      </c>
      <c r="L539">
        <f t="shared" si="30"/>
        <v>1</v>
      </c>
      <c r="M539" s="10" t="str">
        <f>IFERROR(_xlfn.XLOOKUP(C539,[1]StuntDes!$B:$B,[1]StuntDes!$A:$A),"")</f>
        <v/>
      </c>
      <c r="N539" s="10" t="str">
        <f>IFERROR(_xlfn.XLOOKUP(C539,[1]ModifierDes!$B:$B,[1]ModifierDes!$A:$A),"")</f>
        <v/>
      </c>
      <c r="O539" s="10">
        <f>IFERROR(_xlfn.XLOOKUP(C539,[1]AttributeName!$C:$C,[1]AttributeName!$B:$B),"")</f>
        <v>10304</v>
      </c>
      <c r="P539" s="10"/>
      <c r="Q539">
        <v>0.0999999999999999</v>
      </c>
      <c r="R539">
        <v>0.12</v>
      </c>
      <c r="S539" cm="1">
        <f t="array" ref="S539">IFERROR(_xlfn.SWITCH(L539,1,_xlfn.XLOOKUP(O539,[1]AttributeName!$B:$B,[1]AttributeName!$D:$D),2,_xlfn.XLOOKUP(C539,#REF!,#REF!),3,_xlfn.XLOOKUP(C539,#REF!,#REF!)),0)</f>
        <v>2</v>
      </c>
      <c r="T539" cm="1">
        <f t="array" ref="T539">IFERROR(_xlfn.SWITCH(L539,1,_xlfn.XLOOKUP(O539,[1]AttributeName!$B:$B,[1]AttributeName!$E:$E),2,_xlfn.XLOOKUP(C539,#REF!,#REF!),3,_xlfn.XLOOKUP(C539,#REF!,#REF!)),0)</f>
        <v>2</v>
      </c>
    </row>
    <row r="540" customFormat="1" spans="1:20">
      <c r="A540">
        <f t="shared" si="29"/>
        <v>207</v>
      </c>
      <c r="B540">
        <v>7</v>
      </c>
      <c r="C540" t="s">
        <v>385</v>
      </c>
      <c r="D540" t="s">
        <v>25</v>
      </c>
      <c r="E540" t="s">
        <v>378</v>
      </c>
      <c r="F540"/>
      <c r="G540">
        <v>1</v>
      </c>
      <c r="H540">
        <v>1000</v>
      </c>
      <c r="I540">
        <v>3</v>
      </c>
      <c r="J540" cm="1">
        <f t="array" ref="J540">_xlfn.SWITCH(B540,1,75,2,61,3,49,4,37,5,25,6,13,7,4,8,1)</f>
        <v>4</v>
      </c>
      <c r="K540" t="str" cm="1">
        <f t="array" ref="K540">IFERROR(_xlfn.SWITCH(L540,2,_xlfn.XLOOKUP(C540,[1]ModifierDes!$B:$B,[1]ModifierDes!$C:$C),3,_xlfn.XLOOKUP(C540,[1]StuntDes!$B:$B,[1]StuntDes!$C:$C)),"")</f>
        <v/>
      </c>
      <c r="L540">
        <f t="shared" si="30"/>
        <v>1</v>
      </c>
      <c r="M540" s="10" t="str">
        <f>IFERROR(_xlfn.XLOOKUP(C540,[1]StuntDes!$B:$B,[1]StuntDes!$A:$A),"")</f>
        <v/>
      </c>
      <c r="N540" s="10" t="str">
        <f>IFERROR(_xlfn.XLOOKUP(C540,[1]ModifierDes!$B:$B,[1]ModifierDes!$A:$A),"")</f>
        <v/>
      </c>
      <c r="O540" s="10">
        <f>IFERROR(_xlfn.XLOOKUP(C540,[1]AttributeName!$C:$C,[1]AttributeName!$B:$B),"")</f>
        <v>10304</v>
      </c>
      <c r="P540" s="10"/>
      <c r="Q540">
        <v>0.0699999999999999</v>
      </c>
      <c r="R540">
        <v>0.09</v>
      </c>
      <c r="S540" cm="1">
        <f t="array" ref="S540">IFERROR(_xlfn.SWITCH(L540,1,_xlfn.XLOOKUP(O540,[1]AttributeName!$B:$B,[1]AttributeName!$D:$D),2,_xlfn.XLOOKUP(C540,#REF!,#REF!),3,_xlfn.XLOOKUP(C540,#REF!,#REF!)),0)</f>
        <v>2</v>
      </c>
      <c r="T540" cm="1">
        <f t="array" ref="T540">IFERROR(_xlfn.SWITCH(L540,1,_xlfn.XLOOKUP(O540,[1]AttributeName!$B:$B,[1]AttributeName!$E:$E),2,_xlfn.XLOOKUP(C540,#REF!,#REF!),3,_xlfn.XLOOKUP(C540,#REF!,#REF!)),0)</f>
        <v>2</v>
      </c>
    </row>
    <row r="541" customFormat="1" spans="1:20">
      <c r="A541">
        <f t="shared" si="29"/>
        <v>207</v>
      </c>
      <c r="B541">
        <v>8</v>
      </c>
      <c r="C541" t="s">
        <v>385</v>
      </c>
      <c r="D541" t="s">
        <v>25</v>
      </c>
      <c r="E541" t="s">
        <v>378</v>
      </c>
      <c r="F541"/>
      <c r="G541">
        <v>1</v>
      </c>
      <c r="H541">
        <v>1000</v>
      </c>
      <c r="I541">
        <v>3</v>
      </c>
      <c r="J541" cm="1">
        <f t="array" ref="J541">_xlfn.SWITCH(B541,1,75,2,61,3,49,4,37,5,25,6,13,7,4,8,1)</f>
        <v>1</v>
      </c>
      <c r="K541" t="str" cm="1">
        <f t="array" ref="K541">IFERROR(_xlfn.SWITCH(L541,2,_xlfn.XLOOKUP(C541,[1]ModifierDes!$B:$B,[1]ModifierDes!$C:$C),3,_xlfn.XLOOKUP(C541,[1]StuntDes!$B:$B,[1]StuntDes!$C:$C)),"")</f>
        <v/>
      </c>
      <c r="L541">
        <f t="shared" si="30"/>
        <v>1</v>
      </c>
      <c r="M541" s="10" t="str">
        <f>IFERROR(_xlfn.XLOOKUP(C541,[1]StuntDes!$B:$B,[1]StuntDes!$A:$A),"")</f>
        <v/>
      </c>
      <c r="N541" s="10" t="str">
        <f>IFERROR(_xlfn.XLOOKUP(C541,[1]ModifierDes!$B:$B,[1]ModifierDes!$A:$A),"")</f>
        <v/>
      </c>
      <c r="O541" s="10">
        <f>IFERROR(_xlfn.XLOOKUP(C541,[1]AttributeName!$C:$C,[1]AttributeName!$B:$B),"")</f>
        <v>10304</v>
      </c>
      <c r="P541" s="10"/>
      <c r="Q541">
        <v>0.0399999999999998</v>
      </c>
      <c r="R541">
        <v>0.06</v>
      </c>
      <c r="S541" cm="1">
        <f t="array" ref="S541">IFERROR(_xlfn.SWITCH(L541,1,_xlfn.XLOOKUP(O541,[1]AttributeName!$B:$B,[1]AttributeName!$D:$D),2,_xlfn.XLOOKUP(C541,#REF!,#REF!),3,_xlfn.XLOOKUP(C541,#REF!,#REF!)),0)</f>
        <v>2</v>
      </c>
      <c r="T541" cm="1">
        <f t="array" ref="T541">IFERROR(_xlfn.SWITCH(L541,1,_xlfn.XLOOKUP(O541,[1]AttributeName!$B:$B,[1]AttributeName!$E:$E),2,_xlfn.XLOOKUP(C541,#REF!,#REF!),3,_xlfn.XLOOKUP(C541,#REF!,#REF!)),0)</f>
        <v>2</v>
      </c>
    </row>
    <row r="542" customFormat="1" spans="1:20">
      <c r="A542">
        <f t="shared" si="29"/>
        <v>208</v>
      </c>
      <c r="B542">
        <v>1</v>
      </c>
      <c r="C542" t="s">
        <v>386</v>
      </c>
      <c r="D542" t="s">
        <v>25</v>
      </c>
      <c r="E542" t="s">
        <v>378</v>
      </c>
      <c r="F542"/>
      <c r="G542">
        <v>1</v>
      </c>
      <c r="H542">
        <v>100</v>
      </c>
      <c r="I542">
        <v>3</v>
      </c>
      <c r="J542" cm="1">
        <f t="array" ref="J542">_xlfn.SWITCH(B542,1,75,2,61,3,49,4,37,5,25,6,13,7,4,8,1)</f>
        <v>75</v>
      </c>
      <c r="K542" t="str" cm="1">
        <f t="array" ref="K542">IFERROR(_xlfn.SWITCH(L542,2,_xlfn.XLOOKUP(C542,[1]ModifierDes!$B:$B,[1]ModifierDes!$C:$C),3,_xlfn.XLOOKUP(C542,[1]StuntDes!$B:$B,[1]StuntDes!$C:$C)),"")</f>
        <v/>
      </c>
      <c r="L542">
        <f t="shared" si="30"/>
        <v>1</v>
      </c>
      <c r="M542" s="10" t="str">
        <f>IFERROR(_xlfn.XLOOKUP(C542,[1]StuntDes!$B:$B,[1]StuntDes!$A:$A),"")</f>
        <v/>
      </c>
      <c r="N542" s="10" t="str">
        <f>IFERROR(_xlfn.XLOOKUP(C542,[1]ModifierDes!$B:$B,[1]ModifierDes!$A:$A),"")</f>
        <v/>
      </c>
      <c r="O542" s="10">
        <f>IFERROR(_xlfn.XLOOKUP(C542,[1]AttributeName!$C:$C,[1]AttributeName!$B:$B),"")</f>
        <v>10305</v>
      </c>
      <c r="P542" s="10"/>
      <c r="Q542">
        <v>0.25</v>
      </c>
      <c r="R542">
        <v>0.35</v>
      </c>
      <c r="S542" cm="1">
        <f t="array" ref="S542">IFERROR(_xlfn.SWITCH(L542,1,_xlfn.XLOOKUP(O542,[1]AttributeName!$B:$B,[1]AttributeName!$D:$D),2,_xlfn.XLOOKUP(C542,#REF!,#REF!),3,_xlfn.XLOOKUP(C542,#REF!,#REF!)),0)</f>
        <v>2</v>
      </c>
      <c r="T542" cm="1">
        <f t="array" ref="T542">IFERROR(_xlfn.SWITCH(L542,1,_xlfn.XLOOKUP(O542,[1]AttributeName!$B:$B,[1]AttributeName!$E:$E),2,_xlfn.XLOOKUP(C542,#REF!,#REF!),3,_xlfn.XLOOKUP(C542,#REF!,#REF!)),0)</f>
        <v>2</v>
      </c>
    </row>
    <row r="543" customFormat="1" spans="1:20">
      <c r="A543">
        <f t="shared" si="29"/>
        <v>208</v>
      </c>
      <c r="B543">
        <v>2</v>
      </c>
      <c r="C543" t="s">
        <v>386</v>
      </c>
      <c r="D543" t="s">
        <v>25</v>
      </c>
      <c r="E543" t="s">
        <v>378</v>
      </c>
      <c r="F543"/>
      <c r="G543">
        <v>1</v>
      </c>
      <c r="H543">
        <v>200</v>
      </c>
      <c r="I543">
        <v>3</v>
      </c>
      <c r="J543" cm="1">
        <f t="array" ref="J543">_xlfn.SWITCH(B543,1,75,2,61,3,49,4,37,5,25,6,13,7,4,8,1)</f>
        <v>61</v>
      </c>
      <c r="K543" t="str" cm="1">
        <f t="array" ref="K543">IFERROR(_xlfn.SWITCH(L543,2,_xlfn.XLOOKUP(C543,[1]ModifierDes!$B:$B,[1]ModifierDes!$C:$C),3,_xlfn.XLOOKUP(C543,[1]StuntDes!$B:$B,[1]StuntDes!$C:$C)),"")</f>
        <v/>
      </c>
      <c r="L543">
        <f t="shared" si="30"/>
        <v>1</v>
      </c>
      <c r="M543" s="10" t="str">
        <f>IFERROR(_xlfn.XLOOKUP(C543,[1]StuntDes!$B:$B,[1]StuntDes!$A:$A),"")</f>
        <v/>
      </c>
      <c r="N543" s="10" t="str">
        <f>IFERROR(_xlfn.XLOOKUP(C543,[1]ModifierDes!$B:$B,[1]ModifierDes!$A:$A),"")</f>
        <v/>
      </c>
      <c r="O543" s="10">
        <f>IFERROR(_xlfn.XLOOKUP(C543,[1]AttributeName!$C:$C,[1]AttributeName!$B:$B),"")</f>
        <v>10305</v>
      </c>
      <c r="P543" s="10"/>
      <c r="Q543">
        <v>0.22</v>
      </c>
      <c r="R543">
        <v>0.24</v>
      </c>
      <c r="S543" cm="1">
        <f t="array" ref="S543">IFERROR(_xlfn.SWITCH(L543,1,_xlfn.XLOOKUP(O543,[1]AttributeName!$B:$B,[1]AttributeName!$D:$D),2,_xlfn.XLOOKUP(C543,#REF!,#REF!),3,_xlfn.XLOOKUP(C543,#REF!,#REF!)),0)</f>
        <v>2</v>
      </c>
      <c r="T543" cm="1">
        <f t="array" ref="T543">IFERROR(_xlfn.SWITCH(L543,1,_xlfn.XLOOKUP(O543,[1]AttributeName!$B:$B,[1]AttributeName!$E:$E),2,_xlfn.XLOOKUP(C543,#REF!,#REF!),3,_xlfn.XLOOKUP(C543,#REF!,#REF!)),0)</f>
        <v>2</v>
      </c>
    </row>
    <row r="544" customFormat="1" spans="1:20">
      <c r="A544">
        <f t="shared" si="29"/>
        <v>208</v>
      </c>
      <c r="B544">
        <v>3</v>
      </c>
      <c r="C544" t="s">
        <v>386</v>
      </c>
      <c r="D544" t="s">
        <v>25</v>
      </c>
      <c r="E544" t="s">
        <v>378</v>
      </c>
      <c r="F544"/>
      <c r="G544">
        <v>1</v>
      </c>
      <c r="H544">
        <v>500</v>
      </c>
      <c r="I544">
        <v>3</v>
      </c>
      <c r="J544" cm="1">
        <f t="array" ref="J544">_xlfn.SWITCH(B544,1,75,2,61,3,49,4,37,5,25,6,13,7,4,8,1)</f>
        <v>49</v>
      </c>
      <c r="K544" t="str" cm="1">
        <f t="array" ref="K544">IFERROR(_xlfn.SWITCH(L544,2,_xlfn.XLOOKUP(C544,[1]ModifierDes!$B:$B,[1]ModifierDes!$C:$C),3,_xlfn.XLOOKUP(C544,[1]StuntDes!$B:$B,[1]StuntDes!$C:$C)),"")</f>
        <v/>
      </c>
      <c r="L544">
        <f t="shared" si="30"/>
        <v>1</v>
      </c>
      <c r="M544" s="10" t="str">
        <f>IFERROR(_xlfn.XLOOKUP(C544,[1]StuntDes!$B:$B,[1]StuntDes!$A:$A),"")</f>
        <v/>
      </c>
      <c r="N544" s="10" t="str">
        <f>IFERROR(_xlfn.XLOOKUP(C544,[1]ModifierDes!$B:$B,[1]ModifierDes!$A:$A),"")</f>
        <v/>
      </c>
      <c r="O544" s="10">
        <f>IFERROR(_xlfn.XLOOKUP(C544,[1]AttributeName!$C:$C,[1]AttributeName!$B:$B),"")</f>
        <v>10305</v>
      </c>
      <c r="P544" s="10"/>
      <c r="Q544">
        <v>0.19</v>
      </c>
      <c r="R544">
        <v>0.21</v>
      </c>
      <c r="S544" cm="1">
        <f t="array" ref="S544">IFERROR(_xlfn.SWITCH(L544,1,_xlfn.XLOOKUP(O544,[1]AttributeName!$B:$B,[1]AttributeName!$D:$D),2,_xlfn.XLOOKUP(C544,#REF!,#REF!),3,_xlfn.XLOOKUP(C544,#REF!,#REF!)),0)</f>
        <v>2</v>
      </c>
      <c r="T544" cm="1">
        <f t="array" ref="T544">IFERROR(_xlfn.SWITCH(L544,1,_xlfn.XLOOKUP(O544,[1]AttributeName!$B:$B,[1]AttributeName!$E:$E),2,_xlfn.XLOOKUP(C544,#REF!,#REF!),3,_xlfn.XLOOKUP(C544,#REF!,#REF!)),0)</f>
        <v>2</v>
      </c>
    </row>
    <row r="545" customFormat="1" spans="1:20">
      <c r="A545">
        <f t="shared" si="29"/>
        <v>208</v>
      </c>
      <c r="B545">
        <v>4</v>
      </c>
      <c r="C545" t="s">
        <v>386</v>
      </c>
      <c r="D545" t="s">
        <v>25</v>
      </c>
      <c r="E545" t="s">
        <v>378</v>
      </c>
      <c r="F545"/>
      <c r="G545">
        <v>1</v>
      </c>
      <c r="H545">
        <v>1000</v>
      </c>
      <c r="I545">
        <v>3</v>
      </c>
      <c r="J545" cm="1">
        <f t="array" ref="J545">_xlfn.SWITCH(B545,1,75,2,61,3,49,4,37,5,25,6,13,7,4,8,1)</f>
        <v>37</v>
      </c>
      <c r="K545" t="str" cm="1">
        <f t="array" ref="K545">IFERROR(_xlfn.SWITCH(L545,2,_xlfn.XLOOKUP(C545,[1]ModifierDes!$B:$B,[1]ModifierDes!$C:$C),3,_xlfn.XLOOKUP(C545,[1]StuntDes!$B:$B,[1]StuntDes!$C:$C)),"")</f>
        <v/>
      </c>
      <c r="L545">
        <f t="shared" si="30"/>
        <v>1</v>
      </c>
      <c r="M545" s="10" t="str">
        <f>IFERROR(_xlfn.XLOOKUP(C545,[1]StuntDes!$B:$B,[1]StuntDes!$A:$A),"")</f>
        <v/>
      </c>
      <c r="N545" s="10" t="str">
        <f>IFERROR(_xlfn.XLOOKUP(C545,[1]ModifierDes!$B:$B,[1]ModifierDes!$A:$A),"")</f>
        <v/>
      </c>
      <c r="O545" s="10">
        <f>IFERROR(_xlfn.XLOOKUP(C545,[1]AttributeName!$C:$C,[1]AttributeName!$B:$B),"")</f>
        <v>10305</v>
      </c>
      <c r="P545" s="10"/>
      <c r="Q545">
        <v>0.16</v>
      </c>
      <c r="R545">
        <v>0.18</v>
      </c>
      <c r="S545" cm="1">
        <f t="array" ref="S545">IFERROR(_xlfn.SWITCH(L545,1,_xlfn.XLOOKUP(O545,[1]AttributeName!$B:$B,[1]AttributeName!$D:$D),2,_xlfn.XLOOKUP(C545,#REF!,#REF!),3,_xlfn.XLOOKUP(C545,#REF!,#REF!)),0)</f>
        <v>2</v>
      </c>
      <c r="T545" cm="1">
        <f t="array" ref="T545">IFERROR(_xlfn.SWITCH(L545,1,_xlfn.XLOOKUP(O545,[1]AttributeName!$B:$B,[1]AttributeName!$E:$E),2,_xlfn.XLOOKUP(C545,#REF!,#REF!),3,_xlfn.XLOOKUP(C545,#REF!,#REF!)),0)</f>
        <v>2</v>
      </c>
    </row>
    <row r="546" customFormat="1" spans="1:20">
      <c r="A546">
        <f t="shared" si="29"/>
        <v>208</v>
      </c>
      <c r="B546">
        <v>5</v>
      </c>
      <c r="C546" t="s">
        <v>386</v>
      </c>
      <c r="D546" t="s">
        <v>25</v>
      </c>
      <c r="E546" t="s">
        <v>378</v>
      </c>
      <c r="F546"/>
      <c r="G546">
        <v>1</v>
      </c>
      <c r="H546">
        <v>1000</v>
      </c>
      <c r="I546">
        <v>3</v>
      </c>
      <c r="J546" cm="1">
        <f t="array" ref="J546">_xlfn.SWITCH(B546,1,75,2,61,3,49,4,37,5,25,6,13,7,4,8,1)</f>
        <v>25</v>
      </c>
      <c r="K546" t="str" cm="1">
        <f t="array" ref="K546">IFERROR(_xlfn.SWITCH(L546,2,_xlfn.XLOOKUP(C546,[1]ModifierDes!$B:$B,[1]ModifierDes!$C:$C),3,_xlfn.XLOOKUP(C546,[1]StuntDes!$B:$B,[1]StuntDes!$C:$C)),"")</f>
        <v/>
      </c>
      <c r="L546">
        <f t="shared" si="30"/>
        <v>1</v>
      </c>
      <c r="M546" s="10" t="str">
        <f>IFERROR(_xlfn.XLOOKUP(C546,[1]StuntDes!$B:$B,[1]StuntDes!$A:$A),"")</f>
        <v/>
      </c>
      <c r="N546" s="10" t="str">
        <f>IFERROR(_xlfn.XLOOKUP(C546,[1]ModifierDes!$B:$B,[1]ModifierDes!$A:$A),"")</f>
        <v/>
      </c>
      <c r="O546" s="10">
        <f>IFERROR(_xlfn.XLOOKUP(C546,[1]AttributeName!$C:$C,[1]AttributeName!$B:$B),"")</f>
        <v>10305</v>
      </c>
      <c r="P546" s="10"/>
      <c r="Q546">
        <v>0.13</v>
      </c>
      <c r="R546">
        <v>0.15</v>
      </c>
      <c r="S546" cm="1">
        <f t="array" ref="S546">IFERROR(_xlfn.SWITCH(L546,1,_xlfn.XLOOKUP(O546,[1]AttributeName!$B:$B,[1]AttributeName!$D:$D),2,_xlfn.XLOOKUP(C546,#REF!,#REF!),3,_xlfn.XLOOKUP(C546,#REF!,#REF!)),0)</f>
        <v>2</v>
      </c>
      <c r="T546" cm="1">
        <f t="array" ref="T546">IFERROR(_xlfn.SWITCH(L546,1,_xlfn.XLOOKUP(O546,[1]AttributeName!$B:$B,[1]AttributeName!$E:$E),2,_xlfn.XLOOKUP(C546,#REF!,#REF!),3,_xlfn.XLOOKUP(C546,#REF!,#REF!)),0)</f>
        <v>2</v>
      </c>
    </row>
    <row r="547" customFormat="1" spans="1:20">
      <c r="A547">
        <f t="shared" si="29"/>
        <v>208</v>
      </c>
      <c r="B547">
        <v>6</v>
      </c>
      <c r="C547" t="s">
        <v>386</v>
      </c>
      <c r="D547" t="s">
        <v>25</v>
      </c>
      <c r="E547" t="s">
        <v>378</v>
      </c>
      <c r="F547"/>
      <c r="G547">
        <v>1</v>
      </c>
      <c r="H547">
        <v>1000</v>
      </c>
      <c r="I547">
        <v>3</v>
      </c>
      <c r="J547" cm="1">
        <f t="array" ref="J547">_xlfn.SWITCH(B547,1,75,2,61,3,49,4,37,5,25,6,13,7,4,8,1)</f>
        <v>13</v>
      </c>
      <c r="K547" t="str" cm="1">
        <f t="array" ref="K547">IFERROR(_xlfn.SWITCH(L547,2,_xlfn.XLOOKUP(C547,[1]ModifierDes!$B:$B,[1]ModifierDes!$C:$C),3,_xlfn.XLOOKUP(C547,[1]StuntDes!$B:$B,[1]StuntDes!$C:$C)),"")</f>
        <v/>
      </c>
      <c r="L547">
        <f t="shared" si="30"/>
        <v>1</v>
      </c>
      <c r="M547" s="10" t="str">
        <f>IFERROR(_xlfn.XLOOKUP(C547,[1]StuntDes!$B:$B,[1]StuntDes!$A:$A),"")</f>
        <v/>
      </c>
      <c r="N547" s="10" t="str">
        <f>IFERROR(_xlfn.XLOOKUP(C547,[1]ModifierDes!$B:$B,[1]ModifierDes!$A:$A),"")</f>
        <v/>
      </c>
      <c r="O547" s="10">
        <f>IFERROR(_xlfn.XLOOKUP(C547,[1]AttributeName!$C:$C,[1]AttributeName!$B:$B),"")</f>
        <v>10305</v>
      </c>
      <c r="P547" s="10"/>
      <c r="Q547">
        <v>0.0999999999999999</v>
      </c>
      <c r="R547">
        <v>0.12</v>
      </c>
      <c r="S547" cm="1">
        <f t="array" ref="S547">IFERROR(_xlfn.SWITCH(L547,1,_xlfn.XLOOKUP(O547,[1]AttributeName!$B:$B,[1]AttributeName!$D:$D),2,_xlfn.XLOOKUP(C547,#REF!,#REF!),3,_xlfn.XLOOKUP(C547,#REF!,#REF!)),0)</f>
        <v>2</v>
      </c>
      <c r="T547" cm="1">
        <f t="array" ref="T547">IFERROR(_xlfn.SWITCH(L547,1,_xlfn.XLOOKUP(O547,[1]AttributeName!$B:$B,[1]AttributeName!$E:$E),2,_xlfn.XLOOKUP(C547,#REF!,#REF!),3,_xlfn.XLOOKUP(C547,#REF!,#REF!)),0)</f>
        <v>2</v>
      </c>
    </row>
    <row r="548" customFormat="1" spans="1:20">
      <c r="A548">
        <f t="shared" si="29"/>
        <v>208</v>
      </c>
      <c r="B548">
        <v>7</v>
      </c>
      <c r="C548" t="s">
        <v>386</v>
      </c>
      <c r="D548" t="s">
        <v>25</v>
      </c>
      <c r="E548" t="s">
        <v>378</v>
      </c>
      <c r="F548"/>
      <c r="G548">
        <v>1</v>
      </c>
      <c r="H548">
        <v>1000</v>
      </c>
      <c r="I548">
        <v>3</v>
      </c>
      <c r="J548" cm="1">
        <f t="array" ref="J548">_xlfn.SWITCH(B548,1,75,2,61,3,49,4,37,5,25,6,13,7,4,8,1)</f>
        <v>4</v>
      </c>
      <c r="K548" t="str" cm="1">
        <f t="array" ref="K548">IFERROR(_xlfn.SWITCH(L548,2,_xlfn.XLOOKUP(C548,[1]ModifierDes!$B:$B,[1]ModifierDes!$C:$C),3,_xlfn.XLOOKUP(C548,[1]StuntDes!$B:$B,[1]StuntDes!$C:$C)),"")</f>
        <v/>
      </c>
      <c r="L548">
        <f t="shared" si="30"/>
        <v>1</v>
      </c>
      <c r="M548" s="10" t="str">
        <f>IFERROR(_xlfn.XLOOKUP(C548,[1]StuntDes!$B:$B,[1]StuntDes!$A:$A),"")</f>
        <v/>
      </c>
      <c r="N548" s="10" t="str">
        <f>IFERROR(_xlfn.XLOOKUP(C548,[1]ModifierDes!$B:$B,[1]ModifierDes!$A:$A),"")</f>
        <v/>
      </c>
      <c r="O548" s="10">
        <f>IFERROR(_xlfn.XLOOKUP(C548,[1]AttributeName!$C:$C,[1]AttributeName!$B:$B),"")</f>
        <v>10305</v>
      </c>
      <c r="P548" s="10"/>
      <c r="Q548">
        <v>0.0699999999999999</v>
      </c>
      <c r="R548">
        <v>0.09</v>
      </c>
      <c r="S548" cm="1">
        <f t="array" ref="S548">IFERROR(_xlfn.SWITCH(L548,1,_xlfn.XLOOKUP(O548,[1]AttributeName!$B:$B,[1]AttributeName!$D:$D),2,_xlfn.XLOOKUP(C548,#REF!,#REF!),3,_xlfn.XLOOKUP(C548,#REF!,#REF!)),0)</f>
        <v>2</v>
      </c>
      <c r="T548" cm="1">
        <f t="array" ref="T548">IFERROR(_xlfn.SWITCH(L548,1,_xlfn.XLOOKUP(O548,[1]AttributeName!$B:$B,[1]AttributeName!$E:$E),2,_xlfn.XLOOKUP(C548,#REF!,#REF!),3,_xlfn.XLOOKUP(C548,#REF!,#REF!)),0)</f>
        <v>2</v>
      </c>
    </row>
    <row r="549" customFormat="1" spans="1:20">
      <c r="A549">
        <f t="shared" si="29"/>
        <v>208</v>
      </c>
      <c r="B549">
        <v>8</v>
      </c>
      <c r="C549" t="s">
        <v>386</v>
      </c>
      <c r="D549" t="s">
        <v>25</v>
      </c>
      <c r="E549" t="s">
        <v>378</v>
      </c>
      <c r="F549"/>
      <c r="G549">
        <v>1</v>
      </c>
      <c r="H549">
        <v>1000</v>
      </c>
      <c r="I549">
        <v>3</v>
      </c>
      <c r="J549" cm="1">
        <f t="array" ref="J549">_xlfn.SWITCH(B549,1,75,2,61,3,49,4,37,5,25,6,13,7,4,8,1)</f>
        <v>1</v>
      </c>
      <c r="K549" t="str" cm="1">
        <f t="array" ref="K549">IFERROR(_xlfn.SWITCH(L549,2,_xlfn.XLOOKUP(C549,[1]ModifierDes!$B:$B,[1]ModifierDes!$C:$C),3,_xlfn.XLOOKUP(C549,[1]StuntDes!$B:$B,[1]StuntDes!$C:$C)),"")</f>
        <v/>
      </c>
      <c r="L549">
        <f t="shared" si="30"/>
        <v>1</v>
      </c>
      <c r="M549" s="10" t="str">
        <f>IFERROR(_xlfn.XLOOKUP(C549,[1]StuntDes!$B:$B,[1]StuntDes!$A:$A),"")</f>
        <v/>
      </c>
      <c r="N549" s="10" t="str">
        <f>IFERROR(_xlfn.XLOOKUP(C549,[1]ModifierDes!$B:$B,[1]ModifierDes!$A:$A),"")</f>
        <v/>
      </c>
      <c r="O549" s="10">
        <f>IFERROR(_xlfn.XLOOKUP(C549,[1]AttributeName!$C:$C,[1]AttributeName!$B:$B),"")</f>
        <v>10305</v>
      </c>
      <c r="P549" s="10"/>
      <c r="Q549">
        <v>0.0399999999999998</v>
      </c>
      <c r="R549">
        <v>0.06</v>
      </c>
      <c r="S549" cm="1">
        <f t="array" ref="S549">IFERROR(_xlfn.SWITCH(L549,1,_xlfn.XLOOKUP(O549,[1]AttributeName!$B:$B,[1]AttributeName!$D:$D),2,_xlfn.XLOOKUP(C549,#REF!,#REF!),3,_xlfn.XLOOKUP(C549,#REF!,#REF!)),0)</f>
        <v>2</v>
      </c>
      <c r="T549" cm="1">
        <f t="array" ref="T549">IFERROR(_xlfn.SWITCH(L549,1,_xlfn.XLOOKUP(O549,[1]AttributeName!$B:$B,[1]AttributeName!$E:$E),2,_xlfn.XLOOKUP(C549,#REF!,#REF!),3,_xlfn.XLOOKUP(C549,#REF!,#REF!)),0)</f>
        <v>2</v>
      </c>
    </row>
    <row r="550" customFormat="1" spans="1:20">
      <c r="A550">
        <f t="shared" si="29"/>
        <v>209</v>
      </c>
      <c r="B550">
        <v>1</v>
      </c>
      <c r="C550" t="s">
        <v>387</v>
      </c>
      <c r="D550" t="s">
        <v>25</v>
      </c>
      <c r="E550" t="s">
        <v>378</v>
      </c>
      <c r="F550"/>
      <c r="G550">
        <v>1</v>
      </c>
      <c r="H550">
        <v>100</v>
      </c>
      <c r="I550">
        <v>3</v>
      </c>
      <c r="J550" cm="1">
        <f t="array" ref="J550">_xlfn.SWITCH(B550,1,75,2,61,3,49,4,37,5,25,6,13,7,4,8,1)</f>
        <v>75</v>
      </c>
      <c r="K550" t="str" cm="1">
        <f t="array" ref="K550">IFERROR(_xlfn.SWITCH(L550,2,_xlfn.XLOOKUP(C550,[1]ModifierDes!$B:$B,[1]ModifierDes!$C:$C),3,_xlfn.XLOOKUP(C550,[1]StuntDes!$B:$B,[1]StuntDes!$C:$C)),"")</f>
        <v/>
      </c>
      <c r="L550">
        <f t="shared" si="30"/>
        <v>1</v>
      </c>
      <c r="M550" s="10" t="str">
        <f>IFERROR(_xlfn.XLOOKUP(C550,[1]StuntDes!$B:$B,[1]StuntDes!$A:$A),"")</f>
        <v/>
      </c>
      <c r="N550" s="10" t="str">
        <f>IFERROR(_xlfn.XLOOKUP(C550,[1]ModifierDes!$B:$B,[1]ModifierDes!$A:$A),"")</f>
        <v/>
      </c>
      <c r="O550" s="10">
        <f>IFERROR(_xlfn.XLOOKUP(C550,[1]AttributeName!$C:$C,[1]AttributeName!$B:$B),"")</f>
        <v>10306</v>
      </c>
      <c r="P550" s="10"/>
      <c r="Q550">
        <v>0.25</v>
      </c>
      <c r="R550">
        <v>0.35</v>
      </c>
      <c r="S550" cm="1">
        <f t="array" ref="S550">IFERROR(_xlfn.SWITCH(L550,1,_xlfn.XLOOKUP(O550,[1]AttributeName!$B:$B,[1]AttributeName!$D:$D),2,_xlfn.XLOOKUP(C550,#REF!,#REF!),3,_xlfn.XLOOKUP(C550,#REF!,#REF!)),0)</f>
        <v>2</v>
      </c>
      <c r="T550" cm="1">
        <f t="array" ref="T550">IFERROR(_xlfn.SWITCH(L550,1,_xlfn.XLOOKUP(O550,[1]AttributeName!$B:$B,[1]AttributeName!$E:$E),2,_xlfn.XLOOKUP(C550,#REF!,#REF!),3,_xlfn.XLOOKUP(C550,#REF!,#REF!)),0)</f>
        <v>2</v>
      </c>
    </row>
    <row r="551" customFormat="1" spans="1:20">
      <c r="A551">
        <f t="shared" si="29"/>
        <v>209</v>
      </c>
      <c r="B551">
        <v>2</v>
      </c>
      <c r="C551" t="s">
        <v>387</v>
      </c>
      <c r="D551" t="s">
        <v>25</v>
      </c>
      <c r="E551" t="s">
        <v>378</v>
      </c>
      <c r="F551"/>
      <c r="G551">
        <v>1</v>
      </c>
      <c r="H551">
        <v>200</v>
      </c>
      <c r="I551">
        <v>3</v>
      </c>
      <c r="J551" cm="1">
        <f t="array" ref="J551">_xlfn.SWITCH(B551,1,75,2,61,3,49,4,37,5,25,6,13,7,4,8,1)</f>
        <v>61</v>
      </c>
      <c r="K551" t="str" cm="1">
        <f t="array" ref="K551">IFERROR(_xlfn.SWITCH(L551,2,_xlfn.XLOOKUP(C551,[1]ModifierDes!$B:$B,[1]ModifierDes!$C:$C),3,_xlfn.XLOOKUP(C551,[1]StuntDes!$B:$B,[1]StuntDes!$C:$C)),"")</f>
        <v/>
      </c>
      <c r="L551">
        <f t="shared" si="30"/>
        <v>1</v>
      </c>
      <c r="M551" s="10" t="str">
        <f>IFERROR(_xlfn.XLOOKUP(C551,[1]StuntDes!$B:$B,[1]StuntDes!$A:$A),"")</f>
        <v/>
      </c>
      <c r="N551" s="10" t="str">
        <f>IFERROR(_xlfn.XLOOKUP(C551,[1]ModifierDes!$B:$B,[1]ModifierDes!$A:$A),"")</f>
        <v/>
      </c>
      <c r="O551" s="10">
        <f>IFERROR(_xlfn.XLOOKUP(C551,[1]AttributeName!$C:$C,[1]AttributeName!$B:$B),"")</f>
        <v>10306</v>
      </c>
      <c r="P551" s="10"/>
      <c r="Q551">
        <v>0.22</v>
      </c>
      <c r="R551">
        <v>0.24</v>
      </c>
      <c r="S551" cm="1">
        <f t="array" ref="S551">IFERROR(_xlfn.SWITCH(L551,1,_xlfn.XLOOKUP(O551,[1]AttributeName!$B:$B,[1]AttributeName!$D:$D),2,_xlfn.XLOOKUP(C551,#REF!,#REF!),3,_xlfn.XLOOKUP(C551,#REF!,#REF!)),0)</f>
        <v>2</v>
      </c>
      <c r="T551" cm="1">
        <f t="array" ref="T551">IFERROR(_xlfn.SWITCH(L551,1,_xlfn.XLOOKUP(O551,[1]AttributeName!$B:$B,[1]AttributeName!$E:$E),2,_xlfn.XLOOKUP(C551,#REF!,#REF!),3,_xlfn.XLOOKUP(C551,#REF!,#REF!)),0)</f>
        <v>2</v>
      </c>
    </row>
    <row r="552" customFormat="1" spans="1:20">
      <c r="A552">
        <f t="shared" si="29"/>
        <v>209</v>
      </c>
      <c r="B552">
        <v>3</v>
      </c>
      <c r="C552" t="s">
        <v>387</v>
      </c>
      <c r="D552" t="s">
        <v>25</v>
      </c>
      <c r="E552" t="s">
        <v>378</v>
      </c>
      <c r="F552"/>
      <c r="G552">
        <v>1</v>
      </c>
      <c r="H552">
        <v>500</v>
      </c>
      <c r="I552">
        <v>3</v>
      </c>
      <c r="J552" cm="1">
        <f t="array" ref="J552">_xlfn.SWITCH(B552,1,75,2,61,3,49,4,37,5,25,6,13,7,4,8,1)</f>
        <v>49</v>
      </c>
      <c r="K552" t="str" cm="1">
        <f t="array" ref="K552">IFERROR(_xlfn.SWITCH(L552,2,_xlfn.XLOOKUP(C552,[1]ModifierDes!$B:$B,[1]ModifierDes!$C:$C),3,_xlfn.XLOOKUP(C552,[1]StuntDes!$B:$B,[1]StuntDes!$C:$C)),"")</f>
        <v/>
      </c>
      <c r="L552">
        <f t="shared" si="30"/>
        <v>1</v>
      </c>
      <c r="M552" s="10" t="str">
        <f>IFERROR(_xlfn.XLOOKUP(C552,[1]StuntDes!$B:$B,[1]StuntDes!$A:$A),"")</f>
        <v/>
      </c>
      <c r="N552" s="10" t="str">
        <f>IFERROR(_xlfn.XLOOKUP(C552,[1]ModifierDes!$B:$B,[1]ModifierDes!$A:$A),"")</f>
        <v/>
      </c>
      <c r="O552" s="10">
        <f>IFERROR(_xlfn.XLOOKUP(C552,[1]AttributeName!$C:$C,[1]AttributeName!$B:$B),"")</f>
        <v>10306</v>
      </c>
      <c r="P552" s="10"/>
      <c r="Q552">
        <v>0.19</v>
      </c>
      <c r="R552">
        <v>0.21</v>
      </c>
      <c r="S552" cm="1">
        <f t="array" ref="S552">IFERROR(_xlfn.SWITCH(L552,1,_xlfn.XLOOKUP(O552,[1]AttributeName!$B:$B,[1]AttributeName!$D:$D),2,_xlfn.XLOOKUP(C552,#REF!,#REF!),3,_xlfn.XLOOKUP(C552,#REF!,#REF!)),0)</f>
        <v>2</v>
      </c>
      <c r="T552" cm="1">
        <f t="array" ref="T552">IFERROR(_xlfn.SWITCH(L552,1,_xlfn.XLOOKUP(O552,[1]AttributeName!$B:$B,[1]AttributeName!$E:$E),2,_xlfn.XLOOKUP(C552,#REF!,#REF!),3,_xlfn.XLOOKUP(C552,#REF!,#REF!)),0)</f>
        <v>2</v>
      </c>
    </row>
    <row r="553" customFormat="1" spans="1:20">
      <c r="A553">
        <f t="shared" si="29"/>
        <v>209</v>
      </c>
      <c r="B553">
        <v>4</v>
      </c>
      <c r="C553" t="s">
        <v>387</v>
      </c>
      <c r="D553" t="s">
        <v>25</v>
      </c>
      <c r="E553" t="s">
        <v>378</v>
      </c>
      <c r="F553"/>
      <c r="G553">
        <v>1</v>
      </c>
      <c r="H553">
        <v>1000</v>
      </c>
      <c r="I553">
        <v>3</v>
      </c>
      <c r="J553" cm="1">
        <f t="array" ref="J553">_xlfn.SWITCH(B553,1,75,2,61,3,49,4,37,5,25,6,13,7,4,8,1)</f>
        <v>37</v>
      </c>
      <c r="K553" t="str" cm="1">
        <f t="array" ref="K553">IFERROR(_xlfn.SWITCH(L553,2,_xlfn.XLOOKUP(C553,[1]ModifierDes!$B:$B,[1]ModifierDes!$C:$C),3,_xlfn.XLOOKUP(C553,[1]StuntDes!$B:$B,[1]StuntDes!$C:$C)),"")</f>
        <v/>
      </c>
      <c r="L553">
        <f t="shared" si="30"/>
        <v>1</v>
      </c>
      <c r="M553" s="10" t="str">
        <f>IFERROR(_xlfn.XLOOKUP(C553,[1]StuntDes!$B:$B,[1]StuntDes!$A:$A),"")</f>
        <v/>
      </c>
      <c r="N553" s="10" t="str">
        <f>IFERROR(_xlfn.XLOOKUP(C553,[1]ModifierDes!$B:$B,[1]ModifierDes!$A:$A),"")</f>
        <v/>
      </c>
      <c r="O553" s="10">
        <f>IFERROR(_xlfn.XLOOKUP(C553,[1]AttributeName!$C:$C,[1]AttributeName!$B:$B),"")</f>
        <v>10306</v>
      </c>
      <c r="P553" s="10"/>
      <c r="Q553">
        <v>0.16</v>
      </c>
      <c r="R553">
        <v>0.18</v>
      </c>
      <c r="S553" cm="1">
        <f t="array" ref="S553">IFERROR(_xlfn.SWITCH(L553,1,_xlfn.XLOOKUP(O553,[1]AttributeName!$B:$B,[1]AttributeName!$D:$D),2,_xlfn.XLOOKUP(C553,#REF!,#REF!),3,_xlfn.XLOOKUP(C553,#REF!,#REF!)),0)</f>
        <v>2</v>
      </c>
      <c r="T553" cm="1">
        <f t="array" ref="T553">IFERROR(_xlfn.SWITCH(L553,1,_xlfn.XLOOKUP(O553,[1]AttributeName!$B:$B,[1]AttributeName!$E:$E),2,_xlfn.XLOOKUP(C553,#REF!,#REF!),3,_xlfn.XLOOKUP(C553,#REF!,#REF!)),0)</f>
        <v>2</v>
      </c>
    </row>
    <row r="554" customFormat="1" spans="1:20">
      <c r="A554">
        <f t="shared" si="29"/>
        <v>209</v>
      </c>
      <c r="B554">
        <v>5</v>
      </c>
      <c r="C554" t="s">
        <v>387</v>
      </c>
      <c r="D554" t="s">
        <v>25</v>
      </c>
      <c r="E554" t="s">
        <v>378</v>
      </c>
      <c r="F554"/>
      <c r="G554">
        <v>1</v>
      </c>
      <c r="H554">
        <v>1000</v>
      </c>
      <c r="I554">
        <v>3</v>
      </c>
      <c r="J554" cm="1">
        <f t="array" ref="J554">_xlfn.SWITCH(B554,1,75,2,61,3,49,4,37,5,25,6,13,7,4,8,1)</f>
        <v>25</v>
      </c>
      <c r="K554" t="str" cm="1">
        <f t="array" ref="K554">IFERROR(_xlfn.SWITCH(L554,2,_xlfn.XLOOKUP(C554,[1]ModifierDes!$B:$B,[1]ModifierDes!$C:$C),3,_xlfn.XLOOKUP(C554,[1]StuntDes!$B:$B,[1]StuntDes!$C:$C)),"")</f>
        <v/>
      </c>
      <c r="L554">
        <f t="shared" si="30"/>
        <v>1</v>
      </c>
      <c r="M554" s="10" t="str">
        <f>IFERROR(_xlfn.XLOOKUP(C554,[1]StuntDes!$B:$B,[1]StuntDes!$A:$A),"")</f>
        <v/>
      </c>
      <c r="N554" s="10" t="str">
        <f>IFERROR(_xlfn.XLOOKUP(C554,[1]ModifierDes!$B:$B,[1]ModifierDes!$A:$A),"")</f>
        <v/>
      </c>
      <c r="O554" s="10">
        <f>IFERROR(_xlfn.XLOOKUP(C554,[1]AttributeName!$C:$C,[1]AttributeName!$B:$B),"")</f>
        <v>10306</v>
      </c>
      <c r="P554" s="10"/>
      <c r="Q554">
        <v>0.13</v>
      </c>
      <c r="R554">
        <v>0.15</v>
      </c>
      <c r="S554" cm="1">
        <f t="array" ref="S554">IFERROR(_xlfn.SWITCH(L554,1,_xlfn.XLOOKUP(O554,[1]AttributeName!$B:$B,[1]AttributeName!$D:$D),2,_xlfn.XLOOKUP(C554,#REF!,#REF!),3,_xlfn.XLOOKUP(C554,#REF!,#REF!)),0)</f>
        <v>2</v>
      </c>
      <c r="T554" cm="1">
        <f t="array" ref="T554">IFERROR(_xlfn.SWITCH(L554,1,_xlfn.XLOOKUP(O554,[1]AttributeName!$B:$B,[1]AttributeName!$E:$E),2,_xlfn.XLOOKUP(C554,#REF!,#REF!),3,_xlfn.XLOOKUP(C554,#REF!,#REF!)),0)</f>
        <v>2</v>
      </c>
    </row>
    <row r="555" customFormat="1" spans="1:20">
      <c r="A555">
        <f t="shared" si="29"/>
        <v>209</v>
      </c>
      <c r="B555">
        <v>6</v>
      </c>
      <c r="C555" t="s">
        <v>387</v>
      </c>
      <c r="D555" t="s">
        <v>25</v>
      </c>
      <c r="E555" t="s">
        <v>378</v>
      </c>
      <c r="F555"/>
      <c r="G555">
        <v>1</v>
      </c>
      <c r="H555">
        <v>1000</v>
      </c>
      <c r="I555">
        <v>3</v>
      </c>
      <c r="J555" cm="1">
        <f t="array" ref="J555">_xlfn.SWITCH(B555,1,75,2,61,3,49,4,37,5,25,6,13,7,4,8,1)</f>
        <v>13</v>
      </c>
      <c r="K555" t="str" cm="1">
        <f t="array" ref="K555">IFERROR(_xlfn.SWITCH(L555,2,_xlfn.XLOOKUP(C555,[1]ModifierDes!$B:$B,[1]ModifierDes!$C:$C),3,_xlfn.XLOOKUP(C555,[1]StuntDes!$B:$B,[1]StuntDes!$C:$C)),"")</f>
        <v/>
      </c>
      <c r="L555">
        <f t="shared" si="30"/>
        <v>1</v>
      </c>
      <c r="M555" s="10" t="str">
        <f>IFERROR(_xlfn.XLOOKUP(C555,[1]StuntDes!$B:$B,[1]StuntDes!$A:$A),"")</f>
        <v/>
      </c>
      <c r="N555" s="10" t="str">
        <f>IFERROR(_xlfn.XLOOKUP(C555,[1]ModifierDes!$B:$B,[1]ModifierDes!$A:$A),"")</f>
        <v/>
      </c>
      <c r="O555" s="10">
        <f>IFERROR(_xlfn.XLOOKUP(C555,[1]AttributeName!$C:$C,[1]AttributeName!$B:$B),"")</f>
        <v>10306</v>
      </c>
      <c r="P555" s="10"/>
      <c r="Q555">
        <v>0.0999999999999999</v>
      </c>
      <c r="R555">
        <v>0.12</v>
      </c>
      <c r="S555" cm="1">
        <f t="array" ref="S555">IFERROR(_xlfn.SWITCH(L555,1,_xlfn.XLOOKUP(O555,[1]AttributeName!$B:$B,[1]AttributeName!$D:$D),2,_xlfn.XLOOKUP(C555,#REF!,#REF!),3,_xlfn.XLOOKUP(C555,#REF!,#REF!)),0)</f>
        <v>2</v>
      </c>
      <c r="T555" cm="1">
        <f t="array" ref="T555">IFERROR(_xlfn.SWITCH(L555,1,_xlfn.XLOOKUP(O555,[1]AttributeName!$B:$B,[1]AttributeName!$E:$E),2,_xlfn.XLOOKUP(C555,#REF!,#REF!),3,_xlfn.XLOOKUP(C555,#REF!,#REF!)),0)</f>
        <v>2</v>
      </c>
    </row>
    <row r="556" customFormat="1" spans="1:20">
      <c r="A556">
        <f t="shared" si="29"/>
        <v>209</v>
      </c>
      <c r="B556">
        <v>7</v>
      </c>
      <c r="C556" t="s">
        <v>387</v>
      </c>
      <c r="D556" t="s">
        <v>25</v>
      </c>
      <c r="E556" t="s">
        <v>378</v>
      </c>
      <c r="F556"/>
      <c r="G556">
        <v>1</v>
      </c>
      <c r="H556">
        <v>1000</v>
      </c>
      <c r="I556">
        <v>3</v>
      </c>
      <c r="J556" cm="1">
        <f t="array" ref="J556">_xlfn.SWITCH(B556,1,75,2,61,3,49,4,37,5,25,6,13,7,4,8,1)</f>
        <v>4</v>
      </c>
      <c r="K556" t="str" cm="1">
        <f t="array" ref="K556">IFERROR(_xlfn.SWITCH(L556,2,_xlfn.XLOOKUP(C556,[1]ModifierDes!$B:$B,[1]ModifierDes!$C:$C),3,_xlfn.XLOOKUP(C556,[1]StuntDes!$B:$B,[1]StuntDes!$C:$C)),"")</f>
        <v/>
      </c>
      <c r="L556">
        <f t="shared" si="30"/>
        <v>1</v>
      </c>
      <c r="M556" s="10" t="str">
        <f>IFERROR(_xlfn.XLOOKUP(C556,[1]StuntDes!$B:$B,[1]StuntDes!$A:$A),"")</f>
        <v/>
      </c>
      <c r="N556" s="10" t="str">
        <f>IFERROR(_xlfn.XLOOKUP(C556,[1]ModifierDes!$B:$B,[1]ModifierDes!$A:$A),"")</f>
        <v/>
      </c>
      <c r="O556" s="10">
        <f>IFERROR(_xlfn.XLOOKUP(C556,[1]AttributeName!$C:$C,[1]AttributeName!$B:$B),"")</f>
        <v>10306</v>
      </c>
      <c r="P556" s="10"/>
      <c r="Q556">
        <v>0.0699999999999999</v>
      </c>
      <c r="R556">
        <v>0.09</v>
      </c>
      <c r="S556" cm="1">
        <f t="array" ref="S556">IFERROR(_xlfn.SWITCH(L556,1,_xlfn.XLOOKUP(O556,[1]AttributeName!$B:$B,[1]AttributeName!$D:$D),2,_xlfn.XLOOKUP(C556,#REF!,#REF!),3,_xlfn.XLOOKUP(C556,#REF!,#REF!)),0)</f>
        <v>2</v>
      </c>
      <c r="T556" cm="1">
        <f t="array" ref="T556">IFERROR(_xlfn.SWITCH(L556,1,_xlfn.XLOOKUP(O556,[1]AttributeName!$B:$B,[1]AttributeName!$E:$E),2,_xlfn.XLOOKUP(C556,#REF!,#REF!),3,_xlfn.XLOOKUP(C556,#REF!,#REF!)),0)</f>
        <v>2</v>
      </c>
    </row>
    <row r="557" customFormat="1" spans="1:20">
      <c r="A557">
        <f t="shared" si="29"/>
        <v>209</v>
      </c>
      <c r="B557">
        <v>8</v>
      </c>
      <c r="C557" t="s">
        <v>387</v>
      </c>
      <c r="D557" t="s">
        <v>25</v>
      </c>
      <c r="E557" t="s">
        <v>378</v>
      </c>
      <c r="F557"/>
      <c r="G557">
        <v>1</v>
      </c>
      <c r="H557">
        <v>1000</v>
      </c>
      <c r="I557">
        <v>3</v>
      </c>
      <c r="J557" cm="1">
        <f t="array" ref="J557">_xlfn.SWITCH(B557,1,75,2,61,3,49,4,37,5,25,6,13,7,4,8,1)</f>
        <v>1</v>
      </c>
      <c r="K557" t="str" cm="1">
        <f t="array" ref="K557">IFERROR(_xlfn.SWITCH(L557,2,_xlfn.XLOOKUP(C557,[1]ModifierDes!$B:$B,[1]ModifierDes!$C:$C),3,_xlfn.XLOOKUP(C557,[1]StuntDes!$B:$B,[1]StuntDes!$C:$C)),"")</f>
        <v/>
      </c>
      <c r="L557">
        <f t="shared" si="30"/>
        <v>1</v>
      </c>
      <c r="M557" s="10" t="str">
        <f>IFERROR(_xlfn.XLOOKUP(C557,[1]StuntDes!$B:$B,[1]StuntDes!$A:$A),"")</f>
        <v/>
      </c>
      <c r="N557" s="10" t="str">
        <f>IFERROR(_xlfn.XLOOKUP(C557,[1]ModifierDes!$B:$B,[1]ModifierDes!$A:$A),"")</f>
        <v/>
      </c>
      <c r="O557" s="10">
        <f>IFERROR(_xlfn.XLOOKUP(C557,[1]AttributeName!$C:$C,[1]AttributeName!$B:$B),"")</f>
        <v>10306</v>
      </c>
      <c r="P557" s="10"/>
      <c r="Q557">
        <v>0.0399999999999998</v>
      </c>
      <c r="R557">
        <v>0.06</v>
      </c>
      <c r="S557" cm="1">
        <f t="array" ref="S557">IFERROR(_xlfn.SWITCH(L557,1,_xlfn.XLOOKUP(O557,[1]AttributeName!$B:$B,[1]AttributeName!$D:$D),2,_xlfn.XLOOKUP(C557,#REF!,#REF!),3,_xlfn.XLOOKUP(C557,#REF!,#REF!)),0)</f>
        <v>2</v>
      </c>
      <c r="T557" cm="1">
        <f t="array" ref="T557">IFERROR(_xlfn.SWITCH(L557,1,_xlfn.XLOOKUP(O557,[1]AttributeName!$B:$B,[1]AttributeName!$E:$E),2,_xlfn.XLOOKUP(C557,#REF!,#REF!),3,_xlfn.XLOOKUP(C557,#REF!,#REF!)),0)</f>
        <v>2</v>
      </c>
    </row>
    <row r="558" customFormat="1" spans="1:20">
      <c r="A558">
        <f t="shared" ref="A558:A597" si="31">A550+1</f>
        <v>210</v>
      </c>
      <c r="B558">
        <v>1</v>
      </c>
      <c r="C558" t="s">
        <v>388</v>
      </c>
      <c r="D558" t="s">
        <v>25</v>
      </c>
      <c r="E558" t="s">
        <v>378</v>
      </c>
      <c r="F558"/>
      <c r="G558">
        <v>1</v>
      </c>
      <c r="H558">
        <v>100</v>
      </c>
      <c r="I558">
        <v>3</v>
      </c>
      <c r="J558" cm="1">
        <f t="array" ref="J558">_xlfn.SWITCH(B558,1,75,2,61,3,49,4,37,5,25,6,13,7,4,8,1)</f>
        <v>75</v>
      </c>
      <c r="K558" t="str" cm="1">
        <f t="array" ref="K558">IFERROR(_xlfn.SWITCH(L558,2,_xlfn.XLOOKUP(C558,[1]ModifierDes!$B:$B,[1]ModifierDes!$C:$C),3,_xlfn.XLOOKUP(C558,[1]StuntDes!$B:$B,[1]StuntDes!$C:$C)),"")</f>
        <v/>
      </c>
      <c r="L558">
        <f t="shared" si="30"/>
        <v>1</v>
      </c>
      <c r="M558" s="10" t="str">
        <f>IFERROR(_xlfn.XLOOKUP(C558,[1]StuntDes!$B:$B,[1]StuntDes!$A:$A),"")</f>
        <v/>
      </c>
      <c r="N558" s="10" t="str">
        <f>IFERROR(_xlfn.XLOOKUP(C558,[1]ModifierDes!$B:$B,[1]ModifierDes!$A:$A),"")</f>
        <v/>
      </c>
      <c r="O558" s="10">
        <f>IFERROR(_xlfn.XLOOKUP(C558,[1]AttributeName!$C:$C,[1]AttributeName!$B:$B),"")</f>
        <v>10307</v>
      </c>
      <c r="P558" s="10"/>
      <c r="Q558">
        <v>0.25</v>
      </c>
      <c r="R558">
        <v>0.35</v>
      </c>
      <c r="S558" cm="1">
        <f t="array" ref="S558">IFERROR(_xlfn.SWITCH(L558,1,_xlfn.XLOOKUP(O558,[1]AttributeName!$B:$B,[1]AttributeName!$D:$D),2,_xlfn.XLOOKUP(C558,#REF!,#REF!),3,_xlfn.XLOOKUP(C558,#REF!,#REF!)),0)</f>
        <v>2</v>
      </c>
      <c r="T558" cm="1">
        <f t="array" ref="T558">IFERROR(_xlfn.SWITCH(L558,1,_xlfn.XLOOKUP(O558,[1]AttributeName!$B:$B,[1]AttributeName!$E:$E),2,_xlfn.XLOOKUP(C558,#REF!,#REF!),3,_xlfn.XLOOKUP(C558,#REF!,#REF!)),0)</f>
        <v>2</v>
      </c>
    </row>
    <row r="559" customFormat="1" spans="1:20">
      <c r="A559">
        <f t="shared" si="31"/>
        <v>210</v>
      </c>
      <c r="B559">
        <v>2</v>
      </c>
      <c r="C559" t="s">
        <v>388</v>
      </c>
      <c r="D559" t="s">
        <v>25</v>
      </c>
      <c r="E559" t="s">
        <v>378</v>
      </c>
      <c r="F559"/>
      <c r="G559">
        <v>1</v>
      </c>
      <c r="H559">
        <v>200</v>
      </c>
      <c r="I559">
        <v>3</v>
      </c>
      <c r="J559" cm="1">
        <f t="array" ref="J559">_xlfn.SWITCH(B559,1,75,2,61,3,49,4,37,5,25,6,13,7,4,8,1)</f>
        <v>61</v>
      </c>
      <c r="K559" t="str" cm="1">
        <f t="array" ref="K559">IFERROR(_xlfn.SWITCH(L559,2,_xlfn.XLOOKUP(C559,[1]ModifierDes!$B:$B,[1]ModifierDes!$C:$C),3,_xlfn.XLOOKUP(C559,[1]StuntDes!$B:$B,[1]StuntDes!$C:$C)),"")</f>
        <v/>
      </c>
      <c r="L559">
        <f t="shared" si="30"/>
        <v>1</v>
      </c>
      <c r="M559" s="10" t="str">
        <f>IFERROR(_xlfn.XLOOKUP(C559,[1]StuntDes!$B:$B,[1]StuntDes!$A:$A),"")</f>
        <v/>
      </c>
      <c r="N559" s="10" t="str">
        <f>IFERROR(_xlfn.XLOOKUP(C559,[1]ModifierDes!$B:$B,[1]ModifierDes!$A:$A),"")</f>
        <v/>
      </c>
      <c r="O559" s="10">
        <f>IFERROR(_xlfn.XLOOKUP(C559,[1]AttributeName!$C:$C,[1]AttributeName!$B:$B),"")</f>
        <v>10307</v>
      </c>
      <c r="P559" s="10"/>
      <c r="Q559">
        <v>0.22</v>
      </c>
      <c r="R559">
        <v>0.24</v>
      </c>
      <c r="S559" cm="1">
        <f t="array" ref="S559">IFERROR(_xlfn.SWITCH(L559,1,_xlfn.XLOOKUP(O559,[1]AttributeName!$B:$B,[1]AttributeName!$D:$D),2,_xlfn.XLOOKUP(C559,#REF!,#REF!),3,_xlfn.XLOOKUP(C559,#REF!,#REF!)),0)</f>
        <v>2</v>
      </c>
      <c r="T559" cm="1">
        <f t="array" ref="T559">IFERROR(_xlfn.SWITCH(L559,1,_xlfn.XLOOKUP(O559,[1]AttributeName!$B:$B,[1]AttributeName!$E:$E),2,_xlfn.XLOOKUP(C559,#REF!,#REF!),3,_xlfn.XLOOKUP(C559,#REF!,#REF!)),0)</f>
        <v>2</v>
      </c>
    </row>
    <row r="560" customFormat="1" spans="1:20">
      <c r="A560">
        <f t="shared" si="31"/>
        <v>210</v>
      </c>
      <c r="B560">
        <v>3</v>
      </c>
      <c r="C560" t="s">
        <v>388</v>
      </c>
      <c r="D560" t="s">
        <v>25</v>
      </c>
      <c r="E560" t="s">
        <v>378</v>
      </c>
      <c r="F560"/>
      <c r="G560">
        <v>1</v>
      </c>
      <c r="H560">
        <v>500</v>
      </c>
      <c r="I560">
        <v>3</v>
      </c>
      <c r="J560" cm="1">
        <f t="array" ref="J560">_xlfn.SWITCH(B560,1,75,2,61,3,49,4,37,5,25,6,13,7,4,8,1)</f>
        <v>49</v>
      </c>
      <c r="K560" t="str" cm="1">
        <f t="array" ref="K560">IFERROR(_xlfn.SWITCH(L560,2,_xlfn.XLOOKUP(C560,[1]ModifierDes!$B:$B,[1]ModifierDes!$C:$C),3,_xlfn.XLOOKUP(C560,[1]StuntDes!$B:$B,[1]StuntDes!$C:$C)),"")</f>
        <v/>
      </c>
      <c r="L560">
        <f t="shared" si="30"/>
        <v>1</v>
      </c>
      <c r="M560" s="10" t="str">
        <f>IFERROR(_xlfn.XLOOKUP(C560,[1]StuntDes!$B:$B,[1]StuntDes!$A:$A),"")</f>
        <v/>
      </c>
      <c r="N560" s="10" t="str">
        <f>IFERROR(_xlfn.XLOOKUP(C560,[1]ModifierDes!$B:$B,[1]ModifierDes!$A:$A),"")</f>
        <v/>
      </c>
      <c r="O560" s="10">
        <f>IFERROR(_xlfn.XLOOKUP(C560,[1]AttributeName!$C:$C,[1]AttributeName!$B:$B),"")</f>
        <v>10307</v>
      </c>
      <c r="P560" s="10"/>
      <c r="Q560">
        <v>0.19</v>
      </c>
      <c r="R560">
        <v>0.21</v>
      </c>
      <c r="S560" cm="1">
        <f t="array" ref="S560">IFERROR(_xlfn.SWITCH(L560,1,_xlfn.XLOOKUP(O560,[1]AttributeName!$B:$B,[1]AttributeName!$D:$D),2,_xlfn.XLOOKUP(C560,#REF!,#REF!),3,_xlfn.XLOOKUP(C560,#REF!,#REF!)),0)</f>
        <v>2</v>
      </c>
      <c r="T560" cm="1">
        <f t="array" ref="T560">IFERROR(_xlfn.SWITCH(L560,1,_xlfn.XLOOKUP(O560,[1]AttributeName!$B:$B,[1]AttributeName!$E:$E),2,_xlfn.XLOOKUP(C560,#REF!,#REF!),3,_xlfn.XLOOKUP(C560,#REF!,#REF!)),0)</f>
        <v>2</v>
      </c>
    </row>
    <row r="561" customFormat="1" spans="1:20">
      <c r="A561">
        <f t="shared" si="31"/>
        <v>210</v>
      </c>
      <c r="B561">
        <v>4</v>
      </c>
      <c r="C561" t="s">
        <v>388</v>
      </c>
      <c r="D561" t="s">
        <v>25</v>
      </c>
      <c r="E561" t="s">
        <v>378</v>
      </c>
      <c r="F561"/>
      <c r="G561">
        <v>1</v>
      </c>
      <c r="H561">
        <v>1000</v>
      </c>
      <c r="I561">
        <v>3</v>
      </c>
      <c r="J561" cm="1">
        <f t="array" ref="J561">_xlfn.SWITCH(B561,1,75,2,61,3,49,4,37,5,25,6,13,7,4,8,1)</f>
        <v>37</v>
      </c>
      <c r="K561" t="str" cm="1">
        <f t="array" ref="K561">IFERROR(_xlfn.SWITCH(L561,2,_xlfn.XLOOKUP(C561,[1]ModifierDes!$B:$B,[1]ModifierDes!$C:$C),3,_xlfn.XLOOKUP(C561,[1]StuntDes!$B:$B,[1]StuntDes!$C:$C)),"")</f>
        <v/>
      </c>
      <c r="L561">
        <f t="shared" si="30"/>
        <v>1</v>
      </c>
      <c r="M561" s="10" t="str">
        <f>IFERROR(_xlfn.XLOOKUP(C561,[1]StuntDes!$B:$B,[1]StuntDes!$A:$A),"")</f>
        <v/>
      </c>
      <c r="N561" s="10" t="str">
        <f>IFERROR(_xlfn.XLOOKUP(C561,[1]ModifierDes!$B:$B,[1]ModifierDes!$A:$A),"")</f>
        <v/>
      </c>
      <c r="O561" s="10">
        <f>IFERROR(_xlfn.XLOOKUP(C561,[1]AttributeName!$C:$C,[1]AttributeName!$B:$B),"")</f>
        <v>10307</v>
      </c>
      <c r="P561" s="10"/>
      <c r="Q561">
        <v>0.16</v>
      </c>
      <c r="R561">
        <v>0.18</v>
      </c>
      <c r="S561" cm="1">
        <f t="array" ref="S561">IFERROR(_xlfn.SWITCH(L561,1,_xlfn.XLOOKUP(O561,[1]AttributeName!$B:$B,[1]AttributeName!$D:$D),2,_xlfn.XLOOKUP(C561,#REF!,#REF!),3,_xlfn.XLOOKUP(C561,#REF!,#REF!)),0)</f>
        <v>2</v>
      </c>
      <c r="T561" cm="1">
        <f t="array" ref="T561">IFERROR(_xlfn.SWITCH(L561,1,_xlfn.XLOOKUP(O561,[1]AttributeName!$B:$B,[1]AttributeName!$E:$E),2,_xlfn.XLOOKUP(C561,#REF!,#REF!),3,_xlfn.XLOOKUP(C561,#REF!,#REF!)),0)</f>
        <v>2</v>
      </c>
    </row>
    <row r="562" customFormat="1" spans="1:20">
      <c r="A562">
        <f t="shared" si="31"/>
        <v>210</v>
      </c>
      <c r="B562">
        <v>5</v>
      </c>
      <c r="C562" t="s">
        <v>388</v>
      </c>
      <c r="D562" t="s">
        <v>25</v>
      </c>
      <c r="E562" t="s">
        <v>378</v>
      </c>
      <c r="F562"/>
      <c r="G562">
        <v>1</v>
      </c>
      <c r="H562">
        <v>1000</v>
      </c>
      <c r="I562">
        <v>3</v>
      </c>
      <c r="J562" cm="1">
        <f t="array" ref="J562">_xlfn.SWITCH(B562,1,75,2,61,3,49,4,37,5,25,6,13,7,4,8,1)</f>
        <v>25</v>
      </c>
      <c r="K562" t="str" cm="1">
        <f t="array" ref="K562">IFERROR(_xlfn.SWITCH(L562,2,_xlfn.XLOOKUP(C562,[1]ModifierDes!$B:$B,[1]ModifierDes!$C:$C),3,_xlfn.XLOOKUP(C562,[1]StuntDes!$B:$B,[1]StuntDes!$C:$C)),"")</f>
        <v/>
      </c>
      <c r="L562">
        <f t="shared" si="30"/>
        <v>1</v>
      </c>
      <c r="M562" s="10" t="str">
        <f>IFERROR(_xlfn.XLOOKUP(C562,[1]StuntDes!$B:$B,[1]StuntDes!$A:$A),"")</f>
        <v/>
      </c>
      <c r="N562" s="10" t="str">
        <f>IFERROR(_xlfn.XLOOKUP(C562,[1]ModifierDes!$B:$B,[1]ModifierDes!$A:$A),"")</f>
        <v/>
      </c>
      <c r="O562" s="10">
        <f>IFERROR(_xlfn.XLOOKUP(C562,[1]AttributeName!$C:$C,[1]AttributeName!$B:$B),"")</f>
        <v>10307</v>
      </c>
      <c r="P562" s="10"/>
      <c r="Q562">
        <v>0.13</v>
      </c>
      <c r="R562">
        <v>0.15</v>
      </c>
      <c r="S562" cm="1">
        <f t="array" ref="S562">IFERROR(_xlfn.SWITCH(L562,1,_xlfn.XLOOKUP(O562,[1]AttributeName!$B:$B,[1]AttributeName!$D:$D),2,_xlfn.XLOOKUP(C562,#REF!,#REF!),3,_xlfn.XLOOKUP(C562,#REF!,#REF!)),0)</f>
        <v>2</v>
      </c>
      <c r="T562" cm="1">
        <f t="array" ref="T562">IFERROR(_xlfn.SWITCH(L562,1,_xlfn.XLOOKUP(O562,[1]AttributeName!$B:$B,[1]AttributeName!$E:$E),2,_xlfn.XLOOKUP(C562,#REF!,#REF!),3,_xlfn.XLOOKUP(C562,#REF!,#REF!)),0)</f>
        <v>2</v>
      </c>
    </row>
    <row r="563" customFormat="1" spans="1:20">
      <c r="A563">
        <f t="shared" si="31"/>
        <v>210</v>
      </c>
      <c r="B563">
        <v>6</v>
      </c>
      <c r="C563" t="s">
        <v>388</v>
      </c>
      <c r="D563" t="s">
        <v>25</v>
      </c>
      <c r="E563" t="s">
        <v>378</v>
      </c>
      <c r="F563"/>
      <c r="G563">
        <v>1</v>
      </c>
      <c r="H563">
        <v>1000</v>
      </c>
      <c r="I563">
        <v>3</v>
      </c>
      <c r="J563" cm="1">
        <f t="array" ref="J563">_xlfn.SWITCH(B563,1,75,2,61,3,49,4,37,5,25,6,13,7,4,8,1)</f>
        <v>13</v>
      </c>
      <c r="K563" t="str" cm="1">
        <f t="array" ref="K563">IFERROR(_xlfn.SWITCH(L563,2,_xlfn.XLOOKUP(C563,[1]ModifierDes!$B:$B,[1]ModifierDes!$C:$C),3,_xlfn.XLOOKUP(C563,[1]StuntDes!$B:$B,[1]StuntDes!$C:$C)),"")</f>
        <v/>
      </c>
      <c r="L563">
        <f t="shared" si="30"/>
        <v>1</v>
      </c>
      <c r="M563" s="10" t="str">
        <f>IFERROR(_xlfn.XLOOKUP(C563,[1]StuntDes!$B:$B,[1]StuntDes!$A:$A),"")</f>
        <v/>
      </c>
      <c r="N563" s="10" t="str">
        <f>IFERROR(_xlfn.XLOOKUP(C563,[1]ModifierDes!$B:$B,[1]ModifierDes!$A:$A),"")</f>
        <v/>
      </c>
      <c r="O563" s="10">
        <f>IFERROR(_xlfn.XLOOKUP(C563,[1]AttributeName!$C:$C,[1]AttributeName!$B:$B),"")</f>
        <v>10307</v>
      </c>
      <c r="P563" s="10"/>
      <c r="Q563">
        <v>0.0999999999999999</v>
      </c>
      <c r="R563">
        <v>0.12</v>
      </c>
      <c r="S563" cm="1">
        <f t="array" ref="S563">IFERROR(_xlfn.SWITCH(L563,1,_xlfn.XLOOKUP(O563,[1]AttributeName!$B:$B,[1]AttributeName!$D:$D),2,_xlfn.XLOOKUP(C563,#REF!,#REF!),3,_xlfn.XLOOKUP(C563,#REF!,#REF!)),0)</f>
        <v>2</v>
      </c>
      <c r="T563" cm="1">
        <f t="array" ref="T563">IFERROR(_xlfn.SWITCH(L563,1,_xlfn.XLOOKUP(O563,[1]AttributeName!$B:$B,[1]AttributeName!$E:$E),2,_xlfn.XLOOKUP(C563,#REF!,#REF!),3,_xlfn.XLOOKUP(C563,#REF!,#REF!)),0)</f>
        <v>2</v>
      </c>
    </row>
    <row r="564" customFormat="1" spans="1:20">
      <c r="A564">
        <f t="shared" si="31"/>
        <v>210</v>
      </c>
      <c r="B564">
        <v>7</v>
      </c>
      <c r="C564" t="s">
        <v>388</v>
      </c>
      <c r="D564" t="s">
        <v>25</v>
      </c>
      <c r="E564" t="s">
        <v>378</v>
      </c>
      <c r="F564"/>
      <c r="G564">
        <v>1</v>
      </c>
      <c r="H564">
        <v>1000</v>
      </c>
      <c r="I564">
        <v>3</v>
      </c>
      <c r="J564" cm="1">
        <f t="array" ref="J564">_xlfn.SWITCH(B564,1,75,2,61,3,49,4,37,5,25,6,13,7,4,8,1)</f>
        <v>4</v>
      </c>
      <c r="K564" t="str" cm="1">
        <f t="array" ref="K564">IFERROR(_xlfn.SWITCH(L564,2,_xlfn.XLOOKUP(C564,[1]ModifierDes!$B:$B,[1]ModifierDes!$C:$C),3,_xlfn.XLOOKUP(C564,[1]StuntDes!$B:$B,[1]StuntDes!$C:$C)),"")</f>
        <v/>
      </c>
      <c r="L564">
        <f t="shared" si="30"/>
        <v>1</v>
      </c>
      <c r="M564" s="10" t="str">
        <f>IFERROR(_xlfn.XLOOKUP(C564,[1]StuntDes!$B:$B,[1]StuntDes!$A:$A),"")</f>
        <v/>
      </c>
      <c r="N564" s="10" t="str">
        <f>IFERROR(_xlfn.XLOOKUP(C564,[1]ModifierDes!$B:$B,[1]ModifierDes!$A:$A),"")</f>
        <v/>
      </c>
      <c r="O564" s="10">
        <f>IFERROR(_xlfn.XLOOKUP(C564,[1]AttributeName!$C:$C,[1]AttributeName!$B:$B),"")</f>
        <v>10307</v>
      </c>
      <c r="P564" s="10"/>
      <c r="Q564">
        <v>0.0699999999999999</v>
      </c>
      <c r="R564">
        <v>0.09</v>
      </c>
      <c r="S564" cm="1">
        <f t="array" ref="S564">IFERROR(_xlfn.SWITCH(L564,1,_xlfn.XLOOKUP(O564,[1]AttributeName!$B:$B,[1]AttributeName!$D:$D),2,_xlfn.XLOOKUP(C564,#REF!,#REF!),3,_xlfn.XLOOKUP(C564,#REF!,#REF!)),0)</f>
        <v>2</v>
      </c>
      <c r="T564" cm="1">
        <f t="array" ref="T564">IFERROR(_xlfn.SWITCH(L564,1,_xlfn.XLOOKUP(O564,[1]AttributeName!$B:$B,[1]AttributeName!$E:$E),2,_xlfn.XLOOKUP(C564,#REF!,#REF!),3,_xlfn.XLOOKUP(C564,#REF!,#REF!)),0)</f>
        <v>2</v>
      </c>
    </row>
    <row r="565" customFormat="1" spans="1:20">
      <c r="A565">
        <f t="shared" si="31"/>
        <v>210</v>
      </c>
      <c r="B565">
        <v>8</v>
      </c>
      <c r="C565" t="s">
        <v>388</v>
      </c>
      <c r="D565" t="s">
        <v>25</v>
      </c>
      <c r="E565" t="s">
        <v>378</v>
      </c>
      <c r="F565"/>
      <c r="G565">
        <v>1</v>
      </c>
      <c r="H565">
        <v>1000</v>
      </c>
      <c r="I565">
        <v>3</v>
      </c>
      <c r="J565" cm="1">
        <f t="array" ref="J565">_xlfn.SWITCH(B565,1,75,2,61,3,49,4,37,5,25,6,13,7,4,8,1)</f>
        <v>1</v>
      </c>
      <c r="K565" t="str" cm="1">
        <f t="array" ref="K565">IFERROR(_xlfn.SWITCH(L565,2,_xlfn.XLOOKUP(C565,[1]ModifierDes!$B:$B,[1]ModifierDes!$C:$C),3,_xlfn.XLOOKUP(C565,[1]StuntDes!$B:$B,[1]StuntDes!$C:$C)),"")</f>
        <v/>
      </c>
      <c r="L565">
        <f t="shared" si="30"/>
        <v>1</v>
      </c>
      <c r="M565" s="10" t="str">
        <f>IFERROR(_xlfn.XLOOKUP(C565,[1]StuntDes!$B:$B,[1]StuntDes!$A:$A),"")</f>
        <v/>
      </c>
      <c r="N565" s="10" t="str">
        <f>IFERROR(_xlfn.XLOOKUP(C565,[1]ModifierDes!$B:$B,[1]ModifierDes!$A:$A),"")</f>
        <v/>
      </c>
      <c r="O565" s="10">
        <f>IFERROR(_xlfn.XLOOKUP(C565,[1]AttributeName!$C:$C,[1]AttributeName!$B:$B),"")</f>
        <v>10307</v>
      </c>
      <c r="P565" s="10"/>
      <c r="Q565">
        <v>0.0399999999999998</v>
      </c>
      <c r="R565">
        <v>0.06</v>
      </c>
      <c r="S565" cm="1">
        <f t="array" ref="S565">IFERROR(_xlfn.SWITCH(L565,1,_xlfn.XLOOKUP(O565,[1]AttributeName!$B:$B,[1]AttributeName!$D:$D),2,_xlfn.XLOOKUP(C565,#REF!,#REF!),3,_xlfn.XLOOKUP(C565,#REF!,#REF!)),0)</f>
        <v>2</v>
      </c>
      <c r="T565" cm="1">
        <f t="array" ref="T565">IFERROR(_xlfn.SWITCH(L565,1,_xlfn.XLOOKUP(O565,[1]AttributeName!$B:$B,[1]AttributeName!$E:$E),2,_xlfn.XLOOKUP(C565,#REF!,#REF!),3,_xlfn.XLOOKUP(C565,#REF!,#REF!)),0)</f>
        <v>2</v>
      </c>
    </row>
    <row r="566" customFormat="1" spans="1:20">
      <c r="A566">
        <f t="shared" si="31"/>
        <v>211</v>
      </c>
      <c r="B566">
        <v>1</v>
      </c>
      <c r="C566" t="s">
        <v>428</v>
      </c>
      <c r="D566" t="s">
        <v>25</v>
      </c>
      <c r="E566" t="s">
        <v>378</v>
      </c>
      <c r="F566"/>
      <c r="G566">
        <v>1</v>
      </c>
      <c r="H566">
        <v>250</v>
      </c>
      <c r="J566" cm="1">
        <f t="array" ref="J566">_xlfn.SWITCH(B566,1,75,2,61,3,49,4,37,5,25,6,13,7,4,8,1)</f>
        <v>75</v>
      </c>
      <c r="K566" t="str" cm="1">
        <f t="array" ref="K566">IFERROR(_xlfn.SWITCH(L566,2,_xlfn.XLOOKUP(C566,[1]ModifierDes!$B:$B,[1]ModifierDes!$C:$C),3,_xlfn.XLOOKUP(C566,[1]StuntDes!$B:$B,[1]StuntDes!$C:$C)),"")</f>
        <v/>
      </c>
      <c r="L566">
        <f t="shared" si="30"/>
        <v>1</v>
      </c>
      <c r="M566" s="10" t="str">
        <f>IFERROR(_xlfn.XLOOKUP(C566,[1]StuntDes!$B:$B,[1]StuntDes!$A:$A),"")</f>
        <v/>
      </c>
      <c r="N566" s="10" t="str">
        <f>IFERROR(_xlfn.XLOOKUP(C566,[1]ModifierDes!$B:$B,[1]ModifierDes!$A:$A),"")</f>
        <v/>
      </c>
      <c r="O566" s="10">
        <f>IFERROR(_xlfn.XLOOKUP(C566,[1]AttributeName!$C:$C,[1]AttributeName!$B:$B),"")</f>
        <v>10810</v>
      </c>
      <c r="P566" s="10"/>
      <c r="Q566">
        <v>0.08</v>
      </c>
      <c r="R566">
        <v>0.1</v>
      </c>
      <c r="S566" cm="1">
        <f t="array" ref="S566">IFERROR(_xlfn.SWITCH(L566,1,_xlfn.XLOOKUP(O566,[1]AttributeName!$B:$B,[1]AttributeName!$D:$D),2,_xlfn.XLOOKUP(C566,#REF!,#REF!),3,_xlfn.XLOOKUP(C566,#REF!,#REF!)),0)</f>
        <v>2</v>
      </c>
      <c r="T566" cm="1">
        <f t="array" ref="T566">IFERROR(_xlfn.SWITCH(L566,1,_xlfn.XLOOKUP(O566,[1]AttributeName!$B:$B,[1]AttributeName!$E:$E),2,_xlfn.XLOOKUP(C566,#REF!,#REF!),3,_xlfn.XLOOKUP(C566,#REF!,#REF!)),0)</f>
        <v>2</v>
      </c>
    </row>
    <row r="567" customFormat="1" spans="1:20">
      <c r="A567">
        <f t="shared" si="31"/>
        <v>211</v>
      </c>
      <c r="B567">
        <v>2</v>
      </c>
      <c r="C567" t="s">
        <v>428</v>
      </c>
      <c r="D567" t="s">
        <v>25</v>
      </c>
      <c r="E567" t="s">
        <v>378</v>
      </c>
      <c r="F567"/>
      <c r="G567">
        <v>1</v>
      </c>
      <c r="H567">
        <v>500</v>
      </c>
      <c r="J567" cm="1">
        <f t="array" ref="J567">_xlfn.SWITCH(B567,1,75,2,61,3,49,4,37,5,25,6,13,7,4,8,1)</f>
        <v>61</v>
      </c>
      <c r="K567" t="str" cm="1">
        <f t="array" ref="K567">IFERROR(_xlfn.SWITCH(L567,2,_xlfn.XLOOKUP(C567,[1]ModifierDes!$B:$B,[1]ModifierDes!$C:$C),3,_xlfn.XLOOKUP(C567,[1]StuntDes!$B:$B,[1]StuntDes!$C:$C)),"")</f>
        <v/>
      </c>
      <c r="L567">
        <f t="shared" si="30"/>
        <v>1</v>
      </c>
      <c r="M567" s="10" t="str">
        <f>IFERROR(_xlfn.XLOOKUP(C567,[1]StuntDes!$B:$B,[1]StuntDes!$A:$A),"")</f>
        <v/>
      </c>
      <c r="N567" s="10" t="str">
        <f>IFERROR(_xlfn.XLOOKUP(C567,[1]ModifierDes!$B:$B,[1]ModifierDes!$A:$A),"")</f>
        <v/>
      </c>
      <c r="O567" s="10">
        <f>IFERROR(_xlfn.XLOOKUP(C567,[1]AttributeName!$C:$C,[1]AttributeName!$B:$B),"")</f>
        <v>10810</v>
      </c>
      <c r="P567" s="10"/>
      <c r="Q567">
        <v>0.07</v>
      </c>
      <c r="R567">
        <v>0.07</v>
      </c>
      <c r="S567" cm="1">
        <f t="array" ref="S567">IFERROR(_xlfn.SWITCH(L567,1,_xlfn.XLOOKUP(O567,[1]AttributeName!$B:$B,[1]AttributeName!$D:$D),2,_xlfn.XLOOKUP(C567,#REF!,#REF!),3,_xlfn.XLOOKUP(C567,#REF!,#REF!)),0)</f>
        <v>2</v>
      </c>
      <c r="T567" cm="1">
        <f t="array" ref="T567">IFERROR(_xlfn.SWITCH(L567,1,_xlfn.XLOOKUP(O567,[1]AttributeName!$B:$B,[1]AttributeName!$E:$E),2,_xlfn.XLOOKUP(C567,#REF!,#REF!),3,_xlfn.XLOOKUP(C567,#REF!,#REF!)),0)</f>
        <v>2</v>
      </c>
    </row>
    <row r="568" customFormat="1" spans="1:20">
      <c r="A568">
        <f t="shared" si="31"/>
        <v>211</v>
      </c>
      <c r="B568">
        <v>3</v>
      </c>
      <c r="C568" t="s">
        <v>428</v>
      </c>
      <c r="D568" t="s">
        <v>25</v>
      </c>
      <c r="E568" t="s">
        <v>378</v>
      </c>
      <c r="F568"/>
      <c r="G568">
        <v>1</v>
      </c>
      <c r="H568">
        <v>750</v>
      </c>
      <c r="J568" cm="1">
        <f t="array" ref="J568">_xlfn.SWITCH(B568,1,75,2,61,3,49,4,37,5,25,6,13,7,4,8,1)</f>
        <v>49</v>
      </c>
      <c r="K568" t="str" cm="1">
        <f t="array" ref="K568">IFERROR(_xlfn.SWITCH(L568,2,_xlfn.XLOOKUP(C568,[1]ModifierDes!$B:$B,[1]ModifierDes!$C:$C),3,_xlfn.XLOOKUP(C568,[1]StuntDes!$B:$B,[1]StuntDes!$C:$C)),"")</f>
        <v/>
      </c>
      <c r="L568">
        <f t="shared" si="30"/>
        <v>1</v>
      </c>
      <c r="M568" s="10" t="str">
        <f>IFERROR(_xlfn.XLOOKUP(C568,[1]StuntDes!$B:$B,[1]StuntDes!$A:$A),"")</f>
        <v/>
      </c>
      <c r="N568" s="10" t="str">
        <f>IFERROR(_xlfn.XLOOKUP(C568,[1]ModifierDes!$B:$B,[1]ModifierDes!$A:$A),"")</f>
        <v/>
      </c>
      <c r="O568" s="10">
        <f>IFERROR(_xlfn.XLOOKUP(C568,[1]AttributeName!$C:$C,[1]AttributeName!$B:$B),"")</f>
        <v>10810</v>
      </c>
      <c r="P568" s="10"/>
      <c r="Q568">
        <v>0.06</v>
      </c>
      <c r="R568">
        <v>0.06</v>
      </c>
      <c r="S568" cm="1">
        <f t="array" ref="S568">IFERROR(_xlfn.SWITCH(L568,1,_xlfn.XLOOKUP(O568,[1]AttributeName!$B:$B,[1]AttributeName!$D:$D),2,_xlfn.XLOOKUP(C568,#REF!,#REF!),3,_xlfn.XLOOKUP(C568,#REF!,#REF!)),0)</f>
        <v>2</v>
      </c>
      <c r="T568" cm="1">
        <f t="array" ref="T568">IFERROR(_xlfn.SWITCH(L568,1,_xlfn.XLOOKUP(O568,[1]AttributeName!$B:$B,[1]AttributeName!$E:$E),2,_xlfn.XLOOKUP(C568,#REF!,#REF!),3,_xlfn.XLOOKUP(C568,#REF!,#REF!)),0)</f>
        <v>2</v>
      </c>
    </row>
    <row r="569" customFormat="1" spans="1:20">
      <c r="A569">
        <f t="shared" si="31"/>
        <v>211</v>
      </c>
      <c r="B569">
        <v>4</v>
      </c>
      <c r="C569" t="s">
        <v>428</v>
      </c>
      <c r="D569" t="s">
        <v>25</v>
      </c>
      <c r="E569" t="s">
        <v>378</v>
      </c>
      <c r="F569"/>
      <c r="G569">
        <v>1</v>
      </c>
      <c r="H569">
        <v>1000</v>
      </c>
      <c r="J569" cm="1">
        <f t="array" ref="J569">_xlfn.SWITCH(B569,1,75,2,61,3,49,4,37,5,25,6,13,7,4,8,1)</f>
        <v>37</v>
      </c>
      <c r="K569" t="str" cm="1">
        <f t="array" ref="K569">IFERROR(_xlfn.SWITCH(L569,2,_xlfn.XLOOKUP(C569,[1]ModifierDes!$B:$B,[1]ModifierDes!$C:$C),3,_xlfn.XLOOKUP(C569,[1]StuntDes!$B:$B,[1]StuntDes!$C:$C)),"")</f>
        <v/>
      </c>
      <c r="L569">
        <f t="shared" si="30"/>
        <v>1</v>
      </c>
      <c r="M569" s="10" t="str">
        <f>IFERROR(_xlfn.XLOOKUP(C569,[1]StuntDes!$B:$B,[1]StuntDes!$A:$A),"")</f>
        <v/>
      </c>
      <c r="N569" s="10" t="str">
        <f>IFERROR(_xlfn.XLOOKUP(C569,[1]ModifierDes!$B:$B,[1]ModifierDes!$A:$A),"")</f>
        <v/>
      </c>
      <c r="O569" s="10">
        <f>IFERROR(_xlfn.XLOOKUP(C569,[1]AttributeName!$C:$C,[1]AttributeName!$B:$B),"")</f>
        <v>10810</v>
      </c>
      <c r="P569" s="10"/>
      <c r="Q569">
        <v>0.05</v>
      </c>
      <c r="R569">
        <v>0.05</v>
      </c>
      <c r="S569" cm="1">
        <f t="array" ref="S569">IFERROR(_xlfn.SWITCH(L569,1,_xlfn.XLOOKUP(O569,[1]AttributeName!$B:$B,[1]AttributeName!$D:$D),2,_xlfn.XLOOKUP(C569,#REF!,#REF!),3,_xlfn.XLOOKUP(C569,#REF!,#REF!)),0)</f>
        <v>2</v>
      </c>
      <c r="T569" cm="1">
        <f t="array" ref="T569">IFERROR(_xlfn.SWITCH(L569,1,_xlfn.XLOOKUP(O569,[1]AttributeName!$B:$B,[1]AttributeName!$E:$E),2,_xlfn.XLOOKUP(C569,#REF!,#REF!),3,_xlfn.XLOOKUP(C569,#REF!,#REF!)),0)</f>
        <v>2</v>
      </c>
    </row>
    <row r="570" customFormat="1" spans="1:20">
      <c r="A570">
        <f t="shared" si="31"/>
        <v>211</v>
      </c>
      <c r="B570">
        <v>5</v>
      </c>
      <c r="C570" t="s">
        <v>428</v>
      </c>
      <c r="D570" t="s">
        <v>25</v>
      </c>
      <c r="E570" t="s">
        <v>378</v>
      </c>
      <c r="F570"/>
      <c r="G570">
        <v>1</v>
      </c>
      <c r="H570">
        <v>1000</v>
      </c>
      <c r="J570" cm="1">
        <f t="array" ref="J570">_xlfn.SWITCH(B570,1,75,2,61,3,49,4,37,5,25,6,13,7,4,8,1)</f>
        <v>25</v>
      </c>
      <c r="K570" t="str" cm="1">
        <f t="array" ref="K570">IFERROR(_xlfn.SWITCH(L570,2,_xlfn.XLOOKUP(C570,[1]ModifierDes!$B:$B,[1]ModifierDes!$C:$C),3,_xlfn.XLOOKUP(C570,[1]StuntDes!$B:$B,[1]StuntDes!$C:$C)),"")</f>
        <v/>
      </c>
      <c r="L570">
        <f t="shared" si="30"/>
        <v>1</v>
      </c>
      <c r="M570" s="10" t="str">
        <f>IFERROR(_xlfn.XLOOKUP(C570,[1]StuntDes!$B:$B,[1]StuntDes!$A:$A),"")</f>
        <v/>
      </c>
      <c r="N570" s="10" t="str">
        <f>IFERROR(_xlfn.XLOOKUP(C570,[1]ModifierDes!$B:$B,[1]ModifierDes!$A:$A),"")</f>
        <v/>
      </c>
      <c r="O570" s="10">
        <f>IFERROR(_xlfn.XLOOKUP(C570,[1]AttributeName!$C:$C,[1]AttributeName!$B:$B),"")</f>
        <v>10810</v>
      </c>
      <c r="P570" s="10"/>
      <c r="Q570">
        <v>0.04</v>
      </c>
      <c r="R570">
        <v>0.04</v>
      </c>
      <c r="S570" cm="1">
        <f t="array" ref="S570">IFERROR(_xlfn.SWITCH(L570,1,_xlfn.XLOOKUP(O570,[1]AttributeName!$B:$B,[1]AttributeName!$D:$D),2,_xlfn.XLOOKUP(C570,#REF!,#REF!),3,_xlfn.XLOOKUP(C570,#REF!,#REF!)),0)</f>
        <v>2</v>
      </c>
      <c r="T570" cm="1">
        <f t="array" ref="T570">IFERROR(_xlfn.SWITCH(L570,1,_xlfn.XLOOKUP(O570,[1]AttributeName!$B:$B,[1]AttributeName!$E:$E),2,_xlfn.XLOOKUP(C570,#REF!,#REF!),3,_xlfn.XLOOKUP(C570,#REF!,#REF!)),0)</f>
        <v>2</v>
      </c>
    </row>
    <row r="571" customFormat="1" spans="1:20">
      <c r="A571">
        <f t="shared" si="31"/>
        <v>211</v>
      </c>
      <c r="B571">
        <v>6</v>
      </c>
      <c r="C571" t="s">
        <v>428</v>
      </c>
      <c r="D571" t="s">
        <v>25</v>
      </c>
      <c r="E571" t="s">
        <v>378</v>
      </c>
      <c r="F571"/>
      <c r="G571">
        <v>1</v>
      </c>
      <c r="H571">
        <v>1000</v>
      </c>
      <c r="J571" cm="1">
        <f t="array" ref="J571">_xlfn.SWITCH(B571,1,75,2,61,3,49,4,37,5,25,6,13,7,4,8,1)</f>
        <v>13</v>
      </c>
      <c r="K571" t="str" cm="1">
        <f t="array" ref="K571">IFERROR(_xlfn.SWITCH(L571,2,_xlfn.XLOOKUP(C571,[1]ModifierDes!$B:$B,[1]ModifierDes!$C:$C),3,_xlfn.XLOOKUP(C571,[1]StuntDes!$B:$B,[1]StuntDes!$C:$C)),"")</f>
        <v/>
      </c>
      <c r="L571">
        <f t="shared" si="30"/>
        <v>1</v>
      </c>
      <c r="M571" s="10" t="str">
        <f>IFERROR(_xlfn.XLOOKUP(C571,[1]StuntDes!$B:$B,[1]StuntDes!$A:$A),"")</f>
        <v/>
      </c>
      <c r="N571" s="10" t="str">
        <f>IFERROR(_xlfn.XLOOKUP(C571,[1]ModifierDes!$B:$B,[1]ModifierDes!$A:$A),"")</f>
        <v/>
      </c>
      <c r="O571" s="10">
        <f>IFERROR(_xlfn.XLOOKUP(C571,[1]AttributeName!$C:$C,[1]AttributeName!$B:$B),"")</f>
        <v>10810</v>
      </c>
      <c r="P571" s="10"/>
      <c r="Q571">
        <v>0.03</v>
      </c>
      <c r="R571">
        <v>0.03</v>
      </c>
      <c r="S571" cm="1">
        <f t="array" ref="S571">IFERROR(_xlfn.SWITCH(L571,1,_xlfn.XLOOKUP(O571,[1]AttributeName!$B:$B,[1]AttributeName!$D:$D),2,_xlfn.XLOOKUP(C571,#REF!,#REF!),3,_xlfn.XLOOKUP(C571,#REF!,#REF!)),0)</f>
        <v>2</v>
      </c>
      <c r="T571" cm="1">
        <f t="array" ref="T571">IFERROR(_xlfn.SWITCH(L571,1,_xlfn.XLOOKUP(O571,[1]AttributeName!$B:$B,[1]AttributeName!$E:$E),2,_xlfn.XLOOKUP(C571,#REF!,#REF!),3,_xlfn.XLOOKUP(C571,#REF!,#REF!)),0)</f>
        <v>2</v>
      </c>
    </row>
    <row r="572" customFormat="1" spans="1:20">
      <c r="A572">
        <f t="shared" si="31"/>
        <v>211</v>
      </c>
      <c r="B572">
        <v>7</v>
      </c>
      <c r="C572" t="s">
        <v>428</v>
      </c>
      <c r="D572" t="s">
        <v>25</v>
      </c>
      <c r="E572" t="s">
        <v>378</v>
      </c>
      <c r="F572"/>
      <c r="G572">
        <v>1</v>
      </c>
      <c r="H572">
        <v>1000</v>
      </c>
      <c r="J572" cm="1">
        <f t="array" ref="J572">_xlfn.SWITCH(B572,1,75,2,61,3,49,4,37,5,25,6,13,7,4,8,1)</f>
        <v>4</v>
      </c>
      <c r="K572" t="str" cm="1">
        <f t="array" ref="K572">IFERROR(_xlfn.SWITCH(L572,2,_xlfn.XLOOKUP(C572,[1]ModifierDes!$B:$B,[1]ModifierDes!$C:$C),3,_xlfn.XLOOKUP(C572,[1]StuntDes!$B:$B,[1]StuntDes!$C:$C)),"")</f>
        <v/>
      </c>
      <c r="L572">
        <f t="shared" si="30"/>
        <v>1</v>
      </c>
      <c r="M572" s="10" t="str">
        <f>IFERROR(_xlfn.XLOOKUP(C572,[1]StuntDes!$B:$B,[1]StuntDes!$A:$A),"")</f>
        <v/>
      </c>
      <c r="N572" s="10" t="str">
        <f>IFERROR(_xlfn.XLOOKUP(C572,[1]ModifierDes!$B:$B,[1]ModifierDes!$A:$A),"")</f>
        <v/>
      </c>
      <c r="O572" s="10">
        <f>IFERROR(_xlfn.XLOOKUP(C572,[1]AttributeName!$C:$C,[1]AttributeName!$B:$B),"")</f>
        <v>10810</v>
      </c>
      <c r="P572" s="10"/>
      <c r="Q572">
        <v>0.02</v>
      </c>
      <c r="R572">
        <v>0.02</v>
      </c>
      <c r="S572" cm="1">
        <f t="array" ref="S572">IFERROR(_xlfn.SWITCH(L572,1,_xlfn.XLOOKUP(O572,[1]AttributeName!$B:$B,[1]AttributeName!$D:$D),2,_xlfn.XLOOKUP(C572,#REF!,#REF!),3,_xlfn.XLOOKUP(C572,#REF!,#REF!)),0)</f>
        <v>2</v>
      </c>
      <c r="T572" cm="1">
        <f t="array" ref="T572">IFERROR(_xlfn.SWITCH(L572,1,_xlfn.XLOOKUP(O572,[1]AttributeName!$B:$B,[1]AttributeName!$E:$E),2,_xlfn.XLOOKUP(C572,#REF!,#REF!),3,_xlfn.XLOOKUP(C572,#REF!,#REF!)),0)</f>
        <v>2</v>
      </c>
    </row>
    <row r="573" customFormat="1" spans="1:20">
      <c r="A573">
        <f t="shared" si="31"/>
        <v>211</v>
      </c>
      <c r="B573">
        <v>8</v>
      </c>
      <c r="C573" t="s">
        <v>428</v>
      </c>
      <c r="D573" t="s">
        <v>25</v>
      </c>
      <c r="E573" t="s">
        <v>378</v>
      </c>
      <c r="F573"/>
      <c r="G573">
        <v>1</v>
      </c>
      <c r="H573">
        <v>1000</v>
      </c>
      <c r="J573" cm="1">
        <f t="array" ref="J573">_xlfn.SWITCH(B573,1,75,2,61,3,49,4,37,5,25,6,13,7,4,8,1)</f>
        <v>1</v>
      </c>
      <c r="K573" t="str" cm="1">
        <f t="array" ref="K573">IFERROR(_xlfn.SWITCH(L573,2,_xlfn.XLOOKUP(C573,[1]ModifierDes!$B:$B,[1]ModifierDes!$C:$C),3,_xlfn.XLOOKUP(C573,[1]StuntDes!$B:$B,[1]StuntDes!$C:$C)),"")</f>
        <v/>
      </c>
      <c r="L573">
        <f t="shared" si="30"/>
        <v>1</v>
      </c>
      <c r="M573" s="10" t="str">
        <f>IFERROR(_xlfn.XLOOKUP(C573,[1]StuntDes!$B:$B,[1]StuntDes!$A:$A),"")</f>
        <v/>
      </c>
      <c r="N573" s="10" t="str">
        <f>IFERROR(_xlfn.XLOOKUP(C573,[1]ModifierDes!$B:$B,[1]ModifierDes!$A:$A),"")</f>
        <v/>
      </c>
      <c r="O573" s="10">
        <f>IFERROR(_xlfn.XLOOKUP(C573,[1]AttributeName!$C:$C,[1]AttributeName!$B:$B),"")</f>
        <v>10810</v>
      </c>
      <c r="P573" s="10"/>
      <c r="Q573">
        <v>0.01</v>
      </c>
      <c r="R573">
        <v>0.01</v>
      </c>
      <c r="S573" cm="1">
        <f t="array" ref="S573">IFERROR(_xlfn.SWITCH(L573,1,_xlfn.XLOOKUP(O573,[1]AttributeName!$B:$B,[1]AttributeName!$D:$D),2,_xlfn.XLOOKUP(C573,#REF!,#REF!),3,_xlfn.XLOOKUP(C573,#REF!,#REF!)),0)</f>
        <v>2</v>
      </c>
      <c r="T573" cm="1">
        <f t="array" ref="T573">IFERROR(_xlfn.SWITCH(L573,1,_xlfn.XLOOKUP(O573,[1]AttributeName!$B:$B,[1]AttributeName!$E:$E),2,_xlfn.XLOOKUP(C573,#REF!,#REF!),3,_xlfn.XLOOKUP(C573,#REF!,#REF!)),0)</f>
        <v>2</v>
      </c>
    </row>
    <row r="574" customFormat="1" spans="1:20">
      <c r="A574">
        <f t="shared" si="31"/>
        <v>212</v>
      </c>
      <c r="B574">
        <v>1</v>
      </c>
      <c r="C574" t="s">
        <v>429</v>
      </c>
      <c r="D574" t="s">
        <v>25</v>
      </c>
      <c r="E574" t="s">
        <v>378</v>
      </c>
      <c r="F574"/>
      <c r="G574">
        <v>1</v>
      </c>
      <c r="H574">
        <v>250</v>
      </c>
      <c r="J574" cm="1">
        <f t="array" ref="J574">_xlfn.SWITCH(B574,1,75,2,61,3,49,4,37,5,25,6,13,7,4,8,1)</f>
        <v>75</v>
      </c>
      <c r="K574" t="str" cm="1">
        <f t="array" ref="K574">IFERROR(_xlfn.SWITCH(L574,2,_xlfn.XLOOKUP(C574,[1]ModifierDes!$B:$B,[1]ModifierDes!$C:$C),3,_xlfn.XLOOKUP(C574,[1]StuntDes!$B:$B,[1]StuntDes!$C:$C)),"")</f>
        <v/>
      </c>
      <c r="L574">
        <f t="shared" si="30"/>
        <v>1</v>
      </c>
      <c r="M574" s="10" t="str">
        <f>IFERROR(_xlfn.XLOOKUP(C574,[1]StuntDes!$B:$B,[1]StuntDes!$A:$A),"")</f>
        <v/>
      </c>
      <c r="N574" s="10" t="str">
        <f>IFERROR(_xlfn.XLOOKUP(C574,[1]ModifierDes!$B:$B,[1]ModifierDes!$A:$A),"")</f>
        <v/>
      </c>
      <c r="O574" s="10">
        <f>IFERROR(_xlfn.XLOOKUP(C574,[1]AttributeName!$C:$C,[1]AttributeName!$B:$B),"")</f>
        <v>10811</v>
      </c>
      <c r="P574" s="10"/>
      <c r="Q574">
        <v>0.08</v>
      </c>
      <c r="R574">
        <v>0.1</v>
      </c>
      <c r="S574" cm="1">
        <f t="array" ref="S574">IFERROR(_xlfn.SWITCH(L574,1,_xlfn.XLOOKUP(O574,[1]AttributeName!$B:$B,[1]AttributeName!$D:$D),2,_xlfn.XLOOKUP(C574,#REF!,#REF!),3,_xlfn.XLOOKUP(C574,#REF!,#REF!)),0)</f>
        <v>2</v>
      </c>
      <c r="T574" cm="1">
        <f t="array" ref="T574">IFERROR(_xlfn.SWITCH(L574,1,_xlfn.XLOOKUP(O574,[1]AttributeName!$B:$B,[1]AttributeName!$E:$E),2,_xlfn.XLOOKUP(C574,#REF!,#REF!),3,_xlfn.XLOOKUP(C574,#REF!,#REF!)),0)</f>
        <v>2</v>
      </c>
    </row>
    <row r="575" customFormat="1" spans="1:20">
      <c r="A575">
        <f t="shared" si="31"/>
        <v>212</v>
      </c>
      <c r="B575">
        <v>2</v>
      </c>
      <c r="C575" t="s">
        <v>429</v>
      </c>
      <c r="D575" t="s">
        <v>25</v>
      </c>
      <c r="E575" t="s">
        <v>378</v>
      </c>
      <c r="F575"/>
      <c r="G575">
        <v>1</v>
      </c>
      <c r="H575">
        <v>500</v>
      </c>
      <c r="J575" cm="1">
        <f t="array" ref="J575">_xlfn.SWITCH(B575,1,75,2,61,3,49,4,37,5,25,6,13,7,4,8,1)</f>
        <v>61</v>
      </c>
      <c r="K575" t="str" cm="1">
        <f t="array" ref="K575">IFERROR(_xlfn.SWITCH(L575,2,_xlfn.XLOOKUP(C575,[1]ModifierDes!$B:$B,[1]ModifierDes!$C:$C),3,_xlfn.XLOOKUP(C575,[1]StuntDes!$B:$B,[1]StuntDes!$C:$C)),"")</f>
        <v/>
      </c>
      <c r="L575">
        <f t="shared" si="30"/>
        <v>1</v>
      </c>
      <c r="M575" s="10" t="str">
        <f>IFERROR(_xlfn.XLOOKUP(C575,[1]StuntDes!$B:$B,[1]StuntDes!$A:$A),"")</f>
        <v/>
      </c>
      <c r="N575" s="10" t="str">
        <f>IFERROR(_xlfn.XLOOKUP(C575,[1]ModifierDes!$B:$B,[1]ModifierDes!$A:$A),"")</f>
        <v/>
      </c>
      <c r="O575" s="10">
        <f>IFERROR(_xlfn.XLOOKUP(C575,[1]AttributeName!$C:$C,[1]AttributeName!$B:$B),"")</f>
        <v>10811</v>
      </c>
      <c r="P575" s="10"/>
      <c r="Q575">
        <v>0.07</v>
      </c>
      <c r="R575">
        <v>0.07</v>
      </c>
      <c r="S575" cm="1">
        <f t="array" ref="S575">IFERROR(_xlfn.SWITCH(L575,1,_xlfn.XLOOKUP(O575,[1]AttributeName!$B:$B,[1]AttributeName!$D:$D),2,_xlfn.XLOOKUP(C575,#REF!,#REF!),3,_xlfn.XLOOKUP(C575,#REF!,#REF!)),0)</f>
        <v>2</v>
      </c>
      <c r="T575" cm="1">
        <f t="array" ref="T575">IFERROR(_xlfn.SWITCH(L575,1,_xlfn.XLOOKUP(O575,[1]AttributeName!$B:$B,[1]AttributeName!$E:$E),2,_xlfn.XLOOKUP(C575,#REF!,#REF!),3,_xlfn.XLOOKUP(C575,#REF!,#REF!)),0)</f>
        <v>2</v>
      </c>
    </row>
    <row r="576" customFormat="1" spans="1:20">
      <c r="A576">
        <f t="shared" si="31"/>
        <v>212</v>
      </c>
      <c r="B576">
        <v>3</v>
      </c>
      <c r="C576" t="s">
        <v>429</v>
      </c>
      <c r="D576" t="s">
        <v>25</v>
      </c>
      <c r="E576" t="s">
        <v>378</v>
      </c>
      <c r="F576"/>
      <c r="G576">
        <v>1</v>
      </c>
      <c r="H576">
        <v>750</v>
      </c>
      <c r="J576" cm="1">
        <f t="array" ref="J576">_xlfn.SWITCH(B576,1,75,2,61,3,49,4,37,5,25,6,13,7,4,8,1)</f>
        <v>49</v>
      </c>
      <c r="K576" t="str" cm="1">
        <f t="array" ref="K576">IFERROR(_xlfn.SWITCH(L576,2,_xlfn.XLOOKUP(C576,[1]ModifierDes!$B:$B,[1]ModifierDes!$C:$C),3,_xlfn.XLOOKUP(C576,[1]StuntDes!$B:$B,[1]StuntDes!$C:$C)),"")</f>
        <v/>
      </c>
      <c r="L576">
        <f t="shared" si="30"/>
        <v>1</v>
      </c>
      <c r="M576" s="10" t="str">
        <f>IFERROR(_xlfn.XLOOKUP(C576,[1]StuntDes!$B:$B,[1]StuntDes!$A:$A),"")</f>
        <v/>
      </c>
      <c r="N576" s="10" t="str">
        <f>IFERROR(_xlfn.XLOOKUP(C576,[1]ModifierDes!$B:$B,[1]ModifierDes!$A:$A),"")</f>
        <v/>
      </c>
      <c r="O576" s="10">
        <f>IFERROR(_xlfn.XLOOKUP(C576,[1]AttributeName!$C:$C,[1]AttributeName!$B:$B),"")</f>
        <v>10811</v>
      </c>
      <c r="P576" s="10"/>
      <c r="Q576">
        <v>0.06</v>
      </c>
      <c r="R576">
        <v>0.06</v>
      </c>
      <c r="S576" cm="1">
        <f t="array" ref="S576">IFERROR(_xlfn.SWITCH(L576,1,_xlfn.XLOOKUP(O576,[1]AttributeName!$B:$B,[1]AttributeName!$D:$D),2,_xlfn.XLOOKUP(C576,#REF!,#REF!),3,_xlfn.XLOOKUP(C576,#REF!,#REF!)),0)</f>
        <v>2</v>
      </c>
      <c r="T576" cm="1">
        <f t="array" ref="T576">IFERROR(_xlfn.SWITCH(L576,1,_xlfn.XLOOKUP(O576,[1]AttributeName!$B:$B,[1]AttributeName!$E:$E),2,_xlfn.XLOOKUP(C576,#REF!,#REF!),3,_xlfn.XLOOKUP(C576,#REF!,#REF!)),0)</f>
        <v>2</v>
      </c>
    </row>
    <row r="577" customFormat="1" spans="1:20">
      <c r="A577">
        <f t="shared" si="31"/>
        <v>212</v>
      </c>
      <c r="B577">
        <v>4</v>
      </c>
      <c r="C577" t="s">
        <v>429</v>
      </c>
      <c r="D577" t="s">
        <v>25</v>
      </c>
      <c r="E577" t="s">
        <v>378</v>
      </c>
      <c r="F577"/>
      <c r="G577">
        <v>1</v>
      </c>
      <c r="H577">
        <v>1000</v>
      </c>
      <c r="J577" cm="1">
        <f t="array" ref="J577">_xlfn.SWITCH(B577,1,75,2,61,3,49,4,37,5,25,6,13,7,4,8,1)</f>
        <v>37</v>
      </c>
      <c r="K577" t="str" cm="1">
        <f t="array" ref="K577">IFERROR(_xlfn.SWITCH(L577,2,_xlfn.XLOOKUP(C577,[1]ModifierDes!$B:$B,[1]ModifierDes!$C:$C),3,_xlfn.XLOOKUP(C577,[1]StuntDes!$B:$B,[1]StuntDes!$C:$C)),"")</f>
        <v/>
      </c>
      <c r="L577">
        <f t="shared" si="30"/>
        <v>1</v>
      </c>
      <c r="M577" s="10" t="str">
        <f>IFERROR(_xlfn.XLOOKUP(C577,[1]StuntDes!$B:$B,[1]StuntDes!$A:$A),"")</f>
        <v/>
      </c>
      <c r="N577" s="10" t="str">
        <f>IFERROR(_xlfn.XLOOKUP(C577,[1]ModifierDes!$B:$B,[1]ModifierDes!$A:$A),"")</f>
        <v/>
      </c>
      <c r="O577" s="10">
        <f>IFERROR(_xlfn.XLOOKUP(C577,[1]AttributeName!$C:$C,[1]AttributeName!$B:$B),"")</f>
        <v>10811</v>
      </c>
      <c r="P577" s="10"/>
      <c r="Q577">
        <v>0.05</v>
      </c>
      <c r="R577">
        <v>0.05</v>
      </c>
      <c r="S577" cm="1">
        <f t="array" ref="S577">IFERROR(_xlfn.SWITCH(L577,1,_xlfn.XLOOKUP(O577,[1]AttributeName!$B:$B,[1]AttributeName!$D:$D),2,_xlfn.XLOOKUP(C577,#REF!,#REF!),3,_xlfn.XLOOKUP(C577,#REF!,#REF!)),0)</f>
        <v>2</v>
      </c>
      <c r="T577" cm="1">
        <f t="array" ref="T577">IFERROR(_xlfn.SWITCH(L577,1,_xlfn.XLOOKUP(O577,[1]AttributeName!$B:$B,[1]AttributeName!$E:$E),2,_xlfn.XLOOKUP(C577,#REF!,#REF!),3,_xlfn.XLOOKUP(C577,#REF!,#REF!)),0)</f>
        <v>2</v>
      </c>
    </row>
    <row r="578" customFormat="1" spans="1:20">
      <c r="A578">
        <f t="shared" si="31"/>
        <v>212</v>
      </c>
      <c r="B578">
        <v>5</v>
      </c>
      <c r="C578" t="s">
        <v>429</v>
      </c>
      <c r="D578" t="s">
        <v>25</v>
      </c>
      <c r="E578" t="s">
        <v>378</v>
      </c>
      <c r="F578"/>
      <c r="G578">
        <v>1</v>
      </c>
      <c r="H578">
        <v>1000</v>
      </c>
      <c r="J578" cm="1">
        <f t="array" ref="J578">_xlfn.SWITCH(B578,1,75,2,61,3,49,4,37,5,25,6,13,7,4,8,1)</f>
        <v>25</v>
      </c>
      <c r="K578" t="str" cm="1">
        <f t="array" ref="K578">IFERROR(_xlfn.SWITCH(L578,2,_xlfn.XLOOKUP(C578,[1]ModifierDes!$B:$B,[1]ModifierDes!$C:$C),3,_xlfn.XLOOKUP(C578,[1]StuntDes!$B:$B,[1]StuntDes!$C:$C)),"")</f>
        <v/>
      </c>
      <c r="L578">
        <f t="shared" si="30"/>
        <v>1</v>
      </c>
      <c r="M578" s="10" t="str">
        <f>IFERROR(_xlfn.XLOOKUP(C578,[1]StuntDes!$B:$B,[1]StuntDes!$A:$A),"")</f>
        <v/>
      </c>
      <c r="N578" s="10" t="str">
        <f>IFERROR(_xlfn.XLOOKUP(C578,[1]ModifierDes!$B:$B,[1]ModifierDes!$A:$A),"")</f>
        <v/>
      </c>
      <c r="O578" s="10">
        <f>IFERROR(_xlfn.XLOOKUP(C578,[1]AttributeName!$C:$C,[1]AttributeName!$B:$B),"")</f>
        <v>10811</v>
      </c>
      <c r="P578" s="10"/>
      <c r="Q578">
        <v>0.04</v>
      </c>
      <c r="R578">
        <v>0.04</v>
      </c>
      <c r="S578" cm="1">
        <f t="array" ref="S578">IFERROR(_xlfn.SWITCH(L578,1,_xlfn.XLOOKUP(O578,[1]AttributeName!$B:$B,[1]AttributeName!$D:$D),2,_xlfn.XLOOKUP(C578,#REF!,#REF!),3,_xlfn.XLOOKUP(C578,#REF!,#REF!)),0)</f>
        <v>2</v>
      </c>
      <c r="T578" cm="1">
        <f t="array" ref="T578">IFERROR(_xlfn.SWITCH(L578,1,_xlfn.XLOOKUP(O578,[1]AttributeName!$B:$B,[1]AttributeName!$E:$E),2,_xlfn.XLOOKUP(C578,#REF!,#REF!),3,_xlfn.XLOOKUP(C578,#REF!,#REF!)),0)</f>
        <v>2</v>
      </c>
    </row>
    <row r="579" customFormat="1" spans="1:20">
      <c r="A579">
        <f t="shared" si="31"/>
        <v>212</v>
      </c>
      <c r="B579">
        <v>6</v>
      </c>
      <c r="C579" t="s">
        <v>429</v>
      </c>
      <c r="D579" t="s">
        <v>25</v>
      </c>
      <c r="E579" t="s">
        <v>378</v>
      </c>
      <c r="F579"/>
      <c r="G579">
        <v>1</v>
      </c>
      <c r="H579">
        <v>1000</v>
      </c>
      <c r="J579" cm="1">
        <f t="array" ref="J579">_xlfn.SWITCH(B579,1,75,2,61,3,49,4,37,5,25,6,13,7,4,8,1)</f>
        <v>13</v>
      </c>
      <c r="K579" t="str" cm="1">
        <f t="array" ref="K579">IFERROR(_xlfn.SWITCH(L579,2,_xlfn.XLOOKUP(C579,[1]ModifierDes!$B:$B,[1]ModifierDes!$C:$C),3,_xlfn.XLOOKUP(C579,[1]StuntDes!$B:$B,[1]StuntDes!$C:$C)),"")</f>
        <v/>
      </c>
      <c r="L579">
        <f t="shared" si="30"/>
        <v>1</v>
      </c>
      <c r="M579" s="10" t="str">
        <f>IFERROR(_xlfn.XLOOKUP(C579,[1]StuntDes!$B:$B,[1]StuntDes!$A:$A),"")</f>
        <v/>
      </c>
      <c r="N579" s="10" t="str">
        <f>IFERROR(_xlfn.XLOOKUP(C579,[1]ModifierDes!$B:$B,[1]ModifierDes!$A:$A),"")</f>
        <v/>
      </c>
      <c r="O579" s="10">
        <f>IFERROR(_xlfn.XLOOKUP(C579,[1]AttributeName!$C:$C,[1]AttributeName!$B:$B),"")</f>
        <v>10811</v>
      </c>
      <c r="P579" s="10"/>
      <c r="Q579">
        <v>0.03</v>
      </c>
      <c r="R579">
        <v>0.03</v>
      </c>
      <c r="S579" cm="1">
        <f t="array" ref="S579">IFERROR(_xlfn.SWITCH(L579,1,_xlfn.XLOOKUP(O579,[1]AttributeName!$B:$B,[1]AttributeName!$D:$D),2,_xlfn.XLOOKUP(C579,#REF!,#REF!),3,_xlfn.XLOOKUP(C579,#REF!,#REF!)),0)</f>
        <v>2</v>
      </c>
      <c r="T579" cm="1">
        <f t="array" ref="T579">IFERROR(_xlfn.SWITCH(L579,1,_xlfn.XLOOKUP(O579,[1]AttributeName!$B:$B,[1]AttributeName!$E:$E),2,_xlfn.XLOOKUP(C579,#REF!,#REF!),3,_xlfn.XLOOKUP(C579,#REF!,#REF!)),0)</f>
        <v>2</v>
      </c>
    </row>
    <row r="580" customFormat="1" spans="1:20">
      <c r="A580">
        <f t="shared" si="31"/>
        <v>212</v>
      </c>
      <c r="B580">
        <v>7</v>
      </c>
      <c r="C580" t="s">
        <v>429</v>
      </c>
      <c r="D580" t="s">
        <v>25</v>
      </c>
      <c r="E580" t="s">
        <v>378</v>
      </c>
      <c r="F580"/>
      <c r="G580">
        <v>1</v>
      </c>
      <c r="H580">
        <v>1000</v>
      </c>
      <c r="J580" cm="1">
        <f t="array" ref="J580">_xlfn.SWITCH(B580,1,75,2,61,3,49,4,37,5,25,6,13,7,4,8,1)</f>
        <v>4</v>
      </c>
      <c r="K580" t="str" cm="1">
        <f t="array" ref="K580">IFERROR(_xlfn.SWITCH(L580,2,_xlfn.XLOOKUP(C580,[1]ModifierDes!$B:$B,[1]ModifierDes!$C:$C),3,_xlfn.XLOOKUP(C580,[1]StuntDes!$B:$B,[1]StuntDes!$C:$C)),"")</f>
        <v/>
      </c>
      <c r="L580">
        <f t="shared" ref="L580:L643" si="32">IF(M580="",IF(N580="",1,2),3)</f>
        <v>1</v>
      </c>
      <c r="M580" s="10" t="str">
        <f>IFERROR(_xlfn.XLOOKUP(C580,[1]StuntDes!$B:$B,[1]StuntDes!$A:$A),"")</f>
        <v/>
      </c>
      <c r="N580" s="10" t="str">
        <f>IFERROR(_xlfn.XLOOKUP(C580,[1]ModifierDes!$B:$B,[1]ModifierDes!$A:$A),"")</f>
        <v/>
      </c>
      <c r="O580" s="10">
        <f>IFERROR(_xlfn.XLOOKUP(C580,[1]AttributeName!$C:$C,[1]AttributeName!$B:$B),"")</f>
        <v>10811</v>
      </c>
      <c r="P580" s="10"/>
      <c r="Q580">
        <v>0.02</v>
      </c>
      <c r="R580">
        <v>0.02</v>
      </c>
      <c r="S580" cm="1">
        <f t="array" ref="S580">IFERROR(_xlfn.SWITCH(L580,1,_xlfn.XLOOKUP(O580,[1]AttributeName!$B:$B,[1]AttributeName!$D:$D),2,_xlfn.XLOOKUP(C580,#REF!,#REF!),3,_xlfn.XLOOKUP(C580,#REF!,#REF!)),0)</f>
        <v>2</v>
      </c>
      <c r="T580" cm="1">
        <f t="array" ref="T580">IFERROR(_xlfn.SWITCH(L580,1,_xlfn.XLOOKUP(O580,[1]AttributeName!$B:$B,[1]AttributeName!$E:$E),2,_xlfn.XLOOKUP(C580,#REF!,#REF!),3,_xlfn.XLOOKUP(C580,#REF!,#REF!)),0)</f>
        <v>2</v>
      </c>
    </row>
    <row r="581" customFormat="1" spans="1:20">
      <c r="A581">
        <f t="shared" si="31"/>
        <v>212</v>
      </c>
      <c r="B581">
        <v>8</v>
      </c>
      <c r="C581" t="s">
        <v>429</v>
      </c>
      <c r="D581" t="s">
        <v>25</v>
      </c>
      <c r="E581" t="s">
        <v>378</v>
      </c>
      <c r="F581"/>
      <c r="G581">
        <v>1</v>
      </c>
      <c r="H581">
        <v>1000</v>
      </c>
      <c r="J581" cm="1">
        <f t="array" ref="J581">_xlfn.SWITCH(B581,1,75,2,61,3,49,4,37,5,25,6,13,7,4,8,1)</f>
        <v>1</v>
      </c>
      <c r="K581" t="str" cm="1">
        <f t="array" ref="K581">IFERROR(_xlfn.SWITCH(L581,2,_xlfn.XLOOKUP(C581,[1]ModifierDes!$B:$B,[1]ModifierDes!$C:$C),3,_xlfn.XLOOKUP(C581,[1]StuntDes!$B:$B,[1]StuntDes!$C:$C)),"")</f>
        <v/>
      </c>
      <c r="L581">
        <f t="shared" si="32"/>
        <v>1</v>
      </c>
      <c r="M581" s="10" t="str">
        <f>IFERROR(_xlfn.XLOOKUP(C581,[1]StuntDes!$B:$B,[1]StuntDes!$A:$A),"")</f>
        <v/>
      </c>
      <c r="N581" s="10" t="str">
        <f>IFERROR(_xlfn.XLOOKUP(C581,[1]ModifierDes!$B:$B,[1]ModifierDes!$A:$A),"")</f>
        <v/>
      </c>
      <c r="O581" s="10">
        <f>IFERROR(_xlfn.XLOOKUP(C581,[1]AttributeName!$C:$C,[1]AttributeName!$B:$B),"")</f>
        <v>10811</v>
      </c>
      <c r="P581" s="10"/>
      <c r="Q581">
        <v>0.01</v>
      </c>
      <c r="R581">
        <v>0.01</v>
      </c>
      <c r="S581" cm="1">
        <f t="array" ref="S581">IFERROR(_xlfn.SWITCH(L581,1,_xlfn.XLOOKUP(O581,[1]AttributeName!$B:$B,[1]AttributeName!$D:$D),2,_xlfn.XLOOKUP(C581,#REF!,#REF!),3,_xlfn.XLOOKUP(C581,#REF!,#REF!)),0)</f>
        <v>2</v>
      </c>
      <c r="T581" cm="1">
        <f t="array" ref="T581">IFERROR(_xlfn.SWITCH(L581,1,_xlfn.XLOOKUP(O581,[1]AttributeName!$B:$B,[1]AttributeName!$E:$E),2,_xlfn.XLOOKUP(C581,#REF!,#REF!),3,_xlfn.XLOOKUP(C581,#REF!,#REF!)),0)</f>
        <v>2</v>
      </c>
    </row>
    <row r="582" customFormat="1" spans="1:20">
      <c r="A582">
        <f t="shared" si="31"/>
        <v>213</v>
      </c>
      <c r="B582">
        <v>1</v>
      </c>
      <c r="C582" t="s">
        <v>430</v>
      </c>
      <c r="D582" t="s">
        <v>25</v>
      </c>
      <c r="E582" t="s">
        <v>378</v>
      </c>
      <c r="F582"/>
      <c r="G582">
        <v>1</v>
      </c>
      <c r="H582">
        <v>250</v>
      </c>
      <c r="J582" cm="1">
        <f t="array" ref="J582">_xlfn.SWITCH(B582,1,75,2,61,3,49,4,37,5,25,6,13,7,4,8,1)</f>
        <v>75</v>
      </c>
      <c r="K582" t="str" cm="1">
        <f t="array" ref="K582">IFERROR(_xlfn.SWITCH(L582,2,_xlfn.XLOOKUP(C582,[1]ModifierDes!$B:$B,[1]ModifierDes!$C:$C),3,_xlfn.XLOOKUP(C582,[1]StuntDes!$B:$B,[1]StuntDes!$C:$C)),"")</f>
        <v/>
      </c>
      <c r="L582">
        <f t="shared" si="32"/>
        <v>1</v>
      </c>
      <c r="M582" s="10" t="str">
        <f>IFERROR(_xlfn.XLOOKUP(C582,[1]StuntDes!$B:$B,[1]StuntDes!$A:$A),"")</f>
        <v/>
      </c>
      <c r="N582" s="10" t="str">
        <f>IFERROR(_xlfn.XLOOKUP(C582,[1]ModifierDes!$B:$B,[1]ModifierDes!$A:$A),"")</f>
        <v/>
      </c>
      <c r="O582" s="10">
        <f>IFERROR(_xlfn.XLOOKUP(C582,[1]AttributeName!$C:$C,[1]AttributeName!$B:$B),"")</f>
        <v>10812</v>
      </c>
      <c r="P582" s="10"/>
      <c r="Q582">
        <v>0.08</v>
      </c>
      <c r="R582">
        <v>0.1</v>
      </c>
      <c r="S582" cm="1">
        <f t="array" ref="S582">IFERROR(_xlfn.SWITCH(L582,1,_xlfn.XLOOKUP(O582,[1]AttributeName!$B:$B,[1]AttributeName!$D:$D),2,_xlfn.XLOOKUP(C582,#REF!,#REF!),3,_xlfn.XLOOKUP(C582,#REF!,#REF!)),0)</f>
        <v>2</v>
      </c>
      <c r="T582" cm="1">
        <f t="array" ref="T582">IFERROR(_xlfn.SWITCH(L582,1,_xlfn.XLOOKUP(O582,[1]AttributeName!$B:$B,[1]AttributeName!$E:$E),2,_xlfn.XLOOKUP(C582,#REF!,#REF!),3,_xlfn.XLOOKUP(C582,#REF!,#REF!)),0)</f>
        <v>2</v>
      </c>
    </row>
    <row r="583" customFormat="1" spans="1:20">
      <c r="A583">
        <f t="shared" si="31"/>
        <v>213</v>
      </c>
      <c r="B583">
        <v>2</v>
      </c>
      <c r="C583" t="s">
        <v>430</v>
      </c>
      <c r="D583" t="s">
        <v>25</v>
      </c>
      <c r="E583" t="s">
        <v>378</v>
      </c>
      <c r="F583"/>
      <c r="G583">
        <v>1</v>
      </c>
      <c r="H583">
        <v>500</v>
      </c>
      <c r="J583" cm="1">
        <f t="array" ref="J583">_xlfn.SWITCH(B583,1,75,2,61,3,49,4,37,5,25,6,13,7,4,8,1)</f>
        <v>61</v>
      </c>
      <c r="K583" t="str" cm="1">
        <f t="array" ref="K583">IFERROR(_xlfn.SWITCH(L583,2,_xlfn.XLOOKUP(C583,[1]ModifierDes!$B:$B,[1]ModifierDes!$C:$C),3,_xlfn.XLOOKUP(C583,[1]StuntDes!$B:$B,[1]StuntDes!$C:$C)),"")</f>
        <v/>
      </c>
      <c r="L583">
        <f t="shared" si="32"/>
        <v>1</v>
      </c>
      <c r="M583" s="10" t="str">
        <f>IFERROR(_xlfn.XLOOKUP(C583,[1]StuntDes!$B:$B,[1]StuntDes!$A:$A),"")</f>
        <v/>
      </c>
      <c r="N583" s="10" t="str">
        <f>IFERROR(_xlfn.XLOOKUP(C583,[1]ModifierDes!$B:$B,[1]ModifierDes!$A:$A),"")</f>
        <v/>
      </c>
      <c r="O583" s="10">
        <f>IFERROR(_xlfn.XLOOKUP(C583,[1]AttributeName!$C:$C,[1]AttributeName!$B:$B),"")</f>
        <v>10812</v>
      </c>
      <c r="P583" s="10"/>
      <c r="Q583">
        <v>0.07</v>
      </c>
      <c r="R583">
        <v>0.07</v>
      </c>
      <c r="S583" cm="1">
        <f t="array" ref="S583">IFERROR(_xlfn.SWITCH(L583,1,_xlfn.XLOOKUP(O583,[1]AttributeName!$B:$B,[1]AttributeName!$D:$D),2,_xlfn.XLOOKUP(C583,#REF!,#REF!),3,_xlfn.XLOOKUP(C583,#REF!,#REF!)),0)</f>
        <v>2</v>
      </c>
      <c r="T583" cm="1">
        <f t="array" ref="T583">IFERROR(_xlfn.SWITCH(L583,1,_xlfn.XLOOKUP(O583,[1]AttributeName!$B:$B,[1]AttributeName!$E:$E),2,_xlfn.XLOOKUP(C583,#REF!,#REF!),3,_xlfn.XLOOKUP(C583,#REF!,#REF!)),0)</f>
        <v>2</v>
      </c>
    </row>
    <row r="584" customFormat="1" spans="1:20">
      <c r="A584">
        <f t="shared" si="31"/>
        <v>213</v>
      </c>
      <c r="B584">
        <v>3</v>
      </c>
      <c r="C584" t="s">
        <v>430</v>
      </c>
      <c r="D584" t="s">
        <v>25</v>
      </c>
      <c r="E584" t="s">
        <v>378</v>
      </c>
      <c r="F584"/>
      <c r="G584">
        <v>1</v>
      </c>
      <c r="H584">
        <v>750</v>
      </c>
      <c r="J584" cm="1">
        <f t="array" ref="J584">_xlfn.SWITCH(B584,1,75,2,61,3,49,4,37,5,25,6,13,7,4,8,1)</f>
        <v>49</v>
      </c>
      <c r="K584" t="str" cm="1">
        <f t="array" ref="K584">IFERROR(_xlfn.SWITCH(L584,2,_xlfn.XLOOKUP(C584,[1]ModifierDes!$B:$B,[1]ModifierDes!$C:$C),3,_xlfn.XLOOKUP(C584,[1]StuntDes!$B:$B,[1]StuntDes!$C:$C)),"")</f>
        <v/>
      </c>
      <c r="L584">
        <f t="shared" si="32"/>
        <v>1</v>
      </c>
      <c r="M584" s="10" t="str">
        <f>IFERROR(_xlfn.XLOOKUP(C584,[1]StuntDes!$B:$B,[1]StuntDes!$A:$A),"")</f>
        <v/>
      </c>
      <c r="N584" s="10" t="str">
        <f>IFERROR(_xlfn.XLOOKUP(C584,[1]ModifierDes!$B:$B,[1]ModifierDes!$A:$A),"")</f>
        <v/>
      </c>
      <c r="O584" s="10">
        <f>IFERROR(_xlfn.XLOOKUP(C584,[1]AttributeName!$C:$C,[1]AttributeName!$B:$B),"")</f>
        <v>10812</v>
      </c>
      <c r="P584" s="10"/>
      <c r="Q584">
        <v>0.06</v>
      </c>
      <c r="R584">
        <v>0.06</v>
      </c>
      <c r="S584" cm="1">
        <f t="array" ref="S584">IFERROR(_xlfn.SWITCH(L584,1,_xlfn.XLOOKUP(O584,[1]AttributeName!$B:$B,[1]AttributeName!$D:$D),2,_xlfn.XLOOKUP(C584,#REF!,#REF!),3,_xlfn.XLOOKUP(C584,#REF!,#REF!)),0)</f>
        <v>2</v>
      </c>
      <c r="T584" cm="1">
        <f t="array" ref="T584">IFERROR(_xlfn.SWITCH(L584,1,_xlfn.XLOOKUP(O584,[1]AttributeName!$B:$B,[1]AttributeName!$E:$E),2,_xlfn.XLOOKUP(C584,#REF!,#REF!),3,_xlfn.XLOOKUP(C584,#REF!,#REF!)),0)</f>
        <v>2</v>
      </c>
    </row>
    <row r="585" customFormat="1" spans="1:20">
      <c r="A585">
        <f t="shared" si="31"/>
        <v>213</v>
      </c>
      <c r="B585">
        <v>4</v>
      </c>
      <c r="C585" t="s">
        <v>430</v>
      </c>
      <c r="D585" t="s">
        <v>25</v>
      </c>
      <c r="E585" t="s">
        <v>378</v>
      </c>
      <c r="F585"/>
      <c r="G585">
        <v>1</v>
      </c>
      <c r="H585">
        <v>1000</v>
      </c>
      <c r="J585" cm="1">
        <f t="array" ref="J585">_xlfn.SWITCH(B585,1,75,2,61,3,49,4,37,5,25,6,13,7,4,8,1)</f>
        <v>37</v>
      </c>
      <c r="K585" t="str" cm="1">
        <f t="array" ref="K585">IFERROR(_xlfn.SWITCH(L585,2,_xlfn.XLOOKUP(C585,[1]ModifierDes!$B:$B,[1]ModifierDes!$C:$C),3,_xlfn.XLOOKUP(C585,[1]StuntDes!$B:$B,[1]StuntDes!$C:$C)),"")</f>
        <v/>
      </c>
      <c r="L585">
        <f t="shared" si="32"/>
        <v>1</v>
      </c>
      <c r="M585" s="10" t="str">
        <f>IFERROR(_xlfn.XLOOKUP(C585,[1]StuntDes!$B:$B,[1]StuntDes!$A:$A),"")</f>
        <v/>
      </c>
      <c r="N585" s="10" t="str">
        <f>IFERROR(_xlfn.XLOOKUP(C585,[1]ModifierDes!$B:$B,[1]ModifierDes!$A:$A),"")</f>
        <v/>
      </c>
      <c r="O585" s="10">
        <f>IFERROR(_xlfn.XLOOKUP(C585,[1]AttributeName!$C:$C,[1]AttributeName!$B:$B),"")</f>
        <v>10812</v>
      </c>
      <c r="P585" s="10"/>
      <c r="Q585">
        <v>0.05</v>
      </c>
      <c r="R585">
        <v>0.05</v>
      </c>
      <c r="S585" cm="1">
        <f t="array" ref="S585">IFERROR(_xlfn.SWITCH(L585,1,_xlfn.XLOOKUP(O585,[1]AttributeName!$B:$B,[1]AttributeName!$D:$D),2,_xlfn.XLOOKUP(C585,#REF!,#REF!),3,_xlfn.XLOOKUP(C585,#REF!,#REF!)),0)</f>
        <v>2</v>
      </c>
      <c r="T585" cm="1">
        <f t="array" ref="T585">IFERROR(_xlfn.SWITCH(L585,1,_xlfn.XLOOKUP(O585,[1]AttributeName!$B:$B,[1]AttributeName!$E:$E),2,_xlfn.XLOOKUP(C585,#REF!,#REF!),3,_xlfn.XLOOKUP(C585,#REF!,#REF!)),0)</f>
        <v>2</v>
      </c>
    </row>
    <row r="586" customFormat="1" spans="1:20">
      <c r="A586">
        <f t="shared" si="31"/>
        <v>213</v>
      </c>
      <c r="B586">
        <v>5</v>
      </c>
      <c r="C586" t="s">
        <v>430</v>
      </c>
      <c r="D586" t="s">
        <v>25</v>
      </c>
      <c r="E586" t="s">
        <v>378</v>
      </c>
      <c r="F586"/>
      <c r="G586">
        <v>1</v>
      </c>
      <c r="H586">
        <v>1000</v>
      </c>
      <c r="J586" cm="1">
        <f t="array" ref="J586">_xlfn.SWITCH(B586,1,75,2,61,3,49,4,37,5,25,6,13,7,4,8,1)</f>
        <v>25</v>
      </c>
      <c r="K586" t="str" cm="1">
        <f t="array" ref="K586">IFERROR(_xlfn.SWITCH(L586,2,_xlfn.XLOOKUP(C586,[1]ModifierDes!$B:$B,[1]ModifierDes!$C:$C),3,_xlfn.XLOOKUP(C586,[1]StuntDes!$B:$B,[1]StuntDes!$C:$C)),"")</f>
        <v/>
      </c>
      <c r="L586">
        <f t="shared" si="32"/>
        <v>1</v>
      </c>
      <c r="M586" s="10" t="str">
        <f>IFERROR(_xlfn.XLOOKUP(C586,[1]StuntDes!$B:$B,[1]StuntDes!$A:$A),"")</f>
        <v/>
      </c>
      <c r="N586" s="10" t="str">
        <f>IFERROR(_xlfn.XLOOKUP(C586,[1]ModifierDes!$B:$B,[1]ModifierDes!$A:$A),"")</f>
        <v/>
      </c>
      <c r="O586" s="10">
        <f>IFERROR(_xlfn.XLOOKUP(C586,[1]AttributeName!$C:$C,[1]AttributeName!$B:$B),"")</f>
        <v>10812</v>
      </c>
      <c r="P586" s="10"/>
      <c r="Q586">
        <v>0.04</v>
      </c>
      <c r="R586">
        <v>0.04</v>
      </c>
      <c r="S586" cm="1">
        <f t="array" ref="S586">IFERROR(_xlfn.SWITCH(L586,1,_xlfn.XLOOKUP(O586,[1]AttributeName!$B:$B,[1]AttributeName!$D:$D),2,_xlfn.XLOOKUP(C586,#REF!,#REF!),3,_xlfn.XLOOKUP(C586,#REF!,#REF!)),0)</f>
        <v>2</v>
      </c>
      <c r="T586" cm="1">
        <f t="array" ref="T586">IFERROR(_xlfn.SWITCH(L586,1,_xlfn.XLOOKUP(O586,[1]AttributeName!$B:$B,[1]AttributeName!$E:$E),2,_xlfn.XLOOKUP(C586,#REF!,#REF!),3,_xlfn.XLOOKUP(C586,#REF!,#REF!)),0)</f>
        <v>2</v>
      </c>
    </row>
    <row r="587" customFormat="1" spans="1:20">
      <c r="A587">
        <f t="shared" si="31"/>
        <v>213</v>
      </c>
      <c r="B587">
        <v>6</v>
      </c>
      <c r="C587" t="s">
        <v>430</v>
      </c>
      <c r="D587" t="s">
        <v>25</v>
      </c>
      <c r="E587" t="s">
        <v>378</v>
      </c>
      <c r="F587"/>
      <c r="G587">
        <v>1</v>
      </c>
      <c r="H587">
        <v>1000</v>
      </c>
      <c r="J587" cm="1">
        <f t="array" ref="J587">_xlfn.SWITCH(B587,1,75,2,61,3,49,4,37,5,25,6,13,7,4,8,1)</f>
        <v>13</v>
      </c>
      <c r="K587" t="str" cm="1">
        <f t="array" ref="K587">IFERROR(_xlfn.SWITCH(L587,2,_xlfn.XLOOKUP(C587,[1]ModifierDes!$B:$B,[1]ModifierDes!$C:$C),3,_xlfn.XLOOKUP(C587,[1]StuntDes!$B:$B,[1]StuntDes!$C:$C)),"")</f>
        <v/>
      </c>
      <c r="L587">
        <f t="shared" si="32"/>
        <v>1</v>
      </c>
      <c r="M587" s="10" t="str">
        <f>IFERROR(_xlfn.XLOOKUP(C587,[1]StuntDes!$B:$B,[1]StuntDes!$A:$A),"")</f>
        <v/>
      </c>
      <c r="N587" s="10" t="str">
        <f>IFERROR(_xlfn.XLOOKUP(C587,[1]ModifierDes!$B:$B,[1]ModifierDes!$A:$A),"")</f>
        <v/>
      </c>
      <c r="O587" s="10">
        <f>IFERROR(_xlfn.XLOOKUP(C587,[1]AttributeName!$C:$C,[1]AttributeName!$B:$B),"")</f>
        <v>10812</v>
      </c>
      <c r="P587" s="10"/>
      <c r="Q587">
        <v>0.03</v>
      </c>
      <c r="R587">
        <v>0.03</v>
      </c>
      <c r="S587" cm="1">
        <f t="array" ref="S587">IFERROR(_xlfn.SWITCH(L587,1,_xlfn.XLOOKUP(O587,[1]AttributeName!$B:$B,[1]AttributeName!$D:$D),2,_xlfn.XLOOKUP(C587,#REF!,#REF!),3,_xlfn.XLOOKUP(C587,#REF!,#REF!)),0)</f>
        <v>2</v>
      </c>
      <c r="T587" cm="1">
        <f t="array" ref="T587">IFERROR(_xlfn.SWITCH(L587,1,_xlfn.XLOOKUP(O587,[1]AttributeName!$B:$B,[1]AttributeName!$E:$E),2,_xlfn.XLOOKUP(C587,#REF!,#REF!),3,_xlfn.XLOOKUP(C587,#REF!,#REF!)),0)</f>
        <v>2</v>
      </c>
    </row>
    <row r="588" customFormat="1" spans="1:20">
      <c r="A588">
        <f t="shared" si="31"/>
        <v>213</v>
      </c>
      <c r="B588">
        <v>7</v>
      </c>
      <c r="C588" t="s">
        <v>430</v>
      </c>
      <c r="D588" t="s">
        <v>25</v>
      </c>
      <c r="E588" t="s">
        <v>378</v>
      </c>
      <c r="F588"/>
      <c r="G588">
        <v>1</v>
      </c>
      <c r="H588">
        <v>1000</v>
      </c>
      <c r="J588" cm="1">
        <f t="array" ref="J588">_xlfn.SWITCH(B588,1,75,2,61,3,49,4,37,5,25,6,13,7,4,8,1)</f>
        <v>4</v>
      </c>
      <c r="K588" t="str" cm="1">
        <f t="array" ref="K588">IFERROR(_xlfn.SWITCH(L588,2,_xlfn.XLOOKUP(C588,[1]ModifierDes!$B:$B,[1]ModifierDes!$C:$C),3,_xlfn.XLOOKUP(C588,[1]StuntDes!$B:$B,[1]StuntDes!$C:$C)),"")</f>
        <v/>
      </c>
      <c r="L588">
        <f t="shared" si="32"/>
        <v>1</v>
      </c>
      <c r="M588" s="10" t="str">
        <f>IFERROR(_xlfn.XLOOKUP(C588,[1]StuntDes!$B:$B,[1]StuntDes!$A:$A),"")</f>
        <v/>
      </c>
      <c r="N588" s="10" t="str">
        <f>IFERROR(_xlfn.XLOOKUP(C588,[1]ModifierDes!$B:$B,[1]ModifierDes!$A:$A),"")</f>
        <v/>
      </c>
      <c r="O588" s="10">
        <f>IFERROR(_xlfn.XLOOKUP(C588,[1]AttributeName!$C:$C,[1]AttributeName!$B:$B),"")</f>
        <v>10812</v>
      </c>
      <c r="P588" s="10"/>
      <c r="Q588">
        <v>0.02</v>
      </c>
      <c r="R588">
        <v>0.02</v>
      </c>
      <c r="S588" cm="1">
        <f t="array" ref="S588">IFERROR(_xlfn.SWITCH(L588,1,_xlfn.XLOOKUP(O588,[1]AttributeName!$B:$B,[1]AttributeName!$D:$D),2,_xlfn.XLOOKUP(C588,#REF!,#REF!),3,_xlfn.XLOOKUP(C588,#REF!,#REF!)),0)</f>
        <v>2</v>
      </c>
      <c r="T588" cm="1">
        <f t="array" ref="T588">IFERROR(_xlfn.SWITCH(L588,1,_xlfn.XLOOKUP(O588,[1]AttributeName!$B:$B,[1]AttributeName!$E:$E),2,_xlfn.XLOOKUP(C588,#REF!,#REF!),3,_xlfn.XLOOKUP(C588,#REF!,#REF!)),0)</f>
        <v>2</v>
      </c>
    </row>
    <row r="589" customFormat="1" spans="1:20">
      <c r="A589">
        <f t="shared" si="31"/>
        <v>213</v>
      </c>
      <c r="B589">
        <v>8</v>
      </c>
      <c r="C589" t="s">
        <v>430</v>
      </c>
      <c r="D589" t="s">
        <v>25</v>
      </c>
      <c r="E589" t="s">
        <v>378</v>
      </c>
      <c r="F589"/>
      <c r="G589">
        <v>1</v>
      </c>
      <c r="H589">
        <v>1000</v>
      </c>
      <c r="J589" cm="1">
        <f t="array" ref="J589">_xlfn.SWITCH(B589,1,75,2,61,3,49,4,37,5,25,6,13,7,4,8,1)</f>
        <v>1</v>
      </c>
      <c r="K589" t="str" cm="1">
        <f t="array" ref="K589">IFERROR(_xlfn.SWITCH(L589,2,_xlfn.XLOOKUP(C589,[1]ModifierDes!$B:$B,[1]ModifierDes!$C:$C),3,_xlfn.XLOOKUP(C589,[1]StuntDes!$B:$B,[1]StuntDes!$C:$C)),"")</f>
        <v/>
      </c>
      <c r="L589">
        <f t="shared" si="32"/>
        <v>1</v>
      </c>
      <c r="M589" s="10" t="str">
        <f>IFERROR(_xlfn.XLOOKUP(C589,[1]StuntDes!$B:$B,[1]StuntDes!$A:$A),"")</f>
        <v/>
      </c>
      <c r="N589" s="10" t="str">
        <f>IFERROR(_xlfn.XLOOKUP(C589,[1]ModifierDes!$B:$B,[1]ModifierDes!$A:$A),"")</f>
        <v/>
      </c>
      <c r="O589" s="10">
        <f>IFERROR(_xlfn.XLOOKUP(C589,[1]AttributeName!$C:$C,[1]AttributeName!$B:$B),"")</f>
        <v>10812</v>
      </c>
      <c r="P589" s="10"/>
      <c r="Q589">
        <v>0.01</v>
      </c>
      <c r="R589">
        <v>0.01</v>
      </c>
      <c r="S589" cm="1">
        <f t="array" ref="S589">IFERROR(_xlfn.SWITCH(L589,1,_xlfn.XLOOKUP(O589,[1]AttributeName!$B:$B,[1]AttributeName!$D:$D),2,_xlfn.XLOOKUP(C589,#REF!,#REF!),3,_xlfn.XLOOKUP(C589,#REF!,#REF!)),0)</f>
        <v>2</v>
      </c>
      <c r="T589" cm="1">
        <f t="array" ref="T589">IFERROR(_xlfn.SWITCH(L589,1,_xlfn.XLOOKUP(O589,[1]AttributeName!$B:$B,[1]AttributeName!$E:$E),2,_xlfn.XLOOKUP(C589,#REF!,#REF!),3,_xlfn.XLOOKUP(C589,#REF!,#REF!)),0)</f>
        <v>2</v>
      </c>
    </row>
    <row r="590" customFormat="1" spans="1:20">
      <c r="A590">
        <f t="shared" si="31"/>
        <v>214</v>
      </c>
      <c r="B590">
        <v>1</v>
      </c>
      <c r="C590" t="s">
        <v>422</v>
      </c>
      <c r="D590" t="s">
        <v>25</v>
      </c>
      <c r="E590" t="s">
        <v>378</v>
      </c>
      <c r="F590"/>
      <c r="G590">
        <v>1</v>
      </c>
      <c r="H590">
        <v>250</v>
      </c>
      <c r="J590" cm="1">
        <f t="array" ref="J590">_xlfn.SWITCH(B590,1,75,2,61,3,49,4,37,5,25,6,13,7,4,8,1)</f>
        <v>75</v>
      </c>
      <c r="K590" t="str" cm="1">
        <f t="array" ref="K590">IFERROR(_xlfn.SWITCH(L590,2,_xlfn.XLOOKUP(C590,[1]ModifierDes!$B:$B,[1]ModifierDes!$C:$C),3,_xlfn.XLOOKUP(C590,[1]StuntDes!$B:$B,[1]StuntDes!$C:$C)),"")</f>
        <v/>
      </c>
      <c r="L590">
        <f t="shared" si="32"/>
        <v>1</v>
      </c>
      <c r="M590" s="10" t="str">
        <f>IFERROR(_xlfn.XLOOKUP(C590,[1]StuntDes!$B:$B,[1]StuntDes!$A:$A),"")</f>
        <v/>
      </c>
      <c r="N590" s="10" t="str">
        <f>IFERROR(_xlfn.XLOOKUP(C590,[1]ModifierDes!$B:$B,[1]ModifierDes!$A:$A),"")</f>
        <v/>
      </c>
      <c r="O590" s="10">
        <f>IFERROR(_xlfn.XLOOKUP(C590,[1]AttributeName!$C:$C,[1]AttributeName!$B:$B),"")</f>
        <v>10011</v>
      </c>
      <c r="P590" s="10"/>
      <c r="Q590">
        <v>0.08</v>
      </c>
      <c r="R590">
        <v>0.1</v>
      </c>
      <c r="S590" cm="1">
        <f t="array" ref="S590">IFERROR(_xlfn.SWITCH(L590,1,_xlfn.XLOOKUP(O590,[1]AttributeName!$B:$B,[1]AttributeName!$D:$D),2,_xlfn.XLOOKUP(C590,#REF!,#REF!),3,_xlfn.XLOOKUP(C590,#REF!,#REF!)),0)</f>
        <v>2</v>
      </c>
      <c r="T590" cm="1">
        <f t="array" ref="T590">IFERROR(_xlfn.SWITCH(L590,1,_xlfn.XLOOKUP(O590,[1]AttributeName!$B:$B,[1]AttributeName!$E:$E),2,_xlfn.XLOOKUP(C590,#REF!,#REF!),3,_xlfn.XLOOKUP(C590,#REF!,#REF!)),0)</f>
        <v>2</v>
      </c>
    </row>
    <row r="591" customFormat="1" spans="1:20">
      <c r="A591">
        <f t="shared" si="31"/>
        <v>214</v>
      </c>
      <c r="B591">
        <v>2</v>
      </c>
      <c r="C591" t="s">
        <v>422</v>
      </c>
      <c r="D591" t="s">
        <v>25</v>
      </c>
      <c r="E591" t="s">
        <v>378</v>
      </c>
      <c r="F591"/>
      <c r="G591">
        <v>1</v>
      </c>
      <c r="H591">
        <v>500</v>
      </c>
      <c r="J591" cm="1">
        <f t="array" ref="J591">_xlfn.SWITCH(B591,1,75,2,61,3,49,4,37,5,25,6,13,7,4,8,1)</f>
        <v>61</v>
      </c>
      <c r="K591" t="str" cm="1">
        <f t="array" ref="K591">IFERROR(_xlfn.SWITCH(L591,2,_xlfn.XLOOKUP(C591,[1]ModifierDes!$B:$B,[1]ModifierDes!$C:$C),3,_xlfn.XLOOKUP(C591,[1]StuntDes!$B:$B,[1]StuntDes!$C:$C)),"")</f>
        <v/>
      </c>
      <c r="L591">
        <f t="shared" si="32"/>
        <v>1</v>
      </c>
      <c r="M591" s="10" t="str">
        <f>IFERROR(_xlfn.XLOOKUP(C591,[1]StuntDes!$B:$B,[1]StuntDes!$A:$A),"")</f>
        <v/>
      </c>
      <c r="N591" s="10" t="str">
        <f>IFERROR(_xlfn.XLOOKUP(C591,[1]ModifierDes!$B:$B,[1]ModifierDes!$A:$A),"")</f>
        <v/>
      </c>
      <c r="O591" s="10">
        <f>IFERROR(_xlfn.XLOOKUP(C591,[1]AttributeName!$C:$C,[1]AttributeName!$B:$B),"")</f>
        <v>10011</v>
      </c>
      <c r="P591" s="10"/>
      <c r="Q591">
        <v>0.07</v>
      </c>
      <c r="R591">
        <v>0.07</v>
      </c>
      <c r="S591" cm="1">
        <f t="array" ref="S591">IFERROR(_xlfn.SWITCH(L591,1,_xlfn.XLOOKUP(O591,[1]AttributeName!$B:$B,[1]AttributeName!$D:$D),2,_xlfn.XLOOKUP(C591,#REF!,#REF!),3,_xlfn.XLOOKUP(C591,#REF!,#REF!)),0)</f>
        <v>2</v>
      </c>
      <c r="T591" cm="1">
        <f t="array" ref="T591">IFERROR(_xlfn.SWITCH(L591,1,_xlfn.XLOOKUP(O591,[1]AttributeName!$B:$B,[1]AttributeName!$E:$E),2,_xlfn.XLOOKUP(C591,#REF!,#REF!),3,_xlfn.XLOOKUP(C591,#REF!,#REF!)),0)</f>
        <v>2</v>
      </c>
    </row>
    <row r="592" customFormat="1" spans="1:20">
      <c r="A592">
        <f t="shared" si="31"/>
        <v>214</v>
      </c>
      <c r="B592">
        <v>3</v>
      </c>
      <c r="C592" t="s">
        <v>422</v>
      </c>
      <c r="D592" t="s">
        <v>25</v>
      </c>
      <c r="E592" t="s">
        <v>378</v>
      </c>
      <c r="F592"/>
      <c r="G592">
        <v>1</v>
      </c>
      <c r="H592">
        <v>750</v>
      </c>
      <c r="J592" cm="1">
        <f t="array" ref="J592">_xlfn.SWITCH(B592,1,75,2,61,3,49,4,37,5,25,6,13,7,4,8,1)</f>
        <v>49</v>
      </c>
      <c r="K592" t="str" cm="1">
        <f t="array" ref="K592">IFERROR(_xlfn.SWITCH(L592,2,_xlfn.XLOOKUP(C592,[1]ModifierDes!$B:$B,[1]ModifierDes!$C:$C),3,_xlfn.XLOOKUP(C592,[1]StuntDes!$B:$B,[1]StuntDes!$C:$C)),"")</f>
        <v/>
      </c>
      <c r="L592">
        <f t="shared" si="32"/>
        <v>1</v>
      </c>
      <c r="M592" s="10" t="str">
        <f>IFERROR(_xlfn.XLOOKUP(C592,[1]StuntDes!$B:$B,[1]StuntDes!$A:$A),"")</f>
        <v/>
      </c>
      <c r="N592" s="10" t="str">
        <f>IFERROR(_xlfn.XLOOKUP(C592,[1]ModifierDes!$B:$B,[1]ModifierDes!$A:$A),"")</f>
        <v/>
      </c>
      <c r="O592" s="10">
        <f>IFERROR(_xlfn.XLOOKUP(C592,[1]AttributeName!$C:$C,[1]AttributeName!$B:$B),"")</f>
        <v>10011</v>
      </c>
      <c r="P592" s="10"/>
      <c r="Q592">
        <v>0.06</v>
      </c>
      <c r="R592">
        <v>0.06</v>
      </c>
      <c r="S592" cm="1">
        <f t="array" ref="S592">IFERROR(_xlfn.SWITCH(L592,1,_xlfn.XLOOKUP(O592,[1]AttributeName!$B:$B,[1]AttributeName!$D:$D),2,_xlfn.XLOOKUP(C592,#REF!,#REF!),3,_xlfn.XLOOKUP(C592,#REF!,#REF!)),0)</f>
        <v>2</v>
      </c>
      <c r="T592" cm="1">
        <f t="array" ref="T592">IFERROR(_xlfn.SWITCH(L592,1,_xlfn.XLOOKUP(O592,[1]AttributeName!$B:$B,[1]AttributeName!$E:$E),2,_xlfn.XLOOKUP(C592,#REF!,#REF!),3,_xlfn.XLOOKUP(C592,#REF!,#REF!)),0)</f>
        <v>2</v>
      </c>
    </row>
    <row r="593" customFormat="1" spans="1:20">
      <c r="A593">
        <f t="shared" si="31"/>
        <v>214</v>
      </c>
      <c r="B593">
        <v>4</v>
      </c>
      <c r="C593" t="s">
        <v>422</v>
      </c>
      <c r="D593" t="s">
        <v>25</v>
      </c>
      <c r="E593" t="s">
        <v>378</v>
      </c>
      <c r="F593"/>
      <c r="G593">
        <v>1</v>
      </c>
      <c r="H593">
        <v>1000</v>
      </c>
      <c r="J593" cm="1">
        <f t="array" ref="J593">_xlfn.SWITCH(B593,1,75,2,61,3,49,4,37,5,25,6,13,7,4,8,1)</f>
        <v>37</v>
      </c>
      <c r="K593" t="str" cm="1">
        <f t="array" ref="K593">IFERROR(_xlfn.SWITCH(L593,2,_xlfn.XLOOKUP(C593,[1]ModifierDes!$B:$B,[1]ModifierDes!$C:$C),3,_xlfn.XLOOKUP(C593,[1]StuntDes!$B:$B,[1]StuntDes!$C:$C)),"")</f>
        <v/>
      </c>
      <c r="L593">
        <f t="shared" si="32"/>
        <v>1</v>
      </c>
      <c r="M593" s="10" t="str">
        <f>IFERROR(_xlfn.XLOOKUP(C593,[1]StuntDes!$B:$B,[1]StuntDes!$A:$A),"")</f>
        <v/>
      </c>
      <c r="N593" s="10" t="str">
        <f>IFERROR(_xlfn.XLOOKUP(C593,[1]ModifierDes!$B:$B,[1]ModifierDes!$A:$A),"")</f>
        <v/>
      </c>
      <c r="O593" s="10">
        <f>IFERROR(_xlfn.XLOOKUP(C593,[1]AttributeName!$C:$C,[1]AttributeName!$B:$B),"")</f>
        <v>10011</v>
      </c>
      <c r="P593" s="10"/>
      <c r="Q593">
        <v>0.05</v>
      </c>
      <c r="R593">
        <v>0.05</v>
      </c>
      <c r="S593" cm="1">
        <f t="array" ref="S593">IFERROR(_xlfn.SWITCH(L593,1,_xlfn.XLOOKUP(O593,[1]AttributeName!$B:$B,[1]AttributeName!$D:$D),2,_xlfn.XLOOKUP(C593,#REF!,#REF!),3,_xlfn.XLOOKUP(C593,#REF!,#REF!)),0)</f>
        <v>2</v>
      </c>
      <c r="T593" cm="1">
        <f t="array" ref="T593">IFERROR(_xlfn.SWITCH(L593,1,_xlfn.XLOOKUP(O593,[1]AttributeName!$B:$B,[1]AttributeName!$E:$E),2,_xlfn.XLOOKUP(C593,#REF!,#REF!),3,_xlfn.XLOOKUP(C593,#REF!,#REF!)),0)</f>
        <v>2</v>
      </c>
    </row>
    <row r="594" customFormat="1" spans="1:20">
      <c r="A594">
        <f t="shared" si="31"/>
        <v>214</v>
      </c>
      <c r="B594">
        <v>5</v>
      </c>
      <c r="C594" t="s">
        <v>422</v>
      </c>
      <c r="D594" t="s">
        <v>25</v>
      </c>
      <c r="E594" t="s">
        <v>378</v>
      </c>
      <c r="F594"/>
      <c r="G594">
        <v>1</v>
      </c>
      <c r="H594">
        <v>1000</v>
      </c>
      <c r="J594" cm="1">
        <f t="array" ref="J594">_xlfn.SWITCH(B594,1,75,2,61,3,49,4,37,5,25,6,13,7,4,8,1)</f>
        <v>25</v>
      </c>
      <c r="K594" t="str" cm="1">
        <f t="array" ref="K594">IFERROR(_xlfn.SWITCH(L594,2,_xlfn.XLOOKUP(C594,[1]ModifierDes!$B:$B,[1]ModifierDes!$C:$C),3,_xlfn.XLOOKUP(C594,[1]StuntDes!$B:$B,[1]StuntDes!$C:$C)),"")</f>
        <v/>
      </c>
      <c r="L594">
        <f t="shared" si="32"/>
        <v>1</v>
      </c>
      <c r="M594" s="10" t="str">
        <f>IFERROR(_xlfn.XLOOKUP(C594,[1]StuntDes!$B:$B,[1]StuntDes!$A:$A),"")</f>
        <v/>
      </c>
      <c r="N594" s="10" t="str">
        <f>IFERROR(_xlfn.XLOOKUP(C594,[1]ModifierDes!$B:$B,[1]ModifierDes!$A:$A),"")</f>
        <v/>
      </c>
      <c r="O594" s="10">
        <f>IFERROR(_xlfn.XLOOKUP(C594,[1]AttributeName!$C:$C,[1]AttributeName!$B:$B),"")</f>
        <v>10011</v>
      </c>
      <c r="P594" s="10"/>
      <c r="Q594">
        <v>0.04</v>
      </c>
      <c r="R594">
        <v>0.04</v>
      </c>
      <c r="S594" cm="1">
        <f t="array" ref="S594">IFERROR(_xlfn.SWITCH(L594,1,_xlfn.XLOOKUP(O594,[1]AttributeName!$B:$B,[1]AttributeName!$D:$D),2,_xlfn.XLOOKUP(C594,#REF!,#REF!),3,_xlfn.XLOOKUP(C594,#REF!,#REF!)),0)</f>
        <v>2</v>
      </c>
      <c r="T594" cm="1">
        <f t="array" ref="T594">IFERROR(_xlfn.SWITCH(L594,1,_xlfn.XLOOKUP(O594,[1]AttributeName!$B:$B,[1]AttributeName!$E:$E),2,_xlfn.XLOOKUP(C594,#REF!,#REF!),3,_xlfn.XLOOKUP(C594,#REF!,#REF!)),0)</f>
        <v>2</v>
      </c>
    </row>
    <row r="595" customFormat="1" spans="1:20">
      <c r="A595">
        <f t="shared" si="31"/>
        <v>214</v>
      </c>
      <c r="B595">
        <v>6</v>
      </c>
      <c r="C595" t="s">
        <v>422</v>
      </c>
      <c r="D595" t="s">
        <v>25</v>
      </c>
      <c r="E595" t="s">
        <v>378</v>
      </c>
      <c r="F595"/>
      <c r="G595">
        <v>1</v>
      </c>
      <c r="H595">
        <v>1000</v>
      </c>
      <c r="J595" cm="1">
        <f t="array" ref="J595">_xlfn.SWITCH(B595,1,75,2,61,3,49,4,37,5,25,6,13,7,4,8,1)</f>
        <v>13</v>
      </c>
      <c r="K595" t="str" cm="1">
        <f t="array" ref="K595">IFERROR(_xlfn.SWITCH(L595,2,_xlfn.XLOOKUP(C595,[1]ModifierDes!$B:$B,[1]ModifierDes!$C:$C),3,_xlfn.XLOOKUP(C595,[1]StuntDes!$B:$B,[1]StuntDes!$C:$C)),"")</f>
        <v/>
      </c>
      <c r="L595">
        <f t="shared" si="32"/>
        <v>1</v>
      </c>
      <c r="M595" s="10" t="str">
        <f>IFERROR(_xlfn.XLOOKUP(C595,[1]StuntDes!$B:$B,[1]StuntDes!$A:$A),"")</f>
        <v/>
      </c>
      <c r="N595" s="10" t="str">
        <f>IFERROR(_xlfn.XLOOKUP(C595,[1]ModifierDes!$B:$B,[1]ModifierDes!$A:$A),"")</f>
        <v/>
      </c>
      <c r="O595" s="10">
        <f>IFERROR(_xlfn.XLOOKUP(C595,[1]AttributeName!$C:$C,[1]AttributeName!$B:$B),"")</f>
        <v>10011</v>
      </c>
      <c r="P595" s="10"/>
      <c r="Q595">
        <v>0.03</v>
      </c>
      <c r="R595">
        <v>0.03</v>
      </c>
      <c r="S595" cm="1">
        <f t="array" ref="S595">IFERROR(_xlfn.SWITCH(L595,1,_xlfn.XLOOKUP(O595,[1]AttributeName!$B:$B,[1]AttributeName!$D:$D),2,_xlfn.XLOOKUP(C595,#REF!,#REF!),3,_xlfn.XLOOKUP(C595,#REF!,#REF!)),0)</f>
        <v>2</v>
      </c>
      <c r="T595" cm="1">
        <f t="array" ref="T595">IFERROR(_xlfn.SWITCH(L595,1,_xlfn.XLOOKUP(O595,[1]AttributeName!$B:$B,[1]AttributeName!$E:$E),2,_xlfn.XLOOKUP(C595,#REF!,#REF!),3,_xlfn.XLOOKUP(C595,#REF!,#REF!)),0)</f>
        <v>2</v>
      </c>
    </row>
    <row r="596" customFormat="1" spans="1:20">
      <c r="A596">
        <f t="shared" si="31"/>
        <v>214</v>
      </c>
      <c r="B596">
        <v>7</v>
      </c>
      <c r="C596" t="s">
        <v>422</v>
      </c>
      <c r="D596" t="s">
        <v>25</v>
      </c>
      <c r="E596" t="s">
        <v>378</v>
      </c>
      <c r="F596"/>
      <c r="G596">
        <v>1</v>
      </c>
      <c r="H596">
        <v>1000</v>
      </c>
      <c r="J596" cm="1">
        <f t="array" ref="J596">_xlfn.SWITCH(B596,1,75,2,61,3,49,4,37,5,25,6,13,7,4,8,1)</f>
        <v>4</v>
      </c>
      <c r="K596" t="str" cm="1">
        <f t="array" ref="K596">IFERROR(_xlfn.SWITCH(L596,2,_xlfn.XLOOKUP(C596,[1]ModifierDes!$B:$B,[1]ModifierDes!$C:$C),3,_xlfn.XLOOKUP(C596,[1]StuntDes!$B:$B,[1]StuntDes!$C:$C)),"")</f>
        <v/>
      </c>
      <c r="L596">
        <f t="shared" si="32"/>
        <v>1</v>
      </c>
      <c r="M596" s="10" t="str">
        <f>IFERROR(_xlfn.XLOOKUP(C596,[1]StuntDes!$B:$B,[1]StuntDes!$A:$A),"")</f>
        <v/>
      </c>
      <c r="N596" s="10" t="str">
        <f>IFERROR(_xlfn.XLOOKUP(C596,[1]ModifierDes!$B:$B,[1]ModifierDes!$A:$A),"")</f>
        <v/>
      </c>
      <c r="O596" s="10">
        <f>IFERROR(_xlfn.XLOOKUP(C596,[1]AttributeName!$C:$C,[1]AttributeName!$B:$B),"")</f>
        <v>10011</v>
      </c>
      <c r="P596" s="10"/>
      <c r="Q596">
        <v>0.02</v>
      </c>
      <c r="R596">
        <v>0.02</v>
      </c>
      <c r="S596" cm="1">
        <f t="array" ref="S596">IFERROR(_xlfn.SWITCH(L596,1,_xlfn.XLOOKUP(O596,[1]AttributeName!$B:$B,[1]AttributeName!$D:$D),2,_xlfn.XLOOKUP(C596,#REF!,#REF!),3,_xlfn.XLOOKUP(C596,#REF!,#REF!)),0)</f>
        <v>2</v>
      </c>
      <c r="T596" cm="1">
        <f t="array" ref="T596">IFERROR(_xlfn.SWITCH(L596,1,_xlfn.XLOOKUP(O596,[1]AttributeName!$B:$B,[1]AttributeName!$E:$E),2,_xlfn.XLOOKUP(C596,#REF!,#REF!),3,_xlfn.XLOOKUP(C596,#REF!,#REF!)),0)</f>
        <v>2</v>
      </c>
    </row>
    <row r="597" customFormat="1" spans="1:20">
      <c r="A597">
        <f t="shared" si="31"/>
        <v>214</v>
      </c>
      <c r="B597">
        <v>8</v>
      </c>
      <c r="C597" t="s">
        <v>422</v>
      </c>
      <c r="D597" t="s">
        <v>25</v>
      </c>
      <c r="E597" t="s">
        <v>378</v>
      </c>
      <c r="F597"/>
      <c r="G597">
        <v>1</v>
      </c>
      <c r="H597">
        <v>1000</v>
      </c>
      <c r="J597" cm="1">
        <f t="array" ref="J597">_xlfn.SWITCH(B597,1,75,2,61,3,49,4,37,5,25,6,13,7,4,8,1)</f>
        <v>1</v>
      </c>
      <c r="K597" t="str" cm="1">
        <f t="array" ref="K597">IFERROR(_xlfn.SWITCH(L597,2,_xlfn.XLOOKUP(C597,[1]ModifierDes!$B:$B,[1]ModifierDes!$C:$C),3,_xlfn.XLOOKUP(C597,[1]StuntDes!$B:$B,[1]StuntDes!$C:$C)),"")</f>
        <v/>
      </c>
      <c r="L597">
        <f t="shared" si="32"/>
        <v>1</v>
      </c>
      <c r="M597" s="10" t="str">
        <f>IFERROR(_xlfn.XLOOKUP(C597,[1]StuntDes!$B:$B,[1]StuntDes!$A:$A),"")</f>
        <v/>
      </c>
      <c r="N597" s="10" t="str">
        <f>IFERROR(_xlfn.XLOOKUP(C597,[1]ModifierDes!$B:$B,[1]ModifierDes!$A:$A),"")</f>
        <v/>
      </c>
      <c r="O597" s="10">
        <f>IFERROR(_xlfn.XLOOKUP(C597,[1]AttributeName!$C:$C,[1]AttributeName!$B:$B),"")</f>
        <v>10011</v>
      </c>
      <c r="P597" s="10"/>
      <c r="Q597">
        <v>0.01</v>
      </c>
      <c r="R597">
        <v>0.01</v>
      </c>
      <c r="S597" cm="1">
        <f t="array" ref="S597">IFERROR(_xlfn.SWITCH(L597,1,_xlfn.XLOOKUP(O597,[1]AttributeName!$B:$B,[1]AttributeName!$D:$D),2,_xlfn.XLOOKUP(C597,#REF!,#REF!),3,_xlfn.XLOOKUP(C597,#REF!,#REF!)),0)</f>
        <v>2</v>
      </c>
      <c r="T597" cm="1">
        <f t="array" ref="T597">IFERROR(_xlfn.SWITCH(L597,1,_xlfn.XLOOKUP(O597,[1]AttributeName!$B:$B,[1]AttributeName!$E:$E),2,_xlfn.XLOOKUP(C597,#REF!,#REF!),3,_xlfn.XLOOKUP(C597,#REF!,#REF!)),0)</f>
        <v>2</v>
      </c>
    </row>
    <row r="598" customFormat="1" spans="1:20">
      <c r="A598">
        <v>251</v>
      </c>
      <c r="B598">
        <v>1</v>
      </c>
      <c r="C598" t="s">
        <v>73</v>
      </c>
      <c r="D598" t="s">
        <v>25</v>
      </c>
      <c r="E598" t="s">
        <v>392</v>
      </c>
      <c r="F598"/>
      <c r="G598">
        <v>2</v>
      </c>
      <c r="H598">
        <v>250</v>
      </c>
      <c r="J598" cm="1">
        <f t="array" ref="J598">_xlfn.SWITCH(B598,1,75,2,61,3,49,4,37,5,25,6,13,7,4,8,1)</f>
        <v>75</v>
      </c>
      <c r="K598" t="str" cm="1">
        <f t="array" ref="K598">IFERROR(_xlfn.SWITCH(L598,2,_xlfn.XLOOKUP(C598,[1]ModifierDes!$B:$B,[1]ModifierDes!$C:$C),3,_xlfn.XLOOKUP(C598,[1]StuntDes!$B:$B,[1]StuntDes!$C:$C)),"")</f>
        <v/>
      </c>
      <c r="L598">
        <f t="shared" si="32"/>
        <v>1</v>
      </c>
      <c r="M598" s="10" t="str">
        <f>IFERROR(_xlfn.XLOOKUP(C598,[1]StuntDes!$B:$B,[1]StuntDes!$A:$A),"")</f>
        <v/>
      </c>
      <c r="N598" s="10" t="str">
        <f>IFERROR(_xlfn.XLOOKUP(C598,[1]ModifierDes!$B:$B,[1]ModifierDes!$A:$A),"")</f>
        <v/>
      </c>
      <c r="O598" s="10">
        <f>IFERROR(_xlfn.XLOOKUP(C598,[1]AttributeName!$C:$C,[1]AttributeName!$B:$B),"")</f>
        <v>10311</v>
      </c>
      <c r="P598" s="10"/>
      <c r="Q598">
        <v>0.3</v>
      </c>
      <c r="R598">
        <v>0.4</v>
      </c>
      <c r="S598" cm="1">
        <f t="array" ref="S598">IFERROR(_xlfn.SWITCH(L598,1,_xlfn.XLOOKUP(O598,[1]AttributeName!$B:$B,[1]AttributeName!$D:$D),2,_xlfn.XLOOKUP(C598,#REF!,#REF!),3,_xlfn.XLOOKUP(C598,#REF!,#REF!)),0)</f>
        <v>2</v>
      </c>
      <c r="T598" cm="1">
        <f t="array" ref="T598">IFERROR(_xlfn.SWITCH(L598,1,_xlfn.XLOOKUP(O598,[1]AttributeName!$B:$B,[1]AttributeName!$E:$E),2,_xlfn.XLOOKUP(C598,#REF!,#REF!),3,_xlfn.XLOOKUP(C598,#REF!,#REF!)),0)</f>
        <v>2</v>
      </c>
    </row>
    <row r="599" customFormat="1" spans="1:20">
      <c r="A599">
        <v>251</v>
      </c>
      <c r="B599">
        <v>2</v>
      </c>
      <c r="C599" t="s">
        <v>73</v>
      </c>
      <c r="D599" t="s">
        <v>25</v>
      </c>
      <c r="E599" t="s">
        <v>392</v>
      </c>
      <c r="F599"/>
      <c r="G599">
        <v>2</v>
      </c>
      <c r="H599">
        <v>500</v>
      </c>
      <c r="J599" cm="1">
        <f t="array" ref="J599">_xlfn.SWITCH(B599,1,75,2,61,3,49,4,37,5,25,6,13,7,4,8,1)</f>
        <v>61</v>
      </c>
      <c r="K599" t="str" cm="1">
        <f t="array" ref="K599">IFERROR(_xlfn.SWITCH(L599,2,_xlfn.XLOOKUP(C599,[1]ModifierDes!$B:$B,[1]ModifierDes!$C:$C),3,_xlfn.XLOOKUP(C599,[1]StuntDes!$B:$B,[1]StuntDes!$C:$C)),"")</f>
        <v/>
      </c>
      <c r="L599">
        <f t="shared" si="32"/>
        <v>1</v>
      </c>
      <c r="M599" s="10" t="str">
        <f>IFERROR(_xlfn.XLOOKUP(C599,[1]StuntDes!$B:$B,[1]StuntDes!$A:$A),"")</f>
        <v/>
      </c>
      <c r="N599" s="10" t="str">
        <f>IFERROR(_xlfn.XLOOKUP(C599,[1]ModifierDes!$B:$B,[1]ModifierDes!$A:$A),"")</f>
        <v/>
      </c>
      <c r="O599" s="10">
        <f>IFERROR(_xlfn.XLOOKUP(C599,[1]AttributeName!$C:$C,[1]AttributeName!$B:$B),"")</f>
        <v>10311</v>
      </c>
      <c r="P599" s="10"/>
      <c r="Q599">
        <v>0.26</v>
      </c>
      <c r="R599">
        <v>0.29</v>
      </c>
      <c r="S599" cm="1">
        <f t="array" ref="S599">IFERROR(_xlfn.SWITCH(L599,1,_xlfn.XLOOKUP(O599,[1]AttributeName!$B:$B,[1]AttributeName!$D:$D),2,_xlfn.XLOOKUP(C599,#REF!,#REF!),3,_xlfn.XLOOKUP(C599,#REF!,#REF!)),0)</f>
        <v>2</v>
      </c>
      <c r="T599" cm="1">
        <f t="array" ref="T599">IFERROR(_xlfn.SWITCH(L599,1,_xlfn.XLOOKUP(O599,[1]AttributeName!$B:$B,[1]AttributeName!$E:$E),2,_xlfn.XLOOKUP(C599,#REF!,#REF!),3,_xlfn.XLOOKUP(C599,#REF!,#REF!)),0)</f>
        <v>2</v>
      </c>
    </row>
    <row r="600" customFormat="1" spans="1:20">
      <c r="A600">
        <v>251</v>
      </c>
      <c r="B600">
        <v>3</v>
      </c>
      <c r="C600" t="s">
        <v>73</v>
      </c>
      <c r="D600" t="s">
        <v>25</v>
      </c>
      <c r="E600" t="s">
        <v>392</v>
      </c>
      <c r="F600"/>
      <c r="G600">
        <v>2</v>
      </c>
      <c r="H600">
        <v>750</v>
      </c>
      <c r="J600" cm="1">
        <f t="array" ref="J600">_xlfn.SWITCH(B600,1,75,2,61,3,49,4,37,5,25,6,13,7,4,8,1)</f>
        <v>49</v>
      </c>
      <c r="K600" t="str" cm="1">
        <f t="array" ref="K600">IFERROR(_xlfn.SWITCH(L600,2,_xlfn.XLOOKUP(C600,[1]ModifierDes!$B:$B,[1]ModifierDes!$C:$C),3,_xlfn.XLOOKUP(C600,[1]StuntDes!$B:$B,[1]StuntDes!$C:$C)),"")</f>
        <v/>
      </c>
      <c r="L600">
        <f t="shared" si="32"/>
        <v>1</v>
      </c>
      <c r="M600" s="10" t="str">
        <f>IFERROR(_xlfn.XLOOKUP(C600,[1]StuntDes!$B:$B,[1]StuntDes!$A:$A),"")</f>
        <v/>
      </c>
      <c r="N600" s="10" t="str">
        <f>IFERROR(_xlfn.XLOOKUP(C600,[1]ModifierDes!$B:$B,[1]ModifierDes!$A:$A),"")</f>
        <v/>
      </c>
      <c r="O600" s="10">
        <f>IFERROR(_xlfn.XLOOKUP(C600,[1]AttributeName!$C:$C,[1]AttributeName!$B:$B),"")</f>
        <v>10311</v>
      </c>
      <c r="P600" s="10"/>
      <c r="Q600">
        <v>0.22</v>
      </c>
      <c r="R600">
        <v>0.25</v>
      </c>
      <c r="S600" cm="1">
        <f t="array" ref="S600">IFERROR(_xlfn.SWITCH(L600,1,_xlfn.XLOOKUP(O600,[1]AttributeName!$B:$B,[1]AttributeName!$D:$D),2,_xlfn.XLOOKUP(C600,#REF!,#REF!),3,_xlfn.XLOOKUP(C600,#REF!,#REF!)),0)</f>
        <v>2</v>
      </c>
      <c r="T600" cm="1">
        <f t="array" ref="T600">IFERROR(_xlfn.SWITCH(L600,1,_xlfn.XLOOKUP(O600,[1]AttributeName!$B:$B,[1]AttributeName!$E:$E),2,_xlfn.XLOOKUP(C600,#REF!,#REF!),3,_xlfn.XLOOKUP(C600,#REF!,#REF!)),0)</f>
        <v>2</v>
      </c>
    </row>
    <row r="601" customFormat="1" spans="1:20">
      <c r="A601">
        <v>251</v>
      </c>
      <c r="B601">
        <v>4</v>
      </c>
      <c r="C601" t="s">
        <v>73</v>
      </c>
      <c r="D601" t="s">
        <v>25</v>
      </c>
      <c r="E601" t="s">
        <v>392</v>
      </c>
      <c r="F601"/>
      <c r="G601">
        <v>2</v>
      </c>
      <c r="H601">
        <v>1000</v>
      </c>
      <c r="J601" cm="1">
        <f t="array" ref="J601">_xlfn.SWITCH(B601,1,75,2,61,3,49,4,37,5,25,6,13,7,4,8,1)</f>
        <v>37</v>
      </c>
      <c r="K601" t="str" cm="1">
        <f t="array" ref="K601">IFERROR(_xlfn.SWITCH(L601,2,_xlfn.XLOOKUP(C601,[1]ModifierDes!$B:$B,[1]ModifierDes!$C:$C),3,_xlfn.XLOOKUP(C601,[1]StuntDes!$B:$B,[1]StuntDes!$C:$C)),"")</f>
        <v/>
      </c>
      <c r="L601">
        <f t="shared" si="32"/>
        <v>1</v>
      </c>
      <c r="M601" s="10" t="str">
        <f>IFERROR(_xlfn.XLOOKUP(C601,[1]StuntDes!$B:$B,[1]StuntDes!$A:$A),"")</f>
        <v/>
      </c>
      <c r="N601" s="10" t="str">
        <f>IFERROR(_xlfn.XLOOKUP(C601,[1]ModifierDes!$B:$B,[1]ModifierDes!$A:$A),"")</f>
        <v/>
      </c>
      <c r="O601" s="10">
        <f>IFERROR(_xlfn.XLOOKUP(C601,[1]AttributeName!$C:$C,[1]AttributeName!$B:$B),"")</f>
        <v>10311</v>
      </c>
      <c r="P601" s="10"/>
      <c r="Q601">
        <v>0.18</v>
      </c>
      <c r="R601">
        <v>0.21</v>
      </c>
      <c r="S601" cm="1">
        <f t="array" ref="S601">IFERROR(_xlfn.SWITCH(L601,1,_xlfn.XLOOKUP(O601,[1]AttributeName!$B:$B,[1]AttributeName!$D:$D),2,_xlfn.XLOOKUP(C601,#REF!,#REF!),3,_xlfn.XLOOKUP(C601,#REF!,#REF!)),0)</f>
        <v>2</v>
      </c>
      <c r="T601" cm="1">
        <f t="array" ref="T601">IFERROR(_xlfn.SWITCH(L601,1,_xlfn.XLOOKUP(O601,[1]AttributeName!$B:$B,[1]AttributeName!$E:$E),2,_xlfn.XLOOKUP(C601,#REF!,#REF!),3,_xlfn.XLOOKUP(C601,#REF!,#REF!)),0)</f>
        <v>2</v>
      </c>
    </row>
    <row r="602" customFormat="1" spans="1:20">
      <c r="A602">
        <v>251</v>
      </c>
      <c r="B602">
        <v>5</v>
      </c>
      <c r="C602" t="s">
        <v>73</v>
      </c>
      <c r="D602" t="s">
        <v>25</v>
      </c>
      <c r="E602" t="s">
        <v>392</v>
      </c>
      <c r="F602"/>
      <c r="G602">
        <v>2</v>
      </c>
      <c r="H602">
        <v>1000</v>
      </c>
      <c r="J602" cm="1">
        <f t="array" ref="J602">_xlfn.SWITCH(B602,1,75,2,61,3,49,4,37,5,25,6,13,7,4,8,1)</f>
        <v>25</v>
      </c>
      <c r="K602" t="str" cm="1">
        <f t="array" ref="K602">IFERROR(_xlfn.SWITCH(L602,2,_xlfn.XLOOKUP(C602,[1]ModifierDes!$B:$B,[1]ModifierDes!$C:$C),3,_xlfn.XLOOKUP(C602,[1]StuntDes!$B:$B,[1]StuntDes!$C:$C)),"")</f>
        <v/>
      </c>
      <c r="L602">
        <f t="shared" si="32"/>
        <v>1</v>
      </c>
      <c r="M602" s="10" t="str">
        <f>IFERROR(_xlfn.XLOOKUP(C602,[1]StuntDes!$B:$B,[1]StuntDes!$A:$A),"")</f>
        <v/>
      </c>
      <c r="N602" s="10" t="str">
        <f>IFERROR(_xlfn.XLOOKUP(C602,[1]ModifierDes!$B:$B,[1]ModifierDes!$A:$A),"")</f>
        <v/>
      </c>
      <c r="O602" s="10">
        <f>IFERROR(_xlfn.XLOOKUP(C602,[1]AttributeName!$C:$C,[1]AttributeName!$B:$B),"")</f>
        <v>10311</v>
      </c>
      <c r="P602" s="10"/>
      <c r="Q602">
        <v>0.14</v>
      </c>
      <c r="R602">
        <v>0.17</v>
      </c>
      <c r="S602" cm="1">
        <f t="array" ref="S602">IFERROR(_xlfn.SWITCH(L602,1,_xlfn.XLOOKUP(O602,[1]AttributeName!$B:$B,[1]AttributeName!$D:$D),2,_xlfn.XLOOKUP(C602,#REF!,#REF!),3,_xlfn.XLOOKUP(C602,#REF!,#REF!)),0)</f>
        <v>2</v>
      </c>
      <c r="T602" cm="1">
        <f t="array" ref="T602">IFERROR(_xlfn.SWITCH(L602,1,_xlfn.XLOOKUP(O602,[1]AttributeName!$B:$B,[1]AttributeName!$E:$E),2,_xlfn.XLOOKUP(C602,#REF!,#REF!),3,_xlfn.XLOOKUP(C602,#REF!,#REF!)),0)</f>
        <v>2</v>
      </c>
    </row>
    <row r="603" customFormat="1" spans="1:20">
      <c r="A603">
        <v>251</v>
      </c>
      <c r="B603">
        <v>6</v>
      </c>
      <c r="C603" t="s">
        <v>73</v>
      </c>
      <c r="D603" t="s">
        <v>25</v>
      </c>
      <c r="E603" t="s">
        <v>392</v>
      </c>
      <c r="F603"/>
      <c r="G603">
        <v>2</v>
      </c>
      <c r="H603">
        <v>1000</v>
      </c>
      <c r="J603" cm="1">
        <f t="array" ref="J603">_xlfn.SWITCH(B603,1,75,2,61,3,49,4,37,5,25,6,13,7,4,8,1)</f>
        <v>13</v>
      </c>
      <c r="K603" t="str" cm="1">
        <f t="array" ref="K603">IFERROR(_xlfn.SWITCH(L603,2,_xlfn.XLOOKUP(C603,[1]ModifierDes!$B:$B,[1]ModifierDes!$C:$C),3,_xlfn.XLOOKUP(C603,[1]StuntDes!$B:$B,[1]StuntDes!$C:$C)),"")</f>
        <v/>
      </c>
      <c r="L603">
        <f t="shared" si="32"/>
        <v>1</v>
      </c>
      <c r="M603" s="10" t="str">
        <f>IFERROR(_xlfn.XLOOKUP(C603,[1]StuntDes!$B:$B,[1]StuntDes!$A:$A),"")</f>
        <v/>
      </c>
      <c r="N603" s="10" t="str">
        <f>IFERROR(_xlfn.XLOOKUP(C603,[1]ModifierDes!$B:$B,[1]ModifierDes!$A:$A),"")</f>
        <v/>
      </c>
      <c r="O603" s="10">
        <f>IFERROR(_xlfn.XLOOKUP(C603,[1]AttributeName!$C:$C,[1]AttributeName!$B:$B),"")</f>
        <v>10311</v>
      </c>
      <c r="P603" s="10"/>
      <c r="Q603">
        <v>0.1</v>
      </c>
      <c r="R603">
        <v>0.13</v>
      </c>
      <c r="S603" cm="1">
        <f t="array" ref="S603">IFERROR(_xlfn.SWITCH(L603,1,_xlfn.XLOOKUP(O603,[1]AttributeName!$B:$B,[1]AttributeName!$D:$D),2,_xlfn.XLOOKUP(C603,#REF!,#REF!),3,_xlfn.XLOOKUP(C603,#REF!,#REF!)),0)</f>
        <v>2</v>
      </c>
      <c r="T603" cm="1">
        <f t="array" ref="T603">IFERROR(_xlfn.SWITCH(L603,1,_xlfn.XLOOKUP(O603,[1]AttributeName!$B:$B,[1]AttributeName!$E:$E),2,_xlfn.XLOOKUP(C603,#REF!,#REF!),3,_xlfn.XLOOKUP(C603,#REF!,#REF!)),0)</f>
        <v>2</v>
      </c>
    </row>
    <row r="604" customFormat="1" spans="1:20">
      <c r="A604">
        <v>251</v>
      </c>
      <c r="B604">
        <v>7</v>
      </c>
      <c r="C604" t="s">
        <v>73</v>
      </c>
      <c r="D604" t="s">
        <v>25</v>
      </c>
      <c r="E604" t="s">
        <v>392</v>
      </c>
      <c r="F604"/>
      <c r="G604">
        <v>2</v>
      </c>
      <c r="H604">
        <v>1000</v>
      </c>
      <c r="J604" cm="1">
        <f t="array" ref="J604">_xlfn.SWITCH(B604,1,75,2,61,3,49,4,37,5,25,6,13,7,4,8,1)</f>
        <v>4</v>
      </c>
      <c r="K604" t="str" cm="1">
        <f t="array" ref="K604">IFERROR(_xlfn.SWITCH(L604,2,_xlfn.XLOOKUP(C604,[1]ModifierDes!$B:$B,[1]ModifierDes!$C:$C),3,_xlfn.XLOOKUP(C604,[1]StuntDes!$B:$B,[1]StuntDes!$C:$C)),"")</f>
        <v/>
      </c>
      <c r="L604">
        <f t="shared" si="32"/>
        <v>1</v>
      </c>
      <c r="M604" s="10" t="str">
        <f>IFERROR(_xlfn.XLOOKUP(C604,[1]StuntDes!$B:$B,[1]StuntDes!$A:$A),"")</f>
        <v/>
      </c>
      <c r="N604" s="10" t="str">
        <f>IFERROR(_xlfn.XLOOKUP(C604,[1]ModifierDes!$B:$B,[1]ModifierDes!$A:$A),"")</f>
        <v/>
      </c>
      <c r="O604" s="10">
        <f>IFERROR(_xlfn.XLOOKUP(C604,[1]AttributeName!$C:$C,[1]AttributeName!$B:$B),"")</f>
        <v>10311</v>
      </c>
      <c r="P604" s="10"/>
      <c r="Q604">
        <v>0.06</v>
      </c>
      <c r="R604">
        <v>0.0900000000000001</v>
      </c>
      <c r="S604" cm="1">
        <f t="array" ref="S604">IFERROR(_xlfn.SWITCH(L604,1,_xlfn.XLOOKUP(O604,[1]AttributeName!$B:$B,[1]AttributeName!$D:$D),2,_xlfn.XLOOKUP(C604,#REF!,#REF!),3,_xlfn.XLOOKUP(C604,#REF!,#REF!)),0)</f>
        <v>2</v>
      </c>
      <c r="T604" cm="1">
        <f t="array" ref="T604">IFERROR(_xlfn.SWITCH(L604,1,_xlfn.XLOOKUP(O604,[1]AttributeName!$B:$B,[1]AttributeName!$E:$E),2,_xlfn.XLOOKUP(C604,#REF!,#REF!),3,_xlfn.XLOOKUP(C604,#REF!,#REF!)),0)</f>
        <v>2</v>
      </c>
    </row>
    <row r="605" customFormat="1" spans="1:20">
      <c r="A605">
        <v>251</v>
      </c>
      <c r="B605">
        <v>8</v>
      </c>
      <c r="C605" t="s">
        <v>73</v>
      </c>
      <c r="D605" t="s">
        <v>25</v>
      </c>
      <c r="E605" t="s">
        <v>392</v>
      </c>
      <c r="F605"/>
      <c r="G605">
        <v>2</v>
      </c>
      <c r="H605">
        <v>1000</v>
      </c>
      <c r="J605" cm="1">
        <f t="array" ref="J605">_xlfn.SWITCH(B605,1,75,2,61,3,49,4,37,5,25,6,13,7,4,8,1)</f>
        <v>1</v>
      </c>
      <c r="K605" t="str" cm="1">
        <f t="array" ref="K605">IFERROR(_xlfn.SWITCH(L605,2,_xlfn.XLOOKUP(C605,[1]ModifierDes!$B:$B,[1]ModifierDes!$C:$C),3,_xlfn.XLOOKUP(C605,[1]StuntDes!$B:$B,[1]StuntDes!$C:$C)),"")</f>
        <v/>
      </c>
      <c r="L605">
        <f t="shared" si="32"/>
        <v>1</v>
      </c>
      <c r="M605" s="10" t="str">
        <f>IFERROR(_xlfn.XLOOKUP(C605,[1]StuntDes!$B:$B,[1]StuntDes!$A:$A),"")</f>
        <v/>
      </c>
      <c r="N605" s="10" t="str">
        <f>IFERROR(_xlfn.XLOOKUP(C605,[1]ModifierDes!$B:$B,[1]ModifierDes!$A:$A),"")</f>
        <v/>
      </c>
      <c r="O605" s="10">
        <f>IFERROR(_xlfn.XLOOKUP(C605,[1]AttributeName!$C:$C,[1]AttributeName!$B:$B),"")</f>
        <v>10311</v>
      </c>
      <c r="P605" s="10"/>
      <c r="Q605">
        <v>0.02</v>
      </c>
      <c r="R605">
        <v>0.0500000000000001</v>
      </c>
      <c r="S605" cm="1">
        <f t="array" ref="S605">IFERROR(_xlfn.SWITCH(L605,1,_xlfn.XLOOKUP(O605,[1]AttributeName!$B:$B,[1]AttributeName!$D:$D),2,_xlfn.XLOOKUP(C605,#REF!,#REF!),3,_xlfn.XLOOKUP(C605,#REF!,#REF!)),0)</f>
        <v>2</v>
      </c>
      <c r="T605" cm="1">
        <f t="array" ref="T605">IFERROR(_xlfn.SWITCH(L605,1,_xlfn.XLOOKUP(O605,[1]AttributeName!$B:$B,[1]AttributeName!$E:$E),2,_xlfn.XLOOKUP(C605,#REF!,#REF!),3,_xlfn.XLOOKUP(C605,#REF!,#REF!)),0)</f>
        <v>2</v>
      </c>
    </row>
    <row r="606" customFormat="1" spans="1:20">
      <c r="A606">
        <f t="shared" ref="A606:A637" si="33">A598+1</f>
        <v>252</v>
      </c>
      <c r="B606">
        <v>1</v>
      </c>
      <c r="C606" t="s">
        <v>423</v>
      </c>
      <c r="D606" t="s">
        <v>25</v>
      </c>
      <c r="E606" t="s">
        <v>392</v>
      </c>
      <c r="F606"/>
      <c r="G606">
        <v>2</v>
      </c>
      <c r="H606">
        <v>250</v>
      </c>
      <c r="J606" cm="1">
        <f t="array" ref="J606">_xlfn.SWITCH(B606,1,75,2,61,3,49,4,37,5,25,6,13,7,4,8,1)</f>
        <v>75</v>
      </c>
      <c r="K606" t="str" cm="1">
        <f t="array" ref="K606">IFERROR(_xlfn.SWITCH(L606,2,_xlfn.XLOOKUP(C606,[1]ModifierDes!$B:$B,[1]ModifierDes!$C:$C),3,_xlfn.XLOOKUP(C606,[1]StuntDes!$B:$B,[1]StuntDes!$C:$C)),"")</f>
        <v/>
      </c>
      <c r="L606">
        <f t="shared" si="32"/>
        <v>1</v>
      </c>
      <c r="M606" s="10" t="str">
        <f>IFERROR(_xlfn.XLOOKUP(C606,[1]StuntDes!$B:$B,[1]StuntDes!$A:$A),"")</f>
        <v/>
      </c>
      <c r="N606" s="10" t="str">
        <f>IFERROR(_xlfn.XLOOKUP(C606,[1]ModifierDes!$B:$B,[1]ModifierDes!$A:$A),"")</f>
        <v/>
      </c>
      <c r="O606" s="10">
        <f>IFERROR(_xlfn.XLOOKUP(C606,[1]AttributeName!$C:$C,[1]AttributeName!$B:$B),"")</f>
        <v>10312</v>
      </c>
      <c r="P606" s="10"/>
      <c r="Q606">
        <v>0.3</v>
      </c>
      <c r="R606">
        <v>0.4</v>
      </c>
      <c r="S606" cm="1">
        <f t="array" ref="S606">IFERROR(_xlfn.SWITCH(L606,1,_xlfn.XLOOKUP(O606,[1]AttributeName!$B:$B,[1]AttributeName!$D:$D),2,_xlfn.XLOOKUP(C606,#REF!,#REF!),3,_xlfn.XLOOKUP(C606,#REF!,#REF!)),0)</f>
        <v>2</v>
      </c>
      <c r="T606" cm="1">
        <f t="array" ref="T606">IFERROR(_xlfn.SWITCH(L606,1,_xlfn.XLOOKUP(O606,[1]AttributeName!$B:$B,[1]AttributeName!$E:$E),2,_xlfn.XLOOKUP(C606,#REF!,#REF!),3,_xlfn.XLOOKUP(C606,#REF!,#REF!)),0)</f>
        <v>2</v>
      </c>
    </row>
    <row r="607" customFormat="1" spans="1:20">
      <c r="A607">
        <f t="shared" si="33"/>
        <v>252</v>
      </c>
      <c r="B607">
        <v>2</v>
      </c>
      <c r="C607" t="s">
        <v>423</v>
      </c>
      <c r="D607" t="s">
        <v>25</v>
      </c>
      <c r="E607" t="s">
        <v>392</v>
      </c>
      <c r="F607"/>
      <c r="G607">
        <v>2</v>
      </c>
      <c r="H607">
        <v>500</v>
      </c>
      <c r="J607" cm="1">
        <f t="array" ref="J607">_xlfn.SWITCH(B607,1,75,2,61,3,49,4,37,5,25,6,13,7,4,8,1)</f>
        <v>61</v>
      </c>
      <c r="K607" t="str" cm="1">
        <f t="array" ref="K607">IFERROR(_xlfn.SWITCH(L607,2,_xlfn.XLOOKUP(C607,[1]ModifierDes!$B:$B,[1]ModifierDes!$C:$C),3,_xlfn.XLOOKUP(C607,[1]StuntDes!$B:$B,[1]StuntDes!$C:$C)),"")</f>
        <v/>
      </c>
      <c r="L607">
        <f t="shared" si="32"/>
        <v>1</v>
      </c>
      <c r="M607" s="10" t="str">
        <f>IFERROR(_xlfn.XLOOKUP(C607,[1]StuntDes!$B:$B,[1]StuntDes!$A:$A),"")</f>
        <v/>
      </c>
      <c r="N607" s="10" t="str">
        <f>IFERROR(_xlfn.XLOOKUP(C607,[1]ModifierDes!$B:$B,[1]ModifierDes!$A:$A),"")</f>
        <v/>
      </c>
      <c r="O607" s="10">
        <f>IFERROR(_xlfn.XLOOKUP(C607,[1]AttributeName!$C:$C,[1]AttributeName!$B:$B),"")</f>
        <v>10312</v>
      </c>
      <c r="P607" s="10"/>
      <c r="Q607">
        <v>0.26</v>
      </c>
      <c r="R607">
        <v>0.29</v>
      </c>
      <c r="S607" cm="1">
        <f t="array" ref="S607">IFERROR(_xlfn.SWITCH(L607,1,_xlfn.XLOOKUP(O607,[1]AttributeName!$B:$B,[1]AttributeName!$D:$D),2,_xlfn.XLOOKUP(C607,#REF!,#REF!),3,_xlfn.XLOOKUP(C607,#REF!,#REF!)),0)</f>
        <v>2</v>
      </c>
      <c r="T607" cm="1">
        <f t="array" ref="T607">IFERROR(_xlfn.SWITCH(L607,1,_xlfn.XLOOKUP(O607,[1]AttributeName!$B:$B,[1]AttributeName!$E:$E),2,_xlfn.XLOOKUP(C607,#REF!,#REF!),3,_xlfn.XLOOKUP(C607,#REF!,#REF!)),0)</f>
        <v>2</v>
      </c>
    </row>
    <row r="608" customFormat="1" spans="1:20">
      <c r="A608">
        <f t="shared" si="33"/>
        <v>252</v>
      </c>
      <c r="B608">
        <v>3</v>
      </c>
      <c r="C608" t="s">
        <v>423</v>
      </c>
      <c r="D608" t="s">
        <v>25</v>
      </c>
      <c r="E608" t="s">
        <v>392</v>
      </c>
      <c r="F608"/>
      <c r="G608">
        <v>2</v>
      </c>
      <c r="H608">
        <v>750</v>
      </c>
      <c r="J608" cm="1">
        <f t="array" ref="J608">_xlfn.SWITCH(B608,1,75,2,61,3,49,4,37,5,25,6,13,7,4,8,1)</f>
        <v>49</v>
      </c>
      <c r="K608" t="str" cm="1">
        <f t="array" ref="K608">IFERROR(_xlfn.SWITCH(L608,2,_xlfn.XLOOKUP(C608,[1]ModifierDes!$B:$B,[1]ModifierDes!$C:$C),3,_xlfn.XLOOKUP(C608,[1]StuntDes!$B:$B,[1]StuntDes!$C:$C)),"")</f>
        <v/>
      </c>
      <c r="L608">
        <f t="shared" si="32"/>
        <v>1</v>
      </c>
      <c r="M608" s="10" t="str">
        <f>IFERROR(_xlfn.XLOOKUP(C608,[1]StuntDes!$B:$B,[1]StuntDes!$A:$A),"")</f>
        <v/>
      </c>
      <c r="N608" s="10" t="str">
        <f>IFERROR(_xlfn.XLOOKUP(C608,[1]ModifierDes!$B:$B,[1]ModifierDes!$A:$A),"")</f>
        <v/>
      </c>
      <c r="O608" s="10">
        <f>IFERROR(_xlfn.XLOOKUP(C608,[1]AttributeName!$C:$C,[1]AttributeName!$B:$B),"")</f>
        <v>10312</v>
      </c>
      <c r="P608" s="10"/>
      <c r="Q608">
        <v>0.22</v>
      </c>
      <c r="R608">
        <v>0.25</v>
      </c>
      <c r="S608" cm="1">
        <f t="array" ref="S608">IFERROR(_xlfn.SWITCH(L608,1,_xlfn.XLOOKUP(O608,[1]AttributeName!$B:$B,[1]AttributeName!$D:$D),2,_xlfn.XLOOKUP(C608,#REF!,#REF!),3,_xlfn.XLOOKUP(C608,#REF!,#REF!)),0)</f>
        <v>2</v>
      </c>
      <c r="T608" cm="1">
        <f t="array" ref="T608">IFERROR(_xlfn.SWITCH(L608,1,_xlfn.XLOOKUP(O608,[1]AttributeName!$B:$B,[1]AttributeName!$E:$E),2,_xlfn.XLOOKUP(C608,#REF!,#REF!),3,_xlfn.XLOOKUP(C608,#REF!,#REF!)),0)</f>
        <v>2</v>
      </c>
    </row>
    <row r="609" customFormat="1" spans="1:20">
      <c r="A609">
        <f t="shared" si="33"/>
        <v>252</v>
      </c>
      <c r="B609">
        <v>4</v>
      </c>
      <c r="C609" t="s">
        <v>423</v>
      </c>
      <c r="D609" t="s">
        <v>25</v>
      </c>
      <c r="E609" t="s">
        <v>392</v>
      </c>
      <c r="F609"/>
      <c r="G609">
        <v>2</v>
      </c>
      <c r="H609">
        <v>1000</v>
      </c>
      <c r="J609" cm="1">
        <f t="array" ref="J609">_xlfn.SWITCH(B609,1,75,2,61,3,49,4,37,5,25,6,13,7,4,8,1)</f>
        <v>37</v>
      </c>
      <c r="K609" t="str" cm="1">
        <f t="array" ref="K609">IFERROR(_xlfn.SWITCH(L609,2,_xlfn.XLOOKUP(C609,[1]ModifierDes!$B:$B,[1]ModifierDes!$C:$C),3,_xlfn.XLOOKUP(C609,[1]StuntDes!$B:$B,[1]StuntDes!$C:$C)),"")</f>
        <v/>
      </c>
      <c r="L609">
        <f t="shared" si="32"/>
        <v>1</v>
      </c>
      <c r="M609" s="10" t="str">
        <f>IFERROR(_xlfn.XLOOKUP(C609,[1]StuntDes!$B:$B,[1]StuntDes!$A:$A),"")</f>
        <v/>
      </c>
      <c r="N609" s="10" t="str">
        <f>IFERROR(_xlfn.XLOOKUP(C609,[1]ModifierDes!$B:$B,[1]ModifierDes!$A:$A),"")</f>
        <v/>
      </c>
      <c r="O609" s="10">
        <f>IFERROR(_xlfn.XLOOKUP(C609,[1]AttributeName!$C:$C,[1]AttributeName!$B:$B),"")</f>
        <v>10312</v>
      </c>
      <c r="P609" s="10"/>
      <c r="Q609">
        <v>0.18</v>
      </c>
      <c r="R609">
        <v>0.21</v>
      </c>
      <c r="S609" cm="1">
        <f t="array" ref="S609">IFERROR(_xlfn.SWITCH(L609,1,_xlfn.XLOOKUP(O609,[1]AttributeName!$B:$B,[1]AttributeName!$D:$D),2,_xlfn.XLOOKUP(C609,#REF!,#REF!),3,_xlfn.XLOOKUP(C609,#REF!,#REF!)),0)</f>
        <v>2</v>
      </c>
      <c r="T609" cm="1">
        <f t="array" ref="T609">IFERROR(_xlfn.SWITCH(L609,1,_xlfn.XLOOKUP(O609,[1]AttributeName!$B:$B,[1]AttributeName!$E:$E),2,_xlfn.XLOOKUP(C609,#REF!,#REF!),3,_xlfn.XLOOKUP(C609,#REF!,#REF!)),0)</f>
        <v>2</v>
      </c>
    </row>
    <row r="610" customFormat="1" spans="1:20">
      <c r="A610">
        <f t="shared" si="33"/>
        <v>252</v>
      </c>
      <c r="B610">
        <v>5</v>
      </c>
      <c r="C610" t="s">
        <v>423</v>
      </c>
      <c r="D610" t="s">
        <v>25</v>
      </c>
      <c r="E610" t="s">
        <v>392</v>
      </c>
      <c r="F610"/>
      <c r="G610">
        <v>2</v>
      </c>
      <c r="H610">
        <v>1000</v>
      </c>
      <c r="J610" cm="1">
        <f t="array" ref="J610">_xlfn.SWITCH(B610,1,75,2,61,3,49,4,37,5,25,6,13,7,4,8,1)</f>
        <v>25</v>
      </c>
      <c r="K610" t="str" cm="1">
        <f t="array" ref="K610">IFERROR(_xlfn.SWITCH(L610,2,_xlfn.XLOOKUP(C610,[1]ModifierDes!$B:$B,[1]ModifierDes!$C:$C),3,_xlfn.XLOOKUP(C610,[1]StuntDes!$B:$B,[1]StuntDes!$C:$C)),"")</f>
        <v/>
      </c>
      <c r="L610">
        <f t="shared" si="32"/>
        <v>1</v>
      </c>
      <c r="M610" s="10" t="str">
        <f>IFERROR(_xlfn.XLOOKUP(C610,[1]StuntDes!$B:$B,[1]StuntDes!$A:$A),"")</f>
        <v/>
      </c>
      <c r="N610" s="10" t="str">
        <f>IFERROR(_xlfn.XLOOKUP(C610,[1]ModifierDes!$B:$B,[1]ModifierDes!$A:$A),"")</f>
        <v/>
      </c>
      <c r="O610" s="10">
        <f>IFERROR(_xlfn.XLOOKUP(C610,[1]AttributeName!$C:$C,[1]AttributeName!$B:$B),"")</f>
        <v>10312</v>
      </c>
      <c r="P610" s="10"/>
      <c r="Q610">
        <v>0.14</v>
      </c>
      <c r="R610">
        <v>0.17</v>
      </c>
      <c r="S610" cm="1">
        <f t="array" ref="S610">IFERROR(_xlfn.SWITCH(L610,1,_xlfn.XLOOKUP(O610,[1]AttributeName!$B:$B,[1]AttributeName!$D:$D),2,_xlfn.XLOOKUP(C610,#REF!,#REF!),3,_xlfn.XLOOKUP(C610,#REF!,#REF!)),0)</f>
        <v>2</v>
      </c>
      <c r="T610" cm="1">
        <f t="array" ref="T610">IFERROR(_xlfn.SWITCH(L610,1,_xlfn.XLOOKUP(O610,[1]AttributeName!$B:$B,[1]AttributeName!$E:$E),2,_xlfn.XLOOKUP(C610,#REF!,#REF!),3,_xlfn.XLOOKUP(C610,#REF!,#REF!)),0)</f>
        <v>2</v>
      </c>
    </row>
    <row r="611" customFormat="1" spans="1:20">
      <c r="A611">
        <f t="shared" si="33"/>
        <v>252</v>
      </c>
      <c r="B611">
        <v>6</v>
      </c>
      <c r="C611" t="s">
        <v>423</v>
      </c>
      <c r="D611" t="s">
        <v>25</v>
      </c>
      <c r="E611" t="s">
        <v>392</v>
      </c>
      <c r="F611"/>
      <c r="G611">
        <v>2</v>
      </c>
      <c r="H611">
        <v>1000</v>
      </c>
      <c r="J611" cm="1">
        <f t="array" ref="J611">_xlfn.SWITCH(B611,1,75,2,61,3,49,4,37,5,25,6,13,7,4,8,1)</f>
        <v>13</v>
      </c>
      <c r="K611" t="str" cm="1">
        <f t="array" ref="K611">IFERROR(_xlfn.SWITCH(L611,2,_xlfn.XLOOKUP(C611,[1]ModifierDes!$B:$B,[1]ModifierDes!$C:$C),3,_xlfn.XLOOKUP(C611,[1]StuntDes!$B:$B,[1]StuntDes!$C:$C)),"")</f>
        <v/>
      </c>
      <c r="L611">
        <f t="shared" si="32"/>
        <v>1</v>
      </c>
      <c r="M611" s="10" t="str">
        <f>IFERROR(_xlfn.XLOOKUP(C611,[1]StuntDes!$B:$B,[1]StuntDes!$A:$A),"")</f>
        <v/>
      </c>
      <c r="N611" s="10" t="str">
        <f>IFERROR(_xlfn.XLOOKUP(C611,[1]ModifierDes!$B:$B,[1]ModifierDes!$A:$A),"")</f>
        <v/>
      </c>
      <c r="O611" s="10">
        <f>IFERROR(_xlfn.XLOOKUP(C611,[1]AttributeName!$C:$C,[1]AttributeName!$B:$B),"")</f>
        <v>10312</v>
      </c>
      <c r="P611" s="10"/>
      <c r="Q611">
        <v>0.1</v>
      </c>
      <c r="R611">
        <v>0.13</v>
      </c>
      <c r="S611" cm="1">
        <f t="array" ref="S611">IFERROR(_xlfn.SWITCH(L611,1,_xlfn.XLOOKUP(O611,[1]AttributeName!$B:$B,[1]AttributeName!$D:$D),2,_xlfn.XLOOKUP(C611,#REF!,#REF!),3,_xlfn.XLOOKUP(C611,#REF!,#REF!)),0)</f>
        <v>2</v>
      </c>
      <c r="T611" cm="1">
        <f t="array" ref="T611">IFERROR(_xlfn.SWITCH(L611,1,_xlfn.XLOOKUP(O611,[1]AttributeName!$B:$B,[1]AttributeName!$E:$E),2,_xlfn.XLOOKUP(C611,#REF!,#REF!),3,_xlfn.XLOOKUP(C611,#REF!,#REF!)),0)</f>
        <v>2</v>
      </c>
    </row>
    <row r="612" customFormat="1" spans="1:20">
      <c r="A612">
        <f t="shared" si="33"/>
        <v>252</v>
      </c>
      <c r="B612">
        <v>7</v>
      </c>
      <c r="C612" t="s">
        <v>423</v>
      </c>
      <c r="D612" t="s">
        <v>25</v>
      </c>
      <c r="E612" t="s">
        <v>392</v>
      </c>
      <c r="F612"/>
      <c r="G612">
        <v>2</v>
      </c>
      <c r="H612">
        <v>1000</v>
      </c>
      <c r="J612" cm="1">
        <f t="array" ref="J612">_xlfn.SWITCH(B612,1,75,2,61,3,49,4,37,5,25,6,13,7,4,8,1)</f>
        <v>4</v>
      </c>
      <c r="K612" t="str" cm="1">
        <f t="array" ref="K612">IFERROR(_xlfn.SWITCH(L612,2,_xlfn.XLOOKUP(C612,[1]ModifierDes!$B:$B,[1]ModifierDes!$C:$C),3,_xlfn.XLOOKUP(C612,[1]StuntDes!$B:$B,[1]StuntDes!$C:$C)),"")</f>
        <v/>
      </c>
      <c r="L612">
        <f t="shared" si="32"/>
        <v>1</v>
      </c>
      <c r="M612" s="10" t="str">
        <f>IFERROR(_xlfn.XLOOKUP(C612,[1]StuntDes!$B:$B,[1]StuntDes!$A:$A),"")</f>
        <v/>
      </c>
      <c r="N612" s="10" t="str">
        <f>IFERROR(_xlfn.XLOOKUP(C612,[1]ModifierDes!$B:$B,[1]ModifierDes!$A:$A),"")</f>
        <v/>
      </c>
      <c r="O612" s="10">
        <f>IFERROR(_xlfn.XLOOKUP(C612,[1]AttributeName!$C:$C,[1]AttributeName!$B:$B),"")</f>
        <v>10312</v>
      </c>
      <c r="P612" s="10"/>
      <c r="Q612">
        <v>0.06</v>
      </c>
      <c r="R612">
        <v>0.0900000000000001</v>
      </c>
      <c r="S612" cm="1">
        <f t="array" ref="S612">IFERROR(_xlfn.SWITCH(L612,1,_xlfn.XLOOKUP(O612,[1]AttributeName!$B:$B,[1]AttributeName!$D:$D),2,_xlfn.XLOOKUP(C612,#REF!,#REF!),3,_xlfn.XLOOKUP(C612,#REF!,#REF!)),0)</f>
        <v>2</v>
      </c>
      <c r="T612" cm="1">
        <f t="array" ref="T612">IFERROR(_xlfn.SWITCH(L612,1,_xlfn.XLOOKUP(O612,[1]AttributeName!$B:$B,[1]AttributeName!$E:$E),2,_xlfn.XLOOKUP(C612,#REF!,#REF!),3,_xlfn.XLOOKUP(C612,#REF!,#REF!)),0)</f>
        <v>2</v>
      </c>
    </row>
    <row r="613" customFormat="1" spans="1:20">
      <c r="A613">
        <f t="shared" si="33"/>
        <v>252</v>
      </c>
      <c r="B613">
        <v>8</v>
      </c>
      <c r="C613" t="s">
        <v>423</v>
      </c>
      <c r="D613" t="s">
        <v>25</v>
      </c>
      <c r="E613" t="s">
        <v>392</v>
      </c>
      <c r="F613"/>
      <c r="G613">
        <v>2</v>
      </c>
      <c r="H613">
        <v>1000</v>
      </c>
      <c r="J613" cm="1">
        <f t="array" ref="J613">_xlfn.SWITCH(B613,1,75,2,61,3,49,4,37,5,25,6,13,7,4,8,1)</f>
        <v>1</v>
      </c>
      <c r="K613" t="str" cm="1">
        <f t="array" ref="K613">IFERROR(_xlfn.SWITCH(L613,2,_xlfn.XLOOKUP(C613,[1]ModifierDes!$B:$B,[1]ModifierDes!$C:$C),3,_xlfn.XLOOKUP(C613,[1]StuntDes!$B:$B,[1]StuntDes!$C:$C)),"")</f>
        <v/>
      </c>
      <c r="L613">
        <f t="shared" si="32"/>
        <v>1</v>
      </c>
      <c r="M613" s="10" t="str">
        <f>IFERROR(_xlfn.XLOOKUP(C613,[1]StuntDes!$B:$B,[1]StuntDes!$A:$A),"")</f>
        <v/>
      </c>
      <c r="N613" s="10" t="str">
        <f>IFERROR(_xlfn.XLOOKUP(C613,[1]ModifierDes!$B:$B,[1]ModifierDes!$A:$A),"")</f>
        <v/>
      </c>
      <c r="O613" s="10">
        <f>IFERROR(_xlfn.XLOOKUP(C613,[1]AttributeName!$C:$C,[1]AttributeName!$B:$B),"")</f>
        <v>10312</v>
      </c>
      <c r="P613" s="10"/>
      <c r="Q613">
        <v>0.02</v>
      </c>
      <c r="R613">
        <v>0.0500000000000001</v>
      </c>
      <c r="S613" cm="1">
        <f t="array" ref="S613">IFERROR(_xlfn.SWITCH(L613,1,_xlfn.XLOOKUP(O613,[1]AttributeName!$B:$B,[1]AttributeName!$D:$D),2,_xlfn.XLOOKUP(C613,#REF!,#REF!),3,_xlfn.XLOOKUP(C613,#REF!,#REF!)),0)</f>
        <v>2</v>
      </c>
      <c r="T613" cm="1">
        <f t="array" ref="T613">IFERROR(_xlfn.SWITCH(L613,1,_xlfn.XLOOKUP(O613,[1]AttributeName!$B:$B,[1]AttributeName!$E:$E),2,_xlfn.XLOOKUP(C613,#REF!,#REF!),3,_xlfn.XLOOKUP(C613,#REF!,#REF!)),0)</f>
        <v>2</v>
      </c>
    </row>
    <row r="614" customFormat="1" spans="1:20">
      <c r="A614">
        <f t="shared" si="33"/>
        <v>253</v>
      </c>
      <c r="B614">
        <v>1</v>
      </c>
      <c r="C614" t="s">
        <v>424</v>
      </c>
      <c r="D614" t="s">
        <v>25</v>
      </c>
      <c r="E614" t="s">
        <v>392</v>
      </c>
      <c r="F614"/>
      <c r="G614">
        <v>2</v>
      </c>
      <c r="H614">
        <v>250</v>
      </c>
      <c r="J614" cm="1">
        <f t="array" ref="J614">_xlfn.SWITCH(B614,1,75,2,61,3,49,4,37,5,25,6,13,7,4,8,1)</f>
        <v>75</v>
      </c>
      <c r="K614" t="str" cm="1">
        <f t="array" ref="K614">IFERROR(_xlfn.SWITCH(L614,2,_xlfn.XLOOKUP(C614,[1]ModifierDes!$B:$B,[1]ModifierDes!$C:$C),3,_xlfn.XLOOKUP(C614,[1]StuntDes!$B:$B,[1]StuntDes!$C:$C)),"")</f>
        <v/>
      </c>
      <c r="L614">
        <f t="shared" si="32"/>
        <v>1</v>
      </c>
      <c r="M614" s="10" t="str">
        <f>IFERROR(_xlfn.XLOOKUP(C614,[1]StuntDes!$B:$B,[1]StuntDes!$A:$A),"")</f>
        <v/>
      </c>
      <c r="N614" s="10" t="str">
        <f>IFERROR(_xlfn.XLOOKUP(C614,[1]ModifierDes!$B:$B,[1]ModifierDes!$A:$A),"")</f>
        <v/>
      </c>
      <c r="O614" s="10">
        <f>IFERROR(_xlfn.XLOOKUP(C614,[1]AttributeName!$C:$C,[1]AttributeName!$B:$B),"")</f>
        <v>10313</v>
      </c>
      <c r="P614" s="10"/>
      <c r="Q614">
        <v>0.3</v>
      </c>
      <c r="R614">
        <v>0.4</v>
      </c>
      <c r="S614" cm="1">
        <f t="array" ref="S614">IFERROR(_xlfn.SWITCH(L614,1,_xlfn.XLOOKUP(O614,[1]AttributeName!$B:$B,[1]AttributeName!$D:$D),2,_xlfn.XLOOKUP(C614,#REF!,#REF!),3,_xlfn.XLOOKUP(C614,#REF!,#REF!)),0)</f>
        <v>2</v>
      </c>
      <c r="T614" cm="1">
        <f t="array" ref="T614">IFERROR(_xlfn.SWITCH(L614,1,_xlfn.XLOOKUP(O614,[1]AttributeName!$B:$B,[1]AttributeName!$E:$E),2,_xlfn.XLOOKUP(C614,#REF!,#REF!),3,_xlfn.XLOOKUP(C614,#REF!,#REF!)),0)</f>
        <v>2</v>
      </c>
    </row>
    <row r="615" customFormat="1" spans="1:20">
      <c r="A615">
        <f t="shared" si="33"/>
        <v>253</v>
      </c>
      <c r="B615">
        <v>2</v>
      </c>
      <c r="C615" t="s">
        <v>424</v>
      </c>
      <c r="D615" t="s">
        <v>25</v>
      </c>
      <c r="E615" t="s">
        <v>392</v>
      </c>
      <c r="F615"/>
      <c r="G615">
        <v>2</v>
      </c>
      <c r="H615">
        <v>500</v>
      </c>
      <c r="J615" cm="1">
        <f t="array" ref="J615">_xlfn.SWITCH(B615,1,75,2,61,3,49,4,37,5,25,6,13,7,4,8,1)</f>
        <v>61</v>
      </c>
      <c r="K615" t="str" cm="1">
        <f t="array" ref="K615">IFERROR(_xlfn.SWITCH(L615,2,_xlfn.XLOOKUP(C615,[1]ModifierDes!$B:$B,[1]ModifierDes!$C:$C),3,_xlfn.XLOOKUP(C615,[1]StuntDes!$B:$B,[1]StuntDes!$C:$C)),"")</f>
        <v/>
      </c>
      <c r="L615">
        <f t="shared" si="32"/>
        <v>1</v>
      </c>
      <c r="M615" s="10" t="str">
        <f>IFERROR(_xlfn.XLOOKUP(C615,[1]StuntDes!$B:$B,[1]StuntDes!$A:$A),"")</f>
        <v/>
      </c>
      <c r="N615" s="10" t="str">
        <f>IFERROR(_xlfn.XLOOKUP(C615,[1]ModifierDes!$B:$B,[1]ModifierDes!$A:$A),"")</f>
        <v/>
      </c>
      <c r="O615" s="10">
        <f>IFERROR(_xlfn.XLOOKUP(C615,[1]AttributeName!$C:$C,[1]AttributeName!$B:$B),"")</f>
        <v>10313</v>
      </c>
      <c r="P615" s="10"/>
      <c r="Q615">
        <v>0.26</v>
      </c>
      <c r="R615">
        <v>0.29</v>
      </c>
      <c r="S615" cm="1">
        <f t="array" ref="S615">IFERROR(_xlfn.SWITCH(L615,1,_xlfn.XLOOKUP(O615,[1]AttributeName!$B:$B,[1]AttributeName!$D:$D),2,_xlfn.XLOOKUP(C615,#REF!,#REF!),3,_xlfn.XLOOKUP(C615,#REF!,#REF!)),0)</f>
        <v>2</v>
      </c>
      <c r="T615" cm="1">
        <f t="array" ref="T615">IFERROR(_xlfn.SWITCH(L615,1,_xlfn.XLOOKUP(O615,[1]AttributeName!$B:$B,[1]AttributeName!$E:$E),2,_xlfn.XLOOKUP(C615,#REF!,#REF!),3,_xlfn.XLOOKUP(C615,#REF!,#REF!)),0)</f>
        <v>2</v>
      </c>
    </row>
    <row r="616" customFormat="1" spans="1:20">
      <c r="A616">
        <f t="shared" si="33"/>
        <v>253</v>
      </c>
      <c r="B616">
        <v>3</v>
      </c>
      <c r="C616" t="s">
        <v>424</v>
      </c>
      <c r="D616" t="s">
        <v>25</v>
      </c>
      <c r="E616" t="s">
        <v>392</v>
      </c>
      <c r="F616"/>
      <c r="G616">
        <v>2</v>
      </c>
      <c r="H616">
        <v>750</v>
      </c>
      <c r="J616" cm="1">
        <f t="array" ref="J616">_xlfn.SWITCH(B616,1,75,2,61,3,49,4,37,5,25,6,13,7,4,8,1)</f>
        <v>49</v>
      </c>
      <c r="K616" t="str" cm="1">
        <f t="array" ref="K616">IFERROR(_xlfn.SWITCH(L616,2,_xlfn.XLOOKUP(C616,[1]ModifierDes!$B:$B,[1]ModifierDes!$C:$C),3,_xlfn.XLOOKUP(C616,[1]StuntDes!$B:$B,[1]StuntDes!$C:$C)),"")</f>
        <v/>
      </c>
      <c r="L616">
        <f t="shared" si="32"/>
        <v>1</v>
      </c>
      <c r="M616" s="10" t="str">
        <f>IFERROR(_xlfn.XLOOKUP(C616,[1]StuntDes!$B:$B,[1]StuntDes!$A:$A),"")</f>
        <v/>
      </c>
      <c r="N616" s="10" t="str">
        <f>IFERROR(_xlfn.XLOOKUP(C616,[1]ModifierDes!$B:$B,[1]ModifierDes!$A:$A),"")</f>
        <v/>
      </c>
      <c r="O616" s="10">
        <f>IFERROR(_xlfn.XLOOKUP(C616,[1]AttributeName!$C:$C,[1]AttributeName!$B:$B),"")</f>
        <v>10313</v>
      </c>
      <c r="P616" s="10"/>
      <c r="Q616">
        <v>0.22</v>
      </c>
      <c r="R616">
        <v>0.25</v>
      </c>
      <c r="S616" cm="1">
        <f t="array" ref="S616">IFERROR(_xlfn.SWITCH(L616,1,_xlfn.XLOOKUP(O616,[1]AttributeName!$B:$B,[1]AttributeName!$D:$D),2,_xlfn.XLOOKUP(C616,#REF!,#REF!),3,_xlfn.XLOOKUP(C616,#REF!,#REF!)),0)</f>
        <v>2</v>
      </c>
      <c r="T616" cm="1">
        <f t="array" ref="T616">IFERROR(_xlfn.SWITCH(L616,1,_xlfn.XLOOKUP(O616,[1]AttributeName!$B:$B,[1]AttributeName!$E:$E),2,_xlfn.XLOOKUP(C616,#REF!,#REF!),3,_xlfn.XLOOKUP(C616,#REF!,#REF!)),0)</f>
        <v>2</v>
      </c>
    </row>
    <row r="617" customFormat="1" spans="1:20">
      <c r="A617">
        <f t="shared" si="33"/>
        <v>253</v>
      </c>
      <c r="B617">
        <v>4</v>
      </c>
      <c r="C617" t="s">
        <v>424</v>
      </c>
      <c r="D617" t="s">
        <v>25</v>
      </c>
      <c r="E617" t="s">
        <v>392</v>
      </c>
      <c r="F617"/>
      <c r="G617">
        <v>2</v>
      </c>
      <c r="H617">
        <v>1000</v>
      </c>
      <c r="J617" cm="1">
        <f t="array" ref="J617">_xlfn.SWITCH(B617,1,75,2,61,3,49,4,37,5,25,6,13,7,4,8,1)</f>
        <v>37</v>
      </c>
      <c r="K617" t="str" cm="1">
        <f t="array" ref="K617">IFERROR(_xlfn.SWITCH(L617,2,_xlfn.XLOOKUP(C617,[1]ModifierDes!$B:$B,[1]ModifierDes!$C:$C),3,_xlfn.XLOOKUP(C617,[1]StuntDes!$B:$B,[1]StuntDes!$C:$C)),"")</f>
        <v/>
      </c>
      <c r="L617">
        <f t="shared" si="32"/>
        <v>1</v>
      </c>
      <c r="M617" s="10" t="str">
        <f>IFERROR(_xlfn.XLOOKUP(C617,[1]StuntDes!$B:$B,[1]StuntDes!$A:$A),"")</f>
        <v/>
      </c>
      <c r="N617" s="10" t="str">
        <f>IFERROR(_xlfn.XLOOKUP(C617,[1]ModifierDes!$B:$B,[1]ModifierDes!$A:$A),"")</f>
        <v/>
      </c>
      <c r="O617" s="10">
        <f>IFERROR(_xlfn.XLOOKUP(C617,[1]AttributeName!$C:$C,[1]AttributeName!$B:$B),"")</f>
        <v>10313</v>
      </c>
      <c r="P617" s="10"/>
      <c r="Q617">
        <v>0.18</v>
      </c>
      <c r="R617">
        <v>0.21</v>
      </c>
      <c r="S617" cm="1">
        <f t="array" ref="S617">IFERROR(_xlfn.SWITCH(L617,1,_xlfn.XLOOKUP(O617,[1]AttributeName!$B:$B,[1]AttributeName!$D:$D),2,_xlfn.XLOOKUP(C617,#REF!,#REF!),3,_xlfn.XLOOKUP(C617,#REF!,#REF!)),0)</f>
        <v>2</v>
      </c>
      <c r="T617" cm="1">
        <f t="array" ref="T617">IFERROR(_xlfn.SWITCH(L617,1,_xlfn.XLOOKUP(O617,[1]AttributeName!$B:$B,[1]AttributeName!$E:$E),2,_xlfn.XLOOKUP(C617,#REF!,#REF!),3,_xlfn.XLOOKUP(C617,#REF!,#REF!)),0)</f>
        <v>2</v>
      </c>
    </row>
    <row r="618" customFormat="1" spans="1:20">
      <c r="A618">
        <f t="shared" si="33"/>
        <v>253</v>
      </c>
      <c r="B618">
        <v>5</v>
      </c>
      <c r="C618" t="s">
        <v>424</v>
      </c>
      <c r="D618" t="s">
        <v>25</v>
      </c>
      <c r="E618" t="s">
        <v>392</v>
      </c>
      <c r="F618"/>
      <c r="G618">
        <v>2</v>
      </c>
      <c r="H618">
        <v>1000</v>
      </c>
      <c r="J618" cm="1">
        <f t="array" ref="J618">_xlfn.SWITCH(B618,1,75,2,61,3,49,4,37,5,25,6,13,7,4,8,1)</f>
        <v>25</v>
      </c>
      <c r="K618" t="str" cm="1">
        <f t="array" ref="K618">IFERROR(_xlfn.SWITCH(L618,2,_xlfn.XLOOKUP(C618,[1]ModifierDes!$B:$B,[1]ModifierDes!$C:$C),3,_xlfn.XLOOKUP(C618,[1]StuntDes!$B:$B,[1]StuntDes!$C:$C)),"")</f>
        <v/>
      </c>
      <c r="L618">
        <f t="shared" si="32"/>
        <v>1</v>
      </c>
      <c r="M618" s="10" t="str">
        <f>IFERROR(_xlfn.XLOOKUP(C618,[1]StuntDes!$B:$B,[1]StuntDes!$A:$A),"")</f>
        <v/>
      </c>
      <c r="N618" s="10" t="str">
        <f>IFERROR(_xlfn.XLOOKUP(C618,[1]ModifierDes!$B:$B,[1]ModifierDes!$A:$A),"")</f>
        <v/>
      </c>
      <c r="O618" s="10">
        <f>IFERROR(_xlfn.XLOOKUP(C618,[1]AttributeName!$C:$C,[1]AttributeName!$B:$B),"")</f>
        <v>10313</v>
      </c>
      <c r="P618" s="10"/>
      <c r="Q618">
        <v>0.14</v>
      </c>
      <c r="R618">
        <v>0.17</v>
      </c>
      <c r="S618" cm="1">
        <f t="array" ref="S618">IFERROR(_xlfn.SWITCH(L618,1,_xlfn.XLOOKUP(O618,[1]AttributeName!$B:$B,[1]AttributeName!$D:$D),2,_xlfn.XLOOKUP(C618,#REF!,#REF!),3,_xlfn.XLOOKUP(C618,#REF!,#REF!)),0)</f>
        <v>2</v>
      </c>
      <c r="T618" cm="1">
        <f t="array" ref="T618">IFERROR(_xlfn.SWITCH(L618,1,_xlfn.XLOOKUP(O618,[1]AttributeName!$B:$B,[1]AttributeName!$E:$E),2,_xlfn.XLOOKUP(C618,#REF!,#REF!),3,_xlfn.XLOOKUP(C618,#REF!,#REF!)),0)</f>
        <v>2</v>
      </c>
    </row>
    <row r="619" customFormat="1" spans="1:20">
      <c r="A619">
        <f t="shared" si="33"/>
        <v>253</v>
      </c>
      <c r="B619">
        <v>6</v>
      </c>
      <c r="C619" t="s">
        <v>424</v>
      </c>
      <c r="D619" t="s">
        <v>25</v>
      </c>
      <c r="E619" t="s">
        <v>392</v>
      </c>
      <c r="F619"/>
      <c r="G619">
        <v>2</v>
      </c>
      <c r="H619">
        <v>1000</v>
      </c>
      <c r="J619" cm="1">
        <f t="array" ref="J619">_xlfn.SWITCH(B619,1,75,2,61,3,49,4,37,5,25,6,13,7,4,8,1)</f>
        <v>13</v>
      </c>
      <c r="K619" t="str" cm="1">
        <f t="array" ref="K619">IFERROR(_xlfn.SWITCH(L619,2,_xlfn.XLOOKUP(C619,[1]ModifierDes!$B:$B,[1]ModifierDes!$C:$C),3,_xlfn.XLOOKUP(C619,[1]StuntDes!$B:$B,[1]StuntDes!$C:$C)),"")</f>
        <v/>
      </c>
      <c r="L619">
        <f t="shared" si="32"/>
        <v>1</v>
      </c>
      <c r="M619" s="10" t="str">
        <f>IFERROR(_xlfn.XLOOKUP(C619,[1]StuntDes!$B:$B,[1]StuntDes!$A:$A),"")</f>
        <v/>
      </c>
      <c r="N619" s="10" t="str">
        <f>IFERROR(_xlfn.XLOOKUP(C619,[1]ModifierDes!$B:$B,[1]ModifierDes!$A:$A),"")</f>
        <v/>
      </c>
      <c r="O619" s="10">
        <f>IFERROR(_xlfn.XLOOKUP(C619,[1]AttributeName!$C:$C,[1]AttributeName!$B:$B),"")</f>
        <v>10313</v>
      </c>
      <c r="P619" s="10"/>
      <c r="Q619">
        <v>0.1</v>
      </c>
      <c r="R619">
        <v>0.13</v>
      </c>
      <c r="S619" cm="1">
        <f t="array" ref="S619">IFERROR(_xlfn.SWITCH(L619,1,_xlfn.XLOOKUP(O619,[1]AttributeName!$B:$B,[1]AttributeName!$D:$D),2,_xlfn.XLOOKUP(C619,#REF!,#REF!),3,_xlfn.XLOOKUP(C619,#REF!,#REF!)),0)</f>
        <v>2</v>
      </c>
      <c r="T619" cm="1">
        <f t="array" ref="T619">IFERROR(_xlfn.SWITCH(L619,1,_xlfn.XLOOKUP(O619,[1]AttributeName!$B:$B,[1]AttributeName!$E:$E),2,_xlfn.XLOOKUP(C619,#REF!,#REF!),3,_xlfn.XLOOKUP(C619,#REF!,#REF!)),0)</f>
        <v>2</v>
      </c>
    </row>
    <row r="620" customFormat="1" spans="1:20">
      <c r="A620">
        <f t="shared" si="33"/>
        <v>253</v>
      </c>
      <c r="B620">
        <v>7</v>
      </c>
      <c r="C620" t="s">
        <v>424</v>
      </c>
      <c r="D620" t="s">
        <v>25</v>
      </c>
      <c r="E620" t="s">
        <v>392</v>
      </c>
      <c r="F620"/>
      <c r="G620">
        <v>2</v>
      </c>
      <c r="H620">
        <v>1000</v>
      </c>
      <c r="J620" cm="1">
        <f t="array" ref="J620">_xlfn.SWITCH(B620,1,75,2,61,3,49,4,37,5,25,6,13,7,4,8,1)</f>
        <v>4</v>
      </c>
      <c r="K620" t="str" cm="1">
        <f t="array" ref="K620">IFERROR(_xlfn.SWITCH(L620,2,_xlfn.XLOOKUP(C620,[1]ModifierDes!$B:$B,[1]ModifierDes!$C:$C),3,_xlfn.XLOOKUP(C620,[1]StuntDes!$B:$B,[1]StuntDes!$C:$C)),"")</f>
        <v/>
      </c>
      <c r="L620">
        <f t="shared" si="32"/>
        <v>1</v>
      </c>
      <c r="M620" s="10" t="str">
        <f>IFERROR(_xlfn.XLOOKUP(C620,[1]StuntDes!$B:$B,[1]StuntDes!$A:$A),"")</f>
        <v/>
      </c>
      <c r="N620" s="10" t="str">
        <f>IFERROR(_xlfn.XLOOKUP(C620,[1]ModifierDes!$B:$B,[1]ModifierDes!$A:$A),"")</f>
        <v/>
      </c>
      <c r="O620" s="10">
        <f>IFERROR(_xlfn.XLOOKUP(C620,[1]AttributeName!$C:$C,[1]AttributeName!$B:$B),"")</f>
        <v>10313</v>
      </c>
      <c r="P620" s="10"/>
      <c r="Q620">
        <v>0.06</v>
      </c>
      <c r="R620">
        <v>0.0900000000000001</v>
      </c>
      <c r="S620" cm="1">
        <f t="array" ref="S620">IFERROR(_xlfn.SWITCH(L620,1,_xlfn.XLOOKUP(O620,[1]AttributeName!$B:$B,[1]AttributeName!$D:$D),2,_xlfn.XLOOKUP(C620,#REF!,#REF!),3,_xlfn.XLOOKUP(C620,#REF!,#REF!)),0)</f>
        <v>2</v>
      </c>
      <c r="T620" cm="1">
        <f t="array" ref="T620">IFERROR(_xlfn.SWITCH(L620,1,_xlfn.XLOOKUP(O620,[1]AttributeName!$B:$B,[1]AttributeName!$E:$E),2,_xlfn.XLOOKUP(C620,#REF!,#REF!),3,_xlfn.XLOOKUP(C620,#REF!,#REF!)),0)</f>
        <v>2</v>
      </c>
    </row>
    <row r="621" customFormat="1" spans="1:20">
      <c r="A621">
        <f t="shared" si="33"/>
        <v>253</v>
      </c>
      <c r="B621">
        <v>8</v>
      </c>
      <c r="C621" t="s">
        <v>424</v>
      </c>
      <c r="D621" t="s">
        <v>25</v>
      </c>
      <c r="E621" t="s">
        <v>392</v>
      </c>
      <c r="F621"/>
      <c r="G621">
        <v>2</v>
      </c>
      <c r="H621">
        <v>1000</v>
      </c>
      <c r="J621" cm="1">
        <f t="array" ref="J621">_xlfn.SWITCH(B621,1,75,2,61,3,49,4,37,5,25,6,13,7,4,8,1)</f>
        <v>1</v>
      </c>
      <c r="K621" t="str" cm="1">
        <f t="array" ref="K621">IFERROR(_xlfn.SWITCH(L621,2,_xlfn.XLOOKUP(C621,[1]ModifierDes!$B:$B,[1]ModifierDes!$C:$C),3,_xlfn.XLOOKUP(C621,[1]StuntDes!$B:$B,[1]StuntDes!$C:$C)),"")</f>
        <v/>
      </c>
      <c r="L621">
        <f t="shared" si="32"/>
        <v>1</v>
      </c>
      <c r="M621" s="10" t="str">
        <f>IFERROR(_xlfn.XLOOKUP(C621,[1]StuntDes!$B:$B,[1]StuntDes!$A:$A),"")</f>
        <v/>
      </c>
      <c r="N621" s="10" t="str">
        <f>IFERROR(_xlfn.XLOOKUP(C621,[1]ModifierDes!$B:$B,[1]ModifierDes!$A:$A),"")</f>
        <v/>
      </c>
      <c r="O621" s="10">
        <f>IFERROR(_xlfn.XLOOKUP(C621,[1]AttributeName!$C:$C,[1]AttributeName!$B:$B),"")</f>
        <v>10313</v>
      </c>
      <c r="P621" s="10"/>
      <c r="Q621">
        <v>0.02</v>
      </c>
      <c r="R621">
        <v>0.0500000000000001</v>
      </c>
      <c r="S621" cm="1">
        <f t="array" ref="S621">IFERROR(_xlfn.SWITCH(L621,1,_xlfn.XLOOKUP(O621,[1]AttributeName!$B:$B,[1]AttributeName!$D:$D),2,_xlfn.XLOOKUP(C621,#REF!,#REF!),3,_xlfn.XLOOKUP(C621,#REF!,#REF!)),0)</f>
        <v>2</v>
      </c>
      <c r="T621" cm="1">
        <f t="array" ref="T621">IFERROR(_xlfn.SWITCH(L621,1,_xlfn.XLOOKUP(O621,[1]AttributeName!$B:$B,[1]AttributeName!$E:$E),2,_xlfn.XLOOKUP(C621,#REF!,#REF!),3,_xlfn.XLOOKUP(C621,#REF!,#REF!)),0)</f>
        <v>2</v>
      </c>
    </row>
    <row r="622" customFormat="1" spans="1:20">
      <c r="A622">
        <f t="shared" si="33"/>
        <v>254</v>
      </c>
      <c r="B622">
        <v>1</v>
      </c>
      <c r="C622" t="s">
        <v>425</v>
      </c>
      <c r="D622" t="s">
        <v>25</v>
      </c>
      <c r="E622" t="s">
        <v>392</v>
      </c>
      <c r="F622"/>
      <c r="G622">
        <v>2</v>
      </c>
      <c r="H622">
        <v>250</v>
      </c>
      <c r="J622" cm="1">
        <f t="array" ref="J622">_xlfn.SWITCH(B622,1,75,2,61,3,49,4,37,5,25,6,13,7,4,8,1)</f>
        <v>75</v>
      </c>
      <c r="K622" t="str" cm="1">
        <f t="array" ref="K622">IFERROR(_xlfn.SWITCH(L622,2,_xlfn.XLOOKUP(C622,[1]ModifierDes!$B:$B,[1]ModifierDes!$C:$C),3,_xlfn.XLOOKUP(C622,[1]StuntDes!$B:$B,[1]StuntDes!$C:$C)),"")</f>
        <v/>
      </c>
      <c r="L622">
        <f t="shared" si="32"/>
        <v>1</v>
      </c>
      <c r="M622" s="10" t="str">
        <f>IFERROR(_xlfn.XLOOKUP(C622,[1]StuntDes!$B:$B,[1]StuntDes!$A:$A),"")</f>
        <v/>
      </c>
      <c r="N622" s="10" t="str">
        <f>IFERROR(_xlfn.XLOOKUP(C622,[1]ModifierDes!$B:$B,[1]ModifierDes!$A:$A),"")</f>
        <v/>
      </c>
      <c r="O622" s="10">
        <f>IFERROR(_xlfn.XLOOKUP(C622,[1]AttributeName!$C:$C,[1]AttributeName!$B:$B),"")</f>
        <v>10314</v>
      </c>
      <c r="P622" s="10"/>
      <c r="Q622">
        <v>0.3</v>
      </c>
      <c r="R622">
        <v>0.4</v>
      </c>
      <c r="S622" cm="1">
        <f t="array" ref="S622">IFERROR(_xlfn.SWITCH(L622,1,_xlfn.XLOOKUP(O622,[1]AttributeName!$B:$B,[1]AttributeName!$D:$D),2,_xlfn.XLOOKUP(C622,#REF!,#REF!),3,_xlfn.XLOOKUP(C622,#REF!,#REF!)),0)</f>
        <v>2</v>
      </c>
      <c r="T622" cm="1">
        <f t="array" ref="T622">IFERROR(_xlfn.SWITCH(L622,1,_xlfn.XLOOKUP(O622,[1]AttributeName!$B:$B,[1]AttributeName!$E:$E),2,_xlfn.XLOOKUP(C622,#REF!,#REF!),3,_xlfn.XLOOKUP(C622,#REF!,#REF!)),0)</f>
        <v>2</v>
      </c>
    </row>
    <row r="623" customFormat="1" spans="1:20">
      <c r="A623">
        <f t="shared" si="33"/>
        <v>254</v>
      </c>
      <c r="B623">
        <v>2</v>
      </c>
      <c r="C623" t="s">
        <v>425</v>
      </c>
      <c r="D623" t="s">
        <v>25</v>
      </c>
      <c r="E623" t="s">
        <v>392</v>
      </c>
      <c r="F623"/>
      <c r="G623">
        <v>2</v>
      </c>
      <c r="H623">
        <v>500</v>
      </c>
      <c r="J623" cm="1">
        <f t="array" ref="J623">_xlfn.SWITCH(B623,1,75,2,61,3,49,4,37,5,25,6,13,7,4,8,1)</f>
        <v>61</v>
      </c>
      <c r="K623" t="str" cm="1">
        <f t="array" ref="K623">IFERROR(_xlfn.SWITCH(L623,2,_xlfn.XLOOKUP(C623,[1]ModifierDes!$B:$B,[1]ModifierDes!$C:$C),3,_xlfn.XLOOKUP(C623,[1]StuntDes!$B:$B,[1]StuntDes!$C:$C)),"")</f>
        <v/>
      </c>
      <c r="L623">
        <f t="shared" si="32"/>
        <v>1</v>
      </c>
      <c r="M623" s="10" t="str">
        <f>IFERROR(_xlfn.XLOOKUP(C623,[1]StuntDes!$B:$B,[1]StuntDes!$A:$A),"")</f>
        <v/>
      </c>
      <c r="N623" s="10" t="str">
        <f>IFERROR(_xlfn.XLOOKUP(C623,[1]ModifierDes!$B:$B,[1]ModifierDes!$A:$A),"")</f>
        <v/>
      </c>
      <c r="O623" s="10">
        <f>IFERROR(_xlfn.XLOOKUP(C623,[1]AttributeName!$C:$C,[1]AttributeName!$B:$B),"")</f>
        <v>10314</v>
      </c>
      <c r="P623" s="10"/>
      <c r="Q623">
        <v>0.26</v>
      </c>
      <c r="R623">
        <v>0.29</v>
      </c>
      <c r="S623" cm="1">
        <f t="array" ref="S623">IFERROR(_xlfn.SWITCH(L623,1,_xlfn.XLOOKUP(O623,[1]AttributeName!$B:$B,[1]AttributeName!$D:$D),2,_xlfn.XLOOKUP(C623,#REF!,#REF!),3,_xlfn.XLOOKUP(C623,#REF!,#REF!)),0)</f>
        <v>2</v>
      </c>
      <c r="T623" cm="1">
        <f t="array" ref="T623">IFERROR(_xlfn.SWITCH(L623,1,_xlfn.XLOOKUP(O623,[1]AttributeName!$B:$B,[1]AttributeName!$E:$E),2,_xlfn.XLOOKUP(C623,#REF!,#REF!),3,_xlfn.XLOOKUP(C623,#REF!,#REF!)),0)</f>
        <v>2</v>
      </c>
    </row>
    <row r="624" customFormat="1" spans="1:20">
      <c r="A624">
        <f t="shared" si="33"/>
        <v>254</v>
      </c>
      <c r="B624">
        <v>3</v>
      </c>
      <c r="C624" t="s">
        <v>425</v>
      </c>
      <c r="D624" t="s">
        <v>25</v>
      </c>
      <c r="E624" t="s">
        <v>392</v>
      </c>
      <c r="F624"/>
      <c r="G624">
        <v>2</v>
      </c>
      <c r="H624">
        <v>750</v>
      </c>
      <c r="J624" cm="1">
        <f t="array" ref="J624">_xlfn.SWITCH(B624,1,75,2,61,3,49,4,37,5,25,6,13,7,4,8,1)</f>
        <v>49</v>
      </c>
      <c r="K624" t="str" cm="1">
        <f t="array" ref="K624">IFERROR(_xlfn.SWITCH(L624,2,_xlfn.XLOOKUP(C624,[1]ModifierDes!$B:$B,[1]ModifierDes!$C:$C),3,_xlfn.XLOOKUP(C624,[1]StuntDes!$B:$B,[1]StuntDes!$C:$C)),"")</f>
        <v/>
      </c>
      <c r="L624">
        <f t="shared" si="32"/>
        <v>1</v>
      </c>
      <c r="M624" s="10" t="str">
        <f>IFERROR(_xlfn.XLOOKUP(C624,[1]StuntDes!$B:$B,[1]StuntDes!$A:$A),"")</f>
        <v/>
      </c>
      <c r="N624" s="10" t="str">
        <f>IFERROR(_xlfn.XLOOKUP(C624,[1]ModifierDes!$B:$B,[1]ModifierDes!$A:$A),"")</f>
        <v/>
      </c>
      <c r="O624" s="10">
        <f>IFERROR(_xlfn.XLOOKUP(C624,[1]AttributeName!$C:$C,[1]AttributeName!$B:$B),"")</f>
        <v>10314</v>
      </c>
      <c r="P624" s="10"/>
      <c r="Q624">
        <v>0.22</v>
      </c>
      <c r="R624">
        <v>0.25</v>
      </c>
      <c r="S624" cm="1">
        <f t="array" ref="S624">IFERROR(_xlfn.SWITCH(L624,1,_xlfn.XLOOKUP(O624,[1]AttributeName!$B:$B,[1]AttributeName!$D:$D),2,_xlfn.XLOOKUP(C624,#REF!,#REF!),3,_xlfn.XLOOKUP(C624,#REF!,#REF!)),0)</f>
        <v>2</v>
      </c>
      <c r="T624" cm="1">
        <f t="array" ref="T624">IFERROR(_xlfn.SWITCH(L624,1,_xlfn.XLOOKUP(O624,[1]AttributeName!$B:$B,[1]AttributeName!$E:$E),2,_xlfn.XLOOKUP(C624,#REF!,#REF!),3,_xlfn.XLOOKUP(C624,#REF!,#REF!)),0)</f>
        <v>2</v>
      </c>
    </row>
    <row r="625" customFormat="1" spans="1:20">
      <c r="A625">
        <f t="shared" si="33"/>
        <v>254</v>
      </c>
      <c r="B625">
        <v>4</v>
      </c>
      <c r="C625" t="s">
        <v>425</v>
      </c>
      <c r="D625" t="s">
        <v>25</v>
      </c>
      <c r="E625" t="s">
        <v>392</v>
      </c>
      <c r="F625"/>
      <c r="G625">
        <v>2</v>
      </c>
      <c r="H625">
        <v>1000</v>
      </c>
      <c r="J625" cm="1">
        <f t="array" ref="J625">_xlfn.SWITCH(B625,1,75,2,61,3,49,4,37,5,25,6,13,7,4,8,1)</f>
        <v>37</v>
      </c>
      <c r="K625" t="str" cm="1">
        <f t="array" ref="K625">IFERROR(_xlfn.SWITCH(L625,2,_xlfn.XLOOKUP(C625,[1]ModifierDes!$B:$B,[1]ModifierDes!$C:$C),3,_xlfn.XLOOKUP(C625,[1]StuntDes!$B:$B,[1]StuntDes!$C:$C)),"")</f>
        <v/>
      </c>
      <c r="L625">
        <f t="shared" si="32"/>
        <v>1</v>
      </c>
      <c r="M625" s="10" t="str">
        <f>IFERROR(_xlfn.XLOOKUP(C625,[1]StuntDes!$B:$B,[1]StuntDes!$A:$A),"")</f>
        <v/>
      </c>
      <c r="N625" s="10" t="str">
        <f>IFERROR(_xlfn.XLOOKUP(C625,[1]ModifierDes!$B:$B,[1]ModifierDes!$A:$A),"")</f>
        <v/>
      </c>
      <c r="O625" s="10">
        <f>IFERROR(_xlfn.XLOOKUP(C625,[1]AttributeName!$C:$C,[1]AttributeName!$B:$B),"")</f>
        <v>10314</v>
      </c>
      <c r="P625" s="10"/>
      <c r="Q625">
        <v>0.18</v>
      </c>
      <c r="R625">
        <v>0.21</v>
      </c>
      <c r="S625" cm="1">
        <f t="array" ref="S625">IFERROR(_xlfn.SWITCH(L625,1,_xlfn.XLOOKUP(O625,[1]AttributeName!$B:$B,[1]AttributeName!$D:$D),2,_xlfn.XLOOKUP(C625,#REF!,#REF!),3,_xlfn.XLOOKUP(C625,#REF!,#REF!)),0)</f>
        <v>2</v>
      </c>
      <c r="T625" cm="1">
        <f t="array" ref="T625">IFERROR(_xlfn.SWITCH(L625,1,_xlfn.XLOOKUP(O625,[1]AttributeName!$B:$B,[1]AttributeName!$E:$E),2,_xlfn.XLOOKUP(C625,#REF!,#REF!),3,_xlfn.XLOOKUP(C625,#REF!,#REF!)),0)</f>
        <v>2</v>
      </c>
    </row>
    <row r="626" customFormat="1" spans="1:20">
      <c r="A626">
        <f t="shared" si="33"/>
        <v>254</v>
      </c>
      <c r="B626">
        <v>5</v>
      </c>
      <c r="C626" t="s">
        <v>425</v>
      </c>
      <c r="D626" t="s">
        <v>25</v>
      </c>
      <c r="E626" t="s">
        <v>392</v>
      </c>
      <c r="F626"/>
      <c r="G626">
        <v>2</v>
      </c>
      <c r="H626">
        <v>1000</v>
      </c>
      <c r="J626" cm="1">
        <f t="array" ref="J626">_xlfn.SWITCH(B626,1,75,2,61,3,49,4,37,5,25,6,13,7,4,8,1)</f>
        <v>25</v>
      </c>
      <c r="K626" t="str" cm="1">
        <f t="array" ref="K626">IFERROR(_xlfn.SWITCH(L626,2,_xlfn.XLOOKUP(C626,[1]ModifierDes!$B:$B,[1]ModifierDes!$C:$C),3,_xlfn.XLOOKUP(C626,[1]StuntDes!$B:$B,[1]StuntDes!$C:$C)),"")</f>
        <v/>
      </c>
      <c r="L626">
        <f t="shared" si="32"/>
        <v>1</v>
      </c>
      <c r="M626" s="10" t="str">
        <f>IFERROR(_xlfn.XLOOKUP(C626,[1]StuntDes!$B:$B,[1]StuntDes!$A:$A),"")</f>
        <v/>
      </c>
      <c r="N626" s="10" t="str">
        <f>IFERROR(_xlfn.XLOOKUP(C626,[1]ModifierDes!$B:$B,[1]ModifierDes!$A:$A),"")</f>
        <v/>
      </c>
      <c r="O626" s="10">
        <f>IFERROR(_xlfn.XLOOKUP(C626,[1]AttributeName!$C:$C,[1]AttributeName!$B:$B),"")</f>
        <v>10314</v>
      </c>
      <c r="P626" s="10"/>
      <c r="Q626">
        <v>0.14</v>
      </c>
      <c r="R626">
        <v>0.17</v>
      </c>
      <c r="S626" cm="1">
        <f t="array" ref="S626">IFERROR(_xlfn.SWITCH(L626,1,_xlfn.XLOOKUP(O626,[1]AttributeName!$B:$B,[1]AttributeName!$D:$D),2,_xlfn.XLOOKUP(C626,#REF!,#REF!),3,_xlfn.XLOOKUP(C626,#REF!,#REF!)),0)</f>
        <v>2</v>
      </c>
      <c r="T626" cm="1">
        <f t="array" ref="T626">IFERROR(_xlfn.SWITCH(L626,1,_xlfn.XLOOKUP(O626,[1]AttributeName!$B:$B,[1]AttributeName!$E:$E),2,_xlfn.XLOOKUP(C626,#REF!,#REF!),3,_xlfn.XLOOKUP(C626,#REF!,#REF!)),0)</f>
        <v>2</v>
      </c>
    </row>
    <row r="627" customFormat="1" spans="1:20">
      <c r="A627">
        <f t="shared" si="33"/>
        <v>254</v>
      </c>
      <c r="B627">
        <v>6</v>
      </c>
      <c r="C627" t="s">
        <v>425</v>
      </c>
      <c r="D627" t="s">
        <v>25</v>
      </c>
      <c r="E627" t="s">
        <v>392</v>
      </c>
      <c r="F627"/>
      <c r="G627">
        <v>2</v>
      </c>
      <c r="H627">
        <v>1000</v>
      </c>
      <c r="J627" cm="1">
        <f t="array" ref="J627">_xlfn.SWITCH(B627,1,75,2,61,3,49,4,37,5,25,6,13,7,4,8,1)</f>
        <v>13</v>
      </c>
      <c r="K627" t="str" cm="1">
        <f t="array" ref="K627">IFERROR(_xlfn.SWITCH(L627,2,_xlfn.XLOOKUP(C627,[1]ModifierDes!$B:$B,[1]ModifierDes!$C:$C),3,_xlfn.XLOOKUP(C627,[1]StuntDes!$B:$B,[1]StuntDes!$C:$C)),"")</f>
        <v/>
      </c>
      <c r="L627">
        <f t="shared" si="32"/>
        <v>1</v>
      </c>
      <c r="M627" s="10" t="str">
        <f>IFERROR(_xlfn.XLOOKUP(C627,[1]StuntDes!$B:$B,[1]StuntDes!$A:$A),"")</f>
        <v/>
      </c>
      <c r="N627" s="10" t="str">
        <f>IFERROR(_xlfn.XLOOKUP(C627,[1]ModifierDes!$B:$B,[1]ModifierDes!$A:$A),"")</f>
        <v/>
      </c>
      <c r="O627" s="10">
        <f>IFERROR(_xlfn.XLOOKUP(C627,[1]AttributeName!$C:$C,[1]AttributeName!$B:$B),"")</f>
        <v>10314</v>
      </c>
      <c r="P627" s="10"/>
      <c r="Q627">
        <v>0.1</v>
      </c>
      <c r="R627">
        <v>0.13</v>
      </c>
      <c r="S627" cm="1">
        <f t="array" ref="S627">IFERROR(_xlfn.SWITCH(L627,1,_xlfn.XLOOKUP(O627,[1]AttributeName!$B:$B,[1]AttributeName!$D:$D),2,_xlfn.XLOOKUP(C627,#REF!,#REF!),3,_xlfn.XLOOKUP(C627,#REF!,#REF!)),0)</f>
        <v>2</v>
      </c>
      <c r="T627" cm="1">
        <f t="array" ref="T627">IFERROR(_xlfn.SWITCH(L627,1,_xlfn.XLOOKUP(O627,[1]AttributeName!$B:$B,[1]AttributeName!$E:$E),2,_xlfn.XLOOKUP(C627,#REF!,#REF!),3,_xlfn.XLOOKUP(C627,#REF!,#REF!)),0)</f>
        <v>2</v>
      </c>
    </row>
    <row r="628" customFormat="1" spans="1:20">
      <c r="A628">
        <f t="shared" si="33"/>
        <v>254</v>
      </c>
      <c r="B628">
        <v>7</v>
      </c>
      <c r="C628" t="s">
        <v>425</v>
      </c>
      <c r="D628" t="s">
        <v>25</v>
      </c>
      <c r="E628" t="s">
        <v>392</v>
      </c>
      <c r="F628"/>
      <c r="G628">
        <v>2</v>
      </c>
      <c r="H628">
        <v>1000</v>
      </c>
      <c r="J628" cm="1">
        <f t="array" ref="J628">_xlfn.SWITCH(B628,1,75,2,61,3,49,4,37,5,25,6,13,7,4,8,1)</f>
        <v>4</v>
      </c>
      <c r="K628" t="str" cm="1">
        <f t="array" ref="K628">IFERROR(_xlfn.SWITCH(L628,2,_xlfn.XLOOKUP(C628,[1]ModifierDes!$B:$B,[1]ModifierDes!$C:$C),3,_xlfn.XLOOKUP(C628,[1]StuntDes!$B:$B,[1]StuntDes!$C:$C)),"")</f>
        <v/>
      </c>
      <c r="L628">
        <f t="shared" si="32"/>
        <v>1</v>
      </c>
      <c r="M628" s="10" t="str">
        <f>IFERROR(_xlfn.XLOOKUP(C628,[1]StuntDes!$B:$B,[1]StuntDes!$A:$A),"")</f>
        <v/>
      </c>
      <c r="N628" s="10" t="str">
        <f>IFERROR(_xlfn.XLOOKUP(C628,[1]ModifierDes!$B:$B,[1]ModifierDes!$A:$A),"")</f>
        <v/>
      </c>
      <c r="O628" s="10">
        <f>IFERROR(_xlfn.XLOOKUP(C628,[1]AttributeName!$C:$C,[1]AttributeName!$B:$B),"")</f>
        <v>10314</v>
      </c>
      <c r="P628" s="10"/>
      <c r="Q628">
        <v>0.06</v>
      </c>
      <c r="R628">
        <v>0.0900000000000001</v>
      </c>
      <c r="S628" cm="1">
        <f t="array" ref="S628">IFERROR(_xlfn.SWITCH(L628,1,_xlfn.XLOOKUP(O628,[1]AttributeName!$B:$B,[1]AttributeName!$D:$D),2,_xlfn.XLOOKUP(C628,#REF!,#REF!),3,_xlfn.XLOOKUP(C628,#REF!,#REF!)),0)</f>
        <v>2</v>
      </c>
      <c r="T628" cm="1">
        <f t="array" ref="T628">IFERROR(_xlfn.SWITCH(L628,1,_xlfn.XLOOKUP(O628,[1]AttributeName!$B:$B,[1]AttributeName!$E:$E),2,_xlfn.XLOOKUP(C628,#REF!,#REF!),3,_xlfn.XLOOKUP(C628,#REF!,#REF!)),0)</f>
        <v>2</v>
      </c>
    </row>
    <row r="629" customFormat="1" spans="1:20">
      <c r="A629">
        <f t="shared" si="33"/>
        <v>254</v>
      </c>
      <c r="B629">
        <v>8</v>
      </c>
      <c r="C629" t="s">
        <v>425</v>
      </c>
      <c r="D629" t="s">
        <v>25</v>
      </c>
      <c r="E629" t="s">
        <v>392</v>
      </c>
      <c r="F629"/>
      <c r="G629">
        <v>2</v>
      </c>
      <c r="H629">
        <v>1000</v>
      </c>
      <c r="J629" cm="1">
        <f t="array" ref="J629">_xlfn.SWITCH(B629,1,75,2,61,3,49,4,37,5,25,6,13,7,4,8,1)</f>
        <v>1</v>
      </c>
      <c r="K629" t="str" cm="1">
        <f t="array" ref="K629">IFERROR(_xlfn.SWITCH(L629,2,_xlfn.XLOOKUP(C629,[1]ModifierDes!$B:$B,[1]ModifierDes!$C:$C),3,_xlfn.XLOOKUP(C629,[1]StuntDes!$B:$B,[1]StuntDes!$C:$C)),"")</f>
        <v/>
      </c>
      <c r="L629">
        <f t="shared" si="32"/>
        <v>1</v>
      </c>
      <c r="M629" s="10" t="str">
        <f>IFERROR(_xlfn.XLOOKUP(C629,[1]StuntDes!$B:$B,[1]StuntDes!$A:$A),"")</f>
        <v/>
      </c>
      <c r="N629" s="10" t="str">
        <f>IFERROR(_xlfn.XLOOKUP(C629,[1]ModifierDes!$B:$B,[1]ModifierDes!$A:$A),"")</f>
        <v/>
      </c>
      <c r="O629" s="10">
        <f>IFERROR(_xlfn.XLOOKUP(C629,[1]AttributeName!$C:$C,[1]AttributeName!$B:$B),"")</f>
        <v>10314</v>
      </c>
      <c r="P629" s="10"/>
      <c r="Q629">
        <v>0.02</v>
      </c>
      <c r="R629">
        <v>0.0500000000000001</v>
      </c>
      <c r="S629" cm="1">
        <f t="array" ref="S629">IFERROR(_xlfn.SWITCH(L629,1,_xlfn.XLOOKUP(O629,[1]AttributeName!$B:$B,[1]AttributeName!$D:$D),2,_xlfn.XLOOKUP(C629,#REF!,#REF!),3,_xlfn.XLOOKUP(C629,#REF!,#REF!)),0)</f>
        <v>2</v>
      </c>
      <c r="T629" cm="1">
        <f t="array" ref="T629">IFERROR(_xlfn.SWITCH(L629,1,_xlfn.XLOOKUP(O629,[1]AttributeName!$B:$B,[1]AttributeName!$E:$E),2,_xlfn.XLOOKUP(C629,#REF!,#REF!),3,_xlfn.XLOOKUP(C629,#REF!,#REF!)),0)</f>
        <v>2</v>
      </c>
    </row>
    <row r="630" customFormat="1" spans="1:20">
      <c r="A630">
        <f t="shared" si="33"/>
        <v>255</v>
      </c>
      <c r="B630">
        <v>1</v>
      </c>
      <c r="C630" t="s">
        <v>82</v>
      </c>
      <c r="D630" t="s">
        <v>25</v>
      </c>
      <c r="E630" t="s">
        <v>392</v>
      </c>
      <c r="F630"/>
      <c r="G630">
        <v>2</v>
      </c>
      <c r="H630">
        <v>50</v>
      </c>
      <c r="J630" cm="1">
        <f t="array" ref="J630">_xlfn.SWITCH(B630,1,75,2,61,3,49,4,37,5,25,6,13,7,4,8,1)</f>
        <v>75</v>
      </c>
      <c r="K630" t="str" cm="1">
        <f t="array" ref="K630">IFERROR(_xlfn.SWITCH(L630,2,_xlfn.XLOOKUP(C630,[1]ModifierDes!$B:$B,[1]ModifierDes!$C:$C),3,_xlfn.XLOOKUP(C630,[1]StuntDes!$B:$B,[1]StuntDes!$C:$C)),"")</f>
        <v/>
      </c>
      <c r="L630">
        <f t="shared" si="32"/>
        <v>1</v>
      </c>
      <c r="M630" s="10" t="str">
        <f>IFERROR(_xlfn.XLOOKUP(C630,[1]StuntDes!$B:$B,[1]StuntDes!$A:$A),"")</f>
        <v/>
      </c>
      <c r="N630" s="10" t="str">
        <f>IFERROR(_xlfn.XLOOKUP(C630,[1]ModifierDes!$B:$B,[1]ModifierDes!$A:$A),"")</f>
        <v/>
      </c>
      <c r="O630" s="10">
        <f>IFERROR(_xlfn.XLOOKUP(C630,[1]AttributeName!$C:$C,[1]AttributeName!$B:$B),"")</f>
        <v>10315</v>
      </c>
      <c r="P630" s="10"/>
      <c r="Q630">
        <v>0.2</v>
      </c>
      <c r="R630">
        <v>0.25</v>
      </c>
      <c r="S630" cm="1">
        <f t="array" ref="S630">IFERROR(_xlfn.SWITCH(L630,1,_xlfn.XLOOKUP(O630,[1]AttributeName!$B:$B,[1]AttributeName!$D:$D),2,_xlfn.XLOOKUP(C630,#REF!,#REF!),3,_xlfn.XLOOKUP(C630,#REF!,#REF!)),0)</f>
        <v>2</v>
      </c>
      <c r="T630" cm="1">
        <f t="array" ref="T630">IFERROR(_xlfn.SWITCH(L630,1,_xlfn.XLOOKUP(O630,[1]AttributeName!$B:$B,[1]AttributeName!$E:$E),2,_xlfn.XLOOKUP(C630,#REF!,#REF!),3,_xlfn.XLOOKUP(C630,#REF!,#REF!)),0)</f>
        <v>2</v>
      </c>
    </row>
    <row r="631" customFormat="1" spans="1:20">
      <c r="A631">
        <f t="shared" si="33"/>
        <v>255</v>
      </c>
      <c r="B631">
        <v>2</v>
      </c>
      <c r="C631" t="s">
        <v>82</v>
      </c>
      <c r="D631" t="s">
        <v>25</v>
      </c>
      <c r="E631" t="s">
        <v>392</v>
      </c>
      <c r="F631"/>
      <c r="G631">
        <v>2</v>
      </c>
      <c r="H631">
        <v>100</v>
      </c>
      <c r="J631" cm="1">
        <f t="array" ref="J631">_xlfn.SWITCH(B631,1,75,2,61,3,49,4,37,5,25,6,13,7,4,8,1)</f>
        <v>61</v>
      </c>
      <c r="K631" t="str" cm="1">
        <f t="array" ref="K631">IFERROR(_xlfn.SWITCH(L631,2,_xlfn.XLOOKUP(C631,[1]ModifierDes!$B:$B,[1]ModifierDes!$C:$C),3,_xlfn.XLOOKUP(C631,[1]StuntDes!$B:$B,[1]StuntDes!$C:$C)),"")</f>
        <v/>
      </c>
      <c r="L631">
        <f t="shared" si="32"/>
        <v>1</v>
      </c>
      <c r="M631" s="10" t="str">
        <f>IFERROR(_xlfn.XLOOKUP(C631,[1]StuntDes!$B:$B,[1]StuntDes!$A:$A),"")</f>
        <v/>
      </c>
      <c r="N631" s="10" t="str">
        <f>IFERROR(_xlfn.XLOOKUP(C631,[1]ModifierDes!$B:$B,[1]ModifierDes!$A:$A),"")</f>
        <v/>
      </c>
      <c r="O631" s="10">
        <f>IFERROR(_xlfn.XLOOKUP(C631,[1]AttributeName!$C:$C,[1]AttributeName!$B:$B),"")</f>
        <v>10315</v>
      </c>
      <c r="P631" s="10"/>
      <c r="Q631">
        <v>0.17</v>
      </c>
      <c r="R631">
        <v>0.19</v>
      </c>
      <c r="S631" cm="1">
        <f t="array" ref="S631">IFERROR(_xlfn.SWITCH(L631,1,_xlfn.XLOOKUP(O631,[1]AttributeName!$B:$B,[1]AttributeName!$D:$D),2,_xlfn.XLOOKUP(C631,#REF!,#REF!),3,_xlfn.XLOOKUP(C631,#REF!,#REF!)),0)</f>
        <v>2</v>
      </c>
      <c r="T631" cm="1">
        <f t="array" ref="T631">IFERROR(_xlfn.SWITCH(L631,1,_xlfn.XLOOKUP(O631,[1]AttributeName!$B:$B,[1]AttributeName!$E:$E),2,_xlfn.XLOOKUP(C631,#REF!,#REF!),3,_xlfn.XLOOKUP(C631,#REF!,#REF!)),0)</f>
        <v>2</v>
      </c>
    </row>
    <row r="632" customFormat="1" spans="1:20">
      <c r="A632">
        <f t="shared" si="33"/>
        <v>255</v>
      </c>
      <c r="B632">
        <v>3</v>
      </c>
      <c r="C632" t="s">
        <v>82</v>
      </c>
      <c r="D632" t="s">
        <v>25</v>
      </c>
      <c r="E632" t="s">
        <v>392</v>
      </c>
      <c r="F632"/>
      <c r="G632">
        <v>2</v>
      </c>
      <c r="H632">
        <v>250</v>
      </c>
      <c r="J632" cm="1">
        <f t="array" ref="J632">_xlfn.SWITCH(B632,1,75,2,61,3,49,4,37,5,25,6,13,7,4,8,1)</f>
        <v>49</v>
      </c>
      <c r="K632" t="str" cm="1">
        <f t="array" ref="K632">IFERROR(_xlfn.SWITCH(L632,2,_xlfn.XLOOKUP(C632,[1]ModifierDes!$B:$B,[1]ModifierDes!$C:$C),3,_xlfn.XLOOKUP(C632,[1]StuntDes!$B:$B,[1]StuntDes!$C:$C)),"")</f>
        <v/>
      </c>
      <c r="L632">
        <f t="shared" si="32"/>
        <v>1</v>
      </c>
      <c r="M632" s="10" t="str">
        <f>IFERROR(_xlfn.XLOOKUP(C632,[1]StuntDes!$B:$B,[1]StuntDes!$A:$A),"")</f>
        <v/>
      </c>
      <c r="N632" s="10" t="str">
        <f>IFERROR(_xlfn.XLOOKUP(C632,[1]ModifierDes!$B:$B,[1]ModifierDes!$A:$A),"")</f>
        <v/>
      </c>
      <c r="O632" s="10">
        <f>IFERROR(_xlfn.XLOOKUP(C632,[1]AttributeName!$C:$C,[1]AttributeName!$B:$B),"")</f>
        <v>10315</v>
      </c>
      <c r="P632" s="10"/>
      <c r="Q632">
        <v>0.14</v>
      </c>
      <c r="R632">
        <v>0.16</v>
      </c>
      <c r="S632" cm="1">
        <f t="array" ref="S632">IFERROR(_xlfn.SWITCH(L632,1,_xlfn.XLOOKUP(O632,[1]AttributeName!$B:$B,[1]AttributeName!$D:$D),2,_xlfn.XLOOKUP(C632,#REF!,#REF!),3,_xlfn.XLOOKUP(C632,#REF!,#REF!)),0)</f>
        <v>2</v>
      </c>
      <c r="T632" cm="1">
        <f t="array" ref="T632">IFERROR(_xlfn.SWITCH(L632,1,_xlfn.XLOOKUP(O632,[1]AttributeName!$B:$B,[1]AttributeName!$E:$E),2,_xlfn.XLOOKUP(C632,#REF!,#REF!),3,_xlfn.XLOOKUP(C632,#REF!,#REF!)),0)</f>
        <v>2</v>
      </c>
    </row>
    <row r="633" customFormat="1" spans="1:20">
      <c r="A633">
        <f t="shared" si="33"/>
        <v>255</v>
      </c>
      <c r="B633">
        <v>4</v>
      </c>
      <c r="C633" t="s">
        <v>82</v>
      </c>
      <c r="D633" t="s">
        <v>25</v>
      </c>
      <c r="E633" t="s">
        <v>392</v>
      </c>
      <c r="F633"/>
      <c r="G633">
        <v>2</v>
      </c>
      <c r="H633">
        <v>500</v>
      </c>
      <c r="J633" cm="1">
        <f t="array" ref="J633">_xlfn.SWITCH(B633,1,75,2,61,3,49,4,37,5,25,6,13,7,4,8,1)</f>
        <v>37</v>
      </c>
      <c r="K633" t="str" cm="1">
        <f t="array" ref="K633">IFERROR(_xlfn.SWITCH(L633,2,_xlfn.XLOOKUP(C633,[1]ModifierDes!$B:$B,[1]ModifierDes!$C:$C),3,_xlfn.XLOOKUP(C633,[1]StuntDes!$B:$B,[1]StuntDes!$C:$C)),"")</f>
        <v/>
      </c>
      <c r="L633">
        <f t="shared" si="32"/>
        <v>1</v>
      </c>
      <c r="M633" s="10" t="str">
        <f>IFERROR(_xlfn.XLOOKUP(C633,[1]StuntDes!$B:$B,[1]StuntDes!$A:$A),"")</f>
        <v/>
      </c>
      <c r="N633" s="10" t="str">
        <f>IFERROR(_xlfn.XLOOKUP(C633,[1]ModifierDes!$B:$B,[1]ModifierDes!$A:$A),"")</f>
        <v/>
      </c>
      <c r="O633" s="10">
        <f>IFERROR(_xlfn.XLOOKUP(C633,[1]AttributeName!$C:$C,[1]AttributeName!$B:$B),"")</f>
        <v>10315</v>
      </c>
      <c r="P633" s="10"/>
      <c r="Q633">
        <v>0.11</v>
      </c>
      <c r="R633">
        <v>0.13</v>
      </c>
      <c r="S633" cm="1">
        <f t="array" ref="S633">IFERROR(_xlfn.SWITCH(L633,1,_xlfn.XLOOKUP(O633,[1]AttributeName!$B:$B,[1]AttributeName!$D:$D),2,_xlfn.XLOOKUP(C633,#REF!,#REF!),3,_xlfn.XLOOKUP(C633,#REF!,#REF!)),0)</f>
        <v>2</v>
      </c>
      <c r="T633" cm="1">
        <f t="array" ref="T633">IFERROR(_xlfn.SWITCH(L633,1,_xlfn.XLOOKUP(O633,[1]AttributeName!$B:$B,[1]AttributeName!$E:$E),2,_xlfn.XLOOKUP(C633,#REF!,#REF!),3,_xlfn.XLOOKUP(C633,#REF!,#REF!)),0)</f>
        <v>2</v>
      </c>
    </row>
    <row r="634" customFormat="1" spans="1:20">
      <c r="A634">
        <f t="shared" si="33"/>
        <v>255</v>
      </c>
      <c r="B634">
        <v>5</v>
      </c>
      <c r="C634" t="s">
        <v>82</v>
      </c>
      <c r="D634" t="s">
        <v>25</v>
      </c>
      <c r="E634" t="s">
        <v>392</v>
      </c>
      <c r="F634"/>
      <c r="G634">
        <v>2</v>
      </c>
      <c r="H634">
        <v>500</v>
      </c>
      <c r="J634" cm="1">
        <f t="array" ref="J634">_xlfn.SWITCH(B634,1,75,2,61,3,49,4,37,5,25,6,13,7,4,8,1)</f>
        <v>25</v>
      </c>
      <c r="K634" t="str" cm="1">
        <f t="array" ref="K634">IFERROR(_xlfn.SWITCH(L634,2,_xlfn.XLOOKUP(C634,[1]ModifierDes!$B:$B,[1]ModifierDes!$C:$C),3,_xlfn.XLOOKUP(C634,[1]StuntDes!$B:$B,[1]StuntDes!$C:$C)),"")</f>
        <v/>
      </c>
      <c r="L634">
        <f t="shared" si="32"/>
        <v>1</v>
      </c>
      <c r="M634" s="10" t="str">
        <f>IFERROR(_xlfn.XLOOKUP(C634,[1]StuntDes!$B:$B,[1]StuntDes!$A:$A),"")</f>
        <v/>
      </c>
      <c r="N634" s="10" t="str">
        <f>IFERROR(_xlfn.XLOOKUP(C634,[1]ModifierDes!$B:$B,[1]ModifierDes!$A:$A),"")</f>
        <v/>
      </c>
      <c r="O634" s="10">
        <f>IFERROR(_xlfn.XLOOKUP(C634,[1]AttributeName!$C:$C,[1]AttributeName!$B:$B),"")</f>
        <v>10315</v>
      </c>
      <c r="P634" s="10"/>
      <c r="Q634">
        <v>0.08</v>
      </c>
      <c r="R634">
        <v>0.1</v>
      </c>
      <c r="S634" cm="1">
        <f t="array" ref="S634">IFERROR(_xlfn.SWITCH(L634,1,_xlfn.XLOOKUP(O634,[1]AttributeName!$B:$B,[1]AttributeName!$D:$D),2,_xlfn.XLOOKUP(C634,#REF!,#REF!),3,_xlfn.XLOOKUP(C634,#REF!,#REF!)),0)</f>
        <v>2</v>
      </c>
      <c r="T634" cm="1">
        <f t="array" ref="T634">IFERROR(_xlfn.SWITCH(L634,1,_xlfn.XLOOKUP(O634,[1]AttributeName!$B:$B,[1]AttributeName!$E:$E),2,_xlfn.XLOOKUP(C634,#REF!,#REF!),3,_xlfn.XLOOKUP(C634,#REF!,#REF!)),0)</f>
        <v>2</v>
      </c>
    </row>
    <row r="635" customFormat="1" spans="1:20">
      <c r="A635">
        <f t="shared" si="33"/>
        <v>255</v>
      </c>
      <c r="B635">
        <v>6</v>
      </c>
      <c r="C635" t="s">
        <v>82</v>
      </c>
      <c r="D635" t="s">
        <v>25</v>
      </c>
      <c r="E635" t="s">
        <v>392</v>
      </c>
      <c r="F635"/>
      <c r="G635">
        <v>2</v>
      </c>
      <c r="H635">
        <v>500</v>
      </c>
      <c r="J635" cm="1">
        <f t="array" ref="J635">_xlfn.SWITCH(B635,1,75,2,61,3,49,4,37,5,25,6,13,7,4,8,1)</f>
        <v>13</v>
      </c>
      <c r="K635" t="str" cm="1">
        <f t="array" ref="K635">IFERROR(_xlfn.SWITCH(L635,2,_xlfn.XLOOKUP(C635,[1]ModifierDes!$B:$B,[1]ModifierDes!$C:$C),3,_xlfn.XLOOKUP(C635,[1]StuntDes!$B:$B,[1]StuntDes!$C:$C)),"")</f>
        <v/>
      </c>
      <c r="L635">
        <f t="shared" si="32"/>
        <v>1</v>
      </c>
      <c r="M635" s="10" t="str">
        <f>IFERROR(_xlfn.XLOOKUP(C635,[1]StuntDes!$B:$B,[1]StuntDes!$A:$A),"")</f>
        <v/>
      </c>
      <c r="N635" s="10" t="str">
        <f>IFERROR(_xlfn.XLOOKUP(C635,[1]ModifierDes!$B:$B,[1]ModifierDes!$A:$A),"")</f>
        <v/>
      </c>
      <c r="O635" s="10">
        <f>IFERROR(_xlfn.XLOOKUP(C635,[1]AttributeName!$C:$C,[1]AttributeName!$B:$B),"")</f>
        <v>10315</v>
      </c>
      <c r="P635" s="10"/>
      <c r="Q635">
        <v>0.05</v>
      </c>
      <c r="R635">
        <v>0.07</v>
      </c>
      <c r="S635" cm="1">
        <f t="array" ref="S635">IFERROR(_xlfn.SWITCH(L635,1,_xlfn.XLOOKUP(O635,[1]AttributeName!$B:$B,[1]AttributeName!$D:$D),2,_xlfn.XLOOKUP(C635,#REF!,#REF!),3,_xlfn.XLOOKUP(C635,#REF!,#REF!)),0)</f>
        <v>2</v>
      </c>
      <c r="T635" cm="1">
        <f t="array" ref="T635">IFERROR(_xlfn.SWITCH(L635,1,_xlfn.XLOOKUP(O635,[1]AttributeName!$B:$B,[1]AttributeName!$E:$E),2,_xlfn.XLOOKUP(C635,#REF!,#REF!),3,_xlfn.XLOOKUP(C635,#REF!,#REF!)),0)</f>
        <v>2</v>
      </c>
    </row>
    <row r="636" customFormat="1" spans="1:20">
      <c r="A636">
        <f t="shared" si="33"/>
        <v>255</v>
      </c>
      <c r="B636">
        <v>7</v>
      </c>
      <c r="C636" t="s">
        <v>82</v>
      </c>
      <c r="D636" t="s">
        <v>25</v>
      </c>
      <c r="E636" t="s">
        <v>392</v>
      </c>
      <c r="F636"/>
      <c r="G636">
        <v>2</v>
      </c>
      <c r="H636">
        <v>500</v>
      </c>
      <c r="J636" cm="1">
        <f t="array" ref="J636">_xlfn.SWITCH(B636,1,75,2,61,3,49,4,37,5,25,6,13,7,4,8,1)</f>
        <v>4</v>
      </c>
      <c r="K636" t="str" cm="1">
        <f t="array" ref="K636">IFERROR(_xlfn.SWITCH(L636,2,_xlfn.XLOOKUP(C636,[1]ModifierDes!$B:$B,[1]ModifierDes!$C:$C),3,_xlfn.XLOOKUP(C636,[1]StuntDes!$B:$B,[1]StuntDes!$C:$C)),"")</f>
        <v/>
      </c>
      <c r="L636">
        <f t="shared" si="32"/>
        <v>1</v>
      </c>
      <c r="M636" s="10" t="str">
        <f>IFERROR(_xlfn.XLOOKUP(C636,[1]StuntDes!$B:$B,[1]StuntDes!$A:$A),"")</f>
        <v/>
      </c>
      <c r="N636" s="10" t="str">
        <f>IFERROR(_xlfn.XLOOKUP(C636,[1]ModifierDes!$B:$B,[1]ModifierDes!$A:$A),"")</f>
        <v/>
      </c>
      <c r="O636" s="10">
        <f>IFERROR(_xlfn.XLOOKUP(C636,[1]AttributeName!$C:$C,[1]AttributeName!$B:$B),"")</f>
        <v>10315</v>
      </c>
      <c r="P636" s="10"/>
      <c r="Q636">
        <v>0.02</v>
      </c>
      <c r="R636">
        <v>0.04</v>
      </c>
      <c r="S636" cm="1">
        <f t="array" ref="S636">IFERROR(_xlfn.SWITCH(L636,1,_xlfn.XLOOKUP(O636,[1]AttributeName!$B:$B,[1]AttributeName!$D:$D),2,_xlfn.XLOOKUP(C636,#REF!,#REF!),3,_xlfn.XLOOKUP(C636,#REF!,#REF!)),0)</f>
        <v>2</v>
      </c>
      <c r="T636" cm="1">
        <f t="array" ref="T636">IFERROR(_xlfn.SWITCH(L636,1,_xlfn.XLOOKUP(O636,[1]AttributeName!$B:$B,[1]AttributeName!$E:$E),2,_xlfn.XLOOKUP(C636,#REF!,#REF!),3,_xlfn.XLOOKUP(C636,#REF!,#REF!)),0)</f>
        <v>2</v>
      </c>
    </row>
    <row r="637" customFormat="1" spans="1:20">
      <c r="A637">
        <f t="shared" si="33"/>
        <v>255</v>
      </c>
      <c r="B637">
        <v>8</v>
      </c>
      <c r="C637" t="s">
        <v>82</v>
      </c>
      <c r="D637" t="s">
        <v>25</v>
      </c>
      <c r="E637" t="s">
        <v>392</v>
      </c>
      <c r="F637"/>
      <c r="G637">
        <v>2</v>
      </c>
      <c r="H637">
        <v>500</v>
      </c>
      <c r="J637" cm="1">
        <f t="array" ref="J637">_xlfn.SWITCH(B637,1,75,2,61,3,49,4,37,5,25,6,13,7,4,8,1)</f>
        <v>1</v>
      </c>
      <c r="K637" t="str" cm="1">
        <f t="array" ref="K637">IFERROR(_xlfn.SWITCH(L637,2,_xlfn.XLOOKUP(C637,[1]ModifierDes!$B:$B,[1]ModifierDes!$C:$C),3,_xlfn.XLOOKUP(C637,[1]StuntDes!$B:$B,[1]StuntDes!$C:$C)),"")</f>
        <v/>
      </c>
      <c r="L637">
        <f t="shared" si="32"/>
        <v>1</v>
      </c>
      <c r="M637" s="10" t="str">
        <f>IFERROR(_xlfn.XLOOKUP(C637,[1]StuntDes!$B:$B,[1]StuntDes!$A:$A),"")</f>
        <v/>
      </c>
      <c r="N637" s="10" t="str">
        <f>IFERROR(_xlfn.XLOOKUP(C637,[1]ModifierDes!$B:$B,[1]ModifierDes!$A:$A),"")</f>
        <v/>
      </c>
      <c r="O637" s="10">
        <f>IFERROR(_xlfn.XLOOKUP(C637,[1]AttributeName!$C:$C,[1]AttributeName!$B:$B),"")</f>
        <v>10315</v>
      </c>
      <c r="P637" s="10"/>
      <c r="Q637">
        <v>0.01</v>
      </c>
      <c r="R637">
        <v>0.01</v>
      </c>
      <c r="S637" cm="1">
        <f t="array" ref="S637">IFERROR(_xlfn.SWITCH(L637,1,_xlfn.XLOOKUP(O637,[1]AttributeName!$B:$B,[1]AttributeName!$D:$D),2,_xlfn.XLOOKUP(C637,#REF!,#REF!),3,_xlfn.XLOOKUP(C637,#REF!,#REF!)),0)</f>
        <v>2</v>
      </c>
      <c r="T637" cm="1">
        <f t="array" ref="T637">IFERROR(_xlfn.SWITCH(L637,1,_xlfn.XLOOKUP(O637,[1]AttributeName!$B:$B,[1]AttributeName!$E:$E),2,_xlfn.XLOOKUP(C637,#REF!,#REF!),3,_xlfn.XLOOKUP(C637,#REF!,#REF!)),0)</f>
        <v>2</v>
      </c>
    </row>
    <row r="638" customFormat="1" spans="1:20">
      <c r="A638">
        <v>256</v>
      </c>
      <c r="B638">
        <v>1</v>
      </c>
      <c r="C638" t="s">
        <v>400</v>
      </c>
      <c r="D638" t="s">
        <v>25</v>
      </c>
      <c r="E638" t="s">
        <v>392</v>
      </c>
      <c r="F638"/>
      <c r="G638">
        <v>2</v>
      </c>
      <c r="H638">
        <v>50</v>
      </c>
      <c r="I638">
        <v>3</v>
      </c>
      <c r="J638" cm="1">
        <f t="array" ref="J638">_xlfn.SWITCH(B638,1,75,2,61,3,49,4,37,5,25,6,13,7,4,8,1)</f>
        <v>75</v>
      </c>
      <c r="K638" t="str" cm="1">
        <f t="array" ref="K638">IFERROR(_xlfn.SWITCH(L638,2,_xlfn.XLOOKUP(C638,[1]ModifierDes!$B:$B,[1]ModifierDes!$C:$C),3,_xlfn.XLOOKUP(C638,[1]StuntDes!$B:$B,[1]StuntDes!$C:$C)),"")</f>
        <v>攻击暴击伤害增加{0}</v>
      </c>
      <c r="L638">
        <f t="shared" si="32"/>
        <v>2</v>
      </c>
      <c r="M638" s="10" t="str">
        <f>IFERROR(_xlfn.XLOOKUP(C638,[1]StuntDes!$B:$B,[1]StuntDes!$A:$A),"")</f>
        <v/>
      </c>
      <c r="N638" s="10">
        <f>IFERROR(_xlfn.XLOOKUP(C638,[1]ModifierDes!$B:$B,[1]ModifierDes!$A:$A),"")</f>
        <v>10060</v>
      </c>
      <c r="O638" s="10" t="str">
        <f>IFERROR(_xlfn.XLOOKUP(C638,[1]AttributeName!$C:$C,[1]AttributeName!$B:$B),"")</f>
        <v/>
      </c>
      <c r="P638" s="10"/>
      <c r="Q638">
        <v>0.6</v>
      </c>
      <c r="R638">
        <v>0.8</v>
      </c>
      <c r="S638" cm="1">
        <f t="array" ref="S638">IFERROR(_xlfn.SWITCH(L638,1,_xlfn.XLOOKUP(O638,[1]AttributeName!$B:$B,[1]AttributeName!$D:$D),2,_xlfn.XLOOKUP(C638,#REF!,#REF!),3,_xlfn.XLOOKUP(C638,#REF!,#REF!)),0)</f>
        <v>0</v>
      </c>
      <c r="T638" cm="1">
        <f t="array" ref="T638">IFERROR(_xlfn.SWITCH(L638,1,_xlfn.XLOOKUP(O638,[1]AttributeName!$B:$B,[1]AttributeName!$E:$E),2,_xlfn.XLOOKUP(C638,#REF!,#REF!),3,_xlfn.XLOOKUP(C638,#REF!,#REF!)),0)</f>
        <v>0</v>
      </c>
    </row>
    <row r="639" customFormat="1" spans="1:20">
      <c r="A639">
        <v>256</v>
      </c>
      <c r="B639">
        <v>2</v>
      </c>
      <c r="C639" t="s">
        <v>400</v>
      </c>
      <c r="D639" t="s">
        <v>25</v>
      </c>
      <c r="E639" t="s">
        <v>392</v>
      </c>
      <c r="F639"/>
      <c r="G639">
        <v>2</v>
      </c>
      <c r="H639">
        <v>100</v>
      </c>
      <c r="I639">
        <v>3</v>
      </c>
      <c r="J639" cm="1">
        <f t="array" ref="J639">_xlfn.SWITCH(B639,1,75,2,61,3,49,4,37,5,25,6,13,7,4,8,1)</f>
        <v>61</v>
      </c>
      <c r="K639" t="str" cm="1">
        <f t="array" ref="K639">IFERROR(_xlfn.SWITCH(L639,2,_xlfn.XLOOKUP(C639,[1]ModifierDes!$B:$B,[1]ModifierDes!$C:$C),3,_xlfn.XLOOKUP(C639,[1]StuntDes!$B:$B,[1]StuntDes!$C:$C)),"")</f>
        <v>攻击暴击伤害增加{0}</v>
      </c>
      <c r="L639">
        <f t="shared" si="32"/>
        <v>2</v>
      </c>
      <c r="M639" s="10" t="str">
        <f>IFERROR(_xlfn.XLOOKUP(C639,[1]StuntDes!$B:$B,[1]StuntDes!$A:$A),"")</f>
        <v/>
      </c>
      <c r="N639" s="10">
        <f>IFERROR(_xlfn.XLOOKUP(C639,[1]ModifierDes!$B:$B,[1]ModifierDes!$A:$A),"")</f>
        <v>10060</v>
      </c>
      <c r="O639" s="10" t="str">
        <f>IFERROR(_xlfn.XLOOKUP(C639,[1]AttributeName!$C:$C,[1]AttributeName!$B:$B),"")</f>
        <v/>
      </c>
      <c r="P639" s="10"/>
      <c r="Q639">
        <v>0.52</v>
      </c>
      <c r="R639">
        <v>0.58</v>
      </c>
      <c r="S639" cm="1">
        <f t="array" ref="S639">IFERROR(_xlfn.SWITCH(L639,1,_xlfn.XLOOKUP(O639,[1]AttributeName!$B:$B,[1]AttributeName!$D:$D),2,_xlfn.XLOOKUP(C639,#REF!,#REF!),3,_xlfn.XLOOKUP(C639,#REF!,#REF!)),0)</f>
        <v>0</v>
      </c>
      <c r="T639" cm="1">
        <f t="array" ref="T639">IFERROR(_xlfn.SWITCH(L639,1,_xlfn.XLOOKUP(O639,[1]AttributeName!$B:$B,[1]AttributeName!$E:$E),2,_xlfn.XLOOKUP(C639,#REF!,#REF!),3,_xlfn.XLOOKUP(C639,#REF!,#REF!)),0)</f>
        <v>0</v>
      </c>
    </row>
    <row r="640" customFormat="1" spans="1:20">
      <c r="A640">
        <v>256</v>
      </c>
      <c r="B640">
        <v>3</v>
      </c>
      <c r="C640" t="s">
        <v>400</v>
      </c>
      <c r="D640" t="s">
        <v>25</v>
      </c>
      <c r="E640" t="s">
        <v>392</v>
      </c>
      <c r="F640"/>
      <c r="G640">
        <v>2</v>
      </c>
      <c r="H640">
        <v>250</v>
      </c>
      <c r="I640">
        <v>3</v>
      </c>
      <c r="J640" cm="1">
        <f t="array" ref="J640">_xlfn.SWITCH(B640,1,75,2,61,3,49,4,37,5,25,6,13,7,4,8,1)</f>
        <v>49</v>
      </c>
      <c r="K640" t="str" cm="1">
        <f t="array" ref="K640">IFERROR(_xlfn.SWITCH(L640,2,_xlfn.XLOOKUP(C640,[1]ModifierDes!$B:$B,[1]ModifierDes!$C:$C),3,_xlfn.XLOOKUP(C640,[1]StuntDes!$B:$B,[1]StuntDes!$C:$C)),"")</f>
        <v>攻击暴击伤害增加{0}</v>
      </c>
      <c r="L640">
        <f t="shared" si="32"/>
        <v>2</v>
      </c>
      <c r="M640" s="10" t="str">
        <f>IFERROR(_xlfn.XLOOKUP(C640,[1]StuntDes!$B:$B,[1]StuntDes!$A:$A),"")</f>
        <v/>
      </c>
      <c r="N640" s="10">
        <f>IFERROR(_xlfn.XLOOKUP(C640,[1]ModifierDes!$B:$B,[1]ModifierDes!$A:$A),"")</f>
        <v>10060</v>
      </c>
      <c r="O640" s="10" t="str">
        <f>IFERROR(_xlfn.XLOOKUP(C640,[1]AttributeName!$C:$C,[1]AttributeName!$B:$B),"")</f>
        <v/>
      </c>
      <c r="P640" s="10"/>
      <c r="Q640">
        <v>0.44</v>
      </c>
      <c r="R640">
        <v>0.5</v>
      </c>
      <c r="S640" cm="1">
        <f t="array" ref="S640">IFERROR(_xlfn.SWITCH(L640,1,_xlfn.XLOOKUP(O640,[1]AttributeName!$B:$B,[1]AttributeName!$D:$D),2,_xlfn.XLOOKUP(C640,#REF!,#REF!),3,_xlfn.XLOOKUP(C640,#REF!,#REF!)),0)</f>
        <v>0</v>
      </c>
      <c r="T640" cm="1">
        <f t="array" ref="T640">IFERROR(_xlfn.SWITCH(L640,1,_xlfn.XLOOKUP(O640,[1]AttributeName!$B:$B,[1]AttributeName!$E:$E),2,_xlfn.XLOOKUP(C640,#REF!,#REF!),3,_xlfn.XLOOKUP(C640,#REF!,#REF!)),0)</f>
        <v>0</v>
      </c>
    </row>
    <row r="641" customFormat="1" spans="1:20">
      <c r="A641">
        <v>256</v>
      </c>
      <c r="B641">
        <v>4</v>
      </c>
      <c r="C641" t="s">
        <v>400</v>
      </c>
      <c r="D641" t="s">
        <v>25</v>
      </c>
      <c r="E641" t="s">
        <v>392</v>
      </c>
      <c r="F641"/>
      <c r="G641">
        <v>2</v>
      </c>
      <c r="H641">
        <v>500</v>
      </c>
      <c r="I641">
        <v>3</v>
      </c>
      <c r="J641" cm="1">
        <f t="array" ref="J641">_xlfn.SWITCH(B641,1,75,2,61,3,49,4,37,5,25,6,13,7,4,8,1)</f>
        <v>37</v>
      </c>
      <c r="K641" t="str" cm="1">
        <f t="array" ref="K641">IFERROR(_xlfn.SWITCH(L641,2,_xlfn.XLOOKUP(C641,[1]ModifierDes!$B:$B,[1]ModifierDes!$C:$C),3,_xlfn.XLOOKUP(C641,[1]StuntDes!$B:$B,[1]StuntDes!$C:$C)),"")</f>
        <v>攻击暴击伤害增加{0}</v>
      </c>
      <c r="L641">
        <f t="shared" si="32"/>
        <v>2</v>
      </c>
      <c r="M641" s="10" t="str">
        <f>IFERROR(_xlfn.XLOOKUP(C641,[1]StuntDes!$B:$B,[1]StuntDes!$A:$A),"")</f>
        <v/>
      </c>
      <c r="N641" s="10">
        <f>IFERROR(_xlfn.XLOOKUP(C641,[1]ModifierDes!$B:$B,[1]ModifierDes!$A:$A),"")</f>
        <v>10060</v>
      </c>
      <c r="O641" s="10" t="str">
        <f>IFERROR(_xlfn.XLOOKUP(C641,[1]AttributeName!$C:$C,[1]AttributeName!$B:$B),"")</f>
        <v/>
      </c>
      <c r="P641" s="10"/>
      <c r="Q641">
        <v>0.36</v>
      </c>
      <c r="R641">
        <v>0.42</v>
      </c>
      <c r="S641" cm="1">
        <f t="array" ref="S641">IFERROR(_xlfn.SWITCH(L641,1,_xlfn.XLOOKUP(O641,[1]AttributeName!$B:$B,[1]AttributeName!$D:$D),2,_xlfn.XLOOKUP(C641,#REF!,#REF!),3,_xlfn.XLOOKUP(C641,#REF!,#REF!)),0)</f>
        <v>0</v>
      </c>
      <c r="T641" cm="1">
        <f t="array" ref="T641">IFERROR(_xlfn.SWITCH(L641,1,_xlfn.XLOOKUP(O641,[1]AttributeName!$B:$B,[1]AttributeName!$E:$E),2,_xlfn.XLOOKUP(C641,#REF!,#REF!),3,_xlfn.XLOOKUP(C641,#REF!,#REF!)),0)</f>
        <v>0</v>
      </c>
    </row>
    <row r="642" customFormat="1" spans="1:20">
      <c r="A642">
        <v>256</v>
      </c>
      <c r="B642">
        <v>5</v>
      </c>
      <c r="C642" t="s">
        <v>400</v>
      </c>
      <c r="D642" t="s">
        <v>25</v>
      </c>
      <c r="E642" t="s">
        <v>392</v>
      </c>
      <c r="F642"/>
      <c r="G642">
        <v>2</v>
      </c>
      <c r="H642">
        <v>500</v>
      </c>
      <c r="I642">
        <v>3</v>
      </c>
      <c r="J642" cm="1">
        <f t="array" ref="J642">_xlfn.SWITCH(B642,1,75,2,61,3,49,4,37,5,25,6,13,7,4,8,1)</f>
        <v>25</v>
      </c>
      <c r="K642" t="str" cm="1">
        <f t="array" ref="K642">IFERROR(_xlfn.SWITCH(L642,2,_xlfn.XLOOKUP(C642,[1]ModifierDes!$B:$B,[1]ModifierDes!$C:$C),3,_xlfn.XLOOKUP(C642,[1]StuntDes!$B:$B,[1]StuntDes!$C:$C)),"")</f>
        <v>攻击暴击伤害增加{0}</v>
      </c>
      <c r="L642">
        <f t="shared" si="32"/>
        <v>2</v>
      </c>
      <c r="M642" s="10" t="str">
        <f>IFERROR(_xlfn.XLOOKUP(C642,[1]StuntDes!$B:$B,[1]StuntDes!$A:$A),"")</f>
        <v/>
      </c>
      <c r="N642" s="10">
        <f>IFERROR(_xlfn.XLOOKUP(C642,[1]ModifierDes!$B:$B,[1]ModifierDes!$A:$A),"")</f>
        <v>10060</v>
      </c>
      <c r="O642" s="10" t="str">
        <f>IFERROR(_xlfn.XLOOKUP(C642,[1]AttributeName!$C:$C,[1]AttributeName!$B:$B),"")</f>
        <v/>
      </c>
      <c r="P642" s="10"/>
      <c r="Q642">
        <v>0.28</v>
      </c>
      <c r="R642">
        <v>0.34</v>
      </c>
      <c r="S642" cm="1">
        <f t="array" ref="S642">IFERROR(_xlfn.SWITCH(L642,1,_xlfn.XLOOKUP(O642,[1]AttributeName!$B:$B,[1]AttributeName!$D:$D),2,_xlfn.XLOOKUP(C642,#REF!,#REF!),3,_xlfn.XLOOKUP(C642,#REF!,#REF!)),0)</f>
        <v>0</v>
      </c>
      <c r="T642" cm="1">
        <f t="array" ref="T642">IFERROR(_xlfn.SWITCH(L642,1,_xlfn.XLOOKUP(O642,[1]AttributeName!$B:$B,[1]AttributeName!$E:$E),2,_xlfn.XLOOKUP(C642,#REF!,#REF!),3,_xlfn.XLOOKUP(C642,#REF!,#REF!)),0)</f>
        <v>0</v>
      </c>
    </row>
    <row r="643" customFormat="1" spans="1:20">
      <c r="A643">
        <v>256</v>
      </c>
      <c r="B643">
        <v>6</v>
      </c>
      <c r="C643" t="s">
        <v>400</v>
      </c>
      <c r="D643" t="s">
        <v>25</v>
      </c>
      <c r="E643" t="s">
        <v>392</v>
      </c>
      <c r="F643"/>
      <c r="G643">
        <v>2</v>
      </c>
      <c r="H643">
        <v>500</v>
      </c>
      <c r="I643">
        <v>3</v>
      </c>
      <c r="J643" cm="1">
        <f t="array" ref="J643">_xlfn.SWITCH(B643,1,75,2,61,3,49,4,37,5,25,6,13,7,4,8,1)</f>
        <v>13</v>
      </c>
      <c r="K643" t="str" cm="1">
        <f t="array" ref="K643">IFERROR(_xlfn.SWITCH(L643,2,_xlfn.XLOOKUP(C643,[1]ModifierDes!$B:$B,[1]ModifierDes!$C:$C),3,_xlfn.XLOOKUP(C643,[1]StuntDes!$B:$B,[1]StuntDes!$C:$C)),"")</f>
        <v>攻击暴击伤害增加{0}</v>
      </c>
      <c r="L643">
        <f t="shared" si="32"/>
        <v>2</v>
      </c>
      <c r="M643" s="10" t="str">
        <f>IFERROR(_xlfn.XLOOKUP(C643,[1]StuntDes!$B:$B,[1]StuntDes!$A:$A),"")</f>
        <v/>
      </c>
      <c r="N643" s="10">
        <f>IFERROR(_xlfn.XLOOKUP(C643,[1]ModifierDes!$B:$B,[1]ModifierDes!$A:$A),"")</f>
        <v>10060</v>
      </c>
      <c r="O643" s="10" t="str">
        <f>IFERROR(_xlfn.XLOOKUP(C643,[1]AttributeName!$C:$C,[1]AttributeName!$B:$B),"")</f>
        <v/>
      </c>
      <c r="P643" s="10"/>
      <c r="Q643">
        <v>0.2</v>
      </c>
      <c r="R643">
        <v>0.26</v>
      </c>
      <c r="S643" cm="1">
        <f t="array" ref="S643">IFERROR(_xlfn.SWITCH(L643,1,_xlfn.XLOOKUP(O643,[1]AttributeName!$B:$B,[1]AttributeName!$D:$D),2,_xlfn.XLOOKUP(C643,#REF!,#REF!),3,_xlfn.XLOOKUP(C643,#REF!,#REF!)),0)</f>
        <v>0</v>
      </c>
      <c r="T643" cm="1">
        <f t="array" ref="T643">IFERROR(_xlfn.SWITCH(L643,1,_xlfn.XLOOKUP(O643,[1]AttributeName!$B:$B,[1]AttributeName!$E:$E),2,_xlfn.XLOOKUP(C643,#REF!,#REF!),3,_xlfn.XLOOKUP(C643,#REF!,#REF!)),0)</f>
        <v>0</v>
      </c>
    </row>
    <row r="644" customFormat="1" spans="1:20">
      <c r="A644">
        <v>256</v>
      </c>
      <c r="B644">
        <v>7</v>
      </c>
      <c r="C644" t="s">
        <v>400</v>
      </c>
      <c r="D644" t="s">
        <v>25</v>
      </c>
      <c r="E644" t="s">
        <v>392</v>
      </c>
      <c r="F644"/>
      <c r="G644">
        <v>2</v>
      </c>
      <c r="H644">
        <v>500</v>
      </c>
      <c r="I644">
        <v>3</v>
      </c>
      <c r="J644" cm="1">
        <f t="array" ref="J644">_xlfn.SWITCH(B644,1,75,2,61,3,49,4,37,5,25,6,13,7,4,8,1)</f>
        <v>4</v>
      </c>
      <c r="K644" t="str" cm="1">
        <f t="array" ref="K644">IFERROR(_xlfn.SWITCH(L644,2,_xlfn.XLOOKUP(C644,[1]ModifierDes!$B:$B,[1]ModifierDes!$C:$C),3,_xlfn.XLOOKUP(C644,[1]StuntDes!$B:$B,[1]StuntDes!$C:$C)),"")</f>
        <v>攻击暴击伤害增加{0}</v>
      </c>
      <c r="L644">
        <f t="shared" ref="L644:L707" si="34">IF(M644="",IF(N644="",1,2),3)</f>
        <v>2</v>
      </c>
      <c r="M644" s="10" t="str">
        <f>IFERROR(_xlfn.XLOOKUP(C644,[1]StuntDes!$B:$B,[1]StuntDes!$A:$A),"")</f>
        <v/>
      </c>
      <c r="N644" s="10">
        <f>IFERROR(_xlfn.XLOOKUP(C644,[1]ModifierDes!$B:$B,[1]ModifierDes!$A:$A),"")</f>
        <v>10060</v>
      </c>
      <c r="O644" s="10" t="str">
        <f>IFERROR(_xlfn.XLOOKUP(C644,[1]AttributeName!$C:$C,[1]AttributeName!$B:$B),"")</f>
        <v/>
      </c>
      <c r="P644" s="10"/>
      <c r="Q644">
        <v>0.12</v>
      </c>
      <c r="R644">
        <v>0.18</v>
      </c>
      <c r="S644" cm="1">
        <f t="array" ref="S644">IFERROR(_xlfn.SWITCH(L644,1,_xlfn.XLOOKUP(O644,[1]AttributeName!$B:$B,[1]AttributeName!$D:$D),2,_xlfn.XLOOKUP(C644,#REF!,#REF!),3,_xlfn.XLOOKUP(C644,#REF!,#REF!)),0)</f>
        <v>0</v>
      </c>
      <c r="T644" cm="1">
        <f t="array" ref="T644">IFERROR(_xlfn.SWITCH(L644,1,_xlfn.XLOOKUP(O644,[1]AttributeName!$B:$B,[1]AttributeName!$E:$E),2,_xlfn.XLOOKUP(C644,#REF!,#REF!),3,_xlfn.XLOOKUP(C644,#REF!,#REF!)),0)</f>
        <v>0</v>
      </c>
    </row>
    <row r="645" customFormat="1" spans="1:20">
      <c r="A645">
        <v>256</v>
      </c>
      <c r="B645">
        <v>8</v>
      </c>
      <c r="C645" t="s">
        <v>400</v>
      </c>
      <c r="D645" t="s">
        <v>25</v>
      </c>
      <c r="E645" t="s">
        <v>392</v>
      </c>
      <c r="F645"/>
      <c r="G645">
        <v>2</v>
      </c>
      <c r="H645">
        <v>500</v>
      </c>
      <c r="I645">
        <v>3</v>
      </c>
      <c r="J645" cm="1">
        <f t="array" ref="J645">_xlfn.SWITCH(B645,1,75,2,61,3,49,4,37,5,25,6,13,7,4,8,1)</f>
        <v>1</v>
      </c>
      <c r="K645" t="str" cm="1">
        <f t="array" ref="K645">IFERROR(_xlfn.SWITCH(L645,2,_xlfn.XLOOKUP(C645,[1]ModifierDes!$B:$B,[1]ModifierDes!$C:$C),3,_xlfn.XLOOKUP(C645,[1]StuntDes!$B:$B,[1]StuntDes!$C:$C)),"")</f>
        <v>攻击暴击伤害增加{0}</v>
      </c>
      <c r="L645">
        <f t="shared" si="34"/>
        <v>2</v>
      </c>
      <c r="M645" s="10" t="str">
        <f>IFERROR(_xlfn.XLOOKUP(C645,[1]StuntDes!$B:$B,[1]StuntDes!$A:$A),"")</f>
        <v/>
      </c>
      <c r="N645" s="10">
        <f>IFERROR(_xlfn.XLOOKUP(C645,[1]ModifierDes!$B:$B,[1]ModifierDes!$A:$A),"")</f>
        <v>10060</v>
      </c>
      <c r="O645" s="10" t="str">
        <f>IFERROR(_xlfn.XLOOKUP(C645,[1]AttributeName!$C:$C,[1]AttributeName!$B:$B),"")</f>
        <v/>
      </c>
      <c r="P645" s="10"/>
      <c r="Q645">
        <v>0.04</v>
      </c>
      <c r="R645">
        <v>0.1</v>
      </c>
      <c r="S645" cm="1">
        <f t="array" ref="S645">IFERROR(_xlfn.SWITCH(L645,1,_xlfn.XLOOKUP(O645,[1]AttributeName!$B:$B,[1]AttributeName!$D:$D),2,_xlfn.XLOOKUP(C645,#REF!,#REF!),3,_xlfn.XLOOKUP(C645,#REF!,#REF!)),0)</f>
        <v>0</v>
      </c>
      <c r="T645" cm="1">
        <f t="array" ref="T645">IFERROR(_xlfn.SWITCH(L645,1,_xlfn.XLOOKUP(O645,[1]AttributeName!$B:$B,[1]AttributeName!$E:$E),2,_xlfn.XLOOKUP(C645,#REF!,#REF!),3,_xlfn.XLOOKUP(C645,#REF!,#REF!)),0)</f>
        <v>0</v>
      </c>
    </row>
    <row r="646" customFormat="1" spans="1:20">
      <c r="A646">
        <f t="shared" ref="A646:A709" si="35">A638+1</f>
        <v>257</v>
      </c>
      <c r="B646">
        <v>1</v>
      </c>
      <c r="C646" t="s">
        <v>426</v>
      </c>
      <c r="D646" t="s">
        <v>25</v>
      </c>
      <c r="E646" t="s">
        <v>392</v>
      </c>
      <c r="F646"/>
      <c r="G646">
        <v>2</v>
      </c>
      <c r="H646">
        <v>50</v>
      </c>
      <c r="I646">
        <v>3</v>
      </c>
      <c r="J646" cm="1">
        <f t="array" ref="J646">_xlfn.SWITCH(B646,1,75,2,61,3,49,4,37,5,25,6,13,7,4,8,1)</f>
        <v>75</v>
      </c>
      <c r="K646" t="str" cm="1">
        <f t="array" ref="K646">IFERROR(_xlfn.SWITCH(L646,2,_xlfn.XLOOKUP(C646,[1]ModifierDes!$B:$B,[1]ModifierDes!$C:$C),3,_xlfn.XLOOKUP(C646,[1]StuntDes!$B:$B,[1]StuntDes!$C:$C)),"")</f>
        <v>法术暴击伤害增加{0}</v>
      </c>
      <c r="L646">
        <f t="shared" si="34"/>
        <v>2</v>
      </c>
      <c r="M646" s="10" t="str">
        <f>IFERROR(_xlfn.XLOOKUP(C646,[1]StuntDes!$B:$B,[1]StuntDes!$A:$A),"")</f>
        <v/>
      </c>
      <c r="N646" s="10">
        <f>IFERROR(_xlfn.XLOOKUP(C646,[1]ModifierDes!$B:$B,[1]ModifierDes!$A:$A),"")</f>
        <v>10061</v>
      </c>
      <c r="O646" s="10" t="str">
        <f>IFERROR(_xlfn.XLOOKUP(C646,[1]AttributeName!$C:$C,[1]AttributeName!$B:$B),"")</f>
        <v/>
      </c>
      <c r="P646" s="10"/>
      <c r="Q646">
        <v>0.6</v>
      </c>
      <c r="R646">
        <v>0.8</v>
      </c>
      <c r="S646" cm="1">
        <f t="array" ref="S646">IFERROR(_xlfn.SWITCH(L646,1,_xlfn.XLOOKUP(O646,[1]AttributeName!$B:$B,[1]AttributeName!$D:$D),2,_xlfn.XLOOKUP(C646,#REF!,#REF!),3,_xlfn.XLOOKUP(C646,#REF!,#REF!)),0)</f>
        <v>0</v>
      </c>
      <c r="T646" cm="1">
        <f t="array" ref="T646">IFERROR(_xlfn.SWITCH(L646,1,_xlfn.XLOOKUP(O646,[1]AttributeName!$B:$B,[1]AttributeName!$E:$E),2,_xlfn.XLOOKUP(C646,#REF!,#REF!),3,_xlfn.XLOOKUP(C646,#REF!,#REF!)),0)</f>
        <v>0</v>
      </c>
    </row>
    <row r="647" customFormat="1" spans="1:20">
      <c r="A647">
        <f t="shared" si="35"/>
        <v>257</v>
      </c>
      <c r="B647">
        <v>2</v>
      </c>
      <c r="C647" t="s">
        <v>426</v>
      </c>
      <c r="D647" t="s">
        <v>25</v>
      </c>
      <c r="E647" t="s">
        <v>392</v>
      </c>
      <c r="F647"/>
      <c r="G647">
        <v>2</v>
      </c>
      <c r="H647">
        <v>100</v>
      </c>
      <c r="I647">
        <v>3</v>
      </c>
      <c r="J647" cm="1">
        <f t="array" ref="J647">_xlfn.SWITCH(B647,1,75,2,61,3,49,4,37,5,25,6,13,7,4,8,1)</f>
        <v>61</v>
      </c>
      <c r="K647" t="str" cm="1">
        <f t="array" ref="K647">IFERROR(_xlfn.SWITCH(L647,2,_xlfn.XLOOKUP(C647,[1]ModifierDes!$B:$B,[1]ModifierDes!$C:$C),3,_xlfn.XLOOKUP(C647,[1]StuntDes!$B:$B,[1]StuntDes!$C:$C)),"")</f>
        <v>法术暴击伤害增加{0}</v>
      </c>
      <c r="L647">
        <f t="shared" si="34"/>
        <v>2</v>
      </c>
      <c r="M647" s="10" t="str">
        <f>IFERROR(_xlfn.XLOOKUP(C647,[1]StuntDes!$B:$B,[1]StuntDes!$A:$A),"")</f>
        <v/>
      </c>
      <c r="N647" s="10">
        <f>IFERROR(_xlfn.XLOOKUP(C647,[1]ModifierDes!$B:$B,[1]ModifierDes!$A:$A),"")</f>
        <v>10061</v>
      </c>
      <c r="O647" s="10" t="str">
        <f>IFERROR(_xlfn.XLOOKUP(C647,[1]AttributeName!$C:$C,[1]AttributeName!$B:$B),"")</f>
        <v/>
      </c>
      <c r="P647" s="10"/>
      <c r="Q647">
        <v>0.52</v>
      </c>
      <c r="R647">
        <v>0.58</v>
      </c>
      <c r="S647" cm="1">
        <f t="array" ref="S647">IFERROR(_xlfn.SWITCH(L647,1,_xlfn.XLOOKUP(O647,[1]AttributeName!$B:$B,[1]AttributeName!$D:$D),2,_xlfn.XLOOKUP(C647,#REF!,#REF!),3,_xlfn.XLOOKUP(C647,#REF!,#REF!)),0)</f>
        <v>0</v>
      </c>
      <c r="T647" cm="1">
        <f t="array" ref="T647">IFERROR(_xlfn.SWITCH(L647,1,_xlfn.XLOOKUP(O647,[1]AttributeName!$B:$B,[1]AttributeName!$E:$E),2,_xlfn.XLOOKUP(C647,#REF!,#REF!),3,_xlfn.XLOOKUP(C647,#REF!,#REF!)),0)</f>
        <v>0</v>
      </c>
    </row>
    <row r="648" customFormat="1" spans="1:20">
      <c r="A648">
        <f t="shared" si="35"/>
        <v>257</v>
      </c>
      <c r="B648">
        <v>3</v>
      </c>
      <c r="C648" t="s">
        <v>426</v>
      </c>
      <c r="D648" t="s">
        <v>25</v>
      </c>
      <c r="E648" t="s">
        <v>392</v>
      </c>
      <c r="F648"/>
      <c r="G648">
        <v>2</v>
      </c>
      <c r="H648">
        <v>250</v>
      </c>
      <c r="I648">
        <v>3</v>
      </c>
      <c r="J648" cm="1">
        <f t="array" ref="J648">_xlfn.SWITCH(B648,1,75,2,61,3,49,4,37,5,25,6,13,7,4,8,1)</f>
        <v>49</v>
      </c>
      <c r="K648" t="str" cm="1">
        <f t="array" ref="K648">IFERROR(_xlfn.SWITCH(L648,2,_xlfn.XLOOKUP(C648,[1]ModifierDes!$B:$B,[1]ModifierDes!$C:$C),3,_xlfn.XLOOKUP(C648,[1]StuntDes!$B:$B,[1]StuntDes!$C:$C)),"")</f>
        <v>法术暴击伤害增加{0}</v>
      </c>
      <c r="L648">
        <f t="shared" si="34"/>
        <v>2</v>
      </c>
      <c r="M648" s="10" t="str">
        <f>IFERROR(_xlfn.XLOOKUP(C648,[1]StuntDes!$B:$B,[1]StuntDes!$A:$A),"")</f>
        <v/>
      </c>
      <c r="N648" s="10">
        <f>IFERROR(_xlfn.XLOOKUP(C648,[1]ModifierDes!$B:$B,[1]ModifierDes!$A:$A),"")</f>
        <v>10061</v>
      </c>
      <c r="O648" s="10" t="str">
        <f>IFERROR(_xlfn.XLOOKUP(C648,[1]AttributeName!$C:$C,[1]AttributeName!$B:$B),"")</f>
        <v/>
      </c>
      <c r="P648" s="10"/>
      <c r="Q648">
        <v>0.44</v>
      </c>
      <c r="R648">
        <v>0.5</v>
      </c>
      <c r="S648" cm="1">
        <f t="array" ref="S648">IFERROR(_xlfn.SWITCH(L648,1,_xlfn.XLOOKUP(O648,[1]AttributeName!$B:$B,[1]AttributeName!$D:$D),2,_xlfn.XLOOKUP(C648,#REF!,#REF!),3,_xlfn.XLOOKUP(C648,#REF!,#REF!)),0)</f>
        <v>0</v>
      </c>
      <c r="T648" cm="1">
        <f t="array" ref="T648">IFERROR(_xlfn.SWITCH(L648,1,_xlfn.XLOOKUP(O648,[1]AttributeName!$B:$B,[1]AttributeName!$E:$E),2,_xlfn.XLOOKUP(C648,#REF!,#REF!),3,_xlfn.XLOOKUP(C648,#REF!,#REF!)),0)</f>
        <v>0</v>
      </c>
    </row>
    <row r="649" customFormat="1" spans="1:20">
      <c r="A649">
        <f t="shared" si="35"/>
        <v>257</v>
      </c>
      <c r="B649">
        <v>4</v>
      </c>
      <c r="C649" t="s">
        <v>426</v>
      </c>
      <c r="D649" t="s">
        <v>25</v>
      </c>
      <c r="E649" t="s">
        <v>392</v>
      </c>
      <c r="F649"/>
      <c r="G649">
        <v>2</v>
      </c>
      <c r="H649">
        <v>500</v>
      </c>
      <c r="I649">
        <v>3</v>
      </c>
      <c r="J649" cm="1">
        <f t="array" ref="J649">_xlfn.SWITCH(B649,1,75,2,61,3,49,4,37,5,25,6,13,7,4,8,1)</f>
        <v>37</v>
      </c>
      <c r="K649" t="str" cm="1">
        <f t="array" ref="K649">IFERROR(_xlfn.SWITCH(L649,2,_xlfn.XLOOKUP(C649,[1]ModifierDes!$B:$B,[1]ModifierDes!$C:$C),3,_xlfn.XLOOKUP(C649,[1]StuntDes!$B:$B,[1]StuntDes!$C:$C)),"")</f>
        <v>法术暴击伤害增加{0}</v>
      </c>
      <c r="L649">
        <f t="shared" si="34"/>
        <v>2</v>
      </c>
      <c r="M649" s="10" t="str">
        <f>IFERROR(_xlfn.XLOOKUP(C649,[1]StuntDes!$B:$B,[1]StuntDes!$A:$A),"")</f>
        <v/>
      </c>
      <c r="N649" s="10">
        <f>IFERROR(_xlfn.XLOOKUP(C649,[1]ModifierDes!$B:$B,[1]ModifierDes!$A:$A),"")</f>
        <v>10061</v>
      </c>
      <c r="O649" s="10" t="str">
        <f>IFERROR(_xlfn.XLOOKUP(C649,[1]AttributeName!$C:$C,[1]AttributeName!$B:$B),"")</f>
        <v/>
      </c>
      <c r="P649" s="10"/>
      <c r="Q649">
        <v>0.36</v>
      </c>
      <c r="R649">
        <v>0.42</v>
      </c>
      <c r="S649" cm="1">
        <f t="array" ref="S649">IFERROR(_xlfn.SWITCH(L649,1,_xlfn.XLOOKUP(O649,[1]AttributeName!$B:$B,[1]AttributeName!$D:$D),2,_xlfn.XLOOKUP(C649,#REF!,#REF!),3,_xlfn.XLOOKUP(C649,#REF!,#REF!)),0)</f>
        <v>0</v>
      </c>
      <c r="T649" cm="1">
        <f t="array" ref="T649">IFERROR(_xlfn.SWITCH(L649,1,_xlfn.XLOOKUP(O649,[1]AttributeName!$B:$B,[1]AttributeName!$E:$E),2,_xlfn.XLOOKUP(C649,#REF!,#REF!),3,_xlfn.XLOOKUP(C649,#REF!,#REF!)),0)</f>
        <v>0</v>
      </c>
    </row>
    <row r="650" customFormat="1" spans="1:20">
      <c r="A650">
        <f t="shared" si="35"/>
        <v>257</v>
      </c>
      <c r="B650">
        <v>5</v>
      </c>
      <c r="C650" t="s">
        <v>426</v>
      </c>
      <c r="D650" t="s">
        <v>25</v>
      </c>
      <c r="E650" t="s">
        <v>392</v>
      </c>
      <c r="F650"/>
      <c r="G650">
        <v>2</v>
      </c>
      <c r="H650">
        <v>500</v>
      </c>
      <c r="I650">
        <v>3</v>
      </c>
      <c r="J650" cm="1">
        <f t="array" ref="J650">_xlfn.SWITCH(B650,1,75,2,61,3,49,4,37,5,25,6,13,7,4,8,1)</f>
        <v>25</v>
      </c>
      <c r="K650" t="str" cm="1">
        <f t="array" ref="K650">IFERROR(_xlfn.SWITCH(L650,2,_xlfn.XLOOKUP(C650,[1]ModifierDes!$B:$B,[1]ModifierDes!$C:$C),3,_xlfn.XLOOKUP(C650,[1]StuntDes!$B:$B,[1]StuntDes!$C:$C)),"")</f>
        <v>法术暴击伤害增加{0}</v>
      </c>
      <c r="L650">
        <f t="shared" si="34"/>
        <v>2</v>
      </c>
      <c r="M650" s="10" t="str">
        <f>IFERROR(_xlfn.XLOOKUP(C650,[1]StuntDes!$B:$B,[1]StuntDes!$A:$A),"")</f>
        <v/>
      </c>
      <c r="N650" s="10">
        <f>IFERROR(_xlfn.XLOOKUP(C650,[1]ModifierDes!$B:$B,[1]ModifierDes!$A:$A),"")</f>
        <v>10061</v>
      </c>
      <c r="O650" s="10" t="str">
        <f>IFERROR(_xlfn.XLOOKUP(C650,[1]AttributeName!$C:$C,[1]AttributeName!$B:$B),"")</f>
        <v/>
      </c>
      <c r="P650" s="10"/>
      <c r="Q650">
        <v>0.28</v>
      </c>
      <c r="R650">
        <v>0.34</v>
      </c>
      <c r="S650" cm="1">
        <f t="array" ref="S650">IFERROR(_xlfn.SWITCH(L650,1,_xlfn.XLOOKUP(O650,[1]AttributeName!$B:$B,[1]AttributeName!$D:$D),2,_xlfn.XLOOKUP(C650,#REF!,#REF!),3,_xlfn.XLOOKUP(C650,#REF!,#REF!)),0)</f>
        <v>0</v>
      </c>
      <c r="T650" cm="1">
        <f t="array" ref="T650">IFERROR(_xlfn.SWITCH(L650,1,_xlfn.XLOOKUP(O650,[1]AttributeName!$B:$B,[1]AttributeName!$E:$E),2,_xlfn.XLOOKUP(C650,#REF!,#REF!),3,_xlfn.XLOOKUP(C650,#REF!,#REF!)),0)</f>
        <v>0</v>
      </c>
    </row>
    <row r="651" customFormat="1" spans="1:20">
      <c r="A651">
        <f t="shared" si="35"/>
        <v>257</v>
      </c>
      <c r="B651">
        <v>6</v>
      </c>
      <c r="C651" t="s">
        <v>426</v>
      </c>
      <c r="D651" t="s">
        <v>25</v>
      </c>
      <c r="E651" t="s">
        <v>392</v>
      </c>
      <c r="F651"/>
      <c r="G651">
        <v>2</v>
      </c>
      <c r="H651">
        <v>500</v>
      </c>
      <c r="I651">
        <v>3</v>
      </c>
      <c r="J651" cm="1">
        <f t="array" ref="J651">_xlfn.SWITCH(B651,1,75,2,61,3,49,4,37,5,25,6,13,7,4,8,1)</f>
        <v>13</v>
      </c>
      <c r="K651" t="str" cm="1">
        <f t="array" ref="K651">IFERROR(_xlfn.SWITCH(L651,2,_xlfn.XLOOKUP(C651,[1]ModifierDes!$B:$B,[1]ModifierDes!$C:$C),3,_xlfn.XLOOKUP(C651,[1]StuntDes!$B:$B,[1]StuntDes!$C:$C)),"")</f>
        <v>法术暴击伤害增加{0}</v>
      </c>
      <c r="L651">
        <f t="shared" si="34"/>
        <v>2</v>
      </c>
      <c r="M651" s="10" t="str">
        <f>IFERROR(_xlfn.XLOOKUP(C651,[1]StuntDes!$B:$B,[1]StuntDes!$A:$A),"")</f>
        <v/>
      </c>
      <c r="N651" s="10">
        <f>IFERROR(_xlfn.XLOOKUP(C651,[1]ModifierDes!$B:$B,[1]ModifierDes!$A:$A),"")</f>
        <v>10061</v>
      </c>
      <c r="O651" s="10" t="str">
        <f>IFERROR(_xlfn.XLOOKUP(C651,[1]AttributeName!$C:$C,[1]AttributeName!$B:$B),"")</f>
        <v/>
      </c>
      <c r="P651" s="10"/>
      <c r="Q651">
        <v>0.2</v>
      </c>
      <c r="R651">
        <v>0.26</v>
      </c>
      <c r="S651" cm="1">
        <f t="array" ref="S651">IFERROR(_xlfn.SWITCH(L651,1,_xlfn.XLOOKUP(O651,[1]AttributeName!$B:$B,[1]AttributeName!$D:$D),2,_xlfn.XLOOKUP(C651,#REF!,#REF!),3,_xlfn.XLOOKUP(C651,#REF!,#REF!)),0)</f>
        <v>0</v>
      </c>
      <c r="T651" cm="1">
        <f t="array" ref="T651">IFERROR(_xlfn.SWITCH(L651,1,_xlfn.XLOOKUP(O651,[1]AttributeName!$B:$B,[1]AttributeName!$E:$E),2,_xlfn.XLOOKUP(C651,#REF!,#REF!),3,_xlfn.XLOOKUP(C651,#REF!,#REF!)),0)</f>
        <v>0</v>
      </c>
    </row>
    <row r="652" customFormat="1" spans="1:20">
      <c r="A652">
        <f t="shared" si="35"/>
        <v>257</v>
      </c>
      <c r="B652">
        <v>7</v>
      </c>
      <c r="C652" t="s">
        <v>426</v>
      </c>
      <c r="D652" t="s">
        <v>25</v>
      </c>
      <c r="E652" t="s">
        <v>392</v>
      </c>
      <c r="F652"/>
      <c r="G652">
        <v>2</v>
      </c>
      <c r="H652">
        <v>500</v>
      </c>
      <c r="I652">
        <v>3</v>
      </c>
      <c r="J652" cm="1">
        <f t="array" ref="J652">_xlfn.SWITCH(B652,1,75,2,61,3,49,4,37,5,25,6,13,7,4,8,1)</f>
        <v>4</v>
      </c>
      <c r="K652" t="str" cm="1">
        <f t="array" ref="K652">IFERROR(_xlfn.SWITCH(L652,2,_xlfn.XLOOKUP(C652,[1]ModifierDes!$B:$B,[1]ModifierDes!$C:$C),3,_xlfn.XLOOKUP(C652,[1]StuntDes!$B:$B,[1]StuntDes!$C:$C)),"")</f>
        <v>法术暴击伤害增加{0}</v>
      </c>
      <c r="L652">
        <f t="shared" si="34"/>
        <v>2</v>
      </c>
      <c r="M652" s="10" t="str">
        <f>IFERROR(_xlfn.XLOOKUP(C652,[1]StuntDes!$B:$B,[1]StuntDes!$A:$A),"")</f>
        <v/>
      </c>
      <c r="N652" s="10">
        <f>IFERROR(_xlfn.XLOOKUP(C652,[1]ModifierDes!$B:$B,[1]ModifierDes!$A:$A),"")</f>
        <v>10061</v>
      </c>
      <c r="O652" s="10" t="str">
        <f>IFERROR(_xlfn.XLOOKUP(C652,[1]AttributeName!$C:$C,[1]AttributeName!$B:$B),"")</f>
        <v/>
      </c>
      <c r="P652" s="10"/>
      <c r="Q652">
        <v>0.12</v>
      </c>
      <c r="R652">
        <v>0.18</v>
      </c>
      <c r="S652" cm="1">
        <f t="array" ref="S652">IFERROR(_xlfn.SWITCH(L652,1,_xlfn.XLOOKUP(O652,[1]AttributeName!$B:$B,[1]AttributeName!$D:$D),2,_xlfn.XLOOKUP(C652,#REF!,#REF!),3,_xlfn.XLOOKUP(C652,#REF!,#REF!)),0)</f>
        <v>0</v>
      </c>
      <c r="T652" cm="1">
        <f t="array" ref="T652">IFERROR(_xlfn.SWITCH(L652,1,_xlfn.XLOOKUP(O652,[1]AttributeName!$B:$B,[1]AttributeName!$E:$E),2,_xlfn.XLOOKUP(C652,#REF!,#REF!),3,_xlfn.XLOOKUP(C652,#REF!,#REF!)),0)</f>
        <v>0</v>
      </c>
    </row>
    <row r="653" customFormat="1" spans="1:20">
      <c r="A653">
        <f t="shared" si="35"/>
        <v>257</v>
      </c>
      <c r="B653">
        <v>8</v>
      </c>
      <c r="C653" t="s">
        <v>426</v>
      </c>
      <c r="D653" t="s">
        <v>25</v>
      </c>
      <c r="E653" t="s">
        <v>392</v>
      </c>
      <c r="F653"/>
      <c r="G653">
        <v>2</v>
      </c>
      <c r="H653">
        <v>500</v>
      </c>
      <c r="I653">
        <v>3</v>
      </c>
      <c r="J653" cm="1">
        <f t="array" ref="J653">_xlfn.SWITCH(B653,1,75,2,61,3,49,4,37,5,25,6,13,7,4,8,1)</f>
        <v>1</v>
      </c>
      <c r="K653" t="str" cm="1">
        <f t="array" ref="K653">IFERROR(_xlfn.SWITCH(L653,2,_xlfn.XLOOKUP(C653,[1]ModifierDes!$B:$B,[1]ModifierDes!$C:$C),3,_xlfn.XLOOKUP(C653,[1]StuntDes!$B:$B,[1]StuntDes!$C:$C)),"")</f>
        <v>法术暴击伤害增加{0}</v>
      </c>
      <c r="L653">
        <f t="shared" si="34"/>
        <v>2</v>
      </c>
      <c r="M653" s="10" t="str">
        <f>IFERROR(_xlfn.XLOOKUP(C653,[1]StuntDes!$B:$B,[1]StuntDes!$A:$A),"")</f>
        <v/>
      </c>
      <c r="N653" s="10">
        <f>IFERROR(_xlfn.XLOOKUP(C653,[1]ModifierDes!$B:$B,[1]ModifierDes!$A:$A),"")</f>
        <v>10061</v>
      </c>
      <c r="O653" s="10" t="str">
        <f>IFERROR(_xlfn.XLOOKUP(C653,[1]AttributeName!$C:$C,[1]AttributeName!$B:$B),"")</f>
        <v/>
      </c>
      <c r="P653" s="10"/>
      <c r="Q653">
        <v>0.04</v>
      </c>
      <c r="R653">
        <v>0.1</v>
      </c>
      <c r="S653" cm="1">
        <f t="array" ref="S653">IFERROR(_xlfn.SWITCH(L653,1,_xlfn.XLOOKUP(O653,[1]AttributeName!$B:$B,[1]AttributeName!$D:$D),2,_xlfn.XLOOKUP(C653,#REF!,#REF!),3,_xlfn.XLOOKUP(C653,#REF!,#REF!)),0)</f>
        <v>0</v>
      </c>
      <c r="T653" cm="1">
        <f t="array" ref="T653">IFERROR(_xlfn.SWITCH(L653,1,_xlfn.XLOOKUP(O653,[1]AttributeName!$B:$B,[1]AttributeName!$E:$E),2,_xlfn.XLOOKUP(C653,#REF!,#REF!),3,_xlfn.XLOOKUP(C653,#REF!,#REF!)),0)</f>
        <v>0</v>
      </c>
    </row>
    <row r="654" customFormat="1" spans="1:20">
      <c r="A654">
        <f t="shared" si="35"/>
        <v>258</v>
      </c>
      <c r="B654">
        <v>1</v>
      </c>
      <c r="C654" t="s">
        <v>401</v>
      </c>
      <c r="D654" t="s">
        <v>25</v>
      </c>
      <c r="E654" t="s">
        <v>392</v>
      </c>
      <c r="F654"/>
      <c r="G654">
        <v>2</v>
      </c>
      <c r="H654">
        <v>50</v>
      </c>
      <c r="I654">
        <v>3</v>
      </c>
      <c r="J654" cm="1">
        <f t="array" ref="J654">_xlfn.SWITCH(B654,1,75,2,61,3,49,4,37,5,25,6,13,7,4,8,1)</f>
        <v>75</v>
      </c>
      <c r="K654" t="str" cm="1">
        <f t="array" ref="K654">IFERROR(_xlfn.SWITCH(L654,2,_xlfn.XLOOKUP(C654,[1]ModifierDes!$B:$B,[1]ModifierDes!$C:$C),3,_xlfn.XLOOKUP(C654,[1]StuntDes!$B:$B,[1]StuntDes!$C:$C)),"")</f>
        <v/>
      </c>
      <c r="L654">
        <f t="shared" si="34"/>
        <v>1</v>
      </c>
      <c r="M654" s="10" t="str">
        <f>IFERROR(_xlfn.XLOOKUP(C654,[1]StuntDes!$B:$B,[1]StuntDes!$A:$A),"")</f>
        <v/>
      </c>
      <c r="N654" s="10" t="str">
        <f>IFERROR(_xlfn.XLOOKUP(C654,[1]ModifierDes!$B:$B,[1]ModifierDes!$A:$A),"")</f>
        <v/>
      </c>
      <c r="O654" s="10">
        <f>IFERROR(_xlfn.XLOOKUP(C654,[1]AttributeName!$C:$C,[1]AttributeName!$B:$B),"")</f>
        <v>10500</v>
      </c>
      <c r="P654" s="10"/>
      <c r="Q654">
        <v>0.3</v>
      </c>
      <c r="R654">
        <v>0.4</v>
      </c>
      <c r="S654" cm="1">
        <f t="array" ref="S654">IFERROR(_xlfn.SWITCH(L654,1,_xlfn.XLOOKUP(O654,[1]AttributeName!$B:$B,[1]AttributeName!$D:$D),2,_xlfn.XLOOKUP(C654,#REF!,#REF!),3,_xlfn.XLOOKUP(C654,#REF!,#REF!)),0)</f>
        <v>2</v>
      </c>
      <c r="T654" cm="1">
        <f t="array" ref="T654">IFERROR(_xlfn.SWITCH(L654,1,_xlfn.XLOOKUP(O654,[1]AttributeName!$B:$B,[1]AttributeName!$E:$E),2,_xlfn.XLOOKUP(C654,#REF!,#REF!),3,_xlfn.XLOOKUP(C654,#REF!,#REF!)),0)</f>
        <v>2</v>
      </c>
    </row>
    <row r="655" customFormat="1" spans="1:20">
      <c r="A655">
        <f t="shared" si="35"/>
        <v>258</v>
      </c>
      <c r="B655">
        <v>2</v>
      </c>
      <c r="C655" t="s">
        <v>401</v>
      </c>
      <c r="D655" t="s">
        <v>25</v>
      </c>
      <c r="E655" t="s">
        <v>392</v>
      </c>
      <c r="F655"/>
      <c r="G655">
        <v>2</v>
      </c>
      <c r="H655">
        <v>100</v>
      </c>
      <c r="I655">
        <v>3</v>
      </c>
      <c r="J655" cm="1">
        <f t="array" ref="J655">_xlfn.SWITCH(B655,1,75,2,61,3,49,4,37,5,25,6,13,7,4,8,1)</f>
        <v>61</v>
      </c>
      <c r="K655" t="str" cm="1">
        <f t="array" ref="K655">IFERROR(_xlfn.SWITCH(L655,2,_xlfn.XLOOKUP(C655,[1]ModifierDes!$B:$B,[1]ModifierDes!$C:$C),3,_xlfn.XLOOKUP(C655,[1]StuntDes!$B:$B,[1]StuntDes!$C:$C)),"")</f>
        <v/>
      </c>
      <c r="L655">
        <f t="shared" si="34"/>
        <v>1</v>
      </c>
      <c r="M655" s="10" t="str">
        <f>IFERROR(_xlfn.XLOOKUP(C655,[1]StuntDes!$B:$B,[1]StuntDes!$A:$A),"")</f>
        <v/>
      </c>
      <c r="N655" s="10" t="str">
        <f>IFERROR(_xlfn.XLOOKUP(C655,[1]ModifierDes!$B:$B,[1]ModifierDes!$A:$A),"")</f>
        <v/>
      </c>
      <c r="O655" s="10">
        <f>IFERROR(_xlfn.XLOOKUP(C655,[1]AttributeName!$C:$C,[1]AttributeName!$B:$B),"")</f>
        <v>10500</v>
      </c>
      <c r="P655" s="10"/>
      <c r="Q655">
        <v>0.26</v>
      </c>
      <c r="R655">
        <v>0.29</v>
      </c>
      <c r="S655" cm="1">
        <f t="array" ref="S655">IFERROR(_xlfn.SWITCH(L655,1,_xlfn.XLOOKUP(O655,[1]AttributeName!$B:$B,[1]AttributeName!$D:$D),2,_xlfn.XLOOKUP(C655,#REF!,#REF!),3,_xlfn.XLOOKUP(C655,#REF!,#REF!)),0)</f>
        <v>2</v>
      </c>
      <c r="T655" cm="1">
        <f t="array" ref="T655">IFERROR(_xlfn.SWITCH(L655,1,_xlfn.XLOOKUP(O655,[1]AttributeName!$B:$B,[1]AttributeName!$E:$E),2,_xlfn.XLOOKUP(C655,#REF!,#REF!),3,_xlfn.XLOOKUP(C655,#REF!,#REF!)),0)</f>
        <v>2</v>
      </c>
    </row>
    <row r="656" customFormat="1" spans="1:20">
      <c r="A656">
        <f t="shared" si="35"/>
        <v>258</v>
      </c>
      <c r="B656">
        <v>3</v>
      </c>
      <c r="C656" t="s">
        <v>401</v>
      </c>
      <c r="D656" t="s">
        <v>25</v>
      </c>
      <c r="E656" t="s">
        <v>392</v>
      </c>
      <c r="F656"/>
      <c r="G656">
        <v>2</v>
      </c>
      <c r="H656">
        <v>250</v>
      </c>
      <c r="I656">
        <v>3</v>
      </c>
      <c r="J656" cm="1">
        <f t="array" ref="J656">_xlfn.SWITCH(B656,1,75,2,61,3,49,4,37,5,25,6,13,7,4,8,1)</f>
        <v>49</v>
      </c>
      <c r="K656" t="str" cm="1">
        <f t="array" ref="K656">IFERROR(_xlfn.SWITCH(L656,2,_xlfn.XLOOKUP(C656,[1]ModifierDes!$B:$B,[1]ModifierDes!$C:$C),3,_xlfn.XLOOKUP(C656,[1]StuntDes!$B:$B,[1]StuntDes!$C:$C)),"")</f>
        <v/>
      </c>
      <c r="L656">
        <f t="shared" si="34"/>
        <v>1</v>
      </c>
      <c r="M656" s="10" t="str">
        <f>IFERROR(_xlfn.XLOOKUP(C656,[1]StuntDes!$B:$B,[1]StuntDes!$A:$A),"")</f>
        <v/>
      </c>
      <c r="N656" s="10" t="str">
        <f>IFERROR(_xlfn.XLOOKUP(C656,[1]ModifierDes!$B:$B,[1]ModifierDes!$A:$A),"")</f>
        <v/>
      </c>
      <c r="O656" s="10">
        <f>IFERROR(_xlfn.XLOOKUP(C656,[1]AttributeName!$C:$C,[1]AttributeName!$B:$B),"")</f>
        <v>10500</v>
      </c>
      <c r="P656" s="10"/>
      <c r="Q656">
        <v>0.22</v>
      </c>
      <c r="R656">
        <v>0.25</v>
      </c>
      <c r="S656" cm="1">
        <f t="array" ref="S656">IFERROR(_xlfn.SWITCH(L656,1,_xlfn.XLOOKUP(O656,[1]AttributeName!$B:$B,[1]AttributeName!$D:$D),2,_xlfn.XLOOKUP(C656,#REF!,#REF!),3,_xlfn.XLOOKUP(C656,#REF!,#REF!)),0)</f>
        <v>2</v>
      </c>
      <c r="T656" cm="1">
        <f t="array" ref="T656">IFERROR(_xlfn.SWITCH(L656,1,_xlfn.XLOOKUP(O656,[1]AttributeName!$B:$B,[1]AttributeName!$E:$E),2,_xlfn.XLOOKUP(C656,#REF!,#REF!),3,_xlfn.XLOOKUP(C656,#REF!,#REF!)),0)</f>
        <v>2</v>
      </c>
    </row>
    <row r="657" customFormat="1" spans="1:20">
      <c r="A657">
        <f t="shared" si="35"/>
        <v>258</v>
      </c>
      <c r="B657">
        <v>4</v>
      </c>
      <c r="C657" t="s">
        <v>401</v>
      </c>
      <c r="D657" t="s">
        <v>25</v>
      </c>
      <c r="E657" t="s">
        <v>392</v>
      </c>
      <c r="F657"/>
      <c r="G657">
        <v>2</v>
      </c>
      <c r="H657">
        <v>500</v>
      </c>
      <c r="I657">
        <v>3</v>
      </c>
      <c r="J657" cm="1">
        <f t="array" ref="J657">_xlfn.SWITCH(B657,1,75,2,61,3,49,4,37,5,25,6,13,7,4,8,1)</f>
        <v>37</v>
      </c>
      <c r="K657" t="str" cm="1">
        <f t="array" ref="K657">IFERROR(_xlfn.SWITCH(L657,2,_xlfn.XLOOKUP(C657,[1]ModifierDes!$B:$B,[1]ModifierDes!$C:$C),3,_xlfn.XLOOKUP(C657,[1]StuntDes!$B:$B,[1]StuntDes!$C:$C)),"")</f>
        <v/>
      </c>
      <c r="L657">
        <f t="shared" si="34"/>
        <v>1</v>
      </c>
      <c r="M657" s="10" t="str">
        <f>IFERROR(_xlfn.XLOOKUP(C657,[1]StuntDes!$B:$B,[1]StuntDes!$A:$A),"")</f>
        <v/>
      </c>
      <c r="N657" s="10" t="str">
        <f>IFERROR(_xlfn.XLOOKUP(C657,[1]ModifierDes!$B:$B,[1]ModifierDes!$A:$A),"")</f>
        <v/>
      </c>
      <c r="O657" s="10">
        <f>IFERROR(_xlfn.XLOOKUP(C657,[1]AttributeName!$C:$C,[1]AttributeName!$B:$B),"")</f>
        <v>10500</v>
      </c>
      <c r="P657" s="10"/>
      <c r="Q657">
        <v>0.18</v>
      </c>
      <c r="R657">
        <v>0.21</v>
      </c>
      <c r="S657" cm="1">
        <f t="array" ref="S657">IFERROR(_xlfn.SWITCH(L657,1,_xlfn.XLOOKUP(O657,[1]AttributeName!$B:$B,[1]AttributeName!$D:$D),2,_xlfn.XLOOKUP(C657,#REF!,#REF!),3,_xlfn.XLOOKUP(C657,#REF!,#REF!)),0)</f>
        <v>2</v>
      </c>
      <c r="T657" cm="1">
        <f t="array" ref="T657">IFERROR(_xlfn.SWITCH(L657,1,_xlfn.XLOOKUP(O657,[1]AttributeName!$B:$B,[1]AttributeName!$E:$E),2,_xlfn.XLOOKUP(C657,#REF!,#REF!),3,_xlfn.XLOOKUP(C657,#REF!,#REF!)),0)</f>
        <v>2</v>
      </c>
    </row>
    <row r="658" customFormat="1" spans="1:20">
      <c r="A658">
        <f t="shared" si="35"/>
        <v>258</v>
      </c>
      <c r="B658">
        <v>5</v>
      </c>
      <c r="C658" t="s">
        <v>401</v>
      </c>
      <c r="D658" t="s">
        <v>25</v>
      </c>
      <c r="E658" t="s">
        <v>392</v>
      </c>
      <c r="F658"/>
      <c r="G658">
        <v>2</v>
      </c>
      <c r="H658">
        <v>500</v>
      </c>
      <c r="I658">
        <v>3</v>
      </c>
      <c r="J658" cm="1">
        <f t="array" ref="J658">_xlfn.SWITCH(B658,1,75,2,61,3,49,4,37,5,25,6,13,7,4,8,1)</f>
        <v>25</v>
      </c>
      <c r="K658" t="str" cm="1">
        <f t="array" ref="K658">IFERROR(_xlfn.SWITCH(L658,2,_xlfn.XLOOKUP(C658,[1]ModifierDes!$B:$B,[1]ModifierDes!$C:$C),3,_xlfn.XLOOKUP(C658,[1]StuntDes!$B:$B,[1]StuntDes!$C:$C)),"")</f>
        <v/>
      </c>
      <c r="L658">
        <f t="shared" si="34"/>
        <v>1</v>
      </c>
      <c r="M658" s="10" t="str">
        <f>IFERROR(_xlfn.XLOOKUP(C658,[1]StuntDes!$B:$B,[1]StuntDes!$A:$A),"")</f>
        <v/>
      </c>
      <c r="N658" s="10" t="str">
        <f>IFERROR(_xlfn.XLOOKUP(C658,[1]ModifierDes!$B:$B,[1]ModifierDes!$A:$A),"")</f>
        <v/>
      </c>
      <c r="O658" s="10">
        <f>IFERROR(_xlfn.XLOOKUP(C658,[1]AttributeName!$C:$C,[1]AttributeName!$B:$B),"")</f>
        <v>10500</v>
      </c>
      <c r="P658" s="10"/>
      <c r="Q658">
        <v>0.14</v>
      </c>
      <c r="R658">
        <v>0.17</v>
      </c>
      <c r="S658" cm="1">
        <f t="array" ref="S658">IFERROR(_xlfn.SWITCH(L658,1,_xlfn.XLOOKUP(O658,[1]AttributeName!$B:$B,[1]AttributeName!$D:$D),2,_xlfn.XLOOKUP(C658,#REF!,#REF!),3,_xlfn.XLOOKUP(C658,#REF!,#REF!)),0)</f>
        <v>2</v>
      </c>
      <c r="T658" cm="1">
        <f t="array" ref="T658">IFERROR(_xlfn.SWITCH(L658,1,_xlfn.XLOOKUP(O658,[1]AttributeName!$B:$B,[1]AttributeName!$E:$E),2,_xlfn.XLOOKUP(C658,#REF!,#REF!),3,_xlfn.XLOOKUP(C658,#REF!,#REF!)),0)</f>
        <v>2</v>
      </c>
    </row>
    <row r="659" customFormat="1" spans="1:20">
      <c r="A659">
        <f t="shared" si="35"/>
        <v>258</v>
      </c>
      <c r="B659">
        <v>6</v>
      </c>
      <c r="C659" t="s">
        <v>401</v>
      </c>
      <c r="D659" t="s">
        <v>25</v>
      </c>
      <c r="E659" t="s">
        <v>392</v>
      </c>
      <c r="F659"/>
      <c r="G659">
        <v>2</v>
      </c>
      <c r="H659">
        <v>500</v>
      </c>
      <c r="I659">
        <v>3</v>
      </c>
      <c r="J659" cm="1">
        <f t="array" ref="J659">_xlfn.SWITCH(B659,1,75,2,61,3,49,4,37,5,25,6,13,7,4,8,1)</f>
        <v>13</v>
      </c>
      <c r="K659" t="str" cm="1">
        <f t="array" ref="K659">IFERROR(_xlfn.SWITCH(L659,2,_xlfn.XLOOKUP(C659,[1]ModifierDes!$B:$B,[1]ModifierDes!$C:$C),3,_xlfn.XLOOKUP(C659,[1]StuntDes!$B:$B,[1]StuntDes!$C:$C)),"")</f>
        <v/>
      </c>
      <c r="L659">
        <f t="shared" si="34"/>
        <v>1</v>
      </c>
      <c r="M659" s="10" t="str">
        <f>IFERROR(_xlfn.XLOOKUP(C659,[1]StuntDes!$B:$B,[1]StuntDes!$A:$A),"")</f>
        <v/>
      </c>
      <c r="N659" s="10" t="str">
        <f>IFERROR(_xlfn.XLOOKUP(C659,[1]ModifierDes!$B:$B,[1]ModifierDes!$A:$A),"")</f>
        <v/>
      </c>
      <c r="O659" s="10">
        <f>IFERROR(_xlfn.XLOOKUP(C659,[1]AttributeName!$C:$C,[1]AttributeName!$B:$B),"")</f>
        <v>10500</v>
      </c>
      <c r="P659" s="10"/>
      <c r="Q659">
        <v>0.1</v>
      </c>
      <c r="R659">
        <v>0.13</v>
      </c>
      <c r="S659" cm="1">
        <f t="array" ref="S659">IFERROR(_xlfn.SWITCH(L659,1,_xlfn.XLOOKUP(O659,[1]AttributeName!$B:$B,[1]AttributeName!$D:$D),2,_xlfn.XLOOKUP(C659,#REF!,#REF!),3,_xlfn.XLOOKUP(C659,#REF!,#REF!)),0)</f>
        <v>2</v>
      </c>
      <c r="T659" cm="1">
        <f t="array" ref="T659">IFERROR(_xlfn.SWITCH(L659,1,_xlfn.XLOOKUP(O659,[1]AttributeName!$B:$B,[1]AttributeName!$E:$E),2,_xlfn.XLOOKUP(C659,#REF!,#REF!),3,_xlfn.XLOOKUP(C659,#REF!,#REF!)),0)</f>
        <v>2</v>
      </c>
    </row>
    <row r="660" customFormat="1" spans="1:20">
      <c r="A660">
        <f t="shared" si="35"/>
        <v>258</v>
      </c>
      <c r="B660">
        <v>7</v>
      </c>
      <c r="C660" t="s">
        <v>401</v>
      </c>
      <c r="D660" t="s">
        <v>25</v>
      </c>
      <c r="E660" t="s">
        <v>392</v>
      </c>
      <c r="F660"/>
      <c r="G660">
        <v>2</v>
      </c>
      <c r="H660">
        <v>500</v>
      </c>
      <c r="I660">
        <v>3</v>
      </c>
      <c r="J660" cm="1">
        <f t="array" ref="J660">_xlfn.SWITCH(B660,1,75,2,61,3,49,4,37,5,25,6,13,7,4,8,1)</f>
        <v>4</v>
      </c>
      <c r="K660" t="str" cm="1">
        <f t="array" ref="K660">IFERROR(_xlfn.SWITCH(L660,2,_xlfn.XLOOKUP(C660,[1]ModifierDes!$B:$B,[1]ModifierDes!$C:$C),3,_xlfn.XLOOKUP(C660,[1]StuntDes!$B:$B,[1]StuntDes!$C:$C)),"")</f>
        <v/>
      </c>
      <c r="L660">
        <f t="shared" si="34"/>
        <v>1</v>
      </c>
      <c r="M660" s="10" t="str">
        <f>IFERROR(_xlfn.XLOOKUP(C660,[1]StuntDes!$B:$B,[1]StuntDes!$A:$A),"")</f>
        <v/>
      </c>
      <c r="N660" s="10" t="str">
        <f>IFERROR(_xlfn.XLOOKUP(C660,[1]ModifierDes!$B:$B,[1]ModifierDes!$A:$A),"")</f>
        <v/>
      </c>
      <c r="O660" s="10">
        <f>IFERROR(_xlfn.XLOOKUP(C660,[1]AttributeName!$C:$C,[1]AttributeName!$B:$B),"")</f>
        <v>10500</v>
      </c>
      <c r="P660" s="10"/>
      <c r="Q660">
        <v>0.06</v>
      </c>
      <c r="R660">
        <v>0.0900000000000001</v>
      </c>
      <c r="S660" cm="1">
        <f t="array" ref="S660">IFERROR(_xlfn.SWITCH(L660,1,_xlfn.XLOOKUP(O660,[1]AttributeName!$B:$B,[1]AttributeName!$D:$D),2,_xlfn.XLOOKUP(C660,#REF!,#REF!),3,_xlfn.XLOOKUP(C660,#REF!,#REF!)),0)</f>
        <v>2</v>
      </c>
      <c r="T660" cm="1">
        <f t="array" ref="T660">IFERROR(_xlfn.SWITCH(L660,1,_xlfn.XLOOKUP(O660,[1]AttributeName!$B:$B,[1]AttributeName!$E:$E),2,_xlfn.XLOOKUP(C660,#REF!,#REF!),3,_xlfn.XLOOKUP(C660,#REF!,#REF!)),0)</f>
        <v>2</v>
      </c>
    </row>
    <row r="661" customFormat="1" spans="1:20">
      <c r="A661">
        <f t="shared" si="35"/>
        <v>258</v>
      </c>
      <c r="B661">
        <v>8</v>
      </c>
      <c r="C661" t="s">
        <v>401</v>
      </c>
      <c r="D661" t="s">
        <v>25</v>
      </c>
      <c r="E661" t="s">
        <v>392</v>
      </c>
      <c r="F661"/>
      <c r="G661">
        <v>2</v>
      </c>
      <c r="H661">
        <v>500</v>
      </c>
      <c r="I661">
        <v>3</v>
      </c>
      <c r="J661" cm="1">
        <f t="array" ref="J661">_xlfn.SWITCH(B661,1,75,2,61,3,49,4,37,5,25,6,13,7,4,8,1)</f>
        <v>1</v>
      </c>
      <c r="K661" t="str" cm="1">
        <f t="array" ref="K661">IFERROR(_xlfn.SWITCH(L661,2,_xlfn.XLOOKUP(C661,[1]ModifierDes!$B:$B,[1]ModifierDes!$C:$C),3,_xlfn.XLOOKUP(C661,[1]StuntDes!$B:$B,[1]StuntDes!$C:$C)),"")</f>
        <v/>
      </c>
      <c r="L661">
        <f t="shared" si="34"/>
        <v>1</v>
      </c>
      <c r="M661" s="10" t="str">
        <f>IFERROR(_xlfn.XLOOKUP(C661,[1]StuntDes!$B:$B,[1]StuntDes!$A:$A),"")</f>
        <v/>
      </c>
      <c r="N661" s="10" t="str">
        <f>IFERROR(_xlfn.XLOOKUP(C661,[1]ModifierDes!$B:$B,[1]ModifierDes!$A:$A),"")</f>
        <v/>
      </c>
      <c r="O661" s="10">
        <f>IFERROR(_xlfn.XLOOKUP(C661,[1]AttributeName!$C:$C,[1]AttributeName!$B:$B),"")</f>
        <v>10500</v>
      </c>
      <c r="P661" s="10"/>
      <c r="Q661">
        <v>0.02</v>
      </c>
      <c r="R661">
        <v>0.0500000000000001</v>
      </c>
      <c r="S661" cm="1">
        <f t="array" ref="S661">IFERROR(_xlfn.SWITCH(L661,1,_xlfn.XLOOKUP(O661,[1]AttributeName!$B:$B,[1]AttributeName!$D:$D),2,_xlfn.XLOOKUP(C661,#REF!,#REF!),3,_xlfn.XLOOKUP(C661,#REF!,#REF!)),0)</f>
        <v>2</v>
      </c>
      <c r="T661" cm="1">
        <f t="array" ref="T661">IFERROR(_xlfn.SWITCH(L661,1,_xlfn.XLOOKUP(O661,[1]AttributeName!$B:$B,[1]AttributeName!$E:$E),2,_xlfn.XLOOKUP(C661,#REF!,#REF!),3,_xlfn.XLOOKUP(C661,#REF!,#REF!)),0)</f>
        <v>2</v>
      </c>
    </row>
    <row r="662" customFormat="1" spans="1:20">
      <c r="A662">
        <f t="shared" si="35"/>
        <v>259</v>
      </c>
      <c r="B662">
        <v>1</v>
      </c>
      <c r="C662" t="s">
        <v>402</v>
      </c>
      <c r="D662" t="s">
        <v>25</v>
      </c>
      <c r="E662" t="s">
        <v>392</v>
      </c>
      <c r="F662"/>
      <c r="G662">
        <v>2</v>
      </c>
      <c r="H662">
        <v>50</v>
      </c>
      <c r="I662">
        <v>3</v>
      </c>
      <c r="J662" cm="1">
        <f t="array" ref="J662">_xlfn.SWITCH(B662,1,75,2,61,3,49,4,37,5,25,6,13,7,4,8,1)</f>
        <v>75</v>
      </c>
      <c r="K662" t="str" cm="1">
        <f t="array" ref="K662">IFERROR(_xlfn.SWITCH(L662,2,_xlfn.XLOOKUP(C662,[1]ModifierDes!$B:$B,[1]ModifierDes!$C:$C),3,_xlfn.XLOOKUP(C662,[1]StuntDes!$B:$B,[1]StuntDes!$C:$C)),"")</f>
        <v/>
      </c>
      <c r="L662">
        <f t="shared" si="34"/>
        <v>1</v>
      </c>
      <c r="M662" s="10" t="str">
        <f>IFERROR(_xlfn.XLOOKUP(C662,[1]StuntDes!$B:$B,[1]StuntDes!$A:$A),"")</f>
        <v/>
      </c>
      <c r="N662" s="10" t="str">
        <f>IFERROR(_xlfn.XLOOKUP(C662,[1]ModifierDes!$B:$B,[1]ModifierDes!$A:$A),"")</f>
        <v/>
      </c>
      <c r="O662" s="10">
        <f>IFERROR(_xlfn.XLOOKUP(C662,[1]AttributeName!$C:$C,[1]AttributeName!$B:$B),"")</f>
        <v>10501</v>
      </c>
      <c r="P662" s="10"/>
      <c r="Q662">
        <v>0.3</v>
      </c>
      <c r="R662">
        <v>0.4</v>
      </c>
      <c r="S662" cm="1">
        <f t="array" ref="S662">IFERROR(_xlfn.SWITCH(L662,1,_xlfn.XLOOKUP(O662,[1]AttributeName!$B:$B,[1]AttributeName!$D:$D),2,_xlfn.XLOOKUP(C662,#REF!,#REF!),3,_xlfn.XLOOKUP(C662,#REF!,#REF!)),0)</f>
        <v>2</v>
      </c>
      <c r="T662" cm="1">
        <f t="array" ref="T662">IFERROR(_xlfn.SWITCH(L662,1,_xlfn.XLOOKUP(O662,[1]AttributeName!$B:$B,[1]AttributeName!$E:$E),2,_xlfn.XLOOKUP(C662,#REF!,#REF!),3,_xlfn.XLOOKUP(C662,#REF!,#REF!)),0)</f>
        <v>2</v>
      </c>
    </row>
    <row r="663" customFormat="1" spans="1:20">
      <c r="A663">
        <f t="shared" si="35"/>
        <v>259</v>
      </c>
      <c r="B663">
        <v>2</v>
      </c>
      <c r="C663" t="s">
        <v>402</v>
      </c>
      <c r="D663" t="s">
        <v>25</v>
      </c>
      <c r="E663" t="s">
        <v>392</v>
      </c>
      <c r="F663"/>
      <c r="G663">
        <v>2</v>
      </c>
      <c r="H663">
        <v>100</v>
      </c>
      <c r="I663">
        <v>3</v>
      </c>
      <c r="J663" cm="1">
        <f t="array" ref="J663">_xlfn.SWITCH(B663,1,75,2,61,3,49,4,37,5,25,6,13,7,4,8,1)</f>
        <v>61</v>
      </c>
      <c r="K663" t="str" cm="1">
        <f t="array" ref="K663">IFERROR(_xlfn.SWITCH(L663,2,_xlfn.XLOOKUP(C663,[1]ModifierDes!$B:$B,[1]ModifierDes!$C:$C),3,_xlfn.XLOOKUP(C663,[1]StuntDes!$B:$B,[1]StuntDes!$C:$C)),"")</f>
        <v/>
      </c>
      <c r="L663">
        <f t="shared" si="34"/>
        <v>1</v>
      </c>
      <c r="M663" s="10" t="str">
        <f>IFERROR(_xlfn.XLOOKUP(C663,[1]StuntDes!$B:$B,[1]StuntDes!$A:$A),"")</f>
        <v/>
      </c>
      <c r="N663" s="10" t="str">
        <f>IFERROR(_xlfn.XLOOKUP(C663,[1]ModifierDes!$B:$B,[1]ModifierDes!$A:$A),"")</f>
        <v/>
      </c>
      <c r="O663" s="10">
        <f>IFERROR(_xlfn.XLOOKUP(C663,[1]AttributeName!$C:$C,[1]AttributeName!$B:$B),"")</f>
        <v>10501</v>
      </c>
      <c r="P663" s="10"/>
      <c r="Q663">
        <v>0.26</v>
      </c>
      <c r="R663">
        <v>0.29</v>
      </c>
      <c r="S663" cm="1">
        <f t="array" ref="S663">IFERROR(_xlfn.SWITCH(L663,1,_xlfn.XLOOKUP(O663,[1]AttributeName!$B:$B,[1]AttributeName!$D:$D),2,_xlfn.XLOOKUP(C663,#REF!,#REF!),3,_xlfn.XLOOKUP(C663,#REF!,#REF!)),0)</f>
        <v>2</v>
      </c>
      <c r="T663" cm="1">
        <f t="array" ref="T663">IFERROR(_xlfn.SWITCH(L663,1,_xlfn.XLOOKUP(O663,[1]AttributeName!$B:$B,[1]AttributeName!$E:$E),2,_xlfn.XLOOKUP(C663,#REF!,#REF!),3,_xlfn.XLOOKUP(C663,#REF!,#REF!)),0)</f>
        <v>2</v>
      </c>
    </row>
    <row r="664" customFormat="1" spans="1:20">
      <c r="A664">
        <f t="shared" si="35"/>
        <v>259</v>
      </c>
      <c r="B664">
        <v>3</v>
      </c>
      <c r="C664" t="s">
        <v>402</v>
      </c>
      <c r="D664" t="s">
        <v>25</v>
      </c>
      <c r="E664" t="s">
        <v>392</v>
      </c>
      <c r="F664"/>
      <c r="G664">
        <v>2</v>
      </c>
      <c r="H664">
        <v>250</v>
      </c>
      <c r="I664">
        <v>3</v>
      </c>
      <c r="J664" cm="1">
        <f t="array" ref="J664">_xlfn.SWITCH(B664,1,75,2,61,3,49,4,37,5,25,6,13,7,4,8,1)</f>
        <v>49</v>
      </c>
      <c r="K664" t="str" cm="1">
        <f t="array" ref="K664">IFERROR(_xlfn.SWITCH(L664,2,_xlfn.XLOOKUP(C664,[1]ModifierDes!$B:$B,[1]ModifierDes!$C:$C),3,_xlfn.XLOOKUP(C664,[1]StuntDes!$B:$B,[1]StuntDes!$C:$C)),"")</f>
        <v/>
      </c>
      <c r="L664">
        <f t="shared" si="34"/>
        <v>1</v>
      </c>
      <c r="M664" s="10" t="str">
        <f>IFERROR(_xlfn.XLOOKUP(C664,[1]StuntDes!$B:$B,[1]StuntDes!$A:$A),"")</f>
        <v/>
      </c>
      <c r="N664" s="10" t="str">
        <f>IFERROR(_xlfn.XLOOKUP(C664,[1]ModifierDes!$B:$B,[1]ModifierDes!$A:$A),"")</f>
        <v/>
      </c>
      <c r="O664" s="10">
        <f>IFERROR(_xlfn.XLOOKUP(C664,[1]AttributeName!$C:$C,[1]AttributeName!$B:$B),"")</f>
        <v>10501</v>
      </c>
      <c r="P664" s="10"/>
      <c r="Q664">
        <v>0.22</v>
      </c>
      <c r="R664">
        <v>0.25</v>
      </c>
      <c r="S664" cm="1">
        <f t="array" ref="S664">IFERROR(_xlfn.SWITCH(L664,1,_xlfn.XLOOKUP(O664,[1]AttributeName!$B:$B,[1]AttributeName!$D:$D),2,_xlfn.XLOOKUP(C664,#REF!,#REF!),3,_xlfn.XLOOKUP(C664,#REF!,#REF!)),0)</f>
        <v>2</v>
      </c>
      <c r="T664" cm="1">
        <f t="array" ref="T664">IFERROR(_xlfn.SWITCH(L664,1,_xlfn.XLOOKUP(O664,[1]AttributeName!$B:$B,[1]AttributeName!$E:$E),2,_xlfn.XLOOKUP(C664,#REF!,#REF!),3,_xlfn.XLOOKUP(C664,#REF!,#REF!)),0)</f>
        <v>2</v>
      </c>
    </row>
    <row r="665" customFormat="1" spans="1:20">
      <c r="A665">
        <f t="shared" si="35"/>
        <v>259</v>
      </c>
      <c r="B665">
        <v>4</v>
      </c>
      <c r="C665" t="s">
        <v>402</v>
      </c>
      <c r="D665" t="s">
        <v>25</v>
      </c>
      <c r="E665" t="s">
        <v>392</v>
      </c>
      <c r="F665"/>
      <c r="G665">
        <v>2</v>
      </c>
      <c r="H665">
        <v>500</v>
      </c>
      <c r="I665">
        <v>3</v>
      </c>
      <c r="J665" cm="1">
        <f t="array" ref="J665">_xlfn.SWITCH(B665,1,75,2,61,3,49,4,37,5,25,6,13,7,4,8,1)</f>
        <v>37</v>
      </c>
      <c r="K665" t="str" cm="1">
        <f t="array" ref="K665">IFERROR(_xlfn.SWITCH(L665,2,_xlfn.XLOOKUP(C665,[1]ModifierDes!$B:$B,[1]ModifierDes!$C:$C),3,_xlfn.XLOOKUP(C665,[1]StuntDes!$B:$B,[1]StuntDes!$C:$C)),"")</f>
        <v/>
      </c>
      <c r="L665">
        <f t="shared" si="34"/>
        <v>1</v>
      </c>
      <c r="M665" s="10" t="str">
        <f>IFERROR(_xlfn.XLOOKUP(C665,[1]StuntDes!$B:$B,[1]StuntDes!$A:$A),"")</f>
        <v/>
      </c>
      <c r="N665" s="10" t="str">
        <f>IFERROR(_xlfn.XLOOKUP(C665,[1]ModifierDes!$B:$B,[1]ModifierDes!$A:$A),"")</f>
        <v/>
      </c>
      <c r="O665" s="10">
        <f>IFERROR(_xlfn.XLOOKUP(C665,[1]AttributeName!$C:$C,[1]AttributeName!$B:$B),"")</f>
        <v>10501</v>
      </c>
      <c r="P665" s="10"/>
      <c r="Q665">
        <v>0.18</v>
      </c>
      <c r="R665">
        <v>0.21</v>
      </c>
      <c r="S665" cm="1">
        <f t="array" ref="S665">IFERROR(_xlfn.SWITCH(L665,1,_xlfn.XLOOKUP(O665,[1]AttributeName!$B:$B,[1]AttributeName!$D:$D),2,_xlfn.XLOOKUP(C665,#REF!,#REF!),3,_xlfn.XLOOKUP(C665,#REF!,#REF!)),0)</f>
        <v>2</v>
      </c>
      <c r="T665" cm="1">
        <f t="array" ref="T665">IFERROR(_xlfn.SWITCH(L665,1,_xlfn.XLOOKUP(O665,[1]AttributeName!$B:$B,[1]AttributeName!$E:$E),2,_xlfn.XLOOKUP(C665,#REF!,#REF!),3,_xlfn.XLOOKUP(C665,#REF!,#REF!)),0)</f>
        <v>2</v>
      </c>
    </row>
    <row r="666" customFormat="1" spans="1:20">
      <c r="A666">
        <f t="shared" si="35"/>
        <v>259</v>
      </c>
      <c r="B666">
        <v>5</v>
      </c>
      <c r="C666" t="s">
        <v>402</v>
      </c>
      <c r="D666" t="s">
        <v>25</v>
      </c>
      <c r="E666" t="s">
        <v>392</v>
      </c>
      <c r="F666"/>
      <c r="G666">
        <v>2</v>
      </c>
      <c r="H666">
        <v>500</v>
      </c>
      <c r="I666">
        <v>3</v>
      </c>
      <c r="J666" cm="1">
        <f t="array" ref="J666">_xlfn.SWITCH(B666,1,75,2,61,3,49,4,37,5,25,6,13,7,4,8,1)</f>
        <v>25</v>
      </c>
      <c r="K666" t="str" cm="1">
        <f t="array" ref="K666">IFERROR(_xlfn.SWITCH(L666,2,_xlfn.XLOOKUP(C666,[1]ModifierDes!$B:$B,[1]ModifierDes!$C:$C),3,_xlfn.XLOOKUP(C666,[1]StuntDes!$B:$B,[1]StuntDes!$C:$C)),"")</f>
        <v/>
      </c>
      <c r="L666">
        <f t="shared" si="34"/>
        <v>1</v>
      </c>
      <c r="M666" s="10" t="str">
        <f>IFERROR(_xlfn.XLOOKUP(C666,[1]StuntDes!$B:$B,[1]StuntDes!$A:$A),"")</f>
        <v/>
      </c>
      <c r="N666" s="10" t="str">
        <f>IFERROR(_xlfn.XLOOKUP(C666,[1]ModifierDes!$B:$B,[1]ModifierDes!$A:$A),"")</f>
        <v/>
      </c>
      <c r="O666" s="10">
        <f>IFERROR(_xlfn.XLOOKUP(C666,[1]AttributeName!$C:$C,[1]AttributeName!$B:$B),"")</f>
        <v>10501</v>
      </c>
      <c r="P666" s="10"/>
      <c r="Q666">
        <v>0.14</v>
      </c>
      <c r="R666">
        <v>0.17</v>
      </c>
      <c r="S666" cm="1">
        <f t="array" ref="S666">IFERROR(_xlfn.SWITCH(L666,1,_xlfn.XLOOKUP(O666,[1]AttributeName!$B:$B,[1]AttributeName!$D:$D),2,_xlfn.XLOOKUP(C666,#REF!,#REF!),3,_xlfn.XLOOKUP(C666,#REF!,#REF!)),0)</f>
        <v>2</v>
      </c>
      <c r="T666" cm="1">
        <f t="array" ref="T666">IFERROR(_xlfn.SWITCH(L666,1,_xlfn.XLOOKUP(O666,[1]AttributeName!$B:$B,[1]AttributeName!$E:$E),2,_xlfn.XLOOKUP(C666,#REF!,#REF!),3,_xlfn.XLOOKUP(C666,#REF!,#REF!)),0)</f>
        <v>2</v>
      </c>
    </row>
    <row r="667" customFormat="1" spans="1:20">
      <c r="A667">
        <f t="shared" si="35"/>
        <v>259</v>
      </c>
      <c r="B667">
        <v>6</v>
      </c>
      <c r="C667" t="s">
        <v>402</v>
      </c>
      <c r="D667" t="s">
        <v>25</v>
      </c>
      <c r="E667" t="s">
        <v>392</v>
      </c>
      <c r="F667"/>
      <c r="G667">
        <v>2</v>
      </c>
      <c r="H667">
        <v>500</v>
      </c>
      <c r="I667">
        <v>3</v>
      </c>
      <c r="J667" cm="1">
        <f t="array" ref="J667">_xlfn.SWITCH(B667,1,75,2,61,3,49,4,37,5,25,6,13,7,4,8,1)</f>
        <v>13</v>
      </c>
      <c r="K667" t="str" cm="1">
        <f t="array" ref="K667">IFERROR(_xlfn.SWITCH(L667,2,_xlfn.XLOOKUP(C667,[1]ModifierDes!$B:$B,[1]ModifierDes!$C:$C),3,_xlfn.XLOOKUP(C667,[1]StuntDes!$B:$B,[1]StuntDes!$C:$C)),"")</f>
        <v/>
      </c>
      <c r="L667">
        <f t="shared" si="34"/>
        <v>1</v>
      </c>
      <c r="M667" s="10" t="str">
        <f>IFERROR(_xlfn.XLOOKUP(C667,[1]StuntDes!$B:$B,[1]StuntDes!$A:$A),"")</f>
        <v/>
      </c>
      <c r="N667" s="10" t="str">
        <f>IFERROR(_xlfn.XLOOKUP(C667,[1]ModifierDes!$B:$B,[1]ModifierDes!$A:$A),"")</f>
        <v/>
      </c>
      <c r="O667" s="10">
        <f>IFERROR(_xlfn.XLOOKUP(C667,[1]AttributeName!$C:$C,[1]AttributeName!$B:$B),"")</f>
        <v>10501</v>
      </c>
      <c r="P667" s="10"/>
      <c r="Q667">
        <v>0.1</v>
      </c>
      <c r="R667">
        <v>0.13</v>
      </c>
      <c r="S667" cm="1">
        <f t="array" ref="S667">IFERROR(_xlfn.SWITCH(L667,1,_xlfn.XLOOKUP(O667,[1]AttributeName!$B:$B,[1]AttributeName!$D:$D),2,_xlfn.XLOOKUP(C667,#REF!,#REF!),3,_xlfn.XLOOKUP(C667,#REF!,#REF!)),0)</f>
        <v>2</v>
      </c>
      <c r="T667" cm="1">
        <f t="array" ref="T667">IFERROR(_xlfn.SWITCH(L667,1,_xlfn.XLOOKUP(O667,[1]AttributeName!$B:$B,[1]AttributeName!$E:$E),2,_xlfn.XLOOKUP(C667,#REF!,#REF!),3,_xlfn.XLOOKUP(C667,#REF!,#REF!)),0)</f>
        <v>2</v>
      </c>
    </row>
    <row r="668" customFormat="1" spans="1:20">
      <c r="A668">
        <f t="shared" si="35"/>
        <v>259</v>
      </c>
      <c r="B668">
        <v>7</v>
      </c>
      <c r="C668" t="s">
        <v>402</v>
      </c>
      <c r="D668" t="s">
        <v>25</v>
      </c>
      <c r="E668" t="s">
        <v>392</v>
      </c>
      <c r="F668"/>
      <c r="G668">
        <v>2</v>
      </c>
      <c r="H668">
        <v>500</v>
      </c>
      <c r="I668">
        <v>3</v>
      </c>
      <c r="J668" cm="1">
        <f t="array" ref="J668">_xlfn.SWITCH(B668,1,75,2,61,3,49,4,37,5,25,6,13,7,4,8,1)</f>
        <v>4</v>
      </c>
      <c r="K668" t="str" cm="1">
        <f t="array" ref="K668">IFERROR(_xlfn.SWITCH(L668,2,_xlfn.XLOOKUP(C668,[1]ModifierDes!$B:$B,[1]ModifierDes!$C:$C),3,_xlfn.XLOOKUP(C668,[1]StuntDes!$B:$B,[1]StuntDes!$C:$C)),"")</f>
        <v/>
      </c>
      <c r="L668">
        <f t="shared" si="34"/>
        <v>1</v>
      </c>
      <c r="M668" s="10" t="str">
        <f>IFERROR(_xlfn.XLOOKUP(C668,[1]StuntDes!$B:$B,[1]StuntDes!$A:$A),"")</f>
        <v/>
      </c>
      <c r="N668" s="10" t="str">
        <f>IFERROR(_xlfn.XLOOKUP(C668,[1]ModifierDes!$B:$B,[1]ModifierDes!$A:$A),"")</f>
        <v/>
      </c>
      <c r="O668" s="10">
        <f>IFERROR(_xlfn.XLOOKUP(C668,[1]AttributeName!$C:$C,[1]AttributeName!$B:$B),"")</f>
        <v>10501</v>
      </c>
      <c r="P668" s="10"/>
      <c r="Q668">
        <v>0.06</v>
      </c>
      <c r="R668">
        <v>0.0900000000000001</v>
      </c>
      <c r="S668" cm="1">
        <f t="array" ref="S668">IFERROR(_xlfn.SWITCH(L668,1,_xlfn.XLOOKUP(O668,[1]AttributeName!$B:$B,[1]AttributeName!$D:$D),2,_xlfn.XLOOKUP(C668,#REF!,#REF!),3,_xlfn.XLOOKUP(C668,#REF!,#REF!)),0)</f>
        <v>2</v>
      </c>
      <c r="T668" cm="1">
        <f t="array" ref="T668">IFERROR(_xlfn.SWITCH(L668,1,_xlfn.XLOOKUP(O668,[1]AttributeName!$B:$B,[1]AttributeName!$E:$E),2,_xlfn.XLOOKUP(C668,#REF!,#REF!),3,_xlfn.XLOOKUP(C668,#REF!,#REF!)),0)</f>
        <v>2</v>
      </c>
    </row>
    <row r="669" customFormat="1" spans="1:20">
      <c r="A669">
        <f t="shared" si="35"/>
        <v>259</v>
      </c>
      <c r="B669">
        <v>8</v>
      </c>
      <c r="C669" t="s">
        <v>402</v>
      </c>
      <c r="D669" t="s">
        <v>25</v>
      </c>
      <c r="E669" t="s">
        <v>392</v>
      </c>
      <c r="F669"/>
      <c r="G669">
        <v>2</v>
      </c>
      <c r="H669">
        <v>500</v>
      </c>
      <c r="I669">
        <v>3</v>
      </c>
      <c r="J669" cm="1">
        <f t="array" ref="J669">_xlfn.SWITCH(B669,1,75,2,61,3,49,4,37,5,25,6,13,7,4,8,1)</f>
        <v>1</v>
      </c>
      <c r="K669" t="str" cm="1">
        <f t="array" ref="K669">IFERROR(_xlfn.SWITCH(L669,2,_xlfn.XLOOKUP(C669,[1]ModifierDes!$B:$B,[1]ModifierDes!$C:$C),3,_xlfn.XLOOKUP(C669,[1]StuntDes!$B:$B,[1]StuntDes!$C:$C)),"")</f>
        <v/>
      </c>
      <c r="L669">
        <f t="shared" si="34"/>
        <v>1</v>
      </c>
      <c r="M669" s="10" t="str">
        <f>IFERROR(_xlfn.XLOOKUP(C669,[1]StuntDes!$B:$B,[1]StuntDes!$A:$A),"")</f>
        <v/>
      </c>
      <c r="N669" s="10" t="str">
        <f>IFERROR(_xlfn.XLOOKUP(C669,[1]ModifierDes!$B:$B,[1]ModifierDes!$A:$A),"")</f>
        <v/>
      </c>
      <c r="O669" s="10">
        <f>IFERROR(_xlfn.XLOOKUP(C669,[1]AttributeName!$C:$C,[1]AttributeName!$B:$B),"")</f>
        <v>10501</v>
      </c>
      <c r="P669" s="10"/>
      <c r="Q669">
        <v>0.02</v>
      </c>
      <c r="R669">
        <v>0.0500000000000001</v>
      </c>
      <c r="S669" cm="1">
        <f t="array" ref="S669">IFERROR(_xlfn.SWITCH(L669,1,_xlfn.XLOOKUP(O669,[1]AttributeName!$B:$B,[1]AttributeName!$D:$D),2,_xlfn.XLOOKUP(C669,#REF!,#REF!),3,_xlfn.XLOOKUP(C669,#REF!,#REF!)),0)</f>
        <v>2</v>
      </c>
      <c r="T669" cm="1">
        <f t="array" ref="T669">IFERROR(_xlfn.SWITCH(L669,1,_xlfn.XLOOKUP(O669,[1]AttributeName!$B:$B,[1]AttributeName!$E:$E),2,_xlfn.XLOOKUP(C669,#REF!,#REF!),3,_xlfn.XLOOKUP(C669,#REF!,#REF!)),0)</f>
        <v>2</v>
      </c>
    </row>
    <row r="670" customFormat="1" spans="1:20">
      <c r="A670">
        <f t="shared" si="35"/>
        <v>260</v>
      </c>
      <c r="B670">
        <v>1</v>
      </c>
      <c r="C670" t="s">
        <v>403</v>
      </c>
      <c r="D670" t="s">
        <v>25</v>
      </c>
      <c r="E670" t="s">
        <v>392</v>
      </c>
      <c r="F670"/>
      <c r="G670">
        <v>2</v>
      </c>
      <c r="H670">
        <v>50</v>
      </c>
      <c r="I670">
        <v>3</v>
      </c>
      <c r="J670" cm="1">
        <f t="array" ref="J670">_xlfn.SWITCH(B670,1,75,2,61,3,49,4,37,5,25,6,13,7,4,8,1)</f>
        <v>75</v>
      </c>
      <c r="K670" t="str" cm="1">
        <f t="array" ref="K670">IFERROR(_xlfn.SWITCH(L670,2,_xlfn.XLOOKUP(C670,[1]ModifierDes!$B:$B,[1]ModifierDes!$C:$C),3,_xlfn.XLOOKUP(C670,[1]StuntDes!$B:$B,[1]StuntDes!$C:$C)),"")</f>
        <v/>
      </c>
      <c r="L670">
        <f t="shared" si="34"/>
        <v>1</v>
      </c>
      <c r="M670" s="10" t="str">
        <f>IFERROR(_xlfn.XLOOKUP(C670,[1]StuntDes!$B:$B,[1]StuntDes!$A:$A),"")</f>
        <v/>
      </c>
      <c r="N670" s="10" t="str">
        <f>IFERROR(_xlfn.XLOOKUP(C670,[1]ModifierDes!$B:$B,[1]ModifierDes!$A:$A),"")</f>
        <v/>
      </c>
      <c r="O670" s="10">
        <f>IFERROR(_xlfn.XLOOKUP(C670,[1]AttributeName!$C:$C,[1]AttributeName!$B:$B),"")</f>
        <v>10502</v>
      </c>
      <c r="P670" s="10"/>
      <c r="Q670">
        <v>0.3</v>
      </c>
      <c r="R670">
        <v>0.4</v>
      </c>
      <c r="S670" cm="1">
        <f t="array" ref="S670">IFERROR(_xlfn.SWITCH(L670,1,_xlfn.XLOOKUP(O670,[1]AttributeName!$B:$B,[1]AttributeName!$D:$D),2,_xlfn.XLOOKUP(C670,#REF!,#REF!),3,_xlfn.XLOOKUP(C670,#REF!,#REF!)),0)</f>
        <v>2</v>
      </c>
      <c r="T670" cm="1">
        <f t="array" ref="T670">IFERROR(_xlfn.SWITCH(L670,1,_xlfn.XLOOKUP(O670,[1]AttributeName!$B:$B,[1]AttributeName!$E:$E),2,_xlfn.XLOOKUP(C670,#REF!,#REF!),3,_xlfn.XLOOKUP(C670,#REF!,#REF!)),0)</f>
        <v>2</v>
      </c>
    </row>
    <row r="671" customFormat="1" spans="1:20">
      <c r="A671">
        <f t="shared" si="35"/>
        <v>260</v>
      </c>
      <c r="B671">
        <v>2</v>
      </c>
      <c r="C671" t="s">
        <v>403</v>
      </c>
      <c r="D671" t="s">
        <v>25</v>
      </c>
      <c r="E671" t="s">
        <v>392</v>
      </c>
      <c r="F671"/>
      <c r="G671">
        <v>2</v>
      </c>
      <c r="H671">
        <v>100</v>
      </c>
      <c r="I671">
        <v>3</v>
      </c>
      <c r="J671" cm="1">
        <f t="array" ref="J671">_xlfn.SWITCH(B671,1,75,2,61,3,49,4,37,5,25,6,13,7,4,8,1)</f>
        <v>61</v>
      </c>
      <c r="K671" t="str" cm="1">
        <f t="array" ref="K671">IFERROR(_xlfn.SWITCH(L671,2,_xlfn.XLOOKUP(C671,[1]ModifierDes!$B:$B,[1]ModifierDes!$C:$C),3,_xlfn.XLOOKUP(C671,[1]StuntDes!$B:$B,[1]StuntDes!$C:$C)),"")</f>
        <v/>
      </c>
      <c r="L671">
        <f t="shared" si="34"/>
        <v>1</v>
      </c>
      <c r="M671" s="10" t="str">
        <f>IFERROR(_xlfn.XLOOKUP(C671,[1]StuntDes!$B:$B,[1]StuntDes!$A:$A),"")</f>
        <v/>
      </c>
      <c r="N671" s="10" t="str">
        <f>IFERROR(_xlfn.XLOOKUP(C671,[1]ModifierDes!$B:$B,[1]ModifierDes!$A:$A),"")</f>
        <v/>
      </c>
      <c r="O671" s="10">
        <f>IFERROR(_xlfn.XLOOKUP(C671,[1]AttributeName!$C:$C,[1]AttributeName!$B:$B),"")</f>
        <v>10502</v>
      </c>
      <c r="P671" s="10"/>
      <c r="Q671">
        <v>0.26</v>
      </c>
      <c r="R671">
        <v>0.29</v>
      </c>
      <c r="S671" cm="1">
        <f t="array" ref="S671">IFERROR(_xlfn.SWITCH(L671,1,_xlfn.XLOOKUP(O671,[1]AttributeName!$B:$B,[1]AttributeName!$D:$D),2,_xlfn.XLOOKUP(C671,#REF!,#REF!),3,_xlfn.XLOOKUP(C671,#REF!,#REF!)),0)</f>
        <v>2</v>
      </c>
      <c r="T671" cm="1">
        <f t="array" ref="T671">IFERROR(_xlfn.SWITCH(L671,1,_xlfn.XLOOKUP(O671,[1]AttributeName!$B:$B,[1]AttributeName!$E:$E),2,_xlfn.XLOOKUP(C671,#REF!,#REF!),3,_xlfn.XLOOKUP(C671,#REF!,#REF!)),0)</f>
        <v>2</v>
      </c>
    </row>
    <row r="672" customFormat="1" spans="1:20">
      <c r="A672">
        <f t="shared" si="35"/>
        <v>260</v>
      </c>
      <c r="B672">
        <v>3</v>
      </c>
      <c r="C672" t="s">
        <v>403</v>
      </c>
      <c r="D672" t="s">
        <v>25</v>
      </c>
      <c r="E672" t="s">
        <v>392</v>
      </c>
      <c r="F672"/>
      <c r="G672">
        <v>2</v>
      </c>
      <c r="H672">
        <v>250</v>
      </c>
      <c r="I672">
        <v>3</v>
      </c>
      <c r="J672" cm="1">
        <f t="array" ref="J672">_xlfn.SWITCH(B672,1,75,2,61,3,49,4,37,5,25,6,13,7,4,8,1)</f>
        <v>49</v>
      </c>
      <c r="K672" t="str" cm="1">
        <f t="array" ref="K672">IFERROR(_xlfn.SWITCH(L672,2,_xlfn.XLOOKUP(C672,[1]ModifierDes!$B:$B,[1]ModifierDes!$C:$C),3,_xlfn.XLOOKUP(C672,[1]StuntDes!$B:$B,[1]StuntDes!$C:$C)),"")</f>
        <v/>
      </c>
      <c r="L672">
        <f t="shared" si="34"/>
        <v>1</v>
      </c>
      <c r="M672" s="10" t="str">
        <f>IFERROR(_xlfn.XLOOKUP(C672,[1]StuntDes!$B:$B,[1]StuntDes!$A:$A),"")</f>
        <v/>
      </c>
      <c r="N672" s="10" t="str">
        <f>IFERROR(_xlfn.XLOOKUP(C672,[1]ModifierDes!$B:$B,[1]ModifierDes!$A:$A),"")</f>
        <v/>
      </c>
      <c r="O672" s="10">
        <f>IFERROR(_xlfn.XLOOKUP(C672,[1]AttributeName!$C:$C,[1]AttributeName!$B:$B),"")</f>
        <v>10502</v>
      </c>
      <c r="P672" s="10"/>
      <c r="Q672">
        <v>0.22</v>
      </c>
      <c r="R672">
        <v>0.25</v>
      </c>
      <c r="S672" cm="1">
        <f t="array" ref="S672">IFERROR(_xlfn.SWITCH(L672,1,_xlfn.XLOOKUP(O672,[1]AttributeName!$B:$B,[1]AttributeName!$D:$D),2,_xlfn.XLOOKUP(C672,#REF!,#REF!),3,_xlfn.XLOOKUP(C672,#REF!,#REF!)),0)</f>
        <v>2</v>
      </c>
      <c r="T672" cm="1">
        <f t="array" ref="T672">IFERROR(_xlfn.SWITCH(L672,1,_xlfn.XLOOKUP(O672,[1]AttributeName!$B:$B,[1]AttributeName!$E:$E),2,_xlfn.XLOOKUP(C672,#REF!,#REF!),3,_xlfn.XLOOKUP(C672,#REF!,#REF!)),0)</f>
        <v>2</v>
      </c>
    </row>
    <row r="673" customFormat="1" spans="1:20">
      <c r="A673">
        <f t="shared" si="35"/>
        <v>260</v>
      </c>
      <c r="B673">
        <v>4</v>
      </c>
      <c r="C673" t="s">
        <v>403</v>
      </c>
      <c r="D673" t="s">
        <v>25</v>
      </c>
      <c r="E673" t="s">
        <v>392</v>
      </c>
      <c r="F673"/>
      <c r="G673">
        <v>2</v>
      </c>
      <c r="H673">
        <v>500</v>
      </c>
      <c r="I673">
        <v>3</v>
      </c>
      <c r="J673" cm="1">
        <f t="array" ref="J673">_xlfn.SWITCH(B673,1,75,2,61,3,49,4,37,5,25,6,13,7,4,8,1)</f>
        <v>37</v>
      </c>
      <c r="K673" t="str" cm="1">
        <f t="array" ref="K673">IFERROR(_xlfn.SWITCH(L673,2,_xlfn.XLOOKUP(C673,[1]ModifierDes!$B:$B,[1]ModifierDes!$C:$C),3,_xlfn.XLOOKUP(C673,[1]StuntDes!$B:$B,[1]StuntDes!$C:$C)),"")</f>
        <v/>
      </c>
      <c r="L673">
        <f t="shared" si="34"/>
        <v>1</v>
      </c>
      <c r="M673" s="10" t="str">
        <f>IFERROR(_xlfn.XLOOKUP(C673,[1]StuntDes!$B:$B,[1]StuntDes!$A:$A),"")</f>
        <v/>
      </c>
      <c r="N673" s="10" t="str">
        <f>IFERROR(_xlfn.XLOOKUP(C673,[1]ModifierDes!$B:$B,[1]ModifierDes!$A:$A),"")</f>
        <v/>
      </c>
      <c r="O673" s="10">
        <f>IFERROR(_xlfn.XLOOKUP(C673,[1]AttributeName!$C:$C,[1]AttributeName!$B:$B),"")</f>
        <v>10502</v>
      </c>
      <c r="P673" s="10"/>
      <c r="Q673">
        <v>0.18</v>
      </c>
      <c r="R673">
        <v>0.21</v>
      </c>
      <c r="S673" cm="1">
        <f t="array" ref="S673">IFERROR(_xlfn.SWITCH(L673,1,_xlfn.XLOOKUP(O673,[1]AttributeName!$B:$B,[1]AttributeName!$D:$D),2,_xlfn.XLOOKUP(C673,#REF!,#REF!),3,_xlfn.XLOOKUP(C673,#REF!,#REF!)),0)</f>
        <v>2</v>
      </c>
      <c r="T673" cm="1">
        <f t="array" ref="T673">IFERROR(_xlfn.SWITCH(L673,1,_xlfn.XLOOKUP(O673,[1]AttributeName!$B:$B,[1]AttributeName!$E:$E),2,_xlfn.XLOOKUP(C673,#REF!,#REF!),3,_xlfn.XLOOKUP(C673,#REF!,#REF!)),0)</f>
        <v>2</v>
      </c>
    </row>
    <row r="674" customFormat="1" spans="1:20">
      <c r="A674">
        <f t="shared" si="35"/>
        <v>260</v>
      </c>
      <c r="B674">
        <v>5</v>
      </c>
      <c r="C674" t="s">
        <v>403</v>
      </c>
      <c r="D674" t="s">
        <v>25</v>
      </c>
      <c r="E674" t="s">
        <v>392</v>
      </c>
      <c r="F674"/>
      <c r="G674">
        <v>2</v>
      </c>
      <c r="H674">
        <v>500</v>
      </c>
      <c r="I674">
        <v>3</v>
      </c>
      <c r="J674" cm="1">
        <f t="array" ref="J674">_xlfn.SWITCH(B674,1,75,2,61,3,49,4,37,5,25,6,13,7,4,8,1)</f>
        <v>25</v>
      </c>
      <c r="K674" t="str" cm="1">
        <f t="array" ref="K674">IFERROR(_xlfn.SWITCH(L674,2,_xlfn.XLOOKUP(C674,[1]ModifierDes!$B:$B,[1]ModifierDes!$C:$C),3,_xlfn.XLOOKUP(C674,[1]StuntDes!$B:$B,[1]StuntDes!$C:$C)),"")</f>
        <v/>
      </c>
      <c r="L674">
        <f t="shared" si="34"/>
        <v>1</v>
      </c>
      <c r="M674" s="10" t="str">
        <f>IFERROR(_xlfn.XLOOKUP(C674,[1]StuntDes!$B:$B,[1]StuntDes!$A:$A),"")</f>
        <v/>
      </c>
      <c r="N674" s="10" t="str">
        <f>IFERROR(_xlfn.XLOOKUP(C674,[1]ModifierDes!$B:$B,[1]ModifierDes!$A:$A),"")</f>
        <v/>
      </c>
      <c r="O674" s="10">
        <f>IFERROR(_xlfn.XLOOKUP(C674,[1]AttributeName!$C:$C,[1]AttributeName!$B:$B),"")</f>
        <v>10502</v>
      </c>
      <c r="P674" s="10"/>
      <c r="Q674">
        <v>0.14</v>
      </c>
      <c r="R674">
        <v>0.17</v>
      </c>
      <c r="S674" cm="1">
        <f t="array" ref="S674">IFERROR(_xlfn.SWITCH(L674,1,_xlfn.XLOOKUP(O674,[1]AttributeName!$B:$B,[1]AttributeName!$D:$D),2,_xlfn.XLOOKUP(C674,#REF!,#REF!),3,_xlfn.XLOOKUP(C674,#REF!,#REF!)),0)</f>
        <v>2</v>
      </c>
      <c r="T674" cm="1">
        <f t="array" ref="T674">IFERROR(_xlfn.SWITCH(L674,1,_xlfn.XLOOKUP(O674,[1]AttributeName!$B:$B,[1]AttributeName!$E:$E),2,_xlfn.XLOOKUP(C674,#REF!,#REF!),3,_xlfn.XLOOKUP(C674,#REF!,#REF!)),0)</f>
        <v>2</v>
      </c>
    </row>
    <row r="675" customFormat="1" spans="1:20">
      <c r="A675">
        <f t="shared" si="35"/>
        <v>260</v>
      </c>
      <c r="B675">
        <v>6</v>
      </c>
      <c r="C675" t="s">
        <v>403</v>
      </c>
      <c r="D675" t="s">
        <v>25</v>
      </c>
      <c r="E675" t="s">
        <v>392</v>
      </c>
      <c r="F675"/>
      <c r="G675">
        <v>2</v>
      </c>
      <c r="H675">
        <v>500</v>
      </c>
      <c r="I675">
        <v>3</v>
      </c>
      <c r="J675" cm="1">
        <f t="array" ref="J675">_xlfn.SWITCH(B675,1,75,2,61,3,49,4,37,5,25,6,13,7,4,8,1)</f>
        <v>13</v>
      </c>
      <c r="K675" t="str" cm="1">
        <f t="array" ref="K675">IFERROR(_xlfn.SWITCH(L675,2,_xlfn.XLOOKUP(C675,[1]ModifierDes!$B:$B,[1]ModifierDes!$C:$C),3,_xlfn.XLOOKUP(C675,[1]StuntDes!$B:$B,[1]StuntDes!$C:$C)),"")</f>
        <v/>
      </c>
      <c r="L675">
        <f t="shared" si="34"/>
        <v>1</v>
      </c>
      <c r="M675" s="10" t="str">
        <f>IFERROR(_xlfn.XLOOKUP(C675,[1]StuntDes!$B:$B,[1]StuntDes!$A:$A),"")</f>
        <v/>
      </c>
      <c r="N675" s="10" t="str">
        <f>IFERROR(_xlfn.XLOOKUP(C675,[1]ModifierDes!$B:$B,[1]ModifierDes!$A:$A),"")</f>
        <v/>
      </c>
      <c r="O675" s="10">
        <f>IFERROR(_xlfn.XLOOKUP(C675,[1]AttributeName!$C:$C,[1]AttributeName!$B:$B),"")</f>
        <v>10502</v>
      </c>
      <c r="P675" s="10"/>
      <c r="Q675">
        <v>0.1</v>
      </c>
      <c r="R675">
        <v>0.13</v>
      </c>
      <c r="S675" cm="1">
        <f t="array" ref="S675">IFERROR(_xlfn.SWITCH(L675,1,_xlfn.XLOOKUP(O675,[1]AttributeName!$B:$B,[1]AttributeName!$D:$D),2,_xlfn.XLOOKUP(C675,#REF!,#REF!),3,_xlfn.XLOOKUP(C675,#REF!,#REF!)),0)</f>
        <v>2</v>
      </c>
      <c r="T675" cm="1">
        <f t="array" ref="T675">IFERROR(_xlfn.SWITCH(L675,1,_xlfn.XLOOKUP(O675,[1]AttributeName!$B:$B,[1]AttributeName!$E:$E),2,_xlfn.XLOOKUP(C675,#REF!,#REF!),3,_xlfn.XLOOKUP(C675,#REF!,#REF!)),0)</f>
        <v>2</v>
      </c>
    </row>
    <row r="676" customFormat="1" spans="1:20">
      <c r="A676">
        <f t="shared" si="35"/>
        <v>260</v>
      </c>
      <c r="B676">
        <v>7</v>
      </c>
      <c r="C676" t="s">
        <v>403</v>
      </c>
      <c r="D676" t="s">
        <v>25</v>
      </c>
      <c r="E676" t="s">
        <v>392</v>
      </c>
      <c r="F676"/>
      <c r="G676">
        <v>2</v>
      </c>
      <c r="H676">
        <v>500</v>
      </c>
      <c r="I676">
        <v>3</v>
      </c>
      <c r="J676" cm="1">
        <f t="array" ref="J676">_xlfn.SWITCH(B676,1,75,2,61,3,49,4,37,5,25,6,13,7,4,8,1)</f>
        <v>4</v>
      </c>
      <c r="K676" t="str" cm="1">
        <f t="array" ref="K676">IFERROR(_xlfn.SWITCH(L676,2,_xlfn.XLOOKUP(C676,[1]ModifierDes!$B:$B,[1]ModifierDes!$C:$C),3,_xlfn.XLOOKUP(C676,[1]StuntDes!$B:$B,[1]StuntDes!$C:$C)),"")</f>
        <v/>
      </c>
      <c r="L676">
        <f t="shared" si="34"/>
        <v>1</v>
      </c>
      <c r="M676" s="10" t="str">
        <f>IFERROR(_xlfn.XLOOKUP(C676,[1]StuntDes!$B:$B,[1]StuntDes!$A:$A),"")</f>
        <v/>
      </c>
      <c r="N676" s="10" t="str">
        <f>IFERROR(_xlfn.XLOOKUP(C676,[1]ModifierDes!$B:$B,[1]ModifierDes!$A:$A),"")</f>
        <v/>
      </c>
      <c r="O676" s="10">
        <f>IFERROR(_xlfn.XLOOKUP(C676,[1]AttributeName!$C:$C,[1]AttributeName!$B:$B),"")</f>
        <v>10502</v>
      </c>
      <c r="P676" s="10"/>
      <c r="Q676">
        <v>0.06</v>
      </c>
      <c r="R676">
        <v>0.0900000000000001</v>
      </c>
      <c r="S676" cm="1">
        <f t="array" ref="S676">IFERROR(_xlfn.SWITCH(L676,1,_xlfn.XLOOKUP(O676,[1]AttributeName!$B:$B,[1]AttributeName!$D:$D),2,_xlfn.XLOOKUP(C676,#REF!,#REF!),3,_xlfn.XLOOKUP(C676,#REF!,#REF!)),0)</f>
        <v>2</v>
      </c>
      <c r="T676" cm="1">
        <f t="array" ref="T676">IFERROR(_xlfn.SWITCH(L676,1,_xlfn.XLOOKUP(O676,[1]AttributeName!$B:$B,[1]AttributeName!$E:$E),2,_xlfn.XLOOKUP(C676,#REF!,#REF!),3,_xlfn.XLOOKUP(C676,#REF!,#REF!)),0)</f>
        <v>2</v>
      </c>
    </row>
    <row r="677" customFormat="1" spans="1:20">
      <c r="A677">
        <f t="shared" si="35"/>
        <v>260</v>
      </c>
      <c r="B677">
        <v>8</v>
      </c>
      <c r="C677" t="s">
        <v>403</v>
      </c>
      <c r="D677" t="s">
        <v>25</v>
      </c>
      <c r="E677" t="s">
        <v>392</v>
      </c>
      <c r="F677"/>
      <c r="G677">
        <v>2</v>
      </c>
      <c r="H677">
        <v>500</v>
      </c>
      <c r="I677">
        <v>3</v>
      </c>
      <c r="J677" cm="1">
        <f t="array" ref="J677">_xlfn.SWITCH(B677,1,75,2,61,3,49,4,37,5,25,6,13,7,4,8,1)</f>
        <v>1</v>
      </c>
      <c r="K677" t="str" cm="1">
        <f t="array" ref="K677">IFERROR(_xlfn.SWITCH(L677,2,_xlfn.XLOOKUP(C677,[1]ModifierDes!$B:$B,[1]ModifierDes!$C:$C),3,_xlfn.XLOOKUP(C677,[1]StuntDes!$B:$B,[1]StuntDes!$C:$C)),"")</f>
        <v/>
      </c>
      <c r="L677">
        <f t="shared" si="34"/>
        <v>1</v>
      </c>
      <c r="M677" s="10" t="str">
        <f>IFERROR(_xlfn.XLOOKUP(C677,[1]StuntDes!$B:$B,[1]StuntDes!$A:$A),"")</f>
        <v/>
      </c>
      <c r="N677" s="10" t="str">
        <f>IFERROR(_xlfn.XLOOKUP(C677,[1]ModifierDes!$B:$B,[1]ModifierDes!$A:$A),"")</f>
        <v/>
      </c>
      <c r="O677" s="10">
        <f>IFERROR(_xlfn.XLOOKUP(C677,[1]AttributeName!$C:$C,[1]AttributeName!$B:$B),"")</f>
        <v>10502</v>
      </c>
      <c r="P677" s="10"/>
      <c r="Q677">
        <v>0.02</v>
      </c>
      <c r="R677">
        <v>0.0500000000000001</v>
      </c>
      <c r="S677" cm="1">
        <f t="array" ref="S677">IFERROR(_xlfn.SWITCH(L677,1,_xlfn.XLOOKUP(O677,[1]AttributeName!$B:$B,[1]AttributeName!$D:$D),2,_xlfn.XLOOKUP(C677,#REF!,#REF!),3,_xlfn.XLOOKUP(C677,#REF!,#REF!)),0)</f>
        <v>2</v>
      </c>
      <c r="T677" cm="1">
        <f t="array" ref="T677">IFERROR(_xlfn.SWITCH(L677,1,_xlfn.XLOOKUP(O677,[1]AttributeName!$B:$B,[1]AttributeName!$E:$E),2,_xlfn.XLOOKUP(C677,#REF!,#REF!),3,_xlfn.XLOOKUP(C677,#REF!,#REF!)),0)</f>
        <v>2</v>
      </c>
    </row>
    <row r="678" customFormat="1" spans="1:20">
      <c r="A678">
        <f t="shared" si="35"/>
        <v>261</v>
      </c>
      <c r="B678">
        <v>1</v>
      </c>
      <c r="C678" t="s">
        <v>404</v>
      </c>
      <c r="D678" t="s">
        <v>25</v>
      </c>
      <c r="E678" t="s">
        <v>392</v>
      </c>
      <c r="F678"/>
      <c r="G678">
        <v>2</v>
      </c>
      <c r="H678">
        <v>50</v>
      </c>
      <c r="I678">
        <v>3</v>
      </c>
      <c r="J678" cm="1">
        <f t="array" ref="J678">_xlfn.SWITCH(B678,1,75,2,61,3,49,4,37,5,25,6,13,7,4,8,1)</f>
        <v>75</v>
      </c>
      <c r="K678" t="str" cm="1">
        <f t="array" ref="K678">IFERROR(_xlfn.SWITCH(L678,2,_xlfn.XLOOKUP(C678,[1]ModifierDes!$B:$B,[1]ModifierDes!$C:$C),3,_xlfn.XLOOKUP(C678,[1]StuntDes!$B:$B,[1]StuntDes!$C:$C)),"")</f>
        <v/>
      </c>
      <c r="L678">
        <f t="shared" si="34"/>
        <v>1</v>
      </c>
      <c r="M678" s="10" t="str">
        <f>IFERROR(_xlfn.XLOOKUP(C678,[1]StuntDes!$B:$B,[1]StuntDes!$A:$A),"")</f>
        <v/>
      </c>
      <c r="N678" s="10" t="str">
        <f>IFERROR(_xlfn.XLOOKUP(C678,[1]ModifierDes!$B:$B,[1]ModifierDes!$A:$A),"")</f>
        <v/>
      </c>
      <c r="O678" s="10">
        <f>IFERROR(_xlfn.XLOOKUP(C678,[1]AttributeName!$C:$C,[1]AttributeName!$B:$B),"")</f>
        <v>10503</v>
      </c>
      <c r="P678" s="10"/>
      <c r="Q678">
        <v>0.3</v>
      </c>
      <c r="R678">
        <v>0.4</v>
      </c>
      <c r="S678" cm="1">
        <f t="array" ref="S678">IFERROR(_xlfn.SWITCH(L678,1,_xlfn.XLOOKUP(O678,[1]AttributeName!$B:$B,[1]AttributeName!$D:$D),2,_xlfn.XLOOKUP(C678,#REF!,#REF!),3,_xlfn.XLOOKUP(C678,#REF!,#REF!)),0)</f>
        <v>2</v>
      </c>
      <c r="T678" cm="1">
        <f t="array" ref="T678">IFERROR(_xlfn.SWITCH(L678,1,_xlfn.XLOOKUP(O678,[1]AttributeName!$B:$B,[1]AttributeName!$E:$E),2,_xlfn.XLOOKUP(C678,#REF!,#REF!),3,_xlfn.XLOOKUP(C678,#REF!,#REF!)),0)</f>
        <v>2</v>
      </c>
    </row>
    <row r="679" customFormat="1" spans="1:20">
      <c r="A679">
        <f t="shared" si="35"/>
        <v>261</v>
      </c>
      <c r="B679">
        <v>2</v>
      </c>
      <c r="C679" t="s">
        <v>404</v>
      </c>
      <c r="D679" t="s">
        <v>25</v>
      </c>
      <c r="E679" t="s">
        <v>392</v>
      </c>
      <c r="F679"/>
      <c r="G679">
        <v>2</v>
      </c>
      <c r="H679">
        <v>100</v>
      </c>
      <c r="I679">
        <v>3</v>
      </c>
      <c r="J679" cm="1">
        <f t="array" ref="J679">_xlfn.SWITCH(B679,1,75,2,61,3,49,4,37,5,25,6,13,7,4,8,1)</f>
        <v>61</v>
      </c>
      <c r="K679" t="str" cm="1">
        <f t="array" ref="K679">IFERROR(_xlfn.SWITCH(L679,2,_xlfn.XLOOKUP(C679,[1]ModifierDes!$B:$B,[1]ModifierDes!$C:$C),3,_xlfn.XLOOKUP(C679,[1]StuntDes!$B:$B,[1]StuntDes!$C:$C)),"")</f>
        <v/>
      </c>
      <c r="L679">
        <f t="shared" si="34"/>
        <v>1</v>
      </c>
      <c r="M679" s="10" t="str">
        <f>IFERROR(_xlfn.XLOOKUP(C679,[1]StuntDes!$B:$B,[1]StuntDes!$A:$A),"")</f>
        <v/>
      </c>
      <c r="N679" s="10" t="str">
        <f>IFERROR(_xlfn.XLOOKUP(C679,[1]ModifierDes!$B:$B,[1]ModifierDes!$A:$A),"")</f>
        <v/>
      </c>
      <c r="O679" s="10">
        <f>IFERROR(_xlfn.XLOOKUP(C679,[1]AttributeName!$C:$C,[1]AttributeName!$B:$B),"")</f>
        <v>10503</v>
      </c>
      <c r="P679" s="10"/>
      <c r="Q679">
        <v>0.26</v>
      </c>
      <c r="R679">
        <v>0.29</v>
      </c>
      <c r="S679" cm="1">
        <f t="array" ref="S679">IFERROR(_xlfn.SWITCH(L679,1,_xlfn.XLOOKUP(O679,[1]AttributeName!$B:$B,[1]AttributeName!$D:$D),2,_xlfn.XLOOKUP(C679,#REF!,#REF!),3,_xlfn.XLOOKUP(C679,#REF!,#REF!)),0)</f>
        <v>2</v>
      </c>
      <c r="T679" cm="1">
        <f t="array" ref="T679">IFERROR(_xlfn.SWITCH(L679,1,_xlfn.XLOOKUP(O679,[1]AttributeName!$B:$B,[1]AttributeName!$E:$E),2,_xlfn.XLOOKUP(C679,#REF!,#REF!),3,_xlfn.XLOOKUP(C679,#REF!,#REF!)),0)</f>
        <v>2</v>
      </c>
    </row>
    <row r="680" customFormat="1" spans="1:20">
      <c r="A680">
        <f t="shared" si="35"/>
        <v>261</v>
      </c>
      <c r="B680">
        <v>3</v>
      </c>
      <c r="C680" t="s">
        <v>404</v>
      </c>
      <c r="D680" t="s">
        <v>25</v>
      </c>
      <c r="E680" t="s">
        <v>392</v>
      </c>
      <c r="F680"/>
      <c r="G680">
        <v>2</v>
      </c>
      <c r="H680">
        <v>250</v>
      </c>
      <c r="I680">
        <v>3</v>
      </c>
      <c r="J680" cm="1">
        <f t="array" ref="J680">_xlfn.SWITCH(B680,1,75,2,61,3,49,4,37,5,25,6,13,7,4,8,1)</f>
        <v>49</v>
      </c>
      <c r="K680" t="str" cm="1">
        <f t="array" ref="K680">IFERROR(_xlfn.SWITCH(L680,2,_xlfn.XLOOKUP(C680,[1]ModifierDes!$B:$B,[1]ModifierDes!$C:$C),3,_xlfn.XLOOKUP(C680,[1]StuntDes!$B:$B,[1]StuntDes!$C:$C)),"")</f>
        <v/>
      </c>
      <c r="L680">
        <f t="shared" si="34"/>
        <v>1</v>
      </c>
      <c r="M680" s="10" t="str">
        <f>IFERROR(_xlfn.XLOOKUP(C680,[1]StuntDes!$B:$B,[1]StuntDes!$A:$A),"")</f>
        <v/>
      </c>
      <c r="N680" s="10" t="str">
        <f>IFERROR(_xlfn.XLOOKUP(C680,[1]ModifierDes!$B:$B,[1]ModifierDes!$A:$A),"")</f>
        <v/>
      </c>
      <c r="O680" s="10">
        <f>IFERROR(_xlfn.XLOOKUP(C680,[1]AttributeName!$C:$C,[1]AttributeName!$B:$B),"")</f>
        <v>10503</v>
      </c>
      <c r="P680" s="10"/>
      <c r="Q680">
        <v>0.22</v>
      </c>
      <c r="R680">
        <v>0.25</v>
      </c>
      <c r="S680" cm="1">
        <f t="array" ref="S680">IFERROR(_xlfn.SWITCH(L680,1,_xlfn.XLOOKUP(O680,[1]AttributeName!$B:$B,[1]AttributeName!$D:$D),2,_xlfn.XLOOKUP(C680,#REF!,#REF!),3,_xlfn.XLOOKUP(C680,#REF!,#REF!)),0)</f>
        <v>2</v>
      </c>
      <c r="T680" cm="1">
        <f t="array" ref="T680">IFERROR(_xlfn.SWITCH(L680,1,_xlfn.XLOOKUP(O680,[1]AttributeName!$B:$B,[1]AttributeName!$E:$E),2,_xlfn.XLOOKUP(C680,#REF!,#REF!),3,_xlfn.XLOOKUP(C680,#REF!,#REF!)),0)</f>
        <v>2</v>
      </c>
    </row>
    <row r="681" customFormat="1" spans="1:20">
      <c r="A681">
        <f t="shared" si="35"/>
        <v>261</v>
      </c>
      <c r="B681">
        <v>4</v>
      </c>
      <c r="C681" t="s">
        <v>404</v>
      </c>
      <c r="D681" t="s">
        <v>25</v>
      </c>
      <c r="E681" t="s">
        <v>392</v>
      </c>
      <c r="F681"/>
      <c r="G681">
        <v>2</v>
      </c>
      <c r="H681">
        <v>500</v>
      </c>
      <c r="I681">
        <v>3</v>
      </c>
      <c r="J681" cm="1">
        <f t="array" ref="J681">_xlfn.SWITCH(B681,1,75,2,61,3,49,4,37,5,25,6,13,7,4,8,1)</f>
        <v>37</v>
      </c>
      <c r="K681" t="str" cm="1">
        <f t="array" ref="K681">IFERROR(_xlfn.SWITCH(L681,2,_xlfn.XLOOKUP(C681,[1]ModifierDes!$B:$B,[1]ModifierDes!$C:$C),3,_xlfn.XLOOKUP(C681,[1]StuntDes!$B:$B,[1]StuntDes!$C:$C)),"")</f>
        <v/>
      </c>
      <c r="L681">
        <f t="shared" si="34"/>
        <v>1</v>
      </c>
      <c r="M681" s="10" t="str">
        <f>IFERROR(_xlfn.XLOOKUP(C681,[1]StuntDes!$B:$B,[1]StuntDes!$A:$A),"")</f>
        <v/>
      </c>
      <c r="N681" s="10" t="str">
        <f>IFERROR(_xlfn.XLOOKUP(C681,[1]ModifierDes!$B:$B,[1]ModifierDes!$A:$A),"")</f>
        <v/>
      </c>
      <c r="O681" s="10">
        <f>IFERROR(_xlfn.XLOOKUP(C681,[1]AttributeName!$C:$C,[1]AttributeName!$B:$B),"")</f>
        <v>10503</v>
      </c>
      <c r="P681" s="10"/>
      <c r="Q681">
        <v>0.18</v>
      </c>
      <c r="R681">
        <v>0.21</v>
      </c>
      <c r="S681" cm="1">
        <f t="array" ref="S681">IFERROR(_xlfn.SWITCH(L681,1,_xlfn.XLOOKUP(O681,[1]AttributeName!$B:$B,[1]AttributeName!$D:$D),2,_xlfn.XLOOKUP(C681,#REF!,#REF!),3,_xlfn.XLOOKUP(C681,#REF!,#REF!)),0)</f>
        <v>2</v>
      </c>
      <c r="T681" cm="1">
        <f t="array" ref="T681">IFERROR(_xlfn.SWITCH(L681,1,_xlfn.XLOOKUP(O681,[1]AttributeName!$B:$B,[1]AttributeName!$E:$E),2,_xlfn.XLOOKUP(C681,#REF!,#REF!),3,_xlfn.XLOOKUP(C681,#REF!,#REF!)),0)</f>
        <v>2</v>
      </c>
    </row>
    <row r="682" customFormat="1" spans="1:20">
      <c r="A682">
        <f t="shared" si="35"/>
        <v>261</v>
      </c>
      <c r="B682">
        <v>5</v>
      </c>
      <c r="C682" t="s">
        <v>404</v>
      </c>
      <c r="D682" t="s">
        <v>25</v>
      </c>
      <c r="E682" t="s">
        <v>392</v>
      </c>
      <c r="F682"/>
      <c r="G682">
        <v>2</v>
      </c>
      <c r="H682">
        <v>500</v>
      </c>
      <c r="I682">
        <v>3</v>
      </c>
      <c r="J682" cm="1">
        <f t="array" ref="J682">_xlfn.SWITCH(B682,1,75,2,61,3,49,4,37,5,25,6,13,7,4,8,1)</f>
        <v>25</v>
      </c>
      <c r="K682" t="str" cm="1">
        <f t="array" ref="K682">IFERROR(_xlfn.SWITCH(L682,2,_xlfn.XLOOKUP(C682,[1]ModifierDes!$B:$B,[1]ModifierDes!$C:$C),3,_xlfn.XLOOKUP(C682,[1]StuntDes!$B:$B,[1]StuntDes!$C:$C)),"")</f>
        <v/>
      </c>
      <c r="L682">
        <f t="shared" si="34"/>
        <v>1</v>
      </c>
      <c r="M682" s="10" t="str">
        <f>IFERROR(_xlfn.XLOOKUP(C682,[1]StuntDes!$B:$B,[1]StuntDes!$A:$A),"")</f>
        <v/>
      </c>
      <c r="N682" s="10" t="str">
        <f>IFERROR(_xlfn.XLOOKUP(C682,[1]ModifierDes!$B:$B,[1]ModifierDes!$A:$A),"")</f>
        <v/>
      </c>
      <c r="O682" s="10">
        <f>IFERROR(_xlfn.XLOOKUP(C682,[1]AttributeName!$C:$C,[1]AttributeName!$B:$B),"")</f>
        <v>10503</v>
      </c>
      <c r="P682" s="10"/>
      <c r="Q682">
        <v>0.14</v>
      </c>
      <c r="R682">
        <v>0.17</v>
      </c>
      <c r="S682" cm="1">
        <f t="array" ref="S682">IFERROR(_xlfn.SWITCH(L682,1,_xlfn.XLOOKUP(O682,[1]AttributeName!$B:$B,[1]AttributeName!$D:$D),2,_xlfn.XLOOKUP(C682,#REF!,#REF!),3,_xlfn.XLOOKUP(C682,#REF!,#REF!)),0)</f>
        <v>2</v>
      </c>
      <c r="T682" cm="1">
        <f t="array" ref="T682">IFERROR(_xlfn.SWITCH(L682,1,_xlfn.XLOOKUP(O682,[1]AttributeName!$B:$B,[1]AttributeName!$E:$E),2,_xlfn.XLOOKUP(C682,#REF!,#REF!),3,_xlfn.XLOOKUP(C682,#REF!,#REF!)),0)</f>
        <v>2</v>
      </c>
    </row>
    <row r="683" customFormat="1" spans="1:20">
      <c r="A683">
        <f t="shared" si="35"/>
        <v>261</v>
      </c>
      <c r="B683">
        <v>6</v>
      </c>
      <c r="C683" t="s">
        <v>404</v>
      </c>
      <c r="D683" t="s">
        <v>25</v>
      </c>
      <c r="E683" t="s">
        <v>392</v>
      </c>
      <c r="F683"/>
      <c r="G683">
        <v>2</v>
      </c>
      <c r="H683">
        <v>500</v>
      </c>
      <c r="I683">
        <v>3</v>
      </c>
      <c r="J683" cm="1">
        <f t="array" ref="J683">_xlfn.SWITCH(B683,1,75,2,61,3,49,4,37,5,25,6,13,7,4,8,1)</f>
        <v>13</v>
      </c>
      <c r="K683" t="str" cm="1">
        <f t="array" ref="K683">IFERROR(_xlfn.SWITCH(L683,2,_xlfn.XLOOKUP(C683,[1]ModifierDes!$B:$B,[1]ModifierDes!$C:$C),3,_xlfn.XLOOKUP(C683,[1]StuntDes!$B:$B,[1]StuntDes!$C:$C)),"")</f>
        <v/>
      </c>
      <c r="L683">
        <f t="shared" si="34"/>
        <v>1</v>
      </c>
      <c r="M683" s="10" t="str">
        <f>IFERROR(_xlfn.XLOOKUP(C683,[1]StuntDes!$B:$B,[1]StuntDes!$A:$A),"")</f>
        <v/>
      </c>
      <c r="N683" s="10" t="str">
        <f>IFERROR(_xlfn.XLOOKUP(C683,[1]ModifierDes!$B:$B,[1]ModifierDes!$A:$A),"")</f>
        <v/>
      </c>
      <c r="O683" s="10">
        <f>IFERROR(_xlfn.XLOOKUP(C683,[1]AttributeName!$C:$C,[1]AttributeName!$B:$B),"")</f>
        <v>10503</v>
      </c>
      <c r="P683" s="10"/>
      <c r="Q683">
        <v>0.1</v>
      </c>
      <c r="R683">
        <v>0.13</v>
      </c>
      <c r="S683" cm="1">
        <f t="array" ref="S683">IFERROR(_xlfn.SWITCH(L683,1,_xlfn.XLOOKUP(O683,[1]AttributeName!$B:$B,[1]AttributeName!$D:$D),2,_xlfn.XLOOKUP(C683,#REF!,#REF!),3,_xlfn.XLOOKUP(C683,#REF!,#REF!)),0)</f>
        <v>2</v>
      </c>
      <c r="T683" cm="1">
        <f t="array" ref="T683">IFERROR(_xlfn.SWITCH(L683,1,_xlfn.XLOOKUP(O683,[1]AttributeName!$B:$B,[1]AttributeName!$E:$E),2,_xlfn.XLOOKUP(C683,#REF!,#REF!),3,_xlfn.XLOOKUP(C683,#REF!,#REF!)),0)</f>
        <v>2</v>
      </c>
    </row>
    <row r="684" customFormat="1" spans="1:20">
      <c r="A684">
        <f t="shared" si="35"/>
        <v>261</v>
      </c>
      <c r="B684">
        <v>7</v>
      </c>
      <c r="C684" t="s">
        <v>404</v>
      </c>
      <c r="D684" t="s">
        <v>25</v>
      </c>
      <c r="E684" t="s">
        <v>392</v>
      </c>
      <c r="F684"/>
      <c r="G684">
        <v>2</v>
      </c>
      <c r="H684">
        <v>500</v>
      </c>
      <c r="I684">
        <v>3</v>
      </c>
      <c r="J684" cm="1">
        <f t="array" ref="J684">_xlfn.SWITCH(B684,1,75,2,61,3,49,4,37,5,25,6,13,7,4,8,1)</f>
        <v>4</v>
      </c>
      <c r="K684" t="str" cm="1">
        <f t="array" ref="K684">IFERROR(_xlfn.SWITCH(L684,2,_xlfn.XLOOKUP(C684,[1]ModifierDes!$B:$B,[1]ModifierDes!$C:$C),3,_xlfn.XLOOKUP(C684,[1]StuntDes!$B:$B,[1]StuntDes!$C:$C)),"")</f>
        <v/>
      </c>
      <c r="L684">
        <f t="shared" si="34"/>
        <v>1</v>
      </c>
      <c r="M684" s="10" t="str">
        <f>IFERROR(_xlfn.XLOOKUP(C684,[1]StuntDes!$B:$B,[1]StuntDes!$A:$A),"")</f>
        <v/>
      </c>
      <c r="N684" s="10" t="str">
        <f>IFERROR(_xlfn.XLOOKUP(C684,[1]ModifierDes!$B:$B,[1]ModifierDes!$A:$A),"")</f>
        <v/>
      </c>
      <c r="O684" s="10">
        <f>IFERROR(_xlfn.XLOOKUP(C684,[1]AttributeName!$C:$C,[1]AttributeName!$B:$B),"")</f>
        <v>10503</v>
      </c>
      <c r="P684" s="10"/>
      <c r="Q684">
        <v>0.06</v>
      </c>
      <c r="R684">
        <v>0.0900000000000001</v>
      </c>
      <c r="S684" cm="1">
        <f t="array" ref="S684">IFERROR(_xlfn.SWITCH(L684,1,_xlfn.XLOOKUP(O684,[1]AttributeName!$B:$B,[1]AttributeName!$D:$D),2,_xlfn.XLOOKUP(C684,#REF!,#REF!),3,_xlfn.XLOOKUP(C684,#REF!,#REF!)),0)</f>
        <v>2</v>
      </c>
      <c r="T684" cm="1">
        <f t="array" ref="T684">IFERROR(_xlfn.SWITCH(L684,1,_xlfn.XLOOKUP(O684,[1]AttributeName!$B:$B,[1]AttributeName!$E:$E),2,_xlfn.XLOOKUP(C684,#REF!,#REF!),3,_xlfn.XLOOKUP(C684,#REF!,#REF!)),0)</f>
        <v>2</v>
      </c>
    </row>
    <row r="685" customFormat="1" spans="1:20">
      <c r="A685">
        <f t="shared" si="35"/>
        <v>261</v>
      </c>
      <c r="B685">
        <v>8</v>
      </c>
      <c r="C685" t="s">
        <v>404</v>
      </c>
      <c r="D685" t="s">
        <v>25</v>
      </c>
      <c r="E685" t="s">
        <v>392</v>
      </c>
      <c r="F685"/>
      <c r="G685">
        <v>2</v>
      </c>
      <c r="H685">
        <v>500</v>
      </c>
      <c r="I685">
        <v>3</v>
      </c>
      <c r="J685" cm="1">
        <f t="array" ref="J685">_xlfn.SWITCH(B685,1,75,2,61,3,49,4,37,5,25,6,13,7,4,8,1)</f>
        <v>1</v>
      </c>
      <c r="K685" t="str" cm="1">
        <f t="array" ref="K685">IFERROR(_xlfn.SWITCH(L685,2,_xlfn.XLOOKUP(C685,[1]ModifierDes!$B:$B,[1]ModifierDes!$C:$C),3,_xlfn.XLOOKUP(C685,[1]StuntDes!$B:$B,[1]StuntDes!$C:$C)),"")</f>
        <v/>
      </c>
      <c r="L685">
        <f t="shared" si="34"/>
        <v>1</v>
      </c>
      <c r="M685" s="10" t="str">
        <f>IFERROR(_xlfn.XLOOKUP(C685,[1]StuntDes!$B:$B,[1]StuntDes!$A:$A),"")</f>
        <v/>
      </c>
      <c r="N685" s="10" t="str">
        <f>IFERROR(_xlfn.XLOOKUP(C685,[1]ModifierDes!$B:$B,[1]ModifierDes!$A:$A),"")</f>
        <v/>
      </c>
      <c r="O685" s="10">
        <f>IFERROR(_xlfn.XLOOKUP(C685,[1]AttributeName!$C:$C,[1]AttributeName!$B:$B),"")</f>
        <v>10503</v>
      </c>
      <c r="P685" s="10"/>
      <c r="Q685">
        <v>0.02</v>
      </c>
      <c r="R685">
        <v>0.0500000000000001</v>
      </c>
      <c r="S685" cm="1">
        <f t="array" ref="S685">IFERROR(_xlfn.SWITCH(L685,1,_xlfn.XLOOKUP(O685,[1]AttributeName!$B:$B,[1]AttributeName!$D:$D),2,_xlfn.XLOOKUP(C685,#REF!,#REF!),3,_xlfn.XLOOKUP(C685,#REF!,#REF!)),0)</f>
        <v>2</v>
      </c>
      <c r="T685" cm="1">
        <f t="array" ref="T685">IFERROR(_xlfn.SWITCH(L685,1,_xlfn.XLOOKUP(O685,[1]AttributeName!$B:$B,[1]AttributeName!$E:$E),2,_xlfn.XLOOKUP(C685,#REF!,#REF!),3,_xlfn.XLOOKUP(C685,#REF!,#REF!)),0)</f>
        <v>2</v>
      </c>
    </row>
    <row r="686" customFormat="1" spans="1:20">
      <c r="A686">
        <f t="shared" si="35"/>
        <v>262</v>
      </c>
      <c r="B686">
        <v>1</v>
      </c>
      <c r="C686" t="s">
        <v>405</v>
      </c>
      <c r="D686" t="s">
        <v>25</v>
      </c>
      <c r="E686" t="s">
        <v>392</v>
      </c>
      <c r="F686"/>
      <c r="G686">
        <v>2</v>
      </c>
      <c r="H686">
        <v>50</v>
      </c>
      <c r="I686">
        <v>3</v>
      </c>
      <c r="J686" cm="1">
        <f t="array" ref="J686">_xlfn.SWITCH(B686,1,75,2,61,3,49,4,37,5,25,6,13,7,4,8,1)</f>
        <v>75</v>
      </c>
      <c r="K686" t="str" cm="1">
        <f t="array" ref="K686">IFERROR(_xlfn.SWITCH(L686,2,_xlfn.XLOOKUP(C686,[1]ModifierDes!$B:$B,[1]ModifierDes!$C:$C),3,_xlfn.XLOOKUP(C686,[1]StuntDes!$B:$B,[1]StuntDes!$C:$C)),"")</f>
        <v/>
      </c>
      <c r="L686">
        <f t="shared" si="34"/>
        <v>1</v>
      </c>
      <c r="M686" s="10" t="str">
        <f>IFERROR(_xlfn.XLOOKUP(C686,[1]StuntDes!$B:$B,[1]StuntDes!$A:$A),"")</f>
        <v/>
      </c>
      <c r="N686" s="10" t="str">
        <f>IFERROR(_xlfn.XLOOKUP(C686,[1]ModifierDes!$B:$B,[1]ModifierDes!$A:$A),"")</f>
        <v/>
      </c>
      <c r="O686" s="10">
        <f>IFERROR(_xlfn.XLOOKUP(C686,[1]AttributeName!$C:$C,[1]AttributeName!$B:$B),"")</f>
        <v>10504</v>
      </c>
      <c r="P686" s="10"/>
      <c r="Q686">
        <v>0.3</v>
      </c>
      <c r="R686">
        <v>0.4</v>
      </c>
      <c r="S686" cm="1">
        <f t="array" ref="S686">IFERROR(_xlfn.SWITCH(L686,1,_xlfn.XLOOKUP(O686,[1]AttributeName!$B:$B,[1]AttributeName!$D:$D),2,_xlfn.XLOOKUP(C686,#REF!,#REF!),3,_xlfn.XLOOKUP(C686,#REF!,#REF!)),0)</f>
        <v>2</v>
      </c>
      <c r="T686" cm="1">
        <f t="array" ref="T686">IFERROR(_xlfn.SWITCH(L686,1,_xlfn.XLOOKUP(O686,[1]AttributeName!$B:$B,[1]AttributeName!$E:$E),2,_xlfn.XLOOKUP(C686,#REF!,#REF!),3,_xlfn.XLOOKUP(C686,#REF!,#REF!)),0)</f>
        <v>2</v>
      </c>
    </row>
    <row r="687" customFormat="1" spans="1:20">
      <c r="A687">
        <f t="shared" si="35"/>
        <v>262</v>
      </c>
      <c r="B687">
        <v>2</v>
      </c>
      <c r="C687" t="s">
        <v>405</v>
      </c>
      <c r="D687" t="s">
        <v>25</v>
      </c>
      <c r="E687" t="s">
        <v>392</v>
      </c>
      <c r="F687"/>
      <c r="G687">
        <v>2</v>
      </c>
      <c r="H687">
        <v>100</v>
      </c>
      <c r="I687">
        <v>3</v>
      </c>
      <c r="J687" cm="1">
        <f t="array" ref="J687">_xlfn.SWITCH(B687,1,75,2,61,3,49,4,37,5,25,6,13,7,4,8,1)</f>
        <v>61</v>
      </c>
      <c r="K687" t="str" cm="1">
        <f t="array" ref="K687">IFERROR(_xlfn.SWITCH(L687,2,_xlfn.XLOOKUP(C687,[1]ModifierDes!$B:$B,[1]ModifierDes!$C:$C),3,_xlfn.XLOOKUP(C687,[1]StuntDes!$B:$B,[1]StuntDes!$C:$C)),"")</f>
        <v/>
      </c>
      <c r="L687">
        <f t="shared" si="34"/>
        <v>1</v>
      </c>
      <c r="M687" s="10" t="str">
        <f>IFERROR(_xlfn.XLOOKUP(C687,[1]StuntDes!$B:$B,[1]StuntDes!$A:$A),"")</f>
        <v/>
      </c>
      <c r="N687" s="10" t="str">
        <f>IFERROR(_xlfn.XLOOKUP(C687,[1]ModifierDes!$B:$B,[1]ModifierDes!$A:$A),"")</f>
        <v/>
      </c>
      <c r="O687" s="10">
        <f>IFERROR(_xlfn.XLOOKUP(C687,[1]AttributeName!$C:$C,[1]AttributeName!$B:$B),"")</f>
        <v>10504</v>
      </c>
      <c r="P687" s="10"/>
      <c r="Q687">
        <v>0.26</v>
      </c>
      <c r="R687">
        <v>0.29</v>
      </c>
      <c r="S687" cm="1">
        <f t="array" ref="S687">IFERROR(_xlfn.SWITCH(L687,1,_xlfn.XLOOKUP(O687,[1]AttributeName!$B:$B,[1]AttributeName!$D:$D),2,_xlfn.XLOOKUP(C687,#REF!,#REF!),3,_xlfn.XLOOKUP(C687,#REF!,#REF!)),0)</f>
        <v>2</v>
      </c>
      <c r="T687" cm="1">
        <f t="array" ref="T687">IFERROR(_xlfn.SWITCH(L687,1,_xlfn.XLOOKUP(O687,[1]AttributeName!$B:$B,[1]AttributeName!$E:$E),2,_xlfn.XLOOKUP(C687,#REF!,#REF!),3,_xlfn.XLOOKUP(C687,#REF!,#REF!)),0)</f>
        <v>2</v>
      </c>
    </row>
    <row r="688" customFormat="1" spans="1:20">
      <c r="A688">
        <f t="shared" si="35"/>
        <v>262</v>
      </c>
      <c r="B688">
        <v>3</v>
      </c>
      <c r="C688" t="s">
        <v>405</v>
      </c>
      <c r="D688" t="s">
        <v>25</v>
      </c>
      <c r="E688" t="s">
        <v>392</v>
      </c>
      <c r="F688"/>
      <c r="G688">
        <v>2</v>
      </c>
      <c r="H688">
        <v>250</v>
      </c>
      <c r="I688">
        <v>3</v>
      </c>
      <c r="J688" cm="1">
        <f t="array" ref="J688">_xlfn.SWITCH(B688,1,75,2,61,3,49,4,37,5,25,6,13,7,4,8,1)</f>
        <v>49</v>
      </c>
      <c r="K688" t="str" cm="1">
        <f t="array" ref="K688">IFERROR(_xlfn.SWITCH(L688,2,_xlfn.XLOOKUP(C688,[1]ModifierDes!$B:$B,[1]ModifierDes!$C:$C),3,_xlfn.XLOOKUP(C688,[1]StuntDes!$B:$B,[1]StuntDes!$C:$C)),"")</f>
        <v/>
      </c>
      <c r="L688">
        <f t="shared" si="34"/>
        <v>1</v>
      </c>
      <c r="M688" s="10" t="str">
        <f>IFERROR(_xlfn.XLOOKUP(C688,[1]StuntDes!$B:$B,[1]StuntDes!$A:$A),"")</f>
        <v/>
      </c>
      <c r="N688" s="10" t="str">
        <f>IFERROR(_xlfn.XLOOKUP(C688,[1]ModifierDes!$B:$B,[1]ModifierDes!$A:$A),"")</f>
        <v/>
      </c>
      <c r="O688" s="10">
        <f>IFERROR(_xlfn.XLOOKUP(C688,[1]AttributeName!$C:$C,[1]AttributeName!$B:$B),"")</f>
        <v>10504</v>
      </c>
      <c r="P688" s="10"/>
      <c r="Q688">
        <v>0.22</v>
      </c>
      <c r="R688">
        <v>0.25</v>
      </c>
      <c r="S688" cm="1">
        <f t="array" ref="S688">IFERROR(_xlfn.SWITCH(L688,1,_xlfn.XLOOKUP(O688,[1]AttributeName!$B:$B,[1]AttributeName!$D:$D),2,_xlfn.XLOOKUP(C688,#REF!,#REF!),3,_xlfn.XLOOKUP(C688,#REF!,#REF!)),0)</f>
        <v>2</v>
      </c>
      <c r="T688" cm="1">
        <f t="array" ref="T688">IFERROR(_xlfn.SWITCH(L688,1,_xlfn.XLOOKUP(O688,[1]AttributeName!$B:$B,[1]AttributeName!$E:$E),2,_xlfn.XLOOKUP(C688,#REF!,#REF!),3,_xlfn.XLOOKUP(C688,#REF!,#REF!)),0)</f>
        <v>2</v>
      </c>
    </row>
    <row r="689" customFormat="1" spans="1:20">
      <c r="A689">
        <f t="shared" si="35"/>
        <v>262</v>
      </c>
      <c r="B689">
        <v>4</v>
      </c>
      <c r="C689" t="s">
        <v>405</v>
      </c>
      <c r="D689" t="s">
        <v>25</v>
      </c>
      <c r="E689" t="s">
        <v>392</v>
      </c>
      <c r="F689"/>
      <c r="G689">
        <v>2</v>
      </c>
      <c r="H689">
        <v>500</v>
      </c>
      <c r="I689">
        <v>3</v>
      </c>
      <c r="J689" cm="1">
        <f t="array" ref="J689">_xlfn.SWITCH(B689,1,75,2,61,3,49,4,37,5,25,6,13,7,4,8,1)</f>
        <v>37</v>
      </c>
      <c r="K689" t="str" cm="1">
        <f t="array" ref="K689">IFERROR(_xlfn.SWITCH(L689,2,_xlfn.XLOOKUP(C689,[1]ModifierDes!$B:$B,[1]ModifierDes!$C:$C),3,_xlfn.XLOOKUP(C689,[1]StuntDes!$B:$B,[1]StuntDes!$C:$C)),"")</f>
        <v/>
      </c>
      <c r="L689">
        <f t="shared" si="34"/>
        <v>1</v>
      </c>
      <c r="M689" s="10" t="str">
        <f>IFERROR(_xlfn.XLOOKUP(C689,[1]StuntDes!$B:$B,[1]StuntDes!$A:$A),"")</f>
        <v/>
      </c>
      <c r="N689" s="10" t="str">
        <f>IFERROR(_xlfn.XLOOKUP(C689,[1]ModifierDes!$B:$B,[1]ModifierDes!$A:$A),"")</f>
        <v/>
      </c>
      <c r="O689" s="10">
        <f>IFERROR(_xlfn.XLOOKUP(C689,[1]AttributeName!$C:$C,[1]AttributeName!$B:$B),"")</f>
        <v>10504</v>
      </c>
      <c r="P689" s="10"/>
      <c r="Q689">
        <v>0.18</v>
      </c>
      <c r="R689">
        <v>0.21</v>
      </c>
      <c r="S689" cm="1">
        <f t="array" ref="S689">IFERROR(_xlfn.SWITCH(L689,1,_xlfn.XLOOKUP(O689,[1]AttributeName!$B:$B,[1]AttributeName!$D:$D),2,_xlfn.XLOOKUP(C689,#REF!,#REF!),3,_xlfn.XLOOKUP(C689,#REF!,#REF!)),0)</f>
        <v>2</v>
      </c>
      <c r="T689" cm="1">
        <f t="array" ref="T689">IFERROR(_xlfn.SWITCH(L689,1,_xlfn.XLOOKUP(O689,[1]AttributeName!$B:$B,[1]AttributeName!$E:$E),2,_xlfn.XLOOKUP(C689,#REF!,#REF!),3,_xlfn.XLOOKUP(C689,#REF!,#REF!)),0)</f>
        <v>2</v>
      </c>
    </row>
    <row r="690" customFormat="1" spans="1:20">
      <c r="A690">
        <f t="shared" si="35"/>
        <v>262</v>
      </c>
      <c r="B690">
        <v>5</v>
      </c>
      <c r="C690" t="s">
        <v>405</v>
      </c>
      <c r="D690" t="s">
        <v>25</v>
      </c>
      <c r="E690" t="s">
        <v>392</v>
      </c>
      <c r="F690"/>
      <c r="G690">
        <v>2</v>
      </c>
      <c r="H690">
        <v>500</v>
      </c>
      <c r="I690">
        <v>3</v>
      </c>
      <c r="J690" cm="1">
        <f t="array" ref="J690">_xlfn.SWITCH(B690,1,75,2,61,3,49,4,37,5,25,6,13,7,4,8,1)</f>
        <v>25</v>
      </c>
      <c r="K690" t="str" cm="1">
        <f t="array" ref="K690">IFERROR(_xlfn.SWITCH(L690,2,_xlfn.XLOOKUP(C690,[1]ModifierDes!$B:$B,[1]ModifierDes!$C:$C),3,_xlfn.XLOOKUP(C690,[1]StuntDes!$B:$B,[1]StuntDes!$C:$C)),"")</f>
        <v/>
      </c>
      <c r="L690">
        <f t="shared" si="34"/>
        <v>1</v>
      </c>
      <c r="M690" s="10" t="str">
        <f>IFERROR(_xlfn.XLOOKUP(C690,[1]StuntDes!$B:$B,[1]StuntDes!$A:$A),"")</f>
        <v/>
      </c>
      <c r="N690" s="10" t="str">
        <f>IFERROR(_xlfn.XLOOKUP(C690,[1]ModifierDes!$B:$B,[1]ModifierDes!$A:$A),"")</f>
        <v/>
      </c>
      <c r="O690" s="10">
        <f>IFERROR(_xlfn.XLOOKUP(C690,[1]AttributeName!$C:$C,[1]AttributeName!$B:$B),"")</f>
        <v>10504</v>
      </c>
      <c r="P690" s="10"/>
      <c r="Q690">
        <v>0.14</v>
      </c>
      <c r="R690">
        <v>0.17</v>
      </c>
      <c r="S690" cm="1">
        <f t="array" ref="S690">IFERROR(_xlfn.SWITCH(L690,1,_xlfn.XLOOKUP(O690,[1]AttributeName!$B:$B,[1]AttributeName!$D:$D),2,_xlfn.XLOOKUP(C690,#REF!,#REF!),3,_xlfn.XLOOKUP(C690,#REF!,#REF!)),0)</f>
        <v>2</v>
      </c>
      <c r="T690" cm="1">
        <f t="array" ref="T690">IFERROR(_xlfn.SWITCH(L690,1,_xlfn.XLOOKUP(O690,[1]AttributeName!$B:$B,[1]AttributeName!$E:$E),2,_xlfn.XLOOKUP(C690,#REF!,#REF!),3,_xlfn.XLOOKUP(C690,#REF!,#REF!)),0)</f>
        <v>2</v>
      </c>
    </row>
    <row r="691" customFormat="1" spans="1:20">
      <c r="A691">
        <f t="shared" si="35"/>
        <v>262</v>
      </c>
      <c r="B691">
        <v>6</v>
      </c>
      <c r="C691" t="s">
        <v>405</v>
      </c>
      <c r="D691" t="s">
        <v>25</v>
      </c>
      <c r="E691" t="s">
        <v>392</v>
      </c>
      <c r="F691"/>
      <c r="G691">
        <v>2</v>
      </c>
      <c r="H691">
        <v>500</v>
      </c>
      <c r="I691">
        <v>3</v>
      </c>
      <c r="J691" cm="1">
        <f t="array" ref="J691">_xlfn.SWITCH(B691,1,75,2,61,3,49,4,37,5,25,6,13,7,4,8,1)</f>
        <v>13</v>
      </c>
      <c r="K691" t="str" cm="1">
        <f t="array" ref="K691">IFERROR(_xlfn.SWITCH(L691,2,_xlfn.XLOOKUP(C691,[1]ModifierDes!$B:$B,[1]ModifierDes!$C:$C),3,_xlfn.XLOOKUP(C691,[1]StuntDes!$B:$B,[1]StuntDes!$C:$C)),"")</f>
        <v/>
      </c>
      <c r="L691">
        <f t="shared" si="34"/>
        <v>1</v>
      </c>
      <c r="M691" s="10" t="str">
        <f>IFERROR(_xlfn.XLOOKUP(C691,[1]StuntDes!$B:$B,[1]StuntDes!$A:$A),"")</f>
        <v/>
      </c>
      <c r="N691" s="10" t="str">
        <f>IFERROR(_xlfn.XLOOKUP(C691,[1]ModifierDes!$B:$B,[1]ModifierDes!$A:$A),"")</f>
        <v/>
      </c>
      <c r="O691" s="10">
        <f>IFERROR(_xlfn.XLOOKUP(C691,[1]AttributeName!$C:$C,[1]AttributeName!$B:$B),"")</f>
        <v>10504</v>
      </c>
      <c r="P691" s="10"/>
      <c r="Q691">
        <v>0.1</v>
      </c>
      <c r="R691">
        <v>0.13</v>
      </c>
      <c r="S691" cm="1">
        <f t="array" ref="S691">IFERROR(_xlfn.SWITCH(L691,1,_xlfn.XLOOKUP(O691,[1]AttributeName!$B:$B,[1]AttributeName!$D:$D),2,_xlfn.XLOOKUP(C691,#REF!,#REF!),3,_xlfn.XLOOKUP(C691,#REF!,#REF!)),0)</f>
        <v>2</v>
      </c>
      <c r="T691" cm="1">
        <f t="array" ref="T691">IFERROR(_xlfn.SWITCH(L691,1,_xlfn.XLOOKUP(O691,[1]AttributeName!$B:$B,[1]AttributeName!$E:$E),2,_xlfn.XLOOKUP(C691,#REF!,#REF!),3,_xlfn.XLOOKUP(C691,#REF!,#REF!)),0)</f>
        <v>2</v>
      </c>
    </row>
    <row r="692" customFormat="1" spans="1:20">
      <c r="A692">
        <f t="shared" si="35"/>
        <v>262</v>
      </c>
      <c r="B692">
        <v>7</v>
      </c>
      <c r="C692" t="s">
        <v>405</v>
      </c>
      <c r="D692" t="s">
        <v>25</v>
      </c>
      <c r="E692" t="s">
        <v>392</v>
      </c>
      <c r="F692"/>
      <c r="G692">
        <v>2</v>
      </c>
      <c r="H692">
        <v>500</v>
      </c>
      <c r="I692">
        <v>3</v>
      </c>
      <c r="J692" cm="1">
        <f t="array" ref="J692">_xlfn.SWITCH(B692,1,75,2,61,3,49,4,37,5,25,6,13,7,4,8,1)</f>
        <v>4</v>
      </c>
      <c r="K692" t="str" cm="1">
        <f t="array" ref="K692">IFERROR(_xlfn.SWITCH(L692,2,_xlfn.XLOOKUP(C692,[1]ModifierDes!$B:$B,[1]ModifierDes!$C:$C),3,_xlfn.XLOOKUP(C692,[1]StuntDes!$B:$B,[1]StuntDes!$C:$C)),"")</f>
        <v/>
      </c>
      <c r="L692">
        <f t="shared" si="34"/>
        <v>1</v>
      </c>
      <c r="M692" s="10" t="str">
        <f>IFERROR(_xlfn.XLOOKUP(C692,[1]StuntDes!$B:$B,[1]StuntDes!$A:$A),"")</f>
        <v/>
      </c>
      <c r="N692" s="10" t="str">
        <f>IFERROR(_xlfn.XLOOKUP(C692,[1]ModifierDes!$B:$B,[1]ModifierDes!$A:$A),"")</f>
        <v/>
      </c>
      <c r="O692" s="10">
        <f>IFERROR(_xlfn.XLOOKUP(C692,[1]AttributeName!$C:$C,[1]AttributeName!$B:$B),"")</f>
        <v>10504</v>
      </c>
      <c r="P692" s="10"/>
      <c r="Q692">
        <v>0.06</v>
      </c>
      <c r="R692">
        <v>0.0900000000000001</v>
      </c>
      <c r="S692" cm="1">
        <f t="array" ref="S692">IFERROR(_xlfn.SWITCH(L692,1,_xlfn.XLOOKUP(O692,[1]AttributeName!$B:$B,[1]AttributeName!$D:$D),2,_xlfn.XLOOKUP(C692,#REF!,#REF!),3,_xlfn.XLOOKUP(C692,#REF!,#REF!)),0)</f>
        <v>2</v>
      </c>
      <c r="T692" cm="1">
        <f t="array" ref="T692">IFERROR(_xlfn.SWITCH(L692,1,_xlfn.XLOOKUP(O692,[1]AttributeName!$B:$B,[1]AttributeName!$E:$E),2,_xlfn.XLOOKUP(C692,#REF!,#REF!),3,_xlfn.XLOOKUP(C692,#REF!,#REF!)),0)</f>
        <v>2</v>
      </c>
    </row>
    <row r="693" customFormat="1" spans="1:20">
      <c r="A693">
        <f t="shared" si="35"/>
        <v>262</v>
      </c>
      <c r="B693">
        <v>8</v>
      </c>
      <c r="C693" t="s">
        <v>405</v>
      </c>
      <c r="D693" t="s">
        <v>25</v>
      </c>
      <c r="E693" t="s">
        <v>392</v>
      </c>
      <c r="F693"/>
      <c r="G693">
        <v>2</v>
      </c>
      <c r="H693">
        <v>500</v>
      </c>
      <c r="I693">
        <v>3</v>
      </c>
      <c r="J693" cm="1">
        <f t="array" ref="J693">_xlfn.SWITCH(B693,1,75,2,61,3,49,4,37,5,25,6,13,7,4,8,1)</f>
        <v>1</v>
      </c>
      <c r="K693" t="str" cm="1">
        <f t="array" ref="K693">IFERROR(_xlfn.SWITCH(L693,2,_xlfn.XLOOKUP(C693,[1]ModifierDes!$B:$B,[1]ModifierDes!$C:$C),3,_xlfn.XLOOKUP(C693,[1]StuntDes!$B:$B,[1]StuntDes!$C:$C)),"")</f>
        <v/>
      </c>
      <c r="L693">
        <f t="shared" si="34"/>
        <v>1</v>
      </c>
      <c r="M693" s="10" t="str">
        <f>IFERROR(_xlfn.XLOOKUP(C693,[1]StuntDes!$B:$B,[1]StuntDes!$A:$A),"")</f>
        <v/>
      </c>
      <c r="N693" s="10" t="str">
        <f>IFERROR(_xlfn.XLOOKUP(C693,[1]ModifierDes!$B:$B,[1]ModifierDes!$A:$A),"")</f>
        <v/>
      </c>
      <c r="O693" s="10">
        <f>IFERROR(_xlfn.XLOOKUP(C693,[1]AttributeName!$C:$C,[1]AttributeName!$B:$B),"")</f>
        <v>10504</v>
      </c>
      <c r="P693" s="10"/>
      <c r="Q693">
        <v>0.02</v>
      </c>
      <c r="R693">
        <v>0.0500000000000001</v>
      </c>
      <c r="S693" cm="1">
        <f t="array" ref="S693">IFERROR(_xlfn.SWITCH(L693,1,_xlfn.XLOOKUP(O693,[1]AttributeName!$B:$B,[1]AttributeName!$D:$D),2,_xlfn.XLOOKUP(C693,#REF!,#REF!),3,_xlfn.XLOOKUP(C693,#REF!,#REF!)),0)</f>
        <v>2</v>
      </c>
      <c r="T693" cm="1">
        <f t="array" ref="T693">IFERROR(_xlfn.SWITCH(L693,1,_xlfn.XLOOKUP(O693,[1]AttributeName!$B:$B,[1]AttributeName!$E:$E),2,_xlfn.XLOOKUP(C693,#REF!,#REF!),3,_xlfn.XLOOKUP(C693,#REF!,#REF!)),0)</f>
        <v>2</v>
      </c>
    </row>
    <row r="694" customFormat="1" spans="1:20">
      <c r="A694">
        <f t="shared" si="35"/>
        <v>263</v>
      </c>
      <c r="B694">
        <v>1</v>
      </c>
      <c r="C694" t="s">
        <v>414</v>
      </c>
      <c r="D694" t="s">
        <v>25</v>
      </c>
      <c r="E694" t="s">
        <v>392</v>
      </c>
      <c r="F694"/>
      <c r="G694">
        <v>2</v>
      </c>
      <c r="H694">
        <v>50</v>
      </c>
      <c r="I694">
        <v>3</v>
      </c>
      <c r="J694" cm="1">
        <f t="array" ref="J694">_xlfn.SWITCH(B694,1,75,2,61,3,49,4,37,5,25,6,13,7,4,8,1)</f>
        <v>75</v>
      </c>
      <c r="K694" t="str" cm="1">
        <f t="array" ref="K694">IFERROR(_xlfn.SWITCH(L694,2,_xlfn.XLOOKUP(C694,[1]ModifierDes!$B:$B,[1]ModifierDes!$C:$C),3,_xlfn.XLOOKUP(C694,[1]StuntDes!$B:$B,[1]StuntDes!$C:$C)),"")</f>
        <v/>
      </c>
      <c r="L694">
        <f t="shared" si="34"/>
        <v>1</v>
      </c>
      <c r="M694" s="10" t="str">
        <f>IFERROR(_xlfn.XLOOKUP(C694,[1]StuntDes!$B:$B,[1]StuntDes!$A:$A),"")</f>
        <v/>
      </c>
      <c r="N694" s="10" t="str">
        <f>IFERROR(_xlfn.XLOOKUP(C694,[1]ModifierDes!$B:$B,[1]ModifierDes!$A:$A),"")</f>
        <v/>
      </c>
      <c r="O694" s="10">
        <f>IFERROR(_xlfn.XLOOKUP(C694,[1]AttributeName!$C:$C,[1]AttributeName!$B:$B),"")</f>
        <v>10900</v>
      </c>
      <c r="P694" s="10"/>
      <c r="Q694">
        <v>15</v>
      </c>
      <c r="R694">
        <v>16</v>
      </c>
      <c r="S694" cm="1">
        <f t="array" ref="S694">IFERROR(_xlfn.SWITCH(L694,1,_xlfn.XLOOKUP(O694,[1]AttributeName!$B:$B,[1]AttributeName!$D:$D),2,_xlfn.XLOOKUP(C694,#REF!,#REF!),3,_xlfn.XLOOKUP(C694,#REF!,#REF!)),0)</f>
        <v>0</v>
      </c>
      <c r="T694" cm="1">
        <f t="array" ref="T694">IFERROR(_xlfn.SWITCH(L694,1,_xlfn.XLOOKUP(O694,[1]AttributeName!$B:$B,[1]AttributeName!$E:$E),2,_xlfn.XLOOKUP(C694,#REF!,#REF!),3,_xlfn.XLOOKUP(C694,#REF!,#REF!)),0)</f>
        <v>1</v>
      </c>
    </row>
    <row r="695" customFormat="1" spans="1:20">
      <c r="A695">
        <f t="shared" si="35"/>
        <v>263</v>
      </c>
      <c r="B695">
        <v>2</v>
      </c>
      <c r="C695" t="s">
        <v>414</v>
      </c>
      <c r="D695" t="s">
        <v>25</v>
      </c>
      <c r="E695" t="s">
        <v>392</v>
      </c>
      <c r="F695"/>
      <c r="G695">
        <v>2</v>
      </c>
      <c r="H695">
        <v>100</v>
      </c>
      <c r="I695">
        <v>3</v>
      </c>
      <c r="J695" cm="1">
        <f t="array" ref="J695">_xlfn.SWITCH(B695,1,75,2,61,3,49,4,37,5,25,6,13,7,4,8,1)</f>
        <v>61</v>
      </c>
      <c r="K695" t="str" cm="1">
        <f t="array" ref="K695">IFERROR(_xlfn.SWITCH(L695,2,_xlfn.XLOOKUP(C695,[1]ModifierDes!$B:$B,[1]ModifierDes!$C:$C),3,_xlfn.XLOOKUP(C695,[1]StuntDes!$B:$B,[1]StuntDes!$C:$C)),"")</f>
        <v/>
      </c>
      <c r="L695">
        <f t="shared" si="34"/>
        <v>1</v>
      </c>
      <c r="M695" s="10" t="str">
        <f>IFERROR(_xlfn.XLOOKUP(C695,[1]StuntDes!$B:$B,[1]StuntDes!$A:$A),"")</f>
        <v/>
      </c>
      <c r="N695" s="10" t="str">
        <f>IFERROR(_xlfn.XLOOKUP(C695,[1]ModifierDes!$B:$B,[1]ModifierDes!$A:$A),"")</f>
        <v/>
      </c>
      <c r="O695" s="10">
        <f>IFERROR(_xlfn.XLOOKUP(C695,[1]AttributeName!$C:$C,[1]AttributeName!$B:$B),"")</f>
        <v>10900</v>
      </c>
      <c r="P695" s="10"/>
      <c r="Q695">
        <v>13</v>
      </c>
      <c r="R695">
        <v>14</v>
      </c>
      <c r="S695" cm="1">
        <f t="array" ref="S695">IFERROR(_xlfn.SWITCH(L695,1,_xlfn.XLOOKUP(O695,[1]AttributeName!$B:$B,[1]AttributeName!$D:$D),2,_xlfn.XLOOKUP(C695,#REF!,#REF!),3,_xlfn.XLOOKUP(C695,#REF!,#REF!)),0)</f>
        <v>0</v>
      </c>
      <c r="T695" cm="1">
        <f t="array" ref="T695">IFERROR(_xlfn.SWITCH(L695,1,_xlfn.XLOOKUP(O695,[1]AttributeName!$B:$B,[1]AttributeName!$E:$E),2,_xlfn.XLOOKUP(C695,#REF!,#REF!),3,_xlfn.XLOOKUP(C695,#REF!,#REF!)),0)</f>
        <v>1</v>
      </c>
    </row>
    <row r="696" customFormat="1" spans="1:20">
      <c r="A696">
        <f t="shared" si="35"/>
        <v>263</v>
      </c>
      <c r="B696">
        <v>3</v>
      </c>
      <c r="C696" t="s">
        <v>414</v>
      </c>
      <c r="D696" t="s">
        <v>25</v>
      </c>
      <c r="E696" t="s">
        <v>392</v>
      </c>
      <c r="F696"/>
      <c r="G696">
        <v>2</v>
      </c>
      <c r="H696">
        <v>250</v>
      </c>
      <c r="I696">
        <v>3</v>
      </c>
      <c r="J696" cm="1">
        <f t="array" ref="J696">_xlfn.SWITCH(B696,1,75,2,61,3,49,4,37,5,25,6,13,7,4,8,1)</f>
        <v>49</v>
      </c>
      <c r="K696" t="str" cm="1">
        <f t="array" ref="K696">IFERROR(_xlfn.SWITCH(L696,2,_xlfn.XLOOKUP(C696,[1]ModifierDes!$B:$B,[1]ModifierDes!$C:$C),3,_xlfn.XLOOKUP(C696,[1]StuntDes!$B:$B,[1]StuntDes!$C:$C)),"")</f>
        <v/>
      </c>
      <c r="L696">
        <f t="shared" si="34"/>
        <v>1</v>
      </c>
      <c r="M696" s="10" t="str">
        <f>IFERROR(_xlfn.XLOOKUP(C696,[1]StuntDes!$B:$B,[1]StuntDes!$A:$A),"")</f>
        <v/>
      </c>
      <c r="N696" s="10" t="str">
        <f>IFERROR(_xlfn.XLOOKUP(C696,[1]ModifierDes!$B:$B,[1]ModifierDes!$A:$A),"")</f>
        <v/>
      </c>
      <c r="O696" s="10">
        <f>IFERROR(_xlfn.XLOOKUP(C696,[1]AttributeName!$C:$C,[1]AttributeName!$B:$B),"")</f>
        <v>10900</v>
      </c>
      <c r="P696" s="10"/>
      <c r="Q696">
        <v>11</v>
      </c>
      <c r="R696">
        <v>12</v>
      </c>
      <c r="S696" cm="1">
        <f t="array" ref="S696">IFERROR(_xlfn.SWITCH(L696,1,_xlfn.XLOOKUP(O696,[1]AttributeName!$B:$B,[1]AttributeName!$D:$D),2,_xlfn.XLOOKUP(C696,#REF!,#REF!),3,_xlfn.XLOOKUP(C696,#REF!,#REF!)),0)</f>
        <v>0</v>
      </c>
      <c r="T696" cm="1">
        <f t="array" ref="T696">IFERROR(_xlfn.SWITCH(L696,1,_xlfn.XLOOKUP(O696,[1]AttributeName!$B:$B,[1]AttributeName!$E:$E),2,_xlfn.XLOOKUP(C696,#REF!,#REF!),3,_xlfn.XLOOKUP(C696,#REF!,#REF!)),0)</f>
        <v>1</v>
      </c>
    </row>
    <row r="697" customFormat="1" spans="1:20">
      <c r="A697">
        <f t="shared" si="35"/>
        <v>263</v>
      </c>
      <c r="B697">
        <v>4</v>
      </c>
      <c r="C697" t="s">
        <v>414</v>
      </c>
      <c r="D697" t="s">
        <v>25</v>
      </c>
      <c r="E697" t="s">
        <v>392</v>
      </c>
      <c r="F697"/>
      <c r="G697">
        <v>2</v>
      </c>
      <c r="H697">
        <v>500</v>
      </c>
      <c r="I697">
        <v>3</v>
      </c>
      <c r="J697" cm="1">
        <f t="array" ref="J697">_xlfn.SWITCH(B697,1,75,2,61,3,49,4,37,5,25,6,13,7,4,8,1)</f>
        <v>37</v>
      </c>
      <c r="K697" t="str" cm="1">
        <f t="array" ref="K697">IFERROR(_xlfn.SWITCH(L697,2,_xlfn.XLOOKUP(C697,[1]ModifierDes!$B:$B,[1]ModifierDes!$C:$C),3,_xlfn.XLOOKUP(C697,[1]StuntDes!$B:$B,[1]StuntDes!$C:$C)),"")</f>
        <v/>
      </c>
      <c r="L697">
        <f t="shared" si="34"/>
        <v>1</v>
      </c>
      <c r="M697" s="10" t="str">
        <f>IFERROR(_xlfn.XLOOKUP(C697,[1]StuntDes!$B:$B,[1]StuntDes!$A:$A),"")</f>
        <v/>
      </c>
      <c r="N697" s="10" t="str">
        <f>IFERROR(_xlfn.XLOOKUP(C697,[1]ModifierDes!$B:$B,[1]ModifierDes!$A:$A),"")</f>
        <v/>
      </c>
      <c r="O697" s="10">
        <f>IFERROR(_xlfn.XLOOKUP(C697,[1]AttributeName!$C:$C,[1]AttributeName!$B:$B),"")</f>
        <v>10900</v>
      </c>
      <c r="P697" s="10"/>
      <c r="Q697">
        <v>9</v>
      </c>
      <c r="R697">
        <v>10</v>
      </c>
      <c r="S697" cm="1">
        <f t="array" ref="S697">IFERROR(_xlfn.SWITCH(L697,1,_xlfn.XLOOKUP(O697,[1]AttributeName!$B:$B,[1]AttributeName!$D:$D),2,_xlfn.XLOOKUP(C697,#REF!,#REF!),3,_xlfn.XLOOKUP(C697,#REF!,#REF!)),0)</f>
        <v>0</v>
      </c>
      <c r="T697" cm="1">
        <f t="array" ref="T697">IFERROR(_xlfn.SWITCH(L697,1,_xlfn.XLOOKUP(O697,[1]AttributeName!$B:$B,[1]AttributeName!$E:$E),2,_xlfn.XLOOKUP(C697,#REF!,#REF!),3,_xlfn.XLOOKUP(C697,#REF!,#REF!)),0)</f>
        <v>1</v>
      </c>
    </row>
    <row r="698" customFormat="1" spans="1:20">
      <c r="A698">
        <f t="shared" si="35"/>
        <v>263</v>
      </c>
      <c r="B698">
        <v>5</v>
      </c>
      <c r="C698" t="s">
        <v>414</v>
      </c>
      <c r="D698" t="s">
        <v>25</v>
      </c>
      <c r="E698" t="s">
        <v>392</v>
      </c>
      <c r="F698"/>
      <c r="G698">
        <v>2</v>
      </c>
      <c r="H698">
        <v>500</v>
      </c>
      <c r="I698">
        <v>3</v>
      </c>
      <c r="J698" cm="1">
        <f t="array" ref="J698">_xlfn.SWITCH(B698,1,75,2,61,3,49,4,37,5,25,6,13,7,4,8,1)</f>
        <v>25</v>
      </c>
      <c r="K698" t="str" cm="1">
        <f t="array" ref="K698">IFERROR(_xlfn.SWITCH(L698,2,_xlfn.XLOOKUP(C698,[1]ModifierDes!$B:$B,[1]ModifierDes!$C:$C),3,_xlfn.XLOOKUP(C698,[1]StuntDes!$B:$B,[1]StuntDes!$C:$C)),"")</f>
        <v/>
      </c>
      <c r="L698">
        <f t="shared" si="34"/>
        <v>1</v>
      </c>
      <c r="M698" s="10" t="str">
        <f>IFERROR(_xlfn.XLOOKUP(C698,[1]StuntDes!$B:$B,[1]StuntDes!$A:$A),"")</f>
        <v/>
      </c>
      <c r="N698" s="10" t="str">
        <f>IFERROR(_xlfn.XLOOKUP(C698,[1]ModifierDes!$B:$B,[1]ModifierDes!$A:$A),"")</f>
        <v/>
      </c>
      <c r="O698" s="10">
        <f>IFERROR(_xlfn.XLOOKUP(C698,[1]AttributeName!$C:$C,[1]AttributeName!$B:$B),"")</f>
        <v>10900</v>
      </c>
      <c r="P698" s="10"/>
      <c r="Q698">
        <v>7</v>
      </c>
      <c r="R698">
        <v>8</v>
      </c>
      <c r="S698" cm="1">
        <f t="array" ref="S698">IFERROR(_xlfn.SWITCH(L698,1,_xlfn.XLOOKUP(O698,[1]AttributeName!$B:$B,[1]AttributeName!$D:$D),2,_xlfn.XLOOKUP(C698,#REF!,#REF!),3,_xlfn.XLOOKUP(C698,#REF!,#REF!)),0)</f>
        <v>0</v>
      </c>
      <c r="T698" cm="1">
        <f t="array" ref="T698">IFERROR(_xlfn.SWITCH(L698,1,_xlfn.XLOOKUP(O698,[1]AttributeName!$B:$B,[1]AttributeName!$E:$E),2,_xlfn.XLOOKUP(C698,#REF!,#REF!),3,_xlfn.XLOOKUP(C698,#REF!,#REF!)),0)</f>
        <v>1</v>
      </c>
    </row>
    <row r="699" customFormat="1" spans="1:20">
      <c r="A699">
        <f t="shared" si="35"/>
        <v>263</v>
      </c>
      <c r="B699">
        <v>6</v>
      </c>
      <c r="C699" t="s">
        <v>414</v>
      </c>
      <c r="D699" t="s">
        <v>25</v>
      </c>
      <c r="E699" t="s">
        <v>392</v>
      </c>
      <c r="F699"/>
      <c r="G699">
        <v>2</v>
      </c>
      <c r="H699">
        <v>500</v>
      </c>
      <c r="I699">
        <v>3</v>
      </c>
      <c r="J699" cm="1">
        <f t="array" ref="J699">_xlfn.SWITCH(B699,1,75,2,61,3,49,4,37,5,25,6,13,7,4,8,1)</f>
        <v>13</v>
      </c>
      <c r="K699" t="str" cm="1">
        <f t="array" ref="K699">IFERROR(_xlfn.SWITCH(L699,2,_xlfn.XLOOKUP(C699,[1]ModifierDes!$B:$B,[1]ModifierDes!$C:$C),3,_xlfn.XLOOKUP(C699,[1]StuntDes!$B:$B,[1]StuntDes!$C:$C)),"")</f>
        <v/>
      </c>
      <c r="L699">
        <f t="shared" si="34"/>
        <v>1</v>
      </c>
      <c r="M699" s="10" t="str">
        <f>IFERROR(_xlfn.XLOOKUP(C699,[1]StuntDes!$B:$B,[1]StuntDes!$A:$A),"")</f>
        <v/>
      </c>
      <c r="N699" s="10" t="str">
        <f>IFERROR(_xlfn.XLOOKUP(C699,[1]ModifierDes!$B:$B,[1]ModifierDes!$A:$A),"")</f>
        <v/>
      </c>
      <c r="O699" s="10">
        <f>IFERROR(_xlfn.XLOOKUP(C699,[1]AttributeName!$C:$C,[1]AttributeName!$B:$B),"")</f>
        <v>10900</v>
      </c>
      <c r="P699" s="10"/>
      <c r="Q699">
        <v>5</v>
      </c>
      <c r="R699">
        <v>6</v>
      </c>
      <c r="S699" cm="1">
        <f t="array" ref="S699">IFERROR(_xlfn.SWITCH(L699,1,_xlfn.XLOOKUP(O699,[1]AttributeName!$B:$B,[1]AttributeName!$D:$D),2,_xlfn.XLOOKUP(C699,#REF!,#REF!),3,_xlfn.XLOOKUP(C699,#REF!,#REF!)),0)</f>
        <v>0</v>
      </c>
      <c r="T699" cm="1">
        <f t="array" ref="T699">IFERROR(_xlfn.SWITCH(L699,1,_xlfn.XLOOKUP(O699,[1]AttributeName!$B:$B,[1]AttributeName!$E:$E),2,_xlfn.XLOOKUP(C699,#REF!,#REF!),3,_xlfn.XLOOKUP(C699,#REF!,#REF!)),0)</f>
        <v>1</v>
      </c>
    </row>
    <row r="700" customFormat="1" spans="1:20">
      <c r="A700">
        <f t="shared" si="35"/>
        <v>263</v>
      </c>
      <c r="B700">
        <v>7</v>
      </c>
      <c r="C700" t="s">
        <v>414</v>
      </c>
      <c r="D700" t="s">
        <v>25</v>
      </c>
      <c r="E700" t="s">
        <v>392</v>
      </c>
      <c r="F700"/>
      <c r="G700">
        <v>2</v>
      </c>
      <c r="H700">
        <v>500</v>
      </c>
      <c r="I700">
        <v>3</v>
      </c>
      <c r="J700" cm="1">
        <f t="array" ref="J700">_xlfn.SWITCH(B700,1,75,2,61,3,49,4,37,5,25,6,13,7,4,8,1)</f>
        <v>4</v>
      </c>
      <c r="K700" t="str" cm="1">
        <f t="array" ref="K700">IFERROR(_xlfn.SWITCH(L700,2,_xlfn.XLOOKUP(C700,[1]ModifierDes!$B:$B,[1]ModifierDes!$C:$C),3,_xlfn.XLOOKUP(C700,[1]StuntDes!$B:$B,[1]StuntDes!$C:$C)),"")</f>
        <v/>
      </c>
      <c r="L700">
        <f t="shared" si="34"/>
        <v>1</v>
      </c>
      <c r="M700" s="10" t="str">
        <f>IFERROR(_xlfn.XLOOKUP(C700,[1]StuntDes!$B:$B,[1]StuntDes!$A:$A),"")</f>
        <v/>
      </c>
      <c r="N700" s="10" t="str">
        <f>IFERROR(_xlfn.XLOOKUP(C700,[1]ModifierDes!$B:$B,[1]ModifierDes!$A:$A),"")</f>
        <v/>
      </c>
      <c r="O700" s="10">
        <f>IFERROR(_xlfn.XLOOKUP(C700,[1]AttributeName!$C:$C,[1]AttributeName!$B:$B),"")</f>
        <v>10900</v>
      </c>
      <c r="P700" s="10"/>
      <c r="Q700">
        <v>3</v>
      </c>
      <c r="R700">
        <v>4</v>
      </c>
      <c r="S700" cm="1">
        <f t="array" ref="S700">IFERROR(_xlfn.SWITCH(L700,1,_xlfn.XLOOKUP(O700,[1]AttributeName!$B:$B,[1]AttributeName!$D:$D),2,_xlfn.XLOOKUP(C700,#REF!,#REF!),3,_xlfn.XLOOKUP(C700,#REF!,#REF!)),0)</f>
        <v>0</v>
      </c>
      <c r="T700" cm="1">
        <f t="array" ref="T700">IFERROR(_xlfn.SWITCH(L700,1,_xlfn.XLOOKUP(O700,[1]AttributeName!$B:$B,[1]AttributeName!$E:$E),2,_xlfn.XLOOKUP(C700,#REF!,#REF!),3,_xlfn.XLOOKUP(C700,#REF!,#REF!)),0)</f>
        <v>1</v>
      </c>
    </row>
    <row r="701" customFormat="1" spans="1:20">
      <c r="A701">
        <f t="shared" si="35"/>
        <v>263</v>
      </c>
      <c r="B701">
        <v>8</v>
      </c>
      <c r="C701" t="s">
        <v>414</v>
      </c>
      <c r="D701" t="s">
        <v>25</v>
      </c>
      <c r="E701" t="s">
        <v>392</v>
      </c>
      <c r="F701"/>
      <c r="G701">
        <v>2</v>
      </c>
      <c r="H701">
        <v>500</v>
      </c>
      <c r="I701">
        <v>3</v>
      </c>
      <c r="J701" cm="1">
        <f t="array" ref="J701">_xlfn.SWITCH(B701,1,75,2,61,3,49,4,37,5,25,6,13,7,4,8,1)</f>
        <v>1</v>
      </c>
      <c r="K701" t="str" cm="1">
        <f t="array" ref="K701">IFERROR(_xlfn.SWITCH(L701,2,_xlfn.XLOOKUP(C701,[1]ModifierDes!$B:$B,[1]ModifierDes!$C:$C),3,_xlfn.XLOOKUP(C701,[1]StuntDes!$B:$B,[1]StuntDes!$C:$C)),"")</f>
        <v/>
      </c>
      <c r="L701">
        <f t="shared" si="34"/>
        <v>1</v>
      </c>
      <c r="M701" s="10" t="str">
        <f>IFERROR(_xlfn.XLOOKUP(C701,[1]StuntDes!$B:$B,[1]StuntDes!$A:$A),"")</f>
        <v/>
      </c>
      <c r="N701" s="10" t="str">
        <f>IFERROR(_xlfn.XLOOKUP(C701,[1]ModifierDes!$B:$B,[1]ModifierDes!$A:$A),"")</f>
        <v/>
      </c>
      <c r="O701" s="10">
        <f>IFERROR(_xlfn.XLOOKUP(C701,[1]AttributeName!$C:$C,[1]AttributeName!$B:$B),"")</f>
        <v>10900</v>
      </c>
      <c r="P701" s="10"/>
      <c r="Q701">
        <v>1</v>
      </c>
      <c r="R701">
        <v>2</v>
      </c>
      <c r="S701" cm="1">
        <f t="array" ref="S701">IFERROR(_xlfn.SWITCH(L701,1,_xlfn.XLOOKUP(O701,[1]AttributeName!$B:$B,[1]AttributeName!$D:$D),2,_xlfn.XLOOKUP(C701,#REF!,#REF!),3,_xlfn.XLOOKUP(C701,#REF!,#REF!)),0)</f>
        <v>0</v>
      </c>
      <c r="T701" cm="1">
        <f t="array" ref="T701">IFERROR(_xlfn.SWITCH(L701,1,_xlfn.XLOOKUP(O701,[1]AttributeName!$B:$B,[1]AttributeName!$E:$E),2,_xlfn.XLOOKUP(C701,#REF!,#REF!),3,_xlfn.XLOOKUP(C701,#REF!,#REF!)),0)</f>
        <v>1</v>
      </c>
    </row>
    <row r="702" customFormat="1" spans="1:20">
      <c r="A702">
        <f t="shared" si="35"/>
        <v>264</v>
      </c>
      <c r="B702">
        <v>1</v>
      </c>
      <c r="C702" t="s">
        <v>427</v>
      </c>
      <c r="D702" t="s">
        <v>25</v>
      </c>
      <c r="E702" t="s">
        <v>392</v>
      </c>
      <c r="F702"/>
      <c r="G702">
        <v>2</v>
      </c>
      <c r="H702">
        <v>50</v>
      </c>
      <c r="I702">
        <v>3</v>
      </c>
      <c r="J702" cm="1">
        <f t="array" ref="J702">_xlfn.SWITCH(B702,1,75,2,61,3,49,4,37,5,25,6,13,7,4,8,1)</f>
        <v>75</v>
      </c>
      <c r="K702" t="str" cm="1">
        <f t="array" ref="K702">IFERROR(_xlfn.SWITCH(L702,2,_xlfn.XLOOKUP(C702,[1]ModifierDes!$B:$B,[1]ModifierDes!$C:$C),3,_xlfn.XLOOKUP(C702,[1]StuntDes!$B:$B,[1]StuntDes!$C:$C)),"")</f>
        <v/>
      </c>
      <c r="L702">
        <f t="shared" si="34"/>
        <v>1</v>
      </c>
      <c r="M702" s="10" t="str">
        <f>IFERROR(_xlfn.XLOOKUP(C702,[1]StuntDes!$B:$B,[1]StuntDes!$A:$A),"")</f>
        <v/>
      </c>
      <c r="N702" s="10" t="str">
        <f>IFERROR(_xlfn.XLOOKUP(C702,[1]ModifierDes!$B:$B,[1]ModifierDes!$A:$A),"")</f>
        <v/>
      </c>
      <c r="O702" s="10">
        <f>IFERROR(_xlfn.XLOOKUP(C702,[1]AttributeName!$C:$C,[1]AttributeName!$B:$B),"")</f>
        <v>10003</v>
      </c>
      <c r="P702" s="10"/>
      <c r="Q702">
        <v>8</v>
      </c>
      <c r="R702">
        <v>10</v>
      </c>
      <c r="S702" cm="1">
        <f t="array" ref="S702">IFERROR(_xlfn.SWITCH(L702,1,_xlfn.XLOOKUP(O702,[1]AttributeName!$B:$B,[1]AttributeName!$D:$D),2,_xlfn.XLOOKUP(C702,#REF!,#REF!),3,_xlfn.XLOOKUP(C702,#REF!,#REF!)),0)</f>
        <v>0</v>
      </c>
      <c r="T702" cm="1">
        <f t="array" ref="T702">IFERROR(_xlfn.SWITCH(L702,1,_xlfn.XLOOKUP(O702,[1]AttributeName!$B:$B,[1]AttributeName!$E:$E),2,_xlfn.XLOOKUP(C702,#REF!,#REF!),3,_xlfn.XLOOKUP(C702,#REF!,#REF!)),0)</f>
        <v>1</v>
      </c>
    </row>
    <row r="703" customFormat="1" spans="1:20">
      <c r="A703">
        <f t="shared" si="35"/>
        <v>264</v>
      </c>
      <c r="B703">
        <v>2</v>
      </c>
      <c r="C703" t="s">
        <v>427</v>
      </c>
      <c r="D703" t="s">
        <v>25</v>
      </c>
      <c r="E703" t="s">
        <v>392</v>
      </c>
      <c r="F703"/>
      <c r="G703">
        <v>2</v>
      </c>
      <c r="H703">
        <v>100</v>
      </c>
      <c r="I703">
        <v>3</v>
      </c>
      <c r="J703" cm="1">
        <f t="array" ref="J703">_xlfn.SWITCH(B703,1,75,2,61,3,49,4,37,5,25,6,13,7,4,8,1)</f>
        <v>61</v>
      </c>
      <c r="K703" t="str" cm="1">
        <f t="array" ref="K703">IFERROR(_xlfn.SWITCH(L703,2,_xlfn.XLOOKUP(C703,[1]ModifierDes!$B:$B,[1]ModifierDes!$C:$C),3,_xlfn.XLOOKUP(C703,[1]StuntDes!$B:$B,[1]StuntDes!$C:$C)),"")</f>
        <v/>
      </c>
      <c r="L703">
        <f t="shared" si="34"/>
        <v>1</v>
      </c>
      <c r="M703" s="10" t="str">
        <f>IFERROR(_xlfn.XLOOKUP(C703,[1]StuntDes!$B:$B,[1]StuntDes!$A:$A),"")</f>
        <v/>
      </c>
      <c r="N703" s="10" t="str">
        <f>IFERROR(_xlfn.XLOOKUP(C703,[1]ModifierDes!$B:$B,[1]ModifierDes!$A:$A),"")</f>
        <v/>
      </c>
      <c r="O703" s="10">
        <f>IFERROR(_xlfn.XLOOKUP(C703,[1]AttributeName!$C:$C,[1]AttributeName!$B:$B),"")</f>
        <v>10003</v>
      </c>
      <c r="P703" s="10"/>
      <c r="Q703">
        <v>7</v>
      </c>
      <c r="R703">
        <v>7</v>
      </c>
      <c r="S703" cm="1">
        <f t="array" ref="S703">IFERROR(_xlfn.SWITCH(L703,1,_xlfn.XLOOKUP(O703,[1]AttributeName!$B:$B,[1]AttributeName!$D:$D),2,_xlfn.XLOOKUP(C703,#REF!,#REF!),3,_xlfn.XLOOKUP(C703,#REF!,#REF!)),0)</f>
        <v>0</v>
      </c>
      <c r="T703" cm="1">
        <f t="array" ref="T703">IFERROR(_xlfn.SWITCH(L703,1,_xlfn.XLOOKUP(O703,[1]AttributeName!$B:$B,[1]AttributeName!$E:$E),2,_xlfn.XLOOKUP(C703,#REF!,#REF!),3,_xlfn.XLOOKUP(C703,#REF!,#REF!)),0)</f>
        <v>1</v>
      </c>
    </row>
    <row r="704" customFormat="1" spans="1:20">
      <c r="A704">
        <f t="shared" si="35"/>
        <v>264</v>
      </c>
      <c r="B704">
        <v>3</v>
      </c>
      <c r="C704" t="s">
        <v>427</v>
      </c>
      <c r="D704" t="s">
        <v>25</v>
      </c>
      <c r="E704" t="s">
        <v>392</v>
      </c>
      <c r="F704"/>
      <c r="G704">
        <v>2</v>
      </c>
      <c r="H704">
        <v>250</v>
      </c>
      <c r="I704">
        <v>3</v>
      </c>
      <c r="J704" cm="1">
        <f t="array" ref="J704">_xlfn.SWITCH(B704,1,75,2,61,3,49,4,37,5,25,6,13,7,4,8,1)</f>
        <v>49</v>
      </c>
      <c r="K704" t="str" cm="1">
        <f t="array" ref="K704">IFERROR(_xlfn.SWITCH(L704,2,_xlfn.XLOOKUP(C704,[1]ModifierDes!$B:$B,[1]ModifierDes!$C:$C),3,_xlfn.XLOOKUP(C704,[1]StuntDes!$B:$B,[1]StuntDes!$C:$C)),"")</f>
        <v/>
      </c>
      <c r="L704">
        <f t="shared" si="34"/>
        <v>1</v>
      </c>
      <c r="M704" s="10" t="str">
        <f>IFERROR(_xlfn.XLOOKUP(C704,[1]StuntDes!$B:$B,[1]StuntDes!$A:$A),"")</f>
        <v/>
      </c>
      <c r="N704" s="10" t="str">
        <f>IFERROR(_xlfn.XLOOKUP(C704,[1]ModifierDes!$B:$B,[1]ModifierDes!$A:$A),"")</f>
        <v/>
      </c>
      <c r="O704" s="10">
        <f>IFERROR(_xlfn.XLOOKUP(C704,[1]AttributeName!$C:$C,[1]AttributeName!$B:$B),"")</f>
        <v>10003</v>
      </c>
      <c r="P704" s="10"/>
      <c r="Q704">
        <v>6</v>
      </c>
      <c r="R704">
        <v>6</v>
      </c>
      <c r="S704" cm="1">
        <f t="array" ref="S704">IFERROR(_xlfn.SWITCH(L704,1,_xlfn.XLOOKUP(O704,[1]AttributeName!$B:$B,[1]AttributeName!$D:$D),2,_xlfn.XLOOKUP(C704,#REF!,#REF!),3,_xlfn.XLOOKUP(C704,#REF!,#REF!)),0)</f>
        <v>0</v>
      </c>
      <c r="T704" cm="1">
        <f t="array" ref="T704">IFERROR(_xlfn.SWITCH(L704,1,_xlfn.XLOOKUP(O704,[1]AttributeName!$B:$B,[1]AttributeName!$E:$E),2,_xlfn.XLOOKUP(C704,#REF!,#REF!),3,_xlfn.XLOOKUP(C704,#REF!,#REF!)),0)</f>
        <v>1</v>
      </c>
    </row>
    <row r="705" customFormat="1" spans="1:20">
      <c r="A705">
        <f t="shared" si="35"/>
        <v>264</v>
      </c>
      <c r="B705">
        <v>4</v>
      </c>
      <c r="C705" t="s">
        <v>427</v>
      </c>
      <c r="D705" t="s">
        <v>25</v>
      </c>
      <c r="E705" t="s">
        <v>392</v>
      </c>
      <c r="F705"/>
      <c r="G705">
        <v>2</v>
      </c>
      <c r="H705">
        <v>500</v>
      </c>
      <c r="I705">
        <v>3</v>
      </c>
      <c r="J705" cm="1">
        <f t="array" ref="J705">_xlfn.SWITCH(B705,1,75,2,61,3,49,4,37,5,25,6,13,7,4,8,1)</f>
        <v>37</v>
      </c>
      <c r="K705" t="str" cm="1">
        <f t="array" ref="K705">IFERROR(_xlfn.SWITCH(L705,2,_xlfn.XLOOKUP(C705,[1]ModifierDes!$B:$B,[1]ModifierDes!$C:$C),3,_xlfn.XLOOKUP(C705,[1]StuntDes!$B:$B,[1]StuntDes!$C:$C)),"")</f>
        <v/>
      </c>
      <c r="L705">
        <f t="shared" si="34"/>
        <v>1</v>
      </c>
      <c r="M705" s="10" t="str">
        <f>IFERROR(_xlfn.XLOOKUP(C705,[1]StuntDes!$B:$B,[1]StuntDes!$A:$A),"")</f>
        <v/>
      </c>
      <c r="N705" s="10" t="str">
        <f>IFERROR(_xlfn.XLOOKUP(C705,[1]ModifierDes!$B:$B,[1]ModifierDes!$A:$A),"")</f>
        <v/>
      </c>
      <c r="O705" s="10">
        <f>IFERROR(_xlfn.XLOOKUP(C705,[1]AttributeName!$C:$C,[1]AttributeName!$B:$B),"")</f>
        <v>10003</v>
      </c>
      <c r="P705" s="10"/>
      <c r="Q705">
        <v>5</v>
      </c>
      <c r="R705">
        <v>5</v>
      </c>
      <c r="S705" cm="1">
        <f t="array" ref="S705">IFERROR(_xlfn.SWITCH(L705,1,_xlfn.XLOOKUP(O705,[1]AttributeName!$B:$B,[1]AttributeName!$D:$D),2,_xlfn.XLOOKUP(C705,#REF!,#REF!),3,_xlfn.XLOOKUP(C705,#REF!,#REF!)),0)</f>
        <v>0</v>
      </c>
      <c r="T705" cm="1">
        <f t="array" ref="T705">IFERROR(_xlfn.SWITCH(L705,1,_xlfn.XLOOKUP(O705,[1]AttributeName!$B:$B,[1]AttributeName!$E:$E),2,_xlfn.XLOOKUP(C705,#REF!,#REF!),3,_xlfn.XLOOKUP(C705,#REF!,#REF!)),0)</f>
        <v>1</v>
      </c>
    </row>
    <row r="706" customFormat="1" spans="1:20">
      <c r="A706">
        <f t="shared" si="35"/>
        <v>264</v>
      </c>
      <c r="B706">
        <v>5</v>
      </c>
      <c r="C706" t="s">
        <v>427</v>
      </c>
      <c r="D706" t="s">
        <v>25</v>
      </c>
      <c r="E706" t="s">
        <v>392</v>
      </c>
      <c r="F706"/>
      <c r="G706">
        <v>2</v>
      </c>
      <c r="H706">
        <v>500</v>
      </c>
      <c r="I706">
        <v>3</v>
      </c>
      <c r="J706" cm="1">
        <f t="array" ref="J706">_xlfn.SWITCH(B706,1,75,2,61,3,49,4,37,5,25,6,13,7,4,8,1)</f>
        <v>25</v>
      </c>
      <c r="K706" t="str" cm="1">
        <f t="array" ref="K706">IFERROR(_xlfn.SWITCH(L706,2,_xlfn.XLOOKUP(C706,[1]ModifierDes!$B:$B,[1]ModifierDes!$C:$C),3,_xlfn.XLOOKUP(C706,[1]StuntDes!$B:$B,[1]StuntDes!$C:$C)),"")</f>
        <v/>
      </c>
      <c r="L706">
        <f t="shared" si="34"/>
        <v>1</v>
      </c>
      <c r="M706" s="10" t="str">
        <f>IFERROR(_xlfn.XLOOKUP(C706,[1]StuntDes!$B:$B,[1]StuntDes!$A:$A),"")</f>
        <v/>
      </c>
      <c r="N706" s="10" t="str">
        <f>IFERROR(_xlfn.XLOOKUP(C706,[1]ModifierDes!$B:$B,[1]ModifierDes!$A:$A),"")</f>
        <v/>
      </c>
      <c r="O706" s="10">
        <f>IFERROR(_xlfn.XLOOKUP(C706,[1]AttributeName!$C:$C,[1]AttributeName!$B:$B),"")</f>
        <v>10003</v>
      </c>
      <c r="P706" s="10"/>
      <c r="Q706">
        <v>4</v>
      </c>
      <c r="R706">
        <v>4</v>
      </c>
      <c r="S706" cm="1">
        <f t="array" ref="S706">IFERROR(_xlfn.SWITCH(L706,1,_xlfn.XLOOKUP(O706,[1]AttributeName!$B:$B,[1]AttributeName!$D:$D),2,_xlfn.XLOOKUP(C706,#REF!,#REF!),3,_xlfn.XLOOKUP(C706,#REF!,#REF!)),0)</f>
        <v>0</v>
      </c>
      <c r="T706" cm="1">
        <f t="array" ref="T706">IFERROR(_xlfn.SWITCH(L706,1,_xlfn.XLOOKUP(O706,[1]AttributeName!$B:$B,[1]AttributeName!$E:$E),2,_xlfn.XLOOKUP(C706,#REF!,#REF!),3,_xlfn.XLOOKUP(C706,#REF!,#REF!)),0)</f>
        <v>1</v>
      </c>
    </row>
    <row r="707" customFormat="1" spans="1:20">
      <c r="A707">
        <f t="shared" si="35"/>
        <v>264</v>
      </c>
      <c r="B707">
        <v>6</v>
      </c>
      <c r="C707" t="s">
        <v>427</v>
      </c>
      <c r="D707" t="s">
        <v>25</v>
      </c>
      <c r="E707" t="s">
        <v>392</v>
      </c>
      <c r="F707"/>
      <c r="G707">
        <v>2</v>
      </c>
      <c r="H707">
        <v>500</v>
      </c>
      <c r="I707">
        <v>3</v>
      </c>
      <c r="J707" cm="1">
        <f t="array" ref="J707">_xlfn.SWITCH(B707,1,75,2,61,3,49,4,37,5,25,6,13,7,4,8,1)</f>
        <v>13</v>
      </c>
      <c r="K707" t="str" cm="1">
        <f t="array" ref="K707">IFERROR(_xlfn.SWITCH(L707,2,_xlfn.XLOOKUP(C707,[1]ModifierDes!$B:$B,[1]ModifierDes!$C:$C),3,_xlfn.XLOOKUP(C707,[1]StuntDes!$B:$B,[1]StuntDes!$C:$C)),"")</f>
        <v/>
      </c>
      <c r="L707">
        <f t="shared" si="34"/>
        <v>1</v>
      </c>
      <c r="M707" s="10" t="str">
        <f>IFERROR(_xlfn.XLOOKUP(C707,[1]StuntDes!$B:$B,[1]StuntDes!$A:$A),"")</f>
        <v/>
      </c>
      <c r="N707" s="10" t="str">
        <f>IFERROR(_xlfn.XLOOKUP(C707,[1]ModifierDes!$B:$B,[1]ModifierDes!$A:$A),"")</f>
        <v/>
      </c>
      <c r="O707" s="10">
        <f>IFERROR(_xlfn.XLOOKUP(C707,[1]AttributeName!$C:$C,[1]AttributeName!$B:$B),"")</f>
        <v>10003</v>
      </c>
      <c r="P707" s="10"/>
      <c r="Q707">
        <v>3</v>
      </c>
      <c r="R707">
        <v>3</v>
      </c>
      <c r="S707" cm="1">
        <f t="array" ref="S707">IFERROR(_xlfn.SWITCH(L707,1,_xlfn.XLOOKUP(O707,[1]AttributeName!$B:$B,[1]AttributeName!$D:$D),2,_xlfn.XLOOKUP(C707,#REF!,#REF!),3,_xlfn.XLOOKUP(C707,#REF!,#REF!)),0)</f>
        <v>0</v>
      </c>
      <c r="T707" cm="1">
        <f t="array" ref="T707">IFERROR(_xlfn.SWITCH(L707,1,_xlfn.XLOOKUP(O707,[1]AttributeName!$B:$B,[1]AttributeName!$E:$E),2,_xlfn.XLOOKUP(C707,#REF!,#REF!),3,_xlfn.XLOOKUP(C707,#REF!,#REF!)),0)</f>
        <v>1</v>
      </c>
    </row>
    <row r="708" customFormat="1" spans="1:20">
      <c r="A708">
        <f t="shared" si="35"/>
        <v>264</v>
      </c>
      <c r="B708">
        <v>7</v>
      </c>
      <c r="C708" t="s">
        <v>427</v>
      </c>
      <c r="D708" t="s">
        <v>25</v>
      </c>
      <c r="E708" t="s">
        <v>392</v>
      </c>
      <c r="F708"/>
      <c r="G708">
        <v>2</v>
      </c>
      <c r="H708">
        <v>500</v>
      </c>
      <c r="I708">
        <v>3</v>
      </c>
      <c r="J708" cm="1">
        <f t="array" ref="J708">_xlfn.SWITCH(B708,1,75,2,61,3,49,4,37,5,25,6,13,7,4,8,1)</f>
        <v>4</v>
      </c>
      <c r="K708" t="str" cm="1">
        <f t="array" ref="K708">IFERROR(_xlfn.SWITCH(L708,2,_xlfn.XLOOKUP(C708,[1]ModifierDes!$B:$B,[1]ModifierDes!$C:$C),3,_xlfn.XLOOKUP(C708,[1]StuntDes!$B:$B,[1]StuntDes!$C:$C)),"")</f>
        <v/>
      </c>
      <c r="L708">
        <f t="shared" ref="L708:L771" si="36">IF(M708="",IF(N708="",1,2),3)</f>
        <v>1</v>
      </c>
      <c r="M708" s="10" t="str">
        <f>IFERROR(_xlfn.XLOOKUP(C708,[1]StuntDes!$B:$B,[1]StuntDes!$A:$A),"")</f>
        <v/>
      </c>
      <c r="N708" s="10" t="str">
        <f>IFERROR(_xlfn.XLOOKUP(C708,[1]ModifierDes!$B:$B,[1]ModifierDes!$A:$A),"")</f>
        <v/>
      </c>
      <c r="O708" s="10">
        <f>IFERROR(_xlfn.XLOOKUP(C708,[1]AttributeName!$C:$C,[1]AttributeName!$B:$B),"")</f>
        <v>10003</v>
      </c>
      <c r="P708" s="10"/>
      <c r="Q708">
        <v>2</v>
      </c>
      <c r="R708">
        <v>2</v>
      </c>
      <c r="S708" cm="1">
        <f t="array" ref="S708">IFERROR(_xlfn.SWITCH(L708,1,_xlfn.XLOOKUP(O708,[1]AttributeName!$B:$B,[1]AttributeName!$D:$D),2,_xlfn.XLOOKUP(C708,#REF!,#REF!),3,_xlfn.XLOOKUP(C708,#REF!,#REF!)),0)</f>
        <v>0</v>
      </c>
      <c r="T708" cm="1">
        <f t="array" ref="T708">IFERROR(_xlfn.SWITCH(L708,1,_xlfn.XLOOKUP(O708,[1]AttributeName!$B:$B,[1]AttributeName!$E:$E),2,_xlfn.XLOOKUP(C708,#REF!,#REF!),3,_xlfn.XLOOKUP(C708,#REF!,#REF!)),0)</f>
        <v>1</v>
      </c>
    </row>
    <row r="709" customFormat="1" spans="1:20">
      <c r="A709">
        <f t="shared" si="35"/>
        <v>264</v>
      </c>
      <c r="B709">
        <v>8</v>
      </c>
      <c r="C709" t="s">
        <v>427</v>
      </c>
      <c r="D709" t="s">
        <v>25</v>
      </c>
      <c r="E709" t="s">
        <v>392</v>
      </c>
      <c r="F709"/>
      <c r="G709">
        <v>2</v>
      </c>
      <c r="H709">
        <v>500</v>
      </c>
      <c r="I709">
        <v>3</v>
      </c>
      <c r="J709" cm="1">
        <f t="array" ref="J709">_xlfn.SWITCH(B709,1,75,2,61,3,49,4,37,5,25,6,13,7,4,8,1)</f>
        <v>1</v>
      </c>
      <c r="K709" t="str" cm="1">
        <f t="array" ref="K709">IFERROR(_xlfn.SWITCH(L709,2,_xlfn.XLOOKUP(C709,[1]ModifierDes!$B:$B,[1]ModifierDes!$C:$C),3,_xlfn.XLOOKUP(C709,[1]StuntDes!$B:$B,[1]StuntDes!$C:$C)),"")</f>
        <v/>
      </c>
      <c r="L709">
        <f t="shared" si="36"/>
        <v>1</v>
      </c>
      <c r="M709" s="10" t="str">
        <f>IFERROR(_xlfn.XLOOKUP(C709,[1]StuntDes!$B:$B,[1]StuntDes!$A:$A),"")</f>
        <v/>
      </c>
      <c r="N709" s="10" t="str">
        <f>IFERROR(_xlfn.XLOOKUP(C709,[1]ModifierDes!$B:$B,[1]ModifierDes!$A:$A),"")</f>
        <v/>
      </c>
      <c r="O709" s="10">
        <f>IFERROR(_xlfn.XLOOKUP(C709,[1]AttributeName!$C:$C,[1]AttributeName!$B:$B),"")</f>
        <v>10003</v>
      </c>
      <c r="P709" s="10"/>
      <c r="Q709">
        <v>1</v>
      </c>
      <c r="R709">
        <v>1</v>
      </c>
      <c r="S709" cm="1">
        <f t="array" ref="S709">IFERROR(_xlfn.SWITCH(L709,1,_xlfn.XLOOKUP(O709,[1]AttributeName!$B:$B,[1]AttributeName!$D:$D),2,_xlfn.XLOOKUP(C709,#REF!,#REF!),3,_xlfn.XLOOKUP(C709,#REF!,#REF!)),0)</f>
        <v>0</v>
      </c>
      <c r="T709" cm="1">
        <f t="array" ref="T709">IFERROR(_xlfn.SWITCH(L709,1,_xlfn.XLOOKUP(O709,[1]AttributeName!$B:$B,[1]AttributeName!$E:$E),2,_xlfn.XLOOKUP(C709,#REF!,#REF!),3,_xlfn.XLOOKUP(C709,#REF!,#REF!)),0)</f>
        <v>1</v>
      </c>
    </row>
    <row r="710" customFormat="1" spans="1:20">
      <c r="A710">
        <v>301</v>
      </c>
      <c r="B710">
        <v>1</v>
      </c>
      <c r="C710" t="s">
        <v>389</v>
      </c>
      <c r="D710" t="s">
        <v>26</v>
      </c>
      <c r="E710" t="s">
        <v>378</v>
      </c>
      <c r="F710"/>
      <c r="G710">
        <v>1</v>
      </c>
      <c r="H710">
        <v>1000</v>
      </c>
      <c r="J710" cm="1">
        <f t="array" ref="J710">_xlfn.SWITCH(B710,1,75,2,61,3,49,4,37,5,25,6,13,7,4,8,1)</f>
        <v>75</v>
      </c>
      <c r="K710" t="str" cm="1">
        <f t="array" ref="K710">IFERROR(_xlfn.SWITCH(L710,2,_xlfn.XLOOKUP(C710,[1]ModifierDes!$B:$B,[1]ModifierDes!$C:$C),3,_xlfn.XLOOKUP(C710,[1]StuntDes!$B:$B,[1]StuntDes!$C:$C)),"")</f>
        <v/>
      </c>
      <c r="L710">
        <f t="shared" si="36"/>
        <v>1</v>
      </c>
      <c r="M710" s="10" t="str">
        <f>IFERROR(_xlfn.XLOOKUP(C710,[1]StuntDes!$B:$B,[1]StuntDes!$A:$A),"")</f>
        <v/>
      </c>
      <c r="N710" s="10" t="str">
        <f>IFERROR(_xlfn.XLOOKUP(C710,[1]ModifierDes!$B:$B,[1]ModifierDes!$A:$A),"")</f>
        <v/>
      </c>
      <c r="O710" s="10">
        <f>IFERROR(_xlfn.XLOOKUP(C710,[1]AttributeName!$C:$C,[1]AttributeName!$B:$B),"")</f>
        <v>10001</v>
      </c>
      <c r="P710" s="10"/>
      <c r="Q710">
        <v>950</v>
      </c>
      <c r="R710">
        <v>1050</v>
      </c>
      <c r="S710" cm="1">
        <f t="array" ref="S710">IFERROR(_xlfn.SWITCH(L710,1,_xlfn.XLOOKUP(O710,[1]AttributeName!$B:$B,[1]AttributeName!$D:$D),2,_xlfn.XLOOKUP(C710,#REF!,#REF!),3,_xlfn.XLOOKUP(C710,#REF!,#REF!)),0)</f>
        <v>0</v>
      </c>
      <c r="T710" cm="1">
        <f t="array" ref="T710">IFERROR(_xlfn.SWITCH(L710,1,_xlfn.XLOOKUP(O710,[1]AttributeName!$B:$B,[1]AttributeName!$E:$E),2,_xlfn.XLOOKUP(C710,#REF!,#REF!),3,_xlfn.XLOOKUP(C710,#REF!,#REF!)),0)</f>
        <v>1</v>
      </c>
    </row>
    <row r="711" customFormat="1" spans="1:20">
      <c r="A711">
        <v>301</v>
      </c>
      <c r="B711">
        <v>2</v>
      </c>
      <c r="C711" t="s">
        <v>389</v>
      </c>
      <c r="D711" t="s">
        <v>26</v>
      </c>
      <c r="E711" t="s">
        <v>378</v>
      </c>
      <c r="F711"/>
      <c r="G711">
        <v>1</v>
      </c>
      <c r="H711">
        <v>1000</v>
      </c>
      <c r="J711" cm="1">
        <f t="array" ref="J711">_xlfn.SWITCH(B711,1,75,2,61,3,49,4,37,5,25,6,13,7,4,8,1)</f>
        <v>61</v>
      </c>
      <c r="K711" t="str" cm="1">
        <f t="array" ref="K711">IFERROR(_xlfn.SWITCH(L711,2,_xlfn.XLOOKUP(C711,[1]ModifierDes!$B:$B,[1]ModifierDes!$C:$C),3,_xlfn.XLOOKUP(C711,[1]StuntDes!$B:$B,[1]StuntDes!$C:$C)),"")</f>
        <v/>
      </c>
      <c r="L711">
        <f t="shared" si="36"/>
        <v>1</v>
      </c>
      <c r="M711" s="10" t="str">
        <f>IFERROR(_xlfn.XLOOKUP(C711,[1]StuntDes!$B:$B,[1]StuntDes!$A:$A),"")</f>
        <v/>
      </c>
      <c r="N711" s="10" t="str">
        <f>IFERROR(_xlfn.XLOOKUP(C711,[1]ModifierDes!$B:$B,[1]ModifierDes!$A:$A),"")</f>
        <v/>
      </c>
      <c r="O711" s="10">
        <f>IFERROR(_xlfn.XLOOKUP(C711,[1]AttributeName!$C:$C,[1]AttributeName!$B:$B),"")</f>
        <v>10001</v>
      </c>
      <c r="P711" s="10"/>
      <c r="Q711">
        <v>520</v>
      </c>
      <c r="R711">
        <v>600</v>
      </c>
      <c r="S711" cm="1">
        <f t="array" ref="S711">IFERROR(_xlfn.SWITCH(L711,1,_xlfn.XLOOKUP(O711,[1]AttributeName!$B:$B,[1]AttributeName!$D:$D),2,_xlfn.XLOOKUP(C711,#REF!,#REF!),3,_xlfn.XLOOKUP(C711,#REF!,#REF!)),0)</f>
        <v>0</v>
      </c>
      <c r="T711" cm="1">
        <f t="array" ref="T711">IFERROR(_xlfn.SWITCH(L711,1,_xlfn.XLOOKUP(O711,[1]AttributeName!$B:$B,[1]AttributeName!$E:$E),2,_xlfn.XLOOKUP(C711,#REF!,#REF!),3,_xlfn.XLOOKUP(C711,#REF!,#REF!)),0)</f>
        <v>1</v>
      </c>
    </row>
    <row r="712" customFormat="1" spans="1:20">
      <c r="A712">
        <v>301</v>
      </c>
      <c r="B712">
        <v>3</v>
      </c>
      <c r="C712" t="s">
        <v>389</v>
      </c>
      <c r="D712" t="s">
        <v>26</v>
      </c>
      <c r="E712" t="s">
        <v>378</v>
      </c>
      <c r="F712"/>
      <c r="G712">
        <v>1</v>
      </c>
      <c r="H712">
        <v>1000</v>
      </c>
      <c r="J712" cm="1">
        <f t="array" ref="J712">_xlfn.SWITCH(B712,1,75,2,61,3,49,4,37,5,25,6,13,7,4,8,1)</f>
        <v>49</v>
      </c>
      <c r="K712" t="str" cm="1">
        <f t="array" ref="K712">IFERROR(_xlfn.SWITCH(L712,2,_xlfn.XLOOKUP(C712,[1]ModifierDes!$B:$B,[1]ModifierDes!$C:$C),3,_xlfn.XLOOKUP(C712,[1]StuntDes!$B:$B,[1]StuntDes!$C:$C)),"")</f>
        <v/>
      </c>
      <c r="L712">
        <f t="shared" si="36"/>
        <v>1</v>
      </c>
      <c r="M712" s="10" t="str">
        <f>IFERROR(_xlfn.XLOOKUP(C712,[1]StuntDes!$B:$B,[1]StuntDes!$A:$A),"")</f>
        <v/>
      </c>
      <c r="N712" s="10" t="str">
        <f>IFERROR(_xlfn.XLOOKUP(C712,[1]ModifierDes!$B:$B,[1]ModifierDes!$A:$A),"")</f>
        <v/>
      </c>
      <c r="O712" s="10">
        <f>IFERROR(_xlfn.XLOOKUP(C712,[1]AttributeName!$C:$C,[1]AttributeName!$B:$B),"")</f>
        <v>10001</v>
      </c>
      <c r="P712" s="10"/>
      <c r="Q712">
        <v>250</v>
      </c>
      <c r="R712">
        <v>310</v>
      </c>
      <c r="S712" cm="1">
        <f t="array" ref="S712">IFERROR(_xlfn.SWITCH(L712,1,_xlfn.XLOOKUP(O712,[1]AttributeName!$B:$B,[1]AttributeName!$D:$D),2,_xlfn.XLOOKUP(C712,#REF!,#REF!),3,_xlfn.XLOOKUP(C712,#REF!,#REF!)),0)</f>
        <v>0</v>
      </c>
      <c r="T712" cm="1">
        <f t="array" ref="T712">IFERROR(_xlfn.SWITCH(L712,1,_xlfn.XLOOKUP(O712,[1]AttributeName!$B:$B,[1]AttributeName!$E:$E),2,_xlfn.XLOOKUP(C712,#REF!,#REF!),3,_xlfn.XLOOKUP(C712,#REF!,#REF!)),0)</f>
        <v>1</v>
      </c>
    </row>
    <row r="713" customFormat="1" spans="1:20">
      <c r="A713">
        <v>301</v>
      </c>
      <c r="B713">
        <v>4</v>
      </c>
      <c r="C713" t="s">
        <v>389</v>
      </c>
      <c r="D713" t="s">
        <v>26</v>
      </c>
      <c r="E713" t="s">
        <v>378</v>
      </c>
      <c r="F713"/>
      <c r="G713">
        <v>1</v>
      </c>
      <c r="H713">
        <v>1000</v>
      </c>
      <c r="J713" cm="1">
        <f t="array" ref="J713">_xlfn.SWITCH(B713,1,75,2,61,3,49,4,37,5,25,6,13,7,4,8,1)</f>
        <v>37</v>
      </c>
      <c r="K713" t="str" cm="1">
        <f t="array" ref="K713">IFERROR(_xlfn.SWITCH(L713,2,_xlfn.XLOOKUP(C713,[1]ModifierDes!$B:$B,[1]ModifierDes!$C:$C),3,_xlfn.XLOOKUP(C713,[1]StuntDes!$B:$B,[1]StuntDes!$C:$C)),"")</f>
        <v/>
      </c>
      <c r="L713">
        <f t="shared" si="36"/>
        <v>1</v>
      </c>
      <c r="M713" s="10" t="str">
        <f>IFERROR(_xlfn.XLOOKUP(C713,[1]StuntDes!$B:$B,[1]StuntDes!$A:$A),"")</f>
        <v/>
      </c>
      <c r="N713" s="10" t="str">
        <f>IFERROR(_xlfn.XLOOKUP(C713,[1]ModifierDes!$B:$B,[1]ModifierDes!$A:$A),"")</f>
        <v/>
      </c>
      <c r="O713" s="10">
        <f>IFERROR(_xlfn.XLOOKUP(C713,[1]AttributeName!$C:$C,[1]AttributeName!$B:$B),"")</f>
        <v>10001</v>
      </c>
      <c r="P713" s="10"/>
      <c r="Q713">
        <v>120</v>
      </c>
      <c r="R713">
        <v>160</v>
      </c>
      <c r="S713" cm="1">
        <f t="array" ref="S713">IFERROR(_xlfn.SWITCH(L713,1,_xlfn.XLOOKUP(O713,[1]AttributeName!$B:$B,[1]AttributeName!$D:$D),2,_xlfn.XLOOKUP(C713,#REF!,#REF!),3,_xlfn.XLOOKUP(C713,#REF!,#REF!)),0)</f>
        <v>0</v>
      </c>
      <c r="T713" cm="1">
        <f t="array" ref="T713">IFERROR(_xlfn.SWITCH(L713,1,_xlfn.XLOOKUP(O713,[1]AttributeName!$B:$B,[1]AttributeName!$E:$E),2,_xlfn.XLOOKUP(C713,#REF!,#REF!),3,_xlfn.XLOOKUP(C713,#REF!,#REF!)),0)</f>
        <v>1</v>
      </c>
    </row>
    <row r="714" customFormat="1" spans="1:20">
      <c r="A714">
        <v>301</v>
      </c>
      <c r="B714">
        <v>5</v>
      </c>
      <c r="C714" t="s">
        <v>389</v>
      </c>
      <c r="D714" t="s">
        <v>26</v>
      </c>
      <c r="E714" t="s">
        <v>378</v>
      </c>
      <c r="F714"/>
      <c r="G714">
        <v>1</v>
      </c>
      <c r="H714">
        <v>1000</v>
      </c>
      <c r="J714" cm="1">
        <f t="array" ref="J714">_xlfn.SWITCH(B714,1,75,2,61,3,49,4,37,5,25,6,13,7,4,8,1)</f>
        <v>25</v>
      </c>
      <c r="K714" t="str" cm="1">
        <f t="array" ref="K714">IFERROR(_xlfn.SWITCH(L714,2,_xlfn.XLOOKUP(C714,[1]ModifierDes!$B:$B,[1]ModifierDes!$C:$C),3,_xlfn.XLOOKUP(C714,[1]StuntDes!$B:$B,[1]StuntDes!$C:$C)),"")</f>
        <v/>
      </c>
      <c r="L714">
        <f t="shared" si="36"/>
        <v>1</v>
      </c>
      <c r="M714" s="10" t="str">
        <f>IFERROR(_xlfn.XLOOKUP(C714,[1]StuntDes!$B:$B,[1]StuntDes!$A:$A),"")</f>
        <v/>
      </c>
      <c r="N714" s="10" t="str">
        <f>IFERROR(_xlfn.XLOOKUP(C714,[1]ModifierDes!$B:$B,[1]ModifierDes!$A:$A),"")</f>
        <v/>
      </c>
      <c r="O714" s="10">
        <f>IFERROR(_xlfn.XLOOKUP(C714,[1]AttributeName!$C:$C,[1]AttributeName!$B:$B),"")</f>
        <v>10001</v>
      </c>
      <c r="P714" s="10"/>
      <c r="Q714">
        <v>60</v>
      </c>
      <c r="R714">
        <v>80</v>
      </c>
      <c r="S714" cm="1">
        <f t="array" ref="S714">IFERROR(_xlfn.SWITCH(L714,1,_xlfn.XLOOKUP(O714,[1]AttributeName!$B:$B,[1]AttributeName!$D:$D),2,_xlfn.XLOOKUP(C714,#REF!,#REF!),3,_xlfn.XLOOKUP(C714,#REF!,#REF!)),0)</f>
        <v>0</v>
      </c>
      <c r="T714" cm="1">
        <f t="array" ref="T714">IFERROR(_xlfn.SWITCH(L714,1,_xlfn.XLOOKUP(O714,[1]AttributeName!$B:$B,[1]AttributeName!$E:$E),2,_xlfn.XLOOKUP(C714,#REF!,#REF!),3,_xlfn.XLOOKUP(C714,#REF!,#REF!)),0)</f>
        <v>1</v>
      </c>
    </row>
    <row r="715" customFormat="1" spans="1:20">
      <c r="A715">
        <v>301</v>
      </c>
      <c r="B715">
        <v>6</v>
      </c>
      <c r="C715" t="s">
        <v>389</v>
      </c>
      <c r="D715" t="s">
        <v>26</v>
      </c>
      <c r="E715" t="s">
        <v>378</v>
      </c>
      <c r="F715"/>
      <c r="G715">
        <v>1</v>
      </c>
      <c r="H715">
        <v>1000</v>
      </c>
      <c r="J715" cm="1">
        <f t="array" ref="J715">_xlfn.SWITCH(B715,1,75,2,61,3,49,4,37,5,25,6,13,7,4,8,1)</f>
        <v>13</v>
      </c>
      <c r="K715" t="str" cm="1">
        <f t="array" ref="K715">IFERROR(_xlfn.SWITCH(L715,2,_xlfn.XLOOKUP(C715,[1]ModifierDes!$B:$B,[1]ModifierDes!$C:$C),3,_xlfn.XLOOKUP(C715,[1]StuntDes!$B:$B,[1]StuntDes!$C:$C)),"")</f>
        <v/>
      </c>
      <c r="L715">
        <f t="shared" si="36"/>
        <v>1</v>
      </c>
      <c r="M715" s="10" t="str">
        <f>IFERROR(_xlfn.XLOOKUP(C715,[1]StuntDes!$B:$B,[1]StuntDes!$A:$A),"")</f>
        <v/>
      </c>
      <c r="N715" s="10" t="str">
        <f>IFERROR(_xlfn.XLOOKUP(C715,[1]ModifierDes!$B:$B,[1]ModifierDes!$A:$A),"")</f>
        <v/>
      </c>
      <c r="O715" s="10">
        <f>IFERROR(_xlfn.XLOOKUP(C715,[1]AttributeName!$C:$C,[1]AttributeName!$B:$B),"")</f>
        <v>10001</v>
      </c>
      <c r="P715" s="10"/>
      <c r="Q715">
        <v>30</v>
      </c>
      <c r="R715">
        <v>40</v>
      </c>
      <c r="S715" cm="1">
        <f t="array" ref="S715">IFERROR(_xlfn.SWITCH(L715,1,_xlfn.XLOOKUP(O715,[1]AttributeName!$B:$B,[1]AttributeName!$D:$D),2,_xlfn.XLOOKUP(C715,#REF!,#REF!),3,_xlfn.XLOOKUP(C715,#REF!,#REF!)),0)</f>
        <v>0</v>
      </c>
      <c r="T715" cm="1">
        <f t="array" ref="T715">IFERROR(_xlfn.SWITCH(L715,1,_xlfn.XLOOKUP(O715,[1]AttributeName!$B:$B,[1]AttributeName!$E:$E),2,_xlfn.XLOOKUP(C715,#REF!,#REF!),3,_xlfn.XLOOKUP(C715,#REF!,#REF!)),0)</f>
        <v>1</v>
      </c>
    </row>
    <row r="716" customFormat="1" spans="1:20">
      <c r="A716">
        <v>301</v>
      </c>
      <c r="B716">
        <v>7</v>
      </c>
      <c r="C716" t="s">
        <v>389</v>
      </c>
      <c r="D716" t="s">
        <v>26</v>
      </c>
      <c r="E716" t="s">
        <v>378</v>
      </c>
      <c r="F716"/>
      <c r="G716">
        <v>1</v>
      </c>
      <c r="H716">
        <v>1000</v>
      </c>
      <c r="J716" cm="1">
        <f t="array" ref="J716">_xlfn.SWITCH(B716,1,75,2,61,3,49,4,37,5,25,6,13,7,4,8,1)</f>
        <v>4</v>
      </c>
      <c r="K716" t="str" cm="1">
        <f t="array" ref="K716">IFERROR(_xlfn.SWITCH(L716,2,_xlfn.XLOOKUP(C716,[1]ModifierDes!$B:$B,[1]ModifierDes!$C:$C),3,_xlfn.XLOOKUP(C716,[1]StuntDes!$B:$B,[1]StuntDes!$C:$C)),"")</f>
        <v/>
      </c>
      <c r="L716">
        <f t="shared" si="36"/>
        <v>1</v>
      </c>
      <c r="M716" s="10" t="str">
        <f>IFERROR(_xlfn.XLOOKUP(C716,[1]StuntDes!$B:$B,[1]StuntDes!$A:$A),"")</f>
        <v/>
      </c>
      <c r="N716" s="10" t="str">
        <f>IFERROR(_xlfn.XLOOKUP(C716,[1]ModifierDes!$B:$B,[1]ModifierDes!$A:$A),"")</f>
        <v/>
      </c>
      <c r="O716" s="10">
        <f>IFERROR(_xlfn.XLOOKUP(C716,[1]AttributeName!$C:$C,[1]AttributeName!$B:$B),"")</f>
        <v>10001</v>
      </c>
      <c r="P716" s="10"/>
      <c r="Q716">
        <v>12</v>
      </c>
      <c r="R716">
        <v>20</v>
      </c>
      <c r="S716" cm="1">
        <f t="array" ref="S716">IFERROR(_xlfn.SWITCH(L716,1,_xlfn.XLOOKUP(O716,[1]AttributeName!$B:$B,[1]AttributeName!$D:$D),2,_xlfn.XLOOKUP(C716,#REF!,#REF!),3,_xlfn.XLOOKUP(C716,#REF!,#REF!)),0)</f>
        <v>0</v>
      </c>
      <c r="T716" cm="1">
        <f t="array" ref="T716">IFERROR(_xlfn.SWITCH(L716,1,_xlfn.XLOOKUP(O716,[1]AttributeName!$B:$B,[1]AttributeName!$E:$E),2,_xlfn.XLOOKUP(C716,#REF!,#REF!),3,_xlfn.XLOOKUP(C716,#REF!,#REF!)),0)</f>
        <v>1</v>
      </c>
    </row>
    <row r="717" customFormat="1" spans="1:20">
      <c r="A717">
        <v>301</v>
      </c>
      <c r="B717">
        <v>8</v>
      </c>
      <c r="C717" t="s">
        <v>389</v>
      </c>
      <c r="D717" t="s">
        <v>26</v>
      </c>
      <c r="E717" t="s">
        <v>378</v>
      </c>
      <c r="F717"/>
      <c r="G717">
        <v>1</v>
      </c>
      <c r="H717">
        <v>1000</v>
      </c>
      <c r="J717" cm="1">
        <f t="array" ref="J717">_xlfn.SWITCH(B717,1,75,2,61,3,49,4,37,5,25,6,13,7,4,8,1)</f>
        <v>1</v>
      </c>
      <c r="K717" t="str" cm="1">
        <f t="array" ref="K717">IFERROR(_xlfn.SWITCH(L717,2,_xlfn.XLOOKUP(C717,[1]ModifierDes!$B:$B,[1]ModifierDes!$C:$C),3,_xlfn.XLOOKUP(C717,[1]StuntDes!$B:$B,[1]StuntDes!$C:$C)),"")</f>
        <v/>
      </c>
      <c r="L717">
        <f t="shared" si="36"/>
        <v>1</v>
      </c>
      <c r="M717" s="10" t="str">
        <f>IFERROR(_xlfn.XLOOKUP(C717,[1]StuntDes!$B:$B,[1]StuntDes!$A:$A),"")</f>
        <v/>
      </c>
      <c r="N717" s="10" t="str">
        <f>IFERROR(_xlfn.XLOOKUP(C717,[1]ModifierDes!$B:$B,[1]ModifierDes!$A:$A),"")</f>
        <v/>
      </c>
      <c r="O717" s="10">
        <f>IFERROR(_xlfn.XLOOKUP(C717,[1]AttributeName!$C:$C,[1]AttributeName!$B:$B),"")</f>
        <v>10001</v>
      </c>
      <c r="P717" s="10"/>
      <c r="Q717">
        <v>6</v>
      </c>
      <c r="R717">
        <v>10</v>
      </c>
      <c r="S717" cm="1">
        <f t="array" ref="S717">IFERROR(_xlfn.SWITCH(L717,1,_xlfn.XLOOKUP(O717,[1]AttributeName!$B:$B,[1]AttributeName!$D:$D),2,_xlfn.XLOOKUP(C717,#REF!,#REF!),3,_xlfn.XLOOKUP(C717,#REF!,#REF!)),0)</f>
        <v>0</v>
      </c>
      <c r="T717" cm="1">
        <f t="array" ref="T717">IFERROR(_xlfn.SWITCH(L717,1,_xlfn.XLOOKUP(O717,[1]AttributeName!$B:$B,[1]AttributeName!$E:$E),2,_xlfn.XLOOKUP(C717,#REF!,#REF!),3,_xlfn.XLOOKUP(C717,#REF!,#REF!)),0)</f>
        <v>1</v>
      </c>
    </row>
    <row r="718" customFormat="1" spans="1:20">
      <c r="A718">
        <f t="shared" ref="A718:A781" si="37">A710+1</f>
        <v>302</v>
      </c>
      <c r="B718">
        <v>1</v>
      </c>
      <c r="C718" t="s">
        <v>416</v>
      </c>
      <c r="D718" t="s">
        <v>26</v>
      </c>
      <c r="E718" t="s">
        <v>378</v>
      </c>
      <c r="F718"/>
      <c r="G718">
        <v>1</v>
      </c>
      <c r="H718">
        <v>1000</v>
      </c>
      <c r="J718" cm="1">
        <f t="array" ref="J718">_xlfn.SWITCH(B718,1,75,2,61,3,49,4,37,5,25,6,13,7,4,8,1)</f>
        <v>75</v>
      </c>
      <c r="K718" t="str" cm="1">
        <f t="array" ref="K718">IFERROR(_xlfn.SWITCH(L718,2,_xlfn.XLOOKUP(C718,[1]ModifierDes!$B:$B,[1]ModifierDes!$C:$C),3,_xlfn.XLOOKUP(C718,[1]StuntDes!$B:$B,[1]StuntDes!$C:$C)),"")</f>
        <v/>
      </c>
      <c r="L718">
        <f t="shared" si="36"/>
        <v>1</v>
      </c>
      <c r="M718" s="10" t="str">
        <f>IFERROR(_xlfn.XLOOKUP(C718,[1]StuntDes!$B:$B,[1]StuntDes!$A:$A),"")</f>
        <v/>
      </c>
      <c r="N718" s="10" t="str">
        <f>IFERROR(_xlfn.XLOOKUP(C718,[1]ModifierDes!$B:$B,[1]ModifierDes!$A:$A),"")</f>
        <v/>
      </c>
      <c r="O718" s="10">
        <f>IFERROR(_xlfn.XLOOKUP(C718,[1]AttributeName!$C:$C,[1]AttributeName!$B:$B),"")</f>
        <v>10002</v>
      </c>
      <c r="P718" s="10"/>
      <c r="Q718">
        <v>71</v>
      </c>
      <c r="R718">
        <v>80</v>
      </c>
      <c r="S718" cm="1">
        <f t="array" ref="S718">IFERROR(_xlfn.SWITCH(L718,1,_xlfn.XLOOKUP(O718,[1]AttributeName!$B:$B,[1]AttributeName!$D:$D),2,_xlfn.XLOOKUP(C718,#REF!,#REF!),3,_xlfn.XLOOKUP(C718,#REF!,#REF!)),0)</f>
        <v>0</v>
      </c>
      <c r="T718" cm="1">
        <f t="array" ref="T718">IFERROR(_xlfn.SWITCH(L718,1,_xlfn.XLOOKUP(O718,[1]AttributeName!$B:$B,[1]AttributeName!$E:$E),2,_xlfn.XLOOKUP(C718,#REF!,#REF!),3,_xlfn.XLOOKUP(C718,#REF!,#REF!)),0)</f>
        <v>1</v>
      </c>
    </row>
    <row r="719" customFormat="1" spans="1:20">
      <c r="A719">
        <f t="shared" si="37"/>
        <v>302</v>
      </c>
      <c r="B719">
        <v>2</v>
      </c>
      <c r="C719" t="s">
        <v>416</v>
      </c>
      <c r="D719" t="s">
        <v>26</v>
      </c>
      <c r="E719" t="s">
        <v>378</v>
      </c>
      <c r="F719"/>
      <c r="G719">
        <v>1</v>
      </c>
      <c r="H719">
        <v>1000</v>
      </c>
      <c r="J719" cm="1">
        <f t="array" ref="J719">_xlfn.SWITCH(B719,1,75,2,61,3,49,4,37,5,25,6,13,7,4,8,1)</f>
        <v>61</v>
      </c>
      <c r="K719" t="str" cm="1">
        <f t="array" ref="K719">IFERROR(_xlfn.SWITCH(L719,2,_xlfn.XLOOKUP(C719,[1]ModifierDes!$B:$B,[1]ModifierDes!$C:$C),3,_xlfn.XLOOKUP(C719,[1]StuntDes!$B:$B,[1]StuntDes!$C:$C)),"")</f>
        <v/>
      </c>
      <c r="L719">
        <f t="shared" si="36"/>
        <v>1</v>
      </c>
      <c r="M719" s="10" t="str">
        <f>IFERROR(_xlfn.XLOOKUP(C719,[1]StuntDes!$B:$B,[1]StuntDes!$A:$A),"")</f>
        <v/>
      </c>
      <c r="N719" s="10" t="str">
        <f>IFERROR(_xlfn.XLOOKUP(C719,[1]ModifierDes!$B:$B,[1]ModifierDes!$A:$A),"")</f>
        <v/>
      </c>
      <c r="O719" s="10">
        <f>IFERROR(_xlfn.XLOOKUP(C719,[1]AttributeName!$C:$C,[1]AttributeName!$B:$B),"")</f>
        <v>10002</v>
      </c>
      <c r="P719" s="10"/>
      <c r="Q719">
        <v>61</v>
      </c>
      <c r="R719">
        <v>70</v>
      </c>
      <c r="S719" cm="1">
        <f t="array" ref="S719">IFERROR(_xlfn.SWITCH(L719,1,_xlfn.XLOOKUP(O719,[1]AttributeName!$B:$B,[1]AttributeName!$D:$D),2,_xlfn.XLOOKUP(C719,#REF!,#REF!),3,_xlfn.XLOOKUP(C719,#REF!,#REF!)),0)</f>
        <v>0</v>
      </c>
      <c r="T719" cm="1">
        <f t="array" ref="T719">IFERROR(_xlfn.SWITCH(L719,1,_xlfn.XLOOKUP(O719,[1]AttributeName!$B:$B,[1]AttributeName!$E:$E),2,_xlfn.XLOOKUP(C719,#REF!,#REF!),3,_xlfn.XLOOKUP(C719,#REF!,#REF!)),0)</f>
        <v>1</v>
      </c>
    </row>
    <row r="720" customFormat="1" spans="1:20">
      <c r="A720">
        <f t="shared" si="37"/>
        <v>302</v>
      </c>
      <c r="B720">
        <v>3</v>
      </c>
      <c r="C720" t="s">
        <v>416</v>
      </c>
      <c r="D720" t="s">
        <v>26</v>
      </c>
      <c r="E720" t="s">
        <v>378</v>
      </c>
      <c r="F720"/>
      <c r="G720">
        <v>1</v>
      </c>
      <c r="H720">
        <v>1000</v>
      </c>
      <c r="J720" cm="1">
        <f t="array" ref="J720">_xlfn.SWITCH(B720,1,75,2,61,3,49,4,37,5,25,6,13,7,4,8,1)</f>
        <v>49</v>
      </c>
      <c r="K720" t="str" cm="1">
        <f t="array" ref="K720">IFERROR(_xlfn.SWITCH(L720,2,_xlfn.XLOOKUP(C720,[1]ModifierDes!$B:$B,[1]ModifierDes!$C:$C),3,_xlfn.XLOOKUP(C720,[1]StuntDes!$B:$B,[1]StuntDes!$C:$C)),"")</f>
        <v/>
      </c>
      <c r="L720">
        <f t="shared" si="36"/>
        <v>1</v>
      </c>
      <c r="M720" s="10" t="str">
        <f>IFERROR(_xlfn.XLOOKUP(C720,[1]StuntDes!$B:$B,[1]StuntDes!$A:$A),"")</f>
        <v/>
      </c>
      <c r="N720" s="10" t="str">
        <f>IFERROR(_xlfn.XLOOKUP(C720,[1]ModifierDes!$B:$B,[1]ModifierDes!$A:$A),"")</f>
        <v/>
      </c>
      <c r="O720" s="10">
        <f>IFERROR(_xlfn.XLOOKUP(C720,[1]AttributeName!$C:$C,[1]AttributeName!$B:$B),"")</f>
        <v>10002</v>
      </c>
      <c r="P720" s="10"/>
      <c r="Q720">
        <v>51</v>
      </c>
      <c r="R720">
        <v>60</v>
      </c>
      <c r="S720" cm="1">
        <f t="array" ref="S720">IFERROR(_xlfn.SWITCH(L720,1,_xlfn.XLOOKUP(O720,[1]AttributeName!$B:$B,[1]AttributeName!$D:$D),2,_xlfn.XLOOKUP(C720,#REF!,#REF!),3,_xlfn.XLOOKUP(C720,#REF!,#REF!)),0)</f>
        <v>0</v>
      </c>
      <c r="T720" cm="1">
        <f t="array" ref="T720">IFERROR(_xlfn.SWITCH(L720,1,_xlfn.XLOOKUP(O720,[1]AttributeName!$B:$B,[1]AttributeName!$E:$E),2,_xlfn.XLOOKUP(C720,#REF!,#REF!),3,_xlfn.XLOOKUP(C720,#REF!,#REF!)),0)</f>
        <v>1</v>
      </c>
    </row>
    <row r="721" customFormat="1" spans="1:20">
      <c r="A721">
        <f t="shared" si="37"/>
        <v>302</v>
      </c>
      <c r="B721">
        <v>4</v>
      </c>
      <c r="C721" t="s">
        <v>416</v>
      </c>
      <c r="D721" t="s">
        <v>26</v>
      </c>
      <c r="E721" t="s">
        <v>378</v>
      </c>
      <c r="F721"/>
      <c r="G721">
        <v>1</v>
      </c>
      <c r="H721">
        <v>1000</v>
      </c>
      <c r="J721" cm="1">
        <f t="array" ref="J721">_xlfn.SWITCH(B721,1,75,2,61,3,49,4,37,5,25,6,13,7,4,8,1)</f>
        <v>37</v>
      </c>
      <c r="K721" t="str" cm="1">
        <f t="array" ref="K721">IFERROR(_xlfn.SWITCH(L721,2,_xlfn.XLOOKUP(C721,[1]ModifierDes!$B:$B,[1]ModifierDes!$C:$C),3,_xlfn.XLOOKUP(C721,[1]StuntDes!$B:$B,[1]StuntDes!$C:$C)),"")</f>
        <v/>
      </c>
      <c r="L721">
        <f t="shared" si="36"/>
        <v>1</v>
      </c>
      <c r="M721" s="10" t="str">
        <f>IFERROR(_xlfn.XLOOKUP(C721,[1]StuntDes!$B:$B,[1]StuntDes!$A:$A),"")</f>
        <v/>
      </c>
      <c r="N721" s="10" t="str">
        <f>IFERROR(_xlfn.XLOOKUP(C721,[1]ModifierDes!$B:$B,[1]ModifierDes!$A:$A),"")</f>
        <v/>
      </c>
      <c r="O721" s="10">
        <f>IFERROR(_xlfn.XLOOKUP(C721,[1]AttributeName!$C:$C,[1]AttributeName!$B:$B),"")</f>
        <v>10002</v>
      </c>
      <c r="P721" s="10"/>
      <c r="Q721">
        <v>41</v>
      </c>
      <c r="R721">
        <v>50</v>
      </c>
      <c r="S721" cm="1">
        <f t="array" ref="S721">IFERROR(_xlfn.SWITCH(L721,1,_xlfn.XLOOKUP(O721,[1]AttributeName!$B:$B,[1]AttributeName!$D:$D),2,_xlfn.XLOOKUP(C721,#REF!,#REF!),3,_xlfn.XLOOKUP(C721,#REF!,#REF!)),0)</f>
        <v>0</v>
      </c>
      <c r="T721" cm="1">
        <f t="array" ref="T721">IFERROR(_xlfn.SWITCH(L721,1,_xlfn.XLOOKUP(O721,[1]AttributeName!$B:$B,[1]AttributeName!$E:$E),2,_xlfn.XLOOKUP(C721,#REF!,#REF!),3,_xlfn.XLOOKUP(C721,#REF!,#REF!)),0)</f>
        <v>1</v>
      </c>
    </row>
    <row r="722" customFormat="1" spans="1:20">
      <c r="A722">
        <f t="shared" si="37"/>
        <v>302</v>
      </c>
      <c r="B722">
        <v>5</v>
      </c>
      <c r="C722" t="s">
        <v>416</v>
      </c>
      <c r="D722" t="s">
        <v>26</v>
      </c>
      <c r="E722" t="s">
        <v>378</v>
      </c>
      <c r="F722"/>
      <c r="G722">
        <v>1</v>
      </c>
      <c r="H722">
        <v>1000</v>
      </c>
      <c r="J722" cm="1">
        <f t="array" ref="J722">_xlfn.SWITCH(B722,1,75,2,61,3,49,4,37,5,25,6,13,7,4,8,1)</f>
        <v>25</v>
      </c>
      <c r="K722" t="str" cm="1">
        <f t="array" ref="K722">IFERROR(_xlfn.SWITCH(L722,2,_xlfn.XLOOKUP(C722,[1]ModifierDes!$B:$B,[1]ModifierDes!$C:$C),3,_xlfn.XLOOKUP(C722,[1]StuntDes!$B:$B,[1]StuntDes!$C:$C)),"")</f>
        <v/>
      </c>
      <c r="L722">
        <f t="shared" si="36"/>
        <v>1</v>
      </c>
      <c r="M722" s="10" t="str">
        <f>IFERROR(_xlfn.XLOOKUP(C722,[1]StuntDes!$B:$B,[1]StuntDes!$A:$A),"")</f>
        <v/>
      </c>
      <c r="N722" s="10" t="str">
        <f>IFERROR(_xlfn.XLOOKUP(C722,[1]ModifierDes!$B:$B,[1]ModifierDes!$A:$A),"")</f>
        <v/>
      </c>
      <c r="O722" s="10">
        <f>IFERROR(_xlfn.XLOOKUP(C722,[1]AttributeName!$C:$C,[1]AttributeName!$B:$B),"")</f>
        <v>10002</v>
      </c>
      <c r="P722" s="10"/>
      <c r="Q722">
        <v>31</v>
      </c>
      <c r="R722">
        <v>40</v>
      </c>
      <c r="S722" cm="1">
        <f t="array" ref="S722">IFERROR(_xlfn.SWITCH(L722,1,_xlfn.XLOOKUP(O722,[1]AttributeName!$B:$B,[1]AttributeName!$D:$D),2,_xlfn.XLOOKUP(C722,#REF!,#REF!),3,_xlfn.XLOOKUP(C722,#REF!,#REF!)),0)</f>
        <v>0</v>
      </c>
      <c r="T722" cm="1">
        <f t="array" ref="T722">IFERROR(_xlfn.SWITCH(L722,1,_xlfn.XLOOKUP(O722,[1]AttributeName!$B:$B,[1]AttributeName!$E:$E),2,_xlfn.XLOOKUP(C722,#REF!,#REF!),3,_xlfn.XLOOKUP(C722,#REF!,#REF!)),0)</f>
        <v>1</v>
      </c>
    </row>
    <row r="723" customFormat="1" spans="1:20">
      <c r="A723">
        <f t="shared" si="37"/>
        <v>302</v>
      </c>
      <c r="B723">
        <v>6</v>
      </c>
      <c r="C723" t="s">
        <v>416</v>
      </c>
      <c r="D723" t="s">
        <v>26</v>
      </c>
      <c r="E723" t="s">
        <v>378</v>
      </c>
      <c r="F723"/>
      <c r="G723">
        <v>1</v>
      </c>
      <c r="H723">
        <v>1000</v>
      </c>
      <c r="J723" cm="1">
        <f t="array" ref="J723">_xlfn.SWITCH(B723,1,75,2,61,3,49,4,37,5,25,6,13,7,4,8,1)</f>
        <v>13</v>
      </c>
      <c r="K723" t="str" cm="1">
        <f t="array" ref="K723">IFERROR(_xlfn.SWITCH(L723,2,_xlfn.XLOOKUP(C723,[1]ModifierDes!$B:$B,[1]ModifierDes!$C:$C),3,_xlfn.XLOOKUP(C723,[1]StuntDes!$B:$B,[1]StuntDes!$C:$C)),"")</f>
        <v/>
      </c>
      <c r="L723">
        <f t="shared" si="36"/>
        <v>1</v>
      </c>
      <c r="M723" s="10" t="str">
        <f>IFERROR(_xlfn.XLOOKUP(C723,[1]StuntDes!$B:$B,[1]StuntDes!$A:$A),"")</f>
        <v/>
      </c>
      <c r="N723" s="10" t="str">
        <f>IFERROR(_xlfn.XLOOKUP(C723,[1]ModifierDes!$B:$B,[1]ModifierDes!$A:$A),"")</f>
        <v/>
      </c>
      <c r="O723" s="10">
        <f>IFERROR(_xlfn.XLOOKUP(C723,[1]AttributeName!$C:$C,[1]AttributeName!$B:$B),"")</f>
        <v>10002</v>
      </c>
      <c r="P723" s="10"/>
      <c r="Q723">
        <v>21</v>
      </c>
      <c r="R723">
        <v>30</v>
      </c>
      <c r="S723" cm="1">
        <f t="array" ref="S723">IFERROR(_xlfn.SWITCH(L723,1,_xlfn.XLOOKUP(O723,[1]AttributeName!$B:$B,[1]AttributeName!$D:$D),2,_xlfn.XLOOKUP(C723,#REF!,#REF!),3,_xlfn.XLOOKUP(C723,#REF!,#REF!)),0)</f>
        <v>0</v>
      </c>
      <c r="T723" cm="1">
        <f t="array" ref="T723">IFERROR(_xlfn.SWITCH(L723,1,_xlfn.XLOOKUP(O723,[1]AttributeName!$B:$B,[1]AttributeName!$E:$E),2,_xlfn.XLOOKUP(C723,#REF!,#REF!),3,_xlfn.XLOOKUP(C723,#REF!,#REF!)),0)</f>
        <v>1</v>
      </c>
    </row>
    <row r="724" customFormat="1" spans="1:20">
      <c r="A724">
        <f t="shared" si="37"/>
        <v>302</v>
      </c>
      <c r="B724">
        <v>7</v>
      </c>
      <c r="C724" t="s">
        <v>416</v>
      </c>
      <c r="D724" t="s">
        <v>26</v>
      </c>
      <c r="E724" t="s">
        <v>378</v>
      </c>
      <c r="F724"/>
      <c r="G724">
        <v>1</v>
      </c>
      <c r="H724">
        <v>1000</v>
      </c>
      <c r="J724" cm="1">
        <f t="array" ref="J724">_xlfn.SWITCH(B724,1,75,2,61,3,49,4,37,5,25,6,13,7,4,8,1)</f>
        <v>4</v>
      </c>
      <c r="K724" t="str" cm="1">
        <f t="array" ref="K724">IFERROR(_xlfn.SWITCH(L724,2,_xlfn.XLOOKUP(C724,[1]ModifierDes!$B:$B,[1]ModifierDes!$C:$C),3,_xlfn.XLOOKUP(C724,[1]StuntDes!$B:$B,[1]StuntDes!$C:$C)),"")</f>
        <v/>
      </c>
      <c r="L724">
        <f t="shared" si="36"/>
        <v>1</v>
      </c>
      <c r="M724" s="10" t="str">
        <f>IFERROR(_xlfn.XLOOKUP(C724,[1]StuntDes!$B:$B,[1]StuntDes!$A:$A),"")</f>
        <v/>
      </c>
      <c r="N724" s="10" t="str">
        <f>IFERROR(_xlfn.XLOOKUP(C724,[1]ModifierDes!$B:$B,[1]ModifierDes!$A:$A),"")</f>
        <v/>
      </c>
      <c r="O724" s="10">
        <f>IFERROR(_xlfn.XLOOKUP(C724,[1]AttributeName!$C:$C,[1]AttributeName!$B:$B),"")</f>
        <v>10002</v>
      </c>
      <c r="P724" s="10"/>
      <c r="Q724">
        <v>10</v>
      </c>
      <c r="R724">
        <v>20</v>
      </c>
      <c r="S724" cm="1">
        <f t="array" ref="S724">IFERROR(_xlfn.SWITCH(L724,1,_xlfn.XLOOKUP(O724,[1]AttributeName!$B:$B,[1]AttributeName!$D:$D),2,_xlfn.XLOOKUP(C724,#REF!,#REF!),3,_xlfn.XLOOKUP(C724,#REF!,#REF!)),0)</f>
        <v>0</v>
      </c>
      <c r="T724" cm="1">
        <f t="array" ref="T724">IFERROR(_xlfn.SWITCH(L724,1,_xlfn.XLOOKUP(O724,[1]AttributeName!$B:$B,[1]AttributeName!$E:$E),2,_xlfn.XLOOKUP(C724,#REF!,#REF!),3,_xlfn.XLOOKUP(C724,#REF!,#REF!)),0)</f>
        <v>1</v>
      </c>
    </row>
    <row r="725" customFormat="1" spans="1:20">
      <c r="A725">
        <f t="shared" si="37"/>
        <v>302</v>
      </c>
      <c r="B725">
        <v>8</v>
      </c>
      <c r="C725" t="s">
        <v>416</v>
      </c>
      <c r="D725" t="s">
        <v>26</v>
      </c>
      <c r="E725" t="s">
        <v>378</v>
      </c>
      <c r="F725"/>
      <c r="G725">
        <v>1</v>
      </c>
      <c r="H725">
        <v>1000</v>
      </c>
      <c r="J725" cm="1">
        <f t="array" ref="J725">_xlfn.SWITCH(B725,1,75,2,61,3,49,4,37,5,25,6,13,7,4,8,1)</f>
        <v>1</v>
      </c>
      <c r="K725" t="str" cm="1">
        <f t="array" ref="K725">IFERROR(_xlfn.SWITCH(L725,2,_xlfn.XLOOKUP(C725,[1]ModifierDes!$B:$B,[1]ModifierDes!$C:$C),3,_xlfn.XLOOKUP(C725,[1]StuntDes!$B:$B,[1]StuntDes!$C:$C)),"")</f>
        <v/>
      </c>
      <c r="L725">
        <f t="shared" si="36"/>
        <v>1</v>
      </c>
      <c r="M725" s="10" t="str">
        <f>IFERROR(_xlfn.XLOOKUP(C725,[1]StuntDes!$B:$B,[1]StuntDes!$A:$A),"")</f>
        <v/>
      </c>
      <c r="N725" s="10" t="str">
        <f>IFERROR(_xlfn.XLOOKUP(C725,[1]ModifierDes!$B:$B,[1]ModifierDes!$A:$A),"")</f>
        <v/>
      </c>
      <c r="O725" s="10">
        <f>IFERROR(_xlfn.XLOOKUP(C725,[1]AttributeName!$C:$C,[1]AttributeName!$B:$B),"")</f>
        <v>10002</v>
      </c>
      <c r="P725" s="10"/>
      <c r="Q725">
        <v>5</v>
      </c>
      <c r="R725">
        <v>9</v>
      </c>
      <c r="S725" cm="1">
        <f t="array" ref="S725">IFERROR(_xlfn.SWITCH(L725,1,_xlfn.XLOOKUP(O725,[1]AttributeName!$B:$B,[1]AttributeName!$D:$D),2,_xlfn.XLOOKUP(C725,#REF!,#REF!),3,_xlfn.XLOOKUP(C725,#REF!,#REF!)),0)</f>
        <v>0</v>
      </c>
      <c r="T725" cm="1">
        <f t="array" ref="T725">IFERROR(_xlfn.SWITCH(L725,1,_xlfn.XLOOKUP(O725,[1]AttributeName!$B:$B,[1]AttributeName!$E:$E),2,_xlfn.XLOOKUP(C725,#REF!,#REF!),3,_xlfn.XLOOKUP(C725,#REF!,#REF!)),0)</f>
        <v>1</v>
      </c>
    </row>
    <row r="726" customFormat="1" spans="1:20">
      <c r="A726">
        <f t="shared" si="37"/>
        <v>303</v>
      </c>
      <c r="B726">
        <v>1</v>
      </c>
      <c r="C726" t="s">
        <v>417</v>
      </c>
      <c r="D726" t="s">
        <v>26</v>
      </c>
      <c r="E726" t="s">
        <v>378</v>
      </c>
      <c r="F726"/>
      <c r="G726">
        <v>1</v>
      </c>
      <c r="H726">
        <v>1000</v>
      </c>
      <c r="J726" cm="1">
        <f t="array" ref="J726">_xlfn.SWITCH(B726,1,75,2,61,3,49,4,37,5,25,6,13,7,4,8,1)</f>
        <v>75</v>
      </c>
      <c r="K726" t="str" cm="1">
        <f t="array" ref="K726">IFERROR(_xlfn.SWITCH(L726,2,_xlfn.XLOOKUP(C726,[1]ModifierDes!$B:$B,[1]ModifierDes!$C:$C),3,_xlfn.XLOOKUP(C726,[1]StuntDes!$B:$B,[1]StuntDes!$C:$C)),"")</f>
        <v/>
      </c>
      <c r="L726">
        <f t="shared" si="36"/>
        <v>1</v>
      </c>
      <c r="M726" s="10" t="str">
        <f>IFERROR(_xlfn.XLOOKUP(C726,[1]StuntDes!$B:$B,[1]StuntDes!$A:$A),"")</f>
        <v/>
      </c>
      <c r="N726" s="10" t="str">
        <f>IFERROR(_xlfn.XLOOKUP(C726,[1]ModifierDes!$B:$B,[1]ModifierDes!$A:$A),"")</f>
        <v/>
      </c>
      <c r="O726" s="10">
        <f>IFERROR(_xlfn.XLOOKUP(C726,[1]AttributeName!$C:$C,[1]AttributeName!$B:$B),"")</f>
        <v>10700</v>
      </c>
      <c r="P726" s="10"/>
      <c r="Q726">
        <v>0.08</v>
      </c>
      <c r="R726">
        <v>0.1</v>
      </c>
      <c r="S726" cm="1">
        <f t="array" ref="S726">IFERROR(_xlfn.SWITCH(L726,1,_xlfn.XLOOKUP(O726,[1]AttributeName!$B:$B,[1]AttributeName!$D:$D),2,_xlfn.XLOOKUP(C726,#REF!,#REF!),3,_xlfn.XLOOKUP(C726,#REF!,#REF!)),0)</f>
        <v>2</v>
      </c>
      <c r="T726" cm="1">
        <f t="array" ref="T726">IFERROR(_xlfn.SWITCH(L726,1,_xlfn.XLOOKUP(O726,[1]AttributeName!$B:$B,[1]AttributeName!$E:$E),2,_xlfn.XLOOKUP(C726,#REF!,#REF!),3,_xlfn.XLOOKUP(C726,#REF!,#REF!)),0)</f>
        <v>2</v>
      </c>
    </row>
    <row r="727" customFormat="1" spans="1:20">
      <c r="A727">
        <f t="shared" si="37"/>
        <v>303</v>
      </c>
      <c r="B727">
        <v>2</v>
      </c>
      <c r="C727" t="s">
        <v>417</v>
      </c>
      <c r="D727" t="s">
        <v>26</v>
      </c>
      <c r="E727" t="s">
        <v>378</v>
      </c>
      <c r="F727"/>
      <c r="G727">
        <v>1</v>
      </c>
      <c r="H727">
        <v>1000</v>
      </c>
      <c r="J727" cm="1">
        <f t="array" ref="J727">_xlfn.SWITCH(B727,1,75,2,61,3,49,4,37,5,25,6,13,7,4,8,1)</f>
        <v>61</v>
      </c>
      <c r="K727" t="str" cm="1">
        <f t="array" ref="K727">IFERROR(_xlfn.SWITCH(L727,2,_xlfn.XLOOKUP(C727,[1]ModifierDes!$B:$B,[1]ModifierDes!$C:$C),3,_xlfn.XLOOKUP(C727,[1]StuntDes!$B:$B,[1]StuntDes!$C:$C)),"")</f>
        <v/>
      </c>
      <c r="L727">
        <f t="shared" si="36"/>
        <v>1</v>
      </c>
      <c r="M727" s="10" t="str">
        <f>IFERROR(_xlfn.XLOOKUP(C727,[1]StuntDes!$B:$B,[1]StuntDes!$A:$A),"")</f>
        <v/>
      </c>
      <c r="N727" s="10" t="str">
        <f>IFERROR(_xlfn.XLOOKUP(C727,[1]ModifierDes!$B:$B,[1]ModifierDes!$A:$A),"")</f>
        <v/>
      </c>
      <c r="O727" s="10">
        <f>IFERROR(_xlfn.XLOOKUP(C727,[1]AttributeName!$C:$C,[1]AttributeName!$B:$B),"")</f>
        <v>10700</v>
      </c>
      <c r="P727" s="10"/>
      <c r="Q727">
        <v>0.07</v>
      </c>
      <c r="R727">
        <v>0.07</v>
      </c>
      <c r="S727" cm="1">
        <f t="array" ref="S727">IFERROR(_xlfn.SWITCH(L727,1,_xlfn.XLOOKUP(O727,[1]AttributeName!$B:$B,[1]AttributeName!$D:$D),2,_xlfn.XLOOKUP(C727,#REF!,#REF!),3,_xlfn.XLOOKUP(C727,#REF!,#REF!)),0)</f>
        <v>2</v>
      </c>
      <c r="T727" cm="1">
        <f t="array" ref="T727">IFERROR(_xlfn.SWITCH(L727,1,_xlfn.XLOOKUP(O727,[1]AttributeName!$B:$B,[1]AttributeName!$E:$E),2,_xlfn.XLOOKUP(C727,#REF!,#REF!),3,_xlfn.XLOOKUP(C727,#REF!,#REF!)),0)</f>
        <v>2</v>
      </c>
    </row>
    <row r="728" customFormat="1" spans="1:20">
      <c r="A728">
        <f t="shared" si="37"/>
        <v>303</v>
      </c>
      <c r="B728">
        <v>3</v>
      </c>
      <c r="C728" t="s">
        <v>417</v>
      </c>
      <c r="D728" t="s">
        <v>26</v>
      </c>
      <c r="E728" t="s">
        <v>378</v>
      </c>
      <c r="F728"/>
      <c r="G728">
        <v>1</v>
      </c>
      <c r="H728">
        <v>1000</v>
      </c>
      <c r="J728" cm="1">
        <f t="array" ref="J728">_xlfn.SWITCH(B728,1,75,2,61,3,49,4,37,5,25,6,13,7,4,8,1)</f>
        <v>49</v>
      </c>
      <c r="K728" t="str" cm="1">
        <f t="array" ref="K728">IFERROR(_xlfn.SWITCH(L728,2,_xlfn.XLOOKUP(C728,[1]ModifierDes!$B:$B,[1]ModifierDes!$C:$C),3,_xlfn.XLOOKUP(C728,[1]StuntDes!$B:$B,[1]StuntDes!$C:$C)),"")</f>
        <v/>
      </c>
      <c r="L728">
        <f t="shared" si="36"/>
        <v>1</v>
      </c>
      <c r="M728" s="10" t="str">
        <f>IFERROR(_xlfn.XLOOKUP(C728,[1]StuntDes!$B:$B,[1]StuntDes!$A:$A),"")</f>
        <v/>
      </c>
      <c r="N728" s="10" t="str">
        <f>IFERROR(_xlfn.XLOOKUP(C728,[1]ModifierDes!$B:$B,[1]ModifierDes!$A:$A),"")</f>
        <v/>
      </c>
      <c r="O728" s="10">
        <f>IFERROR(_xlfn.XLOOKUP(C728,[1]AttributeName!$C:$C,[1]AttributeName!$B:$B),"")</f>
        <v>10700</v>
      </c>
      <c r="P728" s="10"/>
      <c r="Q728">
        <v>0.06</v>
      </c>
      <c r="R728">
        <v>0.06</v>
      </c>
      <c r="S728" cm="1">
        <f t="array" ref="S728">IFERROR(_xlfn.SWITCH(L728,1,_xlfn.XLOOKUP(O728,[1]AttributeName!$B:$B,[1]AttributeName!$D:$D),2,_xlfn.XLOOKUP(C728,#REF!,#REF!),3,_xlfn.XLOOKUP(C728,#REF!,#REF!)),0)</f>
        <v>2</v>
      </c>
      <c r="T728" cm="1">
        <f t="array" ref="T728">IFERROR(_xlfn.SWITCH(L728,1,_xlfn.XLOOKUP(O728,[1]AttributeName!$B:$B,[1]AttributeName!$E:$E),2,_xlfn.XLOOKUP(C728,#REF!,#REF!),3,_xlfn.XLOOKUP(C728,#REF!,#REF!)),0)</f>
        <v>2</v>
      </c>
    </row>
    <row r="729" customFormat="1" spans="1:20">
      <c r="A729">
        <f t="shared" si="37"/>
        <v>303</v>
      </c>
      <c r="B729">
        <v>4</v>
      </c>
      <c r="C729" t="s">
        <v>417</v>
      </c>
      <c r="D729" t="s">
        <v>26</v>
      </c>
      <c r="E729" t="s">
        <v>378</v>
      </c>
      <c r="F729"/>
      <c r="G729">
        <v>1</v>
      </c>
      <c r="H729">
        <v>1000</v>
      </c>
      <c r="J729" cm="1">
        <f t="array" ref="J729">_xlfn.SWITCH(B729,1,75,2,61,3,49,4,37,5,25,6,13,7,4,8,1)</f>
        <v>37</v>
      </c>
      <c r="K729" t="str" cm="1">
        <f t="array" ref="K729">IFERROR(_xlfn.SWITCH(L729,2,_xlfn.XLOOKUP(C729,[1]ModifierDes!$B:$B,[1]ModifierDes!$C:$C),3,_xlfn.XLOOKUP(C729,[1]StuntDes!$B:$B,[1]StuntDes!$C:$C)),"")</f>
        <v/>
      </c>
      <c r="L729">
        <f t="shared" si="36"/>
        <v>1</v>
      </c>
      <c r="M729" s="10" t="str">
        <f>IFERROR(_xlfn.XLOOKUP(C729,[1]StuntDes!$B:$B,[1]StuntDes!$A:$A),"")</f>
        <v/>
      </c>
      <c r="N729" s="10" t="str">
        <f>IFERROR(_xlfn.XLOOKUP(C729,[1]ModifierDes!$B:$B,[1]ModifierDes!$A:$A),"")</f>
        <v/>
      </c>
      <c r="O729" s="10">
        <f>IFERROR(_xlfn.XLOOKUP(C729,[1]AttributeName!$C:$C,[1]AttributeName!$B:$B),"")</f>
        <v>10700</v>
      </c>
      <c r="P729" s="10"/>
      <c r="Q729">
        <v>0.05</v>
      </c>
      <c r="R729">
        <v>0.05</v>
      </c>
      <c r="S729" cm="1">
        <f t="array" ref="S729">IFERROR(_xlfn.SWITCH(L729,1,_xlfn.XLOOKUP(O729,[1]AttributeName!$B:$B,[1]AttributeName!$D:$D),2,_xlfn.XLOOKUP(C729,#REF!,#REF!),3,_xlfn.XLOOKUP(C729,#REF!,#REF!)),0)</f>
        <v>2</v>
      </c>
      <c r="T729" cm="1">
        <f t="array" ref="T729">IFERROR(_xlfn.SWITCH(L729,1,_xlfn.XLOOKUP(O729,[1]AttributeName!$B:$B,[1]AttributeName!$E:$E),2,_xlfn.XLOOKUP(C729,#REF!,#REF!),3,_xlfn.XLOOKUP(C729,#REF!,#REF!)),0)</f>
        <v>2</v>
      </c>
    </row>
    <row r="730" customFormat="1" spans="1:20">
      <c r="A730">
        <f t="shared" si="37"/>
        <v>303</v>
      </c>
      <c r="B730">
        <v>5</v>
      </c>
      <c r="C730" t="s">
        <v>417</v>
      </c>
      <c r="D730" t="s">
        <v>26</v>
      </c>
      <c r="E730" t="s">
        <v>378</v>
      </c>
      <c r="F730"/>
      <c r="G730">
        <v>1</v>
      </c>
      <c r="H730">
        <v>1000</v>
      </c>
      <c r="J730" cm="1">
        <f t="array" ref="J730">_xlfn.SWITCH(B730,1,75,2,61,3,49,4,37,5,25,6,13,7,4,8,1)</f>
        <v>25</v>
      </c>
      <c r="K730" t="str" cm="1">
        <f t="array" ref="K730">IFERROR(_xlfn.SWITCH(L730,2,_xlfn.XLOOKUP(C730,[1]ModifierDes!$B:$B,[1]ModifierDes!$C:$C),3,_xlfn.XLOOKUP(C730,[1]StuntDes!$B:$B,[1]StuntDes!$C:$C)),"")</f>
        <v/>
      </c>
      <c r="L730">
        <f t="shared" si="36"/>
        <v>1</v>
      </c>
      <c r="M730" s="10" t="str">
        <f>IFERROR(_xlfn.XLOOKUP(C730,[1]StuntDes!$B:$B,[1]StuntDes!$A:$A),"")</f>
        <v/>
      </c>
      <c r="N730" s="10" t="str">
        <f>IFERROR(_xlfn.XLOOKUP(C730,[1]ModifierDes!$B:$B,[1]ModifierDes!$A:$A),"")</f>
        <v/>
      </c>
      <c r="O730" s="10">
        <f>IFERROR(_xlfn.XLOOKUP(C730,[1]AttributeName!$C:$C,[1]AttributeName!$B:$B),"")</f>
        <v>10700</v>
      </c>
      <c r="P730" s="10"/>
      <c r="Q730">
        <v>0.04</v>
      </c>
      <c r="R730">
        <v>0.04</v>
      </c>
      <c r="S730" cm="1">
        <f t="array" ref="S730">IFERROR(_xlfn.SWITCH(L730,1,_xlfn.XLOOKUP(O730,[1]AttributeName!$B:$B,[1]AttributeName!$D:$D),2,_xlfn.XLOOKUP(C730,#REF!,#REF!),3,_xlfn.XLOOKUP(C730,#REF!,#REF!)),0)</f>
        <v>2</v>
      </c>
      <c r="T730" cm="1">
        <f t="array" ref="T730">IFERROR(_xlfn.SWITCH(L730,1,_xlfn.XLOOKUP(O730,[1]AttributeName!$B:$B,[1]AttributeName!$E:$E),2,_xlfn.XLOOKUP(C730,#REF!,#REF!),3,_xlfn.XLOOKUP(C730,#REF!,#REF!)),0)</f>
        <v>2</v>
      </c>
    </row>
    <row r="731" customFormat="1" spans="1:20">
      <c r="A731">
        <f t="shared" si="37"/>
        <v>303</v>
      </c>
      <c r="B731">
        <v>6</v>
      </c>
      <c r="C731" t="s">
        <v>417</v>
      </c>
      <c r="D731" t="s">
        <v>26</v>
      </c>
      <c r="E731" t="s">
        <v>378</v>
      </c>
      <c r="F731"/>
      <c r="G731">
        <v>1</v>
      </c>
      <c r="H731">
        <v>1000</v>
      </c>
      <c r="J731" cm="1">
        <f t="array" ref="J731">_xlfn.SWITCH(B731,1,75,2,61,3,49,4,37,5,25,6,13,7,4,8,1)</f>
        <v>13</v>
      </c>
      <c r="K731" t="str" cm="1">
        <f t="array" ref="K731">IFERROR(_xlfn.SWITCH(L731,2,_xlfn.XLOOKUP(C731,[1]ModifierDes!$B:$B,[1]ModifierDes!$C:$C),3,_xlfn.XLOOKUP(C731,[1]StuntDes!$B:$B,[1]StuntDes!$C:$C)),"")</f>
        <v/>
      </c>
      <c r="L731">
        <f t="shared" si="36"/>
        <v>1</v>
      </c>
      <c r="M731" s="10" t="str">
        <f>IFERROR(_xlfn.XLOOKUP(C731,[1]StuntDes!$B:$B,[1]StuntDes!$A:$A),"")</f>
        <v/>
      </c>
      <c r="N731" s="10" t="str">
        <f>IFERROR(_xlfn.XLOOKUP(C731,[1]ModifierDes!$B:$B,[1]ModifierDes!$A:$A),"")</f>
        <v/>
      </c>
      <c r="O731" s="10">
        <f>IFERROR(_xlfn.XLOOKUP(C731,[1]AttributeName!$C:$C,[1]AttributeName!$B:$B),"")</f>
        <v>10700</v>
      </c>
      <c r="P731" s="10"/>
      <c r="Q731">
        <v>0.03</v>
      </c>
      <c r="R731">
        <v>0.03</v>
      </c>
      <c r="S731" cm="1">
        <f t="array" ref="S731">IFERROR(_xlfn.SWITCH(L731,1,_xlfn.XLOOKUP(O731,[1]AttributeName!$B:$B,[1]AttributeName!$D:$D),2,_xlfn.XLOOKUP(C731,#REF!,#REF!),3,_xlfn.XLOOKUP(C731,#REF!,#REF!)),0)</f>
        <v>2</v>
      </c>
      <c r="T731" cm="1">
        <f t="array" ref="T731">IFERROR(_xlfn.SWITCH(L731,1,_xlfn.XLOOKUP(O731,[1]AttributeName!$B:$B,[1]AttributeName!$E:$E),2,_xlfn.XLOOKUP(C731,#REF!,#REF!),3,_xlfn.XLOOKUP(C731,#REF!,#REF!)),0)</f>
        <v>2</v>
      </c>
    </row>
    <row r="732" customFormat="1" spans="1:20">
      <c r="A732">
        <f t="shared" si="37"/>
        <v>303</v>
      </c>
      <c r="B732">
        <v>7</v>
      </c>
      <c r="C732" t="s">
        <v>417</v>
      </c>
      <c r="D732" t="s">
        <v>26</v>
      </c>
      <c r="E732" t="s">
        <v>378</v>
      </c>
      <c r="F732"/>
      <c r="G732">
        <v>1</v>
      </c>
      <c r="H732">
        <v>1000</v>
      </c>
      <c r="J732" cm="1">
        <f t="array" ref="J732">_xlfn.SWITCH(B732,1,75,2,61,3,49,4,37,5,25,6,13,7,4,8,1)</f>
        <v>4</v>
      </c>
      <c r="K732" t="str" cm="1">
        <f t="array" ref="K732">IFERROR(_xlfn.SWITCH(L732,2,_xlfn.XLOOKUP(C732,[1]ModifierDes!$B:$B,[1]ModifierDes!$C:$C),3,_xlfn.XLOOKUP(C732,[1]StuntDes!$B:$B,[1]StuntDes!$C:$C)),"")</f>
        <v/>
      </c>
      <c r="L732">
        <f t="shared" si="36"/>
        <v>1</v>
      </c>
      <c r="M732" s="10" t="str">
        <f>IFERROR(_xlfn.XLOOKUP(C732,[1]StuntDes!$B:$B,[1]StuntDes!$A:$A),"")</f>
        <v/>
      </c>
      <c r="N732" s="10" t="str">
        <f>IFERROR(_xlfn.XLOOKUP(C732,[1]ModifierDes!$B:$B,[1]ModifierDes!$A:$A),"")</f>
        <v/>
      </c>
      <c r="O732" s="10">
        <f>IFERROR(_xlfn.XLOOKUP(C732,[1]AttributeName!$C:$C,[1]AttributeName!$B:$B),"")</f>
        <v>10700</v>
      </c>
      <c r="P732" s="10"/>
      <c r="Q732">
        <v>0.02</v>
      </c>
      <c r="R732">
        <v>0.02</v>
      </c>
      <c r="S732" cm="1">
        <f t="array" ref="S732">IFERROR(_xlfn.SWITCH(L732,1,_xlfn.XLOOKUP(O732,[1]AttributeName!$B:$B,[1]AttributeName!$D:$D),2,_xlfn.XLOOKUP(C732,#REF!,#REF!),3,_xlfn.XLOOKUP(C732,#REF!,#REF!)),0)</f>
        <v>2</v>
      </c>
      <c r="T732" cm="1">
        <f t="array" ref="T732">IFERROR(_xlfn.SWITCH(L732,1,_xlfn.XLOOKUP(O732,[1]AttributeName!$B:$B,[1]AttributeName!$E:$E),2,_xlfn.XLOOKUP(C732,#REF!,#REF!),3,_xlfn.XLOOKUP(C732,#REF!,#REF!)),0)</f>
        <v>2</v>
      </c>
    </row>
    <row r="733" customFormat="1" spans="1:20">
      <c r="A733">
        <f t="shared" si="37"/>
        <v>303</v>
      </c>
      <c r="B733">
        <v>8</v>
      </c>
      <c r="C733" t="s">
        <v>417</v>
      </c>
      <c r="D733" t="s">
        <v>26</v>
      </c>
      <c r="E733" t="s">
        <v>378</v>
      </c>
      <c r="F733"/>
      <c r="G733">
        <v>1</v>
      </c>
      <c r="H733">
        <v>1000</v>
      </c>
      <c r="J733" cm="1">
        <f t="array" ref="J733">_xlfn.SWITCH(B733,1,75,2,61,3,49,4,37,5,25,6,13,7,4,8,1)</f>
        <v>1</v>
      </c>
      <c r="K733" t="str" cm="1">
        <f t="array" ref="K733">IFERROR(_xlfn.SWITCH(L733,2,_xlfn.XLOOKUP(C733,[1]ModifierDes!$B:$B,[1]ModifierDes!$C:$C),3,_xlfn.XLOOKUP(C733,[1]StuntDes!$B:$B,[1]StuntDes!$C:$C)),"")</f>
        <v/>
      </c>
      <c r="L733">
        <f t="shared" si="36"/>
        <v>1</v>
      </c>
      <c r="M733" s="10" t="str">
        <f>IFERROR(_xlfn.XLOOKUP(C733,[1]StuntDes!$B:$B,[1]StuntDes!$A:$A),"")</f>
        <v/>
      </c>
      <c r="N733" s="10" t="str">
        <f>IFERROR(_xlfn.XLOOKUP(C733,[1]ModifierDes!$B:$B,[1]ModifierDes!$A:$A),"")</f>
        <v/>
      </c>
      <c r="O733" s="10">
        <f>IFERROR(_xlfn.XLOOKUP(C733,[1]AttributeName!$C:$C,[1]AttributeName!$B:$B),"")</f>
        <v>10700</v>
      </c>
      <c r="P733" s="10"/>
      <c r="Q733">
        <v>0.01</v>
      </c>
      <c r="R733">
        <v>0.01</v>
      </c>
      <c r="S733" cm="1">
        <f t="array" ref="S733">IFERROR(_xlfn.SWITCH(L733,1,_xlfn.XLOOKUP(O733,[1]AttributeName!$B:$B,[1]AttributeName!$D:$D),2,_xlfn.XLOOKUP(C733,#REF!,#REF!),3,_xlfn.XLOOKUP(C733,#REF!,#REF!)),0)</f>
        <v>2</v>
      </c>
      <c r="T733" cm="1">
        <f t="array" ref="T733">IFERROR(_xlfn.SWITCH(L733,1,_xlfn.XLOOKUP(O733,[1]AttributeName!$B:$B,[1]AttributeName!$E:$E),2,_xlfn.XLOOKUP(C733,#REF!,#REF!),3,_xlfn.XLOOKUP(C733,#REF!,#REF!)),0)</f>
        <v>2</v>
      </c>
    </row>
    <row r="734" customFormat="1" spans="1:20">
      <c r="A734">
        <f t="shared" si="37"/>
        <v>304</v>
      </c>
      <c r="B734">
        <v>1</v>
      </c>
      <c r="C734" t="s">
        <v>383</v>
      </c>
      <c r="D734" t="s">
        <v>26</v>
      </c>
      <c r="E734" t="s">
        <v>378</v>
      </c>
      <c r="F734"/>
      <c r="G734">
        <v>1</v>
      </c>
      <c r="H734">
        <v>50</v>
      </c>
      <c r="J734" cm="1">
        <f t="array" ref="J734">_xlfn.SWITCH(B734,1,75,2,61,3,49,4,37,5,25,6,13,7,4,8,1)</f>
        <v>75</v>
      </c>
      <c r="K734" t="str" cm="1">
        <f t="array" ref="K734">IFERROR(_xlfn.SWITCH(L734,2,_xlfn.XLOOKUP(C734,[1]ModifierDes!$B:$B,[1]ModifierDes!$C:$C),3,_xlfn.XLOOKUP(C734,[1]StuntDes!$B:$B,[1]StuntDes!$C:$C)),"")</f>
        <v>攻击伤害提高{0}</v>
      </c>
      <c r="L734">
        <f t="shared" si="36"/>
        <v>2</v>
      </c>
      <c r="M734" s="10" t="str">
        <f>IFERROR(_xlfn.XLOOKUP(C734,[1]StuntDes!$B:$B,[1]StuntDes!$A:$A),"")</f>
        <v/>
      </c>
      <c r="N734" s="10">
        <f>IFERROR(_xlfn.XLOOKUP(C734,[1]ModifierDes!$B:$B,[1]ModifierDes!$A:$A),"")</f>
        <v>10066</v>
      </c>
      <c r="O734" s="10" t="str">
        <f>IFERROR(_xlfn.XLOOKUP(C734,[1]AttributeName!$C:$C,[1]AttributeName!$B:$B),"")</f>
        <v/>
      </c>
      <c r="P734" s="10"/>
      <c r="Q734">
        <v>0.25</v>
      </c>
      <c r="R734">
        <v>0.35</v>
      </c>
      <c r="S734" cm="1">
        <f t="array" ref="S734">IFERROR(_xlfn.SWITCH(L734,1,_xlfn.XLOOKUP(O734,[1]AttributeName!$B:$B,[1]AttributeName!$D:$D),2,_xlfn.XLOOKUP(C734,#REF!,#REF!),3,_xlfn.XLOOKUP(C734,#REF!,#REF!)),0)</f>
        <v>0</v>
      </c>
      <c r="T734" cm="1">
        <f t="array" ref="T734">IFERROR(_xlfn.SWITCH(L734,1,_xlfn.XLOOKUP(O734,[1]AttributeName!$B:$B,[1]AttributeName!$E:$E),2,_xlfn.XLOOKUP(C734,#REF!,#REF!),3,_xlfn.XLOOKUP(C734,#REF!,#REF!)),0)</f>
        <v>0</v>
      </c>
    </row>
    <row r="735" customFormat="1" spans="1:20">
      <c r="A735">
        <f t="shared" si="37"/>
        <v>304</v>
      </c>
      <c r="B735">
        <v>2</v>
      </c>
      <c r="C735" t="s">
        <v>383</v>
      </c>
      <c r="D735" t="s">
        <v>26</v>
      </c>
      <c r="E735" t="s">
        <v>378</v>
      </c>
      <c r="F735"/>
      <c r="G735">
        <v>1</v>
      </c>
      <c r="H735">
        <v>100</v>
      </c>
      <c r="I735">
        <v>3</v>
      </c>
      <c r="J735" cm="1">
        <f t="array" ref="J735">_xlfn.SWITCH(B735,1,75,2,61,3,49,4,37,5,25,6,13,7,4,8,1)</f>
        <v>61</v>
      </c>
      <c r="K735" t="str" cm="1">
        <f t="array" ref="K735">IFERROR(_xlfn.SWITCH(L735,2,_xlfn.XLOOKUP(C735,[1]ModifierDes!$B:$B,[1]ModifierDes!$C:$C),3,_xlfn.XLOOKUP(C735,[1]StuntDes!$B:$B,[1]StuntDes!$C:$C)),"")</f>
        <v>攻击伤害提高{0}</v>
      </c>
      <c r="L735">
        <f t="shared" si="36"/>
        <v>2</v>
      </c>
      <c r="M735" s="10" t="str">
        <f>IFERROR(_xlfn.XLOOKUP(C735,[1]StuntDes!$B:$B,[1]StuntDes!$A:$A),"")</f>
        <v/>
      </c>
      <c r="N735" s="10">
        <f>IFERROR(_xlfn.XLOOKUP(C735,[1]ModifierDes!$B:$B,[1]ModifierDes!$A:$A),"")</f>
        <v>10066</v>
      </c>
      <c r="O735" s="10" t="str">
        <f>IFERROR(_xlfn.XLOOKUP(C735,[1]AttributeName!$C:$C,[1]AttributeName!$B:$B),"")</f>
        <v/>
      </c>
      <c r="P735" s="10"/>
      <c r="Q735">
        <v>0.22</v>
      </c>
      <c r="R735">
        <v>0.24</v>
      </c>
      <c r="S735" cm="1">
        <f t="array" ref="S735">IFERROR(_xlfn.SWITCH(L735,1,_xlfn.XLOOKUP(O735,[1]AttributeName!$B:$B,[1]AttributeName!$D:$D),2,_xlfn.XLOOKUP(C735,#REF!,#REF!),3,_xlfn.XLOOKUP(C735,#REF!,#REF!)),0)</f>
        <v>0</v>
      </c>
      <c r="T735" cm="1">
        <f t="array" ref="T735">IFERROR(_xlfn.SWITCH(L735,1,_xlfn.XLOOKUP(O735,[1]AttributeName!$B:$B,[1]AttributeName!$E:$E),2,_xlfn.XLOOKUP(C735,#REF!,#REF!),3,_xlfn.XLOOKUP(C735,#REF!,#REF!)),0)</f>
        <v>0</v>
      </c>
    </row>
    <row r="736" customFormat="1" spans="1:20">
      <c r="A736">
        <f t="shared" si="37"/>
        <v>304</v>
      </c>
      <c r="B736">
        <v>3</v>
      </c>
      <c r="C736" t="s">
        <v>383</v>
      </c>
      <c r="D736" t="s">
        <v>26</v>
      </c>
      <c r="E736" t="s">
        <v>378</v>
      </c>
      <c r="F736"/>
      <c r="G736">
        <v>1</v>
      </c>
      <c r="H736">
        <v>200</v>
      </c>
      <c r="I736">
        <v>3</v>
      </c>
      <c r="J736" cm="1">
        <f t="array" ref="J736">_xlfn.SWITCH(B736,1,75,2,61,3,49,4,37,5,25,6,13,7,4,8,1)</f>
        <v>49</v>
      </c>
      <c r="K736" t="str" cm="1">
        <f t="array" ref="K736">IFERROR(_xlfn.SWITCH(L736,2,_xlfn.XLOOKUP(C736,[1]ModifierDes!$B:$B,[1]ModifierDes!$C:$C),3,_xlfn.XLOOKUP(C736,[1]StuntDes!$B:$B,[1]StuntDes!$C:$C)),"")</f>
        <v>攻击伤害提高{0}</v>
      </c>
      <c r="L736">
        <f t="shared" si="36"/>
        <v>2</v>
      </c>
      <c r="M736" s="10" t="str">
        <f>IFERROR(_xlfn.XLOOKUP(C736,[1]StuntDes!$B:$B,[1]StuntDes!$A:$A),"")</f>
        <v/>
      </c>
      <c r="N736" s="10">
        <f>IFERROR(_xlfn.XLOOKUP(C736,[1]ModifierDes!$B:$B,[1]ModifierDes!$A:$A),"")</f>
        <v>10066</v>
      </c>
      <c r="O736" s="10" t="str">
        <f>IFERROR(_xlfn.XLOOKUP(C736,[1]AttributeName!$C:$C,[1]AttributeName!$B:$B),"")</f>
        <v/>
      </c>
      <c r="P736" s="10"/>
      <c r="Q736">
        <v>0.19</v>
      </c>
      <c r="R736">
        <v>0.21</v>
      </c>
      <c r="S736" cm="1">
        <f t="array" ref="S736">IFERROR(_xlfn.SWITCH(L736,1,_xlfn.XLOOKUP(O736,[1]AttributeName!$B:$B,[1]AttributeName!$D:$D),2,_xlfn.XLOOKUP(C736,#REF!,#REF!),3,_xlfn.XLOOKUP(C736,#REF!,#REF!)),0)</f>
        <v>0</v>
      </c>
      <c r="T736" cm="1">
        <f t="array" ref="T736">IFERROR(_xlfn.SWITCH(L736,1,_xlfn.XLOOKUP(O736,[1]AttributeName!$B:$B,[1]AttributeName!$E:$E),2,_xlfn.XLOOKUP(C736,#REF!,#REF!),3,_xlfn.XLOOKUP(C736,#REF!,#REF!)),0)</f>
        <v>0</v>
      </c>
    </row>
    <row r="737" customFormat="1" spans="1:20">
      <c r="A737">
        <f t="shared" si="37"/>
        <v>304</v>
      </c>
      <c r="B737">
        <v>4</v>
      </c>
      <c r="C737" t="s">
        <v>383</v>
      </c>
      <c r="D737" t="s">
        <v>26</v>
      </c>
      <c r="E737" t="s">
        <v>378</v>
      </c>
      <c r="F737"/>
      <c r="G737">
        <v>1</v>
      </c>
      <c r="H737">
        <v>500</v>
      </c>
      <c r="I737">
        <v>3</v>
      </c>
      <c r="J737" cm="1">
        <f t="array" ref="J737">_xlfn.SWITCH(B737,1,75,2,61,3,49,4,37,5,25,6,13,7,4,8,1)</f>
        <v>37</v>
      </c>
      <c r="K737" t="str" cm="1">
        <f t="array" ref="K737">IFERROR(_xlfn.SWITCH(L737,2,_xlfn.XLOOKUP(C737,[1]ModifierDes!$B:$B,[1]ModifierDes!$C:$C),3,_xlfn.XLOOKUP(C737,[1]StuntDes!$B:$B,[1]StuntDes!$C:$C)),"")</f>
        <v>攻击伤害提高{0}</v>
      </c>
      <c r="L737">
        <f t="shared" si="36"/>
        <v>2</v>
      </c>
      <c r="M737" s="10" t="str">
        <f>IFERROR(_xlfn.XLOOKUP(C737,[1]StuntDes!$B:$B,[1]StuntDes!$A:$A),"")</f>
        <v/>
      </c>
      <c r="N737" s="10">
        <f>IFERROR(_xlfn.XLOOKUP(C737,[1]ModifierDes!$B:$B,[1]ModifierDes!$A:$A),"")</f>
        <v>10066</v>
      </c>
      <c r="O737" s="10" t="str">
        <f>IFERROR(_xlfn.XLOOKUP(C737,[1]AttributeName!$C:$C,[1]AttributeName!$B:$B),"")</f>
        <v/>
      </c>
      <c r="P737" s="10"/>
      <c r="Q737">
        <v>0.16</v>
      </c>
      <c r="R737">
        <v>0.18</v>
      </c>
      <c r="S737" cm="1">
        <f t="array" ref="S737">IFERROR(_xlfn.SWITCH(L737,1,_xlfn.XLOOKUP(O737,[1]AttributeName!$B:$B,[1]AttributeName!$D:$D),2,_xlfn.XLOOKUP(C737,#REF!,#REF!),3,_xlfn.XLOOKUP(C737,#REF!,#REF!)),0)</f>
        <v>0</v>
      </c>
      <c r="T737" cm="1">
        <f t="array" ref="T737">IFERROR(_xlfn.SWITCH(L737,1,_xlfn.XLOOKUP(O737,[1]AttributeName!$B:$B,[1]AttributeName!$E:$E),2,_xlfn.XLOOKUP(C737,#REF!,#REF!),3,_xlfn.XLOOKUP(C737,#REF!,#REF!)),0)</f>
        <v>0</v>
      </c>
    </row>
    <row r="738" customFormat="1" spans="1:20">
      <c r="A738">
        <f t="shared" si="37"/>
        <v>304</v>
      </c>
      <c r="B738">
        <v>5</v>
      </c>
      <c r="C738" t="s">
        <v>383</v>
      </c>
      <c r="D738" t="s">
        <v>26</v>
      </c>
      <c r="E738" t="s">
        <v>378</v>
      </c>
      <c r="F738"/>
      <c r="G738">
        <v>1</v>
      </c>
      <c r="H738">
        <v>750</v>
      </c>
      <c r="I738">
        <v>3</v>
      </c>
      <c r="J738" cm="1">
        <f t="array" ref="J738">_xlfn.SWITCH(B738,1,75,2,61,3,49,4,37,5,25,6,13,7,4,8,1)</f>
        <v>25</v>
      </c>
      <c r="K738" t="str" cm="1">
        <f t="array" ref="K738">IFERROR(_xlfn.SWITCH(L738,2,_xlfn.XLOOKUP(C738,[1]ModifierDes!$B:$B,[1]ModifierDes!$C:$C),3,_xlfn.XLOOKUP(C738,[1]StuntDes!$B:$B,[1]StuntDes!$C:$C)),"")</f>
        <v>攻击伤害提高{0}</v>
      </c>
      <c r="L738">
        <f t="shared" si="36"/>
        <v>2</v>
      </c>
      <c r="M738" s="10" t="str">
        <f>IFERROR(_xlfn.XLOOKUP(C738,[1]StuntDes!$B:$B,[1]StuntDes!$A:$A),"")</f>
        <v/>
      </c>
      <c r="N738" s="10">
        <f>IFERROR(_xlfn.XLOOKUP(C738,[1]ModifierDes!$B:$B,[1]ModifierDes!$A:$A),"")</f>
        <v>10066</v>
      </c>
      <c r="O738" s="10" t="str">
        <f>IFERROR(_xlfn.XLOOKUP(C738,[1]AttributeName!$C:$C,[1]AttributeName!$B:$B),"")</f>
        <v/>
      </c>
      <c r="P738" s="10"/>
      <c r="Q738">
        <v>0.13</v>
      </c>
      <c r="R738">
        <v>0.15</v>
      </c>
      <c r="S738" cm="1">
        <f t="array" ref="S738">IFERROR(_xlfn.SWITCH(L738,1,_xlfn.XLOOKUP(O738,[1]AttributeName!$B:$B,[1]AttributeName!$D:$D),2,_xlfn.XLOOKUP(C738,#REF!,#REF!),3,_xlfn.XLOOKUP(C738,#REF!,#REF!)),0)</f>
        <v>0</v>
      </c>
      <c r="T738" cm="1">
        <f t="array" ref="T738">IFERROR(_xlfn.SWITCH(L738,1,_xlfn.XLOOKUP(O738,[1]AttributeName!$B:$B,[1]AttributeName!$E:$E),2,_xlfn.XLOOKUP(C738,#REF!,#REF!),3,_xlfn.XLOOKUP(C738,#REF!,#REF!)),0)</f>
        <v>0</v>
      </c>
    </row>
    <row r="739" customFormat="1" spans="1:20">
      <c r="A739">
        <f t="shared" si="37"/>
        <v>304</v>
      </c>
      <c r="B739">
        <v>6</v>
      </c>
      <c r="C739" t="s">
        <v>383</v>
      </c>
      <c r="D739" t="s">
        <v>26</v>
      </c>
      <c r="E739" t="s">
        <v>378</v>
      </c>
      <c r="F739"/>
      <c r="G739">
        <v>1</v>
      </c>
      <c r="H739">
        <v>1000</v>
      </c>
      <c r="I739">
        <v>3</v>
      </c>
      <c r="J739" cm="1">
        <f t="array" ref="J739">_xlfn.SWITCH(B739,1,75,2,61,3,49,4,37,5,25,6,13,7,4,8,1)</f>
        <v>13</v>
      </c>
      <c r="K739" t="str" cm="1">
        <f t="array" ref="K739">IFERROR(_xlfn.SWITCH(L739,2,_xlfn.XLOOKUP(C739,[1]ModifierDes!$B:$B,[1]ModifierDes!$C:$C),3,_xlfn.XLOOKUP(C739,[1]StuntDes!$B:$B,[1]StuntDes!$C:$C)),"")</f>
        <v>攻击伤害提高{0}</v>
      </c>
      <c r="L739">
        <f t="shared" si="36"/>
        <v>2</v>
      </c>
      <c r="M739" s="10" t="str">
        <f>IFERROR(_xlfn.XLOOKUP(C739,[1]StuntDes!$B:$B,[1]StuntDes!$A:$A),"")</f>
        <v/>
      </c>
      <c r="N739" s="10">
        <f>IFERROR(_xlfn.XLOOKUP(C739,[1]ModifierDes!$B:$B,[1]ModifierDes!$A:$A),"")</f>
        <v>10066</v>
      </c>
      <c r="O739" s="10" t="str">
        <f>IFERROR(_xlfn.XLOOKUP(C739,[1]AttributeName!$C:$C,[1]AttributeName!$B:$B),"")</f>
        <v/>
      </c>
      <c r="P739" s="10"/>
      <c r="Q739">
        <v>0.0999999999999999</v>
      </c>
      <c r="R739">
        <v>0.12</v>
      </c>
      <c r="S739" cm="1">
        <f t="array" ref="S739">IFERROR(_xlfn.SWITCH(L739,1,_xlfn.XLOOKUP(O739,[1]AttributeName!$B:$B,[1]AttributeName!$D:$D),2,_xlfn.XLOOKUP(C739,#REF!,#REF!),3,_xlfn.XLOOKUP(C739,#REF!,#REF!)),0)</f>
        <v>0</v>
      </c>
      <c r="T739" cm="1">
        <f t="array" ref="T739">IFERROR(_xlfn.SWITCH(L739,1,_xlfn.XLOOKUP(O739,[1]AttributeName!$B:$B,[1]AttributeName!$E:$E),2,_xlfn.XLOOKUP(C739,#REF!,#REF!),3,_xlfn.XLOOKUP(C739,#REF!,#REF!)),0)</f>
        <v>0</v>
      </c>
    </row>
    <row r="740" customFormat="1" spans="1:20">
      <c r="A740">
        <f t="shared" si="37"/>
        <v>304</v>
      </c>
      <c r="B740">
        <v>7</v>
      </c>
      <c r="C740" t="s">
        <v>383</v>
      </c>
      <c r="D740" t="s">
        <v>26</v>
      </c>
      <c r="E740" t="s">
        <v>378</v>
      </c>
      <c r="F740"/>
      <c r="G740">
        <v>1</v>
      </c>
      <c r="H740">
        <v>1000</v>
      </c>
      <c r="I740">
        <v>3</v>
      </c>
      <c r="J740" cm="1">
        <f t="array" ref="J740">_xlfn.SWITCH(B740,1,75,2,61,3,49,4,37,5,25,6,13,7,4,8,1)</f>
        <v>4</v>
      </c>
      <c r="K740" t="str" cm="1">
        <f t="array" ref="K740">IFERROR(_xlfn.SWITCH(L740,2,_xlfn.XLOOKUP(C740,[1]ModifierDes!$B:$B,[1]ModifierDes!$C:$C),3,_xlfn.XLOOKUP(C740,[1]StuntDes!$B:$B,[1]StuntDes!$C:$C)),"")</f>
        <v>攻击伤害提高{0}</v>
      </c>
      <c r="L740">
        <f t="shared" si="36"/>
        <v>2</v>
      </c>
      <c r="M740" s="10" t="str">
        <f>IFERROR(_xlfn.XLOOKUP(C740,[1]StuntDes!$B:$B,[1]StuntDes!$A:$A),"")</f>
        <v/>
      </c>
      <c r="N740" s="10">
        <f>IFERROR(_xlfn.XLOOKUP(C740,[1]ModifierDes!$B:$B,[1]ModifierDes!$A:$A),"")</f>
        <v>10066</v>
      </c>
      <c r="O740" s="10" t="str">
        <f>IFERROR(_xlfn.XLOOKUP(C740,[1]AttributeName!$C:$C,[1]AttributeName!$B:$B),"")</f>
        <v/>
      </c>
      <c r="P740" s="10"/>
      <c r="Q740">
        <v>0.0699999999999999</v>
      </c>
      <c r="R740">
        <v>0.09</v>
      </c>
      <c r="S740" cm="1">
        <f t="array" ref="S740">IFERROR(_xlfn.SWITCH(L740,1,_xlfn.XLOOKUP(O740,[1]AttributeName!$B:$B,[1]AttributeName!$D:$D),2,_xlfn.XLOOKUP(C740,#REF!,#REF!),3,_xlfn.XLOOKUP(C740,#REF!,#REF!)),0)</f>
        <v>0</v>
      </c>
      <c r="T740" cm="1">
        <f t="array" ref="T740">IFERROR(_xlfn.SWITCH(L740,1,_xlfn.XLOOKUP(O740,[1]AttributeName!$B:$B,[1]AttributeName!$E:$E),2,_xlfn.XLOOKUP(C740,#REF!,#REF!),3,_xlfn.XLOOKUP(C740,#REF!,#REF!)),0)</f>
        <v>0</v>
      </c>
    </row>
    <row r="741" customFormat="1" spans="1:20">
      <c r="A741">
        <f t="shared" si="37"/>
        <v>304</v>
      </c>
      <c r="B741">
        <v>8</v>
      </c>
      <c r="C741" t="s">
        <v>383</v>
      </c>
      <c r="D741" t="s">
        <v>26</v>
      </c>
      <c r="E741" t="s">
        <v>378</v>
      </c>
      <c r="F741"/>
      <c r="G741">
        <v>1</v>
      </c>
      <c r="H741">
        <v>1000</v>
      </c>
      <c r="I741">
        <v>3</v>
      </c>
      <c r="J741" cm="1">
        <f t="array" ref="J741">_xlfn.SWITCH(B741,1,75,2,61,3,49,4,37,5,25,6,13,7,4,8,1)</f>
        <v>1</v>
      </c>
      <c r="K741" t="str" cm="1">
        <f t="array" ref="K741">IFERROR(_xlfn.SWITCH(L741,2,_xlfn.XLOOKUP(C741,[1]ModifierDes!$B:$B,[1]ModifierDes!$C:$C),3,_xlfn.XLOOKUP(C741,[1]StuntDes!$B:$B,[1]StuntDes!$C:$C)),"")</f>
        <v>攻击伤害提高{0}</v>
      </c>
      <c r="L741">
        <f t="shared" si="36"/>
        <v>2</v>
      </c>
      <c r="M741" s="10" t="str">
        <f>IFERROR(_xlfn.XLOOKUP(C741,[1]StuntDes!$B:$B,[1]StuntDes!$A:$A),"")</f>
        <v/>
      </c>
      <c r="N741" s="10">
        <f>IFERROR(_xlfn.XLOOKUP(C741,[1]ModifierDes!$B:$B,[1]ModifierDes!$A:$A),"")</f>
        <v>10066</v>
      </c>
      <c r="O741" s="10" t="str">
        <f>IFERROR(_xlfn.XLOOKUP(C741,[1]AttributeName!$C:$C,[1]AttributeName!$B:$B),"")</f>
        <v/>
      </c>
      <c r="P741" s="10"/>
      <c r="Q741">
        <v>0.0399999999999998</v>
      </c>
      <c r="R741">
        <v>0.06</v>
      </c>
      <c r="S741" cm="1">
        <f t="array" ref="S741">IFERROR(_xlfn.SWITCH(L741,1,_xlfn.XLOOKUP(O741,[1]AttributeName!$B:$B,[1]AttributeName!$D:$D),2,_xlfn.XLOOKUP(C741,#REF!,#REF!),3,_xlfn.XLOOKUP(C741,#REF!,#REF!)),0)</f>
        <v>0</v>
      </c>
      <c r="T741" cm="1">
        <f t="array" ref="T741">IFERROR(_xlfn.SWITCH(L741,1,_xlfn.XLOOKUP(O741,[1]AttributeName!$B:$B,[1]AttributeName!$E:$E),2,_xlfn.XLOOKUP(C741,#REF!,#REF!),3,_xlfn.XLOOKUP(C741,#REF!,#REF!)),0)</f>
        <v>0</v>
      </c>
    </row>
    <row r="742" customFormat="1" spans="1:20">
      <c r="A742">
        <f t="shared" si="37"/>
        <v>305</v>
      </c>
      <c r="B742">
        <v>1</v>
      </c>
      <c r="C742" t="s">
        <v>418</v>
      </c>
      <c r="D742" t="s">
        <v>26</v>
      </c>
      <c r="E742" t="s">
        <v>378</v>
      </c>
      <c r="F742"/>
      <c r="G742">
        <v>1</v>
      </c>
      <c r="H742">
        <v>50</v>
      </c>
      <c r="I742">
        <v>3</v>
      </c>
      <c r="J742" cm="1">
        <f t="array" ref="J742">_xlfn.SWITCH(B742,1,75,2,61,3,49,4,37,5,25,6,13,7,4,8,1)</f>
        <v>75</v>
      </c>
      <c r="K742" t="str" cm="1">
        <f t="array" ref="K742">IFERROR(_xlfn.SWITCH(L742,2,_xlfn.XLOOKUP(C742,[1]ModifierDes!$B:$B,[1]ModifierDes!$C:$C),3,_xlfn.XLOOKUP(C742,[1]StuntDes!$B:$B,[1]StuntDes!$C:$C)),"")</f>
        <v>法术伤害提高{0}</v>
      </c>
      <c r="L742">
        <f t="shared" si="36"/>
        <v>2</v>
      </c>
      <c r="M742" s="10" t="str">
        <f>IFERROR(_xlfn.XLOOKUP(C742,[1]StuntDes!$B:$B,[1]StuntDes!$A:$A),"")</f>
        <v/>
      </c>
      <c r="N742" s="10">
        <f>IFERROR(_xlfn.XLOOKUP(C742,[1]ModifierDes!$B:$B,[1]ModifierDes!$A:$A),"")</f>
        <v>10067</v>
      </c>
      <c r="O742" s="10" t="str">
        <f>IFERROR(_xlfn.XLOOKUP(C742,[1]AttributeName!$C:$C,[1]AttributeName!$B:$B),"")</f>
        <v/>
      </c>
      <c r="P742" s="10"/>
      <c r="Q742">
        <v>0.25</v>
      </c>
      <c r="R742">
        <v>0.35</v>
      </c>
      <c r="S742" cm="1">
        <f t="array" ref="S742">IFERROR(_xlfn.SWITCH(L742,1,_xlfn.XLOOKUP(O742,[1]AttributeName!$B:$B,[1]AttributeName!$D:$D),2,_xlfn.XLOOKUP(C742,#REF!,#REF!),3,_xlfn.XLOOKUP(C742,#REF!,#REF!)),0)</f>
        <v>0</v>
      </c>
      <c r="T742" cm="1">
        <f t="array" ref="T742">IFERROR(_xlfn.SWITCH(L742,1,_xlfn.XLOOKUP(O742,[1]AttributeName!$B:$B,[1]AttributeName!$E:$E),2,_xlfn.XLOOKUP(C742,#REF!,#REF!),3,_xlfn.XLOOKUP(C742,#REF!,#REF!)),0)</f>
        <v>0</v>
      </c>
    </row>
    <row r="743" customFormat="1" spans="1:20">
      <c r="A743">
        <f t="shared" si="37"/>
        <v>305</v>
      </c>
      <c r="B743">
        <v>2</v>
      </c>
      <c r="C743" t="s">
        <v>418</v>
      </c>
      <c r="D743" t="s">
        <v>26</v>
      </c>
      <c r="E743" t="s">
        <v>378</v>
      </c>
      <c r="F743"/>
      <c r="G743">
        <v>1</v>
      </c>
      <c r="H743">
        <v>100</v>
      </c>
      <c r="I743">
        <v>3</v>
      </c>
      <c r="J743" cm="1">
        <f t="array" ref="J743">_xlfn.SWITCH(B743,1,75,2,61,3,49,4,37,5,25,6,13,7,4,8,1)</f>
        <v>61</v>
      </c>
      <c r="K743" t="str" cm="1">
        <f t="array" ref="K743">IFERROR(_xlfn.SWITCH(L743,2,_xlfn.XLOOKUP(C743,[1]ModifierDes!$B:$B,[1]ModifierDes!$C:$C),3,_xlfn.XLOOKUP(C743,[1]StuntDes!$B:$B,[1]StuntDes!$C:$C)),"")</f>
        <v>法术伤害提高{0}</v>
      </c>
      <c r="L743">
        <f t="shared" si="36"/>
        <v>2</v>
      </c>
      <c r="M743" s="10" t="str">
        <f>IFERROR(_xlfn.XLOOKUP(C743,[1]StuntDes!$B:$B,[1]StuntDes!$A:$A),"")</f>
        <v/>
      </c>
      <c r="N743" s="10">
        <f>IFERROR(_xlfn.XLOOKUP(C743,[1]ModifierDes!$B:$B,[1]ModifierDes!$A:$A),"")</f>
        <v>10067</v>
      </c>
      <c r="O743" s="10" t="str">
        <f>IFERROR(_xlfn.XLOOKUP(C743,[1]AttributeName!$C:$C,[1]AttributeName!$B:$B),"")</f>
        <v/>
      </c>
      <c r="P743" s="10"/>
      <c r="Q743">
        <v>0.22</v>
      </c>
      <c r="R743">
        <v>0.24</v>
      </c>
      <c r="S743" cm="1">
        <f t="array" ref="S743">IFERROR(_xlfn.SWITCH(L743,1,_xlfn.XLOOKUP(O743,[1]AttributeName!$B:$B,[1]AttributeName!$D:$D),2,_xlfn.XLOOKUP(C743,#REF!,#REF!),3,_xlfn.XLOOKUP(C743,#REF!,#REF!)),0)</f>
        <v>0</v>
      </c>
      <c r="T743" cm="1">
        <f t="array" ref="T743">IFERROR(_xlfn.SWITCH(L743,1,_xlfn.XLOOKUP(O743,[1]AttributeName!$B:$B,[1]AttributeName!$E:$E),2,_xlfn.XLOOKUP(C743,#REF!,#REF!),3,_xlfn.XLOOKUP(C743,#REF!,#REF!)),0)</f>
        <v>0</v>
      </c>
    </row>
    <row r="744" customFormat="1" spans="1:20">
      <c r="A744">
        <f t="shared" si="37"/>
        <v>305</v>
      </c>
      <c r="B744">
        <v>3</v>
      </c>
      <c r="C744" t="s">
        <v>418</v>
      </c>
      <c r="D744" t="s">
        <v>26</v>
      </c>
      <c r="E744" t="s">
        <v>378</v>
      </c>
      <c r="F744"/>
      <c r="G744">
        <v>1</v>
      </c>
      <c r="H744">
        <v>200</v>
      </c>
      <c r="I744">
        <v>3</v>
      </c>
      <c r="J744" cm="1">
        <f t="array" ref="J744">_xlfn.SWITCH(B744,1,75,2,61,3,49,4,37,5,25,6,13,7,4,8,1)</f>
        <v>49</v>
      </c>
      <c r="K744" t="str" cm="1">
        <f t="array" ref="K744">IFERROR(_xlfn.SWITCH(L744,2,_xlfn.XLOOKUP(C744,[1]ModifierDes!$B:$B,[1]ModifierDes!$C:$C),3,_xlfn.XLOOKUP(C744,[1]StuntDes!$B:$B,[1]StuntDes!$C:$C)),"")</f>
        <v>法术伤害提高{0}</v>
      </c>
      <c r="L744">
        <f t="shared" si="36"/>
        <v>2</v>
      </c>
      <c r="M744" s="10" t="str">
        <f>IFERROR(_xlfn.XLOOKUP(C744,[1]StuntDes!$B:$B,[1]StuntDes!$A:$A),"")</f>
        <v/>
      </c>
      <c r="N744" s="10">
        <f>IFERROR(_xlfn.XLOOKUP(C744,[1]ModifierDes!$B:$B,[1]ModifierDes!$A:$A),"")</f>
        <v>10067</v>
      </c>
      <c r="O744" s="10" t="str">
        <f>IFERROR(_xlfn.XLOOKUP(C744,[1]AttributeName!$C:$C,[1]AttributeName!$B:$B),"")</f>
        <v/>
      </c>
      <c r="P744" s="10"/>
      <c r="Q744">
        <v>0.19</v>
      </c>
      <c r="R744">
        <v>0.21</v>
      </c>
      <c r="S744" cm="1">
        <f t="array" ref="S744">IFERROR(_xlfn.SWITCH(L744,1,_xlfn.XLOOKUP(O744,[1]AttributeName!$B:$B,[1]AttributeName!$D:$D),2,_xlfn.XLOOKUP(C744,#REF!,#REF!),3,_xlfn.XLOOKUP(C744,#REF!,#REF!)),0)</f>
        <v>0</v>
      </c>
      <c r="T744" cm="1">
        <f t="array" ref="T744">IFERROR(_xlfn.SWITCH(L744,1,_xlfn.XLOOKUP(O744,[1]AttributeName!$B:$B,[1]AttributeName!$E:$E),2,_xlfn.XLOOKUP(C744,#REF!,#REF!),3,_xlfn.XLOOKUP(C744,#REF!,#REF!)),0)</f>
        <v>0</v>
      </c>
    </row>
    <row r="745" customFormat="1" spans="1:20">
      <c r="A745">
        <f t="shared" si="37"/>
        <v>305</v>
      </c>
      <c r="B745">
        <v>4</v>
      </c>
      <c r="C745" t="s">
        <v>418</v>
      </c>
      <c r="D745" t="s">
        <v>26</v>
      </c>
      <c r="E745" t="s">
        <v>378</v>
      </c>
      <c r="F745"/>
      <c r="G745">
        <v>1</v>
      </c>
      <c r="H745">
        <v>500</v>
      </c>
      <c r="I745">
        <v>3</v>
      </c>
      <c r="J745" cm="1">
        <f t="array" ref="J745">_xlfn.SWITCH(B745,1,75,2,61,3,49,4,37,5,25,6,13,7,4,8,1)</f>
        <v>37</v>
      </c>
      <c r="K745" t="str" cm="1">
        <f t="array" ref="K745">IFERROR(_xlfn.SWITCH(L745,2,_xlfn.XLOOKUP(C745,[1]ModifierDes!$B:$B,[1]ModifierDes!$C:$C),3,_xlfn.XLOOKUP(C745,[1]StuntDes!$B:$B,[1]StuntDes!$C:$C)),"")</f>
        <v>法术伤害提高{0}</v>
      </c>
      <c r="L745">
        <f t="shared" si="36"/>
        <v>2</v>
      </c>
      <c r="M745" s="10" t="str">
        <f>IFERROR(_xlfn.XLOOKUP(C745,[1]StuntDes!$B:$B,[1]StuntDes!$A:$A),"")</f>
        <v/>
      </c>
      <c r="N745" s="10">
        <f>IFERROR(_xlfn.XLOOKUP(C745,[1]ModifierDes!$B:$B,[1]ModifierDes!$A:$A),"")</f>
        <v>10067</v>
      </c>
      <c r="O745" s="10" t="str">
        <f>IFERROR(_xlfn.XLOOKUP(C745,[1]AttributeName!$C:$C,[1]AttributeName!$B:$B),"")</f>
        <v/>
      </c>
      <c r="P745" s="10"/>
      <c r="Q745">
        <v>0.16</v>
      </c>
      <c r="R745">
        <v>0.18</v>
      </c>
      <c r="S745" cm="1">
        <f t="array" ref="S745">IFERROR(_xlfn.SWITCH(L745,1,_xlfn.XLOOKUP(O745,[1]AttributeName!$B:$B,[1]AttributeName!$D:$D),2,_xlfn.XLOOKUP(C745,#REF!,#REF!),3,_xlfn.XLOOKUP(C745,#REF!,#REF!)),0)</f>
        <v>0</v>
      </c>
      <c r="T745" cm="1">
        <f t="array" ref="T745">IFERROR(_xlfn.SWITCH(L745,1,_xlfn.XLOOKUP(O745,[1]AttributeName!$B:$B,[1]AttributeName!$E:$E),2,_xlfn.XLOOKUP(C745,#REF!,#REF!),3,_xlfn.XLOOKUP(C745,#REF!,#REF!)),0)</f>
        <v>0</v>
      </c>
    </row>
    <row r="746" customFormat="1" spans="1:20">
      <c r="A746">
        <f t="shared" si="37"/>
        <v>305</v>
      </c>
      <c r="B746">
        <v>5</v>
      </c>
      <c r="C746" t="s">
        <v>418</v>
      </c>
      <c r="D746" t="s">
        <v>26</v>
      </c>
      <c r="E746" t="s">
        <v>378</v>
      </c>
      <c r="F746"/>
      <c r="G746">
        <v>1</v>
      </c>
      <c r="H746">
        <v>750</v>
      </c>
      <c r="I746">
        <v>3</v>
      </c>
      <c r="J746" cm="1">
        <f t="array" ref="J746">_xlfn.SWITCH(B746,1,75,2,61,3,49,4,37,5,25,6,13,7,4,8,1)</f>
        <v>25</v>
      </c>
      <c r="K746" t="str" cm="1">
        <f t="array" ref="K746">IFERROR(_xlfn.SWITCH(L746,2,_xlfn.XLOOKUP(C746,[1]ModifierDes!$B:$B,[1]ModifierDes!$C:$C),3,_xlfn.XLOOKUP(C746,[1]StuntDes!$B:$B,[1]StuntDes!$C:$C)),"")</f>
        <v>法术伤害提高{0}</v>
      </c>
      <c r="L746">
        <f t="shared" si="36"/>
        <v>2</v>
      </c>
      <c r="M746" s="10" t="str">
        <f>IFERROR(_xlfn.XLOOKUP(C746,[1]StuntDes!$B:$B,[1]StuntDes!$A:$A),"")</f>
        <v/>
      </c>
      <c r="N746" s="10">
        <f>IFERROR(_xlfn.XLOOKUP(C746,[1]ModifierDes!$B:$B,[1]ModifierDes!$A:$A),"")</f>
        <v>10067</v>
      </c>
      <c r="O746" s="10" t="str">
        <f>IFERROR(_xlfn.XLOOKUP(C746,[1]AttributeName!$C:$C,[1]AttributeName!$B:$B),"")</f>
        <v/>
      </c>
      <c r="P746" s="10"/>
      <c r="Q746">
        <v>0.13</v>
      </c>
      <c r="R746">
        <v>0.15</v>
      </c>
      <c r="S746" cm="1">
        <f t="array" ref="S746">IFERROR(_xlfn.SWITCH(L746,1,_xlfn.XLOOKUP(O746,[1]AttributeName!$B:$B,[1]AttributeName!$D:$D),2,_xlfn.XLOOKUP(C746,#REF!,#REF!),3,_xlfn.XLOOKUP(C746,#REF!,#REF!)),0)</f>
        <v>0</v>
      </c>
      <c r="T746" cm="1">
        <f t="array" ref="T746">IFERROR(_xlfn.SWITCH(L746,1,_xlfn.XLOOKUP(O746,[1]AttributeName!$B:$B,[1]AttributeName!$E:$E),2,_xlfn.XLOOKUP(C746,#REF!,#REF!),3,_xlfn.XLOOKUP(C746,#REF!,#REF!)),0)</f>
        <v>0</v>
      </c>
    </row>
    <row r="747" customFormat="1" spans="1:20">
      <c r="A747">
        <f t="shared" si="37"/>
        <v>305</v>
      </c>
      <c r="B747">
        <v>6</v>
      </c>
      <c r="C747" t="s">
        <v>418</v>
      </c>
      <c r="D747" t="s">
        <v>26</v>
      </c>
      <c r="E747" t="s">
        <v>378</v>
      </c>
      <c r="F747"/>
      <c r="G747">
        <v>1</v>
      </c>
      <c r="H747">
        <v>1000</v>
      </c>
      <c r="I747">
        <v>3</v>
      </c>
      <c r="J747" cm="1">
        <f t="array" ref="J747">_xlfn.SWITCH(B747,1,75,2,61,3,49,4,37,5,25,6,13,7,4,8,1)</f>
        <v>13</v>
      </c>
      <c r="K747" t="str" cm="1">
        <f t="array" ref="K747">IFERROR(_xlfn.SWITCH(L747,2,_xlfn.XLOOKUP(C747,[1]ModifierDes!$B:$B,[1]ModifierDes!$C:$C),3,_xlfn.XLOOKUP(C747,[1]StuntDes!$B:$B,[1]StuntDes!$C:$C)),"")</f>
        <v>法术伤害提高{0}</v>
      </c>
      <c r="L747">
        <f t="shared" si="36"/>
        <v>2</v>
      </c>
      <c r="M747" s="10" t="str">
        <f>IFERROR(_xlfn.XLOOKUP(C747,[1]StuntDes!$B:$B,[1]StuntDes!$A:$A),"")</f>
        <v/>
      </c>
      <c r="N747" s="10">
        <f>IFERROR(_xlfn.XLOOKUP(C747,[1]ModifierDes!$B:$B,[1]ModifierDes!$A:$A),"")</f>
        <v>10067</v>
      </c>
      <c r="O747" s="10" t="str">
        <f>IFERROR(_xlfn.XLOOKUP(C747,[1]AttributeName!$C:$C,[1]AttributeName!$B:$B),"")</f>
        <v/>
      </c>
      <c r="P747" s="10"/>
      <c r="Q747">
        <v>0.0999999999999999</v>
      </c>
      <c r="R747">
        <v>0.12</v>
      </c>
      <c r="S747" cm="1">
        <f t="array" ref="S747">IFERROR(_xlfn.SWITCH(L747,1,_xlfn.XLOOKUP(O747,[1]AttributeName!$B:$B,[1]AttributeName!$D:$D),2,_xlfn.XLOOKUP(C747,#REF!,#REF!),3,_xlfn.XLOOKUP(C747,#REF!,#REF!)),0)</f>
        <v>0</v>
      </c>
      <c r="T747" cm="1">
        <f t="array" ref="T747">IFERROR(_xlfn.SWITCH(L747,1,_xlfn.XLOOKUP(O747,[1]AttributeName!$B:$B,[1]AttributeName!$E:$E),2,_xlfn.XLOOKUP(C747,#REF!,#REF!),3,_xlfn.XLOOKUP(C747,#REF!,#REF!)),0)</f>
        <v>0</v>
      </c>
    </row>
    <row r="748" customFormat="1" spans="1:20">
      <c r="A748">
        <f t="shared" si="37"/>
        <v>305</v>
      </c>
      <c r="B748">
        <v>7</v>
      </c>
      <c r="C748" t="s">
        <v>418</v>
      </c>
      <c r="D748" t="s">
        <v>26</v>
      </c>
      <c r="E748" t="s">
        <v>378</v>
      </c>
      <c r="F748"/>
      <c r="G748">
        <v>1</v>
      </c>
      <c r="H748">
        <v>1000</v>
      </c>
      <c r="I748">
        <v>3</v>
      </c>
      <c r="J748" cm="1">
        <f t="array" ref="J748">_xlfn.SWITCH(B748,1,75,2,61,3,49,4,37,5,25,6,13,7,4,8,1)</f>
        <v>4</v>
      </c>
      <c r="K748" t="str" cm="1">
        <f t="array" ref="K748">IFERROR(_xlfn.SWITCH(L748,2,_xlfn.XLOOKUP(C748,[1]ModifierDes!$B:$B,[1]ModifierDes!$C:$C),3,_xlfn.XLOOKUP(C748,[1]StuntDes!$B:$B,[1]StuntDes!$C:$C)),"")</f>
        <v>法术伤害提高{0}</v>
      </c>
      <c r="L748">
        <f t="shared" si="36"/>
        <v>2</v>
      </c>
      <c r="M748" s="10" t="str">
        <f>IFERROR(_xlfn.XLOOKUP(C748,[1]StuntDes!$B:$B,[1]StuntDes!$A:$A),"")</f>
        <v/>
      </c>
      <c r="N748" s="10">
        <f>IFERROR(_xlfn.XLOOKUP(C748,[1]ModifierDes!$B:$B,[1]ModifierDes!$A:$A),"")</f>
        <v>10067</v>
      </c>
      <c r="O748" s="10" t="str">
        <f>IFERROR(_xlfn.XLOOKUP(C748,[1]AttributeName!$C:$C,[1]AttributeName!$B:$B),"")</f>
        <v/>
      </c>
      <c r="P748" s="10"/>
      <c r="Q748">
        <v>0.0699999999999999</v>
      </c>
      <c r="R748">
        <v>0.09</v>
      </c>
      <c r="S748" cm="1">
        <f t="array" ref="S748">IFERROR(_xlfn.SWITCH(L748,1,_xlfn.XLOOKUP(O748,[1]AttributeName!$B:$B,[1]AttributeName!$D:$D),2,_xlfn.XLOOKUP(C748,#REF!,#REF!),3,_xlfn.XLOOKUP(C748,#REF!,#REF!)),0)</f>
        <v>0</v>
      </c>
      <c r="T748" cm="1">
        <f t="array" ref="T748">IFERROR(_xlfn.SWITCH(L748,1,_xlfn.XLOOKUP(O748,[1]AttributeName!$B:$B,[1]AttributeName!$E:$E),2,_xlfn.XLOOKUP(C748,#REF!,#REF!),3,_xlfn.XLOOKUP(C748,#REF!,#REF!)),0)</f>
        <v>0</v>
      </c>
    </row>
    <row r="749" customFormat="1" spans="1:20">
      <c r="A749">
        <f t="shared" si="37"/>
        <v>305</v>
      </c>
      <c r="B749">
        <v>8</v>
      </c>
      <c r="C749" t="s">
        <v>418</v>
      </c>
      <c r="D749" t="s">
        <v>26</v>
      </c>
      <c r="E749" t="s">
        <v>378</v>
      </c>
      <c r="F749"/>
      <c r="G749">
        <v>1</v>
      </c>
      <c r="H749">
        <v>1000</v>
      </c>
      <c r="I749">
        <v>3</v>
      </c>
      <c r="J749" cm="1">
        <f t="array" ref="J749">_xlfn.SWITCH(B749,1,75,2,61,3,49,4,37,5,25,6,13,7,4,8,1)</f>
        <v>1</v>
      </c>
      <c r="K749" t="str" cm="1">
        <f t="array" ref="K749">IFERROR(_xlfn.SWITCH(L749,2,_xlfn.XLOOKUP(C749,[1]ModifierDes!$B:$B,[1]ModifierDes!$C:$C),3,_xlfn.XLOOKUP(C749,[1]StuntDes!$B:$B,[1]StuntDes!$C:$C)),"")</f>
        <v>法术伤害提高{0}</v>
      </c>
      <c r="L749">
        <f t="shared" si="36"/>
        <v>2</v>
      </c>
      <c r="M749" s="10" t="str">
        <f>IFERROR(_xlfn.XLOOKUP(C749,[1]StuntDes!$B:$B,[1]StuntDes!$A:$A),"")</f>
        <v/>
      </c>
      <c r="N749" s="10">
        <f>IFERROR(_xlfn.XLOOKUP(C749,[1]ModifierDes!$B:$B,[1]ModifierDes!$A:$A),"")</f>
        <v>10067</v>
      </c>
      <c r="O749" s="10" t="str">
        <f>IFERROR(_xlfn.XLOOKUP(C749,[1]AttributeName!$C:$C,[1]AttributeName!$B:$B),"")</f>
        <v/>
      </c>
      <c r="P749" s="10"/>
      <c r="Q749">
        <v>0.0399999999999998</v>
      </c>
      <c r="R749">
        <v>0.06</v>
      </c>
      <c r="S749" cm="1">
        <f t="array" ref="S749">IFERROR(_xlfn.SWITCH(L749,1,_xlfn.XLOOKUP(O749,[1]AttributeName!$B:$B,[1]AttributeName!$D:$D),2,_xlfn.XLOOKUP(C749,#REF!,#REF!),3,_xlfn.XLOOKUP(C749,#REF!,#REF!)),0)</f>
        <v>0</v>
      </c>
      <c r="T749" cm="1">
        <f t="array" ref="T749">IFERROR(_xlfn.SWITCH(L749,1,_xlfn.XLOOKUP(O749,[1]AttributeName!$B:$B,[1]AttributeName!$E:$E),2,_xlfn.XLOOKUP(C749,#REF!,#REF!),3,_xlfn.XLOOKUP(C749,#REF!,#REF!)),0)</f>
        <v>0</v>
      </c>
    </row>
    <row r="750" customFormat="1" spans="1:20">
      <c r="A750">
        <f t="shared" si="37"/>
        <v>306</v>
      </c>
      <c r="B750">
        <v>1</v>
      </c>
      <c r="C750" t="s">
        <v>384</v>
      </c>
      <c r="D750" t="s">
        <v>26</v>
      </c>
      <c r="E750" t="s">
        <v>378</v>
      </c>
      <c r="F750"/>
      <c r="G750">
        <v>1</v>
      </c>
      <c r="H750">
        <v>100</v>
      </c>
      <c r="I750">
        <v>3</v>
      </c>
      <c r="J750" cm="1">
        <f t="array" ref="J750">_xlfn.SWITCH(B750,1,75,2,61,3,49,4,37,5,25,6,13,7,4,8,1)</f>
        <v>75</v>
      </c>
      <c r="K750" t="str" cm="1">
        <f t="array" ref="K750">IFERROR(_xlfn.SWITCH(L750,2,_xlfn.XLOOKUP(C750,[1]ModifierDes!$B:$B,[1]ModifierDes!$C:$C),3,_xlfn.XLOOKUP(C750,[1]StuntDes!$B:$B,[1]StuntDes!$C:$C)),"")</f>
        <v/>
      </c>
      <c r="L750">
        <f t="shared" si="36"/>
        <v>1</v>
      </c>
      <c r="M750" s="10" t="str">
        <f>IFERROR(_xlfn.XLOOKUP(C750,[1]StuntDes!$B:$B,[1]StuntDes!$A:$A),"")</f>
        <v/>
      </c>
      <c r="N750" s="10" t="str">
        <f>IFERROR(_xlfn.XLOOKUP(C750,[1]ModifierDes!$B:$B,[1]ModifierDes!$A:$A),"")</f>
        <v/>
      </c>
      <c r="O750" s="10">
        <f>IFERROR(_xlfn.XLOOKUP(C750,[1]AttributeName!$C:$C,[1]AttributeName!$B:$B),"")</f>
        <v>10303</v>
      </c>
      <c r="P750" s="10"/>
      <c r="Q750">
        <v>0.25</v>
      </c>
      <c r="R750">
        <v>0.35</v>
      </c>
      <c r="S750" cm="1">
        <f t="array" ref="S750">IFERROR(_xlfn.SWITCH(L750,1,_xlfn.XLOOKUP(O750,[1]AttributeName!$B:$B,[1]AttributeName!$D:$D),2,_xlfn.XLOOKUP(C750,#REF!,#REF!),3,_xlfn.XLOOKUP(C750,#REF!,#REF!)),0)</f>
        <v>2</v>
      </c>
      <c r="T750" cm="1">
        <f t="array" ref="T750">IFERROR(_xlfn.SWITCH(L750,1,_xlfn.XLOOKUP(O750,[1]AttributeName!$B:$B,[1]AttributeName!$E:$E),2,_xlfn.XLOOKUP(C750,#REF!,#REF!),3,_xlfn.XLOOKUP(C750,#REF!,#REF!)),0)</f>
        <v>2</v>
      </c>
    </row>
    <row r="751" customFormat="1" spans="1:20">
      <c r="A751">
        <f t="shared" si="37"/>
        <v>306</v>
      </c>
      <c r="B751">
        <v>2</v>
      </c>
      <c r="C751" t="s">
        <v>384</v>
      </c>
      <c r="D751" t="s">
        <v>26</v>
      </c>
      <c r="E751" t="s">
        <v>378</v>
      </c>
      <c r="F751"/>
      <c r="G751">
        <v>1</v>
      </c>
      <c r="H751">
        <v>200</v>
      </c>
      <c r="I751">
        <v>3</v>
      </c>
      <c r="J751" cm="1">
        <f t="array" ref="J751">_xlfn.SWITCH(B751,1,75,2,61,3,49,4,37,5,25,6,13,7,4,8,1)</f>
        <v>61</v>
      </c>
      <c r="K751" t="str" cm="1">
        <f t="array" ref="K751">IFERROR(_xlfn.SWITCH(L751,2,_xlfn.XLOOKUP(C751,[1]ModifierDes!$B:$B,[1]ModifierDes!$C:$C),3,_xlfn.XLOOKUP(C751,[1]StuntDes!$B:$B,[1]StuntDes!$C:$C)),"")</f>
        <v/>
      </c>
      <c r="L751">
        <f t="shared" si="36"/>
        <v>1</v>
      </c>
      <c r="M751" s="10" t="str">
        <f>IFERROR(_xlfn.XLOOKUP(C751,[1]StuntDes!$B:$B,[1]StuntDes!$A:$A),"")</f>
        <v/>
      </c>
      <c r="N751" s="10" t="str">
        <f>IFERROR(_xlfn.XLOOKUP(C751,[1]ModifierDes!$B:$B,[1]ModifierDes!$A:$A),"")</f>
        <v/>
      </c>
      <c r="O751" s="10">
        <f>IFERROR(_xlfn.XLOOKUP(C751,[1]AttributeName!$C:$C,[1]AttributeName!$B:$B),"")</f>
        <v>10303</v>
      </c>
      <c r="P751" s="10"/>
      <c r="Q751">
        <v>0.22</v>
      </c>
      <c r="R751">
        <v>0.24</v>
      </c>
      <c r="S751" cm="1">
        <f t="array" ref="S751">IFERROR(_xlfn.SWITCH(L751,1,_xlfn.XLOOKUP(O751,[1]AttributeName!$B:$B,[1]AttributeName!$D:$D),2,_xlfn.XLOOKUP(C751,#REF!,#REF!),3,_xlfn.XLOOKUP(C751,#REF!,#REF!)),0)</f>
        <v>2</v>
      </c>
      <c r="T751" cm="1">
        <f t="array" ref="T751">IFERROR(_xlfn.SWITCH(L751,1,_xlfn.XLOOKUP(O751,[1]AttributeName!$B:$B,[1]AttributeName!$E:$E),2,_xlfn.XLOOKUP(C751,#REF!,#REF!),3,_xlfn.XLOOKUP(C751,#REF!,#REF!)),0)</f>
        <v>2</v>
      </c>
    </row>
    <row r="752" customFormat="1" spans="1:20">
      <c r="A752">
        <f t="shared" si="37"/>
        <v>306</v>
      </c>
      <c r="B752">
        <v>3</v>
      </c>
      <c r="C752" t="s">
        <v>384</v>
      </c>
      <c r="D752" t="s">
        <v>26</v>
      </c>
      <c r="E752" t="s">
        <v>378</v>
      </c>
      <c r="F752"/>
      <c r="G752">
        <v>1</v>
      </c>
      <c r="H752">
        <v>500</v>
      </c>
      <c r="I752">
        <v>3</v>
      </c>
      <c r="J752" cm="1">
        <f t="array" ref="J752">_xlfn.SWITCH(B752,1,75,2,61,3,49,4,37,5,25,6,13,7,4,8,1)</f>
        <v>49</v>
      </c>
      <c r="K752" t="str" cm="1">
        <f t="array" ref="K752">IFERROR(_xlfn.SWITCH(L752,2,_xlfn.XLOOKUP(C752,[1]ModifierDes!$B:$B,[1]ModifierDes!$C:$C),3,_xlfn.XLOOKUP(C752,[1]StuntDes!$B:$B,[1]StuntDes!$C:$C)),"")</f>
        <v/>
      </c>
      <c r="L752">
        <f t="shared" si="36"/>
        <v>1</v>
      </c>
      <c r="M752" s="10" t="str">
        <f>IFERROR(_xlfn.XLOOKUP(C752,[1]StuntDes!$B:$B,[1]StuntDes!$A:$A),"")</f>
        <v/>
      </c>
      <c r="N752" s="10" t="str">
        <f>IFERROR(_xlfn.XLOOKUP(C752,[1]ModifierDes!$B:$B,[1]ModifierDes!$A:$A),"")</f>
        <v/>
      </c>
      <c r="O752" s="10">
        <f>IFERROR(_xlfn.XLOOKUP(C752,[1]AttributeName!$C:$C,[1]AttributeName!$B:$B),"")</f>
        <v>10303</v>
      </c>
      <c r="P752" s="10"/>
      <c r="Q752">
        <v>0.19</v>
      </c>
      <c r="R752">
        <v>0.21</v>
      </c>
      <c r="S752" cm="1">
        <f t="array" ref="S752">IFERROR(_xlfn.SWITCH(L752,1,_xlfn.XLOOKUP(O752,[1]AttributeName!$B:$B,[1]AttributeName!$D:$D),2,_xlfn.XLOOKUP(C752,#REF!,#REF!),3,_xlfn.XLOOKUP(C752,#REF!,#REF!)),0)</f>
        <v>2</v>
      </c>
      <c r="T752" cm="1">
        <f t="array" ref="T752">IFERROR(_xlfn.SWITCH(L752,1,_xlfn.XLOOKUP(O752,[1]AttributeName!$B:$B,[1]AttributeName!$E:$E),2,_xlfn.XLOOKUP(C752,#REF!,#REF!),3,_xlfn.XLOOKUP(C752,#REF!,#REF!)),0)</f>
        <v>2</v>
      </c>
    </row>
    <row r="753" customFormat="1" spans="1:20">
      <c r="A753">
        <f t="shared" si="37"/>
        <v>306</v>
      </c>
      <c r="B753">
        <v>4</v>
      </c>
      <c r="C753" t="s">
        <v>384</v>
      </c>
      <c r="D753" t="s">
        <v>26</v>
      </c>
      <c r="E753" t="s">
        <v>378</v>
      </c>
      <c r="F753"/>
      <c r="G753">
        <v>1</v>
      </c>
      <c r="H753">
        <v>1000</v>
      </c>
      <c r="I753">
        <v>3</v>
      </c>
      <c r="J753" cm="1">
        <f t="array" ref="J753">_xlfn.SWITCH(B753,1,75,2,61,3,49,4,37,5,25,6,13,7,4,8,1)</f>
        <v>37</v>
      </c>
      <c r="K753" t="str" cm="1">
        <f t="array" ref="K753">IFERROR(_xlfn.SWITCH(L753,2,_xlfn.XLOOKUP(C753,[1]ModifierDes!$B:$B,[1]ModifierDes!$C:$C),3,_xlfn.XLOOKUP(C753,[1]StuntDes!$B:$B,[1]StuntDes!$C:$C)),"")</f>
        <v/>
      </c>
      <c r="L753">
        <f t="shared" si="36"/>
        <v>1</v>
      </c>
      <c r="M753" s="10" t="str">
        <f>IFERROR(_xlfn.XLOOKUP(C753,[1]StuntDes!$B:$B,[1]StuntDes!$A:$A),"")</f>
        <v/>
      </c>
      <c r="N753" s="10" t="str">
        <f>IFERROR(_xlfn.XLOOKUP(C753,[1]ModifierDes!$B:$B,[1]ModifierDes!$A:$A),"")</f>
        <v/>
      </c>
      <c r="O753" s="10">
        <f>IFERROR(_xlfn.XLOOKUP(C753,[1]AttributeName!$C:$C,[1]AttributeName!$B:$B),"")</f>
        <v>10303</v>
      </c>
      <c r="P753" s="10"/>
      <c r="Q753">
        <v>0.16</v>
      </c>
      <c r="R753">
        <v>0.18</v>
      </c>
      <c r="S753" cm="1">
        <f t="array" ref="S753">IFERROR(_xlfn.SWITCH(L753,1,_xlfn.XLOOKUP(O753,[1]AttributeName!$B:$B,[1]AttributeName!$D:$D),2,_xlfn.XLOOKUP(C753,#REF!,#REF!),3,_xlfn.XLOOKUP(C753,#REF!,#REF!)),0)</f>
        <v>2</v>
      </c>
      <c r="T753" cm="1">
        <f t="array" ref="T753">IFERROR(_xlfn.SWITCH(L753,1,_xlfn.XLOOKUP(O753,[1]AttributeName!$B:$B,[1]AttributeName!$E:$E),2,_xlfn.XLOOKUP(C753,#REF!,#REF!),3,_xlfn.XLOOKUP(C753,#REF!,#REF!)),0)</f>
        <v>2</v>
      </c>
    </row>
    <row r="754" customFormat="1" spans="1:20">
      <c r="A754">
        <f t="shared" si="37"/>
        <v>306</v>
      </c>
      <c r="B754">
        <v>5</v>
      </c>
      <c r="C754" t="s">
        <v>384</v>
      </c>
      <c r="D754" t="s">
        <v>26</v>
      </c>
      <c r="E754" t="s">
        <v>378</v>
      </c>
      <c r="F754"/>
      <c r="G754">
        <v>1</v>
      </c>
      <c r="H754">
        <v>1000</v>
      </c>
      <c r="I754">
        <v>3</v>
      </c>
      <c r="J754" cm="1">
        <f t="array" ref="J754">_xlfn.SWITCH(B754,1,75,2,61,3,49,4,37,5,25,6,13,7,4,8,1)</f>
        <v>25</v>
      </c>
      <c r="K754" t="str" cm="1">
        <f t="array" ref="K754">IFERROR(_xlfn.SWITCH(L754,2,_xlfn.XLOOKUP(C754,[1]ModifierDes!$B:$B,[1]ModifierDes!$C:$C),3,_xlfn.XLOOKUP(C754,[1]StuntDes!$B:$B,[1]StuntDes!$C:$C)),"")</f>
        <v/>
      </c>
      <c r="L754">
        <f t="shared" si="36"/>
        <v>1</v>
      </c>
      <c r="M754" s="10" t="str">
        <f>IFERROR(_xlfn.XLOOKUP(C754,[1]StuntDes!$B:$B,[1]StuntDes!$A:$A),"")</f>
        <v/>
      </c>
      <c r="N754" s="10" t="str">
        <f>IFERROR(_xlfn.XLOOKUP(C754,[1]ModifierDes!$B:$B,[1]ModifierDes!$A:$A),"")</f>
        <v/>
      </c>
      <c r="O754" s="10">
        <f>IFERROR(_xlfn.XLOOKUP(C754,[1]AttributeName!$C:$C,[1]AttributeName!$B:$B),"")</f>
        <v>10303</v>
      </c>
      <c r="P754" s="10"/>
      <c r="Q754">
        <v>0.13</v>
      </c>
      <c r="R754">
        <v>0.15</v>
      </c>
      <c r="S754" cm="1">
        <f t="array" ref="S754">IFERROR(_xlfn.SWITCH(L754,1,_xlfn.XLOOKUP(O754,[1]AttributeName!$B:$B,[1]AttributeName!$D:$D),2,_xlfn.XLOOKUP(C754,#REF!,#REF!),3,_xlfn.XLOOKUP(C754,#REF!,#REF!)),0)</f>
        <v>2</v>
      </c>
      <c r="T754" cm="1">
        <f t="array" ref="T754">IFERROR(_xlfn.SWITCH(L754,1,_xlfn.XLOOKUP(O754,[1]AttributeName!$B:$B,[1]AttributeName!$E:$E),2,_xlfn.XLOOKUP(C754,#REF!,#REF!),3,_xlfn.XLOOKUP(C754,#REF!,#REF!)),0)</f>
        <v>2</v>
      </c>
    </row>
    <row r="755" customFormat="1" spans="1:20">
      <c r="A755">
        <f t="shared" si="37"/>
        <v>306</v>
      </c>
      <c r="B755">
        <v>6</v>
      </c>
      <c r="C755" t="s">
        <v>384</v>
      </c>
      <c r="D755" t="s">
        <v>26</v>
      </c>
      <c r="E755" t="s">
        <v>378</v>
      </c>
      <c r="F755"/>
      <c r="G755">
        <v>1</v>
      </c>
      <c r="H755">
        <v>1000</v>
      </c>
      <c r="I755">
        <v>3</v>
      </c>
      <c r="J755" cm="1">
        <f t="array" ref="J755">_xlfn.SWITCH(B755,1,75,2,61,3,49,4,37,5,25,6,13,7,4,8,1)</f>
        <v>13</v>
      </c>
      <c r="K755" t="str" cm="1">
        <f t="array" ref="K755">IFERROR(_xlfn.SWITCH(L755,2,_xlfn.XLOOKUP(C755,[1]ModifierDes!$B:$B,[1]ModifierDes!$C:$C),3,_xlfn.XLOOKUP(C755,[1]StuntDes!$B:$B,[1]StuntDes!$C:$C)),"")</f>
        <v/>
      </c>
      <c r="L755">
        <f t="shared" si="36"/>
        <v>1</v>
      </c>
      <c r="M755" s="10" t="str">
        <f>IFERROR(_xlfn.XLOOKUP(C755,[1]StuntDes!$B:$B,[1]StuntDes!$A:$A),"")</f>
        <v/>
      </c>
      <c r="N755" s="10" t="str">
        <f>IFERROR(_xlfn.XLOOKUP(C755,[1]ModifierDes!$B:$B,[1]ModifierDes!$A:$A),"")</f>
        <v/>
      </c>
      <c r="O755" s="10">
        <f>IFERROR(_xlfn.XLOOKUP(C755,[1]AttributeName!$C:$C,[1]AttributeName!$B:$B),"")</f>
        <v>10303</v>
      </c>
      <c r="P755" s="10"/>
      <c r="Q755">
        <v>0.0999999999999999</v>
      </c>
      <c r="R755">
        <v>0.12</v>
      </c>
      <c r="S755" cm="1">
        <f t="array" ref="S755">IFERROR(_xlfn.SWITCH(L755,1,_xlfn.XLOOKUP(O755,[1]AttributeName!$B:$B,[1]AttributeName!$D:$D),2,_xlfn.XLOOKUP(C755,#REF!,#REF!),3,_xlfn.XLOOKUP(C755,#REF!,#REF!)),0)</f>
        <v>2</v>
      </c>
      <c r="T755" cm="1">
        <f t="array" ref="T755">IFERROR(_xlfn.SWITCH(L755,1,_xlfn.XLOOKUP(O755,[1]AttributeName!$B:$B,[1]AttributeName!$E:$E),2,_xlfn.XLOOKUP(C755,#REF!,#REF!),3,_xlfn.XLOOKUP(C755,#REF!,#REF!)),0)</f>
        <v>2</v>
      </c>
    </row>
    <row r="756" customFormat="1" spans="1:20">
      <c r="A756">
        <f t="shared" si="37"/>
        <v>306</v>
      </c>
      <c r="B756">
        <v>7</v>
      </c>
      <c r="C756" t="s">
        <v>384</v>
      </c>
      <c r="D756" t="s">
        <v>26</v>
      </c>
      <c r="E756" t="s">
        <v>378</v>
      </c>
      <c r="F756"/>
      <c r="G756">
        <v>1</v>
      </c>
      <c r="H756">
        <v>1000</v>
      </c>
      <c r="I756">
        <v>3</v>
      </c>
      <c r="J756" cm="1">
        <f t="array" ref="J756">_xlfn.SWITCH(B756,1,75,2,61,3,49,4,37,5,25,6,13,7,4,8,1)</f>
        <v>4</v>
      </c>
      <c r="K756" t="str" cm="1">
        <f t="array" ref="K756">IFERROR(_xlfn.SWITCH(L756,2,_xlfn.XLOOKUP(C756,[1]ModifierDes!$B:$B,[1]ModifierDes!$C:$C),3,_xlfn.XLOOKUP(C756,[1]StuntDes!$B:$B,[1]StuntDes!$C:$C)),"")</f>
        <v/>
      </c>
      <c r="L756">
        <f t="shared" si="36"/>
        <v>1</v>
      </c>
      <c r="M756" s="10" t="str">
        <f>IFERROR(_xlfn.XLOOKUP(C756,[1]StuntDes!$B:$B,[1]StuntDes!$A:$A),"")</f>
        <v/>
      </c>
      <c r="N756" s="10" t="str">
        <f>IFERROR(_xlfn.XLOOKUP(C756,[1]ModifierDes!$B:$B,[1]ModifierDes!$A:$A),"")</f>
        <v/>
      </c>
      <c r="O756" s="10">
        <f>IFERROR(_xlfn.XLOOKUP(C756,[1]AttributeName!$C:$C,[1]AttributeName!$B:$B),"")</f>
        <v>10303</v>
      </c>
      <c r="P756" s="10"/>
      <c r="Q756">
        <v>0.0699999999999999</v>
      </c>
      <c r="R756">
        <v>0.09</v>
      </c>
      <c r="S756" cm="1">
        <f t="array" ref="S756">IFERROR(_xlfn.SWITCH(L756,1,_xlfn.XLOOKUP(O756,[1]AttributeName!$B:$B,[1]AttributeName!$D:$D),2,_xlfn.XLOOKUP(C756,#REF!,#REF!),3,_xlfn.XLOOKUP(C756,#REF!,#REF!)),0)</f>
        <v>2</v>
      </c>
      <c r="T756" cm="1">
        <f t="array" ref="T756">IFERROR(_xlfn.SWITCH(L756,1,_xlfn.XLOOKUP(O756,[1]AttributeName!$B:$B,[1]AttributeName!$E:$E),2,_xlfn.XLOOKUP(C756,#REF!,#REF!),3,_xlfn.XLOOKUP(C756,#REF!,#REF!)),0)</f>
        <v>2</v>
      </c>
    </row>
    <row r="757" customFormat="1" spans="1:20">
      <c r="A757">
        <f t="shared" si="37"/>
        <v>306</v>
      </c>
      <c r="B757">
        <v>8</v>
      </c>
      <c r="C757" t="s">
        <v>384</v>
      </c>
      <c r="D757" t="s">
        <v>26</v>
      </c>
      <c r="E757" t="s">
        <v>378</v>
      </c>
      <c r="F757"/>
      <c r="G757">
        <v>1</v>
      </c>
      <c r="H757">
        <v>1000</v>
      </c>
      <c r="I757">
        <v>3</v>
      </c>
      <c r="J757" cm="1">
        <f t="array" ref="J757">_xlfn.SWITCH(B757,1,75,2,61,3,49,4,37,5,25,6,13,7,4,8,1)</f>
        <v>1</v>
      </c>
      <c r="K757" t="str" cm="1">
        <f t="array" ref="K757">IFERROR(_xlfn.SWITCH(L757,2,_xlfn.XLOOKUP(C757,[1]ModifierDes!$B:$B,[1]ModifierDes!$C:$C),3,_xlfn.XLOOKUP(C757,[1]StuntDes!$B:$B,[1]StuntDes!$C:$C)),"")</f>
        <v/>
      </c>
      <c r="L757">
        <f t="shared" si="36"/>
        <v>1</v>
      </c>
      <c r="M757" s="10" t="str">
        <f>IFERROR(_xlfn.XLOOKUP(C757,[1]StuntDes!$B:$B,[1]StuntDes!$A:$A),"")</f>
        <v/>
      </c>
      <c r="N757" s="10" t="str">
        <f>IFERROR(_xlfn.XLOOKUP(C757,[1]ModifierDes!$B:$B,[1]ModifierDes!$A:$A),"")</f>
        <v/>
      </c>
      <c r="O757" s="10">
        <f>IFERROR(_xlfn.XLOOKUP(C757,[1]AttributeName!$C:$C,[1]AttributeName!$B:$B),"")</f>
        <v>10303</v>
      </c>
      <c r="P757" s="10"/>
      <c r="Q757">
        <v>0.0399999999999998</v>
      </c>
      <c r="R757">
        <v>0.06</v>
      </c>
      <c r="S757" cm="1">
        <f t="array" ref="S757">IFERROR(_xlfn.SWITCH(L757,1,_xlfn.XLOOKUP(O757,[1]AttributeName!$B:$B,[1]AttributeName!$D:$D),2,_xlfn.XLOOKUP(C757,#REF!,#REF!),3,_xlfn.XLOOKUP(C757,#REF!,#REF!)),0)</f>
        <v>2</v>
      </c>
      <c r="T757" cm="1">
        <f t="array" ref="T757">IFERROR(_xlfn.SWITCH(L757,1,_xlfn.XLOOKUP(O757,[1]AttributeName!$B:$B,[1]AttributeName!$E:$E),2,_xlfn.XLOOKUP(C757,#REF!,#REF!),3,_xlfn.XLOOKUP(C757,#REF!,#REF!)),0)</f>
        <v>2</v>
      </c>
    </row>
    <row r="758" customFormat="1" spans="1:20">
      <c r="A758">
        <f t="shared" si="37"/>
        <v>307</v>
      </c>
      <c r="B758">
        <v>1</v>
      </c>
      <c r="C758" t="s">
        <v>385</v>
      </c>
      <c r="D758" t="s">
        <v>26</v>
      </c>
      <c r="E758" t="s">
        <v>378</v>
      </c>
      <c r="F758"/>
      <c r="G758">
        <v>1</v>
      </c>
      <c r="H758">
        <v>100</v>
      </c>
      <c r="I758">
        <v>3</v>
      </c>
      <c r="J758" cm="1">
        <f t="array" ref="J758">_xlfn.SWITCH(B758,1,75,2,61,3,49,4,37,5,25,6,13,7,4,8,1)</f>
        <v>75</v>
      </c>
      <c r="K758" t="str" cm="1">
        <f t="array" ref="K758">IFERROR(_xlfn.SWITCH(L758,2,_xlfn.XLOOKUP(C758,[1]ModifierDes!$B:$B,[1]ModifierDes!$C:$C),3,_xlfn.XLOOKUP(C758,[1]StuntDes!$B:$B,[1]StuntDes!$C:$C)),"")</f>
        <v/>
      </c>
      <c r="L758">
        <f t="shared" si="36"/>
        <v>1</v>
      </c>
      <c r="M758" s="10" t="str">
        <f>IFERROR(_xlfn.XLOOKUP(C758,[1]StuntDes!$B:$B,[1]StuntDes!$A:$A),"")</f>
        <v/>
      </c>
      <c r="N758" s="10" t="str">
        <f>IFERROR(_xlfn.XLOOKUP(C758,[1]ModifierDes!$B:$B,[1]ModifierDes!$A:$A),"")</f>
        <v/>
      </c>
      <c r="O758" s="10">
        <f>IFERROR(_xlfn.XLOOKUP(C758,[1]AttributeName!$C:$C,[1]AttributeName!$B:$B),"")</f>
        <v>10304</v>
      </c>
      <c r="P758" s="10"/>
      <c r="Q758">
        <v>0.25</v>
      </c>
      <c r="R758">
        <v>0.35</v>
      </c>
      <c r="S758" cm="1">
        <f t="array" ref="S758">IFERROR(_xlfn.SWITCH(L758,1,_xlfn.XLOOKUP(O758,[1]AttributeName!$B:$B,[1]AttributeName!$D:$D),2,_xlfn.XLOOKUP(C758,#REF!,#REF!),3,_xlfn.XLOOKUP(C758,#REF!,#REF!)),0)</f>
        <v>2</v>
      </c>
      <c r="T758" cm="1">
        <f t="array" ref="T758">IFERROR(_xlfn.SWITCH(L758,1,_xlfn.XLOOKUP(O758,[1]AttributeName!$B:$B,[1]AttributeName!$E:$E),2,_xlfn.XLOOKUP(C758,#REF!,#REF!),3,_xlfn.XLOOKUP(C758,#REF!,#REF!)),0)</f>
        <v>2</v>
      </c>
    </row>
    <row r="759" customFormat="1" spans="1:20">
      <c r="A759">
        <f t="shared" si="37"/>
        <v>307</v>
      </c>
      <c r="B759">
        <v>2</v>
      </c>
      <c r="C759" t="s">
        <v>385</v>
      </c>
      <c r="D759" t="s">
        <v>26</v>
      </c>
      <c r="E759" t="s">
        <v>378</v>
      </c>
      <c r="F759"/>
      <c r="G759">
        <v>1</v>
      </c>
      <c r="H759">
        <v>200</v>
      </c>
      <c r="I759">
        <v>3</v>
      </c>
      <c r="J759" cm="1">
        <f t="array" ref="J759">_xlfn.SWITCH(B759,1,75,2,61,3,49,4,37,5,25,6,13,7,4,8,1)</f>
        <v>61</v>
      </c>
      <c r="K759" t="str" cm="1">
        <f t="array" ref="K759">IFERROR(_xlfn.SWITCH(L759,2,_xlfn.XLOOKUP(C759,[1]ModifierDes!$B:$B,[1]ModifierDes!$C:$C),3,_xlfn.XLOOKUP(C759,[1]StuntDes!$B:$B,[1]StuntDes!$C:$C)),"")</f>
        <v/>
      </c>
      <c r="L759">
        <f t="shared" si="36"/>
        <v>1</v>
      </c>
      <c r="M759" s="10" t="str">
        <f>IFERROR(_xlfn.XLOOKUP(C759,[1]StuntDes!$B:$B,[1]StuntDes!$A:$A),"")</f>
        <v/>
      </c>
      <c r="N759" s="10" t="str">
        <f>IFERROR(_xlfn.XLOOKUP(C759,[1]ModifierDes!$B:$B,[1]ModifierDes!$A:$A),"")</f>
        <v/>
      </c>
      <c r="O759" s="10">
        <f>IFERROR(_xlfn.XLOOKUP(C759,[1]AttributeName!$C:$C,[1]AttributeName!$B:$B),"")</f>
        <v>10304</v>
      </c>
      <c r="P759" s="10"/>
      <c r="Q759">
        <v>0.22</v>
      </c>
      <c r="R759">
        <v>0.24</v>
      </c>
      <c r="S759" cm="1">
        <f t="array" ref="S759">IFERROR(_xlfn.SWITCH(L759,1,_xlfn.XLOOKUP(O759,[1]AttributeName!$B:$B,[1]AttributeName!$D:$D),2,_xlfn.XLOOKUP(C759,#REF!,#REF!),3,_xlfn.XLOOKUP(C759,#REF!,#REF!)),0)</f>
        <v>2</v>
      </c>
      <c r="T759" cm="1">
        <f t="array" ref="T759">IFERROR(_xlfn.SWITCH(L759,1,_xlfn.XLOOKUP(O759,[1]AttributeName!$B:$B,[1]AttributeName!$E:$E),2,_xlfn.XLOOKUP(C759,#REF!,#REF!),3,_xlfn.XLOOKUP(C759,#REF!,#REF!)),0)</f>
        <v>2</v>
      </c>
    </row>
    <row r="760" customFormat="1" spans="1:20">
      <c r="A760">
        <f t="shared" si="37"/>
        <v>307</v>
      </c>
      <c r="B760">
        <v>3</v>
      </c>
      <c r="C760" t="s">
        <v>385</v>
      </c>
      <c r="D760" t="s">
        <v>26</v>
      </c>
      <c r="E760" t="s">
        <v>378</v>
      </c>
      <c r="F760"/>
      <c r="G760">
        <v>1</v>
      </c>
      <c r="H760">
        <v>500</v>
      </c>
      <c r="I760">
        <v>3</v>
      </c>
      <c r="J760" cm="1">
        <f t="array" ref="J760">_xlfn.SWITCH(B760,1,75,2,61,3,49,4,37,5,25,6,13,7,4,8,1)</f>
        <v>49</v>
      </c>
      <c r="K760" t="str" cm="1">
        <f t="array" ref="K760">IFERROR(_xlfn.SWITCH(L760,2,_xlfn.XLOOKUP(C760,[1]ModifierDes!$B:$B,[1]ModifierDes!$C:$C),3,_xlfn.XLOOKUP(C760,[1]StuntDes!$B:$B,[1]StuntDes!$C:$C)),"")</f>
        <v/>
      </c>
      <c r="L760">
        <f t="shared" si="36"/>
        <v>1</v>
      </c>
      <c r="M760" s="10" t="str">
        <f>IFERROR(_xlfn.XLOOKUP(C760,[1]StuntDes!$B:$B,[1]StuntDes!$A:$A),"")</f>
        <v/>
      </c>
      <c r="N760" s="10" t="str">
        <f>IFERROR(_xlfn.XLOOKUP(C760,[1]ModifierDes!$B:$B,[1]ModifierDes!$A:$A),"")</f>
        <v/>
      </c>
      <c r="O760" s="10">
        <f>IFERROR(_xlfn.XLOOKUP(C760,[1]AttributeName!$C:$C,[1]AttributeName!$B:$B),"")</f>
        <v>10304</v>
      </c>
      <c r="P760" s="10"/>
      <c r="Q760">
        <v>0.19</v>
      </c>
      <c r="R760">
        <v>0.21</v>
      </c>
      <c r="S760" cm="1">
        <f t="array" ref="S760">IFERROR(_xlfn.SWITCH(L760,1,_xlfn.XLOOKUP(O760,[1]AttributeName!$B:$B,[1]AttributeName!$D:$D),2,_xlfn.XLOOKUP(C760,#REF!,#REF!),3,_xlfn.XLOOKUP(C760,#REF!,#REF!)),0)</f>
        <v>2</v>
      </c>
      <c r="T760" cm="1">
        <f t="array" ref="T760">IFERROR(_xlfn.SWITCH(L760,1,_xlfn.XLOOKUP(O760,[1]AttributeName!$B:$B,[1]AttributeName!$E:$E),2,_xlfn.XLOOKUP(C760,#REF!,#REF!),3,_xlfn.XLOOKUP(C760,#REF!,#REF!)),0)</f>
        <v>2</v>
      </c>
    </row>
    <row r="761" customFormat="1" spans="1:20">
      <c r="A761">
        <f t="shared" si="37"/>
        <v>307</v>
      </c>
      <c r="B761">
        <v>4</v>
      </c>
      <c r="C761" t="s">
        <v>385</v>
      </c>
      <c r="D761" t="s">
        <v>26</v>
      </c>
      <c r="E761" t="s">
        <v>378</v>
      </c>
      <c r="F761"/>
      <c r="G761">
        <v>1</v>
      </c>
      <c r="H761">
        <v>1000</v>
      </c>
      <c r="I761">
        <v>3</v>
      </c>
      <c r="J761" cm="1">
        <f t="array" ref="J761">_xlfn.SWITCH(B761,1,75,2,61,3,49,4,37,5,25,6,13,7,4,8,1)</f>
        <v>37</v>
      </c>
      <c r="K761" t="str" cm="1">
        <f t="array" ref="K761">IFERROR(_xlfn.SWITCH(L761,2,_xlfn.XLOOKUP(C761,[1]ModifierDes!$B:$B,[1]ModifierDes!$C:$C),3,_xlfn.XLOOKUP(C761,[1]StuntDes!$B:$B,[1]StuntDes!$C:$C)),"")</f>
        <v/>
      </c>
      <c r="L761">
        <f t="shared" si="36"/>
        <v>1</v>
      </c>
      <c r="M761" s="10" t="str">
        <f>IFERROR(_xlfn.XLOOKUP(C761,[1]StuntDes!$B:$B,[1]StuntDes!$A:$A),"")</f>
        <v/>
      </c>
      <c r="N761" s="10" t="str">
        <f>IFERROR(_xlfn.XLOOKUP(C761,[1]ModifierDes!$B:$B,[1]ModifierDes!$A:$A),"")</f>
        <v/>
      </c>
      <c r="O761" s="10">
        <f>IFERROR(_xlfn.XLOOKUP(C761,[1]AttributeName!$C:$C,[1]AttributeName!$B:$B),"")</f>
        <v>10304</v>
      </c>
      <c r="P761" s="10"/>
      <c r="Q761">
        <v>0.16</v>
      </c>
      <c r="R761">
        <v>0.18</v>
      </c>
      <c r="S761" cm="1">
        <f t="array" ref="S761">IFERROR(_xlfn.SWITCH(L761,1,_xlfn.XLOOKUP(O761,[1]AttributeName!$B:$B,[1]AttributeName!$D:$D),2,_xlfn.XLOOKUP(C761,#REF!,#REF!),3,_xlfn.XLOOKUP(C761,#REF!,#REF!)),0)</f>
        <v>2</v>
      </c>
      <c r="T761" cm="1">
        <f t="array" ref="T761">IFERROR(_xlfn.SWITCH(L761,1,_xlfn.XLOOKUP(O761,[1]AttributeName!$B:$B,[1]AttributeName!$E:$E),2,_xlfn.XLOOKUP(C761,#REF!,#REF!),3,_xlfn.XLOOKUP(C761,#REF!,#REF!)),0)</f>
        <v>2</v>
      </c>
    </row>
    <row r="762" customFormat="1" spans="1:20">
      <c r="A762">
        <f t="shared" si="37"/>
        <v>307</v>
      </c>
      <c r="B762">
        <v>5</v>
      </c>
      <c r="C762" t="s">
        <v>385</v>
      </c>
      <c r="D762" t="s">
        <v>26</v>
      </c>
      <c r="E762" t="s">
        <v>378</v>
      </c>
      <c r="F762"/>
      <c r="G762">
        <v>1</v>
      </c>
      <c r="H762">
        <v>1000</v>
      </c>
      <c r="I762">
        <v>3</v>
      </c>
      <c r="J762" cm="1">
        <f t="array" ref="J762">_xlfn.SWITCH(B762,1,75,2,61,3,49,4,37,5,25,6,13,7,4,8,1)</f>
        <v>25</v>
      </c>
      <c r="K762" t="str" cm="1">
        <f t="array" ref="K762">IFERROR(_xlfn.SWITCH(L762,2,_xlfn.XLOOKUP(C762,[1]ModifierDes!$B:$B,[1]ModifierDes!$C:$C),3,_xlfn.XLOOKUP(C762,[1]StuntDes!$B:$B,[1]StuntDes!$C:$C)),"")</f>
        <v/>
      </c>
      <c r="L762">
        <f t="shared" si="36"/>
        <v>1</v>
      </c>
      <c r="M762" s="10" t="str">
        <f>IFERROR(_xlfn.XLOOKUP(C762,[1]StuntDes!$B:$B,[1]StuntDes!$A:$A),"")</f>
        <v/>
      </c>
      <c r="N762" s="10" t="str">
        <f>IFERROR(_xlfn.XLOOKUP(C762,[1]ModifierDes!$B:$B,[1]ModifierDes!$A:$A),"")</f>
        <v/>
      </c>
      <c r="O762" s="10">
        <f>IFERROR(_xlfn.XLOOKUP(C762,[1]AttributeName!$C:$C,[1]AttributeName!$B:$B),"")</f>
        <v>10304</v>
      </c>
      <c r="P762" s="10"/>
      <c r="Q762">
        <v>0.13</v>
      </c>
      <c r="R762">
        <v>0.15</v>
      </c>
      <c r="S762" cm="1">
        <f t="array" ref="S762">IFERROR(_xlfn.SWITCH(L762,1,_xlfn.XLOOKUP(O762,[1]AttributeName!$B:$B,[1]AttributeName!$D:$D),2,_xlfn.XLOOKUP(C762,#REF!,#REF!),3,_xlfn.XLOOKUP(C762,#REF!,#REF!)),0)</f>
        <v>2</v>
      </c>
      <c r="T762" cm="1">
        <f t="array" ref="T762">IFERROR(_xlfn.SWITCH(L762,1,_xlfn.XLOOKUP(O762,[1]AttributeName!$B:$B,[1]AttributeName!$E:$E),2,_xlfn.XLOOKUP(C762,#REF!,#REF!),3,_xlfn.XLOOKUP(C762,#REF!,#REF!)),0)</f>
        <v>2</v>
      </c>
    </row>
    <row r="763" customFormat="1" spans="1:20">
      <c r="A763">
        <f t="shared" si="37"/>
        <v>307</v>
      </c>
      <c r="B763">
        <v>6</v>
      </c>
      <c r="C763" t="s">
        <v>385</v>
      </c>
      <c r="D763" t="s">
        <v>26</v>
      </c>
      <c r="E763" t="s">
        <v>378</v>
      </c>
      <c r="F763"/>
      <c r="G763">
        <v>1</v>
      </c>
      <c r="H763">
        <v>1000</v>
      </c>
      <c r="I763">
        <v>3</v>
      </c>
      <c r="J763" cm="1">
        <f t="array" ref="J763">_xlfn.SWITCH(B763,1,75,2,61,3,49,4,37,5,25,6,13,7,4,8,1)</f>
        <v>13</v>
      </c>
      <c r="K763" t="str" cm="1">
        <f t="array" ref="K763">IFERROR(_xlfn.SWITCH(L763,2,_xlfn.XLOOKUP(C763,[1]ModifierDes!$B:$B,[1]ModifierDes!$C:$C),3,_xlfn.XLOOKUP(C763,[1]StuntDes!$B:$B,[1]StuntDes!$C:$C)),"")</f>
        <v/>
      </c>
      <c r="L763">
        <f t="shared" si="36"/>
        <v>1</v>
      </c>
      <c r="M763" s="10" t="str">
        <f>IFERROR(_xlfn.XLOOKUP(C763,[1]StuntDes!$B:$B,[1]StuntDes!$A:$A),"")</f>
        <v/>
      </c>
      <c r="N763" s="10" t="str">
        <f>IFERROR(_xlfn.XLOOKUP(C763,[1]ModifierDes!$B:$B,[1]ModifierDes!$A:$A),"")</f>
        <v/>
      </c>
      <c r="O763" s="10">
        <f>IFERROR(_xlfn.XLOOKUP(C763,[1]AttributeName!$C:$C,[1]AttributeName!$B:$B),"")</f>
        <v>10304</v>
      </c>
      <c r="P763" s="10"/>
      <c r="Q763">
        <v>0.0999999999999999</v>
      </c>
      <c r="R763">
        <v>0.12</v>
      </c>
      <c r="S763" cm="1">
        <f t="array" ref="S763">IFERROR(_xlfn.SWITCH(L763,1,_xlfn.XLOOKUP(O763,[1]AttributeName!$B:$B,[1]AttributeName!$D:$D),2,_xlfn.XLOOKUP(C763,#REF!,#REF!),3,_xlfn.XLOOKUP(C763,#REF!,#REF!)),0)</f>
        <v>2</v>
      </c>
      <c r="T763" cm="1">
        <f t="array" ref="T763">IFERROR(_xlfn.SWITCH(L763,1,_xlfn.XLOOKUP(O763,[1]AttributeName!$B:$B,[1]AttributeName!$E:$E),2,_xlfn.XLOOKUP(C763,#REF!,#REF!),3,_xlfn.XLOOKUP(C763,#REF!,#REF!)),0)</f>
        <v>2</v>
      </c>
    </row>
    <row r="764" customFormat="1" spans="1:20">
      <c r="A764">
        <f t="shared" si="37"/>
        <v>307</v>
      </c>
      <c r="B764">
        <v>7</v>
      </c>
      <c r="C764" t="s">
        <v>385</v>
      </c>
      <c r="D764" t="s">
        <v>26</v>
      </c>
      <c r="E764" t="s">
        <v>378</v>
      </c>
      <c r="F764"/>
      <c r="G764">
        <v>1</v>
      </c>
      <c r="H764">
        <v>1000</v>
      </c>
      <c r="I764">
        <v>3</v>
      </c>
      <c r="J764" cm="1">
        <f t="array" ref="J764">_xlfn.SWITCH(B764,1,75,2,61,3,49,4,37,5,25,6,13,7,4,8,1)</f>
        <v>4</v>
      </c>
      <c r="K764" t="str" cm="1">
        <f t="array" ref="K764">IFERROR(_xlfn.SWITCH(L764,2,_xlfn.XLOOKUP(C764,[1]ModifierDes!$B:$B,[1]ModifierDes!$C:$C),3,_xlfn.XLOOKUP(C764,[1]StuntDes!$B:$B,[1]StuntDes!$C:$C)),"")</f>
        <v/>
      </c>
      <c r="L764">
        <f t="shared" si="36"/>
        <v>1</v>
      </c>
      <c r="M764" s="10" t="str">
        <f>IFERROR(_xlfn.XLOOKUP(C764,[1]StuntDes!$B:$B,[1]StuntDes!$A:$A),"")</f>
        <v/>
      </c>
      <c r="N764" s="10" t="str">
        <f>IFERROR(_xlfn.XLOOKUP(C764,[1]ModifierDes!$B:$B,[1]ModifierDes!$A:$A),"")</f>
        <v/>
      </c>
      <c r="O764" s="10">
        <f>IFERROR(_xlfn.XLOOKUP(C764,[1]AttributeName!$C:$C,[1]AttributeName!$B:$B),"")</f>
        <v>10304</v>
      </c>
      <c r="P764" s="10"/>
      <c r="Q764">
        <v>0.0699999999999999</v>
      </c>
      <c r="R764">
        <v>0.09</v>
      </c>
      <c r="S764" cm="1">
        <f t="array" ref="S764">IFERROR(_xlfn.SWITCH(L764,1,_xlfn.XLOOKUP(O764,[1]AttributeName!$B:$B,[1]AttributeName!$D:$D),2,_xlfn.XLOOKUP(C764,#REF!,#REF!),3,_xlfn.XLOOKUP(C764,#REF!,#REF!)),0)</f>
        <v>2</v>
      </c>
      <c r="T764" cm="1">
        <f t="array" ref="T764">IFERROR(_xlfn.SWITCH(L764,1,_xlfn.XLOOKUP(O764,[1]AttributeName!$B:$B,[1]AttributeName!$E:$E),2,_xlfn.XLOOKUP(C764,#REF!,#REF!),3,_xlfn.XLOOKUP(C764,#REF!,#REF!)),0)</f>
        <v>2</v>
      </c>
    </row>
    <row r="765" customFormat="1" spans="1:20">
      <c r="A765">
        <f t="shared" si="37"/>
        <v>307</v>
      </c>
      <c r="B765">
        <v>8</v>
      </c>
      <c r="C765" t="s">
        <v>385</v>
      </c>
      <c r="D765" t="s">
        <v>26</v>
      </c>
      <c r="E765" t="s">
        <v>378</v>
      </c>
      <c r="F765"/>
      <c r="G765">
        <v>1</v>
      </c>
      <c r="H765">
        <v>1000</v>
      </c>
      <c r="I765">
        <v>3</v>
      </c>
      <c r="J765" cm="1">
        <f t="array" ref="J765">_xlfn.SWITCH(B765,1,75,2,61,3,49,4,37,5,25,6,13,7,4,8,1)</f>
        <v>1</v>
      </c>
      <c r="K765" t="str" cm="1">
        <f t="array" ref="K765">IFERROR(_xlfn.SWITCH(L765,2,_xlfn.XLOOKUP(C765,[1]ModifierDes!$B:$B,[1]ModifierDes!$C:$C),3,_xlfn.XLOOKUP(C765,[1]StuntDes!$B:$B,[1]StuntDes!$C:$C)),"")</f>
        <v/>
      </c>
      <c r="L765">
        <f t="shared" si="36"/>
        <v>1</v>
      </c>
      <c r="M765" s="10" t="str">
        <f>IFERROR(_xlfn.XLOOKUP(C765,[1]StuntDes!$B:$B,[1]StuntDes!$A:$A),"")</f>
        <v/>
      </c>
      <c r="N765" s="10" t="str">
        <f>IFERROR(_xlfn.XLOOKUP(C765,[1]ModifierDes!$B:$B,[1]ModifierDes!$A:$A),"")</f>
        <v/>
      </c>
      <c r="O765" s="10">
        <f>IFERROR(_xlfn.XLOOKUP(C765,[1]AttributeName!$C:$C,[1]AttributeName!$B:$B),"")</f>
        <v>10304</v>
      </c>
      <c r="P765" s="10"/>
      <c r="Q765">
        <v>0.0399999999999998</v>
      </c>
      <c r="R765">
        <v>0.06</v>
      </c>
      <c r="S765" cm="1">
        <f t="array" ref="S765">IFERROR(_xlfn.SWITCH(L765,1,_xlfn.XLOOKUP(O765,[1]AttributeName!$B:$B,[1]AttributeName!$D:$D),2,_xlfn.XLOOKUP(C765,#REF!,#REF!),3,_xlfn.XLOOKUP(C765,#REF!,#REF!)),0)</f>
        <v>2</v>
      </c>
      <c r="T765" cm="1">
        <f t="array" ref="T765">IFERROR(_xlfn.SWITCH(L765,1,_xlfn.XLOOKUP(O765,[1]AttributeName!$B:$B,[1]AttributeName!$E:$E),2,_xlfn.XLOOKUP(C765,#REF!,#REF!),3,_xlfn.XLOOKUP(C765,#REF!,#REF!)),0)</f>
        <v>2</v>
      </c>
    </row>
    <row r="766" customFormat="1" spans="1:20">
      <c r="A766">
        <f t="shared" si="37"/>
        <v>308</v>
      </c>
      <c r="B766">
        <v>1</v>
      </c>
      <c r="C766" t="s">
        <v>386</v>
      </c>
      <c r="D766" t="s">
        <v>26</v>
      </c>
      <c r="E766" t="s">
        <v>378</v>
      </c>
      <c r="F766"/>
      <c r="G766">
        <v>1</v>
      </c>
      <c r="H766">
        <v>100</v>
      </c>
      <c r="I766">
        <v>3</v>
      </c>
      <c r="J766" cm="1">
        <f t="array" ref="J766">_xlfn.SWITCH(B766,1,75,2,61,3,49,4,37,5,25,6,13,7,4,8,1)</f>
        <v>75</v>
      </c>
      <c r="K766" t="str" cm="1">
        <f t="array" ref="K766">IFERROR(_xlfn.SWITCH(L766,2,_xlfn.XLOOKUP(C766,[1]ModifierDes!$B:$B,[1]ModifierDes!$C:$C),3,_xlfn.XLOOKUP(C766,[1]StuntDes!$B:$B,[1]StuntDes!$C:$C)),"")</f>
        <v/>
      </c>
      <c r="L766">
        <f t="shared" si="36"/>
        <v>1</v>
      </c>
      <c r="M766" s="10" t="str">
        <f>IFERROR(_xlfn.XLOOKUP(C766,[1]StuntDes!$B:$B,[1]StuntDes!$A:$A),"")</f>
        <v/>
      </c>
      <c r="N766" s="10" t="str">
        <f>IFERROR(_xlfn.XLOOKUP(C766,[1]ModifierDes!$B:$B,[1]ModifierDes!$A:$A),"")</f>
        <v/>
      </c>
      <c r="O766" s="10">
        <f>IFERROR(_xlfn.XLOOKUP(C766,[1]AttributeName!$C:$C,[1]AttributeName!$B:$B),"")</f>
        <v>10305</v>
      </c>
      <c r="P766" s="10"/>
      <c r="Q766">
        <v>0.25</v>
      </c>
      <c r="R766">
        <v>0.35</v>
      </c>
      <c r="S766" cm="1">
        <f t="array" ref="S766">IFERROR(_xlfn.SWITCH(L766,1,_xlfn.XLOOKUP(O766,[1]AttributeName!$B:$B,[1]AttributeName!$D:$D),2,_xlfn.XLOOKUP(C766,#REF!,#REF!),3,_xlfn.XLOOKUP(C766,#REF!,#REF!)),0)</f>
        <v>2</v>
      </c>
      <c r="T766" cm="1">
        <f t="array" ref="T766">IFERROR(_xlfn.SWITCH(L766,1,_xlfn.XLOOKUP(O766,[1]AttributeName!$B:$B,[1]AttributeName!$E:$E),2,_xlfn.XLOOKUP(C766,#REF!,#REF!),3,_xlfn.XLOOKUP(C766,#REF!,#REF!)),0)</f>
        <v>2</v>
      </c>
    </row>
    <row r="767" customFormat="1" spans="1:20">
      <c r="A767">
        <f t="shared" si="37"/>
        <v>308</v>
      </c>
      <c r="B767">
        <v>2</v>
      </c>
      <c r="C767" t="s">
        <v>386</v>
      </c>
      <c r="D767" t="s">
        <v>26</v>
      </c>
      <c r="E767" t="s">
        <v>378</v>
      </c>
      <c r="F767"/>
      <c r="G767">
        <v>1</v>
      </c>
      <c r="H767">
        <v>200</v>
      </c>
      <c r="I767">
        <v>3</v>
      </c>
      <c r="J767" cm="1">
        <f t="array" ref="J767">_xlfn.SWITCH(B767,1,75,2,61,3,49,4,37,5,25,6,13,7,4,8,1)</f>
        <v>61</v>
      </c>
      <c r="K767" t="str" cm="1">
        <f t="array" ref="K767">IFERROR(_xlfn.SWITCH(L767,2,_xlfn.XLOOKUP(C767,[1]ModifierDes!$B:$B,[1]ModifierDes!$C:$C),3,_xlfn.XLOOKUP(C767,[1]StuntDes!$B:$B,[1]StuntDes!$C:$C)),"")</f>
        <v/>
      </c>
      <c r="L767">
        <f t="shared" si="36"/>
        <v>1</v>
      </c>
      <c r="M767" s="10" t="str">
        <f>IFERROR(_xlfn.XLOOKUP(C767,[1]StuntDes!$B:$B,[1]StuntDes!$A:$A),"")</f>
        <v/>
      </c>
      <c r="N767" s="10" t="str">
        <f>IFERROR(_xlfn.XLOOKUP(C767,[1]ModifierDes!$B:$B,[1]ModifierDes!$A:$A),"")</f>
        <v/>
      </c>
      <c r="O767" s="10">
        <f>IFERROR(_xlfn.XLOOKUP(C767,[1]AttributeName!$C:$C,[1]AttributeName!$B:$B),"")</f>
        <v>10305</v>
      </c>
      <c r="P767" s="10"/>
      <c r="Q767">
        <v>0.22</v>
      </c>
      <c r="R767">
        <v>0.24</v>
      </c>
      <c r="S767" cm="1">
        <f t="array" ref="S767">IFERROR(_xlfn.SWITCH(L767,1,_xlfn.XLOOKUP(O767,[1]AttributeName!$B:$B,[1]AttributeName!$D:$D),2,_xlfn.XLOOKUP(C767,#REF!,#REF!),3,_xlfn.XLOOKUP(C767,#REF!,#REF!)),0)</f>
        <v>2</v>
      </c>
      <c r="T767" cm="1">
        <f t="array" ref="T767">IFERROR(_xlfn.SWITCH(L767,1,_xlfn.XLOOKUP(O767,[1]AttributeName!$B:$B,[1]AttributeName!$E:$E),2,_xlfn.XLOOKUP(C767,#REF!,#REF!),3,_xlfn.XLOOKUP(C767,#REF!,#REF!)),0)</f>
        <v>2</v>
      </c>
    </row>
    <row r="768" customFormat="1" spans="1:20">
      <c r="A768">
        <f t="shared" si="37"/>
        <v>308</v>
      </c>
      <c r="B768">
        <v>3</v>
      </c>
      <c r="C768" t="s">
        <v>386</v>
      </c>
      <c r="D768" t="s">
        <v>26</v>
      </c>
      <c r="E768" t="s">
        <v>378</v>
      </c>
      <c r="F768"/>
      <c r="G768">
        <v>1</v>
      </c>
      <c r="H768">
        <v>500</v>
      </c>
      <c r="I768">
        <v>3</v>
      </c>
      <c r="J768" cm="1">
        <f t="array" ref="J768">_xlfn.SWITCH(B768,1,75,2,61,3,49,4,37,5,25,6,13,7,4,8,1)</f>
        <v>49</v>
      </c>
      <c r="K768" t="str" cm="1">
        <f t="array" ref="K768">IFERROR(_xlfn.SWITCH(L768,2,_xlfn.XLOOKUP(C768,[1]ModifierDes!$B:$B,[1]ModifierDes!$C:$C),3,_xlfn.XLOOKUP(C768,[1]StuntDes!$B:$B,[1]StuntDes!$C:$C)),"")</f>
        <v/>
      </c>
      <c r="L768">
        <f t="shared" si="36"/>
        <v>1</v>
      </c>
      <c r="M768" s="10" t="str">
        <f>IFERROR(_xlfn.XLOOKUP(C768,[1]StuntDes!$B:$B,[1]StuntDes!$A:$A),"")</f>
        <v/>
      </c>
      <c r="N768" s="10" t="str">
        <f>IFERROR(_xlfn.XLOOKUP(C768,[1]ModifierDes!$B:$B,[1]ModifierDes!$A:$A),"")</f>
        <v/>
      </c>
      <c r="O768" s="10">
        <f>IFERROR(_xlfn.XLOOKUP(C768,[1]AttributeName!$C:$C,[1]AttributeName!$B:$B),"")</f>
        <v>10305</v>
      </c>
      <c r="P768" s="10"/>
      <c r="Q768">
        <v>0.19</v>
      </c>
      <c r="R768">
        <v>0.21</v>
      </c>
      <c r="S768" cm="1">
        <f t="array" ref="S768">IFERROR(_xlfn.SWITCH(L768,1,_xlfn.XLOOKUP(O768,[1]AttributeName!$B:$B,[1]AttributeName!$D:$D),2,_xlfn.XLOOKUP(C768,#REF!,#REF!),3,_xlfn.XLOOKUP(C768,#REF!,#REF!)),0)</f>
        <v>2</v>
      </c>
      <c r="T768" cm="1">
        <f t="array" ref="T768">IFERROR(_xlfn.SWITCH(L768,1,_xlfn.XLOOKUP(O768,[1]AttributeName!$B:$B,[1]AttributeName!$E:$E),2,_xlfn.XLOOKUP(C768,#REF!,#REF!),3,_xlfn.XLOOKUP(C768,#REF!,#REF!)),0)</f>
        <v>2</v>
      </c>
    </row>
    <row r="769" customFormat="1" spans="1:20">
      <c r="A769">
        <f t="shared" si="37"/>
        <v>308</v>
      </c>
      <c r="B769">
        <v>4</v>
      </c>
      <c r="C769" t="s">
        <v>386</v>
      </c>
      <c r="D769" t="s">
        <v>26</v>
      </c>
      <c r="E769" t="s">
        <v>378</v>
      </c>
      <c r="F769"/>
      <c r="G769">
        <v>1</v>
      </c>
      <c r="H769">
        <v>1000</v>
      </c>
      <c r="I769">
        <v>3</v>
      </c>
      <c r="J769" cm="1">
        <f t="array" ref="J769">_xlfn.SWITCH(B769,1,75,2,61,3,49,4,37,5,25,6,13,7,4,8,1)</f>
        <v>37</v>
      </c>
      <c r="K769" t="str" cm="1">
        <f t="array" ref="K769">IFERROR(_xlfn.SWITCH(L769,2,_xlfn.XLOOKUP(C769,[1]ModifierDes!$B:$B,[1]ModifierDes!$C:$C),3,_xlfn.XLOOKUP(C769,[1]StuntDes!$B:$B,[1]StuntDes!$C:$C)),"")</f>
        <v/>
      </c>
      <c r="L769">
        <f t="shared" si="36"/>
        <v>1</v>
      </c>
      <c r="M769" s="10" t="str">
        <f>IFERROR(_xlfn.XLOOKUP(C769,[1]StuntDes!$B:$B,[1]StuntDes!$A:$A),"")</f>
        <v/>
      </c>
      <c r="N769" s="10" t="str">
        <f>IFERROR(_xlfn.XLOOKUP(C769,[1]ModifierDes!$B:$B,[1]ModifierDes!$A:$A),"")</f>
        <v/>
      </c>
      <c r="O769" s="10">
        <f>IFERROR(_xlfn.XLOOKUP(C769,[1]AttributeName!$C:$C,[1]AttributeName!$B:$B),"")</f>
        <v>10305</v>
      </c>
      <c r="P769" s="10"/>
      <c r="Q769">
        <v>0.16</v>
      </c>
      <c r="R769">
        <v>0.18</v>
      </c>
      <c r="S769" cm="1">
        <f t="array" ref="S769">IFERROR(_xlfn.SWITCH(L769,1,_xlfn.XLOOKUP(O769,[1]AttributeName!$B:$B,[1]AttributeName!$D:$D),2,_xlfn.XLOOKUP(C769,#REF!,#REF!),3,_xlfn.XLOOKUP(C769,#REF!,#REF!)),0)</f>
        <v>2</v>
      </c>
      <c r="T769" cm="1">
        <f t="array" ref="T769">IFERROR(_xlfn.SWITCH(L769,1,_xlfn.XLOOKUP(O769,[1]AttributeName!$B:$B,[1]AttributeName!$E:$E),2,_xlfn.XLOOKUP(C769,#REF!,#REF!),3,_xlfn.XLOOKUP(C769,#REF!,#REF!)),0)</f>
        <v>2</v>
      </c>
    </row>
    <row r="770" customFormat="1" spans="1:20">
      <c r="A770">
        <f t="shared" si="37"/>
        <v>308</v>
      </c>
      <c r="B770">
        <v>5</v>
      </c>
      <c r="C770" t="s">
        <v>386</v>
      </c>
      <c r="D770" t="s">
        <v>26</v>
      </c>
      <c r="E770" t="s">
        <v>378</v>
      </c>
      <c r="F770"/>
      <c r="G770">
        <v>1</v>
      </c>
      <c r="H770">
        <v>1000</v>
      </c>
      <c r="I770">
        <v>3</v>
      </c>
      <c r="J770" cm="1">
        <f t="array" ref="J770">_xlfn.SWITCH(B770,1,75,2,61,3,49,4,37,5,25,6,13,7,4,8,1)</f>
        <v>25</v>
      </c>
      <c r="K770" t="str" cm="1">
        <f t="array" ref="K770">IFERROR(_xlfn.SWITCH(L770,2,_xlfn.XLOOKUP(C770,[1]ModifierDes!$B:$B,[1]ModifierDes!$C:$C),3,_xlfn.XLOOKUP(C770,[1]StuntDes!$B:$B,[1]StuntDes!$C:$C)),"")</f>
        <v/>
      </c>
      <c r="L770">
        <f t="shared" si="36"/>
        <v>1</v>
      </c>
      <c r="M770" s="10" t="str">
        <f>IFERROR(_xlfn.XLOOKUP(C770,[1]StuntDes!$B:$B,[1]StuntDes!$A:$A),"")</f>
        <v/>
      </c>
      <c r="N770" s="10" t="str">
        <f>IFERROR(_xlfn.XLOOKUP(C770,[1]ModifierDes!$B:$B,[1]ModifierDes!$A:$A),"")</f>
        <v/>
      </c>
      <c r="O770" s="10">
        <f>IFERROR(_xlfn.XLOOKUP(C770,[1]AttributeName!$C:$C,[1]AttributeName!$B:$B),"")</f>
        <v>10305</v>
      </c>
      <c r="P770" s="10"/>
      <c r="Q770">
        <v>0.13</v>
      </c>
      <c r="R770">
        <v>0.15</v>
      </c>
      <c r="S770" cm="1">
        <f t="array" ref="S770">IFERROR(_xlfn.SWITCH(L770,1,_xlfn.XLOOKUP(O770,[1]AttributeName!$B:$B,[1]AttributeName!$D:$D),2,_xlfn.XLOOKUP(C770,#REF!,#REF!),3,_xlfn.XLOOKUP(C770,#REF!,#REF!)),0)</f>
        <v>2</v>
      </c>
      <c r="T770" cm="1">
        <f t="array" ref="T770">IFERROR(_xlfn.SWITCH(L770,1,_xlfn.XLOOKUP(O770,[1]AttributeName!$B:$B,[1]AttributeName!$E:$E),2,_xlfn.XLOOKUP(C770,#REF!,#REF!),3,_xlfn.XLOOKUP(C770,#REF!,#REF!)),0)</f>
        <v>2</v>
      </c>
    </row>
    <row r="771" customFormat="1" spans="1:20">
      <c r="A771">
        <f t="shared" si="37"/>
        <v>308</v>
      </c>
      <c r="B771">
        <v>6</v>
      </c>
      <c r="C771" t="s">
        <v>386</v>
      </c>
      <c r="D771" t="s">
        <v>26</v>
      </c>
      <c r="E771" t="s">
        <v>378</v>
      </c>
      <c r="F771"/>
      <c r="G771">
        <v>1</v>
      </c>
      <c r="H771">
        <v>1000</v>
      </c>
      <c r="I771">
        <v>3</v>
      </c>
      <c r="J771" cm="1">
        <f t="array" ref="J771">_xlfn.SWITCH(B771,1,75,2,61,3,49,4,37,5,25,6,13,7,4,8,1)</f>
        <v>13</v>
      </c>
      <c r="K771" t="str" cm="1">
        <f t="array" ref="K771">IFERROR(_xlfn.SWITCH(L771,2,_xlfn.XLOOKUP(C771,[1]ModifierDes!$B:$B,[1]ModifierDes!$C:$C),3,_xlfn.XLOOKUP(C771,[1]StuntDes!$B:$B,[1]StuntDes!$C:$C)),"")</f>
        <v/>
      </c>
      <c r="L771">
        <f t="shared" si="36"/>
        <v>1</v>
      </c>
      <c r="M771" s="10" t="str">
        <f>IFERROR(_xlfn.XLOOKUP(C771,[1]StuntDes!$B:$B,[1]StuntDes!$A:$A),"")</f>
        <v/>
      </c>
      <c r="N771" s="10" t="str">
        <f>IFERROR(_xlfn.XLOOKUP(C771,[1]ModifierDes!$B:$B,[1]ModifierDes!$A:$A),"")</f>
        <v/>
      </c>
      <c r="O771" s="10">
        <f>IFERROR(_xlfn.XLOOKUP(C771,[1]AttributeName!$C:$C,[1]AttributeName!$B:$B),"")</f>
        <v>10305</v>
      </c>
      <c r="P771" s="10"/>
      <c r="Q771">
        <v>0.0999999999999999</v>
      </c>
      <c r="R771">
        <v>0.12</v>
      </c>
      <c r="S771" cm="1">
        <f t="array" ref="S771">IFERROR(_xlfn.SWITCH(L771,1,_xlfn.XLOOKUP(O771,[1]AttributeName!$B:$B,[1]AttributeName!$D:$D),2,_xlfn.XLOOKUP(C771,#REF!,#REF!),3,_xlfn.XLOOKUP(C771,#REF!,#REF!)),0)</f>
        <v>2</v>
      </c>
      <c r="T771" cm="1">
        <f t="array" ref="T771">IFERROR(_xlfn.SWITCH(L771,1,_xlfn.XLOOKUP(O771,[1]AttributeName!$B:$B,[1]AttributeName!$E:$E),2,_xlfn.XLOOKUP(C771,#REF!,#REF!),3,_xlfn.XLOOKUP(C771,#REF!,#REF!)),0)</f>
        <v>2</v>
      </c>
    </row>
    <row r="772" customFormat="1" spans="1:20">
      <c r="A772">
        <f t="shared" si="37"/>
        <v>308</v>
      </c>
      <c r="B772">
        <v>7</v>
      </c>
      <c r="C772" t="s">
        <v>386</v>
      </c>
      <c r="D772" t="s">
        <v>26</v>
      </c>
      <c r="E772" t="s">
        <v>378</v>
      </c>
      <c r="F772"/>
      <c r="G772">
        <v>1</v>
      </c>
      <c r="H772">
        <v>1000</v>
      </c>
      <c r="I772">
        <v>3</v>
      </c>
      <c r="J772" cm="1">
        <f t="array" ref="J772">_xlfn.SWITCH(B772,1,75,2,61,3,49,4,37,5,25,6,13,7,4,8,1)</f>
        <v>4</v>
      </c>
      <c r="K772" t="str" cm="1">
        <f t="array" ref="K772">IFERROR(_xlfn.SWITCH(L772,2,_xlfn.XLOOKUP(C772,[1]ModifierDes!$B:$B,[1]ModifierDes!$C:$C),3,_xlfn.XLOOKUP(C772,[1]StuntDes!$B:$B,[1]StuntDes!$C:$C)),"")</f>
        <v/>
      </c>
      <c r="L772">
        <f t="shared" ref="L772:L835" si="38">IF(M772="",IF(N772="",1,2),3)</f>
        <v>1</v>
      </c>
      <c r="M772" s="10" t="str">
        <f>IFERROR(_xlfn.XLOOKUP(C772,[1]StuntDes!$B:$B,[1]StuntDes!$A:$A),"")</f>
        <v/>
      </c>
      <c r="N772" s="10" t="str">
        <f>IFERROR(_xlfn.XLOOKUP(C772,[1]ModifierDes!$B:$B,[1]ModifierDes!$A:$A),"")</f>
        <v/>
      </c>
      <c r="O772" s="10">
        <f>IFERROR(_xlfn.XLOOKUP(C772,[1]AttributeName!$C:$C,[1]AttributeName!$B:$B),"")</f>
        <v>10305</v>
      </c>
      <c r="P772" s="10"/>
      <c r="Q772">
        <v>0.0699999999999999</v>
      </c>
      <c r="R772">
        <v>0.09</v>
      </c>
      <c r="S772" cm="1">
        <f t="array" ref="S772">IFERROR(_xlfn.SWITCH(L772,1,_xlfn.XLOOKUP(O772,[1]AttributeName!$B:$B,[1]AttributeName!$D:$D),2,_xlfn.XLOOKUP(C772,#REF!,#REF!),3,_xlfn.XLOOKUP(C772,#REF!,#REF!)),0)</f>
        <v>2</v>
      </c>
      <c r="T772" cm="1">
        <f t="array" ref="T772">IFERROR(_xlfn.SWITCH(L772,1,_xlfn.XLOOKUP(O772,[1]AttributeName!$B:$B,[1]AttributeName!$E:$E),2,_xlfn.XLOOKUP(C772,#REF!,#REF!),3,_xlfn.XLOOKUP(C772,#REF!,#REF!)),0)</f>
        <v>2</v>
      </c>
    </row>
    <row r="773" customFormat="1" spans="1:20">
      <c r="A773">
        <f t="shared" si="37"/>
        <v>308</v>
      </c>
      <c r="B773">
        <v>8</v>
      </c>
      <c r="C773" t="s">
        <v>386</v>
      </c>
      <c r="D773" t="s">
        <v>26</v>
      </c>
      <c r="E773" t="s">
        <v>378</v>
      </c>
      <c r="F773"/>
      <c r="G773">
        <v>1</v>
      </c>
      <c r="H773">
        <v>1000</v>
      </c>
      <c r="I773">
        <v>3</v>
      </c>
      <c r="J773" cm="1">
        <f t="array" ref="J773">_xlfn.SWITCH(B773,1,75,2,61,3,49,4,37,5,25,6,13,7,4,8,1)</f>
        <v>1</v>
      </c>
      <c r="K773" t="str" cm="1">
        <f t="array" ref="K773">IFERROR(_xlfn.SWITCH(L773,2,_xlfn.XLOOKUP(C773,[1]ModifierDes!$B:$B,[1]ModifierDes!$C:$C),3,_xlfn.XLOOKUP(C773,[1]StuntDes!$B:$B,[1]StuntDes!$C:$C)),"")</f>
        <v/>
      </c>
      <c r="L773">
        <f t="shared" si="38"/>
        <v>1</v>
      </c>
      <c r="M773" s="10" t="str">
        <f>IFERROR(_xlfn.XLOOKUP(C773,[1]StuntDes!$B:$B,[1]StuntDes!$A:$A),"")</f>
        <v/>
      </c>
      <c r="N773" s="10" t="str">
        <f>IFERROR(_xlfn.XLOOKUP(C773,[1]ModifierDes!$B:$B,[1]ModifierDes!$A:$A),"")</f>
        <v/>
      </c>
      <c r="O773" s="10">
        <f>IFERROR(_xlfn.XLOOKUP(C773,[1]AttributeName!$C:$C,[1]AttributeName!$B:$B),"")</f>
        <v>10305</v>
      </c>
      <c r="P773" s="10"/>
      <c r="Q773">
        <v>0.0399999999999998</v>
      </c>
      <c r="R773">
        <v>0.06</v>
      </c>
      <c r="S773" cm="1">
        <f t="array" ref="S773">IFERROR(_xlfn.SWITCH(L773,1,_xlfn.XLOOKUP(O773,[1]AttributeName!$B:$B,[1]AttributeName!$D:$D),2,_xlfn.XLOOKUP(C773,#REF!,#REF!),3,_xlfn.XLOOKUP(C773,#REF!,#REF!)),0)</f>
        <v>2</v>
      </c>
      <c r="T773" cm="1">
        <f t="array" ref="T773">IFERROR(_xlfn.SWITCH(L773,1,_xlfn.XLOOKUP(O773,[1]AttributeName!$B:$B,[1]AttributeName!$E:$E),2,_xlfn.XLOOKUP(C773,#REF!,#REF!),3,_xlfn.XLOOKUP(C773,#REF!,#REF!)),0)</f>
        <v>2</v>
      </c>
    </row>
    <row r="774" customFormat="1" spans="1:20">
      <c r="A774">
        <f t="shared" si="37"/>
        <v>309</v>
      </c>
      <c r="B774">
        <v>1</v>
      </c>
      <c r="C774" t="s">
        <v>387</v>
      </c>
      <c r="D774" t="s">
        <v>26</v>
      </c>
      <c r="E774" t="s">
        <v>378</v>
      </c>
      <c r="F774"/>
      <c r="G774">
        <v>1</v>
      </c>
      <c r="H774">
        <v>100</v>
      </c>
      <c r="I774">
        <v>3</v>
      </c>
      <c r="J774" cm="1">
        <f t="array" ref="J774">_xlfn.SWITCH(B774,1,75,2,61,3,49,4,37,5,25,6,13,7,4,8,1)</f>
        <v>75</v>
      </c>
      <c r="K774" t="str" cm="1">
        <f t="array" ref="K774">IFERROR(_xlfn.SWITCH(L774,2,_xlfn.XLOOKUP(C774,[1]ModifierDes!$B:$B,[1]ModifierDes!$C:$C),3,_xlfn.XLOOKUP(C774,[1]StuntDes!$B:$B,[1]StuntDes!$C:$C)),"")</f>
        <v/>
      </c>
      <c r="L774">
        <f t="shared" si="38"/>
        <v>1</v>
      </c>
      <c r="M774" s="10" t="str">
        <f>IFERROR(_xlfn.XLOOKUP(C774,[1]StuntDes!$B:$B,[1]StuntDes!$A:$A),"")</f>
        <v/>
      </c>
      <c r="N774" s="10" t="str">
        <f>IFERROR(_xlfn.XLOOKUP(C774,[1]ModifierDes!$B:$B,[1]ModifierDes!$A:$A),"")</f>
        <v/>
      </c>
      <c r="O774" s="10">
        <f>IFERROR(_xlfn.XLOOKUP(C774,[1]AttributeName!$C:$C,[1]AttributeName!$B:$B),"")</f>
        <v>10306</v>
      </c>
      <c r="P774" s="10"/>
      <c r="Q774">
        <v>0.25</v>
      </c>
      <c r="R774">
        <v>0.35</v>
      </c>
      <c r="S774" cm="1">
        <f t="array" ref="S774">IFERROR(_xlfn.SWITCH(L774,1,_xlfn.XLOOKUP(O774,[1]AttributeName!$B:$B,[1]AttributeName!$D:$D),2,_xlfn.XLOOKUP(C774,#REF!,#REF!),3,_xlfn.XLOOKUP(C774,#REF!,#REF!)),0)</f>
        <v>2</v>
      </c>
      <c r="T774" cm="1">
        <f t="array" ref="T774">IFERROR(_xlfn.SWITCH(L774,1,_xlfn.XLOOKUP(O774,[1]AttributeName!$B:$B,[1]AttributeName!$E:$E),2,_xlfn.XLOOKUP(C774,#REF!,#REF!),3,_xlfn.XLOOKUP(C774,#REF!,#REF!)),0)</f>
        <v>2</v>
      </c>
    </row>
    <row r="775" customFormat="1" spans="1:20">
      <c r="A775">
        <f t="shared" si="37"/>
        <v>309</v>
      </c>
      <c r="B775">
        <v>2</v>
      </c>
      <c r="C775" t="s">
        <v>387</v>
      </c>
      <c r="D775" t="s">
        <v>26</v>
      </c>
      <c r="E775" t="s">
        <v>378</v>
      </c>
      <c r="F775"/>
      <c r="G775">
        <v>1</v>
      </c>
      <c r="H775">
        <v>200</v>
      </c>
      <c r="I775">
        <v>3</v>
      </c>
      <c r="J775" cm="1">
        <f t="array" ref="J775">_xlfn.SWITCH(B775,1,75,2,61,3,49,4,37,5,25,6,13,7,4,8,1)</f>
        <v>61</v>
      </c>
      <c r="K775" t="str" cm="1">
        <f t="array" ref="K775">IFERROR(_xlfn.SWITCH(L775,2,_xlfn.XLOOKUP(C775,[1]ModifierDes!$B:$B,[1]ModifierDes!$C:$C),3,_xlfn.XLOOKUP(C775,[1]StuntDes!$B:$B,[1]StuntDes!$C:$C)),"")</f>
        <v/>
      </c>
      <c r="L775">
        <f t="shared" si="38"/>
        <v>1</v>
      </c>
      <c r="M775" s="10" t="str">
        <f>IFERROR(_xlfn.XLOOKUP(C775,[1]StuntDes!$B:$B,[1]StuntDes!$A:$A),"")</f>
        <v/>
      </c>
      <c r="N775" s="10" t="str">
        <f>IFERROR(_xlfn.XLOOKUP(C775,[1]ModifierDes!$B:$B,[1]ModifierDes!$A:$A),"")</f>
        <v/>
      </c>
      <c r="O775" s="10">
        <f>IFERROR(_xlfn.XLOOKUP(C775,[1]AttributeName!$C:$C,[1]AttributeName!$B:$B),"")</f>
        <v>10306</v>
      </c>
      <c r="P775" s="10"/>
      <c r="Q775">
        <v>0.22</v>
      </c>
      <c r="R775">
        <v>0.24</v>
      </c>
      <c r="S775" cm="1">
        <f t="array" ref="S775">IFERROR(_xlfn.SWITCH(L775,1,_xlfn.XLOOKUP(O775,[1]AttributeName!$B:$B,[1]AttributeName!$D:$D),2,_xlfn.XLOOKUP(C775,#REF!,#REF!),3,_xlfn.XLOOKUP(C775,#REF!,#REF!)),0)</f>
        <v>2</v>
      </c>
      <c r="T775" cm="1">
        <f t="array" ref="T775">IFERROR(_xlfn.SWITCH(L775,1,_xlfn.XLOOKUP(O775,[1]AttributeName!$B:$B,[1]AttributeName!$E:$E),2,_xlfn.XLOOKUP(C775,#REF!,#REF!),3,_xlfn.XLOOKUP(C775,#REF!,#REF!)),0)</f>
        <v>2</v>
      </c>
    </row>
    <row r="776" customFormat="1" spans="1:20">
      <c r="A776">
        <f t="shared" si="37"/>
        <v>309</v>
      </c>
      <c r="B776">
        <v>3</v>
      </c>
      <c r="C776" t="s">
        <v>387</v>
      </c>
      <c r="D776" t="s">
        <v>26</v>
      </c>
      <c r="E776" t="s">
        <v>378</v>
      </c>
      <c r="F776"/>
      <c r="G776">
        <v>1</v>
      </c>
      <c r="H776">
        <v>500</v>
      </c>
      <c r="I776">
        <v>3</v>
      </c>
      <c r="J776" cm="1">
        <f t="array" ref="J776">_xlfn.SWITCH(B776,1,75,2,61,3,49,4,37,5,25,6,13,7,4,8,1)</f>
        <v>49</v>
      </c>
      <c r="K776" t="str" cm="1">
        <f t="array" ref="K776">IFERROR(_xlfn.SWITCH(L776,2,_xlfn.XLOOKUP(C776,[1]ModifierDes!$B:$B,[1]ModifierDes!$C:$C),3,_xlfn.XLOOKUP(C776,[1]StuntDes!$B:$B,[1]StuntDes!$C:$C)),"")</f>
        <v/>
      </c>
      <c r="L776">
        <f t="shared" si="38"/>
        <v>1</v>
      </c>
      <c r="M776" s="10" t="str">
        <f>IFERROR(_xlfn.XLOOKUP(C776,[1]StuntDes!$B:$B,[1]StuntDes!$A:$A),"")</f>
        <v/>
      </c>
      <c r="N776" s="10" t="str">
        <f>IFERROR(_xlfn.XLOOKUP(C776,[1]ModifierDes!$B:$B,[1]ModifierDes!$A:$A),"")</f>
        <v/>
      </c>
      <c r="O776" s="10">
        <f>IFERROR(_xlfn.XLOOKUP(C776,[1]AttributeName!$C:$C,[1]AttributeName!$B:$B),"")</f>
        <v>10306</v>
      </c>
      <c r="P776" s="10"/>
      <c r="Q776">
        <v>0.19</v>
      </c>
      <c r="R776">
        <v>0.21</v>
      </c>
      <c r="S776" cm="1">
        <f t="array" ref="S776">IFERROR(_xlfn.SWITCH(L776,1,_xlfn.XLOOKUP(O776,[1]AttributeName!$B:$B,[1]AttributeName!$D:$D),2,_xlfn.XLOOKUP(C776,#REF!,#REF!),3,_xlfn.XLOOKUP(C776,#REF!,#REF!)),0)</f>
        <v>2</v>
      </c>
      <c r="T776" cm="1">
        <f t="array" ref="T776">IFERROR(_xlfn.SWITCH(L776,1,_xlfn.XLOOKUP(O776,[1]AttributeName!$B:$B,[1]AttributeName!$E:$E),2,_xlfn.XLOOKUP(C776,#REF!,#REF!),3,_xlfn.XLOOKUP(C776,#REF!,#REF!)),0)</f>
        <v>2</v>
      </c>
    </row>
    <row r="777" customFormat="1" spans="1:20">
      <c r="A777">
        <f t="shared" si="37"/>
        <v>309</v>
      </c>
      <c r="B777">
        <v>4</v>
      </c>
      <c r="C777" t="s">
        <v>387</v>
      </c>
      <c r="D777" t="s">
        <v>26</v>
      </c>
      <c r="E777" t="s">
        <v>378</v>
      </c>
      <c r="F777"/>
      <c r="G777">
        <v>1</v>
      </c>
      <c r="H777">
        <v>1000</v>
      </c>
      <c r="I777">
        <v>3</v>
      </c>
      <c r="J777" cm="1">
        <f t="array" ref="J777">_xlfn.SWITCH(B777,1,75,2,61,3,49,4,37,5,25,6,13,7,4,8,1)</f>
        <v>37</v>
      </c>
      <c r="K777" t="str" cm="1">
        <f t="array" ref="K777">IFERROR(_xlfn.SWITCH(L777,2,_xlfn.XLOOKUP(C777,[1]ModifierDes!$B:$B,[1]ModifierDes!$C:$C),3,_xlfn.XLOOKUP(C777,[1]StuntDes!$B:$B,[1]StuntDes!$C:$C)),"")</f>
        <v/>
      </c>
      <c r="L777">
        <f t="shared" si="38"/>
        <v>1</v>
      </c>
      <c r="M777" s="10" t="str">
        <f>IFERROR(_xlfn.XLOOKUP(C777,[1]StuntDes!$B:$B,[1]StuntDes!$A:$A),"")</f>
        <v/>
      </c>
      <c r="N777" s="10" t="str">
        <f>IFERROR(_xlfn.XLOOKUP(C777,[1]ModifierDes!$B:$B,[1]ModifierDes!$A:$A),"")</f>
        <v/>
      </c>
      <c r="O777" s="10">
        <f>IFERROR(_xlfn.XLOOKUP(C777,[1]AttributeName!$C:$C,[1]AttributeName!$B:$B),"")</f>
        <v>10306</v>
      </c>
      <c r="P777" s="10"/>
      <c r="Q777">
        <v>0.16</v>
      </c>
      <c r="R777">
        <v>0.18</v>
      </c>
      <c r="S777" cm="1">
        <f t="array" ref="S777">IFERROR(_xlfn.SWITCH(L777,1,_xlfn.XLOOKUP(O777,[1]AttributeName!$B:$B,[1]AttributeName!$D:$D),2,_xlfn.XLOOKUP(C777,#REF!,#REF!),3,_xlfn.XLOOKUP(C777,#REF!,#REF!)),0)</f>
        <v>2</v>
      </c>
      <c r="T777" cm="1">
        <f t="array" ref="T777">IFERROR(_xlfn.SWITCH(L777,1,_xlfn.XLOOKUP(O777,[1]AttributeName!$B:$B,[1]AttributeName!$E:$E),2,_xlfn.XLOOKUP(C777,#REF!,#REF!),3,_xlfn.XLOOKUP(C777,#REF!,#REF!)),0)</f>
        <v>2</v>
      </c>
    </row>
    <row r="778" customFormat="1" spans="1:20">
      <c r="A778">
        <f t="shared" si="37"/>
        <v>309</v>
      </c>
      <c r="B778">
        <v>5</v>
      </c>
      <c r="C778" t="s">
        <v>387</v>
      </c>
      <c r="D778" t="s">
        <v>26</v>
      </c>
      <c r="E778" t="s">
        <v>378</v>
      </c>
      <c r="F778"/>
      <c r="G778">
        <v>1</v>
      </c>
      <c r="H778">
        <v>1000</v>
      </c>
      <c r="I778">
        <v>3</v>
      </c>
      <c r="J778" cm="1">
        <f t="array" ref="J778">_xlfn.SWITCH(B778,1,75,2,61,3,49,4,37,5,25,6,13,7,4,8,1)</f>
        <v>25</v>
      </c>
      <c r="K778" t="str" cm="1">
        <f t="array" ref="K778">IFERROR(_xlfn.SWITCH(L778,2,_xlfn.XLOOKUP(C778,[1]ModifierDes!$B:$B,[1]ModifierDes!$C:$C),3,_xlfn.XLOOKUP(C778,[1]StuntDes!$B:$B,[1]StuntDes!$C:$C)),"")</f>
        <v/>
      </c>
      <c r="L778">
        <f t="shared" si="38"/>
        <v>1</v>
      </c>
      <c r="M778" s="10" t="str">
        <f>IFERROR(_xlfn.XLOOKUP(C778,[1]StuntDes!$B:$B,[1]StuntDes!$A:$A),"")</f>
        <v/>
      </c>
      <c r="N778" s="10" t="str">
        <f>IFERROR(_xlfn.XLOOKUP(C778,[1]ModifierDes!$B:$B,[1]ModifierDes!$A:$A),"")</f>
        <v/>
      </c>
      <c r="O778" s="10">
        <f>IFERROR(_xlfn.XLOOKUP(C778,[1]AttributeName!$C:$C,[1]AttributeName!$B:$B),"")</f>
        <v>10306</v>
      </c>
      <c r="P778" s="10"/>
      <c r="Q778">
        <v>0.13</v>
      </c>
      <c r="R778">
        <v>0.15</v>
      </c>
      <c r="S778" cm="1">
        <f t="array" ref="S778">IFERROR(_xlfn.SWITCH(L778,1,_xlfn.XLOOKUP(O778,[1]AttributeName!$B:$B,[1]AttributeName!$D:$D),2,_xlfn.XLOOKUP(C778,#REF!,#REF!),3,_xlfn.XLOOKUP(C778,#REF!,#REF!)),0)</f>
        <v>2</v>
      </c>
      <c r="T778" cm="1">
        <f t="array" ref="T778">IFERROR(_xlfn.SWITCH(L778,1,_xlfn.XLOOKUP(O778,[1]AttributeName!$B:$B,[1]AttributeName!$E:$E),2,_xlfn.XLOOKUP(C778,#REF!,#REF!),3,_xlfn.XLOOKUP(C778,#REF!,#REF!)),0)</f>
        <v>2</v>
      </c>
    </row>
    <row r="779" customFormat="1" spans="1:20">
      <c r="A779">
        <f t="shared" si="37"/>
        <v>309</v>
      </c>
      <c r="B779">
        <v>6</v>
      </c>
      <c r="C779" t="s">
        <v>387</v>
      </c>
      <c r="D779" t="s">
        <v>26</v>
      </c>
      <c r="E779" t="s">
        <v>378</v>
      </c>
      <c r="F779"/>
      <c r="G779">
        <v>1</v>
      </c>
      <c r="H779">
        <v>1000</v>
      </c>
      <c r="I779">
        <v>3</v>
      </c>
      <c r="J779" cm="1">
        <f t="array" ref="J779">_xlfn.SWITCH(B779,1,75,2,61,3,49,4,37,5,25,6,13,7,4,8,1)</f>
        <v>13</v>
      </c>
      <c r="K779" t="str" cm="1">
        <f t="array" ref="K779">IFERROR(_xlfn.SWITCH(L779,2,_xlfn.XLOOKUP(C779,[1]ModifierDes!$B:$B,[1]ModifierDes!$C:$C),3,_xlfn.XLOOKUP(C779,[1]StuntDes!$B:$B,[1]StuntDes!$C:$C)),"")</f>
        <v/>
      </c>
      <c r="L779">
        <f t="shared" si="38"/>
        <v>1</v>
      </c>
      <c r="M779" s="10" t="str">
        <f>IFERROR(_xlfn.XLOOKUP(C779,[1]StuntDes!$B:$B,[1]StuntDes!$A:$A),"")</f>
        <v/>
      </c>
      <c r="N779" s="10" t="str">
        <f>IFERROR(_xlfn.XLOOKUP(C779,[1]ModifierDes!$B:$B,[1]ModifierDes!$A:$A),"")</f>
        <v/>
      </c>
      <c r="O779" s="10">
        <f>IFERROR(_xlfn.XLOOKUP(C779,[1]AttributeName!$C:$C,[1]AttributeName!$B:$B),"")</f>
        <v>10306</v>
      </c>
      <c r="P779" s="10"/>
      <c r="Q779">
        <v>0.0999999999999999</v>
      </c>
      <c r="R779">
        <v>0.12</v>
      </c>
      <c r="S779" cm="1">
        <f t="array" ref="S779">IFERROR(_xlfn.SWITCH(L779,1,_xlfn.XLOOKUP(O779,[1]AttributeName!$B:$B,[1]AttributeName!$D:$D),2,_xlfn.XLOOKUP(C779,#REF!,#REF!),3,_xlfn.XLOOKUP(C779,#REF!,#REF!)),0)</f>
        <v>2</v>
      </c>
      <c r="T779" cm="1">
        <f t="array" ref="T779">IFERROR(_xlfn.SWITCH(L779,1,_xlfn.XLOOKUP(O779,[1]AttributeName!$B:$B,[1]AttributeName!$E:$E),2,_xlfn.XLOOKUP(C779,#REF!,#REF!),3,_xlfn.XLOOKUP(C779,#REF!,#REF!)),0)</f>
        <v>2</v>
      </c>
    </row>
    <row r="780" customFormat="1" spans="1:20">
      <c r="A780">
        <f t="shared" si="37"/>
        <v>309</v>
      </c>
      <c r="B780">
        <v>7</v>
      </c>
      <c r="C780" t="s">
        <v>387</v>
      </c>
      <c r="D780" t="s">
        <v>26</v>
      </c>
      <c r="E780" t="s">
        <v>378</v>
      </c>
      <c r="F780"/>
      <c r="G780">
        <v>1</v>
      </c>
      <c r="H780">
        <v>1000</v>
      </c>
      <c r="I780">
        <v>3</v>
      </c>
      <c r="J780" cm="1">
        <f t="array" ref="J780">_xlfn.SWITCH(B780,1,75,2,61,3,49,4,37,5,25,6,13,7,4,8,1)</f>
        <v>4</v>
      </c>
      <c r="K780" t="str" cm="1">
        <f t="array" ref="K780">IFERROR(_xlfn.SWITCH(L780,2,_xlfn.XLOOKUP(C780,[1]ModifierDes!$B:$B,[1]ModifierDes!$C:$C),3,_xlfn.XLOOKUP(C780,[1]StuntDes!$B:$B,[1]StuntDes!$C:$C)),"")</f>
        <v/>
      </c>
      <c r="L780">
        <f t="shared" si="38"/>
        <v>1</v>
      </c>
      <c r="M780" s="10" t="str">
        <f>IFERROR(_xlfn.XLOOKUP(C780,[1]StuntDes!$B:$B,[1]StuntDes!$A:$A),"")</f>
        <v/>
      </c>
      <c r="N780" s="10" t="str">
        <f>IFERROR(_xlfn.XLOOKUP(C780,[1]ModifierDes!$B:$B,[1]ModifierDes!$A:$A),"")</f>
        <v/>
      </c>
      <c r="O780" s="10">
        <f>IFERROR(_xlfn.XLOOKUP(C780,[1]AttributeName!$C:$C,[1]AttributeName!$B:$B),"")</f>
        <v>10306</v>
      </c>
      <c r="P780" s="10"/>
      <c r="Q780">
        <v>0.0699999999999999</v>
      </c>
      <c r="R780">
        <v>0.09</v>
      </c>
      <c r="S780" cm="1">
        <f t="array" ref="S780">IFERROR(_xlfn.SWITCH(L780,1,_xlfn.XLOOKUP(O780,[1]AttributeName!$B:$B,[1]AttributeName!$D:$D),2,_xlfn.XLOOKUP(C780,#REF!,#REF!),3,_xlfn.XLOOKUP(C780,#REF!,#REF!)),0)</f>
        <v>2</v>
      </c>
      <c r="T780" cm="1">
        <f t="array" ref="T780">IFERROR(_xlfn.SWITCH(L780,1,_xlfn.XLOOKUP(O780,[1]AttributeName!$B:$B,[1]AttributeName!$E:$E),2,_xlfn.XLOOKUP(C780,#REF!,#REF!),3,_xlfn.XLOOKUP(C780,#REF!,#REF!)),0)</f>
        <v>2</v>
      </c>
    </row>
    <row r="781" customFormat="1" spans="1:20">
      <c r="A781">
        <f t="shared" si="37"/>
        <v>309</v>
      </c>
      <c r="B781">
        <v>8</v>
      </c>
      <c r="C781" t="s">
        <v>387</v>
      </c>
      <c r="D781" t="s">
        <v>26</v>
      </c>
      <c r="E781" t="s">
        <v>378</v>
      </c>
      <c r="F781"/>
      <c r="G781">
        <v>1</v>
      </c>
      <c r="H781">
        <v>1000</v>
      </c>
      <c r="I781">
        <v>3</v>
      </c>
      <c r="J781" cm="1">
        <f t="array" ref="J781">_xlfn.SWITCH(B781,1,75,2,61,3,49,4,37,5,25,6,13,7,4,8,1)</f>
        <v>1</v>
      </c>
      <c r="K781" t="str" cm="1">
        <f t="array" ref="K781">IFERROR(_xlfn.SWITCH(L781,2,_xlfn.XLOOKUP(C781,[1]ModifierDes!$B:$B,[1]ModifierDes!$C:$C),3,_xlfn.XLOOKUP(C781,[1]StuntDes!$B:$B,[1]StuntDes!$C:$C)),"")</f>
        <v/>
      </c>
      <c r="L781">
        <f t="shared" si="38"/>
        <v>1</v>
      </c>
      <c r="M781" s="10" t="str">
        <f>IFERROR(_xlfn.XLOOKUP(C781,[1]StuntDes!$B:$B,[1]StuntDes!$A:$A),"")</f>
        <v/>
      </c>
      <c r="N781" s="10" t="str">
        <f>IFERROR(_xlfn.XLOOKUP(C781,[1]ModifierDes!$B:$B,[1]ModifierDes!$A:$A),"")</f>
        <v/>
      </c>
      <c r="O781" s="10">
        <f>IFERROR(_xlfn.XLOOKUP(C781,[1]AttributeName!$C:$C,[1]AttributeName!$B:$B),"")</f>
        <v>10306</v>
      </c>
      <c r="P781" s="10"/>
      <c r="Q781">
        <v>0.0399999999999998</v>
      </c>
      <c r="R781">
        <v>0.06</v>
      </c>
      <c r="S781" cm="1">
        <f t="array" ref="S781">IFERROR(_xlfn.SWITCH(L781,1,_xlfn.XLOOKUP(O781,[1]AttributeName!$B:$B,[1]AttributeName!$D:$D),2,_xlfn.XLOOKUP(C781,#REF!,#REF!),3,_xlfn.XLOOKUP(C781,#REF!,#REF!)),0)</f>
        <v>2</v>
      </c>
      <c r="T781" cm="1">
        <f t="array" ref="T781">IFERROR(_xlfn.SWITCH(L781,1,_xlfn.XLOOKUP(O781,[1]AttributeName!$B:$B,[1]AttributeName!$E:$E),2,_xlfn.XLOOKUP(C781,#REF!,#REF!),3,_xlfn.XLOOKUP(C781,#REF!,#REF!)),0)</f>
        <v>2</v>
      </c>
    </row>
    <row r="782" customFormat="1" spans="1:20">
      <c r="A782">
        <f t="shared" ref="A782:A821" si="39">A774+1</f>
        <v>310</v>
      </c>
      <c r="B782">
        <v>1</v>
      </c>
      <c r="C782" t="s">
        <v>388</v>
      </c>
      <c r="D782" t="s">
        <v>26</v>
      </c>
      <c r="E782" t="s">
        <v>378</v>
      </c>
      <c r="F782"/>
      <c r="G782">
        <v>1</v>
      </c>
      <c r="H782">
        <v>100</v>
      </c>
      <c r="I782">
        <v>3</v>
      </c>
      <c r="J782" cm="1">
        <f t="array" ref="J782">_xlfn.SWITCH(B782,1,75,2,61,3,49,4,37,5,25,6,13,7,4,8,1)</f>
        <v>75</v>
      </c>
      <c r="K782" t="str" cm="1">
        <f t="array" ref="K782">IFERROR(_xlfn.SWITCH(L782,2,_xlfn.XLOOKUP(C782,[1]ModifierDes!$B:$B,[1]ModifierDes!$C:$C),3,_xlfn.XLOOKUP(C782,[1]StuntDes!$B:$B,[1]StuntDes!$C:$C)),"")</f>
        <v/>
      </c>
      <c r="L782">
        <f t="shared" si="38"/>
        <v>1</v>
      </c>
      <c r="M782" s="10" t="str">
        <f>IFERROR(_xlfn.XLOOKUP(C782,[1]StuntDes!$B:$B,[1]StuntDes!$A:$A),"")</f>
        <v/>
      </c>
      <c r="N782" s="10" t="str">
        <f>IFERROR(_xlfn.XLOOKUP(C782,[1]ModifierDes!$B:$B,[1]ModifierDes!$A:$A),"")</f>
        <v/>
      </c>
      <c r="O782" s="10">
        <f>IFERROR(_xlfn.XLOOKUP(C782,[1]AttributeName!$C:$C,[1]AttributeName!$B:$B),"")</f>
        <v>10307</v>
      </c>
      <c r="P782" s="10"/>
      <c r="Q782">
        <v>0.25</v>
      </c>
      <c r="R782">
        <v>0.35</v>
      </c>
      <c r="S782" cm="1">
        <f t="array" ref="S782">IFERROR(_xlfn.SWITCH(L782,1,_xlfn.XLOOKUP(O782,[1]AttributeName!$B:$B,[1]AttributeName!$D:$D),2,_xlfn.XLOOKUP(C782,#REF!,#REF!),3,_xlfn.XLOOKUP(C782,#REF!,#REF!)),0)</f>
        <v>2</v>
      </c>
      <c r="T782" cm="1">
        <f t="array" ref="T782">IFERROR(_xlfn.SWITCH(L782,1,_xlfn.XLOOKUP(O782,[1]AttributeName!$B:$B,[1]AttributeName!$E:$E),2,_xlfn.XLOOKUP(C782,#REF!,#REF!),3,_xlfn.XLOOKUP(C782,#REF!,#REF!)),0)</f>
        <v>2</v>
      </c>
    </row>
    <row r="783" customFormat="1" spans="1:20">
      <c r="A783">
        <f t="shared" si="39"/>
        <v>310</v>
      </c>
      <c r="B783">
        <v>2</v>
      </c>
      <c r="C783" t="s">
        <v>388</v>
      </c>
      <c r="D783" t="s">
        <v>26</v>
      </c>
      <c r="E783" t="s">
        <v>378</v>
      </c>
      <c r="F783"/>
      <c r="G783">
        <v>1</v>
      </c>
      <c r="H783">
        <v>200</v>
      </c>
      <c r="I783">
        <v>3</v>
      </c>
      <c r="J783" cm="1">
        <f t="array" ref="J783">_xlfn.SWITCH(B783,1,75,2,61,3,49,4,37,5,25,6,13,7,4,8,1)</f>
        <v>61</v>
      </c>
      <c r="K783" t="str" cm="1">
        <f t="array" ref="K783">IFERROR(_xlfn.SWITCH(L783,2,_xlfn.XLOOKUP(C783,[1]ModifierDes!$B:$B,[1]ModifierDes!$C:$C),3,_xlfn.XLOOKUP(C783,[1]StuntDes!$B:$B,[1]StuntDes!$C:$C)),"")</f>
        <v/>
      </c>
      <c r="L783">
        <f t="shared" si="38"/>
        <v>1</v>
      </c>
      <c r="M783" s="10" t="str">
        <f>IFERROR(_xlfn.XLOOKUP(C783,[1]StuntDes!$B:$B,[1]StuntDes!$A:$A),"")</f>
        <v/>
      </c>
      <c r="N783" s="10" t="str">
        <f>IFERROR(_xlfn.XLOOKUP(C783,[1]ModifierDes!$B:$B,[1]ModifierDes!$A:$A),"")</f>
        <v/>
      </c>
      <c r="O783" s="10">
        <f>IFERROR(_xlfn.XLOOKUP(C783,[1]AttributeName!$C:$C,[1]AttributeName!$B:$B),"")</f>
        <v>10307</v>
      </c>
      <c r="P783" s="10"/>
      <c r="Q783">
        <v>0.22</v>
      </c>
      <c r="R783">
        <v>0.24</v>
      </c>
      <c r="S783" cm="1">
        <f t="array" ref="S783">IFERROR(_xlfn.SWITCH(L783,1,_xlfn.XLOOKUP(O783,[1]AttributeName!$B:$B,[1]AttributeName!$D:$D),2,_xlfn.XLOOKUP(C783,#REF!,#REF!),3,_xlfn.XLOOKUP(C783,#REF!,#REF!)),0)</f>
        <v>2</v>
      </c>
      <c r="T783" cm="1">
        <f t="array" ref="T783">IFERROR(_xlfn.SWITCH(L783,1,_xlfn.XLOOKUP(O783,[1]AttributeName!$B:$B,[1]AttributeName!$E:$E),2,_xlfn.XLOOKUP(C783,#REF!,#REF!),3,_xlfn.XLOOKUP(C783,#REF!,#REF!)),0)</f>
        <v>2</v>
      </c>
    </row>
    <row r="784" customFormat="1" spans="1:20">
      <c r="A784">
        <f t="shared" si="39"/>
        <v>310</v>
      </c>
      <c r="B784">
        <v>3</v>
      </c>
      <c r="C784" t="s">
        <v>388</v>
      </c>
      <c r="D784" t="s">
        <v>26</v>
      </c>
      <c r="E784" t="s">
        <v>378</v>
      </c>
      <c r="F784"/>
      <c r="G784">
        <v>1</v>
      </c>
      <c r="H784">
        <v>500</v>
      </c>
      <c r="I784">
        <v>3</v>
      </c>
      <c r="J784" cm="1">
        <f t="array" ref="J784">_xlfn.SWITCH(B784,1,75,2,61,3,49,4,37,5,25,6,13,7,4,8,1)</f>
        <v>49</v>
      </c>
      <c r="K784" t="str" cm="1">
        <f t="array" ref="K784">IFERROR(_xlfn.SWITCH(L784,2,_xlfn.XLOOKUP(C784,[1]ModifierDes!$B:$B,[1]ModifierDes!$C:$C),3,_xlfn.XLOOKUP(C784,[1]StuntDes!$B:$B,[1]StuntDes!$C:$C)),"")</f>
        <v/>
      </c>
      <c r="L784">
        <f t="shared" si="38"/>
        <v>1</v>
      </c>
      <c r="M784" s="10" t="str">
        <f>IFERROR(_xlfn.XLOOKUP(C784,[1]StuntDes!$B:$B,[1]StuntDes!$A:$A),"")</f>
        <v/>
      </c>
      <c r="N784" s="10" t="str">
        <f>IFERROR(_xlfn.XLOOKUP(C784,[1]ModifierDes!$B:$B,[1]ModifierDes!$A:$A),"")</f>
        <v/>
      </c>
      <c r="O784" s="10">
        <f>IFERROR(_xlfn.XLOOKUP(C784,[1]AttributeName!$C:$C,[1]AttributeName!$B:$B),"")</f>
        <v>10307</v>
      </c>
      <c r="P784" s="10"/>
      <c r="Q784">
        <v>0.19</v>
      </c>
      <c r="R784">
        <v>0.21</v>
      </c>
      <c r="S784" cm="1">
        <f t="array" ref="S784">IFERROR(_xlfn.SWITCH(L784,1,_xlfn.XLOOKUP(O784,[1]AttributeName!$B:$B,[1]AttributeName!$D:$D),2,_xlfn.XLOOKUP(C784,#REF!,#REF!),3,_xlfn.XLOOKUP(C784,#REF!,#REF!)),0)</f>
        <v>2</v>
      </c>
      <c r="T784" cm="1">
        <f t="array" ref="T784">IFERROR(_xlfn.SWITCH(L784,1,_xlfn.XLOOKUP(O784,[1]AttributeName!$B:$B,[1]AttributeName!$E:$E),2,_xlfn.XLOOKUP(C784,#REF!,#REF!),3,_xlfn.XLOOKUP(C784,#REF!,#REF!)),0)</f>
        <v>2</v>
      </c>
    </row>
    <row r="785" customFormat="1" spans="1:20">
      <c r="A785">
        <f t="shared" si="39"/>
        <v>310</v>
      </c>
      <c r="B785">
        <v>4</v>
      </c>
      <c r="C785" t="s">
        <v>388</v>
      </c>
      <c r="D785" t="s">
        <v>26</v>
      </c>
      <c r="E785" t="s">
        <v>378</v>
      </c>
      <c r="F785"/>
      <c r="G785">
        <v>1</v>
      </c>
      <c r="H785">
        <v>1000</v>
      </c>
      <c r="I785">
        <v>3</v>
      </c>
      <c r="J785" cm="1">
        <f t="array" ref="J785">_xlfn.SWITCH(B785,1,75,2,61,3,49,4,37,5,25,6,13,7,4,8,1)</f>
        <v>37</v>
      </c>
      <c r="K785" t="str" cm="1">
        <f t="array" ref="K785">IFERROR(_xlfn.SWITCH(L785,2,_xlfn.XLOOKUP(C785,[1]ModifierDes!$B:$B,[1]ModifierDes!$C:$C),3,_xlfn.XLOOKUP(C785,[1]StuntDes!$B:$B,[1]StuntDes!$C:$C)),"")</f>
        <v/>
      </c>
      <c r="L785">
        <f t="shared" si="38"/>
        <v>1</v>
      </c>
      <c r="M785" s="10" t="str">
        <f>IFERROR(_xlfn.XLOOKUP(C785,[1]StuntDes!$B:$B,[1]StuntDes!$A:$A),"")</f>
        <v/>
      </c>
      <c r="N785" s="10" t="str">
        <f>IFERROR(_xlfn.XLOOKUP(C785,[1]ModifierDes!$B:$B,[1]ModifierDes!$A:$A),"")</f>
        <v/>
      </c>
      <c r="O785" s="10">
        <f>IFERROR(_xlfn.XLOOKUP(C785,[1]AttributeName!$C:$C,[1]AttributeName!$B:$B),"")</f>
        <v>10307</v>
      </c>
      <c r="P785" s="10"/>
      <c r="Q785">
        <v>0.16</v>
      </c>
      <c r="R785">
        <v>0.18</v>
      </c>
      <c r="S785" cm="1">
        <f t="array" ref="S785">IFERROR(_xlfn.SWITCH(L785,1,_xlfn.XLOOKUP(O785,[1]AttributeName!$B:$B,[1]AttributeName!$D:$D),2,_xlfn.XLOOKUP(C785,#REF!,#REF!),3,_xlfn.XLOOKUP(C785,#REF!,#REF!)),0)</f>
        <v>2</v>
      </c>
      <c r="T785" cm="1">
        <f t="array" ref="T785">IFERROR(_xlfn.SWITCH(L785,1,_xlfn.XLOOKUP(O785,[1]AttributeName!$B:$B,[1]AttributeName!$E:$E),2,_xlfn.XLOOKUP(C785,#REF!,#REF!),3,_xlfn.XLOOKUP(C785,#REF!,#REF!)),0)</f>
        <v>2</v>
      </c>
    </row>
    <row r="786" customFormat="1" spans="1:20">
      <c r="A786">
        <f t="shared" si="39"/>
        <v>310</v>
      </c>
      <c r="B786">
        <v>5</v>
      </c>
      <c r="C786" t="s">
        <v>388</v>
      </c>
      <c r="D786" t="s">
        <v>26</v>
      </c>
      <c r="E786" t="s">
        <v>378</v>
      </c>
      <c r="F786"/>
      <c r="G786">
        <v>1</v>
      </c>
      <c r="H786">
        <v>1000</v>
      </c>
      <c r="I786">
        <v>3</v>
      </c>
      <c r="J786" cm="1">
        <f t="array" ref="J786">_xlfn.SWITCH(B786,1,75,2,61,3,49,4,37,5,25,6,13,7,4,8,1)</f>
        <v>25</v>
      </c>
      <c r="K786" t="str" cm="1">
        <f t="array" ref="K786">IFERROR(_xlfn.SWITCH(L786,2,_xlfn.XLOOKUP(C786,[1]ModifierDes!$B:$B,[1]ModifierDes!$C:$C),3,_xlfn.XLOOKUP(C786,[1]StuntDes!$B:$B,[1]StuntDes!$C:$C)),"")</f>
        <v/>
      </c>
      <c r="L786">
        <f t="shared" si="38"/>
        <v>1</v>
      </c>
      <c r="M786" s="10" t="str">
        <f>IFERROR(_xlfn.XLOOKUP(C786,[1]StuntDes!$B:$B,[1]StuntDes!$A:$A),"")</f>
        <v/>
      </c>
      <c r="N786" s="10" t="str">
        <f>IFERROR(_xlfn.XLOOKUP(C786,[1]ModifierDes!$B:$B,[1]ModifierDes!$A:$A),"")</f>
        <v/>
      </c>
      <c r="O786" s="10">
        <f>IFERROR(_xlfn.XLOOKUP(C786,[1]AttributeName!$C:$C,[1]AttributeName!$B:$B),"")</f>
        <v>10307</v>
      </c>
      <c r="P786" s="10"/>
      <c r="Q786">
        <v>0.13</v>
      </c>
      <c r="R786">
        <v>0.15</v>
      </c>
      <c r="S786" cm="1">
        <f t="array" ref="S786">IFERROR(_xlfn.SWITCH(L786,1,_xlfn.XLOOKUP(O786,[1]AttributeName!$B:$B,[1]AttributeName!$D:$D),2,_xlfn.XLOOKUP(C786,#REF!,#REF!),3,_xlfn.XLOOKUP(C786,#REF!,#REF!)),0)</f>
        <v>2</v>
      </c>
      <c r="T786" cm="1">
        <f t="array" ref="T786">IFERROR(_xlfn.SWITCH(L786,1,_xlfn.XLOOKUP(O786,[1]AttributeName!$B:$B,[1]AttributeName!$E:$E),2,_xlfn.XLOOKUP(C786,#REF!,#REF!),3,_xlfn.XLOOKUP(C786,#REF!,#REF!)),0)</f>
        <v>2</v>
      </c>
    </row>
    <row r="787" customFormat="1" spans="1:20">
      <c r="A787">
        <f t="shared" si="39"/>
        <v>310</v>
      </c>
      <c r="B787">
        <v>6</v>
      </c>
      <c r="C787" t="s">
        <v>388</v>
      </c>
      <c r="D787" t="s">
        <v>26</v>
      </c>
      <c r="E787" t="s">
        <v>378</v>
      </c>
      <c r="F787"/>
      <c r="G787">
        <v>1</v>
      </c>
      <c r="H787">
        <v>1000</v>
      </c>
      <c r="I787">
        <v>3</v>
      </c>
      <c r="J787" cm="1">
        <f t="array" ref="J787">_xlfn.SWITCH(B787,1,75,2,61,3,49,4,37,5,25,6,13,7,4,8,1)</f>
        <v>13</v>
      </c>
      <c r="K787" t="str" cm="1">
        <f t="array" ref="K787">IFERROR(_xlfn.SWITCH(L787,2,_xlfn.XLOOKUP(C787,[1]ModifierDes!$B:$B,[1]ModifierDes!$C:$C),3,_xlfn.XLOOKUP(C787,[1]StuntDes!$B:$B,[1]StuntDes!$C:$C)),"")</f>
        <v/>
      </c>
      <c r="L787">
        <f t="shared" si="38"/>
        <v>1</v>
      </c>
      <c r="M787" s="10" t="str">
        <f>IFERROR(_xlfn.XLOOKUP(C787,[1]StuntDes!$B:$B,[1]StuntDes!$A:$A),"")</f>
        <v/>
      </c>
      <c r="N787" s="10" t="str">
        <f>IFERROR(_xlfn.XLOOKUP(C787,[1]ModifierDes!$B:$B,[1]ModifierDes!$A:$A),"")</f>
        <v/>
      </c>
      <c r="O787" s="10">
        <f>IFERROR(_xlfn.XLOOKUP(C787,[1]AttributeName!$C:$C,[1]AttributeName!$B:$B),"")</f>
        <v>10307</v>
      </c>
      <c r="P787" s="10"/>
      <c r="Q787">
        <v>0.0999999999999999</v>
      </c>
      <c r="R787">
        <v>0.12</v>
      </c>
      <c r="S787" cm="1">
        <f t="array" ref="S787">IFERROR(_xlfn.SWITCH(L787,1,_xlfn.XLOOKUP(O787,[1]AttributeName!$B:$B,[1]AttributeName!$D:$D),2,_xlfn.XLOOKUP(C787,#REF!,#REF!),3,_xlfn.XLOOKUP(C787,#REF!,#REF!)),0)</f>
        <v>2</v>
      </c>
      <c r="T787" cm="1">
        <f t="array" ref="T787">IFERROR(_xlfn.SWITCH(L787,1,_xlfn.XLOOKUP(O787,[1]AttributeName!$B:$B,[1]AttributeName!$E:$E),2,_xlfn.XLOOKUP(C787,#REF!,#REF!),3,_xlfn.XLOOKUP(C787,#REF!,#REF!)),0)</f>
        <v>2</v>
      </c>
    </row>
    <row r="788" customFormat="1" spans="1:20">
      <c r="A788">
        <f t="shared" si="39"/>
        <v>310</v>
      </c>
      <c r="B788">
        <v>7</v>
      </c>
      <c r="C788" t="s">
        <v>388</v>
      </c>
      <c r="D788" t="s">
        <v>26</v>
      </c>
      <c r="E788" t="s">
        <v>378</v>
      </c>
      <c r="F788"/>
      <c r="G788">
        <v>1</v>
      </c>
      <c r="H788">
        <v>1000</v>
      </c>
      <c r="I788">
        <v>3</v>
      </c>
      <c r="J788" cm="1">
        <f t="array" ref="J788">_xlfn.SWITCH(B788,1,75,2,61,3,49,4,37,5,25,6,13,7,4,8,1)</f>
        <v>4</v>
      </c>
      <c r="K788" t="str" cm="1">
        <f t="array" ref="K788">IFERROR(_xlfn.SWITCH(L788,2,_xlfn.XLOOKUP(C788,[1]ModifierDes!$B:$B,[1]ModifierDes!$C:$C),3,_xlfn.XLOOKUP(C788,[1]StuntDes!$B:$B,[1]StuntDes!$C:$C)),"")</f>
        <v/>
      </c>
      <c r="L788">
        <f t="shared" si="38"/>
        <v>1</v>
      </c>
      <c r="M788" s="10" t="str">
        <f>IFERROR(_xlfn.XLOOKUP(C788,[1]StuntDes!$B:$B,[1]StuntDes!$A:$A),"")</f>
        <v/>
      </c>
      <c r="N788" s="10" t="str">
        <f>IFERROR(_xlfn.XLOOKUP(C788,[1]ModifierDes!$B:$B,[1]ModifierDes!$A:$A),"")</f>
        <v/>
      </c>
      <c r="O788" s="10">
        <f>IFERROR(_xlfn.XLOOKUP(C788,[1]AttributeName!$C:$C,[1]AttributeName!$B:$B),"")</f>
        <v>10307</v>
      </c>
      <c r="P788" s="10"/>
      <c r="Q788">
        <v>0.0699999999999999</v>
      </c>
      <c r="R788">
        <v>0.09</v>
      </c>
      <c r="S788" cm="1">
        <f t="array" ref="S788">IFERROR(_xlfn.SWITCH(L788,1,_xlfn.XLOOKUP(O788,[1]AttributeName!$B:$B,[1]AttributeName!$D:$D),2,_xlfn.XLOOKUP(C788,#REF!,#REF!),3,_xlfn.XLOOKUP(C788,#REF!,#REF!)),0)</f>
        <v>2</v>
      </c>
      <c r="T788" cm="1">
        <f t="array" ref="T788">IFERROR(_xlfn.SWITCH(L788,1,_xlfn.XLOOKUP(O788,[1]AttributeName!$B:$B,[1]AttributeName!$E:$E),2,_xlfn.XLOOKUP(C788,#REF!,#REF!),3,_xlfn.XLOOKUP(C788,#REF!,#REF!)),0)</f>
        <v>2</v>
      </c>
    </row>
    <row r="789" customFormat="1" spans="1:20">
      <c r="A789">
        <f t="shared" si="39"/>
        <v>310</v>
      </c>
      <c r="B789">
        <v>8</v>
      </c>
      <c r="C789" t="s">
        <v>388</v>
      </c>
      <c r="D789" t="s">
        <v>26</v>
      </c>
      <c r="E789" t="s">
        <v>378</v>
      </c>
      <c r="F789"/>
      <c r="G789">
        <v>1</v>
      </c>
      <c r="H789">
        <v>1000</v>
      </c>
      <c r="I789">
        <v>3</v>
      </c>
      <c r="J789" cm="1">
        <f t="array" ref="J789">_xlfn.SWITCH(B789,1,75,2,61,3,49,4,37,5,25,6,13,7,4,8,1)</f>
        <v>1</v>
      </c>
      <c r="K789" t="str" cm="1">
        <f t="array" ref="K789">IFERROR(_xlfn.SWITCH(L789,2,_xlfn.XLOOKUP(C789,[1]ModifierDes!$B:$B,[1]ModifierDes!$C:$C),3,_xlfn.XLOOKUP(C789,[1]StuntDes!$B:$B,[1]StuntDes!$C:$C)),"")</f>
        <v/>
      </c>
      <c r="L789">
        <f t="shared" si="38"/>
        <v>1</v>
      </c>
      <c r="M789" s="10" t="str">
        <f>IFERROR(_xlfn.XLOOKUP(C789,[1]StuntDes!$B:$B,[1]StuntDes!$A:$A),"")</f>
        <v/>
      </c>
      <c r="N789" s="10" t="str">
        <f>IFERROR(_xlfn.XLOOKUP(C789,[1]ModifierDes!$B:$B,[1]ModifierDes!$A:$A),"")</f>
        <v/>
      </c>
      <c r="O789" s="10">
        <f>IFERROR(_xlfn.XLOOKUP(C789,[1]AttributeName!$C:$C,[1]AttributeName!$B:$B),"")</f>
        <v>10307</v>
      </c>
      <c r="P789" s="10"/>
      <c r="Q789">
        <v>0.0399999999999998</v>
      </c>
      <c r="R789">
        <v>0.06</v>
      </c>
      <c r="S789" cm="1">
        <f t="array" ref="S789">IFERROR(_xlfn.SWITCH(L789,1,_xlfn.XLOOKUP(O789,[1]AttributeName!$B:$B,[1]AttributeName!$D:$D),2,_xlfn.XLOOKUP(C789,#REF!,#REF!),3,_xlfn.XLOOKUP(C789,#REF!,#REF!)),0)</f>
        <v>2</v>
      </c>
      <c r="T789" cm="1">
        <f t="array" ref="T789">IFERROR(_xlfn.SWITCH(L789,1,_xlfn.XLOOKUP(O789,[1]AttributeName!$B:$B,[1]AttributeName!$E:$E),2,_xlfn.XLOOKUP(C789,#REF!,#REF!),3,_xlfn.XLOOKUP(C789,#REF!,#REF!)),0)</f>
        <v>2</v>
      </c>
    </row>
    <row r="790" customFormat="1" spans="1:20">
      <c r="A790">
        <f t="shared" si="39"/>
        <v>311</v>
      </c>
      <c r="B790">
        <v>1</v>
      </c>
      <c r="C790" t="s">
        <v>431</v>
      </c>
      <c r="D790" t="s">
        <v>26</v>
      </c>
      <c r="E790" t="s">
        <v>378</v>
      </c>
      <c r="F790"/>
      <c r="G790">
        <v>1</v>
      </c>
      <c r="H790">
        <v>250</v>
      </c>
      <c r="J790" cm="1">
        <f t="array" ref="J790">_xlfn.SWITCH(B790,1,75,2,61,3,49,4,37,5,25,6,13,7,4,8,1)</f>
        <v>75</v>
      </c>
      <c r="K790" t="str" cm="1">
        <f t="array" ref="K790">IFERROR(_xlfn.SWITCH(L790,2,_xlfn.XLOOKUP(C790,[1]ModifierDes!$B:$B,[1]ModifierDes!$C:$C),3,_xlfn.XLOOKUP(C790,[1]StuntDes!$B:$B,[1]StuntDes!$C:$C)),"")</f>
        <v/>
      </c>
      <c r="L790">
        <f t="shared" si="38"/>
        <v>1</v>
      </c>
      <c r="M790" s="10" t="str">
        <f>IFERROR(_xlfn.XLOOKUP(C790,[1]StuntDes!$B:$B,[1]StuntDes!$A:$A),"")</f>
        <v/>
      </c>
      <c r="N790" s="10" t="str">
        <f>IFERROR(_xlfn.XLOOKUP(C790,[1]ModifierDes!$B:$B,[1]ModifierDes!$A:$A),"")</f>
        <v/>
      </c>
      <c r="O790" s="10">
        <f>IFERROR(_xlfn.XLOOKUP(C790,[1]AttributeName!$C:$C,[1]AttributeName!$B:$B),"")</f>
        <v>10813</v>
      </c>
      <c r="P790" s="10"/>
      <c r="Q790">
        <v>0.08</v>
      </c>
      <c r="R790">
        <v>0.1</v>
      </c>
      <c r="S790" cm="1">
        <f t="array" ref="S790">IFERROR(_xlfn.SWITCH(L790,1,_xlfn.XLOOKUP(O790,[1]AttributeName!$B:$B,[1]AttributeName!$D:$D),2,_xlfn.XLOOKUP(C790,#REF!,#REF!),3,_xlfn.XLOOKUP(C790,#REF!,#REF!)),0)</f>
        <v>2</v>
      </c>
      <c r="T790" cm="1">
        <f t="array" ref="T790">IFERROR(_xlfn.SWITCH(L790,1,_xlfn.XLOOKUP(O790,[1]AttributeName!$B:$B,[1]AttributeName!$E:$E),2,_xlfn.XLOOKUP(C790,#REF!,#REF!),3,_xlfn.XLOOKUP(C790,#REF!,#REF!)),0)</f>
        <v>2</v>
      </c>
    </row>
    <row r="791" customFormat="1" spans="1:20">
      <c r="A791">
        <f t="shared" si="39"/>
        <v>311</v>
      </c>
      <c r="B791">
        <v>2</v>
      </c>
      <c r="C791" t="s">
        <v>431</v>
      </c>
      <c r="D791" t="s">
        <v>26</v>
      </c>
      <c r="E791" t="s">
        <v>378</v>
      </c>
      <c r="F791"/>
      <c r="G791">
        <v>1</v>
      </c>
      <c r="H791">
        <v>500</v>
      </c>
      <c r="J791" cm="1">
        <f t="array" ref="J791">_xlfn.SWITCH(B791,1,75,2,61,3,49,4,37,5,25,6,13,7,4,8,1)</f>
        <v>61</v>
      </c>
      <c r="K791" t="str" cm="1">
        <f t="array" ref="K791">IFERROR(_xlfn.SWITCH(L791,2,_xlfn.XLOOKUP(C791,[1]ModifierDes!$B:$B,[1]ModifierDes!$C:$C),3,_xlfn.XLOOKUP(C791,[1]StuntDes!$B:$B,[1]StuntDes!$C:$C)),"")</f>
        <v/>
      </c>
      <c r="L791">
        <f t="shared" si="38"/>
        <v>1</v>
      </c>
      <c r="M791" s="10" t="str">
        <f>IFERROR(_xlfn.XLOOKUP(C791,[1]StuntDes!$B:$B,[1]StuntDes!$A:$A),"")</f>
        <v/>
      </c>
      <c r="N791" s="10" t="str">
        <f>IFERROR(_xlfn.XLOOKUP(C791,[1]ModifierDes!$B:$B,[1]ModifierDes!$A:$A),"")</f>
        <v/>
      </c>
      <c r="O791" s="10">
        <f>IFERROR(_xlfn.XLOOKUP(C791,[1]AttributeName!$C:$C,[1]AttributeName!$B:$B),"")</f>
        <v>10813</v>
      </c>
      <c r="P791" s="10"/>
      <c r="Q791">
        <v>0.07</v>
      </c>
      <c r="R791">
        <v>0.07</v>
      </c>
      <c r="S791" cm="1">
        <f t="array" ref="S791">IFERROR(_xlfn.SWITCH(L791,1,_xlfn.XLOOKUP(O791,[1]AttributeName!$B:$B,[1]AttributeName!$D:$D),2,_xlfn.XLOOKUP(C791,#REF!,#REF!),3,_xlfn.XLOOKUP(C791,#REF!,#REF!)),0)</f>
        <v>2</v>
      </c>
      <c r="T791" cm="1">
        <f t="array" ref="T791">IFERROR(_xlfn.SWITCH(L791,1,_xlfn.XLOOKUP(O791,[1]AttributeName!$B:$B,[1]AttributeName!$E:$E),2,_xlfn.XLOOKUP(C791,#REF!,#REF!),3,_xlfn.XLOOKUP(C791,#REF!,#REF!)),0)</f>
        <v>2</v>
      </c>
    </row>
    <row r="792" customFormat="1" spans="1:20">
      <c r="A792">
        <f t="shared" si="39"/>
        <v>311</v>
      </c>
      <c r="B792">
        <v>3</v>
      </c>
      <c r="C792" t="s">
        <v>431</v>
      </c>
      <c r="D792" t="s">
        <v>26</v>
      </c>
      <c r="E792" t="s">
        <v>378</v>
      </c>
      <c r="F792"/>
      <c r="G792">
        <v>1</v>
      </c>
      <c r="H792">
        <v>750</v>
      </c>
      <c r="J792" cm="1">
        <f t="array" ref="J792">_xlfn.SWITCH(B792,1,75,2,61,3,49,4,37,5,25,6,13,7,4,8,1)</f>
        <v>49</v>
      </c>
      <c r="K792" t="str" cm="1">
        <f t="array" ref="K792">IFERROR(_xlfn.SWITCH(L792,2,_xlfn.XLOOKUP(C792,[1]ModifierDes!$B:$B,[1]ModifierDes!$C:$C),3,_xlfn.XLOOKUP(C792,[1]StuntDes!$B:$B,[1]StuntDes!$C:$C)),"")</f>
        <v/>
      </c>
      <c r="L792">
        <f t="shared" si="38"/>
        <v>1</v>
      </c>
      <c r="M792" s="10" t="str">
        <f>IFERROR(_xlfn.XLOOKUP(C792,[1]StuntDes!$B:$B,[1]StuntDes!$A:$A),"")</f>
        <v/>
      </c>
      <c r="N792" s="10" t="str">
        <f>IFERROR(_xlfn.XLOOKUP(C792,[1]ModifierDes!$B:$B,[1]ModifierDes!$A:$A),"")</f>
        <v/>
      </c>
      <c r="O792" s="10">
        <f>IFERROR(_xlfn.XLOOKUP(C792,[1]AttributeName!$C:$C,[1]AttributeName!$B:$B),"")</f>
        <v>10813</v>
      </c>
      <c r="P792" s="10"/>
      <c r="Q792">
        <v>0.06</v>
      </c>
      <c r="R792">
        <v>0.06</v>
      </c>
      <c r="S792" cm="1">
        <f t="array" ref="S792">IFERROR(_xlfn.SWITCH(L792,1,_xlfn.XLOOKUP(O792,[1]AttributeName!$B:$B,[1]AttributeName!$D:$D),2,_xlfn.XLOOKUP(C792,#REF!,#REF!),3,_xlfn.XLOOKUP(C792,#REF!,#REF!)),0)</f>
        <v>2</v>
      </c>
      <c r="T792" cm="1">
        <f t="array" ref="T792">IFERROR(_xlfn.SWITCH(L792,1,_xlfn.XLOOKUP(O792,[1]AttributeName!$B:$B,[1]AttributeName!$E:$E),2,_xlfn.XLOOKUP(C792,#REF!,#REF!),3,_xlfn.XLOOKUP(C792,#REF!,#REF!)),0)</f>
        <v>2</v>
      </c>
    </row>
    <row r="793" customFormat="1" spans="1:20">
      <c r="A793">
        <f t="shared" si="39"/>
        <v>311</v>
      </c>
      <c r="B793">
        <v>4</v>
      </c>
      <c r="C793" t="s">
        <v>431</v>
      </c>
      <c r="D793" t="s">
        <v>26</v>
      </c>
      <c r="E793" t="s">
        <v>378</v>
      </c>
      <c r="F793"/>
      <c r="G793">
        <v>1</v>
      </c>
      <c r="H793">
        <v>1000</v>
      </c>
      <c r="J793" cm="1">
        <f t="array" ref="J793">_xlfn.SWITCH(B793,1,75,2,61,3,49,4,37,5,25,6,13,7,4,8,1)</f>
        <v>37</v>
      </c>
      <c r="K793" t="str" cm="1">
        <f t="array" ref="K793">IFERROR(_xlfn.SWITCH(L793,2,_xlfn.XLOOKUP(C793,[1]ModifierDes!$B:$B,[1]ModifierDes!$C:$C),3,_xlfn.XLOOKUP(C793,[1]StuntDes!$B:$B,[1]StuntDes!$C:$C)),"")</f>
        <v/>
      </c>
      <c r="L793">
        <f t="shared" si="38"/>
        <v>1</v>
      </c>
      <c r="M793" s="10" t="str">
        <f>IFERROR(_xlfn.XLOOKUP(C793,[1]StuntDes!$B:$B,[1]StuntDes!$A:$A),"")</f>
        <v/>
      </c>
      <c r="N793" s="10" t="str">
        <f>IFERROR(_xlfn.XLOOKUP(C793,[1]ModifierDes!$B:$B,[1]ModifierDes!$A:$A),"")</f>
        <v/>
      </c>
      <c r="O793" s="10">
        <f>IFERROR(_xlfn.XLOOKUP(C793,[1]AttributeName!$C:$C,[1]AttributeName!$B:$B),"")</f>
        <v>10813</v>
      </c>
      <c r="P793" s="10"/>
      <c r="Q793">
        <v>0.05</v>
      </c>
      <c r="R793">
        <v>0.05</v>
      </c>
      <c r="S793" cm="1">
        <f t="array" ref="S793">IFERROR(_xlfn.SWITCH(L793,1,_xlfn.XLOOKUP(O793,[1]AttributeName!$B:$B,[1]AttributeName!$D:$D),2,_xlfn.XLOOKUP(C793,#REF!,#REF!),3,_xlfn.XLOOKUP(C793,#REF!,#REF!)),0)</f>
        <v>2</v>
      </c>
      <c r="T793" cm="1">
        <f t="array" ref="T793">IFERROR(_xlfn.SWITCH(L793,1,_xlfn.XLOOKUP(O793,[1]AttributeName!$B:$B,[1]AttributeName!$E:$E),2,_xlfn.XLOOKUP(C793,#REF!,#REF!),3,_xlfn.XLOOKUP(C793,#REF!,#REF!)),0)</f>
        <v>2</v>
      </c>
    </row>
    <row r="794" customFormat="1" spans="1:20">
      <c r="A794">
        <f t="shared" si="39"/>
        <v>311</v>
      </c>
      <c r="B794">
        <v>5</v>
      </c>
      <c r="C794" t="s">
        <v>431</v>
      </c>
      <c r="D794" t="s">
        <v>26</v>
      </c>
      <c r="E794" t="s">
        <v>378</v>
      </c>
      <c r="F794"/>
      <c r="G794">
        <v>1</v>
      </c>
      <c r="H794">
        <v>1000</v>
      </c>
      <c r="J794" cm="1">
        <f t="array" ref="J794">_xlfn.SWITCH(B794,1,75,2,61,3,49,4,37,5,25,6,13,7,4,8,1)</f>
        <v>25</v>
      </c>
      <c r="K794" t="str" cm="1">
        <f t="array" ref="K794">IFERROR(_xlfn.SWITCH(L794,2,_xlfn.XLOOKUP(C794,[1]ModifierDes!$B:$B,[1]ModifierDes!$C:$C),3,_xlfn.XLOOKUP(C794,[1]StuntDes!$B:$B,[1]StuntDes!$C:$C)),"")</f>
        <v/>
      </c>
      <c r="L794">
        <f t="shared" si="38"/>
        <v>1</v>
      </c>
      <c r="M794" s="10" t="str">
        <f>IFERROR(_xlfn.XLOOKUP(C794,[1]StuntDes!$B:$B,[1]StuntDes!$A:$A),"")</f>
        <v/>
      </c>
      <c r="N794" s="10" t="str">
        <f>IFERROR(_xlfn.XLOOKUP(C794,[1]ModifierDes!$B:$B,[1]ModifierDes!$A:$A),"")</f>
        <v/>
      </c>
      <c r="O794" s="10">
        <f>IFERROR(_xlfn.XLOOKUP(C794,[1]AttributeName!$C:$C,[1]AttributeName!$B:$B),"")</f>
        <v>10813</v>
      </c>
      <c r="P794" s="10"/>
      <c r="Q794">
        <v>0.04</v>
      </c>
      <c r="R794">
        <v>0.04</v>
      </c>
      <c r="S794" cm="1">
        <f t="array" ref="S794">IFERROR(_xlfn.SWITCH(L794,1,_xlfn.XLOOKUP(O794,[1]AttributeName!$B:$B,[1]AttributeName!$D:$D),2,_xlfn.XLOOKUP(C794,#REF!,#REF!),3,_xlfn.XLOOKUP(C794,#REF!,#REF!)),0)</f>
        <v>2</v>
      </c>
      <c r="T794" cm="1">
        <f t="array" ref="T794">IFERROR(_xlfn.SWITCH(L794,1,_xlfn.XLOOKUP(O794,[1]AttributeName!$B:$B,[1]AttributeName!$E:$E),2,_xlfn.XLOOKUP(C794,#REF!,#REF!),3,_xlfn.XLOOKUP(C794,#REF!,#REF!)),0)</f>
        <v>2</v>
      </c>
    </row>
    <row r="795" customFormat="1" spans="1:20">
      <c r="A795">
        <f t="shared" si="39"/>
        <v>311</v>
      </c>
      <c r="B795">
        <v>6</v>
      </c>
      <c r="C795" t="s">
        <v>431</v>
      </c>
      <c r="D795" t="s">
        <v>26</v>
      </c>
      <c r="E795" t="s">
        <v>378</v>
      </c>
      <c r="F795"/>
      <c r="G795">
        <v>1</v>
      </c>
      <c r="H795">
        <v>1000</v>
      </c>
      <c r="J795" cm="1">
        <f t="array" ref="J795">_xlfn.SWITCH(B795,1,75,2,61,3,49,4,37,5,25,6,13,7,4,8,1)</f>
        <v>13</v>
      </c>
      <c r="K795" t="str" cm="1">
        <f t="array" ref="K795">IFERROR(_xlfn.SWITCH(L795,2,_xlfn.XLOOKUP(C795,[1]ModifierDes!$B:$B,[1]ModifierDes!$C:$C),3,_xlfn.XLOOKUP(C795,[1]StuntDes!$B:$B,[1]StuntDes!$C:$C)),"")</f>
        <v/>
      </c>
      <c r="L795">
        <f t="shared" si="38"/>
        <v>1</v>
      </c>
      <c r="M795" s="10" t="str">
        <f>IFERROR(_xlfn.XLOOKUP(C795,[1]StuntDes!$B:$B,[1]StuntDes!$A:$A),"")</f>
        <v/>
      </c>
      <c r="N795" s="10" t="str">
        <f>IFERROR(_xlfn.XLOOKUP(C795,[1]ModifierDes!$B:$B,[1]ModifierDes!$A:$A),"")</f>
        <v/>
      </c>
      <c r="O795" s="10">
        <f>IFERROR(_xlfn.XLOOKUP(C795,[1]AttributeName!$C:$C,[1]AttributeName!$B:$B),"")</f>
        <v>10813</v>
      </c>
      <c r="P795" s="10"/>
      <c r="Q795">
        <v>0.03</v>
      </c>
      <c r="R795">
        <v>0.03</v>
      </c>
      <c r="S795" cm="1">
        <f t="array" ref="S795">IFERROR(_xlfn.SWITCH(L795,1,_xlfn.XLOOKUP(O795,[1]AttributeName!$B:$B,[1]AttributeName!$D:$D),2,_xlfn.XLOOKUP(C795,#REF!,#REF!),3,_xlfn.XLOOKUP(C795,#REF!,#REF!)),0)</f>
        <v>2</v>
      </c>
      <c r="T795" cm="1">
        <f t="array" ref="T795">IFERROR(_xlfn.SWITCH(L795,1,_xlfn.XLOOKUP(O795,[1]AttributeName!$B:$B,[1]AttributeName!$E:$E),2,_xlfn.XLOOKUP(C795,#REF!,#REF!),3,_xlfn.XLOOKUP(C795,#REF!,#REF!)),0)</f>
        <v>2</v>
      </c>
    </row>
    <row r="796" customFormat="1" spans="1:20">
      <c r="A796">
        <f t="shared" si="39"/>
        <v>311</v>
      </c>
      <c r="B796">
        <v>7</v>
      </c>
      <c r="C796" t="s">
        <v>431</v>
      </c>
      <c r="D796" t="s">
        <v>26</v>
      </c>
      <c r="E796" t="s">
        <v>378</v>
      </c>
      <c r="F796"/>
      <c r="G796">
        <v>1</v>
      </c>
      <c r="H796">
        <v>1000</v>
      </c>
      <c r="J796" cm="1">
        <f t="array" ref="J796">_xlfn.SWITCH(B796,1,75,2,61,3,49,4,37,5,25,6,13,7,4,8,1)</f>
        <v>4</v>
      </c>
      <c r="K796" t="str" cm="1">
        <f t="array" ref="K796">IFERROR(_xlfn.SWITCH(L796,2,_xlfn.XLOOKUP(C796,[1]ModifierDes!$B:$B,[1]ModifierDes!$C:$C),3,_xlfn.XLOOKUP(C796,[1]StuntDes!$B:$B,[1]StuntDes!$C:$C)),"")</f>
        <v/>
      </c>
      <c r="L796">
        <f t="shared" si="38"/>
        <v>1</v>
      </c>
      <c r="M796" s="10" t="str">
        <f>IFERROR(_xlfn.XLOOKUP(C796,[1]StuntDes!$B:$B,[1]StuntDes!$A:$A),"")</f>
        <v/>
      </c>
      <c r="N796" s="10" t="str">
        <f>IFERROR(_xlfn.XLOOKUP(C796,[1]ModifierDes!$B:$B,[1]ModifierDes!$A:$A),"")</f>
        <v/>
      </c>
      <c r="O796" s="10">
        <f>IFERROR(_xlfn.XLOOKUP(C796,[1]AttributeName!$C:$C,[1]AttributeName!$B:$B),"")</f>
        <v>10813</v>
      </c>
      <c r="P796" s="10"/>
      <c r="Q796">
        <v>0.02</v>
      </c>
      <c r="R796">
        <v>0.02</v>
      </c>
      <c r="S796" cm="1">
        <f t="array" ref="S796">IFERROR(_xlfn.SWITCH(L796,1,_xlfn.XLOOKUP(O796,[1]AttributeName!$B:$B,[1]AttributeName!$D:$D),2,_xlfn.XLOOKUP(C796,#REF!,#REF!),3,_xlfn.XLOOKUP(C796,#REF!,#REF!)),0)</f>
        <v>2</v>
      </c>
      <c r="T796" cm="1">
        <f t="array" ref="T796">IFERROR(_xlfn.SWITCH(L796,1,_xlfn.XLOOKUP(O796,[1]AttributeName!$B:$B,[1]AttributeName!$E:$E),2,_xlfn.XLOOKUP(C796,#REF!,#REF!),3,_xlfn.XLOOKUP(C796,#REF!,#REF!)),0)</f>
        <v>2</v>
      </c>
    </row>
    <row r="797" customFormat="1" spans="1:20">
      <c r="A797">
        <f t="shared" si="39"/>
        <v>311</v>
      </c>
      <c r="B797">
        <v>8</v>
      </c>
      <c r="C797" t="s">
        <v>431</v>
      </c>
      <c r="D797" t="s">
        <v>26</v>
      </c>
      <c r="E797" t="s">
        <v>378</v>
      </c>
      <c r="F797"/>
      <c r="G797">
        <v>1</v>
      </c>
      <c r="H797">
        <v>1000</v>
      </c>
      <c r="J797" cm="1">
        <f t="array" ref="J797">_xlfn.SWITCH(B797,1,75,2,61,3,49,4,37,5,25,6,13,7,4,8,1)</f>
        <v>1</v>
      </c>
      <c r="K797" t="str" cm="1">
        <f t="array" ref="K797">IFERROR(_xlfn.SWITCH(L797,2,_xlfn.XLOOKUP(C797,[1]ModifierDes!$B:$B,[1]ModifierDes!$C:$C),3,_xlfn.XLOOKUP(C797,[1]StuntDes!$B:$B,[1]StuntDes!$C:$C)),"")</f>
        <v/>
      </c>
      <c r="L797">
        <f t="shared" si="38"/>
        <v>1</v>
      </c>
      <c r="M797" s="10" t="str">
        <f>IFERROR(_xlfn.XLOOKUP(C797,[1]StuntDes!$B:$B,[1]StuntDes!$A:$A),"")</f>
        <v/>
      </c>
      <c r="N797" s="10" t="str">
        <f>IFERROR(_xlfn.XLOOKUP(C797,[1]ModifierDes!$B:$B,[1]ModifierDes!$A:$A),"")</f>
        <v/>
      </c>
      <c r="O797" s="10">
        <f>IFERROR(_xlfn.XLOOKUP(C797,[1]AttributeName!$C:$C,[1]AttributeName!$B:$B),"")</f>
        <v>10813</v>
      </c>
      <c r="P797" s="10"/>
      <c r="Q797">
        <v>0.01</v>
      </c>
      <c r="R797">
        <v>0.01</v>
      </c>
      <c r="S797" cm="1">
        <f t="array" ref="S797">IFERROR(_xlfn.SWITCH(L797,1,_xlfn.XLOOKUP(O797,[1]AttributeName!$B:$B,[1]AttributeName!$D:$D),2,_xlfn.XLOOKUP(C797,#REF!,#REF!),3,_xlfn.XLOOKUP(C797,#REF!,#REF!)),0)</f>
        <v>2</v>
      </c>
      <c r="T797" cm="1">
        <f t="array" ref="T797">IFERROR(_xlfn.SWITCH(L797,1,_xlfn.XLOOKUP(O797,[1]AttributeName!$B:$B,[1]AttributeName!$E:$E),2,_xlfn.XLOOKUP(C797,#REF!,#REF!),3,_xlfn.XLOOKUP(C797,#REF!,#REF!)),0)</f>
        <v>2</v>
      </c>
    </row>
    <row r="798" customFormat="1" spans="1:20">
      <c r="A798">
        <f t="shared" si="39"/>
        <v>312</v>
      </c>
      <c r="B798">
        <v>1</v>
      </c>
      <c r="C798" t="s">
        <v>419</v>
      </c>
      <c r="D798" t="s">
        <v>26</v>
      </c>
      <c r="E798" t="s">
        <v>378</v>
      </c>
      <c r="F798"/>
      <c r="G798">
        <v>1</v>
      </c>
      <c r="H798">
        <v>250</v>
      </c>
      <c r="J798" cm="1">
        <f t="array" ref="J798">_xlfn.SWITCH(B798,1,75,2,61,3,49,4,37,5,25,6,13,7,4,8,1)</f>
        <v>75</v>
      </c>
      <c r="K798" t="str" cm="1">
        <f t="array" ref="K798">IFERROR(_xlfn.SWITCH(L798,2,_xlfn.XLOOKUP(C798,[1]ModifierDes!$B:$B,[1]ModifierDes!$C:$C),3,_xlfn.XLOOKUP(C798,[1]StuntDes!$B:$B,[1]StuntDes!$C:$C)),"")</f>
        <v/>
      </c>
      <c r="L798">
        <f t="shared" si="38"/>
        <v>1</v>
      </c>
      <c r="M798" s="10" t="str">
        <f>IFERROR(_xlfn.XLOOKUP(C798,[1]StuntDes!$B:$B,[1]StuntDes!$A:$A),"")</f>
        <v/>
      </c>
      <c r="N798" s="10" t="str">
        <f>IFERROR(_xlfn.XLOOKUP(C798,[1]ModifierDes!$B:$B,[1]ModifierDes!$A:$A),"")</f>
        <v/>
      </c>
      <c r="O798" s="10">
        <f>IFERROR(_xlfn.XLOOKUP(C798,[1]AttributeName!$C:$C,[1]AttributeName!$B:$B),"")</f>
        <v>11012</v>
      </c>
      <c r="P798" s="10"/>
      <c r="Q798">
        <v>0.08</v>
      </c>
      <c r="R798">
        <v>0.1</v>
      </c>
      <c r="S798" cm="1">
        <f t="array" ref="S798">IFERROR(_xlfn.SWITCH(L798,1,_xlfn.XLOOKUP(O798,[1]AttributeName!$B:$B,[1]AttributeName!$D:$D),2,_xlfn.XLOOKUP(C798,#REF!,#REF!),3,_xlfn.XLOOKUP(C798,#REF!,#REF!)),0)</f>
        <v>2</v>
      </c>
      <c r="T798" cm="1">
        <f t="array" ref="T798">IFERROR(_xlfn.SWITCH(L798,1,_xlfn.XLOOKUP(O798,[1]AttributeName!$B:$B,[1]AttributeName!$E:$E),2,_xlfn.XLOOKUP(C798,#REF!,#REF!),3,_xlfn.XLOOKUP(C798,#REF!,#REF!)),0)</f>
        <v>2</v>
      </c>
    </row>
    <row r="799" customFormat="1" spans="1:20">
      <c r="A799">
        <f t="shared" si="39"/>
        <v>312</v>
      </c>
      <c r="B799">
        <v>2</v>
      </c>
      <c r="C799" t="s">
        <v>419</v>
      </c>
      <c r="D799" t="s">
        <v>26</v>
      </c>
      <c r="E799" t="s">
        <v>378</v>
      </c>
      <c r="F799"/>
      <c r="G799">
        <v>1</v>
      </c>
      <c r="H799">
        <v>500</v>
      </c>
      <c r="J799" cm="1">
        <f t="array" ref="J799">_xlfn.SWITCH(B799,1,75,2,61,3,49,4,37,5,25,6,13,7,4,8,1)</f>
        <v>61</v>
      </c>
      <c r="K799" t="str" cm="1">
        <f t="array" ref="K799">IFERROR(_xlfn.SWITCH(L799,2,_xlfn.XLOOKUP(C799,[1]ModifierDes!$B:$B,[1]ModifierDes!$C:$C),3,_xlfn.XLOOKUP(C799,[1]StuntDes!$B:$B,[1]StuntDes!$C:$C)),"")</f>
        <v/>
      </c>
      <c r="L799">
        <f t="shared" si="38"/>
        <v>1</v>
      </c>
      <c r="M799" s="10" t="str">
        <f>IFERROR(_xlfn.XLOOKUP(C799,[1]StuntDes!$B:$B,[1]StuntDes!$A:$A),"")</f>
        <v/>
      </c>
      <c r="N799" s="10" t="str">
        <f>IFERROR(_xlfn.XLOOKUP(C799,[1]ModifierDes!$B:$B,[1]ModifierDes!$A:$A),"")</f>
        <v/>
      </c>
      <c r="O799" s="10">
        <f>IFERROR(_xlfn.XLOOKUP(C799,[1]AttributeName!$C:$C,[1]AttributeName!$B:$B),"")</f>
        <v>11012</v>
      </c>
      <c r="P799" s="10"/>
      <c r="Q799">
        <v>0.07</v>
      </c>
      <c r="R799">
        <v>0.07</v>
      </c>
      <c r="S799" cm="1">
        <f t="array" ref="S799">IFERROR(_xlfn.SWITCH(L799,1,_xlfn.XLOOKUP(O799,[1]AttributeName!$B:$B,[1]AttributeName!$D:$D),2,_xlfn.XLOOKUP(C799,#REF!,#REF!),3,_xlfn.XLOOKUP(C799,#REF!,#REF!)),0)</f>
        <v>2</v>
      </c>
      <c r="T799" cm="1">
        <f t="array" ref="T799">IFERROR(_xlfn.SWITCH(L799,1,_xlfn.XLOOKUP(O799,[1]AttributeName!$B:$B,[1]AttributeName!$E:$E),2,_xlfn.XLOOKUP(C799,#REF!,#REF!),3,_xlfn.XLOOKUP(C799,#REF!,#REF!)),0)</f>
        <v>2</v>
      </c>
    </row>
    <row r="800" customFormat="1" spans="1:20">
      <c r="A800">
        <f t="shared" si="39"/>
        <v>312</v>
      </c>
      <c r="B800">
        <v>3</v>
      </c>
      <c r="C800" t="s">
        <v>419</v>
      </c>
      <c r="D800" t="s">
        <v>26</v>
      </c>
      <c r="E800" t="s">
        <v>378</v>
      </c>
      <c r="F800"/>
      <c r="G800">
        <v>1</v>
      </c>
      <c r="H800">
        <v>750</v>
      </c>
      <c r="J800" cm="1">
        <f t="array" ref="J800">_xlfn.SWITCH(B800,1,75,2,61,3,49,4,37,5,25,6,13,7,4,8,1)</f>
        <v>49</v>
      </c>
      <c r="K800" t="str" cm="1">
        <f t="array" ref="K800">IFERROR(_xlfn.SWITCH(L800,2,_xlfn.XLOOKUP(C800,[1]ModifierDes!$B:$B,[1]ModifierDes!$C:$C),3,_xlfn.XLOOKUP(C800,[1]StuntDes!$B:$B,[1]StuntDes!$C:$C)),"")</f>
        <v/>
      </c>
      <c r="L800">
        <f t="shared" si="38"/>
        <v>1</v>
      </c>
      <c r="M800" s="10" t="str">
        <f>IFERROR(_xlfn.XLOOKUP(C800,[1]StuntDes!$B:$B,[1]StuntDes!$A:$A),"")</f>
        <v/>
      </c>
      <c r="N800" s="10" t="str">
        <f>IFERROR(_xlfn.XLOOKUP(C800,[1]ModifierDes!$B:$B,[1]ModifierDes!$A:$A),"")</f>
        <v/>
      </c>
      <c r="O800" s="10">
        <f>IFERROR(_xlfn.XLOOKUP(C800,[1]AttributeName!$C:$C,[1]AttributeName!$B:$B),"")</f>
        <v>11012</v>
      </c>
      <c r="P800" s="10"/>
      <c r="Q800">
        <v>0.06</v>
      </c>
      <c r="R800">
        <v>0.06</v>
      </c>
      <c r="S800" cm="1">
        <f t="array" ref="S800">IFERROR(_xlfn.SWITCH(L800,1,_xlfn.XLOOKUP(O800,[1]AttributeName!$B:$B,[1]AttributeName!$D:$D),2,_xlfn.XLOOKUP(C800,#REF!,#REF!),3,_xlfn.XLOOKUP(C800,#REF!,#REF!)),0)</f>
        <v>2</v>
      </c>
      <c r="T800" cm="1">
        <f t="array" ref="T800">IFERROR(_xlfn.SWITCH(L800,1,_xlfn.XLOOKUP(O800,[1]AttributeName!$B:$B,[1]AttributeName!$E:$E),2,_xlfn.XLOOKUP(C800,#REF!,#REF!),3,_xlfn.XLOOKUP(C800,#REF!,#REF!)),0)</f>
        <v>2</v>
      </c>
    </row>
    <row r="801" customFormat="1" spans="1:20">
      <c r="A801">
        <f t="shared" si="39"/>
        <v>312</v>
      </c>
      <c r="B801">
        <v>4</v>
      </c>
      <c r="C801" t="s">
        <v>419</v>
      </c>
      <c r="D801" t="s">
        <v>26</v>
      </c>
      <c r="E801" t="s">
        <v>378</v>
      </c>
      <c r="F801"/>
      <c r="G801">
        <v>1</v>
      </c>
      <c r="H801">
        <v>1000</v>
      </c>
      <c r="J801" cm="1">
        <f t="array" ref="J801">_xlfn.SWITCH(B801,1,75,2,61,3,49,4,37,5,25,6,13,7,4,8,1)</f>
        <v>37</v>
      </c>
      <c r="K801" t="str" cm="1">
        <f t="array" ref="K801">IFERROR(_xlfn.SWITCH(L801,2,_xlfn.XLOOKUP(C801,[1]ModifierDes!$B:$B,[1]ModifierDes!$C:$C),3,_xlfn.XLOOKUP(C801,[1]StuntDes!$B:$B,[1]StuntDes!$C:$C)),"")</f>
        <v/>
      </c>
      <c r="L801">
        <f t="shared" si="38"/>
        <v>1</v>
      </c>
      <c r="M801" s="10" t="str">
        <f>IFERROR(_xlfn.XLOOKUP(C801,[1]StuntDes!$B:$B,[1]StuntDes!$A:$A),"")</f>
        <v/>
      </c>
      <c r="N801" s="10" t="str">
        <f>IFERROR(_xlfn.XLOOKUP(C801,[1]ModifierDes!$B:$B,[1]ModifierDes!$A:$A),"")</f>
        <v/>
      </c>
      <c r="O801" s="10">
        <f>IFERROR(_xlfn.XLOOKUP(C801,[1]AttributeName!$C:$C,[1]AttributeName!$B:$B),"")</f>
        <v>11012</v>
      </c>
      <c r="P801" s="10"/>
      <c r="Q801">
        <v>0.05</v>
      </c>
      <c r="R801">
        <v>0.05</v>
      </c>
      <c r="S801" cm="1">
        <f t="array" ref="S801">IFERROR(_xlfn.SWITCH(L801,1,_xlfn.XLOOKUP(O801,[1]AttributeName!$B:$B,[1]AttributeName!$D:$D),2,_xlfn.XLOOKUP(C801,#REF!,#REF!),3,_xlfn.XLOOKUP(C801,#REF!,#REF!)),0)</f>
        <v>2</v>
      </c>
      <c r="T801" cm="1">
        <f t="array" ref="T801">IFERROR(_xlfn.SWITCH(L801,1,_xlfn.XLOOKUP(O801,[1]AttributeName!$B:$B,[1]AttributeName!$E:$E),2,_xlfn.XLOOKUP(C801,#REF!,#REF!),3,_xlfn.XLOOKUP(C801,#REF!,#REF!)),0)</f>
        <v>2</v>
      </c>
    </row>
    <row r="802" customFormat="1" spans="1:20">
      <c r="A802">
        <f t="shared" si="39"/>
        <v>312</v>
      </c>
      <c r="B802">
        <v>5</v>
      </c>
      <c r="C802" t="s">
        <v>419</v>
      </c>
      <c r="D802" t="s">
        <v>26</v>
      </c>
      <c r="E802" t="s">
        <v>378</v>
      </c>
      <c r="F802"/>
      <c r="G802">
        <v>1</v>
      </c>
      <c r="H802">
        <v>1000</v>
      </c>
      <c r="J802" cm="1">
        <f t="array" ref="J802">_xlfn.SWITCH(B802,1,75,2,61,3,49,4,37,5,25,6,13,7,4,8,1)</f>
        <v>25</v>
      </c>
      <c r="K802" t="str" cm="1">
        <f t="array" ref="K802">IFERROR(_xlfn.SWITCH(L802,2,_xlfn.XLOOKUP(C802,[1]ModifierDes!$B:$B,[1]ModifierDes!$C:$C),3,_xlfn.XLOOKUP(C802,[1]StuntDes!$B:$B,[1]StuntDes!$C:$C)),"")</f>
        <v/>
      </c>
      <c r="L802">
        <f t="shared" si="38"/>
        <v>1</v>
      </c>
      <c r="M802" s="10" t="str">
        <f>IFERROR(_xlfn.XLOOKUP(C802,[1]StuntDes!$B:$B,[1]StuntDes!$A:$A),"")</f>
        <v/>
      </c>
      <c r="N802" s="10" t="str">
        <f>IFERROR(_xlfn.XLOOKUP(C802,[1]ModifierDes!$B:$B,[1]ModifierDes!$A:$A),"")</f>
        <v/>
      </c>
      <c r="O802" s="10">
        <f>IFERROR(_xlfn.XLOOKUP(C802,[1]AttributeName!$C:$C,[1]AttributeName!$B:$B),"")</f>
        <v>11012</v>
      </c>
      <c r="P802" s="10"/>
      <c r="Q802">
        <v>0.04</v>
      </c>
      <c r="R802">
        <v>0.04</v>
      </c>
      <c r="S802" cm="1">
        <f t="array" ref="S802">IFERROR(_xlfn.SWITCH(L802,1,_xlfn.XLOOKUP(O802,[1]AttributeName!$B:$B,[1]AttributeName!$D:$D),2,_xlfn.XLOOKUP(C802,#REF!,#REF!),3,_xlfn.XLOOKUP(C802,#REF!,#REF!)),0)</f>
        <v>2</v>
      </c>
      <c r="T802" cm="1">
        <f t="array" ref="T802">IFERROR(_xlfn.SWITCH(L802,1,_xlfn.XLOOKUP(O802,[1]AttributeName!$B:$B,[1]AttributeName!$E:$E),2,_xlfn.XLOOKUP(C802,#REF!,#REF!),3,_xlfn.XLOOKUP(C802,#REF!,#REF!)),0)</f>
        <v>2</v>
      </c>
    </row>
    <row r="803" customFormat="1" spans="1:20">
      <c r="A803">
        <f t="shared" si="39"/>
        <v>312</v>
      </c>
      <c r="B803">
        <v>6</v>
      </c>
      <c r="C803" t="s">
        <v>419</v>
      </c>
      <c r="D803" t="s">
        <v>26</v>
      </c>
      <c r="E803" t="s">
        <v>378</v>
      </c>
      <c r="F803"/>
      <c r="G803">
        <v>1</v>
      </c>
      <c r="H803">
        <v>1000</v>
      </c>
      <c r="J803" cm="1">
        <f t="array" ref="J803">_xlfn.SWITCH(B803,1,75,2,61,3,49,4,37,5,25,6,13,7,4,8,1)</f>
        <v>13</v>
      </c>
      <c r="K803" t="str" cm="1">
        <f t="array" ref="K803">IFERROR(_xlfn.SWITCH(L803,2,_xlfn.XLOOKUP(C803,[1]ModifierDes!$B:$B,[1]ModifierDes!$C:$C),3,_xlfn.XLOOKUP(C803,[1]StuntDes!$B:$B,[1]StuntDes!$C:$C)),"")</f>
        <v/>
      </c>
      <c r="L803">
        <f t="shared" si="38"/>
        <v>1</v>
      </c>
      <c r="M803" s="10" t="str">
        <f>IFERROR(_xlfn.XLOOKUP(C803,[1]StuntDes!$B:$B,[1]StuntDes!$A:$A),"")</f>
        <v/>
      </c>
      <c r="N803" s="10" t="str">
        <f>IFERROR(_xlfn.XLOOKUP(C803,[1]ModifierDes!$B:$B,[1]ModifierDes!$A:$A),"")</f>
        <v/>
      </c>
      <c r="O803" s="10">
        <f>IFERROR(_xlfn.XLOOKUP(C803,[1]AttributeName!$C:$C,[1]AttributeName!$B:$B),"")</f>
        <v>11012</v>
      </c>
      <c r="P803" s="10"/>
      <c r="Q803">
        <v>0.03</v>
      </c>
      <c r="R803">
        <v>0.03</v>
      </c>
      <c r="S803" cm="1">
        <f t="array" ref="S803">IFERROR(_xlfn.SWITCH(L803,1,_xlfn.XLOOKUP(O803,[1]AttributeName!$B:$B,[1]AttributeName!$D:$D),2,_xlfn.XLOOKUP(C803,#REF!,#REF!),3,_xlfn.XLOOKUP(C803,#REF!,#REF!)),0)</f>
        <v>2</v>
      </c>
      <c r="T803" cm="1">
        <f t="array" ref="T803">IFERROR(_xlfn.SWITCH(L803,1,_xlfn.XLOOKUP(O803,[1]AttributeName!$B:$B,[1]AttributeName!$E:$E),2,_xlfn.XLOOKUP(C803,#REF!,#REF!),3,_xlfn.XLOOKUP(C803,#REF!,#REF!)),0)</f>
        <v>2</v>
      </c>
    </row>
    <row r="804" customFormat="1" spans="1:20">
      <c r="A804">
        <f t="shared" si="39"/>
        <v>312</v>
      </c>
      <c r="B804">
        <v>7</v>
      </c>
      <c r="C804" t="s">
        <v>419</v>
      </c>
      <c r="D804" t="s">
        <v>26</v>
      </c>
      <c r="E804" t="s">
        <v>378</v>
      </c>
      <c r="F804"/>
      <c r="G804">
        <v>1</v>
      </c>
      <c r="H804">
        <v>1000</v>
      </c>
      <c r="J804" cm="1">
        <f t="array" ref="J804">_xlfn.SWITCH(B804,1,75,2,61,3,49,4,37,5,25,6,13,7,4,8,1)</f>
        <v>4</v>
      </c>
      <c r="K804" t="str" cm="1">
        <f t="array" ref="K804">IFERROR(_xlfn.SWITCH(L804,2,_xlfn.XLOOKUP(C804,[1]ModifierDes!$B:$B,[1]ModifierDes!$C:$C),3,_xlfn.XLOOKUP(C804,[1]StuntDes!$B:$B,[1]StuntDes!$C:$C)),"")</f>
        <v/>
      </c>
      <c r="L804">
        <f t="shared" si="38"/>
        <v>1</v>
      </c>
      <c r="M804" s="10" t="str">
        <f>IFERROR(_xlfn.XLOOKUP(C804,[1]StuntDes!$B:$B,[1]StuntDes!$A:$A),"")</f>
        <v/>
      </c>
      <c r="N804" s="10" t="str">
        <f>IFERROR(_xlfn.XLOOKUP(C804,[1]ModifierDes!$B:$B,[1]ModifierDes!$A:$A),"")</f>
        <v/>
      </c>
      <c r="O804" s="10">
        <f>IFERROR(_xlfn.XLOOKUP(C804,[1]AttributeName!$C:$C,[1]AttributeName!$B:$B),"")</f>
        <v>11012</v>
      </c>
      <c r="P804" s="10"/>
      <c r="Q804">
        <v>0.02</v>
      </c>
      <c r="R804">
        <v>0.02</v>
      </c>
      <c r="S804" cm="1">
        <f t="array" ref="S804">IFERROR(_xlfn.SWITCH(L804,1,_xlfn.XLOOKUP(O804,[1]AttributeName!$B:$B,[1]AttributeName!$D:$D),2,_xlfn.XLOOKUP(C804,#REF!,#REF!),3,_xlfn.XLOOKUP(C804,#REF!,#REF!)),0)</f>
        <v>2</v>
      </c>
      <c r="T804" cm="1">
        <f t="array" ref="T804">IFERROR(_xlfn.SWITCH(L804,1,_xlfn.XLOOKUP(O804,[1]AttributeName!$B:$B,[1]AttributeName!$E:$E),2,_xlfn.XLOOKUP(C804,#REF!,#REF!),3,_xlfn.XLOOKUP(C804,#REF!,#REF!)),0)</f>
        <v>2</v>
      </c>
    </row>
    <row r="805" customFormat="1" spans="1:20">
      <c r="A805">
        <f t="shared" si="39"/>
        <v>312</v>
      </c>
      <c r="B805">
        <v>8</v>
      </c>
      <c r="C805" t="s">
        <v>419</v>
      </c>
      <c r="D805" t="s">
        <v>26</v>
      </c>
      <c r="E805" t="s">
        <v>378</v>
      </c>
      <c r="F805"/>
      <c r="G805">
        <v>1</v>
      </c>
      <c r="H805">
        <v>1000</v>
      </c>
      <c r="J805" cm="1">
        <f t="array" ref="J805">_xlfn.SWITCH(B805,1,75,2,61,3,49,4,37,5,25,6,13,7,4,8,1)</f>
        <v>1</v>
      </c>
      <c r="K805" t="str" cm="1">
        <f t="array" ref="K805">IFERROR(_xlfn.SWITCH(L805,2,_xlfn.XLOOKUP(C805,[1]ModifierDes!$B:$B,[1]ModifierDes!$C:$C),3,_xlfn.XLOOKUP(C805,[1]StuntDes!$B:$B,[1]StuntDes!$C:$C)),"")</f>
        <v/>
      </c>
      <c r="L805">
        <f t="shared" si="38"/>
        <v>1</v>
      </c>
      <c r="M805" s="10" t="str">
        <f>IFERROR(_xlfn.XLOOKUP(C805,[1]StuntDes!$B:$B,[1]StuntDes!$A:$A),"")</f>
        <v/>
      </c>
      <c r="N805" s="10" t="str">
        <f>IFERROR(_xlfn.XLOOKUP(C805,[1]ModifierDes!$B:$B,[1]ModifierDes!$A:$A),"")</f>
        <v/>
      </c>
      <c r="O805" s="10">
        <f>IFERROR(_xlfn.XLOOKUP(C805,[1]AttributeName!$C:$C,[1]AttributeName!$B:$B),"")</f>
        <v>11012</v>
      </c>
      <c r="P805" s="10"/>
      <c r="Q805">
        <v>0.01</v>
      </c>
      <c r="R805">
        <v>0.01</v>
      </c>
      <c r="S805" cm="1">
        <f t="array" ref="S805">IFERROR(_xlfn.SWITCH(L805,1,_xlfn.XLOOKUP(O805,[1]AttributeName!$B:$B,[1]AttributeName!$D:$D),2,_xlfn.XLOOKUP(C805,#REF!,#REF!),3,_xlfn.XLOOKUP(C805,#REF!,#REF!)),0)</f>
        <v>2</v>
      </c>
      <c r="T805" cm="1">
        <f t="array" ref="T805">IFERROR(_xlfn.SWITCH(L805,1,_xlfn.XLOOKUP(O805,[1]AttributeName!$B:$B,[1]AttributeName!$E:$E),2,_xlfn.XLOOKUP(C805,#REF!,#REF!),3,_xlfn.XLOOKUP(C805,#REF!,#REF!)),0)</f>
        <v>2</v>
      </c>
    </row>
    <row r="806" customFormat="1" spans="1:20">
      <c r="A806">
        <f t="shared" si="39"/>
        <v>313</v>
      </c>
      <c r="B806">
        <v>1</v>
      </c>
      <c r="C806" t="s">
        <v>420</v>
      </c>
      <c r="D806" t="s">
        <v>26</v>
      </c>
      <c r="E806" t="s">
        <v>378</v>
      </c>
      <c r="F806"/>
      <c r="G806">
        <v>1</v>
      </c>
      <c r="H806">
        <v>250</v>
      </c>
      <c r="J806" cm="1">
        <f t="array" ref="J806">_xlfn.SWITCH(B806,1,75,2,61,3,49,4,37,5,25,6,13,7,4,8,1)</f>
        <v>75</v>
      </c>
      <c r="K806" t="str" cm="1">
        <f t="array" ref="K806">IFERROR(_xlfn.SWITCH(L806,2,_xlfn.XLOOKUP(C806,[1]ModifierDes!$B:$B,[1]ModifierDes!$C:$C),3,_xlfn.XLOOKUP(C806,[1]StuntDes!$B:$B,[1]StuntDes!$C:$C)),"")</f>
        <v/>
      </c>
      <c r="L806">
        <f t="shared" si="38"/>
        <v>1</v>
      </c>
      <c r="M806" s="10" t="str">
        <f>IFERROR(_xlfn.XLOOKUP(C806,[1]StuntDes!$B:$B,[1]StuntDes!$A:$A),"")</f>
        <v/>
      </c>
      <c r="N806" s="10" t="str">
        <f>IFERROR(_xlfn.XLOOKUP(C806,[1]ModifierDes!$B:$B,[1]ModifierDes!$A:$A),"")</f>
        <v/>
      </c>
      <c r="O806" s="10">
        <f>IFERROR(_xlfn.XLOOKUP(C806,[1]AttributeName!$C:$C,[1]AttributeName!$B:$B),"")</f>
        <v>11013</v>
      </c>
      <c r="P806" s="10"/>
      <c r="Q806">
        <v>0.08</v>
      </c>
      <c r="R806">
        <v>0.1</v>
      </c>
      <c r="S806" cm="1">
        <f t="array" ref="S806">IFERROR(_xlfn.SWITCH(L806,1,_xlfn.XLOOKUP(O806,[1]AttributeName!$B:$B,[1]AttributeName!$D:$D),2,_xlfn.XLOOKUP(C806,#REF!,#REF!),3,_xlfn.XLOOKUP(C806,#REF!,#REF!)),0)</f>
        <v>2</v>
      </c>
      <c r="T806" cm="1">
        <f t="array" ref="T806">IFERROR(_xlfn.SWITCH(L806,1,_xlfn.XLOOKUP(O806,[1]AttributeName!$B:$B,[1]AttributeName!$E:$E),2,_xlfn.XLOOKUP(C806,#REF!,#REF!),3,_xlfn.XLOOKUP(C806,#REF!,#REF!)),0)</f>
        <v>2</v>
      </c>
    </row>
    <row r="807" customFormat="1" spans="1:20">
      <c r="A807">
        <f t="shared" si="39"/>
        <v>313</v>
      </c>
      <c r="B807">
        <v>2</v>
      </c>
      <c r="C807" t="s">
        <v>420</v>
      </c>
      <c r="D807" t="s">
        <v>26</v>
      </c>
      <c r="E807" t="s">
        <v>378</v>
      </c>
      <c r="F807"/>
      <c r="G807">
        <v>1</v>
      </c>
      <c r="H807">
        <v>500</v>
      </c>
      <c r="J807" cm="1">
        <f t="array" ref="J807">_xlfn.SWITCH(B807,1,75,2,61,3,49,4,37,5,25,6,13,7,4,8,1)</f>
        <v>61</v>
      </c>
      <c r="K807" t="str" cm="1">
        <f t="array" ref="K807">IFERROR(_xlfn.SWITCH(L807,2,_xlfn.XLOOKUP(C807,[1]ModifierDes!$B:$B,[1]ModifierDes!$C:$C),3,_xlfn.XLOOKUP(C807,[1]StuntDes!$B:$B,[1]StuntDes!$C:$C)),"")</f>
        <v/>
      </c>
      <c r="L807">
        <f t="shared" si="38"/>
        <v>1</v>
      </c>
      <c r="M807" s="10" t="str">
        <f>IFERROR(_xlfn.XLOOKUP(C807,[1]StuntDes!$B:$B,[1]StuntDes!$A:$A),"")</f>
        <v/>
      </c>
      <c r="N807" s="10" t="str">
        <f>IFERROR(_xlfn.XLOOKUP(C807,[1]ModifierDes!$B:$B,[1]ModifierDes!$A:$A),"")</f>
        <v/>
      </c>
      <c r="O807" s="10">
        <f>IFERROR(_xlfn.XLOOKUP(C807,[1]AttributeName!$C:$C,[1]AttributeName!$B:$B),"")</f>
        <v>11013</v>
      </c>
      <c r="P807" s="10"/>
      <c r="Q807">
        <v>0.07</v>
      </c>
      <c r="R807">
        <v>0.07</v>
      </c>
      <c r="S807" cm="1">
        <f t="array" ref="S807">IFERROR(_xlfn.SWITCH(L807,1,_xlfn.XLOOKUP(O807,[1]AttributeName!$B:$B,[1]AttributeName!$D:$D),2,_xlfn.XLOOKUP(C807,#REF!,#REF!),3,_xlfn.XLOOKUP(C807,#REF!,#REF!)),0)</f>
        <v>2</v>
      </c>
      <c r="T807" cm="1">
        <f t="array" ref="T807">IFERROR(_xlfn.SWITCH(L807,1,_xlfn.XLOOKUP(O807,[1]AttributeName!$B:$B,[1]AttributeName!$E:$E),2,_xlfn.XLOOKUP(C807,#REF!,#REF!),3,_xlfn.XLOOKUP(C807,#REF!,#REF!)),0)</f>
        <v>2</v>
      </c>
    </row>
    <row r="808" customFormat="1" spans="1:20">
      <c r="A808">
        <f t="shared" si="39"/>
        <v>313</v>
      </c>
      <c r="B808">
        <v>3</v>
      </c>
      <c r="C808" t="s">
        <v>420</v>
      </c>
      <c r="D808" t="s">
        <v>26</v>
      </c>
      <c r="E808" t="s">
        <v>378</v>
      </c>
      <c r="F808"/>
      <c r="G808">
        <v>1</v>
      </c>
      <c r="H808">
        <v>750</v>
      </c>
      <c r="J808" cm="1">
        <f t="array" ref="J808">_xlfn.SWITCH(B808,1,75,2,61,3,49,4,37,5,25,6,13,7,4,8,1)</f>
        <v>49</v>
      </c>
      <c r="K808" t="str" cm="1">
        <f t="array" ref="K808">IFERROR(_xlfn.SWITCH(L808,2,_xlfn.XLOOKUP(C808,[1]ModifierDes!$B:$B,[1]ModifierDes!$C:$C),3,_xlfn.XLOOKUP(C808,[1]StuntDes!$B:$B,[1]StuntDes!$C:$C)),"")</f>
        <v/>
      </c>
      <c r="L808">
        <f t="shared" si="38"/>
        <v>1</v>
      </c>
      <c r="M808" s="10" t="str">
        <f>IFERROR(_xlfn.XLOOKUP(C808,[1]StuntDes!$B:$B,[1]StuntDes!$A:$A),"")</f>
        <v/>
      </c>
      <c r="N808" s="10" t="str">
        <f>IFERROR(_xlfn.XLOOKUP(C808,[1]ModifierDes!$B:$B,[1]ModifierDes!$A:$A),"")</f>
        <v/>
      </c>
      <c r="O808" s="10">
        <f>IFERROR(_xlfn.XLOOKUP(C808,[1]AttributeName!$C:$C,[1]AttributeName!$B:$B),"")</f>
        <v>11013</v>
      </c>
      <c r="P808" s="10"/>
      <c r="Q808">
        <v>0.06</v>
      </c>
      <c r="R808">
        <v>0.06</v>
      </c>
      <c r="S808" cm="1">
        <f t="array" ref="S808">IFERROR(_xlfn.SWITCH(L808,1,_xlfn.XLOOKUP(O808,[1]AttributeName!$B:$B,[1]AttributeName!$D:$D),2,_xlfn.XLOOKUP(C808,#REF!,#REF!),3,_xlfn.XLOOKUP(C808,#REF!,#REF!)),0)</f>
        <v>2</v>
      </c>
      <c r="T808" cm="1">
        <f t="array" ref="T808">IFERROR(_xlfn.SWITCH(L808,1,_xlfn.XLOOKUP(O808,[1]AttributeName!$B:$B,[1]AttributeName!$E:$E),2,_xlfn.XLOOKUP(C808,#REF!,#REF!),3,_xlfn.XLOOKUP(C808,#REF!,#REF!)),0)</f>
        <v>2</v>
      </c>
    </row>
    <row r="809" customFormat="1" spans="1:20">
      <c r="A809">
        <f t="shared" si="39"/>
        <v>313</v>
      </c>
      <c r="B809">
        <v>4</v>
      </c>
      <c r="C809" t="s">
        <v>420</v>
      </c>
      <c r="D809" t="s">
        <v>26</v>
      </c>
      <c r="E809" t="s">
        <v>378</v>
      </c>
      <c r="F809"/>
      <c r="G809">
        <v>1</v>
      </c>
      <c r="H809">
        <v>1000</v>
      </c>
      <c r="J809" cm="1">
        <f t="array" ref="J809">_xlfn.SWITCH(B809,1,75,2,61,3,49,4,37,5,25,6,13,7,4,8,1)</f>
        <v>37</v>
      </c>
      <c r="K809" t="str" cm="1">
        <f t="array" ref="K809">IFERROR(_xlfn.SWITCH(L809,2,_xlfn.XLOOKUP(C809,[1]ModifierDes!$B:$B,[1]ModifierDes!$C:$C),3,_xlfn.XLOOKUP(C809,[1]StuntDes!$B:$B,[1]StuntDes!$C:$C)),"")</f>
        <v/>
      </c>
      <c r="L809">
        <f t="shared" si="38"/>
        <v>1</v>
      </c>
      <c r="M809" s="10" t="str">
        <f>IFERROR(_xlfn.XLOOKUP(C809,[1]StuntDes!$B:$B,[1]StuntDes!$A:$A),"")</f>
        <v/>
      </c>
      <c r="N809" s="10" t="str">
        <f>IFERROR(_xlfn.XLOOKUP(C809,[1]ModifierDes!$B:$B,[1]ModifierDes!$A:$A),"")</f>
        <v/>
      </c>
      <c r="O809" s="10">
        <f>IFERROR(_xlfn.XLOOKUP(C809,[1]AttributeName!$C:$C,[1]AttributeName!$B:$B),"")</f>
        <v>11013</v>
      </c>
      <c r="P809" s="10"/>
      <c r="Q809">
        <v>0.05</v>
      </c>
      <c r="R809">
        <v>0.05</v>
      </c>
      <c r="S809" cm="1">
        <f t="array" ref="S809">IFERROR(_xlfn.SWITCH(L809,1,_xlfn.XLOOKUP(O809,[1]AttributeName!$B:$B,[1]AttributeName!$D:$D),2,_xlfn.XLOOKUP(C809,#REF!,#REF!),3,_xlfn.XLOOKUP(C809,#REF!,#REF!)),0)</f>
        <v>2</v>
      </c>
      <c r="T809" cm="1">
        <f t="array" ref="T809">IFERROR(_xlfn.SWITCH(L809,1,_xlfn.XLOOKUP(O809,[1]AttributeName!$B:$B,[1]AttributeName!$E:$E),2,_xlfn.XLOOKUP(C809,#REF!,#REF!),3,_xlfn.XLOOKUP(C809,#REF!,#REF!)),0)</f>
        <v>2</v>
      </c>
    </row>
    <row r="810" customFormat="1" spans="1:20">
      <c r="A810">
        <f t="shared" si="39"/>
        <v>313</v>
      </c>
      <c r="B810">
        <v>5</v>
      </c>
      <c r="C810" t="s">
        <v>420</v>
      </c>
      <c r="D810" t="s">
        <v>26</v>
      </c>
      <c r="E810" t="s">
        <v>378</v>
      </c>
      <c r="F810"/>
      <c r="G810">
        <v>1</v>
      </c>
      <c r="H810">
        <v>1000</v>
      </c>
      <c r="J810" cm="1">
        <f t="array" ref="J810">_xlfn.SWITCH(B810,1,75,2,61,3,49,4,37,5,25,6,13,7,4,8,1)</f>
        <v>25</v>
      </c>
      <c r="K810" t="str" cm="1">
        <f t="array" ref="K810">IFERROR(_xlfn.SWITCH(L810,2,_xlfn.XLOOKUP(C810,[1]ModifierDes!$B:$B,[1]ModifierDes!$C:$C),3,_xlfn.XLOOKUP(C810,[1]StuntDes!$B:$B,[1]StuntDes!$C:$C)),"")</f>
        <v/>
      </c>
      <c r="L810">
        <f t="shared" si="38"/>
        <v>1</v>
      </c>
      <c r="M810" s="10" t="str">
        <f>IFERROR(_xlfn.XLOOKUP(C810,[1]StuntDes!$B:$B,[1]StuntDes!$A:$A),"")</f>
        <v/>
      </c>
      <c r="N810" s="10" t="str">
        <f>IFERROR(_xlfn.XLOOKUP(C810,[1]ModifierDes!$B:$B,[1]ModifierDes!$A:$A),"")</f>
        <v/>
      </c>
      <c r="O810" s="10">
        <f>IFERROR(_xlfn.XLOOKUP(C810,[1]AttributeName!$C:$C,[1]AttributeName!$B:$B),"")</f>
        <v>11013</v>
      </c>
      <c r="P810" s="10"/>
      <c r="Q810">
        <v>0.04</v>
      </c>
      <c r="R810">
        <v>0.04</v>
      </c>
      <c r="S810" cm="1">
        <f t="array" ref="S810">IFERROR(_xlfn.SWITCH(L810,1,_xlfn.XLOOKUP(O810,[1]AttributeName!$B:$B,[1]AttributeName!$D:$D),2,_xlfn.XLOOKUP(C810,#REF!,#REF!),3,_xlfn.XLOOKUP(C810,#REF!,#REF!)),0)</f>
        <v>2</v>
      </c>
      <c r="T810" cm="1">
        <f t="array" ref="T810">IFERROR(_xlfn.SWITCH(L810,1,_xlfn.XLOOKUP(O810,[1]AttributeName!$B:$B,[1]AttributeName!$E:$E),2,_xlfn.XLOOKUP(C810,#REF!,#REF!),3,_xlfn.XLOOKUP(C810,#REF!,#REF!)),0)</f>
        <v>2</v>
      </c>
    </row>
    <row r="811" customFormat="1" spans="1:20">
      <c r="A811">
        <f t="shared" si="39"/>
        <v>313</v>
      </c>
      <c r="B811">
        <v>6</v>
      </c>
      <c r="C811" t="s">
        <v>420</v>
      </c>
      <c r="D811" t="s">
        <v>26</v>
      </c>
      <c r="E811" t="s">
        <v>378</v>
      </c>
      <c r="F811"/>
      <c r="G811">
        <v>1</v>
      </c>
      <c r="H811">
        <v>1000</v>
      </c>
      <c r="J811" cm="1">
        <f t="array" ref="J811">_xlfn.SWITCH(B811,1,75,2,61,3,49,4,37,5,25,6,13,7,4,8,1)</f>
        <v>13</v>
      </c>
      <c r="K811" t="str" cm="1">
        <f t="array" ref="K811">IFERROR(_xlfn.SWITCH(L811,2,_xlfn.XLOOKUP(C811,[1]ModifierDes!$B:$B,[1]ModifierDes!$C:$C),3,_xlfn.XLOOKUP(C811,[1]StuntDes!$B:$B,[1]StuntDes!$C:$C)),"")</f>
        <v/>
      </c>
      <c r="L811">
        <f t="shared" si="38"/>
        <v>1</v>
      </c>
      <c r="M811" s="10" t="str">
        <f>IFERROR(_xlfn.XLOOKUP(C811,[1]StuntDes!$B:$B,[1]StuntDes!$A:$A),"")</f>
        <v/>
      </c>
      <c r="N811" s="10" t="str">
        <f>IFERROR(_xlfn.XLOOKUP(C811,[1]ModifierDes!$B:$B,[1]ModifierDes!$A:$A),"")</f>
        <v/>
      </c>
      <c r="O811" s="10">
        <f>IFERROR(_xlfn.XLOOKUP(C811,[1]AttributeName!$C:$C,[1]AttributeName!$B:$B),"")</f>
        <v>11013</v>
      </c>
      <c r="P811" s="10"/>
      <c r="Q811">
        <v>0.03</v>
      </c>
      <c r="R811">
        <v>0.03</v>
      </c>
      <c r="S811" cm="1">
        <f t="array" ref="S811">IFERROR(_xlfn.SWITCH(L811,1,_xlfn.XLOOKUP(O811,[1]AttributeName!$B:$B,[1]AttributeName!$D:$D),2,_xlfn.XLOOKUP(C811,#REF!,#REF!),3,_xlfn.XLOOKUP(C811,#REF!,#REF!)),0)</f>
        <v>2</v>
      </c>
      <c r="T811" cm="1">
        <f t="array" ref="T811">IFERROR(_xlfn.SWITCH(L811,1,_xlfn.XLOOKUP(O811,[1]AttributeName!$B:$B,[1]AttributeName!$E:$E),2,_xlfn.XLOOKUP(C811,#REF!,#REF!),3,_xlfn.XLOOKUP(C811,#REF!,#REF!)),0)</f>
        <v>2</v>
      </c>
    </row>
    <row r="812" customFormat="1" spans="1:20">
      <c r="A812">
        <f t="shared" si="39"/>
        <v>313</v>
      </c>
      <c r="B812">
        <v>7</v>
      </c>
      <c r="C812" t="s">
        <v>420</v>
      </c>
      <c r="D812" t="s">
        <v>26</v>
      </c>
      <c r="E812" t="s">
        <v>378</v>
      </c>
      <c r="F812"/>
      <c r="G812">
        <v>1</v>
      </c>
      <c r="H812">
        <v>1000</v>
      </c>
      <c r="J812" cm="1">
        <f t="array" ref="J812">_xlfn.SWITCH(B812,1,75,2,61,3,49,4,37,5,25,6,13,7,4,8,1)</f>
        <v>4</v>
      </c>
      <c r="K812" t="str" cm="1">
        <f t="array" ref="K812">IFERROR(_xlfn.SWITCH(L812,2,_xlfn.XLOOKUP(C812,[1]ModifierDes!$B:$B,[1]ModifierDes!$C:$C),3,_xlfn.XLOOKUP(C812,[1]StuntDes!$B:$B,[1]StuntDes!$C:$C)),"")</f>
        <v/>
      </c>
      <c r="L812">
        <f t="shared" si="38"/>
        <v>1</v>
      </c>
      <c r="M812" s="10" t="str">
        <f>IFERROR(_xlfn.XLOOKUP(C812,[1]StuntDes!$B:$B,[1]StuntDes!$A:$A),"")</f>
        <v/>
      </c>
      <c r="N812" s="10" t="str">
        <f>IFERROR(_xlfn.XLOOKUP(C812,[1]ModifierDes!$B:$B,[1]ModifierDes!$A:$A),"")</f>
        <v/>
      </c>
      <c r="O812" s="10">
        <f>IFERROR(_xlfn.XLOOKUP(C812,[1]AttributeName!$C:$C,[1]AttributeName!$B:$B),"")</f>
        <v>11013</v>
      </c>
      <c r="P812" s="10"/>
      <c r="Q812">
        <v>0.02</v>
      </c>
      <c r="R812">
        <v>0.02</v>
      </c>
      <c r="S812" cm="1">
        <f t="array" ref="S812">IFERROR(_xlfn.SWITCH(L812,1,_xlfn.XLOOKUP(O812,[1]AttributeName!$B:$B,[1]AttributeName!$D:$D),2,_xlfn.XLOOKUP(C812,#REF!,#REF!),3,_xlfn.XLOOKUP(C812,#REF!,#REF!)),0)</f>
        <v>2</v>
      </c>
      <c r="T812" cm="1">
        <f t="array" ref="T812">IFERROR(_xlfn.SWITCH(L812,1,_xlfn.XLOOKUP(O812,[1]AttributeName!$B:$B,[1]AttributeName!$E:$E),2,_xlfn.XLOOKUP(C812,#REF!,#REF!),3,_xlfn.XLOOKUP(C812,#REF!,#REF!)),0)</f>
        <v>2</v>
      </c>
    </row>
    <row r="813" customFormat="1" spans="1:20">
      <c r="A813">
        <f t="shared" si="39"/>
        <v>313</v>
      </c>
      <c r="B813">
        <v>8</v>
      </c>
      <c r="C813" t="s">
        <v>420</v>
      </c>
      <c r="D813" t="s">
        <v>26</v>
      </c>
      <c r="E813" t="s">
        <v>378</v>
      </c>
      <c r="F813"/>
      <c r="G813">
        <v>1</v>
      </c>
      <c r="H813">
        <v>1000</v>
      </c>
      <c r="J813" cm="1">
        <f t="array" ref="J813">_xlfn.SWITCH(B813,1,75,2,61,3,49,4,37,5,25,6,13,7,4,8,1)</f>
        <v>1</v>
      </c>
      <c r="K813" t="str" cm="1">
        <f t="array" ref="K813">IFERROR(_xlfn.SWITCH(L813,2,_xlfn.XLOOKUP(C813,[1]ModifierDes!$B:$B,[1]ModifierDes!$C:$C),3,_xlfn.XLOOKUP(C813,[1]StuntDes!$B:$B,[1]StuntDes!$C:$C)),"")</f>
        <v/>
      </c>
      <c r="L813">
        <f t="shared" si="38"/>
        <v>1</v>
      </c>
      <c r="M813" s="10" t="str">
        <f>IFERROR(_xlfn.XLOOKUP(C813,[1]StuntDes!$B:$B,[1]StuntDes!$A:$A),"")</f>
        <v/>
      </c>
      <c r="N813" s="10" t="str">
        <f>IFERROR(_xlfn.XLOOKUP(C813,[1]ModifierDes!$B:$B,[1]ModifierDes!$A:$A),"")</f>
        <v/>
      </c>
      <c r="O813" s="10">
        <f>IFERROR(_xlfn.XLOOKUP(C813,[1]AttributeName!$C:$C,[1]AttributeName!$B:$B),"")</f>
        <v>11013</v>
      </c>
      <c r="P813" s="10"/>
      <c r="Q813">
        <v>0.01</v>
      </c>
      <c r="R813">
        <v>0.01</v>
      </c>
      <c r="S813" cm="1">
        <f t="array" ref="S813">IFERROR(_xlfn.SWITCH(L813,1,_xlfn.XLOOKUP(O813,[1]AttributeName!$B:$B,[1]AttributeName!$D:$D),2,_xlfn.XLOOKUP(C813,#REF!,#REF!),3,_xlfn.XLOOKUP(C813,#REF!,#REF!)),0)</f>
        <v>2</v>
      </c>
      <c r="T813" cm="1">
        <f t="array" ref="T813">IFERROR(_xlfn.SWITCH(L813,1,_xlfn.XLOOKUP(O813,[1]AttributeName!$B:$B,[1]AttributeName!$E:$E),2,_xlfn.XLOOKUP(C813,#REF!,#REF!),3,_xlfn.XLOOKUP(C813,#REF!,#REF!)),0)</f>
        <v>2</v>
      </c>
    </row>
    <row r="814" customFormat="1" spans="1:20">
      <c r="A814">
        <f t="shared" si="39"/>
        <v>314</v>
      </c>
      <c r="B814">
        <v>1</v>
      </c>
      <c r="C814" t="s">
        <v>422</v>
      </c>
      <c r="D814" t="s">
        <v>26</v>
      </c>
      <c r="E814" t="s">
        <v>378</v>
      </c>
      <c r="F814"/>
      <c r="G814">
        <v>1</v>
      </c>
      <c r="H814">
        <v>250</v>
      </c>
      <c r="J814" cm="1">
        <f t="array" ref="J814">_xlfn.SWITCH(B814,1,75,2,61,3,49,4,37,5,25,6,13,7,4,8,1)</f>
        <v>75</v>
      </c>
      <c r="K814" t="str" cm="1">
        <f t="array" ref="K814">IFERROR(_xlfn.SWITCH(L814,2,_xlfn.XLOOKUP(C814,[1]ModifierDes!$B:$B,[1]ModifierDes!$C:$C),3,_xlfn.XLOOKUP(C814,[1]StuntDes!$B:$B,[1]StuntDes!$C:$C)),"")</f>
        <v/>
      </c>
      <c r="L814">
        <f t="shared" si="38"/>
        <v>1</v>
      </c>
      <c r="M814" s="10" t="str">
        <f>IFERROR(_xlfn.XLOOKUP(C814,[1]StuntDes!$B:$B,[1]StuntDes!$A:$A),"")</f>
        <v/>
      </c>
      <c r="N814" s="10" t="str">
        <f>IFERROR(_xlfn.XLOOKUP(C814,[1]ModifierDes!$B:$B,[1]ModifierDes!$A:$A),"")</f>
        <v/>
      </c>
      <c r="O814" s="10">
        <f>IFERROR(_xlfn.XLOOKUP(C814,[1]AttributeName!$C:$C,[1]AttributeName!$B:$B),"")</f>
        <v>10011</v>
      </c>
      <c r="P814" s="10"/>
      <c r="Q814">
        <v>0.08</v>
      </c>
      <c r="R814">
        <v>0.1</v>
      </c>
      <c r="S814" cm="1">
        <f t="array" ref="S814">IFERROR(_xlfn.SWITCH(L814,1,_xlfn.XLOOKUP(O814,[1]AttributeName!$B:$B,[1]AttributeName!$D:$D),2,_xlfn.XLOOKUP(C814,#REF!,#REF!),3,_xlfn.XLOOKUP(C814,#REF!,#REF!)),0)</f>
        <v>2</v>
      </c>
      <c r="T814" cm="1">
        <f t="array" ref="T814">IFERROR(_xlfn.SWITCH(L814,1,_xlfn.XLOOKUP(O814,[1]AttributeName!$B:$B,[1]AttributeName!$E:$E),2,_xlfn.XLOOKUP(C814,#REF!,#REF!),3,_xlfn.XLOOKUP(C814,#REF!,#REF!)),0)</f>
        <v>2</v>
      </c>
    </row>
    <row r="815" customFormat="1" spans="1:20">
      <c r="A815">
        <f t="shared" si="39"/>
        <v>314</v>
      </c>
      <c r="B815">
        <v>2</v>
      </c>
      <c r="C815" t="s">
        <v>422</v>
      </c>
      <c r="D815" t="s">
        <v>26</v>
      </c>
      <c r="E815" t="s">
        <v>378</v>
      </c>
      <c r="F815"/>
      <c r="G815">
        <v>1</v>
      </c>
      <c r="H815">
        <v>500</v>
      </c>
      <c r="J815" cm="1">
        <f t="array" ref="J815">_xlfn.SWITCH(B815,1,75,2,61,3,49,4,37,5,25,6,13,7,4,8,1)</f>
        <v>61</v>
      </c>
      <c r="K815" t="str" cm="1">
        <f t="array" ref="K815">IFERROR(_xlfn.SWITCH(L815,2,_xlfn.XLOOKUP(C815,[1]ModifierDes!$B:$B,[1]ModifierDes!$C:$C),3,_xlfn.XLOOKUP(C815,[1]StuntDes!$B:$B,[1]StuntDes!$C:$C)),"")</f>
        <v/>
      </c>
      <c r="L815">
        <f t="shared" si="38"/>
        <v>1</v>
      </c>
      <c r="M815" s="10" t="str">
        <f>IFERROR(_xlfn.XLOOKUP(C815,[1]StuntDes!$B:$B,[1]StuntDes!$A:$A),"")</f>
        <v/>
      </c>
      <c r="N815" s="10" t="str">
        <f>IFERROR(_xlfn.XLOOKUP(C815,[1]ModifierDes!$B:$B,[1]ModifierDes!$A:$A),"")</f>
        <v/>
      </c>
      <c r="O815" s="10">
        <f>IFERROR(_xlfn.XLOOKUP(C815,[1]AttributeName!$C:$C,[1]AttributeName!$B:$B),"")</f>
        <v>10011</v>
      </c>
      <c r="P815" s="10"/>
      <c r="Q815">
        <v>0.07</v>
      </c>
      <c r="R815">
        <v>0.07</v>
      </c>
      <c r="S815" cm="1">
        <f t="array" ref="S815">IFERROR(_xlfn.SWITCH(L815,1,_xlfn.XLOOKUP(O815,[1]AttributeName!$B:$B,[1]AttributeName!$D:$D),2,_xlfn.XLOOKUP(C815,#REF!,#REF!),3,_xlfn.XLOOKUP(C815,#REF!,#REF!)),0)</f>
        <v>2</v>
      </c>
      <c r="T815" cm="1">
        <f t="array" ref="T815">IFERROR(_xlfn.SWITCH(L815,1,_xlfn.XLOOKUP(O815,[1]AttributeName!$B:$B,[1]AttributeName!$E:$E),2,_xlfn.XLOOKUP(C815,#REF!,#REF!),3,_xlfn.XLOOKUP(C815,#REF!,#REF!)),0)</f>
        <v>2</v>
      </c>
    </row>
    <row r="816" customFormat="1" spans="1:20">
      <c r="A816">
        <f t="shared" si="39"/>
        <v>314</v>
      </c>
      <c r="B816">
        <v>3</v>
      </c>
      <c r="C816" t="s">
        <v>422</v>
      </c>
      <c r="D816" t="s">
        <v>26</v>
      </c>
      <c r="E816" t="s">
        <v>378</v>
      </c>
      <c r="F816"/>
      <c r="G816">
        <v>1</v>
      </c>
      <c r="H816">
        <v>750</v>
      </c>
      <c r="J816" cm="1">
        <f t="array" ref="J816">_xlfn.SWITCH(B816,1,75,2,61,3,49,4,37,5,25,6,13,7,4,8,1)</f>
        <v>49</v>
      </c>
      <c r="K816" t="str" cm="1">
        <f t="array" ref="K816">IFERROR(_xlfn.SWITCH(L816,2,_xlfn.XLOOKUP(C816,[1]ModifierDes!$B:$B,[1]ModifierDes!$C:$C),3,_xlfn.XLOOKUP(C816,[1]StuntDes!$B:$B,[1]StuntDes!$C:$C)),"")</f>
        <v/>
      </c>
      <c r="L816">
        <f t="shared" si="38"/>
        <v>1</v>
      </c>
      <c r="M816" s="10" t="str">
        <f>IFERROR(_xlfn.XLOOKUP(C816,[1]StuntDes!$B:$B,[1]StuntDes!$A:$A),"")</f>
        <v/>
      </c>
      <c r="N816" s="10" t="str">
        <f>IFERROR(_xlfn.XLOOKUP(C816,[1]ModifierDes!$B:$B,[1]ModifierDes!$A:$A),"")</f>
        <v/>
      </c>
      <c r="O816" s="10">
        <f>IFERROR(_xlfn.XLOOKUP(C816,[1]AttributeName!$C:$C,[1]AttributeName!$B:$B),"")</f>
        <v>10011</v>
      </c>
      <c r="P816" s="10"/>
      <c r="Q816">
        <v>0.06</v>
      </c>
      <c r="R816">
        <v>0.06</v>
      </c>
      <c r="S816" cm="1">
        <f t="array" ref="S816">IFERROR(_xlfn.SWITCH(L816,1,_xlfn.XLOOKUP(O816,[1]AttributeName!$B:$B,[1]AttributeName!$D:$D),2,_xlfn.XLOOKUP(C816,#REF!,#REF!),3,_xlfn.XLOOKUP(C816,#REF!,#REF!)),0)</f>
        <v>2</v>
      </c>
      <c r="T816" cm="1">
        <f t="array" ref="T816">IFERROR(_xlfn.SWITCH(L816,1,_xlfn.XLOOKUP(O816,[1]AttributeName!$B:$B,[1]AttributeName!$E:$E),2,_xlfn.XLOOKUP(C816,#REF!,#REF!),3,_xlfn.XLOOKUP(C816,#REF!,#REF!)),0)</f>
        <v>2</v>
      </c>
    </row>
    <row r="817" customFormat="1" spans="1:20">
      <c r="A817">
        <f t="shared" si="39"/>
        <v>314</v>
      </c>
      <c r="B817">
        <v>4</v>
      </c>
      <c r="C817" t="s">
        <v>422</v>
      </c>
      <c r="D817" t="s">
        <v>26</v>
      </c>
      <c r="E817" t="s">
        <v>378</v>
      </c>
      <c r="F817"/>
      <c r="G817">
        <v>1</v>
      </c>
      <c r="H817">
        <v>1000</v>
      </c>
      <c r="J817" cm="1">
        <f t="array" ref="J817">_xlfn.SWITCH(B817,1,75,2,61,3,49,4,37,5,25,6,13,7,4,8,1)</f>
        <v>37</v>
      </c>
      <c r="K817" t="str" cm="1">
        <f t="array" ref="K817">IFERROR(_xlfn.SWITCH(L817,2,_xlfn.XLOOKUP(C817,[1]ModifierDes!$B:$B,[1]ModifierDes!$C:$C),3,_xlfn.XLOOKUP(C817,[1]StuntDes!$B:$B,[1]StuntDes!$C:$C)),"")</f>
        <v/>
      </c>
      <c r="L817">
        <f t="shared" si="38"/>
        <v>1</v>
      </c>
      <c r="M817" s="10" t="str">
        <f>IFERROR(_xlfn.XLOOKUP(C817,[1]StuntDes!$B:$B,[1]StuntDes!$A:$A),"")</f>
        <v/>
      </c>
      <c r="N817" s="10" t="str">
        <f>IFERROR(_xlfn.XLOOKUP(C817,[1]ModifierDes!$B:$B,[1]ModifierDes!$A:$A),"")</f>
        <v/>
      </c>
      <c r="O817" s="10">
        <f>IFERROR(_xlfn.XLOOKUP(C817,[1]AttributeName!$C:$C,[1]AttributeName!$B:$B),"")</f>
        <v>10011</v>
      </c>
      <c r="P817" s="10"/>
      <c r="Q817">
        <v>0.05</v>
      </c>
      <c r="R817">
        <v>0.05</v>
      </c>
      <c r="S817" cm="1">
        <f t="array" ref="S817">IFERROR(_xlfn.SWITCH(L817,1,_xlfn.XLOOKUP(O817,[1]AttributeName!$B:$B,[1]AttributeName!$D:$D),2,_xlfn.XLOOKUP(C817,#REF!,#REF!),3,_xlfn.XLOOKUP(C817,#REF!,#REF!)),0)</f>
        <v>2</v>
      </c>
      <c r="T817" cm="1">
        <f t="array" ref="T817">IFERROR(_xlfn.SWITCH(L817,1,_xlfn.XLOOKUP(O817,[1]AttributeName!$B:$B,[1]AttributeName!$E:$E),2,_xlfn.XLOOKUP(C817,#REF!,#REF!),3,_xlfn.XLOOKUP(C817,#REF!,#REF!)),0)</f>
        <v>2</v>
      </c>
    </row>
    <row r="818" customFormat="1" spans="1:20">
      <c r="A818">
        <f t="shared" si="39"/>
        <v>314</v>
      </c>
      <c r="B818">
        <v>5</v>
      </c>
      <c r="C818" t="s">
        <v>422</v>
      </c>
      <c r="D818" t="s">
        <v>26</v>
      </c>
      <c r="E818" t="s">
        <v>378</v>
      </c>
      <c r="F818"/>
      <c r="G818">
        <v>1</v>
      </c>
      <c r="H818">
        <v>1000</v>
      </c>
      <c r="J818" cm="1">
        <f t="array" ref="J818">_xlfn.SWITCH(B818,1,75,2,61,3,49,4,37,5,25,6,13,7,4,8,1)</f>
        <v>25</v>
      </c>
      <c r="K818" t="str" cm="1">
        <f t="array" ref="K818">IFERROR(_xlfn.SWITCH(L818,2,_xlfn.XLOOKUP(C818,[1]ModifierDes!$B:$B,[1]ModifierDes!$C:$C),3,_xlfn.XLOOKUP(C818,[1]StuntDes!$B:$B,[1]StuntDes!$C:$C)),"")</f>
        <v/>
      </c>
      <c r="L818">
        <f t="shared" si="38"/>
        <v>1</v>
      </c>
      <c r="M818" s="10" t="str">
        <f>IFERROR(_xlfn.XLOOKUP(C818,[1]StuntDes!$B:$B,[1]StuntDes!$A:$A),"")</f>
        <v/>
      </c>
      <c r="N818" s="10" t="str">
        <f>IFERROR(_xlfn.XLOOKUP(C818,[1]ModifierDes!$B:$B,[1]ModifierDes!$A:$A),"")</f>
        <v/>
      </c>
      <c r="O818" s="10">
        <f>IFERROR(_xlfn.XLOOKUP(C818,[1]AttributeName!$C:$C,[1]AttributeName!$B:$B),"")</f>
        <v>10011</v>
      </c>
      <c r="P818" s="10"/>
      <c r="Q818">
        <v>0.04</v>
      </c>
      <c r="R818">
        <v>0.04</v>
      </c>
      <c r="S818" cm="1">
        <f t="array" ref="S818">IFERROR(_xlfn.SWITCH(L818,1,_xlfn.XLOOKUP(O818,[1]AttributeName!$B:$B,[1]AttributeName!$D:$D),2,_xlfn.XLOOKUP(C818,#REF!,#REF!),3,_xlfn.XLOOKUP(C818,#REF!,#REF!)),0)</f>
        <v>2</v>
      </c>
      <c r="T818" cm="1">
        <f t="array" ref="T818">IFERROR(_xlfn.SWITCH(L818,1,_xlfn.XLOOKUP(O818,[1]AttributeName!$B:$B,[1]AttributeName!$E:$E),2,_xlfn.XLOOKUP(C818,#REF!,#REF!),3,_xlfn.XLOOKUP(C818,#REF!,#REF!)),0)</f>
        <v>2</v>
      </c>
    </row>
    <row r="819" customFormat="1" spans="1:20">
      <c r="A819">
        <f t="shared" si="39"/>
        <v>314</v>
      </c>
      <c r="B819">
        <v>6</v>
      </c>
      <c r="C819" t="s">
        <v>422</v>
      </c>
      <c r="D819" t="s">
        <v>26</v>
      </c>
      <c r="E819" t="s">
        <v>378</v>
      </c>
      <c r="F819"/>
      <c r="G819">
        <v>1</v>
      </c>
      <c r="H819">
        <v>1000</v>
      </c>
      <c r="J819" cm="1">
        <f t="array" ref="J819">_xlfn.SWITCH(B819,1,75,2,61,3,49,4,37,5,25,6,13,7,4,8,1)</f>
        <v>13</v>
      </c>
      <c r="K819" t="str" cm="1">
        <f t="array" ref="K819">IFERROR(_xlfn.SWITCH(L819,2,_xlfn.XLOOKUP(C819,[1]ModifierDes!$B:$B,[1]ModifierDes!$C:$C),3,_xlfn.XLOOKUP(C819,[1]StuntDes!$B:$B,[1]StuntDes!$C:$C)),"")</f>
        <v/>
      </c>
      <c r="L819">
        <f t="shared" si="38"/>
        <v>1</v>
      </c>
      <c r="M819" s="10" t="str">
        <f>IFERROR(_xlfn.XLOOKUP(C819,[1]StuntDes!$B:$B,[1]StuntDes!$A:$A),"")</f>
        <v/>
      </c>
      <c r="N819" s="10" t="str">
        <f>IFERROR(_xlfn.XLOOKUP(C819,[1]ModifierDes!$B:$B,[1]ModifierDes!$A:$A),"")</f>
        <v/>
      </c>
      <c r="O819" s="10">
        <f>IFERROR(_xlfn.XLOOKUP(C819,[1]AttributeName!$C:$C,[1]AttributeName!$B:$B),"")</f>
        <v>10011</v>
      </c>
      <c r="P819" s="10"/>
      <c r="Q819">
        <v>0.03</v>
      </c>
      <c r="R819">
        <v>0.03</v>
      </c>
      <c r="S819" cm="1">
        <f t="array" ref="S819">IFERROR(_xlfn.SWITCH(L819,1,_xlfn.XLOOKUP(O819,[1]AttributeName!$B:$B,[1]AttributeName!$D:$D),2,_xlfn.XLOOKUP(C819,#REF!,#REF!),3,_xlfn.XLOOKUP(C819,#REF!,#REF!)),0)</f>
        <v>2</v>
      </c>
      <c r="T819" cm="1">
        <f t="array" ref="T819">IFERROR(_xlfn.SWITCH(L819,1,_xlfn.XLOOKUP(O819,[1]AttributeName!$B:$B,[1]AttributeName!$E:$E),2,_xlfn.XLOOKUP(C819,#REF!,#REF!),3,_xlfn.XLOOKUP(C819,#REF!,#REF!)),0)</f>
        <v>2</v>
      </c>
    </row>
    <row r="820" customFormat="1" spans="1:20">
      <c r="A820">
        <f t="shared" si="39"/>
        <v>314</v>
      </c>
      <c r="B820">
        <v>7</v>
      </c>
      <c r="C820" t="s">
        <v>422</v>
      </c>
      <c r="D820" t="s">
        <v>26</v>
      </c>
      <c r="E820" t="s">
        <v>378</v>
      </c>
      <c r="F820"/>
      <c r="G820">
        <v>1</v>
      </c>
      <c r="H820">
        <v>1000</v>
      </c>
      <c r="J820" cm="1">
        <f t="array" ref="J820">_xlfn.SWITCH(B820,1,75,2,61,3,49,4,37,5,25,6,13,7,4,8,1)</f>
        <v>4</v>
      </c>
      <c r="K820" t="str" cm="1">
        <f t="array" ref="K820">IFERROR(_xlfn.SWITCH(L820,2,_xlfn.XLOOKUP(C820,[1]ModifierDes!$B:$B,[1]ModifierDes!$C:$C),3,_xlfn.XLOOKUP(C820,[1]StuntDes!$B:$B,[1]StuntDes!$C:$C)),"")</f>
        <v/>
      </c>
      <c r="L820">
        <f t="shared" si="38"/>
        <v>1</v>
      </c>
      <c r="M820" s="10" t="str">
        <f>IFERROR(_xlfn.XLOOKUP(C820,[1]StuntDes!$B:$B,[1]StuntDes!$A:$A),"")</f>
        <v/>
      </c>
      <c r="N820" s="10" t="str">
        <f>IFERROR(_xlfn.XLOOKUP(C820,[1]ModifierDes!$B:$B,[1]ModifierDes!$A:$A),"")</f>
        <v/>
      </c>
      <c r="O820" s="10">
        <f>IFERROR(_xlfn.XLOOKUP(C820,[1]AttributeName!$C:$C,[1]AttributeName!$B:$B),"")</f>
        <v>10011</v>
      </c>
      <c r="P820" s="10"/>
      <c r="Q820">
        <v>0.02</v>
      </c>
      <c r="R820">
        <v>0.02</v>
      </c>
      <c r="S820" cm="1">
        <f t="array" ref="S820">IFERROR(_xlfn.SWITCH(L820,1,_xlfn.XLOOKUP(O820,[1]AttributeName!$B:$B,[1]AttributeName!$D:$D),2,_xlfn.XLOOKUP(C820,#REF!,#REF!),3,_xlfn.XLOOKUP(C820,#REF!,#REF!)),0)</f>
        <v>2</v>
      </c>
      <c r="T820" cm="1">
        <f t="array" ref="T820">IFERROR(_xlfn.SWITCH(L820,1,_xlfn.XLOOKUP(O820,[1]AttributeName!$B:$B,[1]AttributeName!$E:$E),2,_xlfn.XLOOKUP(C820,#REF!,#REF!),3,_xlfn.XLOOKUP(C820,#REF!,#REF!)),0)</f>
        <v>2</v>
      </c>
    </row>
    <row r="821" customFormat="1" spans="1:20">
      <c r="A821">
        <f t="shared" si="39"/>
        <v>314</v>
      </c>
      <c r="B821">
        <v>8</v>
      </c>
      <c r="C821" t="s">
        <v>422</v>
      </c>
      <c r="D821" t="s">
        <v>26</v>
      </c>
      <c r="E821" t="s">
        <v>378</v>
      </c>
      <c r="F821"/>
      <c r="G821">
        <v>1</v>
      </c>
      <c r="H821">
        <v>1000</v>
      </c>
      <c r="J821" cm="1">
        <f t="array" ref="J821">_xlfn.SWITCH(B821,1,75,2,61,3,49,4,37,5,25,6,13,7,4,8,1)</f>
        <v>1</v>
      </c>
      <c r="K821" t="str" cm="1">
        <f t="array" ref="K821">IFERROR(_xlfn.SWITCH(L821,2,_xlfn.XLOOKUP(C821,[1]ModifierDes!$B:$B,[1]ModifierDes!$C:$C),3,_xlfn.XLOOKUP(C821,[1]StuntDes!$B:$B,[1]StuntDes!$C:$C)),"")</f>
        <v/>
      </c>
      <c r="L821">
        <f t="shared" si="38"/>
        <v>1</v>
      </c>
      <c r="M821" s="10" t="str">
        <f>IFERROR(_xlfn.XLOOKUP(C821,[1]StuntDes!$B:$B,[1]StuntDes!$A:$A),"")</f>
        <v/>
      </c>
      <c r="N821" s="10" t="str">
        <f>IFERROR(_xlfn.XLOOKUP(C821,[1]ModifierDes!$B:$B,[1]ModifierDes!$A:$A),"")</f>
        <v/>
      </c>
      <c r="O821" s="10">
        <f>IFERROR(_xlfn.XLOOKUP(C821,[1]AttributeName!$C:$C,[1]AttributeName!$B:$B),"")</f>
        <v>10011</v>
      </c>
      <c r="P821" s="10"/>
      <c r="Q821">
        <v>0.01</v>
      </c>
      <c r="R821">
        <v>0.01</v>
      </c>
      <c r="S821" cm="1">
        <f t="array" ref="S821">IFERROR(_xlfn.SWITCH(L821,1,_xlfn.XLOOKUP(O821,[1]AttributeName!$B:$B,[1]AttributeName!$D:$D),2,_xlfn.XLOOKUP(C821,#REF!,#REF!),3,_xlfn.XLOOKUP(C821,#REF!,#REF!)),0)</f>
        <v>2</v>
      </c>
      <c r="T821" cm="1">
        <f t="array" ref="T821">IFERROR(_xlfn.SWITCH(L821,1,_xlfn.XLOOKUP(O821,[1]AttributeName!$B:$B,[1]AttributeName!$E:$E),2,_xlfn.XLOOKUP(C821,#REF!,#REF!),3,_xlfn.XLOOKUP(C821,#REF!,#REF!)),0)</f>
        <v>2</v>
      </c>
    </row>
    <row r="822" customFormat="1" spans="1:20">
      <c r="A822">
        <v>351</v>
      </c>
      <c r="B822">
        <v>1</v>
      </c>
      <c r="C822" t="s">
        <v>73</v>
      </c>
      <c r="D822" t="s">
        <v>26</v>
      </c>
      <c r="E822" t="s">
        <v>392</v>
      </c>
      <c r="F822"/>
      <c r="G822">
        <v>2</v>
      </c>
      <c r="H822">
        <v>250</v>
      </c>
      <c r="J822" cm="1">
        <f t="array" ref="J822">_xlfn.SWITCH(B822,1,75,2,61,3,49,4,37,5,25,6,13,7,4,8,1)</f>
        <v>75</v>
      </c>
      <c r="K822" t="str" cm="1">
        <f t="array" ref="K822">IFERROR(_xlfn.SWITCH(L822,2,_xlfn.XLOOKUP(C822,[1]ModifierDes!$B:$B,[1]ModifierDes!$C:$C),3,_xlfn.XLOOKUP(C822,[1]StuntDes!$B:$B,[1]StuntDes!$C:$C)),"")</f>
        <v/>
      </c>
      <c r="L822">
        <f t="shared" si="38"/>
        <v>1</v>
      </c>
      <c r="M822" s="10" t="str">
        <f>IFERROR(_xlfn.XLOOKUP(C822,[1]StuntDes!$B:$B,[1]StuntDes!$A:$A),"")</f>
        <v/>
      </c>
      <c r="N822" s="10" t="str">
        <f>IFERROR(_xlfn.XLOOKUP(C822,[1]ModifierDes!$B:$B,[1]ModifierDes!$A:$A),"")</f>
        <v/>
      </c>
      <c r="O822" s="10">
        <f>IFERROR(_xlfn.XLOOKUP(C822,[1]AttributeName!$C:$C,[1]AttributeName!$B:$B),"")</f>
        <v>10311</v>
      </c>
      <c r="P822" s="10"/>
      <c r="Q822">
        <v>0.3</v>
      </c>
      <c r="R822">
        <v>0.4</v>
      </c>
      <c r="S822" cm="1">
        <f t="array" ref="S822">IFERROR(_xlfn.SWITCH(L822,1,_xlfn.XLOOKUP(O822,[1]AttributeName!$B:$B,[1]AttributeName!$D:$D),2,_xlfn.XLOOKUP(C822,#REF!,#REF!),3,_xlfn.XLOOKUP(C822,#REF!,#REF!)),0)</f>
        <v>2</v>
      </c>
      <c r="T822" cm="1">
        <f t="array" ref="T822">IFERROR(_xlfn.SWITCH(L822,1,_xlfn.XLOOKUP(O822,[1]AttributeName!$B:$B,[1]AttributeName!$E:$E),2,_xlfn.XLOOKUP(C822,#REF!,#REF!),3,_xlfn.XLOOKUP(C822,#REF!,#REF!)),0)</f>
        <v>2</v>
      </c>
    </row>
    <row r="823" customFormat="1" spans="1:20">
      <c r="A823">
        <v>351</v>
      </c>
      <c r="B823">
        <v>2</v>
      </c>
      <c r="C823" t="s">
        <v>73</v>
      </c>
      <c r="D823" t="s">
        <v>26</v>
      </c>
      <c r="E823" t="s">
        <v>392</v>
      </c>
      <c r="F823"/>
      <c r="G823">
        <v>2</v>
      </c>
      <c r="H823">
        <v>500</v>
      </c>
      <c r="J823" cm="1">
        <f t="array" ref="J823">_xlfn.SWITCH(B823,1,75,2,61,3,49,4,37,5,25,6,13,7,4,8,1)</f>
        <v>61</v>
      </c>
      <c r="K823" t="str" cm="1">
        <f t="array" ref="K823">IFERROR(_xlfn.SWITCH(L823,2,_xlfn.XLOOKUP(C823,[1]ModifierDes!$B:$B,[1]ModifierDes!$C:$C),3,_xlfn.XLOOKUP(C823,[1]StuntDes!$B:$B,[1]StuntDes!$C:$C)),"")</f>
        <v/>
      </c>
      <c r="L823">
        <f t="shared" si="38"/>
        <v>1</v>
      </c>
      <c r="M823" s="10" t="str">
        <f>IFERROR(_xlfn.XLOOKUP(C823,[1]StuntDes!$B:$B,[1]StuntDes!$A:$A),"")</f>
        <v/>
      </c>
      <c r="N823" s="10" t="str">
        <f>IFERROR(_xlfn.XLOOKUP(C823,[1]ModifierDes!$B:$B,[1]ModifierDes!$A:$A),"")</f>
        <v/>
      </c>
      <c r="O823" s="10">
        <f>IFERROR(_xlfn.XLOOKUP(C823,[1]AttributeName!$C:$C,[1]AttributeName!$B:$B),"")</f>
        <v>10311</v>
      </c>
      <c r="P823" s="10"/>
      <c r="Q823">
        <v>0.26</v>
      </c>
      <c r="R823">
        <v>0.29</v>
      </c>
      <c r="S823" cm="1">
        <f t="array" ref="S823">IFERROR(_xlfn.SWITCH(L823,1,_xlfn.XLOOKUP(O823,[1]AttributeName!$B:$B,[1]AttributeName!$D:$D),2,_xlfn.XLOOKUP(C823,#REF!,#REF!),3,_xlfn.XLOOKUP(C823,#REF!,#REF!)),0)</f>
        <v>2</v>
      </c>
      <c r="T823" cm="1">
        <f t="array" ref="T823">IFERROR(_xlfn.SWITCH(L823,1,_xlfn.XLOOKUP(O823,[1]AttributeName!$B:$B,[1]AttributeName!$E:$E),2,_xlfn.XLOOKUP(C823,#REF!,#REF!),3,_xlfn.XLOOKUP(C823,#REF!,#REF!)),0)</f>
        <v>2</v>
      </c>
    </row>
    <row r="824" customFormat="1" spans="1:20">
      <c r="A824">
        <v>351</v>
      </c>
      <c r="B824">
        <v>3</v>
      </c>
      <c r="C824" t="s">
        <v>73</v>
      </c>
      <c r="D824" t="s">
        <v>26</v>
      </c>
      <c r="E824" t="s">
        <v>392</v>
      </c>
      <c r="F824"/>
      <c r="G824">
        <v>2</v>
      </c>
      <c r="H824">
        <v>750</v>
      </c>
      <c r="J824" cm="1">
        <f t="array" ref="J824">_xlfn.SWITCH(B824,1,75,2,61,3,49,4,37,5,25,6,13,7,4,8,1)</f>
        <v>49</v>
      </c>
      <c r="K824" t="str" cm="1">
        <f t="array" ref="K824">IFERROR(_xlfn.SWITCH(L824,2,_xlfn.XLOOKUP(C824,[1]ModifierDes!$B:$B,[1]ModifierDes!$C:$C),3,_xlfn.XLOOKUP(C824,[1]StuntDes!$B:$B,[1]StuntDes!$C:$C)),"")</f>
        <v/>
      </c>
      <c r="L824">
        <f t="shared" si="38"/>
        <v>1</v>
      </c>
      <c r="M824" s="10" t="str">
        <f>IFERROR(_xlfn.XLOOKUP(C824,[1]StuntDes!$B:$B,[1]StuntDes!$A:$A),"")</f>
        <v/>
      </c>
      <c r="N824" s="10" t="str">
        <f>IFERROR(_xlfn.XLOOKUP(C824,[1]ModifierDes!$B:$B,[1]ModifierDes!$A:$A),"")</f>
        <v/>
      </c>
      <c r="O824" s="10">
        <f>IFERROR(_xlfn.XLOOKUP(C824,[1]AttributeName!$C:$C,[1]AttributeName!$B:$B),"")</f>
        <v>10311</v>
      </c>
      <c r="P824" s="10"/>
      <c r="Q824">
        <v>0.22</v>
      </c>
      <c r="R824">
        <v>0.25</v>
      </c>
      <c r="S824" cm="1">
        <f t="array" ref="S824">IFERROR(_xlfn.SWITCH(L824,1,_xlfn.XLOOKUP(O824,[1]AttributeName!$B:$B,[1]AttributeName!$D:$D),2,_xlfn.XLOOKUP(C824,#REF!,#REF!),3,_xlfn.XLOOKUP(C824,#REF!,#REF!)),0)</f>
        <v>2</v>
      </c>
      <c r="T824" cm="1">
        <f t="array" ref="T824">IFERROR(_xlfn.SWITCH(L824,1,_xlfn.XLOOKUP(O824,[1]AttributeName!$B:$B,[1]AttributeName!$E:$E),2,_xlfn.XLOOKUP(C824,#REF!,#REF!),3,_xlfn.XLOOKUP(C824,#REF!,#REF!)),0)</f>
        <v>2</v>
      </c>
    </row>
    <row r="825" customFormat="1" spans="1:20">
      <c r="A825">
        <v>351</v>
      </c>
      <c r="B825">
        <v>4</v>
      </c>
      <c r="C825" t="s">
        <v>73</v>
      </c>
      <c r="D825" t="s">
        <v>26</v>
      </c>
      <c r="E825" t="s">
        <v>392</v>
      </c>
      <c r="F825"/>
      <c r="G825">
        <v>2</v>
      </c>
      <c r="H825">
        <v>1000</v>
      </c>
      <c r="J825" cm="1">
        <f t="array" ref="J825">_xlfn.SWITCH(B825,1,75,2,61,3,49,4,37,5,25,6,13,7,4,8,1)</f>
        <v>37</v>
      </c>
      <c r="K825" t="str" cm="1">
        <f t="array" ref="K825">IFERROR(_xlfn.SWITCH(L825,2,_xlfn.XLOOKUP(C825,[1]ModifierDes!$B:$B,[1]ModifierDes!$C:$C),3,_xlfn.XLOOKUP(C825,[1]StuntDes!$B:$B,[1]StuntDes!$C:$C)),"")</f>
        <v/>
      </c>
      <c r="L825">
        <f t="shared" si="38"/>
        <v>1</v>
      </c>
      <c r="M825" s="10" t="str">
        <f>IFERROR(_xlfn.XLOOKUP(C825,[1]StuntDes!$B:$B,[1]StuntDes!$A:$A),"")</f>
        <v/>
      </c>
      <c r="N825" s="10" t="str">
        <f>IFERROR(_xlfn.XLOOKUP(C825,[1]ModifierDes!$B:$B,[1]ModifierDes!$A:$A),"")</f>
        <v/>
      </c>
      <c r="O825" s="10">
        <f>IFERROR(_xlfn.XLOOKUP(C825,[1]AttributeName!$C:$C,[1]AttributeName!$B:$B),"")</f>
        <v>10311</v>
      </c>
      <c r="P825" s="10"/>
      <c r="Q825">
        <v>0.18</v>
      </c>
      <c r="R825">
        <v>0.21</v>
      </c>
      <c r="S825" cm="1">
        <f t="array" ref="S825">IFERROR(_xlfn.SWITCH(L825,1,_xlfn.XLOOKUP(O825,[1]AttributeName!$B:$B,[1]AttributeName!$D:$D),2,_xlfn.XLOOKUP(C825,#REF!,#REF!),3,_xlfn.XLOOKUP(C825,#REF!,#REF!)),0)</f>
        <v>2</v>
      </c>
      <c r="T825" cm="1">
        <f t="array" ref="T825">IFERROR(_xlfn.SWITCH(L825,1,_xlfn.XLOOKUP(O825,[1]AttributeName!$B:$B,[1]AttributeName!$E:$E),2,_xlfn.XLOOKUP(C825,#REF!,#REF!),3,_xlfn.XLOOKUP(C825,#REF!,#REF!)),0)</f>
        <v>2</v>
      </c>
    </row>
    <row r="826" customFormat="1" spans="1:20">
      <c r="A826">
        <v>351</v>
      </c>
      <c r="B826">
        <v>5</v>
      </c>
      <c r="C826" t="s">
        <v>73</v>
      </c>
      <c r="D826" t="s">
        <v>26</v>
      </c>
      <c r="E826" t="s">
        <v>392</v>
      </c>
      <c r="F826"/>
      <c r="G826">
        <v>2</v>
      </c>
      <c r="H826">
        <v>1000</v>
      </c>
      <c r="J826" cm="1">
        <f t="array" ref="J826">_xlfn.SWITCH(B826,1,75,2,61,3,49,4,37,5,25,6,13,7,4,8,1)</f>
        <v>25</v>
      </c>
      <c r="K826" t="str" cm="1">
        <f t="array" ref="K826">IFERROR(_xlfn.SWITCH(L826,2,_xlfn.XLOOKUP(C826,[1]ModifierDes!$B:$B,[1]ModifierDes!$C:$C),3,_xlfn.XLOOKUP(C826,[1]StuntDes!$B:$B,[1]StuntDes!$C:$C)),"")</f>
        <v/>
      </c>
      <c r="L826">
        <f t="shared" si="38"/>
        <v>1</v>
      </c>
      <c r="M826" s="10" t="str">
        <f>IFERROR(_xlfn.XLOOKUP(C826,[1]StuntDes!$B:$B,[1]StuntDes!$A:$A),"")</f>
        <v/>
      </c>
      <c r="N826" s="10" t="str">
        <f>IFERROR(_xlfn.XLOOKUP(C826,[1]ModifierDes!$B:$B,[1]ModifierDes!$A:$A),"")</f>
        <v/>
      </c>
      <c r="O826" s="10">
        <f>IFERROR(_xlfn.XLOOKUP(C826,[1]AttributeName!$C:$C,[1]AttributeName!$B:$B),"")</f>
        <v>10311</v>
      </c>
      <c r="P826" s="10"/>
      <c r="Q826">
        <v>0.14</v>
      </c>
      <c r="R826">
        <v>0.17</v>
      </c>
      <c r="S826" cm="1">
        <f t="array" ref="S826">IFERROR(_xlfn.SWITCH(L826,1,_xlfn.XLOOKUP(O826,[1]AttributeName!$B:$B,[1]AttributeName!$D:$D),2,_xlfn.XLOOKUP(C826,#REF!,#REF!),3,_xlfn.XLOOKUP(C826,#REF!,#REF!)),0)</f>
        <v>2</v>
      </c>
      <c r="T826" cm="1">
        <f t="array" ref="T826">IFERROR(_xlfn.SWITCH(L826,1,_xlfn.XLOOKUP(O826,[1]AttributeName!$B:$B,[1]AttributeName!$E:$E),2,_xlfn.XLOOKUP(C826,#REF!,#REF!),3,_xlfn.XLOOKUP(C826,#REF!,#REF!)),0)</f>
        <v>2</v>
      </c>
    </row>
    <row r="827" customFormat="1" spans="1:20">
      <c r="A827">
        <v>351</v>
      </c>
      <c r="B827">
        <v>6</v>
      </c>
      <c r="C827" t="s">
        <v>73</v>
      </c>
      <c r="D827" t="s">
        <v>26</v>
      </c>
      <c r="E827" t="s">
        <v>392</v>
      </c>
      <c r="F827"/>
      <c r="G827">
        <v>2</v>
      </c>
      <c r="H827">
        <v>1000</v>
      </c>
      <c r="J827" cm="1">
        <f t="array" ref="J827">_xlfn.SWITCH(B827,1,75,2,61,3,49,4,37,5,25,6,13,7,4,8,1)</f>
        <v>13</v>
      </c>
      <c r="K827" t="str" cm="1">
        <f t="array" ref="K827">IFERROR(_xlfn.SWITCH(L827,2,_xlfn.XLOOKUP(C827,[1]ModifierDes!$B:$B,[1]ModifierDes!$C:$C),3,_xlfn.XLOOKUP(C827,[1]StuntDes!$B:$B,[1]StuntDes!$C:$C)),"")</f>
        <v/>
      </c>
      <c r="L827">
        <f t="shared" si="38"/>
        <v>1</v>
      </c>
      <c r="M827" s="10" t="str">
        <f>IFERROR(_xlfn.XLOOKUP(C827,[1]StuntDes!$B:$B,[1]StuntDes!$A:$A),"")</f>
        <v/>
      </c>
      <c r="N827" s="10" t="str">
        <f>IFERROR(_xlfn.XLOOKUP(C827,[1]ModifierDes!$B:$B,[1]ModifierDes!$A:$A),"")</f>
        <v/>
      </c>
      <c r="O827" s="10">
        <f>IFERROR(_xlfn.XLOOKUP(C827,[1]AttributeName!$C:$C,[1]AttributeName!$B:$B),"")</f>
        <v>10311</v>
      </c>
      <c r="P827" s="10"/>
      <c r="Q827">
        <v>0.1</v>
      </c>
      <c r="R827">
        <v>0.13</v>
      </c>
      <c r="S827" cm="1">
        <f t="array" ref="S827">IFERROR(_xlfn.SWITCH(L827,1,_xlfn.XLOOKUP(O827,[1]AttributeName!$B:$B,[1]AttributeName!$D:$D),2,_xlfn.XLOOKUP(C827,#REF!,#REF!),3,_xlfn.XLOOKUP(C827,#REF!,#REF!)),0)</f>
        <v>2</v>
      </c>
      <c r="T827" cm="1">
        <f t="array" ref="T827">IFERROR(_xlfn.SWITCH(L827,1,_xlfn.XLOOKUP(O827,[1]AttributeName!$B:$B,[1]AttributeName!$E:$E),2,_xlfn.XLOOKUP(C827,#REF!,#REF!),3,_xlfn.XLOOKUP(C827,#REF!,#REF!)),0)</f>
        <v>2</v>
      </c>
    </row>
    <row r="828" customFormat="1" spans="1:20">
      <c r="A828">
        <v>351</v>
      </c>
      <c r="B828">
        <v>7</v>
      </c>
      <c r="C828" t="s">
        <v>73</v>
      </c>
      <c r="D828" t="s">
        <v>26</v>
      </c>
      <c r="E828" t="s">
        <v>392</v>
      </c>
      <c r="F828"/>
      <c r="G828">
        <v>2</v>
      </c>
      <c r="H828">
        <v>1000</v>
      </c>
      <c r="J828" cm="1">
        <f t="array" ref="J828">_xlfn.SWITCH(B828,1,75,2,61,3,49,4,37,5,25,6,13,7,4,8,1)</f>
        <v>4</v>
      </c>
      <c r="K828" t="str" cm="1">
        <f t="array" ref="K828">IFERROR(_xlfn.SWITCH(L828,2,_xlfn.XLOOKUP(C828,[1]ModifierDes!$B:$B,[1]ModifierDes!$C:$C),3,_xlfn.XLOOKUP(C828,[1]StuntDes!$B:$B,[1]StuntDes!$C:$C)),"")</f>
        <v/>
      </c>
      <c r="L828">
        <f t="shared" si="38"/>
        <v>1</v>
      </c>
      <c r="M828" s="10" t="str">
        <f>IFERROR(_xlfn.XLOOKUP(C828,[1]StuntDes!$B:$B,[1]StuntDes!$A:$A),"")</f>
        <v/>
      </c>
      <c r="N828" s="10" t="str">
        <f>IFERROR(_xlfn.XLOOKUP(C828,[1]ModifierDes!$B:$B,[1]ModifierDes!$A:$A),"")</f>
        <v/>
      </c>
      <c r="O828" s="10">
        <f>IFERROR(_xlfn.XLOOKUP(C828,[1]AttributeName!$C:$C,[1]AttributeName!$B:$B),"")</f>
        <v>10311</v>
      </c>
      <c r="P828" s="10"/>
      <c r="Q828">
        <v>0.06</v>
      </c>
      <c r="R828">
        <v>0.0900000000000001</v>
      </c>
      <c r="S828" cm="1">
        <f t="array" ref="S828">IFERROR(_xlfn.SWITCH(L828,1,_xlfn.XLOOKUP(O828,[1]AttributeName!$B:$B,[1]AttributeName!$D:$D),2,_xlfn.XLOOKUP(C828,#REF!,#REF!),3,_xlfn.XLOOKUP(C828,#REF!,#REF!)),0)</f>
        <v>2</v>
      </c>
      <c r="T828" cm="1">
        <f t="array" ref="T828">IFERROR(_xlfn.SWITCH(L828,1,_xlfn.XLOOKUP(O828,[1]AttributeName!$B:$B,[1]AttributeName!$E:$E),2,_xlfn.XLOOKUP(C828,#REF!,#REF!),3,_xlfn.XLOOKUP(C828,#REF!,#REF!)),0)</f>
        <v>2</v>
      </c>
    </row>
    <row r="829" customFormat="1" spans="1:20">
      <c r="A829">
        <v>351</v>
      </c>
      <c r="B829">
        <v>8</v>
      </c>
      <c r="C829" t="s">
        <v>73</v>
      </c>
      <c r="D829" t="s">
        <v>26</v>
      </c>
      <c r="E829" t="s">
        <v>392</v>
      </c>
      <c r="F829"/>
      <c r="G829">
        <v>2</v>
      </c>
      <c r="H829">
        <v>1000</v>
      </c>
      <c r="J829" cm="1">
        <f t="array" ref="J829">_xlfn.SWITCH(B829,1,75,2,61,3,49,4,37,5,25,6,13,7,4,8,1)</f>
        <v>1</v>
      </c>
      <c r="K829" t="str" cm="1">
        <f t="array" ref="K829">IFERROR(_xlfn.SWITCH(L829,2,_xlfn.XLOOKUP(C829,[1]ModifierDes!$B:$B,[1]ModifierDes!$C:$C),3,_xlfn.XLOOKUP(C829,[1]StuntDes!$B:$B,[1]StuntDes!$C:$C)),"")</f>
        <v/>
      </c>
      <c r="L829">
        <f t="shared" si="38"/>
        <v>1</v>
      </c>
      <c r="M829" s="10" t="str">
        <f>IFERROR(_xlfn.XLOOKUP(C829,[1]StuntDes!$B:$B,[1]StuntDes!$A:$A),"")</f>
        <v/>
      </c>
      <c r="N829" s="10" t="str">
        <f>IFERROR(_xlfn.XLOOKUP(C829,[1]ModifierDes!$B:$B,[1]ModifierDes!$A:$A),"")</f>
        <v/>
      </c>
      <c r="O829" s="10">
        <f>IFERROR(_xlfn.XLOOKUP(C829,[1]AttributeName!$C:$C,[1]AttributeName!$B:$B),"")</f>
        <v>10311</v>
      </c>
      <c r="P829" s="10"/>
      <c r="Q829">
        <v>0.02</v>
      </c>
      <c r="R829">
        <v>0.0500000000000001</v>
      </c>
      <c r="S829" cm="1">
        <f t="array" ref="S829">IFERROR(_xlfn.SWITCH(L829,1,_xlfn.XLOOKUP(O829,[1]AttributeName!$B:$B,[1]AttributeName!$D:$D),2,_xlfn.XLOOKUP(C829,#REF!,#REF!),3,_xlfn.XLOOKUP(C829,#REF!,#REF!)),0)</f>
        <v>2</v>
      </c>
      <c r="T829" cm="1">
        <f t="array" ref="T829">IFERROR(_xlfn.SWITCH(L829,1,_xlfn.XLOOKUP(O829,[1]AttributeName!$B:$B,[1]AttributeName!$E:$E),2,_xlfn.XLOOKUP(C829,#REF!,#REF!),3,_xlfn.XLOOKUP(C829,#REF!,#REF!)),0)</f>
        <v>2</v>
      </c>
    </row>
    <row r="830" customFormat="1" spans="1:20">
      <c r="A830">
        <f t="shared" ref="A830:A861" si="40">A822+1</f>
        <v>352</v>
      </c>
      <c r="B830">
        <v>1</v>
      </c>
      <c r="C830" t="s">
        <v>423</v>
      </c>
      <c r="D830" t="s">
        <v>26</v>
      </c>
      <c r="E830" t="s">
        <v>392</v>
      </c>
      <c r="F830"/>
      <c r="G830">
        <v>2</v>
      </c>
      <c r="H830">
        <v>250</v>
      </c>
      <c r="J830" cm="1">
        <f t="array" ref="J830">_xlfn.SWITCH(B830,1,75,2,61,3,49,4,37,5,25,6,13,7,4,8,1)</f>
        <v>75</v>
      </c>
      <c r="K830" t="str" cm="1">
        <f t="array" ref="K830">IFERROR(_xlfn.SWITCH(L830,2,_xlfn.XLOOKUP(C830,[1]ModifierDes!$B:$B,[1]ModifierDes!$C:$C),3,_xlfn.XLOOKUP(C830,[1]StuntDes!$B:$B,[1]StuntDes!$C:$C)),"")</f>
        <v/>
      </c>
      <c r="L830">
        <f t="shared" si="38"/>
        <v>1</v>
      </c>
      <c r="M830" s="10" t="str">
        <f>IFERROR(_xlfn.XLOOKUP(C830,[1]StuntDes!$B:$B,[1]StuntDes!$A:$A),"")</f>
        <v/>
      </c>
      <c r="N830" s="10" t="str">
        <f>IFERROR(_xlfn.XLOOKUP(C830,[1]ModifierDes!$B:$B,[1]ModifierDes!$A:$A),"")</f>
        <v/>
      </c>
      <c r="O830" s="10">
        <f>IFERROR(_xlfn.XLOOKUP(C830,[1]AttributeName!$C:$C,[1]AttributeName!$B:$B),"")</f>
        <v>10312</v>
      </c>
      <c r="P830" s="10"/>
      <c r="Q830">
        <v>0.3</v>
      </c>
      <c r="R830">
        <v>0.4</v>
      </c>
      <c r="S830" cm="1">
        <f t="array" ref="S830">IFERROR(_xlfn.SWITCH(L830,1,_xlfn.XLOOKUP(O830,[1]AttributeName!$B:$B,[1]AttributeName!$D:$D),2,_xlfn.XLOOKUP(C830,#REF!,#REF!),3,_xlfn.XLOOKUP(C830,#REF!,#REF!)),0)</f>
        <v>2</v>
      </c>
      <c r="T830" cm="1">
        <f t="array" ref="T830">IFERROR(_xlfn.SWITCH(L830,1,_xlfn.XLOOKUP(O830,[1]AttributeName!$B:$B,[1]AttributeName!$E:$E),2,_xlfn.XLOOKUP(C830,#REF!,#REF!),3,_xlfn.XLOOKUP(C830,#REF!,#REF!)),0)</f>
        <v>2</v>
      </c>
    </row>
    <row r="831" customFormat="1" spans="1:20">
      <c r="A831">
        <f t="shared" si="40"/>
        <v>352</v>
      </c>
      <c r="B831">
        <v>2</v>
      </c>
      <c r="C831" t="s">
        <v>423</v>
      </c>
      <c r="D831" t="s">
        <v>26</v>
      </c>
      <c r="E831" t="s">
        <v>392</v>
      </c>
      <c r="F831"/>
      <c r="G831">
        <v>2</v>
      </c>
      <c r="H831">
        <v>500</v>
      </c>
      <c r="J831" cm="1">
        <f t="array" ref="J831">_xlfn.SWITCH(B831,1,75,2,61,3,49,4,37,5,25,6,13,7,4,8,1)</f>
        <v>61</v>
      </c>
      <c r="K831" t="str" cm="1">
        <f t="array" ref="K831">IFERROR(_xlfn.SWITCH(L831,2,_xlfn.XLOOKUP(C831,[1]ModifierDes!$B:$B,[1]ModifierDes!$C:$C),3,_xlfn.XLOOKUP(C831,[1]StuntDes!$B:$B,[1]StuntDes!$C:$C)),"")</f>
        <v/>
      </c>
      <c r="L831">
        <f t="shared" si="38"/>
        <v>1</v>
      </c>
      <c r="M831" s="10" t="str">
        <f>IFERROR(_xlfn.XLOOKUP(C831,[1]StuntDes!$B:$B,[1]StuntDes!$A:$A),"")</f>
        <v/>
      </c>
      <c r="N831" s="10" t="str">
        <f>IFERROR(_xlfn.XLOOKUP(C831,[1]ModifierDes!$B:$B,[1]ModifierDes!$A:$A),"")</f>
        <v/>
      </c>
      <c r="O831" s="10">
        <f>IFERROR(_xlfn.XLOOKUP(C831,[1]AttributeName!$C:$C,[1]AttributeName!$B:$B),"")</f>
        <v>10312</v>
      </c>
      <c r="P831" s="10"/>
      <c r="Q831">
        <v>0.26</v>
      </c>
      <c r="R831">
        <v>0.29</v>
      </c>
      <c r="S831" cm="1">
        <f t="array" ref="S831">IFERROR(_xlfn.SWITCH(L831,1,_xlfn.XLOOKUP(O831,[1]AttributeName!$B:$B,[1]AttributeName!$D:$D),2,_xlfn.XLOOKUP(C831,#REF!,#REF!),3,_xlfn.XLOOKUP(C831,#REF!,#REF!)),0)</f>
        <v>2</v>
      </c>
      <c r="T831" cm="1">
        <f t="array" ref="T831">IFERROR(_xlfn.SWITCH(L831,1,_xlfn.XLOOKUP(O831,[1]AttributeName!$B:$B,[1]AttributeName!$E:$E),2,_xlfn.XLOOKUP(C831,#REF!,#REF!),3,_xlfn.XLOOKUP(C831,#REF!,#REF!)),0)</f>
        <v>2</v>
      </c>
    </row>
    <row r="832" customFormat="1" spans="1:20">
      <c r="A832">
        <f t="shared" si="40"/>
        <v>352</v>
      </c>
      <c r="B832">
        <v>3</v>
      </c>
      <c r="C832" t="s">
        <v>423</v>
      </c>
      <c r="D832" t="s">
        <v>26</v>
      </c>
      <c r="E832" t="s">
        <v>392</v>
      </c>
      <c r="F832"/>
      <c r="G832">
        <v>2</v>
      </c>
      <c r="H832">
        <v>750</v>
      </c>
      <c r="J832" cm="1">
        <f t="array" ref="J832">_xlfn.SWITCH(B832,1,75,2,61,3,49,4,37,5,25,6,13,7,4,8,1)</f>
        <v>49</v>
      </c>
      <c r="K832" t="str" cm="1">
        <f t="array" ref="K832">IFERROR(_xlfn.SWITCH(L832,2,_xlfn.XLOOKUP(C832,[1]ModifierDes!$B:$B,[1]ModifierDes!$C:$C),3,_xlfn.XLOOKUP(C832,[1]StuntDes!$B:$B,[1]StuntDes!$C:$C)),"")</f>
        <v/>
      </c>
      <c r="L832">
        <f t="shared" si="38"/>
        <v>1</v>
      </c>
      <c r="M832" s="10" t="str">
        <f>IFERROR(_xlfn.XLOOKUP(C832,[1]StuntDes!$B:$B,[1]StuntDes!$A:$A),"")</f>
        <v/>
      </c>
      <c r="N832" s="10" t="str">
        <f>IFERROR(_xlfn.XLOOKUP(C832,[1]ModifierDes!$B:$B,[1]ModifierDes!$A:$A),"")</f>
        <v/>
      </c>
      <c r="O832" s="10">
        <f>IFERROR(_xlfn.XLOOKUP(C832,[1]AttributeName!$C:$C,[1]AttributeName!$B:$B),"")</f>
        <v>10312</v>
      </c>
      <c r="P832" s="10"/>
      <c r="Q832">
        <v>0.22</v>
      </c>
      <c r="R832">
        <v>0.25</v>
      </c>
      <c r="S832" cm="1">
        <f t="array" ref="S832">IFERROR(_xlfn.SWITCH(L832,1,_xlfn.XLOOKUP(O832,[1]AttributeName!$B:$B,[1]AttributeName!$D:$D),2,_xlfn.XLOOKUP(C832,#REF!,#REF!),3,_xlfn.XLOOKUP(C832,#REF!,#REF!)),0)</f>
        <v>2</v>
      </c>
      <c r="T832" cm="1">
        <f t="array" ref="T832">IFERROR(_xlfn.SWITCH(L832,1,_xlfn.XLOOKUP(O832,[1]AttributeName!$B:$B,[1]AttributeName!$E:$E),2,_xlfn.XLOOKUP(C832,#REF!,#REF!),3,_xlfn.XLOOKUP(C832,#REF!,#REF!)),0)</f>
        <v>2</v>
      </c>
    </row>
    <row r="833" customFormat="1" spans="1:20">
      <c r="A833">
        <f t="shared" si="40"/>
        <v>352</v>
      </c>
      <c r="B833">
        <v>4</v>
      </c>
      <c r="C833" t="s">
        <v>423</v>
      </c>
      <c r="D833" t="s">
        <v>26</v>
      </c>
      <c r="E833" t="s">
        <v>392</v>
      </c>
      <c r="F833"/>
      <c r="G833">
        <v>2</v>
      </c>
      <c r="H833">
        <v>1000</v>
      </c>
      <c r="J833" cm="1">
        <f t="array" ref="J833">_xlfn.SWITCH(B833,1,75,2,61,3,49,4,37,5,25,6,13,7,4,8,1)</f>
        <v>37</v>
      </c>
      <c r="K833" t="str" cm="1">
        <f t="array" ref="K833">IFERROR(_xlfn.SWITCH(L833,2,_xlfn.XLOOKUP(C833,[1]ModifierDes!$B:$B,[1]ModifierDes!$C:$C),3,_xlfn.XLOOKUP(C833,[1]StuntDes!$B:$B,[1]StuntDes!$C:$C)),"")</f>
        <v/>
      </c>
      <c r="L833">
        <f t="shared" si="38"/>
        <v>1</v>
      </c>
      <c r="M833" s="10" t="str">
        <f>IFERROR(_xlfn.XLOOKUP(C833,[1]StuntDes!$B:$B,[1]StuntDes!$A:$A),"")</f>
        <v/>
      </c>
      <c r="N833" s="10" t="str">
        <f>IFERROR(_xlfn.XLOOKUP(C833,[1]ModifierDes!$B:$B,[1]ModifierDes!$A:$A),"")</f>
        <v/>
      </c>
      <c r="O833" s="10">
        <f>IFERROR(_xlfn.XLOOKUP(C833,[1]AttributeName!$C:$C,[1]AttributeName!$B:$B),"")</f>
        <v>10312</v>
      </c>
      <c r="P833" s="10"/>
      <c r="Q833">
        <v>0.18</v>
      </c>
      <c r="R833">
        <v>0.21</v>
      </c>
      <c r="S833" cm="1">
        <f t="array" ref="S833">IFERROR(_xlfn.SWITCH(L833,1,_xlfn.XLOOKUP(O833,[1]AttributeName!$B:$B,[1]AttributeName!$D:$D),2,_xlfn.XLOOKUP(C833,#REF!,#REF!),3,_xlfn.XLOOKUP(C833,#REF!,#REF!)),0)</f>
        <v>2</v>
      </c>
      <c r="T833" cm="1">
        <f t="array" ref="T833">IFERROR(_xlfn.SWITCH(L833,1,_xlfn.XLOOKUP(O833,[1]AttributeName!$B:$B,[1]AttributeName!$E:$E),2,_xlfn.XLOOKUP(C833,#REF!,#REF!),3,_xlfn.XLOOKUP(C833,#REF!,#REF!)),0)</f>
        <v>2</v>
      </c>
    </row>
    <row r="834" customFormat="1" spans="1:20">
      <c r="A834">
        <f t="shared" si="40"/>
        <v>352</v>
      </c>
      <c r="B834">
        <v>5</v>
      </c>
      <c r="C834" t="s">
        <v>423</v>
      </c>
      <c r="D834" t="s">
        <v>26</v>
      </c>
      <c r="E834" t="s">
        <v>392</v>
      </c>
      <c r="F834"/>
      <c r="G834">
        <v>2</v>
      </c>
      <c r="H834">
        <v>1000</v>
      </c>
      <c r="J834" cm="1">
        <f t="array" ref="J834">_xlfn.SWITCH(B834,1,75,2,61,3,49,4,37,5,25,6,13,7,4,8,1)</f>
        <v>25</v>
      </c>
      <c r="K834" t="str" cm="1">
        <f t="array" ref="K834">IFERROR(_xlfn.SWITCH(L834,2,_xlfn.XLOOKUP(C834,[1]ModifierDes!$B:$B,[1]ModifierDes!$C:$C),3,_xlfn.XLOOKUP(C834,[1]StuntDes!$B:$B,[1]StuntDes!$C:$C)),"")</f>
        <v/>
      </c>
      <c r="L834">
        <f t="shared" si="38"/>
        <v>1</v>
      </c>
      <c r="M834" s="10" t="str">
        <f>IFERROR(_xlfn.XLOOKUP(C834,[1]StuntDes!$B:$B,[1]StuntDes!$A:$A),"")</f>
        <v/>
      </c>
      <c r="N834" s="10" t="str">
        <f>IFERROR(_xlfn.XLOOKUP(C834,[1]ModifierDes!$B:$B,[1]ModifierDes!$A:$A),"")</f>
        <v/>
      </c>
      <c r="O834" s="10">
        <f>IFERROR(_xlfn.XLOOKUP(C834,[1]AttributeName!$C:$C,[1]AttributeName!$B:$B),"")</f>
        <v>10312</v>
      </c>
      <c r="P834" s="10"/>
      <c r="Q834">
        <v>0.14</v>
      </c>
      <c r="R834">
        <v>0.17</v>
      </c>
      <c r="S834" cm="1">
        <f t="array" ref="S834">IFERROR(_xlfn.SWITCH(L834,1,_xlfn.XLOOKUP(O834,[1]AttributeName!$B:$B,[1]AttributeName!$D:$D),2,_xlfn.XLOOKUP(C834,#REF!,#REF!),3,_xlfn.XLOOKUP(C834,#REF!,#REF!)),0)</f>
        <v>2</v>
      </c>
      <c r="T834" cm="1">
        <f t="array" ref="T834">IFERROR(_xlfn.SWITCH(L834,1,_xlfn.XLOOKUP(O834,[1]AttributeName!$B:$B,[1]AttributeName!$E:$E),2,_xlfn.XLOOKUP(C834,#REF!,#REF!),3,_xlfn.XLOOKUP(C834,#REF!,#REF!)),0)</f>
        <v>2</v>
      </c>
    </row>
    <row r="835" customFormat="1" spans="1:20">
      <c r="A835">
        <f t="shared" si="40"/>
        <v>352</v>
      </c>
      <c r="B835">
        <v>6</v>
      </c>
      <c r="C835" t="s">
        <v>423</v>
      </c>
      <c r="D835" t="s">
        <v>26</v>
      </c>
      <c r="E835" t="s">
        <v>392</v>
      </c>
      <c r="F835"/>
      <c r="G835">
        <v>2</v>
      </c>
      <c r="H835">
        <v>1000</v>
      </c>
      <c r="J835" cm="1">
        <f t="array" ref="J835">_xlfn.SWITCH(B835,1,75,2,61,3,49,4,37,5,25,6,13,7,4,8,1)</f>
        <v>13</v>
      </c>
      <c r="K835" t="str" cm="1">
        <f t="array" ref="K835">IFERROR(_xlfn.SWITCH(L835,2,_xlfn.XLOOKUP(C835,[1]ModifierDes!$B:$B,[1]ModifierDes!$C:$C),3,_xlfn.XLOOKUP(C835,[1]StuntDes!$B:$B,[1]StuntDes!$C:$C)),"")</f>
        <v/>
      </c>
      <c r="L835">
        <f t="shared" si="38"/>
        <v>1</v>
      </c>
      <c r="M835" s="10" t="str">
        <f>IFERROR(_xlfn.XLOOKUP(C835,[1]StuntDes!$B:$B,[1]StuntDes!$A:$A),"")</f>
        <v/>
      </c>
      <c r="N835" s="10" t="str">
        <f>IFERROR(_xlfn.XLOOKUP(C835,[1]ModifierDes!$B:$B,[1]ModifierDes!$A:$A),"")</f>
        <v/>
      </c>
      <c r="O835" s="10">
        <f>IFERROR(_xlfn.XLOOKUP(C835,[1]AttributeName!$C:$C,[1]AttributeName!$B:$B),"")</f>
        <v>10312</v>
      </c>
      <c r="P835" s="10"/>
      <c r="Q835">
        <v>0.1</v>
      </c>
      <c r="R835">
        <v>0.13</v>
      </c>
      <c r="S835" cm="1">
        <f t="array" ref="S835">IFERROR(_xlfn.SWITCH(L835,1,_xlfn.XLOOKUP(O835,[1]AttributeName!$B:$B,[1]AttributeName!$D:$D),2,_xlfn.XLOOKUP(C835,#REF!,#REF!),3,_xlfn.XLOOKUP(C835,#REF!,#REF!)),0)</f>
        <v>2</v>
      </c>
      <c r="T835" cm="1">
        <f t="array" ref="T835">IFERROR(_xlfn.SWITCH(L835,1,_xlfn.XLOOKUP(O835,[1]AttributeName!$B:$B,[1]AttributeName!$E:$E),2,_xlfn.XLOOKUP(C835,#REF!,#REF!),3,_xlfn.XLOOKUP(C835,#REF!,#REF!)),0)</f>
        <v>2</v>
      </c>
    </row>
    <row r="836" customFormat="1" spans="1:20">
      <c r="A836">
        <f t="shared" si="40"/>
        <v>352</v>
      </c>
      <c r="B836">
        <v>7</v>
      </c>
      <c r="C836" t="s">
        <v>423</v>
      </c>
      <c r="D836" t="s">
        <v>26</v>
      </c>
      <c r="E836" t="s">
        <v>392</v>
      </c>
      <c r="F836"/>
      <c r="G836">
        <v>2</v>
      </c>
      <c r="H836">
        <v>1000</v>
      </c>
      <c r="J836" cm="1">
        <f t="array" ref="J836">_xlfn.SWITCH(B836,1,75,2,61,3,49,4,37,5,25,6,13,7,4,8,1)</f>
        <v>4</v>
      </c>
      <c r="K836" t="str" cm="1">
        <f t="array" ref="K836">IFERROR(_xlfn.SWITCH(L836,2,_xlfn.XLOOKUP(C836,[1]ModifierDes!$B:$B,[1]ModifierDes!$C:$C),3,_xlfn.XLOOKUP(C836,[1]StuntDes!$B:$B,[1]StuntDes!$C:$C)),"")</f>
        <v/>
      </c>
      <c r="L836">
        <f t="shared" ref="L836:L899" si="41">IF(M836="",IF(N836="",1,2),3)</f>
        <v>1</v>
      </c>
      <c r="M836" s="10" t="str">
        <f>IFERROR(_xlfn.XLOOKUP(C836,[1]StuntDes!$B:$B,[1]StuntDes!$A:$A),"")</f>
        <v/>
      </c>
      <c r="N836" s="10" t="str">
        <f>IFERROR(_xlfn.XLOOKUP(C836,[1]ModifierDes!$B:$B,[1]ModifierDes!$A:$A),"")</f>
        <v/>
      </c>
      <c r="O836" s="10">
        <f>IFERROR(_xlfn.XLOOKUP(C836,[1]AttributeName!$C:$C,[1]AttributeName!$B:$B),"")</f>
        <v>10312</v>
      </c>
      <c r="P836" s="10"/>
      <c r="Q836">
        <v>0.06</v>
      </c>
      <c r="R836">
        <v>0.0900000000000001</v>
      </c>
      <c r="S836" cm="1">
        <f t="array" ref="S836">IFERROR(_xlfn.SWITCH(L836,1,_xlfn.XLOOKUP(O836,[1]AttributeName!$B:$B,[1]AttributeName!$D:$D),2,_xlfn.XLOOKUP(C836,#REF!,#REF!),3,_xlfn.XLOOKUP(C836,#REF!,#REF!)),0)</f>
        <v>2</v>
      </c>
      <c r="T836" cm="1">
        <f t="array" ref="T836">IFERROR(_xlfn.SWITCH(L836,1,_xlfn.XLOOKUP(O836,[1]AttributeName!$B:$B,[1]AttributeName!$E:$E),2,_xlfn.XLOOKUP(C836,#REF!,#REF!),3,_xlfn.XLOOKUP(C836,#REF!,#REF!)),0)</f>
        <v>2</v>
      </c>
    </row>
    <row r="837" customFormat="1" spans="1:20">
      <c r="A837">
        <f t="shared" si="40"/>
        <v>352</v>
      </c>
      <c r="B837">
        <v>8</v>
      </c>
      <c r="C837" t="s">
        <v>423</v>
      </c>
      <c r="D837" t="s">
        <v>26</v>
      </c>
      <c r="E837" t="s">
        <v>392</v>
      </c>
      <c r="F837"/>
      <c r="G837">
        <v>2</v>
      </c>
      <c r="H837">
        <v>1000</v>
      </c>
      <c r="J837" cm="1">
        <f t="array" ref="J837">_xlfn.SWITCH(B837,1,75,2,61,3,49,4,37,5,25,6,13,7,4,8,1)</f>
        <v>1</v>
      </c>
      <c r="K837" t="str" cm="1">
        <f t="array" ref="K837">IFERROR(_xlfn.SWITCH(L837,2,_xlfn.XLOOKUP(C837,[1]ModifierDes!$B:$B,[1]ModifierDes!$C:$C),3,_xlfn.XLOOKUP(C837,[1]StuntDes!$B:$B,[1]StuntDes!$C:$C)),"")</f>
        <v/>
      </c>
      <c r="L837">
        <f t="shared" si="41"/>
        <v>1</v>
      </c>
      <c r="M837" s="10" t="str">
        <f>IFERROR(_xlfn.XLOOKUP(C837,[1]StuntDes!$B:$B,[1]StuntDes!$A:$A),"")</f>
        <v/>
      </c>
      <c r="N837" s="10" t="str">
        <f>IFERROR(_xlfn.XLOOKUP(C837,[1]ModifierDes!$B:$B,[1]ModifierDes!$A:$A),"")</f>
        <v/>
      </c>
      <c r="O837" s="10">
        <f>IFERROR(_xlfn.XLOOKUP(C837,[1]AttributeName!$C:$C,[1]AttributeName!$B:$B),"")</f>
        <v>10312</v>
      </c>
      <c r="P837" s="10"/>
      <c r="Q837">
        <v>0.02</v>
      </c>
      <c r="R837">
        <v>0.0500000000000001</v>
      </c>
      <c r="S837" cm="1">
        <f t="array" ref="S837">IFERROR(_xlfn.SWITCH(L837,1,_xlfn.XLOOKUP(O837,[1]AttributeName!$B:$B,[1]AttributeName!$D:$D),2,_xlfn.XLOOKUP(C837,#REF!,#REF!),3,_xlfn.XLOOKUP(C837,#REF!,#REF!)),0)</f>
        <v>2</v>
      </c>
      <c r="T837" cm="1">
        <f t="array" ref="T837">IFERROR(_xlfn.SWITCH(L837,1,_xlfn.XLOOKUP(O837,[1]AttributeName!$B:$B,[1]AttributeName!$E:$E),2,_xlfn.XLOOKUP(C837,#REF!,#REF!),3,_xlfn.XLOOKUP(C837,#REF!,#REF!)),0)</f>
        <v>2</v>
      </c>
    </row>
    <row r="838" customFormat="1" spans="1:20">
      <c r="A838">
        <f t="shared" si="40"/>
        <v>353</v>
      </c>
      <c r="B838">
        <v>1</v>
      </c>
      <c r="C838" t="s">
        <v>424</v>
      </c>
      <c r="D838" t="s">
        <v>26</v>
      </c>
      <c r="E838" t="s">
        <v>392</v>
      </c>
      <c r="F838"/>
      <c r="G838">
        <v>2</v>
      </c>
      <c r="H838">
        <v>250</v>
      </c>
      <c r="J838" cm="1">
        <f t="array" ref="J838">_xlfn.SWITCH(B838,1,75,2,61,3,49,4,37,5,25,6,13,7,4,8,1)</f>
        <v>75</v>
      </c>
      <c r="K838" t="str" cm="1">
        <f t="array" ref="K838">IFERROR(_xlfn.SWITCH(L838,2,_xlfn.XLOOKUP(C838,[1]ModifierDes!$B:$B,[1]ModifierDes!$C:$C),3,_xlfn.XLOOKUP(C838,[1]StuntDes!$B:$B,[1]StuntDes!$C:$C)),"")</f>
        <v/>
      </c>
      <c r="L838">
        <f t="shared" si="41"/>
        <v>1</v>
      </c>
      <c r="M838" s="10" t="str">
        <f>IFERROR(_xlfn.XLOOKUP(C838,[1]StuntDes!$B:$B,[1]StuntDes!$A:$A),"")</f>
        <v/>
      </c>
      <c r="N838" s="10" t="str">
        <f>IFERROR(_xlfn.XLOOKUP(C838,[1]ModifierDes!$B:$B,[1]ModifierDes!$A:$A),"")</f>
        <v/>
      </c>
      <c r="O838" s="10">
        <f>IFERROR(_xlfn.XLOOKUP(C838,[1]AttributeName!$C:$C,[1]AttributeName!$B:$B),"")</f>
        <v>10313</v>
      </c>
      <c r="P838" s="10"/>
      <c r="Q838">
        <v>0.3</v>
      </c>
      <c r="R838">
        <v>0.4</v>
      </c>
      <c r="S838" cm="1">
        <f t="array" ref="S838">IFERROR(_xlfn.SWITCH(L838,1,_xlfn.XLOOKUP(O838,[1]AttributeName!$B:$B,[1]AttributeName!$D:$D),2,_xlfn.XLOOKUP(C838,#REF!,#REF!),3,_xlfn.XLOOKUP(C838,#REF!,#REF!)),0)</f>
        <v>2</v>
      </c>
      <c r="T838" cm="1">
        <f t="array" ref="T838">IFERROR(_xlfn.SWITCH(L838,1,_xlfn.XLOOKUP(O838,[1]AttributeName!$B:$B,[1]AttributeName!$E:$E),2,_xlfn.XLOOKUP(C838,#REF!,#REF!),3,_xlfn.XLOOKUP(C838,#REF!,#REF!)),0)</f>
        <v>2</v>
      </c>
    </row>
    <row r="839" customFormat="1" spans="1:20">
      <c r="A839">
        <f t="shared" si="40"/>
        <v>353</v>
      </c>
      <c r="B839">
        <v>2</v>
      </c>
      <c r="C839" t="s">
        <v>424</v>
      </c>
      <c r="D839" t="s">
        <v>26</v>
      </c>
      <c r="E839" t="s">
        <v>392</v>
      </c>
      <c r="F839"/>
      <c r="G839">
        <v>2</v>
      </c>
      <c r="H839">
        <v>500</v>
      </c>
      <c r="J839" cm="1">
        <f t="array" ref="J839">_xlfn.SWITCH(B839,1,75,2,61,3,49,4,37,5,25,6,13,7,4,8,1)</f>
        <v>61</v>
      </c>
      <c r="K839" t="str" cm="1">
        <f t="array" ref="K839">IFERROR(_xlfn.SWITCH(L839,2,_xlfn.XLOOKUP(C839,[1]ModifierDes!$B:$B,[1]ModifierDes!$C:$C),3,_xlfn.XLOOKUP(C839,[1]StuntDes!$B:$B,[1]StuntDes!$C:$C)),"")</f>
        <v/>
      </c>
      <c r="L839">
        <f t="shared" si="41"/>
        <v>1</v>
      </c>
      <c r="M839" s="10" t="str">
        <f>IFERROR(_xlfn.XLOOKUP(C839,[1]StuntDes!$B:$B,[1]StuntDes!$A:$A),"")</f>
        <v/>
      </c>
      <c r="N839" s="10" t="str">
        <f>IFERROR(_xlfn.XLOOKUP(C839,[1]ModifierDes!$B:$B,[1]ModifierDes!$A:$A),"")</f>
        <v/>
      </c>
      <c r="O839" s="10">
        <f>IFERROR(_xlfn.XLOOKUP(C839,[1]AttributeName!$C:$C,[1]AttributeName!$B:$B),"")</f>
        <v>10313</v>
      </c>
      <c r="P839" s="10"/>
      <c r="Q839">
        <v>0.26</v>
      </c>
      <c r="R839">
        <v>0.29</v>
      </c>
      <c r="S839" cm="1">
        <f t="array" ref="S839">IFERROR(_xlfn.SWITCH(L839,1,_xlfn.XLOOKUP(O839,[1]AttributeName!$B:$B,[1]AttributeName!$D:$D),2,_xlfn.XLOOKUP(C839,#REF!,#REF!),3,_xlfn.XLOOKUP(C839,#REF!,#REF!)),0)</f>
        <v>2</v>
      </c>
      <c r="T839" cm="1">
        <f t="array" ref="T839">IFERROR(_xlfn.SWITCH(L839,1,_xlfn.XLOOKUP(O839,[1]AttributeName!$B:$B,[1]AttributeName!$E:$E),2,_xlfn.XLOOKUP(C839,#REF!,#REF!),3,_xlfn.XLOOKUP(C839,#REF!,#REF!)),0)</f>
        <v>2</v>
      </c>
    </row>
    <row r="840" customFormat="1" spans="1:20">
      <c r="A840">
        <f t="shared" si="40"/>
        <v>353</v>
      </c>
      <c r="B840">
        <v>3</v>
      </c>
      <c r="C840" t="s">
        <v>424</v>
      </c>
      <c r="D840" t="s">
        <v>26</v>
      </c>
      <c r="E840" t="s">
        <v>392</v>
      </c>
      <c r="F840"/>
      <c r="G840">
        <v>2</v>
      </c>
      <c r="H840">
        <v>750</v>
      </c>
      <c r="J840" cm="1">
        <f t="array" ref="J840">_xlfn.SWITCH(B840,1,75,2,61,3,49,4,37,5,25,6,13,7,4,8,1)</f>
        <v>49</v>
      </c>
      <c r="K840" t="str" cm="1">
        <f t="array" ref="K840">IFERROR(_xlfn.SWITCH(L840,2,_xlfn.XLOOKUP(C840,[1]ModifierDes!$B:$B,[1]ModifierDes!$C:$C),3,_xlfn.XLOOKUP(C840,[1]StuntDes!$B:$B,[1]StuntDes!$C:$C)),"")</f>
        <v/>
      </c>
      <c r="L840">
        <f t="shared" si="41"/>
        <v>1</v>
      </c>
      <c r="M840" s="10" t="str">
        <f>IFERROR(_xlfn.XLOOKUP(C840,[1]StuntDes!$B:$B,[1]StuntDes!$A:$A),"")</f>
        <v/>
      </c>
      <c r="N840" s="10" t="str">
        <f>IFERROR(_xlfn.XLOOKUP(C840,[1]ModifierDes!$B:$B,[1]ModifierDes!$A:$A),"")</f>
        <v/>
      </c>
      <c r="O840" s="10">
        <f>IFERROR(_xlfn.XLOOKUP(C840,[1]AttributeName!$C:$C,[1]AttributeName!$B:$B),"")</f>
        <v>10313</v>
      </c>
      <c r="P840" s="10"/>
      <c r="Q840">
        <v>0.22</v>
      </c>
      <c r="R840">
        <v>0.25</v>
      </c>
      <c r="S840" cm="1">
        <f t="array" ref="S840">IFERROR(_xlfn.SWITCH(L840,1,_xlfn.XLOOKUP(O840,[1]AttributeName!$B:$B,[1]AttributeName!$D:$D),2,_xlfn.XLOOKUP(C840,#REF!,#REF!),3,_xlfn.XLOOKUP(C840,#REF!,#REF!)),0)</f>
        <v>2</v>
      </c>
      <c r="T840" cm="1">
        <f t="array" ref="T840">IFERROR(_xlfn.SWITCH(L840,1,_xlfn.XLOOKUP(O840,[1]AttributeName!$B:$B,[1]AttributeName!$E:$E),2,_xlfn.XLOOKUP(C840,#REF!,#REF!),3,_xlfn.XLOOKUP(C840,#REF!,#REF!)),0)</f>
        <v>2</v>
      </c>
    </row>
    <row r="841" customFormat="1" spans="1:20">
      <c r="A841">
        <f t="shared" si="40"/>
        <v>353</v>
      </c>
      <c r="B841">
        <v>4</v>
      </c>
      <c r="C841" t="s">
        <v>424</v>
      </c>
      <c r="D841" t="s">
        <v>26</v>
      </c>
      <c r="E841" t="s">
        <v>392</v>
      </c>
      <c r="F841"/>
      <c r="G841">
        <v>2</v>
      </c>
      <c r="H841">
        <v>1000</v>
      </c>
      <c r="J841" cm="1">
        <f t="array" ref="J841">_xlfn.SWITCH(B841,1,75,2,61,3,49,4,37,5,25,6,13,7,4,8,1)</f>
        <v>37</v>
      </c>
      <c r="K841" t="str" cm="1">
        <f t="array" ref="K841">IFERROR(_xlfn.SWITCH(L841,2,_xlfn.XLOOKUP(C841,[1]ModifierDes!$B:$B,[1]ModifierDes!$C:$C),3,_xlfn.XLOOKUP(C841,[1]StuntDes!$B:$B,[1]StuntDes!$C:$C)),"")</f>
        <v/>
      </c>
      <c r="L841">
        <f t="shared" si="41"/>
        <v>1</v>
      </c>
      <c r="M841" s="10" t="str">
        <f>IFERROR(_xlfn.XLOOKUP(C841,[1]StuntDes!$B:$B,[1]StuntDes!$A:$A),"")</f>
        <v/>
      </c>
      <c r="N841" s="10" t="str">
        <f>IFERROR(_xlfn.XLOOKUP(C841,[1]ModifierDes!$B:$B,[1]ModifierDes!$A:$A),"")</f>
        <v/>
      </c>
      <c r="O841" s="10">
        <f>IFERROR(_xlfn.XLOOKUP(C841,[1]AttributeName!$C:$C,[1]AttributeName!$B:$B),"")</f>
        <v>10313</v>
      </c>
      <c r="P841" s="10"/>
      <c r="Q841">
        <v>0.18</v>
      </c>
      <c r="R841">
        <v>0.21</v>
      </c>
      <c r="S841" cm="1">
        <f t="array" ref="S841">IFERROR(_xlfn.SWITCH(L841,1,_xlfn.XLOOKUP(O841,[1]AttributeName!$B:$B,[1]AttributeName!$D:$D),2,_xlfn.XLOOKUP(C841,#REF!,#REF!),3,_xlfn.XLOOKUP(C841,#REF!,#REF!)),0)</f>
        <v>2</v>
      </c>
      <c r="T841" cm="1">
        <f t="array" ref="T841">IFERROR(_xlfn.SWITCH(L841,1,_xlfn.XLOOKUP(O841,[1]AttributeName!$B:$B,[1]AttributeName!$E:$E),2,_xlfn.XLOOKUP(C841,#REF!,#REF!),3,_xlfn.XLOOKUP(C841,#REF!,#REF!)),0)</f>
        <v>2</v>
      </c>
    </row>
    <row r="842" customFormat="1" spans="1:20">
      <c r="A842">
        <f t="shared" si="40"/>
        <v>353</v>
      </c>
      <c r="B842">
        <v>5</v>
      </c>
      <c r="C842" t="s">
        <v>424</v>
      </c>
      <c r="D842" t="s">
        <v>26</v>
      </c>
      <c r="E842" t="s">
        <v>392</v>
      </c>
      <c r="F842"/>
      <c r="G842">
        <v>2</v>
      </c>
      <c r="H842">
        <v>1000</v>
      </c>
      <c r="J842" cm="1">
        <f t="array" ref="J842">_xlfn.SWITCH(B842,1,75,2,61,3,49,4,37,5,25,6,13,7,4,8,1)</f>
        <v>25</v>
      </c>
      <c r="K842" t="str" cm="1">
        <f t="array" ref="K842">IFERROR(_xlfn.SWITCH(L842,2,_xlfn.XLOOKUP(C842,[1]ModifierDes!$B:$B,[1]ModifierDes!$C:$C),3,_xlfn.XLOOKUP(C842,[1]StuntDes!$B:$B,[1]StuntDes!$C:$C)),"")</f>
        <v/>
      </c>
      <c r="L842">
        <f t="shared" si="41"/>
        <v>1</v>
      </c>
      <c r="M842" s="10" t="str">
        <f>IFERROR(_xlfn.XLOOKUP(C842,[1]StuntDes!$B:$B,[1]StuntDes!$A:$A),"")</f>
        <v/>
      </c>
      <c r="N842" s="10" t="str">
        <f>IFERROR(_xlfn.XLOOKUP(C842,[1]ModifierDes!$B:$B,[1]ModifierDes!$A:$A),"")</f>
        <v/>
      </c>
      <c r="O842" s="10">
        <f>IFERROR(_xlfn.XLOOKUP(C842,[1]AttributeName!$C:$C,[1]AttributeName!$B:$B),"")</f>
        <v>10313</v>
      </c>
      <c r="P842" s="10"/>
      <c r="Q842">
        <v>0.14</v>
      </c>
      <c r="R842">
        <v>0.17</v>
      </c>
      <c r="S842" cm="1">
        <f t="array" ref="S842">IFERROR(_xlfn.SWITCH(L842,1,_xlfn.XLOOKUP(O842,[1]AttributeName!$B:$B,[1]AttributeName!$D:$D),2,_xlfn.XLOOKUP(C842,#REF!,#REF!),3,_xlfn.XLOOKUP(C842,#REF!,#REF!)),0)</f>
        <v>2</v>
      </c>
      <c r="T842" cm="1">
        <f t="array" ref="T842">IFERROR(_xlfn.SWITCH(L842,1,_xlfn.XLOOKUP(O842,[1]AttributeName!$B:$B,[1]AttributeName!$E:$E),2,_xlfn.XLOOKUP(C842,#REF!,#REF!),3,_xlfn.XLOOKUP(C842,#REF!,#REF!)),0)</f>
        <v>2</v>
      </c>
    </row>
    <row r="843" customFormat="1" spans="1:20">
      <c r="A843">
        <f t="shared" si="40"/>
        <v>353</v>
      </c>
      <c r="B843">
        <v>6</v>
      </c>
      <c r="C843" t="s">
        <v>424</v>
      </c>
      <c r="D843" t="s">
        <v>26</v>
      </c>
      <c r="E843" t="s">
        <v>392</v>
      </c>
      <c r="F843"/>
      <c r="G843">
        <v>2</v>
      </c>
      <c r="H843">
        <v>1000</v>
      </c>
      <c r="J843" cm="1">
        <f t="array" ref="J843">_xlfn.SWITCH(B843,1,75,2,61,3,49,4,37,5,25,6,13,7,4,8,1)</f>
        <v>13</v>
      </c>
      <c r="K843" t="str" cm="1">
        <f t="array" ref="K843">IFERROR(_xlfn.SWITCH(L843,2,_xlfn.XLOOKUP(C843,[1]ModifierDes!$B:$B,[1]ModifierDes!$C:$C),3,_xlfn.XLOOKUP(C843,[1]StuntDes!$B:$B,[1]StuntDes!$C:$C)),"")</f>
        <v/>
      </c>
      <c r="L843">
        <f t="shared" si="41"/>
        <v>1</v>
      </c>
      <c r="M843" s="10" t="str">
        <f>IFERROR(_xlfn.XLOOKUP(C843,[1]StuntDes!$B:$B,[1]StuntDes!$A:$A),"")</f>
        <v/>
      </c>
      <c r="N843" s="10" t="str">
        <f>IFERROR(_xlfn.XLOOKUP(C843,[1]ModifierDes!$B:$B,[1]ModifierDes!$A:$A),"")</f>
        <v/>
      </c>
      <c r="O843" s="10">
        <f>IFERROR(_xlfn.XLOOKUP(C843,[1]AttributeName!$C:$C,[1]AttributeName!$B:$B),"")</f>
        <v>10313</v>
      </c>
      <c r="P843" s="10"/>
      <c r="Q843">
        <v>0.1</v>
      </c>
      <c r="R843">
        <v>0.13</v>
      </c>
      <c r="S843" cm="1">
        <f t="array" ref="S843">IFERROR(_xlfn.SWITCH(L843,1,_xlfn.XLOOKUP(O843,[1]AttributeName!$B:$B,[1]AttributeName!$D:$D),2,_xlfn.XLOOKUP(C843,#REF!,#REF!),3,_xlfn.XLOOKUP(C843,#REF!,#REF!)),0)</f>
        <v>2</v>
      </c>
      <c r="T843" cm="1">
        <f t="array" ref="T843">IFERROR(_xlfn.SWITCH(L843,1,_xlfn.XLOOKUP(O843,[1]AttributeName!$B:$B,[1]AttributeName!$E:$E),2,_xlfn.XLOOKUP(C843,#REF!,#REF!),3,_xlfn.XLOOKUP(C843,#REF!,#REF!)),0)</f>
        <v>2</v>
      </c>
    </row>
    <row r="844" customFormat="1" spans="1:20">
      <c r="A844">
        <f t="shared" si="40"/>
        <v>353</v>
      </c>
      <c r="B844">
        <v>7</v>
      </c>
      <c r="C844" t="s">
        <v>424</v>
      </c>
      <c r="D844" t="s">
        <v>26</v>
      </c>
      <c r="E844" t="s">
        <v>392</v>
      </c>
      <c r="F844"/>
      <c r="G844">
        <v>2</v>
      </c>
      <c r="H844">
        <v>1000</v>
      </c>
      <c r="J844" cm="1">
        <f t="array" ref="J844">_xlfn.SWITCH(B844,1,75,2,61,3,49,4,37,5,25,6,13,7,4,8,1)</f>
        <v>4</v>
      </c>
      <c r="K844" t="str" cm="1">
        <f t="array" ref="K844">IFERROR(_xlfn.SWITCH(L844,2,_xlfn.XLOOKUP(C844,[1]ModifierDes!$B:$B,[1]ModifierDes!$C:$C),3,_xlfn.XLOOKUP(C844,[1]StuntDes!$B:$B,[1]StuntDes!$C:$C)),"")</f>
        <v/>
      </c>
      <c r="L844">
        <f t="shared" si="41"/>
        <v>1</v>
      </c>
      <c r="M844" s="10" t="str">
        <f>IFERROR(_xlfn.XLOOKUP(C844,[1]StuntDes!$B:$B,[1]StuntDes!$A:$A),"")</f>
        <v/>
      </c>
      <c r="N844" s="10" t="str">
        <f>IFERROR(_xlfn.XLOOKUP(C844,[1]ModifierDes!$B:$B,[1]ModifierDes!$A:$A),"")</f>
        <v/>
      </c>
      <c r="O844" s="10">
        <f>IFERROR(_xlfn.XLOOKUP(C844,[1]AttributeName!$C:$C,[1]AttributeName!$B:$B),"")</f>
        <v>10313</v>
      </c>
      <c r="P844" s="10"/>
      <c r="Q844">
        <v>0.06</v>
      </c>
      <c r="R844">
        <v>0.0900000000000001</v>
      </c>
      <c r="S844" cm="1">
        <f t="array" ref="S844">IFERROR(_xlfn.SWITCH(L844,1,_xlfn.XLOOKUP(O844,[1]AttributeName!$B:$B,[1]AttributeName!$D:$D),2,_xlfn.XLOOKUP(C844,#REF!,#REF!),3,_xlfn.XLOOKUP(C844,#REF!,#REF!)),0)</f>
        <v>2</v>
      </c>
      <c r="T844" cm="1">
        <f t="array" ref="T844">IFERROR(_xlfn.SWITCH(L844,1,_xlfn.XLOOKUP(O844,[1]AttributeName!$B:$B,[1]AttributeName!$E:$E),2,_xlfn.XLOOKUP(C844,#REF!,#REF!),3,_xlfn.XLOOKUP(C844,#REF!,#REF!)),0)</f>
        <v>2</v>
      </c>
    </row>
    <row r="845" customFormat="1" spans="1:20">
      <c r="A845">
        <f t="shared" si="40"/>
        <v>353</v>
      </c>
      <c r="B845">
        <v>8</v>
      </c>
      <c r="C845" t="s">
        <v>424</v>
      </c>
      <c r="D845" t="s">
        <v>26</v>
      </c>
      <c r="E845" t="s">
        <v>392</v>
      </c>
      <c r="F845"/>
      <c r="G845">
        <v>2</v>
      </c>
      <c r="H845">
        <v>1000</v>
      </c>
      <c r="J845" cm="1">
        <f t="array" ref="J845">_xlfn.SWITCH(B845,1,75,2,61,3,49,4,37,5,25,6,13,7,4,8,1)</f>
        <v>1</v>
      </c>
      <c r="K845" t="str" cm="1">
        <f t="array" ref="K845">IFERROR(_xlfn.SWITCH(L845,2,_xlfn.XLOOKUP(C845,[1]ModifierDes!$B:$B,[1]ModifierDes!$C:$C),3,_xlfn.XLOOKUP(C845,[1]StuntDes!$B:$B,[1]StuntDes!$C:$C)),"")</f>
        <v/>
      </c>
      <c r="L845">
        <f t="shared" si="41"/>
        <v>1</v>
      </c>
      <c r="M845" s="10" t="str">
        <f>IFERROR(_xlfn.XLOOKUP(C845,[1]StuntDes!$B:$B,[1]StuntDes!$A:$A),"")</f>
        <v/>
      </c>
      <c r="N845" s="10" t="str">
        <f>IFERROR(_xlfn.XLOOKUP(C845,[1]ModifierDes!$B:$B,[1]ModifierDes!$A:$A),"")</f>
        <v/>
      </c>
      <c r="O845" s="10">
        <f>IFERROR(_xlfn.XLOOKUP(C845,[1]AttributeName!$C:$C,[1]AttributeName!$B:$B),"")</f>
        <v>10313</v>
      </c>
      <c r="P845" s="10"/>
      <c r="Q845">
        <v>0.02</v>
      </c>
      <c r="R845">
        <v>0.0500000000000001</v>
      </c>
      <c r="S845" cm="1">
        <f t="array" ref="S845">IFERROR(_xlfn.SWITCH(L845,1,_xlfn.XLOOKUP(O845,[1]AttributeName!$B:$B,[1]AttributeName!$D:$D),2,_xlfn.XLOOKUP(C845,#REF!,#REF!),3,_xlfn.XLOOKUP(C845,#REF!,#REF!)),0)</f>
        <v>2</v>
      </c>
      <c r="T845" cm="1">
        <f t="array" ref="T845">IFERROR(_xlfn.SWITCH(L845,1,_xlfn.XLOOKUP(O845,[1]AttributeName!$B:$B,[1]AttributeName!$E:$E),2,_xlfn.XLOOKUP(C845,#REF!,#REF!),3,_xlfn.XLOOKUP(C845,#REF!,#REF!)),0)</f>
        <v>2</v>
      </c>
    </row>
    <row r="846" customFormat="1" spans="1:20">
      <c r="A846">
        <f t="shared" si="40"/>
        <v>354</v>
      </c>
      <c r="B846">
        <v>1</v>
      </c>
      <c r="C846" t="s">
        <v>425</v>
      </c>
      <c r="D846" t="s">
        <v>26</v>
      </c>
      <c r="E846" t="s">
        <v>392</v>
      </c>
      <c r="F846"/>
      <c r="G846">
        <v>2</v>
      </c>
      <c r="H846">
        <v>250</v>
      </c>
      <c r="J846" cm="1">
        <f t="array" ref="J846">_xlfn.SWITCH(B846,1,75,2,61,3,49,4,37,5,25,6,13,7,4,8,1)</f>
        <v>75</v>
      </c>
      <c r="K846" t="str" cm="1">
        <f t="array" ref="K846">IFERROR(_xlfn.SWITCH(L846,2,_xlfn.XLOOKUP(C846,[1]ModifierDes!$B:$B,[1]ModifierDes!$C:$C),3,_xlfn.XLOOKUP(C846,[1]StuntDes!$B:$B,[1]StuntDes!$C:$C)),"")</f>
        <v/>
      </c>
      <c r="L846">
        <f t="shared" si="41"/>
        <v>1</v>
      </c>
      <c r="M846" s="10" t="str">
        <f>IFERROR(_xlfn.XLOOKUP(C846,[1]StuntDes!$B:$B,[1]StuntDes!$A:$A),"")</f>
        <v/>
      </c>
      <c r="N846" s="10" t="str">
        <f>IFERROR(_xlfn.XLOOKUP(C846,[1]ModifierDes!$B:$B,[1]ModifierDes!$A:$A),"")</f>
        <v/>
      </c>
      <c r="O846" s="10">
        <f>IFERROR(_xlfn.XLOOKUP(C846,[1]AttributeName!$C:$C,[1]AttributeName!$B:$B),"")</f>
        <v>10314</v>
      </c>
      <c r="P846" s="10"/>
      <c r="Q846">
        <v>0.3</v>
      </c>
      <c r="R846">
        <v>0.4</v>
      </c>
      <c r="S846" cm="1">
        <f t="array" ref="S846">IFERROR(_xlfn.SWITCH(L846,1,_xlfn.XLOOKUP(O846,[1]AttributeName!$B:$B,[1]AttributeName!$D:$D),2,_xlfn.XLOOKUP(C846,#REF!,#REF!),3,_xlfn.XLOOKUP(C846,#REF!,#REF!)),0)</f>
        <v>2</v>
      </c>
      <c r="T846" cm="1">
        <f t="array" ref="T846">IFERROR(_xlfn.SWITCH(L846,1,_xlfn.XLOOKUP(O846,[1]AttributeName!$B:$B,[1]AttributeName!$E:$E),2,_xlfn.XLOOKUP(C846,#REF!,#REF!),3,_xlfn.XLOOKUP(C846,#REF!,#REF!)),0)</f>
        <v>2</v>
      </c>
    </row>
    <row r="847" customFormat="1" spans="1:20">
      <c r="A847">
        <f t="shared" si="40"/>
        <v>354</v>
      </c>
      <c r="B847">
        <v>2</v>
      </c>
      <c r="C847" t="s">
        <v>425</v>
      </c>
      <c r="D847" t="s">
        <v>26</v>
      </c>
      <c r="E847" t="s">
        <v>392</v>
      </c>
      <c r="F847"/>
      <c r="G847">
        <v>2</v>
      </c>
      <c r="H847">
        <v>500</v>
      </c>
      <c r="J847" cm="1">
        <f t="array" ref="J847">_xlfn.SWITCH(B847,1,75,2,61,3,49,4,37,5,25,6,13,7,4,8,1)</f>
        <v>61</v>
      </c>
      <c r="K847" t="str" cm="1">
        <f t="array" ref="K847">IFERROR(_xlfn.SWITCH(L847,2,_xlfn.XLOOKUP(C847,[1]ModifierDes!$B:$B,[1]ModifierDes!$C:$C),3,_xlfn.XLOOKUP(C847,[1]StuntDes!$B:$B,[1]StuntDes!$C:$C)),"")</f>
        <v/>
      </c>
      <c r="L847">
        <f t="shared" si="41"/>
        <v>1</v>
      </c>
      <c r="M847" s="10" t="str">
        <f>IFERROR(_xlfn.XLOOKUP(C847,[1]StuntDes!$B:$B,[1]StuntDes!$A:$A),"")</f>
        <v/>
      </c>
      <c r="N847" s="10" t="str">
        <f>IFERROR(_xlfn.XLOOKUP(C847,[1]ModifierDes!$B:$B,[1]ModifierDes!$A:$A),"")</f>
        <v/>
      </c>
      <c r="O847" s="10">
        <f>IFERROR(_xlfn.XLOOKUP(C847,[1]AttributeName!$C:$C,[1]AttributeName!$B:$B),"")</f>
        <v>10314</v>
      </c>
      <c r="P847" s="10"/>
      <c r="Q847">
        <v>0.26</v>
      </c>
      <c r="R847">
        <v>0.29</v>
      </c>
      <c r="S847" cm="1">
        <f t="array" ref="S847">IFERROR(_xlfn.SWITCH(L847,1,_xlfn.XLOOKUP(O847,[1]AttributeName!$B:$B,[1]AttributeName!$D:$D),2,_xlfn.XLOOKUP(C847,#REF!,#REF!),3,_xlfn.XLOOKUP(C847,#REF!,#REF!)),0)</f>
        <v>2</v>
      </c>
      <c r="T847" cm="1">
        <f t="array" ref="T847">IFERROR(_xlfn.SWITCH(L847,1,_xlfn.XLOOKUP(O847,[1]AttributeName!$B:$B,[1]AttributeName!$E:$E),2,_xlfn.XLOOKUP(C847,#REF!,#REF!),3,_xlfn.XLOOKUP(C847,#REF!,#REF!)),0)</f>
        <v>2</v>
      </c>
    </row>
    <row r="848" customFormat="1" spans="1:20">
      <c r="A848">
        <f t="shared" si="40"/>
        <v>354</v>
      </c>
      <c r="B848">
        <v>3</v>
      </c>
      <c r="C848" t="s">
        <v>425</v>
      </c>
      <c r="D848" t="s">
        <v>26</v>
      </c>
      <c r="E848" t="s">
        <v>392</v>
      </c>
      <c r="F848"/>
      <c r="G848">
        <v>2</v>
      </c>
      <c r="H848">
        <v>750</v>
      </c>
      <c r="J848" cm="1">
        <f t="array" ref="J848">_xlfn.SWITCH(B848,1,75,2,61,3,49,4,37,5,25,6,13,7,4,8,1)</f>
        <v>49</v>
      </c>
      <c r="K848" t="str" cm="1">
        <f t="array" ref="K848">IFERROR(_xlfn.SWITCH(L848,2,_xlfn.XLOOKUP(C848,[1]ModifierDes!$B:$B,[1]ModifierDes!$C:$C),3,_xlfn.XLOOKUP(C848,[1]StuntDes!$B:$B,[1]StuntDes!$C:$C)),"")</f>
        <v/>
      </c>
      <c r="L848">
        <f t="shared" si="41"/>
        <v>1</v>
      </c>
      <c r="M848" s="10" t="str">
        <f>IFERROR(_xlfn.XLOOKUP(C848,[1]StuntDes!$B:$B,[1]StuntDes!$A:$A),"")</f>
        <v/>
      </c>
      <c r="N848" s="10" t="str">
        <f>IFERROR(_xlfn.XLOOKUP(C848,[1]ModifierDes!$B:$B,[1]ModifierDes!$A:$A),"")</f>
        <v/>
      </c>
      <c r="O848" s="10">
        <f>IFERROR(_xlfn.XLOOKUP(C848,[1]AttributeName!$C:$C,[1]AttributeName!$B:$B),"")</f>
        <v>10314</v>
      </c>
      <c r="P848" s="10"/>
      <c r="Q848">
        <v>0.22</v>
      </c>
      <c r="R848">
        <v>0.25</v>
      </c>
      <c r="S848" cm="1">
        <f t="array" ref="S848">IFERROR(_xlfn.SWITCH(L848,1,_xlfn.XLOOKUP(O848,[1]AttributeName!$B:$B,[1]AttributeName!$D:$D),2,_xlfn.XLOOKUP(C848,#REF!,#REF!),3,_xlfn.XLOOKUP(C848,#REF!,#REF!)),0)</f>
        <v>2</v>
      </c>
      <c r="T848" cm="1">
        <f t="array" ref="T848">IFERROR(_xlfn.SWITCH(L848,1,_xlfn.XLOOKUP(O848,[1]AttributeName!$B:$B,[1]AttributeName!$E:$E),2,_xlfn.XLOOKUP(C848,#REF!,#REF!),3,_xlfn.XLOOKUP(C848,#REF!,#REF!)),0)</f>
        <v>2</v>
      </c>
    </row>
    <row r="849" customFormat="1" spans="1:20">
      <c r="A849">
        <f t="shared" si="40"/>
        <v>354</v>
      </c>
      <c r="B849">
        <v>4</v>
      </c>
      <c r="C849" t="s">
        <v>425</v>
      </c>
      <c r="D849" t="s">
        <v>26</v>
      </c>
      <c r="E849" t="s">
        <v>392</v>
      </c>
      <c r="F849"/>
      <c r="G849">
        <v>2</v>
      </c>
      <c r="H849">
        <v>1000</v>
      </c>
      <c r="J849" cm="1">
        <f t="array" ref="J849">_xlfn.SWITCH(B849,1,75,2,61,3,49,4,37,5,25,6,13,7,4,8,1)</f>
        <v>37</v>
      </c>
      <c r="K849" t="str" cm="1">
        <f t="array" ref="K849">IFERROR(_xlfn.SWITCH(L849,2,_xlfn.XLOOKUP(C849,[1]ModifierDes!$B:$B,[1]ModifierDes!$C:$C),3,_xlfn.XLOOKUP(C849,[1]StuntDes!$B:$B,[1]StuntDes!$C:$C)),"")</f>
        <v/>
      </c>
      <c r="L849">
        <f t="shared" si="41"/>
        <v>1</v>
      </c>
      <c r="M849" s="10" t="str">
        <f>IFERROR(_xlfn.XLOOKUP(C849,[1]StuntDes!$B:$B,[1]StuntDes!$A:$A),"")</f>
        <v/>
      </c>
      <c r="N849" s="10" t="str">
        <f>IFERROR(_xlfn.XLOOKUP(C849,[1]ModifierDes!$B:$B,[1]ModifierDes!$A:$A),"")</f>
        <v/>
      </c>
      <c r="O849" s="10">
        <f>IFERROR(_xlfn.XLOOKUP(C849,[1]AttributeName!$C:$C,[1]AttributeName!$B:$B),"")</f>
        <v>10314</v>
      </c>
      <c r="P849" s="10"/>
      <c r="Q849">
        <v>0.18</v>
      </c>
      <c r="R849">
        <v>0.21</v>
      </c>
      <c r="S849" cm="1">
        <f t="array" ref="S849">IFERROR(_xlfn.SWITCH(L849,1,_xlfn.XLOOKUP(O849,[1]AttributeName!$B:$B,[1]AttributeName!$D:$D),2,_xlfn.XLOOKUP(C849,#REF!,#REF!),3,_xlfn.XLOOKUP(C849,#REF!,#REF!)),0)</f>
        <v>2</v>
      </c>
      <c r="T849" cm="1">
        <f t="array" ref="T849">IFERROR(_xlfn.SWITCH(L849,1,_xlfn.XLOOKUP(O849,[1]AttributeName!$B:$B,[1]AttributeName!$E:$E),2,_xlfn.XLOOKUP(C849,#REF!,#REF!),3,_xlfn.XLOOKUP(C849,#REF!,#REF!)),0)</f>
        <v>2</v>
      </c>
    </row>
    <row r="850" customFormat="1" spans="1:20">
      <c r="A850">
        <f t="shared" si="40"/>
        <v>354</v>
      </c>
      <c r="B850">
        <v>5</v>
      </c>
      <c r="C850" t="s">
        <v>425</v>
      </c>
      <c r="D850" t="s">
        <v>26</v>
      </c>
      <c r="E850" t="s">
        <v>392</v>
      </c>
      <c r="F850"/>
      <c r="G850">
        <v>2</v>
      </c>
      <c r="H850">
        <v>1000</v>
      </c>
      <c r="J850" cm="1">
        <f t="array" ref="J850">_xlfn.SWITCH(B850,1,75,2,61,3,49,4,37,5,25,6,13,7,4,8,1)</f>
        <v>25</v>
      </c>
      <c r="K850" t="str" cm="1">
        <f t="array" ref="K850">IFERROR(_xlfn.SWITCH(L850,2,_xlfn.XLOOKUP(C850,[1]ModifierDes!$B:$B,[1]ModifierDes!$C:$C),3,_xlfn.XLOOKUP(C850,[1]StuntDes!$B:$B,[1]StuntDes!$C:$C)),"")</f>
        <v/>
      </c>
      <c r="L850">
        <f t="shared" si="41"/>
        <v>1</v>
      </c>
      <c r="M850" s="10" t="str">
        <f>IFERROR(_xlfn.XLOOKUP(C850,[1]StuntDes!$B:$B,[1]StuntDes!$A:$A),"")</f>
        <v/>
      </c>
      <c r="N850" s="10" t="str">
        <f>IFERROR(_xlfn.XLOOKUP(C850,[1]ModifierDes!$B:$B,[1]ModifierDes!$A:$A),"")</f>
        <v/>
      </c>
      <c r="O850" s="10">
        <f>IFERROR(_xlfn.XLOOKUP(C850,[1]AttributeName!$C:$C,[1]AttributeName!$B:$B),"")</f>
        <v>10314</v>
      </c>
      <c r="P850" s="10"/>
      <c r="Q850">
        <v>0.14</v>
      </c>
      <c r="R850">
        <v>0.17</v>
      </c>
      <c r="S850" cm="1">
        <f t="array" ref="S850">IFERROR(_xlfn.SWITCH(L850,1,_xlfn.XLOOKUP(O850,[1]AttributeName!$B:$B,[1]AttributeName!$D:$D),2,_xlfn.XLOOKUP(C850,#REF!,#REF!),3,_xlfn.XLOOKUP(C850,#REF!,#REF!)),0)</f>
        <v>2</v>
      </c>
      <c r="T850" cm="1">
        <f t="array" ref="T850">IFERROR(_xlfn.SWITCH(L850,1,_xlfn.XLOOKUP(O850,[1]AttributeName!$B:$B,[1]AttributeName!$E:$E),2,_xlfn.XLOOKUP(C850,#REF!,#REF!),3,_xlfn.XLOOKUP(C850,#REF!,#REF!)),0)</f>
        <v>2</v>
      </c>
    </row>
    <row r="851" customFormat="1" spans="1:20">
      <c r="A851">
        <f t="shared" si="40"/>
        <v>354</v>
      </c>
      <c r="B851">
        <v>6</v>
      </c>
      <c r="C851" t="s">
        <v>425</v>
      </c>
      <c r="D851" t="s">
        <v>26</v>
      </c>
      <c r="E851" t="s">
        <v>392</v>
      </c>
      <c r="F851"/>
      <c r="G851">
        <v>2</v>
      </c>
      <c r="H851">
        <v>1000</v>
      </c>
      <c r="J851" cm="1">
        <f t="array" ref="J851">_xlfn.SWITCH(B851,1,75,2,61,3,49,4,37,5,25,6,13,7,4,8,1)</f>
        <v>13</v>
      </c>
      <c r="K851" t="str" cm="1">
        <f t="array" ref="K851">IFERROR(_xlfn.SWITCH(L851,2,_xlfn.XLOOKUP(C851,[1]ModifierDes!$B:$B,[1]ModifierDes!$C:$C),3,_xlfn.XLOOKUP(C851,[1]StuntDes!$B:$B,[1]StuntDes!$C:$C)),"")</f>
        <v/>
      </c>
      <c r="L851">
        <f t="shared" si="41"/>
        <v>1</v>
      </c>
      <c r="M851" s="10" t="str">
        <f>IFERROR(_xlfn.XLOOKUP(C851,[1]StuntDes!$B:$B,[1]StuntDes!$A:$A),"")</f>
        <v/>
      </c>
      <c r="N851" s="10" t="str">
        <f>IFERROR(_xlfn.XLOOKUP(C851,[1]ModifierDes!$B:$B,[1]ModifierDes!$A:$A),"")</f>
        <v/>
      </c>
      <c r="O851" s="10">
        <f>IFERROR(_xlfn.XLOOKUP(C851,[1]AttributeName!$C:$C,[1]AttributeName!$B:$B),"")</f>
        <v>10314</v>
      </c>
      <c r="P851" s="10"/>
      <c r="Q851">
        <v>0.1</v>
      </c>
      <c r="R851">
        <v>0.13</v>
      </c>
      <c r="S851" cm="1">
        <f t="array" ref="S851">IFERROR(_xlfn.SWITCH(L851,1,_xlfn.XLOOKUP(O851,[1]AttributeName!$B:$B,[1]AttributeName!$D:$D),2,_xlfn.XLOOKUP(C851,#REF!,#REF!),3,_xlfn.XLOOKUP(C851,#REF!,#REF!)),0)</f>
        <v>2</v>
      </c>
      <c r="T851" cm="1">
        <f t="array" ref="T851">IFERROR(_xlfn.SWITCH(L851,1,_xlfn.XLOOKUP(O851,[1]AttributeName!$B:$B,[1]AttributeName!$E:$E),2,_xlfn.XLOOKUP(C851,#REF!,#REF!),3,_xlfn.XLOOKUP(C851,#REF!,#REF!)),0)</f>
        <v>2</v>
      </c>
    </row>
    <row r="852" customFormat="1" spans="1:20">
      <c r="A852">
        <f t="shared" si="40"/>
        <v>354</v>
      </c>
      <c r="B852">
        <v>7</v>
      </c>
      <c r="C852" t="s">
        <v>425</v>
      </c>
      <c r="D852" t="s">
        <v>26</v>
      </c>
      <c r="E852" t="s">
        <v>392</v>
      </c>
      <c r="F852"/>
      <c r="G852">
        <v>2</v>
      </c>
      <c r="H852">
        <v>1000</v>
      </c>
      <c r="J852" cm="1">
        <f t="array" ref="J852">_xlfn.SWITCH(B852,1,75,2,61,3,49,4,37,5,25,6,13,7,4,8,1)</f>
        <v>4</v>
      </c>
      <c r="K852" t="str" cm="1">
        <f t="array" ref="K852">IFERROR(_xlfn.SWITCH(L852,2,_xlfn.XLOOKUP(C852,[1]ModifierDes!$B:$B,[1]ModifierDes!$C:$C),3,_xlfn.XLOOKUP(C852,[1]StuntDes!$B:$B,[1]StuntDes!$C:$C)),"")</f>
        <v/>
      </c>
      <c r="L852">
        <f t="shared" si="41"/>
        <v>1</v>
      </c>
      <c r="M852" s="10" t="str">
        <f>IFERROR(_xlfn.XLOOKUP(C852,[1]StuntDes!$B:$B,[1]StuntDes!$A:$A),"")</f>
        <v/>
      </c>
      <c r="N852" s="10" t="str">
        <f>IFERROR(_xlfn.XLOOKUP(C852,[1]ModifierDes!$B:$B,[1]ModifierDes!$A:$A),"")</f>
        <v/>
      </c>
      <c r="O852" s="10">
        <f>IFERROR(_xlfn.XLOOKUP(C852,[1]AttributeName!$C:$C,[1]AttributeName!$B:$B),"")</f>
        <v>10314</v>
      </c>
      <c r="P852" s="10"/>
      <c r="Q852">
        <v>0.06</v>
      </c>
      <c r="R852">
        <v>0.0900000000000001</v>
      </c>
      <c r="S852" cm="1">
        <f t="array" ref="S852">IFERROR(_xlfn.SWITCH(L852,1,_xlfn.XLOOKUP(O852,[1]AttributeName!$B:$B,[1]AttributeName!$D:$D),2,_xlfn.XLOOKUP(C852,#REF!,#REF!),3,_xlfn.XLOOKUP(C852,#REF!,#REF!)),0)</f>
        <v>2</v>
      </c>
      <c r="T852" cm="1">
        <f t="array" ref="T852">IFERROR(_xlfn.SWITCH(L852,1,_xlfn.XLOOKUP(O852,[1]AttributeName!$B:$B,[1]AttributeName!$E:$E),2,_xlfn.XLOOKUP(C852,#REF!,#REF!),3,_xlfn.XLOOKUP(C852,#REF!,#REF!)),0)</f>
        <v>2</v>
      </c>
    </row>
    <row r="853" customFormat="1" spans="1:20">
      <c r="A853">
        <f t="shared" si="40"/>
        <v>354</v>
      </c>
      <c r="B853">
        <v>8</v>
      </c>
      <c r="C853" t="s">
        <v>425</v>
      </c>
      <c r="D853" t="s">
        <v>26</v>
      </c>
      <c r="E853" t="s">
        <v>392</v>
      </c>
      <c r="F853"/>
      <c r="G853">
        <v>2</v>
      </c>
      <c r="H853">
        <v>1000</v>
      </c>
      <c r="J853" cm="1">
        <f t="array" ref="J853">_xlfn.SWITCH(B853,1,75,2,61,3,49,4,37,5,25,6,13,7,4,8,1)</f>
        <v>1</v>
      </c>
      <c r="K853" t="str" cm="1">
        <f t="array" ref="K853">IFERROR(_xlfn.SWITCH(L853,2,_xlfn.XLOOKUP(C853,[1]ModifierDes!$B:$B,[1]ModifierDes!$C:$C),3,_xlfn.XLOOKUP(C853,[1]StuntDes!$B:$B,[1]StuntDes!$C:$C)),"")</f>
        <v/>
      </c>
      <c r="L853">
        <f t="shared" si="41"/>
        <v>1</v>
      </c>
      <c r="M853" s="10" t="str">
        <f>IFERROR(_xlfn.XLOOKUP(C853,[1]StuntDes!$B:$B,[1]StuntDes!$A:$A),"")</f>
        <v/>
      </c>
      <c r="N853" s="10" t="str">
        <f>IFERROR(_xlfn.XLOOKUP(C853,[1]ModifierDes!$B:$B,[1]ModifierDes!$A:$A),"")</f>
        <v/>
      </c>
      <c r="O853" s="10">
        <f>IFERROR(_xlfn.XLOOKUP(C853,[1]AttributeName!$C:$C,[1]AttributeName!$B:$B),"")</f>
        <v>10314</v>
      </c>
      <c r="P853" s="10"/>
      <c r="Q853">
        <v>0.02</v>
      </c>
      <c r="R853">
        <v>0.0500000000000001</v>
      </c>
      <c r="S853" cm="1">
        <f t="array" ref="S853">IFERROR(_xlfn.SWITCH(L853,1,_xlfn.XLOOKUP(O853,[1]AttributeName!$B:$B,[1]AttributeName!$D:$D),2,_xlfn.XLOOKUP(C853,#REF!,#REF!),3,_xlfn.XLOOKUP(C853,#REF!,#REF!)),0)</f>
        <v>2</v>
      </c>
      <c r="T853" cm="1">
        <f t="array" ref="T853">IFERROR(_xlfn.SWITCH(L853,1,_xlfn.XLOOKUP(O853,[1]AttributeName!$B:$B,[1]AttributeName!$E:$E),2,_xlfn.XLOOKUP(C853,#REF!,#REF!),3,_xlfn.XLOOKUP(C853,#REF!,#REF!)),0)</f>
        <v>2</v>
      </c>
    </row>
    <row r="854" customFormat="1" spans="1:20">
      <c r="A854">
        <f t="shared" si="40"/>
        <v>355</v>
      </c>
      <c r="B854">
        <v>1</v>
      </c>
      <c r="C854" t="s">
        <v>82</v>
      </c>
      <c r="D854" t="s">
        <v>26</v>
      </c>
      <c r="E854" t="s">
        <v>392</v>
      </c>
      <c r="F854"/>
      <c r="G854">
        <v>2</v>
      </c>
      <c r="H854">
        <v>50</v>
      </c>
      <c r="J854" cm="1">
        <f t="array" ref="J854">_xlfn.SWITCH(B854,1,75,2,61,3,49,4,37,5,25,6,13,7,4,8,1)</f>
        <v>75</v>
      </c>
      <c r="K854" t="str" cm="1">
        <f t="array" ref="K854">IFERROR(_xlfn.SWITCH(L854,2,_xlfn.XLOOKUP(C854,[1]ModifierDes!$B:$B,[1]ModifierDes!$C:$C),3,_xlfn.XLOOKUP(C854,[1]StuntDes!$B:$B,[1]StuntDes!$C:$C)),"")</f>
        <v/>
      </c>
      <c r="L854">
        <f t="shared" si="41"/>
        <v>1</v>
      </c>
      <c r="M854" s="10" t="str">
        <f>IFERROR(_xlfn.XLOOKUP(C854,[1]StuntDes!$B:$B,[1]StuntDes!$A:$A),"")</f>
        <v/>
      </c>
      <c r="N854" s="10" t="str">
        <f>IFERROR(_xlfn.XLOOKUP(C854,[1]ModifierDes!$B:$B,[1]ModifierDes!$A:$A),"")</f>
        <v/>
      </c>
      <c r="O854" s="10">
        <f>IFERROR(_xlfn.XLOOKUP(C854,[1]AttributeName!$C:$C,[1]AttributeName!$B:$B),"")</f>
        <v>10315</v>
      </c>
      <c r="P854" s="10"/>
      <c r="Q854">
        <v>0.2</v>
      </c>
      <c r="R854">
        <v>0.25</v>
      </c>
      <c r="S854" cm="1">
        <f t="array" ref="S854">IFERROR(_xlfn.SWITCH(L854,1,_xlfn.XLOOKUP(O854,[1]AttributeName!$B:$B,[1]AttributeName!$D:$D),2,_xlfn.XLOOKUP(C854,#REF!,#REF!),3,_xlfn.XLOOKUP(C854,#REF!,#REF!)),0)</f>
        <v>2</v>
      </c>
      <c r="T854" cm="1">
        <f t="array" ref="T854">IFERROR(_xlfn.SWITCH(L854,1,_xlfn.XLOOKUP(O854,[1]AttributeName!$B:$B,[1]AttributeName!$E:$E),2,_xlfn.XLOOKUP(C854,#REF!,#REF!),3,_xlfn.XLOOKUP(C854,#REF!,#REF!)),0)</f>
        <v>2</v>
      </c>
    </row>
    <row r="855" customFormat="1" spans="1:20">
      <c r="A855">
        <f t="shared" si="40"/>
        <v>355</v>
      </c>
      <c r="B855">
        <v>2</v>
      </c>
      <c r="C855" t="s">
        <v>82</v>
      </c>
      <c r="D855" t="s">
        <v>26</v>
      </c>
      <c r="E855" t="s">
        <v>392</v>
      </c>
      <c r="F855"/>
      <c r="G855">
        <v>2</v>
      </c>
      <c r="H855">
        <v>100</v>
      </c>
      <c r="J855" cm="1">
        <f t="array" ref="J855">_xlfn.SWITCH(B855,1,75,2,61,3,49,4,37,5,25,6,13,7,4,8,1)</f>
        <v>61</v>
      </c>
      <c r="K855" t="str" cm="1">
        <f t="array" ref="K855">IFERROR(_xlfn.SWITCH(L855,2,_xlfn.XLOOKUP(C855,[1]ModifierDes!$B:$B,[1]ModifierDes!$C:$C),3,_xlfn.XLOOKUP(C855,[1]StuntDes!$B:$B,[1]StuntDes!$C:$C)),"")</f>
        <v/>
      </c>
      <c r="L855">
        <f t="shared" si="41"/>
        <v>1</v>
      </c>
      <c r="M855" s="10" t="str">
        <f>IFERROR(_xlfn.XLOOKUP(C855,[1]StuntDes!$B:$B,[1]StuntDes!$A:$A),"")</f>
        <v/>
      </c>
      <c r="N855" s="10" t="str">
        <f>IFERROR(_xlfn.XLOOKUP(C855,[1]ModifierDes!$B:$B,[1]ModifierDes!$A:$A),"")</f>
        <v/>
      </c>
      <c r="O855" s="10">
        <f>IFERROR(_xlfn.XLOOKUP(C855,[1]AttributeName!$C:$C,[1]AttributeName!$B:$B),"")</f>
        <v>10315</v>
      </c>
      <c r="P855" s="10"/>
      <c r="Q855">
        <v>0.17</v>
      </c>
      <c r="R855">
        <v>0.19</v>
      </c>
      <c r="S855" cm="1">
        <f t="array" ref="S855">IFERROR(_xlfn.SWITCH(L855,1,_xlfn.XLOOKUP(O855,[1]AttributeName!$B:$B,[1]AttributeName!$D:$D),2,_xlfn.XLOOKUP(C855,#REF!,#REF!),3,_xlfn.XLOOKUP(C855,#REF!,#REF!)),0)</f>
        <v>2</v>
      </c>
      <c r="T855" cm="1">
        <f t="array" ref="T855">IFERROR(_xlfn.SWITCH(L855,1,_xlfn.XLOOKUP(O855,[1]AttributeName!$B:$B,[1]AttributeName!$E:$E),2,_xlfn.XLOOKUP(C855,#REF!,#REF!),3,_xlfn.XLOOKUP(C855,#REF!,#REF!)),0)</f>
        <v>2</v>
      </c>
    </row>
    <row r="856" customFormat="1" spans="1:20">
      <c r="A856">
        <f t="shared" si="40"/>
        <v>355</v>
      </c>
      <c r="B856">
        <v>3</v>
      </c>
      <c r="C856" t="s">
        <v>82</v>
      </c>
      <c r="D856" t="s">
        <v>26</v>
      </c>
      <c r="E856" t="s">
        <v>392</v>
      </c>
      <c r="F856"/>
      <c r="G856">
        <v>2</v>
      </c>
      <c r="H856">
        <v>250</v>
      </c>
      <c r="J856" cm="1">
        <f t="array" ref="J856">_xlfn.SWITCH(B856,1,75,2,61,3,49,4,37,5,25,6,13,7,4,8,1)</f>
        <v>49</v>
      </c>
      <c r="K856" t="str" cm="1">
        <f t="array" ref="K856">IFERROR(_xlfn.SWITCH(L856,2,_xlfn.XLOOKUP(C856,[1]ModifierDes!$B:$B,[1]ModifierDes!$C:$C),3,_xlfn.XLOOKUP(C856,[1]StuntDes!$B:$B,[1]StuntDes!$C:$C)),"")</f>
        <v/>
      </c>
      <c r="L856">
        <f t="shared" si="41"/>
        <v>1</v>
      </c>
      <c r="M856" s="10" t="str">
        <f>IFERROR(_xlfn.XLOOKUP(C856,[1]StuntDes!$B:$B,[1]StuntDes!$A:$A),"")</f>
        <v/>
      </c>
      <c r="N856" s="10" t="str">
        <f>IFERROR(_xlfn.XLOOKUP(C856,[1]ModifierDes!$B:$B,[1]ModifierDes!$A:$A),"")</f>
        <v/>
      </c>
      <c r="O856" s="10">
        <f>IFERROR(_xlfn.XLOOKUP(C856,[1]AttributeName!$C:$C,[1]AttributeName!$B:$B),"")</f>
        <v>10315</v>
      </c>
      <c r="P856" s="10"/>
      <c r="Q856">
        <v>0.14</v>
      </c>
      <c r="R856">
        <v>0.16</v>
      </c>
      <c r="S856" cm="1">
        <f t="array" ref="S856">IFERROR(_xlfn.SWITCH(L856,1,_xlfn.XLOOKUP(O856,[1]AttributeName!$B:$B,[1]AttributeName!$D:$D),2,_xlfn.XLOOKUP(C856,#REF!,#REF!),3,_xlfn.XLOOKUP(C856,#REF!,#REF!)),0)</f>
        <v>2</v>
      </c>
      <c r="T856" cm="1">
        <f t="array" ref="T856">IFERROR(_xlfn.SWITCH(L856,1,_xlfn.XLOOKUP(O856,[1]AttributeName!$B:$B,[1]AttributeName!$E:$E),2,_xlfn.XLOOKUP(C856,#REF!,#REF!),3,_xlfn.XLOOKUP(C856,#REF!,#REF!)),0)</f>
        <v>2</v>
      </c>
    </row>
    <row r="857" customFormat="1" spans="1:20">
      <c r="A857">
        <f t="shared" si="40"/>
        <v>355</v>
      </c>
      <c r="B857">
        <v>4</v>
      </c>
      <c r="C857" t="s">
        <v>82</v>
      </c>
      <c r="D857" t="s">
        <v>26</v>
      </c>
      <c r="E857" t="s">
        <v>392</v>
      </c>
      <c r="F857"/>
      <c r="G857">
        <v>2</v>
      </c>
      <c r="H857">
        <v>500</v>
      </c>
      <c r="J857" cm="1">
        <f t="array" ref="J857">_xlfn.SWITCH(B857,1,75,2,61,3,49,4,37,5,25,6,13,7,4,8,1)</f>
        <v>37</v>
      </c>
      <c r="K857" t="str" cm="1">
        <f t="array" ref="K857">IFERROR(_xlfn.SWITCH(L857,2,_xlfn.XLOOKUP(C857,[1]ModifierDes!$B:$B,[1]ModifierDes!$C:$C),3,_xlfn.XLOOKUP(C857,[1]StuntDes!$B:$B,[1]StuntDes!$C:$C)),"")</f>
        <v/>
      </c>
      <c r="L857">
        <f t="shared" si="41"/>
        <v>1</v>
      </c>
      <c r="M857" s="10" t="str">
        <f>IFERROR(_xlfn.XLOOKUP(C857,[1]StuntDes!$B:$B,[1]StuntDes!$A:$A),"")</f>
        <v/>
      </c>
      <c r="N857" s="10" t="str">
        <f>IFERROR(_xlfn.XLOOKUP(C857,[1]ModifierDes!$B:$B,[1]ModifierDes!$A:$A),"")</f>
        <v/>
      </c>
      <c r="O857" s="10">
        <f>IFERROR(_xlfn.XLOOKUP(C857,[1]AttributeName!$C:$C,[1]AttributeName!$B:$B),"")</f>
        <v>10315</v>
      </c>
      <c r="P857" s="10"/>
      <c r="Q857">
        <v>0.11</v>
      </c>
      <c r="R857">
        <v>0.13</v>
      </c>
      <c r="S857" cm="1">
        <f t="array" ref="S857">IFERROR(_xlfn.SWITCH(L857,1,_xlfn.XLOOKUP(O857,[1]AttributeName!$B:$B,[1]AttributeName!$D:$D),2,_xlfn.XLOOKUP(C857,#REF!,#REF!),3,_xlfn.XLOOKUP(C857,#REF!,#REF!)),0)</f>
        <v>2</v>
      </c>
      <c r="T857" cm="1">
        <f t="array" ref="T857">IFERROR(_xlfn.SWITCH(L857,1,_xlfn.XLOOKUP(O857,[1]AttributeName!$B:$B,[1]AttributeName!$E:$E),2,_xlfn.XLOOKUP(C857,#REF!,#REF!),3,_xlfn.XLOOKUP(C857,#REF!,#REF!)),0)</f>
        <v>2</v>
      </c>
    </row>
    <row r="858" customFormat="1" spans="1:20">
      <c r="A858">
        <f t="shared" si="40"/>
        <v>355</v>
      </c>
      <c r="B858">
        <v>5</v>
      </c>
      <c r="C858" t="s">
        <v>82</v>
      </c>
      <c r="D858" t="s">
        <v>26</v>
      </c>
      <c r="E858" t="s">
        <v>392</v>
      </c>
      <c r="F858"/>
      <c r="G858">
        <v>2</v>
      </c>
      <c r="H858">
        <v>500</v>
      </c>
      <c r="J858" cm="1">
        <f t="array" ref="J858">_xlfn.SWITCH(B858,1,75,2,61,3,49,4,37,5,25,6,13,7,4,8,1)</f>
        <v>25</v>
      </c>
      <c r="K858" t="str" cm="1">
        <f t="array" ref="K858">IFERROR(_xlfn.SWITCH(L858,2,_xlfn.XLOOKUP(C858,[1]ModifierDes!$B:$B,[1]ModifierDes!$C:$C),3,_xlfn.XLOOKUP(C858,[1]StuntDes!$B:$B,[1]StuntDes!$C:$C)),"")</f>
        <v/>
      </c>
      <c r="L858">
        <f t="shared" si="41"/>
        <v>1</v>
      </c>
      <c r="M858" s="10" t="str">
        <f>IFERROR(_xlfn.XLOOKUP(C858,[1]StuntDes!$B:$B,[1]StuntDes!$A:$A),"")</f>
        <v/>
      </c>
      <c r="N858" s="10" t="str">
        <f>IFERROR(_xlfn.XLOOKUP(C858,[1]ModifierDes!$B:$B,[1]ModifierDes!$A:$A),"")</f>
        <v/>
      </c>
      <c r="O858" s="10">
        <f>IFERROR(_xlfn.XLOOKUP(C858,[1]AttributeName!$C:$C,[1]AttributeName!$B:$B),"")</f>
        <v>10315</v>
      </c>
      <c r="P858" s="10"/>
      <c r="Q858">
        <v>0.08</v>
      </c>
      <c r="R858">
        <v>0.1</v>
      </c>
      <c r="S858" cm="1">
        <f t="array" ref="S858">IFERROR(_xlfn.SWITCH(L858,1,_xlfn.XLOOKUP(O858,[1]AttributeName!$B:$B,[1]AttributeName!$D:$D),2,_xlfn.XLOOKUP(C858,#REF!,#REF!),3,_xlfn.XLOOKUP(C858,#REF!,#REF!)),0)</f>
        <v>2</v>
      </c>
      <c r="T858" cm="1">
        <f t="array" ref="T858">IFERROR(_xlfn.SWITCH(L858,1,_xlfn.XLOOKUP(O858,[1]AttributeName!$B:$B,[1]AttributeName!$E:$E),2,_xlfn.XLOOKUP(C858,#REF!,#REF!),3,_xlfn.XLOOKUP(C858,#REF!,#REF!)),0)</f>
        <v>2</v>
      </c>
    </row>
    <row r="859" customFormat="1" spans="1:20">
      <c r="A859">
        <f t="shared" si="40"/>
        <v>355</v>
      </c>
      <c r="B859">
        <v>6</v>
      </c>
      <c r="C859" t="s">
        <v>82</v>
      </c>
      <c r="D859" t="s">
        <v>26</v>
      </c>
      <c r="E859" t="s">
        <v>392</v>
      </c>
      <c r="F859"/>
      <c r="G859">
        <v>2</v>
      </c>
      <c r="H859">
        <v>500</v>
      </c>
      <c r="J859" cm="1">
        <f t="array" ref="J859">_xlfn.SWITCH(B859,1,75,2,61,3,49,4,37,5,25,6,13,7,4,8,1)</f>
        <v>13</v>
      </c>
      <c r="K859" t="str" cm="1">
        <f t="array" ref="K859">IFERROR(_xlfn.SWITCH(L859,2,_xlfn.XLOOKUP(C859,[1]ModifierDes!$B:$B,[1]ModifierDes!$C:$C),3,_xlfn.XLOOKUP(C859,[1]StuntDes!$B:$B,[1]StuntDes!$C:$C)),"")</f>
        <v/>
      </c>
      <c r="L859">
        <f t="shared" si="41"/>
        <v>1</v>
      </c>
      <c r="M859" s="10" t="str">
        <f>IFERROR(_xlfn.XLOOKUP(C859,[1]StuntDes!$B:$B,[1]StuntDes!$A:$A),"")</f>
        <v/>
      </c>
      <c r="N859" s="10" t="str">
        <f>IFERROR(_xlfn.XLOOKUP(C859,[1]ModifierDes!$B:$B,[1]ModifierDes!$A:$A),"")</f>
        <v/>
      </c>
      <c r="O859" s="10">
        <f>IFERROR(_xlfn.XLOOKUP(C859,[1]AttributeName!$C:$C,[1]AttributeName!$B:$B),"")</f>
        <v>10315</v>
      </c>
      <c r="P859" s="10"/>
      <c r="Q859">
        <v>0.05</v>
      </c>
      <c r="R859">
        <v>0.07</v>
      </c>
      <c r="S859" cm="1">
        <f t="array" ref="S859">IFERROR(_xlfn.SWITCH(L859,1,_xlfn.XLOOKUP(O859,[1]AttributeName!$B:$B,[1]AttributeName!$D:$D),2,_xlfn.XLOOKUP(C859,#REF!,#REF!),3,_xlfn.XLOOKUP(C859,#REF!,#REF!)),0)</f>
        <v>2</v>
      </c>
      <c r="T859" cm="1">
        <f t="array" ref="T859">IFERROR(_xlfn.SWITCH(L859,1,_xlfn.XLOOKUP(O859,[1]AttributeName!$B:$B,[1]AttributeName!$E:$E),2,_xlfn.XLOOKUP(C859,#REF!,#REF!),3,_xlfn.XLOOKUP(C859,#REF!,#REF!)),0)</f>
        <v>2</v>
      </c>
    </row>
    <row r="860" customFormat="1" spans="1:20">
      <c r="A860">
        <f t="shared" si="40"/>
        <v>355</v>
      </c>
      <c r="B860">
        <v>7</v>
      </c>
      <c r="C860" t="s">
        <v>82</v>
      </c>
      <c r="D860" t="s">
        <v>26</v>
      </c>
      <c r="E860" t="s">
        <v>392</v>
      </c>
      <c r="F860"/>
      <c r="G860">
        <v>2</v>
      </c>
      <c r="H860">
        <v>500</v>
      </c>
      <c r="J860" cm="1">
        <f t="array" ref="J860">_xlfn.SWITCH(B860,1,75,2,61,3,49,4,37,5,25,6,13,7,4,8,1)</f>
        <v>4</v>
      </c>
      <c r="K860" t="str" cm="1">
        <f t="array" ref="K860">IFERROR(_xlfn.SWITCH(L860,2,_xlfn.XLOOKUP(C860,[1]ModifierDes!$B:$B,[1]ModifierDes!$C:$C),3,_xlfn.XLOOKUP(C860,[1]StuntDes!$B:$B,[1]StuntDes!$C:$C)),"")</f>
        <v/>
      </c>
      <c r="L860">
        <f t="shared" si="41"/>
        <v>1</v>
      </c>
      <c r="M860" s="10" t="str">
        <f>IFERROR(_xlfn.XLOOKUP(C860,[1]StuntDes!$B:$B,[1]StuntDes!$A:$A),"")</f>
        <v/>
      </c>
      <c r="N860" s="10" t="str">
        <f>IFERROR(_xlfn.XLOOKUP(C860,[1]ModifierDes!$B:$B,[1]ModifierDes!$A:$A),"")</f>
        <v/>
      </c>
      <c r="O860" s="10">
        <f>IFERROR(_xlfn.XLOOKUP(C860,[1]AttributeName!$C:$C,[1]AttributeName!$B:$B),"")</f>
        <v>10315</v>
      </c>
      <c r="P860" s="10"/>
      <c r="Q860">
        <v>0.02</v>
      </c>
      <c r="R860">
        <v>0.04</v>
      </c>
      <c r="S860" cm="1">
        <f t="array" ref="S860">IFERROR(_xlfn.SWITCH(L860,1,_xlfn.XLOOKUP(O860,[1]AttributeName!$B:$B,[1]AttributeName!$D:$D),2,_xlfn.XLOOKUP(C860,#REF!,#REF!),3,_xlfn.XLOOKUP(C860,#REF!,#REF!)),0)</f>
        <v>2</v>
      </c>
      <c r="T860" cm="1">
        <f t="array" ref="T860">IFERROR(_xlfn.SWITCH(L860,1,_xlfn.XLOOKUP(O860,[1]AttributeName!$B:$B,[1]AttributeName!$E:$E),2,_xlfn.XLOOKUP(C860,#REF!,#REF!),3,_xlfn.XLOOKUP(C860,#REF!,#REF!)),0)</f>
        <v>2</v>
      </c>
    </row>
    <row r="861" customFormat="1" spans="1:20">
      <c r="A861">
        <f t="shared" si="40"/>
        <v>355</v>
      </c>
      <c r="B861">
        <v>8</v>
      </c>
      <c r="C861" t="s">
        <v>82</v>
      </c>
      <c r="D861" t="s">
        <v>26</v>
      </c>
      <c r="E861" t="s">
        <v>392</v>
      </c>
      <c r="F861"/>
      <c r="G861">
        <v>2</v>
      </c>
      <c r="H861">
        <v>500</v>
      </c>
      <c r="J861" cm="1">
        <f t="array" ref="J861">_xlfn.SWITCH(B861,1,75,2,61,3,49,4,37,5,25,6,13,7,4,8,1)</f>
        <v>1</v>
      </c>
      <c r="K861" t="str" cm="1">
        <f t="array" ref="K861">IFERROR(_xlfn.SWITCH(L861,2,_xlfn.XLOOKUP(C861,[1]ModifierDes!$B:$B,[1]ModifierDes!$C:$C),3,_xlfn.XLOOKUP(C861,[1]StuntDes!$B:$B,[1]StuntDes!$C:$C)),"")</f>
        <v/>
      </c>
      <c r="L861">
        <f t="shared" si="41"/>
        <v>1</v>
      </c>
      <c r="M861" s="10" t="str">
        <f>IFERROR(_xlfn.XLOOKUP(C861,[1]StuntDes!$B:$B,[1]StuntDes!$A:$A),"")</f>
        <v/>
      </c>
      <c r="N861" s="10" t="str">
        <f>IFERROR(_xlfn.XLOOKUP(C861,[1]ModifierDes!$B:$B,[1]ModifierDes!$A:$A),"")</f>
        <v/>
      </c>
      <c r="O861" s="10">
        <f>IFERROR(_xlfn.XLOOKUP(C861,[1]AttributeName!$C:$C,[1]AttributeName!$B:$B),"")</f>
        <v>10315</v>
      </c>
      <c r="P861" s="10"/>
      <c r="Q861">
        <v>0.01</v>
      </c>
      <c r="R861">
        <v>0.01</v>
      </c>
      <c r="S861" cm="1">
        <f t="array" ref="S861">IFERROR(_xlfn.SWITCH(L861,1,_xlfn.XLOOKUP(O861,[1]AttributeName!$B:$B,[1]AttributeName!$D:$D),2,_xlfn.XLOOKUP(C861,#REF!,#REF!),3,_xlfn.XLOOKUP(C861,#REF!,#REF!)),0)</f>
        <v>2</v>
      </c>
      <c r="T861" cm="1">
        <f t="array" ref="T861">IFERROR(_xlfn.SWITCH(L861,1,_xlfn.XLOOKUP(O861,[1]AttributeName!$B:$B,[1]AttributeName!$E:$E),2,_xlfn.XLOOKUP(C861,#REF!,#REF!),3,_xlfn.XLOOKUP(C861,#REF!,#REF!)),0)</f>
        <v>2</v>
      </c>
    </row>
    <row r="862" customFormat="1" spans="1:20">
      <c r="A862">
        <v>356</v>
      </c>
      <c r="B862">
        <v>1</v>
      </c>
      <c r="C862" t="s">
        <v>400</v>
      </c>
      <c r="D862" t="s">
        <v>26</v>
      </c>
      <c r="E862" t="s">
        <v>392</v>
      </c>
      <c r="F862"/>
      <c r="G862">
        <v>2</v>
      </c>
      <c r="H862">
        <v>50</v>
      </c>
      <c r="I862">
        <v>3</v>
      </c>
      <c r="J862" cm="1">
        <f t="array" ref="J862">_xlfn.SWITCH(B862,1,75,2,61,3,49,4,37,5,25,6,13,7,4,8,1)</f>
        <v>75</v>
      </c>
      <c r="K862" t="str" cm="1">
        <f t="array" ref="K862">IFERROR(_xlfn.SWITCH(L862,2,_xlfn.XLOOKUP(C862,[1]ModifierDes!$B:$B,[1]ModifierDes!$C:$C),3,_xlfn.XLOOKUP(C862,[1]StuntDes!$B:$B,[1]StuntDes!$C:$C)),"")</f>
        <v>攻击暴击伤害增加{0}</v>
      </c>
      <c r="L862">
        <f t="shared" si="41"/>
        <v>2</v>
      </c>
      <c r="M862" s="10" t="str">
        <f>IFERROR(_xlfn.XLOOKUP(C862,[1]StuntDes!$B:$B,[1]StuntDes!$A:$A),"")</f>
        <v/>
      </c>
      <c r="N862" s="10">
        <f>IFERROR(_xlfn.XLOOKUP(C862,[1]ModifierDes!$B:$B,[1]ModifierDes!$A:$A),"")</f>
        <v>10060</v>
      </c>
      <c r="O862" s="10" t="str">
        <f>IFERROR(_xlfn.XLOOKUP(C862,[1]AttributeName!$C:$C,[1]AttributeName!$B:$B),"")</f>
        <v/>
      </c>
      <c r="P862" s="10"/>
      <c r="Q862">
        <v>0.6</v>
      </c>
      <c r="R862">
        <v>0.8</v>
      </c>
      <c r="S862" cm="1">
        <f t="array" ref="S862">IFERROR(_xlfn.SWITCH(L862,1,_xlfn.XLOOKUP(O862,[1]AttributeName!$B:$B,[1]AttributeName!$D:$D),2,_xlfn.XLOOKUP(C862,#REF!,#REF!),3,_xlfn.XLOOKUP(C862,#REF!,#REF!)),0)</f>
        <v>0</v>
      </c>
      <c r="T862" cm="1">
        <f t="array" ref="T862">IFERROR(_xlfn.SWITCH(L862,1,_xlfn.XLOOKUP(O862,[1]AttributeName!$B:$B,[1]AttributeName!$E:$E),2,_xlfn.XLOOKUP(C862,#REF!,#REF!),3,_xlfn.XLOOKUP(C862,#REF!,#REF!)),0)</f>
        <v>0</v>
      </c>
    </row>
    <row r="863" customFormat="1" spans="1:20">
      <c r="A863">
        <v>356</v>
      </c>
      <c r="B863">
        <v>2</v>
      </c>
      <c r="C863" t="s">
        <v>400</v>
      </c>
      <c r="D863" t="s">
        <v>26</v>
      </c>
      <c r="E863" t="s">
        <v>392</v>
      </c>
      <c r="F863"/>
      <c r="G863">
        <v>2</v>
      </c>
      <c r="H863">
        <v>100</v>
      </c>
      <c r="I863">
        <v>3</v>
      </c>
      <c r="J863" cm="1">
        <f t="array" ref="J863">_xlfn.SWITCH(B863,1,75,2,61,3,49,4,37,5,25,6,13,7,4,8,1)</f>
        <v>61</v>
      </c>
      <c r="K863" t="str" cm="1">
        <f t="array" ref="K863">IFERROR(_xlfn.SWITCH(L863,2,_xlfn.XLOOKUP(C863,[1]ModifierDes!$B:$B,[1]ModifierDes!$C:$C),3,_xlfn.XLOOKUP(C863,[1]StuntDes!$B:$B,[1]StuntDes!$C:$C)),"")</f>
        <v>攻击暴击伤害增加{0}</v>
      </c>
      <c r="L863">
        <f t="shared" si="41"/>
        <v>2</v>
      </c>
      <c r="M863" s="10" t="str">
        <f>IFERROR(_xlfn.XLOOKUP(C863,[1]StuntDes!$B:$B,[1]StuntDes!$A:$A),"")</f>
        <v/>
      </c>
      <c r="N863" s="10">
        <f>IFERROR(_xlfn.XLOOKUP(C863,[1]ModifierDes!$B:$B,[1]ModifierDes!$A:$A),"")</f>
        <v>10060</v>
      </c>
      <c r="O863" s="10" t="str">
        <f>IFERROR(_xlfn.XLOOKUP(C863,[1]AttributeName!$C:$C,[1]AttributeName!$B:$B),"")</f>
        <v/>
      </c>
      <c r="P863" s="10"/>
      <c r="Q863">
        <v>0.52</v>
      </c>
      <c r="R863">
        <v>0.58</v>
      </c>
      <c r="S863" cm="1">
        <f t="array" ref="S863">IFERROR(_xlfn.SWITCH(L863,1,_xlfn.XLOOKUP(O863,[1]AttributeName!$B:$B,[1]AttributeName!$D:$D),2,_xlfn.XLOOKUP(C863,#REF!,#REF!),3,_xlfn.XLOOKUP(C863,#REF!,#REF!)),0)</f>
        <v>0</v>
      </c>
      <c r="T863" cm="1">
        <f t="array" ref="T863">IFERROR(_xlfn.SWITCH(L863,1,_xlfn.XLOOKUP(O863,[1]AttributeName!$B:$B,[1]AttributeName!$E:$E),2,_xlfn.XLOOKUP(C863,#REF!,#REF!),3,_xlfn.XLOOKUP(C863,#REF!,#REF!)),0)</f>
        <v>0</v>
      </c>
    </row>
    <row r="864" customFormat="1" spans="1:20">
      <c r="A864">
        <v>356</v>
      </c>
      <c r="B864">
        <v>3</v>
      </c>
      <c r="C864" t="s">
        <v>400</v>
      </c>
      <c r="D864" t="s">
        <v>26</v>
      </c>
      <c r="E864" t="s">
        <v>392</v>
      </c>
      <c r="F864"/>
      <c r="G864">
        <v>2</v>
      </c>
      <c r="H864">
        <v>250</v>
      </c>
      <c r="I864">
        <v>3</v>
      </c>
      <c r="J864" cm="1">
        <f t="array" ref="J864">_xlfn.SWITCH(B864,1,75,2,61,3,49,4,37,5,25,6,13,7,4,8,1)</f>
        <v>49</v>
      </c>
      <c r="K864" t="str" cm="1">
        <f t="array" ref="K864">IFERROR(_xlfn.SWITCH(L864,2,_xlfn.XLOOKUP(C864,[1]ModifierDes!$B:$B,[1]ModifierDes!$C:$C),3,_xlfn.XLOOKUP(C864,[1]StuntDes!$B:$B,[1]StuntDes!$C:$C)),"")</f>
        <v>攻击暴击伤害增加{0}</v>
      </c>
      <c r="L864">
        <f t="shared" si="41"/>
        <v>2</v>
      </c>
      <c r="M864" s="10" t="str">
        <f>IFERROR(_xlfn.XLOOKUP(C864,[1]StuntDes!$B:$B,[1]StuntDes!$A:$A),"")</f>
        <v/>
      </c>
      <c r="N864" s="10">
        <f>IFERROR(_xlfn.XLOOKUP(C864,[1]ModifierDes!$B:$B,[1]ModifierDes!$A:$A),"")</f>
        <v>10060</v>
      </c>
      <c r="O864" s="10" t="str">
        <f>IFERROR(_xlfn.XLOOKUP(C864,[1]AttributeName!$C:$C,[1]AttributeName!$B:$B),"")</f>
        <v/>
      </c>
      <c r="P864" s="10"/>
      <c r="Q864">
        <v>0.44</v>
      </c>
      <c r="R864">
        <v>0.5</v>
      </c>
      <c r="S864" cm="1">
        <f t="array" ref="S864">IFERROR(_xlfn.SWITCH(L864,1,_xlfn.XLOOKUP(O864,[1]AttributeName!$B:$B,[1]AttributeName!$D:$D),2,_xlfn.XLOOKUP(C864,#REF!,#REF!),3,_xlfn.XLOOKUP(C864,#REF!,#REF!)),0)</f>
        <v>0</v>
      </c>
      <c r="T864" cm="1">
        <f t="array" ref="T864">IFERROR(_xlfn.SWITCH(L864,1,_xlfn.XLOOKUP(O864,[1]AttributeName!$B:$B,[1]AttributeName!$E:$E),2,_xlfn.XLOOKUP(C864,#REF!,#REF!),3,_xlfn.XLOOKUP(C864,#REF!,#REF!)),0)</f>
        <v>0</v>
      </c>
    </row>
    <row r="865" customFormat="1" spans="1:20">
      <c r="A865">
        <v>356</v>
      </c>
      <c r="B865">
        <v>4</v>
      </c>
      <c r="C865" t="s">
        <v>400</v>
      </c>
      <c r="D865" t="s">
        <v>26</v>
      </c>
      <c r="E865" t="s">
        <v>392</v>
      </c>
      <c r="F865"/>
      <c r="G865">
        <v>2</v>
      </c>
      <c r="H865">
        <v>500</v>
      </c>
      <c r="I865">
        <v>3</v>
      </c>
      <c r="J865" cm="1">
        <f t="array" ref="J865">_xlfn.SWITCH(B865,1,75,2,61,3,49,4,37,5,25,6,13,7,4,8,1)</f>
        <v>37</v>
      </c>
      <c r="K865" t="str" cm="1">
        <f t="array" ref="K865">IFERROR(_xlfn.SWITCH(L865,2,_xlfn.XLOOKUP(C865,[1]ModifierDes!$B:$B,[1]ModifierDes!$C:$C),3,_xlfn.XLOOKUP(C865,[1]StuntDes!$B:$B,[1]StuntDes!$C:$C)),"")</f>
        <v>攻击暴击伤害增加{0}</v>
      </c>
      <c r="L865">
        <f t="shared" si="41"/>
        <v>2</v>
      </c>
      <c r="M865" s="10" t="str">
        <f>IFERROR(_xlfn.XLOOKUP(C865,[1]StuntDes!$B:$B,[1]StuntDes!$A:$A),"")</f>
        <v/>
      </c>
      <c r="N865" s="10">
        <f>IFERROR(_xlfn.XLOOKUP(C865,[1]ModifierDes!$B:$B,[1]ModifierDes!$A:$A),"")</f>
        <v>10060</v>
      </c>
      <c r="O865" s="10" t="str">
        <f>IFERROR(_xlfn.XLOOKUP(C865,[1]AttributeName!$C:$C,[1]AttributeName!$B:$B),"")</f>
        <v/>
      </c>
      <c r="P865" s="10"/>
      <c r="Q865">
        <v>0.36</v>
      </c>
      <c r="R865">
        <v>0.42</v>
      </c>
      <c r="S865" cm="1">
        <f t="array" ref="S865">IFERROR(_xlfn.SWITCH(L865,1,_xlfn.XLOOKUP(O865,[1]AttributeName!$B:$B,[1]AttributeName!$D:$D),2,_xlfn.XLOOKUP(C865,#REF!,#REF!),3,_xlfn.XLOOKUP(C865,#REF!,#REF!)),0)</f>
        <v>0</v>
      </c>
      <c r="T865" cm="1">
        <f t="array" ref="T865">IFERROR(_xlfn.SWITCH(L865,1,_xlfn.XLOOKUP(O865,[1]AttributeName!$B:$B,[1]AttributeName!$E:$E),2,_xlfn.XLOOKUP(C865,#REF!,#REF!),3,_xlfn.XLOOKUP(C865,#REF!,#REF!)),0)</f>
        <v>0</v>
      </c>
    </row>
    <row r="866" customFormat="1" spans="1:20">
      <c r="A866">
        <v>356</v>
      </c>
      <c r="B866">
        <v>5</v>
      </c>
      <c r="C866" t="s">
        <v>400</v>
      </c>
      <c r="D866" t="s">
        <v>26</v>
      </c>
      <c r="E866" t="s">
        <v>392</v>
      </c>
      <c r="F866"/>
      <c r="G866">
        <v>2</v>
      </c>
      <c r="H866">
        <v>500</v>
      </c>
      <c r="I866">
        <v>3</v>
      </c>
      <c r="J866" cm="1">
        <f t="array" ref="J866">_xlfn.SWITCH(B866,1,75,2,61,3,49,4,37,5,25,6,13,7,4,8,1)</f>
        <v>25</v>
      </c>
      <c r="K866" t="str" cm="1">
        <f t="array" ref="K866">IFERROR(_xlfn.SWITCH(L866,2,_xlfn.XLOOKUP(C866,[1]ModifierDes!$B:$B,[1]ModifierDes!$C:$C),3,_xlfn.XLOOKUP(C866,[1]StuntDes!$B:$B,[1]StuntDes!$C:$C)),"")</f>
        <v>攻击暴击伤害增加{0}</v>
      </c>
      <c r="L866">
        <f t="shared" si="41"/>
        <v>2</v>
      </c>
      <c r="M866" s="10" t="str">
        <f>IFERROR(_xlfn.XLOOKUP(C866,[1]StuntDes!$B:$B,[1]StuntDes!$A:$A),"")</f>
        <v/>
      </c>
      <c r="N866" s="10">
        <f>IFERROR(_xlfn.XLOOKUP(C866,[1]ModifierDes!$B:$B,[1]ModifierDes!$A:$A),"")</f>
        <v>10060</v>
      </c>
      <c r="O866" s="10" t="str">
        <f>IFERROR(_xlfn.XLOOKUP(C866,[1]AttributeName!$C:$C,[1]AttributeName!$B:$B),"")</f>
        <v/>
      </c>
      <c r="P866" s="10"/>
      <c r="Q866">
        <v>0.28</v>
      </c>
      <c r="R866">
        <v>0.34</v>
      </c>
      <c r="S866" cm="1">
        <f t="array" ref="S866">IFERROR(_xlfn.SWITCH(L866,1,_xlfn.XLOOKUP(O866,[1]AttributeName!$B:$B,[1]AttributeName!$D:$D),2,_xlfn.XLOOKUP(C866,#REF!,#REF!),3,_xlfn.XLOOKUP(C866,#REF!,#REF!)),0)</f>
        <v>0</v>
      </c>
      <c r="T866" cm="1">
        <f t="array" ref="T866">IFERROR(_xlfn.SWITCH(L866,1,_xlfn.XLOOKUP(O866,[1]AttributeName!$B:$B,[1]AttributeName!$E:$E),2,_xlfn.XLOOKUP(C866,#REF!,#REF!),3,_xlfn.XLOOKUP(C866,#REF!,#REF!)),0)</f>
        <v>0</v>
      </c>
    </row>
    <row r="867" customFormat="1" spans="1:20">
      <c r="A867">
        <v>356</v>
      </c>
      <c r="B867">
        <v>6</v>
      </c>
      <c r="C867" t="s">
        <v>400</v>
      </c>
      <c r="D867" t="s">
        <v>26</v>
      </c>
      <c r="E867" t="s">
        <v>392</v>
      </c>
      <c r="F867"/>
      <c r="G867">
        <v>2</v>
      </c>
      <c r="H867">
        <v>500</v>
      </c>
      <c r="I867">
        <v>3</v>
      </c>
      <c r="J867" cm="1">
        <f t="array" ref="J867">_xlfn.SWITCH(B867,1,75,2,61,3,49,4,37,5,25,6,13,7,4,8,1)</f>
        <v>13</v>
      </c>
      <c r="K867" t="str" cm="1">
        <f t="array" ref="K867">IFERROR(_xlfn.SWITCH(L867,2,_xlfn.XLOOKUP(C867,[1]ModifierDes!$B:$B,[1]ModifierDes!$C:$C),3,_xlfn.XLOOKUP(C867,[1]StuntDes!$B:$B,[1]StuntDes!$C:$C)),"")</f>
        <v>攻击暴击伤害增加{0}</v>
      </c>
      <c r="L867">
        <f t="shared" si="41"/>
        <v>2</v>
      </c>
      <c r="M867" s="10" t="str">
        <f>IFERROR(_xlfn.XLOOKUP(C867,[1]StuntDes!$B:$B,[1]StuntDes!$A:$A),"")</f>
        <v/>
      </c>
      <c r="N867" s="10">
        <f>IFERROR(_xlfn.XLOOKUP(C867,[1]ModifierDes!$B:$B,[1]ModifierDes!$A:$A),"")</f>
        <v>10060</v>
      </c>
      <c r="O867" s="10" t="str">
        <f>IFERROR(_xlfn.XLOOKUP(C867,[1]AttributeName!$C:$C,[1]AttributeName!$B:$B),"")</f>
        <v/>
      </c>
      <c r="P867" s="10"/>
      <c r="Q867">
        <v>0.2</v>
      </c>
      <c r="R867">
        <v>0.26</v>
      </c>
      <c r="S867" cm="1">
        <f t="array" ref="S867">IFERROR(_xlfn.SWITCH(L867,1,_xlfn.XLOOKUP(O867,[1]AttributeName!$B:$B,[1]AttributeName!$D:$D),2,_xlfn.XLOOKUP(C867,#REF!,#REF!),3,_xlfn.XLOOKUP(C867,#REF!,#REF!)),0)</f>
        <v>0</v>
      </c>
      <c r="T867" cm="1">
        <f t="array" ref="T867">IFERROR(_xlfn.SWITCH(L867,1,_xlfn.XLOOKUP(O867,[1]AttributeName!$B:$B,[1]AttributeName!$E:$E),2,_xlfn.XLOOKUP(C867,#REF!,#REF!),3,_xlfn.XLOOKUP(C867,#REF!,#REF!)),0)</f>
        <v>0</v>
      </c>
    </row>
    <row r="868" customFormat="1" spans="1:20">
      <c r="A868">
        <v>356</v>
      </c>
      <c r="B868">
        <v>7</v>
      </c>
      <c r="C868" t="s">
        <v>400</v>
      </c>
      <c r="D868" t="s">
        <v>26</v>
      </c>
      <c r="E868" t="s">
        <v>392</v>
      </c>
      <c r="F868"/>
      <c r="G868">
        <v>2</v>
      </c>
      <c r="H868">
        <v>500</v>
      </c>
      <c r="I868">
        <v>3</v>
      </c>
      <c r="J868" cm="1">
        <f t="array" ref="J868">_xlfn.SWITCH(B868,1,75,2,61,3,49,4,37,5,25,6,13,7,4,8,1)</f>
        <v>4</v>
      </c>
      <c r="K868" t="str" cm="1">
        <f t="array" ref="K868">IFERROR(_xlfn.SWITCH(L868,2,_xlfn.XLOOKUP(C868,[1]ModifierDes!$B:$B,[1]ModifierDes!$C:$C),3,_xlfn.XLOOKUP(C868,[1]StuntDes!$B:$B,[1]StuntDes!$C:$C)),"")</f>
        <v>攻击暴击伤害增加{0}</v>
      </c>
      <c r="L868">
        <f t="shared" si="41"/>
        <v>2</v>
      </c>
      <c r="M868" s="10" t="str">
        <f>IFERROR(_xlfn.XLOOKUP(C868,[1]StuntDes!$B:$B,[1]StuntDes!$A:$A),"")</f>
        <v/>
      </c>
      <c r="N868" s="10">
        <f>IFERROR(_xlfn.XLOOKUP(C868,[1]ModifierDes!$B:$B,[1]ModifierDes!$A:$A),"")</f>
        <v>10060</v>
      </c>
      <c r="O868" s="10" t="str">
        <f>IFERROR(_xlfn.XLOOKUP(C868,[1]AttributeName!$C:$C,[1]AttributeName!$B:$B),"")</f>
        <v/>
      </c>
      <c r="P868" s="10"/>
      <c r="Q868">
        <v>0.12</v>
      </c>
      <c r="R868">
        <v>0.18</v>
      </c>
      <c r="S868" cm="1">
        <f t="array" ref="S868">IFERROR(_xlfn.SWITCH(L868,1,_xlfn.XLOOKUP(O868,[1]AttributeName!$B:$B,[1]AttributeName!$D:$D),2,_xlfn.XLOOKUP(C868,#REF!,#REF!),3,_xlfn.XLOOKUP(C868,#REF!,#REF!)),0)</f>
        <v>0</v>
      </c>
      <c r="T868" cm="1">
        <f t="array" ref="T868">IFERROR(_xlfn.SWITCH(L868,1,_xlfn.XLOOKUP(O868,[1]AttributeName!$B:$B,[1]AttributeName!$E:$E),2,_xlfn.XLOOKUP(C868,#REF!,#REF!),3,_xlfn.XLOOKUP(C868,#REF!,#REF!)),0)</f>
        <v>0</v>
      </c>
    </row>
    <row r="869" customFormat="1" spans="1:20">
      <c r="A869">
        <v>356</v>
      </c>
      <c r="B869">
        <v>8</v>
      </c>
      <c r="C869" t="s">
        <v>400</v>
      </c>
      <c r="D869" t="s">
        <v>26</v>
      </c>
      <c r="E869" t="s">
        <v>392</v>
      </c>
      <c r="F869"/>
      <c r="G869">
        <v>2</v>
      </c>
      <c r="H869">
        <v>500</v>
      </c>
      <c r="I869">
        <v>3</v>
      </c>
      <c r="J869" cm="1">
        <f t="array" ref="J869">_xlfn.SWITCH(B869,1,75,2,61,3,49,4,37,5,25,6,13,7,4,8,1)</f>
        <v>1</v>
      </c>
      <c r="K869" t="str" cm="1">
        <f t="array" ref="K869">IFERROR(_xlfn.SWITCH(L869,2,_xlfn.XLOOKUP(C869,[1]ModifierDes!$B:$B,[1]ModifierDes!$C:$C),3,_xlfn.XLOOKUP(C869,[1]StuntDes!$B:$B,[1]StuntDes!$C:$C)),"")</f>
        <v>攻击暴击伤害增加{0}</v>
      </c>
      <c r="L869">
        <f t="shared" si="41"/>
        <v>2</v>
      </c>
      <c r="M869" s="10" t="str">
        <f>IFERROR(_xlfn.XLOOKUP(C869,[1]StuntDes!$B:$B,[1]StuntDes!$A:$A),"")</f>
        <v/>
      </c>
      <c r="N869" s="10">
        <f>IFERROR(_xlfn.XLOOKUP(C869,[1]ModifierDes!$B:$B,[1]ModifierDes!$A:$A),"")</f>
        <v>10060</v>
      </c>
      <c r="O869" s="10" t="str">
        <f>IFERROR(_xlfn.XLOOKUP(C869,[1]AttributeName!$C:$C,[1]AttributeName!$B:$B),"")</f>
        <v/>
      </c>
      <c r="P869" s="10"/>
      <c r="Q869">
        <v>0.04</v>
      </c>
      <c r="R869">
        <v>0.1</v>
      </c>
      <c r="S869" cm="1">
        <f t="array" ref="S869">IFERROR(_xlfn.SWITCH(L869,1,_xlfn.XLOOKUP(O869,[1]AttributeName!$B:$B,[1]AttributeName!$D:$D),2,_xlfn.XLOOKUP(C869,#REF!,#REF!),3,_xlfn.XLOOKUP(C869,#REF!,#REF!)),0)</f>
        <v>0</v>
      </c>
      <c r="T869" cm="1">
        <f t="array" ref="T869">IFERROR(_xlfn.SWITCH(L869,1,_xlfn.XLOOKUP(O869,[1]AttributeName!$B:$B,[1]AttributeName!$E:$E),2,_xlfn.XLOOKUP(C869,#REF!,#REF!),3,_xlfn.XLOOKUP(C869,#REF!,#REF!)),0)</f>
        <v>0</v>
      </c>
    </row>
    <row r="870" customFormat="1" spans="1:20">
      <c r="A870">
        <f t="shared" ref="A870:A933" si="42">A862+1</f>
        <v>357</v>
      </c>
      <c r="B870">
        <v>1</v>
      </c>
      <c r="C870" t="s">
        <v>426</v>
      </c>
      <c r="D870" t="s">
        <v>26</v>
      </c>
      <c r="E870" t="s">
        <v>392</v>
      </c>
      <c r="F870"/>
      <c r="G870">
        <v>2</v>
      </c>
      <c r="H870">
        <v>50</v>
      </c>
      <c r="I870">
        <v>3</v>
      </c>
      <c r="J870" cm="1">
        <f t="array" ref="J870">_xlfn.SWITCH(B870,1,75,2,61,3,49,4,37,5,25,6,13,7,4,8,1)</f>
        <v>75</v>
      </c>
      <c r="K870" t="str" cm="1">
        <f t="array" ref="K870">IFERROR(_xlfn.SWITCH(L870,2,_xlfn.XLOOKUP(C870,[1]ModifierDes!$B:$B,[1]ModifierDes!$C:$C),3,_xlfn.XLOOKUP(C870,[1]StuntDes!$B:$B,[1]StuntDes!$C:$C)),"")</f>
        <v>法术暴击伤害增加{0}</v>
      </c>
      <c r="L870">
        <f t="shared" si="41"/>
        <v>2</v>
      </c>
      <c r="M870" s="10" t="str">
        <f>IFERROR(_xlfn.XLOOKUP(C870,[1]StuntDes!$B:$B,[1]StuntDes!$A:$A),"")</f>
        <v/>
      </c>
      <c r="N870" s="10">
        <f>IFERROR(_xlfn.XLOOKUP(C870,[1]ModifierDes!$B:$B,[1]ModifierDes!$A:$A),"")</f>
        <v>10061</v>
      </c>
      <c r="O870" s="10" t="str">
        <f>IFERROR(_xlfn.XLOOKUP(C870,[1]AttributeName!$C:$C,[1]AttributeName!$B:$B),"")</f>
        <v/>
      </c>
      <c r="P870" s="10"/>
      <c r="Q870">
        <v>0.6</v>
      </c>
      <c r="R870">
        <v>0.8</v>
      </c>
      <c r="S870" cm="1">
        <f t="array" ref="S870">IFERROR(_xlfn.SWITCH(L870,1,_xlfn.XLOOKUP(O870,[1]AttributeName!$B:$B,[1]AttributeName!$D:$D),2,_xlfn.XLOOKUP(C870,#REF!,#REF!),3,_xlfn.XLOOKUP(C870,#REF!,#REF!)),0)</f>
        <v>0</v>
      </c>
      <c r="T870" cm="1">
        <f t="array" ref="T870">IFERROR(_xlfn.SWITCH(L870,1,_xlfn.XLOOKUP(O870,[1]AttributeName!$B:$B,[1]AttributeName!$E:$E),2,_xlfn.XLOOKUP(C870,#REF!,#REF!),3,_xlfn.XLOOKUP(C870,#REF!,#REF!)),0)</f>
        <v>0</v>
      </c>
    </row>
    <row r="871" customFormat="1" spans="1:20">
      <c r="A871">
        <f t="shared" si="42"/>
        <v>357</v>
      </c>
      <c r="B871">
        <v>2</v>
      </c>
      <c r="C871" t="s">
        <v>426</v>
      </c>
      <c r="D871" t="s">
        <v>26</v>
      </c>
      <c r="E871" t="s">
        <v>392</v>
      </c>
      <c r="F871"/>
      <c r="G871">
        <v>2</v>
      </c>
      <c r="H871">
        <v>100</v>
      </c>
      <c r="I871">
        <v>3</v>
      </c>
      <c r="J871" cm="1">
        <f t="array" ref="J871">_xlfn.SWITCH(B871,1,75,2,61,3,49,4,37,5,25,6,13,7,4,8,1)</f>
        <v>61</v>
      </c>
      <c r="K871" t="str" cm="1">
        <f t="array" ref="K871">IFERROR(_xlfn.SWITCH(L871,2,_xlfn.XLOOKUP(C871,[1]ModifierDes!$B:$B,[1]ModifierDes!$C:$C),3,_xlfn.XLOOKUP(C871,[1]StuntDes!$B:$B,[1]StuntDes!$C:$C)),"")</f>
        <v>法术暴击伤害增加{0}</v>
      </c>
      <c r="L871">
        <f t="shared" si="41"/>
        <v>2</v>
      </c>
      <c r="M871" s="10" t="str">
        <f>IFERROR(_xlfn.XLOOKUP(C871,[1]StuntDes!$B:$B,[1]StuntDes!$A:$A),"")</f>
        <v/>
      </c>
      <c r="N871" s="10">
        <f>IFERROR(_xlfn.XLOOKUP(C871,[1]ModifierDes!$B:$B,[1]ModifierDes!$A:$A),"")</f>
        <v>10061</v>
      </c>
      <c r="O871" s="10" t="str">
        <f>IFERROR(_xlfn.XLOOKUP(C871,[1]AttributeName!$C:$C,[1]AttributeName!$B:$B),"")</f>
        <v/>
      </c>
      <c r="P871" s="10"/>
      <c r="Q871">
        <v>0.52</v>
      </c>
      <c r="R871">
        <v>0.58</v>
      </c>
      <c r="S871" cm="1">
        <f t="array" ref="S871">IFERROR(_xlfn.SWITCH(L871,1,_xlfn.XLOOKUP(O871,[1]AttributeName!$B:$B,[1]AttributeName!$D:$D),2,_xlfn.XLOOKUP(C871,#REF!,#REF!),3,_xlfn.XLOOKUP(C871,#REF!,#REF!)),0)</f>
        <v>0</v>
      </c>
      <c r="T871" cm="1">
        <f t="array" ref="T871">IFERROR(_xlfn.SWITCH(L871,1,_xlfn.XLOOKUP(O871,[1]AttributeName!$B:$B,[1]AttributeName!$E:$E),2,_xlfn.XLOOKUP(C871,#REF!,#REF!),3,_xlfn.XLOOKUP(C871,#REF!,#REF!)),0)</f>
        <v>0</v>
      </c>
    </row>
    <row r="872" customFormat="1" spans="1:20">
      <c r="A872">
        <f t="shared" si="42"/>
        <v>357</v>
      </c>
      <c r="B872">
        <v>3</v>
      </c>
      <c r="C872" t="s">
        <v>426</v>
      </c>
      <c r="D872" t="s">
        <v>26</v>
      </c>
      <c r="E872" t="s">
        <v>392</v>
      </c>
      <c r="F872"/>
      <c r="G872">
        <v>2</v>
      </c>
      <c r="H872">
        <v>250</v>
      </c>
      <c r="I872">
        <v>3</v>
      </c>
      <c r="J872" cm="1">
        <f t="array" ref="J872">_xlfn.SWITCH(B872,1,75,2,61,3,49,4,37,5,25,6,13,7,4,8,1)</f>
        <v>49</v>
      </c>
      <c r="K872" t="str" cm="1">
        <f t="array" ref="K872">IFERROR(_xlfn.SWITCH(L872,2,_xlfn.XLOOKUP(C872,[1]ModifierDes!$B:$B,[1]ModifierDes!$C:$C),3,_xlfn.XLOOKUP(C872,[1]StuntDes!$B:$B,[1]StuntDes!$C:$C)),"")</f>
        <v>法术暴击伤害增加{0}</v>
      </c>
      <c r="L872">
        <f t="shared" si="41"/>
        <v>2</v>
      </c>
      <c r="M872" s="10" t="str">
        <f>IFERROR(_xlfn.XLOOKUP(C872,[1]StuntDes!$B:$B,[1]StuntDes!$A:$A),"")</f>
        <v/>
      </c>
      <c r="N872" s="10">
        <f>IFERROR(_xlfn.XLOOKUP(C872,[1]ModifierDes!$B:$B,[1]ModifierDes!$A:$A),"")</f>
        <v>10061</v>
      </c>
      <c r="O872" s="10" t="str">
        <f>IFERROR(_xlfn.XLOOKUP(C872,[1]AttributeName!$C:$C,[1]AttributeName!$B:$B),"")</f>
        <v/>
      </c>
      <c r="P872" s="10"/>
      <c r="Q872">
        <v>0.44</v>
      </c>
      <c r="R872">
        <v>0.5</v>
      </c>
      <c r="S872" cm="1">
        <f t="array" ref="S872">IFERROR(_xlfn.SWITCH(L872,1,_xlfn.XLOOKUP(O872,[1]AttributeName!$B:$B,[1]AttributeName!$D:$D),2,_xlfn.XLOOKUP(C872,#REF!,#REF!),3,_xlfn.XLOOKUP(C872,#REF!,#REF!)),0)</f>
        <v>0</v>
      </c>
      <c r="T872" cm="1">
        <f t="array" ref="T872">IFERROR(_xlfn.SWITCH(L872,1,_xlfn.XLOOKUP(O872,[1]AttributeName!$B:$B,[1]AttributeName!$E:$E),2,_xlfn.XLOOKUP(C872,#REF!,#REF!),3,_xlfn.XLOOKUP(C872,#REF!,#REF!)),0)</f>
        <v>0</v>
      </c>
    </row>
    <row r="873" customFormat="1" spans="1:20">
      <c r="A873">
        <f t="shared" si="42"/>
        <v>357</v>
      </c>
      <c r="B873">
        <v>4</v>
      </c>
      <c r="C873" t="s">
        <v>426</v>
      </c>
      <c r="D873" t="s">
        <v>26</v>
      </c>
      <c r="E873" t="s">
        <v>392</v>
      </c>
      <c r="F873"/>
      <c r="G873">
        <v>2</v>
      </c>
      <c r="H873">
        <v>500</v>
      </c>
      <c r="I873">
        <v>3</v>
      </c>
      <c r="J873" cm="1">
        <f t="array" ref="J873">_xlfn.SWITCH(B873,1,75,2,61,3,49,4,37,5,25,6,13,7,4,8,1)</f>
        <v>37</v>
      </c>
      <c r="K873" t="str" cm="1">
        <f t="array" ref="K873">IFERROR(_xlfn.SWITCH(L873,2,_xlfn.XLOOKUP(C873,[1]ModifierDes!$B:$B,[1]ModifierDes!$C:$C),3,_xlfn.XLOOKUP(C873,[1]StuntDes!$B:$B,[1]StuntDes!$C:$C)),"")</f>
        <v>法术暴击伤害增加{0}</v>
      </c>
      <c r="L873">
        <f t="shared" si="41"/>
        <v>2</v>
      </c>
      <c r="M873" s="10" t="str">
        <f>IFERROR(_xlfn.XLOOKUP(C873,[1]StuntDes!$B:$B,[1]StuntDes!$A:$A),"")</f>
        <v/>
      </c>
      <c r="N873" s="10">
        <f>IFERROR(_xlfn.XLOOKUP(C873,[1]ModifierDes!$B:$B,[1]ModifierDes!$A:$A),"")</f>
        <v>10061</v>
      </c>
      <c r="O873" s="10" t="str">
        <f>IFERROR(_xlfn.XLOOKUP(C873,[1]AttributeName!$C:$C,[1]AttributeName!$B:$B),"")</f>
        <v/>
      </c>
      <c r="P873" s="10"/>
      <c r="Q873">
        <v>0.36</v>
      </c>
      <c r="R873">
        <v>0.42</v>
      </c>
      <c r="S873" cm="1">
        <f t="array" ref="S873">IFERROR(_xlfn.SWITCH(L873,1,_xlfn.XLOOKUP(O873,[1]AttributeName!$B:$B,[1]AttributeName!$D:$D),2,_xlfn.XLOOKUP(C873,#REF!,#REF!),3,_xlfn.XLOOKUP(C873,#REF!,#REF!)),0)</f>
        <v>0</v>
      </c>
      <c r="T873" cm="1">
        <f t="array" ref="T873">IFERROR(_xlfn.SWITCH(L873,1,_xlfn.XLOOKUP(O873,[1]AttributeName!$B:$B,[1]AttributeName!$E:$E),2,_xlfn.XLOOKUP(C873,#REF!,#REF!),3,_xlfn.XLOOKUP(C873,#REF!,#REF!)),0)</f>
        <v>0</v>
      </c>
    </row>
    <row r="874" customFormat="1" spans="1:20">
      <c r="A874">
        <f t="shared" si="42"/>
        <v>357</v>
      </c>
      <c r="B874">
        <v>5</v>
      </c>
      <c r="C874" t="s">
        <v>426</v>
      </c>
      <c r="D874" t="s">
        <v>26</v>
      </c>
      <c r="E874" t="s">
        <v>392</v>
      </c>
      <c r="F874"/>
      <c r="G874">
        <v>2</v>
      </c>
      <c r="H874">
        <v>500</v>
      </c>
      <c r="I874">
        <v>3</v>
      </c>
      <c r="J874" cm="1">
        <f t="array" ref="J874">_xlfn.SWITCH(B874,1,75,2,61,3,49,4,37,5,25,6,13,7,4,8,1)</f>
        <v>25</v>
      </c>
      <c r="K874" t="str" cm="1">
        <f t="array" ref="K874">IFERROR(_xlfn.SWITCH(L874,2,_xlfn.XLOOKUP(C874,[1]ModifierDes!$B:$B,[1]ModifierDes!$C:$C),3,_xlfn.XLOOKUP(C874,[1]StuntDes!$B:$B,[1]StuntDes!$C:$C)),"")</f>
        <v>法术暴击伤害增加{0}</v>
      </c>
      <c r="L874">
        <f t="shared" si="41"/>
        <v>2</v>
      </c>
      <c r="M874" s="10" t="str">
        <f>IFERROR(_xlfn.XLOOKUP(C874,[1]StuntDes!$B:$B,[1]StuntDes!$A:$A),"")</f>
        <v/>
      </c>
      <c r="N874" s="10">
        <f>IFERROR(_xlfn.XLOOKUP(C874,[1]ModifierDes!$B:$B,[1]ModifierDes!$A:$A),"")</f>
        <v>10061</v>
      </c>
      <c r="O874" s="10" t="str">
        <f>IFERROR(_xlfn.XLOOKUP(C874,[1]AttributeName!$C:$C,[1]AttributeName!$B:$B),"")</f>
        <v/>
      </c>
      <c r="P874" s="10"/>
      <c r="Q874">
        <v>0.28</v>
      </c>
      <c r="R874">
        <v>0.34</v>
      </c>
      <c r="S874" cm="1">
        <f t="array" ref="S874">IFERROR(_xlfn.SWITCH(L874,1,_xlfn.XLOOKUP(O874,[1]AttributeName!$B:$B,[1]AttributeName!$D:$D),2,_xlfn.XLOOKUP(C874,#REF!,#REF!),3,_xlfn.XLOOKUP(C874,#REF!,#REF!)),0)</f>
        <v>0</v>
      </c>
      <c r="T874" cm="1">
        <f t="array" ref="T874">IFERROR(_xlfn.SWITCH(L874,1,_xlfn.XLOOKUP(O874,[1]AttributeName!$B:$B,[1]AttributeName!$E:$E),2,_xlfn.XLOOKUP(C874,#REF!,#REF!),3,_xlfn.XLOOKUP(C874,#REF!,#REF!)),0)</f>
        <v>0</v>
      </c>
    </row>
    <row r="875" customFormat="1" spans="1:20">
      <c r="A875">
        <f t="shared" si="42"/>
        <v>357</v>
      </c>
      <c r="B875">
        <v>6</v>
      </c>
      <c r="C875" t="s">
        <v>426</v>
      </c>
      <c r="D875" t="s">
        <v>26</v>
      </c>
      <c r="E875" t="s">
        <v>392</v>
      </c>
      <c r="F875"/>
      <c r="G875">
        <v>2</v>
      </c>
      <c r="H875">
        <v>500</v>
      </c>
      <c r="I875">
        <v>3</v>
      </c>
      <c r="J875" cm="1">
        <f t="array" ref="J875">_xlfn.SWITCH(B875,1,75,2,61,3,49,4,37,5,25,6,13,7,4,8,1)</f>
        <v>13</v>
      </c>
      <c r="K875" t="str" cm="1">
        <f t="array" ref="K875">IFERROR(_xlfn.SWITCH(L875,2,_xlfn.XLOOKUP(C875,[1]ModifierDes!$B:$B,[1]ModifierDes!$C:$C),3,_xlfn.XLOOKUP(C875,[1]StuntDes!$B:$B,[1]StuntDes!$C:$C)),"")</f>
        <v>法术暴击伤害增加{0}</v>
      </c>
      <c r="L875">
        <f t="shared" si="41"/>
        <v>2</v>
      </c>
      <c r="M875" s="10" t="str">
        <f>IFERROR(_xlfn.XLOOKUP(C875,[1]StuntDes!$B:$B,[1]StuntDes!$A:$A),"")</f>
        <v/>
      </c>
      <c r="N875" s="10">
        <f>IFERROR(_xlfn.XLOOKUP(C875,[1]ModifierDes!$B:$B,[1]ModifierDes!$A:$A),"")</f>
        <v>10061</v>
      </c>
      <c r="O875" s="10" t="str">
        <f>IFERROR(_xlfn.XLOOKUP(C875,[1]AttributeName!$C:$C,[1]AttributeName!$B:$B),"")</f>
        <v/>
      </c>
      <c r="P875" s="10"/>
      <c r="Q875">
        <v>0.2</v>
      </c>
      <c r="R875">
        <v>0.26</v>
      </c>
      <c r="S875" cm="1">
        <f t="array" ref="S875">IFERROR(_xlfn.SWITCH(L875,1,_xlfn.XLOOKUP(O875,[1]AttributeName!$B:$B,[1]AttributeName!$D:$D),2,_xlfn.XLOOKUP(C875,#REF!,#REF!),3,_xlfn.XLOOKUP(C875,#REF!,#REF!)),0)</f>
        <v>0</v>
      </c>
      <c r="T875" cm="1">
        <f t="array" ref="T875">IFERROR(_xlfn.SWITCH(L875,1,_xlfn.XLOOKUP(O875,[1]AttributeName!$B:$B,[1]AttributeName!$E:$E),2,_xlfn.XLOOKUP(C875,#REF!,#REF!),3,_xlfn.XLOOKUP(C875,#REF!,#REF!)),0)</f>
        <v>0</v>
      </c>
    </row>
    <row r="876" customFormat="1" spans="1:20">
      <c r="A876">
        <f t="shared" si="42"/>
        <v>357</v>
      </c>
      <c r="B876">
        <v>7</v>
      </c>
      <c r="C876" t="s">
        <v>426</v>
      </c>
      <c r="D876" t="s">
        <v>26</v>
      </c>
      <c r="E876" t="s">
        <v>392</v>
      </c>
      <c r="F876"/>
      <c r="G876">
        <v>2</v>
      </c>
      <c r="H876">
        <v>500</v>
      </c>
      <c r="I876">
        <v>3</v>
      </c>
      <c r="J876" cm="1">
        <f t="array" ref="J876">_xlfn.SWITCH(B876,1,75,2,61,3,49,4,37,5,25,6,13,7,4,8,1)</f>
        <v>4</v>
      </c>
      <c r="K876" t="str" cm="1">
        <f t="array" ref="K876">IFERROR(_xlfn.SWITCH(L876,2,_xlfn.XLOOKUP(C876,[1]ModifierDes!$B:$B,[1]ModifierDes!$C:$C),3,_xlfn.XLOOKUP(C876,[1]StuntDes!$B:$B,[1]StuntDes!$C:$C)),"")</f>
        <v>法术暴击伤害增加{0}</v>
      </c>
      <c r="L876">
        <f t="shared" si="41"/>
        <v>2</v>
      </c>
      <c r="M876" s="10" t="str">
        <f>IFERROR(_xlfn.XLOOKUP(C876,[1]StuntDes!$B:$B,[1]StuntDes!$A:$A),"")</f>
        <v/>
      </c>
      <c r="N876" s="10">
        <f>IFERROR(_xlfn.XLOOKUP(C876,[1]ModifierDes!$B:$B,[1]ModifierDes!$A:$A),"")</f>
        <v>10061</v>
      </c>
      <c r="O876" s="10" t="str">
        <f>IFERROR(_xlfn.XLOOKUP(C876,[1]AttributeName!$C:$C,[1]AttributeName!$B:$B),"")</f>
        <v/>
      </c>
      <c r="P876" s="10"/>
      <c r="Q876">
        <v>0.12</v>
      </c>
      <c r="R876">
        <v>0.18</v>
      </c>
      <c r="S876" cm="1">
        <f t="array" ref="S876">IFERROR(_xlfn.SWITCH(L876,1,_xlfn.XLOOKUP(O876,[1]AttributeName!$B:$B,[1]AttributeName!$D:$D),2,_xlfn.XLOOKUP(C876,#REF!,#REF!),3,_xlfn.XLOOKUP(C876,#REF!,#REF!)),0)</f>
        <v>0</v>
      </c>
      <c r="T876" cm="1">
        <f t="array" ref="T876">IFERROR(_xlfn.SWITCH(L876,1,_xlfn.XLOOKUP(O876,[1]AttributeName!$B:$B,[1]AttributeName!$E:$E),2,_xlfn.XLOOKUP(C876,#REF!,#REF!),3,_xlfn.XLOOKUP(C876,#REF!,#REF!)),0)</f>
        <v>0</v>
      </c>
    </row>
    <row r="877" customFormat="1" spans="1:20">
      <c r="A877">
        <f t="shared" si="42"/>
        <v>357</v>
      </c>
      <c r="B877">
        <v>8</v>
      </c>
      <c r="C877" t="s">
        <v>426</v>
      </c>
      <c r="D877" t="s">
        <v>26</v>
      </c>
      <c r="E877" t="s">
        <v>392</v>
      </c>
      <c r="F877"/>
      <c r="G877">
        <v>2</v>
      </c>
      <c r="H877">
        <v>500</v>
      </c>
      <c r="I877">
        <v>3</v>
      </c>
      <c r="J877" cm="1">
        <f t="array" ref="J877">_xlfn.SWITCH(B877,1,75,2,61,3,49,4,37,5,25,6,13,7,4,8,1)</f>
        <v>1</v>
      </c>
      <c r="K877" t="str" cm="1">
        <f t="array" ref="K877">IFERROR(_xlfn.SWITCH(L877,2,_xlfn.XLOOKUP(C877,[1]ModifierDes!$B:$B,[1]ModifierDes!$C:$C),3,_xlfn.XLOOKUP(C877,[1]StuntDes!$B:$B,[1]StuntDes!$C:$C)),"")</f>
        <v>法术暴击伤害增加{0}</v>
      </c>
      <c r="L877">
        <f t="shared" si="41"/>
        <v>2</v>
      </c>
      <c r="M877" s="10" t="str">
        <f>IFERROR(_xlfn.XLOOKUP(C877,[1]StuntDes!$B:$B,[1]StuntDes!$A:$A),"")</f>
        <v/>
      </c>
      <c r="N877" s="10">
        <f>IFERROR(_xlfn.XLOOKUP(C877,[1]ModifierDes!$B:$B,[1]ModifierDes!$A:$A),"")</f>
        <v>10061</v>
      </c>
      <c r="O877" s="10" t="str">
        <f>IFERROR(_xlfn.XLOOKUP(C877,[1]AttributeName!$C:$C,[1]AttributeName!$B:$B),"")</f>
        <v/>
      </c>
      <c r="P877" s="10"/>
      <c r="Q877">
        <v>0.04</v>
      </c>
      <c r="R877">
        <v>0.1</v>
      </c>
      <c r="S877" cm="1">
        <f t="array" ref="S877">IFERROR(_xlfn.SWITCH(L877,1,_xlfn.XLOOKUP(O877,[1]AttributeName!$B:$B,[1]AttributeName!$D:$D),2,_xlfn.XLOOKUP(C877,#REF!,#REF!),3,_xlfn.XLOOKUP(C877,#REF!,#REF!)),0)</f>
        <v>0</v>
      </c>
      <c r="T877" cm="1">
        <f t="array" ref="T877">IFERROR(_xlfn.SWITCH(L877,1,_xlfn.XLOOKUP(O877,[1]AttributeName!$B:$B,[1]AttributeName!$E:$E),2,_xlfn.XLOOKUP(C877,#REF!,#REF!),3,_xlfn.XLOOKUP(C877,#REF!,#REF!)),0)</f>
        <v>0</v>
      </c>
    </row>
    <row r="878" customFormat="1" spans="1:20">
      <c r="A878">
        <f t="shared" si="42"/>
        <v>358</v>
      </c>
      <c r="B878">
        <v>1</v>
      </c>
      <c r="C878" t="s">
        <v>401</v>
      </c>
      <c r="D878" t="s">
        <v>26</v>
      </c>
      <c r="E878" t="s">
        <v>392</v>
      </c>
      <c r="F878"/>
      <c r="G878">
        <v>2</v>
      </c>
      <c r="H878">
        <v>50</v>
      </c>
      <c r="I878">
        <v>3</v>
      </c>
      <c r="J878" cm="1">
        <f t="array" ref="J878">_xlfn.SWITCH(B878,1,75,2,61,3,49,4,37,5,25,6,13,7,4,8,1)</f>
        <v>75</v>
      </c>
      <c r="K878" t="str" cm="1">
        <f t="array" ref="K878">IFERROR(_xlfn.SWITCH(L878,2,_xlfn.XLOOKUP(C878,[1]ModifierDes!$B:$B,[1]ModifierDes!$C:$C),3,_xlfn.XLOOKUP(C878,[1]StuntDes!$B:$B,[1]StuntDes!$C:$C)),"")</f>
        <v/>
      </c>
      <c r="L878">
        <f t="shared" si="41"/>
        <v>1</v>
      </c>
      <c r="M878" s="10" t="str">
        <f>IFERROR(_xlfn.XLOOKUP(C878,[1]StuntDes!$B:$B,[1]StuntDes!$A:$A),"")</f>
        <v/>
      </c>
      <c r="N878" s="10" t="str">
        <f>IFERROR(_xlfn.XLOOKUP(C878,[1]ModifierDes!$B:$B,[1]ModifierDes!$A:$A),"")</f>
        <v/>
      </c>
      <c r="O878" s="10">
        <f>IFERROR(_xlfn.XLOOKUP(C878,[1]AttributeName!$C:$C,[1]AttributeName!$B:$B),"")</f>
        <v>10500</v>
      </c>
      <c r="P878" s="10"/>
      <c r="Q878">
        <v>0.3</v>
      </c>
      <c r="R878">
        <v>0.4</v>
      </c>
      <c r="S878" cm="1">
        <f t="array" ref="S878">IFERROR(_xlfn.SWITCH(L878,1,_xlfn.XLOOKUP(O878,[1]AttributeName!$B:$B,[1]AttributeName!$D:$D),2,_xlfn.XLOOKUP(C878,#REF!,#REF!),3,_xlfn.XLOOKUP(C878,#REF!,#REF!)),0)</f>
        <v>2</v>
      </c>
      <c r="T878" cm="1">
        <f t="array" ref="T878">IFERROR(_xlfn.SWITCH(L878,1,_xlfn.XLOOKUP(O878,[1]AttributeName!$B:$B,[1]AttributeName!$E:$E),2,_xlfn.XLOOKUP(C878,#REF!,#REF!),3,_xlfn.XLOOKUP(C878,#REF!,#REF!)),0)</f>
        <v>2</v>
      </c>
    </row>
    <row r="879" customFormat="1" spans="1:20">
      <c r="A879">
        <f t="shared" si="42"/>
        <v>358</v>
      </c>
      <c r="B879">
        <v>2</v>
      </c>
      <c r="C879" t="s">
        <v>401</v>
      </c>
      <c r="D879" t="s">
        <v>26</v>
      </c>
      <c r="E879" t="s">
        <v>392</v>
      </c>
      <c r="F879"/>
      <c r="G879">
        <v>2</v>
      </c>
      <c r="H879">
        <v>100</v>
      </c>
      <c r="I879">
        <v>3</v>
      </c>
      <c r="J879" cm="1">
        <f t="array" ref="J879">_xlfn.SWITCH(B879,1,75,2,61,3,49,4,37,5,25,6,13,7,4,8,1)</f>
        <v>61</v>
      </c>
      <c r="K879" t="str" cm="1">
        <f t="array" ref="K879">IFERROR(_xlfn.SWITCH(L879,2,_xlfn.XLOOKUP(C879,[1]ModifierDes!$B:$B,[1]ModifierDes!$C:$C),3,_xlfn.XLOOKUP(C879,[1]StuntDes!$B:$B,[1]StuntDes!$C:$C)),"")</f>
        <v/>
      </c>
      <c r="L879">
        <f t="shared" si="41"/>
        <v>1</v>
      </c>
      <c r="M879" s="10" t="str">
        <f>IFERROR(_xlfn.XLOOKUP(C879,[1]StuntDes!$B:$B,[1]StuntDes!$A:$A),"")</f>
        <v/>
      </c>
      <c r="N879" s="10" t="str">
        <f>IFERROR(_xlfn.XLOOKUP(C879,[1]ModifierDes!$B:$B,[1]ModifierDes!$A:$A),"")</f>
        <v/>
      </c>
      <c r="O879" s="10">
        <f>IFERROR(_xlfn.XLOOKUP(C879,[1]AttributeName!$C:$C,[1]AttributeName!$B:$B),"")</f>
        <v>10500</v>
      </c>
      <c r="P879" s="10"/>
      <c r="Q879">
        <v>0.26</v>
      </c>
      <c r="R879">
        <v>0.29</v>
      </c>
      <c r="S879" cm="1">
        <f t="array" ref="S879">IFERROR(_xlfn.SWITCH(L879,1,_xlfn.XLOOKUP(O879,[1]AttributeName!$B:$B,[1]AttributeName!$D:$D),2,_xlfn.XLOOKUP(C879,#REF!,#REF!),3,_xlfn.XLOOKUP(C879,#REF!,#REF!)),0)</f>
        <v>2</v>
      </c>
      <c r="T879" cm="1">
        <f t="array" ref="T879">IFERROR(_xlfn.SWITCH(L879,1,_xlfn.XLOOKUP(O879,[1]AttributeName!$B:$B,[1]AttributeName!$E:$E),2,_xlfn.XLOOKUP(C879,#REF!,#REF!),3,_xlfn.XLOOKUP(C879,#REF!,#REF!)),0)</f>
        <v>2</v>
      </c>
    </row>
    <row r="880" customFormat="1" spans="1:20">
      <c r="A880">
        <f t="shared" si="42"/>
        <v>358</v>
      </c>
      <c r="B880">
        <v>3</v>
      </c>
      <c r="C880" t="s">
        <v>401</v>
      </c>
      <c r="D880" t="s">
        <v>26</v>
      </c>
      <c r="E880" t="s">
        <v>392</v>
      </c>
      <c r="F880"/>
      <c r="G880">
        <v>2</v>
      </c>
      <c r="H880">
        <v>250</v>
      </c>
      <c r="I880">
        <v>3</v>
      </c>
      <c r="J880" cm="1">
        <f t="array" ref="J880">_xlfn.SWITCH(B880,1,75,2,61,3,49,4,37,5,25,6,13,7,4,8,1)</f>
        <v>49</v>
      </c>
      <c r="K880" t="str" cm="1">
        <f t="array" ref="K880">IFERROR(_xlfn.SWITCH(L880,2,_xlfn.XLOOKUP(C880,[1]ModifierDes!$B:$B,[1]ModifierDes!$C:$C),3,_xlfn.XLOOKUP(C880,[1]StuntDes!$B:$B,[1]StuntDes!$C:$C)),"")</f>
        <v/>
      </c>
      <c r="L880">
        <f t="shared" si="41"/>
        <v>1</v>
      </c>
      <c r="M880" s="10" t="str">
        <f>IFERROR(_xlfn.XLOOKUP(C880,[1]StuntDes!$B:$B,[1]StuntDes!$A:$A),"")</f>
        <v/>
      </c>
      <c r="N880" s="10" t="str">
        <f>IFERROR(_xlfn.XLOOKUP(C880,[1]ModifierDes!$B:$B,[1]ModifierDes!$A:$A),"")</f>
        <v/>
      </c>
      <c r="O880" s="10">
        <f>IFERROR(_xlfn.XLOOKUP(C880,[1]AttributeName!$C:$C,[1]AttributeName!$B:$B),"")</f>
        <v>10500</v>
      </c>
      <c r="P880" s="10"/>
      <c r="Q880">
        <v>0.22</v>
      </c>
      <c r="R880">
        <v>0.25</v>
      </c>
      <c r="S880" cm="1">
        <f t="array" ref="S880">IFERROR(_xlfn.SWITCH(L880,1,_xlfn.XLOOKUP(O880,[1]AttributeName!$B:$B,[1]AttributeName!$D:$D),2,_xlfn.XLOOKUP(C880,#REF!,#REF!),3,_xlfn.XLOOKUP(C880,#REF!,#REF!)),0)</f>
        <v>2</v>
      </c>
      <c r="T880" cm="1">
        <f t="array" ref="T880">IFERROR(_xlfn.SWITCH(L880,1,_xlfn.XLOOKUP(O880,[1]AttributeName!$B:$B,[1]AttributeName!$E:$E),2,_xlfn.XLOOKUP(C880,#REF!,#REF!),3,_xlfn.XLOOKUP(C880,#REF!,#REF!)),0)</f>
        <v>2</v>
      </c>
    </row>
    <row r="881" customFormat="1" spans="1:20">
      <c r="A881">
        <f t="shared" si="42"/>
        <v>358</v>
      </c>
      <c r="B881">
        <v>4</v>
      </c>
      <c r="C881" t="s">
        <v>401</v>
      </c>
      <c r="D881" t="s">
        <v>26</v>
      </c>
      <c r="E881" t="s">
        <v>392</v>
      </c>
      <c r="F881"/>
      <c r="G881">
        <v>2</v>
      </c>
      <c r="H881">
        <v>500</v>
      </c>
      <c r="I881">
        <v>3</v>
      </c>
      <c r="J881" cm="1">
        <f t="array" ref="J881">_xlfn.SWITCH(B881,1,75,2,61,3,49,4,37,5,25,6,13,7,4,8,1)</f>
        <v>37</v>
      </c>
      <c r="K881" t="str" cm="1">
        <f t="array" ref="K881">IFERROR(_xlfn.SWITCH(L881,2,_xlfn.XLOOKUP(C881,[1]ModifierDes!$B:$B,[1]ModifierDes!$C:$C),3,_xlfn.XLOOKUP(C881,[1]StuntDes!$B:$B,[1]StuntDes!$C:$C)),"")</f>
        <v/>
      </c>
      <c r="L881">
        <f t="shared" si="41"/>
        <v>1</v>
      </c>
      <c r="M881" s="10" t="str">
        <f>IFERROR(_xlfn.XLOOKUP(C881,[1]StuntDes!$B:$B,[1]StuntDes!$A:$A),"")</f>
        <v/>
      </c>
      <c r="N881" s="10" t="str">
        <f>IFERROR(_xlfn.XLOOKUP(C881,[1]ModifierDes!$B:$B,[1]ModifierDes!$A:$A),"")</f>
        <v/>
      </c>
      <c r="O881" s="10">
        <f>IFERROR(_xlfn.XLOOKUP(C881,[1]AttributeName!$C:$C,[1]AttributeName!$B:$B),"")</f>
        <v>10500</v>
      </c>
      <c r="P881" s="10"/>
      <c r="Q881">
        <v>0.18</v>
      </c>
      <c r="R881">
        <v>0.21</v>
      </c>
      <c r="S881" cm="1">
        <f t="array" ref="S881">IFERROR(_xlfn.SWITCH(L881,1,_xlfn.XLOOKUP(O881,[1]AttributeName!$B:$B,[1]AttributeName!$D:$D),2,_xlfn.XLOOKUP(C881,#REF!,#REF!),3,_xlfn.XLOOKUP(C881,#REF!,#REF!)),0)</f>
        <v>2</v>
      </c>
      <c r="T881" cm="1">
        <f t="array" ref="T881">IFERROR(_xlfn.SWITCH(L881,1,_xlfn.XLOOKUP(O881,[1]AttributeName!$B:$B,[1]AttributeName!$E:$E),2,_xlfn.XLOOKUP(C881,#REF!,#REF!),3,_xlfn.XLOOKUP(C881,#REF!,#REF!)),0)</f>
        <v>2</v>
      </c>
    </row>
    <row r="882" customFormat="1" spans="1:20">
      <c r="A882">
        <f t="shared" si="42"/>
        <v>358</v>
      </c>
      <c r="B882">
        <v>5</v>
      </c>
      <c r="C882" t="s">
        <v>401</v>
      </c>
      <c r="D882" t="s">
        <v>26</v>
      </c>
      <c r="E882" t="s">
        <v>392</v>
      </c>
      <c r="F882"/>
      <c r="G882">
        <v>2</v>
      </c>
      <c r="H882">
        <v>500</v>
      </c>
      <c r="I882">
        <v>3</v>
      </c>
      <c r="J882" cm="1">
        <f t="array" ref="J882">_xlfn.SWITCH(B882,1,75,2,61,3,49,4,37,5,25,6,13,7,4,8,1)</f>
        <v>25</v>
      </c>
      <c r="K882" t="str" cm="1">
        <f t="array" ref="K882">IFERROR(_xlfn.SWITCH(L882,2,_xlfn.XLOOKUP(C882,[1]ModifierDes!$B:$B,[1]ModifierDes!$C:$C),3,_xlfn.XLOOKUP(C882,[1]StuntDes!$B:$B,[1]StuntDes!$C:$C)),"")</f>
        <v/>
      </c>
      <c r="L882">
        <f t="shared" si="41"/>
        <v>1</v>
      </c>
      <c r="M882" s="10" t="str">
        <f>IFERROR(_xlfn.XLOOKUP(C882,[1]StuntDes!$B:$B,[1]StuntDes!$A:$A),"")</f>
        <v/>
      </c>
      <c r="N882" s="10" t="str">
        <f>IFERROR(_xlfn.XLOOKUP(C882,[1]ModifierDes!$B:$B,[1]ModifierDes!$A:$A),"")</f>
        <v/>
      </c>
      <c r="O882" s="10">
        <f>IFERROR(_xlfn.XLOOKUP(C882,[1]AttributeName!$C:$C,[1]AttributeName!$B:$B),"")</f>
        <v>10500</v>
      </c>
      <c r="P882" s="10"/>
      <c r="Q882">
        <v>0.14</v>
      </c>
      <c r="R882">
        <v>0.17</v>
      </c>
      <c r="S882" cm="1">
        <f t="array" ref="S882">IFERROR(_xlfn.SWITCH(L882,1,_xlfn.XLOOKUP(O882,[1]AttributeName!$B:$B,[1]AttributeName!$D:$D),2,_xlfn.XLOOKUP(C882,#REF!,#REF!),3,_xlfn.XLOOKUP(C882,#REF!,#REF!)),0)</f>
        <v>2</v>
      </c>
      <c r="T882" cm="1">
        <f t="array" ref="T882">IFERROR(_xlfn.SWITCH(L882,1,_xlfn.XLOOKUP(O882,[1]AttributeName!$B:$B,[1]AttributeName!$E:$E),2,_xlfn.XLOOKUP(C882,#REF!,#REF!),3,_xlfn.XLOOKUP(C882,#REF!,#REF!)),0)</f>
        <v>2</v>
      </c>
    </row>
    <row r="883" customFormat="1" spans="1:20">
      <c r="A883">
        <f t="shared" si="42"/>
        <v>358</v>
      </c>
      <c r="B883">
        <v>6</v>
      </c>
      <c r="C883" t="s">
        <v>401</v>
      </c>
      <c r="D883" t="s">
        <v>26</v>
      </c>
      <c r="E883" t="s">
        <v>392</v>
      </c>
      <c r="F883"/>
      <c r="G883">
        <v>2</v>
      </c>
      <c r="H883">
        <v>500</v>
      </c>
      <c r="I883">
        <v>3</v>
      </c>
      <c r="J883" cm="1">
        <f t="array" ref="J883">_xlfn.SWITCH(B883,1,75,2,61,3,49,4,37,5,25,6,13,7,4,8,1)</f>
        <v>13</v>
      </c>
      <c r="K883" t="str" cm="1">
        <f t="array" ref="K883">IFERROR(_xlfn.SWITCH(L883,2,_xlfn.XLOOKUP(C883,[1]ModifierDes!$B:$B,[1]ModifierDes!$C:$C),3,_xlfn.XLOOKUP(C883,[1]StuntDes!$B:$B,[1]StuntDes!$C:$C)),"")</f>
        <v/>
      </c>
      <c r="L883">
        <f t="shared" si="41"/>
        <v>1</v>
      </c>
      <c r="M883" s="10" t="str">
        <f>IFERROR(_xlfn.XLOOKUP(C883,[1]StuntDes!$B:$B,[1]StuntDes!$A:$A),"")</f>
        <v/>
      </c>
      <c r="N883" s="10" t="str">
        <f>IFERROR(_xlfn.XLOOKUP(C883,[1]ModifierDes!$B:$B,[1]ModifierDes!$A:$A),"")</f>
        <v/>
      </c>
      <c r="O883" s="10">
        <f>IFERROR(_xlfn.XLOOKUP(C883,[1]AttributeName!$C:$C,[1]AttributeName!$B:$B),"")</f>
        <v>10500</v>
      </c>
      <c r="P883" s="10"/>
      <c r="Q883">
        <v>0.1</v>
      </c>
      <c r="R883">
        <v>0.13</v>
      </c>
      <c r="S883" cm="1">
        <f t="array" ref="S883">IFERROR(_xlfn.SWITCH(L883,1,_xlfn.XLOOKUP(O883,[1]AttributeName!$B:$B,[1]AttributeName!$D:$D),2,_xlfn.XLOOKUP(C883,#REF!,#REF!),3,_xlfn.XLOOKUP(C883,#REF!,#REF!)),0)</f>
        <v>2</v>
      </c>
      <c r="T883" cm="1">
        <f t="array" ref="T883">IFERROR(_xlfn.SWITCH(L883,1,_xlfn.XLOOKUP(O883,[1]AttributeName!$B:$B,[1]AttributeName!$E:$E),2,_xlfn.XLOOKUP(C883,#REF!,#REF!),3,_xlfn.XLOOKUP(C883,#REF!,#REF!)),0)</f>
        <v>2</v>
      </c>
    </row>
    <row r="884" customFormat="1" spans="1:20">
      <c r="A884">
        <f t="shared" si="42"/>
        <v>358</v>
      </c>
      <c r="B884">
        <v>7</v>
      </c>
      <c r="C884" t="s">
        <v>401</v>
      </c>
      <c r="D884" t="s">
        <v>26</v>
      </c>
      <c r="E884" t="s">
        <v>392</v>
      </c>
      <c r="F884"/>
      <c r="G884">
        <v>2</v>
      </c>
      <c r="H884">
        <v>500</v>
      </c>
      <c r="I884">
        <v>3</v>
      </c>
      <c r="J884" cm="1">
        <f t="array" ref="J884">_xlfn.SWITCH(B884,1,75,2,61,3,49,4,37,5,25,6,13,7,4,8,1)</f>
        <v>4</v>
      </c>
      <c r="K884" t="str" cm="1">
        <f t="array" ref="K884">IFERROR(_xlfn.SWITCH(L884,2,_xlfn.XLOOKUP(C884,[1]ModifierDes!$B:$B,[1]ModifierDes!$C:$C),3,_xlfn.XLOOKUP(C884,[1]StuntDes!$B:$B,[1]StuntDes!$C:$C)),"")</f>
        <v/>
      </c>
      <c r="L884">
        <f t="shared" si="41"/>
        <v>1</v>
      </c>
      <c r="M884" s="10" t="str">
        <f>IFERROR(_xlfn.XLOOKUP(C884,[1]StuntDes!$B:$B,[1]StuntDes!$A:$A),"")</f>
        <v/>
      </c>
      <c r="N884" s="10" t="str">
        <f>IFERROR(_xlfn.XLOOKUP(C884,[1]ModifierDes!$B:$B,[1]ModifierDes!$A:$A),"")</f>
        <v/>
      </c>
      <c r="O884" s="10">
        <f>IFERROR(_xlfn.XLOOKUP(C884,[1]AttributeName!$C:$C,[1]AttributeName!$B:$B),"")</f>
        <v>10500</v>
      </c>
      <c r="P884" s="10"/>
      <c r="Q884">
        <v>0.06</v>
      </c>
      <c r="R884">
        <v>0.0900000000000001</v>
      </c>
      <c r="S884" cm="1">
        <f t="array" ref="S884">IFERROR(_xlfn.SWITCH(L884,1,_xlfn.XLOOKUP(O884,[1]AttributeName!$B:$B,[1]AttributeName!$D:$D),2,_xlfn.XLOOKUP(C884,#REF!,#REF!),3,_xlfn.XLOOKUP(C884,#REF!,#REF!)),0)</f>
        <v>2</v>
      </c>
      <c r="T884" cm="1">
        <f t="array" ref="T884">IFERROR(_xlfn.SWITCH(L884,1,_xlfn.XLOOKUP(O884,[1]AttributeName!$B:$B,[1]AttributeName!$E:$E),2,_xlfn.XLOOKUP(C884,#REF!,#REF!),3,_xlfn.XLOOKUP(C884,#REF!,#REF!)),0)</f>
        <v>2</v>
      </c>
    </row>
    <row r="885" customFormat="1" spans="1:20">
      <c r="A885">
        <f t="shared" si="42"/>
        <v>358</v>
      </c>
      <c r="B885">
        <v>8</v>
      </c>
      <c r="C885" t="s">
        <v>401</v>
      </c>
      <c r="D885" t="s">
        <v>26</v>
      </c>
      <c r="E885" t="s">
        <v>392</v>
      </c>
      <c r="F885"/>
      <c r="G885">
        <v>2</v>
      </c>
      <c r="H885">
        <v>500</v>
      </c>
      <c r="I885">
        <v>3</v>
      </c>
      <c r="J885" cm="1">
        <f t="array" ref="J885">_xlfn.SWITCH(B885,1,75,2,61,3,49,4,37,5,25,6,13,7,4,8,1)</f>
        <v>1</v>
      </c>
      <c r="K885" t="str" cm="1">
        <f t="array" ref="K885">IFERROR(_xlfn.SWITCH(L885,2,_xlfn.XLOOKUP(C885,[1]ModifierDes!$B:$B,[1]ModifierDes!$C:$C),3,_xlfn.XLOOKUP(C885,[1]StuntDes!$B:$B,[1]StuntDes!$C:$C)),"")</f>
        <v/>
      </c>
      <c r="L885">
        <f t="shared" si="41"/>
        <v>1</v>
      </c>
      <c r="M885" s="10" t="str">
        <f>IFERROR(_xlfn.XLOOKUP(C885,[1]StuntDes!$B:$B,[1]StuntDes!$A:$A),"")</f>
        <v/>
      </c>
      <c r="N885" s="10" t="str">
        <f>IFERROR(_xlfn.XLOOKUP(C885,[1]ModifierDes!$B:$B,[1]ModifierDes!$A:$A),"")</f>
        <v/>
      </c>
      <c r="O885" s="10">
        <f>IFERROR(_xlfn.XLOOKUP(C885,[1]AttributeName!$C:$C,[1]AttributeName!$B:$B),"")</f>
        <v>10500</v>
      </c>
      <c r="P885" s="10"/>
      <c r="Q885">
        <v>0.02</v>
      </c>
      <c r="R885">
        <v>0.0500000000000001</v>
      </c>
      <c r="S885" cm="1">
        <f t="array" ref="S885">IFERROR(_xlfn.SWITCH(L885,1,_xlfn.XLOOKUP(O885,[1]AttributeName!$B:$B,[1]AttributeName!$D:$D),2,_xlfn.XLOOKUP(C885,#REF!,#REF!),3,_xlfn.XLOOKUP(C885,#REF!,#REF!)),0)</f>
        <v>2</v>
      </c>
      <c r="T885" cm="1">
        <f t="array" ref="T885">IFERROR(_xlfn.SWITCH(L885,1,_xlfn.XLOOKUP(O885,[1]AttributeName!$B:$B,[1]AttributeName!$E:$E),2,_xlfn.XLOOKUP(C885,#REF!,#REF!),3,_xlfn.XLOOKUP(C885,#REF!,#REF!)),0)</f>
        <v>2</v>
      </c>
    </row>
    <row r="886" customFormat="1" spans="1:20">
      <c r="A886">
        <f t="shared" si="42"/>
        <v>359</v>
      </c>
      <c r="B886">
        <v>1</v>
      </c>
      <c r="C886" t="s">
        <v>402</v>
      </c>
      <c r="D886" t="s">
        <v>26</v>
      </c>
      <c r="E886" t="s">
        <v>392</v>
      </c>
      <c r="F886"/>
      <c r="G886">
        <v>2</v>
      </c>
      <c r="H886">
        <v>50</v>
      </c>
      <c r="I886">
        <v>3</v>
      </c>
      <c r="J886" cm="1">
        <f t="array" ref="J886">_xlfn.SWITCH(B886,1,75,2,61,3,49,4,37,5,25,6,13,7,4,8,1)</f>
        <v>75</v>
      </c>
      <c r="K886" t="str" cm="1">
        <f t="array" ref="K886">IFERROR(_xlfn.SWITCH(L886,2,_xlfn.XLOOKUP(C886,[1]ModifierDes!$B:$B,[1]ModifierDes!$C:$C),3,_xlfn.XLOOKUP(C886,[1]StuntDes!$B:$B,[1]StuntDes!$C:$C)),"")</f>
        <v/>
      </c>
      <c r="L886">
        <f t="shared" si="41"/>
        <v>1</v>
      </c>
      <c r="M886" s="10" t="str">
        <f>IFERROR(_xlfn.XLOOKUP(C886,[1]StuntDes!$B:$B,[1]StuntDes!$A:$A),"")</f>
        <v/>
      </c>
      <c r="N886" s="10" t="str">
        <f>IFERROR(_xlfn.XLOOKUP(C886,[1]ModifierDes!$B:$B,[1]ModifierDes!$A:$A),"")</f>
        <v/>
      </c>
      <c r="O886" s="10">
        <f>IFERROR(_xlfn.XLOOKUP(C886,[1]AttributeName!$C:$C,[1]AttributeName!$B:$B),"")</f>
        <v>10501</v>
      </c>
      <c r="P886" s="10"/>
      <c r="Q886">
        <v>0.3</v>
      </c>
      <c r="R886">
        <v>0.4</v>
      </c>
      <c r="S886" cm="1">
        <f t="array" ref="S886">IFERROR(_xlfn.SWITCH(L886,1,_xlfn.XLOOKUP(O886,[1]AttributeName!$B:$B,[1]AttributeName!$D:$D),2,_xlfn.XLOOKUP(C886,#REF!,#REF!),3,_xlfn.XLOOKUP(C886,#REF!,#REF!)),0)</f>
        <v>2</v>
      </c>
      <c r="T886" cm="1">
        <f t="array" ref="T886">IFERROR(_xlfn.SWITCH(L886,1,_xlfn.XLOOKUP(O886,[1]AttributeName!$B:$B,[1]AttributeName!$E:$E),2,_xlfn.XLOOKUP(C886,#REF!,#REF!),3,_xlfn.XLOOKUP(C886,#REF!,#REF!)),0)</f>
        <v>2</v>
      </c>
    </row>
    <row r="887" customFormat="1" spans="1:20">
      <c r="A887">
        <f t="shared" si="42"/>
        <v>359</v>
      </c>
      <c r="B887">
        <v>2</v>
      </c>
      <c r="C887" t="s">
        <v>402</v>
      </c>
      <c r="D887" t="s">
        <v>26</v>
      </c>
      <c r="E887" t="s">
        <v>392</v>
      </c>
      <c r="F887"/>
      <c r="G887">
        <v>2</v>
      </c>
      <c r="H887">
        <v>100</v>
      </c>
      <c r="I887">
        <v>3</v>
      </c>
      <c r="J887" cm="1">
        <f t="array" ref="J887">_xlfn.SWITCH(B887,1,75,2,61,3,49,4,37,5,25,6,13,7,4,8,1)</f>
        <v>61</v>
      </c>
      <c r="K887" t="str" cm="1">
        <f t="array" ref="K887">IFERROR(_xlfn.SWITCH(L887,2,_xlfn.XLOOKUP(C887,[1]ModifierDes!$B:$B,[1]ModifierDes!$C:$C),3,_xlfn.XLOOKUP(C887,[1]StuntDes!$B:$B,[1]StuntDes!$C:$C)),"")</f>
        <v/>
      </c>
      <c r="L887">
        <f t="shared" si="41"/>
        <v>1</v>
      </c>
      <c r="M887" s="10" t="str">
        <f>IFERROR(_xlfn.XLOOKUP(C887,[1]StuntDes!$B:$B,[1]StuntDes!$A:$A),"")</f>
        <v/>
      </c>
      <c r="N887" s="10" t="str">
        <f>IFERROR(_xlfn.XLOOKUP(C887,[1]ModifierDes!$B:$B,[1]ModifierDes!$A:$A),"")</f>
        <v/>
      </c>
      <c r="O887" s="10">
        <f>IFERROR(_xlfn.XLOOKUP(C887,[1]AttributeName!$C:$C,[1]AttributeName!$B:$B),"")</f>
        <v>10501</v>
      </c>
      <c r="P887" s="10"/>
      <c r="Q887">
        <v>0.26</v>
      </c>
      <c r="R887">
        <v>0.29</v>
      </c>
      <c r="S887" cm="1">
        <f t="array" ref="S887">IFERROR(_xlfn.SWITCH(L887,1,_xlfn.XLOOKUP(O887,[1]AttributeName!$B:$B,[1]AttributeName!$D:$D),2,_xlfn.XLOOKUP(C887,#REF!,#REF!),3,_xlfn.XLOOKUP(C887,#REF!,#REF!)),0)</f>
        <v>2</v>
      </c>
      <c r="T887" cm="1">
        <f t="array" ref="T887">IFERROR(_xlfn.SWITCH(L887,1,_xlfn.XLOOKUP(O887,[1]AttributeName!$B:$B,[1]AttributeName!$E:$E),2,_xlfn.XLOOKUP(C887,#REF!,#REF!),3,_xlfn.XLOOKUP(C887,#REF!,#REF!)),0)</f>
        <v>2</v>
      </c>
    </row>
    <row r="888" customFormat="1" spans="1:20">
      <c r="A888">
        <f t="shared" si="42"/>
        <v>359</v>
      </c>
      <c r="B888">
        <v>3</v>
      </c>
      <c r="C888" t="s">
        <v>402</v>
      </c>
      <c r="D888" t="s">
        <v>26</v>
      </c>
      <c r="E888" t="s">
        <v>392</v>
      </c>
      <c r="F888"/>
      <c r="G888">
        <v>2</v>
      </c>
      <c r="H888">
        <v>250</v>
      </c>
      <c r="I888">
        <v>3</v>
      </c>
      <c r="J888" cm="1">
        <f t="array" ref="J888">_xlfn.SWITCH(B888,1,75,2,61,3,49,4,37,5,25,6,13,7,4,8,1)</f>
        <v>49</v>
      </c>
      <c r="K888" t="str" cm="1">
        <f t="array" ref="K888">IFERROR(_xlfn.SWITCH(L888,2,_xlfn.XLOOKUP(C888,[1]ModifierDes!$B:$B,[1]ModifierDes!$C:$C),3,_xlfn.XLOOKUP(C888,[1]StuntDes!$B:$B,[1]StuntDes!$C:$C)),"")</f>
        <v/>
      </c>
      <c r="L888">
        <f t="shared" si="41"/>
        <v>1</v>
      </c>
      <c r="M888" s="10" t="str">
        <f>IFERROR(_xlfn.XLOOKUP(C888,[1]StuntDes!$B:$B,[1]StuntDes!$A:$A),"")</f>
        <v/>
      </c>
      <c r="N888" s="10" t="str">
        <f>IFERROR(_xlfn.XLOOKUP(C888,[1]ModifierDes!$B:$B,[1]ModifierDes!$A:$A),"")</f>
        <v/>
      </c>
      <c r="O888" s="10">
        <f>IFERROR(_xlfn.XLOOKUP(C888,[1]AttributeName!$C:$C,[1]AttributeName!$B:$B),"")</f>
        <v>10501</v>
      </c>
      <c r="P888" s="10"/>
      <c r="Q888">
        <v>0.22</v>
      </c>
      <c r="R888">
        <v>0.25</v>
      </c>
      <c r="S888" cm="1">
        <f t="array" ref="S888">IFERROR(_xlfn.SWITCH(L888,1,_xlfn.XLOOKUP(O888,[1]AttributeName!$B:$B,[1]AttributeName!$D:$D),2,_xlfn.XLOOKUP(C888,#REF!,#REF!),3,_xlfn.XLOOKUP(C888,#REF!,#REF!)),0)</f>
        <v>2</v>
      </c>
      <c r="T888" cm="1">
        <f t="array" ref="T888">IFERROR(_xlfn.SWITCH(L888,1,_xlfn.XLOOKUP(O888,[1]AttributeName!$B:$B,[1]AttributeName!$E:$E),2,_xlfn.XLOOKUP(C888,#REF!,#REF!),3,_xlfn.XLOOKUP(C888,#REF!,#REF!)),0)</f>
        <v>2</v>
      </c>
    </row>
    <row r="889" customFormat="1" spans="1:20">
      <c r="A889">
        <f t="shared" si="42"/>
        <v>359</v>
      </c>
      <c r="B889">
        <v>4</v>
      </c>
      <c r="C889" t="s">
        <v>402</v>
      </c>
      <c r="D889" t="s">
        <v>26</v>
      </c>
      <c r="E889" t="s">
        <v>392</v>
      </c>
      <c r="F889"/>
      <c r="G889">
        <v>2</v>
      </c>
      <c r="H889">
        <v>500</v>
      </c>
      <c r="I889">
        <v>3</v>
      </c>
      <c r="J889" cm="1">
        <f t="array" ref="J889">_xlfn.SWITCH(B889,1,75,2,61,3,49,4,37,5,25,6,13,7,4,8,1)</f>
        <v>37</v>
      </c>
      <c r="K889" t="str" cm="1">
        <f t="array" ref="K889">IFERROR(_xlfn.SWITCH(L889,2,_xlfn.XLOOKUP(C889,[1]ModifierDes!$B:$B,[1]ModifierDes!$C:$C),3,_xlfn.XLOOKUP(C889,[1]StuntDes!$B:$B,[1]StuntDes!$C:$C)),"")</f>
        <v/>
      </c>
      <c r="L889">
        <f t="shared" si="41"/>
        <v>1</v>
      </c>
      <c r="M889" s="10" t="str">
        <f>IFERROR(_xlfn.XLOOKUP(C889,[1]StuntDes!$B:$B,[1]StuntDes!$A:$A),"")</f>
        <v/>
      </c>
      <c r="N889" s="10" t="str">
        <f>IFERROR(_xlfn.XLOOKUP(C889,[1]ModifierDes!$B:$B,[1]ModifierDes!$A:$A),"")</f>
        <v/>
      </c>
      <c r="O889" s="10">
        <f>IFERROR(_xlfn.XLOOKUP(C889,[1]AttributeName!$C:$C,[1]AttributeName!$B:$B),"")</f>
        <v>10501</v>
      </c>
      <c r="P889" s="10"/>
      <c r="Q889">
        <v>0.18</v>
      </c>
      <c r="R889">
        <v>0.21</v>
      </c>
      <c r="S889" cm="1">
        <f t="array" ref="S889">IFERROR(_xlfn.SWITCH(L889,1,_xlfn.XLOOKUP(O889,[1]AttributeName!$B:$B,[1]AttributeName!$D:$D),2,_xlfn.XLOOKUP(C889,#REF!,#REF!),3,_xlfn.XLOOKUP(C889,#REF!,#REF!)),0)</f>
        <v>2</v>
      </c>
      <c r="T889" cm="1">
        <f t="array" ref="T889">IFERROR(_xlfn.SWITCH(L889,1,_xlfn.XLOOKUP(O889,[1]AttributeName!$B:$B,[1]AttributeName!$E:$E),2,_xlfn.XLOOKUP(C889,#REF!,#REF!),3,_xlfn.XLOOKUP(C889,#REF!,#REF!)),0)</f>
        <v>2</v>
      </c>
    </row>
    <row r="890" customFormat="1" spans="1:20">
      <c r="A890">
        <f t="shared" si="42"/>
        <v>359</v>
      </c>
      <c r="B890">
        <v>5</v>
      </c>
      <c r="C890" t="s">
        <v>402</v>
      </c>
      <c r="D890" t="s">
        <v>26</v>
      </c>
      <c r="E890" t="s">
        <v>392</v>
      </c>
      <c r="F890"/>
      <c r="G890">
        <v>2</v>
      </c>
      <c r="H890">
        <v>500</v>
      </c>
      <c r="I890">
        <v>3</v>
      </c>
      <c r="J890" cm="1">
        <f t="array" ref="J890">_xlfn.SWITCH(B890,1,75,2,61,3,49,4,37,5,25,6,13,7,4,8,1)</f>
        <v>25</v>
      </c>
      <c r="K890" t="str" cm="1">
        <f t="array" ref="K890">IFERROR(_xlfn.SWITCH(L890,2,_xlfn.XLOOKUP(C890,[1]ModifierDes!$B:$B,[1]ModifierDes!$C:$C),3,_xlfn.XLOOKUP(C890,[1]StuntDes!$B:$B,[1]StuntDes!$C:$C)),"")</f>
        <v/>
      </c>
      <c r="L890">
        <f t="shared" si="41"/>
        <v>1</v>
      </c>
      <c r="M890" s="10" t="str">
        <f>IFERROR(_xlfn.XLOOKUP(C890,[1]StuntDes!$B:$B,[1]StuntDes!$A:$A),"")</f>
        <v/>
      </c>
      <c r="N890" s="10" t="str">
        <f>IFERROR(_xlfn.XLOOKUP(C890,[1]ModifierDes!$B:$B,[1]ModifierDes!$A:$A),"")</f>
        <v/>
      </c>
      <c r="O890" s="10">
        <f>IFERROR(_xlfn.XLOOKUP(C890,[1]AttributeName!$C:$C,[1]AttributeName!$B:$B),"")</f>
        <v>10501</v>
      </c>
      <c r="P890" s="10"/>
      <c r="Q890">
        <v>0.14</v>
      </c>
      <c r="R890">
        <v>0.17</v>
      </c>
      <c r="S890" cm="1">
        <f t="array" ref="S890">IFERROR(_xlfn.SWITCH(L890,1,_xlfn.XLOOKUP(O890,[1]AttributeName!$B:$B,[1]AttributeName!$D:$D),2,_xlfn.XLOOKUP(C890,#REF!,#REF!),3,_xlfn.XLOOKUP(C890,#REF!,#REF!)),0)</f>
        <v>2</v>
      </c>
      <c r="T890" cm="1">
        <f t="array" ref="T890">IFERROR(_xlfn.SWITCH(L890,1,_xlfn.XLOOKUP(O890,[1]AttributeName!$B:$B,[1]AttributeName!$E:$E),2,_xlfn.XLOOKUP(C890,#REF!,#REF!),3,_xlfn.XLOOKUP(C890,#REF!,#REF!)),0)</f>
        <v>2</v>
      </c>
    </row>
    <row r="891" customFormat="1" spans="1:20">
      <c r="A891">
        <f t="shared" si="42"/>
        <v>359</v>
      </c>
      <c r="B891">
        <v>6</v>
      </c>
      <c r="C891" t="s">
        <v>402</v>
      </c>
      <c r="D891" t="s">
        <v>26</v>
      </c>
      <c r="E891" t="s">
        <v>392</v>
      </c>
      <c r="F891"/>
      <c r="G891">
        <v>2</v>
      </c>
      <c r="H891">
        <v>500</v>
      </c>
      <c r="I891">
        <v>3</v>
      </c>
      <c r="J891" cm="1">
        <f t="array" ref="J891">_xlfn.SWITCH(B891,1,75,2,61,3,49,4,37,5,25,6,13,7,4,8,1)</f>
        <v>13</v>
      </c>
      <c r="K891" t="str" cm="1">
        <f t="array" ref="K891">IFERROR(_xlfn.SWITCH(L891,2,_xlfn.XLOOKUP(C891,[1]ModifierDes!$B:$B,[1]ModifierDes!$C:$C),3,_xlfn.XLOOKUP(C891,[1]StuntDes!$B:$B,[1]StuntDes!$C:$C)),"")</f>
        <v/>
      </c>
      <c r="L891">
        <f t="shared" si="41"/>
        <v>1</v>
      </c>
      <c r="M891" s="10" t="str">
        <f>IFERROR(_xlfn.XLOOKUP(C891,[1]StuntDes!$B:$B,[1]StuntDes!$A:$A),"")</f>
        <v/>
      </c>
      <c r="N891" s="10" t="str">
        <f>IFERROR(_xlfn.XLOOKUP(C891,[1]ModifierDes!$B:$B,[1]ModifierDes!$A:$A),"")</f>
        <v/>
      </c>
      <c r="O891" s="10">
        <f>IFERROR(_xlfn.XLOOKUP(C891,[1]AttributeName!$C:$C,[1]AttributeName!$B:$B),"")</f>
        <v>10501</v>
      </c>
      <c r="P891" s="10"/>
      <c r="Q891">
        <v>0.1</v>
      </c>
      <c r="R891">
        <v>0.13</v>
      </c>
      <c r="S891" cm="1">
        <f t="array" ref="S891">IFERROR(_xlfn.SWITCH(L891,1,_xlfn.XLOOKUP(O891,[1]AttributeName!$B:$B,[1]AttributeName!$D:$D),2,_xlfn.XLOOKUP(C891,#REF!,#REF!),3,_xlfn.XLOOKUP(C891,#REF!,#REF!)),0)</f>
        <v>2</v>
      </c>
      <c r="T891" cm="1">
        <f t="array" ref="T891">IFERROR(_xlfn.SWITCH(L891,1,_xlfn.XLOOKUP(O891,[1]AttributeName!$B:$B,[1]AttributeName!$E:$E),2,_xlfn.XLOOKUP(C891,#REF!,#REF!),3,_xlfn.XLOOKUP(C891,#REF!,#REF!)),0)</f>
        <v>2</v>
      </c>
    </row>
    <row r="892" customFormat="1" spans="1:20">
      <c r="A892">
        <f t="shared" si="42"/>
        <v>359</v>
      </c>
      <c r="B892">
        <v>7</v>
      </c>
      <c r="C892" t="s">
        <v>402</v>
      </c>
      <c r="D892" t="s">
        <v>26</v>
      </c>
      <c r="E892" t="s">
        <v>392</v>
      </c>
      <c r="F892"/>
      <c r="G892">
        <v>2</v>
      </c>
      <c r="H892">
        <v>500</v>
      </c>
      <c r="I892">
        <v>3</v>
      </c>
      <c r="J892" cm="1">
        <f t="array" ref="J892">_xlfn.SWITCH(B892,1,75,2,61,3,49,4,37,5,25,6,13,7,4,8,1)</f>
        <v>4</v>
      </c>
      <c r="K892" t="str" cm="1">
        <f t="array" ref="K892">IFERROR(_xlfn.SWITCH(L892,2,_xlfn.XLOOKUP(C892,[1]ModifierDes!$B:$B,[1]ModifierDes!$C:$C),3,_xlfn.XLOOKUP(C892,[1]StuntDes!$B:$B,[1]StuntDes!$C:$C)),"")</f>
        <v/>
      </c>
      <c r="L892">
        <f t="shared" si="41"/>
        <v>1</v>
      </c>
      <c r="M892" s="10" t="str">
        <f>IFERROR(_xlfn.XLOOKUP(C892,[1]StuntDes!$B:$B,[1]StuntDes!$A:$A),"")</f>
        <v/>
      </c>
      <c r="N892" s="10" t="str">
        <f>IFERROR(_xlfn.XLOOKUP(C892,[1]ModifierDes!$B:$B,[1]ModifierDes!$A:$A),"")</f>
        <v/>
      </c>
      <c r="O892" s="10">
        <f>IFERROR(_xlfn.XLOOKUP(C892,[1]AttributeName!$C:$C,[1]AttributeName!$B:$B),"")</f>
        <v>10501</v>
      </c>
      <c r="P892" s="10"/>
      <c r="Q892">
        <v>0.06</v>
      </c>
      <c r="R892">
        <v>0.0900000000000001</v>
      </c>
      <c r="S892" cm="1">
        <f t="array" ref="S892">IFERROR(_xlfn.SWITCH(L892,1,_xlfn.XLOOKUP(O892,[1]AttributeName!$B:$B,[1]AttributeName!$D:$D),2,_xlfn.XLOOKUP(C892,#REF!,#REF!),3,_xlfn.XLOOKUP(C892,#REF!,#REF!)),0)</f>
        <v>2</v>
      </c>
      <c r="T892" cm="1">
        <f t="array" ref="T892">IFERROR(_xlfn.SWITCH(L892,1,_xlfn.XLOOKUP(O892,[1]AttributeName!$B:$B,[1]AttributeName!$E:$E),2,_xlfn.XLOOKUP(C892,#REF!,#REF!),3,_xlfn.XLOOKUP(C892,#REF!,#REF!)),0)</f>
        <v>2</v>
      </c>
    </row>
    <row r="893" customFormat="1" spans="1:20">
      <c r="A893">
        <f t="shared" si="42"/>
        <v>359</v>
      </c>
      <c r="B893">
        <v>8</v>
      </c>
      <c r="C893" t="s">
        <v>402</v>
      </c>
      <c r="D893" t="s">
        <v>26</v>
      </c>
      <c r="E893" t="s">
        <v>392</v>
      </c>
      <c r="F893"/>
      <c r="G893">
        <v>2</v>
      </c>
      <c r="H893">
        <v>500</v>
      </c>
      <c r="I893">
        <v>3</v>
      </c>
      <c r="J893" cm="1">
        <f t="array" ref="J893">_xlfn.SWITCH(B893,1,75,2,61,3,49,4,37,5,25,6,13,7,4,8,1)</f>
        <v>1</v>
      </c>
      <c r="K893" t="str" cm="1">
        <f t="array" ref="K893">IFERROR(_xlfn.SWITCH(L893,2,_xlfn.XLOOKUP(C893,[1]ModifierDes!$B:$B,[1]ModifierDes!$C:$C),3,_xlfn.XLOOKUP(C893,[1]StuntDes!$B:$B,[1]StuntDes!$C:$C)),"")</f>
        <v/>
      </c>
      <c r="L893">
        <f t="shared" si="41"/>
        <v>1</v>
      </c>
      <c r="M893" s="10" t="str">
        <f>IFERROR(_xlfn.XLOOKUP(C893,[1]StuntDes!$B:$B,[1]StuntDes!$A:$A),"")</f>
        <v/>
      </c>
      <c r="N893" s="10" t="str">
        <f>IFERROR(_xlfn.XLOOKUP(C893,[1]ModifierDes!$B:$B,[1]ModifierDes!$A:$A),"")</f>
        <v/>
      </c>
      <c r="O893" s="10">
        <f>IFERROR(_xlfn.XLOOKUP(C893,[1]AttributeName!$C:$C,[1]AttributeName!$B:$B),"")</f>
        <v>10501</v>
      </c>
      <c r="P893" s="10"/>
      <c r="Q893">
        <v>0.02</v>
      </c>
      <c r="R893">
        <v>0.0500000000000001</v>
      </c>
      <c r="S893" cm="1">
        <f t="array" ref="S893">IFERROR(_xlfn.SWITCH(L893,1,_xlfn.XLOOKUP(O893,[1]AttributeName!$B:$B,[1]AttributeName!$D:$D),2,_xlfn.XLOOKUP(C893,#REF!,#REF!),3,_xlfn.XLOOKUP(C893,#REF!,#REF!)),0)</f>
        <v>2</v>
      </c>
      <c r="T893" cm="1">
        <f t="array" ref="T893">IFERROR(_xlfn.SWITCH(L893,1,_xlfn.XLOOKUP(O893,[1]AttributeName!$B:$B,[1]AttributeName!$E:$E),2,_xlfn.XLOOKUP(C893,#REF!,#REF!),3,_xlfn.XLOOKUP(C893,#REF!,#REF!)),0)</f>
        <v>2</v>
      </c>
    </row>
    <row r="894" customFormat="1" spans="1:20">
      <c r="A894">
        <f t="shared" si="42"/>
        <v>360</v>
      </c>
      <c r="B894">
        <v>1</v>
      </c>
      <c r="C894" t="s">
        <v>403</v>
      </c>
      <c r="D894" t="s">
        <v>26</v>
      </c>
      <c r="E894" t="s">
        <v>392</v>
      </c>
      <c r="F894"/>
      <c r="G894">
        <v>2</v>
      </c>
      <c r="H894">
        <v>50</v>
      </c>
      <c r="I894">
        <v>3</v>
      </c>
      <c r="J894" cm="1">
        <f t="array" ref="J894">_xlfn.SWITCH(B894,1,75,2,61,3,49,4,37,5,25,6,13,7,4,8,1)</f>
        <v>75</v>
      </c>
      <c r="K894" t="str" cm="1">
        <f t="array" ref="K894">IFERROR(_xlfn.SWITCH(L894,2,_xlfn.XLOOKUP(C894,[1]ModifierDes!$B:$B,[1]ModifierDes!$C:$C),3,_xlfn.XLOOKUP(C894,[1]StuntDes!$B:$B,[1]StuntDes!$C:$C)),"")</f>
        <v/>
      </c>
      <c r="L894">
        <f t="shared" si="41"/>
        <v>1</v>
      </c>
      <c r="M894" s="10" t="str">
        <f>IFERROR(_xlfn.XLOOKUP(C894,[1]StuntDes!$B:$B,[1]StuntDes!$A:$A),"")</f>
        <v/>
      </c>
      <c r="N894" s="10" t="str">
        <f>IFERROR(_xlfn.XLOOKUP(C894,[1]ModifierDes!$B:$B,[1]ModifierDes!$A:$A),"")</f>
        <v/>
      </c>
      <c r="O894" s="10">
        <f>IFERROR(_xlfn.XLOOKUP(C894,[1]AttributeName!$C:$C,[1]AttributeName!$B:$B),"")</f>
        <v>10502</v>
      </c>
      <c r="P894" s="10"/>
      <c r="Q894">
        <v>0.3</v>
      </c>
      <c r="R894">
        <v>0.4</v>
      </c>
      <c r="S894" cm="1">
        <f t="array" ref="S894">IFERROR(_xlfn.SWITCH(L894,1,_xlfn.XLOOKUP(O894,[1]AttributeName!$B:$B,[1]AttributeName!$D:$D),2,_xlfn.XLOOKUP(C894,#REF!,#REF!),3,_xlfn.XLOOKUP(C894,#REF!,#REF!)),0)</f>
        <v>2</v>
      </c>
      <c r="T894" cm="1">
        <f t="array" ref="T894">IFERROR(_xlfn.SWITCH(L894,1,_xlfn.XLOOKUP(O894,[1]AttributeName!$B:$B,[1]AttributeName!$E:$E),2,_xlfn.XLOOKUP(C894,#REF!,#REF!),3,_xlfn.XLOOKUP(C894,#REF!,#REF!)),0)</f>
        <v>2</v>
      </c>
    </row>
    <row r="895" customFormat="1" spans="1:20">
      <c r="A895">
        <f t="shared" si="42"/>
        <v>360</v>
      </c>
      <c r="B895">
        <v>2</v>
      </c>
      <c r="C895" t="s">
        <v>403</v>
      </c>
      <c r="D895" t="s">
        <v>26</v>
      </c>
      <c r="E895" t="s">
        <v>392</v>
      </c>
      <c r="F895"/>
      <c r="G895">
        <v>2</v>
      </c>
      <c r="H895">
        <v>100</v>
      </c>
      <c r="I895">
        <v>3</v>
      </c>
      <c r="J895" cm="1">
        <f t="array" ref="J895">_xlfn.SWITCH(B895,1,75,2,61,3,49,4,37,5,25,6,13,7,4,8,1)</f>
        <v>61</v>
      </c>
      <c r="K895" t="str" cm="1">
        <f t="array" ref="K895">IFERROR(_xlfn.SWITCH(L895,2,_xlfn.XLOOKUP(C895,[1]ModifierDes!$B:$B,[1]ModifierDes!$C:$C),3,_xlfn.XLOOKUP(C895,[1]StuntDes!$B:$B,[1]StuntDes!$C:$C)),"")</f>
        <v/>
      </c>
      <c r="L895">
        <f t="shared" si="41"/>
        <v>1</v>
      </c>
      <c r="M895" s="10" t="str">
        <f>IFERROR(_xlfn.XLOOKUP(C895,[1]StuntDes!$B:$B,[1]StuntDes!$A:$A),"")</f>
        <v/>
      </c>
      <c r="N895" s="10" t="str">
        <f>IFERROR(_xlfn.XLOOKUP(C895,[1]ModifierDes!$B:$B,[1]ModifierDes!$A:$A),"")</f>
        <v/>
      </c>
      <c r="O895" s="10">
        <f>IFERROR(_xlfn.XLOOKUP(C895,[1]AttributeName!$C:$C,[1]AttributeName!$B:$B),"")</f>
        <v>10502</v>
      </c>
      <c r="P895" s="10"/>
      <c r="Q895">
        <v>0.26</v>
      </c>
      <c r="R895">
        <v>0.29</v>
      </c>
      <c r="S895" cm="1">
        <f t="array" ref="S895">IFERROR(_xlfn.SWITCH(L895,1,_xlfn.XLOOKUP(O895,[1]AttributeName!$B:$B,[1]AttributeName!$D:$D),2,_xlfn.XLOOKUP(C895,#REF!,#REF!),3,_xlfn.XLOOKUP(C895,#REF!,#REF!)),0)</f>
        <v>2</v>
      </c>
      <c r="T895" cm="1">
        <f t="array" ref="T895">IFERROR(_xlfn.SWITCH(L895,1,_xlfn.XLOOKUP(O895,[1]AttributeName!$B:$B,[1]AttributeName!$E:$E),2,_xlfn.XLOOKUP(C895,#REF!,#REF!),3,_xlfn.XLOOKUP(C895,#REF!,#REF!)),0)</f>
        <v>2</v>
      </c>
    </row>
    <row r="896" customFormat="1" spans="1:20">
      <c r="A896">
        <f t="shared" si="42"/>
        <v>360</v>
      </c>
      <c r="B896">
        <v>3</v>
      </c>
      <c r="C896" t="s">
        <v>403</v>
      </c>
      <c r="D896" t="s">
        <v>26</v>
      </c>
      <c r="E896" t="s">
        <v>392</v>
      </c>
      <c r="F896"/>
      <c r="G896">
        <v>2</v>
      </c>
      <c r="H896">
        <v>250</v>
      </c>
      <c r="I896">
        <v>3</v>
      </c>
      <c r="J896" cm="1">
        <f t="array" ref="J896">_xlfn.SWITCH(B896,1,75,2,61,3,49,4,37,5,25,6,13,7,4,8,1)</f>
        <v>49</v>
      </c>
      <c r="K896" t="str" cm="1">
        <f t="array" ref="K896">IFERROR(_xlfn.SWITCH(L896,2,_xlfn.XLOOKUP(C896,[1]ModifierDes!$B:$B,[1]ModifierDes!$C:$C),3,_xlfn.XLOOKUP(C896,[1]StuntDes!$B:$B,[1]StuntDes!$C:$C)),"")</f>
        <v/>
      </c>
      <c r="L896">
        <f t="shared" si="41"/>
        <v>1</v>
      </c>
      <c r="M896" s="10" t="str">
        <f>IFERROR(_xlfn.XLOOKUP(C896,[1]StuntDes!$B:$B,[1]StuntDes!$A:$A),"")</f>
        <v/>
      </c>
      <c r="N896" s="10" t="str">
        <f>IFERROR(_xlfn.XLOOKUP(C896,[1]ModifierDes!$B:$B,[1]ModifierDes!$A:$A),"")</f>
        <v/>
      </c>
      <c r="O896" s="10">
        <f>IFERROR(_xlfn.XLOOKUP(C896,[1]AttributeName!$C:$C,[1]AttributeName!$B:$B),"")</f>
        <v>10502</v>
      </c>
      <c r="P896" s="10"/>
      <c r="Q896">
        <v>0.22</v>
      </c>
      <c r="R896">
        <v>0.25</v>
      </c>
      <c r="S896" cm="1">
        <f t="array" ref="S896">IFERROR(_xlfn.SWITCH(L896,1,_xlfn.XLOOKUP(O896,[1]AttributeName!$B:$B,[1]AttributeName!$D:$D),2,_xlfn.XLOOKUP(C896,#REF!,#REF!),3,_xlfn.XLOOKUP(C896,#REF!,#REF!)),0)</f>
        <v>2</v>
      </c>
      <c r="T896" cm="1">
        <f t="array" ref="T896">IFERROR(_xlfn.SWITCH(L896,1,_xlfn.XLOOKUP(O896,[1]AttributeName!$B:$B,[1]AttributeName!$E:$E),2,_xlfn.XLOOKUP(C896,#REF!,#REF!),3,_xlfn.XLOOKUP(C896,#REF!,#REF!)),0)</f>
        <v>2</v>
      </c>
    </row>
    <row r="897" customFormat="1" spans="1:20">
      <c r="A897">
        <f t="shared" si="42"/>
        <v>360</v>
      </c>
      <c r="B897">
        <v>4</v>
      </c>
      <c r="C897" t="s">
        <v>403</v>
      </c>
      <c r="D897" t="s">
        <v>26</v>
      </c>
      <c r="E897" t="s">
        <v>392</v>
      </c>
      <c r="F897"/>
      <c r="G897">
        <v>2</v>
      </c>
      <c r="H897">
        <v>500</v>
      </c>
      <c r="I897">
        <v>3</v>
      </c>
      <c r="J897" cm="1">
        <f t="array" ref="J897">_xlfn.SWITCH(B897,1,75,2,61,3,49,4,37,5,25,6,13,7,4,8,1)</f>
        <v>37</v>
      </c>
      <c r="K897" t="str" cm="1">
        <f t="array" ref="K897">IFERROR(_xlfn.SWITCH(L897,2,_xlfn.XLOOKUP(C897,[1]ModifierDes!$B:$B,[1]ModifierDes!$C:$C),3,_xlfn.XLOOKUP(C897,[1]StuntDes!$B:$B,[1]StuntDes!$C:$C)),"")</f>
        <v/>
      </c>
      <c r="L897">
        <f t="shared" si="41"/>
        <v>1</v>
      </c>
      <c r="M897" s="10" t="str">
        <f>IFERROR(_xlfn.XLOOKUP(C897,[1]StuntDes!$B:$B,[1]StuntDes!$A:$A),"")</f>
        <v/>
      </c>
      <c r="N897" s="10" t="str">
        <f>IFERROR(_xlfn.XLOOKUP(C897,[1]ModifierDes!$B:$B,[1]ModifierDes!$A:$A),"")</f>
        <v/>
      </c>
      <c r="O897" s="10">
        <f>IFERROR(_xlfn.XLOOKUP(C897,[1]AttributeName!$C:$C,[1]AttributeName!$B:$B),"")</f>
        <v>10502</v>
      </c>
      <c r="P897" s="10"/>
      <c r="Q897">
        <v>0.18</v>
      </c>
      <c r="R897">
        <v>0.21</v>
      </c>
      <c r="S897" cm="1">
        <f t="array" ref="S897">IFERROR(_xlfn.SWITCH(L897,1,_xlfn.XLOOKUP(O897,[1]AttributeName!$B:$B,[1]AttributeName!$D:$D),2,_xlfn.XLOOKUP(C897,#REF!,#REF!),3,_xlfn.XLOOKUP(C897,#REF!,#REF!)),0)</f>
        <v>2</v>
      </c>
      <c r="T897" cm="1">
        <f t="array" ref="T897">IFERROR(_xlfn.SWITCH(L897,1,_xlfn.XLOOKUP(O897,[1]AttributeName!$B:$B,[1]AttributeName!$E:$E),2,_xlfn.XLOOKUP(C897,#REF!,#REF!),3,_xlfn.XLOOKUP(C897,#REF!,#REF!)),0)</f>
        <v>2</v>
      </c>
    </row>
    <row r="898" customFormat="1" spans="1:20">
      <c r="A898">
        <f t="shared" si="42"/>
        <v>360</v>
      </c>
      <c r="B898">
        <v>5</v>
      </c>
      <c r="C898" t="s">
        <v>403</v>
      </c>
      <c r="D898" t="s">
        <v>26</v>
      </c>
      <c r="E898" t="s">
        <v>392</v>
      </c>
      <c r="F898"/>
      <c r="G898">
        <v>2</v>
      </c>
      <c r="H898">
        <v>500</v>
      </c>
      <c r="I898">
        <v>3</v>
      </c>
      <c r="J898" cm="1">
        <f t="array" ref="J898">_xlfn.SWITCH(B898,1,75,2,61,3,49,4,37,5,25,6,13,7,4,8,1)</f>
        <v>25</v>
      </c>
      <c r="K898" t="str" cm="1">
        <f t="array" ref="K898">IFERROR(_xlfn.SWITCH(L898,2,_xlfn.XLOOKUP(C898,[1]ModifierDes!$B:$B,[1]ModifierDes!$C:$C),3,_xlfn.XLOOKUP(C898,[1]StuntDes!$B:$B,[1]StuntDes!$C:$C)),"")</f>
        <v/>
      </c>
      <c r="L898">
        <f t="shared" si="41"/>
        <v>1</v>
      </c>
      <c r="M898" s="10" t="str">
        <f>IFERROR(_xlfn.XLOOKUP(C898,[1]StuntDes!$B:$B,[1]StuntDes!$A:$A),"")</f>
        <v/>
      </c>
      <c r="N898" s="10" t="str">
        <f>IFERROR(_xlfn.XLOOKUP(C898,[1]ModifierDes!$B:$B,[1]ModifierDes!$A:$A),"")</f>
        <v/>
      </c>
      <c r="O898" s="10">
        <f>IFERROR(_xlfn.XLOOKUP(C898,[1]AttributeName!$C:$C,[1]AttributeName!$B:$B),"")</f>
        <v>10502</v>
      </c>
      <c r="P898" s="10"/>
      <c r="Q898">
        <v>0.14</v>
      </c>
      <c r="R898">
        <v>0.17</v>
      </c>
      <c r="S898" cm="1">
        <f t="array" ref="S898">IFERROR(_xlfn.SWITCH(L898,1,_xlfn.XLOOKUP(O898,[1]AttributeName!$B:$B,[1]AttributeName!$D:$D),2,_xlfn.XLOOKUP(C898,#REF!,#REF!),3,_xlfn.XLOOKUP(C898,#REF!,#REF!)),0)</f>
        <v>2</v>
      </c>
      <c r="T898" cm="1">
        <f t="array" ref="T898">IFERROR(_xlfn.SWITCH(L898,1,_xlfn.XLOOKUP(O898,[1]AttributeName!$B:$B,[1]AttributeName!$E:$E),2,_xlfn.XLOOKUP(C898,#REF!,#REF!),3,_xlfn.XLOOKUP(C898,#REF!,#REF!)),0)</f>
        <v>2</v>
      </c>
    </row>
    <row r="899" customFormat="1" spans="1:20">
      <c r="A899">
        <f t="shared" si="42"/>
        <v>360</v>
      </c>
      <c r="B899">
        <v>6</v>
      </c>
      <c r="C899" t="s">
        <v>403</v>
      </c>
      <c r="D899" t="s">
        <v>26</v>
      </c>
      <c r="E899" t="s">
        <v>392</v>
      </c>
      <c r="F899"/>
      <c r="G899">
        <v>2</v>
      </c>
      <c r="H899">
        <v>500</v>
      </c>
      <c r="I899">
        <v>3</v>
      </c>
      <c r="J899" cm="1">
        <f t="array" ref="J899">_xlfn.SWITCH(B899,1,75,2,61,3,49,4,37,5,25,6,13,7,4,8,1)</f>
        <v>13</v>
      </c>
      <c r="K899" t="str" cm="1">
        <f t="array" ref="K899">IFERROR(_xlfn.SWITCH(L899,2,_xlfn.XLOOKUP(C899,[1]ModifierDes!$B:$B,[1]ModifierDes!$C:$C),3,_xlfn.XLOOKUP(C899,[1]StuntDes!$B:$B,[1]StuntDes!$C:$C)),"")</f>
        <v/>
      </c>
      <c r="L899">
        <f t="shared" si="41"/>
        <v>1</v>
      </c>
      <c r="M899" s="10" t="str">
        <f>IFERROR(_xlfn.XLOOKUP(C899,[1]StuntDes!$B:$B,[1]StuntDes!$A:$A),"")</f>
        <v/>
      </c>
      <c r="N899" s="10" t="str">
        <f>IFERROR(_xlfn.XLOOKUP(C899,[1]ModifierDes!$B:$B,[1]ModifierDes!$A:$A),"")</f>
        <v/>
      </c>
      <c r="O899" s="10">
        <f>IFERROR(_xlfn.XLOOKUP(C899,[1]AttributeName!$C:$C,[1]AttributeName!$B:$B),"")</f>
        <v>10502</v>
      </c>
      <c r="P899" s="10"/>
      <c r="Q899">
        <v>0.1</v>
      </c>
      <c r="R899">
        <v>0.13</v>
      </c>
      <c r="S899" cm="1">
        <f t="array" ref="S899">IFERROR(_xlfn.SWITCH(L899,1,_xlfn.XLOOKUP(O899,[1]AttributeName!$B:$B,[1]AttributeName!$D:$D),2,_xlfn.XLOOKUP(C899,#REF!,#REF!),3,_xlfn.XLOOKUP(C899,#REF!,#REF!)),0)</f>
        <v>2</v>
      </c>
      <c r="T899" cm="1">
        <f t="array" ref="T899">IFERROR(_xlfn.SWITCH(L899,1,_xlfn.XLOOKUP(O899,[1]AttributeName!$B:$B,[1]AttributeName!$E:$E),2,_xlfn.XLOOKUP(C899,#REF!,#REF!),3,_xlfn.XLOOKUP(C899,#REF!,#REF!)),0)</f>
        <v>2</v>
      </c>
    </row>
    <row r="900" customFormat="1" spans="1:20">
      <c r="A900">
        <f t="shared" si="42"/>
        <v>360</v>
      </c>
      <c r="B900">
        <v>7</v>
      </c>
      <c r="C900" t="s">
        <v>403</v>
      </c>
      <c r="D900" t="s">
        <v>26</v>
      </c>
      <c r="E900" t="s">
        <v>392</v>
      </c>
      <c r="F900"/>
      <c r="G900">
        <v>2</v>
      </c>
      <c r="H900">
        <v>500</v>
      </c>
      <c r="I900">
        <v>3</v>
      </c>
      <c r="J900" cm="1">
        <f t="array" ref="J900">_xlfn.SWITCH(B900,1,75,2,61,3,49,4,37,5,25,6,13,7,4,8,1)</f>
        <v>4</v>
      </c>
      <c r="K900" t="str" cm="1">
        <f t="array" ref="K900">IFERROR(_xlfn.SWITCH(L900,2,_xlfn.XLOOKUP(C900,[1]ModifierDes!$B:$B,[1]ModifierDes!$C:$C),3,_xlfn.XLOOKUP(C900,[1]StuntDes!$B:$B,[1]StuntDes!$C:$C)),"")</f>
        <v/>
      </c>
      <c r="L900">
        <f t="shared" ref="L900:L963" si="43">IF(M900="",IF(N900="",1,2),3)</f>
        <v>1</v>
      </c>
      <c r="M900" s="10" t="str">
        <f>IFERROR(_xlfn.XLOOKUP(C900,[1]StuntDes!$B:$B,[1]StuntDes!$A:$A),"")</f>
        <v/>
      </c>
      <c r="N900" s="10" t="str">
        <f>IFERROR(_xlfn.XLOOKUP(C900,[1]ModifierDes!$B:$B,[1]ModifierDes!$A:$A),"")</f>
        <v/>
      </c>
      <c r="O900" s="10">
        <f>IFERROR(_xlfn.XLOOKUP(C900,[1]AttributeName!$C:$C,[1]AttributeName!$B:$B),"")</f>
        <v>10502</v>
      </c>
      <c r="P900" s="10"/>
      <c r="Q900">
        <v>0.06</v>
      </c>
      <c r="R900">
        <v>0.0900000000000001</v>
      </c>
      <c r="S900" cm="1">
        <f t="array" ref="S900">IFERROR(_xlfn.SWITCH(L900,1,_xlfn.XLOOKUP(O900,[1]AttributeName!$B:$B,[1]AttributeName!$D:$D),2,_xlfn.XLOOKUP(C900,#REF!,#REF!),3,_xlfn.XLOOKUP(C900,#REF!,#REF!)),0)</f>
        <v>2</v>
      </c>
      <c r="T900" cm="1">
        <f t="array" ref="T900">IFERROR(_xlfn.SWITCH(L900,1,_xlfn.XLOOKUP(O900,[1]AttributeName!$B:$B,[1]AttributeName!$E:$E),2,_xlfn.XLOOKUP(C900,#REF!,#REF!),3,_xlfn.XLOOKUP(C900,#REF!,#REF!)),0)</f>
        <v>2</v>
      </c>
    </row>
    <row r="901" customFormat="1" spans="1:20">
      <c r="A901">
        <f t="shared" si="42"/>
        <v>360</v>
      </c>
      <c r="B901">
        <v>8</v>
      </c>
      <c r="C901" t="s">
        <v>403</v>
      </c>
      <c r="D901" t="s">
        <v>26</v>
      </c>
      <c r="E901" t="s">
        <v>392</v>
      </c>
      <c r="F901"/>
      <c r="G901">
        <v>2</v>
      </c>
      <c r="H901">
        <v>500</v>
      </c>
      <c r="I901">
        <v>3</v>
      </c>
      <c r="J901" cm="1">
        <f t="array" ref="J901">_xlfn.SWITCH(B901,1,75,2,61,3,49,4,37,5,25,6,13,7,4,8,1)</f>
        <v>1</v>
      </c>
      <c r="K901" t="str" cm="1">
        <f t="array" ref="K901">IFERROR(_xlfn.SWITCH(L901,2,_xlfn.XLOOKUP(C901,[1]ModifierDes!$B:$B,[1]ModifierDes!$C:$C),3,_xlfn.XLOOKUP(C901,[1]StuntDes!$B:$B,[1]StuntDes!$C:$C)),"")</f>
        <v/>
      </c>
      <c r="L901">
        <f t="shared" si="43"/>
        <v>1</v>
      </c>
      <c r="M901" s="10" t="str">
        <f>IFERROR(_xlfn.XLOOKUP(C901,[1]StuntDes!$B:$B,[1]StuntDes!$A:$A),"")</f>
        <v/>
      </c>
      <c r="N901" s="10" t="str">
        <f>IFERROR(_xlfn.XLOOKUP(C901,[1]ModifierDes!$B:$B,[1]ModifierDes!$A:$A),"")</f>
        <v/>
      </c>
      <c r="O901" s="10">
        <f>IFERROR(_xlfn.XLOOKUP(C901,[1]AttributeName!$C:$C,[1]AttributeName!$B:$B),"")</f>
        <v>10502</v>
      </c>
      <c r="P901" s="10"/>
      <c r="Q901">
        <v>0.02</v>
      </c>
      <c r="R901">
        <v>0.0500000000000001</v>
      </c>
      <c r="S901" cm="1">
        <f t="array" ref="S901">IFERROR(_xlfn.SWITCH(L901,1,_xlfn.XLOOKUP(O901,[1]AttributeName!$B:$B,[1]AttributeName!$D:$D),2,_xlfn.XLOOKUP(C901,#REF!,#REF!),3,_xlfn.XLOOKUP(C901,#REF!,#REF!)),0)</f>
        <v>2</v>
      </c>
      <c r="T901" cm="1">
        <f t="array" ref="T901">IFERROR(_xlfn.SWITCH(L901,1,_xlfn.XLOOKUP(O901,[1]AttributeName!$B:$B,[1]AttributeName!$E:$E),2,_xlfn.XLOOKUP(C901,#REF!,#REF!),3,_xlfn.XLOOKUP(C901,#REF!,#REF!)),0)</f>
        <v>2</v>
      </c>
    </row>
    <row r="902" customFormat="1" spans="1:20">
      <c r="A902">
        <f t="shared" si="42"/>
        <v>361</v>
      </c>
      <c r="B902">
        <v>1</v>
      </c>
      <c r="C902" t="s">
        <v>404</v>
      </c>
      <c r="D902" t="s">
        <v>26</v>
      </c>
      <c r="E902" t="s">
        <v>392</v>
      </c>
      <c r="F902"/>
      <c r="G902">
        <v>2</v>
      </c>
      <c r="H902">
        <v>50</v>
      </c>
      <c r="I902">
        <v>3</v>
      </c>
      <c r="J902" cm="1">
        <f t="array" ref="J902">_xlfn.SWITCH(B902,1,75,2,61,3,49,4,37,5,25,6,13,7,4,8,1)</f>
        <v>75</v>
      </c>
      <c r="K902" t="str" cm="1">
        <f t="array" ref="K902">IFERROR(_xlfn.SWITCH(L902,2,_xlfn.XLOOKUP(C902,[1]ModifierDes!$B:$B,[1]ModifierDes!$C:$C),3,_xlfn.XLOOKUP(C902,[1]StuntDes!$B:$B,[1]StuntDes!$C:$C)),"")</f>
        <v/>
      </c>
      <c r="L902">
        <f t="shared" si="43"/>
        <v>1</v>
      </c>
      <c r="M902" s="10" t="str">
        <f>IFERROR(_xlfn.XLOOKUP(C902,[1]StuntDes!$B:$B,[1]StuntDes!$A:$A),"")</f>
        <v/>
      </c>
      <c r="N902" s="10" t="str">
        <f>IFERROR(_xlfn.XLOOKUP(C902,[1]ModifierDes!$B:$B,[1]ModifierDes!$A:$A),"")</f>
        <v/>
      </c>
      <c r="O902" s="10">
        <f>IFERROR(_xlfn.XLOOKUP(C902,[1]AttributeName!$C:$C,[1]AttributeName!$B:$B),"")</f>
        <v>10503</v>
      </c>
      <c r="P902" s="10"/>
      <c r="Q902">
        <v>0.3</v>
      </c>
      <c r="R902">
        <v>0.4</v>
      </c>
      <c r="S902" cm="1">
        <f t="array" ref="S902">IFERROR(_xlfn.SWITCH(L902,1,_xlfn.XLOOKUP(O902,[1]AttributeName!$B:$B,[1]AttributeName!$D:$D),2,_xlfn.XLOOKUP(C902,#REF!,#REF!),3,_xlfn.XLOOKUP(C902,#REF!,#REF!)),0)</f>
        <v>2</v>
      </c>
      <c r="T902" cm="1">
        <f t="array" ref="T902">IFERROR(_xlfn.SWITCH(L902,1,_xlfn.XLOOKUP(O902,[1]AttributeName!$B:$B,[1]AttributeName!$E:$E),2,_xlfn.XLOOKUP(C902,#REF!,#REF!),3,_xlfn.XLOOKUP(C902,#REF!,#REF!)),0)</f>
        <v>2</v>
      </c>
    </row>
    <row r="903" customFormat="1" spans="1:20">
      <c r="A903">
        <f t="shared" si="42"/>
        <v>361</v>
      </c>
      <c r="B903">
        <v>2</v>
      </c>
      <c r="C903" t="s">
        <v>404</v>
      </c>
      <c r="D903" t="s">
        <v>26</v>
      </c>
      <c r="E903" t="s">
        <v>392</v>
      </c>
      <c r="F903"/>
      <c r="G903">
        <v>2</v>
      </c>
      <c r="H903">
        <v>100</v>
      </c>
      <c r="I903">
        <v>3</v>
      </c>
      <c r="J903" cm="1">
        <f t="array" ref="J903">_xlfn.SWITCH(B903,1,75,2,61,3,49,4,37,5,25,6,13,7,4,8,1)</f>
        <v>61</v>
      </c>
      <c r="K903" t="str" cm="1">
        <f t="array" ref="K903">IFERROR(_xlfn.SWITCH(L903,2,_xlfn.XLOOKUP(C903,[1]ModifierDes!$B:$B,[1]ModifierDes!$C:$C),3,_xlfn.XLOOKUP(C903,[1]StuntDes!$B:$B,[1]StuntDes!$C:$C)),"")</f>
        <v/>
      </c>
      <c r="L903">
        <f t="shared" si="43"/>
        <v>1</v>
      </c>
      <c r="M903" s="10" t="str">
        <f>IFERROR(_xlfn.XLOOKUP(C903,[1]StuntDes!$B:$B,[1]StuntDes!$A:$A),"")</f>
        <v/>
      </c>
      <c r="N903" s="10" t="str">
        <f>IFERROR(_xlfn.XLOOKUP(C903,[1]ModifierDes!$B:$B,[1]ModifierDes!$A:$A),"")</f>
        <v/>
      </c>
      <c r="O903" s="10">
        <f>IFERROR(_xlfn.XLOOKUP(C903,[1]AttributeName!$C:$C,[1]AttributeName!$B:$B),"")</f>
        <v>10503</v>
      </c>
      <c r="P903" s="10"/>
      <c r="Q903">
        <v>0.26</v>
      </c>
      <c r="R903">
        <v>0.29</v>
      </c>
      <c r="S903" cm="1">
        <f t="array" ref="S903">IFERROR(_xlfn.SWITCH(L903,1,_xlfn.XLOOKUP(O903,[1]AttributeName!$B:$B,[1]AttributeName!$D:$D),2,_xlfn.XLOOKUP(C903,#REF!,#REF!),3,_xlfn.XLOOKUP(C903,#REF!,#REF!)),0)</f>
        <v>2</v>
      </c>
      <c r="T903" cm="1">
        <f t="array" ref="T903">IFERROR(_xlfn.SWITCH(L903,1,_xlfn.XLOOKUP(O903,[1]AttributeName!$B:$B,[1]AttributeName!$E:$E),2,_xlfn.XLOOKUP(C903,#REF!,#REF!),3,_xlfn.XLOOKUP(C903,#REF!,#REF!)),0)</f>
        <v>2</v>
      </c>
    </row>
    <row r="904" customFormat="1" spans="1:20">
      <c r="A904">
        <f t="shared" si="42"/>
        <v>361</v>
      </c>
      <c r="B904">
        <v>3</v>
      </c>
      <c r="C904" t="s">
        <v>404</v>
      </c>
      <c r="D904" t="s">
        <v>26</v>
      </c>
      <c r="E904" t="s">
        <v>392</v>
      </c>
      <c r="F904"/>
      <c r="G904">
        <v>2</v>
      </c>
      <c r="H904">
        <v>250</v>
      </c>
      <c r="I904">
        <v>3</v>
      </c>
      <c r="J904" cm="1">
        <f t="array" ref="J904">_xlfn.SWITCH(B904,1,75,2,61,3,49,4,37,5,25,6,13,7,4,8,1)</f>
        <v>49</v>
      </c>
      <c r="K904" t="str" cm="1">
        <f t="array" ref="K904">IFERROR(_xlfn.SWITCH(L904,2,_xlfn.XLOOKUP(C904,[1]ModifierDes!$B:$B,[1]ModifierDes!$C:$C),3,_xlfn.XLOOKUP(C904,[1]StuntDes!$B:$B,[1]StuntDes!$C:$C)),"")</f>
        <v/>
      </c>
      <c r="L904">
        <f t="shared" si="43"/>
        <v>1</v>
      </c>
      <c r="M904" s="10" t="str">
        <f>IFERROR(_xlfn.XLOOKUP(C904,[1]StuntDes!$B:$B,[1]StuntDes!$A:$A),"")</f>
        <v/>
      </c>
      <c r="N904" s="10" t="str">
        <f>IFERROR(_xlfn.XLOOKUP(C904,[1]ModifierDes!$B:$B,[1]ModifierDes!$A:$A),"")</f>
        <v/>
      </c>
      <c r="O904" s="10">
        <f>IFERROR(_xlfn.XLOOKUP(C904,[1]AttributeName!$C:$C,[1]AttributeName!$B:$B),"")</f>
        <v>10503</v>
      </c>
      <c r="P904" s="10"/>
      <c r="Q904">
        <v>0.22</v>
      </c>
      <c r="R904">
        <v>0.25</v>
      </c>
      <c r="S904" cm="1">
        <f t="array" ref="S904">IFERROR(_xlfn.SWITCH(L904,1,_xlfn.XLOOKUP(O904,[1]AttributeName!$B:$B,[1]AttributeName!$D:$D),2,_xlfn.XLOOKUP(C904,#REF!,#REF!),3,_xlfn.XLOOKUP(C904,#REF!,#REF!)),0)</f>
        <v>2</v>
      </c>
      <c r="T904" cm="1">
        <f t="array" ref="T904">IFERROR(_xlfn.SWITCH(L904,1,_xlfn.XLOOKUP(O904,[1]AttributeName!$B:$B,[1]AttributeName!$E:$E),2,_xlfn.XLOOKUP(C904,#REF!,#REF!),3,_xlfn.XLOOKUP(C904,#REF!,#REF!)),0)</f>
        <v>2</v>
      </c>
    </row>
    <row r="905" customFormat="1" spans="1:20">
      <c r="A905">
        <f t="shared" si="42"/>
        <v>361</v>
      </c>
      <c r="B905">
        <v>4</v>
      </c>
      <c r="C905" t="s">
        <v>404</v>
      </c>
      <c r="D905" t="s">
        <v>26</v>
      </c>
      <c r="E905" t="s">
        <v>392</v>
      </c>
      <c r="F905"/>
      <c r="G905">
        <v>2</v>
      </c>
      <c r="H905">
        <v>500</v>
      </c>
      <c r="I905">
        <v>3</v>
      </c>
      <c r="J905" cm="1">
        <f t="array" ref="J905">_xlfn.SWITCH(B905,1,75,2,61,3,49,4,37,5,25,6,13,7,4,8,1)</f>
        <v>37</v>
      </c>
      <c r="K905" t="str" cm="1">
        <f t="array" ref="K905">IFERROR(_xlfn.SWITCH(L905,2,_xlfn.XLOOKUP(C905,[1]ModifierDes!$B:$B,[1]ModifierDes!$C:$C),3,_xlfn.XLOOKUP(C905,[1]StuntDes!$B:$B,[1]StuntDes!$C:$C)),"")</f>
        <v/>
      </c>
      <c r="L905">
        <f t="shared" si="43"/>
        <v>1</v>
      </c>
      <c r="M905" s="10" t="str">
        <f>IFERROR(_xlfn.XLOOKUP(C905,[1]StuntDes!$B:$B,[1]StuntDes!$A:$A),"")</f>
        <v/>
      </c>
      <c r="N905" s="10" t="str">
        <f>IFERROR(_xlfn.XLOOKUP(C905,[1]ModifierDes!$B:$B,[1]ModifierDes!$A:$A),"")</f>
        <v/>
      </c>
      <c r="O905" s="10">
        <f>IFERROR(_xlfn.XLOOKUP(C905,[1]AttributeName!$C:$C,[1]AttributeName!$B:$B),"")</f>
        <v>10503</v>
      </c>
      <c r="P905" s="10"/>
      <c r="Q905">
        <v>0.18</v>
      </c>
      <c r="R905">
        <v>0.21</v>
      </c>
      <c r="S905" cm="1">
        <f t="array" ref="S905">IFERROR(_xlfn.SWITCH(L905,1,_xlfn.XLOOKUP(O905,[1]AttributeName!$B:$B,[1]AttributeName!$D:$D),2,_xlfn.XLOOKUP(C905,#REF!,#REF!),3,_xlfn.XLOOKUP(C905,#REF!,#REF!)),0)</f>
        <v>2</v>
      </c>
      <c r="T905" cm="1">
        <f t="array" ref="T905">IFERROR(_xlfn.SWITCH(L905,1,_xlfn.XLOOKUP(O905,[1]AttributeName!$B:$B,[1]AttributeName!$E:$E),2,_xlfn.XLOOKUP(C905,#REF!,#REF!),3,_xlfn.XLOOKUP(C905,#REF!,#REF!)),0)</f>
        <v>2</v>
      </c>
    </row>
    <row r="906" customFormat="1" spans="1:20">
      <c r="A906">
        <f t="shared" si="42"/>
        <v>361</v>
      </c>
      <c r="B906">
        <v>5</v>
      </c>
      <c r="C906" t="s">
        <v>404</v>
      </c>
      <c r="D906" t="s">
        <v>26</v>
      </c>
      <c r="E906" t="s">
        <v>392</v>
      </c>
      <c r="F906"/>
      <c r="G906">
        <v>2</v>
      </c>
      <c r="H906">
        <v>500</v>
      </c>
      <c r="I906">
        <v>3</v>
      </c>
      <c r="J906" cm="1">
        <f t="array" ref="J906">_xlfn.SWITCH(B906,1,75,2,61,3,49,4,37,5,25,6,13,7,4,8,1)</f>
        <v>25</v>
      </c>
      <c r="K906" t="str" cm="1">
        <f t="array" ref="K906">IFERROR(_xlfn.SWITCH(L906,2,_xlfn.XLOOKUP(C906,[1]ModifierDes!$B:$B,[1]ModifierDes!$C:$C),3,_xlfn.XLOOKUP(C906,[1]StuntDes!$B:$B,[1]StuntDes!$C:$C)),"")</f>
        <v/>
      </c>
      <c r="L906">
        <f t="shared" si="43"/>
        <v>1</v>
      </c>
      <c r="M906" s="10" t="str">
        <f>IFERROR(_xlfn.XLOOKUP(C906,[1]StuntDes!$B:$B,[1]StuntDes!$A:$A),"")</f>
        <v/>
      </c>
      <c r="N906" s="10" t="str">
        <f>IFERROR(_xlfn.XLOOKUP(C906,[1]ModifierDes!$B:$B,[1]ModifierDes!$A:$A),"")</f>
        <v/>
      </c>
      <c r="O906" s="10">
        <f>IFERROR(_xlfn.XLOOKUP(C906,[1]AttributeName!$C:$C,[1]AttributeName!$B:$B),"")</f>
        <v>10503</v>
      </c>
      <c r="P906" s="10"/>
      <c r="Q906">
        <v>0.14</v>
      </c>
      <c r="R906">
        <v>0.17</v>
      </c>
      <c r="S906" cm="1">
        <f t="array" ref="S906">IFERROR(_xlfn.SWITCH(L906,1,_xlfn.XLOOKUP(O906,[1]AttributeName!$B:$B,[1]AttributeName!$D:$D),2,_xlfn.XLOOKUP(C906,#REF!,#REF!),3,_xlfn.XLOOKUP(C906,#REF!,#REF!)),0)</f>
        <v>2</v>
      </c>
      <c r="T906" cm="1">
        <f t="array" ref="T906">IFERROR(_xlfn.SWITCH(L906,1,_xlfn.XLOOKUP(O906,[1]AttributeName!$B:$B,[1]AttributeName!$E:$E),2,_xlfn.XLOOKUP(C906,#REF!,#REF!),3,_xlfn.XLOOKUP(C906,#REF!,#REF!)),0)</f>
        <v>2</v>
      </c>
    </row>
    <row r="907" customFormat="1" spans="1:20">
      <c r="A907">
        <f t="shared" si="42"/>
        <v>361</v>
      </c>
      <c r="B907">
        <v>6</v>
      </c>
      <c r="C907" t="s">
        <v>404</v>
      </c>
      <c r="D907" t="s">
        <v>26</v>
      </c>
      <c r="E907" t="s">
        <v>392</v>
      </c>
      <c r="F907"/>
      <c r="G907">
        <v>2</v>
      </c>
      <c r="H907">
        <v>500</v>
      </c>
      <c r="I907">
        <v>3</v>
      </c>
      <c r="J907" cm="1">
        <f t="array" ref="J907">_xlfn.SWITCH(B907,1,75,2,61,3,49,4,37,5,25,6,13,7,4,8,1)</f>
        <v>13</v>
      </c>
      <c r="K907" t="str" cm="1">
        <f t="array" ref="K907">IFERROR(_xlfn.SWITCH(L907,2,_xlfn.XLOOKUP(C907,[1]ModifierDes!$B:$B,[1]ModifierDes!$C:$C),3,_xlfn.XLOOKUP(C907,[1]StuntDes!$B:$B,[1]StuntDes!$C:$C)),"")</f>
        <v/>
      </c>
      <c r="L907">
        <f t="shared" si="43"/>
        <v>1</v>
      </c>
      <c r="M907" s="10" t="str">
        <f>IFERROR(_xlfn.XLOOKUP(C907,[1]StuntDes!$B:$B,[1]StuntDes!$A:$A),"")</f>
        <v/>
      </c>
      <c r="N907" s="10" t="str">
        <f>IFERROR(_xlfn.XLOOKUP(C907,[1]ModifierDes!$B:$B,[1]ModifierDes!$A:$A),"")</f>
        <v/>
      </c>
      <c r="O907" s="10">
        <f>IFERROR(_xlfn.XLOOKUP(C907,[1]AttributeName!$C:$C,[1]AttributeName!$B:$B),"")</f>
        <v>10503</v>
      </c>
      <c r="P907" s="10"/>
      <c r="Q907">
        <v>0.1</v>
      </c>
      <c r="R907">
        <v>0.13</v>
      </c>
      <c r="S907" cm="1">
        <f t="array" ref="S907">IFERROR(_xlfn.SWITCH(L907,1,_xlfn.XLOOKUP(O907,[1]AttributeName!$B:$B,[1]AttributeName!$D:$D),2,_xlfn.XLOOKUP(C907,#REF!,#REF!),3,_xlfn.XLOOKUP(C907,#REF!,#REF!)),0)</f>
        <v>2</v>
      </c>
      <c r="T907" cm="1">
        <f t="array" ref="T907">IFERROR(_xlfn.SWITCH(L907,1,_xlfn.XLOOKUP(O907,[1]AttributeName!$B:$B,[1]AttributeName!$E:$E),2,_xlfn.XLOOKUP(C907,#REF!,#REF!),3,_xlfn.XLOOKUP(C907,#REF!,#REF!)),0)</f>
        <v>2</v>
      </c>
    </row>
    <row r="908" customFormat="1" spans="1:20">
      <c r="A908">
        <f t="shared" si="42"/>
        <v>361</v>
      </c>
      <c r="B908">
        <v>7</v>
      </c>
      <c r="C908" t="s">
        <v>404</v>
      </c>
      <c r="D908" t="s">
        <v>26</v>
      </c>
      <c r="E908" t="s">
        <v>392</v>
      </c>
      <c r="F908"/>
      <c r="G908">
        <v>2</v>
      </c>
      <c r="H908">
        <v>500</v>
      </c>
      <c r="I908">
        <v>3</v>
      </c>
      <c r="J908" cm="1">
        <f t="array" ref="J908">_xlfn.SWITCH(B908,1,75,2,61,3,49,4,37,5,25,6,13,7,4,8,1)</f>
        <v>4</v>
      </c>
      <c r="K908" t="str" cm="1">
        <f t="array" ref="K908">IFERROR(_xlfn.SWITCH(L908,2,_xlfn.XLOOKUP(C908,[1]ModifierDes!$B:$B,[1]ModifierDes!$C:$C),3,_xlfn.XLOOKUP(C908,[1]StuntDes!$B:$B,[1]StuntDes!$C:$C)),"")</f>
        <v/>
      </c>
      <c r="L908">
        <f t="shared" si="43"/>
        <v>1</v>
      </c>
      <c r="M908" s="10" t="str">
        <f>IFERROR(_xlfn.XLOOKUP(C908,[1]StuntDes!$B:$B,[1]StuntDes!$A:$A),"")</f>
        <v/>
      </c>
      <c r="N908" s="10" t="str">
        <f>IFERROR(_xlfn.XLOOKUP(C908,[1]ModifierDes!$B:$B,[1]ModifierDes!$A:$A),"")</f>
        <v/>
      </c>
      <c r="O908" s="10">
        <f>IFERROR(_xlfn.XLOOKUP(C908,[1]AttributeName!$C:$C,[1]AttributeName!$B:$B),"")</f>
        <v>10503</v>
      </c>
      <c r="P908" s="10"/>
      <c r="Q908">
        <v>0.06</v>
      </c>
      <c r="R908">
        <v>0.0900000000000001</v>
      </c>
      <c r="S908" cm="1">
        <f t="array" ref="S908">IFERROR(_xlfn.SWITCH(L908,1,_xlfn.XLOOKUP(O908,[1]AttributeName!$B:$B,[1]AttributeName!$D:$D),2,_xlfn.XLOOKUP(C908,#REF!,#REF!),3,_xlfn.XLOOKUP(C908,#REF!,#REF!)),0)</f>
        <v>2</v>
      </c>
      <c r="T908" cm="1">
        <f t="array" ref="T908">IFERROR(_xlfn.SWITCH(L908,1,_xlfn.XLOOKUP(O908,[1]AttributeName!$B:$B,[1]AttributeName!$E:$E),2,_xlfn.XLOOKUP(C908,#REF!,#REF!),3,_xlfn.XLOOKUP(C908,#REF!,#REF!)),0)</f>
        <v>2</v>
      </c>
    </row>
    <row r="909" customFormat="1" spans="1:20">
      <c r="A909">
        <f t="shared" si="42"/>
        <v>361</v>
      </c>
      <c r="B909">
        <v>8</v>
      </c>
      <c r="C909" t="s">
        <v>404</v>
      </c>
      <c r="D909" t="s">
        <v>26</v>
      </c>
      <c r="E909" t="s">
        <v>392</v>
      </c>
      <c r="F909"/>
      <c r="G909">
        <v>2</v>
      </c>
      <c r="H909">
        <v>500</v>
      </c>
      <c r="I909">
        <v>3</v>
      </c>
      <c r="J909" cm="1">
        <f t="array" ref="J909">_xlfn.SWITCH(B909,1,75,2,61,3,49,4,37,5,25,6,13,7,4,8,1)</f>
        <v>1</v>
      </c>
      <c r="K909" t="str" cm="1">
        <f t="array" ref="K909">IFERROR(_xlfn.SWITCH(L909,2,_xlfn.XLOOKUP(C909,[1]ModifierDes!$B:$B,[1]ModifierDes!$C:$C),3,_xlfn.XLOOKUP(C909,[1]StuntDes!$B:$B,[1]StuntDes!$C:$C)),"")</f>
        <v/>
      </c>
      <c r="L909">
        <f t="shared" si="43"/>
        <v>1</v>
      </c>
      <c r="M909" s="10" t="str">
        <f>IFERROR(_xlfn.XLOOKUP(C909,[1]StuntDes!$B:$B,[1]StuntDes!$A:$A),"")</f>
        <v/>
      </c>
      <c r="N909" s="10" t="str">
        <f>IFERROR(_xlfn.XLOOKUP(C909,[1]ModifierDes!$B:$B,[1]ModifierDes!$A:$A),"")</f>
        <v/>
      </c>
      <c r="O909" s="10">
        <f>IFERROR(_xlfn.XLOOKUP(C909,[1]AttributeName!$C:$C,[1]AttributeName!$B:$B),"")</f>
        <v>10503</v>
      </c>
      <c r="P909" s="10"/>
      <c r="Q909">
        <v>0.02</v>
      </c>
      <c r="R909">
        <v>0.0500000000000001</v>
      </c>
      <c r="S909" cm="1">
        <f t="array" ref="S909">IFERROR(_xlfn.SWITCH(L909,1,_xlfn.XLOOKUP(O909,[1]AttributeName!$B:$B,[1]AttributeName!$D:$D),2,_xlfn.XLOOKUP(C909,#REF!,#REF!),3,_xlfn.XLOOKUP(C909,#REF!,#REF!)),0)</f>
        <v>2</v>
      </c>
      <c r="T909" cm="1">
        <f t="array" ref="T909">IFERROR(_xlfn.SWITCH(L909,1,_xlfn.XLOOKUP(O909,[1]AttributeName!$B:$B,[1]AttributeName!$E:$E),2,_xlfn.XLOOKUP(C909,#REF!,#REF!),3,_xlfn.XLOOKUP(C909,#REF!,#REF!)),0)</f>
        <v>2</v>
      </c>
    </row>
    <row r="910" customFormat="1" spans="1:20">
      <c r="A910">
        <f t="shared" si="42"/>
        <v>362</v>
      </c>
      <c r="B910">
        <v>1</v>
      </c>
      <c r="C910" t="s">
        <v>405</v>
      </c>
      <c r="D910" t="s">
        <v>26</v>
      </c>
      <c r="E910" t="s">
        <v>392</v>
      </c>
      <c r="F910"/>
      <c r="G910">
        <v>2</v>
      </c>
      <c r="H910">
        <v>50</v>
      </c>
      <c r="I910">
        <v>3</v>
      </c>
      <c r="J910" cm="1">
        <f t="array" ref="J910">_xlfn.SWITCH(B910,1,75,2,61,3,49,4,37,5,25,6,13,7,4,8,1)</f>
        <v>75</v>
      </c>
      <c r="K910" t="str" cm="1">
        <f t="array" ref="K910">IFERROR(_xlfn.SWITCH(L910,2,_xlfn.XLOOKUP(C910,[1]ModifierDes!$B:$B,[1]ModifierDes!$C:$C),3,_xlfn.XLOOKUP(C910,[1]StuntDes!$B:$B,[1]StuntDes!$C:$C)),"")</f>
        <v/>
      </c>
      <c r="L910">
        <f t="shared" si="43"/>
        <v>1</v>
      </c>
      <c r="M910" s="10" t="str">
        <f>IFERROR(_xlfn.XLOOKUP(C910,[1]StuntDes!$B:$B,[1]StuntDes!$A:$A),"")</f>
        <v/>
      </c>
      <c r="N910" s="10" t="str">
        <f>IFERROR(_xlfn.XLOOKUP(C910,[1]ModifierDes!$B:$B,[1]ModifierDes!$A:$A),"")</f>
        <v/>
      </c>
      <c r="O910" s="10">
        <f>IFERROR(_xlfn.XLOOKUP(C910,[1]AttributeName!$C:$C,[1]AttributeName!$B:$B),"")</f>
        <v>10504</v>
      </c>
      <c r="P910" s="10"/>
      <c r="Q910">
        <v>0.3</v>
      </c>
      <c r="R910">
        <v>0.4</v>
      </c>
      <c r="S910" cm="1">
        <f t="array" ref="S910">IFERROR(_xlfn.SWITCH(L910,1,_xlfn.XLOOKUP(O910,[1]AttributeName!$B:$B,[1]AttributeName!$D:$D),2,_xlfn.XLOOKUP(C910,#REF!,#REF!),3,_xlfn.XLOOKUP(C910,#REF!,#REF!)),0)</f>
        <v>2</v>
      </c>
      <c r="T910" cm="1">
        <f t="array" ref="T910">IFERROR(_xlfn.SWITCH(L910,1,_xlfn.XLOOKUP(O910,[1]AttributeName!$B:$B,[1]AttributeName!$E:$E),2,_xlfn.XLOOKUP(C910,#REF!,#REF!),3,_xlfn.XLOOKUP(C910,#REF!,#REF!)),0)</f>
        <v>2</v>
      </c>
    </row>
    <row r="911" customFormat="1" spans="1:20">
      <c r="A911">
        <f t="shared" si="42"/>
        <v>362</v>
      </c>
      <c r="B911">
        <v>2</v>
      </c>
      <c r="C911" t="s">
        <v>405</v>
      </c>
      <c r="D911" t="s">
        <v>26</v>
      </c>
      <c r="E911" t="s">
        <v>392</v>
      </c>
      <c r="F911"/>
      <c r="G911">
        <v>2</v>
      </c>
      <c r="H911">
        <v>100</v>
      </c>
      <c r="I911">
        <v>3</v>
      </c>
      <c r="J911" cm="1">
        <f t="array" ref="J911">_xlfn.SWITCH(B911,1,75,2,61,3,49,4,37,5,25,6,13,7,4,8,1)</f>
        <v>61</v>
      </c>
      <c r="K911" t="str" cm="1">
        <f t="array" ref="K911">IFERROR(_xlfn.SWITCH(L911,2,_xlfn.XLOOKUP(C911,[1]ModifierDes!$B:$B,[1]ModifierDes!$C:$C),3,_xlfn.XLOOKUP(C911,[1]StuntDes!$B:$B,[1]StuntDes!$C:$C)),"")</f>
        <v/>
      </c>
      <c r="L911">
        <f t="shared" si="43"/>
        <v>1</v>
      </c>
      <c r="M911" s="10" t="str">
        <f>IFERROR(_xlfn.XLOOKUP(C911,[1]StuntDes!$B:$B,[1]StuntDes!$A:$A),"")</f>
        <v/>
      </c>
      <c r="N911" s="10" t="str">
        <f>IFERROR(_xlfn.XLOOKUP(C911,[1]ModifierDes!$B:$B,[1]ModifierDes!$A:$A),"")</f>
        <v/>
      </c>
      <c r="O911" s="10">
        <f>IFERROR(_xlfn.XLOOKUP(C911,[1]AttributeName!$C:$C,[1]AttributeName!$B:$B),"")</f>
        <v>10504</v>
      </c>
      <c r="P911" s="10"/>
      <c r="Q911">
        <v>0.26</v>
      </c>
      <c r="R911">
        <v>0.29</v>
      </c>
      <c r="S911" cm="1">
        <f t="array" ref="S911">IFERROR(_xlfn.SWITCH(L911,1,_xlfn.XLOOKUP(O911,[1]AttributeName!$B:$B,[1]AttributeName!$D:$D),2,_xlfn.XLOOKUP(C911,#REF!,#REF!),3,_xlfn.XLOOKUP(C911,#REF!,#REF!)),0)</f>
        <v>2</v>
      </c>
      <c r="T911" cm="1">
        <f t="array" ref="T911">IFERROR(_xlfn.SWITCH(L911,1,_xlfn.XLOOKUP(O911,[1]AttributeName!$B:$B,[1]AttributeName!$E:$E),2,_xlfn.XLOOKUP(C911,#REF!,#REF!),3,_xlfn.XLOOKUP(C911,#REF!,#REF!)),0)</f>
        <v>2</v>
      </c>
    </row>
    <row r="912" customFormat="1" spans="1:20">
      <c r="A912">
        <f t="shared" si="42"/>
        <v>362</v>
      </c>
      <c r="B912">
        <v>3</v>
      </c>
      <c r="C912" t="s">
        <v>405</v>
      </c>
      <c r="D912" t="s">
        <v>26</v>
      </c>
      <c r="E912" t="s">
        <v>392</v>
      </c>
      <c r="F912"/>
      <c r="G912">
        <v>2</v>
      </c>
      <c r="H912">
        <v>250</v>
      </c>
      <c r="I912">
        <v>3</v>
      </c>
      <c r="J912" cm="1">
        <f t="array" ref="J912">_xlfn.SWITCH(B912,1,75,2,61,3,49,4,37,5,25,6,13,7,4,8,1)</f>
        <v>49</v>
      </c>
      <c r="K912" t="str" cm="1">
        <f t="array" ref="K912">IFERROR(_xlfn.SWITCH(L912,2,_xlfn.XLOOKUP(C912,[1]ModifierDes!$B:$B,[1]ModifierDes!$C:$C),3,_xlfn.XLOOKUP(C912,[1]StuntDes!$B:$B,[1]StuntDes!$C:$C)),"")</f>
        <v/>
      </c>
      <c r="L912">
        <f t="shared" si="43"/>
        <v>1</v>
      </c>
      <c r="M912" s="10" t="str">
        <f>IFERROR(_xlfn.XLOOKUP(C912,[1]StuntDes!$B:$B,[1]StuntDes!$A:$A),"")</f>
        <v/>
      </c>
      <c r="N912" s="10" t="str">
        <f>IFERROR(_xlfn.XLOOKUP(C912,[1]ModifierDes!$B:$B,[1]ModifierDes!$A:$A),"")</f>
        <v/>
      </c>
      <c r="O912" s="10">
        <f>IFERROR(_xlfn.XLOOKUP(C912,[1]AttributeName!$C:$C,[1]AttributeName!$B:$B),"")</f>
        <v>10504</v>
      </c>
      <c r="P912" s="10"/>
      <c r="Q912">
        <v>0.22</v>
      </c>
      <c r="R912">
        <v>0.25</v>
      </c>
      <c r="S912" cm="1">
        <f t="array" ref="S912">IFERROR(_xlfn.SWITCH(L912,1,_xlfn.XLOOKUP(O912,[1]AttributeName!$B:$B,[1]AttributeName!$D:$D),2,_xlfn.XLOOKUP(C912,#REF!,#REF!),3,_xlfn.XLOOKUP(C912,#REF!,#REF!)),0)</f>
        <v>2</v>
      </c>
      <c r="T912" cm="1">
        <f t="array" ref="T912">IFERROR(_xlfn.SWITCH(L912,1,_xlfn.XLOOKUP(O912,[1]AttributeName!$B:$B,[1]AttributeName!$E:$E),2,_xlfn.XLOOKUP(C912,#REF!,#REF!),3,_xlfn.XLOOKUP(C912,#REF!,#REF!)),0)</f>
        <v>2</v>
      </c>
    </row>
    <row r="913" customFormat="1" spans="1:20">
      <c r="A913">
        <f t="shared" si="42"/>
        <v>362</v>
      </c>
      <c r="B913">
        <v>4</v>
      </c>
      <c r="C913" t="s">
        <v>405</v>
      </c>
      <c r="D913" t="s">
        <v>26</v>
      </c>
      <c r="E913" t="s">
        <v>392</v>
      </c>
      <c r="F913"/>
      <c r="G913">
        <v>2</v>
      </c>
      <c r="H913">
        <v>500</v>
      </c>
      <c r="I913">
        <v>3</v>
      </c>
      <c r="J913" cm="1">
        <f t="array" ref="J913">_xlfn.SWITCH(B913,1,75,2,61,3,49,4,37,5,25,6,13,7,4,8,1)</f>
        <v>37</v>
      </c>
      <c r="K913" t="str" cm="1">
        <f t="array" ref="K913">IFERROR(_xlfn.SWITCH(L913,2,_xlfn.XLOOKUP(C913,[1]ModifierDes!$B:$B,[1]ModifierDes!$C:$C),3,_xlfn.XLOOKUP(C913,[1]StuntDes!$B:$B,[1]StuntDes!$C:$C)),"")</f>
        <v/>
      </c>
      <c r="L913">
        <f t="shared" si="43"/>
        <v>1</v>
      </c>
      <c r="M913" s="10" t="str">
        <f>IFERROR(_xlfn.XLOOKUP(C913,[1]StuntDes!$B:$B,[1]StuntDes!$A:$A),"")</f>
        <v/>
      </c>
      <c r="N913" s="10" t="str">
        <f>IFERROR(_xlfn.XLOOKUP(C913,[1]ModifierDes!$B:$B,[1]ModifierDes!$A:$A),"")</f>
        <v/>
      </c>
      <c r="O913" s="10">
        <f>IFERROR(_xlfn.XLOOKUP(C913,[1]AttributeName!$C:$C,[1]AttributeName!$B:$B),"")</f>
        <v>10504</v>
      </c>
      <c r="P913" s="10"/>
      <c r="Q913">
        <v>0.18</v>
      </c>
      <c r="R913">
        <v>0.21</v>
      </c>
      <c r="S913" cm="1">
        <f t="array" ref="S913">IFERROR(_xlfn.SWITCH(L913,1,_xlfn.XLOOKUP(O913,[1]AttributeName!$B:$B,[1]AttributeName!$D:$D),2,_xlfn.XLOOKUP(C913,#REF!,#REF!),3,_xlfn.XLOOKUP(C913,#REF!,#REF!)),0)</f>
        <v>2</v>
      </c>
      <c r="T913" cm="1">
        <f t="array" ref="T913">IFERROR(_xlfn.SWITCH(L913,1,_xlfn.XLOOKUP(O913,[1]AttributeName!$B:$B,[1]AttributeName!$E:$E),2,_xlfn.XLOOKUP(C913,#REF!,#REF!),3,_xlfn.XLOOKUP(C913,#REF!,#REF!)),0)</f>
        <v>2</v>
      </c>
    </row>
    <row r="914" customFormat="1" spans="1:20">
      <c r="A914">
        <f t="shared" si="42"/>
        <v>362</v>
      </c>
      <c r="B914">
        <v>5</v>
      </c>
      <c r="C914" t="s">
        <v>405</v>
      </c>
      <c r="D914" t="s">
        <v>26</v>
      </c>
      <c r="E914" t="s">
        <v>392</v>
      </c>
      <c r="F914"/>
      <c r="G914">
        <v>2</v>
      </c>
      <c r="H914">
        <v>500</v>
      </c>
      <c r="I914">
        <v>3</v>
      </c>
      <c r="J914" cm="1">
        <f t="array" ref="J914">_xlfn.SWITCH(B914,1,75,2,61,3,49,4,37,5,25,6,13,7,4,8,1)</f>
        <v>25</v>
      </c>
      <c r="K914" t="str" cm="1">
        <f t="array" ref="K914">IFERROR(_xlfn.SWITCH(L914,2,_xlfn.XLOOKUP(C914,[1]ModifierDes!$B:$B,[1]ModifierDes!$C:$C),3,_xlfn.XLOOKUP(C914,[1]StuntDes!$B:$B,[1]StuntDes!$C:$C)),"")</f>
        <v/>
      </c>
      <c r="L914">
        <f t="shared" si="43"/>
        <v>1</v>
      </c>
      <c r="M914" s="10" t="str">
        <f>IFERROR(_xlfn.XLOOKUP(C914,[1]StuntDes!$B:$B,[1]StuntDes!$A:$A),"")</f>
        <v/>
      </c>
      <c r="N914" s="10" t="str">
        <f>IFERROR(_xlfn.XLOOKUP(C914,[1]ModifierDes!$B:$B,[1]ModifierDes!$A:$A),"")</f>
        <v/>
      </c>
      <c r="O914" s="10">
        <f>IFERROR(_xlfn.XLOOKUP(C914,[1]AttributeName!$C:$C,[1]AttributeName!$B:$B),"")</f>
        <v>10504</v>
      </c>
      <c r="P914" s="10"/>
      <c r="Q914">
        <v>0.14</v>
      </c>
      <c r="R914">
        <v>0.17</v>
      </c>
      <c r="S914" cm="1">
        <f t="array" ref="S914">IFERROR(_xlfn.SWITCH(L914,1,_xlfn.XLOOKUP(O914,[1]AttributeName!$B:$B,[1]AttributeName!$D:$D),2,_xlfn.XLOOKUP(C914,#REF!,#REF!),3,_xlfn.XLOOKUP(C914,#REF!,#REF!)),0)</f>
        <v>2</v>
      </c>
      <c r="T914" cm="1">
        <f t="array" ref="T914">IFERROR(_xlfn.SWITCH(L914,1,_xlfn.XLOOKUP(O914,[1]AttributeName!$B:$B,[1]AttributeName!$E:$E),2,_xlfn.XLOOKUP(C914,#REF!,#REF!),3,_xlfn.XLOOKUP(C914,#REF!,#REF!)),0)</f>
        <v>2</v>
      </c>
    </row>
    <row r="915" customFormat="1" spans="1:20">
      <c r="A915">
        <f t="shared" si="42"/>
        <v>362</v>
      </c>
      <c r="B915">
        <v>6</v>
      </c>
      <c r="C915" t="s">
        <v>405</v>
      </c>
      <c r="D915" t="s">
        <v>26</v>
      </c>
      <c r="E915" t="s">
        <v>392</v>
      </c>
      <c r="F915"/>
      <c r="G915">
        <v>2</v>
      </c>
      <c r="H915">
        <v>500</v>
      </c>
      <c r="I915">
        <v>3</v>
      </c>
      <c r="J915" cm="1">
        <f t="array" ref="J915">_xlfn.SWITCH(B915,1,75,2,61,3,49,4,37,5,25,6,13,7,4,8,1)</f>
        <v>13</v>
      </c>
      <c r="K915" t="str" cm="1">
        <f t="array" ref="K915">IFERROR(_xlfn.SWITCH(L915,2,_xlfn.XLOOKUP(C915,[1]ModifierDes!$B:$B,[1]ModifierDes!$C:$C),3,_xlfn.XLOOKUP(C915,[1]StuntDes!$B:$B,[1]StuntDes!$C:$C)),"")</f>
        <v/>
      </c>
      <c r="L915">
        <f t="shared" si="43"/>
        <v>1</v>
      </c>
      <c r="M915" s="10" t="str">
        <f>IFERROR(_xlfn.XLOOKUP(C915,[1]StuntDes!$B:$B,[1]StuntDes!$A:$A),"")</f>
        <v/>
      </c>
      <c r="N915" s="10" t="str">
        <f>IFERROR(_xlfn.XLOOKUP(C915,[1]ModifierDes!$B:$B,[1]ModifierDes!$A:$A),"")</f>
        <v/>
      </c>
      <c r="O915" s="10">
        <f>IFERROR(_xlfn.XLOOKUP(C915,[1]AttributeName!$C:$C,[1]AttributeName!$B:$B),"")</f>
        <v>10504</v>
      </c>
      <c r="P915" s="10"/>
      <c r="Q915">
        <v>0.1</v>
      </c>
      <c r="R915">
        <v>0.13</v>
      </c>
      <c r="S915" cm="1">
        <f t="array" ref="S915">IFERROR(_xlfn.SWITCH(L915,1,_xlfn.XLOOKUP(O915,[1]AttributeName!$B:$B,[1]AttributeName!$D:$D),2,_xlfn.XLOOKUP(C915,#REF!,#REF!),3,_xlfn.XLOOKUP(C915,#REF!,#REF!)),0)</f>
        <v>2</v>
      </c>
      <c r="T915" cm="1">
        <f t="array" ref="T915">IFERROR(_xlfn.SWITCH(L915,1,_xlfn.XLOOKUP(O915,[1]AttributeName!$B:$B,[1]AttributeName!$E:$E),2,_xlfn.XLOOKUP(C915,#REF!,#REF!),3,_xlfn.XLOOKUP(C915,#REF!,#REF!)),0)</f>
        <v>2</v>
      </c>
    </row>
    <row r="916" customFormat="1" spans="1:20">
      <c r="A916">
        <f t="shared" si="42"/>
        <v>362</v>
      </c>
      <c r="B916">
        <v>7</v>
      </c>
      <c r="C916" t="s">
        <v>405</v>
      </c>
      <c r="D916" t="s">
        <v>26</v>
      </c>
      <c r="E916" t="s">
        <v>392</v>
      </c>
      <c r="F916"/>
      <c r="G916">
        <v>2</v>
      </c>
      <c r="H916">
        <v>500</v>
      </c>
      <c r="I916">
        <v>3</v>
      </c>
      <c r="J916" cm="1">
        <f t="array" ref="J916">_xlfn.SWITCH(B916,1,75,2,61,3,49,4,37,5,25,6,13,7,4,8,1)</f>
        <v>4</v>
      </c>
      <c r="K916" t="str" cm="1">
        <f t="array" ref="K916">IFERROR(_xlfn.SWITCH(L916,2,_xlfn.XLOOKUP(C916,[1]ModifierDes!$B:$B,[1]ModifierDes!$C:$C),3,_xlfn.XLOOKUP(C916,[1]StuntDes!$B:$B,[1]StuntDes!$C:$C)),"")</f>
        <v/>
      </c>
      <c r="L916">
        <f t="shared" si="43"/>
        <v>1</v>
      </c>
      <c r="M916" s="10" t="str">
        <f>IFERROR(_xlfn.XLOOKUP(C916,[1]StuntDes!$B:$B,[1]StuntDes!$A:$A),"")</f>
        <v/>
      </c>
      <c r="N916" s="10" t="str">
        <f>IFERROR(_xlfn.XLOOKUP(C916,[1]ModifierDes!$B:$B,[1]ModifierDes!$A:$A),"")</f>
        <v/>
      </c>
      <c r="O916" s="10">
        <f>IFERROR(_xlfn.XLOOKUP(C916,[1]AttributeName!$C:$C,[1]AttributeName!$B:$B),"")</f>
        <v>10504</v>
      </c>
      <c r="P916" s="10"/>
      <c r="Q916">
        <v>0.06</v>
      </c>
      <c r="R916">
        <v>0.0900000000000001</v>
      </c>
      <c r="S916" cm="1">
        <f t="array" ref="S916">IFERROR(_xlfn.SWITCH(L916,1,_xlfn.XLOOKUP(O916,[1]AttributeName!$B:$B,[1]AttributeName!$D:$D),2,_xlfn.XLOOKUP(C916,#REF!,#REF!),3,_xlfn.XLOOKUP(C916,#REF!,#REF!)),0)</f>
        <v>2</v>
      </c>
      <c r="T916" cm="1">
        <f t="array" ref="T916">IFERROR(_xlfn.SWITCH(L916,1,_xlfn.XLOOKUP(O916,[1]AttributeName!$B:$B,[1]AttributeName!$E:$E),2,_xlfn.XLOOKUP(C916,#REF!,#REF!),3,_xlfn.XLOOKUP(C916,#REF!,#REF!)),0)</f>
        <v>2</v>
      </c>
    </row>
    <row r="917" customFormat="1" spans="1:20">
      <c r="A917">
        <f t="shared" si="42"/>
        <v>362</v>
      </c>
      <c r="B917">
        <v>8</v>
      </c>
      <c r="C917" t="s">
        <v>405</v>
      </c>
      <c r="D917" t="s">
        <v>26</v>
      </c>
      <c r="E917" t="s">
        <v>392</v>
      </c>
      <c r="F917"/>
      <c r="G917">
        <v>2</v>
      </c>
      <c r="H917">
        <v>500</v>
      </c>
      <c r="I917">
        <v>3</v>
      </c>
      <c r="J917" cm="1">
        <f t="array" ref="J917">_xlfn.SWITCH(B917,1,75,2,61,3,49,4,37,5,25,6,13,7,4,8,1)</f>
        <v>1</v>
      </c>
      <c r="K917" t="str" cm="1">
        <f t="array" ref="K917">IFERROR(_xlfn.SWITCH(L917,2,_xlfn.XLOOKUP(C917,[1]ModifierDes!$B:$B,[1]ModifierDes!$C:$C),3,_xlfn.XLOOKUP(C917,[1]StuntDes!$B:$B,[1]StuntDes!$C:$C)),"")</f>
        <v/>
      </c>
      <c r="L917">
        <f t="shared" si="43"/>
        <v>1</v>
      </c>
      <c r="M917" s="10" t="str">
        <f>IFERROR(_xlfn.XLOOKUP(C917,[1]StuntDes!$B:$B,[1]StuntDes!$A:$A),"")</f>
        <v/>
      </c>
      <c r="N917" s="10" t="str">
        <f>IFERROR(_xlfn.XLOOKUP(C917,[1]ModifierDes!$B:$B,[1]ModifierDes!$A:$A),"")</f>
        <v/>
      </c>
      <c r="O917" s="10">
        <f>IFERROR(_xlfn.XLOOKUP(C917,[1]AttributeName!$C:$C,[1]AttributeName!$B:$B),"")</f>
        <v>10504</v>
      </c>
      <c r="P917" s="10"/>
      <c r="Q917">
        <v>0.02</v>
      </c>
      <c r="R917">
        <v>0.0500000000000001</v>
      </c>
      <c r="S917" cm="1">
        <f t="array" ref="S917">IFERROR(_xlfn.SWITCH(L917,1,_xlfn.XLOOKUP(O917,[1]AttributeName!$B:$B,[1]AttributeName!$D:$D),2,_xlfn.XLOOKUP(C917,#REF!,#REF!),3,_xlfn.XLOOKUP(C917,#REF!,#REF!)),0)</f>
        <v>2</v>
      </c>
      <c r="T917" cm="1">
        <f t="array" ref="T917">IFERROR(_xlfn.SWITCH(L917,1,_xlfn.XLOOKUP(O917,[1]AttributeName!$B:$B,[1]AttributeName!$E:$E),2,_xlfn.XLOOKUP(C917,#REF!,#REF!),3,_xlfn.XLOOKUP(C917,#REF!,#REF!)),0)</f>
        <v>2</v>
      </c>
    </row>
    <row r="918" customFormat="1" spans="1:20">
      <c r="A918">
        <f t="shared" si="42"/>
        <v>363</v>
      </c>
      <c r="B918">
        <v>1</v>
      </c>
      <c r="C918" t="s">
        <v>414</v>
      </c>
      <c r="D918" t="s">
        <v>26</v>
      </c>
      <c r="E918" t="s">
        <v>392</v>
      </c>
      <c r="F918"/>
      <c r="G918">
        <v>2</v>
      </c>
      <c r="H918">
        <v>50</v>
      </c>
      <c r="I918">
        <v>3</v>
      </c>
      <c r="J918" cm="1">
        <f t="array" ref="J918">_xlfn.SWITCH(B918,1,75,2,61,3,49,4,37,5,25,6,13,7,4,8,1)</f>
        <v>75</v>
      </c>
      <c r="K918" t="str" cm="1">
        <f t="array" ref="K918">IFERROR(_xlfn.SWITCH(L918,2,_xlfn.XLOOKUP(C918,[1]ModifierDes!$B:$B,[1]ModifierDes!$C:$C),3,_xlfn.XLOOKUP(C918,[1]StuntDes!$B:$B,[1]StuntDes!$C:$C)),"")</f>
        <v/>
      </c>
      <c r="L918">
        <f t="shared" si="43"/>
        <v>1</v>
      </c>
      <c r="M918" s="10" t="str">
        <f>IFERROR(_xlfn.XLOOKUP(C918,[1]StuntDes!$B:$B,[1]StuntDes!$A:$A),"")</f>
        <v/>
      </c>
      <c r="N918" s="10" t="str">
        <f>IFERROR(_xlfn.XLOOKUP(C918,[1]ModifierDes!$B:$B,[1]ModifierDes!$A:$A),"")</f>
        <v/>
      </c>
      <c r="O918" s="10">
        <f>IFERROR(_xlfn.XLOOKUP(C918,[1]AttributeName!$C:$C,[1]AttributeName!$B:$B),"")</f>
        <v>10900</v>
      </c>
      <c r="P918" s="10"/>
      <c r="Q918">
        <v>15</v>
      </c>
      <c r="R918">
        <v>16</v>
      </c>
      <c r="S918" cm="1">
        <f t="array" ref="S918">IFERROR(_xlfn.SWITCH(L918,1,_xlfn.XLOOKUP(O918,[1]AttributeName!$B:$B,[1]AttributeName!$D:$D),2,_xlfn.XLOOKUP(C918,#REF!,#REF!),3,_xlfn.XLOOKUP(C918,#REF!,#REF!)),0)</f>
        <v>0</v>
      </c>
      <c r="T918" cm="1">
        <f t="array" ref="T918">IFERROR(_xlfn.SWITCH(L918,1,_xlfn.XLOOKUP(O918,[1]AttributeName!$B:$B,[1]AttributeName!$E:$E),2,_xlfn.XLOOKUP(C918,#REF!,#REF!),3,_xlfn.XLOOKUP(C918,#REF!,#REF!)),0)</f>
        <v>1</v>
      </c>
    </row>
    <row r="919" customFormat="1" spans="1:20">
      <c r="A919">
        <f t="shared" si="42"/>
        <v>363</v>
      </c>
      <c r="B919">
        <v>2</v>
      </c>
      <c r="C919" t="s">
        <v>414</v>
      </c>
      <c r="D919" t="s">
        <v>26</v>
      </c>
      <c r="E919" t="s">
        <v>392</v>
      </c>
      <c r="F919"/>
      <c r="G919">
        <v>2</v>
      </c>
      <c r="H919">
        <v>100</v>
      </c>
      <c r="I919">
        <v>3</v>
      </c>
      <c r="J919" cm="1">
        <f t="array" ref="J919">_xlfn.SWITCH(B919,1,75,2,61,3,49,4,37,5,25,6,13,7,4,8,1)</f>
        <v>61</v>
      </c>
      <c r="K919" t="str" cm="1">
        <f t="array" ref="K919">IFERROR(_xlfn.SWITCH(L919,2,_xlfn.XLOOKUP(C919,[1]ModifierDes!$B:$B,[1]ModifierDes!$C:$C),3,_xlfn.XLOOKUP(C919,[1]StuntDes!$B:$B,[1]StuntDes!$C:$C)),"")</f>
        <v/>
      </c>
      <c r="L919">
        <f t="shared" si="43"/>
        <v>1</v>
      </c>
      <c r="M919" s="10" t="str">
        <f>IFERROR(_xlfn.XLOOKUP(C919,[1]StuntDes!$B:$B,[1]StuntDes!$A:$A),"")</f>
        <v/>
      </c>
      <c r="N919" s="10" t="str">
        <f>IFERROR(_xlfn.XLOOKUP(C919,[1]ModifierDes!$B:$B,[1]ModifierDes!$A:$A),"")</f>
        <v/>
      </c>
      <c r="O919" s="10">
        <f>IFERROR(_xlfn.XLOOKUP(C919,[1]AttributeName!$C:$C,[1]AttributeName!$B:$B),"")</f>
        <v>10900</v>
      </c>
      <c r="P919" s="10"/>
      <c r="Q919">
        <v>13</v>
      </c>
      <c r="R919">
        <v>14</v>
      </c>
      <c r="S919" cm="1">
        <f t="array" ref="S919">IFERROR(_xlfn.SWITCH(L919,1,_xlfn.XLOOKUP(O919,[1]AttributeName!$B:$B,[1]AttributeName!$D:$D),2,_xlfn.XLOOKUP(C919,#REF!,#REF!),3,_xlfn.XLOOKUP(C919,#REF!,#REF!)),0)</f>
        <v>0</v>
      </c>
      <c r="T919" cm="1">
        <f t="array" ref="T919">IFERROR(_xlfn.SWITCH(L919,1,_xlfn.XLOOKUP(O919,[1]AttributeName!$B:$B,[1]AttributeName!$E:$E),2,_xlfn.XLOOKUP(C919,#REF!,#REF!),3,_xlfn.XLOOKUP(C919,#REF!,#REF!)),0)</f>
        <v>1</v>
      </c>
    </row>
    <row r="920" customFormat="1" spans="1:20">
      <c r="A920">
        <f t="shared" si="42"/>
        <v>363</v>
      </c>
      <c r="B920">
        <v>3</v>
      </c>
      <c r="C920" t="s">
        <v>414</v>
      </c>
      <c r="D920" t="s">
        <v>26</v>
      </c>
      <c r="E920" t="s">
        <v>392</v>
      </c>
      <c r="F920"/>
      <c r="G920">
        <v>2</v>
      </c>
      <c r="H920">
        <v>250</v>
      </c>
      <c r="I920">
        <v>3</v>
      </c>
      <c r="J920" cm="1">
        <f t="array" ref="J920">_xlfn.SWITCH(B920,1,75,2,61,3,49,4,37,5,25,6,13,7,4,8,1)</f>
        <v>49</v>
      </c>
      <c r="K920" t="str" cm="1">
        <f t="array" ref="K920">IFERROR(_xlfn.SWITCH(L920,2,_xlfn.XLOOKUP(C920,[1]ModifierDes!$B:$B,[1]ModifierDes!$C:$C),3,_xlfn.XLOOKUP(C920,[1]StuntDes!$B:$B,[1]StuntDes!$C:$C)),"")</f>
        <v/>
      </c>
      <c r="L920">
        <f t="shared" si="43"/>
        <v>1</v>
      </c>
      <c r="M920" s="10" t="str">
        <f>IFERROR(_xlfn.XLOOKUP(C920,[1]StuntDes!$B:$B,[1]StuntDes!$A:$A),"")</f>
        <v/>
      </c>
      <c r="N920" s="10" t="str">
        <f>IFERROR(_xlfn.XLOOKUP(C920,[1]ModifierDes!$B:$B,[1]ModifierDes!$A:$A),"")</f>
        <v/>
      </c>
      <c r="O920" s="10">
        <f>IFERROR(_xlfn.XLOOKUP(C920,[1]AttributeName!$C:$C,[1]AttributeName!$B:$B),"")</f>
        <v>10900</v>
      </c>
      <c r="P920" s="10"/>
      <c r="Q920">
        <v>11</v>
      </c>
      <c r="R920">
        <v>12</v>
      </c>
      <c r="S920" cm="1">
        <f t="array" ref="S920">IFERROR(_xlfn.SWITCH(L920,1,_xlfn.XLOOKUP(O920,[1]AttributeName!$B:$B,[1]AttributeName!$D:$D),2,_xlfn.XLOOKUP(C920,#REF!,#REF!),3,_xlfn.XLOOKUP(C920,#REF!,#REF!)),0)</f>
        <v>0</v>
      </c>
      <c r="T920" cm="1">
        <f t="array" ref="T920">IFERROR(_xlfn.SWITCH(L920,1,_xlfn.XLOOKUP(O920,[1]AttributeName!$B:$B,[1]AttributeName!$E:$E),2,_xlfn.XLOOKUP(C920,#REF!,#REF!),3,_xlfn.XLOOKUP(C920,#REF!,#REF!)),0)</f>
        <v>1</v>
      </c>
    </row>
    <row r="921" customFormat="1" spans="1:20">
      <c r="A921">
        <f t="shared" si="42"/>
        <v>363</v>
      </c>
      <c r="B921">
        <v>4</v>
      </c>
      <c r="C921" t="s">
        <v>414</v>
      </c>
      <c r="D921" t="s">
        <v>26</v>
      </c>
      <c r="E921" t="s">
        <v>392</v>
      </c>
      <c r="F921"/>
      <c r="G921">
        <v>2</v>
      </c>
      <c r="H921">
        <v>500</v>
      </c>
      <c r="I921">
        <v>3</v>
      </c>
      <c r="J921" cm="1">
        <f t="array" ref="J921">_xlfn.SWITCH(B921,1,75,2,61,3,49,4,37,5,25,6,13,7,4,8,1)</f>
        <v>37</v>
      </c>
      <c r="K921" t="str" cm="1">
        <f t="array" ref="K921">IFERROR(_xlfn.SWITCH(L921,2,_xlfn.XLOOKUP(C921,[1]ModifierDes!$B:$B,[1]ModifierDes!$C:$C),3,_xlfn.XLOOKUP(C921,[1]StuntDes!$B:$B,[1]StuntDes!$C:$C)),"")</f>
        <v/>
      </c>
      <c r="L921">
        <f t="shared" si="43"/>
        <v>1</v>
      </c>
      <c r="M921" s="10" t="str">
        <f>IFERROR(_xlfn.XLOOKUP(C921,[1]StuntDes!$B:$B,[1]StuntDes!$A:$A),"")</f>
        <v/>
      </c>
      <c r="N921" s="10" t="str">
        <f>IFERROR(_xlfn.XLOOKUP(C921,[1]ModifierDes!$B:$B,[1]ModifierDes!$A:$A),"")</f>
        <v/>
      </c>
      <c r="O921" s="10">
        <f>IFERROR(_xlfn.XLOOKUP(C921,[1]AttributeName!$C:$C,[1]AttributeName!$B:$B),"")</f>
        <v>10900</v>
      </c>
      <c r="P921" s="10"/>
      <c r="Q921">
        <v>9</v>
      </c>
      <c r="R921">
        <v>10</v>
      </c>
      <c r="S921" cm="1">
        <f t="array" ref="S921">IFERROR(_xlfn.SWITCH(L921,1,_xlfn.XLOOKUP(O921,[1]AttributeName!$B:$B,[1]AttributeName!$D:$D),2,_xlfn.XLOOKUP(C921,#REF!,#REF!),3,_xlfn.XLOOKUP(C921,#REF!,#REF!)),0)</f>
        <v>0</v>
      </c>
      <c r="T921" cm="1">
        <f t="array" ref="T921">IFERROR(_xlfn.SWITCH(L921,1,_xlfn.XLOOKUP(O921,[1]AttributeName!$B:$B,[1]AttributeName!$E:$E),2,_xlfn.XLOOKUP(C921,#REF!,#REF!),3,_xlfn.XLOOKUP(C921,#REF!,#REF!)),0)</f>
        <v>1</v>
      </c>
    </row>
    <row r="922" customFormat="1" spans="1:20">
      <c r="A922">
        <f t="shared" si="42"/>
        <v>363</v>
      </c>
      <c r="B922">
        <v>5</v>
      </c>
      <c r="C922" t="s">
        <v>414</v>
      </c>
      <c r="D922" t="s">
        <v>26</v>
      </c>
      <c r="E922" t="s">
        <v>392</v>
      </c>
      <c r="F922"/>
      <c r="G922">
        <v>2</v>
      </c>
      <c r="H922">
        <v>500</v>
      </c>
      <c r="I922">
        <v>3</v>
      </c>
      <c r="J922" cm="1">
        <f t="array" ref="J922">_xlfn.SWITCH(B922,1,75,2,61,3,49,4,37,5,25,6,13,7,4,8,1)</f>
        <v>25</v>
      </c>
      <c r="K922" t="str" cm="1">
        <f t="array" ref="K922">IFERROR(_xlfn.SWITCH(L922,2,_xlfn.XLOOKUP(C922,[1]ModifierDes!$B:$B,[1]ModifierDes!$C:$C),3,_xlfn.XLOOKUP(C922,[1]StuntDes!$B:$B,[1]StuntDes!$C:$C)),"")</f>
        <v/>
      </c>
      <c r="L922">
        <f t="shared" si="43"/>
        <v>1</v>
      </c>
      <c r="M922" s="10" t="str">
        <f>IFERROR(_xlfn.XLOOKUP(C922,[1]StuntDes!$B:$B,[1]StuntDes!$A:$A),"")</f>
        <v/>
      </c>
      <c r="N922" s="10" t="str">
        <f>IFERROR(_xlfn.XLOOKUP(C922,[1]ModifierDes!$B:$B,[1]ModifierDes!$A:$A),"")</f>
        <v/>
      </c>
      <c r="O922" s="10">
        <f>IFERROR(_xlfn.XLOOKUP(C922,[1]AttributeName!$C:$C,[1]AttributeName!$B:$B),"")</f>
        <v>10900</v>
      </c>
      <c r="P922" s="10"/>
      <c r="Q922">
        <v>7</v>
      </c>
      <c r="R922">
        <v>8</v>
      </c>
      <c r="S922" cm="1">
        <f t="array" ref="S922">IFERROR(_xlfn.SWITCH(L922,1,_xlfn.XLOOKUP(O922,[1]AttributeName!$B:$B,[1]AttributeName!$D:$D),2,_xlfn.XLOOKUP(C922,#REF!,#REF!),3,_xlfn.XLOOKUP(C922,#REF!,#REF!)),0)</f>
        <v>0</v>
      </c>
      <c r="T922" cm="1">
        <f t="array" ref="T922">IFERROR(_xlfn.SWITCH(L922,1,_xlfn.XLOOKUP(O922,[1]AttributeName!$B:$B,[1]AttributeName!$E:$E),2,_xlfn.XLOOKUP(C922,#REF!,#REF!),3,_xlfn.XLOOKUP(C922,#REF!,#REF!)),0)</f>
        <v>1</v>
      </c>
    </row>
    <row r="923" customFormat="1" spans="1:20">
      <c r="A923">
        <f t="shared" si="42"/>
        <v>363</v>
      </c>
      <c r="B923">
        <v>6</v>
      </c>
      <c r="C923" t="s">
        <v>414</v>
      </c>
      <c r="D923" t="s">
        <v>26</v>
      </c>
      <c r="E923" t="s">
        <v>392</v>
      </c>
      <c r="F923"/>
      <c r="G923">
        <v>2</v>
      </c>
      <c r="H923">
        <v>500</v>
      </c>
      <c r="I923">
        <v>3</v>
      </c>
      <c r="J923" cm="1">
        <f t="array" ref="J923">_xlfn.SWITCH(B923,1,75,2,61,3,49,4,37,5,25,6,13,7,4,8,1)</f>
        <v>13</v>
      </c>
      <c r="K923" t="str" cm="1">
        <f t="array" ref="K923">IFERROR(_xlfn.SWITCH(L923,2,_xlfn.XLOOKUP(C923,[1]ModifierDes!$B:$B,[1]ModifierDes!$C:$C),3,_xlfn.XLOOKUP(C923,[1]StuntDes!$B:$B,[1]StuntDes!$C:$C)),"")</f>
        <v/>
      </c>
      <c r="L923">
        <f t="shared" si="43"/>
        <v>1</v>
      </c>
      <c r="M923" s="10" t="str">
        <f>IFERROR(_xlfn.XLOOKUP(C923,[1]StuntDes!$B:$B,[1]StuntDes!$A:$A),"")</f>
        <v/>
      </c>
      <c r="N923" s="10" t="str">
        <f>IFERROR(_xlfn.XLOOKUP(C923,[1]ModifierDes!$B:$B,[1]ModifierDes!$A:$A),"")</f>
        <v/>
      </c>
      <c r="O923" s="10">
        <f>IFERROR(_xlfn.XLOOKUP(C923,[1]AttributeName!$C:$C,[1]AttributeName!$B:$B),"")</f>
        <v>10900</v>
      </c>
      <c r="P923" s="10"/>
      <c r="Q923">
        <v>5</v>
      </c>
      <c r="R923">
        <v>6</v>
      </c>
      <c r="S923" cm="1">
        <f t="array" ref="S923">IFERROR(_xlfn.SWITCH(L923,1,_xlfn.XLOOKUP(O923,[1]AttributeName!$B:$B,[1]AttributeName!$D:$D),2,_xlfn.XLOOKUP(C923,#REF!,#REF!),3,_xlfn.XLOOKUP(C923,#REF!,#REF!)),0)</f>
        <v>0</v>
      </c>
      <c r="T923" cm="1">
        <f t="array" ref="T923">IFERROR(_xlfn.SWITCH(L923,1,_xlfn.XLOOKUP(O923,[1]AttributeName!$B:$B,[1]AttributeName!$E:$E),2,_xlfn.XLOOKUP(C923,#REF!,#REF!),3,_xlfn.XLOOKUP(C923,#REF!,#REF!)),0)</f>
        <v>1</v>
      </c>
    </row>
    <row r="924" customFormat="1" spans="1:20">
      <c r="A924">
        <f t="shared" si="42"/>
        <v>363</v>
      </c>
      <c r="B924">
        <v>7</v>
      </c>
      <c r="C924" t="s">
        <v>414</v>
      </c>
      <c r="D924" t="s">
        <v>26</v>
      </c>
      <c r="E924" t="s">
        <v>392</v>
      </c>
      <c r="F924"/>
      <c r="G924">
        <v>2</v>
      </c>
      <c r="H924">
        <v>500</v>
      </c>
      <c r="I924">
        <v>3</v>
      </c>
      <c r="J924" cm="1">
        <f t="array" ref="J924">_xlfn.SWITCH(B924,1,75,2,61,3,49,4,37,5,25,6,13,7,4,8,1)</f>
        <v>4</v>
      </c>
      <c r="K924" t="str" cm="1">
        <f t="array" ref="K924">IFERROR(_xlfn.SWITCH(L924,2,_xlfn.XLOOKUP(C924,[1]ModifierDes!$B:$B,[1]ModifierDes!$C:$C),3,_xlfn.XLOOKUP(C924,[1]StuntDes!$B:$B,[1]StuntDes!$C:$C)),"")</f>
        <v/>
      </c>
      <c r="L924">
        <f t="shared" si="43"/>
        <v>1</v>
      </c>
      <c r="M924" s="10" t="str">
        <f>IFERROR(_xlfn.XLOOKUP(C924,[1]StuntDes!$B:$B,[1]StuntDes!$A:$A),"")</f>
        <v/>
      </c>
      <c r="N924" s="10" t="str">
        <f>IFERROR(_xlfn.XLOOKUP(C924,[1]ModifierDes!$B:$B,[1]ModifierDes!$A:$A),"")</f>
        <v/>
      </c>
      <c r="O924" s="10">
        <f>IFERROR(_xlfn.XLOOKUP(C924,[1]AttributeName!$C:$C,[1]AttributeName!$B:$B),"")</f>
        <v>10900</v>
      </c>
      <c r="P924" s="10"/>
      <c r="Q924">
        <v>3</v>
      </c>
      <c r="R924">
        <v>4</v>
      </c>
      <c r="S924" cm="1">
        <f t="array" ref="S924">IFERROR(_xlfn.SWITCH(L924,1,_xlfn.XLOOKUP(O924,[1]AttributeName!$B:$B,[1]AttributeName!$D:$D),2,_xlfn.XLOOKUP(C924,#REF!,#REF!),3,_xlfn.XLOOKUP(C924,#REF!,#REF!)),0)</f>
        <v>0</v>
      </c>
      <c r="T924" cm="1">
        <f t="array" ref="T924">IFERROR(_xlfn.SWITCH(L924,1,_xlfn.XLOOKUP(O924,[1]AttributeName!$B:$B,[1]AttributeName!$E:$E),2,_xlfn.XLOOKUP(C924,#REF!,#REF!),3,_xlfn.XLOOKUP(C924,#REF!,#REF!)),0)</f>
        <v>1</v>
      </c>
    </row>
    <row r="925" customFormat="1" spans="1:20">
      <c r="A925">
        <f t="shared" si="42"/>
        <v>363</v>
      </c>
      <c r="B925">
        <v>8</v>
      </c>
      <c r="C925" t="s">
        <v>414</v>
      </c>
      <c r="D925" t="s">
        <v>26</v>
      </c>
      <c r="E925" t="s">
        <v>392</v>
      </c>
      <c r="F925"/>
      <c r="G925">
        <v>2</v>
      </c>
      <c r="H925">
        <v>500</v>
      </c>
      <c r="I925">
        <v>3</v>
      </c>
      <c r="J925" cm="1">
        <f t="array" ref="J925">_xlfn.SWITCH(B925,1,75,2,61,3,49,4,37,5,25,6,13,7,4,8,1)</f>
        <v>1</v>
      </c>
      <c r="K925" t="str" cm="1">
        <f t="array" ref="K925">IFERROR(_xlfn.SWITCH(L925,2,_xlfn.XLOOKUP(C925,[1]ModifierDes!$B:$B,[1]ModifierDes!$C:$C),3,_xlfn.XLOOKUP(C925,[1]StuntDes!$B:$B,[1]StuntDes!$C:$C)),"")</f>
        <v/>
      </c>
      <c r="L925">
        <f t="shared" si="43"/>
        <v>1</v>
      </c>
      <c r="M925" s="10" t="str">
        <f>IFERROR(_xlfn.XLOOKUP(C925,[1]StuntDes!$B:$B,[1]StuntDes!$A:$A),"")</f>
        <v/>
      </c>
      <c r="N925" s="10" t="str">
        <f>IFERROR(_xlfn.XLOOKUP(C925,[1]ModifierDes!$B:$B,[1]ModifierDes!$A:$A),"")</f>
        <v/>
      </c>
      <c r="O925" s="10">
        <f>IFERROR(_xlfn.XLOOKUP(C925,[1]AttributeName!$C:$C,[1]AttributeName!$B:$B),"")</f>
        <v>10900</v>
      </c>
      <c r="P925" s="10"/>
      <c r="Q925">
        <v>1</v>
      </c>
      <c r="R925">
        <v>2</v>
      </c>
      <c r="S925" cm="1">
        <f t="array" ref="S925">IFERROR(_xlfn.SWITCH(L925,1,_xlfn.XLOOKUP(O925,[1]AttributeName!$B:$B,[1]AttributeName!$D:$D),2,_xlfn.XLOOKUP(C925,#REF!,#REF!),3,_xlfn.XLOOKUP(C925,#REF!,#REF!)),0)</f>
        <v>0</v>
      </c>
      <c r="T925" cm="1">
        <f t="array" ref="T925">IFERROR(_xlfn.SWITCH(L925,1,_xlfn.XLOOKUP(O925,[1]AttributeName!$B:$B,[1]AttributeName!$E:$E),2,_xlfn.XLOOKUP(C925,#REF!,#REF!),3,_xlfn.XLOOKUP(C925,#REF!,#REF!)),0)</f>
        <v>1</v>
      </c>
    </row>
    <row r="926" customFormat="1" spans="1:20">
      <c r="A926">
        <f t="shared" si="42"/>
        <v>364</v>
      </c>
      <c r="B926">
        <v>1</v>
      </c>
      <c r="C926" t="s">
        <v>427</v>
      </c>
      <c r="D926" t="s">
        <v>26</v>
      </c>
      <c r="E926" t="s">
        <v>392</v>
      </c>
      <c r="F926"/>
      <c r="G926">
        <v>2</v>
      </c>
      <c r="H926">
        <v>50</v>
      </c>
      <c r="I926">
        <v>3</v>
      </c>
      <c r="J926" cm="1">
        <f t="array" ref="J926">_xlfn.SWITCH(B926,1,75,2,61,3,49,4,37,5,25,6,13,7,4,8,1)</f>
        <v>75</v>
      </c>
      <c r="K926" t="str" cm="1">
        <f t="array" ref="K926">IFERROR(_xlfn.SWITCH(L926,2,_xlfn.XLOOKUP(C926,[1]ModifierDes!$B:$B,[1]ModifierDes!$C:$C),3,_xlfn.XLOOKUP(C926,[1]StuntDes!$B:$B,[1]StuntDes!$C:$C)),"")</f>
        <v/>
      </c>
      <c r="L926">
        <f t="shared" si="43"/>
        <v>1</v>
      </c>
      <c r="M926" s="10" t="str">
        <f>IFERROR(_xlfn.XLOOKUP(C926,[1]StuntDes!$B:$B,[1]StuntDes!$A:$A),"")</f>
        <v/>
      </c>
      <c r="N926" s="10" t="str">
        <f>IFERROR(_xlfn.XLOOKUP(C926,[1]ModifierDes!$B:$B,[1]ModifierDes!$A:$A),"")</f>
        <v/>
      </c>
      <c r="O926" s="10">
        <f>IFERROR(_xlfn.XLOOKUP(C926,[1]AttributeName!$C:$C,[1]AttributeName!$B:$B),"")</f>
        <v>10003</v>
      </c>
      <c r="P926" s="10"/>
      <c r="Q926">
        <v>8</v>
      </c>
      <c r="R926">
        <v>10</v>
      </c>
      <c r="S926" cm="1">
        <f t="array" ref="S926">IFERROR(_xlfn.SWITCH(L926,1,_xlfn.XLOOKUP(O926,[1]AttributeName!$B:$B,[1]AttributeName!$D:$D),2,_xlfn.XLOOKUP(C926,#REF!,#REF!),3,_xlfn.XLOOKUP(C926,#REF!,#REF!)),0)</f>
        <v>0</v>
      </c>
      <c r="T926" cm="1">
        <f t="array" ref="T926">IFERROR(_xlfn.SWITCH(L926,1,_xlfn.XLOOKUP(O926,[1]AttributeName!$B:$B,[1]AttributeName!$E:$E),2,_xlfn.XLOOKUP(C926,#REF!,#REF!),3,_xlfn.XLOOKUP(C926,#REF!,#REF!)),0)</f>
        <v>1</v>
      </c>
    </row>
    <row r="927" customFormat="1" spans="1:20">
      <c r="A927">
        <f t="shared" si="42"/>
        <v>364</v>
      </c>
      <c r="B927">
        <v>2</v>
      </c>
      <c r="C927" t="s">
        <v>427</v>
      </c>
      <c r="D927" t="s">
        <v>26</v>
      </c>
      <c r="E927" t="s">
        <v>392</v>
      </c>
      <c r="F927"/>
      <c r="G927">
        <v>2</v>
      </c>
      <c r="H927">
        <v>100</v>
      </c>
      <c r="I927">
        <v>3</v>
      </c>
      <c r="J927" cm="1">
        <f t="array" ref="J927">_xlfn.SWITCH(B927,1,75,2,61,3,49,4,37,5,25,6,13,7,4,8,1)</f>
        <v>61</v>
      </c>
      <c r="K927" t="str" cm="1">
        <f t="array" ref="K927">IFERROR(_xlfn.SWITCH(L927,2,_xlfn.XLOOKUP(C927,[1]ModifierDes!$B:$B,[1]ModifierDes!$C:$C),3,_xlfn.XLOOKUP(C927,[1]StuntDes!$B:$B,[1]StuntDes!$C:$C)),"")</f>
        <v/>
      </c>
      <c r="L927">
        <f t="shared" si="43"/>
        <v>1</v>
      </c>
      <c r="M927" s="10" t="str">
        <f>IFERROR(_xlfn.XLOOKUP(C927,[1]StuntDes!$B:$B,[1]StuntDes!$A:$A),"")</f>
        <v/>
      </c>
      <c r="N927" s="10" t="str">
        <f>IFERROR(_xlfn.XLOOKUP(C927,[1]ModifierDes!$B:$B,[1]ModifierDes!$A:$A),"")</f>
        <v/>
      </c>
      <c r="O927" s="10">
        <f>IFERROR(_xlfn.XLOOKUP(C927,[1]AttributeName!$C:$C,[1]AttributeName!$B:$B),"")</f>
        <v>10003</v>
      </c>
      <c r="P927" s="10"/>
      <c r="Q927">
        <v>7</v>
      </c>
      <c r="R927">
        <v>7</v>
      </c>
      <c r="S927" cm="1">
        <f t="array" ref="S927">IFERROR(_xlfn.SWITCH(L927,1,_xlfn.XLOOKUP(O927,[1]AttributeName!$B:$B,[1]AttributeName!$D:$D),2,_xlfn.XLOOKUP(C927,#REF!,#REF!),3,_xlfn.XLOOKUP(C927,#REF!,#REF!)),0)</f>
        <v>0</v>
      </c>
      <c r="T927" cm="1">
        <f t="array" ref="T927">IFERROR(_xlfn.SWITCH(L927,1,_xlfn.XLOOKUP(O927,[1]AttributeName!$B:$B,[1]AttributeName!$E:$E),2,_xlfn.XLOOKUP(C927,#REF!,#REF!),3,_xlfn.XLOOKUP(C927,#REF!,#REF!)),0)</f>
        <v>1</v>
      </c>
    </row>
    <row r="928" customFormat="1" spans="1:20">
      <c r="A928">
        <f t="shared" si="42"/>
        <v>364</v>
      </c>
      <c r="B928">
        <v>3</v>
      </c>
      <c r="C928" t="s">
        <v>427</v>
      </c>
      <c r="D928" t="s">
        <v>26</v>
      </c>
      <c r="E928" t="s">
        <v>392</v>
      </c>
      <c r="F928"/>
      <c r="G928">
        <v>2</v>
      </c>
      <c r="H928">
        <v>250</v>
      </c>
      <c r="I928">
        <v>3</v>
      </c>
      <c r="J928" cm="1">
        <f t="array" ref="J928">_xlfn.SWITCH(B928,1,75,2,61,3,49,4,37,5,25,6,13,7,4,8,1)</f>
        <v>49</v>
      </c>
      <c r="K928" t="str" cm="1">
        <f t="array" ref="K928">IFERROR(_xlfn.SWITCH(L928,2,_xlfn.XLOOKUP(C928,[1]ModifierDes!$B:$B,[1]ModifierDes!$C:$C),3,_xlfn.XLOOKUP(C928,[1]StuntDes!$B:$B,[1]StuntDes!$C:$C)),"")</f>
        <v/>
      </c>
      <c r="L928">
        <f t="shared" si="43"/>
        <v>1</v>
      </c>
      <c r="M928" s="10" t="str">
        <f>IFERROR(_xlfn.XLOOKUP(C928,[1]StuntDes!$B:$B,[1]StuntDes!$A:$A),"")</f>
        <v/>
      </c>
      <c r="N928" s="10" t="str">
        <f>IFERROR(_xlfn.XLOOKUP(C928,[1]ModifierDes!$B:$B,[1]ModifierDes!$A:$A),"")</f>
        <v/>
      </c>
      <c r="O928" s="10">
        <f>IFERROR(_xlfn.XLOOKUP(C928,[1]AttributeName!$C:$C,[1]AttributeName!$B:$B),"")</f>
        <v>10003</v>
      </c>
      <c r="P928" s="10"/>
      <c r="Q928">
        <v>6</v>
      </c>
      <c r="R928">
        <v>6</v>
      </c>
      <c r="S928" cm="1">
        <f t="array" ref="S928">IFERROR(_xlfn.SWITCH(L928,1,_xlfn.XLOOKUP(O928,[1]AttributeName!$B:$B,[1]AttributeName!$D:$D),2,_xlfn.XLOOKUP(C928,#REF!,#REF!),3,_xlfn.XLOOKUP(C928,#REF!,#REF!)),0)</f>
        <v>0</v>
      </c>
      <c r="T928" cm="1">
        <f t="array" ref="T928">IFERROR(_xlfn.SWITCH(L928,1,_xlfn.XLOOKUP(O928,[1]AttributeName!$B:$B,[1]AttributeName!$E:$E),2,_xlfn.XLOOKUP(C928,#REF!,#REF!),3,_xlfn.XLOOKUP(C928,#REF!,#REF!)),0)</f>
        <v>1</v>
      </c>
    </row>
    <row r="929" customFormat="1" spans="1:20">
      <c r="A929">
        <f t="shared" si="42"/>
        <v>364</v>
      </c>
      <c r="B929">
        <v>4</v>
      </c>
      <c r="C929" t="s">
        <v>427</v>
      </c>
      <c r="D929" t="s">
        <v>26</v>
      </c>
      <c r="E929" t="s">
        <v>392</v>
      </c>
      <c r="F929"/>
      <c r="G929">
        <v>2</v>
      </c>
      <c r="H929">
        <v>500</v>
      </c>
      <c r="I929">
        <v>3</v>
      </c>
      <c r="J929" cm="1">
        <f t="array" ref="J929">_xlfn.SWITCH(B929,1,75,2,61,3,49,4,37,5,25,6,13,7,4,8,1)</f>
        <v>37</v>
      </c>
      <c r="K929" t="str" cm="1">
        <f t="array" ref="K929">IFERROR(_xlfn.SWITCH(L929,2,_xlfn.XLOOKUP(C929,[1]ModifierDes!$B:$B,[1]ModifierDes!$C:$C),3,_xlfn.XLOOKUP(C929,[1]StuntDes!$B:$B,[1]StuntDes!$C:$C)),"")</f>
        <v/>
      </c>
      <c r="L929">
        <f t="shared" si="43"/>
        <v>1</v>
      </c>
      <c r="M929" s="10" t="str">
        <f>IFERROR(_xlfn.XLOOKUP(C929,[1]StuntDes!$B:$B,[1]StuntDes!$A:$A),"")</f>
        <v/>
      </c>
      <c r="N929" s="10" t="str">
        <f>IFERROR(_xlfn.XLOOKUP(C929,[1]ModifierDes!$B:$B,[1]ModifierDes!$A:$A),"")</f>
        <v/>
      </c>
      <c r="O929" s="10">
        <f>IFERROR(_xlfn.XLOOKUP(C929,[1]AttributeName!$C:$C,[1]AttributeName!$B:$B),"")</f>
        <v>10003</v>
      </c>
      <c r="P929" s="10"/>
      <c r="Q929">
        <v>5</v>
      </c>
      <c r="R929">
        <v>5</v>
      </c>
      <c r="S929" cm="1">
        <f t="array" ref="S929">IFERROR(_xlfn.SWITCH(L929,1,_xlfn.XLOOKUP(O929,[1]AttributeName!$B:$B,[1]AttributeName!$D:$D),2,_xlfn.XLOOKUP(C929,#REF!,#REF!),3,_xlfn.XLOOKUP(C929,#REF!,#REF!)),0)</f>
        <v>0</v>
      </c>
      <c r="T929" cm="1">
        <f t="array" ref="T929">IFERROR(_xlfn.SWITCH(L929,1,_xlfn.XLOOKUP(O929,[1]AttributeName!$B:$B,[1]AttributeName!$E:$E),2,_xlfn.XLOOKUP(C929,#REF!,#REF!),3,_xlfn.XLOOKUP(C929,#REF!,#REF!)),0)</f>
        <v>1</v>
      </c>
    </row>
    <row r="930" customFormat="1" spans="1:20">
      <c r="A930">
        <f t="shared" si="42"/>
        <v>364</v>
      </c>
      <c r="B930">
        <v>5</v>
      </c>
      <c r="C930" t="s">
        <v>427</v>
      </c>
      <c r="D930" t="s">
        <v>26</v>
      </c>
      <c r="E930" t="s">
        <v>392</v>
      </c>
      <c r="F930"/>
      <c r="G930">
        <v>2</v>
      </c>
      <c r="H930">
        <v>500</v>
      </c>
      <c r="I930">
        <v>3</v>
      </c>
      <c r="J930" cm="1">
        <f t="array" ref="J930">_xlfn.SWITCH(B930,1,75,2,61,3,49,4,37,5,25,6,13,7,4,8,1)</f>
        <v>25</v>
      </c>
      <c r="K930" t="str" cm="1">
        <f t="array" ref="K930">IFERROR(_xlfn.SWITCH(L930,2,_xlfn.XLOOKUP(C930,[1]ModifierDes!$B:$B,[1]ModifierDes!$C:$C),3,_xlfn.XLOOKUP(C930,[1]StuntDes!$B:$B,[1]StuntDes!$C:$C)),"")</f>
        <v/>
      </c>
      <c r="L930">
        <f t="shared" si="43"/>
        <v>1</v>
      </c>
      <c r="M930" s="10" t="str">
        <f>IFERROR(_xlfn.XLOOKUP(C930,[1]StuntDes!$B:$B,[1]StuntDes!$A:$A),"")</f>
        <v/>
      </c>
      <c r="N930" s="10" t="str">
        <f>IFERROR(_xlfn.XLOOKUP(C930,[1]ModifierDes!$B:$B,[1]ModifierDes!$A:$A),"")</f>
        <v/>
      </c>
      <c r="O930" s="10">
        <f>IFERROR(_xlfn.XLOOKUP(C930,[1]AttributeName!$C:$C,[1]AttributeName!$B:$B),"")</f>
        <v>10003</v>
      </c>
      <c r="P930" s="10"/>
      <c r="Q930">
        <v>4</v>
      </c>
      <c r="R930">
        <v>4</v>
      </c>
      <c r="S930" cm="1">
        <f t="array" ref="S930">IFERROR(_xlfn.SWITCH(L930,1,_xlfn.XLOOKUP(O930,[1]AttributeName!$B:$B,[1]AttributeName!$D:$D),2,_xlfn.XLOOKUP(C930,#REF!,#REF!),3,_xlfn.XLOOKUP(C930,#REF!,#REF!)),0)</f>
        <v>0</v>
      </c>
      <c r="T930" cm="1">
        <f t="array" ref="T930">IFERROR(_xlfn.SWITCH(L930,1,_xlfn.XLOOKUP(O930,[1]AttributeName!$B:$B,[1]AttributeName!$E:$E),2,_xlfn.XLOOKUP(C930,#REF!,#REF!),3,_xlfn.XLOOKUP(C930,#REF!,#REF!)),0)</f>
        <v>1</v>
      </c>
    </row>
    <row r="931" customFormat="1" spans="1:20">
      <c r="A931">
        <f t="shared" si="42"/>
        <v>364</v>
      </c>
      <c r="B931">
        <v>6</v>
      </c>
      <c r="C931" t="s">
        <v>427</v>
      </c>
      <c r="D931" t="s">
        <v>26</v>
      </c>
      <c r="E931" t="s">
        <v>392</v>
      </c>
      <c r="F931"/>
      <c r="G931">
        <v>2</v>
      </c>
      <c r="H931">
        <v>500</v>
      </c>
      <c r="I931">
        <v>3</v>
      </c>
      <c r="J931" cm="1">
        <f t="array" ref="J931">_xlfn.SWITCH(B931,1,75,2,61,3,49,4,37,5,25,6,13,7,4,8,1)</f>
        <v>13</v>
      </c>
      <c r="K931" t="str" cm="1">
        <f t="array" ref="K931">IFERROR(_xlfn.SWITCH(L931,2,_xlfn.XLOOKUP(C931,[1]ModifierDes!$B:$B,[1]ModifierDes!$C:$C),3,_xlfn.XLOOKUP(C931,[1]StuntDes!$B:$B,[1]StuntDes!$C:$C)),"")</f>
        <v/>
      </c>
      <c r="L931">
        <f t="shared" si="43"/>
        <v>1</v>
      </c>
      <c r="M931" s="10" t="str">
        <f>IFERROR(_xlfn.XLOOKUP(C931,[1]StuntDes!$B:$B,[1]StuntDes!$A:$A),"")</f>
        <v/>
      </c>
      <c r="N931" s="10" t="str">
        <f>IFERROR(_xlfn.XLOOKUP(C931,[1]ModifierDes!$B:$B,[1]ModifierDes!$A:$A),"")</f>
        <v/>
      </c>
      <c r="O931" s="10">
        <f>IFERROR(_xlfn.XLOOKUP(C931,[1]AttributeName!$C:$C,[1]AttributeName!$B:$B),"")</f>
        <v>10003</v>
      </c>
      <c r="P931" s="10"/>
      <c r="Q931">
        <v>3</v>
      </c>
      <c r="R931">
        <v>3</v>
      </c>
      <c r="S931" cm="1">
        <f t="array" ref="S931">IFERROR(_xlfn.SWITCH(L931,1,_xlfn.XLOOKUP(O931,[1]AttributeName!$B:$B,[1]AttributeName!$D:$D),2,_xlfn.XLOOKUP(C931,#REF!,#REF!),3,_xlfn.XLOOKUP(C931,#REF!,#REF!)),0)</f>
        <v>0</v>
      </c>
      <c r="T931" cm="1">
        <f t="array" ref="T931">IFERROR(_xlfn.SWITCH(L931,1,_xlfn.XLOOKUP(O931,[1]AttributeName!$B:$B,[1]AttributeName!$E:$E),2,_xlfn.XLOOKUP(C931,#REF!,#REF!),3,_xlfn.XLOOKUP(C931,#REF!,#REF!)),0)</f>
        <v>1</v>
      </c>
    </row>
    <row r="932" customFormat="1" spans="1:20">
      <c r="A932">
        <f t="shared" si="42"/>
        <v>364</v>
      </c>
      <c r="B932">
        <v>7</v>
      </c>
      <c r="C932" t="s">
        <v>427</v>
      </c>
      <c r="D932" t="s">
        <v>26</v>
      </c>
      <c r="E932" t="s">
        <v>392</v>
      </c>
      <c r="F932"/>
      <c r="G932">
        <v>2</v>
      </c>
      <c r="H932">
        <v>500</v>
      </c>
      <c r="I932">
        <v>3</v>
      </c>
      <c r="J932" cm="1">
        <f t="array" ref="J932">_xlfn.SWITCH(B932,1,75,2,61,3,49,4,37,5,25,6,13,7,4,8,1)</f>
        <v>4</v>
      </c>
      <c r="K932" t="str" cm="1">
        <f t="array" ref="K932">IFERROR(_xlfn.SWITCH(L932,2,_xlfn.XLOOKUP(C932,[1]ModifierDes!$B:$B,[1]ModifierDes!$C:$C),3,_xlfn.XLOOKUP(C932,[1]StuntDes!$B:$B,[1]StuntDes!$C:$C)),"")</f>
        <v/>
      </c>
      <c r="L932">
        <f t="shared" si="43"/>
        <v>1</v>
      </c>
      <c r="M932" s="10" t="str">
        <f>IFERROR(_xlfn.XLOOKUP(C932,[1]StuntDes!$B:$B,[1]StuntDes!$A:$A),"")</f>
        <v/>
      </c>
      <c r="N932" s="10" t="str">
        <f>IFERROR(_xlfn.XLOOKUP(C932,[1]ModifierDes!$B:$B,[1]ModifierDes!$A:$A),"")</f>
        <v/>
      </c>
      <c r="O932" s="10">
        <f>IFERROR(_xlfn.XLOOKUP(C932,[1]AttributeName!$C:$C,[1]AttributeName!$B:$B),"")</f>
        <v>10003</v>
      </c>
      <c r="P932" s="10"/>
      <c r="Q932">
        <v>2</v>
      </c>
      <c r="R932">
        <v>2</v>
      </c>
      <c r="S932" cm="1">
        <f t="array" ref="S932">IFERROR(_xlfn.SWITCH(L932,1,_xlfn.XLOOKUP(O932,[1]AttributeName!$B:$B,[1]AttributeName!$D:$D),2,_xlfn.XLOOKUP(C932,#REF!,#REF!),3,_xlfn.XLOOKUP(C932,#REF!,#REF!)),0)</f>
        <v>0</v>
      </c>
      <c r="T932" cm="1">
        <f t="array" ref="T932">IFERROR(_xlfn.SWITCH(L932,1,_xlfn.XLOOKUP(O932,[1]AttributeName!$B:$B,[1]AttributeName!$E:$E),2,_xlfn.XLOOKUP(C932,#REF!,#REF!),3,_xlfn.XLOOKUP(C932,#REF!,#REF!)),0)</f>
        <v>1</v>
      </c>
    </row>
    <row r="933" customFormat="1" spans="1:20">
      <c r="A933">
        <f t="shared" si="42"/>
        <v>364</v>
      </c>
      <c r="B933">
        <v>8</v>
      </c>
      <c r="C933" t="s">
        <v>427</v>
      </c>
      <c r="D933" t="s">
        <v>26</v>
      </c>
      <c r="E933" t="s">
        <v>392</v>
      </c>
      <c r="F933"/>
      <c r="G933">
        <v>2</v>
      </c>
      <c r="H933">
        <v>500</v>
      </c>
      <c r="I933">
        <v>3</v>
      </c>
      <c r="J933" cm="1">
        <f t="array" ref="J933">_xlfn.SWITCH(B933,1,75,2,61,3,49,4,37,5,25,6,13,7,4,8,1)</f>
        <v>1</v>
      </c>
      <c r="K933" t="str" cm="1">
        <f t="array" ref="K933">IFERROR(_xlfn.SWITCH(L933,2,_xlfn.XLOOKUP(C933,[1]ModifierDes!$B:$B,[1]ModifierDes!$C:$C),3,_xlfn.XLOOKUP(C933,[1]StuntDes!$B:$B,[1]StuntDes!$C:$C)),"")</f>
        <v/>
      </c>
      <c r="L933">
        <f t="shared" si="43"/>
        <v>1</v>
      </c>
      <c r="M933" s="10" t="str">
        <f>IFERROR(_xlfn.XLOOKUP(C933,[1]StuntDes!$B:$B,[1]StuntDes!$A:$A),"")</f>
        <v/>
      </c>
      <c r="N933" s="10" t="str">
        <f>IFERROR(_xlfn.XLOOKUP(C933,[1]ModifierDes!$B:$B,[1]ModifierDes!$A:$A),"")</f>
        <v/>
      </c>
      <c r="O933" s="10">
        <f>IFERROR(_xlfn.XLOOKUP(C933,[1]AttributeName!$C:$C,[1]AttributeName!$B:$B),"")</f>
        <v>10003</v>
      </c>
      <c r="P933" s="10"/>
      <c r="Q933">
        <v>1</v>
      </c>
      <c r="R933">
        <v>1</v>
      </c>
      <c r="S933" cm="1">
        <f t="array" ref="S933">IFERROR(_xlfn.SWITCH(L933,1,_xlfn.XLOOKUP(O933,[1]AttributeName!$B:$B,[1]AttributeName!$D:$D),2,_xlfn.XLOOKUP(C933,#REF!,#REF!),3,_xlfn.XLOOKUP(C933,#REF!,#REF!)),0)</f>
        <v>0</v>
      </c>
      <c r="T933" cm="1">
        <f t="array" ref="T933">IFERROR(_xlfn.SWITCH(L933,1,_xlfn.XLOOKUP(O933,[1]AttributeName!$B:$B,[1]AttributeName!$E:$E),2,_xlfn.XLOOKUP(C933,#REF!,#REF!),3,_xlfn.XLOOKUP(C933,#REF!,#REF!)),0)</f>
        <v>1</v>
      </c>
    </row>
    <row r="934" customFormat="1" spans="1:20">
      <c r="A934">
        <v>401</v>
      </c>
      <c r="B934">
        <v>1</v>
      </c>
      <c r="C934" t="s">
        <v>389</v>
      </c>
      <c r="D934" t="s">
        <v>27</v>
      </c>
      <c r="E934" t="s">
        <v>378</v>
      </c>
      <c r="F934"/>
      <c r="G934">
        <v>1</v>
      </c>
      <c r="H934">
        <v>1000</v>
      </c>
      <c r="J934" cm="1">
        <f t="array" ref="J934">_xlfn.SWITCH(B934,1,75,2,61,3,49,4,37,5,25,6,13,7,4,8,1)</f>
        <v>75</v>
      </c>
      <c r="K934" t="str" cm="1">
        <f t="array" ref="K934">IFERROR(_xlfn.SWITCH(L934,2,_xlfn.XLOOKUP(C934,[1]ModifierDes!$B:$B,[1]ModifierDes!$C:$C),3,_xlfn.XLOOKUP(C934,[1]StuntDes!$B:$B,[1]StuntDes!$C:$C)),"")</f>
        <v/>
      </c>
      <c r="L934">
        <f t="shared" si="43"/>
        <v>1</v>
      </c>
      <c r="M934" s="10" t="str">
        <f>IFERROR(_xlfn.XLOOKUP(C934,[1]StuntDes!$B:$B,[1]StuntDes!$A:$A),"")</f>
        <v/>
      </c>
      <c r="N934" s="10" t="str">
        <f>IFERROR(_xlfn.XLOOKUP(C934,[1]ModifierDes!$B:$B,[1]ModifierDes!$A:$A),"")</f>
        <v/>
      </c>
      <c r="O934" s="10">
        <f>IFERROR(_xlfn.XLOOKUP(C934,[1]AttributeName!$C:$C,[1]AttributeName!$B:$B),"")</f>
        <v>10001</v>
      </c>
      <c r="P934" s="10"/>
      <c r="Q934">
        <v>950</v>
      </c>
      <c r="R934">
        <v>1050</v>
      </c>
      <c r="S934" cm="1">
        <f t="array" ref="S934">IFERROR(_xlfn.SWITCH(L934,1,_xlfn.XLOOKUP(O934,[1]AttributeName!$B:$B,[1]AttributeName!$D:$D),2,_xlfn.XLOOKUP(C934,#REF!,#REF!),3,_xlfn.XLOOKUP(C934,#REF!,#REF!)),0)</f>
        <v>0</v>
      </c>
      <c r="T934" cm="1">
        <f t="array" ref="T934">IFERROR(_xlfn.SWITCH(L934,1,_xlfn.XLOOKUP(O934,[1]AttributeName!$B:$B,[1]AttributeName!$E:$E),2,_xlfn.XLOOKUP(C934,#REF!,#REF!),3,_xlfn.XLOOKUP(C934,#REF!,#REF!)),0)</f>
        <v>1</v>
      </c>
    </row>
    <row r="935" customFormat="1" spans="1:20">
      <c r="A935">
        <v>401</v>
      </c>
      <c r="B935">
        <v>2</v>
      </c>
      <c r="C935" t="s">
        <v>389</v>
      </c>
      <c r="D935" t="s">
        <v>27</v>
      </c>
      <c r="E935" t="s">
        <v>378</v>
      </c>
      <c r="F935"/>
      <c r="G935">
        <v>1</v>
      </c>
      <c r="H935">
        <v>1000</v>
      </c>
      <c r="J935" cm="1">
        <f t="array" ref="J935">_xlfn.SWITCH(B935,1,75,2,61,3,49,4,37,5,25,6,13,7,4,8,1)</f>
        <v>61</v>
      </c>
      <c r="K935" t="str" cm="1">
        <f t="array" ref="K935">IFERROR(_xlfn.SWITCH(L935,2,_xlfn.XLOOKUP(C935,[1]ModifierDes!$B:$B,[1]ModifierDes!$C:$C),3,_xlfn.XLOOKUP(C935,[1]StuntDes!$B:$B,[1]StuntDes!$C:$C)),"")</f>
        <v/>
      </c>
      <c r="L935">
        <f t="shared" si="43"/>
        <v>1</v>
      </c>
      <c r="M935" s="10" t="str">
        <f>IFERROR(_xlfn.XLOOKUP(C935,[1]StuntDes!$B:$B,[1]StuntDes!$A:$A),"")</f>
        <v/>
      </c>
      <c r="N935" s="10" t="str">
        <f>IFERROR(_xlfn.XLOOKUP(C935,[1]ModifierDes!$B:$B,[1]ModifierDes!$A:$A),"")</f>
        <v/>
      </c>
      <c r="O935" s="10">
        <f>IFERROR(_xlfn.XLOOKUP(C935,[1]AttributeName!$C:$C,[1]AttributeName!$B:$B),"")</f>
        <v>10001</v>
      </c>
      <c r="P935" s="10"/>
      <c r="Q935">
        <v>520</v>
      </c>
      <c r="R935">
        <v>600</v>
      </c>
      <c r="S935" cm="1">
        <f t="array" ref="S935">IFERROR(_xlfn.SWITCH(L935,1,_xlfn.XLOOKUP(O935,[1]AttributeName!$B:$B,[1]AttributeName!$D:$D),2,_xlfn.XLOOKUP(C935,#REF!,#REF!),3,_xlfn.XLOOKUP(C935,#REF!,#REF!)),0)</f>
        <v>0</v>
      </c>
      <c r="T935" cm="1">
        <f t="array" ref="T935">IFERROR(_xlfn.SWITCH(L935,1,_xlfn.XLOOKUP(O935,[1]AttributeName!$B:$B,[1]AttributeName!$E:$E),2,_xlfn.XLOOKUP(C935,#REF!,#REF!),3,_xlfn.XLOOKUP(C935,#REF!,#REF!)),0)</f>
        <v>1</v>
      </c>
    </row>
    <row r="936" customFormat="1" spans="1:20">
      <c r="A936">
        <v>401</v>
      </c>
      <c r="B936">
        <v>3</v>
      </c>
      <c r="C936" t="s">
        <v>389</v>
      </c>
      <c r="D936" t="s">
        <v>27</v>
      </c>
      <c r="E936" t="s">
        <v>378</v>
      </c>
      <c r="F936"/>
      <c r="G936">
        <v>1</v>
      </c>
      <c r="H936">
        <v>1000</v>
      </c>
      <c r="J936" cm="1">
        <f t="array" ref="J936">_xlfn.SWITCH(B936,1,75,2,61,3,49,4,37,5,25,6,13,7,4,8,1)</f>
        <v>49</v>
      </c>
      <c r="K936" t="str" cm="1">
        <f t="array" ref="K936">IFERROR(_xlfn.SWITCH(L936,2,_xlfn.XLOOKUP(C936,[1]ModifierDes!$B:$B,[1]ModifierDes!$C:$C),3,_xlfn.XLOOKUP(C936,[1]StuntDes!$B:$B,[1]StuntDes!$C:$C)),"")</f>
        <v/>
      </c>
      <c r="L936">
        <f t="shared" si="43"/>
        <v>1</v>
      </c>
      <c r="M936" s="10" t="str">
        <f>IFERROR(_xlfn.XLOOKUP(C936,[1]StuntDes!$B:$B,[1]StuntDes!$A:$A),"")</f>
        <v/>
      </c>
      <c r="N936" s="10" t="str">
        <f>IFERROR(_xlfn.XLOOKUP(C936,[1]ModifierDes!$B:$B,[1]ModifierDes!$A:$A),"")</f>
        <v/>
      </c>
      <c r="O936" s="10">
        <f>IFERROR(_xlfn.XLOOKUP(C936,[1]AttributeName!$C:$C,[1]AttributeName!$B:$B),"")</f>
        <v>10001</v>
      </c>
      <c r="P936" s="10"/>
      <c r="Q936">
        <v>250</v>
      </c>
      <c r="R936">
        <v>310</v>
      </c>
      <c r="S936" cm="1">
        <f t="array" ref="S936">IFERROR(_xlfn.SWITCH(L936,1,_xlfn.XLOOKUP(O936,[1]AttributeName!$B:$B,[1]AttributeName!$D:$D),2,_xlfn.XLOOKUP(C936,#REF!,#REF!),3,_xlfn.XLOOKUP(C936,#REF!,#REF!)),0)</f>
        <v>0</v>
      </c>
      <c r="T936" cm="1">
        <f t="array" ref="T936">IFERROR(_xlfn.SWITCH(L936,1,_xlfn.XLOOKUP(O936,[1]AttributeName!$B:$B,[1]AttributeName!$E:$E),2,_xlfn.XLOOKUP(C936,#REF!,#REF!),3,_xlfn.XLOOKUP(C936,#REF!,#REF!)),0)</f>
        <v>1</v>
      </c>
    </row>
    <row r="937" customFormat="1" spans="1:20">
      <c r="A937">
        <v>401</v>
      </c>
      <c r="B937">
        <v>4</v>
      </c>
      <c r="C937" t="s">
        <v>389</v>
      </c>
      <c r="D937" t="s">
        <v>27</v>
      </c>
      <c r="E937" t="s">
        <v>378</v>
      </c>
      <c r="F937"/>
      <c r="G937">
        <v>1</v>
      </c>
      <c r="H937">
        <v>1000</v>
      </c>
      <c r="J937" cm="1">
        <f t="array" ref="J937">_xlfn.SWITCH(B937,1,75,2,61,3,49,4,37,5,25,6,13,7,4,8,1)</f>
        <v>37</v>
      </c>
      <c r="K937" t="str" cm="1">
        <f t="array" ref="K937">IFERROR(_xlfn.SWITCH(L937,2,_xlfn.XLOOKUP(C937,[1]ModifierDes!$B:$B,[1]ModifierDes!$C:$C),3,_xlfn.XLOOKUP(C937,[1]StuntDes!$B:$B,[1]StuntDes!$C:$C)),"")</f>
        <v/>
      </c>
      <c r="L937">
        <f t="shared" si="43"/>
        <v>1</v>
      </c>
      <c r="M937" s="10" t="str">
        <f>IFERROR(_xlfn.XLOOKUP(C937,[1]StuntDes!$B:$B,[1]StuntDes!$A:$A),"")</f>
        <v/>
      </c>
      <c r="N937" s="10" t="str">
        <f>IFERROR(_xlfn.XLOOKUP(C937,[1]ModifierDes!$B:$B,[1]ModifierDes!$A:$A),"")</f>
        <v/>
      </c>
      <c r="O937" s="10">
        <f>IFERROR(_xlfn.XLOOKUP(C937,[1]AttributeName!$C:$C,[1]AttributeName!$B:$B),"")</f>
        <v>10001</v>
      </c>
      <c r="P937" s="10"/>
      <c r="Q937">
        <v>120</v>
      </c>
      <c r="R937">
        <v>160</v>
      </c>
      <c r="S937" cm="1">
        <f t="array" ref="S937">IFERROR(_xlfn.SWITCH(L937,1,_xlfn.XLOOKUP(O937,[1]AttributeName!$B:$B,[1]AttributeName!$D:$D),2,_xlfn.XLOOKUP(C937,#REF!,#REF!),3,_xlfn.XLOOKUP(C937,#REF!,#REF!)),0)</f>
        <v>0</v>
      </c>
      <c r="T937" cm="1">
        <f t="array" ref="T937">IFERROR(_xlfn.SWITCH(L937,1,_xlfn.XLOOKUP(O937,[1]AttributeName!$B:$B,[1]AttributeName!$E:$E),2,_xlfn.XLOOKUP(C937,#REF!,#REF!),3,_xlfn.XLOOKUP(C937,#REF!,#REF!)),0)</f>
        <v>1</v>
      </c>
    </row>
    <row r="938" customFormat="1" spans="1:20">
      <c r="A938">
        <v>401</v>
      </c>
      <c r="B938">
        <v>5</v>
      </c>
      <c r="C938" t="s">
        <v>389</v>
      </c>
      <c r="D938" t="s">
        <v>27</v>
      </c>
      <c r="E938" t="s">
        <v>378</v>
      </c>
      <c r="F938"/>
      <c r="G938">
        <v>1</v>
      </c>
      <c r="H938">
        <v>1000</v>
      </c>
      <c r="J938" cm="1">
        <f t="array" ref="J938">_xlfn.SWITCH(B938,1,75,2,61,3,49,4,37,5,25,6,13,7,4,8,1)</f>
        <v>25</v>
      </c>
      <c r="K938" t="str" cm="1">
        <f t="array" ref="K938">IFERROR(_xlfn.SWITCH(L938,2,_xlfn.XLOOKUP(C938,[1]ModifierDes!$B:$B,[1]ModifierDes!$C:$C),3,_xlfn.XLOOKUP(C938,[1]StuntDes!$B:$B,[1]StuntDes!$C:$C)),"")</f>
        <v/>
      </c>
      <c r="L938">
        <f t="shared" si="43"/>
        <v>1</v>
      </c>
      <c r="M938" s="10" t="str">
        <f>IFERROR(_xlfn.XLOOKUP(C938,[1]StuntDes!$B:$B,[1]StuntDes!$A:$A),"")</f>
        <v/>
      </c>
      <c r="N938" s="10" t="str">
        <f>IFERROR(_xlfn.XLOOKUP(C938,[1]ModifierDes!$B:$B,[1]ModifierDes!$A:$A),"")</f>
        <v/>
      </c>
      <c r="O938" s="10">
        <f>IFERROR(_xlfn.XLOOKUP(C938,[1]AttributeName!$C:$C,[1]AttributeName!$B:$B),"")</f>
        <v>10001</v>
      </c>
      <c r="P938" s="10"/>
      <c r="Q938">
        <v>60</v>
      </c>
      <c r="R938">
        <v>80</v>
      </c>
      <c r="S938" cm="1">
        <f t="array" ref="S938">IFERROR(_xlfn.SWITCH(L938,1,_xlfn.XLOOKUP(O938,[1]AttributeName!$B:$B,[1]AttributeName!$D:$D),2,_xlfn.XLOOKUP(C938,#REF!,#REF!),3,_xlfn.XLOOKUP(C938,#REF!,#REF!)),0)</f>
        <v>0</v>
      </c>
      <c r="T938" cm="1">
        <f t="array" ref="T938">IFERROR(_xlfn.SWITCH(L938,1,_xlfn.XLOOKUP(O938,[1]AttributeName!$B:$B,[1]AttributeName!$E:$E),2,_xlfn.XLOOKUP(C938,#REF!,#REF!),3,_xlfn.XLOOKUP(C938,#REF!,#REF!)),0)</f>
        <v>1</v>
      </c>
    </row>
    <row r="939" customFormat="1" spans="1:20">
      <c r="A939">
        <v>401</v>
      </c>
      <c r="B939">
        <v>6</v>
      </c>
      <c r="C939" t="s">
        <v>389</v>
      </c>
      <c r="D939" t="s">
        <v>27</v>
      </c>
      <c r="E939" t="s">
        <v>378</v>
      </c>
      <c r="F939"/>
      <c r="G939">
        <v>1</v>
      </c>
      <c r="H939">
        <v>1000</v>
      </c>
      <c r="J939" cm="1">
        <f t="array" ref="J939">_xlfn.SWITCH(B939,1,75,2,61,3,49,4,37,5,25,6,13,7,4,8,1)</f>
        <v>13</v>
      </c>
      <c r="K939" t="str" cm="1">
        <f t="array" ref="K939">IFERROR(_xlfn.SWITCH(L939,2,_xlfn.XLOOKUP(C939,[1]ModifierDes!$B:$B,[1]ModifierDes!$C:$C),3,_xlfn.XLOOKUP(C939,[1]StuntDes!$B:$B,[1]StuntDes!$C:$C)),"")</f>
        <v/>
      </c>
      <c r="L939">
        <f t="shared" si="43"/>
        <v>1</v>
      </c>
      <c r="M939" s="10" t="str">
        <f>IFERROR(_xlfn.XLOOKUP(C939,[1]StuntDes!$B:$B,[1]StuntDes!$A:$A),"")</f>
        <v/>
      </c>
      <c r="N939" s="10" t="str">
        <f>IFERROR(_xlfn.XLOOKUP(C939,[1]ModifierDes!$B:$B,[1]ModifierDes!$A:$A),"")</f>
        <v/>
      </c>
      <c r="O939" s="10">
        <f>IFERROR(_xlfn.XLOOKUP(C939,[1]AttributeName!$C:$C,[1]AttributeName!$B:$B),"")</f>
        <v>10001</v>
      </c>
      <c r="P939" s="10"/>
      <c r="Q939">
        <v>30</v>
      </c>
      <c r="R939">
        <v>40</v>
      </c>
      <c r="S939" cm="1">
        <f t="array" ref="S939">IFERROR(_xlfn.SWITCH(L939,1,_xlfn.XLOOKUP(O939,[1]AttributeName!$B:$B,[1]AttributeName!$D:$D),2,_xlfn.XLOOKUP(C939,#REF!,#REF!),3,_xlfn.XLOOKUP(C939,#REF!,#REF!)),0)</f>
        <v>0</v>
      </c>
      <c r="T939" cm="1">
        <f t="array" ref="T939">IFERROR(_xlfn.SWITCH(L939,1,_xlfn.XLOOKUP(O939,[1]AttributeName!$B:$B,[1]AttributeName!$E:$E),2,_xlfn.XLOOKUP(C939,#REF!,#REF!),3,_xlfn.XLOOKUP(C939,#REF!,#REF!)),0)</f>
        <v>1</v>
      </c>
    </row>
    <row r="940" customFormat="1" spans="1:20">
      <c r="A940">
        <v>401</v>
      </c>
      <c r="B940">
        <v>7</v>
      </c>
      <c r="C940" t="s">
        <v>389</v>
      </c>
      <c r="D940" t="s">
        <v>27</v>
      </c>
      <c r="E940" t="s">
        <v>378</v>
      </c>
      <c r="F940"/>
      <c r="G940">
        <v>1</v>
      </c>
      <c r="H940">
        <v>1000</v>
      </c>
      <c r="J940" cm="1">
        <f t="array" ref="J940">_xlfn.SWITCH(B940,1,75,2,61,3,49,4,37,5,25,6,13,7,4,8,1)</f>
        <v>4</v>
      </c>
      <c r="K940" t="str" cm="1">
        <f t="array" ref="K940">IFERROR(_xlfn.SWITCH(L940,2,_xlfn.XLOOKUP(C940,[1]ModifierDes!$B:$B,[1]ModifierDes!$C:$C),3,_xlfn.XLOOKUP(C940,[1]StuntDes!$B:$B,[1]StuntDes!$C:$C)),"")</f>
        <v/>
      </c>
      <c r="L940">
        <f t="shared" si="43"/>
        <v>1</v>
      </c>
      <c r="M940" s="10" t="str">
        <f>IFERROR(_xlfn.XLOOKUP(C940,[1]StuntDes!$B:$B,[1]StuntDes!$A:$A),"")</f>
        <v/>
      </c>
      <c r="N940" s="10" t="str">
        <f>IFERROR(_xlfn.XLOOKUP(C940,[1]ModifierDes!$B:$B,[1]ModifierDes!$A:$A),"")</f>
        <v/>
      </c>
      <c r="O940" s="10">
        <f>IFERROR(_xlfn.XLOOKUP(C940,[1]AttributeName!$C:$C,[1]AttributeName!$B:$B),"")</f>
        <v>10001</v>
      </c>
      <c r="P940" s="10"/>
      <c r="Q940">
        <v>12</v>
      </c>
      <c r="R940">
        <v>20</v>
      </c>
      <c r="S940" cm="1">
        <f t="array" ref="S940">IFERROR(_xlfn.SWITCH(L940,1,_xlfn.XLOOKUP(O940,[1]AttributeName!$B:$B,[1]AttributeName!$D:$D),2,_xlfn.XLOOKUP(C940,#REF!,#REF!),3,_xlfn.XLOOKUP(C940,#REF!,#REF!)),0)</f>
        <v>0</v>
      </c>
      <c r="T940" cm="1">
        <f t="array" ref="T940">IFERROR(_xlfn.SWITCH(L940,1,_xlfn.XLOOKUP(O940,[1]AttributeName!$B:$B,[1]AttributeName!$E:$E),2,_xlfn.XLOOKUP(C940,#REF!,#REF!),3,_xlfn.XLOOKUP(C940,#REF!,#REF!)),0)</f>
        <v>1</v>
      </c>
    </row>
    <row r="941" customFormat="1" spans="1:20">
      <c r="A941">
        <v>401</v>
      </c>
      <c r="B941">
        <v>8</v>
      </c>
      <c r="C941" t="s">
        <v>389</v>
      </c>
      <c r="D941" t="s">
        <v>27</v>
      </c>
      <c r="E941" t="s">
        <v>378</v>
      </c>
      <c r="F941"/>
      <c r="G941">
        <v>1</v>
      </c>
      <c r="H941">
        <v>1000</v>
      </c>
      <c r="J941" cm="1">
        <f t="array" ref="J941">_xlfn.SWITCH(B941,1,75,2,61,3,49,4,37,5,25,6,13,7,4,8,1)</f>
        <v>1</v>
      </c>
      <c r="K941" t="str" cm="1">
        <f t="array" ref="K941">IFERROR(_xlfn.SWITCH(L941,2,_xlfn.XLOOKUP(C941,[1]ModifierDes!$B:$B,[1]ModifierDes!$C:$C),3,_xlfn.XLOOKUP(C941,[1]StuntDes!$B:$B,[1]StuntDes!$C:$C)),"")</f>
        <v/>
      </c>
      <c r="L941">
        <f t="shared" si="43"/>
        <v>1</v>
      </c>
      <c r="M941" s="10" t="str">
        <f>IFERROR(_xlfn.XLOOKUP(C941,[1]StuntDes!$B:$B,[1]StuntDes!$A:$A),"")</f>
        <v/>
      </c>
      <c r="N941" s="10" t="str">
        <f>IFERROR(_xlfn.XLOOKUP(C941,[1]ModifierDes!$B:$B,[1]ModifierDes!$A:$A),"")</f>
        <v/>
      </c>
      <c r="O941" s="10">
        <f>IFERROR(_xlfn.XLOOKUP(C941,[1]AttributeName!$C:$C,[1]AttributeName!$B:$B),"")</f>
        <v>10001</v>
      </c>
      <c r="P941" s="10"/>
      <c r="Q941">
        <v>6</v>
      </c>
      <c r="R941">
        <v>10</v>
      </c>
      <c r="S941" cm="1">
        <f t="array" ref="S941">IFERROR(_xlfn.SWITCH(L941,1,_xlfn.XLOOKUP(O941,[1]AttributeName!$B:$B,[1]AttributeName!$D:$D),2,_xlfn.XLOOKUP(C941,#REF!,#REF!),3,_xlfn.XLOOKUP(C941,#REF!,#REF!)),0)</f>
        <v>0</v>
      </c>
      <c r="T941" cm="1">
        <f t="array" ref="T941">IFERROR(_xlfn.SWITCH(L941,1,_xlfn.XLOOKUP(O941,[1]AttributeName!$B:$B,[1]AttributeName!$E:$E),2,_xlfn.XLOOKUP(C941,#REF!,#REF!),3,_xlfn.XLOOKUP(C941,#REF!,#REF!)),0)</f>
        <v>1</v>
      </c>
    </row>
    <row r="942" customFormat="1" spans="1:20">
      <c r="A942">
        <f t="shared" ref="A942:A1005" si="44">A934+1</f>
        <v>402</v>
      </c>
      <c r="B942">
        <v>1</v>
      </c>
      <c r="C942" t="s">
        <v>416</v>
      </c>
      <c r="D942" t="s">
        <v>27</v>
      </c>
      <c r="E942" t="s">
        <v>378</v>
      </c>
      <c r="F942"/>
      <c r="G942">
        <v>1</v>
      </c>
      <c r="H942">
        <v>1000</v>
      </c>
      <c r="J942" cm="1">
        <f t="array" ref="J942">_xlfn.SWITCH(B942,1,75,2,61,3,49,4,37,5,25,6,13,7,4,8,1)</f>
        <v>75</v>
      </c>
      <c r="K942" t="str" cm="1">
        <f t="array" ref="K942">IFERROR(_xlfn.SWITCH(L942,2,_xlfn.XLOOKUP(C942,[1]ModifierDes!$B:$B,[1]ModifierDes!$C:$C),3,_xlfn.XLOOKUP(C942,[1]StuntDes!$B:$B,[1]StuntDes!$C:$C)),"")</f>
        <v/>
      </c>
      <c r="L942">
        <f t="shared" si="43"/>
        <v>1</v>
      </c>
      <c r="M942" s="10" t="str">
        <f>IFERROR(_xlfn.XLOOKUP(C942,[1]StuntDes!$B:$B,[1]StuntDes!$A:$A),"")</f>
        <v/>
      </c>
      <c r="N942" s="10" t="str">
        <f>IFERROR(_xlfn.XLOOKUP(C942,[1]ModifierDes!$B:$B,[1]ModifierDes!$A:$A),"")</f>
        <v/>
      </c>
      <c r="O942" s="10">
        <f>IFERROR(_xlfn.XLOOKUP(C942,[1]AttributeName!$C:$C,[1]AttributeName!$B:$B),"")</f>
        <v>10002</v>
      </c>
      <c r="P942" s="10"/>
      <c r="Q942">
        <v>71</v>
      </c>
      <c r="R942">
        <v>80</v>
      </c>
      <c r="S942" cm="1">
        <f t="array" ref="S942">IFERROR(_xlfn.SWITCH(L942,1,_xlfn.XLOOKUP(O942,[1]AttributeName!$B:$B,[1]AttributeName!$D:$D),2,_xlfn.XLOOKUP(C942,#REF!,#REF!),3,_xlfn.XLOOKUP(C942,#REF!,#REF!)),0)</f>
        <v>0</v>
      </c>
      <c r="T942" cm="1">
        <f t="array" ref="T942">IFERROR(_xlfn.SWITCH(L942,1,_xlfn.XLOOKUP(O942,[1]AttributeName!$B:$B,[1]AttributeName!$E:$E),2,_xlfn.XLOOKUP(C942,#REF!,#REF!),3,_xlfn.XLOOKUP(C942,#REF!,#REF!)),0)</f>
        <v>1</v>
      </c>
    </row>
    <row r="943" customFormat="1" spans="1:20">
      <c r="A943">
        <f t="shared" si="44"/>
        <v>402</v>
      </c>
      <c r="B943">
        <v>2</v>
      </c>
      <c r="C943" t="s">
        <v>416</v>
      </c>
      <c r="D943" t="s">
        <v>27</v>
      </c>
      <c r="E943" t="s">
        <v>378</v>
      </c>
      <c r="F943"/>
      <c r="G943">
        <v>1</v>
      </c>
      <c r="H943">
        <v>1000</v>
      </c>
      <c r="J943" cm="1">
        <f t="array" ref="J943">_xlfn.SWITCH(B943,1,75,2,61,3,49,4,37,5,25,6,13,7,4,8,1)</f>
        <v>61</v>
      </c>
      <c r="K943" t="str" cm="1">
        <f t="array" ref="K943">IFERROR(_xlfn.SWITCH(L943,2,_xlfn.XLOOKUP(C943,[1]ModifierDes!$B:$B,[1]ModifierDes!$C:$C),3,_xlfn.XLOOKUP(C943,[1]StuntDes!$B:$B,[1]StuntDes!$C:$C)),"")</f>
        <v/>
      </c>
      <c r="L943">
        <f t="shared" si="43"/>
        <v>1</v>
      </c>
      <c r="M943" s="10" t="str">
        <f>IFERROR(_xlfn.XLOOKUP(C943,[1]StuntDes!$B:$B,[1]StuntDes!$A:$A),"")</f>
        <v/>
      </c>
      <c r="N943" s="10" t="str">
        <f>IFERROR(_xlfn.XLOOKUP(C943,[1]ModifierDes!$B:$B,[1]ModifierDes!$A:$A),"")</f>
        <v/>
      </c>
      <c r="O943" s="10">
        <f>IFERROR(_xlfn.XLOOKUP(C943,[1]AttributeName!$C:$C,[1]AttributeName!$B:$B),"")</f>
        <v>10002</v>
      </c>
      <c r="P943" s="10"/>
      <c r="Q943">
        <v>61</v>
      </c>
      <c r="R943">
        <v>70</v>
      </c>
      <c r="S943" cm="1">
        <f t="array" ref="S943">IFERROR(_xlfn.SWITCH(L943,1,_xlfn.XLOOKUP(O943,[1]AttributeName!$B:$B,[1]AttributeName!$D:$D),2,_xlfn.XLOOKUP(C943,#REF!,#REF!),3,_xlfn.XLOOKUP(C943,#REF!,#REF!)),0)</f>
        <v>0</v>
      </c>
      <c r="T943" cm="1">
        <f t="array" ref="T943">IFERROR(_xlfn.SWITCH(L943,1,_xlfn.XLOOKUP(O943,[1]AttributeName!$B:$B,[1]AttributeName!$E:$E),2,_xlfn.XLOOKUP(C943,#REF!,#REF!),3,_xlfn.XLOOKUP(C943,#REF!,#REF!)),0)</f>
        <v>1</v>
      </c>
    </row>
    <row r="944" customFormat="1" spans="1:20">
      <c r="A944">
        <f t="shared" si="44"/>
        <v>402</v>
      </c>
      <c r="B944">
        <v>3</v>
      </c>
      <c r="C944" t="s">
        <v>416</v>
      </c>
      <c r="D944" t="s">
        <v>27</v>
      </c>
      <c r="E944" t="s">
        <v>378</v>
      </c>
      <c r="F944"/>
      <c r="G944">
        <v>1</v>
      </c>
      <c r="H944">
        <v>1000</v>
      </c>
      <c r="J944" cm="1">
        <f t="array" ref="J944">_xlfn.SWITCH(B944,1,75,2,61,3,49,4,37,5,25,6,13,7,4,8,1)</f>
        <v>49</v>
      </c>
      <c r="K944" t="str" cm="1">
        <f t="array" ref="K944">IFERROR(_xlfn.SWITCH(L944,2,_xlfn.XLOOKUP(C944,[1]ModifierDes!$B:$B,[1]ModifierDes!$C:$C),3,_xlfn.XLOOKUP(C944,[1]StuntDes!$B:$B,[1]StuntDes!$C:$C)),"")</f>
        <v/>
      </c>
      <c r="L944">
        <f t="shared" si="43"/>
        <v>1</v>
      </c>
      <c r="M944" s="10" t="str">
        <f>IFERROR(_xlfn.XLOOKUP(C944,[1]StuntDes!$B:$B,[1]StuntDes!$A:$A),"")</f>
        <v/>
      </c>
      <c r="N944" s="10" t="str">
        <f>IFERROR(_xlfn.XLOOKUP(C944,[1]ModifierDes!$B:$B,[1]ModifierDes!$A:$A),"")</f>
        <v/>
      </c>
      <c r="O944" s="10">
        <f>IFERROR(_xlfn.XLOOKUP(C944,[1]AttributeName!$C:$C,[1]AttributeName!$B:$B),"")</f>
        <v>10002</v>
      </c>
      <c r="P944" s="10"/>
      <c r="Q944">
        <v>51</v>
      </c>
      <c r="R944">
        <v>60</v>
      </c>
      <c r="S944" cm="1">
        <f t="array" ref="S944">IFERROR(_xlfn.SWITCH(L944,1,_xlfn.XLOOKUP(O944,[1]AttributeName!$B:$B,[1]AttributeName!$D:$D),2,_xlfn.XLOOKUP(C944,#REF!,#REF!),3,_xlfn.XLOOKUP(C944,#REF!,#REF!)),0)</f>
        <v>0</v>
      </c>
      <c r="T944" cm="1">
        <f t="array" ref="T944">IFERROR(_xlfn.SWITCH(L944,1,_xlfn.XLOOKUP(O944,[1]AttributeName!$B:$B,[1]AttributeName!$E:$E),2,_xlfn.XLOOKUP(C944,#REF!,#REF!),3,_xlfn.XLOOKUP(C944,#REF!,#REF!)),0)</f>
        <v>1</v>
      </c>
    </row>
    <row r="945" customFormat="1" spans="1:20">
      <c r="A945">
        <f t="shared" si="44"/>
        <v>402</v>
      </c>
      <c r="B945">
        <v>4</v>
      </c>
      <c r="C945" t="s">
        <v>416</v>
      </c>
      <c r="D945" t="s">
        <v>27</v>
      </c>
      <c r="E945" t="s">
        <v>378</v>
      </c>
      <c r="F945"/>
      <c r="G945">
        <v>1</v>
      </c>
      <c r="H945">
        <v>1000</v>
      </c>
      <c r="J945" cm="1">
        <f t="array" ref="J945">_xlfn.SWITCH(B945,1,75,2,61,3,49,4,37,5,25,6,13,7,4,8,1)</f>
        <v>37</v>
      </c>
      <c r="K945" t="str" cm="1">
        <f t="array" ref="K945">IFERROR(_xlfn.SWITCH(L945,2,_xlfn.XLOOKUP(C945,[1]ModifierDes!$B:$B,[1]ModifierDes!$C:$C),3,_xlfn.XLOOKUP(C945,[1]StuntDes!$B:$B,[1]StuntDes!$C:$C)),"")</f>
        <v/>
      </c>
      <c r="L945">
        <f t="shared" si="43"/>
        <v>1</v>
      </c>
      <c r="M945" s="10" t="str">
        <f>IFERROR(_xlfn.XLOOKUP(C945,[1]StuntDes!$B:$B,[1]StuntDes!$A:$A),"")</f>
        <v/>
      </c>
      <c r="N945" s="10" t="str">
        <f>IFERROR(_xlfn.XLOOKUP(C945,[1]ModifierDes!$B:$B,[1]ModifierDes!$A:$A),"")</f>
        <v/>
      </c>
      <c r="O945" s="10">
        <f>IFERROR(_xlfn.XLOOKUP(C945,[1]AttributeName!$C:$C,[1]AttributeName!$B:$B),"")</f>
        <v>10002</v>
      </c>
      <c r="P945" s="10"/>
      <c r="Q945">
        <v>41</v>
      </c>
      <c r="R945">
        <v>50</v>
      </c>
      <c r="S945" cm="1">
        <f t="array" ref="S945">IFERROR(_xlfn.SWITCH(L945,1,_xlfn.XLOOKUP(O945,[1]AttributeName!$B:$B,[1]AttributeName!$D:$D),2,_xlfn.XLOOKUP(C945,#REF!,#REF!),3,_xlfn.XLOOKUP(C945,#REF!,#REF!)),0)</f>
        <v>0</v>
      </c>
      <c r="T945" cm="1">
        <f t="array" ref="T945">IFERROR(_xlfn.SWITCH(L945,1,_xlfn.XLOOKUP(O945,[1]AttributeName!$B:$B,[1]AttributeName!$E:$E),2,_xlfn.XLOOKUP(C945,#REF!,#REF!),3,_xlfn.XLOOKUP(C945,#REF!,#REF!)),0)</f>
        <v>1</v>
      </c>
    </row>
    <row r="946" customFormat="1" spans="1:20">
      <c r="A946">
        <f t="shared" si="44"/>
        <v>402</v>
      </c>
      <c r="B946">
        <v>5</v>
      </c>
      <c r="C946" t="s">
        <v>416</v>
      </c>
      <c r="D946" t="s">
        <v>27</v>
      </c>
      <c r="E946" t="s">
        <v>378</v>
      </c>
      <c r="F946"/>
      <c r="G946">
        <v>1</v>
      </c>
      <c r="H946">
        <v>1000</v>
      </c>
      <c r="J946" cm="1">
        <f t="array" ref="J946">_xlfn.SWITCH(B946,1,75,2,61,3,49,4,37,5,25,6,13,7,4,8,1)</f>
        <v>25</v>
      </c>
      <c r="K946" t="str" cm="1">
        <f t="array" ref="K946">IFERROR(_xlfn.SWITCH(L946,2,_xlfn.XLOOKUP(C946,[1]ModifierDes!$B:$B,[1]ModifierDes!$C:$C),3,_xlfn.XLOOKUP(C946,[1]StuntDes!$B:$B,[1]StuntDes!$C:$C)),"")</f>
        <v/>
      </c>
      <c r="L946">
        <f t="shared" si="43"/>
        <v>1</v>
      </c>
      <c r="M946" s="10" t="str">
        <f>IFERROR(_xlfn.XLOOKUP(C946,[1]StuntDes!$B:$B,[1]StuntDes!$A:$A),"")</f>
        <v/>
      </c>
      <c r="N946" s="10" t="str">
        <f>IFERROR(_xlfn.XLOOKUP(C946,[1]ModifierDes!$B:$B,[1]ModifierDes!$A:$A),"")</f>
        <v/>
      </c>
      <c r="O946" s="10">
        <f>IFERROR(_xlfn.XLOOKUP(C946,[1]AttributeName!$C:$C,[1]AttributeName!$B:$B),"")</f>
        <v>10002</v>
      </c>
      <c r="P946" s="10"/>
      <c r="Q946">
        <v>31</v>
      </c>
      <c r="R946">
        <v>40</v>
      </c>
      <c r="S946" cm="1">
        <f t="array" ref="S946">IFERROR(_xlfn.SWITCH(L946,1,_xlfn.XLOOKUP(O946,[1]AttributeName!$B:$B,[1]AttributeName!$D:$D),2,_xlfn.XLOOKUP(C946,#REF!,#REF!),3,_xlfn.XLOOKUP(C946,#REF!,#REF!)),0)</f>
        <v>0</v>
      </c>
      <c r="T946" cm="1">
        <f t="array" ref="T946">IFERROR(_xlfn.SWITCH(L946,1,_xlfn.XLOOKUP(O946,[1]AttributeName!$B:$B,[1]AttributeName!$E:$E),2,_xlfn.XLOOKUP(C946,#REF!,#REF!),3,_xlfn.XLOOKUP(C946,#REF!,#REF!)),0)</f>
        <v>1</v>
      </c>
    </row>
    <row r="947" customFormat="1" spans="1:20">
      <c r="A947">
        <f t="shared" si="44"/>
        <v>402</v>
      </c>
      <c r="B947">
        <v>6</v>
      </c>
      <c r="C947" t="s">
        <v>416</v>
      </c>
      <c r="D947" t="s">
        <v>27</v>
      </c>
      <c r="E947" t="s">
        <v>378</v>
      </c>
      <c r="F947"/>
      <c r="G947">
        <v>1</v>
      </c>
      <c r="H947">
        <v>1000</v>
      </c>
      <c r="J947" cm="1">
        <f t="array" ref="J947">_xlfn.SWITCH(B947,1,75,2,61,3,49,4,37,5,25,6,13,7,4,8,1)</f>
        <v>13</v>
      </c>
      <c r="K947" t="str" cm="1">
        <f t="array" ref="K947">IFERROR(_xlfn.SWITCH(L947,2,_xlfn.XLOOKUP(C947,[1]ModifierDes!$B:$B,[1]ModifierDes!$C:$C),3,_xlfn.XLOOKUP(C947,[1]StuntDes!$B:$B,[1]StuntDes!$C:$C)),"")</f>
        <v/>
      </c>
      <c r="L947">
        <f t="shared" si="43"/>
        <v>1</v>
      </c>
      <c r="M947" s="10" t="str">
        <f>IFERROR(_xlfn.XLOOKUP(C947,[1]StuntDes!$B:$B,[1]StuntDes!$A:$A),"")</f>
        <v/>
      </c>
      <c r="N947" s="10" t="str">
        <f>IFERROR(_xlfn.XLOOKUP(C947,[1]ModifierDes!$B:$B,[1]ModifierDes!$A:$A),"")</f>
        <v/>
      </c>
      <c r="O947" s="10">
        <f>IFERROR(_xlfn.XLOOKUP(C947,[1]AttributeName!$C:$C,[1]AttributeName!$B:$B),"")</f>
        <v>10002</v>
      </c>
      <c r="P947" s="10"/>
      <c r="Q947">
        <v>21</v>
      </c>
      <c r="R947">
        <v>30</v>
      </c>
      <c r="S947" cm="1">
        <f t="array" ref="S947">IFERROR(_xlfn.SWITCH(L947,1,_xlfn.XLOOKUP(O947,[1]AttributeName!$B:$B,[1]AttributeName!$D:$D),2,_xlfn.XLOOKUP(C947,#REF!,#REF!),3,_xlfn.XLOOKUP(C947,#REF!,#REF!)),0)</f>
        <v>0</v>
      </c>
      <c r="T947" cm="1">
        <f t="array" ref="T947">IFERROR(_xlfn.SWITCH(L947,1,_xlfn.XLOOKUP(O947,[1]AttributeName!$B:$B,[1]AttributeName!$E:$E),2,_xlfn.XLOOKUP(C947,#REF!,#REF!),3,_xlfn.XLOOKUP(C947,#REF!,#REF!)),0)</f>
        <v>1</v>
      </c>
    </row>
    <row r="948" customFormat="1" spans="1:20">
      <c r="A948">
        <f t="shared" si="44"/>
        <v>402</v>
      </c>
      <c r="B948">
        <v>7</v>
      </c>
      <c r="C948" t="s">
        <v>416</v>
      </c>
      <c r="D948" t="s">
        <v>27</v>
      </c>
      <c r="E948" t="s">
        <v>378</v>
      </c>
      <c r="F948"/>
      <c r="G948">
        <v>1</v>
      </c>
      <c r="H948">
        <v>1000</v>
      </c>
      <c r="J948" cm="1">
        <f t="array" ref="J948">_xlfn.SWITCH(B948,1,75,2,61,3,49,4,37,5,25,6,13,7,4,8,1)</f>
        <v>4</v>
      </c>
      <c r="K948" t="str" cm="1">
        <f t="array" ref="K948">IFERROR(_xlfn.SWITCH(L948,2,_xlfn.XLOOKUP(C948,[1]ModifierDes!$B:$B,[1]ModifierDes!$C:$C),3,_xlfn.XLOOKUP(C948,[1]StuntDes!$B:$B,[1]StuntDes!$C:$C)),"")</f>
        <v/>
      </c>
      <c r="L948">
        <f t="shared" si="43"/>
        <v>1</v>
      </c>
      <c r="M948" s="10" t="str">
        <f>IFERROR(_xlfn.XLOOKUP(C948,[1]StuntDes!$B:$B,[1]StuntDes!$A:$A),"")</f>
        <v/>
      </c>
      <c r="N948" s="10" t="str">
        <f>IFERROR(_xlfn.XLOOKUP(C948,[1]ModifierDes!$B:$B,[1]ModifierDes!$A:$A),"")</f>
        <v/>
      </c>
      <c r="O948" s="10">
        <f>IFERROR(_xlfn.XLOOKUP(C948,[1]AttributeName!$C:$C,[1]AttributeName!$B:$B),"")</f>
        <v>10002</v>
      </c>
      <c r="P948" s="10"/>
      <c r="Q948">
        <v>10</v>
      </c>
      <c r="R948">
        <v>20</v>
      </c>
      <c r="S948" cm="1">
        <f t="array" ref="S948">IFERROR(_xlfn.SWITCH(L948,1,_xlfn.XLOOKUP(O948,[1]AttributeName!$B:$B,[1]AttributeName!$D:$D),2,_xlfn.XLOOKUP(C948,#REF!,#REF!),3,_xlfn.XLOOKUP(C948,#REF!,#REF!)),0)</f>
        <v>0</v>
      </c>
      <c r="T948" cm="1">
        <f t="array" ref="T948">IFERROR(_xlfn.SWITCH(L948,1,_xlfn.XLOOKUP(O948,[1]AttributeName!$B:$B,[1]AttributeName!$E:$E),2,_xlfn.XLOOKUP(C948,#REF!,#REF!),3,_xlfn.XLOOKUP(C948,#REF!,#REF!)),0)</f>
        <v>1</v>
      </c>
    </row>
    <row r="949" customFormat="1" spans="1:20">
      <c r="A949">
        <f t="shared" si="44"/>
        <v>402</v>
      </c>
      <c r="B949">
        <v>8</v>
      </c>
      <c r="C949" t="s">
        <v>416</v>
      </c>
      <c r="D949" t="s">
        <v>27</v>
      </c>
      <c r="E949" t="s">
        <v>378</v>
      </c>
      <c r="F949"/>
      <c r="G949">
        <v>1</v>
      </c>
      <c r="H949">
        <v>1000</v>
      </c>
      <c r="J949" cm="1">
        <f t="array" ref="J949">_xlfn.SWITCH(B949,1,75,2,61,3,49,4,37,5,25,6,13,7,4,8,1)</f>
        <v>1</v>
      </c>
      <c r="K949" t="str" cm="1">
        <f t="array" ref="K949">IFERROR(_xlfn.SWITCH(L949,2,_xlfn.XLOOKUP(C949,[1]ModifierDes!$B:$B,[1]ModifierDes!$C:$C),3,_xlfn.XLOOKUP(C949,[1]StuntDes!$B:$B,[1]StuntDes!$C:$C)),"")</f>
        <v/>
      </c>
      <c r="L949">
        <f t="shared" si="43"/>
        <v>1</v>
      </c>
      <c r="M949" s="10" t="str">
        <f>IFERROR(_xlfn.XLOOKUP(C949,[1]StuntDes!$B:$B,[1]StuntDes!$A:$A),"")</f>
        <v/>
      </c>
      <c r="N949" s="10" t="str">
        <f>IFERROR(_xlfn.XLOOKUP(C949,[1]ModifierDes!$B:$B,[1]ModifierDes!$A:$A),"")</f>
        <v/>
      </c>
      <c r="O949" s="10">
        <f>IFERROR(_xlfn.XLOOKUP(C949,[1]AttributeName!$C:$C,[1]AttributeName!$B:$B),"")</f>
        <v>10002</v>
      </c>
      <c r="P949" s="10"/>
      <c r="Q949">
        <v>5</v>
      </c>
      <c r="R949">
        <v>9</v>
      </c>
      <c r="S949" cm="1">
        <f t="array" ref="S949">IFERROR(_xlfn.SWITCH(L949,1,_xlfn.XLOOKUP(O949,[1]AttributeName!$B:$B,[1]AttributeName!$D:$D),2,_xlfn.XLOOKUP(C949,#REF!,#REF!),3,_xlfn.XLOOKUP(C949,#REF!,#REF!)),0)</f>
        <v>0</v>
      </c>
      <c r="T949" cm="1">
        <f t="array" ref="T949">IFERROR(_xlfn.SWITCH(L949,1,_xlfn.XLOOKUP(O949,[1]AttributeName!$B:$B,[1]AttributeName!$E:$E),2,_xlfn.XLOOKUP(C949,#REF!,#REF!),3,_xlfn.XLOOKUP(C949,#REF!,#REF!)),0)</f>
        <v>1</v>
      </c>
    </row>
    <row r="950" customFormat="1" spans="1:20">
      <c r="A950">
        <f t="shared" si="44"/>
        <v>403</v>
      </c>
      <c r="B950">
        <v>1</v>
      </c>
      <c r="C950" t="s">
        <v>417</v>
      </c>
      <c r="D950" t="s">
        <v>27</v>
      </c>
      <c r="E950" t="s">
        <v>378</v>
      </c>
      <c r="F950"/>
      <c r="G950">
        <v>1</v>
      </c>
      <c r="H950">
        <v>1000</v>
      </c>
      <c r="J950" cm="1">
        <f t="array" ref="J950">_xlfn.SWITCH(B950,1,75,2,61,3,49,4,37,5,25,6,13,7,4,8,1)</f>
        <v>75</v>
      </c>
      <c r="K950" t="str" cm="1">
        <f t="array" ref="K950">IFERROR(_xlfn.SWITCH(L950,2,_xlfn.XLOOKUP(C950,[1]ModifierDes!$B:$B,[1]ModifierDes!$C:$C),3,_xlfn.XLOOKUP(C950,[1]StuntDes!$B:$B,[1]StuntDes!$C:$C)),"")</f>
        <v/>
      </c>
      <c r="L950">
        <f t="shared" si="43"/>
        <v>1</v>
      </c>
      <c r="M950" s="10" t="str">
        <f>IFERROR(_xlfn.XLOOKUP(C950,[1]StuntDes!$B:$B,[1]StuntDes!$A:$A),"")</f>
        <v/>
      </c>
      <c r="N950" s="10" t="str">
        <f>IFERROR(_xlfn.XLOOKUP(C950,[1]ModifierDes!$B:$B,[1]ModifierDes!$A:$A),"")</f>
        <v/>
      </c>
      <c r="O950" s="10">
        <f>IFERROR(_xlfn.XLOOKUP(C950,[1]AttributeName!$C:$C,[1]AttributeName!$B:$B),"")</f>
        <v>10700</v>
      </c>
      <c r="P950" s="10"/>
      <c r="Q950">
        <v>0.08</v>
      </c>
      <c r="R950">
        <v>0.1</v>
      </c>
      <c r="S950" cm="1">
        <f t="array" ref="S950">IFERROR(_xlfn.SWITCH(L950,1,_xlfn.XLOOKUP(O950,[1]AttributeName!$B:$B,[1]AttributeName!$D:$D),2,_xlfn.XLOOKUP(C950,#REF!,#REF!),3,_xlfn.XLOOKUP(C950,#REF!,#REF!)),0)</f>
        <v>2</v>
      </c>
      <c r="T950" cm="1">
        <f t="array" ref="T950">IFERROR(_xlfn.SWITCH(L950,1,_xlfn.XLOOKUP(O950,[1]AttributeName!$B:$B,[1]AttributeName!$E:$E),2,_xlfn.XLOOKUP(C950,#REF!,#REF!),3,_xlfn.XLOOKUP(C950,#REF!,#REF!)),0)</f>
        <v>2</v>
      </c>
    </row>
    <row r="951" customFormat="1" spans="1:20">
      <c r="A951">
        <f t="shared" si="44"/>
        <v>403</v>
      </c>
      <c r="B951">
        <v>2</v>
      </c>
      <c r="C951" t="s">
        <v>417</v>
      </c>
      <c r="D951" t="s">
        <v>27</v>
      </c>
      <c r="E951" t="s">
        <v>378</v>
      </c>
      <c r="F951"/>
      <c r="G951">
        <v>1</v>
      </c>
      <c r="H951">
        <v>1000</v>
      </c>
      <c r="J951" cm="1">
        <f t="array" ref="J951">_xlfn.SWITCH(B951,1,75,2,61,3,49,4,37,5,25,6,13,7,4,8,1)</f>
        <v>61</v>
      </c>
      <c r="K951" t="str" cm="1">
        <f t="array" ref="K951">IFERROR(_xlfn.SWITCH(L951,2,_xlfn.XLOOKUP(C951,[1]ModifierDes!$B:$B,[1]ModifierDes!$C:$C),3,_xlfn.XLOOKUP(C951,[1]StuntDes!$B:$B,[1]StuntDes!$C:$C)),"")</f>
        <v/>
      </c>
      <c r="L951">
        <f t="shared" si="43"/>
        <v>1</v>
      </c>
      <c r="M951" s="10" t="str">
        <f>IFERROR(_xlfn.XLOOKUP(C951,[1]StuntDes!$B:$B,[1]StuntDes!$A:$A),"")</f>
        <v/>
      </c>
      <c r="N951" s="10" t="str">
        <f>IFERROR(_xlfn.XLOOKUP(C951,[1]ModifierDes!$B:$B,[1]ModifierDes!$A:$A),"")</f>
        <v/>
      </c>
      <c r="O951" s="10">
        <f>IFERROR(_xlfn.XLOOKUP(C951,[1]AttributeName!$C:$C,[1]AttributeName!$B:$B),"")</f>
        <v>10700</v>
      </c>
      <c r="P951" s="10"/>
      <c r="Q951">
        <v>0.07</v>
      </c>
      <c r="R951">
        <v>0.07</v>
      </c>
      <c r="S951" cm="1">
        <f t="array" ref="S951">IFERROR(_xlfn.SWITCH(L951,1,_xlfn.XLOOKUP(O951,[1]AttributeName!$B:$B,[1]AttributeName!$D:$D),2,_xlfn.XLOOKUP(C951,#REF!,#REF!),3,_xlfn.XLOOKUP(C951,#REF!,#REF!)),0)</f>
        <v>2</v>
      </c>
      <c r="T951" cm="1">
        <f t="array" ref="T951">IFERROR(_xlfn.SWITCH(L951,1,_xlfn.XLOOKUP(O951,[1]AttributeName!$B:$B,[1]AttributeName!$E:$E),2,_xlfn.XLOOKUP(C951,#REF!,#REF!),3,_xlfn.XLOOKUP(C951,#REF!,#REF!)),0)</f>
        <v>2</v>
      </c>
    </row>
    <row r="952" customFormat="1" spans="1:20">
      <c r="A952">
        <f t="shared" si="44"/>
        <v>403</v>
      </c>
      <c r="B952">
        <v>3</v>
      </c>
      <c r="C952" t="s">
        <v>417</v>
      </c>
      <c r="D952" t="s">
        <v>27</v>
      </c>
      <c r="E952" t="s">
        <v>378</v>
      </c>
      <c r="F952"/>
      <c r="G952">
        <v>1</v>
      </c>
      <c r="H952">
        <v>1000</v>
      </c>
      <c r="J952" cm="1">
        <f t="array" ref="J952">_xlfn.SWITCH(B952,1,75,2,61,3,49,4,37,5,25,6,13,7,4,8,1)</f>
        <v>49</v>
      </c>
      <c r="K952" t="str" cm="1">
        <f t="array" ref="K952">IFERROR(_xlfn.SWITCH(L952,2,_xlfn.XLOOKUP(C952,[1]ModifierDes!$B:$B,[1]ModifierDes!$C:$C),3,_xlfn.XLOOKUP(C952,[1]StuntDes!$B:$B,[1]StuntDes!$C:$C)),"")</f>
        <v/>
      </c>
      <c r="L952">
        <f t="shared" si="43"/>
        <v>1</v>
      </c>
      <c r="M952" s="10" t="str">
        <f>IFERROR(_xlfn.XLOOKUP(C952,[1]StuntDes!$B:$B,[1]StuntDes!$A:$A),"")</f>
        <v/>
      </c>
      <c r="N952" s="10" t="str">
        <f>IFERROR(_xlfn.XLOOKUP(C952,[1]ModifierDes!$B:$B,[1]ModifierDes!$A:$A),"")</f>
        <v/>
      </c>
      <c r="O952" s="10">
        <f>IFERROR(_xlfn.XLOOKUP(C952,[1]AttributeName!$C:$C,[1]AttributeName!$B:$B),"")</f>
        <v>10700</v>
      </c>
      <c r="P952" s="10"/>
      <c r="Q952">
        <v>0.06</v>
      </c>
      <c r="R952">
        <v>0.06</v>
      </c>
      <c r="S952" cm="1">
        <f t="array" ref="S952">IFERROR(_xlfn.SWITCH(L952,1,_xlfn.XLOOKUP(O952,[1]AttributeName!$B:$B,[1]AttributeName!$D:$D),2,_xlfn.XLOOKUP(C952,#REF!,#REF!),3,_xlfn.XLOOKUP(C952,#REF!,#REF!)),0)</f>
        <v>2</v>
      </c>
      <c r="T952" cm="1">
        <f t="array" ref="T952">IFERROR(_xlfn.SWITCH(L952,1,_xlfn.XLOOKUP(O952,[1]AttributeName!$B:$B,[1]AttributeName!$E:$E),2,_xlfn.XLOOKUP(C952,#REF!,#REF!),3,_xlfn.XLOOKUP(C952,#REF!,#REF!)),0)</f>
        <v>2</v>
      </c>
    </row>
    <row r="953" customFormat="1" spans="1:20">
      <c r="A953">
        <f t="shared" si="44"/>
        <v>403</v>
      </c>
      <c r="B953">
        <v>4</v>
      </c>
      <c r="C953" t="s">
        <v>417</v>
      </c>
      <c r="D953" t="s">
        <v>27</v>
      </c>
      <c r="E953" t="s">
        <v>378</v>
      </c>
      <c r="F953"/>
      <c r="G953">
        <v>1</v>
      </c>
      <c r="H953">
        <v>1000</v>
      </c>
      <c r="J953" cm="1">
        <f t="array" ref="J953">_xlfn.SWITCH(B953,1,75,2,61,3,49,4,37,5,25,6,13,7,4,8,1)</f>
        <v>37</v>
      </c>
      <c r="K953" t="str" cm="1">
        <f t="array" ref="K953">IFERROR(_xlfn.SWITCH(L953,2,_xlfn.XLOOKUP(C953,[1]ModifierDes!$B:$B,[1]ModifierDes!$C:$C),3,_xlfn.XLOOKUP(C953,[1]StuntDes!$B:$B,[1]StuntDes!$C:$C)),"")</f>
        <v/>
      </c>
      <c r="L953">
        <f t="shared" si="43"/>
        <v>1</v>
      </c>
      <c r="M953" s="10" t="str">
        <f>IFERROR(_xlfn.XLOOKUP(C953,[1]StuntDes!$B:$B,[1]StuntDes!$A:$A),"")</f>
        <v/>
      </c>
      <c r="N953" s="10" t="str">
        <f>IFERROR(_xlfn.XLOOKUP(C953,[1]ModifierDes!$B:$B,[1]ModifierDes!$A:$A),"")</f>
        <v/>
      </c>
      <c r="O953" s="10">
        <f>IFERROR(_xlfn.XLOOKUP(C953,[1]AttributeName!$C:$C,[1]AttributeName!$B:$B),"")</f>
        <v>10700</v>
      </c>
      <c r="P953" s="10"/>
      <c r="Q953">
        <v>0.05</v>
      </c>
      <c r="R953">
        <v>0.05</v>
      </c>
      <c r="S953" cm="1">
        <f t="array" ref="S953">IFERROR(_xlfn.SWITCH(L953,1,_xlfn.XLOOKUP(O953,[1]AttributeName!$B:$B,[1]AttributeName!$D:$D),2,_xlfn.XLOOKUP(C953,#REF!,#REF!),3,_xlfn.XLOOKUP(C953,#REF!,#REF!)),0)</f>
        <v>2</v>
      </c>
      <c r="T953" cm="1">
        <f t="array" ref="T953">IFERROR(_xlfn.SWITCH(L953,1,_xlfn.XLOOKUP(O953,[1]AttributeName!$B:$B,[1]AttributeName!$E:$E),2,_xlfn.XLOOKUP(C953,#REF!,#REF!),3,_xlfn.XLOOKUP(C953,#REF!,#REF!)),0)</f>
        <v>2</v>
      </c>
    </row>
    <row r="954" customFormat="1" spans="1:20">
      <c r="A954">
        <f t="shared" si="44"/>
        <v>403</v>
      </c>
      <c r="B954">
        <v>5</v>
      </c>
      <c r="C954" t="s">
        <v>417</v>
      </c>
      <c r="D954" t="s">
        <v>27</v>
      </c>
      <c r="E954" t="s">
        <v>378</v>
      </c>
      <c r="F954"/>
      <c r="G954">
        <v>1</v>
      </c>
      <c r="H954">
        <v>1000</v>
      </c>
      <c r="J954" cm="1">
        <f t="array" ref="J954">_xlfn.SWITCH(B954,1,75,2,61,3,49,4,37,5,25,6,13,7,4,8,1)</f>
        <v>25</v>
      </c>
      <c r="K954" t="str" cm="1">
        <f t="array" ref="K954">IFERROR(_xlfn.SWITCH(L954,2,_xlfn.XLOOKUP(C954,[1]ModifierDes!$B:$B,[1]ModifierDes!$C:$C),3,_xlfn.XLOOKUP(C954,[1]StuntDes!$B:$B,[1]StuntDes!$C:$C)),"")</f>
        <v/>
      </c>
      <c r="L954">
        <f t="shared" si="43"/>
        <v>1</v>
      </c>
      <c r="M954" s="10" t="str">
        <f>IFERROR(_xlfn.XLOOKUP(C954,[1]StuntDes!$B:$B,[1]StuntDes!$A:$A),"")</f>
        <v/>
      </c>
      <c r="N954" s="10" t="str">
        <f>IFERROR(_xlfn.XLOOKUP(C954,[1]ModifierDes!$B:$B,[1]ModifierDes!$A:$A),"")</f>
        <v/>
      </c>
      <c r="O954" s="10">
        <f>IFERROR(_xlfn.XLOOKUP(C954,[1]AttributeName!$C:$C,[1]AttributeName!$B:$B),"")</f>
        <v>10700</v>
      </c>
      <c r="P954" s="10"/>
      <c r="Q954">
        <v>0.04</v>
      </c>
      <c r="R954">
        <v>0.04</v>
      </c>
      <c r="S954" cm="1">
        <f t="array" ref="S954">IFERROR(_xlfn.SWITCH(L954,1,_xlfn.XLOOKUP(O954,[1]AttributeName!$B:$B,[1]AttributeName!$D:$D),2,_xlfn.XLOOKUP(C954,#REF!,#REF!),3,_xlfn.XLOOKUP(C954,#REF!,#REF!)),0)</f>
        <v>2</v>
      </c>
      <c r="T954" cm="1">
        <f t="array" ref="T954">IFERROR(_xlfn.SWITCH(L954,1,_xlfn.XLOOKUP(O954,[1]AttributeName!$B:$B,[1]AttributeName!$E:$E),2,_xlfn.XLOOKUP(C954,#REF!,#REF!),3,_xlfn.XLOOKUP(C954,#REF!,#REF!)),0)</f>
        <v>2</v>
      </c>
    </row>
    <row r="955" customFormat="1" spans="1:20">
      <c r="A955">
        <f t="shared" si="44"/>
        <v>403</v>
      </c>
      <c r="B955">
        <v>6</v>
      </c>
      <c r="C955" t="s">
        <v>417</v>
      </c>
      <c r="D955" t="s">
        <v>27</v>
      </c>
      <c r="E955" t="s">
        <v>378</v>
      </c>
      <c r="F955"/>
      <c r="G955">
        <v>1</v>
      </c>
      <c r="H955">
        <v>1000</v>
      </c>
      <c r="J955" cm="1">
        <f t="array" ref="J955">_xlfn.SWITCH(B955,1,75,2,61,3,49,4,37,5,25,6,13,7,4,8,1)</f>
        <v>13</v>
      </c>
      <c r="K955" t="str" cm="1">
        <f t="array" ref="K955">IFERROR(_xlfn.SWITCH(L955,2,_xlfn.XLOOKUP(C955,[1]ModifierDes!$B:$B,[1]ModifierDes!$C:$C),3,_xlfn.XLOOKUP(C955,[1]StuntDes!$B:$B,[1]StuntDes!$C:$C)),"")</f>
        <v/>
      </c>
      <c r="L955">
        <f t="shared" si="43"/>
        <v>1</v>
      </c>
      <c r="M955" s="10" t="str">
        <f>IFERROR(_xlfn.XLOOKUP(C955,[1]StuntDes!$B:$B,[1]StuntDes!$A:$A),"")</f>
        <v/>
      </c>
      <c r="N955" s="10" t="str">
        <f>IFERROR(_xlfn.XLOOKUP(C955,[1]ModifierDes!$B:$B,[1]ModifierDes!$A:$A),"")</f>
        <v/>
      </c>
      <c r="O955" s="10">
        <f>IFERROR(_xlfn.XLOOKUP(C955,[1]AttributeName!$C:$C,[1]AttributeName!$B:$B),"")</f>
        <v>10700</v>
      </c>
      <c r="P955" s="10"/>
      <c r="Q955">
        <v>0.03</v>
      </c>
      <c r="R955">
        <v>0.03</v>
      </c>
      <c r="S955" cm="1">
        <f t="array" ref="S955">IFERROR(_xlfn.SWITCH(L955,1,_xlfn.XLOOKUP(O955,[1]AttributeName!$B:$B,[1]AttributeName!$D:$D),2,_xlfn.XLOOKUP(C955,#REF!,#REF!),3,_xlfn.XLOOKUP(C955,#REF!,#REF!)),0)</f>
        <v>2</v>
      </c>
      <c r="T955" cm="1">
        <f t="array" ref="T955">IFERROR(_xlfn.SWITCH(L955,1,_xlfn.XLOOKUP(O955,[1]AttributeName!$B:$B,[1]AttributeName!$E:$E),2,_xlfn.XLOOKUP(C955,#REF!,#REF!),3,_xlfn.XLOOKUP(C955,#REF!,#REF!)),0)</f>
        <v>2</v>
      </c>
    </row>
    <row r="956" customFormat="1" spans="1:20">
      <c r="A956">
        <f t="shared" si="44"/>
        <v>403</v>
      </c>
      <c r="B956">
        <v>7</v>
      </c>
      <c r="C956" t="s">
        <v>417</v>
      </c>
      <c r="D956" t="s">
        <v>27</v>
      </c>
      <c r="E956" t="s">
        <v>378</v>
      </c>
      <c r="F956"/>
      <c r="G956">
        <v>1</v>
      </c>
      <c r="H956">
        <v>1000</v>
      </c>
      <c r="J956" cm="1">
        <f t="array" ref="J956">_xlfn.SWITCH(B956,1,75,2,61,3,49,4,37,5,25,6,13,7,4,8,1)</f>
        <v>4</v>
      </c>
      <c r="K956" t="str" cm="1">
        <f t="array" ref="K956">IFERROR(_xlfn.SWITCH(L956,2,_xlfn.XLOOKUP(C956,[1]ModifierDes!$B:$B,[1]ModifierDes!$C:$C),3,_xlfn.XLOOKUP(C956,[1]StuntDes!$B:$B,[1]StuntDes!$C:$C)),"")</f>
        <v/>
      </c>
      <c r="L956">
        <f t="shared" si="43"/>
        <v>1</v>
      </c>
      <c r="M956" s="10" t="str">
        <f>IFERROR(_xlfn.XLOOKUP(C956,[1]StuntDes!$B:$B,[1]StuntDes!$A:$A),"")</f>
        <v/>
      </c>
      <c r="N956" s="10" t="str">
        <f>IFERROR(_xlfn.XLOOKUP(C956,[1]ModifierDes!$B:$B,[1]ModifierDes!$A:$A),"")</f>
        <v/>
      </c>
      <c r="O956" s="10">
        <f>IFERROR(_xlfn.XLOOKUP(C956,[1]AttributeName!$C:$C,[1]AttributeName!$B:$B),"")</f>
        <v>10700</v>
      </c>
      <c r="P956" s="10"/>
      <c r="Q956">
        <v>0.02</v>
      </c>
      <c r="R956">
        <v>0.02</v>
      </c>
      <c r="S956" cm="1">
        <f t="array" ref="S956">IFERROR(_xlfn.SWITCH(L956,1,_xlfn.XLOOKUP(O956,[1]AttributeName!$B:$B,[1]AttributeName!$D:$D),2,_xlfn.XLOOKUP(C956,#REF!,#REF!),3,_xlfn.XLOOKUP(C956,#REF!,#REF!)),0)</f>
        <v>2</v>
      </c>
      <c r="T956" cm="1">
        <f t="array" ref="T956">IFERROR(_xlfn.SWITCH(L956,1,_xlfn.XLOOKUP(O956,[1]AttributeName!$B:$B,[1]AttributeName!$E:$E),2,_xlfn.XLOOKUP(C956,#REF!,#REF!),3,_xlfn.XLOOKUP(C956,#REF!,#REF!)),0)</f>
        <v>2</v>
      </c>
    </row>
    <row r="957" customFormat="1" spans="1:20">
      <c r="A957">
        <f t="shared" si="44"/>
        <v>403</v>
      </c>
      <c r="B957">
        <v>8</v>
      </c>
      <c r="C957" t="s">
        <v>417</v>
      </c>
      <c r="D957" t="s">
        <v>27</v>
      </c>
      <c r="E957" t="s">
        <v>378</v>
      </c>
      <c r="F957"/>
      <c r="G957">
        <v>1</v>
      </c>
      <c r="H957">
        <v>1000</v>
      </c>
      <c r="J957" cm="1">
        <f t="array" ref="J957">_xlfn.SWITCH(B957,1,75,2,61,3,49,4,37,5,25,6,13,7,4,8,1)</f>
        <v>1</v>
      </c>
      <c r="K957" t="str" cm="1">
        <f t="array" ref="K957">IFERROR(_xlfn.SWITCH(L957,2,_xlfn.XLOOKUP(C957,[1]ModifierDes!$B:$B,[1]ModifierDes!$C:$C),3,_xlfn.XLOOKUP(C957,[1]StuntDes!$B:$B,[1]StuntDes!$C:$C)),"")</f>
        <v/>
      </c>
      <c r="L957">
        <f t="shared" si="43"/>
        <v>1</v>
      </c>
      <c r="M957" s="10" t="str">
        <f>IFERROR(_xlfn.XLOOKUP(C957,[1]StuntDes!$B:$B,[1]StuntDes!$A:$A),"")</f>
        <v/>
      </c>
      <c r="N957" s="10" t="str">
        <f>IFERROR(_xlfn.XLOOKUP(C957,[1]ModifierDes!$B:$B,[1]ModifierDes!$A:$A),"")</f>
        <v/>
      </c>
      <c r="O957" s="10">
        <f>IFERROR(_xlfn.XLOOKUP(C957,[1]AttributeName!$C:$C,[1]AttributeName!$B:$B),"")</f>
        <v>10700</v>
      </c>
      <c r="P957" s="10"/>
      <c r="Q957">
        <v>0.01</v>
      </c>
      <c r="R957">
        <v>0.01</v>
      </c>
      <c r="S957" cm="1">
        <f t="array" ref="S957">IFERROR(_xlfn.SWITCH(L957,1,_xlfn.XLOOKUP(O957,[1]AttributeName!$B:$B,[1]AttributeName!$D:$D),2,_xlfn.XLOOKUP(C957,#REF!,#REF!),3,_xlfn.XLOOKUP(C957,#REF!,#REF!)),0)</f>
        <v>2</v>
      </c>
      <c r="T957" cm="1">
        <f t="array" ref="T957">IFERROR(_xlfn.SWITCH(L957,1,_xlfn.XLOOKUP(O957,[1]AttributeName!$B:$B,[1]AttributeName!$E:$E),2,_xlfn.XLOOKUP(C957,#REF!,#REF!),3,_xlfn.XLOOKUP(C957,#REF!,#REF!)),0)</f>
        <v>2</v>
      </c>
    </row>
    <row r="958" customFormat="1" spans="1:20">
      <c r="A958">
        <f t="shared" si="44"/>
        <v>404</v>
      </c>
      <c r="B958">
        <v>1</v>
      </c>
      <c r="C958" t="s">
        <v>383</v>
      </c>
      <c r="D958" t="s">
        <v>27</v>
      </c>
      <c r="E958" t="s">
        <v>378</v>
      </c>
      <c r="F958"/>
      <c r="G958">
        <v>1</v>
      </c>
      <c r="H958">
        <v>50</v>
      </c>
      <c r="J958" cm="1">
        <f t="array" ref="J958">_xlfn.SWITCH(B958,1,75,2,61,3,49,4,37,5,25,6,13,7,4,8,1)</f>
        <v>75</v>
      </c>
      <c r="K958" t="str" cm="1">
        <f t="array" ref="K958">IFERROR(_xlfn.SWITCH(L958,2,_xlfn.XLOOKUP(C958,[1]ModifierDes!$B:$B,[1]ModifierDes!$C:$C),3,_xlfn.XLOOKUP(C958,[1]StuntDes!$B:$B,[1]StuntDes!$C:$C)),"")</f>
        <v>攻击伤害提高{0}</v>
      </c>
      <c r="L958">
        <f t="shared" si="43"/>
        <v>2</v>
      </c>
      <c r="M958" s="10" t="str">
        <f>IFERROR(_xlfn.XLOOKUP(C958,[1]StuntDes!$B:$B,[1]StuntDes!$A:$A),"")</f>
        <v/>
      </c>
      <c r="N958" s="10">
        <f>IFERROR(_xlfn.XLOOKUP(C958,[1]ModifierDes!$B:$B,[1]ModifierDes!$A:$A),"")</f>
        <v>10066</v>
      </c>
      <c r="O958" s="10" t="str">
        <f>IFERROR(_xlfn.XLOOKUP(C958,[1]AttributeName!$C:$C,[1]AttributeName!$B:$B),"")</f>
        <v/>
      </c>
      <c r="P958" s="10"/>
      <c r="Q958">
        <v>0.25</v>
      </c>
      <c r="R958">
        <v>0.35</v>
      </c>
      <c r="S958" cm="1">
        <f t="array" ref="S958">IFERROR(_xlfn.SWITCH(L958,1,_xlfn.XLOOKUP(O958,[1]AttributeName!$B:$B,[1]AttributeName!$D:$D),2,_xlfn.XLOOKUP(C958,#REF!,#REF!),3,_xlfn.XLOOKUP(C958,#REF!,#REF!)),0)</f>
        <v>0</v>
      </c>
      <c r="T958" cm="1">
        <f t="array" ref="T958">IFERROR(_xlfn.SWITCH(L958,1,_xlfn.XLOOKUP(O958,[1]AttributeName!$B:$B,[1]AttributeName!$E:$E),2,_xlfn.XLOOKUP(C958,#REF!,#REF!),3,_xlfn.XLOOKUP(C958,#REF!,#REF!)),0)</f>
        <v>0</v>
      </c>
    </row>
    <row r="959" customFormat="1" spans="1:20">
      <c r="A959">
        <f t="shared" si="44"/>
        <v>404</v>
      </c>
      <c r="B959">
        <v>2</v>
      </c>
      <c r="C959" t="s">
        <v>383</v>
      </c>
      <c r="D959" t="s">
        <v>27</v>
      </c>
      <c r="E959" t="s">
        <v>378</v>
      </c>
      <c r="F959"/>
      <c r="G959">
        <v>1</v>
      </c>
      <c r="H959">
        <v>100</v>
      </c>
      <c r="I959">
        <v>3</v>
      </c>
      <c r="J959" cm="1">
        <f t="array" ref="J959">_xlfn.SWITCH(B959,1,75,2,61,3,49,4,37,5,25,6,13,7,4,8,1)</f>
        <v>61</v>
      </c>
      <c r="K959" t="str" cm="1">
        <f t="array" ref="K959">IFERROR(_xlfn.SWITCH(L959,2,_xlfn.XLOOKUP(C959,[1]ModifierDes!$B:$B,[1]ModifierDes!$C:$C),3,_xlfn.XLOOKUP(C959,[1]StuntDes!$B:$B,[1]StuntDes!$C:$C)),"")</f>
        <v>攻击伤害提高{0}</v>
      </c>
      <c r="L959">
        <f t="shared" si="43"/>
        <v>2</v>
      </c>
      <c r="M959" s="10" t="str">
        <f>IFERROR(_xlfn.XLOOKUP(C959,[1]StuntDes!$B:$B,[1]StuntDes!$A:$A),"")</f>
        <v/>
      </c>
      <c r="N959" s="10">
        <f>IFERROR(_xlfn.XLOOKUP(C959,[1]ModifierDes!$B:$B,[1]ModifierDes!$A:$A),"")</f>
        <v>10066</v>
      </c>
      <c r="O959" s="10" t="str">
        <f>IFERROR(_xlfn.XLOOKUP(C959,[1]AttributeName!$C:$C,[1]AttributeName!$B:$B),"")</f>
        <v/>
      </c>
      <c r="P959" s="10"/>
      <c r="Q959">
        <v>0.22</v>
      </c>
      <c r="R959">
        <v>0.24</v>
      </c>
      <c r="S959" cm="1">
        <f t="array" ref="S959">IFERROR(_xlfn.SWITCH(L959,1,_xlfn.XLOOKUP(O959,[1]AttributeName!$B:$B,[1]AttributeName!$D:$D),2,_xlfn.XLOOKUP(C959,#REF!,#REF!),3,_xlfn.XLOOKUP(C959,#REF!,#REF!)),0)</f>
        <v>0</v>
      </c>
      <c r="T959" cm="1">
        <f t="array" ref="T959">IFERROR(_xlfn.SWITCH(L959,1,_xlfn.XLOOKUP(O959,[1]AttributeName!$B:$B,[1]AttributeName!$E:$E),2,_xlfn.XLOOKUP(C959,#REF!,#REF!),3,_xlfn.XLOOKUP(C959,#REF!,#REF!)),0)</f>
        <v>0</v>
      </c>
    </row>
    <row r="960" customFormat="1" spans="1:20">
      <c r="A960">
        <f t="shared" si="44"/>
        <v>404</v>
      </c>
      <c r="B960">
        <v>3</v>
      </c>
      <c r="C960" t="s">
        <v>383</v>
      </c>
      <c r="D960" t="s">
        <v>27</v>
      </c>
      <c r="E960" t="s">
        <v>378</v>
      </c>
      <c r="F960"/>
      <c r="G960">
        <v>1</v>
      </c>
      <c r="H960">
        <v>200</v>
      </c>
      <c r="I960">
        <v>3</v>
      </c>
      <c r="J960" cm="1">
        <f t="array" ref="J960">_xlfn.SWITCH(B960,1,75,2,61,3,49,4,37,5,25,6,13,7,4,8,1)</f>
        <v>49</v>
      </c>
      <c r="K960" t="str" cm="1">
        <f t="array" ref="K960">IFERROR(_xlfn.SWITCH(L960,2,_xlfn.XLOOKUP(C960,[1]ModifierDes!$B:$B,[1]ModifierDes!$C:$C),3,_xlfn.XLOOKUP(C960,[1]StuntDes!$B:$B,[1]StuntDes!$C:$C)),"")</f>
        <v>攻击伤害提高{0}</v>
      </c>
      <c r="L960">
        <f t="shared" si="43"/>
        <v>2</v>
      </c>
      <c r="M960" s="10" t="str">
        <f>IFERROR(_xlfn.XLOOKUP(C960,[1]StuntDes!$B:$B,[1]StuntDes!$A:$A),"")</f>
        <v/>
      </c>
      <c r="N960" s="10">
        <f>IFERROR(_xlfn.XLOOKUP(C960,[1]ModifierDes!$B:$B,[1]ModifierDes!$A:$A),"")</f>
        <v>10066</v>
      </c>
      <c r="O960" s="10" t="str">
        <f>IFERROR(_xlfn.XLOOKUP(C960,[1]AttributeName!$C:$C,[1]AttributeName!$B:$B),"")</f>
        <v/>
      </c>
      <c r="P960" s="10"/>
      <c r="Q960">
        <v>0.19</v>
      </c>
      <c r="R960">
        <v>0.21</v>
      </c>
      <c r="S960" cm="1">
        <f t="array" ref="S960">IFERROR(_xlfn.SWITCH(L960,1,_xlfn.XLOOKUP(O960,[1]AttributeName!$B:$B,[1]AttributeName!$D:$D),2,_xlfn.XLOOKUP(C960,#REF!,#REF!),3,_xlfn.XLOOKUP(C960,#REF!,#REF!)),0)</f>
        <v>0</v>
      </c>
      <c r="T960" cm="1">
        <f t="array" ref="T960">IFERROR(_xlfn.SWITCH(L960,1,_xlfn.XLOOKUP(O960,[1]AttributeName!$B:$B,[1]AttributeName!$E:$E),2,_xlfn.XLOOKUP(C960,#REF!,#REF!),3,_xlfn.XLOOKUP(C960,#REF!,#REF!)),0)</f>
        <v>0</v>
      </c>
    </row>
    <row r="961" customFormat="1" spans="1:20">
      <c r="A961">
        <f t="shared" si="44"/>
        <v>404</v>
      </c>
      <c r="B961">
        <v>4</v>
      </c>
      <c r="C961" t="s">
        <v>383</v>
      </c>
      <c r="D961" t="s">
        <v>27</v>
      </c>
      <c r="E961" t="s">
        <v>378</v>
      </c>
      <c r="F961"/>
      <c r="G961">
        <v>1</v>
      </c>
      <c r="H961">
        <v>500</v>
      </c>
      <c r="I961">
        <v>3</v>
      </c>
      <c r="J961" cm="1">
        <f t="array" ref="J961">_xlfn.SWITCH(B961,1,75,2,61,3,49,4,37,5,25,6,13,7,4,8,1)</f>
        <v>37</v>
      </c>
      <c r="K961" t="str" cm="1">
        <f t="array" ref="K961">IFERROR(_xlfn.SWITCH(L961,2,_xlfn.XLOOKUP(C961,[1]ModifierDes!$B:$B,[1]ModifierDes!$C:$C),3,_xlfn.XLOOKUP(C961,[1]StuntDes!$B:$B,[1]StuntDes!$C:$C)),"")</f>
        <v>攻击伤害提高{0}</v>
      </c>
      <c r="L961">
        <f t="shared" si="43"/>
        <v>2</v>
      </c>
      <c r="M961" s="10" t="str">
        <f>IFERROR(_xlfn.XLOOKUP(C961,[1]StuntDes!$B:$B,[1]StuntDes!$A:$A),"")</f>
        <v/>
      </c>
      <c r="N961" s="10">
        <f>IFERROR(_xlfn.XLOOKUP(C961,[1]ModifierDes!$B:$B,[1]ModifierDes!$A:$A),"")</f>
        <v>10066</v>
      </c>
      <c r="O961" s="10" t="str">
        <f>IFERROR(_xlfn.XLOOKUP(C961,[1]AttributeName!$C:$C,[1]AttributeName!$B:$B),"")</f>
        <v/>
      </c>
      <c r="P961" s="10"/>
      <c r="Q961">
        <v>0.16</v>
      </c>
      <c r="R961">
        <v>0.18</v>
      </c>
      <c r="S961" cm="1">
        <f t="array" ref="S961">IFERROR(_xlfn.SWITCH(L961,1,_xlfn.XLOOKUP(O961,[1]AttributeName!$B:$B,[1]AttributeName!$D:$D),2,_xlfn.XLOOKUP(C961,#REF!,#REF!),3,_xlfn.XLOOKUP(C961,#REF!,#REF!)),0)</f>
        <v>0</v>
      </c>
      <c r="T961" cm="1">
        <f t="array" ref="T961">IFERROR(_xlfn.SWITCH(L961,1,_xlfn.XLOOKUP(O961,[1]AttributeName!$B:$B,[1]AttributeName!$E:$E),2,_xlfn.XLOOKUP(C961,#REF!,#REF!),3,_xlfn.XLOOKUP(C961,#REF!,#REF!)),0)</f>
        <v>0</v>
      </c>
    </row>
    <row r="962" customFormat="1" spans="1:20">
      <c r="A962">
        <f t="shared" si="44"/>
        <v>404</v>
      </c>
      <c r="B962">
        <v>5</v>
      </c>
      <c r="C962" t="s">
        <v>383</v>
      </c>
      <c r="D962" t="s">
        <v>27</v>
      </c>
      <c r="E962" t="s">
        <v>378</v>
      </c>
      <c r="F962"/>
      <c r="G962">
        <v>1</v>
      </c>
      <c r="H962">
        <v>750</v>
      </c>
      <c r="I962">
        <v>3</v>
      </c>
      <c r="J962" cm="1">
        <f t="array" ref="J962">_xlfn.SWITCH(B962,1,75,2,61,3,49,4,37,5,25,6,13,7,4,8,1)</f>
        <v>25</v>
      </c>
      <c r="K962" t="str" cm="1">
        <f t="array" ref="K962">IFERROR(_xlfn.SWITCH(L962,2,_xlfn.XLOOKUP(C962,[1]ModifierDes!$B:$B,[1]ModifierDes!$C:$C),3,_xlfn.XLOOKUP(C962,[1]StuntDes!$B:$B,[1]StuntDes!$C:$C)),"")</f>
        <v>攻击伤害提高{0}</v>
      </c>
      <c r="L962">
        <f t="shared" si="43"/>
        <v>2</v>
      </c>
      <c r="M962" s="10" t="str">
        <f>IFERROR(_xlfn.XLOOKUP(C962,[1]StuntDes!$B:$B,[1]StuntDes!$A:$A),"")</f>
        <v/>
      </c>
      <c r="N962" s="10">
        <f>IFERROR(_xlfn.XLOOKUP(C962,[1]ModifierDes!$B:$B,[1]ModifierDes!$A:$A),"")</f>
        <v>10066</v>
      </c>
      <c r="O962" s="10" t="str">
        <f>IFERROR(_xlfn.XLOOKUP(C962,[1]AttributeName!$C:$C,[1]AttributeName!$B:$B),"")</f>
        <v/>
      </c>
      <c r="P962" s="10"/>
      <c r="Q962">
        <v>0.13</v>
      </c>
      <c r="R962">
        <v>0.15</v>
      </c>
      <c r="S962" cm="1">
        <f t="array" ref="S962">IFERROR(_xlfn.SWITCH(L962,1,_xlfn.XLOOKUP(O962,[1]AttributeName!$B:$B,[1]AttributeName!$D:$D),2,_xlfn.XLOOKUP(C962,#REF!,#REF!),3,_xlfn.XLOOKUP(C962,#REF!,#REF!)),0)</f>
        <v>0</v>
      </c>
      <c r="T962" cm="1">
        <f t="array" ref="T962">IFERROR(_xlfn.SWITCH(L962,1,_xlfn.XLOOKUP(O962,[1]AttributeName!$B:$B,[1]AttributeName!$E:$E),2,_xlfn.XLOOKUP(C962,#REF!,#REF!),3,_xlfn.XLOOKUP(C962,#REF!,#REF!)),0)</f>
        <v>0</v>
      </c>
    </row>
    <row r="963" customFormat="1" spans="1:20">
      <c r="A963">
        <f t="shared" si="44"/>
        <v>404</v>
      </c>
      <c r="B963">
        <v>6</v>
      </c>
      <c r="C963" t="s">
        <v>383</v>
      </c>
      <c r="D963" t="s">
        <v>27</v>
      </c>
      <c r="E963" t="s">
        <v>378</v>
      </c>
      <c r="F963"/>
      <c r="G963">
        <v>1</v>
      </c>
      <c r="H963">
        <v>1000</v>
      </c>
      <c r="I963">
        <v>3</v>
      </c>
      <c r="J963" cm="1">
        <f t="array" ref="J963">_xlfn.SWITCH(B963,1,75,2,61,3,49,4,37,5,25,6,13,7,4,8,1)</f>
        <v>13</v>
      </c>
      <c r="K963" t="str" cm="1">
        <f t="array" ref="K963">IFERROR(_xlfn.SWITCH(L963,2,_xlfn.XLOOKUP(C963,[1]ModifierDes!$B:$B,[1]ModifierDes!$C:$C),3,_xlfn.XLOOKUP(C963,[1]StuntDes!$B:$B,[1]StuntDes!$C:$C)),"")</f>
        <v>攻击伤害提高{0}</v>
      </c>
      <c r="L963">
        <f t="shared" si="43"/>
        <v>2</v>
      </c>
      <c r="M963" s="10" t="str">
        <f>IFERROR(_xlfn.XLOOKUP(C963,[1]StuntDes!$B:$B,[1]StuntDes!$A:$A),"")</f>
        <v/>
      </c>
      <c r="N963" s="10">
        <f>IFERROR(_xlfn.XLOOKUP(C963,[1]ModifierDes!$B:$B,[1]ModifierDes!$A:$A),"")</f>
        <v>10066</v>
      </c>
      <c r="O963" s="10" t="str">
        <f>IFERROR(_xlfn.XLOOKUP(C963,[1]AttributeName!$C:$C,[1]AttributeName!$B:$B),"")</f>
        <v/>
      </c>
      <c r="P963" s="10"/>
      <c r="Q963">
        <v>0.0999999999999999</v>
      </c>
      <c r="R963">
        <v>0.12</v>
      </c>
      <c r="S963" cm="1">
        <f t="array" ref="S963">IFERROR(_xlfn.SWITCH(L963,1,_xlfn.XLOOKUP(O963,[1]AttributeName!$B:$B,[1]AttributeName!$D:$D),2,_xlfn.XLOOKUP(C963,#REF!,#REF!),3,_xlfn.XLOOKUP(C963,#REF!,#REF!)),0)</f>
        <v>0</v>
      </c>
      <c r="T963" cm="1">
        <f t="array" ref="T963">IFERROR(_xlfn.SWITCH(L963,1,_xlfn.XLOOKUP(O963,[1]AttributeName!$B:$B,[1]AttributeName!$E:$E),2,_xlfn.XLOOKUP(C963,#REF!,#REF!),3,_xlfn.XLOOKUP(C963,#REF!,#REF!)),0)</f>
        <v>0</v>
      </c>
    </row>
    <row r="964" customFormat="1" spans="1:20">
      <c r="A964">
        <f t="shared" si="44"/>
        <v>404</v>
      </c>
      <c r="B964">
        <v>7</v>
      </c>
      <c r="C964" t="s">
        <v>383</v>
      </c>
      <c r="D964" t="s">
        <v>27</v>
      </c>
      <c r="E964" t="s">
        <v>378</v>
      </c>
      <c r="F964"/>
      <c r="G964">
        <v>1</v>
      </c>
      <c r="H964">
        <v>1000</v>
      </c>
      <c r="I964">
        <v>3</v>
      </c>
      <c r="J964" cm="1">
        <f t="array" ref="J964">_xlfn.SWITCH(B964,1,75,2,61,3,49,4,37,5,25,6,13,7,4,8,1)</f>
        <v>4</v>
      </c>
      <c r="K964" t="str" cm="1">
        <f t="array" ref="K964">IFERROR(_xlfn.SWITCH(L964,2,_xlfn.XLOOKUP(C964,[1]ModifierDes!$B:$B,[1]ModifierDes!$C:$C),3,_xlfn.XLOOKUP(C964,[1]StuntDes!$B:$B,[1]StuntDes!$C:$C)),"")</f>
        <v>攻击伤害提高{0}</v>
      </c>
      <c r="L964">
        <f t="shared" ref="L964:L1027" si="45">IF(M964="",IF(N964="",1,2),3)</f>
        <v>2</v>
      </c>
      <c r="M964" s="10" t="str">
        <f>IFERROR(_xlfn.XLOOKUP(C964,[1]StuntDes!$B:$B,[1]StuntDes!$A:$A),"")</f>
        <v/>
      </c>
      <c r="N964" s="10">
        <f>IFERROR(_xlfn.XLOOKUP(C964,[1]ModifierDes!$B:$B,[1]ModifierDes!$A:$A),"")</f>
        <v>10066</v>
      </c>
      <c r="O964" s="10" t="str">
        <f>IFERROR(_xlfn.XLOOKUP(C964,[1]AttributeName!$C:$C,[1]AttributeName!$B:$B),"")</f>
        <v/>
      </c>
      <c r="P964" s="10"/>
      <c r="Q964">
        <v>0.0699999999999999</v>
      </c>
      <c r="R964">
        <v>0.09</v>
      </c>
      <c r="S964" cm="1">
        <f t="array" ref="S964">IFERROR(_xlfn.SWITCH(L964,1,_xlfn.XLOOKUP(O964,[1]AttributeName!$B:$B,[1]AttributeName!$D:$D),2,_xlfn.XLOOKUP(C964,#REF!,#REF!),3,_xlfn.XLOOKUP(C964,#REF!,#REF!)),0)</f>
        <v>0</v>
      </c>
      <c r="T964" cm="1">
        <f t="array" ref="T964">IFERROR(_xlfn.SWITCH(L964,1,_xlfn.XLOOKUP(O964,[1]AttributeName!$B:$B,[1]AttributeName!$E:$E),2,_xlfn.XLOOKUP(C964,#REF!,#REF!),3,_xlfn.XLOOKUP(C964,#REF!,#REF!)),0)</f>
        <v>0</v>
      </c>
    </row>
    <row r="965" customFormat="1" spans="1:20">
      <c r="A965">
        <f t="shared" si="44"/>
        <v>404</v>
      </c>
      <c r="B965">
        <v>8</v>
      </c>
      <c r="C965" t="s">
        <v>383</v>
      </c>
      <c r="D965" t="s">
        <v>27</v>
      </c>
      <c r="E965" t="s">
        <v>378</v>
      </c>
      <c r="F965"/>
      <c r="G965">
        <v>1</v>
      </c>
      <c r="H965">
        <v>1000</v>
      </c>
      <c r="I965">
        <v>3</v>
      </c>
      <c r="J965" cm="1">
        <f t="array" ref="J965">_xlfn.SWITCH(B965,1,75,2,61,3,49,4,37,5,25,6,13,7,4,8,1)</f>
        <v>1</v>
      </c>
      <c r="K965" t="str" cm="1">
        <f t="array" ref="K965">IFERROR(_xlfn.SWITCH(L965,2,_xlfn.XLOOKUP(C965,[1]ModifierDes!$B:$B,[1]ModifierDes!$C:$C),3,_xlfn.XLOOKUP(C965,[1]StuntDes!$B:$B,[1]StuntDes!$C:$C)),"")</f>
        <v>攻击伤害提高{0}</v>
      </c>
      <c r="L965">
        <f t="shared" si="45"/>
        <v>2</v>
      </c>
      <c r="M965" s="10" t="str">
        <f>IFERROR(_xlfn.XLOOKUP(C965,[1]StuntDes!$B:$B,[1]StuntDes!$A:$A),"")</f>
        <v/>
      </c>
      <c r="N965" s="10">
        <f>IFERROR(_xlfn.XLOOKUP(C965,[1]ModifierDes!$B:$B,[1]ModifierDes!$A:$A),"")</f>
        <v>10066</v>
      </c>
      <c r="O965" s="10" t="str">
        <f>IFERROR(_xlfn.XLOOKUP(C965,[1]AttributeName!$C:$C,[1]AttributeName!$B:$B),"")</f>
        <v/>
      </c>
      <c r="P965" s="10"/>
      <c r="Q965">
        <v>0.0399999999999998</v>
      </c>
      <c r="R965">
        <v>0.06</v>
      </c>
      <c r="S965" cm="1">
        <f t="array" ref="S965">IFERROR(_xlfn.SWITCH(L965,1,_xlfn.XLOOKUP(O965,[1]AttributeName!$B:$B,[1]AttributeName!$D:$D),2,_xlfn.XLOOKUP(C965,#REF!,#REF!),3,_xlfn.XLOOKUP(C965,#REF!,#REF!)),0)</f>
        <v>0</v>
      </c>
      <c r="T965" cm="1">
        <f t="array" ref="T965">IFERROR(_xlfn.SWITCH(L965,1,_xlfn.XLOOKUP(O965,[1]AttributeName!$B:$B,[1]AttributeName!$E:$E),2,_xlfn.XLOOKUP(C965,#REF!,#REF!),3,_xlfn.XLOOKUP(C965,#REF!,#REF!)),0)</f>
        <v>0</v>
      </c>
    </row>
    <row r="966" customFormat="1" spans="1:20">
      <c r="A966">
        <f t="shared" si="44"/>
        <v>405</v>
      </c>
      <c r="B966">
        <v>1</v>
      </c>
      <c r="C966" t="s">
        <v>418</v>
      </c>
      <c r="D966" t="s">
        <v>27</v>
      </c>
      <c r="E966" t="s">
        <v>378</v>
      </c>
      <c r="F966"/>
      <c r="G966">
        <v>1</v>
      </c>
      <c r="H966">
        <v>50</v>
      </c>
      <c r="I966">
        <v>3</v>
      </c>
      <c r="J966" cm="1">
        <f t="array" ref="J966">_xlfn.SWITCH(B966,1,75,2,61,3,49,4,37,5,25,6,13,7,4,8,1)</f>
        <v>75</v>
      </c>
      <c r="K966" t="str" cm="1">
        <f t="array" ref="K966">IFERROR(_xlfn.SWITCH(L966,2,_xlfn.XLOOKUP(C966,[1]ModifierDes!$B:$B,[1]ModifierDes!$C:$C),3,_xlfn.XLOOKUP(C966,[1]StuntDes!$B:$B,[1]StuntDes!$C:$C)),"")</f>
        <v>法术伤害提高{0}</v>
      </c>
      <c r="L966">
        <f t="shared" si="45"/>
        <v>2</v>
      </c>
      <c r="M966" s="10" t="str">
        <f>IFERROR(_xlfn.XLOOKUP(C966,[1]StuntDes!$B:$B,[1]StuntDes!$A:$A),"")</f>
        <v/>
      </c>
      <c r="N966" s="10">
        <f>IFERROR(_xlfn.XLOOKUP(C966,[1]ModifierDes!$B:$B,[1]ModifierDes!$A:$A),"")</f>
        <v>10067</v>
      </c>
      <c r="O966" s="10" t="str">
        <f>IFERROR(_xlfn.XLOOKUP(C966,[1]AttributeName!$C:$C,[1]AttributeName!$B:$B),"")</f>
        <v/>
      </c>
      <c r="P966" s="10"/>
      <c r="Q966">
        <v>0.25</v>
      </c>
      <c r="R966">
        <v>0.35</v>
      </c>
      <c r="S966" cm="1">
        <f t="array" ref="S966">IFERROR(_xlfn.SWITCH(L966,1,_xlfn.XLOOKUP(O966,[1]AttributeName!$B:$B,[1]AttributeName!$D:$D),2,_xlfn.XLOOKUP(C966,#REF!,#REF!),3,_xlfn.XLOOKUP(C966,#REF!,#REF!)),0)</f>
        <v>0</v>
      </c>
      <c r="T966" cm="1">
        <f t="array" ref="T966">IFERROR(_xlfn.SWITCH(L966,1,_xlfn.XLOOKUP(O966,[1]AttributeName!$B:$B,[1]AttributeName!$E:$E),2,_xlfn.XLOOKUP(C966,#REF!,#REF!),3,_xlfn.XLOOKUP(C966,#REF!,#REF!)),0)</f>
        <v>0</v>
      </c>
    </row>
    <row r="967" customFormat="1" spans="1:20">
      <c r="A967">
        <f t="shared" si="44"/>
        <v>405</v>
      </c>
      <c r="B967">
        <v>2</v>
      </c>
      <c r="C967" t="s">
        <v>418</v>
      </c>
      <c r="D967" t="s">
        <v>27</v>
      </c>
      <c r="E967" t="s">
        <v>378</v>
      </c>
      <c r="F967"/>
      <c r="G967">
        <v>1</v>
      </c>
      <c r="H967">
        <v>100</v>
      </c>
      <c r="I967">
        <v>3</v>
      </c>
      <c r="J967" cm="1">
        <f t="array" ref="J967">_xlfn.SWITCH(B967,1,75,2,61,3,49,4,37,5,25,6,13,7,4,8,1)</f>
        <v>61</v>
      </c>
      <c r="K967" t="str" cm="1">
        <f t="array" ref="K967">IFERROR(_xlfn.SWITCH(L967,2,_xlfn.XLOOKUP(C967,[1]ModifierDes!$B:$B,[1]ModifierDes!$C:$C),3,_xlfn.XLOOKUP(C967,[1]StuntDes!$B:$B,[1]StuntDes!$C:$C)),"")</f>
        <v>法术伤害提高{0}</v>
      </c>
      <c r="L967">
        <f t="shared" si="45"/>
        <v>2</v>
      </c>
      <c r="M967" s="10" t="str">
        <f>IFERROR(_xlfn.XLOOKUP(C967,[1]StuntDes!$B:$B,[1]StuntDes!$A:$A),"")</f>
        <v/>
      </c>
      <c r="N967" s="10">
        <f>IFERROR(_xlfn.XLOOKUP(C967,[1]ModifierDes!$B:$B,[1]ModifierDes!$A:$A),"")</f>
        <v>10067</v>
      </c>
      <c r="O967" s="10" t="str">
        <f>IFERROR(_xlfn.XLOOKUP(C967,[1]AttributeName!$C:$C,[1]AttributeName!$B:$B),"")</f>
        <v/>
      </c>
      <c r="P967" s="10"/>
      <c r="Q967">
        <v>0.22</v>
      </c>
      <c r="R967">
        <v>0.24</v>
      </c>
      <c r="S967" cm="1">
        <f t="array" ref="S967">IFERROR(_xlfn.SWITCH(L967,1,_xlfn.XLOOKUP(O967,[1]AttributeName!$B:$B,[1]AttributeName!$D:$D),2,_xlfn.XLOOKUP(C967,#REF!,#REF!),3,_xlfn.XLOOKUP(C967,#REF!,#REF!)),0)</f>
        <v>0</v>
      </c>
      <c r="T967" cm="1">
        <f t="array" ref="T967">IFERROR(_xlfn.SWITCH(L967,1,_xlfn.XLOOKUP(O967,[1]AttributeName!$B:$B,[1]AttributeName!$E:$E),2,_xlfn.XLOOKUP(C967,#REF!,#REF!),3,_xlfn.XLOOKUP(C967,#REF!,#REF!)),0)</f>
        <v>0</v>
      </c>
    </row>
    <row r="968" customFormat="1" spans="1:20">
      <c r="A968">
        <f t="shared" si="44"/>
        <v>405</v>
      </c>
      <c r="B968">
        <v>3</v>
      </c>
      <c r="C968" t="s">
        <v>418</v>
      </c>
      <c r="D968" t="s">
        <v>27</v>
      </c>
      <c r="E968" t="s">
        <v>378</v>
      </c>
      <c r="F968"/>
      <c r="G968">
        <v>1</v>
      </c>
      <c r="H968">
        <v>200</v>
      </c>
      <c r="I968">
        <v>3</v>
      </c>
      <c r="J968" cm="1">
        <f t="array" ref="J968">_xlfn.SWITCH(B968,1,75,2,61,3,49,4,37,5,25,6,13,7,4,8,1)</f>
        <v>49</v>
      </c>
      <c r="K968" t="str" cm="1">
        <f t="array" ref="K968">IFERROR(_xlfn.SWITCH(L968,2,_xlfn.XLOOKUP(C968,[1]ModifierDes!$B:$B,[1]ModifierDes!$C:$C),3,_xlfn.XLOOKUP(C968,[1]StuntDes!$B:$B,[1]StuntDes!$C:$C)),"")</f>
        <v>法术伤害提高{0}</v>
      </c>
      <c r="L968">
        <f t="shared" si="45"/>
        <v>2</v>
      </c>
      <c r="M968" s="10" t="str">
        <f>IFERROR(_xlfn.XLOOKUP(C968,[1]StuntDes!$B:$B,[1]StuntDes!$A:$A),"")</f>
        <v/>
      </c>
      <c r="N968" s="10">
        <f>IFERROR(_xlfn.XLOOKUP(C968,[1]ModifierDes!$B:$B,[1]ModifierDes!$A:$A),"")</f>
        <v>10067</v>
      </c>
      <c r="O968" s="10" t="str">
        <f>IFERROR(_xlfn.XLOOKUP(C968,[1]AttributeName!$C:$C,[1]AttributeName!$B:$B),"")</f>
        <v/>
      </c>
      <c r="P968" s="10"/>
      <c r="Q968">
        <v>0.19</v>
      </c>
      <c r="R968">
        <v>0.21</v>
      </c>
      <c r="S968" cm="1">
        <f t="array" ref="S968">IFERROR(_xlfn.SWITCH(L968,1,_xlfn.XLOOKUP(O968,[1]AttributeName!$B:$B,[1]AttributeName!$D:$D),2,_xlfn.XLOOKUP(C968,#REF!,#REF!),3,_xlfn.XLOOKUP(C968,#REF!,#REF!)),0)</f>
        <v>0</v>
      </c>
      <c r="T968" cm="1">
        <f t="array" ref="T968">IFERROR(_xlfn.SWITCH(L968,1,_xlfn.XLOOKUP(O968,[1]AttributeName!$B:$B,[1]AttributeName!$E:$E),2,_xlfn.XLOOKUP(C968,#REF!,#REF!),3,_xlfn.XLOOKUP(C968,#REF!,#REF!)),0)</f>
        <v>0</v>
      </c>
    </row>
    <row r="969" customFormat="1" spans="1:20">
      <c r="A969">
        <f t="shared" si="44"/>
        <v>405</v>
      </c>
      <c r="B969">
        <v>4</v>
      </c>
      <c r="C969" t="s">
        <v>418</v>
      </c>
      <c r="D969" t="s">
        <v>27</v>
      </c>
      <c r="E969" t="s">
        <v>378</v>
      </c>
      <c r="F969"/>
      <c r="G969">
        <v>1</v>
      </c>
      <c r="H969">
        <v>500</v>
      </c>
      <c r="I969">
        <v>3</v>
      </c>
      <c r="J969" cm="1">
        <f t="array" ref="J969">_xlfn.SWITCH(B969,1,75,2,61,3,49,4,37,5,25,6,13,7,4,8,1)</f>
        <v>37</v>
      </c>
      <c r="K969" t="str" cm="1">
        <f t="array" ref="K969">IFERROR(_xlfn.SWITCH(L969,2,_xlfn.XLOOKUP(C969,[1]ModifierDes!$B:$B,[1]ModifierDes!$C:$C),3,_xlfn.XLOOKUP(C969,[1]StuntDes!$B:$B,[1]StuntDes!$C:$C)),"")</f>
        <v>法术伤害提高{0}</v>
      </c>
      <c r="L969">
        <f t="shared" si="45"/>
        <v>2</v>
      </c>
      <c r="M969" s="10" t="str">
        <f>IFERROR(_xlfn.XLOOKUP(C969,[1]StuntDes!$B:$B,[1]StuntDes!$A:$A),"")</f>
        <v/>
      </c>
      <c r="N969" s="10">
        <f>IFERROR(_xlfn.XLOOKUP(C969,[1]ModifierDes!$B:$B,[1]ModifierDes!$A:$A),"")</f>
        <v>10067</v>
      </c>
      <c r="O969" s="10" t="str">
        <f>IFERROR(_xlfn.XLOOKUP(C969,[1]AttributeName!$C:$C,[1]AttributeName!$B:$B),"")</f>
        <v/>
      </c>
      <c r="P969" s="10"/>
      <c r="Q969">
        <v>0.16</v>
      </c>
      <c r="R969">
        <v>0.18</v>
      </c>
      <c r="S969" cm="1">
        <f t="array" ref="S969">IFERROR(_xlfn.SWITCH(L969,1,_xlfn.XLOOKUP(O969,[1]AttributeName!$B:$B,[1]AttributeName!$D:$D),2,_xlfn.XLOOKUP(C969,#REF!,#REF!),3,_xlfn.XLOOKUP(C969,#REF!,#REF!)),0)</f>
        <v>0</v>
      </c>
      <c r="T969" cm="1">
        <f t="array" ref="T969">IFERROR(_xlfn.SWITCH(L969,1,_xlfn.XLOOKUP(O969,[1]AttributeName!$B:$B,[1]AttributeName!$E:$E),2,_xlfn.XLOOKUP(C969,#REF!,#REF!),3,_xlfn.XLOOKUP(C969,#REF!,#REF!)),0)</f>
        <v>0</v>
      </c>
    </row>
    <row r="970" customFormat="1" spans="1:20">
      <c r="A970">
        <f t="shared" si="44"/>
        <v>405</v>
      </c>
      <c r="B970">
        <v>5</v>
      </c>
      <c r="C970" t="s">
        <v>418</v>
      </c>
      <c r="D970" t="s">
        <v>27</v>
      </c>
      <c r="E970" t="s">
        <v>378</v>
      </c>
      <c r="F970"/>
      <c r="G970">
        <v>1</v>
      </c>
      <c r="H970">
        <v>750</v>
      </c>
      <c r="I970">
        <v>3</v>
      </c>
      <c r="J970" cm="1">
        <f t="array" ref="J970">_xlfn.SWITCH(B970,1,75,2,61,3,49,4,37,5,25,6,13,7,4,8,1)</f>
        <v>25</v>
      </c>
      <c r="K970" t="str" cm="1">
        <f t="array" ref="K970">IFERROR(_xlfn.SWITCH(L970,2,_xlfn.XLOOKUP(C970,[1]ModifierDes!$B:$B,[1]ModifierDes!$C:$C),3,_xlfn.XLOOKUP(C970,[1]StuntDes!$B:$B,[1]StuntDes!$C:$C)),"")</f>
        <v>法术伤害提高{0}</v>
      </c>
      <c r="L970">
        <f t="shared" si="45"/>
        <v>2</v>
      </c>
      <c r="M970" s="10" t="str">
        <f>IFERROR(_xlfn.XLOOKUP(C970,[1]StuntDes!$B:$B,[1]StuntDes!$A:$A),"")</f>
        <v/>
      </c>
      <c r="N970" s="10">
        <f>IFERROR(_xlfn.XLOOKUP(C970,[1]ModifierDes!$B:$B,[1]ModifierDes!$A:$A),"")</f>
        <v>10067</v>
      </c>
      <c r="O970" s="10" t="str">
        <f>IFERROR(_xlfn.XLOOKUP(C970,[1]AttributeName!$C:$C,[1]AttributeName!$B:$B),"")</f>
        <v/>
      </c>
      <c r="P970" s="10"/>
      <c r="Q970">
        <v>0.13</v>
      </c>
      <c r="R970">
        <v>0.15</v>
      </c>
      <c r="S970" cm="1">
        <f t="array" ref="S970">IFERROR(_xlfn.SWITCH(L970,1,_xlfn.XLOOKUP(O970,[1]AttributeName!$B:$B,[1]AttributeName!$D:$D),2,_xlfn.XLOOKUP(C970,#REF!,#REF!),3,_xlfn.XLOOKUP(C970,#REF!,#REF!)),0)</f>
        <v>0</v>
      </c>
      <c r="T970" cm="1">
        <f t="array" ref="T970">IFERROR(_xlfn.SWITCH(L970,1,_xlfn.XLOOKUP(O970,[1]AttributeName!$B:$B,[1]AttributeName!$E:$E),2,_xlfn.XLOOKUP(C970,#REF!,#REF!),3,_xlfn.XLOOKUP(C970,#REF!,#REF!)),0)</f>
        <v>0</v>
      </c>
    </row>
    <row r="971" customFormat="1" spans="1:20">
      <c r="A971">
        <f t="shared" si="44"/>
        <v>405</v>
      </c>
      <c r="B971">
        <v>6</v>
      </c>
      <c r="C971" t="s">
        <v>418</v>
      </c>
      <c r="D971" t="s">
        <v>27</v>
      </c>
      <c r="E971" t="s">
        <v>378</v>
      </c>
      <c r="F971"/>
      <c r="G971">
        <v>1</v>
      </c>
      <c r="H971">
        <v>1000</v>
      </c>
      <c r="I971">
        <v>3</v>
      </c>
      <c r="J971" cm="1">
        <f t="array" ref="J971">_xlfn.SWITCH(B971,1,75,2,61,3,49,4,37,5,25,6,13,7,4,8,1)</f>
        <v>13</v>
      </c>
      <c r="K971" t="str" cm="1">
        <f t="array" ref="K971">IFERROR(_xlfn.SWITCH(L971,2,_xlfn.XLOOKUP(C971,[1]ModifierDes!$B:$B,[1]ModifierDes!$C:$C),3,_xlfn.XLOOKUP(C971,[1]StuntDes!$B:$B,[1]StuntDes!$C:$C)),"")</f>
        <v>法术伤害提高{0}</v>
      </c>
      <c r="L971">
        <f t="shared" si="45"/>
        <v>2</v>
      </c>
      <c r="M971" s="10" t="str">
        <f>IFERROR(_xlfn.XLOOKUP(C971,[1]StuntDes!$B:$B,[1]StuntDes!$A:$A),"")</f>
        <v/>
      </c>
      <c r="N971" s="10">
        <f>IFERROR(_xlfn.XLOOKUP(C971,[1]ModifierDes!$B:$B,[1]ModifierDes!$A:$A),"")</f>
        <v>10067</v>
      </c>
      <c r="O971" s="10" t="str">
        <f>IFERROR(_xlfn.XLOOKUP(C971,[1]AttributeName!$C:$C,[1]AttributeName!$B:$B),"")</f>
        <v/>
      </c>
      <c r="P971" s="10"/>
      <c r="Q971">
        <v>0.0999999999999999</v>
      </c>
      <c r="R971">
        <v>0.12</v>
      </c>
      <c r="S971" cm="1">
        <f t="array" ref="S971">IFERROR(_xlfn.SWITCH(L971,1,_xlfn.XLOOKUP(O971,[1]AttributeName!$B:$B,[1]AttributeName!$D:$D),2,_xlfn.XLOOKUP(C971,#REF!,#REF!),3,_xlfn.XLOOKUP(C971,#REF!,#REF!)),0)</f>
        <v>0</v>
      </c>
      <c r="T971" cm="1">
        <f t="array" ref="T971">IFERROR(_xlfn.SWITCH(L971,1,_xlfn.XLOOKUP(O971,[1]AttributeName!$B:$B,[1]AttributeName!$E:$E),2,_xlfn.XLOOKUP(C971,#REF!,#REF!),3,_xlfn.XLOOKUP(C971,#REF!,#REF!)),0)</f>
        <v>0</v>
      </c>
    </row>
    <row r="972" customFormat="1" spans="1:20">
      <c r="A972">
        <f t="shared" si="44"/>
        <v>405</v>
      </c>
      <c r="B972">
        <v>7</v>
      </c>
      <c r="C972" t="s">
        <v>418</v>
      </c>
      <c r="D972" t="s">
        <v>27</v>
      </c>
      <c r="E972" t="s">
        <v>378</v>
      </c>
      <c r="F972"/>
      <c r="G972">
        <v>1</v>
      </c>
      <c r="H972">
        <v>1000</v>
      </c>
      <c r="I972">
        <v>3</v>
      </c>
      <c r="J972" cm="1">
        <f t="array" ref="J972">_xlfn.SWITCH(B972,1,75,2,61,3,49,4,37,5,25,6,13,7,4,8,1)</f>
        <v>4</v>
      </c>
      <c r="K972" t="str" cm="1">
        <f t="array" ref="K972">IFERROR(_xlfn.SWITCH(L972,2,_xlfn.XLOOKUP(C972,[1]ModifierDes!$B:$B,[1]ModifierDes!$C:$C),3,_xlfn.XLOOKUP(C972,[1]StuntDes!$B:$B,[1]StuntDes!$C:$C)),"")</f>
        <v>法术伤害提高{0}</v>
      </c>
      <c r="L972">
        <f t="shared" si="45"/>
        <v>2</v>
      </c>
      <c r="M972" s="10" t="str">
        <f>IFERROR(_xlfn.XLOOKUP(C972,[1]StuntDes!$B:$B,[1]StuntDes!$A:$A),"")</f>
        <v/>
      </c>
      <c r="N972" s="10">
        <f>IFERROR(_xlfn.XLOOKUP(C972,[1]ModifierDes!$B:$B,[1]ModifierDes!$A:$A),"")</f>
        <v>10067</v>
      </c>
      <c r="O972" s="10" t="str">
        <f>IFERROR(_xlfn.XLOOKUP(C972,[1]AttributeName!$C:$C,[1]AttributeName!$B:$B),"")</f>
        <v/>
      </c>
      <c r="P972" s="10"/>
      <c r="Q972">
        <v>0.0699999999999999</v>
      </c>
      <c r="R972">
        <v>0.09</v>
      </c>
      <c r="S972" cm="1">
        <f t="array" ref="S972">IFERROR(_xlfn.SWITCH(L972,1,_xlfn.XLOOKUP(O972,[1]AttributeName!$B:$B,[1]AttributeName!$D:$D),2,_xlfn.XLOOKUP(C972,#REF!,#REF!),3,_xlfn.XLOOKUP(C972,#REF!,#REF!)),0)</f>
        <v>0</v>
      </c>
      <c r="T972" cm="1">
        <f t="array" ref="T972">IFERROR(_xlfn.SWITCH(L972,1,_xlfn.XLOOKUP(O972,[1]AttributeName!$B:$B,[1]AttributeName!$E:$E),2,_xlfn.XLOOKUP(C972,#REF!,#REF!),3,_xlfn.XLOOKUP(C972,#REF!,#REF!)),0)</f>
        <v>0</v>
      </c>
    </row>
    <row r="973" customFormat="1" spans="1:20">
      <c r="A973">
        <f t="shared" si="44"/>
        <v>405</v>
      </c>
      <c r="B973">
        <v>8</v>
      </c>
      <c r="C973" t="s">
        <v>418</v>
      </c>
      <c r="D973" t="s">
        <v>27</v>
      </c>
      <c r="E973" t="s">
        <v>378</v>
      </c>
      <c r="F973"/>
      <c r="G973">
        <v>1</v>
      </c>
      <c r="H973">
        <v>1000</v>
      </c>
      <c r="I973">
        <v>3</v>
      </c>
      <c r="J973" cm="1">
        <f t="array" ref="J973">_xlfn.SWITCH(B973,1,75,2,61,3,49,4,37,5,25,6,13,7,4,8,1)</f>
        <v>1</v>
      </c>
      <c r="K973" t="str" cm="1">
        <f t="array" ref="K973">IFERROR(_xlfn.SWITCH(L973,2,_xlfn.XLOOKUP(C973,[1]ModifierDes!$B:$B,[1]ModifierDes!$C:$C),3,_xlfn.XLOOKUP(C973,[1]StuntDes!$B:$B,[1]StuntDes!$C:$C)),"")</f>
        <v>法术伤害提高{0}</v>
      </c>
      <c r="L973">
        <f t="shared" si="45"/>
        <v>2</v>
      </c>
      <c r="M973" s="10" t="str">
        <f>IFERROR(_xlfn.XLOOKUP(C973,[1]StuntDes!$B:$B,[1]StuntDes!$A:$A),"")</f>
        <v/>
      </c>
      <c r="N973" s="10">
        <f>IFERROR(_xlfn.XLOOKUP(C973,[1]ModifierDes!$B:$B,[1]ModifierDes!$A:$A),"")</f>
        <v>10067</v>
      </c>
      <c r="O973" s="10" t="str">
        <f>IFERROR(_xlfn.XLOOKUP(C973,[1]AttributeName!$C:$C,[1]AttributeName!$B:$B),"")</f>
        <v/>
      </c>
      <c r="P973" s="10"/>
      <c r="Q973">
        <v>0.0399999999999998</v>
      </c>
      <c r="R973">
        <v>0.06</v>
      </c>
      <c r="S973" cm="1">
        <f t="array" ref="S973">IFERROR(_xlfn.SWITCH(L973,1,_xlfn.XLOOKUP(O973,[1]AttributeName!$B:$B,[1]AttributeName!$D:$D),2,_xlfn.XLOOKUP(C973,#REF!,#REF!),3,_xlfn.XLOOKUP(C973,#REF!,#REF!)),0)</f>
        <v>0</v>
      </c>
      <c r="T973" cm="1">
        <f t="array" ref="T973">IFERROR(_xlfn.SWITCH(L973,1,_xlfn.XLOOKUP(O973,[1]AttributeName!$B:$B,[1]AttributeName!$E:$E),2,_xlfn.XLOOKUP(C973,#REF!,#REF!),3,_xlfn.XLOOKUP(C973,#REF!,#REF!)),0)</f>
        <v>0</v>
      </c>
    </row>
    <row r="974" customFormat="1" spans="1:20">
      <c r="A974">
        <f t="shared" si="44"/>
        <v>406</v>
      </c>
      <c r="B974">
        <v>1</v>
      </c>
      <c r="C974" t="s">
        <v>384</v>
      </c>
      <c r="D974" t="s">
        <v>27</v>
      </c>
      <c r="E974" t="s">
        <v>378</v>
      </c>
      <c r="F974"/>
      <c r="G974">
        <v>1</v>
      </c>
      <c r="H974">
        <v>100</v>
      </c>
      <c r="I974">
        <v>3</v>
      </c>
      <c r="J974" cm="1">
        <f t="array" ref="J974">_xlfn.SWITCH(B974,1,75,2,61,3,49,4,37,5,25,6,13,7,4,8,1)</f>
        <v>75</v>
      </c>
      <c r="K974" t="str" cm="1">
        <f t="array" ref="K974">IFERROR(_xlfn.SWITCH(L974,2,_xlfn.XLOOKUP(C974,[1]ModifierDes!$B:$B,[1]ModifierDes!$C:$C),3,_xlfn.XLOOKUP(C974,[1]StuntDes!$B:$B,[1]StuntDes!$C:$C)),"")</f>
        <v/>
      </c>
      <c r="L974">
        <f t="shared" si="45"/>
        <v>1</v>
      </c>
      <c r="M974" s="10" t="str">
        <f>IFERROR(_xlfn.XLOOKUP(C974,[1]StuntDes!$B:$B,[1]StuntDes!$A:$A),"")</f>
        <v/>
      </c>
      <c r="N974" s="10" t="str">
        <f>IFERROR(_xlfn.XLOOKUP(C974,[1]ModifierDes!$B:$B,[1]ModifierDes!$A:$A),"")</f>
        <v/>
      </c>
      <c r="O974" s="10">
        <f>IFERROR(_xlfn.XLOOKUP(C974,[1]AttributeName!$C:$C,[1]AttributeName!$B:$B),"")</f>
        <v>10303</v>
      </c>
      <c r="P974" s="10"/>
      <c r="Q974">
        <v>0.25</v>
      </c>
      <c r="R974">
        <v>0.35</v>
      </c>
      <c r="S974" cm="1">
        <f t="array" ref="S974">IFERROR(_xlfn.SWITCH(L974,1,_xlfn.XLOOKUP(O974,[1]AttributeName!$B:$B,[1]AttributeName!$D:$D),2,_xlfn.XLOOKUP(C974,#REF!,#REF!),3,_xlfn.XLOOKUP(C974,#REF!,#REF!)),0)</f>
        <v>2</v>
      </c>
      <c r="T974" cm="1">
        <f t="array" ref="T974">IFERROR(_xlfn.SWITCH(L974,1,_xlfn.XLOOKUP(O974,[1]AttributeName!$B:$B,[1]AttributeName!$E:$E),2,_xlfn.XLOOKUP(C974,#REF!,#REF!),3,_xlfn.XLOOKUP(C974,#REF!,#REF!)),0)</f>
        <v>2</v>
      </c>
    </row>
    <row r="975" customFormat="1" spans="1:20">
      <c r="A975">
        <f t="shared" si="44"/>
        <v>406</v>
      </c>
      <c r="B975">
        <v>2</v>
      </c>
      <c r="C975" t="s">
        <v>384</v>
      </c>
      <c r="D975" t="s">
        <v>27</v>
      </c>
      <c r="E975" t="s">
        <v>378</v>
      </c>
      <c r="F975"/>
      <c r="G975">
        <v>1</v>
      </c>
      <c r="H975">
        <v>200</v>
      </c>
      <c r="I975">
        <v>3</v>
      </c>
      <c r="J975" cm="1">
        <f t="array" ref="J975">_xlfn.SWITCH(B975,1,75,2,61,3,49,4,37,5,25,6,13,7,4,8,1)</f>
        <v>61</v>
      </c>
      <c r="K975" t="str" cm="1">
        <f t="array" ref="K975">IFERROR(_xlfn.SWITCH(L975,2,_xlfn.XLOOKUP(C975,[1]ModifierDes!$B:$B,[1]ModifierDes!$C:$C),3,_xlfn.XLOOKUP(C975,[1]StuntDes!$B:$B,[1]StuntDes!$C:$C)),"")</f>
        <v/>
      </c>
      <c r="L975">
        <f t="shared" si="45"/>
        <v>1</v>
      </c>
      <c r="M975" s="10" t="str">
        <f>IFERROR(_xlfn.XLOOKUP(C975,[1]StuntDes!$B:$B,[1]StuntDes!$A:$A),"")</f>
        <v/>
      </c>
      <c r="N975" s="10" t="str">
        <f>IFERROR(_xlfn.XLOOKUP(C975,[1]ModifierDes!$B:$B,[1]ModifierDes!$A:$A),"")</f>
        <v/>
      </c>
      <c r="O975" s="10">
        <f>IFERROR(_xlfn.XLOOKUP(C975,[1]AttributeName!$C:$C,[1]AttributeName!$B:$B),"")</f>
        <v>10303</v>
      </c>
      <c r="P975" s="10"/>
      <c r="Q975">
        <v>0.22</v>
      </c>
      <c r="R975">
        <v>0.24</v>
      </c>
      <c r="S975" cm="1">
        <f t="array" ref="S975">IFERROR(_xlfn.SWITCH(L975,1,_xlfn.XLOOKUP(O975,[1]AttributeName!$B:$B,[1]AttributeName!$D:$D),2,_xlfn.XLOOKUP(C975,#REF!,#REF!),3,_xlfn.XLOOKUP(C975,#REF!,#REF!)),0)</f>
        <v>2</v>
      </c>
      <c r="T975" cm="1">
        <f t="array" ref="T975">IFERROR(_xlfn.SWITCH(L975,1,_xlfn.XLOOKUP(O975,[1]AttributeName!$B:$B,[1]AttributeName!$E:$E),2,_xlfn.XLOOKUP(C975,#REF!,#REF!),3,_xlfn.XLOOKUP(C975,#REF!,#REF!)),0)</f>
        <v>2</v>
      </c>
    </row>
    <row r="976" customFormat="1" spans="1:20">
      <c r="A976">
        <f t="shared" si="44"/>
        <v>406</v>
      </c>
      <c r="B976">
        <v>3</v>
      </c>
      <c r="C976" t="s">
        <v>384</v>
      </c>
      <c r="D976" t="s">
        <v>27</v>
      </c>
      <c r="E976" t="s">
        <v>378</v>
      </c>
      <c r="F976"/>
      <c r="G976">
        <v>1</v>
      </c>
      <c r="H976">
        <v>500</v>
      </c>
      <c r="I976">
        <v>3</v>
      </c>
      <c r="J976" cm="1">
        <f t="array" ref="J976">_xlfn.SWITCH(B976,1,75,2,61,3,49,4,37,5,25,6,13,7,4,8,1)</f>
        <v>49</v>
      </c>
      <c r="K976" t="str" cm="1">
        <f t="array" ref="K976">IFERROR(_xlfn.SWITCH(L976,2,_xlfn.XLOOKUP(C976,[1]ModifierDes!$B:$B,[1]ModifierDes!$C:$C),3,_xlfn.XLOOKUP(C976,[1]StuntDes!$B:$B,[1]StuntDes!$C:$C)),"")</f>
        <v/>
      </c>
      <c r="L976">
        <f t="shared" si="45"/>
        <v>1</v>
      </c>
      <c r="M976" s="10" t="str">
        <f>IFERROR(_xlfn.XLOOKUP(C976,[1]StuntDes!$B:$B,[1]StuntDes!$A:$A),"")</f>
        <v/>
      </c>
      <c r="N976" s="10" t="str">
        <f>IFERROR(_xlfn.XLOOKUP(C976,[1]ModifierDes!$B:$B,[1]ModifierDes!$A:$A),"")</f>
        <v/>
      </c>
      <c r="O976" s="10">
        <f>IFERROR(_xlfn.XLOOKUP(C976,[1]AttributeName!$C:$C,[1]AttributeName!$B:$B),"")</f>
        <v>10303</v>
      </c>
      <c r="P976" s="10"/>
      <c r="Q976">
        <v>0.19</v>
      </c>
      <c r="R976">
        <v>0.21</v>
      </c>
      <c r="S976" cm="1">
        <f t="array" ref="S976">IFERROR(_xlfn.SWITCH(L976,1,_xlfn.XLOOKUP(O976,[1]AttributeName!$B:$B,[1]AttributeName!$D:$D),2,_xlfn.XLOOKUP(C976,#REF!,#REF!),3,_xlfn.XLOOKUP(C976,#REF!,#REF!)),0)</f>
        <v>2</v>
      </c>
      <c r="T976" cm="1">
        <f t="array" ref="T976">IFERROR(_xlfn.SWITCH(L976,1,_xlfn.XLOOKUP(O976,[1]AttributeName!$B:$B,[1]AttributeName!$E:$E),2,_xlfn.XLOOKUP(C976,#REF!,#REF!),3,_xlfn.XLOOKUP(C976,#REF!,#REF!)),0)</f>
        <v>2</v>
      </c>
    </row>
    <row r="977" customFormat="1" spans="1:20">
      <c r="A977">
        <f t="shared" si="44"/>
        <v>406</v>
      </c>
      <c r="B977">
        <v>4</v>
      </c>
      <c r="C977" t="s">
        <v>384</v>
      </c>
      <c r="D977" t="s">
        <v>27</v>
      </c>
      <c r="E977" t="s">
        <v>378</v>
      </c>
      <c r="F977"/>
      <c r="G977">
        <v>1</v>
      </c>
      <c r="H977">
        <v>1000</v>
      </c>
      <c r="I977">
        <v>3</v>
      </c>
      <c r="J977" cm="1">
        <f t="array" ref="J977">_xlfn.SWITCH(B977,1,75,2,61,3,49,4,37,5,25,6,13,7,4,8,1)</f>
        <v>37</v>
      </c>
      <c r="K977" t="str" cm="1">
        <f t="array" ref="K977">IFERROR(_xlfn.SWITCH(L977,2,_xlfn.XLOOKUP(C977,[1]ModifierDes!$B:$B,[1]ModifierDes!$C:$C),3,_xlfn.XLOOKUP(C977,[1]StuntDes!$B:$B,[1]StuntDes!$C:$C)),"")</f>
        <v/>
      </c>
      <c r="L977">
        <f t="shared" si="45"/>
        <v>1</v>
      </c>
      <c r="M977" s="10" t="str">
        <f>IFERROR(_xlfn.XLOOKUP(C977,[1]StuntDes!$B:$B,[1]StuntDes!$A:$A),"")</f>
        <v/>
      </c>
      <c r="N977" s="10" t="str">
        <f>IFERROR(_xlfn.XLOOKUP(C977,[1]ModifierDes!$B:$B,[1]ModifierDes!$A:$A),"")</f>
        <v/>
      </c>
      <c r="O977" s="10">
        <f>IFERROR(_xlfn.XLOOKUP(C977,[1]AttributeName!$C:$C,[1]AttributeName!$B:$B),"")</f>
        <v>10303</v>
      </c>
      <c r="P977" s="10"/>
      <c r="Q977">
        <v>0.16</v>
      </c>
      <c r="R977">
        <v>0.18</v>
      </c>
      <c r="S977" cm="1">
        <f t="array" ref="S977">IFERROR(_xlfn.SWITCH(L977,1,_xlfn.XLOOKUP(O977,[1]AttributeName!$B:$B,[1]AttributeName!$D:$D),2,_xlfn.XLOOKUP(C977,#REF!,#REF!),3,_xlfn.XLOOKUP(C977,#REF!,#REF!)),0)</f>
        <v>2</v>
      </c>
      <c r="T977" cm="1">
        <f t="array" ref="T977">IFERROR(_xlfn.SWITCH(L977,1,_xlfn.XLOOKUP(O977,[1]AttributeName!$B:$B,[1]AttributeName!$E:$E),2,_xlfn.XLOOKUP(C977,#REF!,#REF!),3,_xlfn.XLOOKUP(C977,#REF!,#REF!)),0)</f>
        <v>2</v>
      </c>
    </row>
    <row r="978" customFormat="1" spans="1:20">
      <c r="A978">
        <f t="shared" si="44"/>
        <v>406</v>
      </c>
      <c r="B978">
        <v>5</v>
      </c>
      <c r="C978" t="s">
        <v>384</v>
      </c>
      <c r="D978" t="s">
        <v>27</v>
      </c>
      <c r="E978" t="s">
        <v>378</v>
      </c>
      <c r="F978"/>
      <c r="G978">
        <v>1</v>
      </c>
      <c r="H978">
        <v>1000</v>
      </c>
      <c r="I978">
        <v>3</v>
      </c>
      <c r="J978" cm="1">
        <f t="array" ref="J978">_xlfn.SWITCH(B978,1,75,2,61,3,49,4,37,5,25,6,13,7,4,8,1)</f>
        <v>25</v>
      </c>
      <c r="K978" t="str" cm="1">
        <f t="array" ref="K978">IFERROR(_xlfn.SWITCH(L978,2,_xlfn.XLOOKUP(C978,[1]ModifierDes!$B:$B,[1]ModifierDes!$C:$C),3,_xlfn.XLOOKUP(C978,[1]StuntDes!$B:$B,[1]StuntDes!$C:$C)),"")</f>
        <v/>
      </c>
      <c r="L978">
        <f t="shared" si="45"/>
        <v>1</v>
      </c>
      <c r="M978" s="10" t="str">
        <f>IFERROR(_xlfn.XLOOKUP(C978,[1]StuntDes!$B:$B,[1]StuntDes!$A:$A),"")</f>
        <v/>
      </c>
      <c r="N978" s="10" t="str">
        <f>IFERROR(_xlfn.XLOOKUP(C978,[1]ModifierDes!$B:$B,[1]ModifierDes!$A:$A),"")</f>
        <v/>
      </c>
      <c r="O978" s="10">
        <f>IFERROR(_xlfn.XLOOKUP(C978,[1]AttributeName!$C:$C,[1]AttributeName!$B:$B),"")</f>
        <v>10303</v>
      </c>
      <c r="P978" s="10"/>
      <c r="Q978">
        <v>0.13</v>
      </c>
      <c r="R978">
        <v>0.15</v>
      </c>
      <c r="S978" cm="1">
        <f t="array" ref="S978">IFERROR(_xlfn.SWITCH(L978,1,_xlfn.XLOOKUP(O978,[1]AttributeName!$B:$B,[1]AttributeName!$D:$D),2,_xlfn.XLOOKUP(C978,#REF!,#REF!),3,_xlfn.XLOOKUP(C978,#REF!,#REF!)),0)</f>
        <v>2</v>
      </c>
      <c r="T978" cm="1">
        <f t="array" ref="T978">IFERROR(_xlfn.SWITCH(L978,1,_xlfn.XLOOKUP(O978,[1]AttributeName!$B:$B,[1]AttributeName!$E:$E),2,_xlfn.XLOOKUP(C978,#REF!,#REF!),3,_xlfn.XLOOKUP(C978,#REF!,#REF!)),0)</f>
        <v>2</v>
      </c>
    </row>
    <row r="979" customFormat="1" spans="1:20">
      <c r="A979">
        <f t="shared" si="44"/>
        <v>406</v>
      </c>
      <c r="B979">
        <v>6</v>
      </c>
      <c r="C979" t="s">
        <v>384</v>
      </c>
      <c r="D979" t="s">
        <v>27</v>
      </c>
      <c r="E979" t="s">
        <v>378</v>
      </c>
      <c r="F979"/>
      <c r="G979">
        <v>1</v>
      </c>
      <c r="H979">
        <v>1000</v>
      </c>
      <c r="I979">
        <v>3</v>
      </c>
      <c r="J979" cm="1">
        <f t="array" ref="J979">_xlfn.SWITCH(B979,1,75,2,61,3,49,4,37,5,25,6,13,7,4,8,1)</f>
        <v>13</v>
      </c>
      <c r="K979" t="str" cm="1">
        <f t="array" ref="K979">IFERROR(_xlfn.SWITCH(L979,2,_xlfn.XLOOKUP(C979,[1]ModifierDes!$B:$B,[1]ModifierDes!$C:$C),3,_xlfn.XLOOKUP(C979,[1]StuntDes!$B:$B,[1]StuntDes!$C:$C)),"")</f>
        <v/>
      </c>
      <c r="L979">
        <f t="shared" si="45"/>
        <v>1</v>
      </c>
      <c r="M979" s="10" t="str">
        <f>IFERROR(_xlfn.XLOOKUP(C979,[1]StuntDes!$B:$B,[1]StuntDes!$A:$A),"")</f>
        <v/>
      </c>
      <c r="N979" s="10" t="str">
        <f>IFERROR(_xlfn.XLOOKUP(C979,[1]ModifierDes!$B:$B,[1]ModifierDes!$A:$A),"")</f>
        <v/>
      </c>
      <c r="O979" s="10">
        <f>IFERROR(_xlfn.XLOOKUP(C979,[1]AttributeName!$C:$C,[1]AttributeName!$B:$B),"")</f>
        <v>10303</v>
      </c>
      <c r="P979" s="10"/>
      <c r="Q979">
        <v>0.0999999999999999</v>
      </c>
      <c r="R979">
        <v>0.12</v>
      </c>
      <c r="S979" cm="1">
        <f t="array" ref="S979">IFERROR(_xlfn.SWITCH(L979,1,_xlfn.XLOOKUP(O979,[1]AttributeName!$B:$B,[1]AttributeName!$D:$D),2,_xlfn.XLOOKUP(C979,#REF!,#REF!),3,_xlfn.XLOOKUP(C979,#REF!,#REF!)),0)</f>
        <v>2</v>
      </c>
      <c r="T979" cm="1">
        <f t="array" ref="T979">IFERROR(_xlfn.SWITCH(L979,1,_xlfn.XLOOKUP(O979,[1]AttributeName!$B:$B,[1]AttributeName!$E:$E),2,_xlfn.XLOOKUP(C979,#REF!,#REF!),3,_xlfn.XLOOKUP(C979,#REF!,#REF!)),0)</f>
        <v>2</v>
      </c>
    </row>
    <row r="980" customFormat="1" spans="1:20">
      <c r="A980">
        <f t="shared" si="44"/>
        <v>406</v>
      </c>
      <c r="B980">
        <v>7</v>
      </c>
      <c r="C980" t="s">
        <v>384</v>
      </c>
      <c r="D980" t="s">
        <v>27</v>
      </c>
      <c r="E980" t="s">
        <v>378</v>
      </c>
      <c r="F980"/>
      <c r="G980">
        <v>1</v>
      </c>
      <c r="H980">
        <v>1000</v>
      </c>
      <c r="I980">
        <v>3</v>
      </c>
      <c r="J980" cm="1">
        <f t="array" ref="J980">_xlfn.SWITCH(B980,1,75,2,61,3,49,4,37,5,25,6,13,7,4,8,1)</f>
        <v>4</v>
      </c>
      <c r="K980" t="str" cm="1">
        <f t="array" ref="K980">IFERROR(_xlfn.SWITCH(L980,2,_xlfn.XLOOKUP(C980,[1]ModifierDes!$B:$B,[1]ModifierDes!$C:$C),3,_xlfn.XLOOKUP(C980,[1]StuntDes!$B:$B,[1]StuntDes!$C:$C)),"")</f>
        <v/>
      </c>
      <c r="L980">
        <f t="shared" si="45"/>
        <v>1</v>
      </c>
      <c r="M980" s="10" t="str">
        <f>IFERROR(_xlfn.XLOOKUP(C980,[1]StuntDes!$B:$B,[1]StuntDes!$A:$A),"")</f>
        <v/>
      </c>
      <c r="N980" s="10" t="str">
        <f>IFERROR(_xlfn.XLOOKUP(C980,[1]ModifierDes!$B:$B,[1]ModifierDes!$A:$A),"")</f>
        <v/>
      </c>
      <c r="O980" s="10">
        <f>IFERROR(_xlfn.XLOOKUP(C980,[1]AttributeName!$C:$C,[1]AttributeName!$B:$B),"")</f>
        <v>10303</v>
      </c>
      <c r="P980" s="10"/>
      <c r="Q980">
        <v>0.0699999999999999</v>
      </c>
      <c r="R980">
        <v>0.09</v>
      </c>
      <c r="S980" cm="1">
        <f t="array" ref="S980">IFERROR(_xlfn.SWITCH(L980,1,_xlfn.XLOOKUP(O980,[1]AttributeName!$B:$B,[1]AttributeName!$D:$D),2,_xlfn.XLOOKUP(C980,#REF!,#REF!),3,_xlfn.XLOOKUP(C980,#REF!,#REF!)),0)</f>
        <v>2</v>
      </c>
      <c r="T980" cm="1">
        <f t="array" ref="T980">IFERROR(_xlfn.SWITCH(L980,1,_xlfn.XLOOKUP(O980,[1]AttributeName!$B:$B,[1]AttributeName!$E:$E),2,_xlfn.XLOOKUP(C980,#REF!,#REF!),3,_xlfn.XLOOKUP(C980,#REF!,#REF!)),0)</f>
        <v>2</v>
      </c>
    </row>
    <row r="981" customFormat="1" spans="1:20">
      <c r="A981">
        <f t="shared" si="44"/>
        <v>406</v>
      </c>
      <c r="B981">
        <v>8</v>
      </c>
      <c r="C981" t="s">
        <v>384</v>
      </c>
      <c r="D981" t="s">
        <v>27</v>
      </c>
      <c r="E981" t="s">
        <v>378</v>
      </c>
      <c r="F981"/>
      <c r="G981">
        <v>1</v>
      </c>
      <c r="H981">
        <v>1000</v>
      </c>
      <c r="I981">
        <v>3</v>
      </c>
      <c r="J981" cm="1">
        <f t="array" ref="J981">_xlfn.SWITCH(B981,1,75,2,61,3,49,4,37,5,25,6,13,7,4,8,1)</f>
        <v>1</v>
      </c>
      <c r="K981" t="str" cm="1">
        <f t="array" ref="K981">IFERROR(_xlfn.SWITCH(L981,2,_xlfn.XLOOKUP(C981,[1]ModifierDes!$B:$B,[1]ModifierDes!$C:$C),3,_xlfn.XLOOKUP(C981,[1]StuntDes!$B:$B,[1]StuntDes!$C:$C)),"")</f>
        <v/>
      </c>
      <c r="L981">
        <f t="shared" si="45"/>
        <v>1</v>
      </c>
      <c r="M981" s="10" t="str">
        <f>IFERROR(_xlfn.XLOOKUP(C981,[1]StuntDes!$B:$B,[1]StuntDes!$A:$A),"")</f>
        <v/>
      </c>
      <c r="N981" s="10" t="str">
        <f>IFERROR(_xlfn.XLOOKUP(C981,[1]ModifierDes!$B:$B,[1]ModifierDes!$A:$A),"")</f>
        <v/>
      </c>
      <c r="O981" s="10">
        <f>IFERROR(_xlfn.XLOOKUP(C981,[1]AttributeName!$C:$C,[1]AttributeName!$B:$B),"")</f>
        <v>10303</v>
      </c>
      <c r="P981" s="10"/>
      <c r="Q981">
        <v>0.0399999999999998</v>
      </c>
      <c r="R981">
        <v>0.06</v>
      </c>
      <c r="S981" cm="1">
        <f t="array" ref="S981">IFERROR(_xlfn.SWITCH(L981,1,_xlfn.XLOOKUP(O981,[1]AttributeName!$B:$B,[1]AttributeName!$D:$D),2,_xlfn.XLOOKUP(C981,#REF!,#REF!),3,_xlfn.XLOOKUP(C981,#REF!,#REF!)),0)</f>
        <v>2</v>
      </c>
      <c r="T981" cm="1">
        <f t="array" ref="T981">IFERROR(_xlfn.SWITCH(L981,1,_xlfn.XLOOKUP(O981,[1]AttributeName!$B:$B,[1]AttributeName!$E:$E),2,_xlfn.XLOOKUP(C981,#REF!,#REF!),3,_xlfn.XLOOKUP(C981,#REF!,#REF!)),0)</f>
        <v>2</v>
      </c>
    </row>
    <row r="982" customFormat="1" spans="1:20">
      <c r="A982">
        <f t="shared" si="44"/>
        <v>407</v>
      </c>
      <c r="B982">
        <v>1</v>
      </c>
      <c r="C982" t="s">
        <v>385</v>
      </c>
      <c r="D982" t="s">
        <v>27</v>
      </c>
      <c r="E982" t="s">
        <v>378</v>
      </c>
      <c r="F982"/>
      <c r="G982">
        <v>1</v>
      </c>
      <c r="H982">
        <v>100</v>
      </c>
      <c r="I982">
        <v>3</v>
      </c>
      <c r="J982" cm="1">
        <f t="array" ref="J982">_xlfn.SWITCH(B982,1,75,2,61,3,49,4,37,5,25,6,13,7,4,8,1)</f>
        <v>75</v>
      </c>
      <c r="K982" t="str" cm="1">
        <f t="array" ref="K982">IFERROR(_xlfn.SWITCH(L982,2,_xlfn.XLOOKUP(C982,[1]ModifierDes!$B:$B,[1]ModifierDes!$C:$C),3,_xlfn.XLOOKUP(C982,[1]StuntDes!$B:$B,[1]StuntDes!$C:$C)),"")</f>
        <v/>
      </c>
      <c r="L982">
        <f t="shared" si="45"/>
        <v>1</v>
      </c>
      <c r="M982" s="10" t="str">
        <f>IFERROR(_xlfn.XLOOKUP(C982,[1]StuntDes!$B:$B,[1]StuntDes!$A:$A),"")</f>
        <v/>
      </c>
      <c r="N982" s="10" t="str">
        <f>IFERROR(_xlfn.XLOOKUP(C982,[1]ModifierDes!$B:$B,[1]ModifierDes!$A:$A),"")</f>
        <v/>
      </c>
      <c r="O982" s="10">
        <f>IFERROR(_xlfn.XLOOKUP(C982,[1]AttributeName!$C:$C,[1]AttributeName!$B:$B),"")</f>
        <v>10304</v>
      </c>
      <c r="P982" s="10"/>
      <c r="Q982">
        <v>0.25</v>
      </c>
      <c r="R982">
        <v>0.35</v>
      </c>
      <c r="S982" cm="1">
        <f t="array" ref="S982">IFERROR(_xlfn.SWITCH(L982,1,_xlfn.XLOOKUP(O982,[1]AttributeName!$B:$B,[1]AttributeName!$D:$D),2,_xlfn.XLOOKUP(C982,#REF!,#REF!),3,_xlfn.XLOOKUP(C982,#REF!,#REF!)),0)</f>
        <v>2</v>
      </c>
      <c r="T982" cm="1">
        <f t="array" ref="T982">IFERROR(_xlfn.SWITCH(L982,1,_xlfn.XLOOKUP(O982,[1]AttributeName!$B:$B,[1]AttributeName!$E:$E),2,_xlfn.XLOOKUP(C982,#REF!,#REF!),3,_xlfn.XLOOKUP(C982,#REF!,#REF!)),0)</f>
        <v>2</v>
      </c>
    </row>
    <row r="983" customFormat="1" spans="1:20">
      <c r="A983">
        <f t="shared" si="44"/>
        <v>407</v>
      </c>
      <c r="B983">
        <v>2</v>
      </c>
      <c r="C983" t="s">
        <v>385</v>
      </c>
      <c r="D983" t="s">
        <v>27</v>
      </c>
      <c r="E983" t="s">
        <v>378</v>
      </c>
      <c r="F983"/>
      <c r="G983">
        <v>1</v>
      </c>
      <c r="H983">
        <v>200</v>
      </c>
      <c r="I983">
        <v>3</v>
      </c>
      <c r="J983" cm="1">
        <f t="array" ref="J983">_xlfn.SWITCH(B983,1,75,2,61,3,49,4,37,5,25,6,13,7,4,8,1)</f>
        <v>61</v>
      </c>
      <c r="K983" t="str" cm="1">
        <f t="array" ref="K983">IFERROR(_xlfn.SWITCH(L983,2,_xlfn.XLOOKUP(C983,[1]ModifierDes!$B:$B,[1]ModifierDes!$C:$C),3,_xlfn.XLOOKUP(C983,[1]StuntDes!$B:$B,[1]StuntDes!$C:$C)),"")</f>
        <v/>
      </c>
      <c r="L983">
        <f t="shared" si="45"/>
        <v>1</v>
      </c>
      <c r="M983" s="10" t="str">
        <f>IFERROR(_xlfn.XLOOKUP(C983,[1]StuntDes!$B:$B,[1]StuntDes!$A:$A),"")</f>
        <v/>
      </c>
      <c r="N983" s="10" t="str">
        <f>IFERROR(_xlfn.XLOOKUP(C983,[1]ModifierDes!$B:$B,[1]ModifierDes!$A:$A),"")</f>
        <v/>
      </c>
      <c r="O983" s="10">
        <f>IFERROR(_xlfn.XLOOKUP(C983,[1]AttributeName!$C:$C,[1]AttributeName!$B:$B),"")</f>
        <v>10304</v>
      </c>
      <c r="P983" s="10"/>
      <c r="Q983">
        <v>0.22</v>
      </c>
      <c r="R983">
        <v>0.24</v>
      </c>
      <c r="S983" cm="1">
        <f t="array" ref="S983">IFERROR(_xlfn.SWITCH(L983,1,_xlfn.XLOOKUP(O983,[1]AttributeName!$B:$B,[1]AttributeName!$D:$D),2,_xlfn.XLOOKUP(C983,#REF!,#REF!),3,_xlfn.XLOOKUP(C983,#REF!,#REF!)),0)</f>
        <v>2</v>
      </c>
      <c r="T983" cm="1">
        <f t="array" ref="T983">IFERROR(_xlfn.SWITCH(L983,1,_xlfn.XLOOKUP(O983,[1]AttributeName!$B:$B,[1]AttributeName!$E:$E),2,_xlfn.XLOOKUP(C983,#REF!,#REF!),3,_xlfn.XLOOKUP(C983,#REF!,#REF!)),0)</f>
        <v>2</v>
      </c>
    </row>
    <row r="984" customFormat="1" spans="1:20">
      <c r="A984">
        <f t="shared" si="44"/>
        <v>407</v>
      </c>
      <c r="B984">
        <v>3</v>
      </c>
      <c r="C984" t="s">
        <v>385</v>
      </c>
      <c r="D984" t="s">
        <v>27</v>
      </c>
      <c r="E984" t="s">
        <v>378</v>
      </c>
      <c r="F984"/>
      <c r="G984">
        <v>1</v>
      </c>
      <c r="H984">
        <v>500</v>
      </c>
      <c r="I984">
        <v>3</v>
      </c>
      <c r="J984" cm="1">
        <f t="array" ref="J984">_xlfn.SWITCH(B984,1,75,2,61,3,49,4,37,5,25,6,13,7,4,8,1)</f>
        <v>49</v>
      </c>
      <c r="K984" t="str" cm="1">
        <f t="array" ref="K984">IFERROR(_xlfn.SWITCH(L984,2,_xlfn.XLOOKUP(C984,[1]ModifierDes!$B:$B,[1]ModifierDes!$C:$C),3,_xlfn.XLOOKUP(C984,[1]StuntDes!$B:$B,[1]StuntDes!$C:$C)),"")</f>
        <v/>
      </c>
      <c r="L984">
        <f t="shared" si="45"/>
        <v>1</v>
      </c>
      <c r="M984" s="10" t="str">
        <f>IFERROR(_xlfn.XLOOKUP(C984,[1]StuntDes!$B:$B,[1]StuntDes!$A:$A),"")</f>
        <v/>
      </c>
      <c r="N984" s="10" t="str">
        <f>IFERROR(_xlfn.XLOOKUP(C984,[1]ModifierDes!$B:$B,[1]ModifierDes!$A:$A),"")</f>
        <v/>
      </c>
      <c r="O984" s="10">
        <f>IFERROR(_xlfn.XLOOKUP(C984,[1]AttributeName!$C:$C,[1]AttributeName!$B:$B),"")</f>
        <v>10304</v>
      </c>
      <c r="P984" s="10"/>
      <c r="Q984">
        <v>0.19</v>
      </c>
      <c r="R984">
        <v>0.21</v>
      </c>
      <c r="S984" cm="1">
        <f t="array" ref="S984">IFERROR(_xlfn.SWITCH(L984,1,_xlfn.XLOOKUP(O984,[1]AttributeName!$B:$B,[1]AttributeName!$D:$D),2,_xlfn.XLOOKUP(C984,#REF!,#REF!),3,_xlfn.XLOOKUP(C984,#REF!,#REF!)),0)</f>
        <v>2</v>
      </c>
      <c r="T984" cm="1">
        <f t="array" ref="T984">IFERROR(_xlfn.SWITCH(L984,1,_xlfn.XLOOKUP(O984,[1]AttributeName!$B:$B,[1]AttributeName!$E:$E),2,_xlfn.XLOOKUP(C984,#REF!,#REF!),3,_xlfn.XLOOKUP(C984,#REF!,#REF!)),0)</f>
        <v>2</v>
      </c>
    </row>
    <row r="985" customFormat="1" spans="1:20">
      <c r="A985">
        <f t="shared" si="44"/>
        <v>407</v>
      </c>
      <c r="B985">
        <v>4</v>
      </c>
      <c r="C985" t="s">
        <v>385</v>
      </c>
      <c r="D985" t="s">
        <v>27</v>
      </c>
      <c r="E985" t="s">
        <v>378</v>
      </c>
      <c r="F985"/>
      <c r="G985">
        <v>1</v>
      </c>
      <c r="H985">
        <v>1000</v>
      </c>
      <c r="I985">
        <v>3</v>
      </c>
      <c r="J985" cm="1">
        <f t="array" ref="J985">_xlfn.SWITCH(B985,1,75,2,61,3,49,4,37,5,25,6,13,7,4,8,1)</f>
        <v>37</v>
      </c>
      <c r="K985" t="str" cm="1">
        <f t="array" ref="K985">IFERROR(_xlfn.SWITCH(L985,2,_xlfn.XLOOKUP(C985,[1]ModifierDes!$B:$B,[1]ModifierDes!$C:$C),3,_xlfn.XLOOKUP(C985,[1]StuntDes!$B:$B,[1]StuntDes!$C:$C)),"")</f>
        <v/>
      </c>
      <c r="L985">
        <f t="shared" si="45"/>
        <v>1</v>
      </c>
      <c r="M985" s="10" t="str">
        <f>IFERROR(_xlfn.XLOOKUP(C985,[1]StuntDes!$B:$B,[1]StuntDes!$A:$A),"")</f>
        <v/>
      </c>
      <c r="N985" s="10" t="str">
        <f>IFERROR(_xlfn.XLOOKUP(C985,[1]ModifierDes!$B:$B,[1]ModifierDes!$A:$A),"")</f>
        <v/>
      </c>
      <c r="O985" s="10">
        <f>IFERROR(_xlfn.XLOOKUP(C985,[1]AttributeName!$C:$C,[1]AttributeName!$B:$B),"")</f>
        <v>10304</v>
      </c>
      <c r="P985" s="10"/>
      <c r="Q985">
        <v>0.16</v>
      </c>
      <c r="R985">
        <v>0.18</v>
      </c>
      <c r="S985" cm="1">
        <f t="array" ref="S985">IFERROR(_xlfn.SWITCH(L985,1,_xlfn.XLOOKUP(O985,[1]AttributeName!$B:$B,[1]AttributeName!$D:$D),2,_xlfn.XLOOKUP(C985,#REF!,#REF!),3,_xlfn.XLOOKUP(C985,#REF!,#REF!)),0)</f>
        <v>2</v>
      </c>
      <c r="T985" cm="1">
        <f t="array" ref="T985">IFERROR(_xlfn.SWITCH(L985,1,_xlfn.XLOOKUP(O985,[1]AttributeName!$B:$B,[1]AttributeName!$E:$E),2,_xlfn.XLOOKUP(C985,#REF!,#REF!),3,_xlfn.XLOOKUP(C985,#REF!,#REF!)),0)</f>
        <v>2</v>
      </c>
    </row>
    <row r="986" customFormat="1" spans="1:20">
      <c r="A986">
        <f t="shared" si="44"/>
        <v>407</v>
      </c>
      <c r="B986">
        <v>5</v>
      </c>
      <c r="C986" t="s">
        <v>385</v>
      </c>
      <c r="D986" t="s">
        <v>27</v>
      </c>
      <c r="E986" t="s">
        <v>378</v>
      </c>
      <c r="F986"/>
      <c r="G986">
        <v>1</v>
      </c>
      <c r="H986">
        <v>1000</v>
      </c>
      <c r="I986">
        <v>3</v>
      </c>
      <c r="J986" cm="1">
        <f t="array" ref="J986">_xlfn.SWITCH(B986,1,75,2,61,3,49,4,37,5,25,6,13,7,4,8,1)</f>
        <v>25</v>
      </c>
      <c r="K986" t="str" cm="1">
        <f t="array" ref="K986">IFERROR(_xlfn.SWITCH(L986,2,_xlfn.XLOOKUP(C986,[1]ModifierDes!$B:$B,[1]ModifierDes!$C:$C),3,_xlfn.XLOOKUP(C986,[1]StuntDes!$B:$B,[1]StuntDes!$C:$C)),"")</f>
        <v/>
      </c>
      <c r="L986">
        <f t="shared" si="45"/>
        <v>1</v>
      </c>
      <c r="M986" s="10" t="str">
        <f>IFERROR(_xlfn.XLOOKUP(C986,[1]StuntDes!$B:$B,[1]StuntDes!$A:$A),"")</f>
        <v/>
      </c>
      <c r="N986" s="10" t="str">
        <f>IFERROR(_xlfn.XLOOKUP(C986,[1]ModifierDes!$B:$B,[1]ModifierDes!$A:$A),"")</f>
        <v/>
      </c>
      <c r="O986" s="10">
        <f>IFERROR(_xlfn.XLOOKUP(C986,[1]AttributeName!$C:$C,[1]AttributeName!$B:$B),"")</f>
        <v>10304</v>
      </c>
      <c r="P986" s="10"/>
      <c r="Q986">
        <v>0.13</v>
      </c>
      <c r="R986">
        <v>0.15</v>
      </c>
      <c r="S986" cm="1">
        <f t="array" ref="S986">IFERROR(_xlfn.SWITCH(L986,1,_xlfn.XLOOKUP(O986,[1]AttributeName!$B:$B,[1]AttributeName!$D:$D),2,_xlfn.XLOOKUP(C986,#REF!,#REF!),3,_xlfn.XLOOKUP(C986,#REF!,#REF!)),0)</f>
        <v>2</v>
      </c>
      <c r="T986" cm="1">
        <f t="array" ref="T986">IFERROR(_xlfn.SWITCH(L986,1,_xlfn.XLOOKUP(O986,[1]AttributeName!$B:$B,[1]AttributeName!$E:$E),2,_xlfn.XLOOKUP(C986,#REF!,#REF!),3,_xlfn.XLOOKUP(C986,#REF!,#REF!)),0)</f>
        <v>2</v>
      </c>
    </row>
    <row r="987" customFormat="1" spans="1:20">
      <c r="A987">
        <f t="shared" si="44"/>
        <v>407</v>
      </c>
      <c r="B987">
        <v>6</v>
      </c>
      <c r="C987" t="s">
        <v>385</v>
      </c>
      <c r="D987" t="s">
        <v>27</v>
      </c>
      <c r="E987" t="s">
        <v>378</v>
      </c>
      <c r="F987"/>
      <c r="G987">
        <v>1</v>
      </c>
      <c r="H987">
        <v>1000</v>
      </c>
      <c r="I987">
        <v>3</v>
      </c>
      <c r="J987" cm="1">
        <f t="array" ref="J987">_xlfn.SWITCH(B987,1,75,2,61,3,49,4,37,5,25,6,13,7,4,8,1)</f>
        <v>13</v>
      </c>
      <c r="K987" t="str" cm="1">
        <f t="array" ref="K987">IFERROR(_xlfn.SWITCH(L987,2,_xlfn.XLOOKUP(C987,[1]ModifierDes!$B:$B,[1]ModifierDes!$C:$C),3,_xlfn.XLOOKUP(C987,[1]StuntDes!$B:$B,[1]StuntDes!$C:$C)),"")</f>
        <v/>
      </c>
      <c r="L987">
        <f t="shared" si="45"/>
        <v>1</v>
      </c>
      <c r="M987" s="10" t="str">
        <f>IFERROR(_xlfn.XLOOKUP(C987,[1]StuntDes!$B:$B,[1]StuntDes!$A:$A),"")</f>
        <v/>
      </c>
      <c r="N987" s="10" t="str">
        <f>IFERROR(_xlfn.XLOOKUP(C987,[1]ModifierDes!$B:$B,[1]ModifierDes!$A:$A),"")</f>
        <v/>
      </c>
      <c r="O987" s="10">
        <f>IFERROR(_xlfn.XLOOKUP(C987,[1]AttributeName!$C:$C,[1]AttributeName!$B:$B),"")</f>
        <v>10304</v>
      </c>
      <c r="P987" s="10"/>
      <c r="Q987">
        <v>0.0999999999999999</v>
      </c>
      <c r="R987">
        <v>0.12</v>
      </c>
      <c r="S987" cm="1">
        <f t="array" ref="S987">IFERROR(_xlfn.SWITCH(L987,1,_xlfn.XLOOKUP(O987,[1]AttributeName!$B:$B,[1]AttributeName!$D:$D),2,_xlfn.XLOOKUP(C987,#REF!,#REF!),3,_xlfn.XLOOKUP(C987,#REF!,#REF!)),0)</f>
        <v>2</v>
      </c>
      <c r="T987" cm="1">
        <f t="array" ref="T987">IFERROR(_xlfn.SWITCH(L987,1,_xlfn.XLOOKUP(O987,[1]AttributeName!$B:$B,[1]AttributeName!$E:$E),2,_xlfn.XLOOKUP(C987,#REF!,#REF!),3,_xlfn.XLOOKUP(C987,#REF!,#REF!)),0)</f>
        <v>2</v>
      </c>
    </row>
    <row r="988" customFormat="1" spans="1:20">
      <c r="A988">
        <f t="shared" si="44"/>
        <v>407</v>
      </c>
      <c r="B988">
        <v>7</v>
      </c>
      <c r="C988" t="s">
        <v>385</v>
      </c>
      <c r="D988" t="s">
        <v>27</v>
      </c>
      <c r="E988" t="s">
        <v>378</v>
      </c>
      <c r="F988"/>
      <c r="G988">
        <v>1</v>
      </c>
      <c r="H988">
        <v>1000</v>
      </c>
      <c r="I988">
        <v>3</v>
      </c>
      <c r="J988" cm="1">
        <f t="array" ref="J988">_xlfn.SWITCH(B988,1,75,2,61,3,49,4,37,5,25,6,13,7,4,8,1)</f>
        <v>4</v>
      </c>
      <c r="K988" t="str" cm="1">
        <f t="array" ref="K988">IFERROR(_xlfn.SWITCH(L988,2,_xlfn.XLOOKUP(C988,[1]ModifierDes!$B:$B,[1]ModifierDes!$C:$C),3,_xlfn.XLOOKUP(C988,[1]StuntDes!$B:$B,[1]StuntDes!$C:$C)),"")</f>
        <v/>
      </c>
      <c r="L988">
        <f t="shared" si="45"/>
        <v>1</v>
      </c>
      <c r="M988" s="10" t="str">
        <f>IFERROR(_xlfn.XLOOKUP(C988,[1]StuntDes!$B:$B,[1]StuntDes!$A:$A),"")</f>
        <v/>
      </c>
      <c r="N988" s="10" t="str">
        <f>IFERROR(_xlfn.XLOOKUP(C988,[1]ModifierDes!$B:$B,[1]ModifierDes!$A:$A),"")</f>
        <v/>
      </c>
      <c r="O988" s="10">
        <f>IFERROR(_xlfn.XLOOKUP(C988,[1]AttributeName!$C:$C,[1]AttributeName!$B:$B),"")</f>
        <v>10304</v>
      </c>
      <c r="P988" s="10"/>
      <c r="Q988">
        <v>0.0699999999999999</v>
      </c>
      <c r="R988">
        <v>0.09</v>
      </c>
      <c r="S988" cm="1">
        <f t="array" ref="S988">IFERROR(_xlfn.SWITCH(L988,1,_xlfn.XLOOKUP(O988,[1]AttributeName!$B:$B,[1]AttributeName!$D:$D),2,_xlfn.XLOOKUP(C988,#REF!,#REF!),3,_xlfn.XLOOKUP(C988,#REF!,#REF!)),0)</f>
        <v>2</v>
      </c>
      <c r="T988" cm="1">
        <f t="array" ref="T988">IFERROR(_xlfn.SWITCH(L988,1,_xlfn.XLOOKUP(O988,[1]AttributeName!$B:$B,[1]AttributeName!$E:$E),2,_xlfn.XLOOKUP(C988,#REF!,#REF!),3,_xlfn.XLOOKUP(C988,#REF!,#REF!)),0)</f>
        <v>2</v>
      </c>
    </row>
    <row r="989" customFormat="1" spans="1:20">
      <c r="A989">
        <f t="shared" si="44"/>
        <v>407</v>
      </c>
      <c r="B989">
        <v>8</v>
      </c>
      <c r="C989" t="s">
        <v>385</v>
      </c>
      <c r="D989" t="s">
        <v>27</v>
      </c>
      <c r="E989" t="s">
        <v>378</v>
      </c>
      <c r="F989"/>
      <c r="G989">
        <v>1</v>
      </c>
      <c r="H989">
        <v>1000</v>
      </c>
      <c r="I989">
        <v>3</v>
      </c>
      <c r="J989" cm="1">
        <f t="array" ref="J989">_xlfn.SWITCH(B989,1,75,2,61,3,49,4,37,5,25,6,13,7,4,8,1)</f>
        <v>1</v>
      </c>
      <c r="K989" t="str" cm="1">
        <f t="array" ref="K989">IFERROR(_xlfn.SWITCH(L989,2,_xlfn.XLOOKUP(C989,[1]ModifierDes!$B:$B,[1]ModifierDes!$C:$C),3,_xlfn.XLOOKUP(C989,[1]StuntDes!$B:$B,[1]StuntDes!$C:$C)),"")</f>
        <v/>
      </c>
      <c r="L989">
        <f t="shared" si="45"/>
        <v>1</v>
      </c>
      <c r="M989" s="10" t="str">
        <f>IFERROR(_xlfn.XLOOKUP(C989,[1]StuntDes!$B:$B,[1]StuntDes!$A:$A),"")</f>
        <v/>
      </c>
      <c r="N989" s="10" t="str">
        <f>IFERROR(_xlfn.XLOOKUP(C989,[1]ModifierDes!$B:$B,[1]ModifierDes!$A:$A),"")</f>
        <v/>
      </c>
      <c r="O989" s="10">
        <f>IFERROR(_xlfn.XLOOKUP(C989,[1]AttributeName!$C:$C,[1]AttributeName!$B:$B),"")</f>
        <v>10304</v>
      </c>
      <c r="P989" s="10"/>
      <c r="Q989">
        <v>0.0399999999999998</v>
      </c>
      <c r="R989">
        <v>0.06</v>
      </c>
      <c r="S989" cm="1">
        <f t="array" ref="S989">IFERROR(_xlfn.SWITCH(L989,1,_xlfn.XLOOKUP(O989,[1]AttributeName!$B:$B,[1]AttributeName!$D:$D),2,_xlfn.XLOOKUP(C989,#REF!,#REF!),3,_xlfn.XLOOKUP(C989,#REF!,#REF!)),0)</f>
        <v>2</v>
      </c>
      <c r="T989" cm="1">
        <f t="array" ref="T989">IFERROR(_xlfn.SWITCH(L989,1,_xlfn.XLOOKUP(O989,[1]AttributeName!$B:$B,[1]AttributeName!$E:$E),2,_xlfn.XLOOKUP(C989,#REF!,#REF!),3,_xlfn.XLOOKUP(C989,#REF!,#REF!)),0)</f>
        <v>2</v>
      </c>
    </row>
    <row r="990" customFormat="1" spans="1:20">
      <c r="A990">
        <f t="shared" si="44"/>
        <v>408</v>
      </c>
      <c r="B990">
        <v>1</v>
      </c>
      <c r="C990" t="s">
        <v>386</v>
      </c>
      <c r="D990" t="s">
        <v>27</v>
      </c>
      <c r="E990" t="s">
        <v>378</v>
      </c>
      <c r="F990"/>
      <c r="G990">
        <v>1</v>
      </c>
      <c r="H990">
        <v>100</v>
      </c>
      <c r="I990">
        <v>3</v>
      </c>
      <c r="J990" cm="1">
        <f t="array" ref="J990">_xlfn.SWITCH(B990,1,75,2,61,3,49,4,37,5,25,6,13,7,4,8,1)</f>
        <v>75</v>
      </c>
      <c r="K990" t="str" cm="1">
        <f t="array" ref="K990">IFERROR(_xlfn.SWITCH(L990,2,_xlfn.XLOOKUP(C990,[1]ModifierDes!$B:$B,[1]ModifierDes!$C:$C),3,_xlfn.XLOOKUP(C990,[1]StuntDes!$B:$B,[1]StuntDes!$C:$C)),"")</f>
        <v/>
      </c>
      <c r="L990">
        <f t="shared" si="45"/>
        <v>1</v>
      </c>
      <c r="M990" s="10" t="str">
        <f>IFERROR(_xlfn.XLOOKUP(C990,[1]StuntDes!$B:$B,[1]StuntDes!$A:$A),"")</f>
        <v/>
      </c>
      <c r="N990" s="10" t="str">
        <f>IFERROR(_xlfn.XLOOKUP(C990,[1]ModifierDes!$B:$B,[1]ModifierDes!$A:$A),"")</f>
        <v/>
      </c>
      <c r="O990" s="10">
        <f>IFERROR(_xlfn.XLOOKUP(C990,[1]AttributeName!$C:$C,[1]AttributeName!$B:$B),"")</f>
        <v>10305</v>
      </c>
      <c r="P990" s="10"/>
      <c r="Q990">
        <v>0.25</v>
      </c>
      <c r="R990">
        <v>0.35</v>
      </c>
      <c r="S990" cm="1">
        <f t="array" ref="S990">IFERROR(_xlfn.SWITCH(L990,1,_xlfn.XLOOKUP(O990,[1]AttributeName!$B:$B,[1]AttributeName!$D:$D),2,_xlfn.XLOOKUP(C990,#REF!,#REF!),3,_xlfn.XLOOKUP(C990,#REF!,#REF!)),0)</f>
        <v>2</v>
      </c>
      <c r="T990" cm="1">
        <f t="array" ref="T990">IFERROR(_xlfn.SWITCH(L990,1,_xlfn.XLOOKUP(O990,[1]AttributeName!$B:$B,[1]AttributeName!$E:$E),2,_xlfn.XLOOKUP(C990,#REF!,#REF!),3,_xlfn.XLOOKUP(C990,#REF!,#REF!)),0)</f>
        <v>2</v>
      </c>
    </row>
    <row r="991" customFormat="1" spans="1:20">
      <c r="A991">
        <f t="shared" si="44"/>
        <v>408</v>
      </c>
      <c r="B991">
        <v>2</v>
      </c>
      <c r="C991" t="s">
        <v>386</v>
      </c>
      <c r="D991" t="s">
        <v>27</v>
      </c>
      <c r="E991" t="s">
        <v>378</v>
      </c>
      <c r="F991"/>
      <c r="G991">
        <v>1</v>
      </c>
      <c r="H991">
        <v>200</v>
      </c>
      <c r="I991">
        <v>3</v>
      </c>
      <c r="J991" cm="1">
        <f t="array" ref="J991">_xlfn.SWITCH(B991,1,75,2,61,3,49,4,37,5,25,6,13,7,4,8,1)</f>
        <v>61</v>
      </c>
      <c r="K991" t="str" cm="1">
        <f t="array" ref="K991">IFERROR(_xlfn.SWITCH(L991,2,_xlfn.XLOOKUP(C991,[1]ModifierDes!$B:$B,[1]ModifierDes!$C:$C),3,_xlfn.XLOOKUP(C991,[1]StuntDes!$B:$B,[1]StuntDes!$C:$C)),"")</f>
        <v/>
      </c>
      <c r="L991">
        <f t="shared" si="45"/>
        <v>1</v>
      </c>
      <c r="M991" s="10" t="str">
        <f>IFERROR(_xlfn.XLOOKUP(C991,[1]StuntDes!$B:$B,[1]StuntDes!$A:$A),"")</f>
        <v/>
      </c>
      <c r="N991" s="10" t="str">
        <f>IFERROR(_xlfn.XLOOKUP(C991,[1]ModifierDes!$B:$B,[1]ModifierDes!$A:$A),"")</f>
        <v/>
      </c>
      <c r="O991" s="10">
        <f>IFERROR(_xlfn.XLOOKUP(C991,[1]AttributeName!$C:$C,[1]AttributeName!$B:$B),"")</f>
        <v>10305</v>
      </c>
      <c r="P991" s="10"/>
      <c r="Q991">
        <v>0.22</v>
      </c>
      <c r="R991">
        <v>0.24</v>
      </c>
      <c r="S991" cm="1">
        <f t="array" ref="S991">IFERROR(_xlfn.SWITCH(L991,1,_xlfn.XLOOKUP(O991,[1]AttributeName!$B:$B,[1]AttributeName!$D:$D),2,_xlfn.XLOOKUP(C991,#REF!,#REF!),3,_xlfn.XLOOKUP(C991,#REF!,#REF!)),0)</f>
        <v>2</v>
      </c>
      <c r="T991" cm="1">
        <f t="array" ref="T991">IFERROR(_xlfn.SWITCH(L991,1,_xlfn.XLOOKUP(O991,[1]AttributeName!$B:$B,[1]AttributeName!$E:$E),2,_xlfn.XLOOKUP(C991,#REF!,#REF!),3,_xlfn.XLOOKUP(C991,#REF!,#REF!)),0)</f>
        <v>2</v>
      </c>
    </row>
    <row r="992" customFormat="1" spans="1:20">
      <c r="A992">
        <f t="shared" si="44"/>
        <v>408</v>
      </c>
      <c r="B992">
        <v>3</v>
      </c>
      <c r="C992" t="s">
        <v>386</v>
      </c>
      <c r="D992" t="s">
        <v>27</v>
      </c>
      <c r="E992" t="s">
        <v>378</v>
      </c>
      <c r="F992"/>
      <c r="G992">
        <v>1</v>
      </c>
      <c r="H992">
        <v>500</v>
      </c>
      <c r="I992">
        <v>3</v>
      </c>
      <c r="J992" cm="1">
        <f t="array" ref="J992">_xlfn.SWITCH(B992,1,75,2,61,3,49,4,37,5,25,6,13,7,4,8,1)</f>
        <v>49</v>
      </c>
      <c r="K992" t="str" cm="1">
        <f t="array" ref="K992">IFERROR(_xlfn.SWITCH(L992,2,_xlfn.XLOOKUP(C992,[1]ModifierDes!$B:$B,[1]ModifierDes!$C:$C),3,_xlfn.XLOOKUP(C992,[1]StuntDes!$B:$B,[1]StuntDes!$C:$C)),"")</f>
        <v/>
      </c>
      <c r="L992">
        <f t="shared" si="45"/>
        <v>1</v>
      </c>
      <c r="M992" s="10" t="str">
        <f>IFERROR(_xlfn.XLOOKUP(C992,[1]StuntDes!$B:$B,[1]StuntDes!$A:$A),"")</f>
        <v/>
      </c>
      <c r="N992" s="10" t="str">
        <f>IFERROR(_xlfn.XLOOKUP(C992,[1]ModifierDes!$B:$B,[1]ModifierDes!$A:$A),"")</f>
        <v/>
      </c>
      <c r="O992" s="10">
        <f>IFERROR(_xlfn.XLOOKUP(C992,[1]AttributeName!$C:$C,[1]AttributeName!$B:$B),"")</f>
        <v>10305</v>
      </c>
      <c r="P992" s="10"/>
      <c r="Q992">
        <v>0.19</v>
      </c>
      <c r="R992">
        <v>0.21</v>
      </c>
      <c r="S992" cm="1">
        <f t="array" ref="S992">IFERROR(_xlfn.SWITCH(L992,1,_xlfn.XLOOKUP(O992,[1]AttributeName!$B:$B,[1]AttributeName!$D:$D),2,_xlfn.XLOOKUP(C992,#REF!,#REF!),3,_xlfn.XLOOKUP(C992,#REF!,#REF!)),0)</f>
        <v>2</v>
      </c>
      <c r="T992" cm="1">
        <f t="array" ref="T992">IFERROR(_xlfn.SWITCH(L992,1,_xlfn.XLOOKUP(O992,[1]AttributeName!$B:$B,[1]AttributeName!$E:$E),2,_xlfn.XLOOKUP(C992,#REF!,#REF!),3,_xlfn.XLOOKUP(C992,#REF!,#REF!)),0)</f>
        <v>2</v>
      </c>
    </row>
    <row r="993" customFormat="1" spans="1:20">
      <c r="A993">
        <f t="shared" si="44"/>
        <v>408</v>
      </c>
      <c r="B993">
        <v>4</v>
      </c>
      <c r="C993" t="s">
        <v>386</v>
      </c>
      <c r="D993" t="s">
        <v>27</v>
      </c>
      <c r="E993" t="s">
        <v>378</v>
      </c>
      <c r="F993"/>
      <c r="G993">
        <v>1</v>
      </c>
      <c r="H993">
        <v>1000</v>
      </c>
      <c r="I993">
        <v>3</v>
      </c>
      <c r="J993" cm="1">
        <f t="array" ref="J993">_xlfn.SWITCH(B993,1,75,2,61,3,49,4,37,5,25,6,13,7,4,8,1)</f>
        <v>37</v>
      </c>
      <c r="K993" t="str" cm="1">
        <f t="array" ref="K993">IFERROR(_xlfn.SWITCH(L993,2,_xlfn.XLOOKUP(C993,[1]ModifierDes!$B:$B,[1]ModifierDes!$C:$C),3,_xlfn.XLOOKUP(C993,[1]StuntDes!$B:$B,[1]StuntDes!$C:$C)),"")</f>
        <v/>
      </c>
      <c r="L993">
        <f t="shared" si="45"/>
        <v>1</v>
      </c>
      <c r="M993" s="10" t="str">
        <f>IFERROR(_xlfn.XLOOKUP(C993,[1]StuntDes!$B:$B,[1]StuntDes!$A:$A),"")</f>
        <v/>
      </c>
      <c r="N993" s="10" t="str">
        <f>IFERROR(_xlfn.XLOOKUP(C993,[1]ModifierDes!$B:$B,[1]ModifierDes!$A:$A),"")</f>
        <v/>
      </c>
      <c r="O993" s="10">
        <f>IFERROR(_xlfn.XLOOKUP(C993,[1]AttributeName!$C:$C,[1]AttributeName!$B:$B),"")</f>
        <v>10305</v>
      </c>
      <c r="P993" s="10"/>
      <c r="Q993">
        <v>0.16</v>
      </c>
      <c r="R993">
        <v>0.18</v>
      </c>
      <c r="S993" cm="1">
        <f t="array" ref="S993">IFERROR(_xlfn.SWITCH(L993,1,_xlfn.XLOOKUP(O993,[1]AttributeName!$B:$B,[1]AttributeName!$D:$D),2,_xlfn.XLOOKUP(C993,#REF!,#REF!),3,_xlfn.XLOOKUP(C993,#REF!,#REF!)),0)</f>
        <v>2</v>
      </c>
      <c r="T993" cm="1">
        <f t="array" ref="T993">IFERROR(_xlfn.SWITCH(L993,1,_xlfn.XLOOKUP(O993,[1]AttributeName!$B:$B,[1]AttributeName!$E:$E),2,_xlfn.XLOOKUP(C993,#REF!,#REF!),3,_xlfn.XLOOKUP(C993,#REF!,#REF!)),0)</f>
        <v>2</v>
      </c>
    </row>
    <row r="994" customFormat="1" spans="1:20">
      <c r="A994">
        <f t="shared" si="44"/>
        <v>408</v>
      </c>
      <c r="B994">
        <v>5</v>
      </c>
      <c r="C994" t="s">
        <v>386</v>
      </c>
      <c r="D994" t="s">
        <v>27</v>
      </c>
      <c r="E994" t="s">
        <v>378</v>
      </c>
      <c r="F994"/>
      <c r="G994">
        <v>1</v>
      </c>
      <c r="H994">
        <v>1000</v>
      </c>
      <c r="I994">
        <v>3</v>
      </c>
      <c r="J994" cm="1">
        <f t="array" ref="J994">_xlfn.SWITCH(B994,1,75,2,61,3,49,4,37,5,25,6,13,7,4,8,1)</f>
        <v>25</v>
      </c>
      <c r="K994" t="str" cm="1">
        <f t="array" ref="K994">IFERROR(_xlfn.SWITCH(L994,2,_xlfn.XLOOKUP(C994,[1]ModifierDes!$B:$B,[1]ModifierDes!$C:$C),3,_xlfn.XLOOKUP(C994,[1]StuntDes!$B:$B,[1]StuntDes!$C:$C)),"")</f>
        <v/>
      </c>
      <c r="L994">
        <f t="shared" si="45"/>
        <v>1</v>
      </c>
      <c r="M994" s="10" t="str">
        <f>IFERROR(_xlfn.XLOOKUP(C994,[1]StuntDes!$B:$B,[1]StuntDes!$A:$A),"")</f>
        <v/>
      </c>
      <c r="N994" s="10" t="str">
        <f>IFERROR(_xlfn.XLOOKUP(C994,[1]ModifierDes!$B:$B,[1]ModifierDes!$A:$A),"")</f>
        <v/>
      </c>
      <c r="O994" s="10">
        <f>IFERROR(_xlfn.XLOOKUP(C994,[1]AttributeName!$C:$C,[1]AttributeName!$B:$B),"")</f>
        <v>10305</v>
      </c>
      <c r="P994" s="10"/>
      <c r="Q994">
        <v>0.13</v>
      </c>
      <c r="R994">
        <v>0.15</v>
      </c>
      <c r="S994" cm="1">
        <f t="array" ref="S994">IFERROR(_xlfn.SWITCH(L994,1,_xlfn.XLOOKUP(O994,[1]AttributeName!$B:$B,[1]AttributeName!$D:$D),2,_xlfn.XLOOKUP(C994,#REF!,#REF!),3,_xlfn.XLOOKUP(C994,#REF!,#REF!)),0)</f>
        <v>2</v>
      </c>
      <c r="T994" cm="1">
        <f t="array" ref="T994">IFERROR(_xlfn.SWITCH(L994,1,_xlfn.XLOOKUP(O994,[1]AttributeName!$B:$B,[1]AttributeName!$E:$E),2,_xlfn.XLOOKUP(C994,#REF!,#REF!),3,_xlfn.XLOOKUP(C994,#REF!,#REF!)),0)</f>
        <v>2</v>
      </c>
    </row>
    <row r="995" customFormat="1" spans="1:20">
      <c r="A995">
        <f t="shared" si="44"/>
        <v>408</v>
      </c>
      <c r="B995">
        <v>6</v>
      </c>
      <c r="C995" t="s">
        <v>386</v>
      </c>
      <c r="D995" t="s">
        <v>27</v>
      </c>
      <c r="E995" t="s">
        <v>378</v>
      </c>
      <c r="F995"/>
      <c r="G995">
        <v>1</v>
      </c>
      <c r="H995">
        <v>1000</v>
      </c>
      <c r="I995">
        <v>3</v>
      </c>
      <c r="J995" cm="1">
        <f t="array" ref="J995">_xlfn.SWITCH(B995,1,75,2,61,3,49,4,37,5,25,6,13,7,4,8,1)</f>
        <v>13</v>
      </c>
      <c r="K995" t="str" cm="1">
        <f t="array" ref="K995">IFERROR(_xlfn.SWITCH(L995,2,_xlfn.XLOOKUP(C995,[1]ModifierDes!$B:$B,[1]ModifierDes!$C:$C),3,_xlfn.XLOOKUP(C995,[1]StuntDes!$B:$B,[1]StuntDes!$C:$C)),"")</f>
        <v/>
      </c>
      <c r="L995">
        <f t="shared" si="45"/>
        <v>1</v>
      </c>
      <c r="M995" s="10" t="str">
        <f>IFERROR(_xlfn.XLOOKUP(C995,[1]StuntDes!$B:$B,[1]StuntDes!$A:$A),"")</f>
        <v/>
      </c>
      <c r="N995" s="10" t="str">
        <f>IFERROR(_xlfn.XLOOKUP(C995,[1]ModifierDes!$B:$B,[1]ModifierDes!$A:$A),"")</f>
        <v/>
      </c>
      <c r="O995" s="10">
        <f>IFERROR(_xlfn.XLOOKUP(C995,[1]AttributeName!$C:$C,[1]AttributeName!$B:$B),"")</f>
        <v>10305</v>
      </c>
      <c r="P995" s="10"/>
      <c r="Q995">
        <v>0.0999999999999999</v>
      </c>
      <c r="R995">
        <v>0.12</v>
      </c>
      <c r="S995" cm="1">
        <f t="array" ref="S995">IFERROR(_xlfn.SWITCH(L995,1,_xlfn.XLOOKUP(O995,[1]AttributeName!$B:$B,[1]AttributeName!$D:$D),2,_xlfn.XLOOKUP(C995,#REF!,#REF!),3,_xlfn.XLOOKUP(C995,#REF!,#REF!)),0)</f>
        <v>2</v>
      </c>
      <c r="T995" cm="1">
        <f t="array" ref="T995">IFERROR(_xlfn.SWITCH(L995,1,_xlfn.XLOOKUP(O995,[1]AttributeName!$B:$B,[1]AttributeName!$E:$E),2,_xlfn.XLOOKUP(C995,#REF!,#REF!),3,_xlfn.XLOOKUP(C995,#REF!,#REF!)),0)</f>
        <v>2</v>
      </c>
    </row>
    <row r="996" customFormat="1" spans="1:20">
      <c r="A996">
        <f t="shared" si="44"/>
        <v>408</v>
      </c>
      <c r="B996">
        <v>7</v>
      </c>
      <c r="C996" t="s">
        <v>386</v>
      </c>
      <c r="D996" t="s">
        <v>27</v>
      </c>
      <c r="E996" t="s">
        <v>378</v>
      </c>
      <c r="F996"/>
      <c r="G996">
        <v>1</v>
      </c>
      <c r="H996">
        <v>1000</v>
      </c>
      <c r="I996">
        <v>3</v>
      </c>
      <c r="J996" cm="1">
        <f t="array" ref="J996">_xlfn.SWITCH(B996,1,75,2,61,3,49,4,37,5,25,6,13,7,4,8,1)</f>
        <v>4</v>
      </c>
      <c r="K996" t="str" cm="1">
        <f t="array" ref="K996">IFERROR(_xlfn.SWITCH(L996,2,_xlfn.XLOOKUP(C996,[1]ModifierDes!$B:$B,[1]ModifierDes!$C:$C),3,_xlfn.XLOOKUP(C996,[1]StuntDes!$B:$B,[1]StuntDes!$C:$C)),"")</f>
        <v/>
      </c>
      <c r="L996">
        <f t="shared" si="45"/>
        <v>1</v>
      </c>
      <c r="M996" s="10" t="str">
        <f>IFERROR(_xlfn.XLOOKUP(C996,[1]StuntDes!$B:$B,[1]StuntDes!$A:$A),"")</f>
        <v/>
      </c>
      <c r="N996" s="10" t="str">
        <f>IFERROR(_xlfn.XLOOKUP(C996,[1]ModifierDes!$B:$B,[1]ModifierDes!$A:$A),"")</f>
        <v/>
      </c>
      <c r="O996" s="10">
        <f>IFERROR(_xlfn.XLOOKUP(C996,[1]AttributeName!$C:$C,[1]AttributeName!$B:$B),"")</f>
        <v>10305</v>
      </c>
      <c r="P996" s="10"/>
      <c r="Q996">
        <v>0.0699999999999999</v>
      </c>
      <c r="R996">
        <v>0.09</v>
      </c>
      <c r="S996" cm="1">
        <f t="array" ref="S996">IFERROR(_xlfn.SWITCH(L996,1,_xlfn.XLOOKUP(O996,[1]AttributeName!$B:$B,[1]AttributeName!$D:$D),2,_xlfn.XLOOKUP(C996,#REF!,#REF!),3,_xlfn.XLOOKUP(C996,#REF!,#REF!)),0)</f>
        <v>2</v>
      </c>
      <c r="T996" cm="1">
        <f t="array" ref="T996">IFERROR(_xlfn.SWITCH(L996,1,_xlfn.XLOOKUP(O996,[1]AttributeName!$B:$B,[1]AttributeName!$E:$E),2,_xlfn.XLOOKUP(C996,#REF!,#REF!),3,_xlfn.XLOOKUP(C996,#REF!,#REF!)),0)</f>
        <v>2</v>
      </c>
    </row>
    <row r="997" customFormat="1" spans="1:20">
      <c r="A997">
        <f t="shared" si="44"/>
        <v>408</v>
      </c>
      <c r="B997">
        <v>8</v>
      </c>
      <c r="C997" t="s">
        <v>386</v>
      </c>
      <c r="D997" t="s">
        <v>27</v>
      </c>
      <c r="E997" t="s">
        <v>378</v>
      </c>
      <c r="F997"/>
      <c r="G997">
        <v>1</v>
      </c>
      <c r="H997">
        <v>1000</v>
      </c>
      <c r="I997">
        <v>3</v>
      </c>
      <c r="J997" cm="1">
        <f t="array" ref="J997">_xlfn.SWITCH(B997,1,75,2,61,3,49,4,37,5,25,6,13,7,4,8,1)</f>
        <v>1</v>
      </c>
      <c r="K997" t="str" cm="1">
        <f t="array" ref="K997">IFERROR(_xlfn.SWITCH(L997,2,_xlfn.XLOOKUP(C997,[1]ModifierDes!$B:$B,[1]ModifierDes!$C:$C),3,_xlfn.XLOOKUP(C997,[1]StuntDes!$B:$B,[1]StuntDes!$C:$C)),"")</f>
        <v/>
      </c>
      <c r="L997">
        <f t="shared" si="45"/>
        <v>1</v>
      </c>
      <c r="M997" s="10" t="str">
        <f>IFERROR(_xlfn.XLOOKUP(C997,[1]StuntDes!$B:$B,[1]StuntDes!$A:$A),"")</f>
        <v/>
      </c>
      <c r="N997" s="10" t="str">
        <f>IFERROR(_xlfn.XLOOKUP(C997,[1]ModifierDes!$B:$B,[1]ModifierDes!$A:$A),"")</f>
        <v/>
      </c>
      <c r="O997" s="10">
        <f>IFERROR(_xlfn.XLOOKUP(C997,[1]AttributeName!$C:$C,[1]AttributeName!$B:$B),"")</f>
        <v>10305</v>
      </c>
      <c r="P997" s="10"/>
      <c r="Q997">
        <v>0.0399999999999998</v>
      </c>
      <c r="R997">
        <v>0.06</v>
      </c>
      <c r="S997" cm="1">
        <f t="array" ref="S997">IFERROR(_xlfn.SWITCH(L997,1,_xlfn.XLOOKUP(O997,[1]AttributeName!$B:$B,[1]AttributeName!$D:$D),2,_xlfn.XLOOKUP(C997,#REF!,#REF!),3,_xlfn.XLOOKUP(C997,#REF!,#REF!)),0)</f>
        <v>2</v>
      </c>
      <c r="T997" cm="1">
        <f t="array" ref="T997">IFERROR(_xlfn.SWITCH(L997,1,_xlfn.XLOOKUP(O997,[1]AttributeName!$B:$B,[1]AttributeName!$E:$E),2,_xlfn.XLOOKUP(C997,#REF!,#REF!),3,_xlfn.XLOOKUP(C997,#REF!,#REF!)),0)</f>
        <v>2</v>
      </c>
    </row>
    <row r="998" customFormat="1" spans="1:20">
      <c r="A998">
        <f t="shared" si="44"/>
        <v>409</v>
      </c>
      <c r="B998">
        <v>1</v>
      </c>
      <c r="C998" t="s">
        <v>387</v>
      </c>
      <c r="D998" t="s">
        <v>27</v>
      </c>
      <c r="E998" t="s">
        <v>378</v>
      </c>
      <c r="F998"/>
      <c r="G998">
        <v>1</v>
      </c>
      <c r="H998">
        <v>100</v>
      </c>
      <c r="I998">
        <v>3</v>
      </c>
      <c r="J998" cm="1">
        <f t="array" ref="J998">_xlfn.SWITCH(B998,1,75,2,61,3,49,4,37,5,25,6,13,7,4,8,1)</f>
        <v>75</v>
      </c>
      <c r="K998" t="str" cm="1">
        <f t="array" ref="K998">IFERROR(_xlfn.SWITCH(L998,2,_xlfn.XLOOKUP(C998,[1]ModifierDes!$B:$B,[1]ModifierDes!$C:$C),3,_xlfn.XLOOKUP(C998,[1]StuntDes!$B:$B,[1]StuntDes!$C:$C)),"")</f>
        <v/>
      </c>
      <c r="L998">
        <f t="shared" si="45"/>
        <v>1</v>
      </c>
      <c r="M998" s="10" t="str">
        <f>IFERROR(_xlfn.XLOOKUP(C998,[1]StuntDes!$B:$B,[1]StuntDes!$A:$A),"")</f>
        <v/>
      </c>
      <c r="N998" s="10" t="str">
        <f>IFERROR(_xlfn.XLOOKUP(C998,[1]ModifierDes!$B:$B,[1]ModifierDes!$A:$A),"")</f>
        <v/>
      </c>
      <c r="O998" s="10">
        <f>IFERROR(_xlfn.XLOOKUP(C998,[1]AttributeName!$C:$C,[1]AttributeName!$B:$B),"")</f>
        <v>10306</v>
      </c>
      <c r="P998" s="10"/>
      <c r="Q998">
        <v>0.25</v>
      </c>
      <c r="R998">
        <v>0.35</v>
      </c>
      <c r="S998" cm="1">
        <f t="array" ref="S998">IFERROR(_xlfn.SWITCH(L998,1,_xlfn.XLOOKUP(O998,[1]AttributeName!$B:$B,[1]AttributeName!$D:$D),2,_xlfn.XLOOKUP(C998,#REF!,#REF!),3,_xlfn.XLOOKUP(C998,#REF!,#REF!)),0)</f>
        <v>2</v>
      </c>
      <c r="T998" cm="1">
        <f t="array" ref="T998">IFERROR(_xlfn.SWITCH(L998,1,_xlfn.XLOOKUP(O998,[1]AttributeName!$B:$B,[1]AttributeName!$E:$E),2,_xlfn.XLOOKUP(C998,#REF!,#REF!),3,_xlfn.XLOOKUP(C998,#REF!,#REF!)),0)</f>
        <v>2</v>
      </c>
    </row>
    <row r="999" customFormat="1" spans="1:20">
      <c r="A999">
        <f t="shared" si="44"/>
        <v>409</v>
      </c>
      <c r="B999">
        <v>2</v>
      </c>
      <c r="C999" t="s">
        <v>387</v>
      </c>
      <c r="D999" t="s">
        <v>27</v>
      </c>
      <c r="E999" t="s">
        <v>378</v>
      </c>
      <c r="F999"/>
      <c r="G999">
        <v>1</v>
      </c>
      <c r="H999">
        <v>200</v>
      </c>
      <c r="I999">
        <v>3</v>
      </c>
      <c r="J999" cm="1">
        <f t="array" ref="J999">_xlfn.SWITCH(B999,1,75,2,61,3,49,4,37,5,25,6,13,7,4,8,1)</f>
        <v>61</v>
      </c>
      <c r="K999" t="str" cm="1">
        <f t="array" ref="K999">IFERROR(_xlfn.SWITCH(L999,2,_xlfn.XLOOKUP(C999,[1]ModifierDes!$B:$B,[1]ModifierDes!$C:$C),3,_xlfn.XLOOKUP(C999,[1]StuntDes!$B:$B,[1]StuntDes!$C:$C)),"")</f>
        <v/>
      </c>
      <c r="L999">
        <f t="shared" si="45"/>
        <v>1</v>
      </c>
      <c r="M999" s="10" t="str">
        <f>IFERROR(_xlfn.XLOOKUP(C999,[1]StuntDes!$B:$B,[1]StuntDes!$A:$A),"")</f>
        <v/>
      </c>
      <c r="N999" s="10" t="str">
        <f>IFERROR(_xlfn.XLOOKUP(C999,[1]ModifierDes!$B:$B,[1]ModifierDes!$A:$A),"")</f>
        <v/>
      </c>
      <c r="O999" s="10">
        <f>IFERROR(_xlfn.XLOOKUP(C999,[1]AttributeName!$C:$C,[1]AttributeName!$B:$B),"")</f>
        <v>10306</v>
      </c>
      <c r="P999" s="10"/>
      <c r="Q999">
        <v>0.22</v>
      </c>
      <c r="R999">
        <v>0.24</v>
      </c>
      <c r="S999" cm="1">
        <f t="array" ref="S999">IFERROR(_xlfn.SWITCH(L999,1,_xlfn.XLOOKUP(O999,[1]AttributeName!$B:$B,[1]AttributeName!$D:$D),2,_xlfn.XLOOKUP(C999,#REF!,#REF!),3,_xlfn.XLOOKUP(C999,#REF!,#REF!)),0)</f>
        <v>2</v>
      </c>
      <c r="T999" cm="1">
        <f t="array" ref="T999">IFERROR(_xlfn.SWITCH(L999,1,_xlfn.XLOOKUP(O999,[1]AttributeName!$B:$B,[1]AttributeName!$E:$E),2,_xlfn.XLOOKUP(C999,#REF!,#REF!),3,_xlfn.XLOOKUP(C999,#REF!,#REF!)),0)</f>
        <v>2</v>
      </c>
    </row>
    <row r="1000" customFormat="1" spans="1:20">
      <c r="A1000">
        <f t="shared" si="44"/>
        <v>409</v>
      </c>
      <c r="B1000">
        <v>3</v>
      </c>
      <c r="C1000" t="s">
        <v>387</v>
      </c>
      <c r="D1000" t="s">
        <v>27</v>
      </c>
      <c r="E1000" t="s">
        <v>378</v>
      </c>
      <c r="F1000"/>
      <c r="G1000">
        <v>1</v>
      </c>
      <c r="H1000">
        <v>500</v>
      </c>
      <c r="I1000">
        <v>3</v>
      </c>
      <c r="J1000" cm="1">
        <f t="array" ref="J1000">_xlfn.SWITCH(B1000,1,75,2,61,3,49,4,37,5,25,6,13,7,4,8,1)</f>
        <v>49</v>
      </c>
      <c r="K1000" t="str" cm="1">
        <f t="array" ref="K1000">IFERROR(_xlfn.SWITCH(L1000,2,_xlfn.XLOOKUP(C1000,[1]ModifierDes!$B:$B,[1]ModifierDes!$C:$C),3,_xlfn.XLOOKUP(C1000,[1]StuntDes!$B:$B,[1]StuntDes!$C:$C)),"")</f>
        <v/>
      </c>
      <c r="L1000">
        <f t="shared" si="45"/>
        <v>1</v>
      </c>
      <c r="M1000" s="10" t="str">
        <f>IFERROR(_xlfn.XLOOKUP(C1000,[1]StuntDes!$B:$B,[1]StuntDes!$A:$A),"")</f>
        <v/>
      </c>
      <c r="N1000" s="10" t="str">
        <f>IFERROR(_xlfn.XLOOKUP(C1000,[1]ModifierDes!$B:$B,[1]ModifierDes!$A:$A),"")</f>
        <v/>
      </c>
      <c r="O1000" s="10">
        <f>IFERROR(_xlfn.XLOOKUP(C1000,[1]AttributeName!$C:$C,[1]AttributeName!$B:$B),"")</f>
        <v>10306</v>
      </c>
      <c r="P1000" s="10"/>
      <c r="Q1000">
        <v>0.19</v>
      </c>
      <c r="R1000">
        <v>0.21</v>
      </c>
      <c r="S1000" cm="1">
        <f t="array" ref="S1000">IFERROR(_xlfn.SWITCH(L1000,1,_xlfn.XLOOKUP(O1000,[1]AttributeName!$B:$B,[1]AttributeName!$D:$D),2,_xlfn.XLOOKUP(C1000,#REF!,#REF!),3,_xlfn.XLOOKUP(C1000,#REF!,#REF!)),0)</f>
        <v>2</v>
      </c>
      <c r="T1000" cm="1">
        <f t="array" ref="T1000">IFERROR(_xlfn.SWITCH(L1000,1,_xlfn.XLOOKUP(O1000,[1]AttributeName!$B:$B,[1]AttributeName!$E:$E),2,_xlfn.XLOOKUP(C1000,#REF!,#REF!),3,_xlfn.XLOOKUP(C1000,#REF!,#REF!)),0)</f>
        <v>2</v>
      </c>
    </row>
    <row r="1001" customFormat="1" spans="1:20">
      <c r="A1001">
        <f t="shared" si="44"/>
        <v>409</v>
      </c>
      <c r="B1001">
        <v>4</v>
      </c>
      <c r="C1001" t="s">
        <v>387</v>
      </c>
      <c r="D1001" t="s">
        <v>27</v>
      </c>
      <c r="E1001" t="s">
        <v>378</v>
      </c>
      <c r="F1001"/>
      <c r="G1001">
        <v>1</v>
      </c>
      <c r="H1001">
        <v>1000</v>
      </c>
      <c r="I1001">
        <v>3</v>
      </c>
      <c r="J1001" cm="1">
        <f t="array" ref="J1001">_xlfn.SWITCH(B1001,1,75,2,61,3,49,4,37,5,25,6,13,7,4,8,1)</f>
        <v>37</v>
      </c>
      <c r="K1001" t="str" cm="1">
        <f t="array" ref="K1001">IFERROR(_xlfn.SWITCH(L1001,2,_xlfn.XLOOKUP(C1001,[1]ModifierDes!$B:$B,[1]ModifierDes!$C:$C),3,_xlfn.XLOOKUP(C1001,[1]StuntDes!$B:$B,[1]StuntDes!$C:$C)),"")</f>
        <v/>
      </c>
      <c r="L1001">
        <f t="shared" si="45"/>
        <v>1</v>
      </c>
      <c r="M1001" s="10" t="str">
        <f>IFERROR(_xlfn.XLOOKUP(C1001,[1]StuntDes!$B:$B,[1]StuntDes!$A:$A),"")</f>
        <v/>
      </c>
      <c r="N1001" s="10" t="str">
        <f>IFERROR(_xlfn.XLOOKUP(C1001,[1]ModifierDes!$B:$B,[1]ModifierDes!$A:$A),"")</f>
        <v/>
      </c>
      <c r="O1001" s="10">
        <f>IFERROR(_xlfn.XLOOKUP(C1001,[1]AttributeName!$C:$C,[1]AttributeName!$B:$B),"")</f>
        <v>10306</v>
      </c>
      <c r="P1001" s="10"/>
      <c r="Q1001">
        <v>0.16</v>
      </c>
      <c r="R1001">
        <v>0.18</v>
      </c>
      <c r="S1001" cm="1">
        <f t="array" ref="S1001">IFERROR(_xlfn.SWITCH(L1001,1,_xlfn.XLOOKUP(O1001,[1]AttributeName!$B:$B,[1]AttributeName!$D:$D),2,_xlfn.XLOOKUP(C1001,#REF!,#REF!),3,_xlfn.XLOOKUP(C1001,#REF!,#REF!)),0)</f>
        <v>2</v>
      </c>
      <c r="T1001" cm="1">
        <f t="array" ref="T1001">IFERROR(_xlfn.SWITCH(L1001,1,_xlfn.XLOOKUP(O1001,[1]AttributeName!$B:$B,[1]AttributeName!$E:$E),2,_xlfn.XLOOKUP(C1001,#REF!,#REF!),3,_xlfn.XLOOKUP(C1001,#REF!,#REF!)),0)</f>
        <v>2</v>
      </c>
    </row>
    <row r="1002" customFormat="1" spans="1:20">
      <c r="A1002">
        <f t="shared" si="44"/>
        <v>409</v>
      </c>
      <c r="B1002">
        <v>5</v>
      </c>
      <c r="C1002" t="s">
        <v>387</v>
      </c>
      <c r="D1002" t="s">
        <v>27</v>
      </c>
      <c r="E1002" t="s">
        <v>378</v>
      </c>
      <c r="F1002"/>
      <c r="G1002">
        <v>1</v>
      </c>
      <c r="H1002">
        <v>1000</v>
      </c>
      <c r="I1002">
        <v>3</v>
      </c>
      <c r="J1002" cm="1">
        <f t="array" ref="J1002">_xlfn.SWITCH(B1002,1,75,2,61,3,49,4,37,5,25,6,13,7,4,8,1)</f>
        <v>25</v>
      </c>
      <c r="K1002" t="str" cm="1">
        <f t="array" ref="K1002">IFERROR(_xlfn.SWITCH(L1002,2,_xlfn.XLOOKUP(C1002,[1]ModifierDes!$B:$B,[1]ModifierDes!$C:$C),3,_xlfn.XLOOKUP(C1002,[1]StuntDes!$B:$B,[1]StuntDes!$C:$C)),"")</f>
        <v/>
      </c>
      <c r="L1002">
        <f t="shared" si="45"/>
        <v>1</v>
      </c>
      <c r="M1002" s="10" t="str">
        <f>IFERROR(_xlfn.XLOOKUP(C1002,[1]StuntDes!$B:$B,[1]StuntDes!$A:$A),"")</f>
        <v/>
      </c>
      <c r="N1002" s="10" t="str">
        <f>IFERROR(_xlfn.XLOOKUP(C1002,[1]ModifierDes!$B:$B,[1]ModifierDes!$A:$A),"")</f>
        <v/>
      </c>
      <c r="O1002" s="10">
        <f>IFERROR(_xlfn.XLOOKUP(C1002,[1]AttributeName!$C:$C,[1]AttributeName!$B:$B),"")</f>
        <v>10306</v>
      </c>
      <c r="P1002" s="10"/>
      <c r="Q1002">
        <v>0.13</v>
      </c>
      <c r="R1002">
        <v>0.15</v>
      </c>
      <c r="S1002" cm="1">
        <f t="array" ref="S1002">IFERROR(_xlfn.SWITCH(L1002,1,_xlfn.XLOOKUP(O1002,[1]AttributeName!$B:$B,[1]AttributeName!$D:$D),2,_xlfn.XLOOKUP(C1002,#REF!,#REF!),3,_xlfn.XLOOKUP(C1002,#REF!,#REF!)),0)</f>
        <v>2</v>
      </c>
      <c r="T1002" cm="1">
        <f t="array" ref="T1002">IFERROR(_xlfn.SWITCH(L1002,1,_xlfn.XLOOKUP(O1002,[1]AttributeName!$B:$B,[1]AttributeName!$E:$E),2,_xlfn.XLOOKUP(C1002,#REF!,#REF!),3,_xlfn.XLOOKUP(C1002,#REF!,#REF!)),0)</f>
        <v>2</v>
      </c>
    </row>
    <row r="1003" customFormat="1" spans="1:20">
      <c r="A1003">
        <f t="shared" si="44"/>
        <v>409</v>
      </c>
      <c r="B1003">
        <v>6</v>
      </c>
      <c r="C1003" t="s">
        <v>387</v>
      </c>
      <c r="D1003" t="s">
        <v>27</v>
      </c>
      <c r="E1003" t="s">
        <v>378</v>
      </c>
      <c r="F1003"/>
      <c r="G1003">
        <v>1</v>
      </c>
      <c r="H1003">
        <v>1000</v>
      </c>
      <c r="I1003">
        <v>3</v>
      </c>
      <c r="J1003" cm="1">
        <f t="array" ref="J1003">_xlfn.SWITCH(B1003,1,75,2,61,3,49,4,37,5,25,6,13,7,4,8,1)</f>
        <v>13</v>
      </c>
      <c r="K1003" t="str" cm="1">
        <f t="array" ref="K1003">IFERROR(_xlfn.SWITCH(L1003,2,_xlfn.XLOOKUP(C1003,[1]ModifierDes!$B:$B,[1]ModifierDes!$C:$C),3,_xlfn.XLOOKUP(C1003,[1]StuntDes!$B:$B,[1]StuntDes!$C:$C)),"")</f>
        <v/>
      </c>
      <c r="L1003">
        <f t="shared" si="45"/>
        <v>1</v>
      </c>
      <c r="M1003" s="10" t="str">
        <f>IFERROR(_xlfn.XLOOKUP(C1003,[1]StuntDes!$B:$B,[1]StuntDes!$A:$A),"")</f>
        <v/>
      </c>
      <c r="N1003" s="10" t="str">
        <f>IFERROR(_xlfn.XLOOKUP(C1003,[1]ModifierDes!$B:$B,[1]ModifierDes!$A:$A),"")</f>
        <v/>
      </c>
      <c r="O1003" s="10">
        <f>IFERROR(_xlfn.XLOOKUP(C1003,[1]AttributeName!$C:$C,[1]AttributeName!$B:$B),"")</f>
        <v>10306</v>
      </c>
      <c r="P1003" s="10"/>
      <c r="Q1003">
        <v>0.0999999999999999</v>
      </c>
      <c r="R1003">
        <v>0.12</v>
      </c>
      <c r="S1003" cm="1">
        <f t="array" ref="S1003">IFERROR(_xlfn.SWITCH(L1003,1,_xlfn.XLOOKUP(O1003,[1]AttributeName!$B:$B,[1]AttributeName!$D:$D),2,_xlfn.XLOOKUP(C1003,#REF!,#REF!),3,_xlfn.XLOOKUP(C1003,#REF!,#REF!)),0)</f>
        <v>2</v>
      </c>
      <c r="T1003" cm="1">
        <f t="array" ref="T1003">IFERROR(_xlfn.SWITCH(L1003,1,_xlfn.XLOOKUP(O1003,[1]AttributeName!$B:$B,[1]AttributeName!$E:$E),2,_xlfn.XLOOKUP(C1003,#REF!,#REF!),3,_xlfn.XLOOKUP(C1003,#REF!,#REF!)),0)</f>
        <v>2</v>
      </c>
    </row>
    <row r="1004" customFormat="1" spans="1:20">
      <c r="A1004">
        <f t="shared" si="44"/>
        <v>409</v>
      </c>
      <c r="B1004">
        <v>7</v>
      </c>
      <c r="C1004" t="s">
        <v>387</v>
      </c>
      <c r="D1004" t="s">
        <v>27</v>
      </c>
      <c r="E1004" t="s">
        <v>378</v>
      </c>
      <c r="F1004"/>
      <c r="G1004">
        <v>1</v>
      </c>
      <c r="H1004">
        <v>1000</v>
      </c>
      <c r="I1004">
        <v>3</v>
      </c>
      <c r="J1004" cm="1">
        <f t="array" ref="J1004">_xlfn.SWITCH(B1004,1,75,2,61,3,49,4,37,5,25,6,13,7,4,8,1)</f>
        <v>4</v>
      </c>
      <c r="K1004" t="str" cm="1">
        <f t="array" ref="K1004">IFERROR(_xlfn.SWITCH(L1004,2,_xlfn.XLOOKUP(C1004,[1]ModifierDes!$B:$B,[1]ModifierDes!$C:$C),3,_xlfn.XLOOKUP(C1004,[1]StuntDes!$B:$B,[1]StuntDes!$C:$C)),"")</f>
        <v/>
      </c>
      <c r="L1004">
        <f t="shared" si="45"/>
        <v>1</v>
      </c>
      <c r="M1004" s="10" t="str">
        <f>IFERROR(_xlfn.XLOOKUP(C1004,[1]StuntDes!$B:$B,[1]StuntDes!$A:$A),"")</f>
        <v/>
      </c>
      <c r="N1004" s="10" t="str">
        <f>IFERROR(_xlfn.XLOOKUP(C1004,[1]ModifierDes!$B:$B,[1]ModifierDes!$A:$A),"")</f>
        <v/>
      </c>
      <c r="O1004" s="10">
        <f>IFERROR(_xlfn.XLOOKUP(C1004,[1]AttributeName!$C:$C,[1]AttributeName!$B:$B),"")</f>
        <v>10306</v>
      </c>
      <c r="P1004" s="10"/>
      <c r="Q1004">
        <v>0.0699999999999999</v>
      </c>
      <c r="R1004">
        <v>0.09</v>
      </c>
      <c r="S1004" cm="1">
        <f t="array" ref="S1004">IFERROR(_xlfn.SWITCH(L1004,1,_xlfn.XLOOKUP(O1004,[1]AttributeName!$B:$B,[1]AttributeName!$D:$D),2,_xlfn.XLOOKUP(C1004,#REF!,#REF!),3,_xlfn.XLOOKUP(C1004,#REF!,#REF!)),0)</f>
        <v>2</v>
      </c>
      <c r="T1004" cm="1">
        <f t="array" ref="T1004">IFERROR(_xlfn.SWITCH(L1004,1,_xlfn.XLOOKUP(O1004,[1]AttributeName!$B:$B,[1]AttributeName!$E:$E),2,_xlfn.XLOOKUP(C1004,#REF!,#REF!),3,_xlfn.XLOOKUP(C1004,#REF!,#REF!)),0)</f>
        <v>2</v>
      </c>
    </row>
    <row r="1005" customFormat="1" spans="1:20">
      <c r="A1005">
        <f t="shared" si="44"/>
        <v>409</v>
      </c>
      <c r="B1005">
        <v>8</v>
      </c>
      <c r="C1005" t="s">
        <v>387</v>
      </c>
      <c r="D1005" t="s">
        <v>27</v>
      </c>
      <c r="E1005" t="s">
        <v>378</v>
      </c>
      <c r="F1005"/>
      <c r="G1005">
        <v>1</v>
      </c>
      <c r="H1005">
        <v>1000</v>
      </c>
      <c r="I1005">
        <v>3</v>
      </c>
      <c r="J1005" cm="1">
        <f t="array" ref="J1005">_xlfn.SWITCH(B1005,1,75,2,61,3,49,4,37,5,25,6,13,7,4,8,1)</f>
        <v>1</v>
      </c>
      <c r="K1005" t="str" cm="1">
        <f t="array" ref="K1005">IFERROR(_xlfn.SWITCH(L1005,2,_xlfn.XLOOKUP(C1005,[1]ModifierDes!$B:$B,[1]ModifierDes!$C:$C),3,_xlfn.XLOOKUP(C1005,[1]StuntDes!$B:$B,[1]StuntDes!$C:$C)),"")</f>
        <v/>
      </c>
      <c r="L1005">
        <f t="shared" si="45"/>
        <v>1</v>
      </c>
      <c r="M1005" s="10" t="str">
        <f>IFERROR(_xlfn.XLOOKUP(C1005,[1]StuntDes!$B:$B,[1]StuntDes!$A:$A),"")</f>
        <v/>
      </c>
      <c r="N1005" s="10" t="str">
        <f>IFERROR(_xlfn.XLOOKUP(C1005,[1]ModifierDes!$B:$B,[1]ModifierDes!$A:$A),"")</f>
        <v/>
      </c>
      <c r="O1005" s="10">
        <f>IFERROR(_xlfn.XLOOKUP(C1005,[1]AttributeName!$C:$C,[1]AttributeName!$B:$B),"")</f>
        <v>10306</v>
      </c>
      <c r="P1005" s="10"/>
      <c r="Q1005">
        <v>0.0399999999999998</v>
      </c>
      <c r="R1005">
        <v>0.06</v>
      </c>
      <c r="S1005" cm="1">
        <f t="array" ref="S1005">IFERROR(_xlfn.SWITCH(L1005,1,_xlfn.XLOOKUP(O1005,[1]AttributeName!$B:$B,[1]AttributeName!$D:$D),2,_xlfn.XLOOKUP(C1005,#REF!,#REF!),3,_xlfn.XLOOKUP(C1005,#REF!,#REF!)),0)</f>
        <v>2</v>
      </c>
      <c r="T1005" cm="1">
        <f t="array" ref="T1005">IFERROR(_xlfn.SWITCH(L1005,1,_xlfn.XLOOKUP(O1005,[1]AttributeName!$B:$B,[1]AttributeName!$E:$E),2,_xlfn.XLOOKUP(C1005,#REF!,#REF!),3,_xlfn.XLOOKUP(C1005,#REF!,#REF!)),0)</f>
        <v>2</v>
      </c>
    </row>
    <row r="1006" customFormat="1" spans="1:20">
      <c r="A1006">
        <f t="shared" ref="A1006:A1045" si="46">A998+1</f>
        <v>410</v>
      </c>
      <c r="B1006">
        <v>1</v>
      </c>
      <c r="C1006" t="s">
        <v>388</v>
      </c>
      <c r="D1006" t="s">
        <v>27</v>
      </c>
      <c r="E1006" t="s">
        <v>378</v>
      </c>
      <c r="F1006"/>
      <c r="G1006">
        <v>1</v>
      </c>
      <c r="H1006">
        <v>100</v>
      </c>
      <c r="I1006">
        <v>3</v>
      </c>
      <c r="J1006" cm="1">
        <f t="array" ref="J1006">_xlfn.SWITCH(B1006,1,75,2,61,3,49,4,37,5,25,6,13,7,4,8,1)</f>
        <v>75</v>
      </c>
      <c r="K1006" t="str" cm="1">
        <f t="array" ref="K1006">IFERROR(_xlfn.SWITCH(L1006,2,_xlfn.XLOOKUP(C1006,[1]ModifierDes!$B:$B,[1]ModifierDes!$C:$C),3,_xlfn.XLOOKUP(C1006,[1]StuntDes!$B:$B,[1]StuntDes!$C:$C)),"")</f>
        <v/>
      </c>
      <c r="L1006">
        <f t="shared" si="45"/>
        <v>1</v>
      </c>
      <c r="M1006" s="10" t="str">
        <f>IFERROR(_xlfn.XLOOKUP(C1006,[1]StuntDes!$B:$B,[1]StuntDes!$A:$A),"")</f>
        <v/>
      </c>
      <c r="N1006" s="10" t="str">
        <f>IFERROR(_xlfn.XLOOKUP(C1006,[1]ModifierDes!$B:$B,[1]ModifierDes!$A:$A),"")</f>
        <v/>
      </c>
      <c r="O1006" s="10">
        <f>IFERROR(_xlfn.XLOOKUP(C1006,[1]AttributeName!$C:$C,[1]AttributeName!$B:$B),"")</f>
        <v>10307</v>
      </c>
      <c r="P1006" s="10"/>
      <c r="Q1006">
        <v>0.25</v>
      </c>
      <c r="R1006">
        <v>0.35</v>
      </c>
      <c r="S1006" cm="1">
        <f t="array" ref="S1006">IFERROR(_xlfn.SWITCH(L1006,1,_xlfn.XLOOKUP(O1006,[1]AttributeName!$B:$B,[1]AttributeName!$D:$D),2,_xlfn.XLOOKUP(C1006,#REF!,#REF!),3,_xlfn.XLOOKUP(C1006,#REF!,#REF!)),0)</f>
        <v>2</v>
      </c>
      <c r="T1006" cm="1">
        <f t="array" ref="T1006">IFERROR(_xlfn.SWITCH(L1006,1,_xlfn.XLOOKUP(O1006,[1]AttributeName!$B:$B,[1]AttributeName!$E:$E),2,_xlfn.XLOOKUP(C1006,#REF!,#REF!),3,_xlfn.XLOOKUP(C1006,#REF!,#REF!)),0)</f>
        <v>2</v>
      </c>
    </row>
    <row r="1007" customFormat="1" spans="1:20">
      <c r="A1007">
        <f t="shared" si="46"/>
        <v>410</v>
      </c>
      <c r="B1007">
        <v>2</v>
      </c>
      <c r="C1007" t="s">
        <v>388</v>
      </c>
      <c r="D1007" t="s">
        <v>27</v>
      </c>
      <c r="E1007" t="s">
        <v>378</v>
      </c>
      <c r="F1007"/>
      <c r="G1007">
        <v>1</v>
      </c>
      <c r="H1007">
        <v>200</v>
      </c>
      <c r="I1007">
        <v>3</v>
      </c>
      <c r="J1007" cm="1">
        <f t="array" ref="J1007">_xlfn.SWITCH(B1007,1,75,2,61,3,49,4,37,5,25,6,13,7,4,8,1)</f>
        <v>61</v>
      </c>
      <c r="K1007" t="str" cm="1">
        <f t="array" ref="K1007">IFERROR(_xlfn.SWITCH(L1007,2,_xlfn.XLOOKUP(C1007,[1]ModifierDes!$B:$B,[1]ModifierDes!$C:$C),3,_xlfn.XLOOKUP(C1007,[1]StuntDes!$B:$B,[1]StuntDes!$C:$C)),"")</f>
        <v/>
      </c>
      <c r="L1007">
        <f t="shared" si="45"/>
        <v>1</v>
      </c>
      <c r="M1007" s="10" t="str">
        <f>IFERROR(_xlfn.XLOOKUP(C1007,[1]StuntDes!$B:$B,[1]StuntDes!$A:$A),"")</f>
        <v/>
      </c>
      <c r="N1007" s="10" t="str">
        <f>IFERROR(_xlfn.XLOOKUP(C1007,[1]ModifierDes!$B:$B,[1]ModifierDes!$A:$A),"")</f>
        <v/>
      </c>
      <c r="O1007" s="10">
        <f>IFERROR(_xlfn.XLOOKUP(C1007,[1]AttributeName!$C:$C,[1]AttributeName!$B:$B),"")</f>
        <v>10307</v>
      </c>
      <c r="P1007" s="10"/>
      <c r="Q1007">
        <v>0.22</v>
      </c>
      <c r="R1007">
        <v>0.24</v>
      </c>
      <c r="S1007" cm="1">
        <f t="array" ref="S1007">IFERROR(_xlfn.SWITCH(L1007,1,_xlfn.XLOOKUP(O1007,[1]AttributeName!$B:$B,[1]AttributeName!$D:$D),2,_xlfn.XLOOKUP(C1007,#REF!,#REF!),3,_xlfn.XLOOKUP(C1007,#REF!,#REF!)),0)</f>
        <v>2</v>
      </c>
      <c r="T1007" cm="1">
        <f t="array" ref="T1007">IFERROR(_xlfn.SWITCH(L1007,1,_xlfn.XLOOKUP(O1007,[1]AttributeName!$B:$B,[1]AttributeName!$E:$E),2,_xlfn.XLOOKUP(C1007,#REF!,#REF!),3,_xlfn.XLOOKUP(C1007,#REF!,#REF!)),0)</f>
        <v>2</v>
      </c>
    </row>
    <row r="1008" customFormat="1" spans="1:20">
      <c r="A1008">
        <f t="shared" si="46"/>
        <v>410</v>
      </c>
      <c r="B1008">
        <v>3</v>
      </c>
      <c r="C1008" t="s">
        <v>388</v>
      </c>
      <c r="D1008" t="s">
        <v>27</v>
      </c>
      <c r="E1008" t="s">
        <v>378</v>
      </c>
      <c r="F1008"/>
      <c r="G1008">
        <v>1</v>
      </c>
      <c r="H1008">
        <v>500</v>
      </c>
      <c r="I1008">
        <v>3</v>
      </c>
      <c r="J1008" cm="1">
        <f t="array" ref="J1008">_xlfn.SWITCH(B1008,1,75,2,61,3,49,4,37,5,25,6,13,7,4,8,1)</f>
        <v>49</v>
      </c>
      <c r="K1008" t="str" cm="1">
        <f t="array" ref="K1008">IFERROR(_xlfn.SWITCH(L1008,2,_xlfn.XLOOKUP(C1008,[1]ModifierDes!$B:$B,[1]ModifierDes!$C:$C),3,_xlfn.XLOOKUP(C1008,[1]StuntDes!$B:$B,[1]StuntDes!$C:$C)),"")</f>
        <v/>
      </c>
      <c r="L1008">
        <f t="shared" si="45"/>
        <v>1</v>
      </c>
      <c r="M1008" s="10" t="str">
        <f>IFERROR(_xlfn.XLOOKUP(C1008,[1]StuntDes!$B:$B,[1]StuntDes!$A:$A),"")</f>
        <v/>
      </c>
      <c r="N1008" s="10" t="str">
        <f>IFERROR(_xlfn.XLOOKUP(C1008,[1]ModifierDes!$B:$B,[1]ModifierDes!$A:$A),"")</f>
        <v/>
      </c>
      <c r="O1008" s="10">
        <f>IFERROR(_xlfn.XLOOKUP(C1008,[1]AttributeName!$C:$C,[1]AttributeName!$B:$B),"")</f>
        <v>10307</v>
      </c>
      <c r="P1008" s="10"/>
      <c r="Q1008">
        <v>0.19</v>
      </c>
      <c r="R1008">
        <v>0.21</v>
      </c>
      <c r="S1008" cm="1">
        <f t="array" ref="S1008">IFERROR(_xlfn.SWITCH(L1008,1,_xlfn.XLOOKUP(O1008,[1]AttributeName!$B:$B,[1]AttributeName!$D:$D),2,_xlfn.XLOOKUP(C1008,#REF!,#REF!),3,_xlfn.XLOOKUP(C1008,#REF!,#REF!)),0)</f>
        <v>2</v>
      </c>
      <c r="T1008" cm="1">
        <f t="array" ref="T1008">IFERROR(_xlfn.SWITCH(L1008,1,_xlfn.XLOOKUP(O1008,[1]AttributeName!$B:$B,[1]AttributeName!$E:$E),2,_xlfn.XLOOKUP(C1008,#REF!,#REF!),3,_xlfn.XLOOKUP(C1008,#REF!,#REF!)),0)</f>
        <v>2</v>
      </c>
    </row>
    <row r="1009" customFormat="1" spans="1:20">
      <c r="A1009">
        <f t="shared" si="46"/>
        <v>410</v>
      </c>
      <c r="B1009">
        <v>4</v>
      </c>
      <c r="C1009" t="s">
        <v>388</v>
      </c>
      <c r="D1009" t="s">
        <v>27</v>
      </c>
      <c r="E1009" t="s">
        <v>378</v>
      </c>
      <c r="F1009"/>
      <c r="G1009">
        <v>1</v>
      </c>
      <c r="H1009">
        <v>1000</v>
      </c>
      <c r="I1009">
        <v>3</v>
      </c>
      <c r="J1009" cm="1">
        <f t="array" ref="J1009">_xlfn.SWITCH(B1009,1,75,2,61,3,49,4,37,5,25,6,13,7,4,8,1)</f>
        <v>37</v>
      </c>
      <c r="K1009" t="str" cm="1">
        <f t="array" ref="K1009">IFERROR(_xlfn.SWITCH(L1009,2,_xlfn.XLOOKUP(C1009,[1]ModifierDes!$B:$B,[1]ModifierDes!$C:$C),3,_xlfn.XLOOKUP(C1009,[1]StuntDes!$B:$B,[1]StuntDes!$C:$C)),"")</f>
        <v/>
      </c>
      <c r="L1009">
        <f t="shared" si="45"/>
        <v>1</v>
      </c>
      <c r="M1009" s="10" t="str">
        <f>IFERROR(_xlfn.XLOOKUP(C1009,[1]StuntDes!$B:$B,[1]StuntDes!$A:$A),"")</f>
        <v/>
      </c>
      <c r="N1009" s="10" t="str">
        <f>IFERROR(_xlfn.XLOOKUP(C1009,[1]ModifierDes!$B:$B,[1]ModifierDes!$A:$A),"")</f>
        <v/>
      </c>
      <c r="O1009" s="10">
        <f>IFERROR(_xlfn.XLOOKUP(C1009,[1]AttributeName!$C:$C,[1]AttributeName!$B:$B),"")</f>
        <v>10307</v>
      </c>
      <c r="P1009" s="10"/>
      <c r="Q1009">
        <v>0.16</v>
      </c>
      <c r="R1009">
        <v>0.18</v>
      </c>
      <c r="S1009" cm="1">
        <f t="array" ref="S1009">IFERROR(_xlfn.SWITCH(L1009,1,_xlfn.XLOOKUP(O1009,[1]AttributeName!$B:$B,[1]AttributeName!$D:$D),2,_xlfn.XLOOKUP(C1009,#REF!,#REF!),3,_xlfn.XLOOKUP(C1009,#REF!,#REF!)),0)</f>
        <v>2</v>
      </c>
      <c r="T1009" cm="1">
        <f t="array" ref="T1009">IFERROR(_xlfn.SWITCH(L1009,1,_xlfn.XLOOKUP(O1009,[1]AttributeName!$B:$B,[1]AttributeName!$E:$E),2,_xlfn.XLOOKUP(C1009,#REF!,#REF!),3,_xlfn.XLOOKUP(C1009,#REF!,#REF!)),0)</f>
        <v>2</v>
      </c>
    </row>
    <row r="1010" customFormat="1" spans="1:20">
      <c r="A1010">
        <f t="shared" si="46"/>
        <v>410</v>
      </c>
      <c r="B1010">
        <v>5</v>
      </c>
      <c r="C1010" t="s">
        <v>388</v>
      </c>
      <c r="D1010" t="s">
        <v>27</v>
      </c>
      <c r="E1010" t="s">
        <v>378</v>
      </c>
      <c r="F1010"/>
      <c r="G1010">
        <v>1</v>
      </c>
      <c r="H1010">
        <v>1000</v>
      </c>
      <c r="I1010">
        <v>3</v>
      </c>
      <c r="J1010" cm="1">
        <f t="array" ref="J1010">_xlfn.SWITCH(B1010,1,75,2,61,3,49,4,37,5,25,6,13,7,4,8,1)</f>
        <v>25</v>
      </c>
      <c r="K1010" t="str" cm="1">
        <f t="array" ref="K1010">IFERROR(_xlfn.SWITCH(L1010,2,_xlfn.XLOOKUP(C1010,[1]ModifierDes!$B:$B,[1]ModifierDes!$C:$C),3,_xlfn.XLOOKUP(C1010,[1]StuntDes!$B:$B,[1]StuntDes!$C:$C)),"")</f>
        <v/>
      </c>
      <c r="L1010">
        <f t="shared" si="45"/>
        <v>1</v>
      </c>
      <c r="M1010" s="10" t="str">
        <f>IFERROR(_xlfn.XLOOKUP(C1010,[1]StuntDes!$B:$B,[1]StuntDes!$A:$A),"")</f>
        <v/>
      </c>
      <c r="N1010" s="10" t="str">
        <f>IFERROR(_xlfn.XLOOKUP(C1010,[1]ModifierDes!$B:$B,[1]ModifierDes!$A:$A),"")</f>
        <v/>
      </c>
      <c r="O1010" s="10">
        <f>IFERROR(_xlfn.XLOOKUP(C1010,[1]AttributeName!$C:$C,[1]AttributeName!$B:$B),"")</f>
        <v>10307</v>
      </c>
      <c r="P1010" s="10"/>
      <c r="Q1010">
        <v>0.13</v>
      </c>
      <c r="R1010">
        <v>0.15</v>
      </c>
      <c r="S1010" cm="1">
        <f t="array" ref="S1010">IFERROR(_xlfn.SWITCH(L1010,1,_xlfn.XLOOKUP(O1010,[1]AttributeName!$B:$B,[1]AttributeName!$D:$D),2,_xlfn.XLOOKUP(C1010,#REF!,#REF!),3,_xlfn.XLOOKUP(C1010,#REF!,#REF!)),0)</f>
        <v>2</v>
      </c>
      <c r="T1010" cm="1">
        <f t="array" ref="T1010">IFERROR(_xlfn.SWITCH(L1010,1,_xlfn.XLOOKUP(O1010,[1]AttributeName!$B:$B,[1]AttributeName!$E:$E),2,_xlfn.XLOOKUP(C1010,#REF!,#REF!),3,_xlfn.XLOOKUP(C1010,#REF!,#REF!)),0)</f>
        <v>2</v>
      </c>
    </row>
    <row r="1011" customFormat="1" spans="1:20">
      <c r="A1011">
        <f t="shared" si="46"/>
        <v>410</v>
      </c>
      <c r="B1011">
        <v>6</v>
      </c>
      <c r="C1011" t="s">
        <v>388</v>
      </c>
      <c r="D1011" t="s">
        <v>27</v>
      </c>
      <c r="E1011" t="s">
        <v>378</v>
      </c>
      <c r="F1011"/>
      <c r="G1011">
        <v>1</v>
      </c>
      <c r="H1011">
        <v>1000</v>
      </c>
      <c r="I1011">
        <v>3</v>
      </c>
      <c r="J1011" cm="1">
        <f t="array" ref="J1011">_xlfn.SWITCH(B1011,1,75,2,61,3,49,4,37,5,25,6,13,7,4,8,1)</f>
        <v>13</v>
      </c>
      <c r="K1011" t="str" cm="1">
        <f t="array" ref="K1011">IFERROR(_xlfn.SWITCH(L1011,2,_xlfn.XLOOKUP(C1011,[1]ModifierDes!$B:$B,[1]ModifierDes!$C:$C),3,_xlfn.XLOOKUP(C1011,[1]StuntDes!$B:$B,[1]StuntDes!$C:$C)),"")</f>
        <v/>
      </c>
      <c r="L1011">
        <f t="shared" si="45"/>
        <v>1</v>
      </c>
      <c r="M1011" s="10" t="str">
        <f>IFERROR(_xlfn.XLOOKUP(C1011,[1]StuntDes!$B:$B,[1]StuntDes!$A:$A),"")</f>
        <v/>
      </c>
      <c r="N1011" s="10" t="str">
        <f>IFERROR(_xlfn.XLOOKUP(C1011,[1]ModifierDes!$B:$B,[1]ModifierDes!$A:$A),"")</f>
        <v/>
      </c>
      <c r="O1011" s="10">
        <f>IFERROR(_xlfn.XLOOKUP(C1011,[1]AttributeName!$C:$C,[1]AttributeName!$B:$B),"")</f>
        <v>10307</v>
      </c>
      <c r="P1011" s="10"/>
      <c r="Q1011">
        <v>0.0999999999999999</v>
      </c>
      <c r="R1011">
        <v>0.12</v>
      </c>
      <c r="S1011" cm="1">
        <f t="array" ref="S1011">IFERROR(_xlfn.SWITCH(L1011,1,_xlfn.XLOOKUP(O1011,[1]AttributeName!$B:$B,[1]AttributeName!$D:$D),2,_xlfn.XLOOKUP(C1011,#REF!,#REF!),3,_xlfn.XLOOKUP(C1011,#REF!,#REF!)),0)</f>
        <v>2</v>
      </c>
      <c r="T1011" cm="1">
        <f t="array" ref="T1011">IFERROR(_xlfn.SWITCH(L1011,1,_xlfn.XLOOKUP(O1011,[1]AttributeName!$B:$B,[1]AttributeName!$E:$E),2,_xlfn.XLOOKUP(C1011,#REF!,#REF!),3,_xlfn.XLOOKUP(C1011,#REF!,#REF!)),0)</f>
        <v>2</v>
      </c>
    </row>
    <row r="1012" customFormat="1" spans="1:20">
      <c r="A1012">
        <f t="shared" si="46"/>
        <v>410</v>
      </c>
      <c r="B1012">
        <v>7</v>
      </c>
      <c r="C1012" t="s">
        <v>388</v>
      </c>
      <c r="D1012" t="s">
        <v>27</v>
      </c>
      <c r="E1012" t="s">
        <v>378</v>
      </c>
      <c r="F1012"/>
      <c r="G1012">
        <v>1</v>
      </c>
      <c r="H1012">
        <v>1000</v>
      </c>
      <c r="I1012">
        <v>3</v>
      </c>
      <c r="J1012" cm="1">
        <f t="array" ref="J1012">_xlfn.SWITCH(B1012,1,75,2,61,3,49,4,37,5,25,6,13,7,4,8,1)</f>
        <v>4</v>
      </c>
      <c r="K1012" t="str" cm="1">
        <f t="array" ref="K1012">IFERROR(_xlfn.SWITCH(L1012,2,_xlfn.XLOOKUP(C1012,[1]ModifierDes!$B:$B,[1]ModifierDes!$C:$C),3,_xlfn.XLOOKUP(C1012,[1]StuntDes!$B:$B,[1]StuntDes!$C:$C)),"")</f>
        <v/>
      </c>
      <c r="L1012">
        <f t="shared" si="45"/>
        <v>1</v>
      </c>
      <c r="M1012" s="10" t="str">
        <f>IFERROR(_xlfn.XLOOKUP(C1012,[1]StuntDes!$B:$B,[1]StuntDes!$A:$A),"")</f>
        <v/>
      </c>
      <c r="N1012" s="10" t="str">
        <f>IFERROR(_xlfn.XLOOKUP(C1012,[1]ModifierDes!$B:$B,[1]ModifierDes!$A:$A),"")</f>
        <v/>
      </c>
      <c r="O1012" s="10">
        <f>IFERROR(_xlfn.XLOOKUP(C1012,[1]AttributeName!$C:$C,[1]AttributeName!$B:$B),"")</f>
        <v>10307</v>
      </c>
      <c r="P1012" s="10"/>
      <c r="Q1012">
        <v>0.0699999999999999</v>
      </c>
      <c r="R1012">
        <v>0.09</v>
      </c>
      <c r="S1012" cm="1">
        <f t="array" ref="S1012">IFERROR(_xlfn.SWITCH(L1012,1,_xlfn.XLOOKUP(O1012,[1]AttributeName!$B:$B,[1]AttributeName!$D:$D),2,_xlfn.XLOOKUP(C1012,#REF!,#REF!),3,_xlfn.XLOOKUP(C1012,#REF!,#REF!)),0)</f>
        <v>2</v>
      </c>
      <c r="T1012" cm="1">
        <f t="array" ref="T1012">IFERROR(_xlfn.SWITCH(L1012,1,_xlfn.XLOOKUP(O1012,[1]AttributeName!$B:$B,[1]AttributeName!$E:$E),2,_xlfn.XLOOKUP(C1012,#REF!,#REF!),3,_xlfn.XLOOKUP(C1012,#REF!,#REF!)),0)</f>
        <v>2</v>
      </c>
    </row>
    <row r="1013" customFormat="1" spans="1:20">
      <c r="A1013">
        <f t="shared" si="46"/>
        <v>410</v>
      </c>
      <c r="B1013">
        <v>8</v>
      </c>
      <c r="C1013" t="s">
        <v>388</v>
      </c>
      <c r="D1013" t="s">
        <v>27</v>
      </c>
      <c r="E1013" t="s">
        <v>378</v>
      </c>
      <c r="F1013"/>
      <c r="G1013">
        <v>1</v>
      </c>
      <c r="H1013">
        <v>1000</v>
      </c>
      <c r="I1013">
        <v>3</v>
      </c>
      <c r="J1013" cm="1">
        <f t="array" ref="J1013">_xlfn.SWITCH(B1013,1,75,2,61,3,49,4,37,5,25,6,13,7,4,8,1)</f>
        <v>1</v>
      </c>
      <c r="K1013" t="str" cm="1">
        <f t="array" ref="K1013">IFERROR(_xlfn.SWITCH(L1013,2,_xlfn.XLOOKUP(C1013,[1]ModifierDes!$B:$B,[1]ModifierDes!$C:$C),3,_xlfn.XLOOKUP(C1013,[1]StuntDes!$B:$B,[1]StuntDes!$C:$C)),"")</f>
        <v/>
      </c>
      <c r="L1013">
        <f t="shared" si="45"/>
        <v>1</v>
      </c>
      <c r="M1013" s="10" t="str">
        <f>IFERROR(_xlfn.XLOOKUP(C1013,[1]StuntDes!$B:$B,[1]StuntDes!$A:$A),"")</f>
        <v/>
      </c>
      <c r="N1013" s="10" t="str">
        <f>IFERROR(_xlfn.XLOOKUP(C1013,[1]ModifierDes!$B:$B,[1]ModifierDes!$A:$A),"")</f>
        <v/>
      </c>
      <c r="O1013" s="10">
        <f>IFERROR(_xlfn.XLOOKUP(C1013,[1]AttributeName!$C:$C,[1]AttributeName!$B:$B),"")</f>
        <v>10307</v>
      </c>
      <c r="P1013" s="10"/>
      <c r="Q1013">
        <v>0.0399999999999998</v>
      </c>
      <c r="R1013">
        <v>0.06</v>
      </c>
      <c r="S1013" cm="1">
        <f t="array" ref="S1013">IFERROR(_xlfn.SWITCH(L1013,1,_xlfn.XLOOKUP(O1013,[1]AttributeName!$B:$B,[1]AttributeName!$D:$D),2,_xlfn.XLOOKUP(C1013,#REF!,#REF!),3,_xlfn.XLOOKUP(C1013,#REF!,#REF!)),0)</f>
        <v>2</v>
      </c>
      <c r="T1013" cm="1">
        <f t="array" ref="T1013">IFERROR(_xlfn.SWITCH(L1013,1,_xlfn.XLOOKUP(O1013,[1]AttributeName!$B:$B,[1]AttributeName!$E:$E),2,_xlfn.XLOOKUP(C1013,#REF!,#REF!),3,_xlfn.XLOOKUP(C1013,#REF!,#REF!)),0)</f>
        <v>2</v>
      </c>
    </row>
    <row r="1014" customFormat="1" spans="1:20">
      <c r="A1014">
        <f t="shared" si="46"/>
        <v>411</v>
      </c>
      <c r="B1014">
        <v>1</v>
      </c>
      <c r="C1014" t="s">
        <v>431</v>
      </c>
      <c r="D1014" t="s">
        <v>27</v>
      </c>
      <c r="E1014" t="s">
        <v>378</v>
      </c>
      <c r="F1014"/>
      <c r="G1014">
        <v>1</v>
      </c>
      <c r="H1014">
        <v>250</v>
      </c>
      <c r="J1014" cm="1">
        <f t="array" ref="J1014">_xlfn.SWITCH(B1014,1,75,2,61,3,49,4,37,5,25,6,13,7,4,8,1)</f>
        <v>75</v>
      </c>
      <c r="K1014" t="str" cm="1">
        <f t="array" ref="K1014">IFERROR(_xlfn.SWITCH(L1014,2,_xlfn.XLOOKUP(C1014,[1]ModifierDes!$B:$B,[1]ModifierDes!$C:$C),3,_xlfn.XLOOKUP(C1014,[1]StuntDes!$B:$B,[1]StuntDes!$C:$C)),"")</f>
        <v/>
      </c>
      <c r="L1014">
        <f t="shared" si="45"/>
        <v>1</v>
      </c>
      <c r="M1014" s="10" t="str">
        <f>IFERROR(_xlfn.XLOOKUP(C1014,[1]StuntDes!$B:$B,[1]StuntDes!$A:$A),"")</f>
        <v/>
      </c>
      <c r="N1014" s="10" t="str">
        <f>IFERROR(_xlfn.XLOOKUP(C1014,[1]ModifierDes!$B:$B,[1]ModifierDes!$A:$A),"")</f>
        <v/>
      </c>
      <c r="O1014" s="10">
        <f>IFERROR(_xlfn.XLOOKUP(C1014,[1]AttributeName!$C:$C,[1]AttributeName!$B:$B),"")</f>
        <v>10813</v>
      </c>
      <c r="P1014" s="10"/>
      <c r="Q1014">
        <v>0.08</v>
      </c>
      <c r="R1014">
        <v>0.1</v>
      </c>
      <c r="S1014" cm="1">
        <f t="array" ref="S1014">IFERROR(_xlfn.SWITCH(L1014,1,_xlfn.XLOOKUP(O1014,[1]AttributeName!$B:$B,[1]AttributeName!$D:$D),2,_xlfn.XLOOKUP(C1014,#REF!,#REF!),3,_xlfn.XLOOKUP(C1014,#REF!,#REF!)),0)</f>
        <v>2</v>
      </c>
      <c r="T1014" cm="1">
        <f t="array" ref="T1014">IFERROR(_xlfn.SWITCH(L1014,1,_xlfn.XLOOKUP(O1014,[1]AttributeName!$B:$B,[1]AttributeName!$E:$E),2,_xlfn.XLOOKUP(C1014,#REF!,#REF!),3,_xlfn.XLOOKUP(C1014,#REF!,#REF!)),0)</f>
        <v>2</v>
      </c>
    </row>
    <row r="1015" customFormat="1" spans="1:20">
      <c r="A1015">
        <f t="shared" si="46"/>
        <v>411</v>
      </c>
      <c r="B1015">
        <v>2</v>
      </c>
      <c r="C1015" t="s">
        <v>431</v>
      </c>
      <c r="D1015" t="s">
        <v>27</v>
      </c>
      <c r="E1015" t="s">
        <v>378</v>
      </c>
      <c r="F1015"/>
      <c r="G1015">
        <v>1</v>
      </c>
      <c r="H1015">
        <v>500</v>
      </c>
      <c r="J1015" cm="1">
        <f t="array" ref="J1015">_xlfn.SWITCH(B1015,1,75,2,61,3,49,4,37,5,25,6,13,7,4,8,1)</f>
        <v>61</v>
      </c>
      <c r="K1015" t="str" cm="1">
        <f t="array" ref="K1015">IFERROR(_xlfn.SWITCH(L1015,2,_xlfn.XLOOKUP(C1015,[1]ModifierDes!$B:$B,[1]ModifierDes!$C:$C),3,_xlfn.XLOOKUP(C1015,[1]StuntDes!$B:$B,[1]StuntDes!$C:$C)),"")</f>
        <v/>
      </c>
      <c r="L1015">
        <f t="shared" si="45"/>
        <v>1</v>
      </c>
      <c r="M1015" s="10" t="str">
        <f>IFERROR(_xlfn.XLOOKUP(C1015,[1]StuntDes!$B:$B,[1]StuntDes!$A:$A),"")</f>
        <v/>
      </c>
      <c r="N1015" s="10" t="str">
        <f>IFERROR(_xlfn.XLOOKUP(C1015,[1]ModifierDes!$B:$B,[1]ModifierDes!$A:$A),"")</f>
        <v/>
      </c>
      <c r="O1015" s="10">
        <f>IFERROR(_xlfn.XLOOKUP(C1015,[1]AttributeName!$C:$C,[1]AttributeName!$B:$B),"")</f>
        <v>10813</v>
      </c>
      <c r="P1015" s="10"/>
      <c r="Q1015">
        <v>0.07</v>
      </c>
      <c r="R1015">
        <v>0.07</v>
      </c>
      <c r="S1015" cm="1">
        <f t="array" ref="S1015">IFERROR(_xlfn.SWITCH(L1015,1,_xlfn.XLOOKUP(O1015,[1]AttributeName!$B:$B,[1]AttributeName!$D:$D),2,_xlfn.XLOOKUP(C1015,#REF!,#REF!),3,_xlfn.XLOOKUP(C1015,#REF!,#REF!)),0)</f>
        <v>2</v>
      </c>
      <c r="T1015" cm="1">
        <f t="array" ref="T1015">IFERROR(_xlfn.SWITCH(L1015,1,_xlfn.XLOOKUP(O1015,[1]AttributeName!$B:$B,[1]AttributeName!$E:$E),2,_xlfn.XLOOKUP(C1015,#REF!,#REF!),3,_xlfn.XLOOKUP(C1015,#REF!,#REF!)),0)</f>
        <v>2</v>
      </c>
    </row>
    <row r="1016" customFormat="1" spans="1:20">
      <c r="A1016">
        <f t="shared" si="46"/>
        <v>411</v>
      </c>
      <c r="B1016">
        <v>3</v>
      </c>
      <c r="C1016" t="s">
        <v>431</v>
      </c>
      <c r="D1016" t="s">
        <v>27</v>
      </c>
      <c r="E1016" t="s">
        <v>378</v>
      </c>
      <c r="F1016"/>
      <c r="G1016">
        <v>1</v>
      </c>
      <c r="H1016">
        <v>750</v>
      </c>
      <c r="J1016" cm="1">
        <f t="array" ref="J1016">_xlfn.SWITCH(B1016,1,75,2,61,3,49,4,37,5,25,6,13,7,4,8,1)</f>
        <v>49</v>
      </c>
      <c r="K1016" t="str" cm="1">
        <f t="array" ref="K1016">IFERROR(_xlfn.SWITCH(L1016,2,_xlfn.XLOOKUP(C1016,[1]ModifierDes!$B:$B,[1]ModifierDes!$C:$C),3,_xlfn.XLOOKUP(C1016,[1]StuntDes!$B:$B,[1]StuntDes!$C:$C)),"")</f>
        <v/>
      </c>
      <c r="L1016">
        <f t="shared" si="45"/>
        <v>1</v>
      </c>
      <c r="M1016" s="10" t="str">
        <f>IFERROR(_xlfn.XLOOKUP(C1016,[1]StuntDes!$B:$B,[1]StuntDes!$A:$A),"")</f>
        <v/>
      </c>
      <c r="N1016" s="10" t="str">
        <f>IFERROR(_xlfn.XLOOKUP(C1016,[1]ModifierDes!$B:$B,[1]ModifierDes!$A:$A),"")</f>
        <v/>
      </c>
      <c r="O1016" s="10">
        <f>IFERROR(_xlfn.XLOOKUP(C1016,[1]AttributeName!$C:$C,[1]AttributeName!$B:$B),"")</f>
        <v>10813</v>
      </c>
      <c r="P1016" s="10"/>
      <c r="Q1016">
        <v>0.06</v>
      </c>
      <c r="R1016">
        <v>0.06</v>
      </c>
      <c r="S1016" cm="1">
        <f t="array" ref="S1016">IFERROR(_xlfn.SWITCH(L1016,1,_xlfn.XLOOKUP(O1016,[1]AttributeName!$B:$B,[1]AttributeName!$D:$D),2,_xlfn.XLOOKUP(C1016,#REF!,#REF!),3,_xlfn.XLOOKUP(C1016,#REF!,#REF!)),0)</f>
        <v>2</v>
      </c>
      <c r="T1016" cm="1">
        <f t="array" ref="T1016">IFERROR(_xlfn.SWITCH(L1016,1,_xlfn.XLOOKUP(O1016,[1]AttributeName!$B:$B,[1]AttributeName!$E:$E),2,_xlfn.XLOOKUP(C1016,#REF!,#REF!),3,_xlfn.XLOOKUP(C1016,#REF!,#REF!)),0)</f>
        <v>2</v>
      </c>
    </row>
    <row r="1017" customFormat="1" spans="1:20">
      <c r="A1017">
        <f t="shared" si="46"/>
        <v>411</v>
      </c>
      <c r="B1017">
        <v>4</v>
      </c>
      <c r="C1017" t="s">
        <v>431</v>
      </c>
      <c r="D1017" t="s">
        <v>27</v>
      </c>
      <c r="E1017" t="s">
        <v>378</v>
      </c>
      <c r="F1017"/>
      <c r="G1017">
        <v>1</v>
      </c>
      <c r="H1017">
        <v>1000</v>
      </c>
      <c r="J1017" cm="1">
        <f t="array" ref="J1017">_xlfn.SWITCH(B1017,1,75,2,61,3,49,4,37,5,25,6,13,7,4,8,1)</f>
        <v>37</v>
      </c>
      <c r="K1017" t="str" cm="1">
        <f t="array" ref="K1017">IFERROR(_xlfn.SWITCH(L1017,2,_xlfn.XLOOKUP(C1017,[1]ModifierDes!$B:$B,[1]ModifierDes!$C:$C),3,_xlfn.XLOOKUP(C1017,[1]StuntDes!$B:$B,[1]StuntDes!$C:$C)),"")</f>
        <v/>
      </c>
      <c r="L1017">
        <f t="shared" si="45"/>
        <v>1</v>
      </c>
      <c r="M1017" s="10" t="str">
        <f>IFERROR(_xlfn.XLOOKUP(C1017,[1]StuntDes!$B:$B,[1]StuntDes!$A:$A),"")</f>
        <v/>
      </c>
      <c r="N1017" s="10" t="str">
        <f>IFERROR(_xlfn.XLOOKUP(C1017,[1]ModifierDes!$B:$B,[1]ModifierDes!$A:$A),"")</f>
        <v/>
      </c>
      <c r="O1017" s="10">
        <f>IFERROR(_xlfn.XLOOKUP(C1017,[1]AttributeName!$C:$C,[1]AttributeName!$B:$B),"")</f>
        <v>10813</v>
      </c>
      <c r="P1017" s="10"/>
      <c r="Q1017">
        <v>0.05</v>
      </c>
      <c r="R1017">
        <v>0.05</v>
      </c>
      <c r="S1017" cm="1">
        <f t="array" ref="S1017">IFERROR(_xlfn.SWITCH(L1017,1,_xlfn.XLOOKUP(O1017,[1]AttributeName!$B:$B,[1]AttributeName!$D:$D),2,_xlfn.XLOOKUP(C1017,#REF!,#REF!),3,_xlfn.XLOOKUP(C1017,#REF!,#REF!)),0)</f>
        <v>2</v>
      </c>
      <c r="T1017" cm="1">
        <f t="array" ref="T1017">IFERROR(_xlfn.SWITCH(L1017,1,_xlfn.XLOOKUP(O1017,[1]AttributeName!$B:$B,[1]AttributeName!$E:$E),2,_xlfn.XLOOKUP(C1017,#REF!,#REF!),3,_xlfn.XLOOKUP(C1017,#REF!,#REF!)),0)</f>
        <v>2</v>
      </c>
    </row>
    <row r="1018" customFormat="1" spans="1:20">
      <c r="A1018">
        <f t="shared" si="46"/>
        <v>411</v>
      </c>
      <c r="B1018">
        <v>5</v>
      </c>
      <c r="C1018" t="s">
        <v>431</v>
      </c>
      <c r="D1018" t="s">
        <v>27</v>
      </c>
      <c r="E1018" t="s">
        <v>378</v>
      </c>
      <c r="F1018"/>
      <c r="G1018">
        <v>1</v>
      </c>
      <c r="H1018">
        <v>1000</v>
      </c>
      <c r="J1018" cm="1">
        <f t="array" ref="J1018">_xlfn.SWITCH(B1018,1,75,2,61,3,49,4,37,5,25,6,13,7,4,8,1)</f>
        <v>25</v>
      </c>
      <c r="K1018" t="str" cm="1">
        <f t="array" ref="K1018">IFERROR(_xlfn.SWITCH(L1018,2,_xlfn.XLOOKUP(C1018,[1]ModifierDes!$B:$B,[1]ModifierDes!$C:$C),3,_xlfn.XLOOKUP(C1018,[1]StuntDes!$B:$B,[1]StuntDes!$C:$C)),"")</f>
        <v/>
      </c>
      <c r="L1018">
        <f t="shared" si="45"/>
        <v>1</v>
      </c>
      <c r="M1018" s="10" t="str">
        <f>IFERROR(_xlfn.XLOOKUP(C1018,[1]StuntDes!$B:$B,[1]StuntDes!$A:$A),"")</f>
        <v/>
      </c>
      <c r="N1018" s="10" t="str">
        <f>IFERROR(_xlfn.XLOOKUP(C1018,[1]ModifierDes!$B:$B,[1]ModifierDes!$A:$A),"")</f>
        <v/>
      </c>
      <c r="O1018" s="10">
        <f>IFERROR(_xlfn.XLOOKUP(C1018,[1]AttributeName!$C:$C,[1]AttributeName!$B:$B),"")</f>
        <v>10813</v>
      </c>
      <c r="P1018" s="10"/>
      <c r="Q1018">
        <v>0.04</v>
      </c>
      <c r="R1018">
        <v>0.04</v>
      </c>
      <c r="S1018" cm="1">
        <f t="array" ref="S1018">IFERROR(_xlfn.SWITCH(L1018,1,_xlfn.XLOOKUP(O1018,[1]AttributeName!$B:$B,[1]AttributeName!$D:$D),2,_xlfn.XLOOKUP(C1018,#REF!,#REF!),3,_xlfn.XLOOKUP(C1018,#REF!,#REF!)),0)</f>
        <v>2</v>
      </c>
      <c r="T1018" cm="1">
        <f t="array" ref="T1018">IFERROR(_xlfn.SWITCH(L1018,1,_xlfn.XLOOKUP(O1018,[1]AttributeName!$B:$B,[1]AttributeName!$E:$E),2,_xlfn.XLOOKUP(C1018,#REF!,#REF!),3,_xlfn.XLOOKUP(C1018,#REF!,#REF!)),0)</f>
        <v>2</v>
      </c>
    </row>
    <row r="1019" customFormat="1" spans="1:20">
      <c r="A1019">
        <f t="shared" si="46"/>
        <v>411</v>
      </c>
      <c r="B1019">
        <v>6</v>
      </c>
      <c r="C1019" t="s">
        <v>431</v>
      </c>
      <c r="D1019" t="s">
        <v>27</v>
      </c>
      <c r="E1019" t="s">
        <v>378</v>
      </c>
      <c r="F1019"/>
      <c r="G1019">
        <v>1</v>
      </c>
      <c r="H1019">
        <v>1000</v>
      </c>
      <c r="J1019" cm="1">
        <f t="array" ref="J1019">_xlfn.SWITCH(B1019,1,75,2,61,3,49,4,37,5,25,6,13,7,4,8,1)</f>
        <v>13</v>
      </c>
      <c r="K1019" t="str" cm="1">
        <f t="array" ref="K1019">IFERROR(_xlfn.SWITCH(L1019,2,_xlfn.XLOOKUP(C1019,[1]ModifierDes!$B:$B,[1]ModifierDes!$C:$C),3,_xlfn.XLOOKUP(C1019,[1]StuntDes!$B:$B,[1]StuntDes!$C:$C)),"")</f>
        <v/>
      </c>
      <c r="L1019">
        <f t="shared" si="45"/>
        <v>1</v>
      </c>
      <c r="M1019" s="10" t="str">
        <f>IFERROR(_xlfn.XLOOKUP(C1019,[1]StuntDes!$B:$B,[1]StuntDes!$A:$A),"")</f>
        <v/>
      </c>
      <c r="N1019" s="10" t="str">
        <f>IFERROR(_xlfn.XLOOKUP(C1019,[1]ModifierDes!$B:$B,[1]ModifierDes!$A:$A),"")</f>
        <v/>
      </c>
      <c r="O1019" s="10">
        <f>IFERROR(_xlfn.XLOOKUP(C1019,[1]AttributeName!$C:$C,[1]AttributeName!$B:$B),"")</f>
        <v>10813</v>
      </c>
      <c r="P1019" s="10"/>
      <c r="Q1019">
        <v>0.03</v>
      </c>
      <c r="R1019">
        <v>0.03</v>
      </c>
      <c r="S1019" cm="1">
        <f t="array" ref="S1019">IFERROR(_xlfn.SWITCH(L1019,1,_xlfn.XLOOKUP(O1019,[1]AttributeName!$B:$B,[1]AttributeName!$D:$D),2,_xlfn.XLOOKUP(C1019,#REF!,#REF!),3,_xlfn.XLOOKUP(C1019,#REF!,#REF!)),0)</f>
        <v>2</v>
      </c>
      <c r="T1019" cm="1">
        <f t="array" ref="T1019">IFERROR(_xlfn.SWITCH(L1019,1,_xlfn.XLOOKUP(O1019,[1]AttributeName!$B:$B,[1]AttributeName!$E:$E),2,_xlfn.XLOOKUP(C1019,#REF!,#REF!),3,_xlfn.XLOOKUP(C1019,#REF!,#REF!)),0)</f>
        <v>2</v>
      </c>
    </row>
    <row r="1020" customFormat="1" spans="1:20">
      <c r="A1020">
        <f t="shared" si="46"/>
        <v>411</v>
      </c>
      <c r="B1020">
        <v>7</v>
      </c>
      <c r="C1020" t="s">
        <v>431</v>
      </c>
      <c r="D1020" t="s">
        <v>27</v>
      </c>
      <c r="E1020" t="s">
        <v>378</v>
      </c>
      <c r="F1020"/>
      <c r="G1020">
        <v>1</v>
      </c>
      <c r="H1020">
        <v>1000</v>
      </c>
      <c r="J1020" cm="1">
        <f t="array" ref="J1020">_xlfn.SWITCH(B1020,1,75,2,61,3,49,4,37,5,25,6,13,7,4,8,1)</f>
        <v>4</v>
      </c>
      <c r="K1020" t="str" cm="1">
        <f t="array" ref="K1020">IFERROR(_xlfn.SWITCH(L1020,2,_xlfn.XLOOKUP(C1020,[1]ModifierDes!$B:$B,[1]ModifierDes!$C:$C),3,_xlfn.XLOOKUP(C1020,[1]StuntDes!$B:$B,[1]StuntDes!$C:$C)),"")</f>
        <v/>
      </c>
      <c r="L1020">
        <f t="shared" si="45"/>
        <v>1</v>
      </c>
      <c r="M1020" s="10" t="str">
        <f>IFERROR(_xlfn.XLOOKUP(C1020,[1]StuntDes!$B:$B,[1]StuntDes!$A:$A),"")</f>
        <v/>
      </c>
      <c r="N1020" s="10" t="str">
        <f>IFERROR(_xlfn.XLOOKUP(C1020,[1]ModifierDes!$B:$B,[1]ModifierDes!$A:$A),"")</f>
        <v/>
      </c>
      <c r="O1020" s="10">
        <f>IFERROR(_xlfn.XLOOKUP(C1020,[1]AttributeName!$C:$C,[1]AttributeName!$B:$B),"")</f>
        <v>10813</v>
      </c>
      <c r="P1020" s="10"/>
      <c r="Q1020">
        <v>0.02</v>
      </c>
      <c r="R1020">
        <v>0.02</v>
      </c>
      <c r="S1020" cm="1">
        <f t="array" ref="S1020">IFERROR(_xlfn.SWITCH(L1020,1,_xlfn.XLOOKUP(O1020,[1]AttributeName!$B:$B,[1]AttributeName!$D:$D),2,_xlfn.XLOOKUP(C1020,#REF!,#REF!),3,_xlfn.XLOOKUP(C1020,#REF!,#REF!)),0)</f>
        <v>2</v>
      </c>
      <c r="T1020" cm="1">
        <f t="array" ref="T1020">IFERROR(_xlfn.SWITCH(L1020,1,_xlfn.XLOOKUP(O1020,[1]AttributeName!$B:$B,[1]AttributeName!$E:$E),2,_xlfn.XLOOKUP(C1020,#REF!,#REF!),3,_xlfn.XLOOKUP(C1020,#REF!,#REF!)),0)</f>
        <v>2</v>
      </c>
    </row>
    <row r="1021" customFormat="1" spans="1:20">
      <c r="A1021">
        <f t="shared" si="46"/>
        <v>411</v>
      </c>
      <c r="B1021">
        <v>8</v>
      </c>
      <c r="C1021" t="s">
        <v>431</v>
      </c>
      <c r="D1021" t="s">
        <v>27</v>
      </c>
      <c r="E1021" t="s">
        <v>378</v>
      </c>
      <c r="F1021"/>
      <c r="G1021">
        <v>1</v>
      </c>
      <c r="H1021">
        <v>1000</v>
      </c>
      <c r="J1021" cm="1">
        <f t="array" ref="J1021">_xlfn.SWITCH(B1021,1,75,2,61,3,49,4,37,5,25,6,13,7,4,8,1)</f>
        <v>1</v>
      </c>
      <c r="K1021" t="str" cm="1">
        <f t="array" ref="K1021">IFERROR(_xlfn.SWITCH(L1021,2,_xlfn.XLOOKUP(C1021,[1]ModifierDes!$B:$B,[1]ModifierDes!$C:$C),3,_xlfn.XLOOKUP(C1021,[1]StuntDes!$B:$B,[1]StuntDes!$C:$C)),"")</f>
        <v/>
      </c>
      <c r="L1021">
        <f t="shared" si="45"/>
        <v>1</v>
      </c>
      <c r="M1021" s="10" t="str">
        <f>IFERROR(_xlfn.XLOOKUP(C1021,[1]StuntDes!$B:$B,[1]StuntDes!$A:$A),"")</f>
        <v/>
      </c>
      <c r="N1021" s="10" t="str">
        <f>IFERROR(_xlfn.XLOOKUP(C1021,[1]ModifierDes!$B:$B,[1]ModifierDes!$A:$A),"")</f>
        <v/>
      </c>
      <c r="O1021" s="10">
        <f>IFERROR(_xlfn.XLOOKUP(C1021,[1]AttributeName!$C:$C,[1]AttributeName!$B:$B),"")</f>
        <v>10813</v>
      </c>
      <c r="P1021" s="10"/>
      <c r="Q1021">
        <v>0.01</v>
      </c>
      <c r="R1021">
        <v>0.01</v>
      </c>
      <c r="S1021" cm="1">
        <f t="array" ref="S1021">IFERROR(_xlfn.SWITCH(L1021,1,_xlfn.XLOOKUP(O1021,[1]AttributeName!$B:$B,[1]AttributeName!$D:$D),2,_xlfn.XLOOKUP(C1021,#REF!,#REF!),3,_xlfn.XLOOKUP(C1021,#REF!,#REF!)),0)</f>
        <v>2</v>
      </c>
      <c r="T1021" cm="1">
        <f t="array" ref="T1021">IFERROR(_xlfn.SWITCH(L1021,1,_xlfn.XLOOKUP(O1021,[1]AttributeName!$B:$B,[1]AttributeName!$E:$E),2,_xlfn.XLOOKUP(C1021,#REF!,#REF!),3,_xlfn.XLOOKUP(C1021,#REF!,#REF!)),0)</f>
        <v>2</v>
      </c>
    </row>
    <row r="1022" customFormat="1" spans="1:20">
      <c r="A1022">
        <f t="shared" si="46"/>
        <v>412</v>
      </c>
      <c r="B1022">
        <v>1</v>
      </c>
      <c r="C1022" t="s">
        <v>419</v>
      </c>
      <c r="D1022" t="s">
        <v>27</v>
      </c>
      <c r="E1022" t="s">
        <v>378</v>
      </c>
      <c r="F1022"/>
      <c r="G1022">
        <v>1</v>
      </c>
      <c r="H1022">
        <v>250</v>
      </c>
      <c r="J1022" cm="1">
        <f t="array" ref="J1022">_xlfn.SWITCH(B1022,1,75,2,61,3,49,4,37,5,25,6,13,7,4,8,1)</f>
        <v>75</v>
      </c>
      <c r="K1022" t="str" cm="1">
        <f t="array" ref="K1022">IFERROR(_xlfn.SWITCH(L1022,2,_xlfn.XLOOKUP(C1022,[1]ModifierDes!$B:$B,[1]ModifierDes!$C:$C),3,_xlfn.XLOOKUP(C1022,[1]StuntDes!$B:$B,[1]StuntDes!$C:$C)),"")</f>
        <v/>
      </c>
      <c r="L1022">
        <f t="shared" si="45"/>
        <v>1</v>
      </c>
      <c r="M1022" s="10" t="str">
        <f>IFERROR(_xlfn.XLOOKUP(C1022,[1]StuntDes!$B:$B,[1]StuntDes!$A:$A),"")</f>
        <v/>
      </c>
      <c r="N1022" s="10" t="str">
        <f>IFERROR(_xlfn.XLOOKUP(C1022,[1]ModifierDes!$B:$B,[1]ModifierDes!$A:$A),"")</f>
        <v/>
      </c>
      <c r="O1022" s="10">
        <f>IFERROR(_xlfn.XLOOKUP(C1022,[1]AttributeName!$C:$C,[1]AttributeName!$B:$B),"")</f>
        <v>11012</v>
      </c>
      <c r="P1022" s="10"/>
      <c r="Q1022">
        <v>0.08</v>
      </c>
      <c r="R1022">
        <v>0.1</v>
      </c>
      <c r="S1022" cm="1">
        <f t="array" ref="S1022">IFERROR(_xlfn.SWITCH(L1022,1,_xlfn.XLOOKUP(O1022,[1]AttributeName!$B:$B,[1]AttributeName!$D:$D),2,_xlfn.XLOOKUP(C1022,#REF!,#REF!),3,_xlfn.XLOOKUP(C1022,#REF!,#REF!)),0)</f>
        <v>2</v>
      </c>
      <c r="T1022" cm="1">
        <f t="array" ref="T1022">IFERROR(_xlfn.SWITCH(L1022,1,_xlfn.XLOOKUP(O1022,[1]AttributeName!$B:$B,[1]AttributeName!$E:$E),2,_xlfn.XLOOKUP(C1022,#REF!,#REF!),3,_xlfn.XLOOKUP(C1022,#REF!,#REF!)),0)</f>
        <v>2</v>
      </c>
    </row>
    <row r="1023" customFormat="1" spans="1:20">
      <c r="A1023">
        <f t="shared" si="46"/>
        <v>412</v>
      </c>
      <c r="B1023">
        <v>2</v>
      </c>
      <c r="C1023" t="s">
        <v>419</v>
      </c>
      <c r="D1023" t="s">
        <v>27</v>
      </c>
      <c r="E1023" t="s">
        <v>378</v>
      </c>
      <c r="F1023"/>
      <c r="G1023">
        <v>1</v>
      </c>
      <c r="H1023">
        <v>500</v>
      </c>
      <c r="J1023" cm="1">
        <f t="array" ref="J1023">_xlfn.SWITCH(B1023,1,75,2,61,3,49,4,37,5,25,6,13,7,4,8,1)</f>
        <v>61</v>
      </c>
      <c r="K1023" t="str" cm="1">
        <f t="array" ref="K1023">IFERROR(_xlfn.SWITCH(L1023,2,_xlfn.XLOOKUP(C1023,[1]ModifierDes!$B:$B,[1]ModifierDes!$C:$C),3,_xlfn.XLOOKUP(C1023,[1]StuntDes!$B:$B,[1]StuntDes!$C:$C)),"")</f>
        <v/>
      </c>
      <c r="L1023">
        <f t="shared" si="45"/>
        <v>1</v>
      </c>
      <c r="M1023" s="10" t="str">
        <f>IFERROR(_xlfn.XLOOKUP(C1023,[1]StuntDes!$B:$B,[1]StuntDes!$A:$A),"")</f>
        <v/>
      </c>
      <c r="N1023" s="10" t="str">
        <f>IFERROR(_xlfn.XLOOKUP(C1023,[1]ModifierDes!$B:$B,[1]ModifierDes!$A:$A),"")</f>
        <v/>
      </c>
      <c r="O1023" s="10">
        <f>IFERROR(_xlfn.XLOOKUP(C1023,[1]AttributeName!$C:$C,[1]AttributeName!$B:$B),"")</f>
        <v>11012</v>
      </c>
      <c r="P1023" s="10"/>
      <c r="Q1023">
        <v>0.07</v>
      </c>
      <c r="R1023">
        <v>0.07</v>
      </c>
      <c r="S1023" cm="1">
        <f t="array" ref="S1023">IFERROR(_xlfn.SWITCH(L1023,1,_xlfn.XLOOKUP(O1023,[1]AttributeName!$B:$B,[1]AttributeName!$D:$D),2,_xlfn.XLOOKUP(C1023,#REF!,#REF!),3,_xlfn.XLOOKUP(C1023,#REF!,#REF!)),0)</f>
        <v>2</v>
      </c>
      <c r="T1023" cm="1">
        <f t="array" ref="T1023">IFERROR(_xlfn.SWITCH(L1023,1,_xlfn.XLOOKUP(O1023,[1]AttributeName!$B:$B,[1]AttributeName!$E:$E),2,_xlfn.XLOOKUP(C1023,#REF!,#REF!),3,_xlfn.XLOOKUP(C1023,#REF!,#REF!)),0)</f>
        <v>2</v>
      </c>
    </row>
    <row r="1024" customFormat="1" spans="1:20">
      <c r="A1024">
        <f t="shared" si="46"/>
        <v>412</v>
      </c>
      <c r="B1024">
        <v>3</v>
      </c>
      <c r="C1024" t="s">
        <v>419</v>
      </c>
      <c r="D1024" t="s">
        <v>27</v>
      </c>
      <c r="E1024" t="s">
        <v>378</v>
      </c>
      <c r="F1024"/>
      <c r="G1024">
        <v>1</v>
      </c>
      <c r="H1024">
        <v>750</v>
      </c>
      <c r="J1024" cm="1">
        <f t="array" ref="J1024">_xlfn.SWITCH(B1024,1,75,2,61,3,49,4,37,5,25,6,13,7,4,8,1)</f>
        <v>49</v>
      </c>
      <c r="K1024" t="str" cm="1">
        <f t="array" ref="K1024">IFERROR(_xlfn.SWITCH(L1024,2,_xlfn.XLOOKUP(C1024,[1]ModifierDes!$B:$B,[1]ModifierDes!$C:$C),3,_xlfn.XLOOKUP(C1024,[1]StuntDes!$B:$B,[1]StuntDes!$C:$C)),"")</f>
        <v/>
      </c>
      <c r="L1024">
        <f t="shared" si="45"/>
        <v>1</v>
      </c>
      <c r="M1024" s="10" t="str">
        <f>IFERROR(_xlfn.XLOOKUP(C1024,[1]StuntDes!$B:$B,[1]StuntDes!$A:$A),"")</f>
        <v/>
      </c>
      <c r="N1024" s="10" t="str">
        <f>IFERROR(_xlfn.XLOOKUP(C1024,[1]ModifierDes!$B:$B,[1]ModifierDes!$A:$A),"")</f>
        <v/>
      </c>
      <c r="O1024" s="10">
        <f>IFERROR(_xlfn.XLOOKUP(C1024,[1]AttributeName!$C:$C,[1]AttributeName!$B:$B),"")</f>
        <v>11012</v>
      </c>
      <c r="P1024" s="10"/>
      <c r="Q1024">
        <v>0.06</v>
      </c>
      <c r="R1024">
        <v>0.06</v>
      </c>
      <c r="S1024" cm="1">
        <f t="array" ref="S1024">IFERROR(_xlfn.SWITCH(L1024,1,_xlfn.XLOOKUP(O1024,[1]AttributeName!$B:$B,[1]AttributeName!$D:$D),2,_xlfn.XLOOKUP(C1024,#REF!,#REF!),3,_xlfn.XLOOKUP(C1024,#REF!,#REF!)),0)</f>
        <v>2</v>
      </c>
      <c r="T1024" cm="1">
        <f t="array" ref="T1024">IFERROR(_xlfn.SWITCH(L1024,1,_xlfn.XLOOKUP(O1024,[1]AttributeName!$B:$B,[1]AttributeName!$E:$E),2,_xlfn.XLOOKUP(C1024,#REF!,#REF!),3,_xlfn.XLOOKUP(C1024,#REF!,#REF!)),0)</f>
        <v>2</v>
      </c>
    </row>
    <row r="1025" customFormat="1" spans="1:20">
      <c r="A1025">
        <f t="shared" si="46"/>
        <v>412</v>
      </c>
      <c r="B1025">
        <v>4</v>
      </c>
      <c r="C1025" t="s">
        <v>419</v>
      </c>
      <c r="D1025" t="s">
        <v>27</v>
      </c>
      <c r="E1025" t="s">
        <v>378</v>
      </c>
      <c r="F1025"/>
      <c r="G1025">
        <v>1</v>
      </c>
      <c r="H1025">
        <v>1000</v>
      </c>
      <c r="J1025" cm="1">
        <f t="array" ref="J1025">_xlfn.SWITCH(B1025,1,75,2,61,3,49,4,37,5,25,6,13,7,4,8,1)</f>
        <v>37</v>
      </c>
      <c r="K1025" t="str" cm="1">
        <f t="array" ref="K1025">IFERROR(_xlfn.SWITCH(L1025,2,_xlfn.XLOOKUP(C1025,[1]ModifierDes!$B:$B,[1]ModifierDes!$C:$C),3,_xlfn.XLOOKUP(C1025,[1]StuntDes!$B:$B,[1]StuntDes!$C:$C)),"")</f>
        <v/>
      </c>
      <c r="L1025">
        <f t="shared" si="45"/>
        <v>1</v>
      </c>
      <c r="M1025" s="10" t="str">
        <f>IFERROR(_xlfn.XLOOKUP(C1025,[1]StuntDes!$B:$B,[1]StuntDes!$A:$A),"")</f>
        <v/>
      </c>
      <c r="N1025" s="10" t="str">
        <f>IFERROR(_xlfn.XLOOKUP(C1025,[1]ModifierDes!$B:$B,[1]ModifierDes!$A:$A),"")</f>
        <v/>
      </c>
      <c r="O1025" s="10">
        <f>IFERROR(_xlfn.XLOOKUP(C1025,[1]AttributeName!$C:$C,[1]AttributeName!$B:$B),"")</f>
        <v>11012</v>
      </c>
      <c r="P1025" s="10"/>
      <c r="Q1025">
        <v>0.05</v>
      </c>
      <c r="R1025">
        <v>0.05</v>
      </c>
      <c r="S1025" cm="1">
        <f t="array" ref="S1025">IFERROR(_xlfn.SWITCH(L1025,1,_xlfn.XLOOKUP(O1025,[1]AttributeName!$B:$B,[1]AttributeName!$D:$D),2,_xlfn.XLOOKUP(C1025,#REF!,#REF!),3,_xlfn.XLOOKUP(C1025,#REF!,#REF!)),0)</f>
        <v>2</v>
      </c>
      <c r="T1025" cm="1">
        <f t="array" ref="T1025">IFERROR(_xlfn.SWITCH(L1025,1,_xlfn.XLOOKUP(O1025,[1]AttributeName!$B:$B,[1]AttributeName!$E:$E),2,_xlfn.XLOOKUP(C1025,#REF!,#REF!),3,_xlfn.XLOOKUP(C1025,#REF!,#REF!)),0)</f>
        <v>2</v>
      </c>
    </row>
    <row r="1026" customFormat="1" spans="1:20">
      <c r="A1026">
        <f t="shared" si="46"/>
        <v>412</v>
      </c>
      <c r="B1026">
        <v>5</v>
      </c>
      <c r="C1026" t="s">
        <v>419</v>
      </c>
      <c r="D1026" t="s">
        <v>27</v>
      </c>
      <c r="E1026" t="s">
        <v>378</v>
      </c>
      <c r="F1026"/>
      <c r="G1026">
        <v>1</v>
      </c>
      <c r="H1026">
        <v>1000</v>
      </c>
      <c r="J1026" cm="1">
        <f t="array" ref="J1026">_xlfn.SWITCH(B1026,1,75,2,61,3,49,4,37,5,25,6,13,7,4,8,1)</f>
        <v>25</v>
      </c>
      <c r="K1026" t="str" cm="1">
        <f t="array" ref="K1026">IFERROR(_xlfn.SWITCH(L1026,2,_xlfn.XLOOKUP(C1026,[1]ModifierDes!$B:$B,[1]ModifierDes!$C:$C),3,_xlfn.XLOOKUP(C1026,[1]StuntDes!$B:$B,[1]StuntDes!$C:$C)),"")</f>
        <v/>
      </c>
      <c r="L1026">
        <f t="shared" si="45"/>
        <v>1</v>
      </c>
      <c r="M1026" s="10" t="str">
        <f>IFERROR(_xlfn.XLOOKUP(C1026,[1]StuntDes!$B:$B,[1]StuntDes!$A:$A),"")</f>
        <v/>
      </c>
      <c r="N1026" s="10" t="str">
        <f>IFERROR(_xlfn.XLOOKUP(C1026,[1]ModifierDes!$B:$B,[1]ModifierDes!$A:$A),"")</f>
        <v/>
      </c>
      <c r="O1026" s="10">
        <f>IFERROR(_xlfn.XLOOKUP(C1026,[1]AttributeName!$C:$C,[1]AttributeName!$B:$B),"")</f>
        <v>11012</v>
      </c>
      <c r="P1026" s="10"/>
      <c r="Q1026">
        <v>0.04</v>
      </c>
      <c r="R1026">
        <v>0.04</v>
      </c>
      <c r="S1026" cm="1">
        <f t="array" ref="S1026">IFERROR(_xlfn.SWITCH(L1026,1,_xlfn.XLOOKUP(O1026,[1]AttributeName!$B:$B,[1]AttributeName!$D:$D),2,_xlfn.XLOOKUP(C1026,#REF!,#REF!),3,_xlfn.XLOOKUP(C1026,#REF!,#REF!)),0)</f>
        <v>2</v>
      </c>
      <c r="T1026" cm="1">
        <f t="array" ref="T1026">IFERROR(_xlfn.SWITCH(L1026,1,_xlfn.XLOOKUP(O1026,[1]AttributeName!$B:$B,[1]AttributeName!$E:$E),2,_xlfn.XLOOKUP(C1026,#REF!,#REF!),3,_xlfn.XLOOKUP(C1026,#REF!,#REF!)),0)</f>
        <v>2</v>
      </c>
    </row>
    <row r="1027" customFormat="1" spans="1:20">
      <c r="A1027">
        <f t="shared" si="46"/>
        <v>412</v>
      </c>
      <c r="B1027">
        <v>6</v>
      </c>
      <c r="C1027" t="s">
        <v>419</v>
      </c>
      <c r="D1027" t="s">
        <v>27</v>
      </c>
      <c r="E1027" t="s">
        <v>378</v>
      </c>
      <c r="F1027"/>
      <c r="G1027">
        <v>1</v>
      </c>
      <c r="H1027">
        <v>1000</v>
      </c>
      <c r="J1027" cm="1">
        <f t="array" ref="J1027">_xlfn.SWITCH(B1027,1,75,2,61,3,49,4,37,5,25,6,13,7,4,8,1)</f>
        <v>13</v>
      </c>
      <c r="K1027" t="str" cm="1">
        <f t="array" ref="K1027">IFERROR(_xlfn.SWITCH(L1027,2,_xlfn.XLOOKUP(C1027,[1]ModifierDes!$B:$B,[1]ModifierDes!$C:$C),3,_xlfn.XLOOKUP(C1027,[1]StuntDes!$B:$B,[1]StuntDes!$C:$C)),"")</f>
        <v/>
      </c>
      <c r="L1027">
        <f t="shared" si="45"/>
        <v>1</v>
      </c>
      <c r="M1027" s="10" t="str">
        <f>IFERROR(_xlfn.XLOOKUP(C1027,[1]StuntDes!$B:$B,[1]StuntDes!$A:$A),"")</f>
        <v/>
      </c>
      <c r="N1027" s="10" t="str">
        <f>IFERROR(_xlfn.XLOOKUP(C1027,[1]ModifierDes!$B:$B,[1]ModifierDes!$A:$A),"")</f>
        <v/>
      </c>
      <c r="O1027" s="10">
        <f>IFERROR(_xlfn.XLOOKUP(C1027,[1]AttributeName!$C:$C,[1]AttributeName!$B:$B),"")</f>
        <v>11012</v>
      </c>
      <c r="P1027" s="10"/>
      <c r="Q1027">
        <v>0.03</v>
      </c>
      <c r="R1027">
        <v>0.03</v>
      </c>
      <c r="S1027" cm="1">
        <f t="array" ref="S1027">IFERROR(_xlfn.SWITCH(L1027,1,_xlfn.XLOOKUP(O1027,[1]AttributeName!$B:$B,[1]AttributeName!$D:$D),2,_xlfn.XLOOKUP(C1027,#REF!,#REF!),3,_xlfn.XLOOKUP(C1027,#REF!,#REF!)),0)</f>
        <v>2</v>
      </c>
      <c r="T1027" cm="1">
        <f t="array" ref="T1027">IFERROR(_xlfn.SWITCH(L1027,1,_xlfn.XLOOKUP(O1027,[1]AttributeName!$B:$B,[1]AttributeName!$E:$E),2,_xlfn.XLOOKUP(C1027,#REF!,#REF!),3,_xlfn.XLOOKUP(C1027,#REF!,#REF!)),0)</f>
        <v>2</v>
      </c>
    </row>
    <row r="1028" customFormat="1" spans="1:20">
      <c r="A1028">
        <f t="shared" si="46"/>
        <v>412</v>
      </c>
      <c r="B1028">
        <v>7</v>
      </c>
      <c r="C1028" t="s">
        <v>419</v>
      </c>
      <c r="D1028" t="s">
        <v>27</v>
      </c>
      <c r="E1028" t="s">
        <v>378</v>
      </c>
      <c r="F1028"/>
      <c r="G1028">
        <v>1</v>
      </c>
      <c r="H1028">
        <v>1000</v>
      </c>
      <c r="J1028" cm="1">
        <f t="array" ref="J1028">_xlfn.SWITCH(B1028,1,75,2,61,3,49,4,37,5,25,6,13,7,4,8,1)</f>
        <v>4</v>
      </c>
      <c r="K1028" t="str" cm="1">
        <f t="array" ref="K1028">IFERROR(_xlfn.SWITCH(L1028,2,_xlfn.XLOOKUP(C1028,[1]ModifierDes!$B:$B,[1]ModifierDes!$C:$C),3,_xlfn.XLOOKUP(C1028,[1]StuntDes!$B:$B,[1]StuntDes!$C:$C)),"")</f>
        <v/>
      </c>
      <c r="L1028">
        <f t="shared" ref="L1028:L1091" si="47">IF(M1028="",IF(N1028="",1,2),3)</f>
        <v>1</v>
      </c>
      <c r="M1028" s="10" t="str">
        <f>IFERROR(_xlfn.XLOOKUP(C1028,[1]StuntDes!$B:$B,[1]StuntDes!$A:$A),"")</f>
        <v/>
      </c>
      <c r="N1028" s="10" t="str">
        <f>IFERROR(_xlfn.XLOOKUP(C1028,[1]ModifierDes!$B:$B,[1]ModifierDes!$A:$A),"")</f>
        <v/>
      </c>
      <c r="O1028" s="10">
        <f>IFERROR(_xlfn.XLOOKUP(C1028,[1]AttributeName!$C:$C,[1]AttributeName!$B:$B),"")</f>
        <v>11012</v>
      </c>
      <c r="P1028" s="10"/>
      <c r="Q1028">
        <v>0.02</v>
      </c>
      <c r="R1028">
        <v>0.02</v>
      </c>
      <c r="S1028" cm="1">
        <f t="array" ref="S1028">IFERROR(_xlfn.SWITCH(L1028,1,_xlfn.XLOOKUP(O1028,[1]AttributeName!$B:$B,[1]AttributeName!$D:$D),2,_xlfn.XLOOKUP(C1028,#REF!,#REF!),3,_xlfn.XLOOKUP(C1028,#REF!,#REF!)),0)</f>
        <v>2</v>
      </c>
      <c r="T1028" cm="1">
        <f t="array" ref="T1028">IFERROR(_xlfn.SWITCH(L1028,1,_xlfn.XLOOKUP(O1028,[1]AttributeName!$B:$B,[1]AttributeName!$E:$E),2,_xlfn.XLOOKUP(C1028,#REF!,#REF!),3,_xlfn.XLOOKUP(C1028,#REF!,#REF!)),0)</f>
        <v>2</v>
      </c>
    </row>
    <row r="1029" customFormat="1" spans="1:20">
      <c r="A1029">
        <f t="shared" si="46"/>
        <v>412</v>
      </c>
      <c r="B1029">
        <v>8</v>
      </c>
      <c r="C1029" t="s">
        <v>419</v>
      </c>
      <c r="D1029" t="s">
        <v>27</v>
      </c>
      <c r="E1029" t="s">
        <v>378</v>
      </c>
      <c r="F1029"/>
      <c r="G1029">
        <v>1</v>
      </c>
      <c r="H1029">
        <v>1000</v>
      </c>
      <c r="J1029" cm="1">
        <f t="array" ref="J1029">_xlfn.SWITCH(B1029,1,75,2,61,3,49,4,37,5,25,6,13,7,4,8,1)</f>
        <v>1</v>
      </c>
      <c r="K1029" t="str" cm="1">
        <f t="array" ref="K1029">IFERROR(_xlfn.SWITCH(L1029,2,_xlfn.XLOOKUP(C1029,[1]ModifierDes!$B:$B,[1]ModifierDes!$C:$C),3,_xlfn.XLOOKUP(C1029,[1]StuntDes!$B:$B,[1]StuntDes!$C:$C)),"")</f>
        <v/>
      </c>
      <c r="L1029">
        <f t="shared" si="47"/>
        <v>1</v>
      </c>
      <c r="M1029" s="10" t="str">
        <f>IFERROR(_xlfn.XLOOKUP(C1029,[1]StuntDes!$B:$B,[1]StuntDes!$A:$A),"")</f>
        <v/>
      </c>
      <c r="N1029" s="10" t="str">
        <f>IFERROR(_xlfn.XLOOKUP(C1029,[1]ModifierDes!$B:$B,[1]ModifierDes!$A:$A),"")</f>
        <v/>
      </c>
      <c r="O1029" s="10">
        <f>IFERROR(_xlfn.XLOOKUP(C1029,[1]AttributeName!$C:$C,[1]AttributeName!$B:$B),"")</f>
        <v>11012</v>
      </c>
      <c r="P1029" s="10"/>
      <c r="Q1029">
        <v>0.01</v>
      </c>
      <c r="R1029">
        <v>0.01</v>
      </c>
      <c r="S1029" cm="1">
        <f t="array" ref="S1029">IFERROR(_xlfn.SWITCH(L1029,1,_xlfn.XLOOKUP(O1029,[1]AttributeName!$B:$B,[1]AttributeName!$D:$D),2,_xlfn.XLOOKUP(C1029,#REF!,#REF!),3,_xlfn.XLOOKUP(C1029,#REF!,#REF!)),0)</f>
        <v>2</v>
      </c>
      <c r="T1029" cm="1">
        <f t="array" ref="T1029">IFERROR(_xlfn.SWITCH(L1029,1,_xlfn.XLOOKUP(O1029,[1]AttributeName!$B:$B,[1]AttributeName!$E:$E),2,_xlfn.XLOOKUP(C1029,#REF!,#REF!),3,_xlfn.XLOOKUP(C1029,#REF!,#REF!)),0)</f>
        <v>2</v>
      </c>
    </row>
    <row r="1030" customFormat="1" spans="1:20">
      <c r="A1030">
        <f t="shared" si="46"/>
        <v>413</v>
      </c>
      <c r="B1030">
        <v>1</v>
      </c>
      <c r="C1030" t="s">
        <v>420</v>
      </c>
      <c r="D1030" t="s">
        <v>27</v>
      </c>
      <c r="E1030" t="s">
        <v>378</v>
      </c>
      <c r="F1030"/>
      <c r="G1030">
        <v>1</v>
      </c>
      <c r="H1030">
        <v>250</v>
      </c>
      <c r="J1030" cm="1">
        <f t="array" ref="J1030">_xlfn.SWITCH(B1030,1,75,2,61,3,49,4,37,5,25,6,13,7,4,8,1)</f>
        <v>75</v>
      </c>
      <c r="K1030" t="str" cm="1">
        <f t="array" ref="K1030">IFERROR(_xlfn.SWITCH(L1030,2,_xlfn.XLOOKUP(C1030,[1]ModifierDes!$B:$B,[1]ModifierDes!$C:$C),3,_xlfn.XLOOKUP(C1030,[1]StuntDes!$B:$B,[1]StuntDes!$C:$C)),"")</f>
        <v/>
      </c>
      <c r="L1030">
        <f t="shared" si="47"/>
        <v>1</v>
      </c>
      <c r="M1030" s="10" t="str">
        <f>IFERROR(_xlfn.XLOOKUP(C1030,[1]StuntDes!$B:$B,[1]StuntDes!$A:$A),"")</f>
        <v/>
      </c>
      <c r="N1030" s="10" t="str">
        <f>IFERROR(_xlfn.XLOOKUP(C1030,[1]ModifierDes!$B:$B,[1]ModifierDes!$A:$A),"")</f>
        <v/>
      </c>
      <c r="O1030" s="10">
        <f>IFERROR(_xlfn.XLOOKUP(C1030,[1]AttributeName!$C:$C,[1]AttributeName!$B:$B),"")</f>
        <v>11013</v>
      </c>
      <c r="P1030" s="10"/>
      <c r="Q1030">
        <v>0.08</v>
      </c>
      <c r="R1030">
        <v>0.1</v>
      </c>
      <c r="S1030" cm="1">
        <f t="array" ref="S1030">IFERROR(_xlfn.SWITCH(L1030,1,_xlfn.XLOOKUP(O1030,[1]AttributeName!$B:$B,[1]AttributeName!$D:$D),2,_xlfn.XLOOKUP(C1030,#REF!,#REF!),3,_xlfn.XLOOKUP(C1030,#REF!,#REF!)),0)</f>
        <v>2</v>
      </c>
      <c r="T1030" cm="1">
        <f t="array" ref="T1030">IFERROR(_xlfn.SWITCH(L1030,1,_xlfn.XLOOKUP(O1030,[1]AttributeName!$B:$B,[1]AttributeName!$E:$E),2,_xlfn.XLOOKUP(C1030,#REF!,#REF!),3,_xlfn.XLOOKUP(C1030,#REF!,#REF!)),0)</f>
        <v>2</v>
      </c>
    </row>
    <row r="1031" customFormat="1" spans="1:20">
      <c r="A1031">
        <f t="shared" si="46"/>
        <v>413</v>
      </c>
      <c r="B1031">
        <v>2</v>
      </c>
      <c r="C1031" t="s">
        <v>420</v>
      </c>
      <c r="D1031" t="s">
        <v>27</v>
      </c>
      <c r="E1031" t="s">
        <v>378</v>
      </c>
      <c r="F1031"/>
      <c r="G1031">
        <v>1</v>
      </c>
      <c r="H1031">
        <v>500</v>
      </c>
      <c r="J1031" cm="1">
        <f t="array" ref="J1031">_xlfn.SWITCH(B1031,1,75,2,61,3,49,4,37,5,25,6,13,7,4,8,1)</f>
        <v>61</v>
      </c>
      <c r="K1031" t="str" cm="1">
        <f t="array" ref="K1031">IFERROR(_xlfn.SWITCH(L1031,2,_xlfn.XLOOKUP(C1031,[1]ModifierDes!$B:$B,[1]ModifierDes!$C:$C),3,_xlfn.XLOOKUP(C1031,[1]StuntDes!$B:$B,[1]StuntDes!$C:$C)),"")</f>
        <v/>
      </c>
      <c r="L1031">
        <f t="shared" si="47"/>
        <v>1</v>
      </c>
      <c r="M1031" s="10" t="str">
        <f>IFERROR(_xlfn.XLOOKUP(C1031,[1]StuntDes!$B:$B,[1]StuntDes!$A:$A),"")</f>
        <v/>
      </c>
      <c r="N1031" s="10" t="str">
        <f>IFERROR(_xlfn.XLOOKUP(C1031,[1]ModifierDes!$B:$B,[1]ModifierDes!$A:$A),"")</f>
        <v/>
      </c>
      <c r="O1031" s="10">
        <f>IFERROR(_xlfn.XLOOKUP(C1031,[1]AttributeName!$C:$C,[1]AttributeName!$B:$B),"")</f>
        <v>11013</v>
      </c>
      <c r="P1031" s="10"/>
      <c r="Q1031">
        <v>0.07</v>
      </c>
      <c r="R1031">
        <v>0.07</v>
      </c>
      <c r="S1031" cm="1">
        <f t="array" ref="S1031">IFERROR(_xlfn.SWITCH(L1031,1,_xlfn.XLOOKUP(O1031,[1]AttributeName!$B:$B,[1]AttributeName!$D:$D),2,_xlfn.XLOOKUP(C1031,#REF!,#REF!),3,_xlfn.XLOOKUP(C1031,#REF!,#REF!)),0)</f>
        <v>2</v>
      </c>
      <c r="T1031" cm="1">
        <f t="array" ref="T1031">IFERROR(_xlfn.SWITCH(L1031,1,_xlfn.XLOOKUP(O1031,[1]AttributeName!$B:$B,[1]AttributeName!$E:$E),2,_xlfn.XLOOKUP(C1031,#REF!,#REF!),3,_xlfn.XLOOKUP(C1031,#REF!,#REF!)),0)</f>
        <v>2</v>
      </c>
    </row>
    <row r="1032" customFormat="1" spans="1:20">
      <c r="A1032">
        <f t="shared" si="46"/>
        <v>413</v>
      </c>
      <c r="B1032">
        <v>3</v>
      </c>
      <c r="C1032" t="s">
        <v>420</v>
      </c>
      <c r="D1032" t="s">
        <v>27</v>
      </c>
      <c r="E1032" t="s">
        <v>378</v>
      </c>
      <c r="F1032"/>
      <c r="G1032">
        <v>1</v>
      </c>
      <c r="H1032">
        <v>750</v>
      </c>
      <c r="J1032" cm="1">
        <f t="array" ref="J1032">_xlfn.SWITCH(B1032,1,75,2,61,3,49,4,37,5,25,6,13,7,4,8,1)</f>
        <v>49</v>
      </c>
      <c r="K1032" t="str" cm="1">
        <f t="array" ref="K1032">IFERROR(_xlfn.SWITCH(L1032,2,_xlfn.XLOOKUP(C1032,[1]ModifierDes!$B:$B,[1]ModifierDes!$C:$C),3,_xlfn.XLOOKUP(C1032,[1]StuntDes!$B:$B,[1]StuntDes!$C:$C)),"")</f>
        <v/>
      </c>
      <c r="L1032">
        <f t="shared" si="47"/>
        <v>1</v>
      </c>
      <c r="M1032" s="10" t="str">
        <f>IFERROR(_xlfn.XLOOKUP(C1032,[1]StuntDes!$B:$B,[1]StuntDes!$A:$A),"")</f>
        <v/>
      </c>
      <c r="N1032" s="10" t="str">
        <f>IFERROR(_xlfn.XLOOKUP(C1032,[1]ModifierDes!$B:$B,[1]ModifierDes!$A:$A),"")</f>
        <v/>
      </c>
      <c r="O1032" s="10">
        <f>IFERROR(_xlfn.XLOOKUP(C1032,[1]AttributeName!$C:$C,[1]AttributeName!$B:$B),"")</f>
        <v>11013</v>
      </c>
      <c r="P1032" s="10"/>
      <c r="Q1032">
        <v>0.06</v>
      </c>
      <c r="R1032">
        <v>0.06</v>
      </c>
      <c r="S1032" cm="1">
        <f t="array" ref="S1032">IFERROR(_xlfn.SWITCH(L1032,1,_xlfn.XLOOKUP(O1032,[1]AttributeName!$B:$B,[1]AttributeName!$D:$D),2,_xlfn.XLOOKUP(C1032,#REF!,#REF!),3,_xlfn.XLOOKUP(C1032,#REF!,#REF!)),0)</f>
        <v>2</v>
      </c>
      <c r="T1032" cm="1">
        <f t="array" ref="T1032">IFERROR(_xlfn.SWITCH(L1032,1,_xlfn.XLOOKUP(O1032,[1]AttributeName!$B:$B,[1]AttributeName!$E:$E),2,_xlfn.XLOOKUP(C1032,#REF!,#REF!),3,_xlfn.XLOOKUP(C1032,#REF!,#REF!)),0)</f>
        <v>2</v>
      </c>
    </row>
    <row r="1033" customFormat="1" spans="1:20">
      <c r="A1033">
        <f t="shared" si="46"/>
        <v>413</v>
      </c>
      <c r="B1033">
        <v>4</v>
      </c>
      <c r="C1033" t="s">
        <v>420</v>
      </c>
      <c r="D1033" t="s">
        <v>27</v>
      </c>
      <c r="E1033" t="s">
        <v>378</v>
      </c>
      <c r="F1033"/>
      <c r="G1033">
        <v>1</v>
      </c>
      <c r="H1033">
        <v>1000</v>
      </c>
      <c r="J1033" cm="1">
        <f t="array" ref="J1033">_xlfn.SWITCH(B1033,1,75,2,61,3,49,4,37,5,25,6,13,7,4,8,1)</f>
        <v>37</v>
      </c>
      <c r="K1033" t="str" cm="1">
        <f t="array" ref="K1033">IFERROR(_xlfn.SWITCH(L1033,2,_xlfn.XLOOKUP(C1033,[1]ModifierDes!$B:$B,[1]ModifierDes!$C:$C),3,_xlfn.XLOOKUP(C1033,[1]StuntDes!$B:$B,[1]StuntDes!$C:$C)),"")</f>
        <v/>
      </c>
      <c r="L1033">
        <f t="shared" si="47"/>
        <v>1</v>
      </c>
      <c r="M1033" s="10" t="str">
        <f>IFERROR(_xlfn.XLOOKUP(C1033,[1]StuntDes!$B:$B,[1]StuntDes!$A:$A),"")</f>
        <v/>
      </c>
      <c r="N1033" s="10" t="str">
        <f>IFERROR(_xlfn.XLOOKUP(C1033,[1]ModifierDes!$B:$B,[1]ModifierDes!$A:$A),"")</f>
        <v/>
      </c>
      <c r="O1033" s="10">
        <f>IFERROR(_xlfn.XLOOKUP(C1033,[1]AttributeName!$C:$C,[1]AttributeName!$B:$B),"")</f>
        <v>11013</v>
      </c>
      <c r="P1033" s="10"/>
      <c r="Q1033">
        <v>0.05</v>
      </c>
      <c r="R1033">
        <v>0.05</v>
      </c>
      <c r="S1033" cm="1">
        <f t="array" ref="S1033">IFERROR(_xlfn.SWITCH(L1033,1,_xlfn.XLOOKUP(O1033,[1]AttributeName!$B:$B,[1]AttributeName!$D:$D),2,_xlfn.XLOOKUP(C1033,#REF!,#REF!),3,_xlfn.XLOOKUP(C1033,#REF!,#REF!)),0)</f>
        <v>2</v>
      </c>
      <c r="T1033" cm="1">
        <f t="array" ref="T1033">IFERROR(_xlfn.SWITCH(L1033,1,_xlfn.XLOOKUP(O1033,[1]AttributeName!$B:$B,[1]AttributeName!$E:$E),2,_xlfn.XLOOKUP(C1033,#REF!,#REF!),3,_xlfn.XLOOKUP(C1033,#REF!,#REF!)),0)</f>
        <v>2</v>
      </c>
    </row>
    <row r="1034" customFormat="1" spans="1:20">
      <c r="A1034">
        <f t="shared" si="46"/>
        <v>413</v>
      </c>
      <c r="B1034">
        <v>5</v>
      </c>
      <c r="C1034" t="s">
        <v>420</v>
      </c>
      <c r="D1034" t="s">
        <v>27</v>
      </c>
      <c r="E1034" t="s">
        <v>378</v>
      </c>
      <c r="F1034"/>
      <c r="G1034">
        <v>1</v>
      </c>
      <c r="H1034">
        <v>1000</v>
      </c>
      <c r="J1034" cm="1">
        <f t="array" ref="J1034">_xlfn.SWITCH(B1034,1,75,2,61,3,49,4,37,5,25,6,13,7,4,8,1)</f>
        <v>25</v>
      </c>
      <c r="K1034" t="str" cm="1">
        <f t="array" ref="K1034">IFERROR(_xlfn.SWITCH(L1034,2,_xlfn.XLOOKUP(C1034,[1]ModifierDes!$B:$B,[1]ModifierDes!$C:$C),3,_xlfn.XLOOKUP(C1034,[1]StuntDes!$B:$B,[1]StuntDes!$C:$C)),"")</f>
        <v/>
      </c>
      <c r="L1034">
        <f t="shared" si="47"/>
        <v>1</v>
      </c>
      <c r="M1034" s="10" t="str">
        <f>IFERROR(_xlfn.XLOOKUP(C1034,[1]StuntDes!$B:$B,[1]StuntDes!$A:$A),"")</f>
        <v/>
      </c>
      <c r="N1034" s="10" t="str">
        <f>IFERROR(_xlfn.XLOOKUP(C1034,[1]ModifierDes!$B:$B,[1]ModifierDes!$A:$A),"")</f>
        <v/>
      </c>
      <c r="O1034" s="10">
        <f>IFERROR(_xlfn.XLOOKUP(C1034,[1]AttributeName!$C:$C,[1]AttributeName!$B:$B),"")</f>
        <v>11013</v>
      </c>
      <c r="P1034" s="10"/>
      <c r="Q1034">
        <v>0.04</v>
      </c>
      <c r="R1034">
        <v>0.04</v>
      </c>
      <c r="S1034" cm="1">
        <f t="array" ref="S1034">IFERROR(_xlfn.SWITCH(L1034,1,_xlfn.XLOOKUP(O1034,[1]AttributeName!$B:$B,[1]AttributeName!$D:$D),2,_xlfn.XLOOKUP(C1034,#REF!,#REF!),3,_xlfn.XLOOKUP(C1034,#REF!,#REF!)),0)</f>
        <v>2</v>
      </c>
      <c r="T1034" cm="1">
        <f t="array" ref="T1034">IFERROR(_xlfn.SWITCH(L1034,1,_xlfn.XLOOKUP(O1034,[1]AttributeName!$B:$B,[1]AttributeName!$E:$E),2,_xlfn.XLOOKUP(C1034,#REF!,#REF!),3,_xlfn.XLOOKUP(C1034,#REF!,#REF!)),0)</f>
        <v>2</v>
      </c>
    </row>
    <row r="1035" customFormat="1" spans="1:20">
      <c r="A1035">
        <f t="shared" si="46"/>
        <v>413</v>
      </c>
      <c r="B1035">
        <v>6</v>
      </c>
      <c r="C1035" t="s">
        <v>420</v>
      </c>
      <c r="D1035" t="s">
        <v>27</v>
      </c>
      <c r="E1035" t="s">
        <v>378</v>
      </c>
      <c r="F1035"/>
      <c r="G1035">
        <v>1</v>
      </c>
      <c r="H1035">
        <v>1000</v>
      </c>
      <c r="J1035" cm="1">
        <f t="array" ref="J1035">_xlfn.SWITCH(B1035,1,75,2,61,3,49,4,37,5,25,6,13,7,4,8,1)</f>
        <v>13</v>
      </c>
      <c r="K1035" t="str" cm="1">
        <f t="array" ref="K1035">IFERROR(_xlfn.SWITCH(L1035,2,_xlfn.XLOOKUP(C1035,[1]ModifierDes!$B:$B,[1]ModifierDes!$C:$C),3,_xlfn.XLOOKUP(C1035,[1]StuntDes!$B:$B,[1]StuntDes!$C:$C)),"")</f>
        <v/>
      </c>
      <c r="L1035">
        <f t="shared" si="47"/>
        <v>1</v>
      </c>
      <c r="M1035" s="10" t="str">
        <f>IFERROR(_xlfn.XLOOKUP(C1035,[1]StuntDes!$B:$B,[1]StuntDes!$A:$A),"")</f>
        <v/>
      </c>
      <c r="N1035" s="10" t="str">
        <f>IFERROR(_xlfn.XLOOKUP(C1035,[1]ModifierDes!$B:$B,[1]ModifierDes!$A:$A),"")</f>
        <v/>
      </c>
      <c r="O1035" s="10">
        <f>IFERROR(_xlfn.XLOOKUP(C1035,[1]AttributeName!$C:$C,[1]AttributeName!$B:$B),"")</f>
        <v>11013</v>
      </c>
      <c r="P1035" s="10"/>
      <c r="Q1035">
        <v>0.03</v>
      </c>
      <c r="R1035">
        <v>0.03</v>
      </c>
      <c r="S1035" cm="1">
        <f t="array" ref="S1035">IFERROR(_xlfn.SWITCH(L1035,1,_xlfn.XLOOKUP(O1035,[1]AttributeName!$B:$B,[1]AttributeName!$D:$D),2,_xlfn.XLOOKUP(C1035,#REF!,#REF!),3,_xlfn.XLOOKUP(C1035,#REF!,#REF!)),0)</f>
        <v>2</v>
      </c>
      <c r="T1035" cm="1">
        <f t="array" ref="T1035">IFERROR(_xlfn.SWITCH(L1035,1,_xlfn.XLOOKUP(O1035,[1]AttributeName!$B:$B,[1]AttributeName!$E:$E),2,_xlfn.XLOOKUP(C1035,#REF!,#REF!),3,_xlfn.XLOOKUP(C1035,#REF!,#REF!)),0)</f>
        <v>2</v>
      </c>
    </row>
    <row r="1036" customFormat="1" spans="1:20">
      <c r="A1036">
        <f t="shared" si="46"/>
        <v>413</v>
      </c>
      <c r="B1036">
        <v>7</v>
      </c>
      <c r="C1036" t="s">
        <v>420</v>
      </c>
      <c r="D1036" t="s">
        <v>27</v>
      </c>
      <c r="E1036" t="s">
        <v>378</v>
      </c>
      <c r="F1036"/>
      <c r="G1036">
        <v>1</v>
      </c>
      <c r="H1036">
        <v>1000</v>
      </c>
      <c r="J1036" cm="1">
        <f t="array" ref="J1036">_xlfn.SWITCH(B1036,1,75,2,61,3,49,4,37,5,25,6,13,7,4,8,1)</f>
        <v>4</v>
      </c>
      <c r="K1036" t="str" cm="1">
        <f t="array" ref="K1036">IFERROR(_xlfn.SWITCH(L1036,2,_xlfn.XLOOKUP(C1036,[1]ModifierDes!$B:$B,[1]ModifierDes!$C:$C),3,_xlfn.XLOOKUP(C1036,[1]StuntDes!$B:$B,[1]StuntDes!$C:$C)),"")</f>
        <v/>
      </c>
      <c r="L1036">
        <f t="shared" si="47"/>
        <v>1</v>
      </c>
      <c r="M1036" s="10" t="str">
        <f>IFERROR(_xlfn.XLOOKUP(C1036,[1]StuntDes!$B:$B,[1]StuntDes!$A:$A),"")</f>
        <v/>
      </c>
      <c r="N1036" s="10" t="str">
        <f>IFERROR(_xlfn.XLOOKUP(C1036,[1]ModifierDes!$B:$B,[1]ModifierDes!$A:$A),"")</f>
        <v/>
      </c>
      <c r="O1036" s="10">
        <f>IFERROR(_xlfn.XLOOKUP(C1036,[1]AttributeName!$C:$C,[1]AttributeName!$B:$B),"")</f>
        <v>11013</v>
      </c>
      <c r="P1036" s="10"/>
      <c r="Q1036">
        <v>0.02</v>
      </c>
      <c r="R1036">
        <v>0.02</v>
      </c>
      <c r="S1036" cm="1">
        <f t="array" ref="S1036">IFERROR(_xlfn.SWITCH(L1036,1,_xlfn.XLOOKUP(O1036,[1]AttributeName!$B:$B,[1]AttributeName!$D:$D),2,_xlfn.XLOOKUP(C1036,#REF!,#REF!),3,_xlfn.XLOOKUP(C1036,#REF!,#REF!)),0)</f>
        <v>2</v>
      </c>
      <c r="T1036" cm="1">
        <f t="array" ref="T1036">IFERROR(_xlfn.SWITCH(L1036,1,_xlfn.XLOOKUP(O1036,[1]AttributeName!$B:$B,[1]AttributeName!$E:$E),2,_xlfn.XLOOKUP(C1036,#REF!,#REF!),3,_xlfn.XLOOKUP(C1036,#REF!,#REF!)),0)</f>
        <v>2</v>
      </c>
    </row>
    <row r="1037" customFormat="1" spans="1:20">
      <c r="A1037">
        <f t="shared" si="46"/>
        <v>413</v>
      </c>
      <c r="B1037">
        <v>8</v>
      </c>
      <c r="C1037" t="s">
        <v>420</v>
      </c>
      <c r="D1037" t="s">
        <v>27</v>
      </c>
      <c r="E1037" t="s">
        <v>378</v>
      </c>
      <c r="F1037"/>
      <c r="G1037">
        <v>1</v>
      </c>
      <c r="H1037">
        <v>1000</v>
      </c>
      <c r="J1037" cm="1">
        <f t="array" ref="J1037">_xlfn.SWITCH(B1037,1,75,2,61,3,49,4,37,5,25,6,13,7,4,8,1)</f>
        <v>1</v>
      </c>
      <c r="K1037" t="str" cm="1">
        <f t="array" ref="K1037">IFERROR(_xlfn.SWITCH(L1037,2,_xlfn.XLOOKUP(C1037,[1]ModifierDes!$B:$B,[1]ModifierDes!$C:$C),3,_xlfn.XLOOKUP(C1037,[1]StuntDes!$B:$B,[1]StuntDes!$C:$C)),"")</f>
        <v/>
      </c>
      <c r="L1037">
        <f t="shared" si="47"/>
        <v>1</v>
      </c>
      <c r="M1037" s="10" t="str">
        <f>IFERROR(_xlfn.XLOOKUP(C1037,[1]StuntDes!$B:$B,[1]StuntDes!$A:$A),"")</f>
        <v/>
      </c>
      <c r="N1037" s="10" t="str">
        <f>IFERROR(_xlfn.XLOOKUP(C1037,[1]ModifierDes!$B:$B,[1]ModifierDes!$A:$A),"")</f>
        <v/>
      </c>
      <c r="O1037" s="10">
        <f>IFERROR(_xlfn.XLOOKUP(C1037,[1]AttributeName!$C:$C,[1]AttributeName!$B:$B),"")</f>
        <v>11013</v>
      </c>
      <c r="P1037" s="10"/>
      <c r="Q1037">
        <v>0.01</v>
      </c>
      <c r="R1037">
        <v>0.01</v>
      </c>
      <c r="S1037" cm="1">
        <f t="array" ref="S1037">IFERROR(_xlfn.SWITCH(L1037,1,_xlfn.XLOOKUP(O1037,[1]AttributeName!$B:$B,[1]AttributeName!$D:$D),2,_xlfn.XLOOKUP(C1037,#REF!,#REF!),3,_xlfn.XLOOKUP(C1037,#REF!,#REF!)),0)</f>
        <v>2</v>
      </c>
      <c r="T1037" cm="1">
        <f t="array" ref="T1037">IFERROR(_xlfn.SWITCH(L1037,1,_xlfn.XLOOKUP(O1037,[1]AttributeName!$B:$B,[1]AttributeName!$E:$E),2,_xlfn.XLOOKUP(C1037,#REF!,#REF!),3,_xlfn.XLOOKUP(C1037,#REF!,#REF!)),0)</f>
        <v>2</v>
      </c>
    </row>
    <row r="1038" customFormat="1" spans="1:20">
      <c r="A1038">
        <f t="shared" si="46"/>
        <v>414</v>
      </c>
      <c r="B1038">
        <v>1</v>
      </c>
      <c r="C1038" t="s">
        <v>432</v>
      </c>
      <c r="D1038" t="s">
        <v>27</v>
      </c>
      <c r="E1038" t="s">
        <v>378</v>
      </c>
      <c r="F1038"/>
      <c r="G1038">
        <v>1</v>
      </c>
      <c r="H1038">
        <v>50</v>
      </c>
      <c r="J1038" cm="1">
        <f t="array" ref="J1038">_xlfn.SWITCH(B1038,1,75,2,61,3,49,4,37,5,25,6,13,7,4,8,1)</f>
        <v>75</v>
      </c>
      <c r="K1038" t="str" cm="1">
        <f t="array" ref="K1038">IFERROR(_xlfn.SWITCH(L1038,2,_xlfn.XLOOKUP(C1038,[1]ModifierDes!$B:$B,[1]ModifierDes!$C:$C),3,_xlfn.XLOOKUP(C1038,[1]StuntDes!$B:$B,[1]StuntDes!$C:$C)),"")</f>
        <v/>
      </c>
      <c r="L1038">
        <f t="shared" si="47"/>
        <v>1</v>
      </c>
      <c r="M1038" s="10" t="str">
        <f>IFERROR(_xlfn.XLOOKUP(C1038,[1]StuntDes!$B:$B,[1]StuntDes!$A:$A),"")</f>
        <v/>
      </c>
      <c r="N1038" s="10" t="str">
        <f>IFERROR(_xlfn.XLOOKUP(C1038,[1]ModifierDes!$B:$B,[1]ModifierDes!$A:$A),"")</f>
        <v/>
      </c>
      <c r="O1038" s="10" t="str">
        <f>IFERROR(_xlfn.XLOOKUP(C1038,[1]AttributeName!$C:$C,[1]AttributeName!$B:$B),"")</f>
        <v/>
      </c>
      <c r="P1038" s="10"/>
      <c r="Q1038">
        <v>0.21</v>
      </c>
      <c r="R1038">
        <v>0.3</v>
      </c>
      <c r="S1038" cm="1">
        <f t="array" ref="S1038">IFERROR(_xlfn.SWITCH(L1038,1,_xlfn.XLOOKUP(O1038,[1]AttributeName!$B:$B,[1]AttributeName!$D:$D),2,_xlfn.XLOOKUP(C1038,#REF!,#REF!),3,_xlfn.XLOOKUP(C1038,#REF!,#REF!)),0)</f>
        <v>0</v>
      </c>
      <c r="T1038" cm="1">
        <f t="array" ref="T1038">IFERROR(_xlfn.SWITCH(L1038,1,_xlfn.XLOOKUP(O1038,[1]AttributeName!$B:$B,[1]AttributeName!$E:$E),2,_xlfn.XLOOKUP(C1038,#REF!,#REF!),3,_xlfn.XLOOKUP(C1038,#REF!,#REF!)),0)</f>
        <v>0</v>
      </c>
    </row>
    <row r="1039" customFormat="1" spans="1:20">
      <c r="A1039">
        <f t="shared" si="46"/>
        <v>414</v>
      </c>
      <c r="B1039">
        <v>2</v>
      </c>
      <c r="C1039" t="s">
        <v>432</v>
      </c>
      <c r="D1039" t="s">
        <v>27</v>
      </c>
      <c r="E1039" t="s">
        <v>378</v>
      </c>
      <c r="F1039"/>
      <c r="G1039">
        <v>1</v>
      </c>
      <c r="H1039">
        <v>500</v>
      </c>
      <c r="J1039" cm="1">
        <f t="array" ref="J1039">_xlfn.SWITCH(B1039,1,75,2,61,3,49,4,37,5,25,6,13,7,4,8,1)</f>
        <v>61</v>
      </c>
      <c r="K1039" t="str" cm="1">
        <f t="array" ref="K1039">IFERROR(_xlfn.SWITCH(L1039,2,_xlfn.XLOOKUP(C1039,[1]ModifierDes!$B:$B,[1]ModifierDes!$C:$C),3,_xlfn.XLOOKUP(C1039,[1]StuntDes!$B:$B,[1]StuntDes!$C:$C)),"")</f>
        <v/>
      </c>
      <c r="L1039">
        <f t="shared" si="47"/>
        <v>1</v>
      </c>
      <c r="M1039" s="10" t="str">
        <f>IFERROR(_xlfn.XLOOKUP(C1039,[1]StuntDes!$B:$B,[1]StuntDes!$A:$A),"")</f>
        <v/>
      </c>
      <c r="N1039" s="10" t="str">
        <f>IFERROR(_xlfn.XLOOKUP(C1039,[1]ModifierDes!$B:$B,[1]ModifierDes!$A:$A),"")</f>
        <v/>
      </c>
      <c r="O1039" s="10" t="str">
        <f>IFERROR(_xlfn.XLOOKUP(C1039,[1]AttributeName!$C:$C,[1]AttributeName!$B:$B),"")</f>
        <v/>
      </c>
      <c r="P1039" s="10"/>
      <c r="Q1039">
        <v>0.2</v>
      </c>
      <c r="R1039">
        <v>0.2</v>
      </c>
      <c r="S1039" cm="1">
        <f t="array" ref="S1039">IFERROR(_xlfn.SWITCH(L1039,1,_xlfn.XLOOKUP(O1039,[1]AttributeName!$B:$B,[1]AttributeName!$D:$D),2,_xlfn.XLOOKUP(C1039,#REF!,#REF!),3,_xlfn.XLOOKUP(C1039,#REF!,#REF!)),0)</f>
        <v>0</v>
      </c>
      <c r="T1039" cm="1">
        <f t="array" ref="T1039">IFERROR(_xlfn.SWITCH(L1039,1,_xlfn.XLOOKUP(O1039,[1]AttributeName!$B:$B,[1]AttributeName!$E:$E),2,_xlfn.XLOOKUP(C1039,#REF!,#REF!),3,_xlfn.XLOOKUP(C1039,#REF!,#REF!)),0)</f>
        <v>0</v>
      </c>
    </row>
    <row r="1040" customFormat="1" spans="1:20">
      <c r="A1040">
        <f t="shared" si="46"/>
        <v>414</v>
      </c>
      <c r="B1040">
        <v>3</v>
      </c>
      <c r="C1040" t="s">
        <v>432</v>
      </c>
      <c r="D1040" t="s">
        <v>27</v>
      </c>
      <c r="E1040" t="s">
        <v>378</v>
      </c>
      <c r="F1040"/>
      <c r="G1040">
        <v>1</v>
      </c>
      <c r="H1040">
        <v>750</v>
      </c>
      <c r="J1040" cm="1">
        <f t="array" ref="J1040">_xlfn.SWITCH(B1040,1,75,2,61,3,49,4,37,5,25,6,13,7,4,8,1)</f>
        <v>49</v>
      </c>
      <c r="K1040" t="str" cm="1">
        <f t="array" ref="K1040">IFERROR(_xlfn.SWITCH(L1040,2,_xlfn.XLOOKUP(C1040,[1]ModifierDes!$B:$B,[1]ModifierDes!$C:$C),3,_xlfn.XLOOKUP(C1040,[1]StuntDes!$B:$B,[1]StuntDes!$C:$C)),"")</f>
        <v/>
      </c>
      <c r="L1040">
        <f t="shared" si="47"/>
        <v>1</v>
      </c>
      <c r="M1040" s="10" t="str">
        <f>IFERROR(_xlfn.XLOOKUP(C1040,[1]StuntDes!$B:$B,[1]StuntDes!$A:$A),"")</f>
        <v/>
      </c>
      <c r="N1040" s="10" t="str">
        <f>IFERROR(_xlfn.XLOOKUP(C1040,[1]ModifierDes!$B:$B,[1]ModifierDes!$A:$A),"")</f>
        <v/>
      </c>
      <c r="O1040" s="10" t="str">
        <f>IFERROR(_xlfn.XLOOKUP(C1040,[1]AttributeName!$C:$C,[1]AttributeName!$B:$B),"")</f>
        <v/>
      </c>
      <c r="P1040" s="10"/>
      <c r="Q1040">
        <v>0.17</v>
      </c>
      <c r="R1040">
        <v>0.17</v>
      </c>
      <c r="S1040" cm="1">
        <f t="array" ref="S1040">IFERROR(_xlfn.SWITCH(L1040,1,_xlfn.XLOOKUP(O1040,[1]AttributeName!$B:$B,[1]AttributeName!$D:$D),2,_xlfn.XLOOKUP(C1040,#REF!,#REF!),3,_xlfn.XLOOKUP(C1040,#REF!,#REF!)),0)</f>
        <v>0</v>
      </c>
      <c r="T1040" cm="1">
        <f t="array" ref="T1040">IFERROR(_xlfn.SWITCH(L1040,1,_xlfn.XLOOKUP(O1040,[1]AttributeName!$B:$B,[1]AttributeName!$E:$E),2,_xlfn.XLOOKUP(C1040,#REF!,#REF!),3,_xlfn.XLOOKUP(C1040,#REF!,#REF!)),0)</f>
        <v>0</v>
      </c>
    </row>
    <row r="1041" customFormat="1" spans="1:20">
      <c r="A1041">
        <f t="shared" si="46"/>
        <v>414</v>
      </c>
      <c r="B1041">
        <v>4</v>
      </c>
      <c r="C1041" t="s">
        <v>432</v>
      </c>
      <c r="D1041" t="s">
        <v>27</v>
      </c>
      <c r="E1041" t="s">
        <v>378</v>
      </c>
      <c r="F1041"/>
      <c r="G1041">
        <v>1</v>
      </c>
      <c r="H1041">
        <v>1000</v>
      </c>
      <c r="J1041" cm="1">
        <f t="array" ref="J1041">_xlfn.SWITCH(B1041,1,75,2,61,3,49,4,37,5,25,6,13,7,4,8,1)</f>
        <v>37</v>
      </c>
      <c r="K1041" t="str" cm="1">
        <f t="array" ref="K1041">IFERROR(_xlfn.SWITCH(L1041,2,_xlfn.XLOOKUP(C1041,[1]ModifierDes!$B:$B,[1]ModifierDes!$C:$C),3,_xlfn.XLOOKUP(C1041,[1]StuntDes!$B:$B,[1]StuntDes!$C:$C)),"")</f>
        <v/>
      </c>
      <c r="L1041">
        <f t="shared" si="47"/>
        <v>1</v>
      </c>
      <c r="M1041" s="10" t="str">
        <f>IFERROR(_xlfn.XLOOKUP(C1041,[1]StuntDes!$B:$B,[1]StuntDes!$A:$A),"")</f>
        <v/>
      </c>
      <c r="N1041" s="10" t="str">
        <f>IFERROR(_xlfn.XLOOKUP(C1041,[1]ModifierDes!$B:$B,[1]ModifierDes!$A:$A),"")</f>
        <v/>
      </c>
      <c r="O1041" s="10" t="str">
        <f>IFERROR(_xlfn.XLOOKUP(C1041,[1]AttributeName!$C:$C,[1]AttributeName!$B:$B),"")</f>
        <v/>
      </c>
      <c r="P1041" s="10"/>
      <c r="Q1041">
        <v>0.14</v>
      </c>
      <c r="R1041">
        <v>0.14</v>
      </c>
      <c r="S1041" cm="1">
        <f t="array" ref="S1041">IFERROR(_xlfn.SWITCH(L1041,1,_xlfn.XLOOKUP(O1041,[1]AttributeName!$B:$B,[1]AttributeName!$D:$D),2,_xlfn.XLOOKUP(C1041,#REF!,#REF!),3,_xlfn.XLOOKUP(C1041,#REF!,#REF!)),0)</f>
        <v>0</v>
      </c>
      <c r="T1041" cm="1">
        <f t="array" ref="T1041">IFERROR(_xlfn.SWITCH(L1041,1,_xlfn.XLOOKUP(O1041,[1]AttributeName!$B:$B,[1]AttributeName!$E:$E),2,_xlfn.XLOOKUP(C1041,#REF!,#REF!),3,_xlfn.XLOOKUP(C1041,#REF!,#REF!)),0)</f>
        <v>0</v>
      </c>
    </row>
    <row r="1042" customFormat="1" spans="1:20">
      <c r="A1042">
        <f t="shared" si="46"/>
        <v>414</v>
      </c>
      <c r="B1042">
        <v>5</v>
      </c>
      <c r="C1042" t="s">
        <v>432</v>
      </c>
      <c r="D1042" t="s">
        <v>27</v>
      </c>
      <c r="E1042" t="s">
        <v>378</v>
      </c>
      <c r="F1042"/>
      <c r="G1042">
        <v>1</v>
      </c>
      <c r="H1042">
        <v>1000</v>
      </c>
      <c r="J1042" cm="1">
        <f t="array" ref="J1042">_xlfn.SWITCH(B1042,1,75,2,61,3,49,4,37,5,25,6,13,7,4,8,1)</f>
        <v>25</v>
      </c>
      <c r="K1042" t="str" cm="1">
        <f t="array" ref="K1042">IFERROR(_xlfn.SWITCH(L1042,2,_xlfn.XLOOKUP(C1042,[1]ModifierDes!$B:$B,[1]ModifierDes!$C:$C),3,_xlfn.XLOOKUP(C1042,[1]StuntDes!$B:$B,[1]StuntDes!$C:$C)),"")</f>
        <v/>
      </c>
      <c r="L1042">
        <f t="shared" si="47"/>
        <v>1</v>
      </c>
      <c r="M1042" s="10" t="str">
        <f>IFERROR(_xlfn.XLOOKUP(C1042,[1]StuntDes!$B:$B,[1]StuntDes!$A:$A),"")</f>
        <v/>
      </c>
      <c r="N1042" s="10" t="str">
        <f>IFERROR(_xlfn.XLOOKUP(C1042,[1]ModifierDes!$B:$B,[1]ModifierDes!$A:$A),"")</f>
        <v/>
      </c>
      <c r="O1042" s="10" t="str">
        <f>IFERROR(_xlfn.XLOOKUP(C1042,[1]AttributeName!$C:$C,[1]AttributeName!$B:$B),"")</f>
        <v/>
      </c>
      <c r="P1042" s="10"/>
      <c r="Q1042">
        <v>0.11</v>
      </c>
      <c r="R1042">
        <v>0.11</v>
      </c>
      <c r="S1042" cm="1">
        <f t="array" ref="S1042">IFERROR(_xlfn.SWITCH(L1042,1,_xlfn.XLOOKUP(O1042,[1]AttributeName!$B:$B,[1]AttributeName!$D:$D),2,_xlfn.XLOOKUP(C1042,#REF!,#REF!),3,_xlfn.XLOOKUP(C1042,#REF!,#REF!)),0)</f>
        <v>0</v>
      </c>
      <c r="T1042" cm="1">
        <f t="array" ref="T1042">IFERROR(_xlfn.SWITCH(L1042,1,_xlfn.XLOOKUP(O1042,[1]AttributeName!$B:$B,[1]AttributeName!$E:$E),2,_xlfn.XLOOKUP(C1042,#REF!,#REF!),3,_xlfn.XLOOKUP(C1042,#REF!,#REF!)),0)</f>
        <v>0</v>
      </c>
    </row>
    <row r="1043" customFormat="1" spans="1:20">
      <c r="A1043">
        <f t="shared" si="46"/>
        <v>414</v>
      </c>
      <c r="B1043">
        <v>6</v>
      </c>
      <c r="C1043" t="s">
        <v>432</v>
      </c>
      <c r="D1043" t="s">
        <v>27</v>
      </c>
      <c r="E1043" t="s">
        <v>378</v>
      </c>
      <c r="F1043"/>
      <c r="G1043">
        <v>1</v>
      </c>
      <c r="H1043">
        <v>1000</v>
      </c>
      <c r="J1043" cm="1">
        <f t="array" ref="J1043">_xlfn.SWITCH(B1043,1,75,2,61,3,49,4,37,5,25,6,13,7,4,8,1)</f>
        <v>13</v>
      </c>
      <c r="K1043" t="str" cm="1">
        <f t="array" ref="K1043">IFERROR(_xlfn.SWITCH(L1043,2,_xlfn.XLOOKUP(C1043,[1]ModifierDes!$B:$B,[1]ModifierDes!$C:$C),3,_xlfn.XLOOKUP(C1043,[1]StuntDes!$B:$B,[1]StuntDes!$C:$C)),"")</f>
        <v/>
      </c>
      <c r="L1043">
        <f t="shared" si="47"/>
        <v>1</v>
      </c>
      <c r="M1043" s="10" t="str">
        <f>IFERROR(_xlfn.XLOOKUP(C1043,[1]StuntDes!$B:$B,[1]StuntDes!$A:$A),"")</f>
        <v/>
      </c>
      <c r="N1043" s="10" t="str">
        <f>IFERROR(_xlfn.XLOOKUP(C1043,[1]ModifierDes!$B:$B,[1]ModifierDes!$A:$A),"")</f>
        <v/>
      </c>
      <c r="O1043" s="10" t="str">
        <f>IFERROR(_xlfn.XLOOKUP(C1043,[1]AttributeName!$C:$C,[1]AttributeName!$B:$B),"")</f>
        <v/>
      </c>
      <c r="P1043" s="10"/>
      <c r="Q1043">
        <v>0.08</v>
      </c>
      <c r="R1043">
        <v>0.08</v>
      </c>
      <c r="S1043" cm="1">
        <f t="array" ref="S1043">IFERROR(_xlfn.SWITCH(L1043,1,_xlfn.XLOOKUP(O1043,[1]AttributeName!$B:$B,[1]AttributeName!$D:$D),2,_xlfn.XLOOKUP(C1043,#REF!,#REF!),3,_xlfn.XLOOKUP(C1043,#REF!,#REF!)),0)</f>
        <v>0</v>
      </c>
      <c r="T1043" cm="1">
        <f t="array" ref="T1043">IFERROR(_xlfn.SWITCH(L1043,1,_xlfn.XLOOKUP(O1043,[1]AttributeName!$B:$B,[1]AttributeName!$E:$E),2,_xlfn.XLOOKUP(C1043,#REF!,#REF!),3,_xlfn.XLOOKUP(C1043,#REF!,#REF!)),0)</f>
        <v>0</v>
      </c>
    </row>
    <row r="1044" customFormat="1" spans="1:20">
      <c r="A1044">
        <f t="shared" si="46"/>
        <v>414</v>
      </c>
      <c r="B1044">
        <v>7</v>
      </c>
      <c r="C1044" t="s">
        <v>432</v>
      </c>
      <c r="D1044" t="s">
        <v>27</v>
      </c>
      <c r="E1044" t="s">
        <v>378</v>
      </c>
      <c r="F1044"/>
      <c r="G1044">
        <v>1</v>
      </c>
      <c r="H1044">
        <v>1000</v>
      </c>
      <c r="J1044" cm="1">
        <f t="array" ref="J1044">_xlfn.SWITCH(B1044,1,75,2,61,3,49,4,37,5,25,6,13,7,4,8,1)</f>
        <v>4</v>
      </c>
      <c r="K1044" t="str" cm="1">
        <f t="array" ref="K1044">IFERROR(_xlfn.SWITCH(L1044,2,_xlfn.XLOOKUP(C1044,[1]ModifierDes!$B:$B,[1]ModifierDes!$C:$C),3,_xlfn.XLOOKUP(C1044,[1]StuntDes!$B:$B,[1]StuntDes!$C:$C)),"")</f>
        <v/>
      </c>
      <c r="L1044">
        <f t="shared" si="47"/>
        <v>1</v>
      </c>
      <c r="M1044" s="10" t="str">
        <f>IFERROR(_xlfn.XLOOKUP(C1044,[1]StuntDes!$B:$B,[1]StuntDes!$A:$A),"")</f>
        <v/>
      </c>
      <c r="N1044" s="10" t="str">
        <f>IFERROR(_xlfn.XLOOKUP(C1044,[1]ModifierDes!$B:$B,[1]ModifierDes!$A:$A),"")</f>
        <v/>
      </c>
      <c r="O1044" s="10" t="str">
        <f>IFERROR(_xlfn.XLOOKUP(C1044,[1]AttributeName!$C:$C,[1]AttributeName!$B:$B),"")</f>
        <v/>
      </c>
      <c r="P1044" s="10"/>
      <c r="Q1044">
        <v>0.05</v>
      </c>
      <c r="R1044">
        <v>0.05</v>
      </c>
      <c r="S1044" cm="1">
        <f t="array" ref="S1044">IFERROR(_xlfn.SWITCH(L1044,1,_xlfn.XLOOKUP(O1044,[1]AttributeName!$B:$B,[1]AttributeName!$D:$D),2,_xlfn.XLOOKUP(C1044,#REF!,#REF!),3,_xlfn.XLOOKUP(C1044,#REF!,#REF!)),0)</f>
        <v>0</v>
      </c>
      <c r="T1044" cm="1">
        <f t="array" ref="T1044">IFERROR(_xlfn.SWITCH(L1044,1,_xlfn.XLOOKUP(O1044,[1]AttributeName!$B:$B,[1]AttributeName!$E:$E),2,_xlfn.XLOOKUP(C1044,#REF!,#REF!),3,_xlfn.XLOOKUP(C1044,#REF!,#REF!)),0)</f>
        <v>0</v>
      </c>
    </row>
    <row r="1045" customFormat="1" spans="1:20">
      <c r="A1045">
        <f t="shared" si="46"/>
        <v>414</v>
      </c>
      <c r="B1045">
        <v>8</v>
      </c>
      <c r="C1045" t="s">
        <v>432</v>
      </c>
      <c r="D1045" t="s">
        <v>27</v>
      </c>
      <c r="E1045" t="s">
        <v>378</v>
      </c>
      <c r="F1045"/>
      <c r="G1045">
        <v>1</v>
      </c>
      <c r="H1045">
        <v>1000</v>
      </c>
      <c r="J1045" cm="1">
        <f t="array" ref="J1045">_xlfn.SWITCH(B1045,1,75,2,61,3,49,4,37,5,25,6,13,7,4,8,1)</f>
        <v>1</v>
      </c>
      <c r="K1045" t="str" cm="1">
        <f t="array" ref="K1045">IFERROR(_xlfn.SWITCH(L1045,2,_xlfn.XLOOKUP(C1045,[1]ModifierDes!$B:$B,[1]ModifierDes!$C:$C),3,_xlfn.XLOOKUP(C1045,[1]StuntDes!$B:$B,[1]StuntDes!$C:$C)),"")</f>
        <v/>
      </c>
      <c r="L1045">
        <f t="shared" si="47"/>
        <v>1</v>
      </c>
      <c r="M1045" s="10" t="str">
        <f>IFERROR(_xlfn.XLOOKUP(C1045,[1]StuntDes!$B:$B,[1]StuntDes!$A:$A),"")</f>
        <v/>
      </c>
      <c r="N1045" s="10" t="str">
        <f>IFERROR(_xlfn.XLOOKUP(C1045,[1]ModifierDes!$B:$B,[1]ModifierDes!$A:$A),"")</f>
        <v/>
      </c>
      <c r="O1045" s="10" t="str">
        <f>IFERROR(_xlfn.XLOOKUP(C1045,[1]AttributeName!$C:$C,[1]AttributeName!$B:$B),"")</f>
        <v/>
      </c>
      <c r="P1045" s="10"/>
      <c r="Q1045">
        <v>0.02</v>
      </c>
      <c r="R1045">
        <v>0.02</v>
      </c>
      <c r="S1045" cm="1">
        <f t="array" ref="S1045">IFERROR(_xlfn.SWITCH(L1045,1,_xlfn.XLOOKUP(O1045,[1]AttributeName!$B:$B,[1]AttributeName!$D:$D),2,_xlfn.XLOOKUP(C1045,#REF!,#REF!),3,_xlfn.XLOOKUP(C1045,#REF!,#REF!)),0)</f>
        <v>0</v>
      </c>
      <c r="T1045" cm="1">
        <f t="array" ref="T1045">IFERROR(_xlfn.SWITCH(L1045,1,_xlfn.XLOOKUP(O1045,[1]AttributeName!$B:$B,[1]AttributeName!$E:$E),2,_xlfn.XLOOKUP(C1045,#REF!,#REF!),3,_xlfn.XLOOKUP(C1045,#REF!,#REF!)),0)</f>
        <v>0</v>
      </c>
    </row>
    <row r="1046" customFormat="1" spans="1:20">
      <c r="A1046">
        <v>451</v>
      </c>
      <c r="B1046">
        <v>1</v>
      </c>
      <c r="C1046" t="s">
        <v>73</v>
      </c>
      <c r="D1046" t="s">
        <v>27</v>
      </c>
      <c r="E1046" t="s">
        <v>392</v>
      </c>
      <c r="F1046"/>
      <c r="G1046">
        <v>2</v>
      </c>
      <c r="H1046">
        <v>250</v>
      </c>
      <c r="J1046" cm="1">
        <f t="array" ref="J1046">_xlfn.SWITCH(B1046,1,75,2,61,3,49,4,37,5,25,6,13,7,4,8,1)</f>
        <v>75</v>
      </c>
      <c r="K1046" t="str" cm="1">
        <f t="array" ref="K1046">IFERROR(_xlfn.SWITCH(L1046,2,_xlfn.XLOOKUP(C1046,[1]ModifierDes!$B:$B,[1]ModifierDes!$C:$C),3,_xlfn.XLOOKUP(C1046,[1]StuntDes!$B:$B,[1]StuntDes!$C:$C)),"")</f>
        <v/>
      </c>
      <c r="L1046">
        <f t="shared" si="47"/>
        <v>1</v>
      </c>
      <c r="M1046" s="10" t="str">
        <f>IFERROR(_xlfn.XLOOKUP(C1046,[1]StuntDes!$B:$B,[1]StuntDes!$A:$A),"")</f>
        <v/>
      </c>
      <c r="N1046" s="10" t="str">
        <f>IFERROR(_xlfn.XLOOKUP(C1046,[1]ModifierDes!$B:$B,[1]ModifierDes!$A:$A),"")</f>
        <v/>
      </c>
      <c r="O1046" s="10">
        <f>IFERROR(_xlfn.XLOOKUP(C1046,[1]AttributeName!$C:$C,[1]AttributeName!$B:$B),"")</f>
        <v>10311</v>
      </c>
      <c r="P1046" s="10"/>
      <c r="Q1046">
        <v>0.3</v>
      </c>
      <c r="R1046">
        <v>0.4</v>
      </c>
      <c r="S1046" cm="1">
        <f t="array" ref="S1046">IFERROR(_xlfn.SWITCH(L1046,1,_xlfn.XLOOKUP(O1046,[1]AttributeName!$B:$B,[1]AttributeName!$D:$D),2,_xlfn.XLOOKUP(C1046,#REF!,#REF!),3,_xlfn.XLOOKUP(C1046,#REF!,#REF!)),0)</f>
        <v>2</v>
      </c>
      <c r="T1046" cm="1">
        <f t="array" ref="T1046">IFERROR(_xlfn.SWITCH(L1046,1,_xlfn.XLOOKUP(O1046,[1]AttributeName!$B:$B,[1]AttributeName!$E:$E),2,_xlfn.XLOOKUP(C1046,#REF!,#REF!),3,_xlfn.XLOOKUP(C1046,#REF!,#REF!)),0)</f>
        <v>2</v>
      </c>
    </row>
    <row r="1047" customFormat="1" spans="1:20">
      <c r="A1047">
        <v>451</v>
      </c>
      <c r="B1047">
        <v>2</v>
      </c>
      <c r="C1047" t="s">
        <v>73</v>
      </c>
      <c r="D1047" t="s">
        <v>27</v>
      </c>
      <c r="E1047" t="s">
        <v>392</v>
      </c>
      <c r="F1047"/>
      <c r="G1047">
        <v>2</v>
      </c>
      <c r="H1047">
        <v>500</v>
      </c>
      <c r="J1047" cm="1">
        <f t="array" ref="J1047">_xlfn.SWITCH(B1047,1,75,2,61,3,49,4,37,5,25,6,13,7,4,8,1)</f>
        <v>61</v>
      </c>
      <c r="K1047" t="str" cm="1">
        <f t="array" ref="K1047">IFERROR(_xlfn.SWITCH(L1047,2,_xlfn.XLOOKUP(C1047,[1]ModifierDes!$B:$B,[1]ModifierDes!$C:$C),3,_xlfn.XLOOKUP(C1047,[1]StuntDes!$B:$B,[1]StuntDes!$C:$C)),"")</f>
        <v/>
      </c>
      <c r="L1047">
        <f t="shared" si="47"/>
        <v>1</v>
      </c>
      <c r="M1047" s="10" t="str">
        <f>IFERROR(_xlfn.XLOOKUP(C1047,[1]StuntDes!$B:$B,[1]StuntDes!$A:$A),"")</f>
        <v/>
      </c>
      <c r="N1047" s="10" t="str">
        <f>IFERROR(_xlfn.XLOOKUP(C1047,[1]ModifierDes!$B:$B,[1]ModifierDes!$A:$A),"")</f>
        <v/>
      </c>
      <c r="O1047" s="10">
        <f>IFERROR(_xlfn.XLOOKUP(C1047,[1]AttributeName!$C:$C,[1]AttributeName!$B:$B),"")</f>
        <v>10311</v>
      </c>
      <c r="P1047" s="10"/>
      <c r="Q1047">
        <v>0.26</v>
      </c>
      <c r="R1047">
        <v>0.29</v>
      </c>
      <c r="S1047" cm="1">
        <f t="array" ref="S1047">IFERROR(_xlfn.SWITCH(L1047,1,_xlfn.XLOOKUP(O1047,[1]AttributeName!$B:$B,[1]AttributeName!$D:$D),2,_xlfn.XLOOKUP(C1047,#REF!,#REF!),3,_xlfn.XLOOKUP(C1047,#REF!,#REF!)),0)</f>
        <v>2</v>
      </c>
      <c r="T1047" cm="1">
        <f t="array" ref="T1047">IFERROR(_xlfn.SWITCH(L1047,1,_xlfn.XLOOKUP(O1047,[1]AttributeName!$B:$B,[1]AttributeName!$E:$E),2,_xlfn.XLOOKUP(C1047,#REF!,#REF!),3,_xlfn.XLOOKUP(C1047,#REF!,#REF!)),0)</f>
        <v>2</v>
      </c>
    </row>
    <row r="1048" customFormat="1" spans="1:20">
      <c r="A1048">
        <v>451</v>
      </c>
      <c r="B1048">
        <v>3</v>
      </c>
      <c r="C1048" t="s">
        <v>73</v>
      </c>
      <c r="D1048" t="s">
        <v>27</v>
      </c>
      <c r="E1048" t="s">
        <v>392</v>
      </c>
      <c r="F1048"/>
      <c r="G1048">
        <v>2</v>
      </c>
      <c r="H1048">
        <v>750</v>
      </c>
      <c r="J1048" cm="1">
        <f t="array" ref="J1048">_xlfn.SWITCH(B1048,1,75,2,61,3,49,4,37,5,25,6,13,7,4,8,1)</f>
        <v>49</v>
      </c>
      <c r="K1048" t="str" cm="1">
        <f t="array" ref="K1048">IFERROR(_xlfn.SWITCH(L1048,2,_xlfn.XLOOKUP(C1048,[1]ModifierDes!$B:$B,[1]ModifierDes!$C:$C),3,_xlfn.XLOOKUP(C1048,[1]StuntDes!$B:$B,[1]StuntDes!$C:$C)),"")</f>
        <v/>
      </c>
      <c r="L1048">
        <f t="shared" si="47"/>
        <v>1</v>
      </c>
      <c r="M1048" s="10" t="str">
        <f>IFERROR(_xlfn.XLOOKUP(C1048,[1]StuntDes!$B:$B,[1]StuntDes!$A:$A),"")</f>
        <v/>
      </c>
      <c r="N1048" s="10" t="str">
        <f>IFERROR(_xlfn.XLOOKUP(C1048,[1]ModifierDes!$B:$B,[1]ModifierDes!$A:$A),"")</f>
        <v/>
      </c>
      <c r="O1048" s="10">
        <f>IFERROR(_xlfn.XLOOKUP(C1048,[1]AttributeName!$C:$C,[1]AttributeName!$B:$B),"")</f>
        <v>10311</v>
      </c>
      <c r="P1048" s="10"/>
      <c r="Q1048">
        <v>0.22</v>
      </c>
      <c r="R1048">
        <v>0.25</v>
      </c>
      <c r="S1048" cm="1">
        <f t="array" ref="S1048">IFERROR(_xlfn.SWITCH(L1048,1,_xlfn.XLOOKUP(O1048,[1]AttributeName!$B:$B,[1]AttributeName!$D:$D),2,_xlfn.XLOOKUP(C1048,#REF!,#REF!),3,_xlfn.XLOOKUP(C1048,#REF!,#REF!)),0)</f>
        <v>2</v>
      </c>
      <c r="T1048" cm="1">
        <f t="array" ref="T1048">IFERROR(_xlfn.SWITCH(L1048,1,_xlfn.XLOOKUP(O1048,[1]AttributeName!$B:$B,[1]AttributeName!$E:$E),2,_xlfn.XLOOKUP(C1048,#REF!,#REF!),3,_xlfn.XLOOKUP(C1048,#REF!,#REF!)),0)</f>
        <v>2</v>
      </c>
    </row>
    <row r="1049" customFormat="1" spans="1:20">
      <c r="A1049">
        <v>451</v>
      </c>
      <c r="B1049">
        <v>4</v>
      </c>
      <c r="C1049" t="s">
        <v>73</v>
      </c>
      <c r="D1049" t="s">
        <v>27</v>
      </c>
      <c r="E1049" t="s">
        <v>392</v>
      </c>
      <c r="F1049"/>
      <c r="G1049">
        <v>2</v>
      </c>
      <c r="H1049">
        <v>1000</v>
      </c>
      <c r="J1049" cm="1">
        <f t="array" ref="J1049">_xlfn.SWITCH(B1049,1,75,2,61,3,49,4,37,5,25,6,13,7,4,8,1)</f>
        <v>37</v>
      </c>
      <c r="K1049" t="str" cm="1">
        <f t="array" ref="K1049">IFERROR(_xlfn.SWITCH(L1049,2,_xlfn.XLOOKUP(C1049,[1]ModifierDes!$B:$B,[1]ModifierDes!$C:$C),3,_xlfn.XLOOKUP(C1049,[1]StuntDes!$B:$B,[1]StuntDes!$C:$C)),"")</f>
        <v/>
      </c>
      <c r="L1049">
        <f t="shared" si="47"/>
        <v>1</v>
      </c>
      <c r="M1049" s="10" t="str">
        <f>IFERROR(_xlfn.XLOOKUP(C1049,[1]StuntDes!$B:$B,[1]StuntDes!$A:$A),"")</f>
        <v/>
      </c>
      <c r="N1049" s="10" t="str">
        <f>IFERROR(_xlfn.XLOOKUP(C1049,[1]ModifierDes!$B:$B,[1]ModifierDes!$A:$A),"")</f>
        <v/>
      </c>
      <c r="O1049" s="10">
        <f>IFERROR(_xlfn.XLOOKUP(C1049,[1]AttributeName!$C:$C,[1]AttributeName!$B:$B),"")</f>
        <v>10311</v>
      </c>
      <c r="P1049" s="10"/>
      <c r="Q1049">
        <v>0.18</v>
      </c>
      <c r="R1049">
        <v>0.21</v>
      </c>
      <c r="S1049" cm="1">
        <f t="array" ref="S1049">IFERROR(_xlfn.SWITCH(L1049,1,_xlfn.XLOOKUP(O1049,[1]AttributeName!$B:$B,[1]AttributeName!$D:$D),2,_xlfn.XLOOKUP(C1049,#REF!,#REF!),3,_xlfn.XLOOKUP(C1049,#REF!,#REF!)),0)</f>
        <v>2</v>
      </c>
      <c r="T1049" cm="1">
        <f t="array" ref="T1049">IFERROR(_xlfn.SWITCH(L1049,1,_xlfn.XLOOKUP(O1049,[1]AttributeName!$B:$B,[1]AttributeName!$E:$E),2,_xlfn.XLOOKUP(C1049,#REF!,#REF!),3,_xlfn.XLOOKUP(C1049,#REF!,#REF!)),0)</f>
        <v>2</v>
      </c>
    </row>
    <row r="1050" customFormat="1" spans="1:20">
      <c r="A1050">
        <v>451</v>
      </c>
      <c r="B1050">
        <v>5</v>
      </c>
      <c r="C1050" t="s">
        <v>73</v>
      </c>
      <c r="D1050" t="s">
        <v>27</v>
      </c>
      <c r="E1050" t="s">
        <v>392</v>
      </c>
      <c r="F1050"/>
      <c r="G1050">
        <v>2</v>
      </c>
      <c r="H1050">
        <v>1000</v>
      </c>
      <c r="J1050" cm="1">
        <f t="array" ref="J1050">_xlfn.SWITCH(B1050,1,75,2,61,3,49,4,37,5,25,6,13,7,4,8,1)</f>
        <v>25</v>
      </c>
      <c r="K1050" t="str" cm="1">
        <f t="array" ref="K1050">IFERROR(_xlfn.SWITCH(L1050,2,_xlfn.XLOOKUP(C1050,[1]ModifierDes!$B:$B,[1]ModifierDes!$C:$C),3,_xlfn.XLOOKUP(C1050,[1]StuntDes!$B:$B,[1]StuntDes!$C:$C)),"")</f>
        <v/>
      </c>
      <c r="L1050">
        <f t="shared" si="47"/>
        <v>1</v>
      </c>
      <c r="M1050" s="10" t="str">
        <f>IFERROR(_xlfn.XLOOKUP(C1050,[1]StuntDes!$B:$B,[1]StuntDes!$A:$A),"")</f>
        <v/>
      </c>
      <c r="N1050" s="10" t="str">
        <f>IFERROR(_xlfn.XLOOKUP(C1050,[1]ModifierDes!$B:$B,[1]ModifierDes!$A:$A),"")</f>
        <v/>
      </c>
      <c r="O1050" s="10">
        <f>IFERROR(_xlfn.XLOOKUP(C1050,[1]AttributeName!$C:$C,[1]AttributeName!$B:$B),"")</f>
        <v>10311</v>
      </c>
      <c r="P1050" s="10"/>
      <c r="Q1050">
        <v>0.14</v>
      </c>
      <c r="R1050">
        <v>0.17</v>
      </c>
      <c r="S1050" cm="1">
        <f t="array" ref="S1050">IFERROR(_xlfn.SWITCH(L1050,1,_xlfn.XLOOKUP(O1050,[1]AttributeName!$B:$B,[1]AttributeName!$D:$D),2,_xlfn.XLOOKUP(C1050,#REF!,#REF!),3,_xlfn.XLOOKUP(C1050,#REF!,#REF!)),0)</f>
        <v>2</v>
      </c>
      <c r="T1050" cm="1">
        <f t="array" ref="T1050">IFERROR(_xlfn.SWITCH(L1050,1,_xlfn.XLOOKUP(O1050,[1]AttributeName!$B:$B,[1]AttributeName!$E:$E),2,_xlfn.XLOOKUP(C1050,#REF!,#REF!),3,_xlfn.XLOOKUP(C1050,#REF!,#REF!)),0)</f>
        <v>2</v>
      </c>
    </row>
    <row r="1051" customFormat="1" spans="1:20">
      <c r="A1051">
        <v>451</v>
      </c>
      <c r="B1051">
        <v>6</v>
      </c>
      <c r="C1051" t="s">
        <v>73</v>
      </c>
      <c r="D1051" t="s">
        <v>27</v>
      </c>
      <c r="E1051" t="s">
        <v>392</v>
      </c>
      <c r="F1051"/>
      <c r="G1051">
        <v>2</v>
      </c>
      <c r="H1051">
        <v>1000</v>
      </c>
      <c r="J1051" cm="1">
        <f t="array" ref="J1051">_xlfn.SWITCH(B1051,1,75,2,61,3,49,4,37,5,25,6,13,7,4,8,1)</f>
        <v>13</v>
      </c>
      <c r="K1051" t="str" cm="1">
        <f t="array" ref="K1051">IFERROR(_xlfn.SWITCH(L1051,2,_xlfn.XLOOKUP(C1051,[1]ModifierDes!$B:$B,[1]ModifierDes!$C:$C),3,_xlfn.XLOOKUP(C1051,[1]StuntDes!$B:$B,[1]StuntDes!$C:$C)),"")</f>
        <v/>
      </c>
      <c r="L1051">
        <f t="shared" si="47"/>
        <v>1</v>
      </c>
      <c r="M1051" s="10" t="str">
        <f>IFERROR(_xlfn.XLOOKUP(C1051,[1]StuntDes!$B:$B,[1]StuntDes!$A:$A),"")</f>
        <v/>
      </c>
      <c r="N1051" s="10" t="str">
        <f>IFERROR(_xlfn.XLOOKUP(C1051,[1]ModifierDes!$B:$B,[1]ModifierDes!$A:$A),"")</f>
        <v/>
      </c>
      <c r="O1051" s="10">
        <f>IFERROR(_xlfn.XLOOKUP(C1051,[1]AttributeName!$C:$C,[1]AttributeName!$B:$B),"")</f>
        <v>10311</v>
      </c>
      <c r="P1051" s="10"/>
      <c r="Q1051">
        <v>0.1</v>
      </c>
      <c r="R1051">
        <v>0.13</v>
      </c>
      <c r="S1051" cm="1">
        <f t="array" ref="S1051">IFERROR(_xlfn.SWITCH(L1051,1,_xlfn.XLOOKUP(O1051,[1]AttributeName!$B:$B,[1]AttributeName!$D:$D),2,_xlfn.XLOOKUP(C1051,#REF!,#REF!),3,_xlfn.XLOOKUP(C1051,#REF!,#REF!)),0)</f>
        <v>2</v>
      </c>
      <c r="T1051" cm="1">
        <f t="array" ref="T1051">IFERROR(_xlfn.SWITCH(L1051,1,_xlfn.XLOOKUP(O1051,[1]AttributeName!$B:$B,[1]AttributeName!$E:$E),2,_xlfn.XLOOKUP(C1051,#REF!,#REF!),3,_xlfn.XLOOKUP(C1051,#REF!,#REF!)),0)</f>
        <v>2</v>
      </c>
    </row>
    <row r="1052" customFormat="1" spans="1:20">
      <c r="A1052">
        <v>451</v>
      </c>
      <c r="B1052">
        <v>7</v>
      </c>
      <c r="C1052" t="s">
        <v>73</v>
      </c>
      <c r="D1052" t="s">
        <v>27</v>
      </c>
      <c r="E1052" t="s">
        <v>392</v>
      </c>
      <c r="F1052"/>
      <c r="G1052">
        <v>2</v>
      </c>
      <c r="H1052">
        <v>1000</v>
      </c>
      <c r="J1052" cm="1">
        <f t="array" ref="J1052">_xlfn.SWITCH(B1052,1,75,2,61,3,49,4,37,5,25,6,13,7,4,8,1)</f>
        <v>4</v>
      </c>
      <c r="K1052" t="str" cm="1">
        <f t="array" ref="K1052">IFERROR(_xlfn.SWITCH(L1052,2,_xlfn.XLOOKUP(C1052,[1]ModifierDes!$B:$B,[1]ModifierDes!$C:$C),3,_xlfn.XLOOKUP(C1052,[1]StuntDes!$B:$B,[1]StuntDes!$C:$C)),"")</f>
        <v/>
      </c>
      <c r="L1052">
        <f t="shared" si="47"/>
        <v>1</v>
      </c>
      <c r="M1052" s="10" t="str">
        <f>IFERROR(_xlfn.XLOOKUP(C1052,[1]StuntDes!$B:$B,[1]StuntDes!$A:$A),"")</f>
        <v/>
      </c>
      <c r="N1052" s="10" t="str">
        <f>IFERROR(_xlfn.XLOOKUP(C1052,[1]ModifierDes!$B:$B,[1]ModifierDes!$A:$A),"")</f>
        <v/>
      </c>
      <c r="O1052" s="10">
        <f>IFERROR(_xlfn.XLOOKUP(C1052,[1]AttributeName!$C:$C,[1]AttributeName!$B:$B),"")</f>
        <v>10311</v>
      </c>
      <c r="P1052" s="10"/>
      <c r="Q1052">
        <v>0.06</v>
      </c>
      <c r="R1052">
        <v>0.0900000000000001</v>
      </c>
      <c r="S1052" cm="1">
        <f t="array" ref="S1052">IFERROR(_xlfn.SWITCH(L1052,1,_xlfn.XLOOKUP(O1052,[1]AttributeName!$B:$B,[1]AttributeName!$D:$D),2,_xlfn.XLOOKUP(C1052,#REF!,#REF!),3,_xlfn.XLOOKUP(C1052,#REF!,#REF!)),0)</f>
        <v>2</v>
      </c>
      <c r="T1052" cm="1">
        <f t="array" ref="T1052">IFERROR(_xlfn.SWITCH(L1052,1,_xlfn.XLOOKUP(O1052,[1]AttributeName!$B:$B,[1]AttributeName!$E:$E),2,_xlfn.XLOOKUP(C1052,#REF!,#REF!),3,_xlfn.XLOOKUP(C1052,#REF!,#REF!)),0)</f>
        <v>2</v>
      </c>
    </row>
    <row r="1053" customFormat="1" spans="1:20">
      <c r="A1053">
        <v>451</v>
      </c>
      <c r="B1053">
        <v>8</v>
      </c>
      <c r="C1053" t="s">
        <v>73</v>
      </c>
      <c r="D1053" t="s">
        <v>27</v>
      </c>
      <c r="E1053" t="s">
        <v>392</v>
      </c>
      <c r="F1053"/>
      <c r="G1053">
        <v>2</v>
      </c>
      <c r="H1053">
        <v>1000</v>
      </c>
      <c r="J1053" cm="1">
        <f t="array" ref="J1053">_xlfn.SWITCH(B1053,1,75,2,61,3,49,4,37,5,25,6,13,7,4,8,1)</f>
        <v>1</v>
      </c>
      <c r="K1053" t="str" cm="1">
        <f t="array" ref="K1053">IFERROR(_xlfn.SWITCH(L1053,2,_xlfn.XLOOKUP(C1053,[1]ModifierDes!$B:$B,[1]ModifierDes!$C:$C),3,_xlfn.XLOOKUP(C1053,[1]StuntDes!$B:$B,[1]StuntDes!$C:$C)),"")</f>
        <v/>
      </c>
      <c r="L1053">
        <f t="shared" si="47"/>
        <v>1</v>
      </c>
      <c r="M1053" s="10" t="str">
        <f>IFERROR(_xlfn.XLOOKUP(C1053,[1]StuntDes!$B:$B,[1]StuntDes!$A:$A),"")</f>
        <v/>
      </c>
      <c r="N1053" s="10" t="str">
        <f>IFERROR(_xlfn.XLOOKUP(C1053,[1]ModifierDes!$B:$B,[1]ModifierDes!$A:$A),"")</f>
        <v/>
      </c>
      <c r="O1053" s="10">
        <f>IFERROR(_xlfn.XLOOKUP(C1053,[1]AttributeName!$C:$C,[1]AttributeName!$B:$B),"")</f>
        <v>10311</v>
      </c>
      <c r="P1053" s="10"/>
      <c r="Q1053">
        <v>0.02</v>
      </c>
      <c r="R1053">
        <v>0.0500000000000001</v>
      </c>
      <c r="S1053" cm="1">
        <f t="array" ref="S1053">IFERROR(_xlfn.SWITCH(L1053,1,_xlfn.XLOOKUP(O1053,[1]AttributeName!$B:$B,[1]AttributeName!$D:$D),2,_xlfn.XLOOKUP(C1053,#REF!,#REF!),3,_xlfn.XLOOKUP(C1053,#REF!,#REF!)),0)</f>
        <v>2</v>
      </c>
      <c r="T1053" cm="1">
        <f t="array" ref="T1053">IFERROR(_xlfn.SWITCH(L1053,1,_xlfn.XLOOKUP(O1053,[1]AttributeName!$B:$B,[1]AttributeName!$E:$E),2,_xlfn.XLOOKUP(C1053,#REF!,#REF!),3,_xlfn.XLOOKUP(C1053,#REF!,#REF!)),0)</f>
        <v>2</v>
      </c>
    </row>
    <row r="1054" customFormat="1" spans="1:20">
      <c r="A1054">
        <f t="shared" ref="A1054:A1085" si="48">A1046+1</f>
        <v>452</v>
      </c>
      <c r="B1054">
        <v>1</v>
      </c>
      <c r="C1054" t="s">
        <v>423</v>
      </c>
      <c r="D1054" t="s">
        <v>27</v>
      </c>
      <c r="E1054" t="s">
        <v>392</v>
      </c>
      <c r="F1054"/>
      <c r="G1054">
        <v>2</v>
      </c>
      <c r="H1054">
        <v>250</v>
      </c>
      <c r="J1054" cm="1">
        <f t="array" ref="J1054">_xlfn.SWITCH(B1054,1,75,2,61,3,49,4,37,5,25,6,13,7,4,8,1)</f>
        <v>75</v>
      </c>
      <c r="K1054" t="str" cm="1">
        <f t="array" ref="K1054">IFERROR(_xlfn.SWITCH(L1054,2,_xlfn.XLOOKUP(C1054,[1]ModifierDes!$B:$B,[1]ModifierDes!$C:$C),3,_xlfn.XLOOKUP(C1054,[1]StuntDes!$B:$B,[1]StuntDes!$C:$C)),"")</f>
        <v/>
      </c>
      <c r="L1054">
        <f t="shared" si="47"/>
        <v>1</v>
      </c>
      <c r="M1054" s="10" t="str">
        <f>IFERROR(_xlfn.XLOOKUP(C1054,[1]StuntDes!$B:$B,[1]StuntDes!$A:$A),"")</f>
        <v/>
      </c>
      <c r="N1054" s="10" t="str">
        <f>IFERROR(_xlfn.XLOOKUP(C1054,[1]ModifierDes!$B:$B,[1]ModifierDes!$A:$A),"")</f>
        <v/>
      </c>
      <c r="O1054" s="10">
        <f>IFERROR(_xlfn.XLOOKUP(C1054,[1]AttributeName!$C:$C,[1]AttributeName!$B:$B),"")</f>
        <v>10312</v>
      </c>
      <c r="P1054" s="10"/>
      <c r="Q1054">
        <v>0.3</v>
      </c>
      <c r="R1054">
        <v>0.4</v>
      </c>
      <c r="S1054" cm="1">
        <f t="array" ref="S1054">IFERROR(_xlfn.SWITCH(L1054,1,_xlfn.XLOOKUP(O1054,[1]AttributeName!$B:$B,[1]AttributeName!$D:$D),2,_xlfn.XLOOKUP(C1054,#REF!,#REF!),3,_xlfn.XLOOKUP(C1054,#REF!,#REF!)),0)</f>
        <v>2</v>
      </c>
      <c r="T1054" cm="1">
        <f t="array" ref="T1054">IFERROR(_xlfn.SWITCH(L1054,1,_xlfn.XLOOKUP(O1054,[1]AttributeName!$B:$B,[1]AttributeName!$E:$E),2,_xlfn.XLOOKUP(C1054,#REF!,#REF!),3,_xlfn.XLOOKUP(C1054,#REF!,#REF!)),0)</f>
        <v>2</v>
      </c>
    </row>
    <row r="1055" customFormat="1" spans="1:20">
      <c r="A1055">
        <f t="shared" si="48"/>
        <v>452</v>
      </c>
      <c r="B1055">
        <v>2</v>
      </c>
      <c r="C1055" t="s">
        <v>423</v>
      </c>
      <c r="D1055" t="s">
        <v>27</v>
      </c>
      <c r="E1055" t="s">
        <v>392</v>
      </c>
      <c r="F1055"/>
      <c r="G1055">
        <v>2</v>
      </c>
      <c r="H1055">
        <v>500</v>
      </c>
      <c r="J1055" cm="1">
        <f t="array" ref="J1055">_xlfn.SWITCH(B1055,1,75,2,61,3,49,4,37,5,25,6,13,7,4,8,1)</f>
        <v>61</v>
      </c>
      <c r="K1055" t="str" cm="1">
        <f t="array" ref="K1055">IFERROR(_xlfn.SWITCH(L1055,2,_xlfn.XLOOKUP(C1055,[1]ModifierDes!$B:$B,[1]ModifierDes!$C:$C),3,_xlfn.XLOOKUP(C1055,[1]StuntDes!$B:$B,[1]StuntDes!$C:$C)),"")</f>
        <v/>
      </c>
      <c r="L1055">
        <f t="shared" si="47"/>
        <v>1</v>
      </c>
      <c r="M1055" s="10" t="str">
        <f>IFERROR(_xlfn.XLOOKUP(C1055,[1]StuntDes!$B:$B,[1]StuntDes!$A:$A),"")</f>
        <v/>
      </c>
      <c r="N1055" s="10" t="str">
        <f>IFERROR(_xlfn.XLOOKUP(C1055,[1]ModifierDes!$B:$B,[1]ModifierDes!$A:$A),"")</f>
        <v/>
      </c>
      <c r="O1055" s="10">
        <f>IFERROR(_xlfn.XLOOKUP(C1055,[1]AttributeName!$C:$C,[1]AttributeName!$B:$B),"")</f>
        <v>10312</v>
      </c>
      <c r="P1055" s="10"/>
      <c r="Q1055">
        <v>0.26</v>
      </c>
      <c r="R1055">
        <v>0.29</v>
      </c>
      <c r="S1055" cm="1">
        <f t="array" ref="S1055">IFERROR(_xlfn.SWITCH(L1055,1,_xlfn.XLOOKUP(O1055,[1]AttributeName!$B:$B,[1]AttributeName!$D:$D),2,_xlfn.XLOOKUP(C1055,#REF!,#REF!),3,_xlfn.XLOOKUP(C1055,#REF!,#REF!)),0)</f>
        <v>2</v>
      </c>
      <c r="T1055" cm="1">
        <f t="array" ref="T1055">IFERROR(_xlfn.SWITCH(L1055,1,_xlfn.XLOOKUP(O1055,[1]AttributeName!$B:$B,[1]AttributeName!$E:$E),2,_xlfn.XLOOKUP(C1055,#REF!,#REF!),3,_xlfn.XLOOKUP(C1055,#REF!,#REF!)),0)</f>
        <v>2</v>
      </c>
    </row>
    <row r="1056" customFormat="1" spans="1:20">
      <c r="A1056">
        <f t="shared" si="48"/>
        <v>452</v>
      </c>
      <c r="B1056">
        <v>3</v>
      </c>
      <c r="C1056" t="s">
        <v>423</v>
      </c>
      <c r="D1056" t="s">
        <v>27</v>
      </c>
      <c r="E1056" t="s">
        <v>392</v>
      </c>
      <c r="F1056"/>
      <c r="G1056">
        <v>2</v>
      </c>
      <c r="H1056">
        <v>750</v>
      </c>
      <c r="J1056" cm="1">
        <f t="array" ref="J1056">_xlfn.SWITCH(B1056,1,75,2,61,3,49,4,37,5,25,6,13,7,4,8,1)</f>
        <v>49</v>
      </c>
      <c r="K1056" t="str" cm="1">
        <f t="array" ref="K1056">IFERROR(_xlfn.SWITCH(L1056,2,_xlfn.XLOOKUP(C1056,[1]ModifierDes!$B:$B,[1]ModifierDes!$C:$C),3,_xlfn.XLOOKUP(C1056,[1]StuntDes!$B:$B,[1]StuntDes!$C:$C)),"")</f>
        <v/>
      </c>
      <c r="L1056">
        <f t="shared" si="47"/>
        <v>1</v>
      </c>
      <c r="M1056" s="10" t="str">
        <f>IFERROR(_xlfn.XLOOKUP(C1056,[1]StuntDes!$B:$B,[1]StuntDes!$A:$A),"")</f>
        <v/>
      </c>
      <c r="N1056" s="10" t="str">
        <f>IFERROR(_xlfn.XLOOKUP(C1056,[1]ModifierDes!$B:$B,[1]ModifierDes!$A:$A),"")</f>
        <v/>
      </c>
      <c r="O1056" s="10">
        <f>IFERROR(_xlfn.XLOOKUP(C1056,[1]AttributeName!$C:$C,[1]AttributeName!$B:$B),"")</f>
        <v>10312</v>
      </c>
      <c r="P1056" s="10"/>
      <c r="Q1056">
        <v>0.22</v>
      </c>
      <c r="R1056">
        <v>0.25</v>
      </c>
      <c r="S1056" cm="1">
        <f t="array" ref="S1056">IFERROR(_xlfn.SWITCH(L1056,1,_xlfn.XLOOKUP(O1056,[1]AttributeName!$B:$B,[1]AttributeName!$D:$D),2,_xlfn.XLOOKUP(C1056,#REF!,#REF!),3,_xlfn.XLOOKUP(C1056,#REF!,#REF!)),0)</f>
        <v>2</v>
      </c>
      <c r="T1056" cm="1">
        <f t="array" ref="T1056">IFERROR(_xlfn.SWITCH(L1056,1,_xlfn.XLOOKUP(O1056,[1]AttributeName!$B:$B,[1]AttributeName!$E:$E),2,_xlfn.XLOOKUP(C1056,#REF!,#REF!),3,_xlfn.XLOOKUP(C1056,#REF!,#REF!)),0)</f>
        <v>2</v>
      </c>
    </row>
    <row r="1057" customFormat="1" spans="1:20">
      <c r="A1057">
        <f t="shared" si="48"/>
        <v>452</v>
      </c>
      <c r="B1057">
        <v>4</v>
      </c>
      <c r="C1057" t="s">
        <v>423</v>
      </c>
      <c r="D1057" t="s">
        <v>27</v>
      </c>
      <c r="E1057" t="s">
        <v>392</v>
      </c>
      <c r="F1057"/>
      <c r="G1057">
        <v>2</v>
      </c>
      <c r="H1057">
        <v>1000</v>
      </c>
      <c r="J1057" cm="1">
        <f t="array" ref="J1057">_xlfn.SWITCH(B1057,1,75,2,61,3,49,4,37,5,25,6,13,7,4,8,1)</f>
        <v>37</v>
      </c>
      <c r="K1057" t="str" cm="1">
        <f t="array" ref="K1057">IFERROR(_xlfn.SWITCH(L1057,2,_xlfn.XLOOKUP(C1057,[1]ModifierDes!$B:$B,[1]ModifierDes!$C:$C),3,_xlfn.XLOOKUP(C1057,[1]StuntDes!$B:$B,[1]StuntDes!$C:$C)),"")</f>
        <v/>
      </c>
      <c r="L1057">
        <f t="shared" si="47"/>
        <v>1</v>
      </c>
      <c r="M1057" s="10" t="str">
        <f>IFERROR(_xlfn.XLOOKUP(C1057,[1]StuntDes!$B:$B,[1]StuntDes!$A:$A),"")</f>
        <v/>
      </c>
      <c r="N1057" s="10" t="str">
        <f>IFERROR(_xlfn.XLOOKUP(C1057,[1]ModifierDes!$B:$B,[1]ModifierDes!$A:$A),"")</f>
        <v/>
      </c>
      <c r="O1057" s="10">
        <f>IFERROR(_xlfn.XLOOKUP(C1057,[1]AttributeName!$C:$C,[1]AttributeName!$B:$B),"")</f>
        <v>10312</v>
      </c>
      <c r="P1057" s="10"/>
      <c r="Q1057">
        <v>0.18</v>
      </c>
      <c r="R1057">
        <v>0.21</v>
      </c>
      <c r="S1057" cm="1">
        <f t="array" ref="S1057">IFERROR(_xlfn.SWITCH(L1057,1,_xlfn.XLOOKUP(O1057,[1]AttributeName!$B:$B,[1]AttributeName!$D:$D),2,_xlfn.XLOOKUP(C1057,#REF!,#REF!),3,_xlfn.XLOOKUP(C1057,#REF!,#REF!)),0)</f>
        <v>2</v>
      </c>
      <c r="T1057" cm="1">
        <f t="array" ref="T1057">IFERROR(_xlfn.SWITCH(L1057,1,_xlfn.XLOOKUP(O1057,[1]AttributeName!$B:$B,[1]AttributeName!$E:$E),2,_xlfn.XLOOKUP(C1057,#REF!,#REF!),3,_xlfn.XLOOKUP(C1057,#REF!,#REF!)),0)</f>
        <v>2</v>
      </c>
    </row>
    <row r="1058" customFormat="1" spans="1:20">
      <c r="A1058">
        <f t="shared" si="48"/>
        <v>452</v>
      </c>
      <c r="B1058">
        <v>5</v>
      </c>
      <c r="C1058" t="s">
        <v>423</v>
      </c>
      <c r="D1058" t="s">
        <v>27</v>
      </c>
      <c r="E1058" t="s">
        <v>392</v>
      </c>
      <c r="F1058"/>
      <c r="G1058">
        <v>2</v>
      </c>
      <c r="H1058">
        <v>1000</v>
      </c>
      <c r="J1058" cm="1">
        <f t="array" ref="J1058">_xlfn.SWITCH(B1058,1,75,2,61,3,49,4,37,5,25,6,13,7,4,8,1)</f>
        <v>25</v>
      </c>
      <c r="K1058" t="str" cm="1">
        <f t="array" ref="K1058">IFERROR(_xlfn.SWITCH(L1058,2,_xlfn.XLOOKUP(C1058,[1]ModifierDes!$B:$B,[1]ModifierDes!$C:$C),3,_xlfn.XLOOKUP(C1058,[1]StuntDes!$B:$B,[1]StuntDes!$C:$C)),"")</f>
        <v/>
      </c>
      <c r="L1058">
        <f t="shared" si="47"/>
        <v>1</v>
      </c>
      <c r="M1058" s="10" t="str">
        <f>IFERROR(_xlfn.XLOOKUP(C1058,[1]StuntDes!$B:$B,[1]StuntDes!$A:$A),"")</f>
        <v/>
      </c>
      <c r="N1058" s="10" t="str">
        <f>IFERROR(_xlfn.XLOOKUP(C1058,[1]ModifierDes!$B:$B,[1]ModifierDes!$A:$A),"")</f>
        <v/>
      </c>
      <c r="O1058" s="10">
        <f>IFERROR(_xlfn.XLOOKUP(C1058,[1]AttributeName!$C:$C,[1]AttributeName!$B:$B),"")</f>
        <v>10312</v>
      </c>
      <c r="P1058" s="10"/>
      <c r="Q1058">
        <v>0.14</v>
      </c>
      <c r="R1058">
        <v>0.17</v>
      </c>
      <c r="S1058" cm="1">
        <f t="array" ref="S1058">IFERROR(_xlfn.SWITCH(L1058,1,_xlfn.XLOOKUP(O1058,[1]AttributeName!$B:$B,[1]AttributeName!$D:$D),2,_xlfn.XLOOKUP(C1058,#REF!,#REF!),3,_xlfn.XLOOKUP(C1058,#REF!,#REF!)),0)</f>
        <v>2</v>
      </c>
      <c r="T1058" cm="1">
        <f t="array" ref="T1058">IFERROR(_xlfn.SWITCH(L1058,1,_xlfn.XLOOKUP(O1058,[1]AttributeName!$B:$B,[1]AttributeName!$E:$E),2,_xlfn.XLOOKUP(C1058,#REF!,#REF!),3,_xlfn.XLOOKUP(C1058,#REF!,#REF!)),0)</f>
        <v>2</v>
      </c>
    </row>
    <row r="1059" customFormat="1" spans="1:20">
      <c r="A1059">
        <f t="shared" si="48"/>
        <v>452</v>
      </c>
      <c r="B1059">
        <v>6</v>
      </c>
      <c r="C1059" t="s">
        <v>423</v>
      </c>
      <c r="D1059" t="s">
        <v>27</v>
      </c>
      <c r="E1059" t="s">
        <v>392</v>
      </c>
      <c r="F1059"/>
      <c r="G1059">
        <v>2</v>
      </c>
      <c r="H1059">
        <v>1000</v>
      </c>
      <c r="J1059" cm="1">
        <f t="array" ref="J1059">_xlfn.SWITCH(B1059,1,75,2,61,3,49,4,37,5,25,6,13,7,4,8,1)</f>
        <v>13</v>
      </c>
      <c r="K1059" t="str" cm="1">
        <f t="array" ref="K1059">IFERROR(_xlfn.SWITCH(L1059,2,_xlfn.XLOOKUP(C1059,[1]ModifierDes!$B:$B,[1]ModifierDes!$C:$C),3,_xlfn.XLOOKUP(C1059,[1]StuntDes!$B:$B,[1]StuntDes!$C:$C)),"")</f>
        <v/>
      </c>
      <c r="L1059">
        <f t="shared" si="47"/>
        <v>1</v>
      </c>
      <c r="M1059" s="10" t="str">
        <f>IFERROR(_xlfn.XLOOKUP(C1059,[1]StuntDes!$B:$B,[1]StuntDes!$A:$A),"")</f>
        <v/>
      </c>
      <c r="N1059" s="10" t="str">
        <f>IFERROR(_xlfn.XLOOKUP(C1059,[1]ModifierDes!$B:$B,[1]ModifierDes!$A:$A),"")</f>
        <v/>
      </c>
      <c r="O1059" s="10">
        <f>IFERROR(_xlfn.XLOOKUP(C1059,[1]AttributeName!$C:$C,[1]AttributeName!$B:$B),"")</f>
        <v>10312</v>
      </c>
      <c r="P1059" s="10"/>
      <c r="Q1059">
        <v>0.1</v>
      </c>
      <c r="R1059">
        <v>0.13</v>
      </c>
      <c r="S1059" cm="1">
        <f t="array" ref="S1059">IFERROR(_xlfn.SWITCH(L1059,1,_xlfn.XLOOKUP(O1059,[1]AttributeName!$B:$B,[1]AttributeName!$D:$D),2,_xlfn.XLOOKUP(C1059,#REF!,#REF!),3,_xlfn.XLOOKUP(C1059,#REF!,#REF!)),0)</f>
        <v>2</v>
      </c>
      <c r="T1059" cm="1">
        <f t="array" ref="T1059">IFERROR(_xlfn.SWITCH(L1059,1,_xlfn.XLOOKUP(O1059,[1]AttributeName!$B:$B,[1]AttributeName!$E:$E),2,_xlfn.XLOOKUP(C1059,#REF!,#REF!),3,_xlfn.XLOOKUP(C1059,#REF!,#REF!)),0)</f>
        <v>2</v>
      </c>
    </row>
    <row r="1060" customFormat="1" spans="1:20">
      <c r="A1060">
        <f t="shared" si="48"/>
        <v>452</v>
      </c>
      <c r="B1060">
        <v>7</v>
      </c>
      <c r="C1060" t="s">
        <v>423</v>
      </c>
      <c r="D1060" t="s">
        <v>27</v>
      </c>
      <c r="E1060" t="s">
        <v>392</v>
      </c>
      <c r="F1060"/>
      <c r="G1060">
        <v>2</v>
      </c>
      <c r="H1060">
        <v>1000</v>
      </c>
      <c r="J1060" cm="1">
        <f t="array" ref="J1060">_xlfn.SWITCH(B1060,1,75,2,61,3,49,4,37,5,25,6,13,7,4,8,1)</f>
        <v>4</v>
      </c>
      <c r="K1060" t="str" cm="1">
        <f t="array" ref="K1060">IFERROR(_xlfn.SWITCH(L1060,2,_xlfn.XLOOKUP(C1060,[1]ModifierDes!$B:$B,[1]ModifierDes!$C:$C),3,_xlfn.XLOOKUP(C1060,[1]StuntDes!$B:$B,[1]StuntDes!$C:$C)),"")</f>
        <v/>
      </c>
      <c r="L1060">
        <f t="shared" si="47"/>
        <v>1</v>
      </c>
      <c r="M1060" s="10" t="str">
        <f>IFERROR(_xlfn.XLOOKUP(C1060,[1]StuntDes!$B:$B,[1]StuntDes!$A:$A),"")</f>
        <v/>
      </c>
      <c r="N1060" s="10" t="str">
        <f>IFERROR(_xlfn.XLOOKUP(C1060,[1]ModifierDes!$B:$B,[1]ModifierDes!$A:$A),"")</f>
        <v/>
      </c>
      <c r="O1060" s="10">
        <f>IFERROR(_xlfn.XLOOKUP(C1060,[1]AttributeName!$C:$C,[1]AttributeName!$B:$B),"")</f>
        <v>10312</v>
      </c>
      <c r="P1060" s="10"/>
      <c r="Q1060">
        <v>0.06</v>
      </c>
      <c r="R1060">
        <v>0.0900000000000001</v>
      </c>
      <c r="S1060" cm="1">
        <f t="array" ref="S1060">IFERROR(_xlfn.SWITCH(L1060,1,_xlfn.XLOOKUP(O1060,[1]AttributeName!$B:$B,[1]AttributeName!$D:$D),2,_xlfn.XLOOKUP(C1060,#REF!,#REF!),3,_xlfn.XLOOKUP(C1060,#REF!,#REF!)),0)</f>
        <v>2</v>
      </c>
      <c r="T1060" cm="1">
        <f t="array" ref="T1060">IFERROR(_xlfn.SWITCH(L1060,1,_xlfn.XLOOKUP(O1060,[1]AttributeName!$B:$B,[1]AttributeName!$E:$E),2,_xlfn.XLOOKUP(C1060,#REF!,#REF!),3,_xlfn.XLOOKUP(C1060,#REF!,#REF!)),0)</f>
        <v>2</v>
      </c>
    </row>
    <row r="1061" customFormat="1" spans="1:20">
      <c r="A1061">
        <f t="shared" si="48"/>
        <v>452</v>
      </c>
      <c r="B1061">
        <v>8</v>
      </c>
      <c r="C1061" t="s">
        <v>423</v>
      </c>
      <c r="D1061" t="s">
        <v>27</v>
      </c>
      <c r="E1061" t="s">
        <v>392</v>
      </c>
      <c r="F1061"/>
      <c r="G1061">
        <v>2</v>
      </c>
      <c r="H1061">
        <v>1000</v>
      </c>
      <c r="J1061" cm="1">
        <f t="array" ref="J1061">_xlfn.SWITCH(B1061,1,75,2,61,3,49,4,37,5,25,6,13,7,4,8,1)</f>
        <v>1</v>
      </c>
      <c r="K1061" t="str" cm="1">
        <f t="array" ref="K1061">IFERROR(_xlfn.SWITCH(L1061,2,_xlfn.XLOOKUP(C1061,[1]ModifierDes!$B:$B,[1]ModifierDes!$C:$C),3,_xlfn.XLOOKUP(C1061,[1]StuntDes!$B:$B,[1]StuntDes!$C:$C)),"")</f>
        <v/>
      </c>
      <c r="L1061">
        <f t="shared" si="47"/>
        <v>1</v>
      </c>
      <c r="M1061" s="10" t="str">
        <f>IFERROR(_xlfn.XLOOKUP(C1061,[1]StuntDes!$B:$B,[1]StuntDes!$A:$A),"")</f>
        <v/>
      </c>
      <c r="N1061" s="10" t="str">
        <f>IFERROR(_xlfn.XLOOKUP(C1061,[1]ModifierDes!$B:$B,[1]ModifierDes!$A:$A),"")</f>
        <v/>
      </c>
      <c r="O1061" s="10">
        <f>IFERROR(_xlfn.XLOOKUP(C1061,[1]AttributeName!$C:$C,[1]AttributeName!$B:$B),"")</f>
        <v>10312</v>
      </c>
      <c r="P1061" s="10"/>
      <c r="Q1061">
        <v>0.02</v>
      </c>
      <c r="R1061">
        <v>0.0500000000000001</v>
      </c>
      <c r="S1061" cm="1">
        <f t="array" ref="S1061">IFERROR(_xlfn.SWITCH(L1061,1,_xlfn.XLOOKUP(O1061,[1]AttributeName!$B:$B,[1]AttributeName!$D:$D),2,_xlfn.XLOOKUP(C1061,#REF!,#REF!),3,_xlfn.XLOOKUP(C1061,#REF!,#REF!)),0)</f>
        <v>2</v>
      </c>
      <c r="T1061" cm="1">
        <f t="array" ref="T1061">IFERROR(_xlfn.SWITCH(L1061,1,_xlfn.XLOOKUP(O1061,[1]AttributeName!$B:$B,[1]AttributeName!$E:$E),2,_xlfn.XLOOKUP(C1061,#REF!,#REF!),3,_xlfn.XLOOKUP(C1061,#REF!,#REF!)),0)</f>
        <v>2</v>
      </c>
    </row>
    <row r="1062" customFormat="1" spans="1:20">
      <c r="A1062">
        <f t="shared" si="48"/>
        <v>453</v>
      </c>
      <c r="B1062">
        <v>1</v>
      </c>
      <c r="C1062" t="s">
        <v>424</v>
      </c>
      <c r="D1062" t="s">
        <v>27</v>
      </c>
      <c r="E1062" t="s">
        <v>392</v>
      </c>
      <c r="F1062"/>
      <c r="G1062">
        <v>2</v>
      </c>
      <c r="H1062">
        <v>250</v>
      </c>
      <c r="J1062" cm="1">
        <f t="array" ref="J1062">_xlfn.SWITCH(B1062,1,75,2,61,3,49,4,37,5,25,6,13,7,4,8,1)</f>
        <v>75</v>
      </c>
      <c r="K1062" t="str" cm="1">
        <f t="array" ref="K1062">IFERROR(_xlfn.SWITCH(L1062,2,_xlfn.XLOOKUP(C1062,[1]ModifierDes!$B:$B,[1]ModifierDes!$C:$C),3,_xlfn.XLOOKUP(C1062,[1]StuntDes!$B:$B,[1]StuntDes!$C:$C)),"")</f>
        <v/>
      </c>
      <c r="L1062">
        <f t="shared" si="47"/>
        <v>1</v>
      </c>
      <c r="M1062" s="10" t="str">
        <f>IFERROR(_xlfn.XLOOKUP(C1062,[1]StuntDes!$B:$B,[1]StuntDes!$A:$A),"")</f>
        <v/>
      </c>
      <c r="N1062" s="10" t="str">
        <f>IFERROR(_xlfn.XLOOKUP(C1062,[1]ModifierDes!$B:$B,[1]ModifierDes!$A:$A),"")</f>
        <v/>
      </c>
      <c r="O1062" s="10">
        <f>IFERROR(_xlfn.XLOOKUP(C1062,[1]AttributeName!$C:$C,[1]AttributeName!$B:$B),"")</f>
        <v>10313</v>
      </c>
      <c r="P1062" s="10"/>
      <c r="Q1062">
        <v>0.3</v>
      </c>
      <c r="R1062">
        <v>0.4</v>
      </c>
      <c r="S1062" cm="1">
        <f t="array" ref="S1062">IFERROR(_xlfn.SWITCH(L1062,1,_xlfn.XLOOKUP(O1062,[1]AttributeName!$B:$B,[1]AttributeName!$D:$D),2,_xlfn.XLOOKUP(C1062,#REF!,#REF!),3,_xlfn.XLOOKUP(C1062,#REF!,#REF!)),0)</f>
        <v>2</v>
      </c>
      <c r="T1062" cm="1">
        <f t="array" ref="T1062">IFERROR(_xlfn.SWITCH(L1062,1,_xlfn.XLOOKUP(O1062,[1]AttributeName!$B:$B,[1]AttributeName!$E:$E),2,_xlfn.XLOOKUP(C1062,#REF!,#REF!),3,_xlfn.XLOOKUP(C1062,#REF!,#REF!)),0)</f>
        <v>2</v>
      </c>
    </row>
    <row r="1063" customFormat="1" spans="1:20">
      <c r="A1063">
        <f t="shared" si="48"/>
        <v>453</v>
      </c>
      <c r="B1063">
        <v>2</v>
      </c>
      <c r="C1063" t="s">
        <v>424</v>
      </c>
      <c r="D1063" t="s">
        <v>27</v>
      </c>
      <c r="E1063" t="s">
        <v>392</v>
      </c>
      <c r="F1063"/>
      <c r="G1063">
        <v>2</v>
      </c>
      <c r="H1063">
        <v>500</v>
      </c>
      <c r="J1063" cm="1">
        <f t="array" ref="J1063">_xlfn.SWITCH(B1063,1,75,2,61,3,49,4,37,5,25,6,13,7,4,8,1)</f>
        <v>61</v>
      </c>
      <c r="K1063" t="str" cm="1">
        <f t="array" ref="K1063">IFERROR(_xlfn.SWITCH(L1063,2,_xlfn.XLOOKUP(C1063,[1]ModifierDes!$B:$B,[1]ModifierDes!$C:$C),3,_xlfn.XLOOKUP(C1063,[1]StuntDes!$B:$B,[1]StuntDes!$C:$C)),"")</f>
        <v/>
      </c>
      <c r="L1063">
        <f t="shared" si="47"/>
        <v>1</v>
      </c>
      <c r="M1063" s="10" t="str">
        <f>IFERROR(_xlfn.XLOOKUP(C1063,[1]StuntDes!$B:$B,[1]StuntDes!$A:$A),"")</f>
        <v/>
      </c>
      <c r="N1063" s="10" t="str">
        <f>IFERROR(_xlfn.XLOOKUP(C1063,[1]ModifierDes!$B:$B,[1]ModifierDes!$A:$A),"")</f>
        <v/>
      </c>
      <c r="O1063" s="10">
        <f>IFERROR(_xlfn.XLOOKUP(C1063,[1]AttributeName!$C:$C,[1]AttributeName!$B:$B),"")</f>
        <v>10313</v>
      </c>
      <c r="P1063" s="10"/>
      <c r="Q1063">
        <v>0.26</v>
      </c>
      <c r="R1063">
        <v>0.29</v>
      </c>
      <c r="S1063" cm="1">
        <f t="array" ref="S1063">IFERROR(_xlfn.SWITCH(L1063,1,_xlfn.XLOOKUP(O1063,[1]AttributeName!$B:$B,[1]AttributeName!$D:$D),2,_xlfn.XLOOKUP(C1063,#REF!,#REF!),3,_xlfn.XLOOKUP(C1063,#REF!,#REF!)),0)</f>
        <v>2</v>
      </c>
      <c r="T1063" cm="1">
        <f t="array" ref="T1063">IFERROR(_xlfn.SWITCH(L1063,1,_xlfn.XLOOKUP(O1063,[1]AttributeName!$B:$B,[1]AttributeName!$E:$E),2,_xlfn.XLOOKUP(C1063,#REF!,#REF!),3,_xlfn.XLOOKUP(C1063,#REF!,#REF!)),0)</f>
        <v>2</v>
      </c>
    </row>
    <row r="1064" customFormat="1" spans="1:20">
      <c r="A1064">
        <f t="shared" si="48"/>
        <v>453</v>
      </c>
      <c r="B1064">
        <v>3</v>
      </c>
      <c r="C1064" t="s">
        <v>424</v>
      </c>
      <c r="D1064" t="s">
        <v>27</v>
      </c>
      <c r="E1064" t="s">
        <v>392</v>
      </c>
      <c r="F1064"/>
      <c r="G1064">
        <v>2</v>
      </c>
      <c r="H1064">
        <v>750</v>
      </c>
      <c r="J1064" cm="1">
        <f t="array" ref="J1064">_xlfn.SWITCH(B1064,1,75,2,61,3,49,4,37,5,25,6,13,7,4,8,1)</f>
        <v>49</v>
      </c>
      <c r="K1064" t="str" cm="1">
        <f t="array" ref="K1064">IFERROR(_xlfn.SWITCH(L1064,2,_xlfn.XLOOKUP(C1064,[1]ModifierDes!$B:$B,[1]ModifierDes!$C:$C),3,_xlfn.XLOOKUP(C1064,[1]StuntDes!$B:$B,[1]StuntDes!$C:$C)),"")</f>
        <v/>
      </c>
      <c r="L1064">
        <f t="shared" si="47"/>
        <v>1</v>
      </c>
      <c r="M1064" s="10" t="str">
        <f>IFERROR(_xlfn.XLOOKUP(C1064,[1]StuntDes!$B:$B,[1]StuntDes!$A:$A),"")</f>
        <v/>
      </c>
      <c r="N1064" s="10" t="str">
        <f>IFERROR(_xlfn.XLOOKUP(C1064,[1]ModifierDes!$B:$B,[1]ModifierDes!$A:$A),"")</f>
        <v/>
      </c>
      <c r="O1064" s="10">
        <f>IFERROR(_xlfn.XLOOKUP(C1064,[1]AttributeName!$C:$C,[1]AttributeName!$B:$B),"")</f>
        <v>10313</v>
      </c>
      <c r="P1064" s="10"/>
      <c r="Q1064">
        <v>0.22</v>
      </c>
      <c r="R1064">
        <v>0.25</v>
      </c>
      <c r="S1064" cm="1">
        <f t="array" ref="S1064">IFERROR(_xlfn.SWITCH(L1064,1,_xlfn.XLOOKUP(O1064,[1]AttributeName!$B:$B,[1]AttributeName!$D:$D),2,_xlfn.XLOOKUP(C1064,#REF!,#REF!),3,_xlfn.XLOOKUP(C1064,#REF!,#REF!)),0)</f>
        <v>2</v>
      </c>
      <c r="T1064" cm="1">
        <f t="array" ref="T1064">IFERROR(_xlfn.SWITCH(L1064,1,_xlfn.XLOOKUP(O1064,[1]AttributeName!$B:$B,[1]AttributeName!$E:$E),2,_xlfn.XLOOKUP(C1064,#REF!,#REF!),3,_xlfn.XLOOKUP(C1064,#REF!,#REF!)),0)</f>
        <v>2</v>
      </c>
    </row>
    <row r="1065" customFormat="1" spans="1:20">
      <c r="A1065">
        <f t="shared" si="48"/>
        <v>453</v>
      </c>
      <c r="B1065">
        <v>4</v>
      </c>
      <c r="C1065" t="s">
        <v>424</v>
      </c>
      <c r="D1065" t="s">
        <v>27</v>
      </c>
      <c r="E1065" t="s">
        <v>392</v>
      </c>
      <c r="F1065"/>
      <c r="G1065">
        <v>2</v>
      </c>
      <c r="H1065">
        <v>1000</v>
      </c>
      <c r="J1065" cm="1">
        <f t="array" ref="J1065">_xlfn.SWITCH(B1065,1,75,2,61,3,49,4,37,5,25,6,13,7,4,8,1)</f>
        <v>37</v>
      </c>
      <c r="K1065" t="str" cm="1">
        <f t="array" ref="K1065">IFERROR(_xlfn.SWITCH(L1065,2,_xlfn.XLOOKUP(C1065,[1]ModifierDes!$B:$B,[1]ModifierDes!$C:$C),3,_xlfn.XLOOKUP(C1065,[1]StuntDes!$B:$B,[1]StuntDes!$C:$C)),"")</f>
        <v/>
      </c>
      <c r="L1065">
        <f t="shared" si="47"/>
        <v>1</v>
      </c>
      <c r="M1065" s="10" t="str">
        <f>IFERROR(_xlfn.XLOOKUP(C1065,[1]StuntDes!$B:$B,[1]StuntDes!$A:$A),"")</f>
        <v/>
      </c>
      <c r="N1065" s="10" t="str">
        <f>IFERROR(_xlfn.XLOOKUP(C1065,[1]ModifierDes!$B:$B,[1]ModifierDes!$A:$A),"")</f>
        <v/>
      </c>
      <c r="O1065" s="10">
        <f>IFERROR(_xlfn.XLOOKUP(C1065,[1]AttributeName!$C:$C,[1]AttributeName!$B:$B),"")</f>
        <v>10313</v>
      </c>
      <c r="P1065" s="10"/>
      <c r="Q1065">
        <v>0.18</v>
      </c>
      <c r="R1065">
        <v>0.21</v>
      </c>
      <c r="S1065" cm="1">
        <f t="array" ref="S1065">IFERROR(_xlfn.SWITCH(L1065,1,_xlfn.XLOOKUP(O1065,[1]AttributeName!$B:$B,[1]AttributeName!$D:$D),2,_xlfn.XLOOKUP(C1065,#REF!,#REF!),3,_xlfn.XLOOKUP(C1065,#REF!,#REF!)),0)</f>
        <v>2</v>
      </c>
      <c r="T1065" cm="1">
        <f t="array" ref="T1065">IFERROR(_xlfn.SWITCH(L1065,1,_xlfn.XLOOKUP(O1065,[1]AttributeName!$B:$B,[1]AttributeName!$E:$E),2,_xlfn.XLOOKUP(C1065,#REF!,#REF!),3,_xlfn.XLOOKUP(C1065,#REF!,#REF!)),0)</f>
        <v>2</v>
      </c>
    </row>
    <row r="1066" customFormat="1" spans="1:20">
      <c r="A1066">
        <f t="shared" si="48"/>
        <v>453</v>
      </c>
      <c r="B1066">
        <v>5</v>
      </c>
      <c r="C1066" t="s">
        <v>424</v>
      </c>
      <c r="D1066" t="s">
        <v>27</v>
      </c>
      <c r="E1066" t="s">
        <v>392</v>
      </c>
      <c r="F1066"/>
      <c r="G1066">
        <v>2</v>
      </c>
      <c r="H1066">
        <v>1000</v>
      </c>
      <c r="J1066" cm="1">
        <f t="array" ref="J1066">_xlfn.SWITCH(B1066,1,75,2,61,3,49,4,37,5,25,6,13,7,4,8,1)</f>
        <v>25</v>
      </c>
      <c r="K1066" t="str" cm="1">
        <f t="array" ref="K1066">IFERROR(_xlfn.SWITCH(L1066,2,_xlfn.XLOOKUP(C1066,[1]ModifierDes!$B:$B,[1]ModifierDes!$C:$C),3,_xlfn.XLOOKUP(C1066,[1]StuntDes!$B:$B,[1]StuntDes!$C:$C)),"")</f>
        <v/>
      </c>
      <c r="L1066">
        <f t="shared" si="47"/>
        <v>1</v>
      </c>
      <c r="M1066" s="10" t="str">
        <f>IFERROR(_xlfn.XLOOKUP(C1066,[1]StuntDes!$B:$B,[1]StuntDes!$A:$A),"")</f>
        <v/>
      </c>
      <c r="N1066" s="10" t="str">
        <f>IFERROR(_xlfn.XLOOKUP(C1066,[1]ModifierDes!$B:$B,[1]ModifierDes!$A:$A),"")</f>
        <v/>
      </c>
      <c r="O1066" s="10">
        <f>IFERROR(_xlfn.XLOOKUP(C1066,[1]AttributeName!$C:$C,[1]AttributeName!$B:$B),"")</f>
        <v>10313</v>
      </c>
      <c r="P1066" s="10"/>
      <c r="Q1066">
        <v>0.14</v>
      </c>
      <c r="R1066">
        <v>0.17</v>
      </c>
      <c r="S1066" cm="1">
        <f t="array" ref="S1066">IFERROR(_xlfn.SWITCH(L1066,1,_xlfn.XLOOKUP(O1066,[1]AttributeName!$B:$B,[1]AttributeName!$D:$D),2,_xlfn.XLOOKUP(C1066,#REF!,#REF!),3,_xlfn.XLOOKUP(C1066,#REF!,#REF!)),0)</f>
        <v>2</v>
      </c>
      <c r="T1066" cm="1">
        <f t="array" ref="T1066">IFERROR(_xlfn.SWITCH(L1066,1,_xlfn.XLOOKUP(O1066,[1]AttributeName!$B:$B,[1]AttributeName!$E:$E),2,_xlfn.XLOOKUP(C1066,#REF!,#REF!),3,_xlfn.XLOOKUP(C1066,#REF!,#REF!)),0)</f>
        <v>2</v>
      </c>
    </row>
    <row r="1067" customFormat="1" spans="1:20">
      <c r="A1067">
        <f t="shared" si="48"/>
        <v>453</v>
      </c>
      <c r="B1067">
        <v>6</v>
      </c>
      <c r="C1067" t="s">
        <v>424</v>
      </c>
      <c r="D1067" t="s">
        <v>27</v>
      </c>
      <c r="E1067" t="s">
        <v>392</v>
      </c>
      <c r="F1067"/>
      <c r="G1067">
        <v>2</v>
      </c>
      <c r="H1067">
        <v>1000</v>
      </c>
      <c r="J1067" cm="1">
        <f t="array" ref="J1067">_xlfn.SWITCH(B1067,1,75,2,61,3,49,4,37,5,25,6,13,7,4,8,1)</f>
        <v>13</v>
      </c>
      <c r="K1067" t="str" cm="1">
        <f t="array" ref="K1067">IFERROR(_xlfn.SWITCH(L1067,2,_xlfn.XLOOKUP(C1067,[1]ModifierDes!$B:$B,[1]ModifierDes!$C:$C),3,_xlfn.XLOOKUP(C1067,[1]StuntDes!$B:$B,[1]StuntDes!$C:$C)),"")</f>
        <v/>
      </c>
      <c r="L1067">
        <f t="shared" si="47"/>
        <v>1</v>
      </c>
      <c r="M1067" s="10" t="str">
        <f>IFERROR(_xlfn.XLOOKUP(C1067,[1]StuntDes!$B:$B,[1]StuntDes!$A:$A),"")</f>
        <v/>
      </c>
      <c r="N1067" s="10" t="str">
        <f>IFERROR(_xlfn.XLOOKUP(C1067,[1]ModifierDes!$B:$B,[1]ModifierDes!$A:$A),"")</f>
        <v/>
      </c>
      <c r="O1067" s="10">
        <f>IFERROR(_xlfn.XLOOKUP(C1067,[1]AttributeName!$C:$C,[1]AttributeName!$B:$B),"")</f>
        <v>10313</v>
      </c>
      <c r="P1067" s="10"/>
      <c r="Q1067">
        <v>0.1</v>
      </c>
      <c r="R1067">
        <v>0.13</v>
      </c>
      <c r="S1067" cm="1">
        <f t="array" ref="S1067">IFERROR(_xlfn.SWITCH(L1067,1,_xlfn.XLOOKUP(O1067,[1]AttributeName!$B:$B,[1]AttributeName!$D:$D),2,_xlfn.XLOOKUP(C1067,#REF!,#REF!),3,_xlfn.XLOOKUP(C1067,#REF!,#REF!)),0)</f>
        <v>2</v>
      </c>
      <c r="T1067" cm="1">
        <f t="array" ref="T1067">IFERROR(_xlfn.SWITCH(L1067,1,_xlfn.XLOOKUP(O1067,[1]AttributeName!$B:$B,[1]AttributeName!$E:$E),2,_xlfn.XLOOKUP(C1067,#REF!,#REF!),3,_xlfn.XLOOKUP(C1067,#REF!,#REF!)),0)</f>
        <v>2</v>
      </c>
    </row>
    <row r="1068" customFormat="1" spans="1:20">
      <c r="A1068">
        <f t="shared" si="48"/>
        <v>453</v>
      </c>
      <c r="B1068">
        <v>7</v>
      </c>
      <c r="C1068" t="s">
        <v>424</v>
      </c>
      <c r="D1068" t="s">
        <v>27</v>
      </c>
      <c r="E1068" t="s">
        <v>392</v>
      </c>
      <c r="F1068"/>
      <c r="G1068">
        <v>2</v>
      </c>
      <c r="H1068">
        <v>1000</v>
      </c>
      <c r="J1068" cm="1">
        <f t="array" ref="J1068">_xlfn.SWITCH(B1068,1,75,2,61,3,49,4,37,5,25,6,13,7,4,8,1)</f>
        <v>4</v>
      </c>
      <c r="K1068" t="str" cm="1">
        <f t="array" ref="K1068">IFERROR(_xlfn.SWITCH(L1068,2,_xlfn.XLOOKUP(C1068,[1]ModifierDes!$B:$B,[1]ModifierDes!$C:$C),3,_xlfn.XLOOKUP(C1068,[1]StuntDes!$B:$B,[1]StuntDes!$C:$C)),"")</f>
        <v/>
      </c>
      <c r="L1068">
        <f t="shared" si="47"/>
        <v>1</v>
      </c>
      <c r="M1068" s="10" t="str">
        <f>IFERROR(_xlfn.XLOOKUP(C1068,[1]StuntDes!$B:$B,[1]StuntDes!$A:$A),"")</f>
        <v/>
      </c>
      <c r="N1068" s="10" t="str">
        <f>IFERROR(_xlfn.XLOOKUP(C1068,[1]ModifierDes!$B:$B,[1]ModifierDes!$A:$A),"")</f>
        <v/>
      </c>
      <c r="O1068" s="10">
        <f>IFERROR(_xlfn.XLOOKUP(C1068,[1]AttributeName!$C:$C,[1]AttributeName!$B:$B),"")</f>
        <v>10313</v>
      </c>
      <c r="P1068" s="10"/>
      <c r="Q1068">
        <v>0.06</v>
      </c>
      <c r="R1068">
        <v>0.0900000000000001</v>
      </c>
      <c r="S1068" cm="1">
        <f t="array" ref="S1068">IFERROR(_xlfn.SWITCH(L1068,1,_xlfn.XLOOKUP(O1068,[1]AttributeName!$B:$B,[1]AttributeName!$D:$D),2,_xlfn.XLOOKUP(C1068,#REF!,#REF!),3,_xlfn.XLOOKUP(C1068,#REF!,#REF!)),0)</f>
        <v>2</v>
      </c>
      <c r="T1068" cm="1">
        <f t="array" ref="T1068">IFERROR(_xlfn.SWITCH(L1068,1,_xlfn.XLOOKUP(O1068,[1]AttributeName!$B:$B,[1]AttributeName!$E:$E),2,_xlfn.XLOOKUP(C1068,#REF!,#REF!),3,_xlfn.XLOOKUP(C1068,#REF!,#REF!)),0)</f>
        <v>2</v>
      </c>
    </row>
    <row r="1069" customFormat="1" spans="1:20">
      <c r="A1069">
        <f t="shared" si="48"/>
        <v>453</v>
      </c>
      <c r="B1069">
        <v>8</v>
      </c>
      <c r="C1069" t="s">
        <v>424</v>
      </c>
      <c r="D1069" t="s">
        <v>27</v>
      </c>
      <c r="E1069" t="s">
        <v>392</v>
      </c>
      <c r="F1069"/>
      <c r="G1069">
        <v>2</v>
      </c>
      <c r="H1069">
        <v>1000</v>
      </c>
      <c r="J1069" cm="1">
        <f t="array" ref="J1069">_xlfn.SWITCH(B1069,1,75,2,61,3,49,4,37,5,25,6,13,7,4,8,1)</f>
        <v>1</v>
      </c>
      <c r="K1069" t="str" cm="1">
        <f t="array" ref="K1069">IFERROR(_xlfn.SWITCH(L1069,2,_xlfn.XLOOKUP(C1069,[1]ModifierDes!$B:$B,[1]ModifierDes!$C:$C),3,_xlfn.XLOOKUP(C1069,[1]StuntDes!$B:$B,[1]StuntDes!$C:$C)),"")</f>
        <v/>
      </c>
      <c r="L1069">
        <f t="shared" si="47"/>
        <v>1</v>
      </c>
      <c r="M1069" s="10" t="str">
        <f>IFERROR(_xlfn.XLOOKUP(C1069,[1]StuntDes!$B:$B,[1]StuntDes!$A:$A),"")</f>
        <v/>
      </c>
      <c r="N1069" s="10" t="str">
        <f>IFERROR(_xlfn.XLOOKUP(C1069,[1]ModifierDes!$B:$B,[1]ModifierDes!$A:$A),"")</f>
        <v/>
      </c>
      <c r="O1069" s="10">
        <f>IFERROR(_xlfn.XLOOKUP(C1069,[1]AttributeName!$C:$C,[1]AttributeName!$B:$B),"")</f>
        <v>10313</v>
      </c>
      <c r="P1069" s="10"/>
      <c r="Q1069">
        <v>0.02</v>
      </c>
      <c r="R1069">
        <v>0.0500000000000001</v>
      </c>
      <c r="S1069" cm="1">
        <f t="array" ref="S1069">IFERROR(_xlfn.SWITCH(L1069,1,_xlfn.XLOOKUP(O1069,[1]AttributeName!$B:$B,[1]AttributeName!$D:$D),2,_xlfn.XLOOKUP(C1069,#REF!,#REF!),3,_xlfn.XLOOKUP(C1069,#REF!,#REF!)),0)</f>
        <v>2</v>
      </c>
      <c r="T1069" cm="1">
        <f t="array" ref="T1069">IFERROR(_xlfn.SWITCH(L1069,1,_xlfn.XLOOKUP(O1069,[1]AttributeName!$B:$B,[1]AttributeName!$E:$E),2,_xlfn.XLOOKUP(C1069,#REF!,#REF!),3,_xlfn.XLOOKUP(C1069,#REF!,#REF!)),0)</f>
        <v>2</v>
      </c>
    </row>
    <row r="1070" customFormat="1" spans="1:20">
      <c r="A1070">
        <f t="shared" si="48"/>
        <v>454</v>
      </c>
      <c r="B1070">
        <v>1</v>
      </c>
      <c r="C1070" t="s">
        <v>425</v>
      </c>
      <c r="D1070" t="s">
        <v>27</v>
      </c>
      <c r="E1070" t="s">
        <v>392</v>
      </c>
      <c r="F1070"/>
      <c r="G1070">
        <v>2</v>
      </c>
      <c r="H1070">
        <v>250</v>
      </c>
      <c r="J1070" cm="1">
        <f t="array" ref="J1070">_xlfn.SWITCH(B1070,1,75,2,61,3,49,4,37,5,25,6,13,7,4,8,1)</f>
        <v>75</v>
      </c>
      <c r="K1070" t="str" cm="1">
        <f t="array" ref="K1070">IFERROR(_xlfn.SWITCH(L1070,2,_xlfn.XLOOKUP(C1070,[1]ModifierDes!$B:$B,[1]ModifierDes!$C:$C),3,_xlfn.XLOOKUP(C1070,[1]StuntDes!$B:$B,[1]StuntDes!$C:$C)),"")</f>
        <v/>
      </c>
      <c r="L1070">
        <f t="shared" si="47"/>
        <v>1</v>
      </c>
      <c r="M1070" s="10" t="str">
        <f>IFERROR(_xlfn.XLOOKUP(C1070,[1]StuntDes!$B:$B,[1]StuntDes!$A:$A),"")</f>
        <v/>
      </c>
      <c r="N1070" s="10" t="str">
        <f>IFERROR(_xlfn.XLOOKUP(C1070,[1]ModifierDes!$B:$B,[1]ModifierDes!$A:$A),"")</f>
        <v/>
      </c>
      <c r="O1070" s="10">
        <f>IFERROR(_xlfn.XLOOKUP(C1070,[1]AttributeName!$C:$C,[1]AttributeName!$B:$B),"")</f>
        <v>10314</v>
      </c>
      <c r="P1070" s="10"/>
      <c r="Q1070">
        <v>0.3</v>
      </c>
      <c r="R1070">
        <v>0.4</v>
      </c>
      <c r="S1070" cm="1">
        <f t="array" ref="S1070">IFERROR(_xlfn.SWITCH(L1070,1,_xlfn.XLOOKUP(O1070,[1]AttributeName!$B:$B,[1]AttributeName!$D:$D),2,_xlfn.XLOOKUP(C1070,#REF!,#REF!),3,_xlfn.XLOOKUP(C1070,#REF!,#REF!)),0)</f>
        <v>2</v>
      </c>
      <c r="T1070" cm="1">
        <f t="array" ref="T1070">IFERROR(_xlfn.SWITCH(L1070,1,_xlfn.XLOOKUP(O1070,[1]AttributeName!$B:$B,[1]AttributeName!$E:$E),2,_xlfn.XLOOKUP(C1070,#REF!,#REF!),3,_xlfn.XLOOKUP(C1070,#REF!,#REF!)),0)</f>
        <v>2</v>
      </c>
    </row>
    <row r="1071" customFormat="1" spans="1:20">
      <c r="A1071">
        <f t="shared" si="48"/>
        <v>454</v>
      </c>
      <c r="B1071">
        <v>2</v>
      </c>
      <c r="C1071" t="s">
        <v>425</v>
      </c>
      <c r="D1071" t="s">
        <v>27</v>
      </c>
      <c r="E1071" t="s">
        <v>392</v>
      </c>
      <c r="F1071"/>
      <c r="G1071">
        <v>2</v>
      </c>
      <c r="H1071">
        <v>500</v>
      </c>
      <c r="J1071" cm="1">
        <f t="array" ref="J1071">_xlfn.SWITCH(B1071,1,75,2,61,3,49,4,37,5,25,6,13,7,4,8,1)</f>
        <v>61</v>
      </c>
      <c r="K1071" t="str" cm="1">
        <f t="array" ref="K1071">IFERROR(_xlfn.SWITCH(L1071,2,_xlfn.XLOOKUP(C1071,[1]ModifierDes!$B:$B,[1]ModifierDes!$C:$C),3,_xlfn.XLOOKUP(C1071,[1]StuntDes!$B:$B,[1]StuntDes!$C:$C)),"")</f>
        <v/>
      </c>
      <c r="L1071">
        <f t="shared" si="47"/>
        <v>1</v>
      </c>
      <c r="M1071" s="10" t="str">
        <f>IFERROR(_xlfn.XLOOKUP(C1071,[1]StuntDes!$B:$B,[1]StuntDes!$A:$A),"")</f>
        <v/>
      </c>
      <c r="N1071" s="10" t="str">
        <f>IFERROR(_xlfn.XLOOKUP(C1071,[1]ModifierDes!$B:$B,[1]ModifierDes!$A:$A),"")</f>
        <v/>
      </c>
      <c r="O1071" s="10">
        <f>IFERROR(_xlfn.XLOOKUP(C1071,[1]AttributeName!$C:$C,[1]AttributeName!$B:$B),"")</f>
        <v>10314</v>
      </c>
      <c r="P1071" s="10"/>
      <c r="Q1071">
        <v>0.26</v>
      </c>
      <c r="R1071">
        <v>0.29</v>
      </c>
      <c r="S1071" cm="1">
        <f t="array" ref="S1071">IFERROR(_xlfn.SWITCH(L1071,1,_xlfn.XLOOKUP(O1071,[1]AttributeName!$B:$B,[1]AttributeName!$D:$D),2,_xlfn.XLOOKUP(C1071,#REF!,#REF!),3,_xlfn.XLOOKUP(C1071,#REF!,#REF!)),0)</f>
        <v>2</v>
      </c>
      <c r="T1071" cm="1">
        <f t="array" ref="T1071">IFERROR(_xlfn.SWITCH(L1071,1,_xlfn.XLOOKUP(O1071,[1]AttributeName!$B:$B,[1]AttributeName!$E:$E),2,_xlfn.XLOOKUP(C1071,#REF!,#REF!),3,_xlfn.XLOOKUP(C1071,#REF!,#REF!)),0)</f>
        <v>2</v>
      </c>
    </row>
    <row r="1072" customFormat="1" spans="1:20">
      <c r="A1072">
        <f t="shared" si="48"/>
        <v>454</v>
      </c>
      <c r="B1072">
        <v>3</v>
      </c>
      <c r="C1072" t="s">
        <v>425</v>
      </c>
      <c r="D1072" t="s">
        <v>27</v>
      </c>
      <c r="E1072" t="s">
        <v>392</v>
      </c>
      <c r="F1072"/>
      <c r="G1072">
        <v>2</v>
      </c>
      <c r="H1072">
        <v>750</v>
      </c>
      <c r="J1072" cm="1">
        <f t="array" ref="J1072">_xlfn.SWITCH(B1072,1,75,2,61,3,49,4,37,5,25,6,13,7,4,8,1)</f>
        <v>49</v>
      </c>
      <c r="K1072" t="str" cm="1">
        <f t="array" ref="K1072">IFERROR(_xlfn.SWITCH(L1072,2,_xlfn.XLOOKUP(C1072,[1]ModifierDes!$B:$B,[1]ModifierDes!$C:$C),3,_xlfn.XLOOKUP(C1072,[1]StuntDes!$B:$B,[1]StuntDes!$C:$C)),"")</f>
        <v/>
      </c>
      <c r="L1072">
        <f t="shared" si="47"/>
        <v>1</v>
      </c>
      <c r="M1072" s="10" t="str">
        <f>IFERROR(_xlfn.XLOOKUP(C1072,[1]StuntDes!$B:$B,[1]StuntDes!$A:$A),"")</f>
        <v/>
      </c>
      <c r="N1072" s="10" t="str">
        <f>IFERROR(_xlfn.XLOOKUP(C1072,[1]ModifierDes!$B:$B,[1]ModifierDes!$A:$A),"")</f>
        <v/>
      </c>
      <c r="O1072" s="10">
        <f>IFERROR(_xlfn.XLOOKUP(C1072,[1]AttributeName!$C:$C,[1]AttributeName!$B:$B),"")</f>
        <v>10314</v>
      </c>
      <c r="P1072" s="10"/>
      <c r="Q1072">
        <v>0.22</v>
      </c>
      <c r="R1072">
        <v>0.25</v>
      </c>
      <c r="S1072" cm="1">
        <f t="array" ref="S1072">IFERROR(_xlfn.SWITCH(L1072,1,_xlfn.XLOOKUP(O1072,[1]AttributeName!$B:$B,[1]AttributeName!$D:$D),2,_xlfn.XLOOKUP(C1072,#REF!,#REF!),3,_xlfn.XLOOKUP(C1072,#REF!,#REF!)),0)</f>
        <v>2</v>
      </c>
      <c r="T1072" cm="1">
        <f t="array" ref="T1072">IFERROR(_xlfn.SWITCH(L1072,1,_xlfn.XLOOKUP(O1072,[1]AttributeName!$B:$B,[1]AttributeName!$E:$E),2,_xlfn.XLOOKUP(C1072,#REF!,#REF!),3,_xlfn.XLOOKUP(C1072,#REF!,#REF!)),0)</f>
        <v>2</v>
      </c>
    </row>
    <row r="1073" customFormat="1" spans="1:20">
      <c r="A1073">
        <f t="shared" si="48"/>
        <v>454</v>
      </c>
      <c r="B1073">
        <v>4</v>
      </c>
      <c r="C1073" t="s">
        <v>425</v>
      </c>
      <c r="D1073" t="s">
        <v>27</v>
      </c>
      <c r="E1073" t="s">
        <v>392</v>
      </c>
      <c r="F1073"/>
      <c r="G1073">
        <v>2</v>
      </c>
      <c r="H1073">
        <v>1000</v>
      </c>
      <c r="J1073" cm="1">
        <f t="array" ref="J1073">_xlfn.SWITCH(B1073,1,75,2,61,3,49,4,37,5,25,6,13,7,4,8,1)</f>
        <v>37</v>
      </c>
      <c r="K1073" t="str" cm="1">
        <f t="array" ref="K1073">IFERROR(_xlfn.SWITCH(L1073,2,_xlfn.XLOOKUP(C1073,[1]ModifierDes!$B:$B,[1]ModifierDes!$C:$C),3,_xlfn.XLOOKUP(C1073,[1]StuntDes!$B:$B,[1]StuntDes!$C:$C)),"")</f>
        <v/>
      </c>
      <c r="L1073">
        <f t="shared" si="47"/>
        <v>1</v>
      </c>
      <c r="M1073" s="10" t="str">
        <f>IFERROR(_xlfn.XLOOKUP(C1073,[1]StuntDes!$B:$B,[1]StuntDes!$A:$A),"")</f>
        <v/>
      </c>
      <c r="N1073" s="10" t="str">
        <f>IFERROR(_xlfn.XLOOKUP(C1073,[1]ModifierDes!$B:$B,[1]ModifierDes!$A:$A),"")</f>
        <v/>
      </c>
      <c r="O1073" s="10">
        <f>IFERROR(_xlfn.XLOOKUP(C1073,[1]AttributeName!$C:$C,[1]AttributeName!$B:$B),"")</f>
        <v>10314</v>
      </c>
      <c r="P1073" s="10"/>
      <c r="Q1073">
        <v>0.18</v>
      </c>
      <c r="R1073">
        <v>0.21</v>
      </c>
      <c r="S1073" cm="1">
        <f t="array" ref="S1073">IFERROR(_xlfn.SWITCH(L1073,1,_xlfn.XLOOKUP(O1073,[1]AttributeName!$B:$B,[1]AttributeName!$D:$D),2,_xlfn.XLOOKUP(C1073,#REF!,#REF!),3,_xlfn.XLOOKUP(C1073,#REF!,#REF!)),0)</f>
        <v>2</v>
      </c>
      <c r="T1073" cm="1">
        <f t="array" ref="T1073">IFERROR(_xlfn.SWITCH(L1073,1,_xlfn.XLOOKUP(O1073,[1]AttributeName!$B:$B,[1]AttributeName!$E:$E),2,_xlfn.XLOOKUP(C1073,#REF!,#REF!),3,_xlfn.XLOOKUP(C1073,#REF!,#REF!)),0)</f>
        <v>2</v>
      </c>
    </row>
    <row r="1074" customFormat="1" spans="1:20">
      <c r="A1074">
        <f t="shared" si="48"/>
        <v>454</v>
      </c>
      <c r="B1074">
        <v>5</v>
      </c>
      <c r="C1074" t="s">
        <v>425</v>
      </c>
      <c r="D1074" t="s">
        <v>27</v>
      </c>
      <c r="E1074" t="s">
        <v>392</v>
      </c>
      <c r="F1074"/>
      <c r="G1074">
        <v>2</v>
      </c>
      <c r="H1074">
        <v>1000</v>
      </c>
      <c r="J1074" cm="1">
        <f t="array" ref="J1074">_xlfn.SWITCH(B1074,1,75,2,61,3,49,4,37,5,25,6,13,7,4,8,1)</f>
        <v>25</v>
      </c>
      <c r="K1074" t="str" cm="1">
        <f t="array" ref="K1074">IFERROR(_xlfn.SWITCH(L1074,2,_xlfn.XLOOKUP(C1074,[1]ModifierDes!$B:$B,[1]ModifierDes!$C:$C),3,_xlfn.XLOOKUP(C1074,[1]StuntDes!$B:$B,[1]StuntDes!$C:$C)),"")</f>
        <v/>
      </c>
      <c r="L1074">
        <f t="shared" si="47"/>
        <v>1</v>
      </c>
      <c r="M1074" s="10" t="str">
        <f>IFERROR(_xlfn.XLOOKUP(C1074,[1]StuntDes!$B:$B,[1]StuntDes!$A:$A),"")</f>
        <v/>
      </c>
      <c r="N1074" s="10" t="str">
        <f>IFERROR(_xlfn.XLOOKUP(C1074,[1]ModifierDes!$B:$B,[1]ModifierDes!$A:$A),"")</f>
        <v/>
      </c>
      <c r="O1074" s="10">
        <f>IFERROR(_xlfn.XLOOKUP(C1074,[1]AttributeName!$C:$C,[1]AttributeName!$B:$B),"")</f>
        <v>10314</v>
      </c>
      <c r="P1074" s="10"/>
      <c r="Q1074">
        <v>0.14</v>
      </c>
      <c r="R1074">
        <v>0.17</v>
      </c>
      <c r="S1074" cm="1">
        <f t="array" ref="S1074">IFERROR(_xlfn.SWITCH(L1074,1,_xlfn.XLOOKUP(O1074,[1]AttributeName!$B:$B,[1]AttributeName!$D:$D),2,_xlfn.XLOOKUP(C1074,#REF!,#REF!),3,_xlfn.XLOOKUP(C1074,#REF!,#REF!)),0)</f>
        <v>2</v>
      </c>
      <c r="T1074" cm="1">
        <f t="array" ref="T1074">IFERROR(_xlfn.SWITCH(L1074,1,_xlfn.XLOOKUP(O1074,[1]AttributeName!$B:$B,[1]AttributeName!$E:$E),2,_xlfn.XLOOKUP(C1074,#REF!,#REF!),3,_xlfn.XLOOKUP(C1074,#REF!,#REF!)),0)</f>
        <v>2</v>
      </c>
    </row>
    <row r="1075" customFormat="1" spans="1:20">
      <c r="A1075">
        <f t="shared" si="48"/>
        <v>454</v>
      </c>
      <c r="B1075">
        <v>6</v>
      </c>
      <c r="C1075" t="s">
        <v>425</v>
      </c>
      <c r="D1075" t="s">
        <v>27</v>
      </c>
      <c r="E1075" t="s">
        <v>392</v>
      </c>
      <c r="F1075"/>
      <c r="G1075">
        <v>2</v>
      </c>
      <c r="H1075">
        <v>1000</v>
      </c>
      <c r="J1075" cm="1">
        <f t="array" ref="J1075">_xlfn.SWITCH(B1075,1,75,2,61,3,49,4,37,5,25,6,13,7,4,8,1)</f>
        <v>13</v>
      </c>
      <c r="K1075" t="str" cm="1">
        <f t="array" ref="K1075">IFERROR(_xlfn.SWITCH(L1075,2,_xlfn.XLOOKUP(C1075,[1]ModifierDes!$B:$B,[1]ModifierDes!$C:$C),3,_xlfn.XLOOKUP(C1075,[1]StuntDes!$B:$B,[1]StuntDes!$C:$C)),"")</f>
        <v/>
      </c>
      <c r="L1075">
        <f t="shared" si="47"/>
        <v>1</v>
      </c>
      <c r="M1075" s="10" t="str">
        <f>IFERROR(_xlfn.XLOOKUP(C1075,[1]StuntDes!$B:$B,[1]StuntDes!$A:$A),"")</f>
        <v/>
      </c>
      <c r="N1075" s="10" t="str">
        <f>IFERROR(_xlfn.XLOOKUP(C1075,[1]ModifierDes!$B:$B,[1]ModifierDes!$A:$A),"")</f>
        <v/>
      </c>
      <c r="O1075" s="10">
        <f>IFERROR(_xlfn.XLOOKUP(C1075,[1]AttributeName!$C:$C,[1]AttributeName!$B:$B),"")</f>
        <v>10314</v>
      </c>
      <c r="P1075" s="10"/>
      <c r="Q1075">
        <v>0.1</v>
      </c>
      <c r="R1075">
        <v>0.13</v>
      </c>
      <c r="S1075" cm="1">
        <f t="array" ref="S1075">IFERROR(_xlfn.SWITCH(L1075,1,_xlfn.XLOOKUP(O1075,[1]AttributeName!$B:$B,[1]AttributeName!$D:$D),2,_xlfn.XLOOKUP(C1075,#REF!,#REF!),3,_xlfn.XLOOKUP(C1075,#REF!,#REF!)),0)</f>
        <v>2</v>
      </c>
      <c r="T1075" cm="1">
        <f t="array" ref="T1075">IFERROR(_xlfn.SWITCH(L1075,1,_xlfn.XLOOKUP(O1075,[1]AttributeName!$B:$B,[1]AttributeName!$E:$E),2,_xlfn.XLOOKUP(C1075,#REF!,#REF!),3,_xlfn.XLOOKUP(C1075,#REF!,#REF!)),0)</f>
        <v>2</v>
      </c>
    </row>
    <row r="1076" customFormat="1" spans="1:20">
      <c r="A1076">
        <f t="shared" si="48"/>
        <v>454</v>
      </c>
      <c r="B1076">
        <v>7</v>
      </c>
      <c r="C1076" t="s">
        <v>425</v>
      </c>
      <c r="D1076" t="s">
        <v>27</v>
      </c>
      <c r="E1076" t="s">
        <v>392</v>
      </c>
      <c r="F1076"/>
      <c r="G1076">
        <v>2</v>
      </c>
      <c r="H1076">
        <v>1000</v>
      </c>
      <c r="J1076" cm="1">
        <f t="array" ref="J1076">_xlfn.SWITCH(B1076,1,75,2,61,3,49,4,37,5,25,6,13,7,4,8,1)</f>
        <v>4</v>
      </c>
      <c r="K1076" t="str" cm="1">
        <f t="array" ref="K1076">IFERROR(_xlfn.SWITCH(L1076,2,_xlfn.XLOOKUP(C1076,[1]ModifierDes!$B:$B,[1]ModifierDes!$C:$C),3,_xlfn.XLOOKUP(C1076,[1]StuntDes!$B:$B,[1]StuntDes!$C:$C)),"")</f>
        <v/>
      </c>
      <c r="L1076">
        <f t="shared" si="47"/>
        <v>1</v>
      </c>
      <c r="M1076" s="10" t="str">
        <f>IFERROR(_xlfn.XLOOKUP(C1076,[1]StuntDes!$B:$B,[1]StuntDes!$A:$A),"")</f>
        <v/>
      </c>
      <c r="N1076" s="10" t="str">
        <f>IFERROR(_xlfn.XLOOKUP(C1076,[1]ModifierDes!$B:$B,[1]ModifierDes!$A:$A),"")</f>
        <v/>
      </c>
      <c r="O1076" s="10">
        <f>IFERROR(_xlfn.XLOOKUP(C1076,[1]AttributeName!$C:$C,[1]AttributeName!$B:$B),"")</f>
        <v>10314</v>
      </c>
      <c r="P1076" s="10"/>
      <c r="Q1076">
        <v>0.06</v>
      </c>
      <c r="R1076">
        <v>0.0900000000000001</v>
      </c>
      <c r="S1076" cm="1">
        <f t="array" ref="S1076">IFERROR(_xlfn.SWITCH(L1076,1,_xlfn.XLOOKUP(O1076,[1]AttributeName!$B:$B,[1]AttributeName!$D:$D),2,_xlfn.XLOOKUP(C1076,#REF!,#REF!),3,_xlfn.XLOOKUP(C1076,#REF!,#REF!)),0)</f>
        <v>2</v>
      </c>
      <c r="T1076" cm="1">
        <f t="array" ref="T1076">IFERROR(_xlfn.SWITCH(L1076,1,_xlfn.XLOOKUP(O1076,[1]AttributeName!$B:$B,[1]AttributeName!$E:$E),2,_xlfn.XLOOKUP(C1076,#REF!,#REF!),3,_xlfn.XLOOKUP(C1076,#REF!,#REF!)),0)</f>
        <v>2</v>
      </c>
    </row>
    <row r="1077" customFormat="1" spans="1:20">
      <c r="A1077">
        <f t="shared" si="48"/>
        <v>454</v>
      </c>
      <c r="B1077">
        <v>8</v>
      </c>
      <c r="C1077" t="s">
        <v>425</v>
      </c>
      <c r="D1077" t="s">
        <v>27</v>
      </c>
      <c r="E1077" t="s">
        <v>392</v>
      </c>
      <c r="F1077"/>
      <c r="G1077">
        <v>2</v>
      </c>
      <c r="H1077">
        <v>1000</v>
      </c>
      <c r="J1077" cm="1">
        <f t="array" ref="J1077">_xlfn.SWITCH(B1077,1,75,2,61,3,49,4,37,5,25,6,13,7,4,8,1)</f>
        <v>1</v>
      </c>
      <c r="K1077" t="str" cm="1">
        <f t="array" ref="K1077">IFERROR(_xlfn.SWITCH(L1077,2,_xlfn.XLOOKUP(C1077,[1]ModifierDes!$B:$B,[1]ModifierDes!$C:$C),3,_xlfn.XLOOKUP(C1077,[1]StuntDes!$B:$B,[1]StuntDes!$C:$C)),"")</f>
        <v/>
      </c>
      <c r="L1077">
        <f t="shared" si="47"/>
        <v>1</v>
      </c>
      <c r="M1077" s="10" t="str">
        <f>IFERROR(_xlfn.XLOOKUP(C1077,[1]StuntDes!$B:$B,[1]StuntDes!$A:$A),"")</f>
        <v/>
      </c>
      <c r="N1077" s="10" t="str">
        <f>IFERROR(_xlfn.XLOOKUP(C1077,[1]ModifierDes!$B:$B,[1]ModifierDes!$A:$A),"")</f>
        <v/>
      </c>
      <c r="O1077" s="10">
        <f>IFERROR(_xlfn.XLOOKUP(C1077,[1]AttributeName!$C:$C,[1]AttributeName!$B:$B),"")</f>
        <v>10314</v>
      </c>
      <c r="P1077" s="10"/>
      <c r="Q1077">
        <v>0.02</v>
      </c>
      <c r="R1077">
        <v>0.0500000000000001</v>
      </c>
      <c r="S1077" cm="1">
        <f t="array" ref="S1077">IFERROR(_xlfn.SWITCH(L1077,1,_xlfn.XLOOKUP(O1077,[1]AttributeName!$B:$B,[1]AttributeName!$D:$D),2,_xlfn.XLOOKUP(C1077,#REF!,#REF!),3,_xlfn.XLOOKUP(C1077,#REF!,#REF!)),0)</f>
        <v>2</v>
      </c>
      <c r="T1077" cm="1">
        <f t="array" ref="T1077">IFERROR(_xlfn.SWITCH(L1077,1,_xlfn.XLOOKUP(O1077,[1]AttributeName!$B:$B,[1]AttributeName!$E:$E),2,_xlfn.XLOOKUP(C1077,#REF!,#REF!),3,_xlfn.XLOOKUP(C1077,#REF!,#REF!)),0)</f>
        <v>2</v>
      </c>
    </row>
    <row r="1078" customFormat="1" spans="1:20">
      <c r="A1078">
        <f t="shared" si="48"/>
        <v>455</v>
      </c>
      <c r="B1078">
        <v>1</v>
      </c>
      <c r="C1078" t="s">
        <v>82</v>
      </c>
      <c r="D1078" t="s">
        <v>27</v>
      </c>
      <c r="E1078" t="s">
        <v>392</v>
      </c>
      <c r="F1078"/>
      <c r="G1078">
        <v>2</v>
      </c>
      <c r="H1078">
        <v>50</v>
      </c>
      <c r="J1078" cm="1">
        <f t="array" ref="J1078">_xlfn.SWITCH(B1078,1,75,2,61,3,49,4,37,5,25,6,13,7,4,8,1)</f>
        <v>75</v>
      </c>
      <c r="K1078" t="str" cm="1">
        <f t="array" ref="K1078">IFERROR(_xlfn.SWITCH(L1078,2,_xlfn.XLOOKUP(C1078,[1]ModifierDes!$B:$B,[1]ModifierDes!$C:$C),3,_xlfn.XLOOKUP(C1078,[1]StuntDes!$B:$B,[1]StuntDes!$C:$C)),"")</f>
        <v/>
      </c>
      <c r="L1078">
        <f t="shared" si="47"/>
        <v>1</v>
      </c>
      <c r="M1078" s="10" t="str">
        <f>IFERROR(_xlfn.XLOOKUP(C1078,[1]StuntDes!$B:$B,[1]StuntDes!$A:$A),"")</f>
        <v/>
      </c>
      <c r="N1078" s="10" t="str">
        <f>IFERROR(_xlfn.XLOOKUP(C1078,[1]ModifierDes!$B:$B,[1]ModifierDes!$A:$A),"")</f>
        <v/>
      </c>
      <c r="O1078" s="10">
        <f>IFERROR(_xlfn.XLOOKUP(C1078,[1]AttributeName!$C:$C,[1]AttributeName!$B:$B),"")</f>
        <v>10315</v>
      </c>
      <c r="P1078" s="10"/>
      <c r="Q1078">
        <v>0.2</v>
      </c>
      <c r="R1078">
        <v>0.25</v>
      </c>
      <c r="S1078" cm="1">
        <f t="array" ref="S1078">IFERROR(_xlfn.SWITCH(L1078,1,_xlfn.XLOOKUP(O1078,[1]AttributeName!$B:$B,[1]AttributeName!$D:$D),2,_xlfn.XLOOKUP(C1078,#REF!,#REF!),3,_xlfn.XLOOKUP(C1078,#REF!,#REF!)),0)</f>
        <v>2</v>
      </c>
      <c r="T1078" cm="1">
        <f t="array" ref="T1078">IFERROR(_xlfn.SWITCH(L1078,1,_xlfn.XLOOKUP(O1078,[1]AttributeName!$B:$B,[1]AttributeName!$E:$E),2,_xlfn.XLOOKUP(C1078,#REF!,#REF!),3,_xlfn.XLOOKUP(C1078,#REF!,#REF!)),0)</f>
        <v>2</v>
      </c>
    </row>
    <row r="1079" customFormat="1" spans="1:20">
      <c r="A1079">
        <f t="shared" si="48"/>
        <v>455</v>
      </c>
      <c r="B1079">
        <v>2</v>
      </c>
      <c r="C1079" t="s">
        <v>82</v>
      </c>
      <c r="D1079" t="s">
        <v>27</v>
      </c>
      <c r="E1079" t="s">
        <v>392</v>
      </c>
      <c r="F1079"/>
      <c r="G1079">
        <v>2</v>
      </c>
      <c r="H1079">
        <v>100</v>
      </c>
      <c r="J1079" cm="1">
        <f t="array" ref="J1079">_xlfn.SWITCH(B1079,1,75,2,61,3,49,4,37,5,25,6,13,7,4,8,1)</f>
        <v>61</v>
      </c>
      <c r="K1079" t="str" cm="1">
        <f t="array" ref="K1079">IFERROR(_xlfn.SWITCH(L1079,2,_xlfn.XLOOKUP(C1079,[1]ModifierDes!$B:$B,[1]ModifierDes!$C:$C),3,_xlfn.XLOOKUP(C1079,[1]StuntDes!$B:$B,[1]StuntDes!$C:$C)),"")</f>
        <v/>
      </c>
      <c r="L1079">
        <f t="shared" si="47"/>
        <v>1</v>
      </c>
      <c r="M1079" s="10" t="str">
        <f>IFERROR(_xlfn.XLOOKUP(C1079,[1]StuntDes!$B:$B,[1]StuntDes!$A:$A),"")</f>
        <v/>
      </c>
      <c r="N1079" s="10" t="str">
        <f>IFERROR(_xlfn.XLOOKUP(C1079,[1]ModifierDes!$B:$B,[1]ModifierDes!$A:$A),"")</f>
        <v/>
      </c>
      <c r="O1079" s="10">
        <f>IFERROR(_xlfn.XLOOKUP(C1079,[1]AttributeName!$C:$C,[1]AttributeName!$B:$B),"")</f>
        <v>10315</v>
      </c>
      <c r="P1079" s="10"/>
      <c r="Q1079">
        <v>0.17</v>
      </c>
      <c r="R1079">
        <v>0.19</v>
      </c>
      <c r="S1079" cm="1">
        <f t="array" ref="S1079">IFERROR(_xlfn.SWITCH(L1079,1,_xlfn.XLOOKUP(O1079,[1]AttributeName!$B:$B,[1]AttributeName!$D:$D),2,_xlfn.XLOOKUP(C1079,#REF!,#REF!),3,_xlfn.XLOOKUP(C1079,#REF!,#REF!)),0)</f>
        <v>2</v>
      </c>
      <c r="T1079" cm="1">
        <f t="array" ref="T1079">IFERROR(_xlfn.SWITCH(L1079,1,_xlfn.XLOOKUP(O1079,[1]AttributeName!$B:$B,[1]AttributeName!$E:$E),2,_xlfn.XLOOKUP(C1079,#REF!,#REF!),3,_xlfn.XLOOKUP(C1079,#REF!,#REF!)),0)</f>
        <v>2</v>
      </c>
    </row>
    <row r="1080" customFormat="1" spans="1:20">
      <c r="A1080">
        <f t="shared" si="48"/>
        <v>455</v>
      </c>
      <c r="B1080">
        <v>3</v>
      </c>
      <c r="C1080" t="s">
        <v>82</v>
      </c>
      <c r="D1080" t="s">
        <v>27</v>
      </c>
      <c r="E1080" t="s">
        <v>392</v>
      </c>
      <c r="F1080"/>
      <c r="G1080">
        <v>2</v>
      </c>
      <c r="H1080">
        <v>250</v>
      </c>
      <c r="J1080" cm="1">
        <f t="array" ref="J1080">_xlfn.SWITCH(B1080,1,75,2,61,3,49,4,37,5,25,6,13,7,4,8,1)</f>
        <v>49</v>
      </c>
      <c r="K1080" t="str" cm="1">
        <f t="array" ref="K1080">IFERROR(_xlfn.SWITCH(L1080,2,_xlfn.XLOOKUP(C1080,[1]ModifierDes!$B:$B,[1]ModifierDes!$C:$C),3,_xlfn.XLOOKUP(C1080,[1]StuntDes!$B:$B,[1]StuntDes!$C:$C)),"")</f>
        <v/>
      </c>
      <c r="L1080">
        <f t="shared" si="47"/>
        <v>1</v>
      </c>
      <c r="M1080" s="10" t="str">
        <f>IFERROR(_xlfn.XLOOKUP(C1080,[1]StuntDes!$B:$B,[1]StuntDes!$A:$A),"")</f>
        <v/>
      </c>
      <c r="N1080" s="10" t="str">
        <f>IFERROR(_xlfn.XLOOKUP(C1080,[1]ModifierDes!$B:$B,[1]ModifierDes!$A:$A),"")</f>
        <v/>
      </c>
      <c r="O1080" s="10">
        <f>IFERROR(_xlfn.XLOOKUP(C1080,[1]AttributeName!$C:$C,[1]AttributeName!$B:$B),"")</f>
        <v>10315</v>
      </c>
      <c r="P1080" s="10"/>
      <c r="Q1080">
        <v>0.14</v>
      </c>
      <c r="R1080">
        <v>0.16</v>
      </c>
      <c r="S1080" cm="1">
        <f t="array" ref="S1080">IFERROR(_xlfn.SWITCH(L1080,1,_xlfn.XLOOKUP(O1080,[1]AttributeName!$B:$B,[1]AttributeName!$D:$D),2,_xlfn.XLOOKUP(C1080,#REF!,#REF!),3,_xlfn.XLOOKUP(C1080,#REF!,#REF!)),0)</f>
        <v>2</v>
      </c>
      <c r="T1080" cm="1">
        <f t="array" ref="T1080">IFERROR(_xlfn.SWITCH(L1080,1,_xlfn.XLOOKUP(O1080,[1]AttributeName!$B:$B,[1]AttributeName!$E:$E),2,_xlfn.XLOOKUP(C1080,#REF!,#REF!),3,_xlfn.XLOOKUP(C1080,#REF!,#REF!)),0)</f>
        <v>2</v>
      </c>
    </row>
    <row r="1081" customFormat="1" spans="1:20">
      <c r="A1081">
        <f t="shared" si="48"/>
        <v>455</v>
      </c>
      <c r="B1081">
        <v>4</v>
      </c>
      <c r="C1081" t="s">
        <v>82</v>
      </c>
      <c r="D1081" t="s">
        <v>27</v>
      </c>
      <c r="E1081" t="s">
        <v>392</v>
      </c>
      <c r="F1081"/>
      <c r="G1081">
        <v>2</v>
      </c>
      <c r="H1081">
        <v>500</v>
      </c>
      <c r="J1081" cm="1">
        <f t="array" ref="J1081">_xlfn.SWITCH(B1081,1,75,2,61,3,49,4,37,5,25,6,13,7,4,8,1)</f>
        <v>37</v>
      </c>
      <c r="K1081" t="str" cm="1">
        <f t="array" ref="K1081">IFERROR(_xlfn.SWITCH(L1081,2,_xlfn.XLOOKUP(C1081,[1]ModifierDes!$B:$B,[1]ModifierDes!$C:$C),3,_xlfn.XLOOKUP(C1081,[1]StuntDes!$B:$B,[1]StuntDes!$C:$C)),"")</f>
        <v/>
      </c>
      <c r="L1081">
        <f t="shared" si="47"/>
        <v>1</v>
      </c>
      <c r="M1081" s="10" t="str">
        <f>IFERROR(_xlfn.XLOOKUP(C1081,[1]StuntDes!$B:$B,[1]StuntDes!$A:$A),"")</f>
        <v/>
      </c>
      <c r="N1081" s="10" t="str">
        <f>IFERROR(_xlfn.XLOOKUP(C1081,[1]ModifierDes!$B:$B,[1]ModifierDes!$A:$A),"")</f>
        <v/>
      </c>
      <c r="O1081" s="10">
        <f>IFERROR(_xlfn.XLOOKUP(C1081,[1]AttributeName!$C:$C,[1]AttributeName!$B:$B),"")</f>
        <v>10315</v>
      </c>
      <c r="P1081" s="10"/>
      <c r="Q1081">
        <v>0.11</v>
      </c>
      <c r="R1081">
        <v>0.13</v>
      </c>
      <c r="S1081" cm="1">
        <f t="array" ref="S1081">IFERROR(_xlfn.SWITCH(L1081,1,_xlfn.XLOOKUP(O1081,[1]AttributeName!$B:$B,[1]AttributeName!$D:$D),2,_xlfn.XLOOKUP(C1081,#REF!,#REF!),3,_xlfn.XLOOKUP(C1081,#REF!,#REF!)),0)</f>
        <v>2</v>
      </c>
      <c r="T1081" cm="1">
        <f t="array" ref="T1081">IFERROR(_xlfn.SWITCH(L1081,1,_xlfn.XLOOKUP(O1081,[1]AttributeName!$B:$B,[1]AttributeName!$E:$E),2,_xlfn.XLOOKUP(C1081,#REF!,#REF!),3,_xlfn.XLOOKUP(C1081,#REF!,#REF!)),0)</f>
        <v>2</v>
      </c>
    </row>
    <row r="1082" customFormat="1" spans="1:20">
      <c r="A1082">
        <f t="shared" si="48"/>
        <v>455</v>
      </c>
      <c r="B1082">
        <v>5</v>
      </c>
      <c r="C1082" t="s">
        <v>82</v>
      </c>
      <c r="D1082" t="s">
        <v>27</v>
      </c>
      <c r="E1082" t="s">
        <v>392</v>
      </c>
      <c r="F1082"/>
      <c r="G1082">
        <v>2</v>
      </c>
      <c r="H1082">
        <v>500</v>
      </c>
      <c r="J1082" cm="1">
        <f t="array" ref="J1082">_xlfn.SWITCH(B1082,1,75,2,61,3,49,4,37,5,25,6,13,7,4,8,1)</f>
        <v>25</v>
      </c>
      <c r="K1082" t="str" cm="1">
        <f t="array" ref="K1082">IFERROR(_xlfn.SWITCH(L1082,2,_xlfn.XLOOKUP(C1082,[1]ModifierDes!$B:$B,[1]ModifierDes!$C:$C),3,_xlfn.XLOOKUP(C1082,[1]StuntDes!$B:$B,[1]StuntDes!$C:$C)),"")</f>
        <v/>
      </c>
      <c r="L1082">
        <f t="shared" si="47"/>
        <v>1</v>
      </c>
      <c r="M1082" s="10" t="str">
        <f>IFERROR(_xlfn.XLOOKUP(C1082,[1]StuntDes!$B:$B,[1]StuntDes!$A:$A),"")</f>
        <v/>
      </c>
      <c r="N1082" s="10" t="str">
        <f>IFERROR(_xlfn.XLOOKUP(C1082,[1]ModifierDes!$B:$B,[1]ModifierDes!$A:$A),"")</f>
        <v/>
      </c>
      <c r="O1082" s="10">
        <f>IFERROR(_xlfn.XLOOKUP(C1082,[1]AttributeName!$C:$C,[1]AttributeName!$B:$B),"")</f>
        <v>10315</v>
      </c>
      <c r="P1082" s="10"/>
      <c r="Q1082">
        <v>0.08</v>
      </c>
      <c r="R1082">
        <v>0.1</v>
      </c>
      <c r="S1082" cm="1">
        <f t="array" ref="S1082">IFERROR(_xlfn.SWITCH(L1082,1,_xlfn.XLOOKUP(O1082,[1]AttributeName!$B:$B,[1]AttributeName!$D:$D),2,_xlfn.XLOOKUP(C1082,#REF!,#REF!),3,_xlfn.XLOOKUP(C1082,#REF!,#REF!)),0)</f>
        <v>2</v>
      </c>
      <c r="T1082" cm="1">
        <f t="array" ref="T1082">IFERROR(_xlfn.SWITCH(L1082,1,_xlfn.XLOOKUP(O1082,[1]AttributeName!$B:$B,[1]AttributeName!$E:$E),2,_xlfn.XLOOKUP(C1082,#REF!,#REF!),3,_xlfn.XLOOKUP(C1082,#REF!,#REF!)),0)</f>
        <v>2</v>
      </c>
    </row>
    <row r="1083" customFormat="1" spans="1:20">
      <c r="A1083">
        <f t="shared" si="48"/>
        <v>455</v>
      </c>
      <c r="B1083">
        <v>6</v>
      </c>
      <c r="C1083" t="s">
        <v>82</v>
      </c>
      <c r="D1083" t="s">
        <v>27</v>
      </c>
      <c r="E1083" t="s">
        <v>392</v>
      </c>
      <c r="F1083"/>
      <c r="G1083">
        <v>2</v>
      </c>
      <c r="H1083">
        <v>500</v>
      </c>
      <c r="J1083" cm="1">
        <f t="array" ref="J1083">_xlfn.SWITCH(B1083,1,75,2,61,3,49,4,37,5,25,6,13,7,4,8,1)</f>
        <v>13</v>
      </c>
      <c r="K1083" t="str" cm="1">
        <f t="array" ref="K1083">IFERROR(_xlfn.SWITCH(L1083,2,_xlfn.XLOOKUP(C1083,[1]ModifierDes!$B:$B,[1]ModifierDes!$C:$C),3,_xlfn.XLOOKUP(C1083,[1]StuntDes!$B:$B,[1]StuntDes!$C:$C)),"")</f>
        <v/>
      </c>
      <c r="L1083">
        <f t="shared" si="47"/>
        <v>1</v>
      </c>
      <c r="M1083" s="10" t="str">
        <f>IFERROR(_xlfn.XLOOKUP(C1083,[1]StuntDes!$B:$B,[1]StuntDes!$A:$A),"")</f>
        <v/>
      </c>
      <c r="N1083" s="10" t="str">
        <f>IFERROR(_xlfn.XLOOKUP(C1083,[1]ModifierDes!$B:$B,[1]ModifierDes!$A:$A),"")</f>
        <v/>
      </c>
      <c r="O1083" s="10">
        <f>IFERROR(_xlfn.XLOOKUP(C1083,[1]AttributeName!$C:$C,[1]AttributeName!$B:$B),"")</f>
        <v>10315</v>
      </c>
      <c r="P1083" s="10"/>
      <c r="Q1083">
        <v>0.05</v>
      </c>
      <c r="R1083">
        <v>0.07</v>
      </c>
      <c r="S1083" cm="1">
        <f t="array" ref="S1083">IFERROR(_xlfn.SWITCH(L1083,1,_xlfn.XLOOKUP(O1083,[1]AttributeName!$B:$B,[1]AttributeName!$D:$D),2,_xlfn.XLOOKUP(C1083,#REF!,#REF!),3,_xlfn.XLOOKUP(C1083,#REF!,#REF!)),0)</f>
        <v>2</v>
      </c>
      <c r="T1083" cm="1">
        <f t="array" ref="T1083">IFERROR(_xlfn.SWITCH(L1083,1,_xlfn.XLOOKUP(O1083,[1]AttributeName!$B:$B,[1]AttributeName!$E:$E),2,_xlfn.XLOOKUP(C1083,#REF!,#REF!),3,_xlfn.XLOOKUP(C1083,#REF!,#REF!)),0)</f>
        <v>2</v>
      </c>
    </row>
    <row r="1084" customFormat="1" spans="1:20">
      <c r="A1084">
        <f t="shared" si="48"/>
        <v>455</v>
      </c>
      <c r="B1084">
        <v>7</v>
      </c>
      <c r="C1084" t="s">
        <v>82</v>
      </c>
      <c r="D1084" t="s">
        <v>27</v>
      </c>
      <c r="E1084" t="s">
        <v>392</v>
      </c>
      <c r="F1084"/>
      <c r="G1084">
        <v>2</v>
      </c>
      <c r="H1084">
        <v>500</v>
      </c>
      <c r="J1084" cm="1">
        <f t="array" ref="J1084">_xlfn.SWITCH(B1084,1,75,2,61,3,49,4,37,5,25,6,13,7,4,8,1)</f>
        <v>4</v>
      </c>
      <c r="K1084" t="str" cm="1">
        <f t="array" ref="K1084">IFERROR(_xlfn.SWITCH(L1084,2,_xlfn.XLOOKUP(C1084,[1]ModifierDes!$B:$B,[1]ModifierDes!$C:$C),3,_xlfn.XLOOKUP(C1084,[1]StuntDes!$B:$B,[1]StuntDes!$C:$C)),"")</f>
        <v/>
      </c>
      <c r="L1084">
        <f t="shared" si="47"/>
        <v>1</v>
      </c>
      <c r="M1084" s="10" t="str">
        <f>IFERROR(_xlfn.XLOOKUP(C1084,[1]StuntDes!$B:$B,[1]StuntDes!$A:$A),"")</f>
        <v/>
      </c>
      <c r="N1084" s="10" t="str">
        <f>IFERROR(_xlfn.XLOOKUP(C1084,[1]ModifierDes!$B:$B,[1]ModifierDes!$A:$A),"")</f>
        <v/>
      </c>
      <c r="O1084" s="10">
        <f>IFERROR(_xlfn.XLOOKUP(C1084,[1]AttributeName!$C:$C,[1]AttributeName!$B:$B),"")</f>
        <v>10315</v>
      </c>
      <c r="P1084" s="10"/>
      <c r="Q1084">
        <v>0.02</v>
      </c>
      <c r="R1084">
        <v>0.04</v>
      </c>
      <c r="S1084" cm="1">
        <f t="array" ref="S1084">IFERROR(_xlfn.SWITCH(L1084,1,_xlfn.XLOOKUP(O1084,[1]AttributeName!$B:$B,[1]AttributeName!$D:$D),2,_xlfn.XLOOKUP(C1084,#REF!,#REF!),3,_xlfn.XLOOKUP(C1084,#REF!,#REF!)),0)</f>
        <v>2</v>
      </c>
      <c r="T1084" cm="1">
        <f t="array" ref="T1084">IFERROR(_xlfn.SWITCH(L1084,1,_xlfn.XLOOKUP(O1084,[1]AttributeName!$B:$B,[1]AttributeName!$E:$E),2,_xlfn.XLOOKUP(C1084,#REF!,#REF!),3,_xlfn.XLOOKUP(C1084,#REF!,#REF!)),0)</f>
        <v>2</v>
      </c>
    </row>
    <row r="1085" customFormat="1" spans="1:20">
      <c r="A1085">
        <f t="shared" si="48"/>
        <v>455</v>
      </c>
      <c r="B1085">
        <v>8</v>
      </c>
      <c r="C1085" t="s">
        <v>82</v>
      </c>
      <c r="D1085" t="s">
        <v>27</v>
      </c>
      <c r="E1085" t="s">
        <v>392</v>
      </c>
      <c r="F1085"/>
      <c r="G1085">
        <v>2</v>
      </c>
      <c r="H1085">
        <v>500</v>
      </c>
      <c r="J1085" cm="1">
        <f t="array" ref="J1085">_xlfn.SWITCH(B1085,1,75,2,61,3,49,4,37,5,25,6,13,7,4,8,1)</f>
        <v>1</v>
      </c>
      <c r="K1085" t="str" cm="1">
        <f t="array" ref="K1085">IFERROR(_xlfn.SWITCH(L1085,2,_xlfn.XLOOKUP(C1085,[1]ModifierDes!$B:$B,[1]ModifierDes!$C:$C),3,_xlfn.XLOOKUP(C1085,[1]StuntDes!$B:$B,[1]StuntDes!$C:$C)),"")</f>
        <v/>
      </c>
      <c r="L1085">
        <f t="shared" si="47"/>
        <v>1</v>
      </c>
      <c r="M1085" s="10" t="str">
        <f>IFERROR(_xlfn.XLOOKUP(C1085,[1]StuntDes!$B:$B,[1]StuntDes!$A:$A),"")</f>
        <v/>
      </c>
      <c r="N1085" s="10" t="str">
        <f>IFERROR(_xlfn.XLOOKUP(C1085,[1]ModifierDes!$B:$B,[1]ModifierDes!$A:$A),"")</f>
        <v/>
      </c>
      <c r="O1085" s="10">
        <f>IFERROR(_xlfn.XLOOKUP(C1085,[1]AttributeName!$C:$C,[1]AttributeName!$B:$B),"")</f>
        <v>10315</v>
      </c>
      <c r="P1085" s="10"/>
      <c r="Q1085">
        <v>0.01</v>
      </c>
      <c r="R1085">
        <v>0.01</v>
      </c>
      <c r="S1085" cm="1">
        <f t="array" ref="S1085">IFERROR(_xlfn.SWITCH(L1085,1,_xlfn.XLOOKUP(O1085,[1]AttributeName!$B:$B,[1]AttributeName!$D:$D),2,_xlfn.XLOOKUP(C1085,#REF!,#REF!),3,_xlfn.XLOOKUP(C1085,#REF!,#REF!)),0)</f>
        <v>2</v>
      </c>
      <c r="T1085" cm="1">
        <f t="array" ref="T1085">IFERROR(_xlfn.SWITCH(L1085,1,_xlfn.XLOOKUP(O1085,[1]AttributeName!$B:$B,[1]AttributeName!$E:$E),2,_xlfn.XLOOKUP(C1085,#REF!,#REF!),3,_xlfn.XLOOKUP(C1085,#REF!,#REF!)),0)</f>
        <v>2</v>
      </c>
    </row>
    <row r="1086" customFormat="1" spans="1:20">
      <c r="A1086">
        <v>456</v>
      </c>
      <c r="B1086">
        <v>1</v>
      </c>
      <c r="C1086" t="s">
        <v>400</v>
      </c>
      <c r="D1086" t="s">
        <v>27</v>
      </c>
      <c r="E1086" t="s">
        <v>392</v>
      </c>
      <c r="F1086"/>
      <c r="G1086">
        <v>2</v>
      </c>
      <c r="H1086">
        <v>50</v>
      </c>
      <c r="I1086">
        <v>3</v>
      </c>
      <c r="J1086" cm="1">
        <f t="array" ref="J1086">_xlfn.SWITCH(B1086,1,75,2,61,3,49,4,37,5,25,6,13,7,4,8,1)</f>
        <v>75</v>
      </c>
      <c r="K1086" t="str" cm="1">
        <f t="array" ref="K1086">IFERROR(_xlfn.SWITCH(L1086,2,_xlfn.XLOOKUP(C1086,[1]ModifierDes!$B:$B,[1]ModifierDes!$C:$C),3,_xlfn.XLOOKUP(C1086,[1]StuntDes!$B:$B,[1]StuntDes!$C:$C)),"")</f>
        <v>攻击暴击伤害增加{0}</v>
      </c>
      <c r="L1086">
        <f t="shared" si="47"/>
        <v>2</v>
      </c>
      <c r="M1086" s="10" t="str">
        <f>IFERROR(_xlfn.XLOOKUP(C1086,[1]StuntDes!$B:$B,[1]StuntDes!$A:$A),"")</f>
        <v/>
      </c>
      <c r="N1086" s="10">
        <f>IFERROR(_xlfn.XLOOKUP(C1086,[1]ModifierDes!$B:$B,[1]ModifierDes!$A:$A),"")</f>
        <v>10060</v>
      </c>
      <c r="O1086" s="10" t="str">
        <f>IFERROR(_xlfn.XLOOKUP(C1086,[1]AttributeName!$C:$C,[1]AttributeName!$B:$B),"")</f>
        <v/>
      </c>
      <c r="P1086" s="10"/>
      <c r="Q1086">
        <v>0.6</v>
      </c>
      <c r="R1086">
        <v>0.8</v>
      </c>
      <c r="S1086" cm="1">
        <f t="array" ref="S1086">IFERROR(_xlfn.SWITCH(L1086,1,_xlfn.XLOOKUP(O1086,[1]AttributeName!$B:$B,[1]AttributeName!$D:$D),2,_xlfn.XLOOKUP(C1086,#REF!,#REF!),3,_xlfn.XLOOKUP(C1086,#REF!,#REF!)),0)</f>
        <v>0</v>
      </c>
      <c r="T1086" cm="1">
        <f t="array" ref="T1086">IFERROR(_xlfn.SWITCH(L1086,1,_xlfn.XLOOKUP(O1086,[1]AttributeName!$B:$B,[1]AttributeName!$E:$E),2,_xlfn.XLOOKUP(C1086,#REF!,#REF!),3,_xlfn.XLOOKUP(C1086,#REF!,#REF!)),0)</f>
        <v>0</v>
      </c>
    </row>
    <row r="1087" customFormat="1" spans="1:20">
      <c r="A1087">
        <v>456</v>
      </c>
      <c r="B1087">
        <v>2</v>
      </c>
      <c r="C1087" t="s">
        <v>400</v>
      </c>
      <c r="D1087" t="s">
        <v>27</v>
      </c>
      <c r="E1087" t="s">
        <v>392</v>
      </c>
      <c r="F1087"/>
      <c r="G1087">
        <v>2</v>
      </c>
      <c r="H1087">
        <v>100</v>
      </c>
      <c r="I1087">
        <v>3</v>
      </c>
      <c r="J1087" cm="1">
        <f t="array" ref="J1087">_xlfn.SWITCH(B1087,1,75,2,61,3,49,4,37,5,25,6,13,7,4,8,1)</f>
        <v>61</v>
      </c>
      <c r="K1087" t="str" cm="1">
        <f t="array" ref="K1087">IFERROR(_xlfn.SWITCH(L1087,2,_xlfn.XLOOKUP(C1087,[1]ModifierDes!$B:$B,[1]ModifierDes!$C:$C),3,_xlfn.XLOOKUP(C1087,[1]StuntDes!$B:$B,[1]StuntDes!$C:$C)),"")</f>
        <v>攻击暴击伤害增加{0}</v>
      </c>
      <c r="L1087">
        <f t="shared" si="47"/>
        <v>2</v>
      </c>
      <c r="M1087" s="10" t="str">
        <f>IFERROR(_xlfn.XLOOKUP(C1087,[1]StuntDes!$B:$B,[1]StuntDes!$A:$A),"")</f>
        <v/>
      </c>
      <c r="N1087" s="10">
        <f>IFERROR(_xlfn.XLOOKUP(C1087,[1]ModifierDes!$B:$B,[1]ModifierDes!$A:$A),"")</f>
        <v>10060</v>
      </c>
      <c r="O1087" s="10" t="str">
        <f>IFERROR(_xlfn.XLOOKUP(C1087,[1]AttributeName!$C:$C,[1]AttributeName!$B:$B),"")</f>
        <v/>
      </c>
      <c r="P1087" s="10"/>
      <c r="Q1087">
        <v>0.52</v>
      </c>
      <c r="R1087">
        <v>0.58</v>
      </c>
      <c r="S1087" cm="1">
        <f t="array" ref="S1087">IFERROR(_xlfn.SWITCH(L1087,1,_xlfn.XLOOKUP(O1087,[1]AttributeName!$B:$B,[1]AttributeName!$D:$D),2,_xlfn.XLOOKUP(C1087,#REF!,#REF!),3,_xlfn.XLOOKUP(C1087,#REF!,#REF!)),0)</f>
        <v>0</v>
      </c>
      <c r="T1087" cm="1">
        <f t="array" ref="T1087">IFERROR(_xlfn.SWITCH(L1087,1,_xlfn.XLOOKUP(O1087,[1]AttributeName!$B:$B,[1]AttributeName!$E:$E),2,_xlfn.XLOOKUP(C1087,#REF!,#REF!),3,_xlfn.XLOOKUP(C1087,#REF!,#REF!)),0)</f>
        <v>0</v>
      </c>
    </row>
    <row r="1088" customFormat="1" spans="1:20">
      <c r="A1088">
        <v>456</v>
      </c>
      <c r="B1088">
        <v>3</v>
      </c>
      <c r="C1088" t="s">
        <v>400</v>
      </c>
      <c r="D1088" t="s">
        <v>27</v>
      </c>
      <c r="E1088" t="s">
        <v>392</v>
      </c>
      <c r="F1088"/>
      <c r="G1088">
        <v>2</v>
      </c>
      <c r="H1088">
        <v>250</v>
      </c>
      <c r="I1088">
        <v>3</v>
      </c>
      <c r="J1088" cm="1">
        <f t="array" ref="J1088">_xlfn.SWITCH(B1088,1,75,2,61,3,49,4,37,5,25,6,13,7,4,8,1)</f>
        <v>49</v>
      </c>
      <c r="K1088" t="str" cm="1">
        <f t="array" ref="K1088">IFERROR(_xlfn.SWITCH(L1088,2,_xlfn.XLOOKUP(C1088,[1]ModifierDes!$B:$B,[1]ModifierDes!$C:$C),3,_xlfn.XLOOKUP(C1088,[1]StuntDes!$B:$B,[1]StuntDes!$C:$C)),"")</f>
        <v>攻击暴击伤害增加{0}</v>
      </c>
      <c r="L1088">
        <f t="shared" si="47"/>
        <v>2</v>
      </c>
      <c r="M1088" s="10" t="str">
        <f>IFERROR(_xlfn.XLOOKUP(C1088,[1]StuntDes!$B:$B,[1]StuntDes!$A:$A),"")</f>
        <v/>
      </c>
      <c r="N1088" s="10">
        <f>IFERROR(_xlfn.XLOOKUP(C1088,[1]ModifierDes!$B:$B,[1]ModifierDes!$A:$A),"")</f>
        <v>10060</v>
      </c>
      <c r="O1088" s="10" t="str">
        <f>IFERROR(_xlfn.XLOOKUP(C1088,[1]AttributeName!$C:$C,[1]AttributeName!$B:$B),"")</f>
        <v/>
      </c>
      <c r="P1088" s="10"/>
      <c r="Q1088">
        <v>0.44</v>
      </c>
      <c r="R1088">
        <v>0.5</v>
      </c>
      <c r="S1088" cm="1">
        <f t="array" ref="S1088">IFERROR(_xlfn.SWITCH(L1088,1,_xlfn.XLOOKUP(O1088,[1]AttributeName!$B:$B,[1]AttributeName!$D:$D),2,_xlfn.XLOOKUP(C1088,#REF!,#REF!),3,_xlfn.XLOOKUP(C1088,#REF!,#REF!)),0)</f>
        <v>0</v>
      </c>
      <c r="T1088" cm="1">
        <f t="array" ref="T1088">IFERROR(_xlfn.SWITCH(L1088,1,_xlfn.XLOOKUP(O1088,[1]AttributeName!$B:$B,[1]AttributeName!$E:$E),2,_xlfn.XLOOKUP(C1088,#REF!,#REF!),3,_xlfn.XLOOKUP(C1088,#REF!,#REF!)),0)</f>
        <v>0</v>
      </c>
    </row>
    <row r="1089" customFormat="1" spans="1:20">
      <c r="A1089">
        <v>456</v>
      </c>
      <c r="B1089">
        <v>4</v>
      </c>
      <c r="C1089" t="s">
        <v>400</v>
      </c>
      <c r="D1089" t="s">
        <v>27</v>
      </c>
      <c r="E1089" t="s">
        <v>392</v>
      </c>
      <c r="F1089"/>
      <c r="G1089">
        <v>2</v>
      </c>
      <c r="H1089">
        <v>500</v>
      </c>
      <c r="I1089">
        <v>3</v>
      </c>
      <c r="J1089" cm="1">
        <f t="array" ref="J1089">_xlfn.SWITCH(B1089,1,75,2,61,3,49,4,37,5,25,6,13,7,4,8,1)</f>
        <v>37</v>
      </c>
      <c r="K1089" t="str" cm="1">
        <f t="array" ref="K1089">IFERROR(_xlfn.SWITCH(L1089,2,_xlfn.XLOOKUP(C1089,[1]ModifierDes!$B:$B,[1]ModifierDes!$C:$C),3,_xlfn.XLOOKUP(C1089,[1]StuntDes!$B:$B,[1]StuntDes!$C:$C)),"")</f>
        <v>攻击暴击伤害增加{0}</v>
      </c>
      <c r="L1089">
        <f t="shared" si="47"/>
        <v>2</v>
      </c>
      <c r="M1089" s="10" t="str">
        <f>IFERROR(_xlfn.XLOOKUP(C1089,[1]StuntDes!$B:$B,[1]StuntDes!$A:$A),"")</f>
        <v/>
      </c>
      <c r="N1089" s="10">
        <f>IFERROR(_xlfn.XLOOKUP(C1089,[1]ModifierDes!$B:$B,[1]ModifierDes!$A:$A),"")</f>
        <v>10060</v>
      </c>
      <c r="O1089" s="10" t="str">
        <f>IFERROR(_xlfn.XLOOKUP(C1089,[1]AttributeName!$C:$C,[1]AttributeName!$B:$B),"")</f>
        <v/>
      </c>
      <c r="P1089" s="10"/>
      <c r="Q1089">
        <v>0.36</v>
      </c>
      <c r="R1089">
        <v>0.42</v>
      </c>
      <c r="S1089" cm="1">
        <f t="array" ref="S1089">IFERROR(_xlfn.SWITCH(L1089,1,_xlfn.XLOOKUP(O1089,[1]AttributeName!$B:$B,[1]AttributeName!$D:$D),2,_xlfn.XLOOKUP(C1089,#REF!,#REF!),3,_xlfn.XLOOKUP(C1089,#REF!,#REF!)),0)</f>
        <v>0</v>
      </c>
      <c r="T1089" cm="1">
        <f t="array" ref="T1089">IFERROR(_xlfn.SWITCH(L1089,1,_xlfn.XLOOKUP(O1089,[1]AttributeName!$B:$B,[1]AttributeName!$E:$E),2,_xlfn.XLOOKUP(C1089,#REF!,#REF!),3,_xlfn.XLOOKUP(C1089,#REF!,#REF!)),0)</f>
        <v>0</v>
      </c>
    </row>
    <row r="1090" customFormat="1" spans="1:20">
      <c r="A1090">
        <v>456</v>
      </c>
      <c r="B1090">
        <v>5</v>
      </c>
      <c r="C1090" t="s">
        <v>400</v>
      </c>
      <c r="D1090" t="s">
        <v>27</v>
      </c>
      <c r="E1090" t="s">
        <v>392</v>
      </c>
      <c r="F1090"/>
      <c r="G1090">
        <v>2</v>
      </c>
      <c r="H1090">
        <v>500</v>
      </c>
      <c r="I1090">
        <v>3</v>
      </c>
      <c r="J1090" cm="1">
        <f t="array" ref="J1090">_xlfn.SWITCH(B1090,1,75,2,61,3,49,4,37,5,25,6,13,7,4,8,1)</f>
        <v>25</v>
      </c>
      <c r="K1090" t="str" cm="1">
        <f t="array" ref="K1090">IFERROR(_xlfn.SWITCH(L1090,2,_xlfn.XLOOKUP(C1090,[1]ModifierDes!$B:$B,[1]ModifierDes!$C:$C),3,_xlfn.XLOOKUP(C1090,[1]StuntDes!$B:$B,[1]StuntDes!$C:$C)),"")</f>
        <v>攻击暴击伤害增加{0}</v>
      </c>
      <c r="L1090">
        <f t="shared" si="47"/>
        <v>2</v>
      </c>
      <c r="M1090" s="10" t="str">
        <f>IFERROR(_xlfn.XLOOKUP(C1090,[1]StuntDes!$B:$B,[1]StuntDes!$A:$A),"")</f>
        <v/>
      </c>
      <c r="N1090" s="10">
        <f>IFERROR(_xlfn.XLOOKUP(C1090,[1]ModifierDes!$B:$B,[1]ModifierDes!$A:$A),"")</f>
        <v>10060</v>
      </c>
      <c r="O1090" s="10" t="str">
        <f>IFERROR(_xlfn.XLOOKUP(C1090,[1]AttributeName!$C:$C,[1]AttributeName!$B:$B),"")</f>
        <v/>
      </c>
      <c r="P1090" s="10"/>
      <c r="Q1090">
        <v>0.28</v>
      </c>
      <c r="R1090">
        <v>0.34</v>
      </c>
      <c r="S1090" cm="1">
        <f t="array" ref="S1090">IFERROR(_xlfn.SWITCH(L1090,1,_xlfn.XLOOKUP(O1090,[1]AttributeName!$B:$B,[1]AttributeName!$D:$D),2,_xlfn.XLOOKUP(C1090,#REF!,#REF!),3,_xlfn.XLOOKUP(C1090,#REF!,#REF!)),0)</f>
        <v>0</v>
      </c>
      <c r="T1090" cm="1">
        <f t="array" ref="T1090">IFERROR(_xlfn.SWITCH(L1090,1,_xlfn.XLOOKUP(O1090,[1]AttributeName!$B:$B,[1]AttributeName!$E:$E),2,_xlfn.XLOOKUP(C1090,#REF!,#REF!),3,_xlfn.XLOOKUP(C1090,#REF!,#REF!)),0)</f>
        <v>0</v>
      </c>
    </row>
    <row r="1091" customFormat="1" spans="1:20">
      <c r="A1091">
        <v>456</v>
      </c>
      <c r="B1091">
        <v>6</v>
      </c>
      <c r="C1091" t="s">
        <v>400</v>
      </c>
      <c r="D1091" t="s">
        <v>27</v>
      </c>
      <c r="E1091" t="s">
        <v>392</v>
      </c>
      <c r="F1091"/>
      <c r="G1091">
        <v>2</v>
      </c>
      <c r="H1091">
        <v>500</v>
      </c>
      <c r="I1091">
        <v>3</v>
      </c>
      <c r="J1091" cm="1">
        <f t="array" ref="J1091">_xlfn.SWITCH(B1091,1,75,2,61,3,49,4,37,5,25,6,13,7,4,8,1)</f>
        <v>13</v>
      </c>
      <c r="K1091" t="str" cm="1">
        <f t="array" ref="K1091">IFERROR(_xlfn.SWITCH(L1091,2,_xlfn.XLOOKUP(C1091,[1]ModifierDes!$B:$B,[1]ModifierDes!$C:$C),3,_xlfn.XLOOKUP(C1091,[1]StuntDes!$B:$B,[1]StuntDes!$C:$C)),"")</f>
        <v>攻击暴击伤害增加{0}</v>
      </c>
      <c r="L1091">
        <f t="shared" si="47"/>
        <v>2</v>
      </c>
      <c r="M1091" s="10" t="str">
        <f>IFERROR(_xlfn.XLOOKUP(C1091,[1]StuntDes!$B:$B,[1]StuntDes!$A:$A),"")</f>
        <v/>
      </c>
      <c r="N1091" s="10">
        <f>IFERROR(_xlfn.XLOOKUP(C1091,[1]ModifierDes!$B:$B,[1]ModifierDes!$A:$A),"")</f>
        <v>10060</v>
      </c>
      <c r="O1091" s="10" t="str">
        <f>IFERROR(_xlfn.XLOOKUP(C1091,[1]AttributeName!$C:$C,[1]AttributeName!$B:$B),"")</f>
        <v/>
      </c>
      <c r="P1091" s="10"/>
      <c r="Q1091">
        <v>0.2</v>
      </c>
      <c r="R1091">
        <v>0.26</v>
      </c>
      <c r="S1091" cm="1">
        <f t="array" ref="S1091">IFERROR(_xlfn.SWITCH(L1091,1,_xlfn.XLOOKUP(O1091,[1]AttributeName!$B:$B,[1]AttributeName!$D:$D),2,_xlfn.XLOOKUP(C1091,#REF!,#REF!),3,_xlfn.XLOOKUP(C1091,#REF!,#REF!)),0)</f>
        <v>0</v>
      </c>
      <c r="T1091" cm="1">
        <f t="array" ref="T1091">IFERROR(_xlfn.SWITCH(L1091,1,_xlfn.XLOOKUP(O1091,[1]AttributeName!$B:$B,[1]AttributeName!$E:$E),2,_xlfn.XLOOKUP(C1091,#REF!,#REF!),3,_xlfn.XLOOKUP(C1091,#REF!,#REF!)),0)</f>
        <v>0</v>
      </c>
    </row>
    <row r="1092" customFormat="1" spans="1:20">
      <c r="A1092">
        <v>456</v>
      </c>
      <c r="B1092">
        <v>7</v>
      </c>
      <c r="C1092" t="s">
        <v>400</v>
      </c>
      <c r="D1092" t="s">
        <v>27</v>
      </c>
      <c r="E1092" t="s">
        <v>392</v>
      </c>
      <c r="F1092"/>
      <c r="G1092">
        <v>2</v>
      </c>
      <c r="H1092">
        <v>500</v>
      </c>
      <c r="I1092">
        <v>3</v>
      </c>
      <c r="J1092" cm="1">
        <f t="array" ref="J1092">_xlfn.SWITCH(B1092,1,75,2,61,3,49,4,37,5,25,6,13,7,4,8,1)</f>
        <v>4</v>
      </c>
      <c r="K1092" t="str" cm="1">
        <f t="array" ref="K1092">IFERROR(_xlfn.SWITCH(L1092,2,_xlfn.XLOOKUP(C1092,[1]ModifierDes!$B:$B,[1]ModifierDes!$C:$C),3,_xlfn.XLOOKUP(C1092,[1]StuntDes!$B:$B,[1]StuntDes!$C:$C)),"")</f>
        <v>攻击暴击伤害增加{0}</v>
      </c>
      <c r="L1092">
        <f t="shared" ref="L1092:L1155" si="49">IF(M1092="",IF(N1092="",1,2),3)</f>
        <v>2</v>
      </c>
      <c r="M1092" s="10" t="str">
        <f>IFERROR(_xlfn.XLOOKUP(C1092,[1]StuntDes!$B:$B,[1]StuntDes!$A:$A),"")</f>
        <v/>
      </c>
      <c r="N1092" s="10">
        <f>IFERROR(_xlfn.XLOOKUP(C1092,[1]ModifierDes!$B:$B,[1]ModifierDes!$A:$A),"")</f>
        <v>10060</v>
      </c>
      <c r="O1092" s="10" t="str">
        <f>IFERROR(_xlfn.XLOOKUP(C1092,[1]AttributeName!$C:$C,[1]AttributeName!$B:$B),"")</f>
        <v/>
      </c>
      <c r="P1092" s="10"/>
      <c r="Q1092">
        <v>0.12</v>
      </c>
      <c r="R1092">
        <v>0.18</v>
      </c>
      <c r="S1092" cm="1">
        <f t="array" ref="S1092">IFERROR(_xlfn.SWITCH(L1092,1,_xlfn.XLOOKUP(O1092,[1]AttributeName!$B:$B,[1]AttributeName!$D:$D),2,_xlfn.XLOOKUP(C1092,#REF!,#REF!),3,_xlfn.XLOOKUP(C1092,#REF!,#REF!)),0)</f>
        <v>0</v>
      </c>
      <c r="T1092" cm="1">
        <f t="array" ref="T1092">IFERROR(_xlfn.SWITCH(L1092,1,_xlfn.XLOOKUP(O1092,[1]AttributeName!$B:$B,[1]AttributeName!$E:$E),2,_xlfn.XLOOKUP(C1092,#REF!,#REF!),3,_xlfn.XLOOKUP(C1092,#REF!,#REF!)),0)</f>
        <v>0</v>
      </c>
    </row>
    <row r="1093" customFormat="1" spans="1:20">
      <c r="A1093">
        <v>456</v>
      </c>
      <c r="B1093">
        <v>8</v>
      </c>
      <c r="C1093" t="s">
        <v>400</v>
      </c>
      <c r="D1093" t="s">
        <v>27</v>
      </c>
      <c r="E1093" t="s">
        <v>392</v>
      </c>
      <c r="F1093"/>
      <c r="G1093">
        <v>2</v>
      </c>
      <c r="H1093">
        <v>500</v>
      </c>
      <c r="I1093">
        <v>3</v>
      </c>
      <c r="J1093" cm="1">
        <f t="array" ref="J1093">_xlfn.SWITCH(B1093,1,75,2,61,3,49,4,37,5,25,6,13,7,4,8,1)</f>
        <v>1</v>
      </c>
      <c r="K1093" t="str" cm="1">
        <f t="array" ref="K1093">IFERROR(_xlfn.SWITCH(L1093,2,_xlfn.XLOOKUP(C1093,[1]ModifierDes!$B:$B,[1]ModifierDes!$C:$C),3,_xlfn.XLOOKUP(C1093,[1]StuntDes!$B:$B,[1]StuntDes!$C:$C)),"")</f>
        <v>攻击暴击伤害增加{0}</v>
      </c>
      <c r="L1093">
        <f t="shared" si="49"/>
        <v>2</v>
      </c>
      <c r="M1093" s="10" t="str">
        <f>IFERROR(_xlfn.XLOOKUP(C1093,[1]StuntDes!$B:$B,[1]StuntDes!$A:$A),"")</f>
        <v/>
      </c>
      <c r="N1093" s="10">
        <f>IFERROR(_xlfn.XLOOKUP(C1093,[1]ModifierDes!$B:$B,[1]ModifierDes!$A:$A),"")</f>
        <v>10060</v>
      </c>
      <c r="O1093" s="10" t="str">
        <f>IFERROR(_xlfn.XLOOKUP(C1093,[1]AttributeName!$C:$C,[1]AttributeName!$B:$B),"")</f>
        <v/>
      </c>
      <c r="P1093" s="10"/>
      <c r="Q1093">
        <v>0.04</v>
      </c>
      <c r="R1093">
        <v>0.1</v>
      </c>
      <c r="S1093" cm="1">
        <f t="array" ref="S1093">IFERROR(_xlfn.SWITCH(L1093,1,_xlfn.XLOOKUP(O1093,[1]AttributeName!$B:$B,[1]AttributeName!$D:$D),2,_xlfn.XLOOKUP(C1093,#REF!,#REF!),3,_xlfn.XLOOKUP(C1093,#REF!,#REF!)),0)</f>
        <v>0</v>
      </c>
      <c r="T1093" cm="1">
        <f t="array" ref="T1093">IFERROR(_xlfn.SWITCH(L1093,1,_xlfn.XLOOKUP(O1093,[1]AttributeName!$B:$B,[1]AttributeName!$E:$E),2,_xlfn.XLOOKUP(C1093,#REF!,#REF!),3,_xlfn.XLOOKUP(C1093,#REF!,#REF!)),0)</f>
        <v>0</v>
      </c>
    </row>
    <row r="1094" customFormat="1" spans="1:20">
      <c r="A1094">
        <f t="shared" ref="A1094:A1157" si="50">A1086+1</f>
        <v>457</v>
      </c>
      <c r="B1094">
        <v>1</v>
      </c>
      <c r="C1094" t="s">
        <v>426</v>
      </c>
      <c r="D1094" t="s">
        <v>27</v>
      </c>
      <c r="E1094" t="s">
        <v>392</v>
      </c>
      <c r="F1094"/>
      <c r="G1094">
        <v>2</v>
      </c>
      <c r="H1094">
        <v>50</v>
      </c>
      <c r="I1094">
        <v>3</v>
      </c>
      <c r="J1094" cm="1">
        <f t="array" ref="J1094">_xlfn.SWITCH(B1094,1,75,2,61,3,49,4,37,5,25,6,13,7,4,8,1)</f>
        <v>75</v>
      </c>
      <c r="K1094" t="str" cm="1">
        <f t="array" ref="K1094">IFERROR(_xlfn.SWITCH(L1094,2,_xlfn.XLOOKUP(C1094,[1]ModifierDes!$B:$B,[1]ModifierDes!$C:$C),3,_xlfn.XLOOKUP(C1094,[1]StuntDes!$B:$B,[1]StuntDes!$C:$C)),"")</f>
        <v>法术暴击伤害增加{0}</v>
      </c>
      <c r="L1094">
        <f t="shared" si="49"/>
        <v>2</v>
      </c>
      <c r="M1094" s="10" t="str">
        <f>IFERROR(_xlfn.XLOOKUP(C1094,[1]StuntDes!$B:$B,[1]StuntDes!$A:$A),"")</f>
        <v/>
      </c>
      <c r="N1094" s="10">
        <f>IFERROR(_xlfn.XLOOKUP(C1094,[1]ModifierDes!$B:$B,[1]ModifierDes!$A:$A),"")</f>
        <v>10061</v>
      </c>
      <c r="O1094" s="10" t="str">
        <f>IFERROR(_xlfn.XLOOKUP(C1094,[1]AttributeName!$C:$C,[1]AttributeName!$B:$B),"")</f>
        <v/>
      </c>
      <c r="P1094" s="10"/>
      <c r="Q1094">
        <v>0.6</v>
      </c>
      <c r="R1094">
        <v>0.8</v>
      </c>
      <c r="S1094" cm="1">
        <f t="array" ref="S1094">IFERROR(_xlfn.SWITCH(L1094,1,_xlfn.XLOOKUP(O1094,[1]AttributeName!$B:$B,[1]AttributeName!$D:$D),2,_xlfn.XLOOKUP(C1094,#REF!,#REF!),3,_xlfn.XLOOKUP(C1094,#REF!,#REF!)),0)</f>
        <v>0</v>
      </c>
      <c r="T1094" cm="1">
        <f t="array" ref="T1094">IFERROR(_xlfn.SWITCH(L1094,1,_xlfn.XLOOKUP(O1094,[1]AttributeName!$B:$B,[1]AttributeName!$E:$E),2,_xlfn.XLOOKUP(C1094,#REF!,#REF!),3,_xlfn.XLOOKUP(C1094,#REF!,#REF!)),0)</f>
        <v>0</v>
      </c>
    </row>
    <row r="1095" customFormat="1" spans="1:20">
      <c r="A1095">
        <f t="shared" si="50"/>
        <v>457</v>
      </c>
      <c r="B1095">
        <v>2</v>
      </c>
      <c r="C1095" t="s">
        <v>426</v>
      </c>
      <c r="D1095" t="s">
        <v>27</v>
      </c>
      <c r="E1095" t="s">
        <v>392</v>
      </c>
      <c r="F1095"/>
      <c r="G1095">
        <v>2</v>
      </c>
      <c r="H1095">
        <v>100</v>
      </c>
      <c r="I1095">
        <v>3</v>
      </c>
      <c r="J1095" cm="1">
        <f t="array" ref="J1095">_xlfn.SWITCH(B1095,1,75,2,61,3,49,4,37,5,25,6,13,7,4,8,1)</f>
        <v>61</v>
      </c>
      <c r="K1095" t="str" cm="1">
        <f t="array" ref="K1095">IFERROR(_xlfn.SWITCH(L1095,2,_xlfn.XLOOKUP(C1095,[1]ModifierDes!$B:$B,[1]ModifierDes!$C:$C),3,_xlfn.XLOOKUP(C1095,[1]StuntDes!$B:$B,[1]StuntDes!$C:$C)),"")</f>
        <v>法术暴击伤害增加{0}</v>
      </c>
      <c r="L1095">
        <f t="shared" si="49"/>
        <v>2</v>
      </c>
      <c r="M1095" s="10" t="str">
        <f>IFERROR(_xlfn.XLOOKUP(C1095,[1]StuntDes!$B:$B,[1]StuntDes!$A:$A),"")</f>
        <v/>
      </c>
      <c r="N1095" s="10">
        <f>IFERROR(_xlfn.XLOOKUP(C1095,[1]ModifierDes!$B:$B,[1]ModifierDes!$A:$A),"")</f>
        <v>10061</v>
      </c>
      <c r="O1095" s="10" t="str">
        <f>IFERROR(_xlfn.XLOOKUP(C1095,[1]AttributeName!$C:$C,[1]AttributeName!$B:$B),"")</f>
        <v/>
      </c>
      <c r="P1095" s="10"/>
      <c r="Q1095">
        <v>0.52</v>
      </c>
      <c r="R1095">
        <v>0.58</v>
      </c>
      <c r="S1095" cm="1">
        <f t="array" ref="S1095">IFERROR(_xlfn.SWITCH(L1095,1,_xlfn.XLOOKUP(O1095,[1]AttributeName!$B:$B,[1]AttributeName!$D:$D),2,_xlfn.XLOOKUP(C1095,#REF!,#REF!),3,_xlfn.XLOOKUP(C1095,#REF!,#REF!)),0)</f>
        <v>0</v>
      </c>
      <c r="T1095" cm="1">
        <f t="array" ref="T1095">IFERROR(_xlfn.SWITCH(L1095,1,_xlfn.XLOOKUP(O1095,[1]AttributeName!$B:$B,[1]AttributeName!$E:$E),2,_xlfn.XLOOKUP(C1095,#REF!,#REF!),3,_xlfn.XLOOKUP(C1095,#REF!,#REF!)),0)</f>
        <v>0</v>
      </c>
    </row>
    <row r="1096" customFormat="1" spans="1:20">
      <c r="A1096">
        <f t="shared" si="50"/>
        <v>457</v>
      </c>
      <c r="B1096">
        <v>3</v>
      </c>
      <c r="C1096" t="s">
        <v>426</v>
      </c>
      <c r="D1096" t="s">
        <v>27</v>
      </c>
      <c r="E1096" t="s">
        <v>392</v>
      </c>
      <c r="F1096"/>
      <c r="G1096">
        <v>2</v>
      </c>
      <c r="H1096">
        <v>250</v>
      </c>
      <c r="I1096">
        <v>3</v>
      </c>
      <c r="J1096" cm="1">
        <f t="array" ref="J1096">_xlfn.SWITCH(B1096,1,75,2,61,3,49,4,37,5,25,6,13,7,4,8,1)</f>
        <v>49</v>
      </c>
      <c r="K1096" t="str" cm="1">
        <f t="array" ref="K1096">IFERROR(_xlfn.SWITCH(L1096,2,_xlfn.XLOOKUP(C1096,[1]ModifierDes!$B:$B,[1]ModifierDes!$C:$C),3,_xlfn.XLOOKUP(C1096,[1]StuntDes!$B:$B,[1]StuntDes!$C:$C)),"")</f>
        <v>法术暴击伤害增加{0}</v>
      </c>
      <c r="L1096">
        <f t="shared" si="49"/>
        <v>2</v>
      </c>
      <c r="M1096" s="10" t="str">
        <f>IFERROR(_xlfn.XLOOKUP(C1096,[1]StuntDes!$B:$B,[1]StuntDes!$A:$A),"")</f>
        <v/>
      </c>
      <c r="N1096" s="10">
        <f>IFERROR(_xlfn.XLOOKUP(C1096,[1]ModifierDes!$B:$B,[1]ModifierDes!$A:$A),"")</f>
        <v>10061</v>
      </c>
      <c r="O1096" s="10" t="str">
        <f>IFERROR(_xlfn.XLOOKUP(C1096,[1]AttributeName!$C:$C,[1]AttributeName!$B:$B),"")</f>
        <v/>
      </c>
      <c r="P1096" s="10"/>
      <c r="Q1096">
        <v>0.44</v>
      </c>
      <c r="R1096">
        <v>0.5</v>
      </c>
      <c r="S1096" cm="1">
        <f t="array" ref="S1096">IFERROR(_xlfn.SWITCH(L1096,1,_xlfn.XLOOKUP(O1096,[1]AttributeName!$B:$B,[1]AttributeName!$D:$D),2,_xlfn.XLOOKUP(C1096,#REF!,#REF!),3,_xlfn.XLOOKUP(C1096,#REF!,#REF!)),0)</f>
        <v>0</v>
      </c>
      <c r="T1096" cm="1">
        <f t="array" ref="T1096">IFERROR(_xlfn.SWITCH(L1096,1,_xlfn.XLOOKUP(O1096,[1]AttributeName!$B:$B,[1]AttributeName!$E:$E),2,_xlfn.XLOOKUP(C1096,#REF!,#REF!),3,_xlfn.XLOOKUP(C1096,#REF!,#REF!)),0)</f>
        <v>0</v>
      </c>
    </row>
    <row r="1097" customFormat="1" spans="1:20">
      <c r="A1097">
        <f t="shared" si="50"/>
        <v>457</v>
      </c>
      <c r="B1097">
        <v>4</v>
      </c>
      <c r="C1097" t="s">
        <v>426</v>
      </c>
      <c r="D1097" t="s">
        <v>27</v>
      </c>
      <c r="E1097" t="s">
        <v>392</v>
      </c>
      <c r="F1097"/>
      <c r="G1097">
        <v>2</v>
      </c>
      <c r="H1097">
        <v>500</v>
      </c>
      <c r="I1097">
        <v>3</v>
      </c>
      <c r="J1097" cm="1">
        <f t="array" ref="J1097">_xlfn.SWITCH(B1097,1,75,2,61,3,49,4,37,5,25,6,13,7,4,8,1)</f>
        <v>37</v>
      </c>
      <c r="K1097" t="str" cm="1">
        <f t="array" ref="K1097">IFERROR(_xlfn.SWITCH(L1097,2,_xlfn.XLOOKUP(C1097,[1]ModifierDes!$B:$B,[1]ModifierDes!$C:$C),3,_xlfn.XLOOKUP(C1097,[1]StuntDes!$B:$B,[1]StuntDes!$C:$C)),"")</f>
        <v>法术暴击伤害增加{0}</v>
      </c>
      <c r="L1097">
        <f t="shared" si="49"/>
        <v>2</v>
      </c>
      <c r="M1097" s="10" t="str">
        <f>IFERROR(_xlfn.XLOOKUP(C1097,[1]StuntDes!$B:$B,[1]StuntDes!$A:$A),"")</f>
        <v/>
      </c>
      <c r="N1097" s="10">
        <f>IFERROR(_xlfn.XLOOKUP(C1097,[1]ModifierDes!$B:$B,[1]ModifierDes!$A:$A),"")</f>
        <v>10061</v>
      </c>
      <c r="O1097" s="10" t="str">
        <f>IFERROR(_xlfn.XLOOKUP(C1097,[1]AttributeName!$C:$C,[1]AttributeName!$B:$B),"")</f>
        <v/>
      </c>
      <c r="P1097" s="10"/>
      <c r="Q1097">
        <v>0.36</v>
      </c>
      <c r="R1097">
        <v>0.42</v>
      </c>
      <c r="S1097" cm="1">
        <f t="array" ref="S1097">IFERROR(_xlfn.SWITCH(L1097,1,_xlfn.XLOOKUP(O1097,[1]AttributeName!$B:$B,[1]AttributeName!$D:$D),2,_xlfn.XLOOKUP(C1097,#REF!,#REF!),3,_xlfn.XLOOKUP(C1097,#REF!,#REF!)),0)</f>
        <v>0</v>
      </c>
      <c r="T1097" cm="1">
        <f t="array" ref="T1097">IFERROR(_xlfn.SWITCH(L1097,1,_xlfn.XLOOKUP(O1097,[1]AttributeName!$B:$B,[1]AttributeName!$E:$E),2,_xlfn.XLOOKUP(C1097,#REF!,#REF!),3,_xlfn.XLOOKUP(C1097,#REF!,#REF!)),0)</f>
        <v>0</v>
      </c>
    </row>
    <row r="1098" customFormat="1" spans="1:20">
      <c r="A1098">
        <f t="shared" si="50"/>
        <v>457</v>
      </c>
      <c r="B1098">
        <v>5</v>
      </c>
      <c r="C1098" t="s">
        <v>426</v>
      </c>
      <c r="D1098" t="s">
        <v>27</v>
      </c>
      <c r="E1098" t="s">
        <v>392</v>
      </c>
      <c r="F1098"/>
      <c r="G1098">
        <v>2</v>
      </c>
      <c r="H1098">
        <v>500</v>
      </c>
      <c r="I1098">
        <v>3</v>
      </c>
      <c r="J1098" cm="1">
        <f t="array" ref="J1098">_xlfn.SWITCH(B1098,1,75,2,61,3,49,4,37,5,25,6,13,7,4,8,1)</f>
        <v>25</v>
      </c>
      <c r="K1098" t="str" cm="1">
        <f t="array" ref="K1098">IFERROR(_xlfn.SWITCH(L1098,2,_xlfn.XLOOKUP(C1098,[1]ModifierDes!$B:$B,[1]ModifierDes!$C:$C),3,_xlfn.XLOOKUP(C1098,[1]StuntDes!$B:$B,[1]StuntDes!$C:$C)),"")</f>
        <v>法术暴击伤害增加{0}</v>
      </c>
      <c r="L1098">
        <f t="shared" si="49"/>
        <v>2</v>
      </c>
      <c r="M1098" s="10" t="str">
        <f>IFERROR(_xlfn.XLOOKUP(C1098,[1]StuntDes!$B:$B,[1]StuntDes!$A:$A),"")</f>
        <v/>
      </c>
      <c r="N1098" s="10">
        <f>IFERROR(_xlfn.XLOOKUP(C1098,[1]ModifierDes!$B:$B,[1]ModifierDes!$A:$A),"")</f>
        <v>10061</v>
      </c>
      <c r="O1098" s="10" t="str">
        <f>IFERROR(_xlfn.XLOOKUP(C1098,[1]AttributeName!$C:$C,[1]AttributeName!$B:$B),"")</f>
        <v/>
      </c>
      <c r="P1098" s="10"/>
      <c r="Q1098">
        <v>0.28</v>
      </c>
      <c r="R1098">
        <v>0.34</v>
      </c>
      <c r="S1098" cm="1">
        <f t="array" ref="S1098">IFERROR(_xlfn.SWITCH(L1098,1,_xlfn.XLOOKUP(O1098,[1]AttributeName!$B:$B,[1]AttributeName!$D:$D),2,_xlfn.XLOOKUP(C1098,#REF!,#REF!),3,_xlfn.XLOOKUP(C1098,#REF!,#REF!)),0)</f>
        <v>0</v>
      </c>
      <c r="T1098" cm="1">
        <f t="array" ref="T1098">IFERROR(_xlfn.SWITCH(L1098,1,_xlfn.XLOOKUP(O1098,[1]AttributeName!$B:$B,[1]AttributeName!$E:$E),2,_xlfn.XLOOKUP(C1098,#REF!,#REF!),3,_xlfn.XLOOKUP(C1098,#REF!,#REF!)),0)</f>
        <v>0</v>
      </c>
    </row>
    <row r="1099" customFormat="1" spans="1:20">
      <c r="A1099">
        <f t="shared" si="50"/>
        <v>457</v>
      </c>
      <c r="B1099">
        <v>6</v>
      </c>
      <c r="C1099" t="s">
        <v>426</v>
      </c>
      <c r="D1099" t="s">
        <v>27</v>
      </c>
      <c r="E1099" t="s">
        <v>392</v>
      </c>
      <c r="F1099"/>
      <c r="G1099">
        <v>2</v>
      </c>
      <c r="H1099">
        <v>500</v>
      </c>
      <c r="I1099">
        <v>3</v>
      </c>
      <c r="J1099" cm="1">
        <f t="array" ref="J1099">_xlfn.SWITCH(B1099,1,75,2,61,3,49,4,37,5,25,6,13,7,4,8,1)</f>
        <v>13</v>
      </c>
      <c r="K1099" t="str" cm="1">
        <f t="array" ref="K1099">IFERROR(_xlfn.SWITCH(L1099,2,_xlfn.XLOOKUP(C1099,[1]ModifierDes!$B:$B,[1]ModifierDes!$C:$C),3,_xlfn.XLOOKUP(C1099,[1]StuntDes!$B:$B,[1]StuntDes!$C:$C)),"")</f>
        <v>法术暴击伤害增加{0}</v>
      </c>
      <c r="L1099">
        <f t="shared" si="49"/>
        <v>2</v>
      </c>
      <c r="M1099" s="10" t="str">
        <f>IFERROR(_xlfn.XLOOKUP(C1099,[1]StuntDes!$B:$B,[1]StuntDes!$A:$A),"")</f>
        <v/>
      </c>
      <c r="N1099" s="10">
        <f>IFERROR(_xlfn.XLOOKUP(C1099,[1]ModifierDes!$B:$B,[1]ModifierDes!$A:$A),"")</f>
        <v>10061</v>
      </c>
      <c r="O1099" s="10" t="str">
        <f>IFERROR(_xlfn.XLOOKUP(C1099,[1]AttributeName!$C:$C,[1]AttributeName!$B:$B),"")</f>
        <v/>
      </c>
      <c r="P1099" s="10"/>
      <c r="Q1099">
        <v>0.2</v>
      </c>
      <c r="R1099">
        <v>0.26</v>
      </c>
      <c r="S1099" cm="1">
        <f t="array" ref="S1099">IFERROR(_xlfn.SWITCH(L1099,1,_xlfn.XLOOKUP(O1099,[1]AttributeName!$B:$B,[1]AttributeName!$D:$D),2,_xlfn.XLOOKUP(C1099,#REF!,#REF!),3,_xlfn.XLOOKUP(C1099,#REF!,#REF!)),0)</f>
        <v>0</v>
      </c>
      <c r="T1099" cm="1">
        <f t="array" ref="T1099">IFERROR(_xlfn.SWITCH(L1099,1,_xlfn.XLOOKUP(O1099,[1]AttributeName!$B:$B,[1]AttributeName!$E:$E),2,_xlfn.XLOOKUP(C1099,#REF!,#REF!),3,_xlfn.XLOOKUP(C1099,#REF!,#REF!)),0)</f>
        <v>0</v>
      </c>
    </row>
    <row r="1100" customFormat="1" spans="1:20">
      <c r="A1100">
        <f t="shared" si="50"/>
        <v>457</v>
      </c>
      <c r="B1100">
        <v>7</v>
      </c>
      <c r="C1100" t="s">
        <v>426</v>
      </c>
      <c r="D1100" t="s">
        <v>27</v>
      </c>
      <c r="E1100" t="s">
        <v>392</v>
      </c>
      <c r="F1100"/>
      <c r="G1100">
        <v>2</v>
      </c>
      <c r="H1100">
        <v>500</v>
      </c>
      <c r="I1100">
        <v>3</v>
      </c>
      <c r="J1100" cm="1">
        <f t="array" ref="J1100">_xlfn.SWITCH(B1100,1,75,2,61,3,49,4,37,5,25,6,13,7,4,8,1)</f>
        <v>4</v>
      </c>
      <c r="K1100" t="str" cm="1">
        <f t="array" ref="K1100">IFERROR(_xlfn.SWITCH(L1100,2,_xlfn.XLOOKUP(C1100,[1]ModifierDes!$B:$B,[1]ModifierDes!$C:$C),3,_xlfn.XLOOKUP(C1100,[1]StuntDes!$B:$B,[1]StuntDes!$C:$C)),"")</f>
        <v>法术暴击伤害增加{0}</v>
      </c>
      <c r="L1100">
        <f t="shared" si="49"/>
        <v>2</v>
      </c>
      <c r="M1100" s="10" t="str">
        <f>IFERROR(_xlfn.XLOOKUP(C1100,[1]StuntDes!$B:$B,[1]StuntDes!$A:$A),"")</f>
        <v/>
      </c>
      <c r="N1100" s="10">
        <f>IFERROR(_xlfn.XLOOKUP(C1100,[1]ModifierDes!$B:$B,[1]ModifierDes!$A:$A),"")</f>
        <v>10061</v>
      </c>
      <c r="O1100" s="10" t="str">
        <f>IFERROR(_xlfn.XLOOKUP(C1100,[1]AttributeName!$C:$C,[1]AttributeName!$B:$B),"")</f>
        <v/>
      </c>
      <c r="P1100" s="10"/>
      <c r="Q1100">
        <v>0.12</v>
      </c>
      <c r="R1100">
        <v>0.18</v>
      </c>
      <c r="S1100" cm="1">
        <f t="array" ref="S1100">IFERROR(_xlfn.SWITCH(L1100,1,_xlfn.XLOOKUP(O1100,[1]AttributeName!$B:$B,[1]AttributeName!$D:$D),2,_xlfn.XLOOKUP(C1100,#REF!,#REF!),3,_xlfn.XLOOKUP(C1100,#REF!,#REF!)),0)</f>
        <v>0</v>
      </c>
      <c r="T1100" cm="1">
        <f t="array" ref="T1100">IFERROR(_xlfn.SWITCH(L1100,1,_xlfn.XLOOKUP(O1100,[1]AttributeName!$B:$B,[1]AttributeName!$E:$E),2,_xlfn.XLOOKUP(C1100,#REF!,#REF!),3,_xlfn.XLOOKUP(C1100,#REF!,#REF!)),0)</f>
        <v>0</v>
      </c>
    </row>
    <row r="1101" customFormat="1" spans="1:20">
      <c r="A1101">
        <f t="shared" si="50"/>
        <v>457</v>
      </c>
      <c r="B1101">
        <v>8</v>
      </c>
      <c r="C1101" t="s">
        <v>426</v>
      </c>
      <c r="D1101" t="s">
        <v>27</v>
      </c>
      <c r="E1101" t="s">
        <v>392</v>
      </c>
      <c r="F1101"/>
      <c r="G1101">
        <v>2</v>
      </c>
      <c r="H1101">
        <v>500</v>
      </c>
      <c r="I1101">
        <v>3</v>
      </c>
      <c r="J1101" cm="1">
        <f t="array" ref="J1101">_xlfn.SWITCH(B1101,1,75,2,61,3,49,4,37,5,25,6,13,7,4,8,1)</f>
        <v>1</v>
      </c>
      <c r="K1101" t="str" cm="1">
        <f t="array" ref="K1101">IFERROR(_xlfn.SWITCH(L1101,2,_xlfn.XLOOKUP(C1101,[1]ModifierDes!$B:$B,[1]ModifierDes!$C:$C),3,_xlfn.XLOOKUP(C1101,[1]StuntDes!$B:$B,[1]StuntDes!$C:$C)),"")</f>
        <v>法术暴击伤害增加{0}</v>
      </c>
      <c r="L1101">
        <f t="shared" si="49"/>
        <v>2</v>
      </c>
      <c r="M1101" s="10" t="str">
        <f>IFERROR(_xlfn.XLOOKUP(C1101,[1]StuntDes!$B:$B,[1]StuntDes!$A:$A),"")</f>
        <v/>
      </c>
      <c r="N1101" s="10">
        <f>IFERROR(_xlfn.XLOOKUP(C1101,[1]ModifierDes!$B:$B,[1]ModifierDes!$A:$A),"")</f>
        <v>10061</v>
      </c>
      <c r="O1101" s="10" t="str">
        <f>IFERROR(_xlfn.XLOOKUP(C1101,[1]AttributeName!$C:$C,[1]AttributeName!$B:$B),"")</f>
        <v/>
      </c>
      <c r="P1101" s="10"/>
      <c r="Q1101">
        <v>0.04</v>
      </c>
      <c r="R1101">
        <v>0.1</v>
      </c>
      <c r="S1101" cm="1">
        <f t="array" ref="S1101">IFERROR(_xlfn.SWITCH(L1101,1,_xlfn.XLOOKUP(O1101,[1]AttributeName!$B:$B,[1]AttributeName!$D:$D),2,_xlfn.XLOOKUP(C1101,#REF!,#REF!),3,_xlfn.XLOOKUP(C1101,#REF!,#REF!)),0)</f>
        <v>0</v>
      </c>
      <c r="T1101" cm="1">
        <f t="array" ref="T1101">IFERROR(_xlfn.SWITCH(L1101,1,_xlfn.XLOOKUP(O1101,[1]AttributeName!$B:$B,[1]AttributeName!$E:$E),2,_xlfn.XLOOKUP(C1101,#REF!,#REF!),3,_xlfn.XLOOKUP(C1101,#REF!,#REF!)),0)</f>
        <v>0</v>
      </c>
    </row>
    <row r="1102" customFormat="1" spans="1:20">
      <c r="A1102">
        <f t="shared" si="50"/>
        <v>458</v>
      </c>
      <c r="B1102">
        <v>1</v>
      </c>
      <c r="C1102" t="s">
        <v>401</v>
      </c>
      <c r="D1102" t="s">
        <v>27</v>
      </c>
      <c r="E1102" t="s">
        <v>392</v>
      </c>
      <c r="F1102"/>
      <c r="G1102">
        <v>2</v>
      </c>
      <c r="H1102">
        <v>50</v>
      </c>
      <c r="I1102">
        <v>3</v>
      </c>
      <c r="J1102" cm="1">
        <f t="array" ref="J1102">_xlfn.SWITCH(B1102,1,75,2,61,3,49,4,37,5,25,6,13,7,4,8,1)</f>
        <v>75</v>
      </c>
      <c r="K1102" t="str" cm="1">
        <f t="array" ref="K1102">IFERROR(_xlfn.SWITCH(L1102,2,_xlfn.XLOOKUP(C1102,[1]ModifierDes!$B:$B,[1]ModifierDes!$C:$C),3,_xlfn.XLOOKUP(C1102,[1]StuntDes!$B:$B,[1]StuntDes!$C:$C)),"")</f>
        <v/>
      </c>
      <c r="L1102">
        <f t="shared" si="49"/>
        <v>1</v>
      </c>
      <c r="M1102" s="10" t="str">
        <f>IFERROR(_xlfn.XLOOKUP(C1102,[1]StuntDes!$B:$B,[1]StuntDes!$A:$A),"")</f>
        <v/>
      </c>
      <c r="N1102" s="10" t="str">
        <f>IFERROR(_xlfn.XLOOKUP(C1102,[1]ModifierDes!$B:$B,[1]ModifierDes!$A:$A),"")</f>
        <v/>
      </c>
      <c r="O1102" s="10">
        <f>IFERROR(_xlfn.XLOOKUP(C1102,[1]AttributeName!$C:$C,[1]AttributeName!$B:$B),"")</f>
        <v>10500</v>
      </c>
      <c r="P1102" s="10"/>
      <c r="Q1102">
        <v>0.3</v>
      </c>
      <c r="R1102">
        <v>0.4</v>
      </c>
      <c r="S1102" cm="1">
        <f t="array" ref="S1102">IFERROR(_xlfn.SWITCH(L1102,1,_xlfn.XLOOKUP(O1102,[1]AttributeName!$B:$B,[1]AttributeName!$D:$D),2,_xlfn.XLOOKUP(C1102,#REF!,#REF!),3,_xlfn.XLOOKUP(C1102,#REF!,#REF!)),0)</f>
        <v>2</v>
      </c>
      <c r="T1102" cm="1">
        <f t="array" ref="T1102">IFERROR(_xlfn.SWITCH(L1102,1,_xlfn.XLOOKUP(O1102,[1]AttributeName!$B:$B,[1]AttributeName!$E:$E),2,_xlfn.XLOOKUP(C1102,#REF!,#REF!),3,_xlfn.XLOOKUP(C1102,#REF!,#REF!)),0)</f>
        <v>2</v>
      </c>
    </row>
    <row r="1103" customFormat="1" spans="1:20">
      <c r="A1103">
        <f t="shared" si="50"/>
        <v>458</v>
      </c>
      <c r="B1103">
        <v>2</v>
      </c>
      <c r="C1103" t="s">
        <v>401</v>
      </c>
      <c r="D1103" t="s">
        <v>27</v>
      </c>
      <c r="E1103" t="s">
        <v>392</v>
      </c>
      <c r="F1103"/>
      <c r="G1103">
        <v>2</v>
      </c>
      <c r="H1103">
        <v>100</v>
      </c>
      <c r="I1103">
        <v>3</v>
      </c>
      <c r="J1103" cm="1">
        <f t="array" ref="J1103">_xlfn.SWITCH(B1103,1,75,2,61,3,49,4,37,5,25,6,13,7,4,8,1)</f>
        <v>61</v>
      </c>
      <c r="K1103" t="str" cm="1">
        <f t="array" ref="K1103">IFERROR(_xlfn.SWITCH(L1103,2,_xlfn.XLOOKUP(C1103,[1]ModifierDes!$B:$B,[1]ModifierDes!$C:$C),3,_xlfn.XLOOKUP(C1103,[1]StuntDes!$B:$B,[1]StuntDes!$C:$C)),"")</f>
        <v/>
      </c>
      <c r="L1103">
        <f t="shared" si="49"/>
        <v>1</v>
      </c>
      <c r="M1103" s="10" t="str">
        <f>IFERROR(_xlfn.XLOOKUP(C1103,[1]StuntDes!$B:$B,[1]StuntDes!$A:$A),"")</f>
        <v/>
      </c>
      <c r="N1103" s="10" t="str">
        <f>IFERROR(_xlfn.XLOOKUP(C1103,[1]ModifierDes!$B:$B,[1]ModifierDes!$A:$A),"")</f>
        <v/>
      </c>
      <c r="O1103" s="10">
        <f>IFERROR(_xlfn.XLOOKUP(C1103,[1]AttributeName!$C:$C,[1]AttributeName!$B:$B),"")</f>
        <v>10500</v>
      </c>
      <c r="P1103" s="10"/>
      <c r="Q1103">
        <v>0.26</v>
      </c>
      <c r="R1103">
        <v>0.29</v>
      </c>
      <c r="S1103" cm="1">
        <f t="array" ref="S1103">IFERROR(_xlfn.SWITCH(L1103,1,_xlfn.XLOOKUP(O1103,[1]AttributeName!$B:$B,[1]AttributeName!$D:$D),2,_xlfn.XLOOKUP(C1103,#REF!,#REF!),3,_xlfn.XLOOKUP(C1103,#REF!,#REF!)),0)</f>
        <v>2</v>
      </c>
      <c r="T1103" cm="1">
        <f t="array" ref="T1103">IFERROR(_xlfn.SWITCH(L1103,1,_xlfn.XLOOKUP(O1103,[1]AttributeName!$B:$B,[1]AttributeName!$E:$E),2,_xlfn.XLOOKUP(C1103,#REF!,#REF!),3,_xlfn.XLOOKUP(C1103,#REF!,#REF!)),0)</f>
        <v>2</v>
      </c>
    </row>
    <row r="1104" customFormat="1" spans="1:20">
      <c r="A1104">
        <f t="shared" si="50"/>
        <v>458</v>
      </c>
      <c r="B1104">
        <v>3</v>
      </c>
      <c r="C1104" t="s">
        <v>401</v>
      </c>
      <c r="D1104" t="s">
        <v>27</v>
      </c>
      <c r="E1104" t="s">
        <v>392</v>
      </c>
      <c r="F1104"/>
      <c r="G1104">
        <v>2</v>
      </c>
      <c r="H1104">
        <v>250</v>
      </c>
      <c r="I1104">
        <v>3</v>
      </c>
      <c r="J1104" cm="1">
        <f t="array" ref="J1104">_xlfn.SWITCH(B1104,1,75,2,61,3,49,4,37,5,25,6,13,7,4,8,1)</f>
        <v>49</v>
      </c>
      <c r="K1104" t="str" cm="1">
        <f t="array" ref="K1104">IFERROR(_xlfn.SWITCH(L1104,2,_xlfn.XLOOKUP(C1104,[1]ModifierDes!$B:$B,[1]ModifierDes!$C:$C),3,_xlfn.XLOOKUP(C1104,[1]StuntDes!$B:$B,[1]StuntDes!$C:$C)),"")</f>
        <v/>
      </c>
      <c r="L1104">
        <f t="shared" si="49"/>
        <v>1</v>
      </c>
      <c r="M1104" s="10" t="str">
        <f>IFERROR(_xlfn.XLOOKUP(C1104,[1]StuntDes!$B:$B,[1]StuntDes!$A:$A),"")</f>
        <v/>
      </c>
      <c r="N1104" s="10" t="str">
        <f>IFERROR(_xlfn.XLOOKUP(C1104,[1]ModifierDes!$B:$B,[1]ModifierDes!$A:$A),"")</f>
        <v/>
      </c>
      <c r="O1104" s="10">
        <f>IFERROR(_xlfn.XLOOKUP(C1104,[1]AttributeName!$C:$C,[1]AttributeName!$B:$B),"")</f>
        <v>10500</v>
      </c>
      <c r="P1104" s="10"/>
      <c r="Q1104">
        <v>0.22</v>
      </c>
      <c r="R1104">
        <v>0.25</v>
      </c>
      <c r="S1104" cm="1">
        <f t="array" ref="S1104">IFERROR(_xlfn.SWITCH(L1104,1,_xlfn.XLOOKUP(O1104,[1]AttributeName!$B:$B,[1]AttributeName!$D:$D),2,_xlfn.XLOOKUP(C1104,#REF!,#REF!),3,_xlfn.XLOOKUP(C1104,#REF!,#REF!)),0)</f>
        <v>2</v>
      </c>
      <c r="T1104" cm="1">
        <f t="array" ref="T1104">IFERROR(_xlfn.SWITCH(L1104,1,_xlfn.XLOOKUP(O1104,[1]AttributeName!$B:$B,[1]AttributeName!$E:$E),2,_xlfn.XLOOKUP(C1104,#REF!,#REF!),3,_xlfn.XLOOKUP(C1104,#REF!,#REF!)),0)</f>
        <v>2</v>
      </c>
    </row>
    <row r="1105" customFormat="1" spans="1:20">
      <c r="A1105">
        <f t="shared" si="50"/>
        <v>458</v>
      </c>
      <c r="B1105">
        <v>4</v>
      </c>
      <c r="C1105" t="s">
        <v>401</v>
      </c>
      <c r="D1105" t="s">
        <v>27</v>
      </c>
      <c r="E1105" t="s">
        <v>392</v>
      </c>
      <c r="F1105"/>
      <c r="G1105">
        <v>2</v>
      </c>
      <c r="H1105">
        <v>500</v>
      </c>
      <c r="I1105">
        <v>3</v>
      </c>
      <c r="J1105" cm="1">
        <f t="array" ref="J1105">_xlfn.SWITCH(B1105,1,75,2,61,3,49,4,37,5,25,6,13,7,4,8,1)</f>
        <v>37</v>
      </c>
      <c r="K1105" t="str" cm="1">
        <f t="array" ref="K1105">IFERROR(_xlfn.SWITCH(L1105,2,_xlfn.XLOOKUP(C1105,[1]ModifierDes!$B:$B,[1]ModifierDes!$C:$C),3,_xlfn.XLOOKUP(C1105,[1]StuntDes!$B:$B,[1]StuntDes!$C:$C)),"")</f>
        <v/>
      </c>
      <c r="L1105">
        <f t="shared" si="49"/>
        <v>1</v>
      </c>
      <c r="M1105" s="10" t="str">
        <f>IFERROR(_xlfn.XLOOKUP(C1105,[1]StuntDes!$B:$B,[1]StuntDes!$A:$A),"")</f>
        <v/>
      </c>
      <c r="N1105" s="10" t="str">
        <f>IFERROR(_xlfn.XLOOKUP(C1105,[1]ModifierDes!$B:$B,[1]ModifierDes!$A:$A),"")</f>
        <v/>
      </c>
      <c r="O1105" s="10">
        <f>IFERROR(_xlfn.XLOOKUP(C1105,[1]AttributeName!$C:$C,[1]AttributeName!$B:$B),"")</f>
        <v>10500</v>
      </c>
      <c r="P1105" s="10"/>
      <c r="Q1105">
        <v>0.18</v>
      </c>
      <c r="R1105">
        <v>0.21</v>
      </c>
      <c r="S1105" cm="1">
        <f t="array" ref="S1105">IFERROR(_xlfn.SWITCH(L1105,1,_xlfn.XLOOKUP(O1105,[1]AttributeName!$B:$B,[1]AttributeName!$D:$D),2,_xlfn.XLOOKUP(C1105,#REF!,#REF!),3,_xlfn.XLOOKUP(C1105,#REF!,#REF!)),0)</f>
        <v>2</v>
      </c>
      <c r="T1105" cm="1">
        <f t="array" ref="T1105">IFERROR(_xlfn.SWITCH(L1105,1,_xlfn.XLOOKUP(O1105,[1]AttributeName!$B:$B,[1]AttributeName!$E:$E),2,_xlfn.XLOOKUP(C1105,#REF!,#REF!),3,_xlfn.XLOOKUP(C1105,#REF!,#REF!)),0)</f>
        <v>2</v>
      </c>
    </row>
    <row r="1106" customFormat="1" spans="1:20">
      <c r="A1106">
        <f t="shared" si="50"/>
        <v>458</v>
      </c>
      <c r="B1106">
        <v>5</v>
      </c>
      <c r="C1106" t="s">
        <v>401</v>
      </c>
      <c r="D1106" t="s">
        <v>27</v>
      </c>
      <c r="E1106" t="s">
        <v>392</v>
      </c>
      <c r="F1106"/>
      <c r="G1106">
        <v>2</v>
      </c>
      <c r="H1106">
        <v>500</v>
      </c>
      <c r="I1106">
        <v>3</v>
      </c>
      <c r="J1106" cm="1">
        <f t="array" ref="J1106">_xlfn.SWITCH(B1106,1,75,2,61,3,49,4,37,5,25,6,13,7,4,8,1)</f>
        <v>25</v>
      </c>
      <c r="K1106" t="str" cm="1">
        <f t="array" ref="K1106">IFERROR(_xlfn.SWITCH(L1106,2,_xlfn.XLOOKUP(C1106,[1]ModifierDes!$B:$B,[1]ModifierDes!$C:$C),3,_xlfn.XLOOKUP(C1106,[1]StuntDes!$B:$B,[1]StuntDes!$C:$C)),"")</f>
        <v/>
      </c>
      <c r="L1106">
        <f t="shared" si="49"/>
        <v>1</v>
      </c>
      <c r="M1106" s="10" t="str">
        <f>IFERROR(_xlfn.XLOOKUP(C1106,[1]StuntDes!$B:$B,[1]StuntDes!$A:$A),"")</f>
        <v/>
      </c>
      <c r="N1106" s="10" t="str">
        <f>IFERROR(_xlfn.XLOOKUP(C1106,[1]ModifierDes!$B:$B,[1]ModifierDes!$A:$A),"")</f>
        <v/>
      </c>
      <c r="O1106" s="10">
        <f>IFERROR(_xlfn.XLOOKUP(C1106,[1]AttributeName!$C:$C,[1]AttributeName!$B:$B),"")</f>
        <v>10500</v>
      </c>
      <c r="P1106" s="10"/>
      <c r="Q1106">
        <v>0.14</v>
      </c>
      <c r="R1106">
        <v>0.17</v>
      </c>
      <c r="S1106" cm="1">
        <f t="array" ref="S1106">IFERROR(_xlfn.SWITCH(L1106,1,_xlfn.XLOOKUP(O1106,[1]AttributeName!$B:$B,[1]AttributeName!$D:$D),2,_xlfn.XLOOKUP(C1106,#REF!,#REF!),3,_xlfn.XLOOKUP(C1106,#REF!,#REF!)),0)</f>
        <v>2</v>
      </c>
      <c r="T1106" cm="1">
        <f t="array" ref="T1106">IFERROR(_xlfn.SWITCH(L1106,1,_xlfn.XLOOKUP(O1106,[1]AttributeName!$B:$B,[1]AttributeName!$E:$E),2,_xlfn.XLOOKUP(C1106,#REF!,#REF!),3,_xlfn.XLOOKUP(C1106,#REF!,#REF!)),0)</f>
        <v>2</v>
      </c>
    </row>
    <row r="1107" customFormat="1" spans="1:20">
      <c r="A1107">
        <f t="shared" si="50"/>
        <v>458</v>
      </c>
      <c r="B1107">
        <v>6</v>
      </c>
      <c r="C1107" t="s">
        <v>401</v>
      </c>
      <c r="D1107" t="s">
        <v>27</v>
      </c>
      <c r="E1107" t="s">
        <v>392</v>
      </c>
      <c r="F1107"/>
      <c r="G1107">
        <v>2</v>
      </c>
      <c r="H1107">
        <v>500</v>
      </c>
      <c r="I1107">
        <v>3</v>
      </c>
      <c r="J1107" cm="1">
        <f t="array" ref="J1107">_xlfn.SWITCH(B1107,1,75,2,61,3,49,4,37,5,25,6,13,7,4,8,1)</f>
        <v>13</v>
      </c>
      <c r="K1107" t="str" cm="1">
        <f t="array" ref="K1107">IFERROR(_xlfn.SWITCH(L1107,2,_xlfn.XLOOKUP(C1107,[1]ModifierDes!$B:$B,[1]ModifierDes!$C:$C),3,_xlfn.XLOOKUP(C1107,[1]StuntDes!$B:$B,[1]StuntDes!$C:$C)),"")</f>
        <v/>
      </c>
      <c r="L1107">
        <f t="shared" si="49"/>
        <v>1</v>
      </c>
      <c r="M1107" s="10" t="str">
        <f>IFERROR(_xlfn.XLOOKUP(C1107,[1]StuntDes!$B:$B,[1]StuntDes!$A:$A),"")</f>
        <v/>
      </c>
      <c r="N1107" s="10" t="str">
        <f>IFERROR(_xlfn.XLOOKUP(C1107,[1]ModifierDes!$B:$B,[1]ModifierDes!$A:$A),"")</f>
        <v/>
      </c>
      <c r="O1107" s="10">
        <f>IFERROR(_xlfn.XLOOKUP(C1107,[1]AttributeName!$C:$C,[1]AttributeName!$B:$B),"")</f>
        <v>10500</v>
      </c>
      <c r="P1107" s="10"/>
      <c r="Q1107">
        <v>0.1</v>
      </c>
      <c r="R1107">
        <v>0.13</v>
      </c>
      <c r="S1107" cm="1">
        <f t="array" ref="S1107">IFERROR(_xlfn.SWITCH(L1107,1,_xlfn.XLOOKUP(O1107,[1]AttributeName!$B:$B,[1]AttributeName!$D:$D),2,_xlfn.XLOOKUP(C1107,#REF!,#REF!),3,_xlfn.XLOOKUP(C1107,#REF!,#REF!)),0)</f>
        <v>2</v>
      </c>
      <c r="T1107" cm="1">
        <f t="array" ref="T1107">IFERROR(_xlfn.SWITCH(L1107,1,_xlfn.XLOOKUP(O1107,[1]AttributeName!$B:$B,[1]AttributeName!$E:$E),2,_xlfn.XLOOKUP(C1107,#REF!,#REF!),3,_xlfn.XLOOKUP(C1107,#REF!,#REF!)),0)</f>
        <v>2</v>
      </c>
    </row>
    <row r="1108" customFormat="1" spans="1:20">
      <c r="A1108">
        <f t="shared" si="50"/>
        <v>458</v>
      </c>
      <c r="B1108">
        <v>7</v>
      </c>
      <c r="C1108" t="s">
        <v>401</v>
      </c>
      <c r="D1108" t="s">
        <v>27</v>
      </c>
      <c r="E1108" t="s">
        <v>392</v>
      </c>
      <c r="F1108"/>
      <c r="G1108">
        <v>2</v>
      </c>
      <c r="H1108">
        <v>500</v>
      </c>
      <c r="I1108">
        <v>3</v>
      </c>
      <c r="J1108" cm="1">
        <f t="array" ref="J1108">_xlfn.SWITCH(B1108,1,75,2,61,3,49,4,37,5,25,6,13,7,4,8,1)</f>
        <v>4</v>
      </c>
      <c r="K1108" t="str" cm="1">
        <f t="array" ref="K1108">IFERROR(_xlfn.SWITCH(L1108,2,_xlfn.XLOOKUP(C1108,[1]ModifierDes!$B:$B,[1]ModifierDes!$C:$C),3,_xlfn.XLOOKUP(C1108,[1]StuntDes!$B:$B,[1]StuntDes!$C:$C)),"")</f>
        <v/>
      </c>
      <c r="L1108">
        <f t="shared" si="49"/>
        <v>1</v>
      </c>
      <c r="M1108" s="10" t="str">
        <f>IFERROR(_xlfn.XLOOKUP(C1108,[1]StuntDes!$B:$B,[1]StuntDes!$A:$A),"")</f>
        <v/>
      </c>
      <c r="N1108" s="10" t="str">
        <f>IFERROR(_xlfn.XLOOKUP(C1108,[1]ModifierDes!$B:$B,[1]ModifierDes!$A:$A),"")</f>
        <v/>
      </c>
      <c r="O1108" s="10">
        <f>IFERROR(_xlfn.XLOOKUP(C1108,[1]AttributeName!$C:$C,[1]AttributeName!$B:$B),"")</f>
        <v>10500</v>
      </c>
      <c r="P1108" s="10"/>
      <c r="Q1108">
        <v>0.06</v>
      </c>
      <c r="R1108">
        <v>0.0900000000000001</v>
      </c>
      <c r="S1108" cm="1">
        <f t="array" ref="S1108">IFERROR(_xlfn.SWITCH(L1108,1,_xlfn.XLOOKUP(O1108,[1]AttributeName!$B:$B,[1]AttributeName!$D:$D),2,_xlfn.XLOOKUP(C1108,#REF!,#REF!),3,_xlfn.XLOOKUP(C1108,#REF!,#REF!)),0)</f>
        <v>2</v>
      </c>
      <c r="T1108" cm="1">
        <f t="array" ref="T1108">IFERROR(_xlfn.SWITCH(L1108,1,_xlfn.XLOOKUP(O1108,[1]AttributeName!$B:$B,[1]AttributeName!$E:$E),2,_xlfn.XLOOKUP(C1108,#REF!,#REF!),3,_xlfn.XLOOKUP(C1108,#REF!,#REF!)),0)</f>
        <v>2</v>
      </c>
    </row>
    <row r="1109" customFormat="1" spans="1:20">
      <c r="A1109">
        <f t="shared" si="50"/>
        <v>458</v>
      </c>
      <c r="B1109">
        <v>8</v>
      </c>
      <c r="C1109" t="s">
        <v>401</v>
      </c>
      <c r="D1109" t="s">
        <v>27</v>
      </c>
      <c r="E1109" t="s">
        <v>392</v>
      </c>
      <c r="F1109"/>
      <c r="G1109">
        <v>2</v>
      </c>
      <c r="H1109">
        <v>500</v>
      </c>
      <c r="I1109">
        <v>3</v>
      </c>
      <c r="J1109" cm="1">
        <f t="array" ref="J1109">_xlfn.SWITCH(B1109,1,75,2,61,3,49,4,37,5,25,6,13,7,4,8,1)</f>
        <v>1</v>
      </c>
      <c r="K1109" t="str" cm="1">
        <f t="array" ref="K1109">IFERROR(_xlfn.SWITCH(L1109,2,_xlfn.XLOOKUP(C1109,[1]ModifierDes!$B:$B,[1]ModifierDes!$C:$C),3,_xlfn.XLOOKUP(C1109,[1]StuntDes!$B:$B,[1]StuntDes!$C:$C)),"")</f>
        <v/>
      </c>
      <c r="L1109">
        <f t="shared" si="49"/>
        <v>1</v>
      </c>
      <c r="M1109" s="10" t="str">
        <f>IFERROR(_xlfn.XLOOKUP(C1109,[1]StuntDes!$B:$B,[1]StuntDes!$A:$A),"")</f>
        <v/>
      </c>
      <c r="N1109" s="10" t="str">
        <f>IFERROR(_xlfn.XLOOKUP(C1109,[1]ModifierDes!$B:$B,[1]ModifierDes!$A:$A),"")</f>
        <v/>
      </c>
      <c r="O1109" s="10">
        <f>IFERROR(_xlfn.XLOOKUP(C1109,[1]AttributeName!$C:$C,[1]AttributeName!$B:$B),"")</f>
        <v>10500</v>
      </c>
      <c r="P1109" s="10"/>
      <c r="Q1109">
        <v>0.02</v>
      </c>
      <c r="R1109">
        <v>0.0500000000000001</v>
      </c>
      <c r="S1109" cm="1">
        <f t="array" ref="S1109">IFERROR(_xlfn.SWITCH(L1109,1,_xlfn.XLOOKUP(O1109,[1]AttributeName!$B:$B,[1]AttributeName!$D:$D),2,_xlfn.XLOOKUP(C1109,#REF!,#REF!),3,_xlfn.XLOOKUP(C1109,#REF!,#REF!)),0)</f>
        <v>2</v>
      </c>
      <c r="T1109" cm="1">
        <f t="array" ref="T1109">IFERROR(_xlfn.SWITCH(L1109,1,_xlfn.XLOOKUP(O1109,[1]AttributeName!$B:$B,[1]AttributeName!$E:$E),2,_xlfn.XLOOKUP(C1109,#REF!,#REF!),3,_xlfn.XLOOKUP(C1109,#REF!,#REF!)),0)</f>
        <v>2</v>
      </c>
    </row>
    <row r="1110" customFormat="1" spans="1:20">
      <c r="A1110">
        <f t="shared" si="50"/>
        <v>459</v>
      </c>
      <c r="B1110">
        <v>1</v>
      </c>
      <c r="C1110" t="s">
        <v>402</v>
      </c>
      <c r="D1110" t="s">
        <v>27</v>
      </c>
      <c r="E1110" t="s">
        <v>392</v>
      </c>
      <c r="F1110"/>
      <c r="G1110">
        <v>2</v>
      </c>
      <c r="H1110">
        <v>50</v>
      </c>
      <c r="I1110">
        <v>3</v>
      </c>
      <c r="J1110" cm="1">
        <f t="array" ref="J1110">_xlfn.SWITCH(B1110,1,75,2,61,3,49,4,37,5,25,6,13,7,4,8,1)</f>
        <v>75</v>
      </c>
      <c r="K1110" t="str" cm="1">
        <f t="array" ref="K1110">IFERROR(_xlfn.SWITCH(L1110,2,_xlfn.XLOOKUP(C1110,[1]ModifierDes!$B:$B,[1]ModifierDes!$C:$C),3,_xlfn.XLOOKUP(C1110,[1]StuntDes!$B:$B,[1]StuntDes!$C:$C)),"")</f>
        <v/>
      </c>
      <c r="L1110">
        <f t="shared" si="49"/>
        <v>1</v>
      </c>
      <c r="M1110" s="10" t="str">
        <f>IFERROR(_xlfn.XLOOKUP(C1110,[1]StuntDes!$B:$B,[1]StuntDes!$A:$A),"")</f>
        <v/>
      </c>
      <c r="N1110" s="10" t="str">
        <f>IFERROR(_xlfn.XLOOKUP(C1110,[1]ModifierDes!$B:$B,[1]ModifierDes!$A:$A),"")</f>
        <v/>
      </c>
      <c r="O1110" s="10">
        <f>IFERROR(_xlfn.XLOOKUP(C1110,[1]AttributeName!$C:$C,[1]AttributeName!$B:$B),"")</f>
        <v>10501</v>
      </c>
      <c r="P1110" s="10"/>
      <c r="Q1110">
        <v>0.3</v>
      </c>
      <c r="R1110">
        <v>0.4</v>
      </c>
      <c r="S1110" cm="1">
        <f t="array" ref="S1110">IFERROR(_xlfn.SWITCH(L1110,1,_xlfn.XLOOKUP(O1110,[1]AttributeName!$B:$B,[1]AttributeName!$D:$D),2,_xlfn.XLOOKUP(C1110,#REF!,#REF!),3,_xlfn.XLOOKUP(C1110,#REF!,#REF!)),0)</f>
        <v>2</v>
      </c>
      <c r="T1110" cm="1">
        <f t="array" ref="T1110">IFERROR(_xlfn.SWITCH(L1110,1,_xlfn.XLOOKUP(O1110,[1]AttributeName!$B:$B,[1]AttributeName!$E:$E),2,_xlfn.XLOOKUP(C1110,#REF!,#REF!),3,_xlfn.XLOOKUP(C1110,#REF!,#REF!)),0)</f>
        <v>2</v>
      </c>
    </row>
    <row r="1111" customFormat="1" spans="1:20">
      <c r="A1111">
        <f t="shared" si="50"/>
        <v>459</v>
      </c>
      <c r="B1111">
        <v>2</v>
      </c>
      <c r="C1111" t="s">
        <v>402</v>
      </c>
      <c r="D1111" t="s">
        <v>27</v>
      </c>
      <c r="E1111" t="s">
        <v>392</v>
      </c>
      <c r="F1111"/>
      <c r="G1111">
        <v>2</v>
      </c>
      <c r="H1111">
        <v>100</v>
      </c>
      <c r="I1111">
        <v>3</v>
      </c>
      <c r="J1111" cm="1">
        <f t="array" ref="J1111">_xlfn.SWITCH(B1111,1,75,2,61,3,49,4,37,5,25,6,13,7,4,8,1)</f>
        <v>61</v>
      </c>
      <c r="K1111" t="str" cm="1">
        <f t="array" ref="K1111">IFERROR(_xlfn.SWITCH(L1111,2,_xlfn.XLOOKUP(C1111,[1]ModifierDes!$B:$B,[1]ModifierDes!$C:$C),3,_xlfn.XLOOKUP(C1111,[1]StuntDes!$B:$B,[1]StuntDes!$C:$C)),"")</f>
        <v/>
      </c>
      <c r="L1111">
        <f t="shared" si="49"/>
        <v>1</v>
      </c>
      <c r="M1111" s="10" t="str">
        <f>IFERROR(_xlfn.XLOOKUP(C1111,[1]StuntDes!$B:$B,[1]StuntDes!$A:$A),"")</f>
        <v/>
      </c>
      <c r="N1111" s="10" t="str">
        <f>IFERROR(_xlfn.XLOOKUP(C1111,[1]ModifierDes!$B:$B,[1]ModifierDes!$A:$A),"")</f>
        <v/>
      </c>
      <c r="O1111" s="10">
        <f>IFERROR(_xlfn.XLOOKUP(C1111,[1]AttributeName!$C:$C,[1]AttributeName!$B:$B),"")</f>
        <v>10501</v>
      </c>
      <c r="P1111" s="10"/>
      <c r="Q1111">
        <v>0.26</v>
      </c>
      <c r="R1111">
        <v>0.29</v>
      </c>
      <c r="S1111" cm="1">
        <f t="array" ref="S1111">IFERROR(_xlfn.SWITCH(L1111,1,_xlfn.XLOOKUP(O1111,[1]AttributeName!$B:$B,[1]AttributeName!$D:$D),2,_xlfn.XLOOKUP(C1111,#REF!,#REF!),3,_xlfn.XLOOKUP(C1111,#REF!,#REF!)),0)</f>
        <v>2</v>
      </c>
      <c r="T1111" cm="1">
        <f t="array" ref="T1111">IFERROR(_xlfn.SWITCH(L1111,1,_xlfn.XLOOKUP(O1111,[1]AttributeName!$B:$B,[1]AttributeName!$E:$E),2,_xlfn.XLOOKUP(C1111,#REF!,#REF!),3,_xlfn.XLOOKUP(C1111,#REF!,#REF!)),0)</f>
        <v>2</v>
      </c>
    </row>
    <row r="1112" customFormat="1" spans="1:20">
      <c r="A1112">
        <f t="shared" si="50"/>
        <v>459</v>
      </c>
      <c r="B1112">
        <v>3</v>
      </c>
      <c r="C1112" t="s">
        <v>402</v>
      </c>
      <c r="D1112" t="s">
        <v>27</v>
      </c>
      <c r="E1112" t="s">
        <v>392</v>
      </c>
      <c r="F1112"/>
      <c r="G1112">
        <v>2</v>
      </c>
      <c r="H1112">
        <v>250</v>
      </c>
      <c r="I1112">
        <v>3</v>
      </c>
      <c r="J1112" cm="1">
        <f t="array" ref="J1112">_xlfn.SWITCH(B1112,1,75,2,61,3,49,4,37,5,25,6,13,7,4,8,1)</f>
        <v>49</v>
      </c>
      <c r="K1112" t="str" cm="1">
        <f t="array" ref="K1112">IFERROR(_xlfn.SWITCH(L1112,2,_xlfn.XLOOKUP(C1112,[1]ModifierDes!$B:$B,[1]ModifierDes!$C:$C),3,_xlfn.XLOOKUP(C1112,[1]StuntDes!$B:$B,[1]StuntDes!$C:$C)),"")</f>
        <v/>
      </c>
      <c r="L1112">
        <f t="shared" si="49"/>
        <v>1</v>
      </c>
      <c r="M1112" s="10" t="str">
        <f>IFERROR(_xlfn.XLOOKUP(C1112,[1]StuntDes!$B:$B,[1]StuntDes!$A:$A),"")</f>
        <v/>
      </c>
      <c r="N1112" s="10" t="str">
        <f>IFERROR(_xlfn.XLOOKUP(C1112,[1]ModifierDes!$B:$B,[1]ModifierDes!$A:$A),"")</f>
        <v/>
      </c>
      <c r="O1112" s="10">
        <f>IFERROR(_xlfn.XLOOKUP(C1112,[1]AttributeName!$C:$C,[1]AttributeName!$B:$B),"")</f>
        <v>10501</v>
      </c>
      <c r="P1112" s="10"/>
      <c r="Q1112">
        <v>0.22</v>
      </c>
      <c r="R1112">
        <v>0.25</v>
      </c>
      <c r="S1112" cm="1">
        <f t="array" ref="S1112">IFERROR(_xlfn.SWITCH(L1112,1,_xlfn.XLOOKUP(O1112,[1]AttributeName!$B:$B,[1]AttributeName!$D:$D),2,_xlfn.XLOOKUP(C1112,#REF!,#REF!),3,_xlfn.XLOOKUP(C1112,#REF!,#REF!)),0)</f>
        <v>2</v>
      </c>
      <c r="T1112" cm="1">
        <f t="array" ref="T1112">IFERROR(_xlfn.SWITCH(L1112,1,_xlfn.XLOOKUP(O1112,[1]AttributeName!$B:$B,[1]AttributeName!$E:$E),2,_xlfn.XLOOKUP(C1112,#REF!,#REF!),3,_xlfn.XLOOKUP(C1112,#REF!,#REF!)),0)</f>
        <v>2</v>
      </c>
    </row>
    <row r="1113" customFormat="1" spans="1:20">
      <c r="A1113">
        <f t="shared" si="50"/>
        <v>459</v>
      </c>
      <c r="B1113">
        <v>4</v>
      </c>
      <c r="C1113" t="s">
        <v>402</v>
      </c>
      <c r="D1113" t="s">
        <v>27</v>
      </c>
      <c r="E1113" t="s">
        <v>392</v>
      </c>
      <c r="F1113"/>
      <c r="G1113">
        <v>2</v>
      </c>
      <c r="H1113">
        <v>500</v>
      </c>
      <c r="I1113">
        <v>3</v>
      </c>
      <c r="J1113" cm="1">
        <f t="array" ref="J1113">_xlfn.SWITCH(B1113,1,75,2,61,3,49,4,37,5,25,6,13,7,4,8,1)</f>
        <v>37</v>
      </c>
      <c r="K1113" t="str" cm="1">
        <f t="array" ref="K1113">IFERROR(_xlfn.SWITCH(L1113,2,_xlfn.XLOOKUP(C1113,[1]ModifierDes!$B:$B,[1]ModifierDes!$C:$C),3,_xlfn.XLOOKUP(C1113,[1]StuntDes!$B:$B,[1]StuntDes!$C:$C)),"")</f>
        <v/>
      </c>
      <c r="L1113">
        <f t="shared" si="49"/>
        <v>1</v>
      </c>
      <c r="M1113" s="10" t="str">
        <f>IFERROR(_xlfn.XLOOKUP(C1113,[1]StuntDes!$B:$B,[1]StuntDes!$A:$A),"")</f>
        <v/>
      </c>
      <c r="N1113" s="10" t="str">
        <f>IFERROR(_xlfn.XLOOKUP(C1113,[1]ModifierDes!$B:$B,[1]ModifierDes!$A:$A),"")</f>
        <v/>
      </c>
      <c r="O1113" s="10">
        <f>IFERROR(_xlfn.XLOOKUP(C1113,[1]AttributeName!$C:$C,[1]AttributeName!$B:$B),"")</f>
        <v>10501</v>
      </c>
      <c r="P1113" s="10"/>
      <c r="Q1113">
        <v>0.18</v>
      </c>
      <c r="R1113">
        <v>0.21</v>
      </c>
      <c r="S1113" cm="1">
        <f t="array" ref="S1113">IFERROR(_xlfn.SWITCH(L1113,1,_xlfn.XLOOKUP(O1113,[1]AttributeName!$B:$B,[1]AttributeName!$D:$D),2,_xlfn.XLOOKUP(C1113,#REF!,#REF!),3,_xlfn.XLOOKUP(C1113,#REF!,#REF!)),0)</f>
        <v>2</v>
      </c>
      <c r="T1113" cm="1">
        <f t="array" ref="T1113">IFERROR(_xlfn.SWITCH(L1113,1,_xlfn.XLOOKUP(O1113,[1]AttributeName!$B:$B,[1]AttributeName!$E:$E),2,_xlfn.XLOOKUP(C1113,#REF!,#REF!),3,_xlfn.XLOOKUP(C1113,#REF!,#REF!)),0)</f>
        <v>2</v>
      </c>
    </row>
    <row r="1114" customFormat="1" spans="1:20">
      <c r="A1114">
        <f t="shared" si="50"/>
        <v>459</v>
      </c>
      <c r="B1114">
        <v>5</v>
      </c>
      <c r="C1114" t="s">
        <v>402</v>
      </c>
      <c r="D1114" t="s">
        <v>27</v>
      </c>
      <c r="E1114" t="s">
        <v>392</v>
      </c>
      <c r="F1114"/>
      <c r="G1114">
        <v>2</v>
      </c>
      <c r="H1114">
        <v>500</v>
      </c>
      <c r="I1114">
        <v>3</v>
      </c>
      <c r="J1114" cm="1">
        <f t="array" ref="J1114">_xlfn.SWITCH(B1114,1,75,2,61,3,49,4,37,5,25,6,13,7,4,8,1)</f>
        <v>25</v>
      </c>
      <c r="K1114" t="str" cm="1">
        <f t="array" ref="K1114">IFERROR(_xlfn.SWITCH(L1114,2,_xlfn.XLOOKUP(C1114,[1]ModifierDes!$B:$B,[1]ModifierDes!$C:$C),3,_xlfn.XLOOKUP(C1114,[1]StuntDes!$B:$B,[1]StuntDes!$C:$C)),"")</f>
        <v/>
      </c>
      <c r="L1114">
        <f t="shared" si="49"/>
        <v>1</v>
      </c>
      <c r="M1114" s="10" t="str">
        <f>IFERROR(_xlfn.XLOOKUP(C1114,[1]StuntDes!$B:$B,[1]StuntDes!$A:$A),"")</f>
        <v/>
      </c>
      <c r="N1114" s="10" t="str">
        <f>IFERROR(_xlfn.XLOOKUP(C1114,[1]ModifierDes!$B:$B,[1]ModifierDes!$A:$A),"")</f>
        <v/>
      </c>
      <c r="O1114" s="10">
        <f>IFERROR(_xlfn.XLOOKUP(C1114,[1]AttributeName!$C:$C,[1]AttributeName!$B:$B),"")</f>
        <v>10501</v>
      </c>
      <c r="P1114" s="10"/>
      <c r="Q1114">
        <v>0.14</v>
      </c>
      <c r="R1114">
        <v>0.17</v>
      </c>
      <c r="S1114" cm="1">
        <f t="array" ref="S1114">IFERROR(_xlfn.SWITCH(L1114,1,_xlfn.XLOOKUP(O1114,[1]AttributeName!$B:$B,[1]AttributeName!$D:$D),2,_xlfn.XLOOKUP(C1114,#REF!,#REF!),3,_xlfn.XLOOKUP(C1114,#REF!,#REF!)),0)</f>
        <v>2</v>
      </c>
      <c r="T1114" cm="1">
        <f t="array" ref="T1114">IFERROR(_xlfn.SWITCH(L1114,1,_xlfn.XLOOKUP(O1114,[1]AttributeName!$B:$B,[1]AttributeName!$E:$E),2,_xlfn.XLOOKUP(C1114,#REF!,#REF!),3,_xlfn.XLOOKUP(C1114,#REF!,#REF!)),0)</f>
        <v>2</v>
      </c>
    </row>
    <row r="1115" customFormat="1" spans="1:20">
      <c r="A1115">
        <f t="shared" si="50"/>
        <v>459</v>
      </c>
      <c r="B1115">
        <v>6</v>
      </c>
      <c r="C1115" t="s">
        <v>402</v>
      </c>
      <c r="D1115" t="s">
        <v>27</v>
      </c>
      <c r="E1115" t="s">
        <v>392</v>
      </c>
      <c r="F1115"/>
      <c r="G1115">
        <v>2</v>
      </c>
      <c r="H1115">
        <v>500</v>
      </c>
      <c r="I1115">
        <v>3</v>
      </c>
      <c r="J1115" cm="1">
        <f t="array" ref="J1115">_xlfn.SWITCH(B1115,1,75,2,61,3,49,4,37,5,25,6,13,7,4,8,1)</f>
        <v>13</v>
      </c>
      <c r="K1115" t="str" cm="1">
        <f t="array" ref="K1115">IFERROR(_xlfn.SWITCH(L1115,2,_xlfn.XLOOKUP(C1115,[1]ModifierDes!$B:$B,[1]ModifierDes!$C:$C),3,_xlfn.XLOOKUP(C1115,[1]StuntDes!$B:$B,[1]StuntDes!$C:$C)),"")</f>
        <v/>
      </c>
      <c r="L1115">
        <f t="shared" si="49"/>
        <v>1</v>
      </c>
      <c r="M1115" s="10" t="str">
        <f>IFERROR(_xlfn.XLOOKUP(C1115,[1]StuntDes!$B:$B,[1]StuntDes!$A:$A),"")</f>
        <v/>
      </c>
      <c r="N1115" s="10" t="str">
        <f>IFERROR(_xlfn.XLOOKUP(C1115,[1]ModifierDes!$B:$B,[1]ModifierDes!$A:$A),"")</f>
        <v/>
      </c>
      <c r="O1115" s="10">
        <f>IFERROR(_xlfn.XLOOKUP(C1115,[1]AttributeName!$C:$C,[1]AttributeName!$B:$B),"")</f>
        <v>10501</v>
      </c>
      <c r="P1115" s="10"/>
      <c r="Q1115">
        <v>0.1</v>
      </c>
      <c r="R1115">
        <v>0.13</v>
      </c>
      <c r="S1115" cm="1">
        <f t="array" ref="S1115">IFERROR(_xlfn.SWITCH(L1115,1,_xlfn.XLOOKUP(O1115,[1]AttributeName!$B:$B,[1]AttributeName!$D:$D),2,_xlfn.XLOOKUP(C1115,#REF!,#REF!),3,_xlfn.XLOOKUP(C1115,#REF!,#REF!)),0)</f>
        <v>2</v>
      </c>
      <c r="T1115" cm="1">
        <f t="array" ref="T1115">IFERROR(_xlfn.SWITCH(L1115,1,_xlfn.XLOOKUP(O1115,[1]AttributeName!$B:$B,[1]AttributeName!$E:$E),2,_xlfn.XLOOKUP(C1115,#REF!,#REF!),3,_xlfn.XLOOKUP(C1115,#REF!,#REF!)),0)</f>
        <v>2</v>
      </c>
    </row>
    <row r="1116" customFormat="1" spans="1:20">
      <c r="A1116">
        <f t="shared" si="50"/>
        <v>459</v>
      </c>
      <c r="B1116">
        <v>7</v>
      </c>
      <c r="C1116" t="s">
        <v>402</v>
      </c>
      <c r="D1116" t="s">
        <v>27</v>
      </c>
      <c r="E1116" t="s">
        <v>392</v>
      </c>
      <c r="F1116"/>
      <c r="G1116">
        <v>2</v>
      </c>
      <c r="H1116">
        <v>500</v>
      </c>
      <c r="I1116">
        <v>3</v>
      </c>
      <c r="J1116" cm="1">
        <f t="array" ref="J1116">_xlfn.SWITCH(B1116,1,75,2,61,3,49,4,37,5,25,6,13,7,4,8,1)</f>
        <v>4</v>
      </c>
      <c r="K1116" t="str" cm="1">
        <f t="array" ref="K1116">IFERROR(_xlfn.SWITCH(L1116,2,_xlfn.XLOOKUP(C1116,[1]ModifierDes!$B:$B,[1]ModifierDes!$C:$C),3,_xlfn.XLOOKUP(C1116,[1]StuntDes!$B:$B,[1]StuntDes!$C:$C)),"")</f>
        <v/>
      </c>
      <c r="L1116">
        <f t="shared" si="49"/>
        <v>1</v>
      </c>
      <c r="M1116" s="10" t="str">
        <f>IFERROR(_xlfn.XLOOKUP(C1116,[1]StuntDes!$B:$B,[1]StuntDes!$A:$A),"")</f>
        <v/>
      </c>
      <c r="N1116" s="10" t="str">
        <f>IFERROR(_xlfn.XLOOKUP(C1116,[1]ModifierDes!$B:$B,[1]ModifierDes!$A:$A),"")</f>
        <v/>
      </c>
      <c r="O1116" s="10">
        <f>IFERROR(_xlfn.XLOOKUP(C1116,[1]AttributeName!$C:$C,[1]AttributeName!$B:$B),"")</f>
        <v>10501</v>
      </c>
      <c r="P1116" s="10"/>
      <c r="Q1116">
        <v>0.06</v>
      </c>
      <c r="R1116">
        <v>0.0900000000000001</v>
      </c>
      <c r="S1116" cm="1">
        <f t="array" ref="S1116">IFERROR(_xlfn.SWITCH(L1116,1,_xlfn.XLOOKUP(O1116,[1]AttributeName!$B:$B,[1]AttributeName!$D:$D),2,_xlfn.XLOOKUP(C1116,#REF!,#REF!),3,_xlfn.XLOOKUP(C1116,#REF!,#REF!)),0)</f>
        <v>2</v>
      </c>
      <c r="T1116" cm="1">
        <f t="array" ref="T1116">IFERROR(_xlfn.SWITCH(L1116,1,_xlfn.XLOOKUP(O1116,[1]AttributeName!$B:$B,[1]AttributeName!$E:$E),2,_xlfn.XLOOKUP(C1116,#REF!,#REF!),3,_xlfn.XLOOKUP(C1116,#REF!,#REF!)),0)</f>
        <v>2</v>
      </c>
    </row>
    <row r="1117" customFormat="1" spans="1:20">
      <c r="A1117">
        <f t="shared" si="50"/>
        <v>459</v>
      </c>
      <c r="B1117">
        <v>8</v>
      </c>
      <c r="C1117" t="s">
        <v>402</v>
      </c>
      <c r="D1117" t="s">
        <v>27</v>
      </c>
      <c r="E1117" t="s">
        <v>392</v>
      </c>
      <c r="F1117"/>
      <c r="G1117">
        <v>2</v>
      </c>
      <c r="H1117">
        <v>500</v>
      </c>
      <c r="I1117">
        <v>3</v>
      </c>
      <c r="J1117" cm="1">
        <f t="array" ref="J1117">_xlfn.SWITCH(B1117,1,75,2,61,3,49,4,37,5,25,6,13,7,4,8,1)</f>
        <v>1</v>
      </c>
      <c r="K1117" t="str" cm="1">
        <f t="array" ref="K1117">IFERROR(_xlfn.SWITCH(L1117,2,_xlfn.XLOOKUP(C1117,[1]ModifierDes!$B:$B,[1]ModifierDes!$C:$C),3,_xlfn.XLOOKUP(C1117,[1]StuntDes!$B:$B,[1]StuntDes!$C:$C)),"")</f>
        <v/>
      </c>
      <c r="L1117">
        <f t="shared" si="49"/>
        <v>1</v>
      </c>
      <c r="M1117" s="10" t="str">
        <f>IFERROR(_xlfn.XLOOKUP(C1117,[1]StuntDes!$B:$B,[1]StuntDes!$A:$A),"")</f>
        <v/>
      </c>
      <c r="N1117" s="10" t="str">
        <f>IFERROR(_xlfn.XLOOKUP(C1117,[1]ModifierDes!$B:$B,[1]ModifierDes!$A:$A),"")</f>
        <v/>
      </c>
      <c r="O1117" s="10">
        <f>IFERROR(_xlfn.XLOOKUP(C1117,[1]AttributeName!$C:$C,[1]AttributeName!$B:$B),"")</f>
        <v>10501</v>
      </c>
      <c r="P1117" s="10"/>
      <c r="Q1117">
        <v>0.02</v>
      </c>
      <c r="R1117">
        <v>0.0500000000000001</v>
      </c>
      <c r="S1117" cm="1">
        <f t="array" ref="S1117">IFERROR(_xlfn.SWITCH(L1117,1,_xlfn.XLOOKUP(O1117,[1]AttributeName!$B:$B,[1]AttributeName!$D:$D),2,_xlfn.XLOOKUP(C1117,#REF!,#REF!),3,_xlfn.XLOOKUP(C1117,#REF!,#REF!)),0)</f>
        <v>2</v>
      </c>
      <c r="T1117" cm="1">
        <f t="array" ref="T1117">IFERROR(_xlfn.SWITCH(L1117,1,_xlfn.XLOOKUP(O1117,[1]AttributeName!$B:$B,[1]AttributeName!$E:$E),2,_xlfn.XLOOKUP(C1117,#REF!,#REF!),3,_xlfn.XLOOKUP(C1117,#REF!,#REF!)),0)</f>
        <v>2</v>
      </c>
    </row>
    <row r="1118" customFormat="1" spans="1:20">
      <c r="A1118">
        <f t="shared" si="50"/>
        <v>460</v>
      </c>
      <c r="B1118">
        <v>1</v>
      </c>
      <c r="C1118" t="s">
        <v>403</v>
      </c>
      <c r="D1118" t="s">
        <v>27</v>
      </c>
      <c r="E1118" t="s">
        <v>392</v>
      </c>
      <c r="F1118"/>
      <c r="G1118">
        <v>2</v>
      </c>
      <c r="H1118">
        <v>50</v>
      </c>
      <c r="I1118">
        <v>3</v>
      </c>
      <c r="J1118" cm="1">
        <f t="array" ref="J1118">_xlfn.SWITCH(B1118,1,75,2,61,3,49,4,37,5,25,6,13,7,4,8,1)</f>
        <v>75</v>
      </c>
      <c r="K1118" t="str" cm="1">
        <f t="array" ref="K1118">IFERROR(_xlfn.SWITCH(L1118,2,_xlfn.XLOOKUP(C1118,[1]ModifierDes!$B:$B,[1]ModifierDes!$C:$C),3,_xlfn.XLOOKUP(C1118,[1]StuntDes!$B:$B,[1]StuntDes!$C:$C)),"")</f>
        <v/>
      </c>
      <c r="L1118">
        <f t="shared" si="49"/>
        <v>1</v>
      </c>
      <c r="M1118" s="10" t="str">
        <f>IFERROR(_xlfn.XLOOKUP(C1118,[1]StuntDes!$B:$B,[1]StuntDes!$A:$A),"")</f>
        <v/>
      </c>
      <c r="N1118" s="10" t="str">
        <f>IFERROR(_xlfn.XLOOKUP(C1118,[1]ModifierDes!$B:$B,[1]ModifierDes!$A:$A),"")</f>
        <v/>
      </c>
      <c r="O1118" s="10">
        <f>IFERROR(_xlfn.XLOOKUP(C1118,[1]AttributeName!$C:$C,[1]AttributeName!$B:$B),"")</f>
        <v>10502</v>
      </c>
      <c r="P1118" s="10"/>
      <c r="Q1118">
        <v>0.3</v>
      </c>
      <c r="R1118">
        <v>0.4</v>
      </c>
      <c r="S1118" cm="1">
        <f t="array" ref="S1118">IFERROR(_xlfn.SWITCH(L1118,1,_xlfn.XLOOKUP(O1118,[1]AttributeName!$B:$B,[1]AttributeName!$D:$D),2,_xlfn.XLOOKUP(C1118,#REF!,#REF!),3,_xlfn.XLOOKUP(C1118,#REF!,#REF!)),0)</f>
        <v>2</v>
      </c>
      <c r="T1118" cm="1">
        <f t="array" ref="T1118">IFERROR(_xlfn.SWITCH(L1118,1,_xlfn.XLOOKUP(O1118,[1]AttributeName!$B:$B,[1]AttributeName!$E:$E),2,_xlfn.XLOOKUP(C1118,#REF!,#REF!),3,_xlfn.XLOOKUP(C1118,#REF!,#REF!)),0)</f>
        <v>2</v>
      </c>
    </row>
    <row r="1119" customFormat="1" spans="1:20">
      <c r="A1119">
        <f t="shared" si="50"/>
        <v>460</v>
      </c>
      <c r="B1119">
        <v>2</v>
      </c>
      <c r="C1119" t="s">
        <v>403</v>
      </c>
      <c r="D1119" t="s">
        <v>27</v>
      </c>
      <c r="E1119" t="s">
        <v>392</v>
      </c>
      <c r="F1119"/>
      <c r="G1119">
        <v>2</v>
      </c>
      <c r="H1119">
        <v>100</v>
      </c>
      <c r="I1119">
        <v>3</v>
      </c>
      <c r="J1119" cm="1">
        <f t="array" ref="J1119">_xlfn.SWITCH(B1119,1,75,2,61,3,49,4,37,5,25,6,13,7,4,8,1)</f>
        <v>61</v>
      </c>
      <c r="K1119" t="str" cm="1">
        <f t="array" ref="K1119">IFERROR(_xlfn.SWITCH(L1119,2,_xlfn.XLOOKUP(C1119,[1]ModifierDes!$B:$B,[1]ModifierDes!$C:$C),3,_xlfn.XLOOKUP(C1119,[1]StuntDes!$B:$B,[1]StuntDes!$C:$C)),"")</f>
        <v/>
      </c>
      <c r="L1119">
        <f t="shared" si="49"/>
        <v>1</v>
      </c>
      <c r="M1119" s="10" t="str">
        <f>IFERROR(_xlfn.XLOOKUP(C1119,[1]StuntDes!$B:$B,[1]StuntDes!$A:$A),"")</f>
        <v/>
      </c>
      <c r="N1119" s="10" t="str">
        <f>IFERROR(_xlfn.XLOOKUP(C1119,[1]ModifierDes!$B:$B,[1]ModifierDes!$A:$A),"")</f>
        <v/>
      </c>
      <c r="O1119" s="10">
        <f>IFERROR(_xlfn.XLOOKUP(C1119,[1]AttributeName!$C:$C,[1]AttributeName!$B:$B),"")</f>
        <v>10502</v>
      </c>
      <c r="P1119" s="10"/>
      <c r="Q1119">
        <v>0.26</v>
      </c>
      <c r="R1119">
        <v>0.29</v>
      </c>
      <c r="S1119" cm="1">
        <f t="array" ref="S1119">IFERROR(_xlfn.SWITCH(L1119,1,_xlfn.XLOOKUP(O1119,[1]AttributeName!$B:$B,[1]AttributeName!$D:$D),2,_xlfn.XLOOKUP(C1119,#REF!,#REF!),3,_xlfn.XLOOKUP(C1119,#REF!,#REF!)),0)</f>
        <v>2</v>
      </c>
      <c r="T1119" cm="1">
        <f t="array" ref="T1119">IFERROR(_xlfn.SWITCH(L1119,1,_xlfn.XLOOKUP(O1119,[1]AttributeName!$B:$B,[1]AttributeName!$E:$E),2,_xlfn.XLOOKUP(C1119,#REF!,#REF!),3,_xlfn.XLOOKUP(C1119,#REF!,#REF!)),0)</f>
        <v>2</v>
      </c>
    </row>
    <row r="1120" customFormat="1" spans="1:20">
      <c r="A1120">
        <f t="shared" si="50"/>
        <v>460</v>
      </c>
      <c r="B1120">
        <v>3</v>
      </c>
      <c r="C1120" t="s">
        <v>403</v>
      </c>
      <c r="D1120" t="s">
        <v>27</v>
      </c>
      <c r="E1120" t="s">
        <v>392</v>
      </c>
      <c r="F1120"/>
      <c r="G1120">
        <v>2</v>
      </c>
      <c r="H1120">
        <v>250</v>
      </c>
      <c r="I1120">
        <v>3</v>
      </c>
      <c r="J1120" cm="1">
        <f t="array" ref="J1120">_xlfn.SWITCH(B1120,1,75,2,61,3,49,4,37,5,25,6,13,7,4,8,1)</f>
        <v>49</v>
      </c>
      <c r="K1120" t="str" cm="1">
        <f t="array" ref="K1120">IFERROR(_xlfn.SWITCH(L1120,2,_xlfn.XLOOKUP(C1120,[1]ModifierDes!$B:$B,[1]ModifierDes!$C:$C),3,_xlfn.XLOOKUP(C1120,[1]StuntDes!$B:$B,[1]StuntDes!$C:$C)),"")</f>
        <v/>
      </c>
      <c r="L1120">
        <f t="shared" si="49"/>
        <v>1</v>
      </c>
      <c r="M1120" s="10" t="str">
        <f>IFERROR(_xlfn.XLOOKUP(C1120,[1]StuntDes!$B:$B,[1]StuntDes!$A:$A),"")</f>
        <v/>
      </c>
      <c r="N1120" s="10" t="str">
        <f>IFERROR(_xlfn.XLOOKUP(C1120,[1]ModifierDes!$B:$B,[1]ModifierDes!$A:$A),"")</f>
        <v/>
      </c>
      <c r="O1120" s="10">
        <f>IFERROR(_xlfn.XLOOKUP(C1120,[1]AttributeName!$C:$C,[1]AttributeName!$B:$B),"")</f>
        <v>10502</v>
      </c>
      <c r="P1120" s="10"/>
      <c r="Q1120">
        <v>0.22</v>
      </c>
      <c r="R1120">
        <v>0.25</v>
      </c>
      <c r="S1120" cm="1">
        <f t="array" ref="S1120">IFERROR(_xlfn.SWITCH(L1120,1,_xlfn.XLOOKUP(O1120,[1]AttributeName!$B:$B,[1]AttributeName!$D:$D),2,_xlfn.XLOOKUP(C1120,#REF!,#REF!),3,_xlfn.XLOOKUP(C1120,#REF!,#REF!)),0)</f>
        <v>2</v>
      </c>
      <c r="T1120" cm="1">
        <f t="array" ref="T1120">IFERROR(_xlfn.SWITCH(L1120,1,_xlfn.XLOOKUP(O1120,[1]AttributeName!$B:$B,[1]AttributeName!$E:$E),2,_xlfn.XLOOKUP(C1120,#REF!,#REF!),3,_xlfn.XLOOKUP(C1120,#REF!,#REF!)),0)</f>
        <v>2</v>
      </c>
    </row>
    <row r="1121" customFormat="1" spans="1:20">
      <c r="A1121">
        <f t="shared" si="50"/>
        <v>460</v>
      </c>
      <c r="B1121">
        <v>4</v>
      </c>
      <c r="C1121" t="s">
        <v>403</v>
      </c>
      <c r="D1121" t="s">
        <v>27</v>
      </c>
      <c r="E1121" t="s">
        <v>392</v>
      </c>
      <c r="F1121"/>
      <c r="G1121">
        <v>2</v>
      </c>
      <c r="H1121">
        <v>500</v>
      </c>
      <c r="I1121">
        <v>3</v>
      </c>
      <c r="J1121" cm="1">
        <f t="array" ref="J1121">_xlfn.SWITCH(B1121,1,75,2,61,3,49,4,37,5,25,6,13,7,4,8,1)</f>
        <v>37</v>
      </c>
      <c r="K1121" t="str" cm="1">
        <f t="array" ref="K1121">IFERROR(_xlfn.SWITCH(L1121,2,_xlfn.XLOOKUP(C1121,[1]ModifierDes!$B:$B,[1]ModifierDes!$C:$C),3,_xlfn.XLOOKUP(C1121,[1]StuntDes!$B:$B,[1]StuntDes!$C:$C)),"")</f>
        <v/>
      </c>
      <c r="L1121">
        <f t="shared" si="49"/>
        <v>1</v>
      </c>
      <c r="M1121" s="10" t="str">
        <f>IFERROR(_xlfn.XLOOKUP(C1121,[1]StuntDes!$B:$B,[1]StuntDes!$A:$A),"")</f>
        <v/>
      </c>
      <c r="N1121" s="10" t="str">
        <f>IFERROR(_xlfn.XLOOKUP(C1121,[1]ModifierDes!$B:$B,[1]ModifierDes!$A:$A),"")</f>
        <v/>
      </c>
      <c r="O1121" s="10">
        <f>IFERROR(_xlfn.XLOOKUP(C1121,[1]AttributeName!$C:$C,[1]AttributeName!$B:$B),"")</f>
        <v>10502</v>
      </c>
      <c r="P1121" s="10"/>
      <c r="Q1121">
        <v>0.18</v>
      </c>
      <c r="R1121">
        <v>0.21</v>
      </c>
      <c r="S1121" cm="1">
        <f t="array" ref="S1121">IFERROR(_xlfn.SWITCH(L1121,1,_xlfn.XLOOKUP(O1121,[1]AttributeName!$B:$B,[1]AttributeName!$D:$D),2,_xlfn.XLOOKUP(C1121,#REF!,#REF!),3,_xlfn.XLOOKUP(C1121,#REF!,#REF!)),0)</f>
        <v>2</v>
      </c>
      <c r="T1121" cm="1">
        <f t="array" ref="T1121">IFERROR(_xlfn.SWITCH(L1121,1,_xlfn.XLOOKUP(O1121,[1]AttributeName!$B:$B,[1]AttributeName!$E:$E),2,_xlfn.XLOOKUP(C1121,#REF!,#REF!),3,_xlfn.XLOOKUP(C1121,#REF!,#REF!)),0)</f>
        <v>2</v>
      </c>
    </row>
    <row r="1122" customFormat="1" spans="1:20">
      <c r="A1122">
        <f t="shared" si="50"/>
        <v>460</v>
      </c>
      <c r="B1122">
        <v>5</v>
      </c>
      <c r="C1122" t="s">
        <v>403</v>
      </c>
      <c r="D1122" t="s">
        <v>27</v>
      </c>
      <c r="E1122" t="s">
        <v>392</v>
      </c>
      <c r="F1122"/>
      <c r="G1122">
        <v>2</v>
      </c>
      <c r="H1122">
        <v>500</v>
      </c>
      <c r="I1122">
        <v>3</v>
      </c>
      <c r="J1122" cm="1">
        <f t="array" ref="J1122">_xlfn.SWITCH(B1122,1,75,2,61,3,49,4,37,5,25,6,13,7,4,8,1)</f>
        <v>25</v>
      </c>
      <c r="K1122" t="str" cm="1">
        <f t="array" ref="K1122">IFERROR(_xlfn.SWITCH(L1122,2,_xlfn.XLOOKUP(C1122,[1]ModifierDes!$B:$B,[1]ModifierDes!$C:$C),3,_xlfn.XLOOKUP(C1122,[1]StuntDes!$B:$B,[1]StuntDes!$C:$C)),"")</f>
        <v/>
      </c>
      <c r="L1122">
        <f t="shared" si="49"/>
        <v>1</v>
      </c>
      <c r="M1122" s="10" t="str">
        <f>IFERROR(_xlfn.XLOOKUP(C1122,[1]StuntDes!$B:$B,[1]StuntDes!$A:$A),"")</f>
        <v/>
      </c>
      <c r="N1122" s="10" t="str">
        <f>IFERROR(_xlfn.XLOOKUP(C1122,[1]ModifierDes!$B:$B,[1]ModifierDes!$A:$A),"")</f>
        <v/>
      </c>
      <c r="O1122" s="10">
        <f>IFERROR(_xlfn.XLOOKUP(C1122,[1]AttributeName!$C:$C,[1]AttributeName!$B:$B),"")</f>
        <v>10502</v>
      </c>
      <c r="P1122" s="10"/>
      <c r="Q1122">
        <v>0.14</v>
      </c>
      <c r="R1122">
        <v>0.17</v>
      </c>
      <c r="S1122" cm="1">
        <f t="array" ref="S1122">IFERROR(_xlfn.SWITCH(L1122,1,_xlfn.XLOOKUP(O1122,[1]AttributeName!$B:$B,[1]AttributeName!$D:$D),2,_xlfn.XLOOKUP(C1122,#REF!,#REF!),3,_xlfn.XLOOKUP(C1122,#REF!,#REF!)),0)</f>
        <v>2</v>
      </c>
      <c r="T1122" cm="1">
        <f t="array" ref="T1122">IFERROR(_xlfn.SWITCH(L1122,1,_xlfn.XLOOKUP(O1122,[1]AttributeName!$B:$B,[1]AttributeName!$E:$E),2,_xlfn.XLOOKUP(C1122,#REF!,#REF!),3,_xlfn.XLOOKUP(C1122,#REF!,#REF!)),0)</f>
        <v>2</v>
      </c>
    </row>
    <row r="1123" customFormat="1" spans="1:20">
      <c r="A1123">
        <f t="shared" si="50"/>
        <v>460</v>
      </c>
      <c r="B1123">
        <v>6</v>
      </c>
      <c r="C1123" t="s">
        <v>403</v>
      </c>
      <c r="D1123" t="s">
        <v>27</v>
      </c>
      <c r="E1123" t="s">
        <v>392</v>
      </c>
      <c r="F1123"/>
      <c r="G1123">
        <v>2</v>
      </c>
      <c r="H1123">
        <v>500</v>
      </c>
      <c r="I1123">
        <v>3</v>
      </c>
      <c r="J1123" cm="1">
        <f t="array" ref="J1123">_xlfn.SWITCH(B1123,1,75,2,61,3,49,4,37,5,25,6,13,7,4,8,1)</f>
        <v>13</v>
      </c>
      <c r="K1123" t="str" cm="1">
        <f t="array" ref="K1123">IFERROR(_xlfn.SWITCH(L1123,2,_xlfn.XLOOKUP(C1123,[1]ModifierDes!$B:$B,[1]ModifierDes!$C:$C),3,_xlfn.XLOOKUP(C1123,[1]StuntDes!$B:$B,[1]StuntDes!$C:$C)),"")</f>
        <v/>
      </c>
      <c r="L1123">
        <f t="shared" si="49"/>
        <v>1</v>
      </c>
      <c r="M1123" s="10" t="str">
        <f>IFERROR(_xlfn.XLOOKUP(C1123,[1]StuntDes!$B:$B,[1]StuntDes!$A:$A),"")</f>
        <v/>
      </c>
      <c r="N1123" s="10" t="str">
        <f>IFERROR(_xlfn.XLOOKUP(C1123,[1]ModifierDes!$B:$B,[1]ModifierDes!$A:$A),"")</f>
        <v/>
      </c>
      <c r="O1123" s="10">
        <f>IFERROR(_xlfn.XLOOKUP(C1123,[1]AttributeName!$C:$C,[1]AttributeName!$B:$B),"")</f>
        <v>10502</v>
      </c>
      <c r="P1123" s="10"/>
      <c r="Q1123">
        <v>0.1</v>
      </c>
      <c r="R1123">
        <v>0.13</v>
      </c>
      <c r="S1123" cm="1">
        <f t="array" ref="S1123">IFERROR(_xlfn.SWITCH(L1123,1,_xlfn.XLOOKUP(O1123,[1]AttributeName!$B:$B,[1]AttributeName!$D:$D),2,_xlfn.XLOOKUP(C1123,#REF!,#REF!),3,_xlfn.XLOOKUP(C1123,#REF!,#REF!)),0)</f>
        <v>2</v>
      </c>
      <c r="T1123" cm="1">
        <f t="array" ref="T1123">IFERROR(_xlfn.SWITCH(L1123,1,_xlfn.XLOOKUP(O1123,[1]AttributeName!$B:$B,[1]AttributeName!$E:$E),2,_xlfn.XLOOKUP(C1123,#REF!,#REF!),3,_xlfn.XLOOKUP(C1123,#REF!,#REF!)),0)</f>
        <v>2</v>
      </c>
    </row>
    <row r="1124" customFormat="1" spans="1:20">
      <c r="A1124">
        <f t="shared" si="50"/>
        <v>460</v>
      </c>
      <c r="B1124">
        <v>7</v>
      </c>
      <c r="C1124" t="s">
        <v>403</v>
      </c>
      <c r="D1124" t="s">
        <v>27</v>
      </c>
      <c r="E1124" t="s">
        <v>392</v>
      </c>
      <c r="F1124"/>
      <c r="G1124">
        <v>2</v>
      </c>
      <c r="H1124">
        <v>500</v>
      </c>
      <c r="I1124">
        <v>3</v>
      </c>
      <c r="J1124" cm="1">
        <f t="array" ref="J1124">_xlfn.SWITCH(B1124,1,75,2,61,3,49,4,37,5,25,6,13,7,4,8,1)</f>
        <v>4</v>
      </c>
      <c r="K1124" t="str" cm="1">
        <f t="array" ref="K1124">IFERROR(_xlfn.SWITCH(L1124,2,_xlfn.XLOOKUP(C1124,[1]ModifierDes!$B:$B,[1]ModifierDes!$C:$C),3,_xlfn.XLOOKUP(C1124,[1]StuntDes!$B:$B,[1]StuntDes!$C:$C)),"")</f>
        <v/>
      </c>
      <c r="L1124">
        <f t="shared" si="49"/>
        <v>1</v>
      </c>
      <c r="M1124" s="10" t="str">
        <f>IFERROR(_xlfn.XLOOKUP(C1124,[1]StuntDes!$B:$B,[1]StuntDes!$A:$A),"")</f>
        <v/>
      </c>
      <c r="N1124" s="10" t="str">
        <f>IFERROR(_xlfn.XLOOKUP(C1124,[1]ModifierDes!$B:$B,[1]ModifierDes!$A:$A),"")</f>
        <v/>
      </c>
      <c r="O1124" s="10">
        <f>IFERROR(_xlfn.XLOOKUP(C1124,[1]AttributeName!$C:$C,[1]AttributeName!$B:$B),"")</f>
        <v>10502</v>
      </c>
      <c r="P1124" s="10"/>
      <c r="Q1124">
        <v>0.06</v>
      </c>
      <c r="R1124">
        <v>0.0900000000000001</v>
      </c>
      <c r="S1124" cm="1">
        <f t="array" ref="S1124">IFERROR(_xlfn.SWITCH(L1124,1,_xlfn.XLOOKUP(O1124,[1]AttributeName!$B:$B,[1]AttributeName!$D:$D),2,_xlfn.XLOOKUP(C1124,#REF!,#REF!),3,_xlfn.XLOOKUP(C1124,#REF!,#REF!)),0)</f>
        <v>2</v>
      </c>
      <c r="T1124" cm="1">
        <f t="array" ref="T1124">IFERROR(_xlfn.SWITCH(L1124,1,_xlfn.XLOOKUP(O1124,[1]AttributeName!$B:$B,[1]AttributeName!$E:$E),2,_xlfn.XLOOKUP(C1124,#REF!,#REF!),3,_xlfn.XLOOKUP(C1124,#REF!,#REF!)),0)</f>
        <v>2</v>
      </c>
    </row>
    <row r="1125" customFormat="1" spans="1:20">
      <c r="A1125">
        <f t="shared" si="50"/>
        <v>460</v>
      </c>
      <c r="B1125">
        <v>8</v>
      </c>
      <c r="C1125" t="s">
        <v>403</v>
      </c>
      <c r="D1125" t="s">
        <v>27</v>
      </c>
      <c r="E1125" t="s">
        <v>392</v>
      </c>
      <c r="F1125"/>
      <c r="G1125">
        <v>2</v>
      </c>
      <c r="H1125">
        <v>500</v>
      </c>
      <c r="I1125">
        <v>3</v>
      </c>
      <c r="J1125" cm="1">
        <f t="array" ref="J1125">_xlfn.SWITCH(B1125,1,75,2,61,3,49,4,37,5,25,6,13,7,4,8,1)</f>
        <v>1</v>
      </c>
      <c r="K1125" t="str" cm="1">
        <f t="array" ref="K1125">IFERROR(_xlfn.SWITCH(L1125,2,_xlfn.XLOOKUP(C1125,[1]ModifierDes!$B:$B,[1]ModifierDes!$C:$C),3,_xlfn.XLOOKUP(C1125,[1]StuntDes!$B:$B,[1]StuntDes!$C:$C)),"")</f>
        <v/>
      </c>
      <c r="L1125">
        <f t="shared" si="49"/>
        <v>1</v>
      </c>
      <c r="M1125" s="10" t="str">
        <f>IFERROR(_xlfn.XLOOKUP(C1125,[1]StuntDes!$B:$B,[1]StuntDes!$A:$A),"")</f>
        <v/>
      </c>
      <c r="N1125" s="10" t="str">
        <f>IFERROR(_xlfn.XLOOKUP(C1125,[1]ModifierDes!$B:$B,[1]ModifierDes!$A:$A),"")</f>
        <v/>
      </c>
      <c r="O1125" s="10">
        <f>IFERROR(_xlfn.XLOOKUP(C1125,[1]AttributeName!$C:$C,[1]AttributeName!$B:$B),"")</f>
        <v>10502</v>
      </c>
      <c r="P1125" s="10"/>
      <c r="Q1125">
        <v>0.02</v>
      </c>
      <c r="R1125">
        <v>0.0500000000000001</v>
      </c>
      <c r="S1125" cm="1">
        <f t="array" ref="S1125">IFERROR(_xlfn.SWITCH(L1125,1,_xlfn.XLOOKUP(O1125,[1]AttributeName!$B:$B,[1]AttributeName!$D:$D),2,_xlfn.XLOOKUP(C1125,#REF!,#REF!),3,_xlfn.XLOOKUP(C1125,#REF!,#REF!)),0)</f>
        <v>2</v>
      </c>
      <c r="T1125" cm="1">
        <f t="array" ref="T1125">IFERROR(_xlfn.SWITCH(L1125,1,_xlfn.XLOOKUP(O1125,[1]AttributeName!$B:$B,[1]AttributeName!$E:$E),2,_xlfn.XLOOKUP(C1125,#REF!,#REF!),3,_xlfn.XLOOKUP(C1125,#REF!,#REF!)),0)</f>
        <v>2</v>
      </c>
    </row>
    <row r="1126" customFormat="1" spans="1:20">
      <c r="A1126">
        <f t="shared" si="50"/>
        <v>461</v>
      </c>
      <c r="B1126">
        <v>1</v>
      </c>
      <c r="C1126" t="s">
        <v>404</v>
      </c>
      <c r="D1126" t="s">
        <v>27</v>
      </c>
      <c r="E1126" t="s">
        <v>392</v>
      </c>
      <c r="F1126"/>
      <c r="G1126">
        <v>2</v>
      </c>
      <c r="H1126">
        <v>50</v>
      </c>
      <c r="I1126">
        <v>3</v>
      </c>
      <c r="J1126" cm="1">
        <f t="array" ref="J1126">_xlfn.SWITCH(B1126,1,75,2,61,3,49,4,37,5,25,6,13,7,4,8,1)</f>
        <v>75</v>
      </c>
      <c r="K1126" t="str" cm="1">
        <f t="array" ref="K1126">IFERROR(_xlfn.SWITCH(L1126,2,_xlfn.XLOOKUP(C1126,[1]ModifierDes!$B:$B,[1]ModifierDes!$C:$C),3,_xlfn.XLOOKUP(C1126,[1]StuntDes!$B:$B,[1]StuntDes!$C:$C)),"")</f>
        <v/>
      </c>
      <c r="L1126">
        <f t="shared" si="49"/>
        <v>1</v>
      </c>
      <c r="M1126" s="10" t="str">
        <f>IFERROR(_xlfn.XLOOKUP(C1126,[1]StuntDes!$B:$B,[1]StuntDes!$A:$A),"")</f>
        <v/>
      </c>
      <c r="N1126" s="10" t="str">
        <f>IFERROR(_xlfn.XLOOKUP(C1126,[1]ModifierDes!$B:$B,[1]ModifierDes!$A:$A),"")</f>
        <v/>
      </c>
      <c r="O1126" s="10">
        <f>IFERROR(_xlfn.XLOOKUP(C1126,[1]AttributeName!$C:$C,[1]AttributeName!$B:$B),"")</f>
        <v>10503</v>
      </c>
      <c r="P1126" s="10"/>
      <c r="Q1126">
        <v>0.3</v>
      </c>
      <c r="R1126">
        <v>0.4</v>
      </c>
      <c r="S1126" cm="1">
        <f t="array" ref="S1126">IFERROR(_xlfn.SWITCH(L1126,1,_xlfn.XLOOKUP(O1126,[1]AttributeName!$B:$B,[1]AttributeName!$D:$D),2,_xlfn.XLOOKUP(C1126,#REF!,#REF!),3,_xlfn.XLOOKUP(C1126,#REF!,#REF!)),0)</f>
        <v>2</v>
      </c>
      <c r="T1126" cm="1">
        <f t="array" ref="T1126">IFERROR(_xlfn.SWITCH(L1126,1,_xlfn.XLOOKUP(O1126,[1]AttributeName!$B:$B,[1]AttributeName!$E:$E),2,_xlfn.XLOOKUP(C1126,#REF!,#REF!),3,_xlfn.XLOOKUP(C1126,#REF!,#REF!)),0)</f>
        <v>2</v>
      </c>
    </row>
    <row r="1127" customFormat="1" spans="1:20">
      <c r="A1127">
        <f t="shared" si="50"/>
        <v>461</v>
      </c>
      <c r="B1127">
        <v>2</v>
      </c>
      <c r="C1127" t="s">
        <v>404</v>
      </c>
      <c r="D1127" t="s">
        <v>27</v>
      </c>
      <c r="E1127" t="s">
        <v>392</v>
      </c>
      <c r="F1127"/>
      <c r="G1127">
        <v>2</v>
      </c>
      <c r="H1127">
        <v>100</v>
      </c>
      <c r="I1127">
        <v>3</v>
      </c>
      <c r="J1127" cm="1">
        <f t="array" ref="J1127">_xlfn.SWITCH(B1127,1,75,2,61,3,49,4,37,5,25,6,13,7,4,8,1)</f>
        <v>61</v>
      </c>
      <c r="K1127" t="str" cm="1">
        <f t="array" ref="K1127">IFERROR(_xlfn.SWITCH(L1127,2,_xlfn.XLOOKUP(C1127,[1]ModifierDes!$B:$B,[1]ModifierDes!$C:$C),3,_xlfn.XLOOKUP(C1127,[1]StuntDes!$B:$B,[1]StuntDes!$C:$C)),"")</f>
        <v/>
      </c>
      <c r="L1127">
        <f t="shared" si="49"/>
        <v>1</v>
      </c>
      <c r="M1127" s="10" t="str">
        <f>IFERROR(_xlfn.XLOOKUP(C1127,[1]StuntDes!$B:$B,[1]StuntDes!$A:$A),"")</f>
        <v/>
      </c>
      <c r="N1127" s="10" t="str">
        <f>IFERROR(_xlfn.XLOOKUP(C1127,[1]ModifierDes!$B:$B,[1]ModifierDes!$A:$A),"")</f>
        <v/>
      </c>
      <c r="O1127" s="10">
        <f>IFERROR(_xlfn.XLOOKUP(C1127,[1]AttributeName!$C:$C,[1]AttributeName!$B:$B),"")</f>
        <v>10503</v>
      </c>
      <c r="P1127" s="10"/>
      <c r="Q1127">
        <v>0.26</v>
      </c>
      <c r="R1127">
        <v>0.29</v>
      </c>
      <c r="S1127" cm="1">
        <f t="array" ref="S1127">IFERROR(_xlfn.SWITCH(L1127,1,_xlfn.XLOOKUP(O1127,[1]AttributeName!$B:$B,[1]AttributeName!$D:$D),2,_xlfn.XLOOKUP(C1127,#REF!,#REF!),3,_xlfn.XLOOKUP(C1127,#REF!,#REF!)),0)</f>
        <v>2</v>
      </c>
      <c r="T1127" cm="1">
        <f t="array" ref="T1127">IFERROR(_xlfn.SWITCH(L1127,1,_xlfn.XLOOKUP(O1127,[1]AttributeName!$B:$B,[1]AttributeName!$E:$E),2,_xlfn.XLOOKUP(C1127,#REF!,#REF!),3,_xlfn.XLOOKUP(C1127,#REF!,#REF!)),0)</f>
        <v>2</v>
      </c>
    </row>
    <row r="1128" customFormat="1" spans="1:20">
      <c r="A1128">
        <f t="shared" si="50"/>
        <v>461</v>
      </c>
      <c r="B1128">
        <v>3</v>
      </c>
      <c r="C1128" t="s">
        <v>404</v>
      </c>
      <c r="D1128" t="s">
        <v>27</v>
      </c>
      <c r="E1128" t="s">
        <v>392</v>
      </c>
      <c r="F1128"/>
      <c r="G1128">
        <v>2</v>
      </c>
      <c r="H1128">
        <v>250</v>
      </c>
      <c r="I1128">
        <v>3</v>
      </c>
      <c r="J1128" cm="1">
        <f t="array" ref="J1128">_xlfn.SWITCH(B1128,1,75,2,61,3,49,4,37,5,25,6,13,7,4,8,1)</f>
        <v>49</v>
      </c>
      <c r="K1128" t="str" cm="1">
        <f t="array" ref="K1128">IFERROR(_xlfn.SWITCH(L1128,2,_xlfn.XLOOKUP(C1128,[1]ModifierDes!$B:$B,[1]ModifierDes!$C:$C),3,_xlfn.XLOOKUP(C1128,[1]StuntDes!$B:$B,[1]StuntDes!$C:$C)),"")</f>
        <v/>
      </c>
      <c r="L1128">
        <f t="shared" si="49"/>
        <v>1</v>
      </c>
      <c r="M1128" s="10" t="str">
        <f>IFERROR(_xlfn.XLOOKUP(C1128,[1]StuntDes!$B:$B,[1]StuntDes!$A:$A),"")</f>
        <v/>
      </c>
      <c r="N1128" s="10" t="str">
        <f>IFERROR(_xlfn.XLOOKUP(C1128,[1]ModifierDes!$B:$B,[1]ModifierDes!$A:$A),"")</f>
        <v/>
      </c>
      <c r="O1128" s="10">
        <f>IFERROR(_xlfn.XLOOKUP(C1128,[1]AttributeName!$C:$C,[1]AttributeName!$B:$B),"")</f>
        <v>10503</v>
      </c>
      <c r="P1128" s="10"/>
      <c r="Q1128">
        <v>0.22</v>
      </c>
      <c r="R1128">
        <v>0.25</v>
      </c>
      <c r="S1128" cm="1">
        <f t="array" ref="S1128">IFERROR(_xlfn.SWITCH(L1128,1,_xlfn.XLOOKUP(O1128,[1]AttributeName!$B:$B,[1]AttributeName!$D:$D),2,_xlfn.XLOOKUP(C1128,#REF!,#REF!),3,_xlfn.XLOOKUP(C1128,#REF!,#REF!)),0)</f>
        <v>2</v>
      </c>
      <c r="T1128" cm="1">
        <f t="array" ref="T1128">IFERROR(_xlfn.SWITCH(L1128,1,_xlfn.XLOOKUP(O1128,[1]AttributeName!$B:$B,[1]AttributeName!$E:$E),2,_xlfn.XLOOKUP(C1128,#REF!,#REF!),3,_xlfn.XLOOKUP(C1128,#REF!,#REF!)),0)</f>
        <v>2</v>
      </c>
    </row>
    <row r="1129" customFormat="1" spans="1:20">
      <c r="A1129">
        <f t="shared" si="50"/>
        <v>461</v>
      </c>
      <c r="B1129">
        <v>4</v>
      </c>
      <c r="C1129" t="s">
        <v>404</v>
      </c>
      <c r="D1129" t="s">
        <v>27</v>
      </c>
      <c r="E1129" t="s">
        <v>392</v>
      </c>
      <c r="F1129"/>
      <c r="G1129">
        <v>2</v>
      </c>
      <c r="H1129">
        <v>500</v>
      </c>
      <c r="I1129">
        <v>3</v>
      </c>
      <c r="J1129" cm="1">
        <f t="array" ref="J1129">_xlfn.SWITCH(B1129,1,75,2,61,3,49,4,37,5,25,6,13,7,4,8,1)</f>
        <v>37</v>
      </c>
      <c r="K1129" t="str" cm="1">
        <f t="array" ref="K1129">IFERROR(_xlfn.SWITCH(L1129,2,_xlfn.XLOOKUP(C1129,[1]ModifierDes!$B:$B,[1]ModifierDes!$C:$C),3,_xlfn.XLOOKUP(C1129,[1]StuntDes!$B:$B,[1]StuntDes!$C:$C)),"")</f>
        <v/>
      </c>
      <c r="L1129">
        <f t="shared" si="49"/>
        <v>1</v>
      </c>
      <c r="M1129" s="10" t="str">
        <f>IFERROR(_xlfn.XLOOKUP(C1129,[1]StuntDes!$B:$B,[1]StuntDes!$A:$A),"")</f>
        <v/>
      </c>
      <c r="N1129" s="10" t="str">
        <f>IFERROR(_xlfn.XLOOKUP(C1129,[1]ModifierDes!$B:$B,[1]ModifierDes!$A:$A),"")</f>
        <v/>
      </c>
      <c r="O1129" s="10">
        <f>IFERROR(_xlfn.XLOOKUP(C1129,[1]AttributeName!$C:$C,[1]AttributeName!$B:$B),"")</f>
        <v>10503</v>
      </c>
      <c r="P1129" s="10"/>
      <c r="Q1129">
        <v>0.18</v>
      </c>
      <c r="R1129">
        <v>0.21</v>
      </c>
      <c r="S1129" cm="1">
        <f t="array" ref="S1129">IFERROR(_xlfn.SWITCH(L1129,1,_xlfn.XLOOKUP(O1129,[1]AttributeName!$B:$B,[1]AttributeName!$D:$D),2,_xlfn.XLOOKUP(C1129,#REF!,#REF!),3,_xlfn.XLOOKUP(C1129,#REF!,#REF!)),0)</f>
        <v>2</v>
      </c>
      <c r="T1129" cm="1">
        <f t="array" ref="T1129">IFERROR(_xlfn.SWITCH(L1129,1,_xlfn.XLOOKUP(O1129,[1]AttributeName!$B:$B,[1]AttributeName!$E:$E),2,_xlfn.XLOOKUP(C1129,#REF!,#REF!),3,_xlfn.XLOOKUP(C1129,#REF!,#REF!)),0)</f>
        <v>2</v>
      </c>
    </row>
    <row r="1130" customFormat="1" spans="1:20">
      <c r="A1130">
        <f t="shared" si="50"/>
        <v>461</v>
      </c>
      <c r="B1130">
        <v>5</v>
      </c>
      <c r="C1130" t="s">
        <v>404</v>
      </c>
      <c r="D1130" t="s">
        <v>27</v>
      </c>
      <c r="E1130" t="s">
        <v>392</v>
      </c>
      <c r="F1130"/>
      <c r="G1130">
        <v>2</v>
      </c>
      <c r="H1130">
        <v>500</v>
      </c>
      <c r="I1130">
        <v>3</v>
      </c>
      <c r="J1130" cm="1">
        <f t="array" ref="J1130">_xlfn.SWITCH(B1130,1,75,2,61,3,49,4,37,5,25,6,13,7,4,8,1)</f>
        <v>25</v>
      </c>
      <c r="K1130" t="str" cm="1">
        <f t="array" ref="K1130">IFERROR(_xlfn.SWITCH(L1130,2,_xlfn.XLOOKUP(C1130,[1]ModifierDes!$B:$B,[1]ModifierDes!$C:$C),3,_xlfn.XLOOKUP(C1130,[1]StuntDes!$B:$B,[1]StuntDes!$C:$C)),"")</f>
        <v/>
      </c>
      <c r="L1130">
        <f t="shared" si="49"/>
        <v>1</v>
      </c>
      <c r="M1130" s="10" t="str">
        <f>IFERROR(_xlfn.XLOOKUP(C1130,[1]StuntDes!$B:$B,[1]StuntDes!$A:$A),"")</f>
        <v/>
      </c>
      <c r="N1130" s="10" t="str">
        <f>IFERROR(_xlfn.XLOOKUP(C1130,[1]ModifierDes!$B:$B,[1]ModifierDes!$A:$A),"")</f>
        <v/>
      </c>
      <c r="O1130" s="10">
        <f>IFERROR(_xlfn.XLOOKUP(C1130,[1]AttributeName!$C:$C,[1]AttributeName!$B:$B),"")</f>
        <v>10503</v>
      </c>
      <c r="P1130" s="10"/>
      <c r="Q1130">
        <v>0.14</v>
      </c>
      <c r="R1130">
        <v>0.17</v>
      </c>
      <c r="S1130" cm="1">
        <f t="array" ref="S1130">IFERROR(_xlfn.SWITCH(L1130,1,_xlfn.XLOOKUP(O1130,[1]AttributeName!$B:$B,[1]AttributeName!$D:$D),2,_xlfn.XLOOKUP(C1130,#REF!,#REF!),3,_xlfn.XLOOKUP(C1130,#REF!,#REF!)),0)</f>
        <v>2</v>
      </c>
      <c r="T1130" cm="1">
        <f t="array" ref="T1130">IFERROR(_xlfn.SWITCH(L1130,1,_xlfn.XLOOKUP(O1130,[1]AttributeName!$B:$B,[1]AttributeName!$E:$E),2,_xlfn.XLOOKUP(C1130,#REF!,#REF!),3,_xlfn.XLOOKUP(C1130,#REF!,#REF!)),0)</f>
        <v>2</v>
      </c>
    </row>
    <row r="1131" customFormat="1" spans="1:20">
      <c r="A1131">
        <f t="shared" si="50"/>
        <v>461</v>
      </c>
      <c r="B1131">
        <v>6</v>
      </c>
      <c r="C1131" t="s">
        <v>404</v>
      </c>
      <c r="D1131" t="s">
        <v>27</v>
      </c>
      <c r="E1131" t="s">
        <v>392</v>
      </c>
      <c r="F1131"/>
      <c r="G1131">
        <v>2</v>
      </c>
      <c r="H1131">
        <v>500</v>
      </c>
      <c r="I1131">
        <v>3</v>
      </c>
      <c r="J1131" cm="1">
        <f t="array" ref="J1131">_xlfn.SWITCH(B1131,1,75,2,61,3,49,4,37,5,25,6,13,7,4,8,1)</f>
        <v>13</v>
      </c>
      <c r="K1131" t="str" cm="1">
        <f t="array" ref="K1131">IFERROR(_xlfn.SWITCH(L1131,2,_xlfn.XLOOKUP(C1131,[1]ModifierDes!$B:$B,[1]ModifierDes!$C:$C),3,_xlfn.XLOOKUP(C1131,[1]StuntDes!$B:$B,[1]StuntDes!$C:$C)),"")</f>
        <v/>
      </c>
      <c r="L1131">
        <f t="shared" si="49"/>
        <v>1</v>
      </c>
      <c r="M1131" s="10" t="str">
        <f>IFERROR(_xlfn.XLOOKUP(C1131,[1]StuntDes!$B:$B,[1]StuntDes!$A:$A),"")</f>
        <v/>
      </c>
      <c r="N1131" s="10" t="str">
        <f>IFERROR(_xlfn.XLOOKUP(C1131,[1]ModifierDes!$B:$B,[1]ModifierDes!$A:$A),"")</f>
        <v/>
      </c>
      <c r="O1131" s="10">
        <f>IFERROR(_xlfn.XLOOKUP(C1131,[1]AttributeName!$C:$C,[1]AttributeName!$B:$B),"")</f>
        <v>10503</v>
      </c>
      <c r="P1131" s="10"/>
      <c r="Q1131">
        <v>0.1</v>
      </c>
      <c r="R1131">
        <v>0.13</v>
      </c>
      <c r="S1131" cm="1">
        <f t="array" ref="S1131">IFERROR(_xlfn.SWITCH(L1131,1,_xlfn.XLOOKUP(O1131,[1]AttributeName!$B:$B,[1]AttributeName!$D:$D),2,_xlfn.XLOOKUP(C1131,#REF!,#REF!),3,_xlfn.XLOOKUP(C1131,#REF!,#REF!)),0)</f>
        <v>2</v>
      </c>
      <c r="T1131" cm="1">
        <f t="array" ref="T1131">IFERROR(_xlfn.SWITCH(L1131,1,_xlfn.XLOOKUP(O1131,[1]AttributeName!$B:$B,[1]AttributeName!$E:$E),2,_xlfn.XLOOKUP(C1131,#REF!,#REF!),3,_xlfn.XLOOKUP(C1131,#REF!,#REF!)),0)</f>
        <v>2</v>
      </c>
    </row>
    <row r="1132" customFormat="1" spans="1:20">
      <c r="A1132">
        <f t="shared" si="50"/>
        <v>461</v>
      </c>
      <c r="B1132">
        <v>7</v>
      </c>
      <c r="C1132" t="s">
        <v>404</v>
      </c>
      <c r="D1132" t="s">
        <v>27</v>
      </c>
      <c r="E1132" t="s">
        <v>392</v>
      </c>
      <c r="F1132"/>
      <c r="G1132">
        <v>2</v>
      </c>
      <c r="H1132">
        <v>500</v>
      </c>
      <c r="I1132">
        <v>3</v>
      </c>
      <c r="J1132" cm="1">
        <f t="array" ref="J1132">_xlfn.SWITCH(B1132,1,75,2,61,3,49,4,37,5,25,6,13,7,4,8,1)</f>
        <v>4</v>
      </c>
      <c r="K1132" t="str" cm="1">
        <f t="array" ref="K1132">IFERROR(_xlfn.SWITCH(L1132,2,_xlfn.XLOOKUP(C1132,[1]ModifierDes!$B:$B,[1]ModifierDes!$C:$C),3,_xlfn.XLOOKUP(C1132,[1]StuntDes!$B:$B,[1]StuntDes!$C:$C)),"")</f>
        <v/>
      </c>
      <c r="L1132">
        <f t="shared" si="49"/>
        <v>1</v>
      </c>
      <c r="M1132" s="10" t="str">
        <f>IFERROR(_xlfn.XLOOKUP(C1132,[1]StuntDes!$B:$B,[1]StuntDes!$A:$A),"")</f>
        <v/>
      </c>
      <c r="N1132" s="10" t="str">
        <f>IFERROR(_xlfn.XLOOKUP(C1132,[1]ModifierDes!$B:$B,[1]ModifierDes!$A:$A),"")</f>
        <v/>
      </c>
      <c r="O1132" s="10">
        <f>IFERROR(_xlfn.XLOOKUP(C1132,[1]AttributeName!$C:$C,[1]AttributeName!$B:$B),"")</f>
        <v>10503</v>
      </c>
      <c r="P1132" s="10"/>
      <c r="Q1132">
        <v>0.06</v>
      </c>
      <c r="R1132">
        <v>0.0900000000000001</v>
      </c>
      <c r="S1132" cm="1">
        <f t="array" ref="S1132">IFERROR(_xlfn.SWITCH(L1132,1,_xlfn.XLOOKUP(O1132,[1]AttributeName!$B:$B,[1]AttributeName!$D:$D),2,_xlfn.XLOOKUP(C1132,#REF!,#REF!),3,_xlfn.XLOOKUP(C1132,#REF!,#REF!)),0)</f>
        <v>2</v>
      </c>
      <c r="T1132" cm="1">
        <f t="array" ref="T1132">IFERROR(_xlfn.SWITCH(L1132,1,_xlfn.XLOOKUP(O1132,[1]AttributeName!$B:$B,[1]AttributeName!$E:$E),2,_xlfn.XLOOKUP(C1132,#REF!,#REF!),3,_xlfn.XLOOKUP(C1132,#REF!,#REF!)),0)</f>
        <v>2</v>
      </c>
    </row>
    <row r="1133" customFormat="1" spans="1:20">
      <c r="A1133">
        <f t="shared" si="50"/>
        <v>461</v>
      </c>
      <c r="B1133">
        <v>8</v>
      </c>
      <c r="C1133" t="s">
        <v>404</v>
      </c>
      <c r="D1133" t="s">
        <v>27</v>
      </c>
      <c r="E1133" t="s">
        <v>392</v>
      </c>
      <c r="F1133"/>
      <c r="G1133">
        <v>2</v>
      </c>
      <c r="H1133">
        <v>500</v>
      </c>
      <c r="I1133">
        <v>3</v>
      </c>
      <c r="J1133" cm="1">
        <f t="array" ref="J1133">_xlfn.SWITCH(B1133,1,75,2,61,3,49,4,37,5,25,6,13,7,4,8,1)</f>
        <v>1</v>
      </c>
      <c r="K1133" t="str" cm="1">
        <f t="array" ref="K1133">IFERROR(_xlfn.SWITCH(L1133,2,_xlfn.XLOOKUP(C1133,[1]ModifierDes!$B:$B,[1]ModifierDes!$C:$C),3,_xlfn.XLOOKUP(C1133,[1]StuntDes!$B:$B,[1]StuntDes!$C:$C)),"")</f>
        <v/>
      </c>
      <c r="L1133">
        <f t="shared" si="49"/>
        <v>1</v>
      </c>
      <c r="M1133" s="10" t="str">
        <f>IFERROR(_xlfn.XLOOKUP(C1133,[1]StuntDes!$B:$B,[1]StuntDes!$A:$A),"")</f>
        <v/>
      </c>
      <c r="N1133" s="10" t="str">
        <f>IFERROR(_xlfn.XLOOKUP(C1133,[1]ModifierDes!$B:$B,[1]ModifierDes!$A:$A),"")</f>
        <v/>
      </c>
      <c r="O1133" s="10">
        <f>IFERROR(_xlfn.XLOOKUP(C1133,[1]AttributeName!$C:$C,[1]AttributeName!$B:$B),"")</f>
        <v>10503</v>
      </c>
      <c r="P1133" s="10"/>
      <c r="Q1133">
        <v>0.02</v>
      </c>
      <c r="R1133">
        <v>0.0500000000000001</v>
      </c>
      <c r="S1133" cm="1">
        <f t="array" ref="S1133">IFERROR(_xlfn.SWITCH(L1133,1,_xlfn.XLOOKUP(O1133,[1]AttributeName!$B:$B,[1]AttributeName!$D:$D),2,_xlfn.XLOOKUP(C1133,#REF!,#REF!),3,_xlfn.XLOOKUP(C1133,#REF!,#REF!)),0)</f>
        <v>2</v>
      </c>
      <c r="T1133" cm="1">
        <f t="array" ref="T1133">IFERROR(_xlfn.SWITCH(L1133,1,_xlfn.XLOOKUP(O1133,[1]AttributeName!$B:$B,[1]AttributeName!$E:$E),2,_xlfn.XLOOKUP(C1133,#REF!,#REF!),3,_xlfn.XLOOKUP(C1133,#REF!,#REF!)),0)</f>
        <v>2</v>
      </c>
    </row>
    <row r="1134" customFormat="1" spans="1:20">
      <c r="A1134">
        <f t="shared" si="50"/>
        <v>462</v>
      </c>
      <c r="B1134">
        <v>1</v>
      </c>
      <c r="C1134" t="s">
        <v>405</v>
      </c>
      <c r="D1134" t="s">
        <v>27</v>
      </c>
      <c r="E1134" t="s">
        <v>392</v>
      </c>
      <c r="F1134"/>
      <c r="G1134">
        <v>2</v>
      </c>
      <c r="H1134">
        <v>50</v>
      </c>
      <c r="I1134">
        <v>3</v>
      </c>
      <c r="J1134" cm="1">
        <f t="array" ref="J1134">_xlfn.SWITCH(B1134,1,75,2,61,3,49,4,37,5,25,6,13,7,4,8,1)</f>
        <v>75</v>
      </c>
      <c r="K1134" t="str" cm="1">
        <f t="array" ref="K1134">IFERROR(_xlfn.SWITCH(L1134,2,_xlfn.XLOOKUP(C1134,[1]ModifierDes!$B:$B,[1]ModifierDes!$C:$C),3,_xlfn.XLOOKUP(C1134,[1]StuntDes!$B:$B,[1]StuntDes!$C:$C)),"")</f>
        <v/>
      </c>
      <c r="L1134">
        <f t="shared" si="49"/>
        <v>1</v>
      </c>
      <c r="M1134" s="10" t="str">
        <f>IFERROR(_xlfn.XLOOKUP(C1134,[1]StuntDes!$B:$B,[1]StuntDes!$A:$A),"")</f>
        <v/>
      </c>
      <c r="N1134" s="10" t="str">
        <f>IFERROR(_xlfn.XLOOKUP(C1134,[1]ModifierDes!$B:$B,[1]ModifierDes!$A:$A),"")</f>
        <v/>
      </c>
      <c r="O1134" s="10">
        <f>IFERROR(_xlfn.XLOOKUP(C1134,[1]AttributeName!$C:$C,[1]AttributeName!$B:$B),"")</f>
        <v>10504</v>
      </c>
      <c r="P1134" s="10"/>
      <c r="Q1134">
        <v>0.3</v>
      </c>
      <c r="R1134">
        <v>0.4</v>
      </c>
      <c r="S1134" cm="1">
        <f t="array" ref="S1134">IFERROR(_xlfn.SWITCH(L1134,1,_xlfn.XLOOKUP(O1134,[1]AttributeName!$B:$B,[1]AttributeName!$D:$D),2,_xlfn.XLOOKUP(C1134,#REF!,#REF!),3,_xlfn.XLOOKUP(C1134,#REF!,#REF!)),0)</f>
        <v>2</v>
      </c>
      <c r="T1134" cm="1">
        <f t="array" ref="T1134">IFERROR(_xlfn.SWITCH(L1134,1,_xlfn.XLOOKUP(O1134,[1]AttributeName!$B:$B,[1]AttributeName!$E:$E),2,_xlfn.XLOOKUP(C1134,#REF!,#REF!),3,_xlfn.XLOOKUP(C1134,#REF!,#REF!)),0)</f>
        <v>2</v>
      </c>
    </row>
    <row r="1135" customFormat="1" spans="1:20">
      <c r="A1135">
        <f t="shared" si="50"/>
        <v>462</v>
      </c>
      <c r="B1135">
        <v>2</v>
      </c>
      <c r="C1135" t="s">
        <v>405</v>
      </c>
      <c r="D1135" t="s">
        <v>27</v>
      </c>
      <c r="E1135" t="s">
        <v>392</v>
      </c>
      <c r="F1135"/>
      <c r="G1135">
        <v>2</v>
      </c>
      <c r="H1135">
        <v>100</v>
      </c>
      <c r="I1135">
        <v>3</v>
      </c>
      <c r="J1135" cm="1">
        <f t="array" ref="J1135">_xlfn.SWITCH(B1135,1,75,2,61,3,49,4,37,5,25,6,13,7,4,8,1)</f>
        <v>61</v>
      </c>
      <c r="K1135" t="str" cm="1">
        <f t="array" ref="K1135">IFERROR(_xlfn.SWITCH(L1135,2,_xlfn.XLOOKUP(C1135,[1]ModifierDes!$B:$B,[1]ModifierDes!$C:$C),3,_xlfn.XLOOKUP(C1135,[1]StuntDes!$B:$B,[1]StuntDes!$C:$C)),"")</f>
        <v/>
      </c>
      <c r="L1135">
        <f t="shared" si="49"/>
        <v>1</v>
      </c>
      <c r="M1135" s="10" t="str">
        <f>IFERROR(_xlfn.XLOOKUP(C1135,[1]StuntDes!$B:$B,[1]StuntDes!$A:$A),"")</f>
        <v/>
      </c>
      <c r="N1135" s="10" t="str">
        <f>IFERROR(_xlfn.XLOOKUP(C1135,[1]ModifierDes!$B:$B,[1]ModifierDes!$A:$A),"")</f>
        <v/>
      </c>
      <c r="O1135" s="10">
        <f>IFERROR(_xlfn.XLOOKUP(C1135,[1]AttributeName!$C:$C,[1]AttributeName!$B:$B),"")</f>
        <v>10504</v>
      </c>
      <c r="P1135" s="10"/>
      <c r="Q1135">
        <v>0.26</v>
      </c>
      <c r="R1135">
        <v>0.29</v>
      </c>
      <c r="S1135" cm="1">
        <f t="array" ref="S1135">IFERROR(_xlfn.SWITCH(L1135,1,_xlfn.XLOOKUP(O1135,[1]AttributeName!$B:$B,[1]AttributeName!$D:$D),2,_xlfn.XLOOKUP(C1135,#REF!,#REF!),3,_xlfn.XLOOKUP(C1135,#REF!,#REF!)),0)</f>
        <v>2</v>
      </c>
      <c r="T1135" cm="1">
        <f t="array" ref="T1135">IFERROR(_xlfn.SWITCH(L1135,1,_xlfn.XLOOKUP(O1135,[1]AttributeName!$B:$B,[1]AttributeName!$E:$E),2,_xlfn.XLOOKUP(C1135,#REF!,#REF!),3,_xlfn.XLOOKUP(C1135,#REF!,#REF!)),0)</f>
        <v>2</v>
      </c>
    </row>
    <row r="1136" customFormat="1" spans="1:20">
      <c r="A1136">
        <f t="shared" si="50"/>
        <v>462</v>
      </c>
      <c r="B1136">
        <v>3</v>
      </c>
      <c r="C1136" t="s">
        <v>405</v>
      </c>
      <c r="D1136" t="s">
        <v>27</v>
      </c>
      <c r="E1136" t="s">
        <v>392</v>
      </c>
      <c r="F1136"/>
      <c r="G1136">
        <v>2</v>
      </c>
      <c r="H1136">
        <v>250</v>
      </c>
      <c r="I1136">
        <v>3</v>
      </c>
      <c r="J1136" cm="1">
        <f t="array" ref="J1136">_xlfn.SWITCH(B1136,1,75,2,61,3,49,4,37,5,25,6,13,7,4,8,1)</f>
        <v>49</v>
      </c>
      <c r="K1136" t="str" cm="1">
        <f t="array" ref="K1136">IFERROR(_xlfn.SWITCH(L1136,2,_xlfn.XLOOKUP(C1136,[1]ModifierDes!$B:$B,[1]ModifierDes!$C:$C),3,_xlfn.XLOOKUP(C1136,[1]StuntDes!$B:$B,[1]StuntDes!$C:$C)),"")</f>
        <v/>
      </c>
      <c r="L1136">
        <f t="shared" si="49"/>
        <v>1</v>
      </c>
      <c r="M1136" s="10" t="str">
        <f>IFERROR(_xlfn.XLOOKUP(C1136,[1]StuntDes!$B:$B,[1]StuntDes!$A:$A),"")</f>
        <v/>
      </c>
      <c r="N1136" s="10" t="str">
        <f>IFERROR(_xlfn.XLOOKUP(C1136,[1]ModifierDes!$B:$B,[1]ModifierDes!$A:$A),"")</f>
        <v/>
      </c>
      <c r="O1136" s="10">
        <f>IFERROR(_xlfn.XLOOKUP(C1136,[1]AttributeName!$C:$C,[1]AttributeName!$B:$B),"")</f>
        <v>10504</v>
      </c>
      <c r="P1136" s="10"/>
      <c r="Q1136">
        <v>0.22</v>
      </c>
      <c r="R1136">
        <v>0.25</v>
      </c>
      <c r="S1136" cm="1">
        <f t="array" ref="S1136">IFERROR(_xlfn.SWITCH(L1136,1,_xlfn.XLOOKUP(O1136,[1]AttributeName!$B:$B,[1]AttributeName!$D:$D),2,_xlfn.XLOOKUP(C1136,#REF!,#REF!),3,_xlfn.XLOOKUP(C1136,#REF!,#REF!)),0)</f>
        <v>2</v>
      </c>
      <c r="T1136" cm="1">
        <f t="array" ref="T1136">IFERROR(_xlfn.SWITCH(L1136,1,_xlfn.XLOOKUP(O1136,[1]AttributeName!$B:$B,[1]AttributeName!$E:$E),2,_xlfn.XLOOKUP(C1136,#REF!,#REF!),3,_xlfn.XLOOKUP(C1136,#REF!,#REF!)),0)</f>
        <v>2</v>
      </c>
    </row>
    <row r="1137" customFormat="1" spans="1:20">
      <c r="A1137">
        <f t="shared" si="50"/>
        <v>462</v>
      </c>
      <c r="B1137">
        <v>4</v>
      </c>
      <c r="C1137" t="s">
        <v>405</v>
      </c>
      <c r="D1137" t="s">
        <v>27</v>
      </c>
      <c r="E1137" t="s">
        <v>392</v>
      </c>
      <c r="F1137"/>
      <c r="G1137">
        <v>2</v>
      </c>
      <c r="H1137">
        <v>500</v>
      </c>
      <c r="I1137">
        <v>3</v>
      </c>
      <c r="J1137" cm="1">
        <f t="array" ref="J1137">_xlfn.SWITCH(B1137,1,75,2,61,3,49,4,37,5,25,6,13,7,4,8,1)</f>
        <v>37</v>
      </c>
      <c r="K1137" t="str" cm="1">
        <f t="array" ref="K1137">IFERROR(_xlfn.SWITCH(L1137,2,_xlfn.XLOOKUP(C1137,[1]ModifierDes!$B:$B,[1]ModifierDes!$C:$C),3,_xlfn.XLOOKUP(C1137,[1]StuntDes!$B:$B,[1]StuntDes!$C:$C)),"")</f>
        <v/>
      </c>
      <c r="L1137">
        <f t="shared" si="49"/>
        <v>1</v>
      </c>
      <c r="M1137" s="10" t="str">
        <f>IFERROR(_xlfn.XLOOKUP(C1137,[1]StuntDes!$B:$B,[1]StuntDes!$A:$A),"")</f>
        <v/>
      </c>
      <c r="N1137" s="10" t="str">
        <f>IFERROR(_xlfn.XLOOKUP(C1137,[1]ModifierDes!$B:$B,[1]ModifierDes!$A:$A),"")</f>
        <v/>
      </c>
      <c r="O1137" s="10">
        <f>IFERROR(_xlfn.XLOOKUP(C1137,[1]AttributeName!$C:$C,[1]AttributeName!$B:$B),"")</f>
        <v>10504</v>
      </c>
      <c r="P1137" s="10"/>
      <c r="Q1137">
        <v>0.18</v>
      </c>
      <c r="R1137">
        <v>0.21</v>
      </c>
      <c r="S1137" cm="1">
        <f t="array" ref="S1137">IFERROR(_xlfn.SWITCH(L1137,1,_xlfn.XLOOKUP(O1137,[1]AttributeName!$B:$B,[1]AttributeName!$D:$D),2,_xlfn.XLOOKUP(C1137,#REF!,#REF!),3,_xlfn.XLOOKUP(C1137,#REF!,#REF!)),0)</f>
        <v>2</v>
      </c>
      <c r="T1137" cm="1">
        <f t="array" ref="T1137">IFERROR(_xlfn.SWITCH(L1137,1,_xlfn.XLOOKUP(O1137,[1]AttributeName!$B:$B,[1]AttributeName!$E:$E),2,_xlfn.XLOOKUP(C1137,#REF!,#REF!),3,_xlfn.XLOOKUP(C1137,#REF!,#REF!)),0)</f>
        <v>2</v>
      </c>
    </row>
    <row r="1138" customFormat="1" spans="1:20">
      <c r="A1138">
        <f t="shared" si="50"/>
        <v>462</v>
      </c>
      <c r="B1138">
        <v>5</v>
      </c>
      <c r="C1138" t="s">
        <v>405</v>
      </c>
      <c r="D1138" t="s">
        <v>27</v>
      </c>
      <c r="E1138" t="s">
        <v>392</v>
      </c>
      <c r="F1138"/>
      <c r="G1138">
        <v>2</v>
      </c>
      <c r="H1138">
        <v>500</v>
      </c>
      <c r="I1138">
        <v>3</v>
      </c>
      <c r="J1138" cm="1">
        <f t="array" ref="J1138">_xlfn.SWITCH(B1138,1,75,2,61,3,49,4,37,5,25,6,13,7,4,8,1)</f>
        <v>25</v>
      </c>
      <c r="K1138" t="str" cm="1">
        <f t="array" ref="K1138">IFERROR(_xlfn.SWITCH(L1138,2,_xlfn.XLOOKUP(C1138,[1]ModifierDes!$B:$B,[1]ModifierDes!$C:$C),3,_xlfn.XLOOKUP(C1138,[1]StuntDes!$B:$B,[1]StuntDes!$C:$C)),"")</f>
        <v/>
      </c>
      <c r="L1138">
        <f t="shared" si="49"/>
        <v>1</v>
      </c>
      <c r="M1138" s="10" t="str">
        <f>IFERROR(_xlfn.XLOOKUP(C1138,[1]StuntDes!$B:$B,[1]StuntDes!$A:$A),"")</f>
        <v/>
      </c>
      <c r="N1138" s="10" t="str">
        <f>IFERROR(_xlfn.XLOOKUP(C1138,[1]ModifierDes!$B:$B,[1]ModifierDes!$A:$A),"")</f>
        <v/>
      </c>
      <c r="O1138" s="10">
        <f>IFERROR(_xlfn.XLOOKUP(C1138,[1]AttributeName!$C:$C,[1]AttributeName!$B:$B),"")</f>
        <v>10504</v>
      </c>
      <c r="P1138" s="10"/>
      <c r="Q1138">
        <v>0.14</v>
      </c>
      <c r="R1138">
        <v>0.17</v>
      </c>
      <c r="S1138" cm="1">
        <f t="array" ref="S1138">IFERROR(_xlfn.SWITCH(L1138,1,_xlfn.XLOOKUP(O1138,[1]AttributeName!$B:$B,[1]AttributeName!$D:$D),2,_xlfn.XLOOKUP(C1138,#REF!,#REF!),3,_xlfn.XLOOKUP(C1138,#REF!,#REF!)),0)</f>
        <v>2</v>
      </c>
      <c r="T1138" cm="1">
        <f t="array" ref="T1138">IFERROR(_xlfn.SWITCH(L1138,1,_xlfn.XLOOKUP(O1138,[1]AttributeName!$B:$B,[1]AttributeName!$E:$E),2,_xlfn.XLOOKUP(C1138,#REF!,#REF!),3,_xlfn.XLOOKUP(C1138,#REF!,#REF!)),0)</f>
        <v>2</v>
      </c>
    </row>
    <row r="1139" customFormat="1" spans="1:20">
      <c r="A1139">
        <f t="shared" si="50"/>
        <v>462</v>
      </c>
      <c r="B1139">
        <v>6</v>
      </c>
      <c r="C1139" t="s">
        <v>405</v>
      </c>
      <c r="D1139" t="s">
        <v>27</v>
      </c>
      <c r="E1139" t="s">
        <v>392</v>
      </c>
      <c r="F1139"/>
      <c r="G1139">
        <v>2</v>
      </c>
      <c r="H1139">
        <v>500</v>
      </c>
      <c r="I1139">
        <v>3</v>
      </c>
      <c r="J1139" cm="1">
        <f t="array" ref="J1139">_xlfn.SWITCH(B1139,1,75,2,61,3,49,4,37,5,25,6,13,7,4,8,1)</f>
        <v>13</v>
      </c>
      <c r="K1139" t="str" cm="1">
        <f t="array" ref="K1139">IFERROR(_xlfn.SWITCH(L1139,2,_xlfn.XLOOKUP(C1139,[1]ModifierDes!$B:$B,[1]ModifierDes!$C:$C),3,_xlfn.XLOOKUP(C1139,[1]StuntDes!$B:$B,[1]StuntDes!$C:$C)),"")</f>
        <v/>
      </c>
      <c r="L1139">
        <f t="shared" si="49"/>
        <v>1</v>
      </c>
      <c r="M1139" s="10" t="str">
        <f>IFERROR(_xlfn.XLOOKUP(C1139,[1]StuntDes!$B:$B,[1]StuntDes!$A:$A),"")</f>
        <v/>
      </c>
      <c r="N1139" s="10" t="str">
        <f>IFERROR(_xlfn.XLOOKUP(C1139,[1]ModifierDes!$B:$B,[1]ModifierDes!$A:$A),"")</f>
        <v/>
      </c>
      <c r="O1139" s="10">
        <f>IFERROR(_xlfn.XLOOKUP(C1139,[1]AttributeName!$C:$C,[1]AttributeName!$B:$B),"")</f>
        <v>10504</v>
      </c>
      <c r="P1139" s="10"/>
      <c r="Q1139">
        <v>0.1</v>
      </c>
      <c r="R1139">
        <v>0.13</v>
      </c>
      <c r="S1139" cm="1">
        <f t="array" ref="S1139">IFERROR(_xlfn.SWITCH(L1139,1,_xlfn.XLOOKUP(O1139,[1]AttributeName!$B:$B,[1]AttributeName!$D:$D),2,_xlfn.XLOOKUP(C1139,#REF!,#REF!),3,_xlfn.XLOOKUP(C1139,#REF!,#REF!)),0)</f>
        <v>2</v>
      </c>
      <c r="T1139" cm="1">
        <f t="array" ref="T1139">IFERROR(_xlfn.SWITCH(L1139,1,_xlfn.XLOOKUP(O1139,[1]AttributeName!$B:$B,[1]AttributeName!$E:$E),2,_xlfn.XLOOKUP(C1139,#REF!,#REF!),3,_xlfn.XLOOKUP(C1139,#REF!,#REF!)),0)</f>
        <v>2</v>
      </c>
    </row>
    <row r="1140" customFormat="1" spans="1:20">
      <c r="A1140">
        <f t="shared" si="50"/>
        <v>462</v>
      </c>
      <c r="B1140">
        <v>7</v>
      </c>
      <c r="C1140" t="s">
        <v>405</v>
      </c>
      <c r="D1140" t="s">
        <v>27</v>
      </c>
      <c r="E1140" t="s">
        <v>392</v>
      </c>
      <c r="F1140"/>
      <c r="G1140">
        <v>2</v>
      </c>
      <c r="H1140">
        <v>500</v>
      </c>
      <c r="I1140">
        <v>3</v>
      </c>
      <c r="J1140" cm="1">
        <f t="array" ref="J1140">_xlfn.SWITCH(B1140,1,75,2,61,3,49,4,37,5,25,6,13,7,4,8,1)</f>
        <v>4</v>
      </c>
      <c r="K1140" t="str" cm="1">
        <f t="array" ref="K1140">IFERROR(_xlfn.SWITCH(L1140,2,_xlfn.XLOOKUP(C1140,[1]ModifierDes!$B:$B,[1]ModifierDes!$C:$C),3,_xlfn.XLOOKUP(C1140,[1]StuntDes!$B:$B,[1]StuntDes!$C:$C)),"")</f>
        <v/>
      </c>
      <c r="L1140">
        <f t="shared" si="49"/>
        <v>1</v>
      </c>
      <c r="M1140" s="10" t="str">
        <f>IFERROR(_xlfn.XLOOKUP(C1140,[1]StuntDes!$B:$B,[1]StuntDes!$A:$A),"")</f>
        <v/>
      </c>
      <c r="N1140" s="10" t="str">
        <f>IFERROR(_xlfn.XLOOKUP(C1140,[1]ModifierDes!$B:$B,[1]ModifierDes!$A:$A),"")</f>
        <v/>
      </c>
      <c r="O1140" s="10">
        <f>IFERROR(_xlfn.XLOOKUP(C1140,[1]AttributeName!$C:$C,[1]AttributeName!$B:$B),"")</f>
        <v>10504</v>
      </c>
      <c r="P1140" s="10"/>
      <c r="Q1140">
        <v>0.06</v>
      </c>
      <c r="R1140">
        <v>0.0900000000000001</v>
      </c>
      <c r="S1140" cm="1">
        <f t="array" ref="S1140">IFERROR(_xlfn.SWITCH(L1140,1,_xlfn.XLOOKUP(O1140,[1]AttributeName!$B:$B,[1]AttributeName!$D:$D),2,_xlfn.XLOOKUP(C1140,#REF!,#REF!),3,_xlfn.XLOOKUP(C1140,#REF!,#REF!)),0)</f>
        <v>2</v>
      </c>
      <c r="T1140" cm="1">
        <f t="array" ref="T1140">IFERROR(_xlfn.SWITCH(L1140,1,_xlfn.XLOOKUP(O1140,[1]AttributeName!$B:$B,[1]AttributeName!$E:$E),2,_xlfn.XLOOKUP(C1140,#REF!,#REF!),3,_xlfn.XLOOKUP(C1140,#REF!,#REF!)),0)</f>
        <v>2</v>
      </c>
    </row>
    <row r="1141" customFormat="1" spans="1:20">
      <c r="A1141">
        <f t="shared" si="50"/>
        <v>462</v>
      </c>
      <c r="B1141">
        <v>8</v>
      </c>
      <c r="C1141" t="s">
        <v>405</v>
      </c>
      <c r="D1141" t="s">
        <v>27</v>
      </c>
      <c r="E1141" t="s">
        <v>392</v>
      </c>
      <c r="F1141"/>
      <c r="G1141">
        <v>2</v>
      </c>
      <c r="H1141">
        <v>500</v>
      </c>
      <c r="I1141">
        <v>3</v>
      </c>
      <c r="J1141" cm="1">
        <f t="array" ref="J1141">_xlfn.SWITCH(B1141,1,75,2,61,3,49,4,37,5,25,6,13,7,4,8,1)</f>
        <v>1</v>
      </c>
      <c r="K1141" t="str" cm="1">
        <f t="array" ref="K1141">IFERROR(_xlfn.SWITCH(L1141,2,_xlfn.XLOOKUP(C1141,[1]ModifierDes!$B:$B,[1]ModifierDes!$C:$C),3,_xlfn.XLOOKUP(C1141,[1]StuntDes!$B:$B,[1]StuntDes!$C:$C)),"")</f>
        <v/>
      </c>
      <c r="L1141">
        <f t="shared" si="49"/>
        <v>1</v>
      </c>
      <c r="M1141" s="10" t="str">
        <f>IFERROR(_xlfn.XLOOKUP(C1141,[1]StuntDes!$B:$B,[1]StuntDes!$A:$A),"")</f>
        <v/>
      </c>
      <c r="N1141" s="10" t="str">
        <f>IFERROR(_xlfn.XLOOKUP(C1141,[1]ModifierDes!$B:$B,[1]ModifierDes!$A:$A),"")</f>
        <v/>
      </c>
      <c r="O1141" s="10">
        <f>IFERROR(_xlfn.XLOOKUP(C1141,[1]AttributeName!$C:$C,[1]AttributeName!$B:$B),"")</f>
        <v>10504</v>
      </c>
      <c r="P1141" s="10"/>
      <c r="Q1141">
        <v>0.02</v>
      </c>
      <c r="R1141">
        <v>0.0500000000000001</v>
      </c>
      <c r="S1141" cm="1">
        <f t="array" ref="S1141">IFERROR(_xlfn.SWITCH(L1141,1,_xlfn.XLOOKUP(O1141,[1]AttributeName!$B:$B,[1]AttributeName!$D:$D),2,_xlfn.XLOOKUP(C1141,#REF!,#REF!),3,_xlfn.XLOOKUP(C1141,#REF!,#REF!)),0)</f>
        <v>2</v>
      </c>
      <c r="T1141" cm="1">
        <f t="array" ref="T1141">IFERROR(_xlfn.SWITCH(L1141,1,_xlfn.XLOOKUP(O1141,[1]AttributeName!$B:$B,[1]AttributeName!$E:$E),2,_xlfn.XLOOKUP(C1141,#REF!,#REF!),3,_xlfn.XLOOKUP(C1141,#REF!,#REF!)),0)</f>
        <v>2</v>
      </c>
    </row>
    <row r="1142" customFormat="1" spans="1:20">
      <c r="A1142">
        <f t="shared" si="50"/>
        <v>463</v>
      </c>
      <c r="B1142">
        <v>1</v>
      </c>
      <c r="C1142" t="s">
        <v>414</v>
      </c>
      <c r="D1142" t="s">
        <v>27</v>
      </c>
      <c r="E1142" t="s">
        <v>392</v>
      </c>
      <c r="F1142"/>
      <c r="G1142">
        <v>2</v>
      </c>
      <c r="H1142">
        <v>50</v>
      </c>
      <c r="I1142">
        <v>3</v>
      </c>
      <c r="J1142" cm="1">
        <f t="array" ref="J1142">_xlfn.SWITCH(B1142,1,75,2,61,3,49,4,37,5,25,6,13,7,4,8,1)</f>
        <v>75</v>
      </c>
      <c r="K1142" t="str" cm="1">
        <f t="array" ref="K1142">IFERROR(_xlfn.SWITCH(L1142,2,_xlfn.XLOOKUP(C1142,[1]ModifierDes!$B:$B,[1]ModifierDes!$C:$C),3,_xlfn.XLOOKUP(C1142,[1]StuntDes!$B:$B,[1]StuntDes!$C:$C)),"")</f>
        <v/>
      </c>
      <c r="L1142">
        <f t="shared" si="49"/>
        <v>1</v>
      </c>
      <c r="M1142" s="10" t="str">
        <f>IFERROR(_xlfn.XLOOKUP(C1142,[1]StuntDes!$B:$B,[1]StuntDes!$A:$A),"")</f>
        <v/>
      </c>
      <c r="N1142" s="10" t="str">
        <f>IFERROR(_xlfn.XLOOKUP(C1142,[1]ModifierDes!$B:$B,[1]ModifierDes!$A:$A),"")</f>
        <v/>
      </c>
      <c r="O1142" s="10">
        <f>IFERROR(_xlfn.XLOOKUP(C1142,[1]AttributeName!$C:$C,[1]AttributeName!$B:$B),"")</f>
        <v>10900</v>
      </c>
      <c r="P1142" s="10"/>
      <c r="Q1142">
        <v>15</v>
      </c>
      <c r="R1142">
        <v>16</v>
      </c>
      <c r="S1142" cm="1">
        <f t="array" ref="S1142">IFERROR(_xlfn.SWITCH(L1142,1,_xlfn.XLOOKUP(O1142,[1]AttributeName!$B:$B,[1]AttributeName!$D:$D),2,_xlfn.XLOOKUP(C1142,#REF!,#REF!),3,_xlfn.XLOOKUP(C1142,#REF!,#REF!)),0)</f>
        <v>0</v>
      </c>
      <c r="T1142" cm="1">
        <f t="array" ref="T1142">IFERROR(_xlfn.SWITCH(L1142,1,_xlfn.XLOOKUP(O1142,[1]AttributeName!$B:$B,[1]AttributeName!$E:$E),2,_xlfn.XLOOKUP(C1142,#REF!,#REF!),3,_xlfn.XLOOKUP(C1142,#REF!,#REF!)),0)</f>
        <v>1</v>
      </c>
    </row>
    <row r="1143" customFormat="1" spans="1:20">
      <c r="A1143">
        <f t="shared" si="50"/>
        <v>463</v>
      </c>
      <c r="B1143">
        <v>2</v>
      </c>
      <c r="C1143" t="s">
        <v>414</v>
      </c>
      <c r="D1143" t="s">
        <v>27</v>
      </c>
      <c r="E1143" t="s">
        <v>392</v>
      </c>
      <c r="F1143"/>
      <c r="G1143">
        <v>2</v>
      </c>
      <c r="H1143">
        <v>100</v>
      </c>
      <c r="I1143">
        <v>3</v>
      </c>
      <c r="J1143" cm="1">
        <f t="array" ref="J1143">_xlfn.SWITCH(B1143,1,75,2,61,3,49,4,37,5,25,6,13,7,4,8,1)</f>
        <v>61</v>
      </c>
      <c r="K1143" t="str" cm="1">
        <f t="array" ref="K1143">IFERROR(_xlfn.SWITCH(L1143,2,_xlfn.XLOOKUP(C1143,[1]ModifierDes!$B:$B,[1]ModifierDes!$C:$C),3,_xlfn.XLOOKUP(C1143,[1]StuntDes!$B:$B,[1]StuntDes!$C:$C)),"")</f>
        <v/>
      </c>
      <c r="L1143">
        <f t="shared" si="49"/>
        <v>1</v>
      </c>
      <c r="M1143" s="10" t="str">
        <f>IFERROR(_xlfn.XLOOKUP(C1143,[1]StuntDes!$B:$B,[1]StuntDes!$A:$A),"")</f>
        <v/>
      </c>
      <c r="N1143" s="10" t="str">
        <f>IFERROR(_xlfn.XLOOKUP(C1143,[1]ModifierDes!$B:$B,[1]ModifierDes!$A:$A),"")</f>
        <v/>
      </c>
      <c r="O1143" s="10">
        <f>IFERROR(_xlfn.XLOOKUP(C1143,[1]AttributeName!$C:$C,[1]AttributeName!$B:$B),"")</f>
        <v>10900</v>
      </c>
      <c r="P1143" s="10"/>
      <c r="Q1143">
        <v>13</v>
      </c>
      <c r="R1143">
        <v>14</v>
      </c>
      <c r="S1143" cm="1">
        <f t="array" ref="S1143">IFERROR(_xlfn.SWITCH(L1143,1,_xlfn.XLOOKUP(O1143,[1]AttributeName!$B:$B,[1]AttributeName!$D:$D),2,_xlfn.XLOOKUP(C1143,#REF!,#REF!),3,_xlfn.XLOOKUP(C1143,#REF!,#REF!)),0)</f>
        <v>0</v>
      </c>
      <c r="T1143" cm="1">
        <f t="array" ref="T1143">IFERROR(_xlfn.SWITCH(L1143,1,_xlfn.XLOOKUP(O1143,[1]AttributeName!$B:$B,[1]AttributeName!$E:$E),2,_xlfn.XLOOKUP(C1143,#REF!,#REF!),3,_xlfn.XLOOKUP(C1143,#REF!,#REF!)),0)</f>
        <v>1</v>
      </c>
    </row>
    <row r="1144" customFormat="1" spans="1:20">
      <c r="A1144">
        <f t="shared" si="50"/>
        <v>463</v>
      </c>
      <c r="B1144">
        <v>3</v>
      </c>
      <c r="C1144" t="s">
        <v>414</v>
      </c>
      <c r="D1144" t="s">
        <v>27</v>
      </c>
      <c r="E1144" t="s">
        <v>392</v>
      </c>
      <c r="F1144"/>
      <c r="G1144">
        <v>2</v>
      </c>
      <c r="H1144">
        <v>250</v>
      </c>
      <c r="I1144">
        <v>3</v>
      </c>
      <c r="J1144" cm="1">
        <f t="array" ref="J1144">_xlfn.SWITCH(B1144,1,75,2,61,3,49,4,37,5,25,6,13,7,4,8,1)</f>
        <v>49</v>
      </c>
      <c r="K1144" t="str" cm="1">
        <f t="array" ref="K1144">IFERROR(_xlfn.SWITCH(L1144,2,_xlfn.XLOOKUP(C1144,[1]ModifierDes!$B:$B,[1]ModifierDes!$C:$C),3,_xlfn.XLOOKUP(C1144,[1]StuntDes!$B:$B,[1]StuntDes!$C:$C)),"")</f>
        <v/>
      </c>
      <c r="L1144">
        <f t="shared" si="49"/>
        <v>1</v>
      </c>
      <c r="M1144" s="10" t="str">
        <f>IFERROR(_xlfn.XLOOKUP(C1144,[1]StuntDes!$B:$B,[1]StuntDes!$A:$A),"")</f>
        <v/>
      </c>
      <c r="N1144" s="10" t="str">
        <f>IFERROR(_xlfn.XLOOKUP(C1144,[1]ModifierDes!$B:$B,[1]ModifierDes!$A:$A),"")</f>
        <v/>
      </c>
      <c r="O1144" s="10">
        <f>IFERROR(_xlfn.XLOOKUP(C1144,[1]AttributeName!$C:$C,[1]AttributeName!$B:$B),"")</f>
        <v>10900</v>
      </c>
      <c r="P1144" s="10"/>
      <c r="Q1144">
        <v>11</v>
      </c>
      <c r="R1144">
        <v>12</v>
      </c>
      <c r="S1144" cm="1">
        <f t="array" ref="S1144">IFERROR(_xlfn.SWITCH(L1144,1,_xlfn.XLOOKUP(O1144,[1]AttributeName!$B:$B,[1]AttributeName!$D:$D),2,_xlfn.XLOOKUP(C1144,#REF!,#REF!),3,_xlfn.XLOOKUP(C1144,#REF!,#REF!)),0)</f>
        <v>0</v>
      </c>
      <c r="T1144" cm="1">
        <f t="array" ref="T1144">IFERROR(_xlfn.SWITCH(L1144,1,_xlfn.XLOOKUP(O1144,[1]AttributeName!$B:$B,[1]AttributeName!$E:$E),2,_xlfn.XLOOKUP(C1144,#REF!,#REF!),3,_xlfn.XLOOKUP(C1144,#REF!,#REF!)),0)</f>
        <v>1</v>
      </c>
    </row>
    <row r="1145" customFormat="1" spans="1:20">
      <c r="A1145">
        <f t="shared" si="50"/>
        <v>463</v>
      </c>
      <c r="B1145">
        <v>4</v>
      </c>
      <c r="C1145" t="s">
        <v>414</v>
      </c>
      <c r="D1145" t="s">
        <v>27</v>
      </c>
      <c r="E1145" t="s">
        <v>392</v>
      </c>
      <c r="F1145"/>
      <c r="G1145">
        <v>2</v>
      </c>
      <c r="H1145">
        <v>500</v>
      </c>
      <c r="I1145">
        <v>3</v>
      </c>
      <c r="J1145" cm="1">
        <f t="array" ref="J1145">_xlfn.SWITCH(B1145,1,75,2,61,3,49,4,37,5,25,6,13,7,4,8,1)</f>
        <v>37</v>
      </c>
      <c r="K1145" t="str" cm="1">
        <f t="array" ref="K1145">IFERROR(_xlfn.SWITCH(L1145,2,_xlfn.XLOOKUP(C1145,[1]ModifierDes!$B:$B,[1]ModifierDes!$C:$C),3,_xlfn.XLOOKUP(C1145,[1]StuntDes!$B:$B,[1]StuntDes!$C:$C)),"")</f>
        <v/>
      </c>
      <c r="L1145">
        <f t="shared" si="49"/>
        <v>1</v>
      </c>
      <c r="M1145" s="10" t="str">
        <f>IFERROR(_xlfn.XLOOKUP(C1145,[1]StuntDes!$B:$B,[1]StuntDes!$A:$A),"")</f>
        <v/>
      </c>
      <c r="N1145" s="10" t="str">
        <f>IFERROR(_xlfn.XLOOKUP(C1145,[1]ModifierDes!$B:$B,[1]ModifierDes!$A:$A),"")</f>
        <v/>
      </c>
      <c r="O1145" s="10">
        <f>IFERROR(_xlfn.XLOOKUP(C1145,[1]AttributeName!$C:$C,[1]AttributeName!$B:$B),"")</f>
        <v>10900</v>
      </c>
      <c r="P1145" s="10"/>
      <c r="Q1145">
        <v>9</v>
      </c>
      <c r="R1145">
        <v>10</v>
      </c>
      <c r="S1145" cm="1">
        <f t="array" ref="S1145">IFERROR(_xlfn.SWITCH(L1145,1,_xlfn.XLOOKUP(O1145,[1]AttributeName!$B:$B,[1]AttributeName!$D:$D),2,_xlfn.XLOOKUP(C1145,#REF!,#REF!),3,_xlfn.XLOOKUP(C1145,#REF!,#REF!)),0)</f>
        <v>0</v>
      </c>
      <c r="T1145" cm="1">
        <f t="array" ref="T1145">IFERROR(_xlfn.SWITCH(L1145,1,_xlfn.XLOOKUP(O1145,[1]AttributeName!$B:$B,[1]AttributeName!$E:$E),2,_xlfn.XLOOKUP(C1145,#REF!,#REF!),3,_xlfn.XLOOKUP(C1145,#REF!,#REF!)),0)</f>
        <v>1</v>
      </c>
    </row>
    <row r="1146" customFormat="1" spans="1:20">
      <c r="A1146">
        <f t="shared" si="50"/>
        <v>463</v>
      </c>
      <c r="B1146">
        <v>5</v>
      </c>
      <c r="C1146" t="s">
        <v>414</v>
      </c>
      <c r="D1146" t="s">
        <v>27</v>
      </c>
      <c r="E1146" t="s">
        <v>392</v>
      </c>
      <c r="F1146"/>
      <c r="G1146">
        <v>2</v>
      </c>
      <c r="H1146">
        <v>500</v>
      </c>
      <c r="I1146">
        <v>3</v>
      </c>
      <c r="J1146" cm="1">
        <f t="array" ref="J1146">_xlfn.SWITCH(B1146,1,75,2,61,3,49,4,37,5,25,6,13,7,4,8,1)</f>
        <v>25</v>
      </c>
      <c r="K1146" t="str" cm="1">
        <f t="array" ref="K1146">IFERROR(_xlfn.SWITCH(L1146,2,_xlfn.XLOOKUP(C1146,[1]ModifierDes!$B:$B,[1]ModifierDes!$C:$C),3,_xlfn.XLOOKUP(C1146,[1]StuntDes!$B:$B,[1]StuntDes!$C:$C)),"")</f>
        <v/>
      </c>
      <c r="L1146">
        <f t="shared" si="49"/>
        <v>1</v>
      </c>
      <c r="M1146" s="10" t="str">
        <f>IFERROR(_xlfn.XLOOKUP(C1146,[1]StuntDes!$B:$B,[1]StuntDes!$A:$A),"")</f>
        <v/>
      </c>
      <c r="N1146" s="10" t="str">
        <f>IFERROR(_xlfn.XLOOKUP(C1146,[1]ModifierDes!$B:$B,[1]ModifierDes!$A:$A),"")</f>
        <v/>
      </c>
      <c r="O1146" s="10">
        <f>IFERROR(_xlfn.XLOOKUP(C1146,[1]AttributeName!$C:$C,[1]AttributeName!$B:$B),"")</f>
        <v>10900</v>
      </c>
      <c r="P1146" s="10"/>
      <c r="Q1146">
        <v>7</v>
      </c>
      <c r="R1146">
        <v>8</v>
      </c>
      <c r="S1146" cm="1">
        <f t="array" ref="S1146">IFERROR(_xlfn.SWITCH(L1146,1,_xlfn.XLOOKUP(O1146,[1]AttributeName!$B:$B,[1]AttributeName!$D:$D),2,_xlfn.XLOOKUP(C1146,#REF!,#REF!),3,_xlfn.XLOOKUP(C1146,#REF!,#REF!)),0)</f>
        <v>0</v>
      </c>
      <c r="T1146" cm="1">
        <f t="array" ref="T1146">IFERROR(_xlfn.SWITCH(L1146,1,_xlfn.XLOOKUP(O1146,[1]AttributeName!$B:$B,[1]AttributeName!$E:$E),2,_xlfn.XLOOKUP(C1146,#REF!,#REF!),3,_xlfn.XLOOKUP(C1146,#REF!,#REF!)),0)</f>
        <v>1</v>
      </c>
    </row>
    <row r="1147" customFormat="1" spans="1:20">
      <c r="A1147">
        <f t="shared" si="50"/>
        <v>463</v>
      </c>
      <c r="B1147">
        <v>6</v>
      </c>
      <c r="C1147" t="s">
        <v>414</v>
      </c>
      <c r="D1147" t="s">
        <v>27</v>
      </c>
      <c r="E1147" t="s">
        <v>392</v>
      </c>
      <c r="F1147"/>
      <c r="G1147">
        <v>2</v>
      </c>
      <c r="H1147">
        <v>500</v>
      </c>
      <c r="I1147">
        <v>3</v>
      </c>
      <c r="J1147" cm="1">
        <f t="array" ref="J1147">_xlfn.SWITCH(B1147,1,75,2,61,3,49,4,37,5,25,6,13,7,4,8,1)</f>
        <v>13</v>
      </c>
      <c r="K1147" t="str" cm="1">
        <f t="array" ref="K1147">IFERROR(_xlfn.SWITCH(L1147,2,_xlfn.XLOOKUP(C1147,[1]ModifierDes!$B:$B,[1]ModifierDes!$C:$C),3,_xlfn.XLOOKUP(C1147,[1]StuntDes!$B:$B,[1]StuntDes!$C:$C)),"")</f>
        <v/>
      </c>
      <c r="L1147">
        <f t="shared" si="49"/>
        <v>1</v>
      </c>
      <c r="M1147" s="10" t="str">
        <f>IFERROR(_xlfn.XLOOKUP(C1147,[1]StuntDes!$B:$B,[1]StuntDes!$A:$A),"")</f>
        <v/>
      </c>
      <c r="N1147" s="10" t="str">
        <f>IFERROR(_xlfn.XLOOKUP(C1147,[1]ModifierDes!$B:$B,[1]ModifierDes!$A:$A),"")</f>
        <v/>
      </c>
      <c r="O1147" s="10">
        <f>IFERROR(_xlfn.XLOOKUP(C1147,[1]AttributeName!$C:$C,[1]AttributeName!$B:$B),"")</f>
        <v>10900</v>
      </c>
      <c r="P1147" s="10"/>
      <c r="Q1147">
        <v>5</v>
      </c>
      <c r="R1147">
        <v>6</v>
      </c>
      <c r="S1147" cm="1">
        <f t="array" ref="S1147">IFERROR(_xlfn.SWITCH(L1147,1,_xlfn.XLOOKUP(O1147,[1]AttributeName!$B:$B,[1]AttributeName!$D:$D),2,_xlfn.XLOOKUP(C1147,#REF!,#REF!),3,_xlfn.XLOOKUP(C1147,#REF!,#REF!)),0)</f>
        <v>0</v>
      </c>
      <c r="T1147" cm="1">
        <f t="array" ref="T1147">IFERROR(_xlfn.SWITCH(L1147,1,_xlfn.XLOOKUP(O1147,[1]AttributeName!$B:$B,[1]AttributeName!$E:$E),2,_xlfn.XLOOKUP(C1147,#REF!,#REF!),3,_xlfn.XLOOKUP(C1147,#REF!,#REF!)),0)</f>
        <v>1</v>
      </c>
    </row>
    <row r="1148" customFormat="1" spans="1:20">
      <c r="A1148">
        <f t="shared" si="50"/>
        <v>463</v>
      </c>
      <c r="B1148">
        <v>7</v>
      </c>
      <c r="C1148" t="s">
        <v>414</v>
      </c>
      <c r="D1148" t="s">
        <v>27</v>
      </c>
      <c r="E1148" t="s">
        <v>392</v>
      </c>
      <c r="F1148"/>
      <c r="G1148">
        <v>2</v>
      </c>
      <c r="H1148">
        <v>500</v>
      </c>
      <c r="I1148">
        <v>3</v>
      </c>
      <c r="J1148" cm="1">
        <f t="array" ref="J1148">_xlfn.SWITCH(B1148,1,75,2,61,3,49,4,37,5,25,6,13,7,4,8,1)</f>
        <v>4</v>
      </c>
      <c r="K1148" t="str" cm="1">
        <f t="array" ref="K1148">IFERROR(_xlfn.SWITCH(L1148,2,_xlfn.XLOOKUP(C1148,[1]ModifierDes!$B:$B,[1]ModifierDes!$C:$C),3,_xlfn.XLOOKUP(C1148,[1]StuntDes!$B:$B,[1]StuntDes!$C:$C)),"")</f>
        <v/>
      </c>
      <c r="L1148">
        <f t="shared" si="49"/>
        <v>1</v>
      </c>
      <c r="M1148" s="10" t="str">
        <f>IFERROR(_xlfn.XLOOKUP(C1148,[1]StuntDes!$B:$B,[1]StuntDes!$A:$A),"")</f>
        <v/>
      </c>
      <c r="N1148" s="10" t="str">
        <f>IFERROR(_xlfn.XLOOKUP(C1148,[1]ModifierDes!$B:$B,[1]ModifierDes!$A:$A),"")</f>
        <v/>
      </c>
      <c r="O1148" s="10">
        <f>IFERROR(_xlfn.XLOOKUP(C1148,[1]AttributeName!$C:$C,[1]AttributeName!$B:$B),"")</f>
        <v>10900</v>
      </c>
      <c r="P1148" s="10"/>
      <c r="Q1148">
        <v>3</v>
      </c>
      <c r="R1148">
        <v>4</v>
      </c>
      <c r="S1148" cm="1">
        <f t="array" ref="S1148">IFERROR(_xlfn.SWITCH(L1148,1,_xlfn.XLOOKUP(O1148,[1]AttributeName!$B:$B,[1]AttributeName!$D:$D),2,_xlfn.XLOOKUP(C1148,#REF!,#REF!),3,_xlfn.XLOOKUP(C1148,#REF!,#REF!)),0)</f>
        <v>0</v>
      </c>
      <c r="T1148" cm="1">
        <f t="array" ref="T1148">IFERROR(_xlfn.SWITCH(L1148,1,_xlfn.XLOOKUP(O1148,[1]AttributeName!$B:$B,[1]AttributeName!$E:$E),2,_xlfn.XLOOKUP(C1148,#REF!,#REF!),3,_xlfn.XLOOKUP(C1148,#REF!,#REF!)),0)</f>
        <v>1</v>
      </c>
    </row>
    <row r="1149" customFormat="1" spans="1:20">
      <c r="A1149">
        <f t="shared" si="50"/>
        <v>463</v>
      </c>
      <c r="B1149">
        <v>8</v>
      </c>
      <c r="C1149" t="s">
        <v>414</v>
      </c>
      <c r="D1149" t="s">
        <v>27</v>
      </c>
      <c r="E1149" t="s">
        <v>392</v>
      </c>
      <c r="F1149"/>
      <c r="G1149">
        <v>2</v>
      </c>
      <c r="H1149">
        <v>500</v>
      </c>
      <c r="I1149">
        <v>3</v>
      </c>
      <c r="J1149" cm="1">
        <f t="array" ref="J1149">_xlfn.SWITCH(B1149,1,75,2,61,3,49,4,37,5,25,6,13,7,4,8,1)</f>
        <v>1</v>
      </c>
      <c r="K1149" t="str" cm="1">
        <f t="array" ref="K1149">IFERROR(_xlfn.SWITCH(L1149,2,_xlfn.XLOOKUP(C1149,[1]ModifierDes!$B:$B,[1]ModifierDes!$C:$C),3,_xlfn.XLOOKUP(C1149,[1]StuntDes!$B:$B,[1]StuntDes!$C:$C)),"")</f>
        <v/>
      </c>
      <c r="L1149">
        <f t="shared" si="49"/>
        <v>1</v>
      </c>
      <c r="M1149" s="10" t="str">
        <f>IFERROR(_xlfn.XLOOKUP(C1149,[1]StuntDes!$B:$B,[1]StuntDes!$A:$A),"")</f>
        <v/>
      </c>
      <c r="N1149" s="10" t="str">
        <f>IFERROR(_xlfn.XLOOKUP(C1149,[1]ModifierDes!$B:$B,[1]ModifierDes!$A:$A),"")</f>
        <v/>
      </c>
      <c r="O1149" s="10">
        <f>IFERROR(_xlfn.XLOOKUP(C1149,[1]AttributeName!$C:$C,[1]AttributeName!$B:$B),"")</f>
        <v>10900</v>
      </c>
      <c r="P1149" s="10"/>
      <c r="Q1149">
        <v>1</v>
      </c>
      <c r="R1149">
        <v>2</v>
      </c>
      <c r="S1149" cm="1">
        <f t="array" ref="S1149">IFERROR(_xlfn.SWITCH(L1149,1,_xlfn.XLOOKUP(O1149,[1]AttributeName!$B:$B,[1]AttributeName!$D:$D),2,_xlfn.XLOOKUP(C1149,#REF!,#REF!),3,_xlfn.XLOOKUP(C1149,#REF!,#REF!)),0)</f>
        <v>0</v>
      </c>
      <c r="T1149" cm="1">
        <f t="array" ref="T1149">IFERROR(_xlfn.SWITCH(L1149,1,_xlfn.XLOOKUP(O1149,[1]AttributeName!$B:$B,[1]AttributeName!$E:$E),2,_xlfn.XLOOKUP(C1149,#REF!,#REF!),3,_xlfn.XLOOKUP(C1149,#REF!,#REF!)),0)</f>
        <v>1</v>
      </c>
    </row>
    <row r="1150" customFormat="1" spans="1:20">
      <c r="A1150">
        <f t="shared" si="50"/>
        <v>464</v>
      </c>
      <c r="B1150">
        <v>1</v>
      </c>
      <c r="C1150" t="s">
        <v>427</v>
      </c>
      <c r="D1150" t="s">
        <v>27</v>
      </c>
      <c r="E1150" t="s">
        <v>392</v>
      </c>
      <c r="F1150"/>
      <c r="G1150">
        <v>2</v>
      </c>
      <c r="H1150">
        <v>50</v>
      </c>
      <c r="I1150">
        <v>3</v>
      </c>
      <c r="J1150" cm="1">
        <f t="array" ref="J1150">_xlfn.SWITCH(B1150,1,75,2,61,3,49,4,37,5,25,6,13,7,4,8,1)</f>
        <v>75</v>
      </c>
      <c r="K1150" t="str" cm="1">
        <f t="array" ref="K1150">IFERROR(_xlfn.SWITCH(L1150,2,_xlfn.XLOOKUP(C1150,[1]ModifierDes!$B:$B,[1]ModifierDes!$C:$C),3,_xlfn.XLOOKUP(C1150,[1]StuntDes!$B:$B,[1]StuntDes!$C:$C)),"")</f>
        <v/>
      </c>
      <c r="L1150">
        <f t="shared" si="49"/>
        <v>1</v>
      </c>
      <c r="M1150" s="10" t="str">
        <f>IFERROR(_xlfn.XLOOKUP(C1150,[1]StuntDes!$B:$B,[1]StuntDes!$A:$A),"")</f>
        <v/>
      </c>
      <c r="N1150" s="10" t="str">
        <f>IFERROR(_xlfn.XLOOKUP(C1150,[1]ModifierDes!$B:$B,[1]ModifierDes!$A:$A),"")</f>
        <v/>
      </c>
      <c r="O1150" s="10">
        <f>IFERROR(_xlfn.XLOOKUP(C1150,[1]AttributeName!$C:$C,[1]AttributeName!$B:$B),"")</f>
        <v>10003</v>
      </c>
      <c r="P1150" s="10"/>
      <c r="Q1150">
        <v>8</v>
      </c>
      <c r="R1150">
        <v>10</v>
      </c>
      <c r="S1150" cm="1">
        <f t="array" ref="S1150">IFERROR(_xlfn.SWITCH(L1150,1,_xlfn.XLOOKUP(O1150,[1]AttributeName!$B:$B,[1]AttributeName!$D:$D),2,_xlfn.XLOOKUP(C1150,#REF!,#REF!),3,_xlfn.XLOOKUP(C1150,#REF!,#REF!)),0)</f>
        <v>0</v>
      </c>
      <c r="T1150" cm="1">
        <f t="array" ref="T1150">IFERROR(_xlfn.SWITCH(L1150,1,_xlfn.XLOOKUP(O1150,[1]AttributeName!$B:$B,[1]AttributeName!$E:$E),2,_xlfn.XLOOKUP(C1150,#REF!,#REF!),3,_xlfn.XLOOKUP(C1150,#REF!,#REF!)),0)</f>
        <v>1</v>
      </c>
    </row>
    <row r="1151" customFormat="1" spans="1:20">
      <c r="A1151">
        <f t="shared" si="50"/>
        <v>464</v>
      </c>
      <c r="B1151">
        <v>2</v>
      </c>
      <c r="C1151" t="s">
        <v>427</v>
      </c>
      <c r="D1151" t="s">
        <v>27</v>
      </c>
      <c r="E1151" t="s">
        <v>392</v>
      </c>
      <c r="F1151"/>
      <c r="G1151">
        <v>2</v>
      </c>
      <c r="H1151">
        <v>100</v>
      </c>
      <c r="I1151">
        <v>3</v>
      </c>
      <c r="J1151" cm="1">
        <f t="array" ref="J1151">_xlfn.SWITCH(B1151,1,75,2,61,3,49,4,37,5,25,6,13,7,4,8,1)</f>
        <v>61</v>
      </c>
      <c r="K1151" t="str" cm="1">
        <f t="array" ref="K1151">IFERROR(_xlfn.SWITCH(L1151,2,_xlfn.XLOOKUP(C1151,[1]ModifierDes!$B:$B,[1]ModifierDes!$C:$C),3,_xlfn.XLOOKUP(C1151,[1]StuntDes!$B:$B,[1]StuntDes!$C:$C)),"")</f>
        <v/>
      </c>
      <c r="L1151">
        <f t="shared" si="49"/>
        <v>1</v>
      </c>
      <c r="M1151" s="10" t="str">
        <f>IFERROR(_xlfn.XLOOKUP(C1151,[1]StuntDes!$B:$B,[1]StuntDes!$A:$A),"")</f>
        <v/>
      </c>
      <c r="N1151" s="10" t="str">
        <f>IFERROR(_xlfn.XLOOKUP(C1151,[1]ModifierDes!$B:$B,[1]ModifierDes!$A:$A),"")</f>
        <v/>
      </c>
      <c r="O1151" s="10">
        <f>IFERROR(_xlfn.XLOOKUP(C1151,[1]AttributeName!$C:$C,[1]AttributeName!$B:$B),"")</f>
        <v>10003</v>
      </c>
      <c r="P1151" s="10"/>
      <c r="Q1151">
        <v>7</v>
      </c>
      <c r="R1151">
        <v>7</v>
      </c>
      <c r="S1151" cm="1">
        <f t="array" ref="S1151">IFERROR(_xlfn.SWITCH(L1151,1,_xlfn.XLOOKUP(O1151,[1]AttributeName!$B:$B,[1]AttributeName!$D:$D),2,_xlfn.XLOOKUP(C1151,#REF!,#REF!),3,_xlfn.XLOOKUP(C1151,#REF!,#REF!)),0)</f>
        <v>0</v>
      </c>
      <c r="T1151" cm="1">
        <f t="array" ref="T1151">IFERROR(_xlfn.SWITCH(L1151,1,_xlfn.XLOOKUP(O1151,[1]AttributeName!$B:$B,[1]AttributeName!$E:$E),2,_xlfn.XLOOKUP(C1151,#REF!,#REF!),3,_xlfn.XLOOKUP(C1151,#REF!,#REF!)),0)</f>
        <v>1</v>
      </c>
    </row>
    <row r="1152" customFormat="1" spans="1:20">
      <c r="A1152">
        <f t="shared" si="50"/>
        <v>464</v>
      </c>
      <c r="B1152">
        <v>3</v>
      </c>
      <c r="C1152" t="s">
        <v>427</v>
      </c>
      <c r="D1152" t="s">
        <v>27</v>
      </c>
      <c r="E1152" t="s">
        <v>392</v>
      </c>
      <c r="F1152"/>
      <c r="G1152">
        <v>2</v>
      </c>
      <c r="H1152">
        <v>250</v>
      </c>
      <c r="I1152">
        <v>3</v>
      </c>
      <c r="J1152" cm="1">
        <f t="array" ref="J1152">_xlfn.SWITCH(B1152,1,75,2,61,3,49,4,37,5,25,6,13,7,4,8,1)</f>
        <v>49</v>
      </c>
      <c r="K1152" t="str" cm="1">
        <f t="array" ref="K1152">IFERROR(_xlfn.SWITCH(L1152,2,_xlfn.XLOOKUP(C1152,[1]ModifierDes!$B:$B,[1]ModifierDes!$C:$C),3,_xlfn.XLOOKUP(C1152,[1]StuntDes!$B:$B,[1]StuntDes!$C:$C)),"")</f>
        <v/>
      </c>
      <c r="L1152">
        <f t="shared" si="49"/>
        <v>1</v>
      </c>
      <c r="M1152" s="10" t="str">
        <f>IFERROR(_xlfn.XLOOKUP(C1152,[1]StuntDes!$B:$B,[1]StuntDes!$A:$A),"")</f>
        <v/>
      </c>
      <c r="N1152" s="10" t="str">
        <f>IFERROR(_xlfn.XLOOKUP(C1152,[1]ModifierDes!$B:$B,[1]ModifierDes!$A:$A),"")</f>
        <v/>
      </c>
      <c r="O1152" s="10">
        <f>IFERROR(_xlfn.XLOOKUP(C1152,[1]AttributeName!$C:$C,[1]AttributeName!$B:$B),"")</f>
        <v>10003</v>
      </c>
      <c r="P1152" s="10"/>
      <c r="Q1152">
        <v>6</v>
      </c>
      <c r="R1152">
        <v>6</v>
      </c>
      <c r="S1152" cm="1">
        <f t="array" ref="S1152">IFERROR(_xlfn.SWITCH(L1152,1,_xlfn.XLOOKUP(O1152,[1]AttributeName!$B:$B,[1]AttributeName!$D:$D),2,_xlfn.XLOOKUP(C1152,#REF!,#REF!),3,_xlfn.XLOOKUP(C1152,#REF!,#REF!)),0)</f>
        <v>0</v>
      </c>
      <c r="T1152" cm="1">
        <f t="array" ref="T1152">IFERROR(_xlfn.SWITCH(L1152,1,_xlfn.XLOOKUP(O1152,[1]AttributeName!$B:$B,[1]AttributeName!$E:$E),2,_xlfn.XLOOKUP(C1152,#REF!,#REF!),3,_xlfn.XLOOKUP(C1152,#REF!,#REF!)),0)</f>
        <v>1</v>
      </c>
    </row>
    <row r="1153" customFormat="1" spans="1:20">
      <c r="A1153">
        <f t="shared" si="50"/>
        <v>464</v>
      </c>
      <c r="B1153">
        <v>4</v>
      </c>
      <c r="C1153" t="s">
        <v>427</v>
      </c>
      <c r="D1153" t="s">
        <v>27</v>
      </c>
      <c r="E1153" t="s">
        <v>392</v>
      </c>
      <c r="F1153"/>
      <c r="G1153">
        <v>2</v>
      </c>
      <c r="H1153">
        <v>500</v>
      </c>
      <c r="I1153">
        <v>3</v>
      </c>
      <c r="J1153" cm="1">
        <f t="array" ref="J1153">_xlfn.SWITCH(B1153,1,75,2,61,3,49,4,37,5,25,6,13,7,4,8,1)</f>
        <v>37</v>
      </c>
      <c r="K1153" t="str" cm="1">
        <f t="array" ref="K1153">IFERROR(_xlfn.SWITCH(L1153,2,_xlfn.XLOOKUP(C1153,[1]ModifierDes!$B:$B,[1]ModifierDes!$C:$C),3,_xlfn.XLOOKUP(C1153,[1]StuntDes!$B:$B,[1]StuntDes!$C:$C)),"")</f>
        <v/>
      </c>
      <c r="L1153">
        <f t="shared" si="49"/>
        <v>1</v>
      </c>
      <c r="M1153" s="10" t="str">
        <f>IFERROR(_xlfn.XLOOKUP(C1153,[1]StuntDes!$B:$B,[1]StuntDes!$A:$A),"")</f>
        <v/>
      </c>
      <c r="N1153" s="10" t="str">
        <f>IFERROR(_xlfn.XLOOKUP(C1153,[1]ModifierDes!$B:$B,[1]ModifierDes!$A:$A),"")</f>
        <v/>
      </c>
      <c r="O1153" s="10">
        <f>IFERROR(_xlfn.XLOOKUP(C1153,[1]AttributeName!$C:$C,[1]AttributeName!$B:$B),"")</f>
        <v>10003</v>
      </c>
      <c r="P1153" s="10"/>
      <c r="Q1153">
        <v>5</v>
      </c>
      <c r="R1153">
        <v>5</v>
      </c>
      <c r="S1153" cm="1">
        <f t="array" ref="S1153">IFERROR(_xlfn.SWITCH(L1153,1,_xlfn.XLOOKUP(O1153,[1]AttributeName!$B:$B,[1]AttributeName!$D:$D),2,_xlfn.XLOOKUP(C1153,#REF!,#REF!),3,_xlfn.XLOOKUP(C1153,#REF!,#REF!)),0)</f>
        <v>0</v>
      </c>
      <c r="T1153" cm="1">
        <f t="array" ref="T1153">IFERROR(_xlfn.SWITCH(L1153,1,_xlfn.XLOOKUP(O1153,[1]AttributeName!$B:$B,[1]AttributeName!$E:$E),2,_xlfn.XLOOKUP(C1153,#REF!,#REF!),3,_xlfn.XLOOKUP(C1153,#REF!,#REF!)),0)</f>
        <v>1</v>
      </c>
    </row>
    <row r="1154" customFormat="1" spans="1:20">
      <c r="A1154">
        <f t="shared" si="50"/>
        <v>464</v>
      </c>
      <c r="B1154">
        <v>5</v>
      </c>
      <c r="C1154" t="s">
        <v>427</v>
      </c>
      <c r="D1154" t="s">
        <v>27</v>
      </c>
      <c r="E1154" t="s">
        <v>392</v>
      </c>
      <c r="F1154"/>
      <c r="G1154">
        <v>2</v>
      </c>
      <c r="H1154">
        <v>500</v>
      </c>
      <c r="I1154">
        <v>3</v>
      </c>
      <c r="J1154" cm="1">
        <f t="array" ref="J1154">_xlfn.SWITCH(B1154,1,75,2,61,3,49,4,37,5,25,6,13,7,4,8,1)</f>
        <v>25</v>
      </c>
      <c r="K1154" t="str" cm="1">
        <f t="array" ref="K1154">IFERROR(_xlfn.SWITCH(L1154,2,_xlfn.XLOOKUP(C1154,[1]ModifierDes!$B:$B,[1]ModifierDes!$C:$C),3,_xlfn.XLOOKUP(C1154,[1]StuntDes!$B:$B,[1]StuntDes!$C:$C)),"")</f>
        <v/>
      </c>
      <c r="L1154">
        <f t="shared" si="49"/>
        <v>1</v>
      </c>
      <c r="M1154" s="10" t="str">
        <f>IFERROR(_xlfn.XLOOKUP(C1154,[1]StuntDes!$B:$B,[1]StuntDes!$A:$A),"")</f>
        <v/>
      </c>
      <c r="N1154" s="10" t="str">
        <f>IFERROR(_xlfn.XLOOKUP(C1154,[1]ModifierDes!$B:$B,[1]ModifierDes!$A:$A),"")</f>
        <v/>
      </c>
      <c r="O1154" s="10">
        <f>IFERROR(_xlfn.XLOOKUP(C1154,[1]AttributeName!$C:$C,[1]AttributeName!$B:$B),"")</f>
        <v>10003</v>
      </c>
      <c r="P1154" s="10"/>
      <c r="Q1154">
        <v>4</v>
      </c>
      <c r="R1154">
        <v>4</v>
      </c>
      <c r="S1154" cm="1">
        <f t="array" ref="S1154">IFERROR(_xlfn.SWITCH(L1154,1,_xlfn.XLOOKUP(O1154,[1]AttributeName!$B:$B,[1]AttributeName!$D:$D),2,_xlfn.XLOOKUP(C1154,#REF!,#REF!),3,_xlfn.XLOOKUP(C1154,#REF!,#REF!)),0)</f>
        <v>0</v>
      </c>
      <c r="T1154" cm="1">
        <f t="array" ref="T1154">IFERROR(_xlfn.SWITCH(L1154,1,_xlfn.XLOOKUP(O1154,[1]AttributeName!$B:$B,[1]AttributeName!$E:$E),2,_xlfn.XLOOKUP(C1154,#REF!,#REF!),3,_xlfn.XLOOKUP(C1154,#REF!,#REF!)),0)</f>
        <v>1</v>
      </c>
    </row>
    <row r="1155" customFormat="1" spans="1:20">
      <c r="A1155">
        <f t="shared" si="50"/>
        <v>464</v>
      </c>
      <c r="B1155">
        <v>6</v>
      </c>
      <c r="C1155" t="s">
        <v>427</v>
      </c>
      <c r="D1155" t="s">
        <v>27</v>
      </c>
      <c r="E1155" t="s">
        <v>392</v>
      </c>
      <c r="F1155"/>
      <c r="G1155">
        <v>2</v>
      </c>
      <c r="H1155">
        <v>500</v>
      </c>
      <c r="I1155">
        <v>3</v>
      </c>
      <c r="J1155" cm="1">
        <f t="array" ref="J1155">_xlfn.SWITCH(B1155,1,75,2,61,3,49,4,37,5,25,6,13,7,4,8,1)</f>
        <v>13</v>
      </c>
      <c r="K1155" t="str" cm="1">
        <f t="array" ref="K1155">IFERROR(_xlfn.SWITCH(L1155,2,_xlfn.XLOOKUP(C1155,[1]ModifierDes!$B:$B,[1]ModifierDes!$C:$C),3,_xlfn.XLOOKUP(C1155,[1]StuntDes!$B:$B,[1]StuntDes!$C:$C)),"")</f>
        <v/>
      </c>
      <c r="L1155">
        <f t="shared" si="49"/>
        <v>1</v>
      </c>
      <c r="M1155" s="10" t="str">
        <f>IFERROR(_xlfn.XLOOKUP(C1155,[1]StuntDes!$B:$B,[1]StuntDes!$A:$A),"")</f>
        <v/>
      </c>
      <c r="N1155" s="10" t="str">
        <f>IFERROR(_xlfn.XLOOKUP(C1155,[1]ModifierDes!$B:$B,[1]ModifierDes!$A:$A),"")</f>
        <v/>
      </c>
      <c r="O1155" s="10">
        <f>IFERROR(_xlfn.XLOOKUP(C1155,[1]AttributeName!$C:$C,[1]AttributeName!$B:$B),"")</f>
        <v>10003</v>
      </c>
      <c r="P1155" s="10"/>
      <c r="Q1155">
        <v>3</v>
      </c>
      <c r="R1155">
        <v>3</v>
      </c>
      <c r="S1155" cm="1">
        <f t="array" ref="S1155">IFERROR(_xlfn.SWITCH(L1155,1,_xlfn.XLOOKUP(O1155,[1]AttributeName!$B:$B,[1]AttributeName!$D:$D),2,_xlfn.XLOOKUP(C1155,#REF!,#REF!),3,_xlfn.XLOOKUP(C1155,#REF!,#REF!)),0)</f>
        <v>0</v>
      </c>
      <c r="T1155" cm="1">
        <f t="array" ref="T1155">IFERROR(_xlfn.SWITCH(L1155,1,_xlfn.XLOOKUP(O1155,[1]AttributeName!$B:$B,[1]AttributeName!$E:$E),2,_xlfn.XLOOKUP(C1155,#REF!,#REF!),3,_xlfn.XLOOKUP(C1155,#REF!,#REF!)),0)</f>
        <v>1</v>
      </c>
    </row>
    <row r="1156" customFormat="1" spans="1:20">
      <c r="A1156">
        <f t="shared" si="50"/>
        <v>464</v>
      </c>
      <c r="B1156">
        <v>7</v>
      </c>
      <c r="C1156" t="s">
        <v>427</v>
      </c>
      <c r="D1156" t="s">
        <v>27</v>
      </c>
      <c r="E1156" t="s">
        <v>392</v>
      </c>
      <c r="F1156"/>
      <c r="G1156">
        <v>2</v>
      </c>
      <c r="H1156">
        <v>500</v>
      </c>
      <c r="I1156">
        <v>3</v>
      </c>
      <c r="J1156" cm="1">
        <f t="array" ref="J1156">_xlfn.SWITCH(B1156,1,75,2,61,3,49,4,37,5,25,6,13,7,4,8,1)</f>
        <v>4</v>
      </c>
      <c r="K1156" t="str" cm="1">
        <f t="array" ref="K1156">IFERROR(_xlfn.SWITCH(L1156,2,_xlfn.XLOOKUP(C1156,[1]ModifierDes!$B:$B,[1]ModifierDes!$C:$C),3,_xlfn.XLOOKUP(C1156,[1]StuntDes!$B:$B,[1]StuntDes!$C:$C)),"")</f>
        <v/>
      </c>
      <c r="L1156">
        <f t="shared" ref="L1156:L1219" si="51">IF(M1156="",IF(N1156="",1,2),3)</f>
        <v>1</v>
      </c>
      <c r="M1156" s="10" t="str">
        <f>IFERROR(_xlfn.XLOOKUP(C1156,[1]StuntDes!$B:$B,[1]StuntDes!$A:$A),"")</f>
        <v/>
      </c>
      <c r="N1156" s="10" t="str">
        <f>IFERROR(_xlfn.XLOOKUP(C1156,[1]ModifierDes!$B:$B,[1]ModifierDes!$A:$A),"")</f>
        <v/>
      </c>
      <c r="O1156" s="10">
        <f>IFERROR(_xlfn.XLOOKUP(C1156,[1]AttributeName!$C:$C,[1]AttributeName!$B:$B),"")</f>
        <v>10003</v>
      </c>
      <c r="P1156" s="10"/>
      <c r="Q1156">
        <v>2</v>
      </c>
      <c r="R1156">
        <v>2</v>
      </c>
      <c r="S1156" cm="1">
        <f t="array" ref="S1156">IFERROR(_xlfn.SWITCH(L1156,1,_xlfn.XLOOKUP(O1156,[1]AttributeName!$B:$B,[1]AttributeName!$D:$D),2,_xlfn.XLOOKUP(C1156,#REF!,#REF!),3,_xlfn.XLOOKUP(C1156,#REF!,#REF!)),0)</f>
        <v>0</v>
      </c>
      <c r="T1156" cm="1">
        <f t="array" ref="T1156">IFERROR(_xlfn.SWITCH(L1156,1,_xlfn.XLOOKUP(O1156,[1]AttributeName!$B:$B,[1]AttributeName!$E:$E),2,_xlfn.XLOOKUP(C1156,#REF!,#REF!),3,_xlfn.XLOOKUP(C1156,#REF!,#REF!)),0)</f>
        <v>1</v>
      </c>
    </row>
    <row r="1157" customFormat="1" spans="1:20">
      <c r="A1157">
        <f t="shared" si="50"/>
        <v>464</v>
      </c>
      <c r="B1157">
        <v>8</v>
      </c>
      <c r="C1157" t="s">
        <v>427</v>
      </c>
      <c r="D1157" t="s">
        <v>27</v>
      </c>
      <c r="E1157" t="s">
        <v>392</v>
      </c>
      <c r="F1157"/>
      <c r="G1157">
        <v>2</v>
      </c>
      <c r="H1157">
        <v>500</v>
      </c>
      <c r="I1157">
        <v>3</v>
      </c>
      <c r="J1157" cm="1">
        <f t="array" ref="J1157">_xlfn.SWITCH(B1157,1,75,2,61,3,49,4,37,5,25,6,13,7,4,8,1)</f>
        <v>1</v>
      </c>
      <c r="K1157" t="str" cm="1">
        <f t="array" ref="K1157">IFERROR(_xlfn.SWITCH(L1157,2,_xlfn.XLOOKUP(C1157,[1]ModifierDes!$B:$B,[1]ModifierDes!$C:$C),3,_xlfn.XLOOKUP(C1157,[1]StuntDes!$B:$B,[1]StuntDes!$C:$C)),"")</f>
        <v/>
      </c>
      <c r="L1157">
        <f t="shared" si="51"/>
        <v>1</v>
      </c>
      <c r="M1157" s="10" t="str">
        <f>IFERROR(_xlfn.XLOOKUP(C1157,[1]StuntDes!$B:$B,[1]StuntDes!$A:$A),"")</f>
        <v/>
      </c>
      <c r="N1157" s="10" t="str">
        <f>IFERROR(_xlfn.XLOOKUP(C1157,[1]ModifierDes!$B:$B,[1]ModifierDes!$A:$A),"")</f>
        <v/>
      </c>
      <c r="O1157" s="10">
        <f>IFERROR(_xlfn.XLOOKUP(C1157,[1]AttributeName!$C:$C,[1]AttributeName!$B:$B),"")</f>
        <v>10003</v>
      </c>
      <c r="P1157" s="10"/>
      <c r="Q1157">
        <v>1</v>
      </c>
      <c r="R1157">
        <v>1</v>
      </c>
      <c r="S1157" cm="1">
        <f t="array" ref="S1157">IFERROR(_xlfn.SWITCH(L1157,1,_xlfn.XLOOKUP(O1157,[1]AttributeName!$B:$B,[1]AttributeName!$D:$D),2,_xlfn.XLOOKUP(C1157,#REF!,#REF!),3,_xlfn.XLOOKUP(C1157,#REF!,#REF!)),0)</f>
        <v>0</v>
      </c>
      <c r="T1157" cm="1">
        <f t="array" ref="T1157">IFERROR(_xlfn.SWITCH(L1157,1,_xlfn.XLOOKUP(O1157,[1]AttributeName!$B:$B,[1]AttributeName!$E:$E),2,_xlfn.XLOOKUP(C1157,#REF!,#REF!),3,_xlfn.XLOOKUP(C1157,#REF!,#REF!)),0)</f>
        <v>1</v>
      </c>
    </row>
    <row r="1158" customFormat="1" spans="1:20">
      <c r="A1158">
        <v>501</v>
      </c>
      <c r="B1158">
        <v>1</v>
      </c>
      <c r="C1158" t="s">
        <v>377</v>
      </c>
      <c r="D1158" t="s">
        <v>28</v>
      </c>
      <c r="E1158" t="s">
        <v>378</v>
      </c>
      <c r="F1158"/>
      <c r="G1158">
        <v>1</v>
      </c>
      <c r="H1158">
        <v>50</v>
      </c>
      <c r="I1158">
        <v>1</v>
      </c>
      <c r="J1158" cm="1">
        <f t="array" ref="J1158">_xlfn.SWITCH(B1158,1,75,2,61,3,49,4,37,5,25,6,13,7,4,8,1)</f>
        <v>75</v>
      </c>
      <c r="K1158" t="str" cm="1">
        <f t="array" ref="K1158">IFERROR(_xlfn.SWITCH(L1158,2,_xlfn.XLOOKUP(C1158,[1]ModifierDes!$B:$B,[1]ModifierDes!$C:$C),3,_xlfn.XLOOKUP(C1158,[1]StuntDes!$B:$B,[1]StuntDes!$C:$C)),"")</f>
        <v>物理伤害倍率增加{0}</v>
      </c>
      <c r="L1158">
        <f t="shared" si="51"/>
        <v>2</v>
      </c>
      <c r="M1158" s="10" t="str">
        <f>IFERROR(_xlfn.XLOOKUP(C1158,[1]StuntDes!$B:$B,[1]StuntDes!$A:$A),"")</f>
        <v/>
      </c>
      <c r="N1158" s="10">
        <f>IFERROR(_xlfn.XLOOKUP(C1158,[1]ModifierDes!$B:$B,[1]ModifierDes!$A:$A),"")</f>
        <v>10056</v>
      </c>
      <c r="O1158" s="10" t="str">
        <f>IFERROR(_xlfn.XLOOKUP(C1158,[1]AttributeName!$C:$C,[1]AttributeName!$B:$B),"")</f>
        <v/>
      </c>
      <c r="P1158" s="10"/>
      <c r="Q1158">
        <v>0.25</v>
      </c>
      <c r="R1158">
        <v>0.35</v>
      </c>
      <c r="S1158" cm="1">
        <f t="array" ref="S1158">IFERROR(_xlfn.SWITCH(L1158,1,_xlfn.XLOOKUP(O1158,[1]AttributeName!$B:$B,[1]AttributeName!$D:$D),2,_xlfn.XLOOKUP(C1158,#REF!,#REF!),3,_xlfn.XLOOKUP(C1158,#REF!,#REF!)),0)</f>
        <v>0</v>
      </c>
      <c r="T1158" cm="1">
        <f t="array" ref="T1158">IFERROR(_xlfn.SWITCH(L1158,1,_xlfn.XLOOKUP(O1158,[1]AttributeName!$B:$B,[1]AttributeName!$E:$E),2,_xlfn.XLOOKUP(C1158,#REF!,#REF!),3,_xlfn.XLOOKUP(C1158,#REF!,#REF!)),0)</f>
        <v>0</v>
      </c>
    </row>
    <row r="1159" customFormat="1" spans="1:20">
      <c r="A1159">
        <v>501</v>
      </c>
      <c r="B1159">
        <v>2</v>
      </c>
      <c r="C1159" t="s">
        <v>377</v>
      </c>
      <c r="D1159" t="s">
        <v>28</v>
      </c>
      <c r="E1159" t="s">
        <v>378</v>
      </c>
      <c r="F1159"/>
      <c r="G1159">
        <v>1</v>
      </c>
      <c r="H1159">
        <v>100</v>
      </c>
      <c r="I1159">
        <v>1</v>
      </c>
      <c r="J1159" cm="1">
        <f t="array" ref="J1159">_xlfn.SWITCH(B1159,1,75,2,61,3,49,4,37,5,25,6,13,7,4,8,1)</f>
        <v>61</v>
      </c>
      <c r="K1159" t="str" cm="1">
        <f t="array" ref="K1159">IFERROR(_xlfn.SWITCH(L1159,2,_xlfn.XLOOKUP(C1159,[1]ModifierDes!$B:$B,[1]ModifierDes!$C:$C),3,_xlfn.XLOOKUP(C1159,[1]StuntDes!$B:$B,[1]StuntDes!$C:$C)),"")</f>
        <v>物理伤害倍率增加{0}</v>
      </c>
      <c r="L1159">
        <f t="shared" si="51"/>
        <v>2</v>
      </c>
      <c r="M1159" s="10" t="str">
        <f>IFERROR(_xlfn.XLOOKUP(C1159,[1]StuntDes!$B:$B,[1]StuntDes!$A:$A),"")</f>
        <v/>
      </c>
      <c r="N1159" s="10">
        <f>IFERROR(_xlfn.XLOOKUP(C1159,[1]ModifierDes!$B:$B,[1]ModifierDes!$A:$A),"")</f>
        <v>10056</v>
      </c>
      <c r="O1159" s="10" t="str">
        <f>IFERROR(_xlfn.XLOOKUP(C1159,[1]AttributeName!$C:$C,[1]AttributeName!$B:$B),"")</f>
        <v/>
      </c>
      <c r="P1159" s="10"/>
      <c r="Q1159">
        <v>0.22</v>
      </c>
      <c r="R1159">
        <v>0.24</v>
      </c>
      <c r="S1159" cm="1">
        <f t="array" ref="S1159">IFERROR(_xlfn.SWITCH(L1159,1,_xlfn.XLOOKUP(O1159,[1]AttributeName!$B:$B,[1]AttributeName!$D:$D),2,_xlfn.XLOOKUP(C1159,#REF!,#REF!),3,_xlfn.XLOOKUP(C1159,#REF!,#REF!)),0)</f>
        <v>0</v>
      </c>
      <c r="T1159" cm="1">
        <f t="array" ref="T1159">IFERROR(_xlfn.SWITCH(L1159,1,_xlfn.XLOOKUP(O1159,[1]AttributeName!$B:$B,[1]AttributeName!$E:$E),2,_xlfn.XLOOKUP(C1159,#REF!,#REF!),3,_xlfn.XLOOKUP(C1159,#REF!,#REF!)),0)</f>
        <v>0</v>
      </c>
    </row>
    <row r="1160" customFormat="1" spans="1:20">
      <c r="A1160">
        <v>501</v>
      </c>
      <c r="B1160">
        <v>3</v>
      </c>
      <c r="C1160" t="s">
        <v>377</v>
      </c>
      <c r="D1160" t="s">
        <v>28</v>
      </c>
      <c r="E1160" t="s">
        <v>378</v>
      </c>
      <c r="F1160"/>
      <c r="G1160">
        <v>1</v>
      </c>
      <c r="H1160">
        <v>200</v>
      </c>
      <c r="I1160">
        <v>1</v>
      </c>
      <c r="J1160" cm="1">
        <f t="array" ref="J1160">_xlfn.SWITCH(B1160,1,75,2,61,3,49,4,37,5,25,6,13,7,4,8,1)</f>
        <v>49</v>
      </c>
      <c r="K1160" t="str" cm="1">
        <f t="array" ref="K1160">IFERROR(_xlfn.SWITCH(L1160,2,_xlfn.XLOOKUP(C1160,[1]ModifierDes!$B:$B,[1]ModifierDes!$C:$C),3,_xlfn.XLOOKUP(C1160,[1]StuntDes!$B:$B,[1]StuntDes!$C:$C)),"")</f>
        <v>物理伤害倍率增加{0}</v>
      </c>
      <c r="L1160">
        <f t="shared" si="51"/>
        <v>2</v>
      </c>
      <c r="M1160" s="10" t="str">
        <f>IFERROR(_xlfn.XLOOKUP(C1160,[1]StuntDes!$B:$B,[1]StuntDes!$A:$A),"")</f>
        <v/>
      </c>
      <c r="N1160" s="10">
        <f>IFERROR(_xlfn.XLOOKUP(C1160,[1]ModifierDes!$B:$B,[1]ModifierDes!$A:$A),"")</f>
        <v>10056</v>
      </c>
      <c r="O1160" s="10" t="str">
        <f>IFERROR(_xlfn.XLOOKUP(C1160,[1]AttributeName!$C:$C,[1]AttributeName!$B:$B),"")</f>
        <v/>
      </c>
      <c r="P1160" s="10"/>
      <c r="Q1160">
        <v>0.19</v>
      </c>
      <c r="R1160">
        <v>0.21</v>
      </c>
      <c r="S1160" cm="1">
        <f t="array" ref="S1160">IFERROR(_xlfn.SWITCH(L1160,1,_xlfn.XLOOKUP(O1160,[1]AttributeName!$B:$B,[1]AttributeName!$D:$D),2,_xlfn.XLOOKUP(C1160,#REF!,#REF!),3,_xlfn.XLOOKUP(C1160,#REF!,#REF!)),0)</f>
        <v>0</v>
      </c>
      <c r="T1160" cm="1">
        <f t="array" ref="T1160">IFERROR(_xlfn.SWITCH(L1160,1,_xlfn.XLOOKUP(O1160,[1]AttributeName!$B:$B,[1]AttributeName!$E:$E),2,_xlfn.XLOOKUP(C1160,#REF!,#REF!),3,_xlfn.XLOOKUP(C1160,#REF!,#REF!)),0)</f>
        <v>0</v>
      </c>
    </row>
    <row r="1161" customFormat="1" spans="1:20">
      <c r="A1161">
        <v>501</v>
      </c>
      <c r="B1161">
        <v>4</v>
      </c>
      <c r="C1161" t="s">
        <v>377</v>
      </c>
      <c r="D1161" t="s">
        <v>28</v>
      </c>
      <c r="E1161" t="s">
        <v>378</v>
      </c>
      <c r="F1161"/>
      <c r="G1161">
        <v>1</v>
      </c>
      <c r="H1161">
        <v>500</v>
      </c>
      <c r="I1161">
        <v>1</v>
      </c>
      <c r="J1161" cm="1">
        <f t="array" ref="J1161">_xlfn.SWITCH(B1161,1,75,2,61,3,49,4,37,5,25,6,13,7,4,8,1)</f>
        <v>37</v>
      </c>
      <c r="K1161" t="str" cm="1">
        <f t="array" ref="K1161">IFERROR(_xlfn.SWITCH(L1161,2,_xlfn.XLOOKUP(C1161,[1]ModifierDes!$B:$B,[1]ModifierDes!$C:$C),3,_xlfn.XLOOKUP(C1161,[1]StuntDes!$B:$B,[1]StuntDes!$C:$C)),"")</f>
        <v>物理伤害倍率增加{0}</v>
      </c>
      <c r="L1161">
        <f t="shared" si="51"/>
        <v>2</v>
      </c>
      <c r="M1161" s="10" t="str">
        <f>IFERROR(_xlfn.XLOOKUP(C1161,[1]StuntDes!$B:$B,[1]StuntDes!$A:$A),"")</f>
        <v/>
      </c>
      <c r="N1161" s="10">
        <f>IFERROR(_xlfn.XLOOKUP(C1161,[1]ModifierDes!$B:$B,[1]ModifierDes!$A:$A),"")</f>
        <v>10056</v>
      </c>
      <c r="O1161" s="10" t="str">
        <f>IFERROR(_xlfn.XLOOKUP(C1161,[1]AttributeName!$C:$C,[1]AttributeName!$B:$B),"")</f>
        <v/>
      </c>
      <c r="P1161" s="10"/>
      <c r="Q1161">
        <v>0.16</v>
      </c>
      <c r="R1161">
        <v>0.18</v>
      </c>
      <c r="S1161" cm="1">
        <f t="array" ref="S1161">IFERROR(_xlfn.SWITCH(L1161,1,_xlfn.XLOOKUP(O1161,[1]AttributeName!$B:$B,[1]AttributeName!$D:$D),2,_xlfn.XLOOKUP(C1161,#REF!,#REF!),3,_xlfn.XLOOKUP(C1161,#REF!,#REF!)),0)</f>
        <v>0</v>
      </c>
      <c r="T1161" cm="1">
        <f t="array" ref="T1161">IFERROR(_xlfn.SWITCH(L1161,1,_xlfn.XLOOKUP(O1161,[1]AttributeName!$B:$B,[1]AttributeName!$E:$E),2,_xlfn.XLOOKUP(C1161,#REF!,#REF!),3,_xlfn.XLOOKUP(C1161,#REF!,#REF!)),0)</f>
        <v>0</v>
      </c>
    </row>
    <row r="1162" customFormat="1" spans="1:20">
      <c r="A1162">
        <v>501</v>
      </c>
      <c r="B1162">
        <v>5</v>
      </c>
      <c r="C1162" t="s">
        <v>377</v>
      </c>
      <c r="D1162" t="s">
        <v>28</v>
      </c>
      <c r="E1162" t="s">
        <v>378</v>
      </c>
      <c r="F1162"/>
      <c r="G1162">
        <v>1</v>
      </c>
      <c r="H1162">
        <v>1000</v>
      </c>
      <c r="I1162">
        <v>1</v>
      </c>
      <c r="J1162" cm="1">
        <f t="array" ref="J1162">_xlfn.SWITCH(B1162,1,75,2,61,3,49,4,37,5,25,6,13,7,4,8,1)</f>
        <v>25</v>
      </c>
      <c r="K1162" t="str" cm="1">
        <f t="array" ref="K1162">IFERROR(_xlfn.SWITCH(L1162,2,_xlfn.XLOOKUP(C1162,[1]ModifierDes!$B:$B,[1]ModifierDes!$C:$C),3,_xlfn.XLOOKUP(C1162,[1]StuntDes!$B:$B,[1]StuntDes!$C:$C)),"")</f>
        <v>物理伤害倍率增加{0}</v>
      </c>
      <c r="L1162">
        <f t="shared" si="51"/>
        <v>2</v>
      </c>
      <c r="M1162" s="10" t="str">
        <f>IFERROR(_xlfn.XLOOKUP(C1162,[1]StuntDes!$B:$B,[1]StuntDes!$A:$A),"")</f>
        <v/>
      </c>
      <c r="N1162" s="10">
        <f>IFERROR(_xlfn.XLOOKUP(C1162,[1]ModifierDes!$B:$B,[1]ModifierDes!$A:$A),"")</f>
        <v>10056</v>
      </c>
      <c r="O1162" s="10" t="str">
        <f>IFERROR(_xlfn.XLOOKUP(C1162,[1]AttributeName!$C:$C,[1]AttributeName!$B:$B),"")</f>
        <v/>
      </c>
      <c r="P1162" s="10"/>
      <c r="Q1162">
        <v>0.13</v>
      </c>
      <c r="R1162">
        <v>0.15</v>
      </c>
      <c r="S1162" cm="1">
        <f t="array" ref="S1162">IFERROR(_xlfn.SWITCH(L1162,1,_xlfn.XLOOKUP(O1162,[1]AttributeName!$B:$B,[1]AttributeName!$D:$D),2,_xlfn.XLOOKUP(C1162,#REF!,#REF!),3,_xlfn.XLOOKUP(C1162,#REF!,#REF!)),0)</f>
        <v>0</v>
      </c>
      <c r="T1162" cm="1">
        <f t="array" ref="T1162">IFERROR(_xlfn.SWITCH(L1162,1,_xlfn.XLOOKUP(O1162,[1]AttributeName!$B:$B,[1]AttributeName!$E:$E),2,_xlfn.XLOOKUP(C1162,#REF!,#REF!),3,_xlfn.XLOOKUP(C1162,#REF!,#REF!)),0)</f>
        <v>0</v>
      </c>
    </row>
    <row r="1163" customFormat="1" spans="1:20">
      <c r="A1163">
        <v>501</v>
      </c>
      <c r="B1163">
        <v>6</v>
      </c>
      <c r="C1163" t="s">
        <v>377</v>
      </c>
      <c r="D1163" t="s">
        <v>28</v>
      </c>
      <c r="E1163" t="s">
        <v>378</v>
      </c>
      <c r="F1163"/>
      <c r="G1163">
        <v>1</v>
      </c>
      <c r="H1163">
        <v>1000</v>
      </c>
      <c r="I1163">
        <v>1</v>
      </c>
      <c r="J1163" cm="1">
        <f t="array" ref="J1163">_xlfn.SWITCH(B1163,1,75,2,61,3,49,4,37,5,25,6,13,7,4,8,1)</f>
        <v>13</v>
      </c>
      <c r="K1163" t="str" cm="1">
        <f t="array" ref="K1163">IFERROR(_xlfn.SWITCH(L1163,2,_xlfn.XLOOKUP(C1163,[1]ModifierDes!$B:$B,[1]ModifierDes!$C:$C),3,_xlfn.XLOOKUP(C1163,[1]StuntDes!$B:$B,[1]StuntDes!$C:$C)),"")</f>
        <v>物理伤害倍率增加{0}</v>
      </c>
      <c r="L1163">
        <f t="shared" si="51"/>
        <v>2</v>
      </c>
      <c r="M1163" s="10" t="str">
        <f>IFERROR(_xlfn.XLOOKUP(C1163,[1]StuntDes!$B:$B,[1]StuntDes!$A:$A),"")</f>
        <v/>
      </c>
      <c r="N1163" s="10">
        <f>IFERROR(_xlfn.XLOOKUP(C1163,[1]ModifierDes!$B:$B,[1]ModifierDes!$A:$A),"")</f>
        <v>10056</v>
      </c>
      <c r="O1163" s="10" t="str">
        <f>IFERROR(_xlfn.XLOOKUP(C1163,[1]AttributeName!$C:$C,[1]AttributeName!$B:$B),"")</f>
        <v/>
      </c>
      <c r="P1163" s="10"/>
      <c r="Q1163">
        <v>0.1</v>
      </c>
      <c r="R1163">
        <v>0.12</v>
      </c>
      <c r="S1163" cm="1">
        <f t="array" ref="S1163">IFERROR(_xlfn.SWITCH(L1163,1,_xlfn.XLOOKUP(O1163,[1]AttributeName!$B:$B,[1]AttributeName!$D:$D),2,_xlfn.XLOOKUP(C1163,#REF!,#REF!),3,_xlfn.XLOOKUP(C1163,#REF!,#REF!)),0)</f>
        <v>0</v>
      </c>
      <c r="T1163" cm="1">
        <f t="array" ref="T1163">IFERROR(_xlfn.SWITCH(L1163,1,_xlfn.XLOOKUP(O1163,[1]AttributeName!$B:$B,[1]AttributeName!$E:$E),2,_xlfn.XLOOKUP(C1163,#REF!,#REF!),3,_xlfn.XLOOKUP(C1163,#REF!,#REF!)),0)</f>
        <v>0</v>
      </c>
    </row>
    <row r="1164" customFormat="1" spans="1:20">
      <c r="A1164">
        <v>501</v>
      </c>
      <c r="B1164">
        <v>7</v>
      </c>
      <c r="C1164" t="s">
        <v>377</v>
      </c>
      <c r="D1164" t="s">
        <v>28</v>
      </c>
      <c r="E1164" t="s">
        <v>378</v>
      </c>
      <c r="F1164"/>
      <c r="G1164">
        <v>1</v>
      </c>
      <c r="H1164">
        <v>1000</v>
      </c>
      <c r="I1164">
        <v>1</v>
      </c>
      <c r="J1164" cm="1">
        <f t="array" ref="J1164">_xlfn.SWITCH(B1164,1,75,2,61,3,49,4,37,5,25,6,13,7,4,8,1)</f>
        <v>4</v>
      </c>
      <c r="K1164" t="str" cm="1">
        <f t="array" ref="K1164">IFERROR(_xlfn.SWITCH(L1164,2,_xlfn.XLOOKUP(C1164,[1]ModifierDes!$B:$B,[1]ModifierDes!$C:$C),3,_xlfn.XLOOKUP(C1164,[1]StuntDes!$B:$B,[1]StuntDes!$C:$C)),"")</f>
        <v>物理伤害倍率增加{0}</v>
      </c>
      <c r="L1164">
        <f t="shared" si="51"/>
        <v>2</v>
      </c>
      <c r="M1164" s="10" t="str">
        <f>IFERROR(_xlfn.XLOOKUP(C1164,[1]StuntDes!$B:$B,[1]StuntDes!$A:$A),"")</f>
        <v/>
      </c>
      <c r="N1164" s="10">
        <f>IFERROR(_xlfn.XLOOKUP(C1164,[1]ModifierDes!$B:$B,[1]ModifierDes!$A:$A),"")</f>
        <v>10056</v>
      </c>
      <c r="O1164" s="10" t="str">
        <f>IFERROR(_xlfn.XLOOKUP(C1164,[1]AttributeName!$C:$C,[1]AttributeName!$B:$B),"")</f>
        <v/>
      </c>
      <c r="P1164" s="10"/>
      <c r="Q1164">
        <v>0.07</v>
      </c>
      <c r="R1164">
        <v>0.09</v>
      </c>
      <c r="S1164" cm="1">
        <f t="array" ref="S1164">IFERROR(_xlfn.SWITCH(L1164,1,_xlfn.XLOOKUP(O1164,[1]AttributeName!$B:$B,[1]AttributeName!$D:$D),2,_xlfn.XLOOKUP(C1164,#REF!,#REF!),3,_xlfn.XLOOKUP(C1164,#REF!,#REF!)),0)</f>
        <v>0</v>
      </c>
      <c r="T1164" cm="1">
        <f t="array" ref="T1164">IFERROR(_xlfn.SWITCH(L1164,1,_xlfn.XLOOKUP(O1164,[1]AttributeName!$B:$B,[1]AttributeName!$E:$E),2,_xlfn.XLOOKUP(C1164,#REF!,#REF!),3,_xlfn.XLOOKUP(C1164,#REF!,#REF!)),0)</f>
        <v>0</v>
      </c>
    </row>
    <row r="1165" customFormat="1" spans="1:20">
      <c r="A1165">
        <v>501</v>
      </c>
      <c r="B1165">
        <v>8</v>
      </c>
      <c r="C1165" t="s">
        <v>377</v>
      </c>
      <c r="D1165" t="s">
        <v>28</v>
      </c>
      <c r="E1165" t="s">
        <v>378</v>
      </c>
      <c r="F1165"/>
      <c r="G1165">
        <v>1</v>
      </c>
      <c r="H1165">
        <v>1000</v>
      </c>
      <c r="I1165">
        <v>1</v>
      </c>
      <c r="J1165" cm="1">
        <f t="array" ref="J1165">_xlfn.SWITCH(B1165,1,75,2,61,3,49,4,37,5,25,6,13,7,4,8,1)</f>
        <v>1</v>
      </c>
      <c r="K1165" t="str" cm="1">
        <f t="array" ref="K1165">IFERROR(_xlfn.SWITCH(L1165,2,_xlfn.XLOOKUP(C1165,[1]ModifierDes!$B:$B,[1]ModifierDes!$C:$C),3,_xlfn.XLOOKUP(C1165,[1]StuntDes!$B:$B,[1]StuntDes!$C:$C)),"")</f>
        <v>物理伤害倍率增加{0}</v>
      </c>
      <c r="L1165">
        <f t="shared" si="51"/>
        <v>2</v>
      </c>
      <c r="M1165" s="10" t="str">
        <f>IFERROR(_xlfn.XLOOKUP(C1165,[1]StuntDes!$B:$B,[1]StuntDes!$A:$A),"")</f>
        <v/>
      </c>
      <c r="N1165" s="10">
        <f>IFERROR(_xlfn.XLOOKUP(C1165,[1]ModifierDes!$B:$B,[1]ModifierDes!$A:$A),"")</f>
        <v>10056</v>
      </c>
      <c r="O1165" s="10" t="str">
        <f>IFERROR(_xlfn.XLOOKUP(C1165,[1]AttributeName!$C:$C,[1]AttributeName!$B:$B),"")</f>
        <v/>
      </c>
      <c r="P1165" s="10"/>
      <c r="Q1165">
        <v>0.04</v>
      </c>
      <c r="R1165">
        <v>0.07</v>
      </c>
      <c r="S1165" cm="1">
        <f t="array" ref="S1165">IFERROR(_xlfn.SWITCH(L1165,1,_xlfn.XLOOKUP(O1165,[1]AttributeName!$B:$B,[1]AttributeName!$D:$D),2,_xlfn.XLOOKUP(C1165,#REF!,#REF!),3,_xlfn.XLOOKUP(C1165,#REF!,#REF!)),0)</f>
        <v>0</v>
      </c>
      <c r="T1165" cm="1">
        <f t="array" ref="T1165">IFERROR(_xlfn.SWITCH(L1165,1,_xlfn.XLOOKUP(O1165,[1]AttributeName!$B:$B,[1]AttributeName!$E:$E),2,_xlfn.XLOOKUP(C1165,#REF!,#REF!),3,_xlfn.XLOOKUP(C1165,#REF!,#REF!)),0)</f>
        <v>0</v>
      </c>
    </row>
    <row r="1166" customFormat="1" spans="1:20">
      <c r="A1166">
        <f t="shared" ref="A1166:A1229" si="52">A1158+1</f>
        <v>502</v>
      </c>
      <c r="B1166">
        <v>1</v>
      </c>
      <c r="C1166" t="s">
        <v>379</v>
      </c>
      <c r="D1166" t="s">
        <v>28</v>
      </c>
      <c r="E1166" t="s">
        <v>378</v>
      </c>
      <c r="F1166"/>
      <c r="G1166">
        <v>1</v>
      </c>
      <c r="H1166">
        <v>50</v>
      </c>
      <c r="I1166">
        <v>1</v>
      </c>
      <c r="J1166" cm="1">
        <f t="array" ref="J1166">_xlfn.SWITCH(B1166,1,75,2,61,3,49,4,37,5,25,6,13,7,4,8,1)</f>
        <v>75</v>
      </c>
      <c r="K1166" t="str" cm="1">
        <f t="array" ref="K1166">IFERROR(_xlfn.SWITCH(L1166,2,_xlfn.XLOOKUP(C1166,[1]ModifierDes!$B:$B,[1]ModifierDes!$C:$C),3,_xlfn.XLOOKUP(C1166,[1]StuntDes!$B:$B,[1]StuntDes!$C:$C)),"")</f>
        <v>火焰伤害倍率增加{0}</v>
      </c>
      <c r="L1166">
        <f t="shared" si="51"/>
        <v>2</v>
      </c>
      <c r="M1166" s="10" t="str">
        <f>IFERROR(_xlfn.XLOOKUP(C1166,[1]StuntDes!$B:$B,[1]StuntDes!$A:$A),"")</f>
        <v/>
      </c>
      <c r="N1166" s="10">
        <f>IFERROR(_xlfn.XLOOKUP(C1166,[1]ModifierDes!$B:$B,[1]ModifierDes!$A:$A),"")</f>
        <v>10057</v>
      </c>
      <c r="O1166" s="10" t="str">
        <f>IFERROR(_xlfn.XLOOKUP(C1166,[1]AttributeName!$C:$C,[1]AttributeName!$B:$B),"")</f>
        <v/>
      </c>
      <c r="P1166" s="10"/>
      <c r="Q1166">
        <v>0.25</v>
      </c>
      <c r="R1166">
        <v>0.35</v>
      </c>
      <c r="S1166" cm="1">
        <f t="array" ref="S1166">IFERROR(_xlfn.SWITCH(L1166,1,_xlfn.XLOOKUP(O1166,[1]AttributeName!$B:$B,[1]AttributeName!$D:$D),2,_xlfn.XLOOKUP(C1166,#REF!,#REF!),3,_xlfn.XLOOKUP(C1166,#REF!,#REF!)),0)</f>
        <v>0</v>
      </c>
      <c r="T1166" cm="1">
        <f t="array" ref="T1166">IFERROR(_xlfn.SWITCH(L1166,1,_xlfn.XLOOKUP(O1166,[1]AttributeName!$B:$B,[1]AttributeName!$E:$E),2,_xlfn.XLOOKUP(C1166,#REF!,#REF!),3,_xlfn.XLOOKUP(C1166,#REF!,#REF!)),0)</f>
        <v>0</v>
      </c>
    </row>
    <row r="1167" customFormat="1" spans="1:20">
      <c r="A1167">
        <f t="shared" si="52"/>
        <v>502</v>
      </c>
      <c r="B1167">
        <v>2</v>
      </c>
      <c r="C1167" t="s">
        <v>379</v>
      </c>
      <c r="D1167" t="s">
        <v>28</v>
      </c>
      <c r="E1167" t="s">
        <v>378</v>
      </c>
      <c r="F1167"/>
      <c r="G1167">
        <v>1</v>
      </c>
      <c r="H1167">
        <v>100</v>
      </c>
      <c r="I1167">
        <v>1</v>
      </c>
      <c r="J1167" cm="1">
        <f t="array" ref="J1167">_xlfn.SWITCH(B1167,1,75,2,61,3,49,4,37,5,25,6,13,7,4,8,1)</f>
        <v>61</v>
      </c>
      <c r="K1167" t="str" cm="1">
        <f t="array" ref="K1167">IFERROR(_xlfn.SWITCH(L1167,2,_xlfn.XLOOKUP(C1167,[1]ModifierDes!$B:$B,[1]ModifierDes!$C:$C),3,_xlfn.XLOOKUP(C1167,[1]StuntDes!$B:$B,[1]StuntDes!$C:$C)),"")</f>
        <v>火焰伤害倍率增加{0}</v>
      </c>
      <c r="L1167">
        <f t="shared" si="51"/>
        <v>2</v>
      </c>
      <c r="M1167" s="10" t="str">
        <f>IFERROR(_xlfn.XLOOKUP(C1167,[1]StuntDes!$B:$B,[1]StuntDes!$A:$A),"")</f>
        <v/>
      </c>
      <c r="N1167" s="10">
        <f>IFERROR(_xlfn.XLOOKUP(C1167,[1]ModifierDes!$B:$B,[1]ModifierDes!$A:$A),"")</f>
        <v>10057</v>
      </c>
      <c r="O1167" s="10" t="str">
        <f>IFERROR(_xlfn.XLOOKUP(C1167,[1]AttributeName!$C:$C,[1]AttributeName!$B:$B),"")</f>
        <v/>
      </c>
      <c r="P1167" s="10"/>
      <c r="Q1167">
        <v>0.22</v>
      </c>
      <c r="R1167">
        <v>0.24</v>
      </c>
      <c r="S1167" cm="1">
        <f t="array" ref="S1167">IFERROR(_xlfn.SWITCH(L1167,1,_xlfn.XLOOKUP(O1167,[1]AttributeName!$B:$B,[1]AttributeName!$D:$D),2,_xlfn.XLOOKUP(C1167,#REF!,#REF!),3,_xlfn.XLOOKUP(C1167,#REF!,#REF!)),0)</f>
        <v>0</v>
      </c>
      <c r="T1167" cm="1">
        <f t="array" ref="T1167">IFERROR(_xlfn.SWITCH(L1167,1,_xlfn.XLOOKUP(O1167,[1]AttributeName!$B:$B,[1]AttributeName!$E:$E),2,_xlfn.XLOOKUP(C1167,#REF!,#REF!),3,_xlfn.XLOOKUP(C1167,#REF!,#REF!)),0)</f>
        <v>0</v>
      </c>
    </row>
    <row r="1168" customFormat="1" spans="1:20">
      <c r="A1168">
        <f t="shared" si="52"/>
        <v>502</v>
      </c>
      <c r="B1168">
        <v>3</v>
      </c>
      <c r="C1168" t="s">
        <v>379</v>
      </c>
      <c r="D1168" t="s">
        <v>28</v>
      </c>
      <c r="E1168" t="s">
        <v>378</v>
      </c>
      <c r="F1168"/>
      <c r="G1168">
        <v>1</v>
      </c>
      <c r="H1168">
        <v>200</v>
      </c>
      <c r="I1168">
        <v>1</v>
      </c>
      <c r="J1168" cm="1">
        <f t="array" ref="J1168">_xlfn.SWITCH(B1168,1,75,2,61,3,49,4,37,5,25,6,13,7,4,8,1)</f>
        <v>49</v>
      </c>
      <c r="K1168" t="str" cm="1">
        <f t="array" ref="K1168">IFERROR(_xlfn.SWITCH(L1168,2,_xlfn.XLOOKUP(C1168,[1]ModifierDes!$B:$B,[1]ModifierDes!$C:$C),3,_xlfn.XLOOKUP(C1168,[1]StuntDes!$B:$B,[1]StuntDes!$C:$C)),"")</f>
        <v>火焰伤害倍率增加{0}</v>
      </c>
      <c r="L1168">
        <f t="shared" si="51"/>
        <v>2</v>
      </c>
      <c r="M1168" s="10" t="str">
        <f>IFERROR(_xlfn.XLOOKUP(C1168,[1]StuntDes!$B:$B,[1]StuntDes!$A:$A),"")</f>
        <v/>
      </c>
      <c r="N1168" s="10">
        <f>IFERROR(_xlfn.XLOOKUP(C1168,[1]ModifierDes!$B:$B,[1]ModifierDes!$A:$A),"")</f>
        <v>10057</v>
      </c>
      <c r="O1168" s="10" t="str">
        <f>IFERROR(_xlfn.XLOOKUP(C1168,[1]AttributeName!$C:$C,[1]AttributeName!$B:$B),"")</f>
        <v/>
      </c>
      <c r="P1168" s="10"/>
      <c r="Q1168">
        <v>0.19</v>
      </c>
      <c r="R1168">
        <v>0.21</v>
      </c>
      <c r="S1168" cm="1">
        <f t="array" ref="S1168">IFERROR(_xlfn.SWITCH(L1168,1,_xlfn.XLOOKUP(O1168,[1]AttributeName!$B:$B,[1]AttributeName!$D:$D),2,_xlfn.XLOOKUP(C1168,#REF!,#REF!),3,_xlfn.XLOOKUP(C1168,#REF!,#REF!)),0)</f>
        <v>0</v>
      </c>
      <c r="T1168" cm="1">
        <f t="array" ref="T1168">IFERROR(_xlfn.SWITCH(L1168,1,_xlfn.XLOOKUP(O1168,[1]AttributeName!$B:$B,[1]AttributeName!$E:$E),2,_xlfn.XLOOKUP(C1168,#REF!,#REF!),3,_xlfn.XLOOKUP(C1168,#REF!,#REF!)),0)</f>
        <v>0</v>
      </c>
    </row>
    <row r="1169" customFormat="1" spans="1:20">
      <c r="A1169">
        <f t="shared" si="52"/>
        <v>502</v>
      </c>
      <c r="B1169">
        <v>4</v>
      </c>
      <c r="C1169" t="s">
        <v>379</v>
      </c>
      <c r="D1169" t="s">
        <v>28</v>
      </c>
      <c r="E1169" t="s">
        <v>378</v>
      </c>
      <c r="F1169"/>
      <c r="G1169">
        <v>1</v>
      </c>
      <c r="H1169">
        <v>500</v>
      </c>
      <c r="I1169">
        <v>1</v>
      </c>
      <c r="J1169" cm="1">
        <f t="array" ref="J1169">_xlfn.SWITCH(B1169,1,75,2,61,3,49,4,37,5,25,6,13,7,4,8,1)</f>
        <v>37</v>
      </c>
      <c r="K1169" t="str" cm="1">
        <f t="array" ref="K1169">IFERROR(_xlfn.SWITCH(L1169,2,_xlfn.XLOOKUP(C1169,[1]ModifierDes!$B:$B,[1]ModifierDes!$C:$C),3,_xlfn.XLOOKUP(C1169,[1]StuntDes!$B:$B,[1]StuntDes!$C:$C)),"")</f>
        <v>火焰伤害倍率增加{0}</v>
      </c>
      <c r="L1169">
        <f t="shared" si="51"/>
        <v>2</v>
      </c>
      <c r="M1169" s="10" t="str">
        <f>IFERROR(_xlfn.XLOOKUP(C1169,[1]StuntDes!$B:$B,[1]StuntDes!$A:$A),"")</f>
        <v/>
      </c>
      <c r="N1169" s="10">
        <f>IFERROR(_xlfn.XLOOKUP(C1169,[1]ModifierDes!$B:$B,[1]ModifierDes!$A:$A),"")</f>
        <v>10057</v>
      </c>
      <c r="O1169" s="10" t="str">
        <f>IFERROR(_xlfn.XLOOKUP(C1169,[1]AttributeName!$C:$C,[1]AttributeName!$B:$B),"")</f>
        <v/>
      </c>
      <c r="P1169" s="10"/>
      <c r="Q1169">
        <v>0.16</v>
      </c>
      <c r="R1169">
        <v>0.18</v>
      </c>
      <c r="S1169" cm="1">
        <f t="array" ref="S1169">IFERROR(_xlfn.SWITCH(L1169,1,_xlfn.XLOOKUP(O1169,[1]AttributeName!$B:$B,[1]AttributeName!$D:$D),2,_xlfn.XLOOKUP(C1169,#REF!,#REF!),3,_xlfn.XLOOKUP(C1169,#REF!,#REF!)),0)</f>
        <v>0</v>
      </c>
      <c r="T1169" cm="1">
        <f t="array" ref="T1169">IFERROR(_xlfn.SWITCH(L1169,1,_xlfn.XLOOKUP(O1169,[1]AttributeName!$B:$B,[1]AttributeName!$E:$E),2,_xlfn.XLOOKUP(C1169,#REF!,#REF!),3,_xlfn.XLOOKUP(C1169,#REF!,#REF!)),0)</f>
        <v>0</v>
      </c>
    </row>
    <row r="1170" customFormat="1" spans="1:20">
      <c r="A1170">
        <f t="shared" si="52"/>
        <v>502</v>
      </c>
      <c r="B1170">
        <v>5</v>
      </c>
      <c r="C1170" t="s">
        <v>379</v>
      </c>
      <c r="D1170" t="s">
        <v>28</v>
      </c>
      <c r="E1170" t="s">
        <v>378</v>
      </c>
      <c r="F1170"/>
      <c r="G1170">
        <v>1</v>
      </c>
      <c r="H1170">
        <v>1000</v>
      </c>
      <c r="I1170">
        <v>1</v>
      </c>
      <c r="J1170" cm="1">
        <f t="array" ref="J1170">_xlfn.SWITCH(B1170,1,75,2,61,3,49,4,37,5,25,6,13,7,4,8,1)</f>
        <v>25</v>
      </c>
      <c r="K1170" t="str" cm="1">
        <f t="array" ref="K1170">IFERROR(_xlfn.SWITCH(L1170,2,_xlfn.XLOOKUP(C1170,[1]ModifierDes!$B:$B,[1]ModifierDes!$C:$C),3,_xlfn.XLOOKUP(C1170,[1]StuntDes!$B:$B,[1]StuntDes!$C:$C)),"")</f>
        <v>火焰伤害倍率增加{0}</v>
      </c>
      <c r="L1170">
        <f t="shared" si="51"/>
        <v>2</v>
      </c>
      <c r="M1170" s="10" t="str">
        <f>IFERROR(_xlfn.XLOOKUP(C1170,[1]StuntDes!$B:$B,[1]StuntDes!$A:$A),"")</f>
        <v/>
      </c>
      <c r="N1170" s="10">
        <f>IFERROR(_xlfn.XLOOKUP(C1170,[1]ModifierDes!$B:$B,[1]ModifierDes!$A:$A),"")</f>
        <v>10057</v>
      </c>
      <c r="O1170" s="10" t="str">
        <f>IFERROR(_xlfn.XLOOKUP(C1170,[1]AttributeName!$C:$C,[1]AttributeName!$B:$B),"")</f>
        <v/>
      </c>
      <c r="P1170" s="10"/>
      <c r="Q1170">
        <v>0.13</v>
      </c>
      <c r="R1170">
        <v>0.15</v>
      </c>
      <c r="S1170" cm="1">
        <f t="array" ref="S1170">IFERROR(_xlfn.SWITCH(L1170,1,_xlfn.XLOOKUP(O1170,[1]AttributeName!$B:$B,[1]AttributeName!$D:$D),2,_xlfn.XLOOKUP(C1170,#REF!,#REF!),3,_xlfn.XLOOKUP(C1170,#REF!,#REF!)),0)</f>
        <v>0</v>
      </c>
      <c r="T1170" cm="1">
        <f t="array" ref="T1170">IFERROR(_xlfn.SWITCH(L1170,1,_xlfn.XLOOKUP(O1170,[1]AttributeName!$B:$B,[1]AttributeName!$E:$E),2,_xlfn.XLOOKUP(C1170,#REF!,#REF!),3,_xlfn.XLOOKUP(C1170,#REF!,#REF!)),0)</f>
        <v>0</v>
      </c>
    </row>
    <row r="1171" customFormat="1" spans="1:20">
      <c r="A1171">
        <f t="shared" si="52"/>
        <v>502</v>
      </c>
      <c r="B1171">
        <v>6</v>
      </c>
      <c r="C1171" t="s">
        <v>379</v>
      </c>
      <c r="D1171" t="s">
        <v>28</v>
      </c>
      <c r="E1171" t="s">
        <v>378</v>
      </c>
      <c r="F1171"/>
      <c r="G1171">
        <v>1</v>
      </c>
      <c r="H1171">
        <v>1000</v>
      </c>
      <c r="I1171">
        <v>1</v>
      </c>
      <c r="J1171" cm="1">
        <f t="array" ref="J1171">_xlfn.SWITCH(B1171,1,75,2,61,3,49,4,37,5,25,6,13,7,4,8,1)</f>
        <v>13</v>
      </c>
      <c r="K1171" t="str" cm="1">
        <f t="array" ref="K1171">IFERROR(_xlfn.SWITCH(L1171,2,_xlfn.XLOOKUP(C1171,[1]ModifierDes!$B:$B,[1]ModifierDes!$C:$C),3,_xlfn.XLOOKUP(C1171,[1]StuntDes!$B:$B,[1]StuntDes!$C:$C)),"")</f>
        <v>火焰伤害倍率增加{0}</v>
      </c>
      <c r="L1171">
        <f t="shared" si="51"/>
        <v>2</v>
      </c>
      <c r="M1171" s="10" t="str">
        <f>IFERROR(_xlfn.XLOOKUP(C1171,[1]StuntDes!$B:$B,[1]StuntDes!$A:$A),"")</f>
        <v/>
      </c>
      <c r="N1171" s="10">
        <f>IFERROR(_xlfn.XLOOKUP(C1171,[1]ModifierDes!$B:$B,[1]ModifierDes!$A:$A),"")</f>
        <v>10057</v>
      </c>
      <c r="O1171" s="10" t="str">
        <f>IFERROR(_xlfn.XLOOKUP(C1171,[1]AttributeName!$C:$C,[1]AttributeName!$B:$B),"")</f>
        <v/>
      </c>
      <c r="P1171" s="10"/>
      <c r="Q1171">
        <v>0.1</v>
      </c>
      <c r="R1171">
        <v>0.12</v>
      </c>
      <c r="S1171" cm="1">
        <f t="array" ref="S1171">IFERROR(_xlfn.SWITCH(L1171,1,_xlfn.XLOOKUP(O1171,[1]AttributeName!$B:$B,[1]AttributeName!$D:$D),2,_xlfn.XLOOKUP(C1171,#REF!,#REF!),3,_xlfn.XLOOKUP(C1171,#REF!,#REF!)),0)</f>
        <v>0</v>
      </c>
      <c r="T1171" cm="1">
        <f t="array" ref="T1171">IFERROR(_xlfn.SWITCH(L1171,1,_xlfn.XLOOKUP(O1171,[1]AttributeName!$B:$B,[1]AttributeName!$E:$E),2,_xlfn.XLOOKUP(C1171,#REF!,#REF!),3,_xlfn.XLOOKUP(C1171,#REF!,#REF!)),0)</f>
        <v>0</v>
      </c>
    </row>
    <row r="1172" customFormat="1" spans="1:20">
      <c r="A1172">
        <f t="shared" si="52"/>
        <v>502</v>
      </c>
      <c r="B1172">
        <v>7</v>
      </c>
      <c r="C1172" t="s">
        <v>379</v>
      </c>
      <c r="D1172" t="s">
        <v>28</v>
      </c>
      <c r="E1172" t="s">
        <v>378</v>
      </c>
      <c r="F1172"/>
      <c r="G1172">
        <v>1</v>
      </c>
      <c r="H1172">
        <v>1000</v>
      </c>
      <c r="I1172">
        <v>1</v>
      </c>
      <c r="J1172" cm="1">
        <f t="array" ref="J1172">_xlfn.SWITCH(B1172,1,75,2,61,3,49,4,37,5,25,6,13,7,4,8,1)</f>
        <v>4</v>
      </c>
      <c r="K1172" t="str" cm="1">
        <f t="array" ref="K1172">IFERROR(_xlfn.SWITCH(L1172,2,_xlfn.XLOOKUP(C1172,[1]ModifierDes!$B:$B,[1]ModifierDes!$C:$C),3,_xlfn.XLOOKUP(C1172,[1]StuntDes!$B:$B,[1]StuntDes!$C:$C)),"")</f>
        <v>火焰伤害倍率增加{0}</v>
      </c>
      <c r="L1172">
        <f t="shared" si="51"/>
        <v>2</v>
      </c>
      <c r="M1172" s="10" t="str">
        <f>IFERROR(_xlfn.XLOOKUP(C1172,[1]StuntDes!$B:$B,[1]StuntDes!$A:$A),"")</f>
        <v/>
      </c>
      <c r="N1172" s="10">
        <f>IFERROR(_xlfn.XLOOKUP(C1172,[1]ModifierDes!$B:$B,[1]ModifierDes!$A:$A),"")</f>
        <v>10057</v>
      </c>
      <c r="O1172" s="10" t="str">
        <f>IFERROR(_xlfn.XLOOKUP(C1172,[1]AttributeName!$C:$C,[1]AttributeName!$B:$B),"")</f>
        <v/>
      </c>
      <c r="P1172" s="10"/>
      <c r="Q1172">
        <v>0.07</v>
      </c>
      <c r="R1172">
        <v>0.09</v>
      </c>
      <c r="S1172" cm="1">
        <f t="array" ref="S1172">IFERROR(_xlfn.SWITCH(L1172,1,_xlfn.XLOOKUP(O1172,[1]AttributeName!$B:$B,[1]AttributeName!$D:$D),2,_xlfn.XLOOKUP(C1172,#REF!,#REF!),3,_xlfn.XLOOKUP(C1172,#REF!,#REF!)),0)</f>
        <v>0</v>
      </c>
      <c r="T1172" cm="1">
        <f t="array" ref="T1172">IFERROR(_xlfn.SWITCH(L1172,1,_xlfn.XLOOKUP(O1172,[1]AttributeName!$B:$B,[1]AttributeName!$E:$E),2,_xlfn.XLOOKUP(C1172,#REF!,#REF!),3,_xlfn.XLOOKUP(C1172,#REF!,#REF!)),0)</f>
        <v>0</v>
      </c>
    </row>
    <row r="1173" customFormat="1" spans="1:20">
      <c r="A1173">
        <f t="shared" si="52"/>
        <v>502</v>
      </c>
      <c r="B1173">
        <v>8</v>
      </c>
      <c r="C1173" t="s">
        <v>379</v>
      </c>
      <c r="D1173" t="s">
        <v>28</v>
      </c>
      <c r="E1173" t="s">
        <v>378</v>
      </c>
      <c r="F1173"/>
      <c r="G1173">
        <v>1</v>
      </c>
      <c r="H1173">
        <v>1000</v>
      </c>
      <c r="I1173">
        <v>1</v>
      </c>
      <c r="J1173" cm="1">
        <f t="array" ref="J1173">_xlfn.SWITCH(B1173,1,75,2,61,3,49,4,37,5,25,6,13,7,4,8,1)</f>
        <v>1</v>
      </c>
      <c r="K1173" t="str" cm="1">
        <f t="array" ref="K1173">IFERROR(_xlfn.SWITCH(L1173,2,_xlfn.XLOOKUP(C1173,[1]ModifierDes!$B:$B,[1]ModifierDes!$C:$C),3,_xlfn.XLOOKUP(C1173,[1]StuntDes!$B:$B,[1]StuntDes!$C:$C)),"")</f>
        <v>火焰伤害倍率增加{0}</v>
      </c>
      <c r="L1173">
        <f t="shared" si="51"/>
        <v>2</v>
      </c>
      <c r="M1173" s="10" t="str">
        <f>IFERROR(_xlfn.XLOOKUP(C1173,[1]StuntDes!$B:$B,[1]StuntDes!$A:$A),"")</f>
        <v/>
      </c>
      <c r="N1173" s="10">
        <f>IFERROR(_xlfn.XLOOKUP(C1173,[1]ModifierDes!$B:$B,[1]ModifierDes!$A:$A),"")</f>
        <v>10057</v>
      </c>
      <c r="O1173" s="10" t="str">
        <f>IFERROR(_xlfn.XLOOKUP(C1173,[1]AttributeName!$C:$C,[1]AttributeName!$B:$B),"")</f>
        <v/>
      </c>
      <c r="P1173" s="10"/>
      <c r="Q1173">
        <v>0.04</v>
      </c>
      <c r="R1173">
        <v>0.07</v>
      </c>
      <c r="S1173" cm="1">
        <f t="array" ref="S1173">IFERROR(_xlfn.SWITCH(L1173,1,_xlfn.XLOOKUP(O1173,[1]AttributeName!$B:$B,[1]AttributeName!$D:$D),2,_xlfn.XLOOKUP(C1173,#REF!,#REF!),3,_xlfn.XLOOKUP(C1173,#REF!,#REF!)),0)</f>
        <v>0</v>
      </c>
      <c r="T1173" cm="1">
        <f t="array" ref="T1173">IFERROR(_xlfn.SWITCH(L1173,1,_xlfn.XLOOKUP(O1173,[1]AttributeName!$B:$B,[1]AttributeName!$E:$E),2,_xlfn.XLOOKUP(C1173,#REF!,#REF!),3,_xlfn.XLOOKUP(C1173,#REF!,#REF!)),0)</f>
        <v>0</v>
      </c>
    </row>
    <row r="1174" customFormat="1" spans="1:20">
      <c r="A1174">
        <f t="shared" si="52"/>
        <v>503</v>
      </c>
      <c r="B1174">
        <v>1</v>
      </c>
      <c r="C1174" t="s">
        <v>380</v>
      </c>
      <c r="D1174" t="s">
        <v>28</v>
      </c>
      <c r="E1174" t="s">
        <v>378</v>
      </c>
      <c r="F1174"/>
      <c r="G1174">
        <v>1</v>
      </c>
      <c r="H1174">
        <v>50</v>
      </c>
      <c r="I1174">
        <v>1</v>
      </c>
      <c r="J1174" cm="1">
        <f t="array" ref="J1174">_xlfn.SWITCH(B1174,1,75,2,61,3,49,4,37,5,25,6,13,7,4,8,1)</f>
        <v>75</v>
      </c>
      <c r="K1174" t="str" cm="1">
        <f t="array" ref="K1174">IFERROR(_xlfn.SWITCH(L1174,2,_xlfn.XLOOKUP(C1174,[1]ModifierDes!$B:$B,[1]ModifierDes!$C:$C),3,_xlfn.XLOOKUP(C1174,[1]StuntDes!$B:$B,[1]StuntDes!$C:$C)),"")</f>
        <v>冰冷伤害倍率增加{0}</v>
      </c>
      <c r="L1174">
        <f t="shared" si="51"/>
        <v>2</v>
      </c>
      <c r="M1174" s="10" t="str">
        <f>IFERROR(_xlfn.XLOOKUP(C1174,[1]StuntDes!$B:$B,[1]StuntDes!$A:$A),"")</f>
        <v/>
      </c>
      <c r="N1174" s="10">
        <f>IFERROR(_xlfn.XLOOKUP(C1174,[1]ModifierDes!$B:$B,[1]ModifierDes!$A:$A),"")</f>
        <v>10058</v>
      </c>
      <c r="O1174" s="10" t="str">
        <f>IFERROR(_xlfn.XLOOKUP(C1174,[1]AttributeName!$C:$C,[1]AttributeName!$B:$B),"")</f>
        <v/>
      </c>
      <c r="P1174" s="10"/>
      <c r="Q1174">
        <v>0.25</v>
      </c>
      <c r="R1174">
        <v>0.35</v>
      </c>
      <c r="S1174" cm="1">
        <f t="array" ref="S1174">IFERROR(_xlfn.SWITCH(L1174,1,_xlfn.XLOOKUP(O1174,[1]AttributeName!$B:$B,[1]AttributeName!$D:$D),2,_xlfn.XLOOKUP(C1174,#REF!,#REF!),3,_xlfn.XLOOKUP(C1174,#REF!,#REF!)),0)</f>
        <v>0</v>
      </c>
      <c r="T1174" cm="1">
        <f t="array" ref="T1174">IFERROR(_xlfn.SWITCH(L1174,1,_xlfn.XLOOKUP(O1174,[1]AttributeName!$B:$B,[1]AttributeName!$E:$E),2,_xlfn.XLOOKUP(C1174,#REF!,#REF!),3,_xlfn.XLOOKUP(C1174,#REF!,#REF!)),0)</f>
        <v>0</v>
      </c>
    </row>
    <row r="1175" customFormat="1" spans="1:20">
      <c r="A1175">
        <f t="shared" si="52"/>
        <v>503</v>
      </c>
      <c r="B1175">
        <v>2</v>
      </c>
      <c r="C1175" t="s">
        <v>380</v>
      </c>
      <c r="D1175" t="s">
        <v>28</v>
      </c>
      <c r="E1175" t="s">
        <v>378</v>
      </c>
      <c r="F1175"/>
      <c r="G1175">
        <v>1</v>
      </c>
      <c r="H1175">
        <v>100</v>
      </c>
      <c r="I1175">
        <v>1</v>
      </c>
      <c r="J1175" cm="1">
        <f t="array" ref="J1175">_xlfn.SWITCH(B1175,1,75,2,61,3,49,4,37,5,25,6,13,7,4,8,1)</f>
        <v>61</v>
      </c>
      <c r="K1175" t="str" cm="1">
        <f t="array" ref="K1175">IFERROR(_xlfn.SWITCH(L1175,2,_xlfn.XLOOKUP(C1175,[1]ModifierDes!$B:$B,[1]ModifierDes!$C:$C),3,_xlfn.XLOOKUP(C1175,[1]StuntDes!$B:$B,[1]StuntDes!$C:$C)),"")</f>
        <v>冰冷伤害倍率增加{0}</v>
      </c>
      <c r="L1175">
        <f t="shared" si="51"/>
        <v>2</v>
      </c>
      <c r="M1175" s="10" t="str">
        <f>IFERROR(_xlfn.XLOOKUP(C1175,[1]StuntDes!$B:$B,[1]StuntDes!$A:$A),"")</f>
        <v/>
      </c>
      <c r="N1175" s="10">
        <f>IFERROR(_xlfn.XLOOKUP(C1175,[1]ModifierDes!$B:$B,[1]ModifierDes!$A:$A),"")</f>
        <v>10058</v>
      </c>
      <c r="O1175" s="10" t="str">
        <f>IFERROR(_xlfn.XLOOKUP(C1175,[1]AttributeName!$C:$C,[1]AttributeName!$B:$B),"")</f>
        <v/>
      </c>
      <c r="P1175" s="10"/>
      <c r="Q1175">
        <v>0.22</v>
      </c>
      <c r="R1175">
        <v>0.24</v>
      </c>
      <c r="S1175" cm="1">
        <f t="array" ref="S1175">IFERROR(_xlfn.SWITCH(L1175,1,_xlfn.XLOOKUP(O1175,[1]AttributeName!$B:$B,[1]AttributeName!$D:$D),2,_xlfn.XLOOKUP(C1175,#REF!,#REF!),3,_xlfn.XLOOKUP(C1175,#REF!,#REF!)),0)</f>
        <v>0</v>
      </c>
      <c r="T1175" cm="1">
        <f t="array" ref="T1175">IFERROR(_xlfn.SWITCH(L1175,1,_xlfn.XLOOKUP(O1175,[1]AttributeName!$B:$B,[1]AttributeName!$E:$E),2,_xlfn.XLOOKUP(C1175,#REF!,#REF!),3,_xlfn.XLOOKUP(C1175,#REF!,#REF!)),0)</f>
        <v>0</v>
      </c>
    </row>
    <row r="1176" customFormat="1" spans="1:20">
      <c r="A1176">
        <f t="shared" si="52"/>
        <v>503</v>
      </c>
      <c r="B1176">
        <v>3</v>
      </c>
      <c r="C1176" t="s">
        <v>380</v>
      </c>
      <c r="D1176" t="s">
        <v>28</v>
      </c>
      <c r="E1176" t="s">
        <v>378</v>
      </c>
      <c r="F1176"/>
      <c r="G1176">
        <v>1</v>
      </c>
      <c r="H1176">
        <v>200</v>
      </c>
      <c r="I1176">
        <v>1</v>
      </c>
      <c r="J1176" cm="1">
        <f t="array" ref="J1176">_xlfn.SWITCH(B1176,1,75,2,61,3,49,4,37,5,25,6,13,7,4,8,1)</f>
        <v>49</v>
      </c>
      <c r="K1176" t="str" cm="1">
        <f t="array" ref="K1176">IFERROR(_xlfn.SWITCH(L1176,2,_xlfn.XLOOKUP(C1176,[1]ModifierDes!$B:$B,[1]ModifierDes!$C:$C),3,_xlfn.XLOOKUP(C1176,[1]StuntDes!$B:$B,[1]StuntDes!$C:$C)),"")</f>
        <v>冰冷伤害倍率增加{0}</v>
      </c>
      <c r="L1176">
        <f t="shared" si="51"/>
        <v>2</v>
      </c>
      <c r="M1176" s="10" t="str">
        <f>IFERROR(_xlfn.XLOOKUP(C1176,[1]StuntDes!$B:$B,[1]StuntDes!$A:$A),"")</f>
        <v/>
      </c>
      <c r="N1176" s="10">
        <f>IFERROR(_xlfn.XLOOKUP(C1176,[1]ModifierDes!$B:$B,[1]ModifierDes!$A:$A),"")</f>
        <v>10058</v>
      </c>
      <c r="O1176" s="10" t="str">
        <f>IFERROR(_xlfn.XLOOKUP(C1176,[1]AttributeName!$C:$C,[1]AttributeName!$B:$B),"")</f>
        <v/>
      </c>
      <c r="P1176" s="10"/>
      <c r="Q1176">
        <v>0.19</v>
      </c>
      <c r="R1176">
        <v>0.21</v>
      </c>
      <c r="S1176" cm="1">
        <f t="array" ref="S1176">IFERROR(_xlfn.SWITCH(L1176,1,_xlfn.XLOOKUP(O1176,[1]AttributeName!$B:$B,[1]AttributeName!$D:$D),2,_xlfn.XLOOKUP(C1176,#REF!,#REF!),3,_xlfn.XLOOKUP(C1176,#REF!,#REF!)),0)</f>
        <v>0</v>
      </c>
      <c r="T1176" cm="1">
        <f t="array" ref="T1176">IFERROR(_xlfn.SWITCH(L1176,1,_xlfn.XLOOKUP(O1176,[1]AttributeName!$B:$B,[1]AttributeName!$E:$E),2,_xlfn.XLOOKUP(C1176,#REF!,#REF!),3,_xlfn.XLOOKUP(C1176,#REF!,#REF!)),0)</f>
        <v>0</v>
      </c>
    </row>
    <row r="1177" customFormat="1" spans="1:20">
      <c r="A1177">
        <f t="shared" si="52"/>
        <v>503</v>
      </c>
      <c r="B1177">
        <v>4</v>
      </c>
      <c r="C1177" t="s">
        <v>380</v>
      </c>
      <c r="D1177" t="s">
        <v>28</v>
      </c>
      <c r="E1177" t="s">
        <v>378</v>
      </c>
      <c r="F1177"/>
      <c r="G1177">
        <v>1</v>
      </c>
      <c r="H1177">
        <v>500</v>
      </c>
      <c r="I1177">
        <v>1</v>
      </c>
      <c r="J1177" cm="1">
        <f t="array" ref="J1177">_xlfn.SWITCH(B1177,1,75,2,61,3,49,4,37,5,25,6,13,7,4,8,1)</f>
        <v>37</v>
      </c>
      <c r="K1177" t="str" cm="1">
        <f t="array" ref="K1177">IFERROR(_xlfn.SWITCH(L1177,2,_xlfn.XLOOKUP(C1177,[1]ModifierDes!$B:$B,[1]ModifierDes!$C:$C),3,_xlfn.XLOOKUP(C1177,[1]StuntDes!$B:$B,[1]StuntDes!$C:$C)),"")</f>
        <v>冰冷伤害倍率增加{0}</v>
      </c>
      <c r="L1177">
        <f t="shared" si="51"/>
        <v>2</v>
      </c>
      <c r="M1177" s="10" t="str">
        <f>IFERROR(_xlfn.XLOOKUP(C1177,[1]StuntDes!$B:$B,[1]StuntDes!$A:$A),"")</f>
        <v/>
      </c>
      <c r="N1177" s="10">
        <f>IFERROR(_xlfn.XLOOKUP(C1177,[1]ModifierDes!$B:$B,[1]ModifierDes!$A:$A),"")</f>
        <v>10058</v>
      </c>
      <c r="O1177" s="10" t="str">
        <f>IFERROR(_xlfn.XLOOKUP(C1177,[1]AttributeName!$C:$C,[1]AttributeName!$B:$B),"")</f>
        <v/>
      </c>
      <c r="P1177" s="10"/>
      <c r="Q1177">
        <v>0.16</v>
      </c>
      <c r="R1177">
        <v>0.18</v>
      </c>
      <c r="S1177" cm="1">
        <f t="array" ref="S1177">IFERROR(_xlfn.SWITCH(L1177,1,_xlfn.XLOOKUP(O1177,[1]AttributeName!$B:$B,[1]AttributeName!$D:$D),2,_xlfn.XLOOKUP(C1177,#REF!,#REF!),3,_xlfn.XLOOKUP(C1177,#REF!,#REF!)),0)</f>
        <v>0</v>
      </c>
      <c r="T1177" cm="1">
        <f t="array" ref="T1177">IFERROR(_xlfn.SWITCH(L1177,1,_xlfn.XLOOKUP(O1177,[1]AttributeName!$B:$B,[1]AttributeName!$E:$E),2,_xlfn.XLOOKUP(C1177,#REF!,#REF!),3,_xlfn.XLOOKUP(C1177,#REF!,#REF!)),0)</f>
        <v>0</v>
      </c>
    </row>
    <row r="1178" customFormat="1" spans="1:20">
      <c r="A1178">
        <f t="shared" si="52"/>
        <v>503</v>
      </c>
      <c r="B1178">
        <v>5</v>
      </c>
      <c r="C1178" t="s">
        <v>380</v>
      </c>
      <c r="D1178" t="s">
        <v>28</v>
      </c>
      <c r="E1178" t="s">
        <v>378</v>
      </c>
      <c r="F1178"/>
      <c r="G1178">
        <v>1</v>
      </c>
      <c r="H1178">
        <v>1000</v>
      </c>
      <c r="I1178">
        <v>1</v>
      </c>
      <c r="J1178" cm="1">
        <f t="array" ref="J1178">_xlfn.SWITCH(B1178,1,75,2,61,3,49,4,37,5,25,6,13,7,4,8,1)</f>
        <v>25</v>
      </c>
      <c r="K1178" t="str" cm="1">
        <f t="array" ref="K1178">IFERROR(_xlfn.SWITCH(L1178,2,_xlfn.XLOOKUP(C1178,[1]ModifierDes!$B:$B,[1]ModifierDes!$C:$C),3,_xlfn.XLOOKUP(C1178,[1]StuntDes!$B:$B,[1]StuntDes!$C:$C)),"")</f>
        <v>冰冷伤害倍率增加{0}</v>
      </c>
      <c r="L1178">
        <f t="shared" si="51"/>
        <v>2</v>
      </c>
      <c r="M1178" s="10" t="str">
        <f>IFERROR(_xlfn.XLOOKUP(C1178,[1]StuntDes!$B:$B,[1]StuntDes!$A:$A),"")</f>
        <v/>
      </c>
      <c r="N1178" s="10">
        <f>IFERROR(_xlfn.XLOOKUP(C1178,[1]ModifierDes!$B:$B,[1]ModifierDes!$A:$A),"")</f>
        <v>10058</v>
      </c>
      <c r="O1178" s="10" t="str">
        <f>IFERROR(_xlfn.XLOOKUP(C1178,[1]AttributeName!$C:$C,[1]AttributeName!$B:$B),"")</f>
        <v/>
      </c>
      <c r="P1178" s="10"/>
      <c r="Q1178">
        <v>0.13</v>
      </c>
      <c r="R1178">
        <v>0.15</v>
      </c>
      <c r="S1178" cm="1">
        <f t="array" ref="S1178">IFERROR(_xlfn.SWITCH(L1178,1,_xlfn.XLOOKUP(O1178,[1]AttributeName!$B:$B,[1]AttributeName!$D:$D),2,_xlfn.XLOOKUP(C1178,#REF!,#REF!),3,_xlfn.XLOOKUP(C1178,#REF!,#REF!)),0)</f>
        <v>0</v>
      </c>
      <c r="T1178" cm="1">
        <f t="array" ref="T1178">IFERROR(_xlfn.SWITCH(L1178,1,_xlfn.XLOOKUP(O1178,[1]AttributeName!$B:$B,[1]AttributeName!$E:$E),2,_xlfn.XLOOKUP(C1178,#REF!,#REF!),3,_xlfn.XLOOKUP(C1178,#REF!,#REF!)),0)</f>
        <v>0</v>
      </c>
    </row>
    <row r="1179" customFormat="1" spans="1:20">
      <c r="A1179">
        <f t="shared" si="52"/>
        <v>503</v>
      </c>
      <c r="B1179">
        <v>6</v>
      </c>
      <c r="C1179" t="s">
        <v>380</v>
      </c>
      <c r="D1179" t="s">
        <v>28</v>
      </c>
      <c r="E1179" t="s">
        <v>378</v>
      </c>
      <c r="F1179"/>
      <c r="G1179">
        <v>1</v>
      </c>
      <c r="H1179">
        <v>1000</v>
      </c>
      <c r="I1179">
        <v>1</v>
      </c>
      <c r="J1179" cm="1">
        <f t="array" ref="J1179">_xlfn.SWITCH(B1179,1,75,2,61,3,49,4,37,5,25,6,13,7,4,8,1)</f>
        <v>13</v>
      </c>
      <c r="K1179" t="str" cm="1">
        <f t="array" ref="K1179">IFERROR(_xlfn.SWITCH(L1179,2,_xlfn.XLOOKUP(C1179,[1]ModifierDes!$B:$B,[1]ModifierDes!$C:$C),3,_xlfn.XLOOKUP(C1179,[1]StuntDes!$B:$B,[1]StuntDes!$C:$C)),"")</f>
        <v>冰冷伤害倍率增加{0}</v>
      </c>
      <c r="L1179">
        <f t="shared" si="51"/>
        <v>2</v>
      </c>
      <c r="M1179" s="10" t="str">
        <f>IFERROR(_xlfn.XLOOKUP(C1179,[1]StuntDes!$B:$B,[1]StuntDes!$A:$A),"")</f>
        <v/>
      </c>
      <c r="N1179" s="10">
        <f>IFERROR(_xlfn.XLOOKUP(C1179,[1]ModifierDes!$B:$B,[1]ModifierDes!$A:$A),"")</f>
        <v>10058</v>
      </c>
      <c r="O1179" s="10" t="str">
        <f>IFERROR(_xlfn.XLOOKUP(C1179,[1]AttributeName!$C:$C,[1]AttributeName!$B:$B),"")</f>
        <v/>
      </c>
      <c r="P1179" s="10"/>
      <c r="Q1179">
        <v>0.1</v>
      </c>
      <c r="R1179">
        <v>0.12</v>
      </c>
      <c r="S1179" cm="1">
        <f t="array" ref="S1179">IFERROR(_xlfn.SWITCH(L1179,1,_xlfn.XLOOKUP(O1179,[1]AttributeName!$B:$B,[1]AttributeName!$D:$D),2,_xlfn.XLOOKUP(C1179,#REF!,#REF!),3,_xlfn.XLOOKUP(C1179,#REF!,#REF!)),0)</f>
        <v>0</v>
      </c>
      <c r="T1179" cm="1">
        <f t="array" ref="T1179">IFERROR(_xlfn.SWITCH(L1179,1,_xlfn.XLOOKUP(O1179,[1]AttributeName!$B:$B,[1]AttributeName!$E:$E),2,_xlfn.XLOOKUP(C1179,#REF!,#REF!),3,_xlfn.XLOOKUP(C1179,#REF!,#REF!)),0)</f>
        <v>0</v>
      </c>
    </row>
    <row r="1180" customFormat="1" spans="1:20">
      <c r="A1180">
        <f t="shared" si="52"/>
        <v>503</v>
      </c>
      <c r="B1180">
        <v>7</v>
      </c>
      <c r="C1180" t="s">
        <v>380</v>
      </c>
      <c r="D1180" t="s">
        <v>28</v>
      </c>
      <c r="E1180" t="s">
        <v>378</v>
      </c>
      <c r="F1180"/>
      <c r="G1180">
        <v>1</v>
      </c>
      <c r="H1180">
        <v>1000</v>
      </c>
      <c r="I1180">
        <v>1</v>
      </c>
      <c r="J1180" cm="1">
        <f t="array" ref="J1180">_xlfn.SWITCH(B1180,1,75,2,61,3,49,4,37,5,25,6,13,7,4,8,1)</f>
        <v>4</v>
      </c>
      <c r="K1180" t="str" cm="1">
        <f t="array" ref="K1180">IFERROR(_xlfn.SWITCH(L1180,2,_xlfn.XLOOKUP(C1180,[1]ModifierDes!$B:$B,[1]ModifierDes!$C:$C),3,_xlfn.XLOOKUP(C1180,[1]StuntDes!$B:$B,[1]StuntDes!$C:$C)),"")</f>
        <v>冰冷伤害倍率增加{0}</v>
      </c>
      <c r="L1180">
        <f t="shared" si="51"/>
        <v>2</v>
      </c>
      <c r="M1180" s="10" t="str">
        <f>IFERROR(_xlfn.XLOOKUP(C1180,[1]StuntDes!$B:$B,[1]StuntDes!$A:$A),"")</f>
        <v/>
      </c>
      <c r="N1180" s="10">
        <f>IFERROR(_xlfn.XLOOKUP(C1180,[1]ModifierDes!$B:$B,[1]ModifierDes!$A:$A),"")</f>
        <v>10058</v>
      </c>
      <c r="O1180" s="10" t="str">
        <f>IFERROR(_xlfn.XLOOKUP(C1180,[1]AttributeName!$C:$C,[1]AttributeName!$B:$B),"")</f>
        <v/>
      </c>
      <c r="P1180" s="10"/>
      <c r="Q1180">
        <v>0.07</v>
      </c>
      <c r="R1180">
        <v>0.09</v>
      </c>
      <c r="S1180" cm="1">
        <f t="array" ref="S1180">IFERROR(_xlfn.SWITCH(L1180,1,_xlfn.XLOOKUP(O1180,[1]AttributeName!$B:$B,[1]AttributeName!$D:$D),2,_xlfn.XLOOKUP(C1180,#REF!,#REF!),3,_xlfn.XLOOKUP(C1180,#REF!,#REF!)),0)</f>
        <v>0</v>
      </c>
      <c r="T1180" cm="1">
        <f t="array" ref="T1180">IFERROR(_xlfn.SWITCH(L1180,1,_xlfn.XLOOKUP(O1180,[1]AttributeName!$B:$B,[1]AttributeName!$E:$E),2,_xlfn.XLOOKUP(C1180,#REF!,#REF!),3,_xlfn.XLOOKUP(C1180,#REF!,#REF!)),0)</f>
        <v>0</v>
      </c>
    </row>
    <row r="1181" customFormat="1" spans="1:20">
      <c r="A1181">
        <f t="shared" si="52"/>
        <v>503</v>
      </c>
      <c r="B1181">
        <v>8</v>
      </c>
      <c r="C1181" t="s">
        <v>380</v>
      </c>
      <c r="D1181" t="s">
        <v>28</v>
      </c>
      <c r="E1181" t="s">
        <v>378</v>
      </c>
      <c r="F1181"/>
      <c r="G1181">
        <v>1</v>
      </c>
      <c r="H1181">
        <v>1000</v>
      </c>
      <c r="I1181">
        <v>1</v>
      </c>
      <c r="J1181" cm="1">
        <f t="array" ref="J1181">_xlfn.SWITCH(B1181,1,75,2,61,3,49,4,37,5,25,6,13,7,4,8,1)</f>
        <v>1</v>
      </c>
      <c r="K1181" t="str" cm="1">
        <f t="array" ref="K1181">IFERROR(_xlfn.SWITCH(L1181,2,_xlfn.XLOOKUP(C1181,[1]ModifierDes!$B:$B,[1]ModifierDes!$C:$C),3,_xlfn.XLOOKUP(C1181,[1]StuntDes!$B:$B,[1]StuntDes!$C:$C)),"")</f>
        <v>冰冷伤害倍率增加{0}</v>
      </c>
      <c r="L1181">
        <f t="shared" si="51"/>
        <v>2</v>
      </c>
      <c r="M1181" s="10" t="str">
        <f>IFERROR(_xlfn.XLOOKUP(C1181,[1]StuntDes!$B:$B,[1]StuntDes!$A:$A),"")</f>
        <v/>
      </c>
      <c r="N1181" s="10">
        <f>IFERROR(_xlfn.XLOOKUP(C1181,[1]ModifierDes!$B:$B,[1]ModifierDes!$A:$A),"")</f>
        <v>10058</v>
      </c>
      <c r="O1181" s="10" t="str">
        <f>IFERROR(_xlfn.XLOOKUP(C1181,[1]AttributeName!$C:$C,[1]AttributeName!$B:$B),"")</f>
        <v/>
      </c>
      <c r="P1181" s="10"/>
      <c r="Q1181">
        <v>0.04</v>
      </c>
      <c r="R1181">
        <v>0.07</v>
      </c>
      <c r="S1181" cm="1">
        <f t="array" ref="S1181">IFERROR(_xlfn.SWITCH(L1181,1,_xlfn.XLOOKUP(O1181,[1]AttributeName!$B:$B,[1]AttributeName!$D:$D),2,_xlfn.XLOOKUP(C1181,#REF!,#REF!),3,_xlfn.XLOOKUP(C1181,#REF!,#REF!)),0)</f>
        <v>0</v>
      </c>
      <c r="T1181" cm="1">
        <f t="array" ref="T1181">IFERROR(_xlfn.SWITCH(L1181,1,_xlfn.XLOOKUP(O1181,[1]AttributeName!$B:$B,[1]AttributeName!$E:$E),2,_xlfn.XLOOKUP(C1181,#REF!,#REF!),3,_xlfn.XLOOKUP(C1181,#REF!,#REF!)),0)</f>
        <v>0</v>
      </c>
    </row>
    <row r="1182" customFormat="1" spans="1:20">
      <c r="A1182">
        <f t="shared" si="52"/>
        <v>504</v>
      </c>
      <c r="B1182">
        <v>1</v>
      </c>
      <c r="C1182" t="s">
        <v>381</v>
      </c>
      <c r="D1182" t="s">
        <v>28</v>
      </c>
      <c r="E1182" t="s">
        <v>378</v>
      </c>
      <c r="F1182"/>
      <c r="G1182">
        <v>1</v>
      </c>
      <c r="H1182">
        <v>50</v>
      </c>
      <c r="I1182">
        <v>1</v>
      </c>
      <c r="J1182" cm="1">
        <f t="array" ref="J1182">_xlfn.SWITCH(B1182,1,75,2,61,3,49,4,37,5,25,6,13,7,4,8,1)</f>
        <v>75</v>
      </c>
      <c r="K1182" t="str" cm="1">
        <f t="array" ref="K1182">IFERROR(_xlfn.SWITCH(L1182,2,_xlfn.XLOOKUP(C1182,[1]ModifierDes!$B:$B,[1]ModifierDes!$C:$C),3,_xlfn.XLOOKUP(C1182,[1]StuntDes!$B:$B,[1]StuntDes!$C:$C)),"")</f>
        <v>闪电伤害倍率增加{0}</v>
      </c>
      <c r="L1182">
        <f t="shared" si="51"/>
        <v>2</v>
      </c>
      <c r="M1182" s="10" t="str">
        <f>IFERROR(_xlfn.XLOOKUP(C1182,[1]StuntDes!$B:$B,[1]StuntDes!$A:$A),"")</f>
        <v/>
      </c>
      <c r="N1182" s="10">
        <f>IFERROR(_xlfn.XLOOKUP(C1182,[1]ModifierDes!$B:$B,[1]ModifierDes!$A:$A),"")</f>
        <v>10059</v>
      </c>
      <c r="O1182" s="10" t="str">
        <f>IFERROR(_xlfn.XLOOKUP(C1182,[1]AttributeName!$C:$C,[1]AttributeName!$B:$B),"")</f>
        <v/>
      </c>
      <c r="P1182" s="10"/>
      <c r="Q1182">
        <v>0.25</v>
      </c>
      <c r="R1182">
        <v>0.35</v>
      </c>
      <c r="S1182" cm="1">
        <f t="array" ref="S1182">IFERROR(_xlfn.SWITCH(L1182,1,_xlfn.XLOOKUP(O1182,[1]AttributeName!$B:$B,[1]AttributeName!$D:$D),2,_xlfn.XLOOKUP(C1182,#REF!,#REF!),3,_xlfn.XLOOKUP(C1182,#REF!,#REF!)),0)</f>
        <v>0</v>
      </c>
      <c r="T1182" cm="1">
        <f t="array" ref="T1182">IFERROR(_xlfn.SWITCH(L1182,1,_xlfn.XLOOKUP(O1182,[1]AttributeName!$B:$B,[1]AttributeName!$E:$E),2,_xlfn.XLOOKUP(C1182,#REF!,#REF!),3,_xlfn.XLOOKUP(C1182,#REF!,#REF!)),0)</f>
        <v>0</v>
      </c>
    </row>
    <row r="1183" customFormat="1" spans="1:20">
      <c r="A1183">
        <f t="shared" si="52"/>
        <v>504</v>
      </c>
      <c r="B1183">
        <v>2</v>
      </c>
      <c r="C1183" t="s">
        <v>381</v>
      </c>
      <c r="D1183" t="s">
        <v>28</v>
      </c>
      <c r="E1183" t="s">
        <v>378</v>
      </c>
      <c r="F1183"/>
      <c r="G1183">
        <v>1</v>
      </c>
      <c r="H1183">
        <v>100</v>
      </c>
      <c r="I1183">
        <v>1</v>
      </c>
      <c r="J1183" cm="1">
        <f t="array" ref="J1183">_xlfn.SWITCH(B1183,1,75,2,61,3,49,4,37,5,25,6,13,7,4,8,1)</f>
        <v>61</v>
      </c>
      <c r="K1183" t="str" cm="1">
        <f t="array" ref="K1183">IFERROR(_xlfn.SWITCH(L1183,2,_xlfn.XLOOKUP(C1183,[1]ModifierDes!$B:$B,[1]ModifierDes!$C:$C),3,_xlfn.XLOOKUP(C1183,[1]StuntDes!$B:$B,[1]StuntDes!$C:$C)),"")</f>
        <v>闪电伤害倍率增加{0}</v>
      </c>
      <c r="L1183">
        <f t="shared" si="51"/>
        <v>2</v>
      </c>
      <c r="M1183" s="10" t="str">
        <f>IFERROR(_xlfn.XLOOKUP(C1183,[1]StuntDes!$B:$B,[1]StuntDes!$A:$A),"")</f>
        <v/>
      </c>
      <c r="N1183" s="10">
        <f>IFERROR(_xlfn.XLOOKUP(C1183,[1]ModifierDes!$B:$B,[1]ModifierDes!$A:$A),"")</f>
        <v>10059</v>
      </c>
      <c r="O1183" s="10" t="str">
        <f>IFERROR(_xlfn.XLOOKUP(C1183,[1]AttributeName!$C:$C,[1]AttributeName!$B:$B),"")</f>
        <v/>
      </c>
      <c r="P1183" s="10"/>
      <c r="Q1183">
        <v>0.22</v>
      </c>
      <c r="R1183">
        <v>0.24</v>
      </c>
      <c r="S1183" cm="1">
        <f t="array" ref="S1183">IFERROR(_xlfn.SWITCH(L1183,1,_xlfn.XLOOKUP(O1183,[1]AttributeName!$B:$B,[1]AttributeName!$D:$D),2,_xlfn.XLOOKUP(C1183,#REF!,#REF!),3,_xlfn.XLOOKUP(C1183,#REF!,#REF!)),0)</f>
        <v>0</v>
      </c>
      <c r="T1183" cm="1">
        <f t="array" ref="T1183">IFERROR(_xlfn.SWITCH(L1183,1,_xlfn.XLOOKUP(O1183,[1]AttributeName!$B:$B,[1]AttributeName!$E:$E),2,_xlfn.XLOOKUP(C1183,#REF!,#REF!),3,_xlfn.XLOOKUP(C1183,#REF!,#REF!)),0)</f>
        <v>0</v>
      </c>
    </row>
    <row r="1184" customFormat="1" spans="1:20">
      <c r="A1184">
        <f t="shared" si="52"/>
        <v>504</v>
      </c>
      <c r="B1184">
        <v>3</v>
      </c>
      <c r="C1184" t="s">
        <v>381</v>
      </c>
      <c r="D1184" t="s">
        <v>28</v>
      </c>
      <c r="E1184" t="s">
        <v>378</v>
      </c>
      <c r="F1184"/>
      <c r="G1184">
        <v>1</v>
      </c>
      <c r="H1184">
        <v>200</v>
      </c>
      <c r="I1184">
        <v>1</v>
      </c>
      <c r="J1184" cm="1">
        <f t="array" ref="J1184">_xlfn.SWITCH(B1184,1,75,2,61,3,49,4,37,5,25,6,13,7,4,8,1)</f>
        <v>49</v>
      </c>
      <c r="K1184" t="str" cm="1">
        <f t="array" ref="K1184">IFERROR(_xlfn.SWITCH(L1184,2,_xlfn.XLOOKUP(C1184,[1]ModifierDes!$B:$B,[1]ModifierDes!$C:$C),3,_xlfn.XLOOKUP(C1184,[1]StuntDes!$B:$B,[1]StuntDes!$C:$C)),"")</f>
        <v>闪电伤害倍率增加{0}</v>
      </c>
      <c r="L1184">
        <f t="shared" si="51"/>
        <v>2</v>
      </c>
      <c r="M1184" s="10" t="str">
        <f>IFERROR(_xlfn.XLOOKUP(C1184,[1]StuntDes!$B:$B,[1]StuntDes!$A:$A),"")</f>
        <v/>
      </c>
      <c r="N1184" s="10">
        <f>IFERROR(_xlfn.XLOOKUP(C1184,[1]ModifierDes!$B:$B,[1]ModifierDes!$A:$A),"")</f>
        <v>10059</v>
      </c>
      <c r="O1184" s="10" t="str">
        <f>IFERROR(_xlfn.XLOOKUP(C1184,[1]AttributeName!$C:$C,[1]AttributeName!$B:$B),"")</f>
        <v/>
      </c>
      <c r="P1184" s="10"/>
      <c r="Q1184">
        <v>0.19</v>
      </c>
      <c r="R1184">
        <v>0.21</v>
      </c>
      <c r="S1184" cm="1">
        <f t="array" ref="S1184">IFERROR(_xlfn.SWITCH(L1184,1,_xlfn.XLOOKUP(O1184,[1]AttributeName!$B:$B,[1]AttributeName!$D:$D),2,_xlfn.XLOOKUP(C1184,#REF!,#REF!),3,_xlfn.XLOOKUP(C1184,#REF!,#REF!)),0)</f>
        <v>0</v>
      </c>
      <c r="T1184" cm="1">
        <f t="array" ref="T1184">IFERROR(_xlfn.SWITCH(L1184,1,_xlfn.XLOOKUP(O1184,[1]AttributeName!$B:$B,[1]AttributeName!$E:$E),2,_xlfn.XLOOKUP(C1184,#REF!,#REF!),3,_xlfn.XLOOKUP(C1184,#REF!,#REF!)),0)</f>
        <v>0</v>
      </c>
    </row>
    <row r="1185" customFormat="1" spans="1:20">
      <c r="A1185">
        <f t="shared" si="52"/>
        <v>504</v>
      </c>
      <c r="B1185">
        <v>4</v>
      </c>
      <c r="C1185" t="s">
        <v>381</v>
      </c>
      <c r="D1185" t="s">
        <v>28</v>
      </c>
      <c r="E1185" t="s">
        <v>378</v>
      </c>
      <c r="F1185"/>
      <c r="G1185">
        <v>1</v>
      </c>
      <c r="H1185">
        <v>500</v>
      </c>
      <c r="I1185">
        <v>1</v>
      </c>
      <c r="J1185" cm="1">
        <f t="array" ref="J1185">_xlfn.SWITCH(B1185,1,75,2,61,3,49,4,37,5,25,6,13,7,4,8,1)</f>
        <v>37</v>
      </c>
      <c r="K1185" t="str" cm="1">
        <f t="array" ref="K1185">IFERROR(_xlfn.SWITCH(L1185,2,_xlfn.XLOOKUP(C1185,[1]ModifierDes!$B:$B,[1]ModifierDes!$C:$C),3,_xlfn.XLOOKUP(C1185,[1]StuntDes!$B:$B,[1]StuntDes!$C:$C)),"")</f>
        <v>闪电伤害倍率增加{0}</v>
      </c>
      <c r="L1185">
        <f t="shared" si="51"/>
        <v>2</v>
      </c>
      <c r="M1185" s="10" t="str">
        <f>IFERROR(_xlfn.XLOOKUP(C1185,[1]StuntDes!$B:$B,[1]StuntDes!$A:$A),"")</f>
        <v/>
      </c>
      <c r="N1185" s="10">
        <f>IFERROR(_xlfn.XLOOKUP(C1185,[1]ModifierDes!$B:$B,[1]ModifierDes!$A:$A),"")</f>
        <v>10059</v>
      </c>
      <c r="O1185" s="10" t="str">
        <f>IFERROR(_xlfn.XLOOKUP(C1185,[1]AttributeName!$C:$C,[1]AttributeName!$B:$B),"")</f>
        <v/>
      </c>
      <c r="P1185" s="10"/>
      <c r="Q1185">
        <v>0.16</v>
      </c>
      <c r="R1185">
        <v>0.18</v>
      </c>
      <c r="S1185" cm="1">
        <f t="array" ref="S1185">IFERROR(_xlfn.SWITCH(L1185,1,_xlfn.XLOOKUP(O1185,[1]AttributeName!$B:$B,[1]AttributeName!$D:$D),2,_xlfn.XLOOKUP(C1185,#REF!,#REF!),3,_xlfn.XLOOKUP(C1185,#REF!,#REF!)),0)</f>
        <v>0</v>
      </c>
      <c r="T1185" cm="1">
        <f t="array" ref="T1185">IFERROR(_xlfn.SWITCH(L1185,1,_xlfn.XLOOKUP(O1185,[1]AttributeName!$B:$B,[1]AttributeName!$E:$E),2,_xlfn.XLOOKUP(C1185,#REF!,#REF!),3,_xlfn.XLOOKUP(C1185,#REF!,#REF!)),0)</f>
        <v>0</v>
      </c>
    </row>
    <row r="1186" customFormat="1" spans="1:20">
      <c r="A1186">
        <f t="shared" si="52"/>
        <v>504</v>
      </c>
      <c r="B1186">
        <v>5</v>
      </c>
      <c r="C1186" t="s">
        <v>381</v>
      </c>
      <c r="D1186" t="s">
        <v>28</v>
      </c>
      <c r="E1186" t="s">
        <v>378</v>
      </c>
      <c r="F1186"/>
      <c r="G1186">
        <v>1</v>
      </c>
      <c r="H1186">
        <v>1000</v>
      </c>
      <c r="I1186">
        <v>1</v>
      </c>
      <c r="J1186" cm="1">
        <f t="array" ref="J1186">_xlfn.SWITCH(B1186,1,75,2,61,3,49,4,37,5,25,6,13,7,4,8,1)</f>
        <v>25</v>
      </c>
      <c r="K1186" t="str" cm="1">
        <f t="array" ref="K1186">IFERROR(_xlfn.SWITCH(L1186,2,_xlfn.XLOOKUP(C1186,[1]ModifierDes!$B:$B,[1]ModifierDes!$C:$C),3,_xlfn.XLOOKUP(C1186,[1]StuntDes!$B:$B,[1]StuntDes!$C:$C)),"")</f>
        <v>闪电伤害倍率增加{0}</v>
      </c>
      <c r="L1186">
        <f t="shared" si="51"/>
        <v>2</v>
      </c>
      <c r="M1186" s="10" t="str">
        <f>IFERROR(_xlfn.XLOOKUP(C1186,[1]StuntDes!$B:$B,[1]StuntDes!$A:$A),"")</f>
        <v/>
      </c>
      <c r="N1186" s="10">
        <f>IFERROR(_xlfn.XLOOKUP(C1186,[1]ModifierDes!$B:$B,[1]ModifierDes!$A:$A),"")</f>
        <v>10059</v>
      </c>
      <c r="O1186" s="10" t="str">
        <f>IFERROR(_xlfn.XLOOKUP(C1186,[1]AttributeName!$C:$C,[1]AttributeName!$B:$B),"")</f>
        <v/>
      </c>
      <c r="P1186" s="10"/>
      <c r="Q1186">
        <v>0.13</v>
      </c>
      <c r="R1186">
        <v>0.15</v>
      </c>
      <c r="S1186" cm="1">
        <f t="array" ref="S1186">IFERROR(_xlfn.SWITCH(L1186,1,_xlfn.XLOOKUP(O1186,[1]AttributeName!$B:$B,[1]AttributeName!$D:$D),2,_xlfn.XLOOKUP(C1186,#REF!,#REF!),3,_xlfn.XLOOKUP(C1186,#REF!,#REF!)),0)</f>
        <v>0</v>
      </c>
      <c r="T1186" cm="1">
        <f t="array" ref="T1186">IFERROR(_xlfn.SWITCH(L1186,1,_xlfn.XLOOKUP(O1186,[1]AttributeName!$B:$B,[1]AttributeName!$E:$E),2,_xlfn.XLOOKUP(C1186,#REF!,#REF!),3,_xlfn.XLOOKUP(C1186,#REF!,#REF!)),0)</f>
        <v>0</v>
      </c>
    </row>
    <row r="1187" customFormat="1" spans="1:20">
      <c r="A1187">
        <f t="shared" si="52"/>
        <v>504</v>
      </c>
      <c r="B1187">
        <v>6</v>
      </c>
      <c r="C1187" t="s">
        <v>381</v>
      </c>
      <c r="D1187" t="s">
        <v>28</v>
      </c>
      <c r="E1187" t="s">
        <v>378</v>
      </c>
      <c r="F1187"/>
      <c r="G1187">
        <v>1</v>
      </c>
      <c r="H1187">
        <v>1000</v>
      </c>
      <c r="I1187">
        <v>1</v>
      </c>
      <c r="J1187" cm="1">
        <f t="array" ref="J1187">_xlfn.SWITCH(B1187,1,75,2,61,3,49,4,37,5,25,6,13,7,4,8,1)</f>
        <v>13</v>
      </c>
      <c r="K1187" t="str" cm="1">
        <f t="array" ref="K1187">IFERROR(_xlfn.SWITCH(L1187,2,_xlfn.XLOOKUP(C1187,[1]ModifierDes!$B:$B,[1]ModifierDes!$C:$C),3,_xlfn.XLOOKUP(C1187,[1]StuntDes!$B:$B,[1]StuntDes!$C:$C)),"")</f>
        <v>闪电伤害倍率增加{0}</v>
      </c>
      <c r="L1187">
        <f t="shared" si="51"/>
        <v>2</v>
      </c>
      <c r="M1187" s="10" t="str">
        <f>IFERROR(_xlfn.XLOOKUP(C1187,[1]StuntDes!$B:$B,[1]StuntDes!$A:$A),"")</f>
        <v/>
      </c>
      <c r="N1187" s="10">
        <f>IFERROR(_xlfn.XLOOKUP(C1187,[1]ModifierDes!$B:$B,[1]ModifierDes!$A:$A),"")</f>
        <v>10059</v>
      </c>
      <c r="O1187" s="10" t="str">
        <f>IFERROR(_xlfn.XLOOKUP(C1187,[1]AttributeName!$C:$C,[1]AttributeName!$B:$B),"")</f>
        <v/>
      </c>
      <c r="P1187" s="10"/>
      <c r="Q1187">
        <v>0.1</v>
      </c>
      <c r="R1187">
        <v>0.12</v>
      </c>
      <c r="S1187" cm="1">
        <f t="array" ref="S1187">IFERROR(_xlfn.SWITCH(L1187,1,_xlfn.XLOOKUP(O1187,[1]AttributeName!$B:$B,[1]AttributeName!$D:$D),2,_xlfn.XLOOKUP(C1187,#REF!,#REF!),3,_xlfn.XLOOKUP(C1187,#REF!,#REF!)),0)</f>
        <v>0</v>
      </c>
      <c r="T1187" cm="1">
        <f t="array" ref="T1187">IFERROR(_xlfn.SWITCH(L1187,1,_xlfn.XLOOKUP(O1187,[1]AttributeName!$B:$B,[1]AttributeName!$E:$E),2,_xlfn.XLOOKUP(C1187,#REF!,#REF!),3,_xlfn.XLOOKUP(C1187,#REF!,#REF!)),0)</f>
        <v>0</v>
      </c>
    </row>
    <row r="1188" customFormat="1" spans="1:20">
      <c r="A1188">
        <f t="shared" si="52"/>
        <v>504</v>
      </c>
      <c r="B1188">
        <v>7</v>
      </c>
      <c r="C1188" t="s">
        <v>381</v>
      </c>
      <c r="D1188" t="s">
        <v>28</v>
      </c>
      <c r="E1188" t="s">
        <v>378</v>
      </c>
      <c r="F1188"/>
      <c r="G1188">
        <v>1</v>
      </c>
      <c r="H1188">
        <v>1000</v>
      </c>
      <c r="I1188">
        <v>1</v>
      </c>
      <c r="J1188" cm="1">
        <f t="array" ref="J1188">_xlfn.SWITCH(B1188,1,75,2,61,3,49,4,37,5,25,6,13,7,4,8,1)</f>
        <v>4</v>
      </c>
      <c r="K1188" t="str" cm="1">
        <f t="array" ref="K1188">IFERROR(_xlfn.SWITCH(L1188,2,_xlfn.XLOOKUP(C1188,[1]ModifierDes!$B:$B,[1]ModifierDes!$C:$C),3,_xlfn.XLOOKUP(C1188,[1]StuntDes!$B:$B,[1]StuntDes!$C:$C)),"")</f>
        <v>闪电伤害倍率增加{0}</v>
      </c>
      <c r="L1188">
        <f t="shared" si="51"/>
        <v>2</v>
      </c>
      <c r="M1188" s="10" t="str">
        <f>IFERROR(_xlfn.XLOOKUP(C1188,[1]StuntDes!$B:$B,[1]StuntDes!$A:$A),"")</f>
        <v/>
      </c>
      <c r="N1188" s="10">
        <f>IFERROR(_xlfn.XLOOKUP(C1188,[1]ModifierDes!$B:$B,[1]ModifierDes!$A:$A),"")</f>
        <v>10059</v>
      </c>
      <c r="O1188" s="10" t="str">
        <f>IFERROR(_xlfn.XLOOKUP(C1188,[1]AttributeName!$C:$C,[1]AttributeName!$B:$B),"")</f>
        <v/>
      </c>
      <c r="P1188" s="10"/>
      <c r="Q1188">
        <v>0.07</v>
      </c>
      <c r="R1188">
        <v>0.09</v>
      </c>
      <c r="S1188" cm="1">
        <f t="array" ref="S1188">IFERROR(_xlfn.SWITCH(L1188,1,_xlfn.XLOOKUP(O1188,[1]AttributeName!$B:$B,[1]AttributeName!$D:$D),2,_xlfn.XLOOKUP(C1188,#REF!,#REF!),3,_xlfn.XLOOKUP(C1188,#REF!,#REF!)),0)</f>
        <v>0</v>
      </c>
      <c r="T1188" cm="1">
        <f t="array" ref="T1188">IFERROR(_xlfn.SWITCH(L1188,1,_xlfn.XLOOKUP(O1188,[1]AttributeName!$B:$B,[1]AttributeName!$E:$E),2,_xlfn.XLOOKUP(C1188,#REF!,#REF!),3,_xlfn.XLOOKUP(C1188,#REF!,#REF!)),0)</f>
        <v>0</v>
      </c>
    </row>
    <row r="1189" customFormat="1" spans="1:20">
      <c r="A1189">
        <f t="shared" si="52"/>
        <v>504</v>
      </c>
      <c r="B1189">
        <v>8</v>
      </c>
      <c r="C1189" t="s">
        <v>381</v>
      </c>
      <c r="D1189" t="s">
        <v>28</v>
      </c>
      <c r="E1189" t="s">
        <v>378</v>
      </c>
      <c r="F1189"/>
      <c r="G1189">
        <v>1</v>
      </c>
      <c r="H1189">
        <v>1000</v>
      </c>
      <c r="I1189">
        <v>1</v>
      </c>
      <c r="J1189" cm="1">
        <f t="array" ref="J1189">_xlfn.SWITCH(B1189,1,75,2,61,3,49,4,37,5,25,6,13,7,4,8,1)</f>
        <v>1</v>
      </c>
      <c r="K1189" t="str" cm="1">
        <f t="array" ref="K1189">IFERROR(_xlfn.SWITCH(L1189,2,_xlfn.XLOOKUP(C1189,[1]ModifierDes!$B:$B,[1]ModifierDes!$C:$C),3,_xlfn.XLOOKUP(C1189,[1]StuntDes!$B:$B,[1]StuntDes!$C:$C)),"")</f>
        <v>闪电伤害倍率增加{0}</v>
      </c>
      <c r="L1189">
        <f t="shared" si="51"/>
        <v>2</v>
      </c>
      <c r="M1189" s="10" t="str">
        <f>IFERROR(_xlfn.XLOOKUP(C1189,[1]StuntDes!$B:$B,[1]StuntDes!$A:$A),"")</f>
        <v/>
      </c>
      <c r="N1189" s="10">
        <f>IFERROR(_xlfn.XLOOKUP(C1189,[1]ModifierDes!$B:$B,[1]ModifierDes!$A:$A),"")</f>
        <v>10059</v>
      </c>
      <c r="O1189" s="10" t="str">
        <f>IFERROR(_xlfn.XLOOKUP(C1189,[1]AttributeName!$C:$C,[1]AttributeName!$B:$B),"")</f>
        <v/>
      </c>
      <c r="P1189" s="10"/>
      <c r="Q1189">
        <v>0.04</v>
      </c>
      <c r="R1189">
        <v>0.07</v>
      </c>
      <c r="S1189" cm="1">
        <f t="array" ref="S1189">IFERROR(_xlfn.SWITCH(L1189,1,_xlfn.XLOOKUP(O1189,[1]AttributeName!$B:$B,[1]AttributeName!$D:$D),2,_xlfn.XLOOKUP(C1189,#REF!,#REF!),3,_xlfn.XLOOKUP(C1189,#REF!,#REF!)),0)</f>
        <v>0</v>
      </c>
      <c r="T1189" cm="1">
        <f t="array" ref="T1189">IFERROR(_xlfn.SWITCH(L1189,1,_xlfn.XLOOKUP(O1189,[1]AttributeName!$B:$B,[1]AttributeName!$E:$E),2,_xlfn.XLOOKUP(C1189,#REF!,#REF!),3,_xlfn.XLOOKUP(C1189,#REF!,#REF!)),0)</f>
        <v>0</v>
      </c>
    </row>
    <row r="1190" customFormat="1" spans="1:20">
      <c r="A1190">
        <f t="shared" si="52"/>
        <v>505</v>
      </c>
      <c r="B1190">
        <v>1</v>
      </c>
      <c r="C1190" t="s">
        <v>382</v>
      </c>
      <c r="D1190" t="s">
        <v>28</v>
      </c>
      <c r="E1190" t="s">
        <v>378</v>
      </c>
      <c r="F1190"/>
      <c r="G1190">
        <v>1</v>
      </c>
      <c r="H1190">
        <v>50</v>
      </c>
      <c r="I1190">
        <v>1</v>
      </c>
      <c r="J1190" cm="1">
        <f t="array" ref="J1190">_xlfn.SWITCH(B1190,1,75,2,61,3,49,4,37,5,25,6,13,7,4,8,1)</f>
        <v>75</v>
      </c>
      <c r="K1190" t="str" cm="1">
        <f t="array" ref="K1190">IFERROR(_xlfn.SWITCH(L1190,2,_xlfn.XLOOKUP(C1190,[1]ModifierDes!$B:$B,[1]ModifierDes!$C:$C),3,_xlfn.XLOOKUP(C1190,[1]StuntDes!$B:$B,[1]StuntDes!$C:$C)),"")</f>
        <v>混沌伤害倍率增加{0}</v>
      </c>
      <c r="L1190">
        <f t="shared" si="51"/>
        <v>2</v>
      </c>
      <c r="M1190" s="10" t="str">
        <f>IFERROR(_xlfn.XLOOKUP(C1190,[1]StuntDes!$B:$B,[1]StuntDes!$A:$A),"")</f>
        <v/>
      </c>
      <c r="N1190" s="10">
        <f>IFERROR(_xlfn.XLOOKUP(C1190,[1]ModifierDes!$B:$B,[1]ModifierDes!$A:$A),"")</f>
        <v>10052</v>
      </c>
      <c r="O1190" s="10" t="str">
        <f>IFERROR(_xlfn.XLOOKUP(C1190,[1]AttributeName!$C:$C,[1]AttributeName!$B:$B),"")</f>
        <v/>
      </c>
      <c r="P1190" s="10"/>
      <c r="Q1190">
        <v>0.25</v>
      </c>
      <c r="R1190">
        <v>0.35</v>
      </c>
      <c r="S1190" cm="1">
        <f t="array" ref="S1190">IFERROR(_xlfn.SWITCH(L1190,1,_xlfn.XLOOKUP(O1190,[1]AttributeName!$B:$B,[1]AttributeName!$D:$D),2,_xlfn.XLOOKUP(C1190,#REF!,#REF!),3,_xlfn.XLOOKUP(C1190,#REF!,#REF!)),0)</f>
        <v>0</v>
      </c>
      <c r="T1190" cm="1">
        <f t="array" ref="T1190">IFERROR(_xlfn.SWITCH(L1190,1,_xlfn.XLOOKUP(O1190,[1]AttributeName!$B:$B,[1]AttributeName!$E:$E),2,_xlfn.XLOOKUP(C1190,#REF!,#REF!),3,_xlfn.XLOOKUP(C1190,#REF!,#REF!)),0)</f>
        <v>0</v>
      </c>
    </row>
    <row r="1191" customFormat="1" spans="1:20">
      <c r="A1191">
        <f t="shared" si="52"/>
        <v>505</v>
      </c>
      <c r="B1191">
        <v>2</v>
      </c>
      <c r="C1191" t="s">
        <v>382</v>
      </c>
      <c r="D1191" t="s">
        <v>28</v>
      </c>
      <c r="E1191" t="s">
        <v>378</v>
      </c>
      <c r="F1191"/>
      <c r="G1191">
        <v>1</v>
      </c>
      <c r="H1191">
        <v>100</v>
      </c>
      <c r="I1191">
        <v>1</v>
      </c>
      <c r="J1191" cm="1">
        <f t="array" ref="J1191">_xlfn.SWITCH(B1191,1,75,2,61,3,49,4,37,5,25,6,13,7,4,8,1)</f>
        <v>61</v>
      </c>
      <c r="K1191" t="str" cm="1">
        <f t="array" ref="K1191">IFERROR(_xlfn.SWITCH(L1191,2,_xlfn.XLOOKUP(C1191,[1]ModifierDes!$B:$B,[1]ModifierDes!$C:$C),3,_xlfn.XLOOKUP(C1191,[1]StuntDes!$B:$B,[1]StuntDes!$C:$C)),"")</f>
        <v>混沌伤害倍率增加{0}</v>
      </c>
      <c r="L1191">
        <f t="shared" si="51"/>
        <v>2</v>
      </c>
      <c r="M1191" s="10" t="str">
        <f>IFERROR(_xlfn.XLOOKUP(C1191,[1]StuntDes!$B:$B,[1]StuntDes!$A:$A),"")</f>
        <v/>
      </c>
      <c r="N1191" s="10">
        <f>IFERROR(_xlfn.XLOOKUP(C1191,[1]ModifierDes!$B:$B,[1]ModifierDes!$A:$A),"")</f>
        <v>10052</v>
      </c>
      <c r="O1191" s="10" t="str">
        <f>IFERROR(_xlfn.XLOOKUP(C1191,[1]AttributeName!$C:$C,[1]AttributeName!$B:$B),"")</f>
        <v/>
      </c>
      <c r="P1191" s="10"/>
      <c r="Q1191">
        <v>0.22</v>
      </c>
      <c r="R1191">
        <v>0.24</v>
      </c>
      <c r="S1191" cm="1">
        <f t="array" ref="S1191">IFERROR(_xlfn.SWITCH(L1191,1,_xlfn.XLOOKUP(O1191,[1]AttributeName!$B:$B,[1]AttributeName!$D:$D),2,_xlfn.XLOOKUP(C1191,#REF!,#REF!),3,_xlfn.XLOOKUP(C1191,#REF!,#REF!)),0)</f>
        <v>0</v>
      </c>
      <c r="T1191" cm="1">
        <f t="array" ref="T1191">IFERROR(_xlfn.SWITCH(L1191,1,_xlfn.XLOOKUP(O1191,[1]AttributeName!$B:$B,[1]AttributeName!$E:$E),2,_xlfn.XLOOKUP(C1191,#REF!,#REF!),3,_xlfn.XLOOKUP(C1191,#REF!,#REF!)),0)</f>
        <v>0</v>
      </c>
    </row>
    <row r="1192" customFormat="1" spans="1:20">
      <c r="A1192">
        <f t="shared" si="52"/>
        <v>505</v>
      </c>
      <c r="B1192">
        <v>3</v>
      </c>
      <c r="C1192" t="s">
        <v>382</v>
      </c>
      <c r="D1192" t="s">
        <v>28</v>
      </c>
      <c r="E1192" t="s">
        <v>378</v>
      </c>
      <c r="F1192"/>
      <c r="G1192">
        <v>1</v>
      </c>
      <c r="H1192">
        <v>200</v>
      </c>
      <c r="I1192">
        <v>1</v>
      </c>
      <c r="J1192" cm="1">
        <f t="array" ref="J1192">_xlfn.SWITCH(B1192,1,75,2,61,3,49,4,37,5,25,6,13,7,4,8,1)</f>
        <v>49</v>
      </c>
      <c r="K1192" t="str" cm="1">
        <f t="array" ref="K1192">IFERROR(_xlfn.SWITCH(L1192,2,_xlfn.XLOOKUP(C1192,[1]ModifierDes!$B:$B,[1]ModifierDes!$C:$C),3,_xlfn.XLOOKUP(C1192,[1]StuntDes!$B:$B,[1]StuntDes!$C:$C)),"")</f>
        <v>混沌伤害倍率增加{0}</v>
      </c>
      <c r="L1192">
        <f t="shared" si="51"/>
        <v>2</v>
      </c>
      <c r="M1192" s="10" t="str">
        <f>IFERROR(_xlfn.XLOOKUP(C1192,[1]StuntDes!$B:$B,[1]StuntDes!$A:$A),"")</f>
        <v/>
      </c>
      <c r="N1192" s="10">
        <f>IFERROR(_xlfn.XLOOKUP(C1192,[1]ModifierDes!$B:$B,[1]ModifierDes!$A:$A),"")</f>
        <v>10052</v>
      </c>
      <c r="O1192" s="10" t="str">
        <f>IFERROR(_xlfn.XLOOKUP(C1192,[1]AttributeName!$C:$C,[1]AttributeName!$B:$B),"")</f>
        <v/>
      </c>
      <c r="P1192" s="10"/>
      <c r="Q1192">
        <v>0.19</v>
      </c>
      <c r="R1192">
        <v>0.21</v>
      </c>
      <c r="S1192" cm="1">
        <f t="array" ref="S1192">IFERROR(_xlfn.SWITCH(L1192,1,_xlfn.XLOOKUP(O1192,[1]AttributeName!$B:$B,[1]AttributeName!$D:$D),2,_xlfn.XLOOKUP(C1192,#REF!,#REF!),3,_xlfn.XLOOKUP(C1192,#REF!,#REF!)),0)</f>
        <v>0</v>
      </c>
      <c r="T1192" cm="1">
        <f t="array" ref="T1192">IFERROR(_xlfn.SWITCH(L1192,1,_xlfn.XLOOKUP(O1192,[1]AttributeName!$B:$B,[1]AttributeName!$E:$E),2,_xlfn.XLOOKUP(C1192,#REF!,#REF!),3,_xlfn.XLOOKUP(C1192,#REF!,#REF!)),0)</f>
        <v>0</v>
      </c>
    </row>
    <row r="1193" customFormat="1" spans="1:20">
      <c r="A1193">
        <f t="shared" si="52"/>
        <v>505</v>
      </c>
      <c r="B1193">
        <v>4</v>
      </c>
      <c r="C1193" t="s">
        <v>382</v>
      </c>
      <c r="D1193" t="s">
        <v>28</v>
      </c>
      <c r="E1193" t="s">
        <v>378</v>
      </c>
      <c r="F1193"/>
      <c r="G1193">
        <v>1</v>
      </c>
      <c r="H1193">
        <v>500</v>
      </c>
      <c r="I1193">
        <v>1</v>
      </c>
      <c r="J1193" cm="1">
        <f t="array" ref="J1193">_xlfn.SWITCH(B1193,1,75,2,61,3,49,4,37,5,25,6,13,7,4,8,1)</f>
        <v>37</v>
      </c>
      <c r="K1193" t="str" cm="1">
        <f t="array" ref="K1193">IFERROR(_xlfn.SWITCH(L1193,2,_xlfn.XLOOKUP(C1193,[1]ModifierDes!$B:$B,[1]ModifierDes!$C:$C),3,_xlfn.XLOOKUP(C1193,[1]StuntDes!$B:$B,[1]StuntDes!$C:$C)),"")</f>
        <v>混沌伤害倍率增加{0}</v>
      </c>
      <c r="L1193">
        <f t="shared" si="51"/>
        <v>2</v>
      </c>
      <c r="M1193" s="10" t="str">
        <f>IFERROR(_xlfn.XLOOKUP(C1193,[1]StuntDes!$B:$B,[1]StuntDes!$A:$A),"")</f>
        <v/>
      </c>
      <c r="N1193" s="10">
        <f>IFERROR(_xlfn.XLOOKUP(C1193,[1]ModifierDes!$B:$B,[1]ModifierDes!$A:$A),"")</f>
        <v>10052</v>
      </c>
      <c r="O1193" s="10" t="str">
        <f>IFERROR(_xlfn.XLOOKUP(C1193,[1]AttributeName!$C:$C,[1]AttributeName!$B:$B),"")</f>
        <v/>
      </c>
      <c r="P1193" s="10"/>
      <c r="Q1193">
        <v>0.16</v>
      </c>
      <c r="R1193">
        <v>0.18</v>
      </c>
      <c r="S1193" cm="1">
        <f t="array" ref="S1193">IFERROR(_xlfn.SWITCH(L1193,1,_xlfn.XLOOKUP(O1193,[1]AttributeName!$B:$B,[1]AttributeName!$D:$D),2,_xlfn.XLOOKUP(C1193,#REF!,#REF!),3,_xlfn.XLOOKUP(C1193,#REF!,#REF!)),0)</f>
        <v>0</v>
      </c>
      <c r="T1193" cm="1">
        <f t="array" ref="T1193">IFERROR(_xlfn.SWITCH(L1193,1,_xlfn.XLOOKUP(O1193,[1]AttributeName!$B:$B,[1]AttributeName!$E:$E),2,_xlfn.XLOOKUP(C1193,#REF!,#REF!),3,_xlfn.XLOOKUP(C1193,#REF!,#REF!)),0)</f>
        <v>0</v>
      </c>
    </row>
    <row r="1194" customFormat="1" spans="1:20">
      <c r="A1194">
        <f t="shared" si="52"/>
        <v>505</v>
      </c>
      <c r="B1194">
        <v>5</v>
      </c>
      <c r="C1194" t="s">
        <v>382</v>
      </c>
      <c r="D1194" t="s">
        <v>28</v>
      </c>
      <c r="E1194" t="s">
        <v>378</v>
      </c>
      <c r="F1194"/>
      <c r="G1194">
        <v>1</v>
      </c>
      <c r="H1194">
        <v>1000</v>
      </c>
      <c r="I1194">
        <v>1</v>
      </c>
      <c r="J1194" cm="1">
        <f t="array" ref="J1194">_xlfn.SWITCH(B1194,1,75,2,61,3,49,4,37,5,25,6,13,7,4,8,1)</f>
        <v>25</v>
      </c>
      <c r="K1194" t="str" cm="1">
        <f t="array" ref="K1194">IFERROR(_xlfn.SWITCH(L1194,2,_xlfn.XLOOKUP(C1194,[1]ModifierDes!$B:$B,[1]ModifierDes!$C:$C),3,_xlfn.XLOOKUP(C1194,[1]StuntDes!$B:$B,[1]StuntDes!$C:$C)),"")</f>
        <v>混沌伤害倍率增加{0}</v>
      </c>
      <c r="L1194">
        <f t="shared" si="51"/>
        <v>2</v>
      </c>
      <c r="M1194" s="10" t="str">
        <f>IFERROR(_xlfn.XLOOKUP(C1194,[1]StuntDes!$B:$B,[1]StuntDes!$A:$A),"")</f>
        <v/>
      </c>
      <c r="N1194" s="10">
        <f>IFERROR(_xlfn.XLOOKUP(C1194,[1]ModifierDes!$B:$B,[1]ModifierDes!$A:$A),"")</f>
        <v>10052</v>
      </c>
      <c r="O1194" s="10" t="str">
        <f>IFERROR(_xlfn.XLOOKUP(C1194,[1]AttributeName!$C:$C,[1]AttributeName!$B:$B),"")</f>
        <v/>
      </c>
      <c r="P1194" s="10"/>
      <c r="Q1194">
        <v>0.13</v>
      </c>
      <c r="R1194">
        <v>0.15</v>
      </c>
      <c r="S1194" cm="1">
        <f t="array" ref="S1194">IFERROR(_xlfn.SWITCH(L1194,1,_xlfn.XLOOKUP(O1194,[1]AttributeName!$B:$B,[1]AttributeName!$D:$D),2,_xlfn.XLOOKUP(C1194,#REF!,#REF!),3,_xlfn.XLOOKUP(C1194,#REF!,#REF!)),0)</f>
        <v>0</v>
      </c>
      <c r="T1194" cm="1">
        <f t="array" ref="T1194">IFERROR(_xlfn.SWITCH(L1194,1,_xlfn.XLOOKUP(O1194,[1]AttributeName!$B:$B,[1]AttributeName!$E:$E),2,_xlfn.XLOOKUP(C1194,#REF!,#REF!),3,_xlfn.XLOOKUP(C1194,#REF!,#REF!)),0)</f>
        <v>0</v>
      </c>
    </row>
    <row r="1195" customFormat="1" spans="1:20">
      <c r="A1195">
        <f t="shared" si="52"/>
        <v>505</v>
      </c>
      <c r="B1195">
        <v>6</v>
      </c>
      <c r="C1195" t="s">
        <v>382</v>
      </c>
      <c r="D1195" t="s">
        <v>28</v>
      </c>
      <c r="E1195" t="s">
        <v>378</v>
      </c>
      <c r="F1195"/>
      <c r="G1195">
        <v>1</v>
      </c>
      <c r="H1195">
        <v>1000</v>
      </c>
      <c r="I1195">
        <v>1</v>
      </c>
      <c r="J1195" cm="1">
        <f t="array" ref="J1195">_xlfn.SWITCH(B1195,1,75,2,61,3,49,4,37,5,25,6,13,7,4,8,1)</f>
        <v>13</v>
      </c>
      <c r="K1195" t="str" cm="1">
        <f t="array" ref="K1195">IFERROR(_xlfn.SWITCH(L1195,2,_xlfn.XLOOKUP(C1195,[1]ModifierDes!$B:$B,[1]ModifierDes!$C:$C),3,_xlfn.XLOOKUP(C1195,[1]StuntDes!$B:$B,[1]StuntDes!$C:$C)),"")</f>
        <v>混沌伤害倍率增加{0}</v>
      </c>
      <c r="L1195">
        <f t="shared" si="51"/>
        <v>2</v>
      </c>
      <c r="M1195" s="10" t="str">
        <f>IFERROR(_xlfn.XLOOKUP(C1195,[1]StuntDes!$B:$B,[1]StuntDes!$A:$A),"")</f>
        <v/>
      </c>
      <c r="N1195" s="10">
        <f>IFERROR(_xlfn.XLOOKUP(C1195,[1]ModifierDes!$B:$B,[1]ModifierDes!$A:$A),"")</f>
        <v>10052</v>
      </c>
      <c r="O1195" s="10" t="str">
        <f>IFERROR(_xlfn.XLOOKUP(C1195,[1]AttributeName!$C:$C,[1]AttributeName!$B:$B),"")</f>
        <v/>
      </c>
      <c r="P1195" s="10"/>
      <c r="Q1195">
        <v>0.1</v>
      </c>
      <c r="R1195">
        <v>0.12</v>
      </c>
      <c r="S1195" cm="1">
        <f t="array" ref="S1195">IFERROR(_xlfn.SWITCH(L1195,1,_xlfn.XLOOKUP(O1195,[1]AttributeName!$B:$B,[1]AttributeName!$D:$D),2,_xlfn.XLOOKUP(C1195,#REF!,#REF!),3,_xlfn.XLOOKUP(C1195,#REF!,#REF!)),0)</f>
        <v>0</v>
      </c>
      <c r="T1195" cm="1">
        <f t="array" ref="T1195">IFERROR(_xlfn.SWITCH(L1195,1,_xlfn.XLOOKUP(O1195,[1]AttributeName!$B:$B,[1]AttributeName!$E:$E),2,_xlfn.XLOOKUP(C1195,#REF!,#REF!),3,_xlfn.XLOOKUP(C1195,#REF!,#REF!)),0)</f>
        <v>0</v>
      </c>
    </row>
    <row r="1196" customFormat="1" spans="1:20">
      <c r="A1196">
        <f t="shared" si="52"/>
        <v>505</v>
      </c>
      <c r="B1196">
        <v>7</v>
      </c>
      <c r="C1196" t="s">
        <v>382</v>
      </c>
      <c r="D1196" t="s">
        <v>28</v>
      </c>
      <c r="E1196" t="s">
        <v>378</v>
      </c>
      <c r="F1196"/>
      <c r="G1196">
        <v>1</v>
      </c>
      <c r="H1196">
        <v>1000</v>
      </c>
      <c r="I1196">
        <v>1</v>
      </c>
      <c r="J1196" cm="1">
        <f t="array" ref="J1196">_xlfn.SWITCH(B1196,1,75,2,61,3,49,4,37,5,25,6,13,7,4,8,1)</f>
        <v>4</v>
      </c>
      <c r="K1196" t="str" cm="1">
        <f t="array" ref="K1196">IFERROR(_xlfn.SWITCH(L1196,2,_xlfn.XLOOKUP(C1196,[1]ModifierDes!$B:$B,[1]ModifierDes!$C:$C),3,_xlfn.XLOOKUP(C1196,[1]StuntDes!$B:$B,[1]StuntDes!$C:$C)),"")</f>
        <v>混沌伤害倍率增加{0}</v>
      </c>
      <c r="L1196">
        <f t="shared" si="51"/>
        <v>2</v>
      </c>
      <c r="M1196" s="10" t="str">
        <f>IFERROR(_xlfn.XLOOKUP(C1196,[1]StuntDes!$B:$B,[1]StuntDes!$A:$A),"")</f>
        <v/>
      </c>
      <c r="N1196" s="10">
        <f>IFERROR(_xlfn.XLOOKUP(C1196,[1]ModifierDes!$B:$B,[1]ModifierDes!$A:$A),"")</f>
        <v>10052</v>
      </c>
      <c r="O1196" s="10" t="str">
        <f>IFERROR(_xlfn.XLOOKUP(C1196,[1]AttributeName!$C:$C,[1]AttributeName!$B:$B),"")</f>
        <v/>
      </c>
      <c r="P1196" s="10"/>
      <c r="Q1196">
        <v>0.07</v>
      </c>
      <c r="R1196">
        <v>0.09</v>
      </c>
      <c r="S1196" cm="1">
        <f t="array" ref="S1196">IFERROR(_xlfn.SWITCH(L1196,1,_xlfn.XLOOKUP(O1196,[1]AttributeName!$B:$B,[1]AttributeName!$D:$D),2,_xlfn.XLOOKUP(C1196,#REF!,#REF!),3,_xlfn.XLOOKUP(C1196,#REF!,#REF!)),0)</f>
        <v>0</v>
      </c>
      <c r="T1196" cm="1">
        <f t="array" ref="T1196">IFERROR(_xlfn.SWITCH(L1196,1,_xlfn.XLOOKUP(O1196,[1]AttributeName!$B:$B,[1]AttributeName!$E:$E),2,_xlfn.XLOOKUP(C1196,#REF!,#REF!),3,_xlfn.XLOOKUP(C1196,#REF!,#REF!)),0)</f>
        <v>0</v>
      </c>
    </row>
    <row r="1197" customFormat="1" spans="1:20">
      <c r="A1197">
        <f t="shared" si="52"/>
        <v>505</v>
      </c>
      <c r="B1197">
        <v>8</v>
      </c>
      <c r="C1197" t="s">
        <v>382</v>
      </c>
      <c r="D1197" t="s">
        <v>28</v>
      </c>
      <c r="E1197" t="s">
        <v>378</v>
      </c>
      <c r="F1197"/>
      <c r="G1197">
        <v>1</v>
      </c>
      <c r="H1197">
        <v>1000</v>
      </c>
      <c r="I1197">
        <v>1</v>
      </c>
      <c r="J1197" cm="1">
        <f t="array" ref="J1197">_xlfn.SWITCH(B1197,1,75,2,61,3,49,4,37,5,25,6,13,7,4,8,1)</f>
        <v>1</v>
      </c>
      <c r="K1197" t="str" cm="1">
        <f t="array" ref="K1197">IFERROR(_xlfn.SWITCH(L1197,2,_xlfn.XLOOKUP(C1197,[1]ModifierDes!$B:$B,[1]ModifierDes!$C:$C),3,_xlfn.XLOOKUP(C1197,[1]StuntDes!$B:$B,[1]StuntDes!$C:$C)),"")</f>
        <v>混沌伤害倍率增加{0}</v>
      </c>
      <c r="L1197">
        <f t="shared" si="51"/>
        <v>2</v>
      </c>
      <c r="M1197" s="10" t="str">
        <f>IFERROR(_xlfn.XLOOKUP(C1197,[1]StuntDes!$B:$B,[1]StuntDes!$A:$A),"")</f>
        <v/>
      </c>
      <c r="N1197" s="10">
        <f>IFERROR(_xlfn.XLOOKUP(C1197,[1]ModifierDes!$B:$B,[1]ModifierDes!$A:$A),"")</f>
        <v>10052</v>
      </c>
      <c r="O1197" s="10" t="str">
        <f>IFERROR(_xlfn.XLOOKUP(C1197,[1]AttributeName!$C:$C,[1]AttributeName!$B:$B),"")</f>
        <v/>
      </c>
      <c r="P1197" s="10"/>
      <c r="Q1197">
        <v>0.04</v>
      </c>
      <c r="R1197">
        <v>0.07</v>
      </c>
      <c r="S1197" cm="1">
        <f t="array" ref="S1197">IFERROR(_xlfn.SWITCH(L1197,1,_xlfn.XLOOKUP(O1197,[1]AttributeName!$B:$B,[1]AttributeName!$D:$D),2,_xlfn.XLOOKUP(C1197,#REF!,#REF!),3,_xlfn.XLOOKUP(C1197,#REF!,#REF!)),0)</f>
        <v>0</v>
      </c>
      <c r="T1197" cm="1">
        <f t="array" ref="T1197">IFERROR(_xlfn.SWITCH(L1197,1,_xlfn.XLOOKUP(O1197,[1]AttributeName!$B:$B,[1]AttributeName!$E:$E),2,_xlfn.XLOOKUP(C1197,#REF!,#REF!),3,_xlfn.XLOOKUP(C1197,#REF!,#REF!)),0)</f>
        <v>0</v>
      </c>
    </row>
    <row r="1198" customFormat="1" spans="1:20">
      <c r="A1198">
        <f t="shared" si="52"/>
        <v>506</v>
      </c>
      <c r="B1198">
        <v>1</v>
      </c>
      <c r="C1198" t="s">
        <v>384</v>
      </c>
      <c r="D1198" t="s">
        <v>28</v>
      </c>
      <c r="E1198" t="s">
        <v>378</v>
      </c>
      <c r="F1198"/>
      <c r="G1198">
        <v>1</v>
      </c>
      <c r="H1198">
        <v>100</v>
      </c>
      <c r="I1198">
        <v>3</v>
      </c>
      <c r="J1198" cm="1">
        <f t="array" ref="J1198">_xlfn.SWITCH(B1198,1,75,2,61,3,49,4,37,5,25,6,13,7,4,8,1)</f>
        <v>75</v>
      </c>
      <c r="K1198" t="str" cm="1">
        <f t="array" ref="K1198">IFERROR(_xlfn.SWITCH(L1198,2,_xlfn.XLOOKUP(C1198,[1]ModifierDes!$B:$B,[1]ModifierDes!$C:$C),3,_xlfn.XLOOKUP(C1198,[1]StuntDes!$B:$B,[1]StuntDes!$C:$C)),"")</f>
        <v/>
      </c>
      <c r="L1198">
        <f t="shared" si="51"/>
        <v>1</v>
      </c>
      <c r="M1198" s="10" t="str">
        <f>IFERROR(_xlfn.XLOOKUP(C1198,[1]StuntDes!$B:$B,[1]StuntDes!$A:$A),"")</f>
        <v/>
      </c>
      <c r="N1198" s="10" t="str">
        <f>IFERROR(_xlfn.XLOOKUP(C1198,[1]ModifierDes!$B:$B,[1]ModifierDes!$A:$A),"")</f>
        <v/>
      </c>
      <c r="O1198" s="10">
        <f>IFERROR(_xlfn.XLOOKUP(C1198,[1]AttributeName!$C:$C,[1]AttributeName!$B:$B),"")</f>
        <v>10303</v>
      </c>
      <c r="P1198" s="10"/>
      <c r="Q1198">
        <v>0.38</v>
      </c>
      <c r="R1198">
        <v>0.5</v>
      </c>
      <c r="S1198" cm="1">
        <f t="array" ref="S1198">IFERROR(_xlfn.SWITCH(L1198,1,_xlfn.XLOOKUP(O1198,[1]AttributeName!$B:$B,[1]AttributeName!$D:$D),2,_xlfn.XLOOKUP(C1198,#REF!,#REF!),3,_xlfn.XLOOKUP(C1198,#REF!,#REF!)),0)</f>
        <v>2</v>
      </c>
      <c r="T1198" cm="1">
        <f t="array" ref="T1198">IFERROR(_xlfn.SWITCH(L1198,1,_xlfn.XLOOKUP(O1198,[1]AttributeName!$B:$B,[1]AttributeName!$E:$E),2,_xlfn.XLOOKUP(C1198,#REF!,#REF!),3,_xlfn.XLOOKUP(C1198,#REF!,#REF!)),0)</f>
        <v>2</v>
      </c>
    </row>
    <row r="1199" customFormat="1" spans="1:20">
      <c r="A1199">
        <f t="shared" si="52"/>
        <v>506</v>
      </c>
      <c r="B1199">
        <v>2</v>
      </c>
      <c r="C1199" t="s">
        <v>384</v>
      </c>
      <c r="D1199" t="s">
        <v>28</v>
      </c>
      <c r="E1199" t="s">
        <v>378</v>
      </c>
      <c r="F1199"/>
      <c r="G1199">
        <v>1</v>
      </c>
      <c r="H1199">
        <v>200</v>
      </c>
      <c r="I1199">
        <v>3</v>
      </c>
      <c r="J1199" cm="1">
        <f t="array" ref="J1199">_xlfn.SWITCH(B1199,1,75,2,61,3,49,4,37,5,25,6,13,7,4,8,1)</f>
        <v>61</v>
      </c>
      <c r="K1199" t="str" cm="1">
        <f t="array" ref="K1199">IFERROR(_xlfn.SWITCH(L1199,2,_xlfn.XLOOKUP(C1199,[1]ModifierDes!$B:$B,[1]ModifierDes!$C:$C),3,_xlfn.XLOOKUP(C1199,[1]StuntDes!$B:$B,[1]StuntDes!$C:$C)),"")</f>
        <v/>
      </c>
      <c r="L1199">
        <f t="shared" si="51"/>
        <v>1</v>
      </c>
      <c r="M1199" s="10" t="str">
        <f>IFERROR(_xlfn.XLOOKUP(C1199,[1]StuntDes!$B:$B,[1]StuntDes!$A:$A),"")</f>
        <v/>
      </c>
      <c r="N1199" s="10" t="str">
        <f>IFERROR(_xlfn.XLOOKUP(C1199,[1]ModifierDes!$B:$B,[1]ModifierDes!$A:$A),"")</f>
        <v/>
      </c>
      <c r="O1199" s="10">
        <f>IFERROR(_xlfn.XLOOKUP(C1199,[1]AttributeName!$C:$C,[1]AttributeName!$B:$B),"")</f>
        <v>10303</v>
      </c>
      <c r="P1199" s="10"/>
      <c r="Q1199">
        <v>0.33</v>
      </c>
      <c r="R1199">
        <v>0.37</v>
      </c>
      <c r="S1199" cm="1">
        <f t="array" ref="S1199">IFERROR(_xlfn.SWITCH(L1199,1,_xlfn.XLOOKUP(O1199,[1]AttributeName!$B:$B,[1]AttributeName!$D:$D),2,_xlfn.XLOOKUP(C1199,#REF!,#REF!),3,_xlfn.XLOOKUP(C1199,#REF!,#REF!)),0)</f>
        <v>2</v>
      </c>
      <c r="T1199" cm="1">
        <f t="array" ref="T1199">IFERROR(_xlfn.SWITCH(L1199,1,_xlfn.XLOOKUP(O1199,[1]AttributeName!$B:$B,[1]AttributeName!$E:$E),2,_xlfn.XLOOKUP(C1199,#REF!,#REF!),3,_xlfn.XLOOKUP(C1199,#REF!,#REF!)),0)</f>
        <v>2</v>
      </c>
    </row>
    <row r="1200" customFormat="1" spans="1:20">
      <c r="A1200">
        <f t="shared" si="52"/>
        <v>506</v>
      </c>
      <c r="B1200">
        <v>3</v>
      </c>
      <c r="C1200" t="s">
        <v>384</v>
      </c>
      <c r="D1200" t="s">
        <v>28</v>
      </c>
      <c r="E1200" t="s">
        <v>378</v>
      </c>
      <c r="F1200"/>
      <c r="G1200">
        <v>1</v>
      </c>
      <c r="H1200">
        <v>500</v>
      </c>
      <c r="I1200">
        <v>3</v>
      </c>
      <c r="J1200" cm="1">
        <f t="array" ref="J1200">_xlfn.SWITCH(B1200,1,75,2,61,3,49,4,37,5,25,6,13,7,4,8,1)</f>
        <v>49</v>
      </c>
      <c r="K1200" t="str" cm="1">
        <f t="array" ref="K1200">IFERROR(_xlfn.SWITCH(L1200,2,_xlfn.XLOOKUP(C1200,[1]ModifierDes!$B:$B,[1]ModifierDes!$C:$C),3,_xlfn.XLOOKUP(C1200,[1]StuntDes!$B:$B,[1]StuntDes!$C:$C)),"")</f>
        <v/>
      </c>
      <c r="L1200">
        <f t="shared" si="51"/>
        <v>1</v>
      </c>
      <c r="M1200" s="10" t="str">
        <f>IFERROR(_xlfn.XLOOKUP(C1200,[1]StuntDes!$B:$B,[1]StuntDes!$A:$A),"")</f>
        <v/>
      </c>
      <c r="N1200" s="10" t="str">
        <f>IFERROR(_xlfn.XLOOKUP(C1200,[1]ModifierDes!$B:$B,[1]ModifierDes!$A:$A),"")</f>
        <v/>
      </c>
      <c r="O1200" s="10">
        <f>IFERROR(_xlfn.XLOOKUP(C1200,[1]AttributeName!$C:$C,[1]AttributeName!$B:$B),"")</f>
        <v>10303</v>
      </c>
      <c r="P1200" s="10"/>
      <c r="Q1200">
        <v>0.29</v>
      </c>
      <c r="R1200">
        <v>0.32</v>
      </c>
      <c r="S1200" cm="1">
        <f t="array" ref="S1200">IFERROR(_xlfn.SWITCH(L1200,1,_xlfn.XLOOKUP(O1200,[1]AttributeName!$B:$B,[1]AttributeName!$D:$D),2,_xlfn.XLOOKUP(C1200,#REF!,#REF!),3,_xlfn.XLOOKUP(C1200,#REF!,#REF!)),0)</f>
        <v>2</v>
      </c>
      <c r="T1200" cm="1">
        <f t="array" ref="T1200">IFERROR(_xlfn.SWITCH(L1200,1,_xlfn.XLOOKUP(O1200,[1]AttributeName!$B:$B,[1]AttributeName!$E:$E),2,_xlfn.XLOOKUP(C1200,#REF!,#REF!),3,_xlfn.XLOOKUP(C1200,#REF!,#REF!)),0)</f>
        <v>2</v>
      </c>
    </row>
    <row r="1201" customFormat="1" spans="1:20">
      <c r="A1201">
        <f t="shared" si="52"/>
        <v>506</v>
      </c>
      <c r="B1201">
        <v>4</v>
      </c>
      <c r="C1201" t="s">
        <v>384</v>
      </c>
      <c r="D1201" t="s">
        <v>28</v>
      </c>
      <c r="E1201" t="s">
        <v>378</v>
      </c>
      <c r="F1201"/>
      <c r="G1201">
        <v>1</v>
      </c>
      <c r="H1201">
        <v>1000</v>
      </c>
      <c r="I1201">
        <v>3</v>
      </c>
      <c r="J1201" cm="1">
        <f t="array" ref="J1201">_xlfn.SWITCH(B1201,1,75,2,61,3,49,4,37,5,25,6,13,7,4,8,1)</f>
        <v>37</v>
      </c>
      <c r="K1201" t="str" cm="1">
        <f t="array" ref="K1201">IFERROR(_xlfn.SWITCH(L1201,2,_xlfn.XLOOKUP(C1201,[1]ModifierDes!$B:$B,[1]ModifierDes!$C:$C),3,_xlfn.XLOOKUP(C1201,[1]StuntDes!$B:$B,[1]StuntDes!$C:$C)),"")</f>
        <v/>
      </c>
      <c r="L1201">
        <f t="shared" si="51"/>
        <v>1</v>
      </c>
      <c r="M1201" s="10" t="str">
        <f>IFERROR(_xlfn.XLOOKUP(C1201,[1]StuntDes!$B:$B,[1]StuntDes!$A:$A),"")</f>
        <v/>
      </c>
      <c r="N1201" s="10" t="str">
        <f>IFERROR(_xlfn.XLOOKUP(C1201,[1]ModifierDes!$B:$B,[1]ModifierDes!$A:$A),"")</f>
        <v/>
      </c>
      <c r="O1201" s="10">
        <f>IFERROR(_xlfn.XLOOKUP(C1201,[1]AttributeName!$C:$C,[1]AttributeName!$B:$B),"")</f>
        <v>10303</v>
      </c>
      <c r="P1201" s="10"/>
      <c r="Q1201">
        <v>0.24</v>
      </c>
      <c r="R1201">
        <v>0.28</v>
      </c>
      <c r="S1201" cm="1">
        <f t="array" ref="S1201">IFERROR(_xlfn.SWITCH(L1201,1,_xlfn.XLOOKUP(O1201,[1]AttributeName!$B:$B,[1]AttributeName!$D:$D),2,_xlfn.XLOOKUP(C1201,#REF!,#REF!),3,_xlfn.XLOOKUP(C1201,#REF!,#REF!)),0)</f>
        <v>2</v>
      </c>
      <c r="T1201" cm="1">
        <f t="array" ref="T1201">IFERROR(_xlfn.SWITCH(L1201,1,_xlfn.XLOOKUP(O1201,[1]AttributeName!$B:$B,[1]AttributeName!$E:$E),2,_xlfn.XLOOKUP(C1201,#REF!,#REF!),3,_xlfn.XLOOKUP(C1201,#REF!,#REF!)),0)</f>
        <v>2</v>
      </c>
    </row>
    <row r="1202" customFormat="1" spans="1:20">
      <c r="A1202">
        <f t="shared" si="52"/>
        <v>506</v>
      </c>
      <c r="B1202">
        <v>5</v>
      </c>
      <c r="C1202" t="s">
        <v>384</v>
      </c>
      <c r="D1202" t="s">
        <v>28</v>
      </c>
      <c r="E1202" t="s">
        <v>378</v>
      </c>
      <c r="F1202"/>
      <c r="G1202">
        <v>1</v>
      </c>
      <c r="H1202">
        <v>1000</v>
      </c>
      <c r="I1202">
        <v>3</v>
      </c>
      <c r="J1202" cm="1">
        <f t="array" ref="J1202">_xlfn.SWITCH(B1202,1,75,2,61,3,49,4,37,5,25,6,13,7,4,8,1)</f>
        <v>25</v>
      </c>
      <c r="K1202" t="str" cm="1">
        <f t="array" ref="K1202">IFERROR(_xlfn.SWITCH(L1202,2,_xlfn.XLOOKUP(C1202,[1]ModifierDes!$B:$B,[1]ModifierDes!$C:$C),3,_xlfn.XLOOKUP(C1202,[1]StuntDes!$B:$B,[1]StuntDes!$C:$C)),"")</f>
        <v/>
      </c>
      <c r="L1202">
        <f t="shared" si="51"/>
        <v>1</v>
      </c>
      <c r="M1202" s="10" t="str">
        <f>IFERROR(_xlfn.XLOOKUP(C1202,[1]StuntDes!$B:$B,[1]StuntDes!$A:$A),"")</f>
        <v/>
      </c>
      <c r="N1202" s="10" t="str">
        <f>IFERROR(_xlfn.XLOOKUP(C1202,[1]ModifierDes!$B:$B,[1]ModifierDes!$A:$A),"")</f>
        <v/>
      </c>
      <c r="O1202" s="10">
        <f>IFERROR(_xlfn.XLOOKUP(C1202,[1]AttributeName!$C:$C,[1]AttributeName!$B:$B),"")</f>
        <v>10303</v>
      </c>
      <c r="P1202" s="10"/>
      <c r="Q1202">
        <v>0.2</v>
      </c>
      <c r="R1202">
        <v>0.23</v>
      </c>
      <c r="S1202" cm="1">
        <f t="array" ref="S1202">IFERROR(_xlfn.SWITCH(L1202,1,_xlfn.XLOOKUP(O1202,[1]AttributeName!$B:$B,[1]AttributeName!$D:$D),2,_xlfn.XLOOKUP(C1202,#REF!,#REF!),3,_xlfn.XLOOKUP(C1202,#REF!,#REF!)),0)</f>
        <v>2</v>
      </c>
      <c r="T1202" cm="1">
        <f t="array" ref="T1202">IFERROR(_xlfn.SWITCH(L1202,1,_xlfn.XLOOKUP(O1202,[1]AttributeName!$B:$B,[1]AttributeName!$E:$E),2,_xlfn.XLOOKUP(C1202,#REF!,#REF!),3,_xlfn.XLOOKUP(C1202,#REF!,#REF!)),0)</f>
        <v>2</v>
      </c>
    </row>
    <row r="1203" customFormat="1" spans="1:20">
      <c r="A1203">
        <f t="shared" si="52"/>
        <v>506</v>
      </c>
      <c r="B1203">
        <v>6</v>
      </c>
      <c r="C1203" t="s">
        <v>384</v>
      </c>
      <c r="D1203" t="s">
        <v>28</v>
      </c>
      <c r="E1203" t="s">
        <v>378</v>
      </c>
      <c r="F1203"/>
      <c r="G1203">
        <v>1</v>
      </c>
      <c r="H1203">
        <v>1000</v>
      </c>
      <c r="I1203">
        <v>3</v>
      </c>
      <c r="J1203" cm="1">
        <f t="array" ref="J1203">_xlfn.SWITCH(B1203,1,75,2,61,3,49,4,37,5,25,6,13,7,4,8,1)</f>
        <v>13</v>
      </c>
      <c r="K1203" t="str" cm="1">
        <f t="array" ref="K1203">IFERROR(_xlfn.SWITCH(L1203,2,_xlfn.XLOOKUP(C1203,[1]ModifierDes!$B:$B,[1]ModifierDes!$C:$C),3,_xlfn.XLOOKUP(C1203,[1]StuntDes!$B:$B,[1]StuntDes!$C:$C)),"")</f>
        <v/>
      </c>
      <c r="L1203">
        <f t="shared" si="51"/>
        <v>1</v>
      </c>
      <c r="M1203" s="10" t="str">
        <f>IFERROR(_xlfn.XLOOKUP(C1203,[1]StuntDes!$B:$B,[1]StuntDes!$A:$A),"")</f>
        <v/>
      </c>
      <c r="N1203" s="10" t="str">
        <f>IFERROR(_xlfn.XLOOKUP(C1203,[1]ModifierDes!$B:$B,[1]ModifierDes!$A:$A),"")</f>
        <v/>
      </c>
      <c r="O1203" s="10">
        <f>IFERROR(_xlfn.XLOOKUP(C1203,[1]AttributeName!$C:$C,[1]AttributeName!$B:$B),"")</f>
        <v>10303</v>
      </c>
      <c r="P1203" s="10"/>
      <c r="Q1203">
        <v>0.15</v>
      </c>
      <c r="R1203">
        <v>0.19</v>
      </c>
      <c r="S1203" cm="1">
        <f t="array" ref="S1203">IFERROR(_xlfn.SWITCH(L1203,1,_xlfn.XLOOKUP(O1203,[1]AttributeName!$B:$B,[1]AttributeName!$D:$D),2,_xlfn.XLOOKUP(C1203,#REF!,#REF!),3,_xlfn.XLOOKUP(C1203,#REF!,#REF!)),0)</f>
        <v>2</v>
      </c>
      <c r="T1203" cm="1">
        <f t="array" ref="T1203">IFERROR(_xlfn.SWITCH(L1203,1,_xlfn.XLOOKUP(O1203,[1]AttributeName!$B:$B,[1]AttributeName!$E:$E),2,_xlfn.XLOOKUP(C1203,#REF!,#REF!),3,_xlfn.XLOOKUP(C1203,#REF!,#REF!)),0)</f>
        <v>2</v>
      </c>
    </row>
    <row r="1204" customFormat="1" spans="1:20">
      <c r="A1204">
        <f t="shared" si="52"/>
        <v>506</v>
      </c>
      <c r="B1204">
        <v>7</v>
      </c>
      <c r="C1204" t="s">
        <v>384</v>
      </c>
      <c r="D1204" t="s">
        <v>28</v>
      </c>
      <c r="E1204" t="s">
        <v>378</v>
      </c>
      <c r="F1204"/>
      <c r="G1204">
        <v>1</v>
      </c>
      <c r="H1204">
        <v>1000</v>
      </c>
      <c r="I1204">
        <v>3</v>
      </c>
      <c r="J1204" cm="1">
        <f t="array" ref="J1204">_xlfn.SWITCH(B1204,1,75,2,61,3,49,4,37,5,25,6,13,7,4,8,1)</f>
        <v>4</v>
      </c>
      <c r="K1204" t="str" cm="1">
        <f t="array" ref="K1204">IFERROR(_xlfn.SWITCH(L1204,2,_xlfn.XLOOKUP(C1204,[1]ModifierDes!$B:$B,[1]ModifierDes!$C:$C),3,_xlfn.XLOOKUP(C1204,[1]StuntDes!$B:$B,[1]StuntDes!$C:$C)),"")</f>
        <v/>
      </c>
      <c r="L1204">
        <f t="shared" si="51"/>
        <v>1</v>
      </c>
      <c r="M1204" s="10" t="str">
        <f>IFERROR(_xlfn.XLOOKUP(C1204,[1]StuntDes!$B:$B,[1]StuntDes!$A:$A),"")</f>
        <v/>
      </c>
      <c r="N1204" s="10" t="str">
        <f>IFERROR(_xlfn.XLOOKUP(C1204,[1]ModifierDes!$B:$B,[1]ModifierDes!$A:$A),"")</f>
        <v/>
      </c>
      <c r="O1204" s="10">
        <f>IFERROR(_xlfn.XLOOKUP(C1204,[1]AttributeName!$C:$C,[1]AttributeName!$B:$B),"")</f>
        <v>10303</v>
      </c>
      <c r="P1204" s="10"/>
      <c r="Q1204">
        <v>0.11</v>
      </c>
      <c r="R1204">
        <v>0.14</v>
      </c>
      <c r="S1204" cm="1">
        <f t="array" ref="S1204">IFERROR(_xlfn.SWITCH(L1204,1,_xlfn.XLOOKUP(O1204,[1]AttributeName!$B:$B,[1]AttributeName!$D:$D),2,_xlfn.XLOOKUP(C1204,#REF!,#REF!),3,_xlfn.XLOOKUP(C1204,#REF!,#REF!)),0)</f>
        <v>2</v>
      </c>
      <c r="T1204" cm="1">
        <f t="array" ref="T1204">IFERROR(_xlfn.SWITCH(L1204,1,_xlfn.XLOOKUP(O1204,[1]AttributeName!$B:$B,[1]AttributeName!$E:$E),2,_xlfn.XLOOKUP(C1204,#REF!,#REF!),3,_xlfn.XLOOKUP(C1204,#REF!,#REF!)),0)</f>
        <v>2</v>
      </c>
    </row>
    <row r="1205" customFormat="1" spans="1:20">
      <c r="A1205">
        <f t="shared" si="52"/>
        <v>506</v>
      </c>
      <c r="B1205">
        <v>8</v>
      </c>
      <c r="C1205" t="s">
        <v>384</v>
      </c>
      <c r="D1205" t="s">
        <v>28</v>
      </c>
      <c r="E1205" t="s">
        <v>378</v>
      </c>
      <c r="F1205"/>
      <c r="G1205">
        <v>1</v>
      </c>
      <c r="H1205">
        <v>1000</v>
      </c>
      <c r="I1205">
        <v>3</v>
      </c>
      <c r="J1205" cm="1">
        <f t="array" ref="J1205">_xlfn.SWITCH(B1205,1,75,2,61,3,49,4,37,5,25,6,13,7,4,8,1)</f>
        <v>1</v>
      </c>
      <c r="K1205" t="str" cm="1">
        <f t="array" ref="K1205">IFERROR(_xlfn.SWITCH(L1205,2,_xlfn.XLOOKUP(C1205,[1]ModifierDes!$B:$B,[1]ModifierDes!$C:$C),3,_xlfn.XLOOKUP(C1205,[1]StuntDes!$B:$B,[1]StuntDes!$C:$C)),"")</f>
        <v/>
      </c>
      <c r="L1205">
        <f t="shared" si="51"/>
        <v>1</v>
      </c>
      <c r="M1205" s="10" t="str">
        <f>IFERROR(_xlfn.XLOOKUP(C1205,[1]StuntDes!$B:$B,[1]StuntDes!$A:$A),"")</f>
        <v/>
      </c>
      <c r="N1205" s="10" t="str">
        <f>IFERROR(_xlfn.XLOOKUP(C1205,[1]ModifierDes!$B:$B,[1]ModifierDes!$A:$A),"")</f>
        <v/>
      </c>
      <c r="O1205" s="10">
        <f>IFERROR(_xlfn.XLOOKUP(C1205,[1]AttributeName!$C:$C,[1]AttributeName!$B:$B),"")</f>
        <v>10303</v>
      </c>
      <c r="P1205" s="10"/>
      <c r="Q1205">
        <v>0.06</v>
      </c>
      <c r="R1205">
        <v>0.1</v>
      </c>
      <c r="S1205" cm="1">
        <f t="array" ref="S1205">IFERROR(_xlfn.SWITCH(L1205,1,_xlfn.XLOOKUP(O1205,[1]AttributeName!$B:$B,[1]AttributeName!$D:$D),2,_xlfn.XLOOKUP(C1205,#REF!,#REF!),3,_xlfn.XLOOKUP(C1205,#REF!,#REF!)),0)</f>
        <v>2</v>
      </c>
      <c r="T1205" cm="1">
        <f t="array" ref="T1205">IFERROR(_xlfn.SWITCH(L1205,1,_xlfn.XLOOKUP(O1205,[1]AttributeName!$B:$B,[1]AttributeName!$E:$E),2,_xlfn.XLOOKUP(C1205,#REF!,#REF!),3,_xlfn.XLOOKUP(C1205,#REF!,#REF!)),0)</f>
        <v>2</v>
      </c>
    </row>
    <row r="1206" customFormat="1" spans="1:20">
      <c r="A1206">
        <f t="shared" si="52"/>
        <v>507</v>
      </c>
      <c r="B1206">
        <v>1</v>
      </c>
      <c r="C1206" t="s">
        <v>385</v>
      </c>
      <c r="D1206" t="s">
        <v>28</v>
      </c>
      <c r="E1206" t="s">
        <v>378</v>
      </c>
      <c r="F1206"/>
      <c r="G1206">
        <v>1</v>
      </c>
      <c r="H1206">
        <v>100</v>
      </c>
      <c r="I1206">
        <v>3</v>
      </c>
      <c r="J1206" cm="1">
        <f t="array" ref="J1206">_xlfn.SWITCH(B1206,1,75,2,61,3,49,4,37,5,25,6,13,7,4,8,1)</f>
        <v>75</v>
      </c>
      <c r="K1206" t="str" cm="1">
        <f t="array" ref="K1206">IFERROR(_xlfn.SWITCH(L1206,2,_xlfn.XLOOKUP(C1206,[1]ModifierDes!$B:$B,[1]ModifierDes!$C:$C),3,_xlfn.XLOOKUP(C1206,[1]StuntDes!$B:$B,[1]StuntDes!$C:$C)),"")</f>
        <v/>
      </c>
      <c r="L1206">
        <f t="shared" si="51"/>
        <v>1</v>
      </c>
      <c r="M1206" s="10" t="str">
        <f>IFERROR(_xlfn.XLOOKUP(C1206,[1]StuntDes!$B:$B,[1]StuntDes!$A:$A),"")</f>
        <v/>
      </c>
      <c r="N1206" s="10" t="str">
        <f>IFERROR(_xlfn.XLOOKUP(C1206,[1]ModifierDes!$B:$B,[1]ModifierDes!$A:$A),"")</f>
        <v/>
      </c>
      <c r="O1206" s="10">
        <f>IFERROR(_xlfn.XLOOKUP(C1206,[1]AttributeName!$C:$C,[1]AttributeName!$B:$B),"")</f>
        <v>10304</v>
      </c>
      <c r="P1206" s="10"/>
      <c r="Q1206">
        <v>0.38</v>
      </c>
      <c r="R1206">
        <v>0.5</v>
      </c>
      <c r="S1206" cm="1">
        <f t="array" ref="S1206">IFERROR(_xlfn.SWITCH(L1206,1,_xlfn.XLOOKUP(O1206,[1]AttributeName!$B:$B,[1]AttributeName!$D:$D),2,_xlfn.XLOOKUP(C1206,#REF!,#REF!),3,_xlfn.XLOOKUP(C1206,#REF!,#REF!)),0)</f>
        <v>2</v>
      </c>
      <c r="T1206" cm="1">
        <f t="array" ref="T1206">IFERROR(_xlfn.SWITCH(L1206,1,_xlfn.XLOOKUP(O1206,[1]AttributeName!$B:$B,[1]AttributeName!$E:$E),2,_xlfn.XLOOKUP(C1206,#REF!,#REF!),3,_xlfn.XLOOKUP(C1206,#REF!,#REF!)),0)</f>
        <v>2</v>
      </c>
    </row>
    <row r="1207" customFormat="1" spans="1:20">
      <c r="A1207">
        <f t="shared" si="52"/>
        <v>507</v>
      </c>
      <c r="B1207">
        <v>2</v>
      </c>
      <c r="C1207" t="s">
        <v>385</v>
      </c>
      <c r="D1207" t="s">
        <v>28</v>
      </c>
      <c r="E1207" t="s">
        <v>378</v>
      </c>
      <c r="F1207"/>
      <c r="G1207">
        <v>1</v>
      </c>
      <c r="H1207">
        <v>200</v>
      </c>
      <c r="I1207">
        <v>3</v>
      </c>
      <c r="J1207" cm="1">
        <f t="array" ref="J1207">_xlfn.SWITCH(B1207,1,75,2,61,3,49,4,37,5,25,6,13,7,4,8,1)</f>
        <v>61</v>
      </c>
      <c r="K1207" t="str" cm="1">
        <f t="array" ref="K1207">IFERROR(_xlfn.SWITCH(L1207,2,_xlfn.XLOOKUP(C1207,[1]ModifierDes!$B:$B,[1]ModifierDes!$C:$C),3,_xlfn.XLOOKUP(C1207,[1]StuntDes!$B:$B,[1]StuntDes!$C:$C)),"")</f>
        <v/>
      </c>
      <c r="L1207">
        <f t="shared" si="51"/>
        <v>1</v>
      </c>
      <c r="M1207" s="10" t="str">
        <f>IFERROR(_xlfn.XLOOKUP(C1207,[1]StuntDes!$B:$B,[1]StuntDes!$A:$A),"")</f>
        <v/>
      </c>
      <c r="N1207" s="10" t="str">
        <f>IFERROR(_xlfn.XLOOKUP(C1207,[1]ModifierDes!$B:$B,[1]ModifierDes!$A:$A),"")</f>
        <v/>
      </c>
      <c r="O1207" s="10">
        <f>IFERROR(_xlfn.XLOOKUP(C1207,[1]AttributeName!$C:$C,[1]AttributeName!$B:$B),"")</f>
        <v>10304</v>
      </c>
      <c r="P1207" s="10"/>
      <c r="Q1207">
        <v>0.33</v>
      </c>
      <c r="R1207">
        <v>0.37</v>
      </c>
      <c r="S1207" cm="1">
        <f t="array" ref="S1207">IFERROR(_xlfn.SWITCH(L1207,1,_xlfn.XLOOKUP(O1207,[1]AttributeName!$B:$B,[1]AttributeName!$D:$D),2,_xlfn.XLOOKUP(C1207,#REF!,#REF!),3,_xlfn.XLOOKUP(C1207,#REF!,#REF!)),0)</f>
        <v>2</v>
      </c>
      <c r="T1207" cm="1">
        <f t="array" ref="T1207">IFERROR(_xlfn.SWITCH(L1207,1,_xlfn.XLOOKUP(O1207,[1]AttributeName!$B:$B,[1]AttributeName!$E:$E),2,_xlfn.XLOOKUP(C1207,#REF!,#REF!),3,_xlfn.XLOOKUP(C1207,#REF!,#REF!)),0)</f>
        <v>2</v>
      </c>
    </row>
    <row r="1208" customFormat="1" spans="1:20">
      <c r="A1208">
        <f t="shared" si="52"/>
        <v>507</v>
      </c>
      <c r="B1208">
        <v>3</v>
      </c>
      <c r="C1208" t="s">
        <v>385</v>
      </c>
      <c r="D1208" t="s">
        <v>28</v>
      </c>
      <c r="E1208" t="s">
        <v>378</v>
      </c>
      <c r="F1208"/>
      <c r="G1208">
        <v>1</v>
      </c>
      <c r="H1208">
        <v>500</v>
      </c>
      <c r="I1208">
        <v>3</v>
      </c>
      <c r="J1208" cm="1">
        <f t="array" ref="J1208">_xlfn.SWITCH(B1208,1,75,2,61,3,49,4,37,5,25,6,13,7,4,8,1)</f>
        <v>49</v>
      </c>
      <c r="K1208" t="str" cm="1">
        <f t="array" ref="K1208">IFERROR(_xlfn.SWITCH(L1208,2,_xlfn.XLOOKUP(C1208,[1]ModifierDes!$B:$B,[1]ModifierDes!$C:$C),3,_xlfn.XLOOKUP(C1208,[1]StuntDes!$B:$B,[1]StuntDes!$C:$C)),"")</f>
        <v/>
      </c>
      <c r="L1208">
        <f t="shared" si="51"/>
        <v>1</v>
      </c>
      <c r="M1208" s="10" t="str">
        <f>IFERROR(_xlfn.XLOOKUP(C1208,[1]StuntDes!$B:$B,[1]StuntDes!$A:$A),"")</f>
        <v/>
      </c>
      <c r="N1208" s="10" t="str">
        <f>IFERROR(_xlfn.XLOOKUP(C1208,[1]ModifierDes!$B:$B,[1]ModifierDes!$A:$A),"")</f>
        <v/>
      </c>
      <c r="O1208" s="10">
        <f>IFERROR(_xlfn.XLOOKUP(C1208,[1]AttributeName!$C:$C,[1]AttributeName!$B:$B),"")</f>
        <v>10304</v>
      </c>
      <c r="P1208" s="10"/>
      <c r="Q1208">
        <v>0.29</v>
      </c>
      <c r="R1208">
        <v>0.32</v>
      </c>
      <c r="S1208" cm="1">
        <f t="array" ref="S1208">IFERROR(_xlfn.SWITCH(L1208,1,_xlfn.XLOOKUP(O1208,[1]AttributeName!$B:$B,[1]AttributeName!$D:$D),2,_xlfn.XLOOKUP(C1208,#REF!,#REF!),3,_xlfn.XLOOKUP(C1208,#REF!,#REF!)),0)</f>
        <v>2</v>
      </c>
      <c r="T1208" cm="1">
        <f t="array" ref="T1208">IFERROR(_xlfn.SWITCH(L1208,1,_xlfn.XLOOKUP(O1208,[1]AttributeName!$B:$B,[1]AttributeName!$E:$E),2,_xlfn.XLOOKUP(C1208,#REF!,#REF!),3,_xlfn.XLOOKUP(C1208,#REF!,#REF!)),0)</f>
        <v>2</v>
      </c>
    </row>
    <row r="1209" customFormat="1" spans="1:20">
      <c r="A1209">
        <f t="shared" si="52"/>
        <v>507</v>
      </c>
      <c r="B1209">
        <v>4</v>
      </c>
      <c r="C1209" t="s">
        <v>385</v>
      </c>
      <c r="D1209" t="s">
        <v>28</v>
      </c>
      <c r="E1209" t="s">
        <v>378</v>
      </c>
      <c r="F1209"/>
      <c r="G1209">
        <v>1</v>
      </c>
      <c r="H1209">
        <v>1000</v>
      </c>
      <c r="I1209">
        <v>3</v>
      </c>
      <c r="J1209" cm="1">
        <f t="array" ref="J1209">_xlfn.SWITCH(B1209,1,75,2,61,3,49,4,37,5,25,6,13,7,4,8,1)</f>
        <v>37</v>
      </c>
      <c r="K1209" t="str" cm="1">
        <f t="array" ref="K1209">IFERROR(_xlfn.SWITCH(L1209,2,_xlfn.XLOOKUP(C1209,[1]ModifierDes!$B:$B,[1]ModifierDes!$C:$C),3,_xlfn.XLOOKUP(C1209,[1]StuntDes!$B:$B,[1]StuntDes!$C:$C)),"")</f>
        <v/>
      </c>
      <c r="L1209">
        <f t="shared" si="51"/>
        <v>1</v>
      </c>
      <c r="M1209" s="10" t="str">
        <f>IFERROR(_xlfn.XLOOKUP(C1209,[1]StuntDes!$B:$B,[1]StuntDes!$A:$A),"")</f>
        <v/>
      </c>
      <c r="N1209" s="10" t="str">
        <f>IFERROR(_xlfn.XLOOKUP(C1209,[1]ModifierDes!$B:$B,[1]ModifierDes!$A:$A),"")</f>
        <v/>
      </c>
      <c r="O1209" s="10">
        <f>IFERROR(_xlfn.XLOOKUP(C1209,[1]AttributeName!$C:$C,[1]AttributeName!$B:$B),"")</f>
        <v>10304</v>
      </c>
      <c r="P1209" s="10"/>
      <c r="Q1209">
        <v>0.24</v>
      </c>
      <c r="R1209">
        <v>0.28</v>
      </c>
      <c r="S1209" cm="1">
        <f t="array" ref="S1209">IFERROR(_xlfn.SWITCH(L1209,1,_xlfn.XLOOKUP(O1209,[1]AttributeName!$B:$B,[1]AttributeName!$D:$D),2,_xlfn.XLOOKUP(C1209,#REF!,#REF!),3,_xlfn.XLOOKUP(C1209,#REF!,#REF!)),0)</f>
        <v>2</v>
      </c>
      <c r="T1209" cm="1">
        <f t="array" ref="T1209">IFERROR(_xlfn.SWITCH(L1209,1,_xlfn.XLOOKUP(O1209,[1]AttributeName!$B:$B,[1]AttributeName!$E:$E),2,_xlfn.XLOOKUP(C1209,#REF!,#REF!),3,_xlfn.XLOOKUP(C1209,#REF!,#REF!)),0)</f>
        <v>2</v>
      </c>
    </row>
    <row r="1210" customFormat="1" spans="1:20">
      <c r="A1210">
        <f t="shared" si="52"/>
        <v>507</v>
      </c>
      <c r="B1210">
        <v>5</v>
      </c>
      <c r="C1210" t="s">
        <v>385</v>
      </c>
      <c r="D1210" t="s">
        <v>28</v>
      </c>
      <c r="E1210" t="s">
        <v>378</v>
      </c>
      <c r="F1210"/>
      <c r="G1210">
        <v>1</v>
      </c>
      <c r="H1210">
        <v>1000</v>
      </c>
      <c r="I1210">
        <v>3</v>
      </c>
      <c r="J1210" cm="1">
        <f t="array" ref="J1210">_xlfn.SWITCH(B1210,1,75,2,61,3,49,4,37,5,25,6,13,7,4,8,1)</f>
        <v>25</v>
      </c>
      <c r="K1210" t="str" cm="1">
        <f t="array" ref="K1210">IFERROR(_xlfn.SWITCH(L1210,2,_xlfn.XLOOKUP(C1210,[1]ModifierDes!$B:$B,[1]ModifierDes!$C:$C),3,_xlfn.XLOOKUP(C1210,[1]StuntDes!$B:$B,[1]StuntDes!$C:$C)),"")</f>
        <v/>
      </c>
      <c r="L1210">
        <f t="shared" si="51"/>
        <v>1</v>
      </c>
      <c r="M1210" s="10" t="str">
        <f>IFERROR(_xlfn.XLOOKUP(C1210,[1]StuntDes!$B:$B,[1]StuntDes!$A:$A),"")</f>
        <v/>
      </c>
      <c r="N1210" s="10" t="str">
        <f>IFERROR(_xlfn.XLOOKUP(C1210,[1]ModifierDes!$B:$B,[1]ModifierDes!$A:$A),"")</f>
        <v/>
      </c>
      <c r="O1210" s="10">
        <f>IFERROR(_xlfn.XLOOKUP(C1210,[1]AttributeName!$C:$C,[1]AttributeName!$B:$B),"")</f>
        <v>10304</v>
      </c>
      <c r="P1210" s="10"/>
      <c r="Q1210">
        <v>0.2</v>
      </c>
      <c r="R1210">
        <v>0.23</v>
      </c>
      <c r="S1210" cm="1">
        <f t="array" ref="S1210">IFERROR(_xlfn.SWITCH(L1210,1,_xlfn.XLOOKUP(O1210,[1]AttributeName!$B:$B,[1]AttributeName!$D:$D),2,_xlfn.XLOOKUP(C1210,#REF!,#REF!),3,_xlfn.XLOOKUP(C1210,#REF!,#REF!)),0)</f>
        <v>2</v>
      </c>
      <c r="T1210" cm="1">
        <f t="array" ref="T1210">IFERROR(_xlfn.SWITCH(L1210,1,_xlfn.XLOOKUP(O1210,[1]AttributeName!$B:$B,[1]AttributeName!$E:$E),2,_xlfn.XLOOKUP(C1210,#REF!,#REF!),3,_xlfn.XLOOKUP(C1210,#REF!,#REF!)),0)</f>
        <v>2</v>
      </c>
    </row>
    <row r="1211" customFormat="1" spans="1:20">
      <c r="A1211">
        <f t="shared" si="52"/>
        <v>507</v>
      </c>
      <c r="B1211">
        <v>6</v>
      </c>
      <c r="C1211" t="s">
        <v>385</v>
      </c>
      <c r="D1211" t="s">
        <v>28</v>
      </c>
      <c r="E1211" t="s">
        <v>378</v>
      </c>
      <c r="F1211"/>
      <c r="G1211">
        <v>1</v>
      </c>
      <c r="H1211">
        <v>1000</v>
      </c>
      <c r="I1211">
        <v>3</v>
      </c>
      <c r="J1211" cm="1">
        <f t="array" ref="J1211">_xlfn.SWITCH(B1211,1,75,2,61,3,49,4,37,5,25,6,13,7,4,8,1)</f>
        <v>13</v>
      </c>
      <c r="K1211" t="str" cm="1">
        <f t="array" ref="K1211">IFERROR(_xlfn.SWITCH(L1211,2,_xlfn.XLOOKUP(C1211,[1]ModifierDes!$B:$B,[1]ModifierDes!$C:$C),3,_xlfn.XLOOKUP(C1211,[1]StuntDes!$B:$B,[1]StuntDes!$C:$C)),"")</f>
        <v/>
      </c>
      <c r="L1211">
        <f t="shared" si="51"/>
        <v>1</v>
      </c>
      <c r="M1211" s="10" t="str">
        <f>IFERROR(_xlfn.XLOOKUP(C1211,[1]StuntDes!$B:$B,[1]StuntDes!$A:$A),"")</f>
        <v/>
      </c>
      <c r="N1211" s="10" t="str">
        <f>IFERROR(_xlfn.XLOOKUP(C1211,[1]ModifierDes!$B:$B,[1]ModifierDes!$A:$A),"")</f>
        <v/>
      </c>
      <c r="O1211" s="10">
        <f>IFERROR(_xlfn.XLOOKUP(C1211,[1]AttributeName!$C:$C,[1]AttributeName!$B:$B),"")</f>
        <v>10304</v>
      </c>
      <c r="P1211" s="10"/>
      <c r="Q1211">
        <v>0.15</v>
      </c>
      <c r="R1211">
        <v>0.19</v>
      </c>
      <c r="S1211" cm="1">
        <f t="array" ref="S1211">IFERROR(_xlfn.SWITCH(L1211,1,_xlfn.XLOOKUP(O1211,[1]AttributeName!$B:$B,[1]AttributeName!$D:$D),2,_xlfn.XLOOKUP(C1211,#REF!,#REF!),3,_xlfn.XLOOKUP(C1211,#REF!,#REF!)),0)</f>
        <v>2</v>
      </c>
      <c r="T1211" cm="1">
        <f t="array" ref="T1211">IFERROR(_xlfn.SWITCH(L1211,1,_xlfn.XLOOKUP(O1211,[1]AttributeName!$B:$B,[1]AttributeName!$E:$E),2,_xlfn.XLOOKUP(C1211,#REF!,#REF!),3,_xlfn.XLOOKUP(C1211,#REF!,#REF!)),0)</f>
        <v>2</v>
      </c>
    </row>
    <row r="1212" customFormat="1" spans="1:20">
      <c r="A1212">
        <f t="shared" si="52"/>
        <v>507</v>
      </c>
      <c r="B1212">
        <v>7</v>
      </c>
      <c r="C1212" t="s">
        <v>385</v>
      </c>
      <c r="D1212" t="s">
        <v>28</v>
      </c>
      <c r="E1212" t="s">
        <v>378</v>
      </c>
      <c r="F1212"/>
      <c r="G1212">
        <v>1</v>
      </c>
      <c r="H1212">
        <v>1000</v>
      </c>
      <c r="I1212">
        <v>3</v>
      </c>
      <c r="J1212" cm="1">
        <f t="array" ref="J1212">_xlfn.SWITCH(B1212,1,75,2,61,3,49,4,37,5,25,6,13,7,4,8,1)</f>
        <v>4</v>
      </c>
      <c r="K1212" t="str" cm="1">
        <f t="array" ref="K1212">IFERROR(_xlfn.SWITCH(L1212,2,_xlfn.XLOOKUP(C1212,[1]ModifierDes!$B:$B,[1]ModifierDes!$C:$C),3,_xlfn.XLOOKUP(C1212,[1]StuntDes!$B:$B,[1]StuntDes!$C:$C)),"")</f>
        <v/>
      </c>
      <c r="L1212">
        <f t="shared" si="51"/>
        <v>1</v>
      </c>
      <c r="M1212" s="10" t="str">
        <f>IFERROR(_xlfn.XLOOKUP(C1212,[1]StuntDes!$B:$B,[1]StuntDes!$A:$A),"")</f>
        <v/>
      </c>
      <c r="N1212" s="10" t="str">
        <f>IFERROR(_xlfn.XLOOKUP(C1212,[1]ModifierDes!$B:$B,[1]ModifierDes!$A:$A),"")</f>
        <v/>
      </c>
      <c r="O1212" s="10">
        <f>IFERROR(_xlfn.XLOOKUP(C1212,[1]AttributeName!$C:$C,[1]AttributeName!$B:$B),"")</f>
        <v>10304</v>
      </c>
      <c r="P1212" s="10"/>
      <c r="Q1212">
        <v>0.11</v>
      </c>
      <c r="R1212">
        <v>0.14</v>
      </c>
      <c r="S1212" cm="1">
        <f t="array" ref="S1212">IFERROR(_xlfn.SWITCH(L1212,1,_xlfn.XLOOKUP(O1212,[1]AttributeName!$B:$B,[1]AttributeName!$D:$D),2,_xlfn.XLOOKUP(C1212,#REF!,#REF!),3,_xlfn.XLOOKUP(C1212,#REF!,#REF!)),0)</f>
        <v>2</v>
      </c>
      <c r="T1212" cm="1">
        <f t="array" ref="T1212">IFERROR(_xlfn.SWITCH(L1212,1,_xlfn.XLOOKUP(O1212,[1]AttributeName!$B:$B,[1]AttributeName!$E:$E),2,_xlfn.XLOOKUP(C1212,#REF!,#REF!),3,_xlfn.XLOOKUP(C1212,#REF!,#REF!)),0)</f>
        <v>2</v>
      </c>
    </row>
    <row r="1213" customFormat="1" spans="1:20">
      <c r="A1213">
        <f t="shared" si="52"/>
        <v>507</v>
      </c>
      <c r="B1213">
        <v>8</v>
      </c>
      <c r="C1213" t="s">
        <v>385</v>
      </c>
      <c r="D1213" t="s">
        <v>28</v>
      </c>
      <c r="E1213" t="s">
        <v>378</v>
      </c>
      <c r="F1213"/>
      <c r="G1213">
        <v>1</v>
      </c>
      <c r="H1213">
        <v>1000</v>
      </c>
      <c r="I1213">
        <v>3</v>
      </c>
      <c r="J1213" cm="1">
        <f t="array" ref="J1213">_xlfn.SWITCH(B1213,1,75,2,61,3,49,4,37,5,25,6,13,7,4,8,1)</f>
        <v>1</v>
      </c>
      <c r="K1213" t="str" cm="1">
        <f t="array" ref="K1213">IFERROR(_xlfn.SWITCH(L1213,2,_xlfn.XLOOKUP(C1213,[1]ModifierDes!$B:$B,[1]ModifierDes!$C:$C),3,_xlfn.XLOOKUP(C1213,[1]StuntDes!$B:$B,[1]StuntDes!$C:$C)),"")</f>
        <v/>
      </c>
      <c r="L1213">
        <f t="shared" si="51"/>
        <v>1</v>
      </c>
      <c r="M1213" s="10" t="str">
        <f>IFERROR(_xlfn.XLOOKUP(C1213,[1]StuntDes!$B:$B,[1]StuntDes!$A:$A),"")</f>
        <v/>
      </c>
      <c r="N1213" s="10" t="str">
        <f>IFERROR(_xlfn.XLOOKUP(C1213,[1]ModifierDes!$B:$B,[1]ModifierDes!$A:$A),"")</f>
        <v/>
      </c>
      <c r="O1213" s="10">
        <f>IFERROR(_xlfn.XLOOKUP(C1213,[1]AttributeName!$C:$C,[1]AttributeName!$B:$B),"")</f>
        <v>10304</v>
      </c>
      <c r="P1213" s="10"/>
      <c r="Q1213">
        <v>0.06</v>
      </c>
      <c r="R1213">
        <v>0.1</v>
      </c>
      <c r="S1213" cm="1">
        <f t="array" ref="S1213">IFERROR(_xlfn.SWITCH(L1213,1,_xlfn.XLOOKUP(O1213,[1]AttributeName!$B:$B,[1]AttributeName!$D:$D),2,_xlfn.XLOOKUP(C1213,#REF!,#REF!),3,_xlfn.XLOOKUP(C1213,#REF!,#REF!)),0)</f>
        <v>2</v>
      </c>
      <c r="T1213" cm="1">
        <f t="array" ref="T1213">IFERROR(_xlfn.SWITCH(L1213,1,_xlfn.XLOOKUP(O1213,[1]AttributeName!$B:$B,[1]AttributeName!$E:$E),2,_xlfn.XLOOKUP(C1213,#REF!,#REF!),3,_xlfn.XLOOKUP(C1213,#REF!,#REF!)),0)</f>
        <v>2</v>
      </c>
    </row>
    <row r="1214" customFormat="1" spans="1:20">
      <c r="A1214">
        <f t="shared" si="52"/>
        <v>508</v>
      </c>
      <c r="B1214">
        <v>1</v>
      </c>
      <c r="C1214" t="s">
        <v>386</v>
      </c>
      <c r="D1214" t="s">
        <v>28</v>
      </c>
      <c r="E1214" t="s">
        <v>378</v>
      </c>
      <c r="F1214"/>
      <c r="G1214">
        <v>1</v>
      </c>
      <c r="H1214">
        <v>100</v>
      </c>
      <c r="I1214">
        <v>3</v>
      </c>
      <c r="J1214" cm="1">
        <f t="array" ref="J1214">_xlfn.SWITCH(B1214,1,75,2,61,3,49,4,37,5,25,6,13,7,4,8,1)</f>
        <v>75</v>
      </c>
      <c r="K1214" t="str" cm="1">
        <f t="array" ref="K1214">IFERROR(_xlfn.SWITCH(L1214,2,_xlfn.XLOOKUP(C1214,[1]ModifierDes!$B:$B,[1]ModifierDes!$C:$C),3,_xlfn.XLOOKUP(C1214,[1]StuntDes!$B:$B,[1]StuntDes!$C:$C)),"")</f>
        <v/>
      </c>
      <c r="L1214">
        <f t="shared" si="51"/>
        <v>1</v>
      </c>
      <c r="M1214" s="10" t="str">
        <f>IFERROR(_xlfn.XLOOKUP(C1214,[1]StuntDes!$B:$B,[1]StuntDes!$A:$A),"")</f>
        <v/>
      </c>
      <c r="N1214" s="10" t="str">
        <f>IFERROR(_xlfn.XLOOKUP(C1214,[1]ModifierDes!$B:$B,[1]ModifierDes!$A:$A),"")</f>
        <v/>
      </c>
      <c r="O1214" s="10">
        <f>IFERROR(_xlfn.XLOOKUP(C1214,[1]AttributeName!$C:$C,[1]AttributeName!$B:$B),"")</f>
        <v>10305</v>
      </c>
      <c r="P1214" s="10"/>
      <c r="Q1214">
        <v>0.38</v>
      </c>
      <c r="R1214">
        <v>0.5</v>
      </c>
      <c r="S1214" cm="1">
        <f t="array" ref="S1214">IFERROR(_xlfn.SWITCH(L1214,1,_xlfn.XLOOKUP(O1214,[1]AttributeName!$B:$B,[1]AttributeName!$D:$D),2,_xlfn.XLOOKUP(C1214,#REF!,#REF!),3,_xlfn.XLOOKUP(C1214,#REF!,#REF!)),0)</f>
        <v>2</v>
      </c>
      <c r="T1214" cm="1">
        <f t="array" ref="T1214">IFERROR(_xlfn.SWITCH(L1214,1,_xlfn.XLOOKUP(O1214,[1]AttributeName!$B:$B,[1]AttributeName!$E:$E),2,_xlfn.XLOOKUP(C1214,#REF!,#REF!),3,_xlfn.XLOOKUP(C1214,#REF!,#REF!)),0)</f>
        <v>2</v>
      </c>
    </row>
    <row r="1215" customFormat="1" spans="1:20">
      <c r="A1215">
        <f t="shared" si="52"/>
        <v>508</v>
      </c>
      <c r="B1215">
        <v>2</v>
      </c>
      <c r="C1215" t="s">
        <v>386</v>
      </c>
      <c r="D1215" t="s">
        <v>28</v>
      </c>
      <c r="E1215" t="s">
        <v>378</v>
      </c>
      <c r="F1215"/>
      <c r="G1215">
        <v>1</v>
      </c>
      <c r="H1215">
        <v>200</v>
      </c>
      <c r="I1215">
        <v>3</v>
      </c>
      <c r="J1215" cm="1">
        <f t="array" ref="J1215">_xlfn.SWITCH(B1215,1,75,2,61,3,49,4,37,5,25,6,13,7,4,8,1)</f>
        <v>61</v>
      </c>
      <c r="K1215" t="str" cm="1">
        <f t="array" ref="K1215">IFERROR(_xlfn.SWITCH(L1215,2,_xlfn.XLOOKUP(C1215,[1]ModifierDes!$B:$B,[1]ModifierDes!$C:$C),3,_xlfn.XLOOKUP(C1215,[1]StuntDes!$B:$B,[1]StuntDes!$C:$C)),"")</f>
        <v/>
      </c>
      <c r="L1215">
        <f t="shared" si="51"/>
        <v>1</v>
      </c>
      <c r="M1215" s="10" t="str">
        <f>IFERROR(_xlfn.XLOOKUP(C1215,[1]StuntDes!$B:$B,[1]StuntDes!$A:$A),"")</f>
        <v/>
      </c>
      <c r="N1215" s="10" t="str">
        <f>IFERROR(_xlfn.XLOOKUP(C1215,[1]ModifierDes!$B:$B,[1]ModifierDes!$A:$A),"")</f>
        <v/>
      </c>
      <c r="O1215" s="10">
        <f>IFERROR(_xlfn.XLOOKUP(C1215,[1]AttributeName!$C:$C,[1]AttributeName!$B:$B),"")</f>
        <v>10305</v>
      </c>
      <c r="P1215" s="10"/>
      <c r="Q1215">
        <v>0.33</v>
      </c>
      <c r="R1215">
        <v>0.37</v>
      </c>
      <c r="S1215" cm="1">
        <f t="array" ref="S1215">IFERROR(_xlfn.SWITCH(L1215,1,_xlfn.XLOOKUP(O1215,[1]AttributeName!$B:$B,[1]AttributeName!$D:$D),2,_xlfn.XLOOKUP(C1215,#REF!,#REF!),3,_xlfn.XLOOKUP(C1215,#REF!,#REF!)),0)</f>
        <v>2</v>
      </c>
      <c r="T1215" cm="1">
        <f t="array" ref="T1215">IFERROR(_xlfn.SWITCH(L1215,1,_xlfn.XLOOKUP(O1215,[1]AttributeName!$B:$B,[1]AttributeName!$E:$E),2,_xlfn.XLOOKUP(C1215,#REF!,#REF!),3,_xlfn.XLOOKUP(C1215,#REF!,#REF!)),0)</f>
        <v>2</v>
      </c>
    </row>
    <row r="1216" customFormat="1" spans="1:20">
      <c r="A1216">
        <f t="shared" si="52"/>
        <v>508</v>
      </c>
      <c r="B1216">
        <v>3</v>
      </c>
      <c r="C1216" t="s">
        <v>386</v>
      </c>
      <c r="D1216" t="s">
        <v>28</v>
      </c>
      <c r="E1216" t="s">
        <v>378</v>
      </c>
      <c r="F1216"/>
      <c r="G1216">
        <v>1</v>
      </c>
      <c r="H1216">
        <v>500</v>
      </c>
      <c r="I1216">
        <v>3</v>
      </c>
      <c r="J1216" cm="1">
        <f t="array" ref="J1216">_xlfn.SWITCH(B1216,1,75,2,61,3,49,4,37,5,25,6,13,7,4,8,1)</f>
        <v>49</v>
      </c>
      <c r="K1216" t="str" cm="1">
        <f t="array" ref="K1216">IFERROR(_xlfn.SWITCH(L1216,2,_xlfn.XLOOKUP(C1216,[1]ModifierDes!$B:$B,[1]ModifierDes!$C:$C),3,_xlfn.XLOOKUP(C1216,[1]StuntDes!$B:$B,[1]StuntDes!$C:$C)),"")</f>
        <v/>
      </c>
      <c r="L1216">
        <f t="shared" si="51"/>
        <v>1</v>
      </c>
      <c r="M1216" s="10" t="str">
        <f>IFERROR(_xlfn.XLOOKUP(C1216,[1]StuntDes!$B:$B,[1]StuntDes!$A:$A),"")</f>
        <v/>
      </c>
      <c r="N1216" s="10" t="str">
        <f>IFERROR(_xlfn.XLOOKUP(C1216,[1]ModifierDes!$B:$B,[1]ModifierDes!$A:$A),"")</f>
        <v/>
      </c>
      <c r="O1216" s="10">
        <f>IFERROR(_xlfn.XLOOKUP(C1216,[1]AttributeName!$C:$C,[1]AttributeName!$B:$B),"")</f>
        <v>10305</v>
      </c>
      <c r="P1216" s="10"/>
      <c r="Q1216">
        <v>0.29</v>
      </c>
      <c r="R1216">
        <v>0.32</v>
      </c>
      <c r="S1216" cm="1">
        <f t="array" ref="S1216">IFERROR(_xlfn.SWITCH(L1216,1,_xlfn.XLOOKUP(O1216,[1]AttributeName!$B:$B,[1]AttributeName!$D:$D),2,_xlfn.XLOOKUP(C1216,#REF!,#REF!),3,_xlfn.XLOOKUP(C1216,#REF!,#REF!)),0)</f>
        <v>2</v>
      </c>
      <c r="T1216" cm="1">
        <f t="array" ref="T1216">IFERROR(_xlfn.SWITCH(L1216,1,_xlfn.XLOOKUP(O1216,[1]AttributeName!$B:$B,[1]AttributeName!$E:$E),2,_xlfn.XLOOKUP(C1216,#REF!,#REF!),3,_xlfn.XLOOKUP(C1216,#REF!,#REF!)),0)</f>
        <v>2</v>
      </c>
    </row>
    <row r="1217" customFormat="1" spans="1:20">
      <c r="A1217">
        <f t="shared" si="52"/>
        <v>508</v>
      </c>
      <c r="B1217">
        <v>4</v>
      </c>
      <c r="C1217" t="s">
        <v>386</v>
      </c>
      <c r="D1217" t="s">
        <v>28</v>
      </c>
      <c r="E1217" t="s">
        <v>378</v>
      </c>
      <c r="F1217"/>
      <c r="G1217">
        <v>1</v>
      </c>
      <c r="H1217">
        <v>1000</v>
      </c>
      <c r="I1217">
        <v>3</v>
      </c>
      <c r="J1217" cm="1">
        <f t="array" ref="J1217">_xlfn.SWITCH(B1217,1,75,2,61,3,49,4,37,5,25,6,13,7,4,8,1)</f>
        <v>37</v>
      </c>
      <c r="K1217" t="str" cm="1">
        <f t="array" ref="K1217">IFERROR(_xlfn.SWITCH(L1217,2,_xlfn.XLOOKUP(C1217,[1]ModifierDes!$B:$B,[1]ModifierDes!$C:$C),3,_xlfn.XLOOKUP(C1217,[1]StuntDes!$B:$B,[1]StuntDes!$C:$C)),"")</f>
        <v/>
      </c>
      <c r="L1217">
        <f t="shared" si="51"/>
        <v>1</v>
      </c>
      <c r="M1217" s="10" t="str">
        <f>IFERROR(_xlfn.XLOOKUP(C1217,[1]StuntDes!$B:$B,[1]StuntDes!$A:$A),"")</f>
        <v/>
      </c>
      <c r="N1217" s="10" t="str">
        <f>IFERROR(_xlfn.XLOOKUP(C1217,[1]ModifierDes!$B:$B,[1]ModifierDes!$A:$A),"")</f>
        <v/>
      </c>
      <c r="O1217" s="10">
        <f>IFERROR(_xlfn.XLOOKUP(C1217,[1]AttributeName!$C:$C,[1]AttributeName!$B:$B),"")</f>
        <v>10305</v>
      </c>
      <c r="P1217" s="10"/>
      <c r="Q1217">
        <v>0.24</v>
      </c>
      <c r="R1217">
        <v>0.28</v>
      </c>
      <c r="S1217" cm="1">
        <f t="array" ref="S1217">IFERROR(_xlfn.SWITCH(L1217,1,_xlfn.XLOOKUP(O1217,[1]AttributeName!$B:$B,[1]AttributeName!$D:$D),2,_xlfn.XLOOKUP(C1217,#REF!,#REF!),3,_xlfn.XLOOKUP(C1217,#REF!,#REF!)),0)</f>
        <v>2</v>
      </c>
      <c r="T1217" cm="1">
        <f t="array" ref="T1217">IFERROR(_xlfn.SWITCH(L1217,1,_xlfn.XLOOKUP(O1217,[1]AttributeName!$B:$B,[1]AttributeName!$E:$E),2,_xlfn.XLOOKUP(C1217,#REF!,#REF!),3,_xlfn.XLOOKUP(C1217,#REF!,#REF!)),0)</f>
        <v>2</v>
      </c>
    </row>
    <row r="1218" customFormat="1" spans="1:20">
      <c r="A1218">
        <f t="shared" si="52"/>
        <v>508</v>
      </c>
      <c r="B1218">
        <v>5</v>
      </c>
      <c r="C1218" t="s">
        <v>386</v>
      </c>
      <c r="D1218" t="s">
        <v>28</v>
      </c>
      <c r="E1218" t="s">
        <v>378</v>
      </c>
      <c r="F1218"/>
      <c r="G1218">
        <v>1</v>
      </c>
      <c r="H1218">
        <v>1000</v>
      </c>
      <c r="I1218">
        <v>3</v>
      </c>
      <c r="J1218" cm="1">
        <f t="array" ref="J1218">_xlfn.SWITCH(B1218,1,75,2,61,3,49,4,37,5,25,6,13,7,4,8,1)</f>
        <v>25</v>
      </c>
      <c r="K1218" t="str" cm="1">
        <f t="array" ref="K1218">IFERROR(_xlfn.SWITCH(L1218,2,_xlfn.XLOOKUP(C1218,[1]ModifierDes!$B:$B,[1]ModifierDes!$C:$C),3,_xlfn.XLOOKUP(C1218,[1]StuntDes!$B:$B,[1]StuntDes!$C:$C)),"")</f>
        <v/>
      </c>
      <c r="L1218">
        <f t="shared" si="51"/>
        <v>1</v>
      </c>
      <c r="M1218" s="10" t="str">
        <f>IFERROR(_xlfn.XLOOKUP(C1218,[1]StuntDes!$B:$B,[1]StuntDes!$A:$A),"")</f>
        <v/>
      </c>
      <c r="N1218" s="10" t="str">
        <f>IFERROR(_xlfn.XLOOKUP(C1218,[1]ModifierDes!$B:$B,[1]ModifierDes!$A:$A),"")</f>
        <v/>
      </c>
      <c r="O1218" s="10">
        <f>IFERROR(_xlfn.XLOOKUP(C1218,[1]AttributeName!$C:$C,[1]AttributeName!$B:$B),"")</f>
        <v>10305</v>
      </c>
      <c r="P1218" s="10"/>
      <c r="Q1218">
        <v>0.2</v>
      </c>
      <c r="R1218">
        <v>0.23</v>
      </c>
      <c r="S1218" cm="1">
        <f t="array" ref="S1218">IFERROR(_xlfn.SWITCH(L1218,1,_xlfn.XLOOKUP(O1218,[1]AttributeName!$B:$B,[1]AttributeName!$D:$D),2,_xlfn.XLOOKUP(C1218,#REF!,#REF!),3,_xlfn.XLOOKUP(C1218,#REF!,#REF!)),0)</f>
        <v>2</v>
      </c>
      <c r="T1218" cm="1">
        <f t="array" ref="T1218">IFERROR(_xlfn.SWITCH(L1218,1,_xlfn.XLOOKUP(O1218,[1]AttributeName!$B:$B,[1]AttributeName!$E:$E),2,_xlfn.XLOOKUP(C1218,#REF!,#REF!),3,_xlfn.XLOOKUP(C1218,#REF!,#REF!)),0)</f>
        <v>2</v>
      </c>
    </row>
    <row r="1219" customFormat="1" spans="1:20">
      <c r="A1219">
        <f t="shared" si="52"/>
        <v>508</v>
      </c>
      <c r="B1219">
        <v>6</v>
      </c>
      <c r="C1219" t="s">
        <v>386</v>
      </c>
      <c r="D1219" t="s">
        <v>28</v>
      </c>
      <c r="E1219" t="s">
        <v>378</v>
      </c>
      <c r="F1219"/>
      <c r="G1219">
        <v>1</v>
      </c>
      <c r="H1219">
        <v>1000</v>
      </c>
      <c r="I1219">
        <v>3</v>
      </c>
      <c r="J1219" cm="1">
        <f t="array" ref="J1219">_xlfn.SWITCH(B1219,1,75,2,61,3,49,4,37,5,25,6,13,7,4,8,1)</f>
        <v>13</v>
      </c>
      <c r="K1219" t="str" cm="1">
        <f t="array" ref="K1219">IFERROR(_xlfn.SWITCH(L1219,2,_xlfn.XLOOKUP(C1219,[1]ModifierDes!$B:$B,[1]ModifierDes!$C:$C),3,_xlfn.XLOOKUP(C1219,[1]StuntDes!$B:$B,[1]StuntDes!$C:$C)),"")</f>
        <v/>
      </c>
      <c r="L1219">
        <f t="shared" si="51"/>
        <v>1</v>
      </c>
      <c r="M1219" s="10" t="str">
        <f>IFERROR(_xlfn.XLOOKUP(C1219,[1]StuntDes!$B:$B,[1]StuntDes!$A:$A),"")</f>
        <v/>
      </c>
      <c r="N1219" s="10" t="str">
        <f>IFERROR(_xlfn.XLOOKUP(C1219,[1]ModifierDes!$B:$B,[1]ModifierDes!$A:$A),"")</f>
        <v/>
      </c>
      <c r="O1219" s="10">
        <f>IFERROR(_xlfn.XLOOKUP(C1219,[1]AttributeName!$C:$C,[1]AttributeName!$B:$B),"")</f>
        <v>10305</v>
      </c>
      <c r="P1219" s="10"/>
      <c r="Q1219">
        <v>0.15</v>
      </c>
      <c r="R1219">
        <v>0.19</v>
      </c>
      <c r="S1219" cm="1">
        <f t="array" ref="S1219">IFERROR(_xlfn.SWITCH(L1219,1,_xlfn.XLOOKUP(O1219,[1]AttributeName!$B:$B,[1]AttributeName!$D:$D),2,_xlfn.XLOOKUP(C1219,#REF!,#REF!),3,_xlfn.XLOOKUP(C1219,#REF!,#REF!)),0)</f>
        <v>2</v>
      </c>
      <c r="T1219" cm="1">
        <f t="array" ref="T1219">IFERROR(_xlfn.SWITCH(L1219,1,_xlfn.XLOOKUP(O1219,[1]AttributeName!$B:$B,[1]AttributeName!$E:$E),2,_xlfn.XLOOKUP(C1219,#REF!,#REF!),3,_xlfn.XLOOKUP(C1219,#REF!,#REF!)),0)</f>
        <v>2</v>
      </c>
    </row>
    <row r="1220" customFormat="1" spans="1:20">
      <c r="A1220">
        <f t="shared" si="52"/>
        <v>508</v>
      </c>
      <c r="B1220">
        <v>7</v>
      </c>
      <c r="C1220" t="s">
        <v>386</v>
      </c>
      <c r="D1220" t="s">
        <v>28</v>
      </c>
      <c r="E1220" t="s">
        <v>378</v>
      </c>
      <c r="F1220"/>
      <c r="G1220">
        <v>1</v>
      </c>
      <c r="H1220">
        <v>1000</v>
      </c>
      <c r="I1220">
        <v>3</v>
      </c>
      <c r="J1220" cm="1">
        <f t="array" ref="J1220">_xlfn.SWITCH(B1220,1,75,2,61,3,49,4,37,5,25,6,13,7,4,8,1)</f>
        <v>4</v>
      </c>
      <c r="K1220" t="str" cm="1">
        <f t="array" ref="K1220">IFERROR(_xlfn.SWITCH(L1220,2,_xlfn.XLOOKUP(C1220,[1]ModifierDes!$B:$B,[1]ModifierDes!$C:$C),3,_xlfn.XLOOKUP(C1220,[1]StuntDes!$B:$B,[1]StuntDes!$C:$C)),"")</f>
        <v/>
      </c>
      <c r="L1220">
        <f t="shared" ref="L1220:L1283" si="53">IF(M1220="",IF(N1220="",1,2),3)</f>
        <v>1</v>
      </c>
      <c r="M1220" s="10" t="str">
        <f>IFERROR(_xlfn.XLOOKUP(C1220,[1]StuntDes!$B:$B,[1]StuntDes!$A:$A),"")</f>
        <v/>
      </c>
      <c r="N1220" s="10" t="str">
        <f>IFERROR(_xlfn.XLOOKUP(C1220,[1]ModifierDes!$B:$B,[1]ModifierDes!$A:$A),"")</f>
        <v/>
      </c>
      <c r="O1220" s="10">
        <f>IFERROR(_xlfn.XLOOKUP(C1220,[1]AttributeName!$C:$C,[1]AttributeName!$B:$B),"")</f>
        <v>10305</v>
      </c>
      <c r="P1220" s="10"/>
      <c r="Q1220">
        <v>0.11</v>
      </c>
      <c r="R1220">
        <v>0.14</v>
      </c>
      <c r="S1220" cm="1">
        <f t="array" ref="S1220">IFERROR(_xlfn.SWITCH(L1220,1,_xlfn.XLOOKUP(O1220,[1]AttributeName!$B:$B,[1]AttributeName!$D:$D),2,_xlfn.XLOOKUP(C1220,#REF!,#REF!),3,_xlfn.XLOOKUP(C1220,#REF!,#REF!)),0)</f>
        <v>2</v>
      </c>
      <c r="T1220" cm="1">
        <f t="array" ref="T1220">IFERROR(_xlfn.SWITCH(L1220,1,_xlfn.XLOOKUP(O1220,[1]AttributeName!$B:$B,[1]AttributeName!$E:$E),2,_xlfn.XLOOKUP(C1220,#REF!,#REF!),3,_xlfn.XLOOKUP(C1220,#REF!,#REF!)),0)</f>
        <v>2</v>
      </c>
    </row>
    <row r="1221" customFormat="1" spans="1:20">
      <c r="A1221">
        <f t="shared" si="52"/>
        <v>508</v>
      </c>
      <c r="B1221">
        <v>8</v>
      </c>
      <c r="C1221" t="s">
        <v>386</v>
      </c>
      <c r="D1221" t="s">
        <v>28</v>
      </c>
      <c r="E1221" t="s">
        <v>378</v>
      </c>
      <c r="F1221"/>
      <c r="G1221">
        <v>1</v>
      </c>
      <c r="H1221">
        <v>1000</v>
      </c>
      <c r="I1221">
        <v>3</v>
      </c>
      <c r="J1221" cm="1">
        <f t="array" ref="J1221">_xlfn.SWITCH(B1221,1,75,2,61,3,49,4,37,5,25,6,13,7,4,8,1)</f>
        <v>1</v>
      </c>
      <c r="K1221" t="str" cm="1">
        <f t="array" ref="K1221">IFERROR(_xlfn.SWITCH(L1221,2,_xlfn.XLOOKUP(C1221,[1]ModifierDes!$B:$B,[1]ModifierDes!$C:$C),3,_xlfn.XLOOKUP(C1221,[1]StuntDes!$B:$B,[1]StuntDes!$C:$C)),"")</f>
        <v/>
      </c>
      <c r="L1221">
        <f t="shared" si="53"/>
        <v>1</v>
      </c>
      <c r="M1221" s="10" t="str">
        <f>IFERROR(_xlfn.XLOOKUP(C1221,[1]StuntDes!$B:$B,[1]StuntDes!$A:$A),"")</f>
        <v/>
      </c>
      <c r="N1221" s="10" t="str">
        <f>IFERROR(_xlfn.XLOOKUP(C1221,[1]ModifierDes!$B:$B,[1]ModifierDes!$A:$A),"")</f>
        <v/>
      </c>
      <c r="O1221" s="10">
        <f>IFERROR(_xlfn.XLOOKUP(C1221,[1]AttributeName!$C:$C,[1]AttributeName!$B:$B),"")</f>
        <v>10305</v>
      </c>
      <c r="P1221" s="10"/>
      <c r="Q1221">
        <v>0.06</v>
      </c>
      <c r="R1221">
        <v>0.1</v>
      </c>
      <c r="S1221" cm="1">
        <f t="array" ref="S1221">IFERROR(_xlfn.SWITCH(L1221,1,_xlfn.XLOOKUP(O1221,[1]AttributeName!$B:$B,[1]AttributeName!$D:$D),2,_xlfn.XLOOKUP(C1221,#REF!,#REF!),3,_xlfn.XLOOKUP(C1221,#REF!,#REF!)),0)</f>
        <v>2</v>
      </c>
      <c r="T1221" cm="1">
        <f t="array" ref="T1221">IFERROR(_xlfn.SWITCH(L1221,1,_xlfn.XLOOKUP(O1221,[1]AttributeName!$B:$B,[1]AttributeName!$E:$E),2,_xlfn.XLOOKUP(C1221,#REF!,#REF!),3,_xlfn.XLOOKUP(C1221,#REF!,#REF!)),0)</f>
        <v>2</v>
      </c>
    </row>
    <row r="1222" customFormat="1" spans="1:20">
      <c r="A1222">
        <f t="shared" si="52"/>
        <v>509</v>
      </c>
      <c r="B1222">
        <v>1</v>
      </c>
      <c r="C1222" t="s">
        <v>387</v>
      </c>
      <c r="D1222" t="s">
        <v>28</v>
      </c>
      <c r="E1222" t="s">
        <v>378</v>
      </c>
      <c r="F1222"/>
      <c r="G1222">
        <v>1</v>
      </c>
      <c r="H1222">
        <v>100</v>
      </c>
      <c r="I1222">
        <v>3</v>
      </c>
      <c r="J1222" cm="1">
        <f t="array" ref="J1222">_xlfn.SWITCH(B1222,1,75,2,61,3,49,4,37,5,25,6,13,7,4,8,1)</f>
        <v>75</v>
      </c>
      <c r="K1222" t="str" cm="1">
        <f t="array" ref="K1222">IFERROR(_xlfn.SWITCH(L1222,2,_xlfn.XLOOKUP(C1222,[1]ModifierDes!$B:$B,[1]ModifierDes!$C:$C),3,_xlfn.XLOOKUP(C1222,[1]StuntDes!$B:$B,[1]StuntDes!$C:$C)),"")</f>
        <v/>
      </c>
      <c r="L1222">
        <f t="shared" si="53"/>
        <v>1</v>
      </c>
      <c r="M1222" s="10" t="str">
        <f>IFERROR(_xlfn.XLOOKUP(C1222,[1]StuntDes!$B:$B,[1]StuntDes!$A:$A),"")</f>
        <v/>
      </c>
      <c r="N1222" s="10" t="str">
        <f>IFERROR(_xlfn.XLOOKUP(C1222,[1]ModifierDes!$B:$B,[1]ModifierDes!$A:$A),"")</f>
        <v/>
      </c>
      <c r="O1222" s="10">
        <f>IFERROR(_xlfn.XLOOKUP(C1222,[1]AttributeName!$C:$C,[1]AttributeName!$B:$B),"")</f>
        <v>10306</v>
      </c>
      <c r="P1222" s="10"/>
      <c r="Q1222">
        <v>0.38</v>
      </c>
      <c r="R1222">
        <v>0.5</v>
      </c>
      <c r="S1222" cm="1">
        <f t="array" ref="S1222">IFERROR(_xlfn.SWITCH(L1222,1,_xlfn.XLOOKUP(O1222,[1]AttributeName!$B:$B,[1]AttributeName!$D:$D),2,_xlfn.XLOOKUP(C1222,#REF!,#REF!),3,_xlfn.XLOOKUP(C1222,#REF!,#REF!)),0)</f>
        <v>2</v>
      </c>
      <c r="T1222" cm="1">
        <f t="array" ref="T1222">IFERROR(_xlfn.SWITCH(L1222,1,_xlfn.XLOOKUP(O1222,[1]AttributeName!$B:$B,[1]AttributeName!$E:$E),2,_xlfn.XLOOKUP(C1222,#REF!,#REF!),3,_xlfn.XLOOKUP(C1222,#REF!,#REF!)),0)</f>
        <v>2</v>
      </c>
    </row>
    <row r="1223" customFormat="1" spans="1:20">
      <c r="A1223">
        <f t="shared" si="52"/>
        <v>509</v>
      </c>
      <c r="B1223">
        <v>2</v>
      </c>
      <c r="C1223" t="s">
        <v>387</v>
      </c>
      <c r="D1223" t="s">
        <v>28</v>
      </c>
      <c r="E1223" t="s">
        <v>378</v>
      </c>
      <c r="F1223"/>
      <c r="G1223">
        <v>1</v>
      </c>
      <c r="H1223">
        <v>200</v>
      </c>
      <c r="I1223">
        <v>3</v>
      </c>
      <c r="J1223" cm="1">
        <f t="array" ref="J1223">_xlfn.SWITCH(B1223,1,75,2,61,3,49,4,37,5,25,6,13,7,4,8,1)</f>
        <v>61</v>
      </c>
      <c r="K1223" t="str" cm="1">
        <f t="array" ref="K1223">IFERROR(_xlfn.SWITCH(L1223,2,_xlfn.XLOOKUP(C1223,[1]ModifierDes!$B:$B,[1]ModifierDes!$C:$C),3,_xlfn.XLOOKUP(C1223,[1]StuntDes!$B:$B,[1]StuntDes!$C:$C)),"")</f>
        <v/>
      </c>
      <c r="L1223">
        <f t="shared" si="53"/>
        <v>1</v>
      </c>
      <c r="M1223" s="10" t="str">
        <f>IFERROR(_xlfn.XLOOKUP(C1223,[1]StuntDes!$B:$B,[1]StuntDes!$A:$A),"")</f>
        <v/>
      </c>
      <c r="N1223" s="10" t="str">
        <f>IFERROR(_xlfn.XLOOKUP(C1223,[1]ModifierDes!$B:$B,[1]ModifierDes!$A:$A),"")</f>
        <v/>
      </c>
      <c r="O1223" s="10">
        <f>IFERROR(_xlfn.XLOOKUP(C1223,[1]AttributeName!$C:$C,[1]AttributeName!$B:$B),"")</f>
        <v>10306</v>
      </c>
      <c r="P1223" s="10"/>
      <c r="Q1223">
        <v>0.33</v>
      </c>
      <c r="R1223">
        <v>0.37</v>
      </c>
      <c r="S1223" cm="1">
        <f t="array" ref="S1223">IFERROR(_xlfn.SWITCH(L1223,1,_xlfn.XLOOKUP(O1223,[1]AttributeName!$B:$B,[1]AttributeName!$D:$D),2,_xlfn.XLOOKUP(C1223,#REF!,#REF!),3,_xlfn.XLOOKUP(C1223,#REF!,#REF!)),0)</f>
        <v>2</v>
      </c>
      <c r="T1223" cm="1">
        <f t="array" ref="T1223">IFERROR(_xlfn.SWITCH(L1223,1,_xlfn.XLOOKUP(O1223,[1]AttributeName!$B:$B,[1]AttributeName!$E:$E),2,_xlfn.XLOOKUP(C1223,#REF!,#REF!),3,_xlfn.XLOOKUP(C1223,#REF!,#REF!)),0)</f>
        <v>2</v>
      </c>
    </row>
    <row r="1224" customFormat="1" spans="1:20">
      <c r="A1224">
        <f t="shared" si="52"/>
        <v>509</v>
      </c>
      <c r="B1224">
        <v>3</v>
      </c>
      <c r="C1224" t="s">
        <v>387</v>
      </c>
      <c r="D1224" t="s">
        <v>28</v>
      </c>
      <c r="E1224" t="s">
        <v>378</v>
      </c>
      <c r="F1224"/>
      <c r="G1224">
        <v>1</v>
      </c>
      <c r="H1224">
        <v>500</v>
      </c>
      <c r="I1224">
        <v>3</v>
      </c>
      <c r="J1224" cm="1">
        <f t="array" ref="J1224">_xlfn.SWITCH(B1224,1,75,2,61,3,49,4,37,5,25,6,13,7,4,8,1)</f>
        <v>49</v>
      </c>
      <c r="K1224" t="str" cm="1">
        <f t="array" ref="K1224">IFERROR(_xlfn.SWITCH(L1224,2,_xlfn.XLOOKUP(C1224,[1]ModifierDes!$B:$B,[1]ModifierDes!$C:$C),3,_xlfn.XLOOKUP(C1224,[1]StuntDes!$B:$B,[1]StuntDes!$C:$C)),"")</f>
        <v/>
      </c>
      <c r="L1224">
        <f t="shared" si="53"/>
        <v>1</v>
      </c>
      <c r="M1224" s="10" t="str">
        <f>IFERROR(_xlfn.XLOOKUP(C1224,[1]StuntDes!$B:$B,[1]StuntDes!$A:$A),"")</f>
        <v/>
      </c>
      <c r="N1224" s="10" t="str">
        <f>IFERROR(_xlfn.XLOOKUP(C1224,[1]ModifierDes!$B:$B,[1]ModifierDes!$A:$A),"")</f>
        <v/>
      </c>
      <c r="O1224" s="10">
        <f>IFERROR(_xlfn.XLOOKUP(C1224,[1]AttributeName!$C:$C,[1]AttributeName!$B:$B),"")</f>
        <v>10306</v>
      </c>
      <c r="P1224" s="10"/>
      <c r="Q1224">
        <v>0.29</v>
      </c>
      <c r="R1224">
        <v>0.32</v>
      </c>
      <c r="S1224" cm="1">
        <f t="array" ref="S1224">IFERROR(_xlfn.SWITCH(L1224,1,_xlfn.XLOOKUP(O1224,[1]AttributeName!$B:$B,[1]AttributeName!$D:$D),2,_xlfn.XLOOKUP(C1224,#REF!,#REF!),3,_xlfn.XLOOKUP(C1224,#REF!,#REF!)),0)</f>
        <v>2</v>
      </c>
      <c r="T1224" cm="1">
        <f t="array" ref="T1224">IFERROR(_xlfn.SWITCH(L1224,1,_xlfn.XLOOKUP(O1224,[1]AttributeName!$B:$B,[1]AttributeName!$E:$E),2,_xlfn.XLOOKUP(C1224,#REF!,#REF!),3,_xlfn.XLOOKUP(C1224,#REF!,#REF!)),0)</f>
        <v>2</v>
      </c>
    </row>
    <row r="1225" customFormat="1" spans="1:20">
      <c r="A1225">
        <f t="shared" si="52"/>
        <v>509</v>
      </c>
      <c r="B1225">
        <v>4</v>
      </c>
      <c r="C1225" t="s">
        <v>387</v>
      </c>
      <c r="D1225" t="s">
        <v>28</v>
      </c>
      <c r="E1225" t="s">
        <v>378</v>
      </c>
      <c r="F1225"/>
      <c r="G1225">
        <v>1</v>
      </c>
      <c r="H1225">
        <v>1000</v>
      </c>
      <c r="I1225">
        <v>3</v>
      </c>
      <c r="J1225" cm="1">
        <f t="array" ref="J1225">_xlfn.SWITCH(B1225,1,75,2,61,3,49,4,37,5,25,6,13,7,4,8,1)</f>
        <v>37</v>
      </c>
      <c r="K1225" t="str" cm="1">
        <f t="array" ref="K1225">IFERROR(_xlfn.SWITCH(L1225,2,_xlfn.XLOOKUP(C1225,[1]ModifierDes!$B:$B,[1]ModifierDes!$C:$C),3,_xlfn.XLOOKUP(C1225,[1]StuntDes!$B:$B,[1]StuntDes!$C:$C)),"")</f>
        <v/>
      </c>
      <c r="L1225">
        <f t="shared" si="53"/>
        <v>1</v>
      </c>
      <c r="M1225" s="10" t="str">
        <f>IFERROR(_xlfn.XLOOKUP(C1225,[1]StuntDes!$B:$B,[1]StuntDes!$A:$A),"")</f>
        <v/>
      </c>
      <c r="N1225" s="10" t="str">
        <f>IFERROR(_xlfn.XLOOKUP(C1225,[1]ModifierDes!$B:$B,[1]ModifierDes!$A:$A),"")</f>
        <v/>
      </c>
      <c r="O1225" s="10">
        <f>IFERROR(_xlfn.XLOOKUP(C1225,[1]AttributeName!$C:$C,[1]AttributeName!$B:$B),"")</f>
        <v>10306</v>
      </c>
      <c r="P1225" s="10"/>
      <c r="Q1225">
        <v>0.24</v>
      </c>
      <c r="R1225">
        <v>0.28</v>
      </c>
      <c r="S1225" cm="1">
        <f t="array" ref="S1225">IFERROR(_xlfn.SWITCH(L1225,1,_xlfn.XLOOKUP(O1225,[1]AttributeName!$B:$B,[1]AttributeName!$D:$D),2,_xlfn.XLOOKUP(C1225,#REF!,#REF!),3,_xlfn.XLOOKUP(C1225,#REF!,#REF!)),0)</f>
        <v>2</v>
      </c>
      <c r="T1225" cm="1">
        <f t="array" ref="T1225">IFERROR(_xlfn.SWITCH(L1225,1,_xlfn.XLOOKUP(O1225,[1]AttributeName!$B:$B,[1]AttributeName!$E:$E),2,_xlfn.XLOOKUP(C1225,#REF!,#REF!),3,_xlfn.XLOOKUP(C1225,#REF!,#REF!)),0)</f>
        <v>2</v>
      </c>
    </row>
    <row r="1226" customFormat="1" spans="1:20">
      <c r="A1226">
        <f t="shared" si="52"/>
        <v>509</v>
      </c>
      <c r="B1226">
        <v>5</v>
      </c>
      <c r="C1226" t="s">
        <v>387</v>
      </c>
      <c r="D1226" t="s">
        <v>28</v>
      </c>
      <c r="E1226" t="s">
        <v>378</v>
      </c>
      <c r="F1226"/>
      <c r="G1226">
        <v>1</v>
      </c>
      <c r="H1226">
        <v>1000</v>
      </c>
      <c r="I1226">
        <v>3</v>
      </c>
      <c r="J1226" cm="1">
        <f t="array" ref="J1226">_xlfn.SWITCH(B1226,1,75,2,61,3,49,4,37,5,25,6,13,7,4,8,1)</f>
        <v>25</v>
      </c>
      <c r="K1226" t="str" cm="1">
        <f t="array" ref="K1226">IFERROR(_xlfn.SWITCH(L1226,2,_xlfn.XLOOKUP(C1226,[1]ModifierDes!$B:$B,[1]ModifierDes!$C:$C),3,_xlfn.XLOOKUP(C1226,[1]StuntDes!$B:$B,[1]StuntDes!$C:$C)),"")</f>
        <v/>
      </c>
      <c r="L1226">
        <f t="shared" si="53"/>
        <v>1</v>
      </c>
      <c r="M1226" s="10" t="str">
        <f>IFERROR(_xlfn.XLOOKUP(C1226,[1]StuntDes!$B:$B,[1]StuntDes!$A:$A),"")</f>
        <v/>
      </c>
      <c r="N1226" s="10" t="str">
        <f>IFERROR(_xlfn.XLOOKUP(C1226,[1]ModifierDes!$B:$B,[1]ModifierDes!$A:$A),"")</f>
        <v/>
      </c>
      <c r="O1226" s="10">
        <f>IFERROR(_xlfn.XLOOKUP(C1226,[1]AttributeName!$C:$C,[1]AttributeName!$B:$B),"")</f>
        <v>10306</v>
      </c>
      <c r="P1226" s="10"/>
      <c r="Q1226">
        <v>0.2</v>
      </c>
      <c r="R1226">
        <v>0.23</v>
      </c>
      <c r="S1226" cm="1">
        <f t="array" ref="S1226">IFERROR(_xlfn.SWITCH(L1226,1,_xlfn.XLOOKUP(O1226,[1]AttributeName!$B:$B,[1]AttributeName!$D:$D),2,_xlfn.XLOOKUP(C1226,#REF!,#REF!),3,_xlfn.XLOOKUP(C1226,#REF!,#REF!)),0)</f>
        <v>2</v>
      </c>
      <c r="T1226" cm="1">
        <f t="array" ref="T1226">IFERROR(_xlfn.SWITCH(L1226,1,_xlfn.XLOOKUP(O1226,[1]AttributeName!$B:$B,[1]AttributeName!$E:$E),2,_xlfn.XLOOKUP(C1226,#REF!,#REF!),3,_xlfn.XLOOKUP(C1226,#REF!,#REF!)),0)</f>
        <v>2</v>
      </c>
    </row>
    <row r="1227" customFormat="1" spans="1:20">
      <c r="A1227">
        <f t="shared" si="52"/>
        <v>509</v>
      </c>
      <c r="B1227">
        <v>6</v>
      </c>
      <c r="C1227" t="s">
        <v>387</v>
      </c>
      <c r="D1227" t="s">
        <v>28</v>
      </c>
      <c r="E1227" t="s">
        <v>378</v>
      </c>
      <c r="F1227"/>
      <c r="G1227">
        <v>1</v>
      </c>
      <c r="H1227">
        <v>1000</v>
      </c>
      <c r="I1227">
        <v>3</v>
      </c>
      <c r="J1227" cm="1">
        <f t="array" ref="J1227">_xlfn.SWITCH(B1227,1,75,2,61,3,49,4,37,5,25,6,13,7,4,8,1)</f>
        <v>13</v>
      </c>
      <c r="K1227" t="str" cm="1">
        <f t="array" ref="K1227">IFERROR(_xlfn.SWITCH(L1227,2,_xlfn.XLOOKUP(C1227,[1]ModifierDes!$B:$B,[1]ModifierDes!$C:$C),3,_xlfn.XLOOKUP(C1227,[1]StuntDes!$B:$B,[1]StuntDes!$C:$C)),"")</f>
        <v/>
      </c>
      <c r="L1227">
        <f t="shared" si="53"/>
        <v>1</v>
      </c>
      <c r="M1227" s="10" t="str">
        <f>IFERROR(_xlfn.XLOOKUP(C1227,[1]StuntDes!$B:$B,[1]StuntDes!$A:$A),"")</f>
        <v/>
      </c>
      <c r="N1227" s="10" t="str">
        <f>IFERROR(_xlfn.XLOOKUP(C1227,[1]ModifierDes!$B:$B,[1]ModifierDes!$A:$A),"")</f>
        <v/>
      </c>
      <c r="O1227" s="10">
        <f>IFERROR(_xlfn.XLOOKUP(C1227,[1]AttributeName!$C:$C,[1]AttributeName!$B:$B),"")</f>
        <v>10306</v>
      </c>
      <c r="P1227" s="10"/>
      <c r="Q1227">
        <v>0.15</v>
      </c>
      <c r="R1227">
        <v>0.19</v>
      </c>
      <c r="S1227" cm="1">
        <f t="array" ref="S1227">IFERROR(_xlfn.SWITCH(L1227,1,_xlfn.XLOOKUP(O1227,[1]AttributeName!$B:$B,[1]AttributeName!$D:$D),2,_xlfn.XLOOKUP(C1227,#REF!,#REF!),3,_xlfn.XLOOKUP(C1227,#REF!,#REF!)),0)</f>
        <v>2</v>
      </c>
      <c r="T1227" cm="1">
        <f t="array" ref="T1227">IFERROR(_xlfn.SWITCH(L1227,1,_xlfn.XLOOKUP(O1227,[1]AttributeName!$B:$B,[1]AttributeName!$E:$E),2,_xlfn.XLOOKUP(C1227,#REF!,#REF!),3,_xlfn.XLOOKUP(C1227,#REF!,#REF!)),0)</f>
        <v>2</v>
      </c>
    </row>
    <row r="1228" customFormat="1" spans="1:20">
      <c r="A1228">
        <f t="shared" si="52"/>
        <v>509</v>
      </c>
      <c r="B1228">
        <v>7</v>
      </c>
      <c r="C1228" t="s">
        <v>387</v>
      </c>
      <c r="D1228" t="s">
        <v>28</v>
      </c>
      <c r="E1228" t="s">
        <v>378</v>
      </c>
      <c r="F1228"/>
      <c r="G1228">
        <v>1</v>
      </c>
      <c r="H1228">
        <v>1000</v>
      </c>
      <c r="I1228">
        <v>3</v>
      </c>
      <c r="J1228" cm="1">
        <f t="array" ref="J1228">_xlfn.SWITCH(B1228,1,75,2,61,3,49,4,37,5,25,6,13,7,4,8,1)</f>
        <v>4</v>
      </c>
      <c r="K1228" t="str" cm="1">
        <f t="array" ref="K1228">IFERROR(_xlfn.SWITCH(L1228,2,_xlfn.XLOOKUP(C1228,[1]ModifierDes!$B:$B,[1]ModifierDes!$C:$C),3,_xlfn.XLOOKUP(C1228,[1]StuntDes!$B:$B,[1]StuntDes!$C:$C)),"")</f>
        <v/>
      </c>
      <c r="L1228">
        <f t="shared" si="53"/>
        <v>1</v>
      </c>
      <c r="M1228" s="10" t="str">
        <f>IFERROR(_xlfn.XLOOKUP(C1228,[1]StuntDes!$B:$B,[1]StuntDes!$A:$A),"")</f>
        <v/>
      </c>
      <c r="N1228" s="10" t="str">
        <f>IFERROR(_xlfn.XLOOKUP(C1228,[1]ModifierDes!$B:$B,[1]ModifierDes!$A:$A),"")</f>
        <v/>
      </c>
      <c r="O1228" s="10">
        <f>IFERROR(_xlfn.XLOOKUP(C1228,[1]AttributeName!$C:$C,[1]AttributeName!$B:$B),"")</f>
        <v>10306</v>
      </c>
      <c r="P1228" s="10"/>
      <c r="Q1228">
        <v>0.11</v>
      </c>
      <c r="R1228">
        <v>0.14</v>
      </c>
      <c r="S1228" cm="1">
        <f t="array" ref="S1228">IFERROR(_xlfn.SWITCH(L1228,1,_xlfn.XLOOKUP(O1228,[1]AttributeName!$B:$B,[1]AttributeName!$D:$D),2,_xlfn.XLOOKUP(C1228,#REF!,#REF!),3,_xlfn.XLOOKUP(C1228,#REF!,#REF!)),0)</f>
        <v>2</v>
      </c>
      <c r="T1228" cm="1">
        <f t="array" ref="T1228">IFERROR(_xlfn.SWITCH(L1228,1,_xlfn.XLOOKUP(O1228,[1]AttributeName!$B:$B,[1]AttributeName!$E:$E),2,_xlfn.XLOOKUP(C1228,#REF!,#REF!),3,_xlfn.XLOOKUP(C1228,#REF!,#REF!)),0)</f>
        <v>2</v>
      </c>
    </row>
    <row r="1229" customFormat="1" spans="1:20">
      <c r="A1229">
        <f t="shared" si="52"/>
        <v>509</v>
      </c>
      <c r="B1229">
        <v>8</v>
      </c>
      <c r="C1229" t="s">
        <v>387</v>
      </c>
      <c r="D1229" t="s">
        <v>28</v>
      </c>
      <c r="E1229" t="s">
        <v>378</v>
      </c>
      <c r="F1229"/>
      <c r="G1229">
        <v>1</v>
      </c>
      <c r="H1229">
        <v>1000</v>
      </c>
      <c r="I1229">
        <v>3</v>
      </c>
      <c r="J1229" cm="1">
        <f t="array" ref="J1229">_xlfn.SWITCH(B1229,1,75,2,61,3,49,4,37,5,25,6,13,7,4,8,1)</f>
        <v>1</v>
      </c>
      <c r="K1229" t="str" cm="1">
        <f t="array" ref="K1229">IFERROR(_xlfn.SWITCH(L1229,2,_xlfn.XLOOKUP(C1229,[1]ModifierDes!$B:$B,[1]ModifierDes!$C:$C),3,_xlfn.XLOOKUP(C1229,[1]StuntDes!$B:$B,[1]StuntDes!$C:$C)),"")</f>
        <v/>
      </c>
      <c r="L1229">
        <f t="shared" si="53"/>
        <v>1</v>
      </c>
      <c r="M1229" s="10" t="str">
        <f>IFERROR(_xlfn.XLOOKUP(C1229,[1]StuntDes!$B:$B,[1]StuntDes!$A:$A),"")</f>
        <v/>
      </c>
      <c r="N1229" s="10" t="str">
        <f>IFERROR(_xlfn.XLOOKUP(C1229,[1]ModifierDes!$B:$B,[1]ModifierDes!$A:$A),"")</f>
        <v/>
      </c>
      <c r="O1229" s="10">
        <f>IFERROR(_xlfn.XLOOKUP(C1229,[1]AttributeName!$C:$C,[1]AttributeName!$B:$B),"")</f>
        <v>10306</v>
      </c>
      <c r="P1229" s="10"/>
      <c r="Q1229">
        <v>0.06</v>
      </c>
      <c r="R1229">
        <v>0.1</v>
      </c>
      <c r="S1229" cm="1">
        <f t="array" ref="S1229">IFERROR(_xlfn.SWITCH(L1229,1,_xlfn.XLOOKUP(O1229,[1]AttributeName!$B:$B,[1]AttributeName!$D:$D),2,_xlfn.XLOOKUP(C1229,#REF!,#REF!),3,_xlfn.XLOOKUP(C1229,#REF!,#REF!)),0)</f>
        <v>2</v>
      </c>
      <c r="T1229" cm="1">
        <f t="array" ref="T1229">IFERROR(_xlfn.SWITCH(L1229,1,_xlfn.XLOOKUP(O1229,[1]AttributeName!$B:$B,[1]AttributeName!$E:$E),2,_xlfn.XLOOKUP(C1229,#REF!,#REF!),3,_xlfn.XLOOKUP(C1229,#REF!,#REF!)),0)</f>
        <v>2</v>
      </c>
    </row>
    <row r="1230" customFormat="1" spans="1:20">
      <c r="A1230">
        <f t="shared" ref="A1230:A1261" si="54">A1222+1</f>
        <v>510</v>
      </c>
      <c r="B1230">
        <v>1</v>
      </c>
      <c r="C1230" t="s">
        <v>388</v>
      </c>
      <c r="D1230" t="s">
        <v>28</v>
      </c>
      <c r="E1230" t="s">
        <v>378</v>
      </c>
      <c r="F1230"/>
      <c r="G1230">
        <v>1</v>
      </c>
      <c r="H1230">
        <v>100</v>
      </c>
      <c r="I1230">
        <v>3</v>
      </c>
      <c r="J1230" cm="1">
        <f t="array" ref="J1230">_xlfn.SWITCH(B1230,1,75,2,61,3,49,4,37,5,25,6,13,7,4,8,1)</f>
        <v>75</v>
      </c>
      <c r="K1230" t="str" cm="1">
        <f t="array" ref="K1230">IFERROR(_xlfn.SWITCH(L1230,2,_xlfn.XLOOKUP(C1230,[1]ModifierDes!$B:$B,[1]ModifierDes!$C:$C),3,_xlfn.XLOOKUP(C1230,[1]StuntDes!$B:$B,[1]StuntDes!$C:$C)),"")</f>
        <v/>
      </c>
      <c r="L1230">
        <f t="shared" si="53"/>
        <v>1</v>
      </c>
      <c r="M1230" s="10" t="str">
        <f>IFERROR(_xlfn.XLOOKUP(C1230,[1]StuntDes!$B:$B,[1]StuntDes!$A:$A),"")</f>
        <v/>
      </c>
      <c r="N1230" s="10" t="str">
        <f>IFERROR(_xlfn.XLOOKUP(C1230,[1]ModifierDes!$B:$B,[1]ModifierDes!$A:$A),"")</f>
        <v/>
      </c>
      <c r="O1230" s="10">
        <f>IFERROR(_xlfn.XLOOKUP(C1230,[1]AttributeName!$C:$C,[1]AttributeName!$B:$B),"")</f>
        <v>10307</v>
      </c>
      <c r="P1230" s="10"/>
      <c r="Q1230">
        <v>0.38</v>
      </c>
      <c r="R1230">
        <v>0.5</v>
      </c>
      <c r="S1230" cm="1">
        <f t="array" ref="S1230">IFERROR(_xlfn.SWITCH(L1230,1,_xlfn.XLOOKUP(O1230,[1]AttributeName!$B:$B,[1]AttributeName!$D:$D),2,_xlfn.XLOOKUP(C1230,#REF!,#REF!),3,_xlfn.XLOOKUP(C1230,#REF!,#REF!)),0)</f>
        <v>2</v>
      </c>
      <c r="T1230" cm="1">
        <f t="array" ref="T1230">IFERROR(_xlfn.SWITCH(L1230,1,_xlfn.XLOOKUP(O1230,[1]AttributeName!$B:$B,[1]AttributeName!$E:$E),2,_xlfn.XLOOKUP(C1230,#REF!,#REF!),3,_xlfn.XLOOKUP(C1230,#REF!,#REF!)),0)</f>
        <v>2</v>
      </c>
    </row>
    <row r="1231" customFormat="1" spans="1:20">
      <c r="A1231">
        <f t="shared" si="54"/>
        <v>510</v>
      </c>
      <c r="B1231">
        <v>2</v>
      </c>
      <c r="C1231" t="s">
        <v>388</v>
      </c>
      <c r="D1231" t="s">
        <v>28</v>
      </c>
      <c r="E1231" t="s">
        <v>378</v>
      </c>
      <c r="F1231"/>
      <c r="G1231">
        <v>1</v>
      </c>
      <c r="H1231">
        <v>200</v>
      </c>
      <c r="I1231">
        <v>3</v>
      </c>
      <c r="J1231" cm="1">
        <f t="array" ref="J1231">_xlfn.SWITCH(B1231,1,75,2,61,3,49,4,37,5,25,6,13,7,4,8,1)</f>
        <v>61</v>
      </c>
      <c r="K1231" t="str" cm="1">
        <f t="array" ref="K1231">IFERROR(_xlfn.SWITCH(L1231,2,_xlfn.XLOOKUP(C1231,[1]ModifierDes!$B:$B,[1]ModifierDes!$C:$C),3,_xlfn.XLOOKUP(C1231,[1]StuntDes!$B:$B,[1]StuntDes!$C:$C)),"")</f>
        <v/>
      </c>
      <c r="L1231">
        <f t="shared" si="53"/>
        <v>1</v>
      </c>
      <c r="M1231" s="10" t="str">
        <f>IFERROR(_xlfn.XLOOKUP(C1231,[1]StuntDes!$B:$B,[1]StuntDes!$A:$A),"")</f>
        <v/>
      </c>
      <c r="N1231" s="10" t="str">
        <f>IFERROR(_xlfn.XLOOKUP(C1231,[1]ModifierDes!$B:$B,[1]ModifierDes!$A:$A),"")</f>
        <v/>
      </c>
      <c r="O1231" s="10">
        <f>IFERROR(_xlfn.XLOOKUP(C1231,[1]AttributeName!$C:$C,[1]AttributeName!$B:$B),"")</f>
        <v>10307</v>
      </c>
      <c r="P1231" s="10"/>
      <c r="Q1231">
        <v>0.33</v>
      </c>
      <c r="R1231">
        <v>0.37</v>
      </c>
      <c r="S1231" cm="1">
        <f t="array" ref="S1231">IFERROR(_xlfn.SWITCH(L1231,1,_xlfn.XLOOKUP(O1231,[1]AttributeName!$B:$B,[1]AttributeName!$D:$D),2,_xlfn.XLOOKUP(C1231,#REF!,#REF!),3,_xlfn.XLOOKUP(C1231,#REF!,#REF!)),0)</f>
        <v>2</v>
      </c>
      <c r="T1231" cm="1">
        <f t="array" ref="T1231">IFERROR(_xlfn.SWITCH(L1231,1,_xlfn.XLOOKUP(O1231,[1]AttributeName!$B:$B,[1]AttributeName!$E:$E),2,_xlfn.XLOOKUP(C1231,#REF!,#REF!),3,_xlfn.XLOOKUP(C1231,#REF!,#REF!)),0)</f>
        <v>2</v>
      </c>
    </row>
    <row r="1232" customFormat="1" spans="1:20">
      <c r="A1232">
        <f t="shared" si="54"/>
        <v>510</v>
      </c>
      <c r="B1232">
        <v>3</v>
      </c>
      <c r="C1232" t="s">
        <v>388</v>
      </c>
      <c r="D1232" t="s">
        <v>28</v>
      </c>
      <c r="E1232" t="s">
        <v>378</v>
      </c>
      <c r="F1232"/>
      <c r="G1232">
        <v>1</v>
      </c>
      <c r="H1232">
        <v>500</v>
      </c>
      <c r="I1232">
        <v>3</v>
      </c>
      <c r="J1232" cm="1">
        <f t="array" ref="J1232">_xlfn.SWITCH(B1232,1,75,2,61,3,49,4,37,5,25,6,13,7,4,8,1)</f>
        <v>49</v>
      </c>
      <c r="K1232" t="str" cm="1">
        <f t="array" ref="K1232">IFERROR(_xlfn.SWITCH(L1232,2,_xlfn.XLOOKUP(C1232,[1]ModifierDes!$B:$B,[1]ModifierDes!$C:$C),3,_xlfn.XLOOKUP(C1232,[1]StuntDes!$B:$B,[1]StuntDes!$C:$C)),"")</f>
        <v/>
      </c>
      <c r="L1232">
        <f t="shared" si="53"/>
        <v>1</v>
      </c>
      <c r="M1232" s="10" t="str">
        <f>IFERROR(_xlfn.XLOOKUP(C1232,[1]StuntDes!$B:$B,[1]StuntDes!$A:$A),"")</f>
        <v/>
      </c>
      <c r="N1232" s="10" t="str">
        <f>IFERROR(_xlfn.XLOOKUP(C1232,[1]ModifierDes!$B:$B,[1]ModifierDes!$A:$A),"")</f>
        <v/>
      </c>
      <c r="O1232" s="10">
        <f>IFERROR(_xlfn.XLOOKUP(C1232,[1]AttributeName!$C:$C,[1]AttributeName!$B:$B),"")</f>
        <v>10307</v>
      </c>
      <c r="P1232" s="10"/>
      <c r="Q1232">
        <v>0.29</v>
      </c>
      <c r="R1232">
        <v>0.32</v>
      </c>
      <c r="S1232" cm="1">
        <f t="array" ref="S1232">IFERROR(_xlfn.SWITCH(L1232,1,_xlfn.XLOOKUP(O1232,[1]AttributeName!$B:$B,[1]AttributeName!$D:$D),2,_xlfn.XLOOKUP(C1232,#REF!,#REF!),3,_xlfn.XLOOKUP(C1232,#REF!,#REF!)),0)</f>
        <v>2</v>
      </c>
      <c r="T1232" cm="1">
        <f t="array" ref="T1232">IFERROR(_xlfn.SWITCH(L1232,1,_xlfn.XLOOKUP(O1232,[1]AttributeName!$B:$B,[1]AttributeName!$E:$E),2,_xlfn.XLOOKUP(C1232,#REF!,#REF!),3,_xlfn.XLOOKUP(C1232,#REF!,#REF!)),0)</f>
        <v>2</v>
      </c>
    </row>
    <row r="1233" customFormat="1" spans="1:20">
      <c r="A1233">
        <f t="shared" si="54"/>
        <v>510</v>
      </c>
      <c r="B1233">
        <v>4</v>
      </c>
      <c r="C1233" t="s">
        <v>388</v>
      </c>
      <c r="D1233" t="s">
        <v>28</v>
      </c>
      <c r="E1233" t="s">
        <v>378</v>
      </c>
      <c r="F1233"/>
      <c r="G1233">
        <v>1</v>
      </c>
      <c r="H1233">
        <v>1000</v>
      </c>
      <c r="I1233">
        <v>3</v>
      </c>
      <c r="J1233" cm="1">
        <f t="array" ref="J1233">_xlfn.SWITCH(B1233,1,75,2,61,3,49,4,37,5,25,6,13,7,4,8,1)</f>
        <v>37</v>
      </c>
      <c r="K1233" t="str" cm="1">
        <f t="array" ref="K1233">IFERROR(_xlfn.SWITCH(L1233,2,_xlfn.XLOOKUP(C1233,[1]ModifierDes!$B:$B,[1]ModifierDes!$C:$C),3,_xlfn.XLOOKUP(C1233,[1]StuntDes!$B:$B,[1]StuntDes!$C:$C)),"")</f>
        <v/>
      </c>
      <c r="L1233">
        <f t="shared" si="53"/>
        <v>1</v>
      </c>
      <c r="M1233" s="10" t="str">
        <f>IFERROR(_xlfn.XLOOKUP(C1233,[1]StuntDes!$B:$B,[1]StuntDes!$A:$A),"")</f>
        <v/>
      </c>
      <c r="N1233" s="10" t="str">
        <f>IFERROR(_xlfn.XLOOKUP(C1233,[1]ModifierDes!$B:$B,[1]ModifierDes!$A:$A),"")</f>
        <v/>
      </c>
      <c r="O1233" s="10">
        <f>IFERROR(_xlfn.XLOOKUP(C1233,[1]AttributeName!$C:$C,[1]AttributeName!$B:$B),"")</f>
        <v>10307</v>
      </c>
      <c r="P1233" s="10"/>
      <c r="Q1233">
        <v>0.24</v>
      </c>
      <c r="R1233">
        <v>0.28</v>
      </c>
      <c r="S1233" cm="1">
        <f t="array" ref="S1233">IFERROR(_xlfn.SWITCH(L1233,1,_xlfn.XLOOKUP(O1233,[1]AttributeName!$B:$B,[1]AttributeName!$D:$D),2,_xlfn.XLOOKUP(C1233,#REF!,#REF!),3,_xlfn.XLOOKUP(C1233,#REF!,#REF!)),0)</f>
        <v>2</v>
      </c>
      <c r="T1233" cm="1">
        <f t="array" ref="T1233">IFERROR(_xlfn.SWITCH(L1233,1,_xlfn.XLOOKUP(O1233,[1]AttributeName!$B:$B,[1]AttributeName!$E:$E),2,_xlfn.XLOOKUP(C1233,#REF!,#REF!),3,_xlfn.XLOOKUP(C1233,#REF!,#REF!)),0)</f>
        <v>2</v>
      </c>
    </row>
    <row r="1234" customFormat="1" spans="1:20">
      <c r="A1234">
        <f t="shared" si="54"/>
        <v>510</v>
      </c>
      <c r="B1234">
        <v>5</v>
      </c>
      <c r="C1234" t="s">
        <v>388</v>
      </c>
      <c r="D1234" t="s">
        <v>28</v>
      </c>
      <c r="E1234" t="s">
        <v>378</v>
      </c>
      <c r="F1234"/>
      <c r="G1234">
        <v>1</v>
      </c>
      <c r="H1234">
        <v>1000</v>
      </c>
      <c r="I1234">
        <v>3</v>
      </c>
      <c r="J1234" cm="1">
        <f t="array" ref="J1234">_xlfn.SWITCH(B1234,1,75,2,61,3,49,4,37,5,25,6,13,7,4,8,1)</f>
        <v>25</v>
      </c>
      <c r="K1234" t="str" cm="1">
        <f t="array" ref="K1234">IFERROR(_xlfn.SWITCH(L1234,2,_xlfn.XLOOKUP(C1234,[1]ModifierDes!$B:$B,[1]ModifierDes!$C:$C),3,_xlfn.XLOOKUP(C1234,[1]StuntDes!$B:$B,[1]StuntDes!$C:$C)),"")</f>
        <v/>
      </c>
      <c r="L1234">
        <f t="shared" si="53"/>
        <v>1</v>
      </c>
      <c r="M1234" s="10" t="str">
        <f>IFERROR(_xlfn.XLOOKUP(C1234,[1]StuntDes!$B:$B,[1]StuntDes!$A:$A),"")</f>
        <v/>
      </c>
      <c r="N1234" s="10" t="str">
        <f>IFERROR(_xlfn.XLOOKUP(C1234,[1]ModifierDes!$B:$B,[1]ModifierDes!$A:$A),"")</f>
        <v/>
      </c>
      <c r="O1234" s="10">
        <f>IFERROR(_xlfn.XLOOKUP(C1234,[1]AttributeName!$C:$C,[1]AttributeName!$B:$B),"")</f>
        <v>10307</v>
      </c>
      <c r="P1234" s="10"/>
      <c r="Q1234">
        <v>0.2</v>
      </c>
      <c r="R1234">
        <v>0.23</v>
      </c>
      <c r="S1234" cm="1">
        <f t="array" ref="S1234">IFERROR(_xlfn.SWITCH(L1234,1,_xlfn.XLOOKUP(O1234,[1]AttributeName!$B:$B,[1]AttributeName!$D:$D),2,_xlfn.XLOOKUP(C1234,#REF!,#REF!),3,_xlfn.XLOOKUP(C1234,#REF!,#REF!)),0)</f>
        <v>2</v>
      </c>
      <c r="T1234" cm="1">
        <f t="array" ref="T1234">IFERROR(_xlfn.SWITCH(L1234,1,_xlfn.XLOOKUP(O1234,[1]AttributeName!$B:$B,[1]AttributeName!$E:$E),2,_xlfn.XLOOKUP(C1234,#REF!,#REF!),3,_xlfn.XLOOKUP(C1234,#REF!,#REF!)),0)</f>
        <v>2</v>
      </c>
    </row>
    <row r="1235" customFormat="1" spans="1:20">
      <c r="A1235">
        <f t="shared" si="54"/>
        <v>510</v>
      </c>
      <c r="B1235">
        <v>6</v>
      </c>
      <c r="C1235" t="s">
        <v>388</v>
      </c>
      <c r="D1235" t="s">
        <v>28</v>
      </c>
      <c r="E1235" t="s">
        <v>378</v>
      </c>
      <c r="F1235"/>
      <c r="G1235">
        <v>1</v>
      </c>
      <c r="H1235">
        <v>1000</v>
      </c>
      <c r="I1235">
        <v>3</v>
      </c>
      <c r="J1235" cm="1">
        <f t="array" ref="J1235">_xlfn.SWITCH(B1235,1,75,2,61,3,49,4,37,5,25,6,13,7,4,8,1)</f>
        <v>13</v>
      </c>
      <c r="K1235" t="str" cm="1">
        <f t="array" ref="K1235">IFERROR(_xlfn.SWITCH(L1235,2,_xlfn.XLOOKUP(C1235,[1]ModifierDes!$B:$B,[1]ModifierDes!$C:$C),3,_xlfn.XLOOKUP(C1235,[1]StuntDes!$B:$B,[1]StuntDes!$C:$C)),"")</f>
        <v/>
      </c>
      <c r="L1235">
        <f t="shared" si="53"/>
        <v>1</v>
      </c>
      <c r="M1235" s="10" t="str">
        <f>IFERROR(_xlfn.XLOOKUP(C1235,[1]StuntDes!$B:$B,[1]StuntDes!$A:$A),"")</f>
        <v/>
      </c>
      <c r="N1235" s="10" t="str">
        <f>IFERROR(_xlfn.XLOOKUP(C1235,[1]ModifierDes!$B:$B,[1]ModifierDes!$A:$A),"")</f>
        <v/>
      </c>
      <c r="O1235" s="10">
        <f>IFERROR(_xlfn.XLOOKUP(C1235,[1]AttributeName!$C:$C,[1]AttributeName!$B:$B),"")</f>
        <v>10307</v>
      </c>
      <c r="P1235" s="10"/>
      <c r="Q1235">
        <v>0.15</v>
      </c>
      <c r="R1235">
        <v>0.19</v>
      </c>
      <c r="S1235" cm="1">
        <f t="array" ref="S1235">IFERROR(_xlfn.SWITCH(L1235,1,_xlfn.XLOOKUP(O1235,[1]AttributeName!$B:$B,[1]AttributeName!$D:$D),2,_xlfn.XLOOKUP(C1235,#REF!,#REF!),3,_xlfn.XLOOKUP(C1235,#REF!,#REF!)),0)</f>
        <v>2</v>
      </c>
      <c r="T1235" cm="1">
        <f t="array" ref="T1235">IFERROR(_xlfn.SWITCH(L1235,1,_xlfn.XLOOKUP(O1235,[1]AttributeName!$B:$B,[1]AttributeName!$E:$E),2,_xlfn.XLOOKUP(C1235,#REF!,#REF!),3,_xlfn.XLOOKUP(C1235,#REF!,#REF!)),0)</f>
        <v>2</v>
      </c>
    </row>
    <row r="1236" customFormat="1" spans="1:20">
      <c r="A1236">
        <f t="shared" si="54"/>
        <v>510</v>
      </c>
      <c r="B1236">
        <v>7</v>
      </c>
      <c r="C1236" t="s">
        <v>388</v>
      </c>
      <c r="D1236" t="s">
        <v>28</v>
      </c>
      <c r="E1236" t="s">
        <v>378</v>
      </c>
      <c r="F1236"/>
      <c r="G1236">
        <v>1</v>
      </c>
      <c r="H1236">
        <v>1000</v>
      </c>
      <c r="I1236">
        <v>3</v>
      </c>
      <c r="J1236" cm="1">
        <f t="array" ref="J1236">_xlfn.SWITCH(B1236,1,75,2,61,3,49,4,37,5,25,6,13,7,4,8,1)</f>
        <v>4</v>
      </c>
      <c r="K1236" t="str" cm="1">
        <f t="array" ref="K1236">IFERROR(_xlfn.SWITCH(L1236,2,_xlfn.XLOOKUP(C1236,[1]ModifierDes!$B:$B,[1]ModifierDes!$C:$C),3,_xlfn.XLOOKUP(C1236,[1]StuntDes!$B:$B,[1]StuntDes!$C:$C)),"")</f>
        <v/>
      </c>
      <c r="L1236">
        <f t="shared" si="53"/>
        <v>1</v>
      </c>
      <c r="M1236" s="10" t="str">
        <f>IFERROR(_xlfn.XLOOKUP(C1236,[1]StuntDes!$B:$B,[1]StuntDes!$A:$A),"")</f>
        <v/>
      </c>
      <c r="N1236" s="10" t="str">
        <f>IFERROR(_xlfn.XLOOKUP(C1236,[1]ModifierDes!$B:$B,[1]ModifierDes!$A:$A),"")</f>
        <v/>
      </c>
      <c r="O1236" s="10">
        <f>IFERROR(_xlfn.XLOOKUP(C1236,[1]AttributeName!$C:$C,[1]AttributeName!$B:$B),"")</f>
        <v>10307</v>
      </c>
      <c r="P1236" s="10"/>
      <c r="Q1236">
        <v>0.11</v>
      </c>
      <c r="R1236">
        <v>0.14</v>
      </c>
      <c r="S1236" cm="1">
        <f t="array" ref="S1236">IFERROR(_xlfn.SWITCH(L1236,1,_xlfn.XLOOKUP(O1236,[1]AttributeName!$B:$B,[1]AttributeName!$D:$D),2,_xlfn.XLOOKUP(C1236,#REF!,#REF!),3,_xlfn.XLOOKUP(C1236,#REF!,#REF!)),0)</f>
        <v>2</v>
      </c>
      <c r="T1236" cm="1">
        <f t="array" ref="T1236">IFERROR(_xlfn.SWITCH(L1236,1,_xlfn.XLOOKUP(O1236,[1]AttributeName!$B:$B,[1]AttributeName!$E:$E),2,_xlfn.XLOOKUP(C1236,#REF!,#REF!),3,_xlfn.XLOOKUP(C1236,#REF!,#REF!)),0)</f>
        <v>2</v>
      </c>
    </row>
    <row r="1237" customFormat="1" spans="1:20">
      <c r="A1237">
        <f t="shared" si="54"/>
        <v>510</v>
      </c>
      <c r="B1237">
        <v>8</v>
      </c>
      <c r="C1237" t="s">
        <v>388</v>
      </c>
      <c r="D1237" t="s">
        <v>28</v>
      </c>
      <c r="E1237" t="s">
        <v>378</v>
      </c>
      <c r="F1237"/>
      <c r="G1237">
        <v>1</v>
      </c>
      <c r="H1237">
        <v>1000</v>
      </c>
      <c r="I1237">
        <v>3</v>
      </c>
      <c r="J1237" cm="1">
        <f t="array" ref="J1237">_xlfn.SWITCH(B1237,1,75,2,61,3,49,4,37,5,25,6,13,7,4,8,1)</f>
        <v>1</v>
      </c>
      <c r="K1237" t="str" cm="1">
        <f t="array" ref="K1237">IFERROR(_xlfn.SWITCH(L1237,2,_xlfn.XLOOKUP(C1237,[1]ModifierDes!$B:$B,[1]ModifierDes!$C:$C),3,_xlfn.XLOOKUP(C1237,[1]StuntDes!$B:$B,[1]StuntDes!$C:$C)),"")</f>
        <v/>
      </c>
      <c r="L1237">
        <f t="shared" si="53"/>
        <v>1</v>
      </c>
      <c r="M1237" s="10" t="str">
        <f>IFERROR(_xlfn.XLOOKUP(C1237,[1]StuntDes!$B:$B,[1]StuntDes!$A:$A),"")</f>
        <v/>
      </c>
      <c r="N1237" s="10" t="str">
        <f>IFERROR(_xlfn.XLOOKUP(C1237,[1]ModifierDes!$B:$B,[1]ModifierDes!$A:$A),"")</f>
        <v/>
      </c>
      <c r="O1237" s="10">
        <f>IFERROR(_xlfn.XLOOKUP(C1237,[1]AttributeName!$C:$C,[1]AttributeName!$B:$B),"")</f>
        <v>10307</v>
      </c>
      <c r="P1237" s="10"/>
      <c r="Q1237">
        <v>0.06</v>
      </c>
      <c r="R1237">
        <v>0.1</v>
      </c>
      <c r="S1237" cm="1">
        <f t="array" ref="S1237">IFERROR(_xlfn.SWITCH(L1237,1,_xlfn.XLOOKUP(O1237,[1]AttributeName!$B:$B,[1]AttributeName!$D:$D),2,_xlfn.XLOOKUP(C1237,#REF!,#REF!),3,_xlfn.XLOOKUP(C1237,#REF!,#REF!)),0)</f>
        <v>2</v>
      </c>
      <c r="T1237" cm="1">
        <f t="array" ref="T1237">IFERROR(_xlfn.SWITCH(L1237,1,_xlfn.XLOOKUP(O1237,[1]AttributeName!$B:$B,[1]AttributeName!$E:$E),2,_xlfn.XLOOKUP(C1237,#REF!,#REF!),3,_xlfn.XLOOKUP(C1237,#REF!,#REF!)),0)</f>
        <v>2</v>
      </c>
    </row>
    <row r="1238" customFormat="1" spans="1:20">
      <c r="A1238">
        <f t="shared" si="54"/>
        <v>511</v>
      </c>
      <c r="B1238">
        <v>1</v>
      </c>
      <c r="C1238" t="s">
        <v>389</v>
      </c>
      <c r="D1238" t="s">
        <v>28</v>
      </c>
      <c r="E1238" t="s">
        <v>378</v>
      </c>
      <c r="F1238"/>
      <c r="G1238">
        <v>1</v>
      </c>
      <c r="H1238">
        <v>1000</v>
      </c>
      <c r="J1238" cm="1">
        <f t="array" ref="J1238">_xlfn.SWITCH(B1238,1,75,2,61,3,49,4,37,5,25,6,13,7,4,8,1)</f>
        <v>75</v>
      </c>
      <c r="K1238" t="str" cm="1">
        <f t="array" ref="K1238">IFERROR(_xlfn.SWITCH(L1238,2,_xlfn.XLOOKUP(C1238,[1]ModifierDes!$B:$B,[1]ModifierDes!$C:$C),3,_xlfn.XLOOKUP(C1238,[1]StuntDes!$B:$B,[1]StuntDes!$C:$C)),"")</f>
        <v/>
      </c>
      <c r="L1238">
        <f t="shared" si="53"/>
        <v>1</v>
      </c>
      <c r="M1238" s="10" t="str">
        <f>IFERROR(_xlfn.XLOOKUP(C1238,[1]StuntDes!$B:$B,[1]StuntDes!$A:$A),"")</f>
        <v/>
      </c>
      <c r="N1238" s="10" t="str">
        <f>IFERROR(_xlfn.XLOOKUP(C1238,[1]ModifierDes!$B:$B,[1]ModifierDes!$A:$A),"")</f>
        <v/>
      </c>
      <c r="O1238" s="10">
        <f>IFERROR(_xlfn.XLOOKUP(C1238,[1]AttributeName!$C:$C,[1]AttributeName!$B:$B),"")</f>
        <v>10001</v>
      </c>
      <c r="P1238" s="10"/>
      <c r="Q1238">
        <v>950</v>
      </c>
      <c r="R1238">
        <v>1050</v>
      </c>
      <c r="S1238" cm="1">
        <f t="array" ref="S1238">IFERROR(_xlfn.SWITCH(L1238,1,_xlfn.XLOOKUP(O1238,[1]AttributeName!$B:$B,[1]AttributeName!$D:$D),2,_xlfn.XLOOKUP(C1238,#REF!,#REF!),3,_xlfn.XLOOKUP(C1238,#REF!,#REF!)),0)</f>
        <v>0</v>
      </c>
      <c r="T1238" cm="1">
        <f t="array" ref="T1238">IFERROR(_xlfn.SWITCH(L1238,1,_xlfn.XLOOKUP(O1238,[1]AttributeName!$B:$B,[1]AttributeName!$E:$E),2,_xlfn.XLOOKUP(C1238,#REF!,#REF!),3,_xlfn.XLOOKUP(C1238,#REF!,#REF!)),0)</f>
        <v>1</v>
      </c>
    </row>
    <row r="1239" customFormat="1" spans="1:20">
      <c r="A1239">
        <f t="shared" si="54"/>
        <v>511</v>
      </c>
      <c r="B1239">
        <v>2</v>
      </c>
      <c r="C1239" t="s">
        <v>389</v>
      </c>
      <c r="D1239" t="s">
        <v>28</v>
      </c>
      <c r="E1239" t="s">
        <v>378</v>
      </c>
      <c r="F1239"/>
      <c r="G1239">
        <v>1</v>
      </c>
      <c r="H1239">
        <v>1000</v>
      </c>
      <c r="J1239" cm="1">
        <f t="array" ref="J1239">_xlfn.SWITCH(B1239,1,75,2,61,3,49,4,37,5,25,6,13,7,4,8,1)</f>
        <v>61</v>
      </c>
      <c r="K1239" t="str" cm="1">
        <f t="array" ref="K1239">IFERROR(_xlfn.SWITCH(L1239,2,_xlfn.XLOOKUP(C1239,[1]ModifierDes!$B:$B,[1]ModifierDes!$C:$C),3,_xlfn.XLOOKUP(C1239,[1]StuntDes!$B:$B,[1]StuntDes!$C:$C)),"")</f>
        <v/>
      </c>
      <c r="L1239">
        <f t="shared" si="53"/>
        <v>1</v>
      </c>
      <c r="M1239" s="10" t="str">
        <f>IFERROR(_xlfn.XLOOKUP(C1239,[1]StuntDes!$B:$B,[1]StuntDes!$A:$A),"")</f>
        <v/>
      </c>
      <c r="N1239" s="10" t="str">
        <f>IFERROR(_xlfn.XLOOKUP(C1239,[1]ModifierDes!$B:$B,[1]ModifierDes!$A:$A),"")</f>
        <v/>
      </c>
      <c r="O1239" s="10">
        <f>IFERROR(_xlfn.XLOOKUP(C1239,[1]AttributeName!$C:$C,[1]AttributeName!$B:$B),"")</f>
        <v>10001</v>
      </c>
      <c r="P1239" s="10"/>
      <c r="Q1239">
        <v>520</v>
      </c>
      <c r="R1239">
        <v>600</v>
      </c>
      <c r="S1239" cm="1">
        <f t="array" ref="S1239">IFERROR(_xlfn.SWITCH(L1239,1,_xlfn.XLOOKUP(O1239,[1]AttributeName!$B:$B,[1]AttributeName!$D:$D),2,_xlfn.XLOOKUP(C1239,#REF!,#REF!),3,_xlfn.XLOOKUP(C1239,#REF!,#REF!)),0)</f>
        <v>0</v>
      </c>
      <c r="T1239" cm="1">
        <f t="array" ref="T1239">IFERROR(_xlfn.SWITCH(L1239,1,_xlfn.XLOOKUP(O1239,[1]AttributeName!$B:$B,[1]AttributeName!$E:$E),2,_xlfn.XLOOKUP(C1239,#REF!,#REF!),3,_xlfn.XLOOKUP(C1239,#REF!,#REF!)),0)</f>
        <v>1</v>
      </c>
    </row>
    <row r="1240" customFormat="1" spans="1:20">
      <c r="A1240">
        <f t="shared" si="54"/>
        <v>511</v>
      </c>
      <c r="B1240">
        <v>3</v>
      </c>
      <c r="C1240" t="s">
        <v>389</v>
      </c>
      <c r="D1240" t="s">
        <v>28</v>
      </c>
      <c r="E1240" t="s">
        <v>378</v>
      </c>
      <c r="F1240"/>
      <c r="G1240">
        <v>1</v>
      </c>
      <c r="H1240">
        <v>1000</v>
      </c>
      <c r="J1240" cm="1">
        <f t="array" ref="J1240">_xlfn.SWITCH(B1240,1,75,2,61,3,49,4,37,5,25,6,13,7,4,8,1)</f>
        <v>49</v>
      </c>
      <c r="K1240" t="str" cm="1">
        <f t="array" ref="K1240">IFERROR(_xlfn.SWITCH(L1240,2,_xlfn.XLOOKUP(C1240,[1]ModifierDes!$B:$B,[1]ModifierDes!$C:$C),3,_xlfn.XLOOKUP(C1240,[1]StuntDes!$B:$B,[1]StuntDes!$C:$C)),"")</f>
        <v/>
      </c>
      <c r="L1240">
        <f t="shared" si="53"/>
        <v>1</v>
      </c>
      <c r="M1240" s="10" t="str">
        <f>IFERROR(_xlfn.XLOOKUP(C1240,[1]StuntDes!$B:$B,[1]StuntDes!$A:$A),"")</f>
        <v/>
      </c>
      <c r="N1240" s="10" t="str">
        <f>IFERROR(_xlfn.XLOOKUP(C1240,[1]ModifierDes!$B:$B,[1]ModifierDes!$A:$A),"")</f>
        <v/>
      </c>
      <c r="O1240" s="10">
        <f>IFERROR(_xlfn.XLOOKUP(C1240,[1]AttributeName!$C:$C,[1]AttributeName!$B:$B),"")</f>
        <v>10001</v>
      </c>
      <c r="P1240" s="10"/>
      <c r="Q1240">
        <v>250</v>
      </c>
      <c r="R1240">
        <v>310</v>
      </c>
      <c r="S1240" cm="1">
        <f t="array" ref="S1240">IFERROR(_xlfn.SWITCH(L1240,1,_xlfn.XLOOKUP(O1240,[1]AttributeName!$B:$B,[1]AttributeName!$D:$D),2,_xlfn.XLOOKUP(C1240,#REF!,#REF!),3,_xlfn.XLOOKUP(C1240,#REF!,#REF!)),0)</f>
        <v>0</v>
      </c>
      <c r="T1240" cm="1">
        <f t="array" ref="T1240">IFERROR(_xlfn.SWITCH(L1240,1,_xlfn.XLOOKUP(O1240,[1]AttributeName!$B:$B,[1]AttributeName!$E:$E),2,_xlfn.XLOOKUP(C1240,#REF!,#REF!),3,_xlfn.XLOOKUP(C1240,#REF!,#REF!)),0)</f>
        <v>1</v>
      </c>
    </row>
    <row r="1241" customFormat="1" spans="1:20">
      <c r="A1241">
        <f t="shared" si="54"/>
        <v>511</v>
      </c>
      <c r="B1241">
        <v>4</v>
      </c>
      <c r="C1241" t="s">
        <v>389</v>
      </c>
      <c r="D1241" t="s">
        <v>28</v>
      </c>
      <c r="E1241" t="s">
        <v>378</v>
      </c>
      <c r="F1241"/>
      <c r="G1241">
        <v>1</v>
      </c>
      <c r="H1241">
        <v>1000</v>
      </c>
      <c r="J1241" cm="1">
        <f t="array" ref="J1241">_xlfn.SWITCH(B1241,1,75,2,61,3,49,4,37,5,25,6,13,7,4,8,1)</f>
        <v>37</v>
      </c>
      <c r="K1241" t="str" cm="1">
        <f t="array" ref="K1241">IFERROR(_xlfn.SWITCH(L1241,2,_xlfn.XLOOKUP(C1241,[1]ModifierDes!$B:$B,[1]ModifierDes!$C:$C),3,_xlfn.XLOOKUP(C1241,[1]StuntDes!$B:$B,[1]StuntDes!$C:$C)),"")</f>
        <v/>
      </c>
      <c r="L1241">
        <f t="shared" si="53"/>
        <v>1</v>
      </c>
      <c r="M1241" s="10" t="str">
        <f>IFERROR(_xlfn.XLOOKUP(C1241,[1]StuntDes!$B:$B,[1]StuntDes!$A:$A),"")</f>
        <v/>
      </c>
      <c r="N1241" s="10" t="str">
        <f>IFERROR(_xlfn.XLOOKUP(C1241,[1]ModifierDes!$B:$B,[1]ModifierDes!$A:$A),"")</f>
        <v/>
      </c>
      <c r="O1241" s="10">
        <f>IFERROR(_xlfn.XLOOKUP(C1241,[1]AttributeName!$C:$C,[1]AttributeName!$B:$B),"")</f>
        <v>10001</v>
      </c>
      <c r="P1241" s="10"/>
      <c r="Q1241">
        <v>120</v>
      </c>
      <c r="R1241">
        <v>160</v>
      </c>
      <c r="S1241" cm="1">
        <f t="array" ref="S1241">IFERROR(_xlfn.SWITCH(L1241,1,_xlfn.XLOOKUP(O1241,[1]AttributeName!$B:$B,[1]AttributeName!$D:$D),2,_xlfn.XLOOKUP(C1241,#REF!,#REF!),3,_xlfn.XLOOKUP(C1241,#REF!,#REF!)),0)</f>
        <v>0</v>
      </c>
      <c r="T1241" cm="1">
        <f t="array" ref="T1241">IFERROR(_xlfn.SWITCH(L1241,1,_xlfn.XLOOKUP(O1241,[1]AttributeName!$B:$B,[1]AttributeName!$E:$E),2,_xlfn.XLOOKUP(C1241,#REF!,#REF!),3,_xlfn.XLOOKUP(C1241,#REF!,#REF!)),0)</f>
        <v>1</v>
      </c>
    </row>
    <row r="1242" customFormat="1" spans="1:20">
      <c r="A1242">
        <f t="shared" si="54"/>
        <v>511</v>
      </c>
      <c r="B1242">
        <v>5</v>
      </c>
      <c r="C1242" t="s">
        <v>389</v>
      </c>
      <c r="D1242" t="s">
        <v>28</v>
      </c>
      <c r="E1242" t="s">
        <v>378</v>
      </c>
      <c r="F1242"/>
      <c r="G1242">
        <v>1</v>
      </c>
      <c r="H1242">
        <v>1000</v>
      </c>
      <c r="J1242" cm="1">
        <f t="array" ref="J1242">_xlfn.SWITCH(B1242,1,75,2,61,3,49,4,37,5,25,6,13,7,4,8,1)</f>
        <v>25</v>
      </c>
      <c r="K1242" t="str" cm="1">
        <f t="array" ref="K1242">IFERROR(_xlfn.SWITCH(L1242,2,_xlfn.XLOOKUP(C1242,[1]ModifierDes!$B:$B,[1]ModifierDes!$C:$C),3,_xlfn.XLOOKUP(C1242,[1]StuntDes!$B:$B,[1]StuntDes!$C:$C)),"")</f>
        <v/>
      </c>
      <c r="L1242">
        <f t="shared" si="53"/>
        <v>1</v>
      </c>
      <c r="M1242" s="10" t="str">
        <f>IFERROR(_xlfn.XLOOKUP(C1242,[1]StuntDes!$B:$B,[1]StuntDes!$A:$A),"")</f>
        <v/>
      </c>
      <c r="N1242" s="10" t="str">
        <f>IFERROR(_xlfn.XLOOKUP(C1242,[1]ModifierDes!$B:$B,[1]ModifierDes!$A:$A),"")</f>
        <v/>
      </c>
      <c r="O1242" s="10">
        <f>IFERROR(_xlfn.XLOOKUP(C1242,[1]AttributeName!$C:$C,[1]AttributeName!$B:$B),"")</f>
        <v>10001</v>
      </c>
      <c r="P1242" s="10"/>
      <c r="Q1242">
        <v>60</v>
      </c>
      <c r="R1242">
        <v>80</v>
      </c>
      <c r="S1242" cm="1">
        <f t="array" ref="S1242">IFERROR(_xlfn.SWITCH(L1242,1,_xlfn.XLOOKUP(O1242,[1]AttributeName!$B:$B,[1]AttributeName!$D:$D),2,_xlfn.XLOOKUP(C1242,#REF!,#REF!),3,_xlfn.XLOOKUP(C1242,#REF!,#REF!)),0)</f>
        <v>0</v>
      </c>
      <c r="T1242" cm="1">
        <f t="array" ref="T1242">IFERROR(_xlfn.SWITCH(L1242,1,_xlfn.XLOOKUP(O1242,[1]AttributeName!$B:$B,[1]AttributeName!$E:$E),2,_xlfn.XLOOKUP(C1242,#REF!,#REF!),3,_xlfn.XLOOKUP(C1242,#REF!,#REF!)),0)</f>
        <v>1</v>
      </c>
    </row>
    <row r="1243" customFormat="1" spans="1:20">
      <c r="A1243">
        <f t="shared" si="54"/>
        <v>511</v>
      </c>
      <c r="B1243">
        <v>6</v>
      </c>
      <c r="C1243" t="s">
        <v>389</v>
      </c>
      <c r="D1243" t="s">
        <v>28</v>
      </c>
      <c r="E1243" t="s">
        <v>378</v>
      </c>
      <c r="F1243"/>
      <c r="G1243">
        <v>1</v>
      </c>
      <c r="H1243">
        <v>1000</v>
      </c>
      <c r="J1243" cm="1">
        <f t="array" ref="J1243">_xlfn.SWITCH(B1243,1,75,2,61,3,49,4,37,5,25,6,13,7,4,8,1)</f>
        <v>13</v>
      </c>
      <c r="K1243" t="str" cm="1">
        <f t="array" ref="K1243">IFERROR(_xlfn.SWITCH(L1243,2,_xlfn.XLOOKUP(C1243,[1]ModifierDes!$B:$B,[1]ModifierDes!$C:$C),3,_xlfn.XLOOKUP(C1243,[1]StuntDes!$B:$B,[1]StuntDes!$C:$C)),"")</f>
        <v/>
      </c>
      <c r="L1243">
        <f t="shared" si="53"/>
        <v>1</v>
      </c>
      <c r="M1243" s="10" t="str">
        <f>IFERROR(_xlfn.XLOOKUP(C1243,[1]StuntDes!$B:$B,[1]StuntDes!$A:$A),"")</f>
        <v/>
      </c>
      <c r="N1243" s="10" t="str">
        <f>IFERROR(_xlfn.XLOOKUP(C1243,[1]ModifierDes!$B:$B,[1]ModifierDes!$A:$A),"")</f>
        <v/>
      </c>
      <c r="O1243" s="10">
        <f>IFERROR(_xlfn.XLOOKUP(C1243,[1]AttributeName!$C:$C,[1]AttributeName!$B:$B),"")</f>
        <v>10001</v>
      </c>
      <c r="P1243" s="10"/>
      <c r="Q1243">
        <v>30</v>
      </c>
      <c r="R1243">
        <v>40</v>
      </c>
      <c r="S1243" cm="1">
        <f t="array" ref="S1243">IFERROR(_xlfn.SWITCH(L1243,1,_xlfn.XLOOKUP(O1243,[1]AttributeName!$B:$B,[1]AttributeName!$D:$D),2,_xlfn.XLOOKUP(C1243,#REF!,#REF!),3,_xlfn.XLOOKUP(C1243,#REF!,#REF!)),0)</f>
        <v>0</v>
      </c>
      <c r="T1243" cm="1">
        <f t="array" ref="T1243">IFERROR(_xlfn.SWITCH(L1243,1,_xlfn.XLOOKUP(O1243,[1]AttributeName!$B:$B,[1]AttributeName!$E:$E),2,_xlfn.XLOOKUP(C1243,#REF!,#REF!),3,_xlfn.XLOOKUP(C1243,#REF!,#REF!)),0)</f>
        <v>1</v>
      </c>
    </row>
    <row r="1244" customFormat="1" spans="1:20">
      <c r="A1244">
        <f t="shared" si="54"/>
        <v>511</v>
      </c>
      <c r="B1244">
        <v>7</v>
      </c>
      <c r="C1244" t="s">
        <v>389</v>
      </c>
      <c r="D1244" t="s">
        <v>28</v>
      </c>
      <c r="E1244" t="s">
        <v>378</v>
      </c>
      <c r="F1244"/>
      <c r="G1244">
        <v>1</v>
      </c>
      <c r="H1244">
        <v>1000</v>
      </c>
      <c r="J1244" cm="1">
        <f t="array" ref="J1244">_xlfn.SWITCH(B1244,1,75,2,61,3,49,4,37,5,25,6,13,7,4,8,1)</f>
        <v>4</v>
      </c>
      <c r="K1244" t="str" cm="1">
        <f t="array" ref="K1244">IFERROR(_xlfn.SWITCH(L1244,2,_xlfn.XLOOKUP(C1244,[1]ModifierDes!$B:$B,[1]ModifierDes!$C:$C),3,_xlfn.XLOOKUP(C1244,[1]StuntDes!$B:$B,[1]StuntDes!$C:$C)),"")</f>
        <v/>
      </c>
      <c r="L1244">
        <f t="shared" si="53"/>
        <v>1</v>
      </c>
      <c r="M1244" s="10" t="str">
        <f>IFERROR(_xlfn.XLOOKUP(C1244,[1]StuntDes!$B:$B,[1]StuntDes!$A:$A),"")</f>
        <v/>
      </c>
      <c r="N1244" s="10" t="str">
        <f>IFERROR(_xlfn.XLOOKUP(C1244,[1]ModifierDes!$B:$B,[1]ModifierDes!$A:$A),"")</f>
        <v/>
      </c>
      <c r="O1244" s="10">
        <f>IFERROR(_xlfn.XLOOKUP(C1244,[1]AttributeName!$C:$C,[1]AttributeName!$B:$B),"")</f>
        <v>10001</v>
      </c>
      <c r="P1244" s="10"/>
      <c r="Q1244">
        <v>12</v>
      </c>
      <c r="R1244">
        <v>20</v>
      </c>
      <c r="S1244" cm="1">
        <f t="array" ref="S1244">IFERROR(_xlfn.SWITCH(L1244,1,_xlfn.XLOOKUP(O1244,[1]AttributeName!$B:$B,[1]AttributeName!$D:$D),2,_xlfn.XLOOKUP(C1244,#REF!,#REF!),3,_xlfn.XLOOKUP(C1244,#REF!,#REF!)),0)</f>
        <v>0</v>
      </c>
      <c r="T1244" cm="1">
        <f t="array" ref="T1244">IFERROR(_xlfn.SWITCH(L1244,1,_xlfn.XLOOKUP(O1244,[1]AttributeName!$B:$B,[1]AttributeName!$E:$E),2,_xlfn.XLOOKUP(C1244,#REF!,#REF!),3,_xlfn.XLOOKUP(C1244,#REF!,#REF!)),0)</f>
        <v>1</v>
      </c>
    </row>
    <row r="1245" customFormat="1" spans="1:20">
      <c r="A1245">
        <f t="shared" si="54"/>
        <v>511</v>
      </c>
      <c r="B1245">
        <v>8</v>
      </c>
      <c r="C1245" t="s">
        <v>389</v>
      </c>
      <c r="D1245" t="s">
        <v>28</v>
      </c>
      <c r="E1245" t="s">
        <v>378</v>
      </c>
      <c r="F1245"/>
      <c r="G1245">
        <v>1</v>
      </c>
      <c r="H1245">
        <v>1000</v>
      </c>
      <c r="J1245" cm="1">
        <f t="array" ref="J1245">_xlfn.SWITCH(B1245,1,75,2,61,3,49,4,37,5,25,6,13,7,4,8,1)</f>
        <v>1</v>
      </c>
      <c r="K1245" t="str" cm="1">
        <f t="array" ref="K1245">IFERROR(_xlfn.SWITCH(L1245,2,_xlfn.XLOOKUP(C1245,[1]ModifierDes!$B:$B,[1]ModifierDes!$C:$C),3,_xlfn.XLOOKUP(C1245,[1]StuntDes!$B:$B,[1]StuntDes!$C:$C)),"")</f>
        <v/>
      </c>
      <c r="L1245">
        <f t="shared" si="53"/>
        <v>1</v>
      </c>
      <c r="M1245" s="10" t="str">
        <f>IFERROR(_xlfn.XLOOKUP(C1245,[1]StuntDes!$B:$B,[1]StuntDes!$A:$A),"")</f>
        <v/>
      </c>
      <c r="N1245" s="10" t="str">
        <f>IFERROR(_xlfn.XLOOKUP(C1245,[1]ModifierDes!$B:$B,[1]ModifierDes!$A:$A),"")</f>
        <v/>
      </c>
      <c r="O1245" s="10">
        <f>IFERROR(_xlfn.XLOOKUP(C1245,[1]AttributeName!$C:$C,[1]AttributeName!$B:$B),"")</f>
        <v>10001</v>
      </c>
      <c r="P1245" s="10"/>
      <c r="Q1245">
        <v>6</v>
      </c>
      <c r="R1245">
        <v>10</v>
      </c>
      <c r="S1245" cm="1">
        <f t="array" ref="S1245">IFERROR(_xlfn.SWITCH(L1245,1,_xlfn.XLOOKUP(O1245,[1]AttributeName!$B:$B,[1]AttributeName!$D:$D),2,_xlfn.XLOOKUP(C1245,#REF!,#REF!),3,_xlfn.XLOOKUP(C1245,#REF!,#REF!)),0)</f>
        <v>0</v>
      </c>
      <c r="T1245" cm="1">
        <f t="array" ref="T1245">IFERROR(_xlfn.SWITCH(L1245,1,_xlfn.XLOOKUP(O1245,[1]AttributeName!$B:$B,[1]AttributeName!$E:$E),2,_xlfn.XLOOKUP(C1245,#REF!,#REF!),3,_xlfn.XLOOKUP(C1245,#REF!,#REF!)),0)</f>
        <v>1</v>
      </c>
    </row>
    <row r="1246" customFormat="1" spans="1:20">
      <c r="A1246">
        <f t="shared" si="54"/>
        <v>512</v>
      </c>
      <c r="B1246">
        <v>1</v>
      </c>
      <c r="C1246" t="s">
        <v>416</v>
      </c>
      <c r="D1246" t="s">
        <v>28</v>
      </c>
      <c r="E1246" t="s">
        <v>378</v>
      </c>
      <c r="F1246"/>
      <c r="G1246">
        <v>1</v>
      </c>
      <c r="H1246">
        <v>1000</v>
      </c>
      <c r="J1246" cm="1">
        <f t="array" ref="J1246">_xlfn.SWITCH(B1246,1,75,2,61,3,49,4,37,5,25,6,13,7,4,8,1)</f>
        <v>75</v>
      </c>
      <c r="K1246" t="str" cm="1">
        <f t="array" ref="K1246">IFERROR(_xlfn.SWITCH(L1246,2,_xlfn.XLOOKUP(C1246,[1]ModifierDes!$B:$B,[1]ModifierDes!$C:$C),3,_xlfn.XLOOKUP(C1246,[1]StuntDes!$B:$B,[1]StuntDes!$C:$C)),"")</f>
        <v/>
      </c>
      <c r="L1246">
        <f t="shared" si="53"/>
        <v>1</v>
      </c>
      <c r="M1246" s="10" t="str">
        <f>IFERROR(_xlfn.XLOOKUP(C1246,[1]StuntDes!$B:$B,[1]StuntDes!$A:$A),"")</f>
        <v/>
      </c>
      <c r="N1246" s="10" t="str">
        <f>IFERROR(_xlfn.XLOOKUP(C1246,[1]ModifierDes!$B:$B,[1]ModifierDes!$A:$A),"")</f>
        <v/>
      </c>
      <c r="O1246" s="10">
        <f>IFERROR(_xlfn.XLOOKUP(C1246,[1]AttributeName!$C:$C,[1]AttributeName!$B:$B),"")</f>
        <v>10002</v>
      </c>
      <c r="P1246" s="10"/>
      <c r="Q1246">
        <v>36</v>
      </c>
      <c r="R1246">
        <v>40</v>
      </c>
      <c r="S1246" cm="1">
        <f t="array" ref="S1246">IFERROR(_xlfn.SWITCH(L1246,1,_xlfn.XLOOKUP(O1246,[1]AttributeName!$B:$B,[1]AttributeName!$D:$D),2,_xlfn.XLOOKUP(C1246,#REF!,#REF!),3,_xlfn.XLOOKUP(C1246,#REF!,#REF!)),0)</f>
        <v>0</v>
      </c>
      <c r="T1246" cm="1">
        <f t="array" ref="T1246">IFERROR(_xlfn.SWITCH(L1246,1,_xlfn.XLOOKUP(O1246,[1]AttributeName!$B:$B,[1]AttributeName!$E:$E),2,_xlfn.XLOOKUP(C1246,#REF!,#REF!),3,_xlfn.XLOOKUP(C1246,#REF!,#REF!)),0)</f>
        <v>1</v>
      </c>
    </row>
    <row r="1247" customFormat="1" spans="1:20">
      <c r="A1247">
        <f t="shared" si="54"/>
        <v>512</v>
      </c>
      <c r="B1247">
        <v>2</v>
      </c>
      <c r="C1247" t="s">
        <v>416</v>
      </c>
      <c r="D1247" t="s">
        <v>28</v>
      </c>
      <c r="E1247" t="s">
        <v>378</v>
      </c>
      <c r="F1247"/>
      <c r="G1247">
        <v>1</v>
      </c>
      <c r="H1247">
        <v>1000</v>
      </c>
      <c r="J1247" cm="1">
        <f t="array" ref="J1247">_xlfn.SWITCH(B1247,1,75,2,61,3,49,4,37,5,25,6,13,7,4,8,1)</f>
        <v>61</v>
      </c>
      <c r="K1247" t="str" cm="1">
        <f t="array" ref="K1247">IFERROR(_xlfn.SWITCH(L1247,2,_xlfn.XLOOKUP(C1247,[1]ModifierDes!$B:$B,[1]ModifierDes!$C:$C),3,_xlfn.XLOOKUP(C1247,[1]StuntDes!$B:$B,[1]StuntDes!$C:$C)),"")</f>
        <v/>
      </c>
      <c r="L1247">
        <f t="shared" si="53"/>
        <v>1</v>
      </c>
      <c r="M1247" s="10" t="str">
        <f>IFERROR(_xlfn.XLOOKUP(C1247,[1]StuntDes!$B:$B,[1]StuntDes!$A:$A),"")</f>
        <v/>
      </c>
      <c r="N1247" s="10" t="str">
        <f>IFERROR(_xlfn.XLOOKUP(C1247,[1]ModifierDes!$B:$B,[1]ModifierDes!$A:$A),"")</f>
        <v/>
      </c>
      <c r="O1247" s="10">
        <f>IFERROR(_xlfn.XLOOKUP(C1247,[1]AttributeName!$C:$C,[1]AttributeName!$B:$B),"")</f>
        <v>10002</v>
      </c>
      <c r="P1247" s="10"/>
      <c r="Q1247">
        <v>31</v>
      </c>
      <c r="R1247">
        <v>35</v>
      </c>
      <c r="S1247" cm="1">
        <f t="array" ref="S1247">IFERROR(_xlfn.SWITCH(L1247,1,_xlfn.XLOOKUP(O1247,[1]AttributeName!$B:$B,[1]AttributeName!$D:$D),2,_xlfn.XLOOKUP(C1247,#REF!,#REF!),3,_xlfn.XLOOKUP(C1247,#REF!,#REF!)),0)</f>
        <v>0</v>
      </c>
      <c r="T1247" cm="1">
        <f t="array" ref="T1247">IFERROR(_xlfn.SWITCH(L1247,1,_xlfn.XLOOKUP(O1247,[1]AttributeName!$B:$B,[1]AttributeName!$E:$E),2,_xlfn.XLOOKUP(C1247,#REF!,#REF!),3,_xlfn.XLOOKUP(C1247,#REF!,#REF!)),0)</f>
        <v>1</v>
      </c>
    </row>
    <row r="1248" customFormat="1" spans="1:20">
      <c r="A1248">
        <f t="shared" si="54"/>
        <v>512</v>
      </c>
      <c r="B1248">
        <v>3</v>
      </c>
      <c r="C1248" t="s">
        <v>416</v>
      </c>
      <c r="D1248" t="s">
        <v>28</v>
      </c>
      <c r="E1248" t="s">
        <v>378</v>
      </c>
      <c r="F1248"/>
      <c r="G1248">
        <v>1</v>
      </c>
      <c r="H1248">
        <v>1000</v>
      </c>
      <c r="J1248" cm="1">
        <f t="array" ref="J1248">_xlfn.SWITCH(B1248,1,75,2,61,3,49,4,37,5,25,6,13,7,4,8,1)</f>
        <v>49</v>
      </c>
      <c r="K1248" t="str" cm="1">
        <f t="array" ref="K1248">IFERROR(_xlfn.SWITCH(L1248,2,_xlfn.XLOOKUP(C1248,[1]ModifierDes!$B:$B,[1]ModifierDes!$C:$C),3,_xlfn.XLOOKUP(C1248,[1]StuntDes!$B:$B,[1]StuntDes!$C:$C)),"")</f>
        <v/>
      </c>
      <c r="L1248">
        <f t="shared" si="53"/>
        <v>1</v>
      </c>
      <c r="M1248" s="10" t="str">
        <f>IFERROR(_xlfn.XLOOKUP(C1248,[1]StuntDes!$B:$B,[1]StuntDes!$A:$A),"")</f>
        <v/>
      </c>
      <c r="N1248" s="10" t="str">
        <f>IFERROR(_xlfn.XLOOKUP(C1248,[1]ModifierDes!$B:$B,[1]ModifierDes!$A:$A),"")</f>
        <v/>
      </c>
      <c r="O1248" s="10">
        <f>IFERROR(_xlfn.XLOOKUP(C1248,[1]AttributeName!$C:$C,[1]AttributeName!$B:$B),"")</f>
        <v>10002</v>
      </c>
      <c r="P1248" s="10"/>
      <c r="Q1248">
        <v>26</v>
      </c>
      <c r="R1248">
        <v>30</v>
      </c>
      <c r="S1248" cm="1">
        <f t="array" ref="S1248">IFERROR(_xlfn.SWITCH(L1248,1,_xlfn.XLOOKUP(O1248,[1]AttributeName!$B:$B,[1]AttributeName!$D:$D),2,_xlfn.XLOOKUP(C1248,#REF!,#REF!),3,_xlfn.XLOOKUP(C1248,#REF!,#REF!)),0)</f>
        <v>0</v>
      </c>
      <c r="T1248" cm="1">
        <f t="array" ref="T1248">IFERROR(_xlfn.SWITCH(L1248,1,_xlfn.XLOOKUP(O1248,[1]AttributeName!$B:$B,[1]AttributeName!$E:$E),2,_xlfn.XLOOKUP(C1248,#REF!,#REF!),3,_xlfn.XLOOKUP(C1248,#REF!,#REF!)),0)</f>
        <v>1</v>
      </c>
    </row>
    <row r="1249" customFormat="1" spans="1:20">
      <c r="A1249">
        <f t="shared" si="54"/>
        <v>512</v>
      </c>
      <c r="B1249">
        <v>4</v>
      </c>
      <c r="C1249" t="s">
        <v>416</v>
      </c>
      <c r="D1249" t="s">
        <v>28</v>
      </c>
      <c r="E1249" t="s">
        <v>378</v>
      </c>
      <c r="F1249"/>
      <c r="G1249">
        <v>1</v>
      </c>
      <c r="H1249">
        <v>1000</v>
      </c>
      <c r="J1249" cm="1">
        <f t="array" ref="J1249">_xlfn.SWITCH(B1249,1,75,2,61,3,49,4,37,5,25,6,13,7,4,8,1)</f>
        <v>37</v>
      </c>
      <c r="K1249" t="str" cm="1">
        <f t="array" ref="K1249">IFERROR(_xlfn.SWITCH(L1249,2,_xlfn.XLOOKUP(C1249,[1]ModifierDes!$B:$B,[1]ModifierDes!$C:$C),3,_xlfn.XLOOKUP(C1249,[1]StuntDes!$B:$B,[1]StuntDes!$C:$C)),"")</f>
        <v/>
      </c>
      <c r="L1249">
        <f t="shared" si="53"/>
        <v>1</v>
      </c>
      <c r="M1249" s="10" t="str">
        <f>IFERROR(_xlfn.XLOOKUP(C1249,[1]StuntDes!$B:$B,[1]StuntDes!$A:$A),"")</f>
        <v/>
      </c>
      <c r="N1249" s="10" t="str">
        <f>IFERROR(_xlfn.XLOOKUP(C1249,[1]ModifierDes!$B:$B,[1]ModifierDes!$A:$A),"")</f>
        <v/>
      </c>
      <c r="O1249" s="10">
        <f>IFERROR(_xlfn.XLOOKUP(C1249,[1]AttributeName!$C:$C,[1]AttributeName!$B:$B),"")</f>
        <v>10002</v>
      </c>
      <c r="P1249" s="10"/>
      <c r="Q1249">
        <v>21</v>
      </c>
      <c r="R1249">
        <v>25</v>
      </c>
      <c r="S1249" cm="1">
        <f t="array" ref="S1249">IFERROR(_xlfn.SWITCH(L1249,1,_xlfn.XLOOKUP(O1249,[1]AttributeName!$B:$B,[1]AttributeName!$D:$D),2,_xlfn.XLOOKUP(C1249,#REF!,#REF!),3,_xlfn.XLOOKUP(C1249,#REF!,#REF!)),0)</f>
        <v>0</v>
      </c>
      <c r="T1249" cm="1">
        <f t="array" ref="T1249">IFERROR(_xlfn.SWITCH(L1249,1,_xlfn.XLOOKUP(O1249,[1]AttributeName!$B:$B,[1]AttributeName!$E:$E),2,_xlfn.XLOOKUP(C1249,#REF!,#REF!),3,_xlfn.XLOOKUP(C1249,#REF!,#REF!)),0)</f>
        <v>1</v>
      </c>
    </row>
    <row r="1250" customFormat="1" spans="1:20">
      <c r="A1250">
        <f t="shared" si="54"/>
        <v>512</v>
      </c>
      <c r="B1250">
        <v>5</v>
      </c>
      <c r="C1250" t="s">
        <v>416</v>
      </c>
      <c r="D1250" t="s">
        <v>28</v>
      </c>
      <c r="E1250" t="s">
        <v>378</v>
      </c>
      <c r="F1250"/>
      <c r="G1250">
        <v>1</v>
      </c>
      <c r="H1250">
        <v>1000</v>
      </c>
      <c r="J1250" cm="1">
        <f t="array" ref="J1250">_xlfn.SWITCH(B1250,1,75,2,61,3,49,4,37,5,25,6,13,7,4,8,1)</f>
        <v>25</v>
      </c>
      <c r="K1250" t="str" cm="1">
        <f t="array" ref="K1250">IFERROR(_xlfn.SWITCH(L1250,2,_xlfn.XLOOKUP(C1250,[1]ModifierDes!$B:$B,[1]ModifierDes!$C:$C),3,_xlfn.XLOOKUP(C1250,[1]StuntDes!$B:$B,[1]StuntDes!$C:$C)),"")</f>
        <v/>
      </c>
      <c r="L1250">
        <f t="shared" si="53"/>
        <v>1</v>
      </c>
      <c r="M1250" s="10" t="str">
        <f>IFERROR(_xlfn.XLOOKUP(C1250,[1]StuntDes!$B:$B,[1]StuntDes!$A:$A),"")</f>
        <v/>
      </c>
      <c r="N1250" s="10" t="str">
        <f>IFERROR(_xlfn.XLOOKUP(C1250,[1]ModifierDes!$B:$B,[1]ModifierDes!$A:$A),"")</f>
        <v/>
      </c>
      <c r="O1250" s="10">
        <f>IFERROR(_xlfn.XLOOKUP(C1250,[1]AttributeName!$C:$C,[1]AttributeName!$B:$B),"")</f>
        <v>10002</v>
      </c>
      <c r="P1250" s="10"/>
      <c r="Q1250">
        <v>16</v>
      </c>
      <c r="R1250">
        <v>20</v>
      </c>
      <c r="S1250" cm="1">
        <f t="array" ref="S1250">IFERROR(_xlfn.SWITCH(L1250,1,_xlfn.XLOOKUP(O1250,[1]AttributeName!$B:$B,[1]AttributeName!$D:$D),2,_xlfn.XLOOKUP(C1250,#REF!,#REF!),3,_xlfn.XLOOKUP(C1250,#REF!,#REF!)),0)</f>
        <v>0</v>
      </c>
      <c r="T1250" cm="1">
        <f t="array" ref="T1250">IFERROR(_xlfn.SWITCH(L1250,1,_xlfn.XLOOKUP(O1250,[1]AttributeName!$B:$B,[1]AttributeName!$E:$E),2,_xlfn.XLOOKUP(C1250,#REF!,#REF!),3,_xlfn.XLOOKUP(C1250,#REF!,#REF!)),0)</f>
        <v>1</v>
      </c>
    </row>
    <row r="1251" customFormat="1" spans="1:20">
      <c r="A1251">
        <f t="shared" si="54"/>
        <v>512</v>
      </c>
      <c r="B1251">
        <v>6</v>
      </c>
      <c r="C1251" t="s">
        <v>416</v>
      </c>
      <c r="D1251" t="s">
        <v>28</v>
      </c>
      <c r="E1251" t="s">
        <v>378</v>
      </c>
      <c r="F1251"/>
      <c r="G1251">
        <v>1</v>
      </c>
      <c r="H1251">
        <v>1000</v>
      </c>
      <c r="J1251" cm="1">
        <f t="array" ref="J1251">_xlfn.SWITCH(B1251,1,75,2,61,3,49,4,37,5,25,6,13,7,4,8,1)</f>
        <v>13</v>
      </c>
      <c r="K1251" t="str" cm="1">
        <f t="array" ref="K1251">IFERROR(_xlfn.SWITCH(L1251,2,_xlfn.XLOOKUP(C1251,[1]ModifierDes!$B:$B,[1]ModifierDes!$C:$C),3,_xlfn.XLOOKUP(C1251,[1]StuntDes!$B:$B,[1]StuntDes!$C:$C)),"")</f>
        <v/>
      </c>
      <c r="L1251">
        <f t="shared" si="53"/>
        <v>1</v>
      </c>
      <c r="M1251" s="10" t="str">
        <f>IFERROR(_xlfn.XLOOKUP(C1251,[1]StuntDes!$B:$B,[1]StuntDes!$A:$A),"")</f>
        <v/>
      </c>
      <c r="N1251" s="10" t="str">
        <f>IFERROR(_xlfn.XLOOKUP(C1251,[1]ModifierDes!$B:$B,[1]ModifierDes!$A:$A),"")</f>
        <v/>
      </c>
      <c r="O1251" s="10">
        <f>IFERROR(_xlfn.XLOOKUP(C1251,[1]AttributeName!$C:$C,[1]AttributeName!$B:$B),"")</f>
        <v>10002</v>
      </c>
      <c r="P1251" s="10"/>
      <c r="Q1251">
        <v>11</v>
      </c>
      <c r="R1251">
        <v>15</v>
      </c>
      <c r="S1251" cm="1">
        <f t="array" ref="S1251">IFERROR(_xlfn.SWITCH(L1251,1,_xlfn.XLOOKUP(O1251,[1]AttributeName!$B:$B,[1]AttributeName!$D:$D),2,_xlfn.XLOOKUP(C1251,#REF!,#REF!),3,_xlfn.XLOOKUP(C1251,#REF!,#REF!)),0)</f>
        <v>0</v>
      </c>
      <c r="T1251" cm="1">
        <f t="array" ref="T1251">IFERROR(_xlfn.SWITCH(L1251,1,_xlfn.XLOOKUP(O1251,[1]AttributeName!$B:$B,[1]AttributeName!$E:$E),2,_xlfn.XLOOKUP(C1251,#REF!,#REF!),3,_xlfn.XLOOKUP(C1251,#REF!,#REF!)),0)</f>
        <v>1</v>
      </c>
    </row>
    <row r="1252" customFormat="1" spans="1:20">
      <c r="A1252">
        <f t="shared" si="54"/>
        <v>512</v>
      </c>
      <c r="B1252">
        <v>7</v>
      </c>
      <c r="C1252" t="s">
        <v>416</v>
      </c>
      <c r="D1252" t="s">
        <v>28</v>
      </c>
      <c r="E1252" t="s">
        <v>378</v>
      </c>
      <c r="F1252"/>
      <c r="G1252">
        <v>1</v>
      </c>
      <c r="H1252">
        <v>1000</v>
      </c>
      <c r="J1252" cm="1">
        <f t="array" ref="J1252">_xlfn.SWITCH(B1252,1,75,2,61,3,49,4,37,5,25,6,13,7,4,8,1)</f>
        <v>4</v>
      </c>
      <c r="K1252" t="str" cm="1">
        <f t="array" ref="K1252">IFERROR(_xlfn.SWITCH(L1252,2,_xlfn.XLOOKUP(C1252,[1]ModifierDes!$B:$B,[1]ModifierDes!$C:$C),3,_xlfn.XLOOKUP(C1252,[1]StuntDes!$B:$B,[1]StuntDes!$C:$C)),"")</f>
        <v/>
      </c>
      <c r="L1252">
        <f t="shared" si="53"/>
        <v>1</v>
      </c>
      <c r="M1252" s="10" t="str">
        <f>IFERROR(_xlfn.XLOOKUP(C1252,[1]StuntDes!$B:$B,[1]StuntDes!$A:$A),"")</f>
        <v/>
      </c>
      <c r="N1252" s="10" t="str">
        <f>IFERROR(_xlfn.XLOOKUP(C1252,[1]ModifierDes!$B:$B,[1]ModifierDes!$A:$A),"")</f>
        <v/>
      </c>
      <c r="O1252" s="10">
        <f>IFERROR(_xlfn.XLOOKUP(C1252,[1]AttributeName!$C:$C,[1]AttributeName!$B:$B),"")</f>
        <v>10002</v>
      </c>
      <c r="P1252" s="10"/>
      <c r="Q1252">
        <v>5</v>
      </c>
      <c r="R1252">
        <v>10</v>
      </c>
      <c r="S1252" cm="1">
        <f t="array" ref="S1252">IFERROR(_xlfn.SWITCH(L1252,1,_xlfn.XLOOKUP(O1252,[1]AttributeName!$B:$B,[1]AttributeName!$D:$D),2,_xlfn.XLOOKUP(C1252,#REF!,#REF!),3,_xlfn.XLOOKUP(C1252,#REF!,#REF!)),0)</f>
        <v>0</v>
      </c>
      <c r="T1252" cm="1">
        <f t="array" ref="T1252">IFERROR(_xlfn.SWITCH(L1252,1,_xlfn.XLOOKUP(O1252,[1]AttributeName!$B:$B,[1]AttributeName!$E:$E),2,_xlfn.XLOOKUP(C1252,#REF!,#REF!),3,_xlfn.XLOOKUP(C1252,#REF!,#REF!)),0)</f>
        <v>1</v>
      </c>
    </row>
    <row r="1253" customFormat="1" spans="1:20">
      <c r="A1253">
        <f t="shared" si="54"/>
        <v>512</v>
      </c>
      <c r="B1253">
        <v>8</v>
      </c>
      <c r="C1253" t="s">
        <v>416</v>
      </c>
      <c r="D1253" t="s">
        <v>28</v>
      </c>
      <c r="E1253" t="s">
        <v>378</v>
      </c>
      <c r="F1253"/>
      <c r="G1253">
        <v>1</v>
      </c>
      <c r="H1253">
        <v>1000</v>
      </c>
      <c r="J1253" cm="1">
        <f t="array" ref="J1253">_xlfn.SWITCH(B1253,1,75,2,61,3,49,4,37,5,25,6,13,7,4,8,1)</f>
        <v>1</v>
      </c>
      <c r="K1253" t="str" cm="1">
        <f t="array" ref="K1253">IFERROR(_xlfn.SWITCH(L1253,2,_xlfn.XLOOKUP(C1253,[1]ModifierDes!$B:$B,[1]ModifierDes!$C:$C),3,_xlfn.XLOOKUP(C1253,[1]StuntDes!$B:$B,[1]StuntDes!$C:$C)),"")</f>
        <v/>
      </c>
      <c r="L1253">
        <f t="shared" si="53"/>
        <v>1</v>
      </c>
      <c r="M1253" s="10" t="str">
        <f>IFERROR(_xlfn.XLOOKUP(C1253,[1]StuntDes!$B:$B,[1]StuntDes!$A:$A),"")</f>
        <v/>
      </c>
      <c r="N1253" s="10" t="str">
        <f>IFERROR(_xlfn.XLOOKUP(C1253,[1]ModifierDes!$B:$B,[1]ModifierDes!$A:$A),"")</f>
        <v/>
      </c>
      <c r="O1253" s="10">
        <f>IFERROR(_xlfn.XLOOKUP(C1253,[1]AttributeName!$C:$C,[1]AttributeName!$B:$B),"")</f>
        <v>10002</v>
      </c>
      <c r="P1253" s="10"/>
      <c r="Q1253">
        <v>3</v>
      </c>
      <c r="R1253">
        <v>5</v>
      </c>
      <c r="S1253" cm="1">
        <f t="array" ref="S1253">IFERROR(_xlfn.SWITCH(L1253,1,_xlfn.XLOOKUP(O1253,[1]AttributeName!$B:$B,[1]AttributeName!$D:$D),2,_xlfn.XLOOKUP(C1253,#REF!,#REF!),3,_xlfn.XLOOKUP(C1253,#REF!,#REF!)),0)</f>
        <v>0</v>
      </c>
      <c r="T1253" cm="1">
        <f t="array" ref="T1253">IFERROR(_xlfn.SWITCH(L1253,1,_xlfn.XLOOKUP(O1253,[1]AttributeName!$B:$B,[1]AttributeName!$E:$E),2,_xlfn.XLOOKUP(C1253,#REF!,#REF!),3,_xlfn.XLOOKUP(C1253,#REF!,#REF!)),0)</f>
        <v>1</v>
      </c>
    </row>
    <row r="1254" customFormat="1" spans="1:20">
      <c r="A1254">
        <f t="shared" si="54"/>
        <v>513</v>
      </c>
      <c r="B1254">
        <v>1</v>
      </c>
      <c r="C1254" t="s">
        <v>390</v>
      </c>
      <c r="D1254" t="s">
        <v>28</v>
      </c>
      <c r="E1254" t="s">
        <v>378</v>
      </c>
      <c r="F1254"/>
      <c r="G1254">
        <v>1</v>
      </c>
      <c r="H1254">
        <v>1000</v>
      </c>
      <c r="J1254" cm="1">
        <f t="array" ref="J1254">_xlfn.SWITCH(B1254,1,75,2,61,3,49,4,37,5,25,6,13,7,4,8,1)</f>
        <v>75</v>
      </c>
      <c r="K1254" t="str" cm="1">
        <f t="array" ref="K1254">IFERROR(_xlfn.SWITCH(L1254,2,_xlfn.XLOOKUP(C1254,[1]ModifierDes!$B:$B,[1]ModifierDes!$C:$C),3,_xlfn.XLOOKUP(C1254,[1]StuntDes!$B:$B,[1]StuntDes!$C:$C)),"")</f>
        <v/>
      </c>
      <c r="L1254">
        <f t="shared" si="53"/>
        <v>1</v>
      </c>
      <c r="M1254" s="10" t="str">
        <f>IFERROR(_xlfn.XLOOKUP(C1254,[1]StuntDes!$B:$B,[1]StuntDes!$A:$A),"")</f>
        <v/>
      </c>
      <c r="N1254" s="10" t="str">
        <f>IFERROR(_xlfn.XLOOKUP(C1254,[1]ModifierDes!$B:$B,[1]ModifierDes!$A:$A),"")</f>
        <v/>
      </c>
      <c r="O1254" s="10">
        <f>IFERROR(_xlfn.XLOOKUP(C1254,[1]AttributeName!$C:$C,[1]AttributeName!$B:$B),"")</f>
        <v>10009</v>
      </c>
      <c r="P1254" s="10"/>
      <c r="Q1254">
        <v>0.18</v>
      </c>
      <c r="R1254">
        <v>0.2</v>
      </c>
      <c r="S1254" cm="1">
        <f t="array" ref="S1254">IFERROR(_xlfn.SWITCH(L1254,1,_xlfn.XLOOKUP(O1254,[1]AttributeName!$B:$B,[1]AttributeName!$D:$D),2,_xlfn.XLOOKUP(C1254,#REF!,#REF!),3,_xlfn.XLOOKUP(C1254,#REF!,#REF!)),0)</f>
        <v>2</v>
      </c>
      <c r="T1254" cm="1">
        <f t="array" ref="T1254">IFERROR(_xlfn.SWITCH(L1254,1,_xlfn.XLOOKUP(O1254,[1]AttributeName!$B:$B,[1]AttributeName!$E:$E),2,_xlfn.XLOOKUP(C1254,#REF!,#REF!),3,_xlfn.XLOOKUP(C1254,#REF!,#REF!)),0)</f>
        <v>2</v>
      </c>
    </row>
    <row r="1255" customFormat="1" spans="1:20">
      <c r="A1255">
        <f t="shared" si="54"/>
        <v>513</v>
      </c>
      <c r="B1255">
        <v>2</v>
      </c>
      <c r="C1255" t="s">
        <v>390</v>
      </c>
      <c r="D1255" t="s">
        <v>28</v>
      </c>
      <c r="E1255" t="s">
        <v>378</v>
      </c>
      <c r="F1255"/>
      <c r="G1255">
        <v>1</v>
      </c>
      <c r="H1255">
        <v>1000</v>
      </c>
      <c r="J1255" cm="1">
        <f t="array" ref="J1255">_xlfn.SWITCH(B1255,1,75,2,61,3,49,4,37,5,25,6,13,7,4,8,1)</f>
        <v>61</v>
      </c>
      <c r="K1255" t="str" cm="1">
        <f t="array" ref="K1255">IFERROR(_xlfn.SWITCH(L1255,2,_xlfn.XLOOKUP(C1255,[1]ModifierDes!$B:$B,[1]ModifierDes!$C:$C),3,_xlfn.XLOOKUP(C1255,[1]StuntDes!$B:$B,[1]StuntDes!$C:$C)),"")</f>
        <v/>
      </c>
      <c r="L1255">
        <f t="shared" si="53"/>
        <v>1</v>
      </c>
      <c r="M1255" s="10" t="str">
        <f>IFERROR(_xlfn.XLOOKUP(C1255,[1]StuntDes!$B:$B,[1]StuntDes!$A:$A),"")</f>
        <v/>
      </c>
      <c r="N1255" s="10" t="str">
        <f>IFERROR(_xlfn.XLOOKUP(C1255,[1]ModifierDes!$B:$B,[1]ModifierDes!$A:$A),"")</f>
        <v/>
      </c>
      <c r="O1255" s="10">
        <f>IFERROR(_xlfn.XLOOKUP(C1255,[1]AttributeName!$C:$C,[1]AttributeName!$B:$B),"")</f>
        <v>10009</v>
      </c>
      <c r="P1255" s="10"/>
      <c r="Q1255">
        <v>0.16</v>
      </c>
      <c r="R1255">
        <v>0.17</v>
      </c>
      <c r="S1255" cm="1">
        <f t="array" ref="S1255">IFERROR(_xlfn.SWITCH(L1255,1,_xlfn.XLOOKUP(O1255,[1]AttributeName!$B:$B,[1]AttributeName!$D:$D),2,_xlfn.XLOOKUP(C1255,#REF!,#REF!),3,_xlfn.XLOOKUP(C1255,#REF!,#REF!)),0)</f>
        <v>2</v>
      </c>
      <c r="T1255" cm="1">
        <f t="array" ref="T1255">IFERROR(_xlfn.SWITCH(L1255,1,_xlfn.XLOOKUP(O1255,[1]AttributeName!$B:$B,[1]AttributeName!$E:$E),2,_xlfn.XLOOKUP(C1255,#REF!,#REF!),3,_xlfn.XLOOKUP(C1255,#REF!,#REF!)),0)</f>
        <v>2</v>
      </c>
    </row>
    <row r="1256" customFormat="1" spans="1:20">
      <c r="A1256">
        <f t="shared" si="54"/>
        <v>513</v>
      </c>
      <c r="B1256">
        <v>3</v>
      </c>
      <c r="C1256" t="s">
        <v>390</v>
      </c>
      <c r="D1256" t="s">
        <v>28</v>
      </c>
      <c r="E1256" t="s">
        <v>378</v>
      </c>
      <c r="F1256"/>
      <c r="G1256">
        <v>1</v>
      </c>
      <c r="H1256">
        <v>1000</v>
      </c>
      <c r="J1256" cm="1">
        <f t="array" ref="J1256">_xlfn.SWITCH(B1256,1,75,2,61,3,49,4,37,5,25,6,13,7,4,8,1)</f>
        <v>49</v>
      </c>
      <c r="K1256" t="str" cm="1">
        <f t="array" ref="K1256">IFERROR(_xlfn.SWITCH(L1256,2,_xlfn.XLOOKUP(C1256,[1]ModifierDes!$B:$B,[1]ModifierDes!$C:$C),3,_xlfn.XLOOKUP(C1256,[1]StuntDes!$B:$B,[1]StuntDes!$C:$C)),"")</f>
        <v/>
      </c>
      <c r="L1256">
        <f t="shared" si="53"/>
        <v>1</v>
      </c>
      <c r="M1256" s="10" t="str">
        <f>IFERROR(_xlfn.XLOOKUP(C1256,[1]StuntDes!$B:$B,[1]StuntDes!$A:$A),"")</f>
        <v/>
      </c>
      <c r="N1256" s="10" t="str">
        <f>IFERROR(_xlfn.XLOOKUP(C1256,[1]ModifierDes!$B:$B,[1]ModifierDes!$A:$A),"")</f>
        <v/>
      </c>
      <c r="O1256" s="10">
        <f>IFERROR(_xlfn.XLOOKUP(C1256,[1]AttributeName!$C:$C,[1]AttributeName!$B:$B),"")</f>
        <v>10009</v>
      </c>
      <c r="P1256" s="10"/>
      <c r="Q1256">
        <v>0.13</v>
      </c>
      <c r="R1256">
        <v>0.15</v>
      </c>
      <c r="S1256" cm="1">
        <f t="array" ref="S1256">IFERROR(_xlfn.SWITCH(L1256,1,_xlfn.XLOOKUP(O1256,[1]AttributeName!$B:$B,[1]AttributeName!$D:$D),2,_xlfn.XLOOKUP(C1256,#REF!,#REF!),3,_xlfn.XLOOKUP(C1256,#REF!,#REF!)),0)</f>
        <v>2</v>
      </c>
      <c r="T1256" cm="1">
        <f t="array" ref="T1256">IFERROR(_xlfn.SWITCH(L1256,1,_xlfn.XLOOKUP(O1256,[1]AttributeName!$B:$B,[1]AttributeName!$E:$E),2,_xlfn.XLOOKUP(C1256,#REF!,#REF!),3,_xlfn.XLOOKUP(C1256,#REF!,#REF!)),0)</f>
        <v>2</v>
      </c>
    </row>
    <row r="1257" customFormat="1" spans="1:20">
      <c r="A1257">
        <f t="shared" si="54"/>
        <v>513</v>
      </c>
      <c r="B1257">
        <v>4</v>
      </c>
      <c r="C1257" t="s">
        <v>390</v>
      </c>
      <c r="D1257" t="s">
        <v>28</v>
      </c>
      <c r="E1257" t="s">
        <v>378</v>
      </c>
      <c r="F1257"/>
      <c r="G1257">
        <v>1</v>
      </c>
      <c r="H1257">
        <v>1000</v>
      </c>
      <c r="J1257" cm="1">
        <f t="array" ref="J1257">_xlfn.SWITCH(B1257,1,75,2,61,3,49,4,37,5,25,6,13,7,4,8,1)</f>
        <v>37</v>
      </c>
      <c r="K1257" t="str" cm="1">
        <f t="array" ref="K1257">IFERROR(_xlfn.SWITCH(L1257,2,_xlfn.XLOOKUP(C1257,[1]ModifierDes!$B:$B,[1]ModifierDes!$C:$C),3,_xlfn.XLOOKUP(C1257,[1]StuntDes!$B:$B,[1]StuntDes!$C:$C)),"")</f>
        <v/>
      </c>
      <c r="L1257">
        <f t="shared" si="53"/>
        <v>1</v>
      </c>
      <c r="M1257" s="10" t="str">
        <f>IFERROR(_xlfn.XLOOKUP(C1257,[1]StuntDes!$B:$B,[1]StuntDes!$A:$A),"")</f>
        <v/>
      </c>
      <c r="N1257" s="10" t="str">
        <f>IFERROR(_xlfn.XLOOKUP(C1257,[1]ModifierDes!$B:$B,[1]ModifierDes!$A:$A),"")</f>
        <v/>
      </c>
      <c r="O1257" s="10">
        <f>IFERROR(_xlfn.XLOOKUP(C1257,[1]AttributeName!$C:$C,[1]AttributeName!$B:$B),"")</f>
        <v>10009</v>
      </c>
      <c r="P1257" s="10"/>
      <c r="Q1257">
        <v>0.11</v>
      </c>
      <c r="R1257">
        <v>0.12</v>
      </c>
      <c r="S1257" cm="1">
        <f t="array" ref="S1257">IFERROR(_xlfn.SWITCH(L1257,1,_xlfn.XLOOKUP(O1257,[1]AttributeName!$B:$B,[1]AttributeName!$D:$D),2,_xlfn.XLOOKUP(C1257,#REF!,#REF!),3,_xlfn.XLOOKUP(C1257,#REF!,#REF!)),0)</f>
        <v>2</v>
      </c>
      <c r="T1257" cm="1">
        <f t="array" ref="T1257">IFERROR(_xlfn.SWITCH(L1257,1,_xlfn.XLOOKUP(O1257,[1]AttributeName!$B:$B,[1]AttributeName!$E:$E),2,_xlfn.XLOOKUP(C1257,#REF!,#REF!),3,_xlfn.XLOOKUP(C1257,#REF!,#REF!)),0)</f>
        <v>2</v>
      </c>
    </row>
    <row r="1258" customFormat="1" spans="1:20">
      <c r="A1258">
        <f t="shared" si="54"/>
        <v>513</v>
      </c>
      <c r="B1258">
        <v>5</v>
      </c>
      <c r="C1258" t="s">
        <v>390</v>
      </c>
      <c r="D1258" t="s">
        <v>28</v>
      </c>
      <c r="E1258" t="s">
        <v>378</v>
      </c>
      <c r="F1258"/>
      <c r="G1258">
        <v>1</v>
      </c>
      <c r="H1258">
        <v>1000</v>
      </c>
      <c r="J1258" cm="1">
        <f t="array" ref="J1258">_xlfn.SWITCH(B1258,1,75,2,61,3,49,4,37,5,25,6,13,7,4,8,1)</f>
        <v>25</v>
      </c>
      <c r="K1258" t="str" cm="1">
        <f t="array" ref="K1258">IFERROR(_xlfn.SWITCH(L1258,2,_xlfn.XLOOKUP(C1258,[1]ModifierDes!$B:$B,[1]ModifierDes!$C:$C),3,_xlfn.XLOOKUP(C1258,[1]StuntDes!$B:$B,[1]StuntDes!$C:$C)),"")</f>
        <v/>
      </c>
      <c r="L1258">
        <f t="shared" si="53"/>
        <v>1</v>
      </c>
      <c r="M1258" s="10" t="str">
        <f>IFERROR(_xlfn.XLOOKUP(C1258,[1]StuntDes!$B:$B,[1]StuntDes!$A:$A),"")</f>
        <v/>
      </c>
      <c r="N1258" s="10" t="str">
        <f>IFERROR(_xlfn.XLOOKUP(C1258,[1]ModifierDes!$B:$B,[1]ModifierDes!$A:$A),"")</f>
        <v/>
      </c>
      <c r="O1258" s="10">
        <f>IFERROR(_xlfn.XLOOKUP(C1258,[1]AttributeName!$C:$C,[1]AttributeName!$B:$B),"")</f>
        <v>10009</v>
      </c>
      <c r="P1258" s="10"/>
      <c r="Q1258">
        <v>0.08</v>
      </c>
      <c r="R1258">
        <v>0.1</v>
      </c>
      <c r="S1258" cm="1">
        <f t="array" ref="S1258">IFERROR(_xlfn.SWITCH(L1258,1,_xlfn.XLOOKUP(O1258,[1]AttributeName!$B:$B,[1]AttributeName!$D:$D),2,_xlfn.XLOOKUP(C1258,#REF!,#REF!),3,_xlfn.XLOOKUP(C1258,#REF!,#REF!)),0)</f>
        <v>2</v>
      </c>
      <c r="T1258" cm="1">
        <f t="array" ref="T1258">IFERROR(_xlfn.SWITCH(L1258,1,_xlfn.XLOOKUP(O1258,[1]AttributeName!$B:$B,[1]AttributeName!$E:$E),2,_xlfn.XLOOKUP(C1258,#REF!,#REF!),3,_xlfn.XLOOKUP(C1258,#REF!,#REF!)),0)</f>
        <v>2</v>
      </c>
    </row>
    <row r="1259" customFormat="1" spans="1:20">
      <c r="A1259">
        <f t="shared" si="54"/>
        <v>513</v>
      </c>
      <c r="B1259">
        <v>6</v>
      </c>
      <c r="C1259" t="s">
        <v>390</v>
      </c>
      <c r="D1259" t="s">
        <v>28</v>
      </c>
      <c r="E1259" t="s">
        <v>378</v>
      </c>
      <c r="F1259"/>
      <c r="G1259">
        <v>1</v>
      </c>
      <c r="H1259">
        <v>1000</v>
      </c>
      <c r="J1259" cm="1">
        <f t="array" ref="J1259">_xlfn.SWITCH(B1259,1,75,2,61,3,49,4,37,5,25,6,13,7,4,8,1)</f>
        <v>13</v>
      </c>
      <c r="K1259" t="str" cm="1">
        <f t="array" ref="K1259">IFERROR(_xlfn.SWITCH(L1259,2,_xlfn.XLOOKUP(C1259,[1]ModifierDes!$B:$B,[1]ModifierDes!$C:$C),3,_xlfn.XLOOKUP(C1259,[1]StuntDes!$B:$B,[1]StuntDes!$C:$C)),"")</f>
        <v/>
      </c>
      <c r="L1259">
        <f t="shared" si="53"/>
        <v>1</v>
      </c>
      <c r="M1259" s="10" t="str">
        <f>IFERROR(_xlfn.XLOOKUP(C1259,[1]StuntDes!$B:$B,[1]StuntDes!$A:$A),"")</f>
        <v/>
      </c>
      <c r="N1259" s="10" t="str">
        <f>IFERROR(_xlfn.XLOOKUP(C1259,[1]ModifierDes!$B:$B,[1]ModifierDes!$A:$A),"")</f>
        <v/>
      </c>
      <c r="O1259" s="10">
        <f>IFERROR(_xlfn.XLOOKUP(C1259,[1]AttributeName!$C:$C,[1]AttributeName!$B:$B),"")</f>
        <v>10009</v>
      </c>
      <c r="P1259" s="10"/>
      <c r="Q1259">
        <v>0.06</v>
      </c>
      <c r="R1259">
        <v>0.07</v>
      </c>
      <c r="S1259" cm="1">
        <f t="array" ref="S1259">IFERROR(_xlfn.SWITCH(L1259,1,_xlfn.XLOOKUP(O1259,[1]AttributeName!$B:$B,[1]AttributeName!$D:$D),2,_xlfn.XLOOKUP(C1259,#REF!,#REF!),3,_xlfn.XLOOKUP(C1259,#REF!,#REF!)),0)</f>
        <v>2</v>
      </c>
      <c r="T1259" cm="1">
        <f t="array" ref="T1259">IFERROR(_xlfn.SWITCH(L1259,1,_xlfn.XLOOKUP(O1259,[1]AttributeName!$B:$B,[1]AttributeName!$E:$E),2,_xlfn.XLOOKUP(C1259,#REF!,#REF!),3,_xlfn.XLOOKUP(C1259,#REF!,#REF!)),0)</f>
        <v>2</v>
      </c>
    </row>
    <row r="1260" customFormat="1" spans="1:20">
      <c r="A1260">
        <f t="shared" si="54"/>
        <v>513</v>
      </c>
      <c r="B1260">
        <v>7</v>
      </c>
      <c r="C1260" t="s">
        <v>390</v>
      </c>
      <c r="D1260" t="s">
        <v>28</v>
      </c>
      <c r="E1260" t="s">
        <v>378</v>
      </c>
      <c r="F1260"/>
      <c r="G1260">
        <v>1</v>
      </c>
      <c r="H1260">
        <v>1000</v>
      </c>
      <c r="J1260" cm="1">
        <f t="array" ref="J1260">_xlfn.SWITCH(B1260,1,75,2,61,3,49,4,37,5,25,6,13,7,4,8,1)</f>
        <v>4</v>
      </c>
      <c r="K1260" t="str" cm="1">
        <f t="array" ref="K1260">IFERROR(_xlfn.SWITCH(L1260,2,_xlfn.XLOOKUP(C1260,[1]ModifierDes!$B:$B,[1]ModifierDes!$C:$C),3,_xlfn.XLOOKUP(C1260,[1]StuntDes!$B:$B,[1]StuntDes!$C:$C)),"")</f>
        <v/>
      </c>
      <c r="L1260">
        <f t="shared" si="53"/>
        <v>1</v>
      </c>
      <c r="M1260" s="10" t="str">
        <f>IFERROR(_xlfn.XLOOKUP(C1260,[1]StuntDes!$B:$B,[1]StuntDes!$A:$A),"")</f>
        <v/>
      </c>
      <c r="N1260" s="10" t="str">
        <f>IFERROR(_xlfn.XLOOKUP(C1260,[1]ModifierDes!$B:$B,[1]ModifierDes!$A:$A),"")</f>
        <v/>
      </c>
      <c r="O1260" s="10">
        <f>IFERROR(_xlfn.XLOOKUP(C1260,[1]AttributeName!$C:$C,[1]AttributeName!$B:$B),"")</f>
        <v>10009</v>
      </c>
      <c r="P1260" s="10"/>
      <c r="Q1260">
        <v>0.03</v>
      </c>
      <c r="R1260">
        <v>0.05</v>
      </c>
      <c r="S1260" cm="1">
        <f t="array" ref="S1260">IFERROR(_xlfn.SWITCH(L1260,1,_xlfn.XLOOKUP(O1260,[1]AttributeName!$B:$B,[1]AttributeName!$D:$D),2,_xlfn.XLOOKUP(C1260,#REF!,#REF!),3,_xlfn.XLOOKUP(C1260,#REF!,#REF!)),0)</f>
        <v>2</v>
      </c>
      <c r="T1260" cm="1">
        <f t="array" ref="T1260">IFERROR(_xlfn.SWITCH(L1260,1,_xlfn.XLOOKUP(O1260,[1]AttributeName!$B:$B,[1]AttributeName!$E:$E),2,_xlfn.XLOOKUP(C1260,#REF!,#REF!),3,_xlfn.XLOOKUP(C1260,#REF!,#REF!)),0)</f>
        <v>2</v>
      </c>
    </row>
    <row r="1261" customFormat="1" spans="1:20">
      <c r="A1261">
        <f t="shared" si="54"/>
        <v>513</v>
      </c>
      <c r="B1261">
        <v>8</v>
      </c>
      <c r="C1261" t="s">
        <v>390</v>
      </c>
      <c r="D1261" t="s">
        <v>28</v>
      </c>
      <c r="E1261" t="s">
        <v>378</v>
      </c>
      <c r="F1261"/>
      <c r="G1261">
        <v>1</v>
      </c>
      <c r="H1261">
        <v>1000</v>
      </c>
      <c r="J1261" cm="1">
        <f t="array" ref="J1261">_xlfn.SWITCH(B1261,1,75,2,61,3,49,4,37,5,25,6,13,7,4,8,1)</f>
        <v>1</v>
      </c>
      <c r="K1261" t="str" cm="1">
        <f t="array" ref="K1261">IFERROR(_xlfn.SWITCH(L1261,2,_xlfn.XLOOKUP(C1261,[1]ModifierDes!$B:$B,[1]ModifierDes!$C:$C),3,_xlfn.XLOOKUP(C1261,[1]StuntDes!$B:$B,[1]StuntDes!$C:$C)),"")</f>
        <v/>
      </c>
      <c r="L1261">
        <f t="shared" si="53"/>
        <v>1</v>
      </c>
      <c r="M1261" s="10" t="str">
        <f>IFERROR(_xlfn.XLOOKUP(C1261,[1]StuntDes!$B:$B,[1]StuntDes!$A:$A),"")</f>
        <v/>
      </c>
      <c r="N1261" s="10" t="str">
        <f>IFERROR(_xlfn.XLOOKUP(C1261,[1]ModifierDes!$B:$B,[1]ModifierDes!$A:$A),"")</f>
        <v/>
      </c>
      <c r="O1261" s="10">
        <f>IFERROR(_xlfn.XLOOKUP(C1261,[1]AttributeName!$C:$C,[1]AttributeName!$B:$B),"")</f>
        <v>10009</v>
      </c>
      <c r="P1261" s="10"/>
      <c r="Q1261">
        <v>0.02</v>
      </c>
      <c r="R1261">
        <v>0.02</v>
      </c>
      <c r="S1261" cm="1">
        <f t="array" ref="S1261">IFERROR(_xlfn.SWITCH(L1261,1,_xlfn.XLOOKUP(O1261,[1]AttributeName!$B:$B,[1]AttributeName!$D:$D),2,_xlfn.XLOOKUP(C1261,#REF!,#REF!),3,_xlfn.XLOOKUP(C1261,#REF!,#REF!)),0)</f>
        <v>2</v>
      </c>
      <c r="T1261" cm="1">
        <f t="array" ref="T1261">IFERROR(_xlfn.SWITCH(L1261,1,_xlfn.XLOOKUP(O1261,[1]AttributeName!$B:$B,[1]AttributeName!$E:$E),2,_xlfn.XLOOKUP(C1261,#REF!,#REF!),3,_xlfn.XLOOKUP(C1261,#REF!,#REF!)),0)</f>
        <v>2</v>
      </c>
    </row>
    <row r="1262" customFormat="1" spans="1:20">
      <c r="A1262">
        <v>551</v>
      </c>
      <c r="B1262">
        <v>1</v>
      </c>
      <c r="C1262" t="s">
        <v>391</v>
      </c>
      <c r="D1262" t="s">
        <v>28</v>
      </c>
      <c r="E1262" s="13" t="s">
        <v>392</v>
      </c>
      <c r="F1262"/>
      <c r="G1262">
        <v>2</v>
      </c>
      <c r="H1262">
        <v>1000</v>
      </c>
      <c r="J1262" cm="1">
        <f t="array" ref="J1262">_xlfn.SWITCH(B1262,1,75,2,61,3,49,4,37,5,25,6,13,7,4,8,1)</f>
        <v>75</v>
      </c>
      <c r="K1262" t="str" cm="1">
        <f t="array" ref="K1262">IFERROR(_xlfn.SWITCH(L1262,2,_xlfn.XLOOKUP(C1262,[1]ModifierDes!$B:$B,[1]ModifierDes!$C:$C),3,_xlfn.XLOOKUP(C1262,[1]StuntDes!$B:$B,[1]StuntDes!$C:$C)),"")</f>
        <v>魔力回复率提高{0}</v>
      </c>
      <c r="L1262">
        <f t="shared" si="53"/>
        <v>2</v>
      </c>
      <c r="M1262" s="10" t="str">
        <f>IFERROR(_xlfn.XLOOKUP(C1262,[1]StuntDes!$B:$B,[1]StuntDes!$A:$A),"")</f>
        <v/>
      </c>
      <c r="N1262" s="10">
        <f>IFERROR(_xlfn.XLOOKUP(C1262,[1]ModifierDes!$B:$B,[1]ModifierDes!$A:$A),"")</f>
        <v>10116</v>
      </c>
      <c r="O1262" s="10" t="str">
        <f>IFERROR(_xlfn.XLOOKUP(C1262,[1]AttributeName!$C:$C,[1]AttributeName!$B:$B),"")</f>
        <v/>
      </c>
      <c r="P1262" s="10"/>
      <c r="Q1262">
        <v>0.18</v>
      </c>
      <c r="R1262">
        <v>0.2</v>
      </c>
      <c r="S1262" cm="1">
        <f t="array" ref="S1262">IFERROR(_xlfn.SWITCH(L1262,1,_xlfn.XLOOKUP(O1262,[1]AttributeName!$B:$B,[1]AttributeName!$D:$D),2,_xlfn.XLOOKUP(C1262,#REF!,#REF!),3,_xlfn.XLOOKUP(C1262,#REF!,#REF!)),0)</f>
        <v>0</v>
      </c>
      <c r="T1262" cm="1">
        <f t="array" ref="T1262">IFERROR(_xlfn.SWITCH(L1262,1,_xlfn.XLOOKUP(O1262,[1]AttributeName!$B:$B,[1]AttributeName!$E:$E),2,_xlfn.XLOOKUP(C1262,#REF!,#REF!),3,_xlfn.XLOOKUP(C1262,#REF!,#REF!)),0)</f>
        <v>0</v>
      </c>
    </row>
    <row r="1263" customFormat="1" spans="1:20">
      <c r="A1263">
        <v>551</v>
      </c>
      <c r="B1263">
        <v>2</v>
      </c>
      <c r="C1263" t="s">
        <v>391</v>
      </c>
      <c r="D1263" t="s">
        <v>28</v>
      </c>
      <c r="E1263" s="13" t="s">
        <v>392</v>
      </c>
      <c r="F1263"/>
      <c r="G1263">
        <v>2</v>
      </c>
      <c r="H1263">
        <v>1000</v>
      </c>
      <c r="J1263" cm="1">
        <f t="array" ref="J1263">_xlfn.SWITCH(B1263,1,75,2,61,3,49,4,37,5,25,6,13,7,4,8,1)</f>
        <v>61</v>
      </c>
      <c r="K1263" t="str" cm="1">
        <f t="array" ref="K1263">IFERROR(_xlfn.SWITCH(L1263,2,_xlfn.XLOOKUP(C1263,[1]ModifierDes!$B:$B,[1]ModifierDes!$C:$C),3,_xlfn.XLOOKUP(C1263,[1]StuntDes!$B:$B,[1]StuntDes!$C:$C)),"")</f>
        <v>魔力回复率提高{0}</v>
      </c>
      <c r="L1263">
        <f t="shared" si="53"/>
        <v>2</v>
      </c>
      <c r="M1263" s="10" t="str">
        <f>IFERROR(_xlfn.XLOOKUP(C1263,[1]StuntDes!$B:$B,[1]StuntDes!$A:$A),"")</f>
        <v/>
      </c>
      <c r="N1263" s="10">
        <f>IFERROR(_xlfn.XLOOKUP(C1263,[1]ModifierDes!$B:$B,[1]ModifierDes!$A:$A),"")</f>
        <v>10116</v>
      </c>
      <c r="O1263" s="10" t="str">
        <f>IFERROR(_xlfn.XLOOKUP(C1263,[1]AttributeName!$C:$C,[1]AttributeName!$B:$B),"")</f>
        <v/>
      </c>
      <c r="P1263" s="10"/>
      <c r="Q1263">
        <v>0.16</v>
      </c>
      <c r="R1263">
        <v>0.17</v>
      </c>
      <c r="S1263" cm="1">
        <f t="array" ref="S1263">IFERROR(_xlfn.SWITCH(L1263,1,_xlfn.XLOOKUP(O1263,[1]AttributeName!$B:$B,[1]AttributeName!$D:$D),2,_xlfn.XLOOKUP(C1263,#REF!,#REF!),3,_xlfn.XLOOKUP(C1263,#REF!,#REF!)),0)</f>
        <v>0</v>
      </c>
      <c r="T1263" cm="1">
        <f t="array" ref="T1263">IFERROR(_xlfn.SWITCH(L1263,1,_xlfn.XLOOKUP(O1263,[1]AttributeName!$B:$B,[1]AttributeName!$E:$E),2,_xlfn.XLOOKUP(C1263,#REF!,#REF!),3,_xlfn.XLOOKUP(C1263,#REF!,#REF!)),0)</f>
        <v>0</v>
      </c>
    </row>
    <row r="1264" customFormat="1" spans="1:20">
      <c r="A1264">
        <v>551</v>
      </c>
      <c r="B1264">
        <v>3</v>
      </c>
      <c r="C1264" t="s">
        <v>391</v>
      </c>
      <c r="D1264" t="s">
        <v>28</v>
      </c>
      <c r="E1264" s="13" t="s">
        <v>392</v>
      </c>
      <c r="F1264"/>
      <c r="G1264">
        <v>2</v>
      </c>
      <c r="H1264">
        <v>1000</v>
      </c>
      <c r="J1264" cm="1">
        <f t="array" ref="J1264">_xlfn.SWITCH(B1264,1,75,2,61,3,49,4,37,5,25,6,13,7,4,8,1)</f>
        <v>49</v>
      </c>
      <c r="K1264" t="str" cm="1">
        <f t="array" ref="K1264">IFERROR(_xlfn.SWITCH(L1264,2,_xlfn.XLOOKUP(C1264,[1]ModifierDes!$B:$B,[1]ModifierDes!$C:$C),3,_xlfn.XLOOKUP(C1264,[1]StuntDes!$B:$B,[1]StuntDes!$C:$C)),"")</f>
        <v>魔力回复率提高{0}</v>
      </c>
      <c r="L1264">
        <f t="shared" si="53"/>
        <v>2</v>
      </c>
      <c r="M1264" s="10" t="str">
        <f>IFERROR(_xlfn.XLOOKUP(C1264,[1]StuntDes!$B:$B,[1]StuntDes!$A:$A),"")</f>
        <v/>
      </c>
      <c r="N1264" s="10">
        <f>IFERROR(_xlfn.XLOOKUP(C1264,[1]ModifierDes!$B:$B,[1]ModifierDes!$A:$A),"")</f>
        <v>10116</v>
      </c>
      <c r="O1264" s="10" t="str">
        <f>IFERROR(_xlfn.XLOOKUP(C1264,[1]AttributeName!$C:$C,[1]AttributeName!$B:$B),"")</f>
        <v/>
      </c>
      <c r="P1264" s="10"/>
      <c r="Q1264">
        <v>0.13</v>
      </c>
      <c r="R1264">
        <v>0.15</v>
      </c>
      <c r="S1264" cm="1">
        <f t="array" ref="S1264">IFERROR(_xlfn.SWITCH(L1264,1,_xlfn.XLOOKUP(O1264,[1]AttributeName!$B:$B,[1]AttributeName!$D:$D),2,_xlfn.XLOOKUP(C1264,#REF!,#REF!),3,_xlfn.XLOOKUP(C1264,#REF!,#REF!)),0)</f>
        <v>0</v>
      </c>
      <c r="T1264" cm="1">
        <f t="array" ref="T1264">IFERROR(_xlfn.SWITCH(L1264,1,_xlfn.XLOOKUP(O1264,[1]AttributeName!$B:$B,[1]AttributeName!$E:$E),2,_xlfn.XLOOKUP(C1264,#REF!,#REF!),3,_xlfn.XLOOKUP(C1264,#REF!,#REF!)),0)</f>
        <v>0</v>
      </c>
    </row>
    <row r="1265" customFormat="1" spans="1:20">
      <c r="A1265">
        <v>551</v>
      </c>
      <c r="B1265">
        <v>4</v>
      </c>
      <c r="C1265" t="s">
        <v>391</v>
      </c>
      <c r="D1265" t="s">
        <v>28</v>
      </c>
      <c r="E1265" s="13" t="s">
        <v>392</v>
      </c>
      <c r="F1265"/>
      <c r="G1265">
        <v>2</v>
      </c>
      <c r="H1265">
        <v>1000</v>
      </c>
      <c r="J1265" cm="1">
        <f t="array" ref="J1265">_xlfn.SWITCH(B1265,1,75,2,61,3,49,4,37,5,25,6,13,7,4,8,1)</f>
        <v>37</v>
      </c>
      <c r="K1265" t="str" cm="1">
        <f t="array" ref="K1265">IFERROR(_xlfn.SWITCH(L1265,2,_xlfn.XLOOKUP(C1265,[1]ModifierDes!$B:$B,[1]ModifierDes!$C:$C),3,_xlfn.XLOOKUP(C1265,[1]StuntDes!$B:$B,[1]StuntDes!$C:$C)),"")</f>
        <v>魔力回复率提高{0}</v>
      </c>
      <c r="L1265">
        <f t="shared" si="53"/>
        <v>2</v>
      </c>
      <c r="M1265" s="10" t="str">
        <f>IFERROR(_xlfn.XLOOKUP(C1265,[1]StuntDes!$B:$B,[1]StuntDes!$A:$A),"")</f>
        <v/>
      </c>
      <c r="N1265" s="10">
        <f>IFERROR(_xlfn.XLOOKUP(C1265,[1]ModifierDes!$B:$B,[1]ModifierDes!$A:$A),"")</f>
        <v>10116</v>
      </c>
      <c r="O1265" s="10" t="str">
        <f>IFERROR(_xlfn.XLOOKUP(C1265,[1]AttributeName!$C:$C,[1]AttributeName!$B:$B),"")</f>
        <v/>
      </c>
      <c r="P1265" s="10"/>
      <c r="Q1265">
        <v>0.11</v>
      </c>
      <c r="R1265">
        <v>0.12</v>
      </c>
      <c r="S1265" cm="1">
        <f t="array" ref="S1265">IFERROR(_xlfn.SWITCH(L1265,1,_xlfn.XLOOKUP(O1265,[1]AttributeName!$B:$B,[1]AttributeName!$D:$D),2,_xlfn.XLOOKUP(C1265,#REF!,#REF!),3,_xlfn.XLOOKUP(C1265,#REF!,#REF!)),0)</f>
        <v>0</v>
      </c>
      <c r="T1265" cm="1">
        <f t="array" ref="T1265">IFERROR(_xlfn.SWITCH(L1265,1,_xlfn.XLOOKUP(O1265,[1]AttributeName!$B:$B,[1]AttributeName!$E:$E),2,_xlfn.XLOOKUP(C1265,#REF!,#REF!),3,_xlfn.XLOOKUP(C1265,#REF!,#REF!)),0)</f>
        <v>0</v>
      </c>
    </row>
    <row r="1266" customFormat="1" spans="1:20">
      <c r="A1266">
        <v>551</v>
      </c>
      <c r="B1266">
        <v>5</v>
      </c>
      <c r="C1266" t="s">
        <v>391</v>
      </c>
      <c r="D1266" t="s">
        <v>28</v>
      </c>
      <c r="E1266" s="13" t="s">
        <v>392</v>
      </c>
      <c r="F1266"/>
      <c r="G1266">
        <v>2</v>
      </c>
      <c r="H1266">
        <v>1000</v>
      </c>
      <c r="J1266" cm="1">
        <f t="array" ref="J1266">_xlfn.SWITCH(B1266,1,75,2,61,3,49,4,37,5,25,6,13,7,4,8,1)</f>
        <v>25</v>
      </c>
      <c r="K1266" t="str" cm="1">
        <f t="array" ref="K1266">IFERROR(_xlfn.SWITCH(L1266,2,_xlfn.XLOOKUP(C1266,[1]ModifierDes!$B:$B,[1]ModifierDes!$C:$C),3,_xlfn.XLOOKUP(C1266,[1]StuntDes!$B:$B,[1]StuntDes!$C:$C)),"")</f>
        <v>魔力回复率提高{0}</v>
      </c>
      <c r="L1266">
        <f t="shared" si="53"/>
        <v>2</v>
      </c>
      <c r="M1266" s="10" t="str">
        <f>IFERROR(_xlfn.XLOOKUP(C1266,[1]StuntDes!$B:$B,[1]StuntDes!$A:$A),"")</f>
        <v/>
      </c>
      <c r="N1266" s="10">
        <f>IFERROR(_xlfn.XLOOKUP(C1266,[1]ModifierDes!$B:$B,[1]ModifierDes!$A:$A),"")</f>
        <v>10116</v>
      </c>
      <c r="O1266" s="10" t="str">
        <f>IFERROR(_xlfn.XLOOKUP(C1266,[1]AttributeName!$C:$C,[1]AttributeName!$B:$B),"")</f>
        <v/>
      </c>
      <c r="P1266" s="10"/>
      <c r="Q1266">
        <v>0.08</v>
      </c>
      <c r="R1266">
        <v>0.1</v>
      </c>
      <c r="S1266" cm="1">
        <f t="array" ref="S1266">IFERROR(_xlfn.SWITCH(L1266,1,_xlfn.XLOOKUP(O1266,[1]AttributeName!$B:$B,[1]AttributeName!$D:$D),2,_xlfn.XLOOKUP(C1266,#REF!,#REF!),3,_xlfn.XLOOKUP(C1266,#REF!,#REF!)),0)</f>
        <v>0</v>
      </c>
      <c r="T1266" cm="1">
        <f t="array" ref="T1266">IFERROR(_xlfn.SWITCH(L1266,1,_xlfn.XLOOKUP(O1266,[1]AttributeName!$B:$B,[1]AttributeName!$E:$E),2,_xlfn.XLOOKUP(C1266,#REF!,#REF!),3,_xlfn.XLOOKUP(C1266,#REF!,#REF!)),0)</f>
        <v>0</v>
      </c>
    </row>
    <row r="1267" customFormat="1" spans="1:20">
      <c r="A1267">
        <v>551</v>
      </c>
      <c r="B1267">
        <v>6</v>
      </c>
      <c r="C1267" t="s">
        <v>391</v>
      </c>
      <c r="D1267" t="s">
        <v>28</v>
      </c>
      <c r="E1267" s="13" t="s">
        <v>392</v>
      </c>
      <c r="F1267"/>
      <c r="G1267">
        <v>2</v>
      </c>
      <c r="H1267">
        <v>1000</v>
      </c>
      <c r="J1267" cm="1">
        <f t="array" ref="J1267">_xlfn.SWITCH(B1267,1,75,2,61,3,49,4,37,5,25,6,13,7,4,8,1)</f>
        <v>13</v>
      </c>
      <c r="K1267" t="str" cm="1">
        <f t="array" ref="K1267">IFERROR(_xlfn.SWITCH(L1267,2,_xlfn.XLOOKUP(C1267,[1]ModifierDes!$B:$B,[1]ModifierDes!$C:$C),3,_xlfn.XLOOKUP(C1267,[1]StuntDes!$B:$B,[1]StuntDes!$C:$C)),"")</f>
        <v>魔力回复率提高{0}</v>
      </c>
      <c r="L1267">
        <f t="shared" si="53"/>
        <v>2</v>
      </c>
      <c r="M1267" s="10" t="str">
        <f>IFERROR(_xlfn.XLOOKUP(C1267,[1]StuntDes!$B:$B,[1]StuntDes!$A:$A),"")</f>
        <v/>
      </c>
      <c r="N1267" s="10">
        <f>IFERROR(_xlfn.XLOOKUP(C1267,[1]ModifierDes!$B:$B,[1]ModifierDes!$A:$A),"")</f>
        <v>10116</v>
      </c>
      <c r="O1267" s="10" t="str">
        <f>IFERROR(_xlfn.XLOOKUP(C1267,[1]AttributeName!$C:$C,[1]AttributeName!$B:$B),"")</f>
        <v/>
      </c>
      <c r="P1267" s="10"/>
      <c r="Q1267">
        <v>0.06</v>
      </c>
      <c r="R1267">
        <v>0.07</v>
      </c>
      <c r="S1267" cm="1">
        <f t="array" ref="S1267">IFERROR(_xlfn.SWITCH(L1267,1,_xlfn.XLOOKUP(O1267,[1]AttributeName!$B:$B,[1]AttributeName!$D:$D),2,_xlfn.XLOOKUP(C1267,#REF!,#REF!),3,_xlfn.XLOOKUP(C1267,#REF!,#REF!)),0)</f>
        <v>0</v>
      </c>
      <c r="T1267" cm="1">
        <f t="array" ref="T1267">IFERROR(_xlfn.SWITCH(L1267,1,_xlfn.XLOOKUP(O1267,[1]AttributeName!$B:$B,[1]AttributeName!$E:$E),2,_xlfn.XLOOKUP(C1267,#REF!,#REF!),3,_xlfn.XLOOKUP(C1267,#REF!,#REF!)),0)</f>
        <v>0</v>
      </c>
    </row>
    <row r="1268" customFormat="1" spans="1:20">
      <c r="A1268">
        <v>551</v>
      </c>
      <c r="B1268">
        <v>7</v>
      </c>
      <c r="C1268" t="s">
        <v>391</v>
      </c>
      <c r="D1268" t="s">
        <v>28</v>
      </c>
      <c r="E1268" s="13" t="s">
        <v>392</v>
      </c>
      <c r="F1268"/>
      <c r="G1268">
        <v>2</v>
      </c>
      <c r="H1268">
        <v>1000</v>
      </c>
      <c r="J1268" cm="1">
        <f t="array" ref="J1268">_xlfn.SWITCH(B1268,1,75,2,61,3,49,4,37,5,25,6,13,7,4,8,1)</f>
        <v>4</v>
      </c>
      <c r="K1268" t="str" cm="1">
        <f t="array" ref="K1268">IFERROR(_xlfn.SWITCH(L1268,2,_xlfn.XLOOKUP(C1268,[1]ModifierDes!$B:$B,[1]ModifierDes!$C:$C),3,_xlfn.XLOOKUP(C1268,[1]StuntDes!$B:$B,[1]StuntDes!$C:$C)),"")</f>
        <v>魔力回复率提高{0}</v>
      </c>
      <c r="L1268">
        <f t="shared" si="53"/>
        <v>2</v>
      </c>
      <c r="M1268" s="10" t="str">
        <f>IFERROR(_xlfn.XLOOKUP(C1268,[1]StuntDes!$B:$B,[1]StuntDes!$A:$A),"")</f>
        <v/>
      </c>
      <c r="N1268" s="10">
        <f>IFERROR(_xlfn.XLOOKUP(C1268,[1]ModifierDes!$B:$B,[1]ModifierDes!$A:$A),"")</f>
        <v>10116</v>
      </c>
      <c r="O1268" s="10" t="str">
        <f>IFERROR(_xlfn.XLOOKUP(C1268,[1]AttributeName!$C:$C,[1]AttributeName!$B:$B),"")</f>
        <v/>
      </c>
      <c r="P1268" s="10"/>
      <c r="Q1268">
        <v>0.03</v>
      </c>
      <c r="R1268">
        <v>0.05</v>
      </c>
      <c r="S1268" cm="1">
        <f t="array" ref="S1268">IFERROR(_xlfn.SWITCH(L1268,1,_xlfn.XLOOKUP(O1268,[1]AttributeName!$B:$B,[1]AttributeName!$D:$D),2,_xlfn.XLOOKUP(C1268,#REF!,#REF!),3,_xlfn.XLOOKUP(C1268,#REF!,#REF!)),0)</f>
        <v>0</v>
      </c>
      <c r="T1268" cm="1">
        <f t="array" ref="T1268">IFERROR(_xlfn.SWITCH(L1268,1,_xlfn.XLOOKUP(O1268,[1]AttributeName!$B:$B,[1]AttributeName!$E:$E),2,_xlfn.XLOOKUP(C1268,#REF!,#REF!),3,_xlfn.XLOOKUP(C1268,#REF!,#REF!)),0)</f>
        <v>0</v>
      </c>
    </row>
    <row r="1269" customFormat="1" spans="1:20">
      <c r="A1269">
        <v>551</v>
      </c>
      <c r="B1269">
        <v>8</v>
      </c>
      <c r="C1269" t="s">
        <v>391</v>
      </c>
      <c r="D1269" t="s">
        <v>28</v>
      </c>
      <c r="E1269" s="13" t="s">
        <v>392</v>
      </c>
      <c r="F1269"/>
      <c r="G1269">
        <v>2</v>
      </c>
      <c r="H1269">
        <v>1000</v>
      </c>
      <c r="J1269" cm="1">
        <f t="array" ref="J1269">_xlfn.SWITCH(B1269,1,75,2,61,3,49,4,37,5,25,6,13,7,4,8,1)</f>
        <v>1</v>
      </c>
      <c r="K1269" t="str" cm="1">
        <f t="array" ref="K1269">IFERROR(_xlfn.SWITCH(L1269,2,_xlfn.XLOOKUP(C1269,[1]ModifierDes!$B:$B,[1]ModifierDes!$C:$C),3,_xlfn.XLOOKUP(C1269,[1]StuntDes!$B:$B,[1]StuntDes!$C:$C)),"")</f>
        <v>魔力回复率提高{0}</v>
      </c>
      <c r="L1269">
        <f t="shared" si="53"/>
        <v>2</v>
      </c>
      <c r="M1269" s="10" t="str">
        <f>IFERROR(_xlfn.XLOOKUP(C1269,[1]StuntDes!$B:$B,[1]StuntDes!$A:$A),"")</f>
        <v/>
      </c>
      <c r="N1269" s="10">
        <f>IFERROR(_xlfn.XLOOKUP(C1269,[1]ModifierDes!$B:$B,[1]ModifierDes!$A:$A),"")</f>
        <v>10116</v>
      </c>
      <c r="O1269" s="10" t="str">
        <f>IFERROR(_xlfn.XLOOKUP(C1269,[1]AttributeName!$C:$C,[1]AttributeName!$B:$B),"")</f>
        <v/>
      </c>
      <c r="P1269" s="10"/>
      <c r="Q1269">
        <v>0.02</v>
      </c>
      <c r="R1269">
        <v>0.02</v>
      </c>
      <c r="S1269" cm="1">
        <f t="array" ref="S1269">IFERROR(_xlfn.SWITCH(L1269,1,_xlfn.XLOOKUP(O1269,[1]AttributeName!$B:$B,[1]AttributeName!$D:$D),2,_xlfn.XLOOKUP(C1269,#REF!,#REF!),3,_xlfn.XLOOKUP(C1269,#REF!,#REF!)),0)</f>
        <v>0</v>
      </c>
      <c r="T1269" cm="1">
        <f t="array" ref="T1269">IFERROR(_xlfn.SWITCH(L1269,1,_xlfn.XLOOKUP(O1269,[1]AttributeName!$B:$B,[1]AttributeName!$E:$E),2,_xlfn.XLOOKUP(C1269,#REF!,#REF!),3,_xlfn.XLOOKUP(C1269,#REF!,#REF!)),0)</f>
        <v>0</v>
      </c>
    </row>
    <row r="1270" customFormat="1" spans="1:20">
      <c r="A1270">
        <v>552</v>
      </c>
      <c r="B1270">
        <v>2</v>
      </c>
      <c r="C1270" s="13" t="s">
        <v>393</v>
      </c>
      <c r="D1270" t="s">
        <v>28</v>
      </c>
      <c r="E1270" s="13" t="s">
        <v>392</v>
      </c>
      <c r="F1270"/>
      <c r="G1270">
        <v>2</v>
      </c>
      <c r="H1270">
        <v>50</v>
      </c>
      <c r="I1270">
        <v>2</v>
      </c>
      <c r="J1270" cm="1">
        <f t="array" ref="J1270">_xlfn.SWITCH(B1270,1,75,2,61,3,49,4,37,5,25,6,13,7,4,8,1)</f>
        <v>61</v>
      </c>
      <c r="K1270" t="str" cm="1">
        <f t="array" ref="K1270">IFERROR(_xlfn.SWITCH(L1270,2,_xlfn.XLOOKUP(C1270,[1]ModifierDes!$B:$B,[1]ModifierDes!$C:$C),3,_xlfn.XLOOKUP(C1270,[1]StuntDes!$B:$B,[1]StuntDes!$C:$C)),"")</f>
        <v/>
      </c>
      <c r="L1270">
        <f t="shared" si="53"/>
        <v>1</v>
      </c>
      <c r="M1270" s="10" t="str">
        <f>IFERROR(_xlfn.XLOOKUP(C1270,[1]StuntDes!$B:$B,[1]StuntDes!$A:$A),"")</f>
        <v/>
      </c>
      <c r="N1270" s="10" t="str">
        <f>IFERROR(_xlfn.XLOOKUP(C1270,[1]ModifierDes!$B:$B,[1]ModifierDes!$A:$A),"")</f>
        <v/>
      </c>
      <c r="O1270" s="10">
        <f>IFERROR(_xlfn.XLOOKUP(C1270,[1]AttributeName!$C:$C,[1]AttributeName!$B:$B),"")</f>
        <v>10401</v>
      </c>
      <c r="P1270" s="10"/>
      <c r="Q1270">
        <v>3</v>
      </c>
      <c r="R1270">
        <v>3</v>
      </c>
      <c r="S1270" cm="1">
        <f t="array" ref="S1270">IFERROR(_xlfn.SWITCH(L1270,1,_xlfn.XLOOKUP(O1270,[1]AttributeName!$B:$B,[1]AttributeName!$D:$D),2,_xlfn.XLOOKUP(C1270,#REF!,#REF!),3,_xlfn.XLOOKUP(C1270,#REF!,#REF!)),0)</f>
        <v>0</v>
      </c>
      <c r="T1270" cm="1">
        <f t="array" ref="T1270">IFERROR(_xlfn.SWITCH(L1270,1,_xlfn.XLOOKUP(O1270,[1]AttributeName!$B:$B,[1]AttributeName!$E:$E),2,_xlfn.XLOOKUP(C1270,#REF!,#REF!),3,_xlfn.XLOOKUP(C1270,#REF!,#REF!)),0)</f>
        <v>1</v>
      </c>
    </row>
    <row r="1271" customFormat="1" spans="1:20">
      <c r="A1271">
        <v>552</v>
      </c>
      <c r="B1271">
        <v>4</v>
      </c>
      <c r="C1271" s="13" t="s">
        <v>393</v>
      </c>
      <c r="D1271" t="s">
        <v>28</v>
      </c>
      <c r="E1271" s="13" t="s">
        <v>392</v>
      </c>
      <c r="F1271"/>
      <c r="G1271">
        <v>2</v>
      </c>
      <c r="H1271">
        <v>100</v>
      </c>
      <c r="I1271">
        <v>2</v>
      </c>
      <c r="J1271" cm="1">
        <f t="array" ref="J1271">_xlfn.SWITCH(B1271,1,75,2,61,3,49,4,37,5,25,6,13,7,4,8,1)</f>
        <v>37</v>
      </c>
      <c r="K1271" t="str" cm="1">
        <f t="array" ref="K1271">IFERROR(_xlfn.SWITCH(L1271,2,_xlfn.XLOOKUP(C1271,[1]ModifierDes!$B:$B,[1]ModifierDes!$C:$C),3,_xlfn.XLOOKUP(C1271,[1]StuntDes!$B:$B,[1]StuntDes!$C:$C)),"")</f>
        <v/>
      </c>
      <c r="L1271">
        <f t="shared" si="53"/>
        <v>1</v>
      </c>
      <c r="M1271" s="10" t="str">
        <f>IFERROR(_xlfn.XLOOKUP(C1271,[1]StuntDes!$B:$B,[1]StuntDes!$A:$A),"")</f>
        <v/>
      </c>
      <c r="N1271" s="10" t="str">
        <f>IFERROR(_xlfn.XLOOKUP(C1271,[1]ModifierDes!$B:$B,[1]ModifierDes!$A:$A),"")</f>
        <v/>
      </c>
      <c r="O1271" s="10">
        <f>IFERROR(_xlfn.XLOOKUP(C1271,[1]AttributeName!$C:$C,[1]AttributeName!$B:$B),"")</f>
        <v>10401</v>
      </c>
      <c r="P1271" s="10"/>
      <c r="Q1271">
        <v>2</v>
      </c>
      <c r="R1271">
        <v>2</v>
      </c>
      <c r="S1271" cm="1">
        <f t="array" ref="S1271">IFERROR(_xlfn.SWITCH(L1271,1,_xlfn.XLOOKUP(O1271,[1]AttributeName!$B:$B,[1]AttributeName!$D:$D),2,_xlfn.XLOOKUP(C1271,#REF!,#REF!),3,_xlfn.XLOOKUP(C1271,#REF!,#REF!)),0)</f>
        <v>0</v>
      </c>
      <c r="T1271" cm="1">
        <f t="array" ref="T1271">IFERROR(_xlfn.SWITCH(L1271,1,_xlfn.XLOOKUP(O1271,[1]AttributeName!$B:$B,[1]AttributeName!$E:$E),2,_xlfn.XLOOKUP(C1271,#REF!,#REF!),3,_xlfn.XLOOKUP(C1271,#REF!,#REF!)),0)</f>
        <v>1</v>
      </c>
    </row>
    <row r="1272" customFormat="1" spans="1:20">
      <c r="A1272">
        <v>552</v>
      </c>
      <c r="B1272">
        <v>6</v>
      </c>
      <c r="C1272" s="13" t="s">
        <v>393</v>
      </c>
      <c r="D1272" t="s">
        <v>28</v>
      </c>
      <c r="E1272" s="13" t="s">
        <v>392</v>
      </c>
      <c r="F1272"/>
      <c r="G1272">
        <v>2</v>
      </c>
      <c r="H1272">
        <v>200</v>
      </c>
      <c r="I1272">
        <v>2</v>
      </c>
      <c r="J1272" cm="1">
        <f t="array" ref="J1272">_xlfn.SWITCH(B1272,1,75,2,61,3,49,4,37,5,25,6,13,7,4,8,1)</f>
        <v>13</v>
      </c>
      <c r="K1272" t="str" cm="1">
        <f t="array" ref="K1272">IFERROR(_xlfn.SWITCH(L1272,2,_xlfn.XLOOKUP(C1272,[1]ModifierDes!$B:$B,[1]ModifierDes!$C:$C),3,_xlfn.XLOOKUP(C1272,[1]StuntDes!$B:$B,[1]StuntDes!$C:$C)),"")</f>
        <v/>
      </c>
      <c r="L1272">
        <f t="shared" si="53"/>
        <v>1</v>
      </c>
      <c r="M1272" s="10" t="str">
        <f>IFERROR(_xlfn.XLOOKUP(C1272,[1]StuntDes!$B:$B,[1]StuntDes!$A:$A),"")</f>
        <v/>
      </c>
      <c r="N1272" s="10" t="str">
        <f>IFERROR(_xlfn.XLOOKUP(C1272,[1]ModifierDes!$B:$B,[1]ModifierDes!$A:$A),"")</f>
        <v/>
      </c>
      <c r="O1272" s="10">
        <f>IFERROR(_xlfn.XLOOKUP(C1272,[1]AttributeName!$C:$C,[1]AttributeName!$B:$B),"")</f>
        <v>10401</v>
      </c>
      <c r="P1272" s="10"/>
      <c r="Q1272">
        <v>1</v>
      </c>
      <c r="R1272">
        <v>1</v>
      </c>
      <c r="S1272" cm="1">
        <f t="array" ref="S1272">IFERROR(_xlfn.SWITCH(L1272,1,_xlfn.XLOOKUP(O1272,[1]AttributeName!$B:$B,[1]AttributeName!$D:$D),2,_xlfn.XLOOKUP(C1272,#REF!,#REF!),3,_xlfn.XLOOKUP(C1272,#REF!,#REF!)),0)</f>
        <v>0</v>
      </c>
      <c r="T1272" cm="1">
        <f t="array" ref="T1272">IFERROR(_xlfn.SWITCH(L1272,1,_xlfn.XLOOKUP(O1272,[1]AttributeName!$B:$B,[1]AttributeName!$E:$E),2,_xlfn.XLOOKUP(C1272,#REF!,#REF!),3,_xlfn.XLOOKUP(C1272,#REF!,#REF!)),0)</f>
        <v>1</v>
      </c>
    </row>
    <row r="1273" customFormat="1" spans="1:20">
      <c r="A1273">
        <f t="shared" ref="A1273:A1293" si="55">A1270+1</f>
        <v>553</v>
      </c>
      <c r="B1273">
        <v>2</v>
      </c>
      <c r="C1273" s="13" t="s">
        <v>433</v>
      </c>
      <c r="D1273" t="s">
        <v>28</v>
      </c>
      <c r="E1273" s="13" t="s">
        <v>392</v>
      </c>
      <c r="F1273"/>
      <c r="G1273">
        <v>2</v>
      </c>
      <c r="H1273">
        <v>50</v>
      </c>
      <c r="I1273">
        <v>2</v>
      </c>
      <c r="J1273" cm="1">
        <f t="array" ref="J1273">_xlfn.SWITCH(B1273,1,75,2,61,3,49,4,37,5,25,6,13,7,4,8,1)</f>
        <v>61</v>
      </c>
      <c r="K1273" t="str" cm="1">
        <f t="array" ref="K1273">IFERROR(_xlfn.SWITCH(L1273,2,_xlfn.XLOOKUP(C1273,[1]ModifierDes!$B:$B,[1]ModifierDes!$C:$C),3,_xlfn.XLOOKUP(C1273,[1]StuntDes!$B:$B,[1]StuntDes!$C:$C)),"")</f>
        <v/>
      </c>
      <c r="L1273">
        <f t="shared" si="53"/>
        <v>1</v>
      </c>
      <c r="M1273" s="10" t="str">
        <f>IFERROR(_xlfn.XLOOKUP(C1273,[1]StuntDes!$B:$B,[1]StuntDes!$A:$A),"")</f>
        <v/>
      </c>
      <c r="N1273" s="10" t="str">
        <f>IFERROR(_xlfn.XLOOKUP(C1273,[1]ModifierDes!$B:$B,[1]ModifierDes!$A:$A),"")</f>
        <v/>
      </c>
      <c r="O1273" s="10">
        <f>IFERROR(_xlfn.XLOOKUP(C1273,[1]AttributeName!$C:$C,[1]AttributeName!$B:$B),"")</f>
        <v>10402</v>
      </c>
      <c r="P1273" s="10"/>
      <c r="Q1273">
        <v>3</v>
      </c>
      <c r="R1273">
        <v>3</v>
      </c>
      <c r="S1273" cm="1">
        <f t="array" ref="S1273">IFERROR(_xlfn.SWITCH(L1273,1,_xlfn.XLOOKUP(O1273,[1]AttributeName!$B:$B,[1]AttributeName!$D:$D),2,_xlfn.XLOOKUP(C1273,#REF!,#REF!),3,_xlfn.XLOOKUP(C1273,#REF!,#REF!)),0)</f>
        <v>0</v>
      </c>
      <c r="T1273" cm="1">
        <f t="array" ref="T1273">IFERROR(_xlfn.SWITCH(L1273,1,_xlfn.XLOOKUP(O1273,[1]AttributeName!$B:$B,[1]AttributeName!$E:$E),2,_xlfn.XLOOKUP(C1273,#REF!,#REF!),3,_xlfn.XLOOKUP(C1273,#REF!,#REF!)),0)</f>
        <v>1</v>
      </c>
    </row>
    <row r="1274" customFormat="1" spans="1:20">
      <c r="A1274">
        <f t="shared" si="55"/>
        <v>553</v>
      </c>
      <c r="B1274">
        <v>4</v>
      </c>
      <c r="C1274" s="13" t="s">
        <v>433</v>
      </c>
      <c r="D1274" t="s">
        <v>28</v>
      </c>
      <c r="E1274" s="13" t="s">
        <v>392</v>
      </c>
      <c r="F1274"/>
      <c r="G1274">
        <v>2</v>
      </c>
      <c r="H1274">
        <v>100</v>
      </c>
      <c r="I1274">
        <v>2</v>
      </c>
      <c r="J1274" cm="1">
        <f t="array" ref="J1274">_xlfn.SWITCH(B1274,1,75,2,61,3,49,4,37,5,25,6,13,7,4,8,1)</f>
        <v>37</v>
      </c>
      <c r="K1274" t="str" cm="1">
        <f t="array" ref="K1274">IFERROR(_xlfn.SWITCH(L1274,2,_xlfn.XLOOKUP(C1274,[1]ModifierDes!$B:$B,[1]ModifierDes!$C:$C),3,_xlfn.XLOOKUP(C1274,[1]StuntDes!$B:$B,[1]StuntDes!$C:$C)),"")</f>
        <v/>
      </c>
      <c r="L1274">
        <f t="shared" si="53"/>
        <v>1</v>
      </c>
      <c r="M1274" s="10" t="str">
        <f>IFERROR(_xlfn.XLOOKUP(C1274,[1]StuntDes!$B:$B,[1]StuntDes!$A:$A),"")</f>
        <v/>
      </c>
      <c r="N1274" s="10" t="str">
        <f>IFERROR(_xlfn.XLOOKUP(C1274,[1]ModifierDes!$B:$B,[1]ModifierDes!$A:$A),"")</f>
        <v/>
      </c>
      <c r="O1274" s="10">
        <f>IFERROR(_xlfn.XLOOKUP(C1274,[1]AttributeName!$C:$C,[1]AttributeName!$B:$B),"")</f>
        <v>10402</v>
      </c>
      <c r="P1274" s="10"/>
      <c r="Q1274">
        <v>2</v>
      </c>
      <c r="R1274">
        <v>2</v>
      </c>
      <c r="S1274" cm="1">
        <f t="array" ref="S1274">IFERROR(_xlfn.SWITCH(L1274,1,_xlfn.XLOOKUP(O1274,[1]AttributeName!$B:$B,[1]AttributeName!$D:$D),2,_xlfn.XLOOKUP(C1274,#REF!,#REF!),3,_xlfn.XLOOKUP(C1274,#REF!,#REF!)),0)</f>
        <v>0</v>
      </c>
      <c r="T1274" cm="1">
        <f t="array" ref="T1274">IFERROR(_xlfn.SWITCH(L1274,1,_xlfn.XLOOKUP(O1274,[1]AttributeName!$B:$B,[1]AttributeName!$E:$E),2,_xlfn.XLOOKUP(C1274,#REF!,#REF!),3,_xlfn.XLOOKUP(C1274,#REF!,#REF!)),0)</f>
        <v>1</v>
      </c>
    </row>
    <row r="1275" customFormat="1" spans="1:20">
      <c r="A1275">
        <f t="shared" si="55"/>
        <v>553</v>
      </c>
      <c r="B1275">
        <v>6</v>
      </c>
      <c r="C1275" s="13" t="s">
        <v>433</v>
      </c>
      <c r="D1275" t="s">
        <v>28</v>
      </c>
      <c r="E1275" s="13" t="s">
        <v>392</v>
      </c>
      <c r="F1275"/>
      <c r="G1275">
        <v>2</v>
      </c>
      <c r="H1275">
        <v>200</v>
      </c>
      <c r="I1275">
        <v>2</v>
      </c>
      <c r="J1275" cm="1">
        <f t="array" ref="J1275">_xlfn.SWITCH(B1275,1,75,2,61,3,49,4,37,5,25,6,13,7,4,8,1)</f>
        <v>13</v>
      </c>
      <c r="K1275" t="str" cm="1">
        <f t="array" ref="K1275">IFERROR(_xlfn.SWITCH(L1275,2,_xlfn.XLOOKUP(C1275,[1]ModifierDes!$B:$B,[1]ModifierDes!$C:$C),3,_xlfn.XLOOKUP(C1275,[1]StuntDes!$B:$B,[1]StuntDes!$C:$C)),"")</f>
        <v/>
      </c>
      <c r="L1275">
        <f t="shared" si="53"/>
        <v>1</v>
      </c>
      <c r="M1275" s="10" t="str">
        <f>IFERROR(_xlfn.XLOOKUP(C1275,[1]StuntDes!$B:$B,[1]StuntDes!$A:$A),"")</f>
        <v/>
      </c>
      <c r="N1275" s="10" t="str">
        <f>IFERROR(_xlfn.XLOOKUP(C1275,[1]ModifierDes!$B:$B,[1]ModifierDes!$A:$A),"")</f>
        <v/>
      </c>
      <c r="O1275" s="10">
        <f>IFERROR(_xlfn.XLOOKUP(C1275,[1]AttributeName!$C:$C,[1]AttributeName!$B:$B),"")</f>
        <v>10402</v>
      </c>
      <c r="P1275" s="10"/>
      <c r="Q1275">
        <v>1</v>
      </c>
      <c r="R1275">
        <v>1</v>
      </c>
      <c r="S1275" cm="1">
        <f t="array" ref="S1275">IFERROR(_xlfn.SWITCH(L1275,1,_xlfn.XLOOKUP(O1275,[1]AttributeName!$B:$B,[1]AttributeName!$D:$D),2,_xlfn.XLOOKUP(C1275,#REF!,#REF!),3,_xlfn.XLOOKUP(C1275,#REF!,#REF!)),0)</f>
        <v>0</v>
      </c>
      <c r="T1275" cm="1">
        <f t="array" ref="T1275">IFERROR(_xlfn.SWITCH(L1275,1,_xlfn.XLOOKUP(O1275,[1]AttributeName!$B:$B,[1]AttributeName!$E:$E),2,_xlfn.XLOOKUP(C1275,#REF!,#REF!),3,_xlfn.XLOOKUP(C1275,#REF!,#REF!)),0)</f>
        <v>1</v>
      </c>
    </row>
    <row r="1276" customFormat="1" spans="1:20">
      <c r="A1276">
        <f t="shared" si="55"/>
        <v>554</v>
      </c>
      <c r="B1276">
        <v>1</v>
      </c>
      <c r="C1276" s="13" t="s">
        <v>434</v>
      </c>
      <c r="D1276" t="s">
        <v>28</v>
      </c>
      <c r="E1276" s="13" t="s">
        <v>392</v>
      </c>
      <c r="F1276"/>
      <c r="G1276">
        <v>2</v>
      </c>
      <c r="H1276">
        <v>100</v>
      </c>
      <c r="I1276">
        <v>2</v>
      </c>
      <c r="J1276" cm="1">
        <f t="array" ref="J1276">_xlfn.SWITCH(B1276,1,75,2,61,3,49,4,37,5,25,6,13,7,4,8,1)</f>
        <v>75</v>
      </c>
      <c r="K1276" t="str" cm="1">
        <f t="array" ref="K1276">IFERROR(_xlfn.SWITCH(L1276,2,_xlfn.XLOOKUP(C1276,[1]ModifierDes!$B:$B,[1]ModifierDes!$C:$C),3,_xlfn.XLOOKUP(C1276,[1]StuntDes!$B:$B,[1]StuntDes!$C:$C)),"")</f>
        <v/>
      </c>
      <c r="L1276">
        <f t="shared" si="53"/>
        <v>1</v>
      </c>
      <c r="M1276" s="10" t="str">
        <f>IFERROR(_xlfn.XLOOKUP(C1276,[1]StuntDes!$B:$B,[1]StuntDes!$A:$A),"")</f>
        <v/>
      </c>
      <c r="N1276" s="10" t="str">
        <f>IFERROR(_xlfn.XLOOKUP(C1276,[1]ModifierDes!$B:$B,[1]ModifierDes!$A:$A),"")</f>
        <v/>
      </c>
      <c r="O1276" s="10">
        <f>IFERROR(_xlfn.XLOOKUP(C1276,[1]AttributeName!$C:$C,[1]AttributeName!$B:$B),"")</f>
        <v>10400</v>
      </c>
      <c r="P1276" s="10"/>
      <c r="Q1276">
        <v>3</v>
      </c>
      <c r="R1276">
        <v>4</v>
      </c>
      <c r="S1276" cm="1">
        <f t="array" ref="S1276">IFERROR(_xlfn.SWITCH(L1276,1,_xlfn.XLOOKUP(O1276,[1]AttributeName!$B:$B,[1]AttributeName!$D:$D),2,_xlfn.XLOOKUP(C1276,#REF!,#REF!),3,_xlfn.XLOOKUP(C1276,#REF!,#REF!)),0)</f>
        <v>0</v>
      </c>
      <c r="T1276" cm="1">
        <f t="array" ref="T1276">IFERROR(_xlfn.SWITCH(L1276,1,_xlfn.XLOOKUP(O1276,[1]AttributeName!$B:$B,[1]AttributeName!$E:$E),2,_xlfn.XLOOKUP(C1276,#REF!,#REF!),3,_xlfn.XLOOKUP(C1276,#REF!,#REF!)),0)</f>
        <v>1</v>
      </c>
    </row>
    <row r="1277" customFormat="1" spans="1:20">
      <c r="A1277">
        <f t="shared" si="55"/>
        <v>554</v>
      </c>
      <c r="B1277">
        <v>3</v>
      </c>
      <c r="C1277" s="13" t="s">
        <v>434</v>
      </c>
      <c r="D1277" t="s">
        <v>28</v>
      </c>
      <c r="E1277" s="13" t="s">
        <v>392</v>
      </c>
      <c r="F1277"/>
      <c r="G1277">
        <v>2</v>
      </c>
      <c r="H1277">
        <v>200</v>
      </c>
      <c r="I1277">
        <v>2</v>
      </c>
      <c r="J1277" cm="1">
        <f t="array" ref="J1277">_xlfn.SWITCH(B1277,1,75,2,61,3,49,4,37,5,25,6,13,7,4,8,1)</f>
        <v>49</v>
      </c>
      <c r="K1277" t="str" cm="1">
        <f t="array" ref="K1277">IFERROR(_xlfn.SWITCH(L1277,2,_xlfn.XLOOKUP(C1277,[1]ModifierDes!$B:$B,[1]ModifierDes!$C:$C),3,_xlfn.XLOOKUP(C1277,[1]StuntDes!$B:$B,[1]StuntDes!$C:$C)),"")</f>
        <v/>
      </c>
      <c r="L1277">
        <f t="shared" si="53"/>
        <v>1</v>
      </c>
      <c r="M1277" s="10" t="str">
        <f>IFERROR(_xlfn.XLOOKUP(C1277,[1]StuntDes!$B:$B,[1]StuntDes!$A:$A),"")</f>
        <v/>
      </c>
      <c r="N1277" s="10" t="str">
        <f>IFERROR(_xlfn.XLOOKUP(C1277,[1]ModifierDes!$B:$B,[1]ModifierDes!$A:$A),"")</f>
        <v/>
      </c>
      <c r="O1277" s="10">
        <f>IFERROR(_xlfn.XLOOKUP(C1277,[1]AttributeName!$C:$C,[1]AttributeName!$B:$B),"")</f>
        <v>10400</v>
      </c>
      <c r="P1277" s="10"/>
      <c r="Q1277">
        <v>2</v>
      </c>
      <c r="R1277">
        <v>2</v>
      </c>
      <c r="S1277" cm="1">
        <f t="array" ref="S1277">IFERROR(_xlfn.SWITCH(L1277,1,_xlfn.XLOOKUP(O1277,[1]AttributeName!$B:$B,[1]AttributeName!$D:$D),2,_xlfn.XLOOKUP(C1277,#REF!,#REF!),3,_xlfn.XLOOKUP(C1277,#REF!,#REF!)),0)</f>
        <v>0</v>
      </c>
      <c r="T1277" cm="1">
        <f t="array" ref="T1277">IFERROR(_xlfn.SWITCH(L1277,1,_xlfn.XLOOKUP(O1277,[1]AttributeName!$B:$B,[1]AttributeName!$E:$E),2,_xlfn.XLOOKUP(C1277,#REF!,#REF!),3,_xlfn.XLOOKUP(C1277,#REF!,#REF!)),0)</f>
        <v>1</v>
      </c>
    </row>
    <row r="1278" customFormat="1" spans="1:20">
      <c r="A1278">
        <f t="shared" si="55"/>
        <v>554</v>
      </c>
      <c r="B1278">
        <v>5</v>
      </c>
      <c r="C1278" s="13" t="s">
        <v>434</v>
      </c>
      <c r="D1278" t="s">
        <v>28</v>
      </c>
      <c r="E1278" s="13" t="s">
        <v>392</v>
      </c>
      <c r="F1278"/>
      <c r="G1278">
        <v>2</v>
      </c>
      <c r="H1278">
        <v>500</v>
      </c>
      <c r="I1278">
        <v>2</v>
      </c>
      <c r="J1278" cm="1">
        <f t="array" ref="J1278">_xlfn.SWITCH(B1278,1,75,2,61,3,49,4,37,5,25,6,13,7,4,8,1)</f>
        <v>25</v>
      </c>
      <c r="K1278" t="str" cm="1">
        <f t="array" ref="K1278">IFERROR(_xlfn.SWITCH(L1278,2,_xlfn.XLOOKUP(C1278,[1]ModifierDes!$B:$B,[1]ModifierDes!$C:$C),3,_xlfn.XLOOKUP(C1278,[1]StuntDes!$B:$B,[1]StuntDes!$C:$C)),"")</f>
        <v/>
      </c>
      <c r="L1278">
        <f t="shared" si="53"/>
        <v>1</v>
      </c>
      <c r="M1278" s="10" t="str">
        <f>IFERROR(_xlfn.XLOOKUP(C1278,[1]StuntDes!$B:$B,[1]StuntDes!$A:$A),"")</f>
        <v/>
      </c>
      <c r="N1278" s="10" t="str">
        <f>IFERROR(_xlfn.XLOOKUP(C1278,[1]ModifierDes!$B:$B,[1]ModifierDes!$A:$A),"")</f>
        <v/>
      </c>
      <c r="O1278" s="10">
        <f>IFERROR(_xlfn.XLOOKUP(C1278,[1]AttributeName!$C:$C,[1]AttributeName!$B:$B),"")</f>
        <v>10400</v>
      </c>
      <c r="P1278" s="10"/>
      <c r="Q1278">
        <v>1</v>
      </c>
      <c r="R1278">
        <v>1</v>
      </c>
      <c r="S1278" cm="1">
        <f t="array" ref="S1278">IFERROR(_xlfn.SWITCH(L1278,1,_xlfn.XLOOKUP(O1278,[1]AttributeName!$B:$B,[1]AttributeName!$D:$D),2,_xlfn.XLOOKUP(C1278,#REF!,#REF!),3,_xlfn.XLOOKUP(C1278,#REF!,#REF!)),0)</f>
        <v>0</v>
      </c>
      <c r="T1278" cm="1">
        <f t="array" ref="T1278">IFERROR(_xlfn.SWITCH(L1278,1,_xlfn.XLOOKUP(O1278,[1]AttributeName!$B:$B,[1]AttributeName!$E:$E),2,_xlfn.XLOOKUP(C1278,#REF!,#REF!),3,_xlfn.XLOOKUP(C1278,#REF!,#REF!)),0)</f>
        <v>1</v>
      </c>
    </row>
    <row r="1279" customFormat="1" spans="1:20">
      <c r="A1279">
        <f t="shared" si="55"/>
        <v>555</v>
      </c>
      <c r="B1279">
        <f>B1276</f>
        <v>1</v>
      </c>
      <c r="C1279" s="13" t="s">
        <v>398</v>
      </c>
      <c r="D1279" t="s">
        <v>28</v>
      </c>
      <c r="E1279" s="13" t="s">
        <v>392</v>
      </c>
      <c r="F1279"/>
      <c r="G1279">
        <v>2</v>
      </c>
      <c r="H1279">
        <v>100</v>
      </c>
      <c r="I1279">
        <v>2</v>
      </c>
      <c r="J1279" cm="1">
        <f t="array" ref="J1279">_xlfn.SWITCH(B1279,1,75,2,61,3,49,4,37,5,25,6,13,7,4,8,1)</f>
        <v>75</v>
      </c>
      <c r="K1279" t="str" cm="1">
        <f t="array" ref="K1279">IFERROR(_xlfn.SWITCH(L1279,2,_xlfn.XLOOKUP(C1279,[1]ModifierDes!$B:$B,[1]ModifierDes!$C:$C),3,_xlfn.XLOOKUP(C1279,[1]StuntDes!$B:$B,[1]StuntDes!$C:$C)),"")</f>
        <v/>
      </c>
      <c r="L1279">
        <f t="shared" si="53"/>
        <v>1</v>
      </c>
      <c r="M1279" s="10" t="str">
        <f>IFERROR(_xlfn.XLOOKUP(C1279,[1]StuntDes!$B:$B,[1]StuntDes!$A:$A),"")</f>
        <v/>
      </c>
      <c r="N1279" s="10" t="str">
        <f>IFERROR(_xlfn.XLOOKUP(C1279,[1]ModifierDes!$B:$B,[1]ModifierDes!$A:$A),"")</f>
        <v/>
      </c>
      <c r="O1279" s="10">
        <f>IFERROR(_xlfn.XLOOKUP(C1279,[1]AttributeName!$C:$C,[1]AttributeName!$B:$B),"")</f>
        <v>10407</v>
      </c>
      <c r="P1279" s="10"/>
      <c r="Q1279">
        <v>3</v>
      </c>
      <c r="R1279">
        <v>4</v>
      </c>
      <c r="S1279" cm="1">
        <f t="array" ref="S1279">IFERROR(_xlfn.SWITCH(L1279,1,_xlfn.XLOOKUP(O1279,[1]AttributeName!$B:$B,[1]AttributeName!$D:$D),2,_xlfn.XLOOKUP(C1279,#REF!,#REF!),3,_xlfn.XLOOKUP(C1279,#REF!,#REF!)),0)</f>
        <v>0</v>
      </c>
      <c r="T1279" cm="1">
        <f t="array" ref="T1279">IFERROR(_xlfn.SWITCH(L1279,1,_xlfn.XLOOKUP(O1279,[1]AttributeName!$B:$B,[1]AttributeName!$E:$E),2,_xlfn.XLOOKUP(C1279,#REF!,#REF!),3,_xlfn.XLOOKUP(C1279,#REF!,#REF!)),0)</f>
        <v>1</v>
      </c>
    </row>
    <row r="1280" customFormat="1" spans="1:20">
      <c r="A1280">
        <f t="shared" si="55"/>
        <v>555</v>
      </c>
      <c r="B1280">
        <f>B1277</f>
        <v>3</v>
      </c>
      <c r="C1280" s="13" t="s">
        <v>398</v>
      </c>
      <c r="D1280" t="s">
        <v>28</v>
      </c>
      <c r="E1280" s="13" t="s">
        <v>392</v>
      </c>
      <c r="F1280"/>
      <c r="G1280">
        <v>2</v>
      </c>
      <c r="H1280">
        <v>200</v>
      </c>
      <c r="I1280">
        <v>2</v>
      </c>
      <c r="J1280" cm="1">
        <f t="array" ref="J1280">_xlfn.SWITCH(B1280,1,75,2,61,3,49,4,37,5,25,6,13,7,4,8,1)</f>
        <v>49</v>
      </c>
      <c r="K1280" t="str" cm="1">
        <f t="array" ref="K1280">IFERROR(_xlfn.SWITCH(L1280,2,_xlfn.XLOOKUP(C1280,[1]ModifierDes!$B:$B,[1]ModifierDes!$C:$C),3,_xlfn.XLOOKUP(C1280,[1]StuntDes!$B:$B,[1]StuntDes!$C:$C)),"")</f>
        <v/>
      </c>
      <c r="L1280">
        <f t="shared" si="53"/>
        <v>1</v>
      </c>
      <c r="M1280" s="10" t="str">
        <f>IFERROR(_xlfn.XLOOKUP(C1280,[1]StuntDes!$B:$B,[1]StuntDes!$A:$A),"")</f>
        <v/>
      </c>
      <c r="N1280" s="10" t="str">
        <f>IFERROR(_xlfn.XLOOKUP(C1280,[1]ModifierDes!$B:$B,[1]ModifierDes!$A:$A),"")</f>
        <v/>
      </c>
      <c r="O1280" s="10">
        <f>IFERROR(_xlfn.XLOOKUP(C1280,[1]AttributeName!$C:$C,[1]AttributeName!$B:$B),"")</f>
        <v>10407</v>
      </c>
      <c r="P1280" s="10"/>
      <c r="Q1280">
        <v>2</v>
      </c>
      <c r="R1280">
        <v>2</v>
      </c>
      <c r="S1280" cm="1">
        <f t="array" ref="S1280">IFERROR(_xlfn.SWITCH(L1280,1,_xlfn.XLOOKUP(O1280,[1]AttributeName!$B:$B,[1]AttributeName!$D:$D),2,_xlfn.XLOOKUP(C1280,#REF!,#REF!),3,_xlfn.XLOOKUP(C1280,#REF!,#REF!)),0)</f>
        <v>0</v>
      </c>
      <c r="T1280" cm="1">
        <f t="array" ref="T1280">IFERROR(_xlfn.SWITCH(L1280,1,_xlfn.XLOOKUP(O1280,[1]AttributeName!$B:$B,[1]AttributeName!$E:$E),2,_xlfn.XLOOKUP(C1280,#REF!,#REF!),3,_xlfn.XLOOKUP(C1280,#REF!,#REF!)),0)</f>
        <v>1</v>
      </c>
    </row>
    <row r="1281" customFormat="1" spans="1:20">
      <c r="A1281">
        <f t="shared" si="55"/>
        <v>555</v>
      </c>
      <c r="B1281">
        <f>B1278</f>
        <v>5</v>
      </c>
      <c r="C1281" s="13" t="s">
        <v>398</v>
      </c>
      <c r="D1281" t="s">
        <v>28</v>
      </c>
      <c r="E1281" s="13" t="s">
        <v>392</v>
      </c>
      <c r="F1281"/>
      <c r="G1281">
        <v>2</v>
      </c>
      <c r="H1281">
        <v>500</v>
      </c>
      <c r="I1281">
        <v>2</v>
      </c>
      <c r="J1281" cm="1">
        <f t="array" ref="J1281">_xlfn.SWITCH(B1281,1,75,2,61,3,49,4,37,5,25,6,13,7,4,8,1)</f>
        <v>25</v>
      </c>
      <c r="K1281" t="str" cm="1">
        <f t="array" ref="K1281">IFERROR(_xlfn.SWITCH(L1281,2,_xlfn.XLOOKUP(C1281,[1]ModifierDes!$B:$B,[1]ModifierDes!$C:$C),3,_xlfn.XLOOKUP(C1281,[1]StuntDes!$B:$B,[1]StuntDes!$C:$C)),"")</f>
        <v/>
      </c>
      <c r="L1281">
        <f t="shared" si="53"/>
        <v>1</v>
      </c>
      <c r="M1281" s="10" t="str">
        <f>IFERROR(_xlfn.XLOOKUP(C1281,[1]StuntDes!$B:$B,[1]StuntDes!$A:$A),"")</f>
        <v/>
      </c>
      <c r="N1281" s="10" t="str">
        <f>IFERROR(_xlfn.XLOOKUP(C1281,[1]ModifierDes!$B:$B,[1]ModifierDes!$A:$A),"")</f>
        <v/>
      </c>
      <c r="O1281" s="10">
        <f>IFERROR(_xlfn.XLOOKUP(C1281,[1]AttributeName!$C:$C,[1]AttributeName!$B:$B),"")</f>
        <v>10407</v>
      </c>
      <c r="P1281" s="10"/>
      <c r="Q1281">
        <v>1</v>
      </c>
      <c r="R1281">
        <v>1</v>
      </c>
      <c r="S1281" cm="1">
        <f t="array" ref="S1281">IFERROR(_xlfn.SWITCH(L1281,1,_xlfn.XLOOKUP(O1281,[1]AttributeName!$B:$B,[1]AttributeName!$D:$D),2,_xlfn.XLOOKUP(C1281,#REF!,#REF!),3,_xlfn.XLOOKUP(C1281,#REF!,#REF!)),0)</f>
        <v>0</v>
      </c>
      <c r="T1281" cm="1">
        <f t="array" ref="T1281">IFERROR(_xlfn.SWITCH(L1281,1,_xlfn.XLOOKUP(O1281,[1]AttributeName!$B:$B,[1]AttributeName!$E:$E),2,_xlfn.XLOOKUP(C1281,#REF!,#REF!),3,_xlfn.XLOOKUP(C1281,#REF!,#REF!)),0)</f>
        <v>1</v>
      </c>
    </row>
    <row r="1282" customFormat="1" spans="1:20">
      <c r="A1282">
        <v>556</v>
      </c>
      <c r="B1282">
        <v>1</v>
      </c>
      <c r="C1282" t="s">
        <v>399</v>
      </c>
      <c r="D1282" t="s">
        <v>28</v>
      </c>
      <c r="E1282" s="13" t="s">
        <v>392</v>
      </c>
      <c r="F1282"/>
      <c r="G1282">
        <v>2</v>
      </c>
      <c r="H1282">
        <v>100</v>
      </c>
      <c r="J1282" cm="1">
        <f t="array" ref="J1282">_xlfn.SWITCH(B1282,1,75,2,61,3,49,4,37,5,25,6,13,7,4,8,1)</f>
        <v>75</v>
      </c>
      <c r="K1282" t="str" cm="1">
        <f t="array" ref="K1282">IFERROR(_xlfn.SWITCH(L1282,2,_xlfn.XLOOKUP(C1282,[1]ModifierDes!$B:$B,[1]ModifierDes!$C:$C),3,_xlfn.XLOOKUP(C1282,[1]StuntDes!$B:$B,[1]StuntDes!$C:$C)),"")</f>
        <v/>
      </c>
      <c r="L1282">
        <f t="shared" si="53"/>
        <v>1</v>
      </c>
      <c r="M1282" s="10" t="str">
        <f>IFERROR(_xlfn.XLOOKUP(C1282,[1]StuntDes!$B:$B,[1]StuntDes!$A:$A),"")</f>
        <v/>
      </c>
      <c r="N1282" s="10" t="str">
        <f>IFERROR(_xlfn.XLOOKUP(C1282,[1]ModifierDes!$B:$B,[1]ModifierDes!$A:$A),"")</f>
        <v/>
      </c>
      <c r="O1282" s="10">
        <f>IFERROR(_xlfn.XLOOKUP(C1282,[1]AttributeName!$C:$C,[1]AttributeName!$B:$B),"")</f>
        <v>10102</v>
      </c>
      <c r="P1282" s="10"/>
      <c r="Q1282">
        <v>0.6</v>
      </c>
      <c r="R1282">
        <v>0.8</v>
      </c>
      <c r="S1282" cm="1">
        <f t="array" ref="S1282">IFERROR(_xlfn.SWITCH(L1282,1,_xlfn.XLOOKUP(O1282,[1]AttributeName!$B:$B,[1]AttributeName!$D:$D),2,_xlfn.XLOOKUP(C1282,#REF!,#REF!),3,_xlfn.XLOOKUP(C1282,#REF!,#REF!)),0)</f>
        <v>2</v>
      </c>
      <c r="T1282" cm="1">
        <f t="array" ref="T1282">IFERROR(_xlfn.SWITCH(L1282,1,_xlfn.XLOOKUP(O1282,[1]AttributeName!$B:$B,[1]AttributeName!$E:$E),2,_xlfn.XLOOKUP(C1282,#REF!,#REF!),3,_xlfn.XLOOKUP(C1282,#REF!,#REF!)),0)</f>
        <v>2</v>
      </c>
    </row>
    <row r="1283" customFormat="1" spans="1:20">
      <c r="A1283">
        <v>556</v>
      </c>
      <c r="B1283">
        <v>2</v>
      </c>
      <c r="C1283" t="s">
        <v>399</v>
      </c>
      <c r="D1283" t="s">
        <v>28</v>
      </c>
      <c r="E1283" s="13" t="s">
        <v>392</v>
      </c>
      <c r="F1283"/>
      <c r="G1283">
        <v>2</v>
      </c>
      <c r="H1283">
        <v>200</v>
      </c>
      <c r="J1283" cm="1">
        <f t="array" ref="J1283">_xlfn.SWITCH(B1283,1,75,2,61,3,49,4,37,5,25,6,13,7,4,8,1)</f>
        <v>61</v>
      </c>
      <c r="K1283" t="str" cm="1">
        <f t="array" ref="K1283">IFERROR(_xlfn.SWITCH(L1283,2,_xlfn.XLOOKUP(C1283,[1]ModifierDes!$B:$B,[1]ModifierDes!$C:$C),3,_xlfn.XLOOKUP(C1283,[1]StuntDes!$B:$B,[1]StuntDes!$C:$C)),"")</f>
        <v/>
      </c>
      <c r="L1283">
        <f t="shared" si="53"/>
        <v>1</v>
      </c>
      <c r="M1283" s="10" t="str">
        <f>IFERROR(_xlfn.XLOOKUP(C1283,[1]StuntDes!$B:$B,[1]StuntDes!$A:$A),"")</f>
        <v/>
      </c>
      <c r="N1283" s="10" t="str">
        <f>IFERROR(_xlfn.XLOOKUP(C1283,[1]ModifierDes!$B:$B,[1]ModifierDes!$A:$A),"")</f>
        <v/>
      </c>
      <c r="O1283" s="10">
        <f>IFERROR(_xlfn.XLOOKUP(C1283,[1]AttributeName!$C:$C,[1]AttributeName!$B:$B),"")</f>
        <v>10102</v>
      </c>
      <c r="P1283" s="10"/>
      <c r="Q1283">
        <v>0.52</v>
      </c>
      <c r="R1283">
        <v>0.58</v>
      </c>
      <c r="S1283" cm="1">
        <f t="array" ref="S1283">IFERROR(_xlfn.SWITCH(L1283,1,_xlfn.XLOOKUP(O1283,[1]AttributeName!$B:$B,[1]AttributeName!$D:$D),2,_xlfn.XLOOKUP(C1283,#REF!,#REF!),3,_xlfn.XLOOKUP(C1283,#REF!,#REF!)),0)</f>
        <v>2</v>
      </c>
      <c r="T1283" cm="1">
        <f t="array" ref="T1283">IFERROR(_xlfn.SWITCH(L1283,1,_xlfn.XLOOKUP(O1283,[1]AttributeName!$B:$B,[1]AttributeName!$E:$E),2,_xlfn.XLOOKUP(C1283,#REF!,#REF!),3,_xlfn.XLOOKUP(C1283,#REF!,#REF!)),0)</f>
        <v>2</v>
      </c>
    </row>
    <row r="1284" customFormat="1" spans="1:20">
      <c r="A1284">
        <v>556</v>
      </c>
      <c r="B1284">
        <v>3</v>
      </c>
      <c r="C1284" t="s">
        <v>399</v>
      </c>
      <c r="D1284" t="s">
        <v>28</v>
      </c>
      <c r="E1284" s="13" t="s">
        <v>392</v>
      </c>
      <c r="F1284"/>
      <c r="G1284">
        <v>2</v>
      </c>
      <c r="H1284">
        <v>500</v>
      </c>
      <c r="J1284" cm="1">
        <f t="array" ref="J1284">_xlfn.SWITCH(B1284,1,75,2,61,3,49,4,37,5,25,6,13,7,4,8,1)</f>
        <v>49</v>
      </c>
      <c r="K1284" t="str" cm="1">
        <f t="array" ref="K1284">IFERROR(_xlfn.SWITCH(L1284,2,_xlfn.XLOOKUP(C1284,[1]ModifierDes!$B:$B,[1]ModifierDes!$C:$C),3,_xlfn.XLOOKUP(C1284,[1]StuntDes!$B:$B,[1]StuntDes!$C:$C)),"")</f>
        <v/>
      </c>
      <c r="L1284">
        <f t="shared" ref="L1284:L1347" si="56">IF(M1284="",IF(N1284="",1,2),3)</f>
        <v>1</v>
      </c>
      <c r="M1284" s="10" t="str">
        <f>IFERROR(_xlfn.XLOOKUP(C1284,[1]StuntDes!$B:$B,[1]StuntDes!$A:$A),"")</f>
        <v/>
      </c>
      <c r="N1284" s="10" t="str">
        <f>IFERROR(_xlfn.XLOOKUP(C1284,[1]ModifierDes!$B:$B,[1]ModifierDes!$A:$A),"")</f>
        <v/>
      </c>
      <c r="O1284" s="10">
        <f>IFERROR(_xlfn.XLOOKUP(C1284,[1]AttributeName!$C:$C,[1]AttributeName!$B:$B),"")</f>
        <v>10102</v>
      </c>
      <c r="P1284" s="10"/>
      <c r="Q1284">
        <v>0.44</v>
      </c>
      <c r="R1284">
        <v>0.5</v>
      </c>
      <c r="S1284" cm="1">
        <f t="array" ref="S1284">IFERROR(_xlfn.SWITCH(L1284,1,_xlfn.XLOOKUP(O1284,[1]AttributeName!$B:$B,[1]AttributeName!$D:$D),2,_xlfn.XLOOKUP(C1284,#REF!,#REF!),3,_xlfn.XLOOKUP(C1284,#REF!,#REF!)),0)</f>
        <v>2</v>
      </c>
      <c r="T1284" cm="1">
        <f t="array" ref="T1284">IFERROR(_xlfn.SWITCH(L1284,1,_xlfn.XLOOKUP(O1284,[1]AttributeName!$B:$B,[1]AttributeName!$E:$E),2,_xlfn.XLOOKUP(C1284,#REF!,#REF!),3,_xlfn.XLOOKUP(C1284,#REF!,#REF!)),0)</f>
        <v>2</v>
      </c>
    </row>
    <row r="1285" customFormat="1" spans="1:20">
      <c r="A1285">
        <v>556</v>
      </c>
      <c r="B1285">
        <v>4</v>
      </c>
      <c r="C1285" t="s">
        <v>399</v>
      </c>
      <c r="D1285" t="s">
        <v>28</v>
      </c>
      <c r="E1285" s="13" t="s">
        <v>392</v>
      </c>
      <c r="F1285"/>
      <c r="G1285">
        <v>2</v>
      </c>
      <c r="H1285">
        <v>1000</v>
      </c>
      <c r="J1285" cm="1">
        <f t="array" ref="J1285">_xlfn.SWITCH(B1285,1,75,2,61,3,49,4,37,5,25,6,13,7,4,8,1)</f>
        <v>37</v>
      </c>
      <c r="K1285" t="str" cm="1">
        <f t="array" ref="K1285">IFERROR(_xlfn.SWITCH(L1285,2,_xlfn.XLOOKUP(C1285,[1]ModifierDes!$B:$B,[1]ModifierDes!$C:$C),3,_xlfn.XLOOKUP(C1285,[1]StuntDes!$B:$B,[1]StuntDes!$C:$C)),"")</f>
        <v/>
      </c>
      <c r="L1285">
        <f t="shared" si="56"/>
        <v>1</v>
      </c>
      <c r="M1285" s="10" t="str">
        <f>IFERROR(_xlfn.XLOOKUP(C1285,[1]StuntDes!$B:$B,[1]StuntDes!$A:$A),"")</f>
        <v/>
      </c>
      <c r="N1285" s="10" t="str">
        <f>IFERROR(_xlfn.XLOOKUP(C1285,[1]ModifierDes!$B:$B,[1]ModifierDes!$A:$A),"")</f>
        <v/>
      </c>
      <c r="O1285" s="10">
        <f>IFERROR(_xlfn.XLOOKUP(C1285,[1]AttributeName!$C:$C,[1]AttributeName!$B:$B),"")</f>
        <v>10102</v>
      </c>
      <c r="P1285" s="10"/>
      <c r="Q1285">
        <v>0.36</v>
      </c>
      <c r="R1285">
        <v>0.42</v>
      </c>
      <c r="S1285" cm="1">
        <f t="array" ref="S1285">IFERROR(_xlfn.SWITCH(L1285,1,_xlfn.XLOOKUP(O1285,[1]AttributeName!$B:$B,[1]AttributeName!$D:$D),2,_xlfn.XLOOKUP(C1285,#REF!,#REF!),3,_xlfn.XLOOKUP(C1285,#REF!,#REF!)),0)</f>
        <v>2</v>
      </c>
      <c r="T1285" cm="1">
        <f t="array" ref="T1285">IFERROR(_xlfn.SWITCH(L1285,1,_xlfn.XLOOKUP(O1285,[1]AttributeName!$B:$B,[1]AttributeName!$E:$E),2,_xlfn.XLOOKUP(C1285,#REF!,#REF!),3,_xlfn.XLOOKUP(C1285,#REF!,#REF!)),0)</f>
        <v>2</v>
      </c>
    </row>
    <row r="1286" customFormat="1" spans="1:20">
      <c r="A1286">
        <v>556</v>
      </c>
      <c r="B1286">
        <v>5</v>
      </c>
      <c r="C1286" t="s">
        <v>399</v>
      </c>
      <c r="D1286" t="s">
        <v>28</v>
      </c>
      <c r="E1286" s="13" t="s">
        <v>392</v>
      </c>
      <c r="F1286"/>
      <c r="G1286">
        <v>2</v>
      </c>
      <c r="H1286">
        <v>1000</v>
      </c>
      <c r="J1286" cm="1">
        <f t="array" ref="J1286">_xlfn.SWITCH(B1286,1,75,2,61,3,49,4,37,5,25,6,13,7,4,8,1)</f>
        <v>25</v>
      </c>
      <c r="K1286" t="str" cm="1">
        <f t="array" ref="K1286">IFERROR(_xlfn.SWITCH(L1286,2,_xlfn.XLOOKUP(C1286,[1]ModifierDes!$B:$B,[1]ModifierDes!$C:$C),3,_xlfn.XLOOKUP(C1286,[1]StuntDes!$B:$B,[1]StuntDes!$C:$C)),"")</f>
        <v/>
      </c>
      <c r="L1286">
        <f t="shared" si="56"/>
        <v>1</v>
      </c>
      <c r="M1286" s="10" t="str">
        <f>IFERROR(_xlfn.XLOOKUP(C1286,[1]StuntDes!$B:$B,[1]StuntDes!$A:$A),"")</f>
        <v/>
      </c>
      <c r="N1286" s="10" t="str">
        <f>IFERROR(_xlfn.XLOOKUP(C1286,[1]ModifierDes!$B:$B,[1]ModifierDes!$A:$A),"")</f>
        <v/>
      </c>
      <c r="O1286" s="10">
        <f>IFERROR(_xlfn.XLOOKUP(C1286,[1]AttributeName!$C:$C,[1]AttributeName!$B:$B),"")</f>
        <v>10102</v>
      </c>
      <c r="P1286" s="10"/>
      <c r="Q1286">
        <v>0.28</v>
      </c>
      <c r="R1286">
        <v>0.34</v>
      </c>
      <c r="S1286" cm="1">
        <f t="array" ref="S1286">IFERROR(_xlfn.SWITCH(L1286,1,_xlfn.XLOOKUP(O1286,[1]AttributeName!$B:$B,[1]AttributeName!$D:$D),2,_xlfn.XLOOKUP(C1286,#REF!,#REF!),3,_xlfn.XLOOKUP(C1286,#REF!,#REF!)),0)</f>
        <v>2</v>
      </c>
      <c r="T1286" cm="1">
        <f t="array" ref="T1286">IFERROR(_xlfn.SWITCH(L1286,1,_xlfn.XLOOKUP(O1286,[1]AttributeName!$B:$B,[1]AttributeName!$E:$E),2,_xlfn.XLOOKUP(C1286,#REF!,#REF!),3,_xlfn.XLOOKUP(C1286,#REF!,#REF!)),0)</f>
        <v>2</v>
      </c>
    </row>
    <row r="1287" customFormat="1" spans="1:20">
      <c r="A1287">
        <v>556</v>
      </c>
      <c r="B1287">
        <v>6</v>
      </c>
      <c r="C1287" t="s">
        <v>399</v>
      </c>
      <c r="D1287" t="s">
        <v>28</v>
      </c>
      <c r="E1287" s="13" t="s">
        <v>392</v>
      </c>
      <c r="F1287"/>
      <c r="G1287">
        <v>2</v>
      </c>
      <c r="H1287">
        <v>1000</v>
      </c>
      <c r="J1287" cm="1">
        <f t="array" ref="J1287">_xlfn.SWITCH(B1287,1,75,2,61,3,49,4,37,5,25,6,13,7,4,8,1)</f>
        <v>13</v>
      </c>
      <c r="K1287" t="str" cm="1">
        <f t="array" ref="K1287">IFERROR(_xlfn.SWITCH(L1287,2,_xlfn.XLOOKUP(C1287,[1]ModifierDes!$B:$B,[1]ModifierDes!$C:$C),3,_xlfn.XLOOKUP(C1287,[1]StuntDes!$B:$B,[1]StuntDes!$C:$C)),"")</f>
        <v/>
      </c>
      <c r="L1287">
        <f t="shared" si="56"/>
        <v>1</v>
      </c>
      <c r="M1287" s="10" t="str">
        <f>IFERROR(_xlfn.XLOOKUP(C1287,[1]StuntDes!$B:$B,[1]StuntDes!$A:$A),"")</f>
        <v/>
      </c>
      <c r="N1287" s="10" t="str">
        <f>IFERROR(_xlfn.XLOOKUP(C1287,[1]ModifierDes!$B:$B,[1]ModifierDes!$A:$A),"")</f>
        <v/>
      </c>
      <c r="O1287" s="10">
        <f>IFERROR(_xlfn.XLOOKUP(C1287,[1]AttributeName!$C:$C,[1]AttributeName!$B:$B),"")</f>
        <v>10102</v>
      </c>
      <c r="P1287" s="10"/>
      <c r="Q1287">
        <v>0.2</v>
      </c>
      <c r="R1287">
        <v>0.26</v>
      </c>
      <c r="S1287" cm="1">
        <f t="array" ref="S1287">IFERROR(_xlfn.SWITCH(L1287,1,_xlfn.XLOOKUP(O1287,[1]AttributeName!$B:$B,[1]AttributeName!$D:$D),2,_xlfn.XLOOKUP(C1287,#REF!,#REF!),3,_xlfn.XLOOKUP(C1287,#REF!,#REF!)),0)</f>
        <v>2</v>
      </c>
      <c r="T1287" cm="1">
        <f t="array" ref="T1287">IFERROR(_xlfn.SWITCH(L1287,1,_xlfn.XLOOKUP(O1287,[1]AttributeName!$B:$B,[1]AttributeName!$E:$E),2,_xlfn.XLOOKUP(C1287,#REF!,#REF!),3,_xlfn.XLOOKUP(C1287,#REF!,#REF!)),0)</f>
        <v>2</v>
      </c>
    </row>
    <row r="1288" customFormat="1" spans="1:20">
      <c r="A1288">
        <v>556</v>
      </c>
      <c r="B1288">
        <v>7</v>
      </c>
      <c r="C1288" t="s">
        <v>399</v>
      </c>
      <c r="D1288" t="s">
        <v>28</v>
      </c>
      <c r="E1288" s="13" t="s">
        <v>392</v>
      </c>
      <c r="F1288"/>
      <c r="G1288">
        <v>2</v>
      </c>
      <c r="H1288">
        <v>1000</v>
      </c>
      <c r="J1288" cm="1">
        <f t="array" ref="J1288">_xlfn.SWITCH(B1288,1,75,2,61,3,49,4,37,5,25,6,13,7,4,8,1)</f>
        <v>4</v>
      </c>
      <c r="K1288" t="str" cm="1">
        <f t="array" ref="K1288">IFERROR(_xlfn.SWITCH(L1288,2,_xlfn.XLOOKUP(C1288,[1]ModifierDes!$B:$B,[1]ModifierDes!$C:$C),3,_xlfn.XLOOKUP(C1288,[1]StuntDes!$B:$B,[1]StuntDes!$C:$C)),"")</f>
        <v/>
      </c>
      <c r="L1288">
        <f t="shared" si="56"/>
        <v>1</v>
      </c>
      <c r="M1288" s="10" t="str">
        <f>IFERROR(_xlfn.XLOOKUP(C1288,[1]StuntDes!$B:$B,[1]StuntDes!$A:$A),"")</f>
        <v/>
      </c>
      <c r="N1288" s="10" t="str">
        <f>IFERROR(_xlfn.XLOOKUP(C1288,[1]ModifierDes!$B:$B,[1]ModifierDes!$A:$A),"")</f>
        <v/>
      </c>
      <c r="O1288" s="10">
        <f>IFERROR(_xlfn.XLOOKUP(C1288,[1]AttributeName!$C:$C,[1]AttributeName!$B:$B),"")</f>
        <v>10102</v>
      </c>
      <c r="P1288" s="10"/>
      <c r="Q1288">
        <v>0.12</v>
      </c>
      <c r="R1288">
        <v>0.18</v>
      </c>
      <c r="S1288" cm="1">
        <f t="array" ref="S1288">IFERROR(_xlfn.SWITCH(L1288,1,_xlfn.XLOOKUP(O1288,[1]AttributeName!$B:$B,[1]AttributeName!$D:$D),2,_xlfn.XLOOKUP(C1288,#REF!,#REF!),3,_xlfn.XLOOKUP(C1288,#REF!,#REF!)),0)</f>
        <v>2</v>
      </c>
      <c r="T1288" cm="1">
        <f t="array" ref="T1288">IFERROR(_xlfn.SWITCH(L1288,1,_xlfn.XLOOKUP(O1288,[1]AttributeName!$B:$B,[1]AttributeName!$E:$E),2,_xlfn.XLOOKUP(C1288,#REF!,#REF!),3,_xlfn.XLOOKUP(C1288,#REF!,#REF!)),0)</f>
        <v>2</v>
      </c>
    </row>
    <row r="1289" customFormat="1" spans="1:20">
      <c r="A1289">
        <v>556</v>
      </c>
      <c r="B1289">
        <v>8</v>
      </c>
      <c r="C1289" t="s">
        <v>399</v>
      </c>
      <c r="D1289" t="s">
        <v>28</v>
      </c>
      <c r="E1289" s="13" t="s">
        <v>392</v>
      </c>
      <c r="F1289"/>
      <c r="G1289">
        <v>2</v>
      </c>
      <c r="H1289">
        <v>1000</v>
      </c>
      <c r="J1289" cm="1">
        <f t="array" ref="J1289">_xlfn.SWITCH(B1289,1,75,2,61,3,49,4,37,5,25,6,13,7,4,8,1)</f>
        <v>1</v>
      </c>
      <c r="K1289" t="str" cm="1">
        <f t="array" ref="K1289">IFERROR(_xlfn.SWITCH(L1289,2,_xlfn.XLOOKUP(C1289,[1]ModifierDes!$B:$B,[1]ModifierDes!$C:$C),3,_xlfn.XLOOKUP(C1289,[1]StuntDes!$B:$B,[1]StuntDes!$C:$C)),"")</f>
        <v/>
      </c>
      <c r="L1289">
        <f t="shared" si="56"/>
        <v>1</v>
      </c>
      <c r="M1289" s="10" t="str">
        <f>IFERROR(_xlfn.XLOOKUP(C1289,[1]StuntDes!$B:$B,[1]StuntDes!$A:$A),"")</f>
        <v/>
      </c>
      <c r="N1289" s="10" t="str">
        <f>IFERROR(_xlfn.XLOOKUP(C1289,[1]ModifierDes!$B:$B,[1]ModifierDes!$A:$A),"")</f>
        <v/>
      </c>
      <c r="O1289" s="10">
        <f>IFERROR(_xlfn.XLOOKUP(C1289,[1]AttributeName!$C:$C,[1]AttributeName!$B:$B),"")</f>
        <v>10102</v>
      </c>
      <c r="P1289" s="10"/>
      <c r="Q1289">
        <v>0.04</v>
      </c>
      <c r="R1289">
        <v>0.1</v>
      </c>
      <c r="S1289" cm="1">
        <f t="array" ref="S1289">IFERROR(_xlfn.SWITCH(L1289,1,_xlfn.XLOOKUP(O1289,[1]AttributeName!$B:$B,[1]AttributeName!$D:$D),2,_xlfn.XLOOKUP(C1289,#REF!,#REF!),3,_xlfn.XLOOKUP(C1289,#REF!,#REF!)),0)</f>
        <v>2</v>
      </c>
      <c r="T1289" cm="1">
        <f t="array" ref="T1289">IFERROR(_xlfn.SWITCH(L1289,1,_xlfn.XLOOKUP(O1289,[1]AttributeName!$B:$B,[1]AttributeName!$E:$E),2,_xlfn.XLOOKUP(C1289,#REF!,#REF!),3,_xlfn.XLOOKUP(C1289,#REF!,#REF!)),0)</f>
        <v>2</v>
      </c>
    </row>
    <row r="1290" customFormat="1" spans="1:20">
      <c r="A1290">
        <f t="shared" ref="A1290:A1353" si="57">A1282+1</f>
        <v>557</v>
      </c>
      <c r="B1290">
        <v>1</v>
      </c>
      <c r="C1290" t="s">
        <v>435</v>
      </c>
      <c r="D1290" t="s">
        <v>28</v>
      </c>
      <c r="E1290" s="13" t="s">
        <v>392</v>
      </c>
      <c r="F1290"/>
      <c r="G1290">
        <v>2</v>
      </c>
      <c r="H1290">
        <v>100</v>
      </c>
      <c r="J1290" cm="1">
        <f t="array" ref="J1290">_xlfn.SWITCH(B1290,1,75,2,61,3,49,4,37,5,25,6,13,7,4,8,1)</f>
        <v>75</v>
      </c>
      <c r="K1290" t="str" cm="1">
        <f t="array" ref="K1290">IFERROR(_xlfn.SWITCH(L1290,2,_xlfn.XLOOKUP(C1290,[1]ModifierDes!$B:$B,[1]ModifierDes!$C:$C),3,_xlfn.XLOOKUP(C1290,[1]StuntDes!$B:$B,[1]StuntDes!$C:$C)),"")</f>
        <v/>
      </c>
      <c r="L1290">
        <f t="shared" si="56"/>
        <v>1</v>
      </c>
      <c r="M1290" s="10" t="str">
        <f>IFERROR(_xlfn.XLOOKUP(C1290,[1]StuntDes!$B:$B,[1]StuntDes!$A:$A),"")</f>
        <v/>
      </c>
      <c r="N1290" s="10" t="str">
        <f>IFERROR(_xlfn.XLOOKUP(C1290,[1]ModifierDes!$B:$B,[1]ModifierDes!$A:$A),"")</f>
        <v/>
      </c>
      <c r="O1290" s="10">
        <f>IFERROR(_xlfn.XLOOKUP(C1290,[1]AttributeName!$C:$C,[1]AttributeName!$B:$B),"")</f>
        <v>10103</v>
      </c>
      <c r="P1290" s="10"/>
      <c r="Q1290">
        <v>0.6</v>
      </c>
      <c r="R1290">
        <v>0.8</v>
      </c>
      <c r="S1290" cm="1">
        <f t="array" ref="S1290">IFERROR(_xlfn.SWITCH(L1290,1,_xlfn.XLOOKUP(O1290,[1]AttributeName!$B:$B,[1]AttributeName!$D:$D),2,_xlfn.XLOOKUP(C1290,#REF!,#REF!),3,_xlfn.XLOOKUP(C1290,#REF!,#REF!)),0)</f>
        <v>2</v>
      </c>
      <c r="T1290" cm="1">
        <f t="array" ref="T1290">IFERROR(_xlfn.SWITCH(L1290,1,_xlfn.XLOOKUP(O1290,[1]AttributeName!$B:$B,[1]AttributeName!$E:$E),2,_xlfn.XLOOKUP(C1290,#REF!,#REF!),3,_xlfn.XLOOKUP(C1290,#REF!,#REF!)),0)</f>
        <v>2</v>
      </c>
    </row>
    <row r="1291" customFormat="1" spans="1:20">
      <c r="A1291">
        <f t="shared" si="57"/>
        <v>557</v>
      </c>
      <c r="B1291">
        <v>2</v>
      </c>
      <c r="C1291" t="s">
        <v>435</v>
      </c>
      <c r="D1291" t="s">
        <v>28</v>
      </c>
      <c r="E1291" s="13" t="s">
        <v>392</v>
      </c>
      <c r="F1291"/>
      <c r="G1291">
        <v>2</v>
      </c>
      <c r="H1291">
        <v>200</v>
      </c>
      <c r="J1291" cm="1">
        <f t="array" ref="J1291">_xlfn.SWITCH(B1291,1,75,2,61,3,49,4,37,5,25,6,13,7,4,8,1)</f>
        <v>61</v>
      </c>
      <c r="K1291" t="str" cm="1">
        <f t="array" ref="K1291">IFERROR(_xlfn.SWITCH(L1291,2,_xlfn.XLOOKUP(C1291,[1]ModifierDes!$B:$B,[1]ModifierDes!$C:$C),3,_xlfn.XLOOKUP(C1291,[1]StuntDes!$B:$B,[1]StuntDes!$C:$C)),"")</f>
        <v/>
      </c>
      <c r="L1291">
        <f t="shared" si="56"/>
        <v>1</v>
      </c>
      <c r="M1291" s="10" t="str">
        <f>IFERROR(_xlfn.XLOOKUP(C1291,[1]StuntDes!$B:$B,[1]StuntDes!$A:$A),"")</f>
        <v/>
      </c>
      <c r="N1291" s="10" t="str">
        <f>IFERROR(_xlfn.XLOOKUP(C1291,[1]ModifierDes!$B:$B,[1]ModifierDes!$A:$A),"")</f>
        <v/>
      </c>
      <c r="O1291" s="10">
        <f>IFERROR(_xlfn.XLOOKUP(C1291,[1]AttributeName!$C:$C,[1]AttributeName!$B:$B),"")</f>
        <v>10103</v>
      </c>
      <c r="P1291" s="10"/>
      <c r="Q1291">
        <v>0.52</v>
      </c>
      <c r="R1291">
        <v>0.58</v>
      </c>
      <c r="S1291" cm="1">
        <f t="array" ref="S1291">IFERROR(_xlfn.SWITCH(L1291,1,_xlfn.XLOOKUP(O1291,[1]AttributeName!$B:$B,[1]AttributeName!$D:$D),2,_xlfn.XLOOKUP(C1291,#REF!,#REF!),3,_xlfn.XLOOKUP(C1291,#REF!,#REF!)),0)</f>
        <v>2</v>
      </c>
      <c r="T1291" cm="1">
        <f t="array" ref="T1291">IFERROR(_xlfn.SWITCH(L1291,1,_xlfn.XLOOKUP(O1291,[1]AttributeName!$B:$B,[1]AttributeName!$E:$E),2,_xlfn.XLOOKUP(C1291,#REF!,#REF!),3,_xlfn.XLOOKUP(C1291,#REF!,#REF!)),0)</f>
        <v>2</v>
      </c>
    </row>
    <row r="1292" customFormat="1" spans="1:20">
      <c r="A1292">
        <f t="shared" si="57"/>
        <v>557</v>
      </c>
      <c r="B1292">
        <v>3</v>
      </c>
      <c r="C1292" t="s">
        <v>435</v>
      </c>
      <c r="D1292" t="s">
        <v>28</v>
      </c>
      <c r="E1292" s="13" t="s">
        <v>392</v>
      </c>
      <c r="F1292"/>
      <c r="G1292">
        <v>2</v>
      </c>
      <c r="H1292">
        <v>500</v>
      </c>
      <c r="J1292" cm="1">
        <f t="array" ref="J1292">_xlfn.SWITCH(B1292,1,75,2,61,3,49,4,37,5,25,6,13,7,4,8,1)</f>
        <v>49</v>
      </c>
      <c r="K1292" t="str" cm="1">
        <f t="array" ref="K1292">IFERROR(_xlfn.SWITCH(L1292,2,_xlfn.XLOOKUP(C1292,[1]ModifierDes!$B:$B,[1]ModifierDes!$C:$C),3,_xlfn.XLOOKUP(C1292,[1]StuntDes!$B:$B,[1]StuntDes!$C:$C)),"")</f>
        <v/>
      </c>
      <c r="L1292">
        <f t="shared" si="56"/>
        <v>1</v>
      </c>
      <c r="M1292" s="10" t="str">
        <f>IFERROR(_xlfn.XLOOKUP(C1292,[1]StuntDes!$B:$B,[1]StuntDes!$A:$A),"")</f>
        <v/>
      </c>
      <c r="N1292" s="10" t="str">
        <f>IFERROR(_xlfn.XLOOKUP(C1292,[1]ModifierDes!$B:$B,[1]ModifierDes!$A:$A),"")</f>
        <v/>
      </c>
      <c r="O1292" s="10">
        <f>IFERROR(_xlfn.XLOOKUP(C1292,[1]AttributeName!$C:$C,[1]AttributeName!$B:$B),"")</f>
        <v>10103</v>
      </c>
      <c r="P1292" s="10"/>
      <c r="Q1292">
        <v>0.44</v>
      </c>
      <c r="R1292">
        <v>0.5</v>
      </c>
      <c r="S1292" cm="1">
        <f t="array" ref="S1292">IFERROR(_xlfn.SWITCH(L1292,1,_xlfn.XLOOKUP(O1292,[1]AttributeName!$B:$B,[1]AttributeName!$D:$D),2,_xlfn.XLOOKUP(C1292,#REF!,#REF!),3,_xlfn.XLOOKUP(C1292,#REF!,#REF!)),0)</f>
        <v>2</v>
      </c>
      <c r="T1292" cm="1">
        <f t="array" ref="T1292">IFERROR(_xlfn.SWITCH(L1292,1,_xlfn.XLOOKUP(O1292,[1]AttributeName!$B:$B,[1]AttributeName!$E:$E),2,_xlfn.XLOOKUP(C1292,#REF!,#REF!),3,_xlfn.XLOOKUP(C1292,#REF!,#REF!)),0)</f>
        <v>2</v>
      </c>
    </row>
    <row r="1293" customFormat="1" spans="1:20">
      <c r="A1293">
        <f t="shared" si="57"/>
        <v>557</v>
      </c>
      <c r="B1293">
        <v>4</v>
      </c>
      <c r="C1293" t="s">
        <v>435</v>
      </c>
      <c r="D1293" t="s">
        <v>28</v>
      </c>
      <c r="E1293" s="13" t="s">
        <v>392</v>
      </c>
      <c r="F1293"/>
      <c r="G1293">
        <v>2</v>
      </c>
      <c r="H1293">
        <v>1000</v>
      </c>
      <c r="J1293" cm="1">
        <f t="array" ref="J1293">_xlfn.SWITCH(B1293,1,75,2,61,3,49,4,37,5,25,6,13,7,4,8,1)</f>
        <v>37</v>
      </c>
      <c r="K1293" t="str" cm="1">
        <f t="array" ref="K1293">IFERROR(_xlfn.SWITCH(L1293,2,_xlfn.XLOOKUP(C1293,[1]ModifierDes!$B:$B,[1]ModifierDes!$C:$C),3,_xlfn.XLOOKUP(C1293,[1]StuntDes!$B:$B,[1]StuntDes!$C:$C)),"")</f>
        <v/>
      </c>
      <c r="L1293">
        <f t="shared" si="56"/>
        <v>1</v>
      </c>
      <c r="M1293" s="10" t="str">
        <f>IFERROR(_xlfn.XLOOKUP(C1293,[1]StuntDes!$B:$B,[1]StuntDes!$A:$A),"")</f>
        <v/>
      </c>
      <c r="N1293" s="10" t="str">
        <f>IFERROR(_xlfn.XLOOKUP(C1293,[1]ModifierDes!$B:$B,[1]ModifierDes!$A:$A),"")</f>
        <v/>
      </c>
      <c r="O1293" s="10">
        <f>IFERROR(_xlfn.XLOOKUP(C1293,[1]AttributeName!$C:$C,[1]AttributeName!$B:$B),"")</f>
        <v>10103</v>
      </c>
      <c r="P1293" s="10"/>
      <c r="Q1293">
        <v>0.36</v>
      </c>
      <c r="R1293">
        <v>0.42</v>
      </c>
      <c r="S1293" cm="1">
        <f t="array" ref="S1293">IFERROR(_xlfn.SWITCH(L1293,1,_xlfn.XLOOKUP(O1293,[1]AttributeName!$B:$B,[1]AttributeName!$D:$D),2,_xlfn.XLOOKUP(C1293,#REF!,#REF!),3,_xlfn.XLOOKUP(C1293,#REF!,#REF!)),0)</f>
        <v>2</v>
      </c>
      <c r="T1293" cm="1">
        <f t="array" ref="T1293">IFERROR(_xlfn.SWITCH(L1293,1,_xlfn.XLOOKUP(O1293,[1]AttributeName!$B:$B,[1]AttributeName!$E:$E),2,_xlfn.XLOOKUP(C1293,#REF!,#REF!),3,_xlfn.XLOOKUP(C1293,#REF!,#REF!)),0)</f>
        <v>2</v>
      </c>
    </row>
    <row r="1294" customFormat="1" spans="1:20">
      <c r="A1294">
        <f t="shared" si="57"/>
        <v>557</v>
      </c>
      <c r="B1294">
        <v>5</v>
      </c>
      <c r="C1294" t="s">
        <v>435</v>
      </c>
      <c r="D1294" t="s">
        <v>28</v>
      </c>
      <c r="E1294" s="13" t="s">
        <v>392</v>
      </c>
      <c r="F1294"/>
      <c r="G1294">
        <v>2</v>
      </c>
      <c r="H1294">
        <v>1000</v>
      </c>
      <c r="J1294" cm="1">
        <f t="array" ref="J1294">_xlfn.SWITCH(B1294,1,75,2,61,3,49,4,37,5,25,6,13,7,4,8,1)</f>
        <v>25</v>
      </c>
      <c r="K1294" t="str" cm="1">
        <f t="array" ref="K1294">IFERROR(_xlfn.SWITCH(L1294,2,_xlfn.XLOOKUP(C1294,[1]ModifierDes!$B:$B,[1]ModifierDes!$C:$C),3,_xlfn.XLOOKUP(C1294,[1]StuntDes!$B:$B,[1]StuntDes!$C:$C)),"")</f>
        <v/>
      </c>
      <c r="L1294">
        <f t="shared" si="56"/>
        <v>1</v>
      </c>
      <c r="M1294" s="10" t="str">
        <f>IFERROR(_xlfn.XLOOKUP(C1294,[1]StuntDes!$B:$B,[1]StuntDes!$A:$A),"")</f>
        <v/>
      </c>
      <c r="N1294" s="10" t="str">
        <f>IFERROR(_xlfn.XLOOKUP(C1294,[1]ModifierDes!$B:$B,[1]ModifierDes!$A:$A),"")</f>
        <v/>
      </c>
      <c r="O1294" s="10">
        <f>IFERROR(_xlfn.XLOOKUP(C1294,[1]AttributeName!$C:$C,[1]AttributeName!$B:$B),"")</f>
        <v>10103</v>
      </c>
      <c r="P1294" s="10"/>
      <c r="Q1294">
        <v>0.28</v>
      </c>
      <c r="R1294">
        <v>0.34</v>
      </c>
      <c r="S1294" cm="1">
        <f t="array" ref="S1294">IFERROR(_xlfn.SWITCH(L1294,1,_xlfn.XLOOKUP(O1294,[1]AttributeName!$B:$B,[1]AttributeName!$D:$D),2,_xlfn.XLOOKUP(C1294,#REF!,#REF!),3,_xlfn.XLOOKUP(C1294,#REF!,#REF!)),0)</f>
        <v>2</v>
      </c>
      <c r="T1294" cm="1">
        <f t="array" ref="T1294">IFERROR(_xlfn.SWITCH(L1294,1,_xlfn.XLOOKUP(O1294,[1]AttributeName!$B:$B,[1]AttributeName!$E:$E),2,_xlfn.XLOOKUP(C1294,#REF!,#REF!),3,_xlfn.XLOOKUP(C1294,#REF!,#REF!)),0)</f>
        <v>2</v>
      </c>
    </row>
    <row r="1295" customFormat="1" spans="1:20">
      <c r="A1295">
        <f t="shared" si="57"/>
        <v>557</v>
      </c>
      <c r="B1295">
        <v>6</v>
      </c>
      <c r="C1295" t="s">
        <v>435</v>
      </c>
      <c r="D1295" t="s">
        <v>28</v>
      </c>
      <c r="E1295" s="13" t="s">
        <v>392</v>
      </c>
      <c r="F1295"/>
      <c r="G1295">
        <v>2</v>
      </c>
      <c r="H1295">
        <v>1000</v>
      </c>
      <c r="J1295" cm="1">
        <f t="array" ref="J1295">_xlfn.SWITCH(B1295,1,75,2,61,3,49,4,37,5,25,6,13,7,4,8,1)</f>
        <v>13</v>
      </c>
      <c r="K1295" t="str" cm="1">
        <f t="array" ref="K1295">IFERROR(_xlfn.SWITCH(L1295,2,_xlfn.XLOOKUP(C1295,[1]ModifierDes!$B:$B,[1]ModifierDes!$C:$C),3,_xlfn.XLOOKUP(C1295,[1]StuntDes!$B:$B,[1]StuntDes!$C:$C)),"")</f>
        <v/>
      </c>
      <c r="L1295">
        <f t="shared" si="56"/>
        <v>1</v>
      </c>
      <c r="M1295" s="10" t="str">
        <f>IFERROR(_xlfn.XLOOKUP(C1295,[1]StuntDes!$B:$B,[1]StuntDes!$A:$A),"")</f>
        <v/>
      </c>
      <c r="N1295" s="10" t="str">
        <f>IFERROR(_xlfn.XLOOKUP(C1295,[1]ModifierDes!$B:$B,[1]ModifierDes!$A:$A),"")</f>
        <v/>
      </c>
      <c r="O1295" s="10">
        <f>IFERROR(_xlfn.XLOOKUP(C1295,[1]AttributeName!$C:$C,[1]AttributeName!$B:$B),"")</f>
        <v>10103</v>
      </c>
      <c r="P1295" s="10"/>
      <c r="Q1295">
        <v>0.2</v>
      </c>
      <c r="R1295">
        <v>0.26</v>
      </c>
      <c r="S1295" cm="1">
        <f t="array" ref="S1295">IFERROR(_xlfn.SWITCH(L1295,1,_xlfn.XLOOKUP(O1295,[1]AttributeName!$B:$B,[1]AttributeName!$D:$D),2,_xlfn.XLOOKUP(C1295,#REF!,#REF!),3,_xlfn.XLOOKUP(C1295,#REF!,#REF!)),0)</f>
        <v>2</v>
      </c>
      <c r="T1295" cm="1">
        <f t="array" ref="T1295">IFERROR(_xlfn.SWITCH(L1295,1,_xlfn.XLOOKUP(O1295,[1]AttributeName!$B:$B,[1]AttributeName!$E:$E),2,_xlfn.XLOOKUP(C1295,#REF!,#REF!),3,_xlfn.XLOOKUP(C1295,#REF!,#REF!)),0)</f>
        <v>2</v>
      </c>
    </row>
    <row r="1296" customFormat="1" spans="1:20">
      <c r="A1296">
        <f t="shared" si="57"/>
        <v>557</v>
      </c>
      <c r="B1296">
        <v>7</v>
      </c>
      <c r="C1296" t="s">
        <v>435</v>
      </c>
      <c r="D1296" t="s">
        <v>28</v>
      </c>
      <c r="E1296" s="13" t="s">
        <v>392</v>
      </c>
      <c r="F1296"/>
      <c r="G1296">
        <v>2</v>
      </c>
      <c r="H1296">
        <v>1000</v>
      </c>
      <c r="J1296" cm="1">
        <f t="array" ref="J1296">_xlfn.SWITCH(B1296,1,75,2,61,3,49,4,37,5,25,6,13,7,4,8,1)</f>
        <v>4</v>
      </c>
      <c r="K1296" t="str" cm="1">
        <f t="array" ref="K1296">IFERROR(_xlfn.SWITCH(L1296,2,_xlfn.XLOOKUP(C1296,[1]ModifierDes!$B:$B,[1]ModifierDes!$C:$C),3,_xlfn.XLOOKUP(C1296,[1]StuntDes!$B:$B,[1]StuntDes!$C:$C)),"")</f>
        <v/>
      </c>
      <c r="L1296">
        <f t="shared" si="56"/>
        <v>1</v>
      </c>
      <c r="M1296" s="10" t="str">
        <f>IFERROR(_xlfn.XLOOKUP(C1296,[1]StuntDes!$B:$B,[1]StuntDes!$A:$A),"")</f>
        <v/>
      </c>
      <c r="N1296" s="10" t="str">
        <f>IFERROR(_xlfn.XLOOKUP(C1296,[1]ModifierDes!$B:$B,[1]ModifierDes!$A:$A),"")</f>
        <v/>
      </c>
      <c r="O1296" s="10">
        <f>IFERROR(_xlfn.XLOOKUP(C1296,[1]AttributeName!$C:$C,[1]AttributeName!$B:$B),"")</f>
        <v>10103</v>
      </c>
      <c r="P1296" s="10"/>
      <c r="Q1296">
        <v>0.12</v>
      </c>
      <c r="R1296">
        <v>0.18</v>
      </c>
      <c r="S1296" cm="1">
        <f t="array" ref="S1296">IFERROR(_xlfn.SWITCH(L1296,1,_xlfn.XLOOKUP(O1296,[1]AttributeName!$B:$B,[1]AttributeName!$D:$D),2,_xlfn.XLOOKUP(C1296,#REF!,#REF!),3,_xlfn.XLOOKUP(C1296,#REF!,#REF!)),0)</f>
        <v>2</v>
      </c>
      <c r="T1296" cm="1">
        <f t="array" ref="T1296">IFERROR(_xlfn.SWITCH(L1296,1,_xlfn.XLOOKUP(O1296,[1]AttributeName!$B:$B,[1]AttributeName!$E:$E),2,_xlfn.XLOOKUP(C1296,#REF!,#REF!),3,_xlfn.XLOOKUP(C1296,#REF!,#REF!)),0)</f>
        <v>2</v>
      </c>
    </row>
    <row r="1297" customFormat="1" spans="1:20">
      <c r="A1297">
        <f t="shared" si="57"/>
        <v>557</v>
      </c>
      <c r="B1297">
        <v>8</v>
      </c>
      <c r="C1297" t="s">
        <v>435</v>
      </c>
      <c r="D1297" t="s">
        <v>28</v>
      </c>
      <c r="E1297" s="13" t="s">
        <v>392</v>
      </c>
      <c r="F1297"/>
      <c r="G1297">
        <v>2</v>
      </c>
      <c r="H1297">
        <v>1000</v>
      </c>
      <c r="J1297" cm="1">
        <f t="array" ref="J1297">_xlfn.SWITCH(B1297,1,75,2,61,3,49,4,37,5,25,6,13,7,4,8,1)</f>
        <v>1</v>
      </c>
      <c r="K1297" t="str" cm="1">
        <f t="array" ref="K1297">IFERROR(_xlfn.SWITCH(L1297,2,_xlfn.XLOOKUP(C1297,[1]ModifierDes!$B:$B,[1]ModifierDes!$C:$C),3,_xlfn.XLOOKUP(C1297,[1]StuntDes!$B:$B,[1]StuntDes!$C:$C)),"")</f>
        <v/>
      </c>
      <c r="L1297">
        <f t="shared" si="56"/>
        <v>1</v>
      </c>
      <c r="M1297" s="10" t="str">
        <f>IFERROR(_xlfn.XLOOKUP(C1297,[1]StuntDes!$B:$B,[1]StuntDes!$A:$A),"")</f>
        <v/>
      </c>
      <c r="N1297" s="10" t="str">
        <f>IFERROR(_xlfn.XLOOKUP(C1297,[1]ModifierDes!$B:$B,[1]ModifierDes!$A:$A),"")</f>
        <v/>
      </c>
      <c r="O1297" s="10">
        <f>IFERROR(_xlfn.XLOOKUP(C1297,[1]AttributeName!$C:$C,[1]AttributeName!$B:$B),"")</f>
        <v>10103</v>
      </c>
      <c r="P1297" s="10"/>
      <c r="Q1297">
        <v>0.04</v>
      </c>
      <c r="R1297">
        <v>0.1</v>
      </c>
      <c r="S1297" cm="1">
        <f t="array" ref="S1297">IFERROR(_xlfn.SWITCH(L1297,1,_xlfn.XLOOKUP(O1297,[1]AttributeName!$B:$B,[1]AttributeName!$D:$D),2,_xlfn.XLOOKUP(C1297,#REF!,#REF!),3,_xlfn.XLOOKUP(C1297,#REF!,#REF!)),0)</f>
        <v>2</v>
      </c>
      <c r="T1297" cm="1">
        <f t="array" ref="T1297">IFERROR(_xlfn.SWITCH(L1297,1,_xlfn.XLOOKUP(O1297,[1]AttributeName!$B:$B,[1]AttributeName!$E:$E),2,_xlfn.XLOOKUP(C1297,#REF!,#REF!),3,_xlfn.XLOOKUP(C1297,#REF!,#REF!)),0)</f>
        <v>2</v>
      </c>
    </row>
    <row r="1298" customFormat="1" spans="1:20">
      <c r="A1298">
        <f t="shared" si="57"/>
        <v>558</v>
      </c>
      <c r="B1298">
        <v>1</v>
      </c>
      <c r="C1298" t="s">
        <v>400</v>
      </c>
      <c r="D1298" t="s">
        <v>28</v>
      </c>
      <c r="E1298" s="13" t="s">
        <v>392</v>
      </c>
      <c r="F1298"/>
      <c r="G1298">
        <v>2</v>
      </c>
      <c r="H1298">
        <v>100</v>
      </c>
      <c r="J1298" cm="1">
        <f t="array" ref="J1298">_xlfn.SWITCH(B1298,1,75,2,61,3,49,4,37,5,25,6,13,7,4,8,1)</f>
        <v>75</v>
      </c>
      <c r="K1298" t="str" cm="1">
        <f t="array" ref="K1298">IFERROR(_xlfn.SWITCH(L1298,2,_xlfn.XLOOKUP(C1298,[1]ModifierDes!$B:$B,[1]ModifierDes!$C:$C),3,_xlfn.XLOOKUP(C1298,[1]StuntDes!$B:$B,[1]StuntDes!$C:$C)),"")</f>
        <v>攻击暴击伤害增加{0}</v>
      </c>
      <c r="L1298">
        <f t="shared" si="56"/>
        <v>2</v>
      </c>
      <c r="M1298" s="10" t="str">
        <f>IFERROR(_xlfn.XLOOKUP(C1298,[1]StuntDes!$B:$B,[1]StuntDes!$A:$A),"")</f>
        <v/>
      </c>
      <c r="N1298" s="10">
        <f>IFERROR(_xlfn.XLOOKUP(C1298,[1]ModifierDes!$B:$B,[1]ModifierDes!$A:$A),"")</f>
        <v>10060</v>
      </c>
      <c r="O1298" s="10" t="str">
        <f>IFERROR(_xlfn.XLOOKUP(C1298,[1]AttributeName!$C:$C,[1]AttributeName!$B:$B),"")</f>
        <v/>
      </c>
      <c r="P1298" s="10"/>
      <c r="Q1298">
        <v>0.6</v>
      </c>
      <c r="R1298">
        <v>0.8</v>
      </c>
      <c r="S1298" cm="1">
        <f t="array" ref="S1298">IFERROR(_xlfn.SWITCH(L1298,1,_xlfn.XLOOKUP(O1298,[1]AttributeName!$B:$B,[1]AttributeName!$D:$D),2,_xlfn.XLOOKUP(C1298,#REF!,#REF!),3,_xlfn.XLOOKUP(C1298,#REF!,#REF!)),0)</f>
        <v>0</v>
      </c>
      <c r="T1298" cm="1">
        <f t="array" ref="T1298">IFERROR(_xlfn.SWITCH(L1298,1,_xlfn.XLOOKUP(O1298,[1]AttributeName!$B:$B,[1]AttributeName!$E:$E),2,_xlfn.XLOOKUP(C1298,#REF!,#REF!),3,_xlfn.XLOOKUP(C1298,#REF!,#REF!)),0)</f>
        <v>0</v>
      </c>
    </row>
    <row r="1299" customFormat="1" spans="1:20">
      <c r="A1299">
        <f t="shared" si="57"/>
        <v>558</v>
      </c>
      <c r="B1299">
        <v>2</v>
      </c>
      <c r="C1299" t="s">
        <v>400</v>
      </c>
      <c r="D1299" t="s">
        <v>28</v>
      </c>
      <c r="E1299" s="13" t="s">
        <v>392</v>
      </c>
      <c r="F1299"/>
      <c r="G1299">
        <v>2</v>
      </c>
      <c r="H1299">
        <v>200</v>
      </c>
      <c r="J1299" cm="1">
        <f t="array" ref="J1299">_xlfn.SWITCH(B1299,1,75,2,61,3,49,4,37,5,25,6,13,7,4,8,1)</f>
        <v>61</v>
      </c>
      <c r="K1299" t="str" cm="1">
        <f t="array" ref="K1299">IFERROR(_xlfn.SWITCH(L1299,2,_xlfn.XLOOKUP(C1299,[1]ModifierDes!$B:$B,[1]ModifierDes!$C:$C),3,_xlfn.XLOOKUP(C1299,[1]StuntDes!$B:$B,[1]StuntDes!$C:$C)),"")</f>
        <v>攻击暴击伤害增加{0}</v>
      </c>
      <c r="L1299">
        <f t="shared" si="56"/>
        <v>2</v>
      </c>
      <c r="M1299" s="10" t="str">
        <f>IFERROR(_xlfn.XLOOKUP(C1299,[1]StuntDes!$B:$B,[1]StuntDes!$A:$A),"")</f>
        <v/>
      </c>
      <c r="N1299" s="10">
        <f>IFERROR(_xlfn.XLOOKUP(C1299,[1]ModifierDes!$B:$B,[1]ModifierDes!$A:$A),"")</f>
        <v>10060</v>
      </c>
      <c r="O1299" s="10" t="str">
        <f>IFERROR(_xlfn.XLOOKUP(C1299,[1]AttributeName!$C:$C,[1]AttributeName!$B:$B),"")</f>
        <v/>
      </c>
      <c r="P1299" s="10"/>
      <c r="Q1299">
        <v>0.52</v>
      </c>
      <c r="R1299">
        <v>0.58</v>
      </c>
      <c r="S1299" cm="1">
        <f t="array" ref="S1299">IFERROR(_xlfn.SWITCH(L1299,1,_xlfn.XLOOKUP(O1299,[1]AttributeName!$B:$B,[1]AttributeName!$D:$D),2,_xlfn.XLOOKUP(C1299,#REF!,#REF!),3,_xlfn.XLOOKUP(C1299,#REF!,#REF!)),0)</f>
        <v>0</v>
      </c>
      <c r="T1299" cm="1">
        <f t="array" ref="T1299">IFERROR(_xlfn.SWITCH(L1299,1,_xlfn.XLOOKUP(O1299,[1]AttributeName!$B:$B,[1]AttributeName!$E:$E),2,_xlfn.XLOOKUP(C1299,#REF!,#REF!),3,_xlfn.XLOOKUP(C1299,#REF!,#REF!)),0)</f>
        <v>0</v>
      </c>
    </row>
    <row r="1300" customFormat="1" spans="1:20">
      <c r="A1300">
        <f t="shared" si="57"/>
        <v>558</v>
      </c>
      <c r="B1300">
        <v>3</v>
      </c>
      <c r="C1300" t="s">
        <v>400</v>
      </c>
      <c r="D1300" t="s">
        <v>28</v>
      </c>
      <c r="E1300" s="13" t="s">
        <v>392</v>
      </c>
      <c r="F1300"/>
      <c r="G1300">
        <v>2</v>
      </c>
      <c r="H1300">
        <v>500</v>
      </c>
      <c r="J1300" cm="1">
        <f t="array" ref="J1300">_xlfn.SWITCH(B1300,1,75,2,61,3,49,4,37,5,25,6,13,7,4,8,1)</f>
        <v>49</v>
      </c>
      <c r="K1300" t="str" cm="1">
        <f t="array" ref="K1300">IFERROR(_xlfn.SWITCH(L1300,2,_xlfn.XLOOKUP(C1300,[1]ModifierDes!$B:$B,[1]ModifierDes!$C:$C),3,_xlfn.XLOOKUP(C1300,[1]StuntDes!$B:$B,[1]StuntDes!$C:$C)),"")</f>
        <v>攻击暴击伤害增加{0}</v>
      </c>
      <c r="L1300">
        <f t="shared" si="56"/>
        <v>2</v>
      </c>
      <c r="M1300" s="10" t="str">
        <f>IFERROR(_xlfn.XLOOKUP(C1300,[1]StuntDes!$B:$B,[1]StuntDes!$A:$A),"")</f>
        <v/>
      </c>
      <c r="N1300" s="10">
        <f>IFERROR(_xlfn.XLOOKUP(C1300,[1]ModifierDes!$B:$B,[1]ModifierDes!$A:$A),"")</f>
        <v>10060</v>
      </c>
      <c r="O1300" s="10" t="str">
        <f>IFERROR(_xlfn.XLOOKUP(C1300,[1]AttributeName!$C:$C,[1]AttributeName!$B:$B),"")</f>
        <v/>
      </c>
      <c r="P1300" s="10"/>
      <c r="Q1300">
        <v>0.44</v>
      </c>
      <c r="R1300">
        <v>0.5</v>
      </c>
      <c r="S1300" cm="1">
        <f t="array" ref="S1300">IFERROR(_xlfn.SWITCH(L1300,1,_xlfn.XLOOKUP(O1300,[1]AttributeName!$B:$B,[1]AttributeName!$D:$D),2,_xlfn.XLOOKUP(C1300,#REF!,#REF!),3,_xlfn.XLOOKUP(C1300,#REF!,#REF!)),0)</f>
        <v>0</v>
      </c>
      <c r="T1300" cm="1">
        <f t="array" ref="T1300">IFERROR(_xlfn.SWITCH(L1300,1,_xlfn.XLOOKUP(O1300,[1]AttributeName!$B:$B,[1]AttributeName!$E:$E),2,_xlfn.XLOOKUP(C1300,#REF!,#REF!),3,_xlfn.XLOOKUP(C1300,#REF!,#REF!)),0)</f>
        <v>0</v>
      </c>
    </row>
    <row r="1301" customFormat="1" spans="1:20">
      <c r="A1301">
        <f t="shared" si="57"/>
        <v>558</v>
      </c>
      <c r="B1301">
        <v>4</v>
      </c>
      <c r="C1301" t="s">
        <v>400</v>
      </c>
      <c r="D1301" t="s">
        <v>28</v>
      </c>
      <c r="E1301" s="13" t="s">
        <v>392</v>
      </c>
      <c r="F1301"/>
      <c r="G1301">
        <v>2</v>
      </c>
      <c r="H1301">
        <v>1000</v>
      </c>
      <c r="J1301" cm="1">
        <f t="array" ref="J1301">_xlfn.SWITCH(B1301,1,75,2,61,3,49,4,37,5,25,6,13,7,4,8,1)</f>
        <v>37</v>
      </c>
      <c r="K1301" t="str" cm="1">
        <f t="array" ref="K1301">IFERROR(_xlfn.SWITCH(L1301,2,_xlfn.XLOOKUP(C1301,[1]ModifierDes!$B:$B,[1]ModifierDes!$C:$C),3,_xlfn.XLOOKUP(C1301,[1]StuntDes!$B:$B,[1]StuntDes!$C:$C)),"")</f>
        <v>攻击暴击伤害增加{0}</v>
      </c>
      <c r="L1301">
        <f t="shared" si="56"/>
        <v>2</v>
      </c>
      <c r="M1301" s="10" t="str">
        <f>IFERROR(_xlfn.XLOOKUP(C1301,[1]StuntDes!$B:$B,[1]StuntDes!$A:$A),"")</f>
        <v/>
      </c>
      <c r="N1301" s="10">
        <f>IFERROR(_xlfn.XLOOKUP(C1301,[1]ModifierDes!$B:$B,[1]ModifierDes!$A:$A),"")</f>
        <v>10060</v>
      </c>
      <c r="O1301" s="10" t="str">
        <f>IFERROR(_xlfn.XLOOKUP(C1301,[1]AttributeName!$C:$C,[1]AttributeName!$B:$B),"")</f>
        <v/>
      </c>
      <c r="P1301" s="10"/>
      <c r="Q1301">
        <v>0.36</v>
      </c>
      <c r="R1301">
        <v>0.42</v>
      </c>
      <c r="S1301" cm="1">
        <f t="array" ref="S1301">IFERROR(_xlfn.SWITCH(L1301,1,_xlfn.XLOOKUP(O1301,[1]AttributeName!$B:$B,[1]AttributeName!$D:$D),2,_xlfn.XLOOKUP(C1301,#REF!,#REF!),3,_xlfn.XLOOKUP(C1301,#REF!,#REF!)),0)</f>
        <v>0</v>
      </c>
      <c r="T1301" cm="1">
        <f t="array" ref="T1301">IFERROR(_xlfn.SWITCH(L1301,1,_xlfn.XLOOKUP(O1301,[1]AttributeName!$B:$B,[1]AttributeName!$E:$E),2,_xlfn.XLOOKUP(C1301,#REF!,#REF!),3,_xlfn.XLOOKUP(C1301,#REF!,#REF!)),0)</f>
        <v>0</v>
      </c>
    </row>
    <row r="1302" customFormat="1" spans="1:20">
      <c r="A1302">
        <f t="shared" si="57"/>
        <v>558</v>
      </c>
      <c r="B1302">
        <v>5</v>
      </c>
      <c r="C1302" t="s">
        <v>400</v>
      </c>
      <c r="D1302" t="s">
        <v>28</v>
      </c>
      <c r="E1302" s="13" t="s">
        <v>392</v>
      </c>
      <c r="F1302"/>
      <c r="G1302">
        <v>2</v>
      </c>
      <c r="H1302">
        <v>1000</v>
      </c>
      <c r="J1302" cm="1">
        <f t="array" ref="J1302">_xlfn.SWITCH(B1302,1,75,2,61,3,49,4,37,5,25,6,13,7,4,8,1)</f>
        <v>25</v>
      </c>
      <c r="K1302" t="str" cm="1">
        <f t="array" ref="K1302">IFERROR(_xlfn.SWITCH(L1302,2,_xlfn.XLOOKUP(C1302,[1]ModifierDes!$B:$B,[1]ModifierDes!$C:$C),3,_xlfn.XLOOKUP(C1302,[1]StuntDes!$B:$B,[1]StuntDes!$C:$C)),"")</f>
        <v>攻击暴击伤害增加{0}</v>
      </c>
      <c r="L1302">
        <f t="shared" si="56"/>
        <v>2</v>
      </c>
      <c r="M1302" s="10" t="str">
        <f>IFERROR(_xlfn.XLOOKUP(C1302,[1]StuntDes!$B:$B,[1]StuntDes!$A:$A),"")</f>
        <v/>
      </c>
      <c r="N1302" s="10">
        <f>IFERROR(_xlfn.XLOOKUP(C1302,[1]ModifierDes!$B:$B,[1]ModifierDes!$A:$A),"")</f>
        <v>10060</v>
      </c>
      <c r="O1302" s="10" t="str">
        <f>IFERROR(_xlfn.XLOOKUP(C1302,[1]AttributeName!$C:$C,[1]AttributeName!$B:$B),"")</f>
        <v/>
      </c>
      <c r="P1302" s="10"/>
      <c r="Q1302">
        <v>0.28</v>
      </c>
      <c r="R1302">
        <v>0.34</v>
      </c>
      <c r="S1302" cm="1">
        <f t="array" ref="S1302">IFERROR(_xlfn.SWITCH(L1302,1,_xlfn.XLOOKUP(O1302,[1]AttributeName!$B:$B,[1]AttributeName!$D:$D),2,_xlfn.XLOOKUP(C1302,#REF!,#REF!),3,_xlfn.XLOOKUP(C1302,#REF!,#REF!)),0)</f>
        <v>0</v>
      </c>
      <c r="T1302" cm="1">
        <f t="array" ref="T1302">IFERROR(_xlfn.SWITCH(L1302,1,_xlfn.XLOOKUP(O1302,[1]AttributeName!$B:$B,[1]AttributeName!$E:$E),2,_xlfn.XLOOKUP(C1302,#REF!,#REF!),3,_xlfn.XLOOKUP(C1302,#REF!,#REF!)),0)</f>
        <v>0</v>
      </c>
    </row>
    <row r="1303" customFormat="1" spans="1:20">
      <c r="A1303">
        <f t="shared" si="57"/>
        <v>558</v>
      </c>
      <c r="B1303">
        <v>6</v>
      </c>
      <c r="C1303" t="s">
        <v>400</v>
      </c>
      <c r="D1303" t="s">
        <v>28</v>
      </c>
      <c r="E1303" s="13" t="s">
        <v>392</v>
      </c>
      <c r="F1303"/>
      <c r="G1303">
        <v>2</v>
      </c>
      <c r="H1303">
        <v>1000</v>
      </c>
      <c r="J1303" cm="1">
        <f t="array" ref="J1303">_xlfn.SWITCH(B1303,1,75,2,61,3,49,4,37,5,25,6,13,7,4,8,1)</f>
        <v>13</v>
      </c>
      <c r="K1303" t="str" cm="1">
        <f t="array" ref="K1303">IFERROR(_xlfn.SWITCH(L1303,2,_xlfn.XLOOKUP(C1303,[1]ModifierDes!$B:$B,[1]ModifierDes!$C:$C),3,_xlfn.XLOOKUP(C1303,[1]StuntDes!$B:$B,[1]StuntDes!$C:$C)),"")</f>
        <v>攻击暴击伤害增加{0}</v>
      </c>
      <c r="L1303">
        <f t="shared" si="56"/>
        <v>2</v>
      </c>
      <c r="M1303" s="10" t="str">
        <f>IFERROR(_xlfn.XLOOKUP(C1303,[1]StuntDes!$B:$B,[1]StuntDes!$A:$A),"")</f>
        <v/>
      </c>
      <c r="N1303" s="10">
        <f>IFERROR(_xlfn.XLOOKUP(C1303,[1]ModifierDes!$B:$B,[1]ModifierDes!$A:$A),"")</f>
        <v>10060</v>
      </c>
      <c r="O1303" s="10" t="str">
        <f>IFERROR(_xlfn.XLOOKUP(C1303,[1]AttributeName!$C:$C,[1]AttributeName!$B:$B),"")</f>
        <v/>
      </c>
      <c r="P1303" s="10"/>
      <c r="Q1303">
        <v>0.2</v>
      </c>
      <c r="R1303">
        <v>0.26</v>
      </c>
      <c r="S1303" cm="1">
        <f t="array" ref="S1303">IFERROR(_xlfn.SWITCH(L1303,1,_xlfn.XLOOKUP(O1303,[1]AttributeName!$B:$B,[1]AttributeName!$D:$D),2,_xlfn.XLOOKUP(C1303,#REF!,#REF!),3,_xlfn.XLOOKUP(C1303,#REF!,#REF!)),0)</f>
        <v>0</v>
      </c>
      <c r="T1303" cm="1">
        <f t="array" ref="T1303">IFERROR(_xlfn.SWITCH(L1303,1,_xlfn.XLOOKUP(O1303,[1]AttributeName!$B:$B,[1]AttributeName!$E:$E),2,_xlfn.XLOOKUP(C1303,#REF!,#REF!),3,_xlfn.XLOOKUP(C1303,#REF!,#REF!)),0)</f>
        <v>0</v>
      </c>
    </row>
    <row r="1304" customFormat="1" spans="1:20">
      <c r="A1304">
        <f t="shared" si="57"/>
        <v>558</v>
      </c>
      <c r="B1304">
        <v>7</v>
      </c>
      <c r="C1304" t="s">
        <v>400</v>
      </c>
      <c r="D1304" t="s">
        <v>28</v>
      </c>
      <c r="E1304" s="13" t="s">
        <v>392</v>
      </c>
      <c r="F1304"/>
      <c r="G1304">
        <v>2</v>
      </c>
      <c r="H1304">
        <v>1000</v>
      </c>
      <c r="J1304" cm="1">
        <f t="array" ref="J1304">_xlfn.SWITCH(B1304,1,75,2,61,3,49,4,37,5,25,6,13,7,4,8,1)</f>
        <v>4</v>
      </c>
      <c r="K1304" t="str" cm="1">
        <f t="array" ref="K1304">IFERROR(_xlfn.SWITCH(L1304,2,_xlfn.XLOOKUP(C1304,[1]ModifierDes!$B:$B,[1]ModifierDes!$C:$C),3,_xlfn.XLOOKUP(C1304,[1]StuntDes!$B:$B,[1]StuntDes!$C:$C)),"")</f>
        <v>攻击暴击伤害增加{0}</v>
      </c>
      <c r="L1304">
        <f t="shared" si="56"/>
        <v>2</v>
      </c>
      <c r="M1304" s="10" t="str">
        <f>IFERROR(_xlfn.XLOOKUP(C1304,[1]StuntDes!$B:$B,[1]StuntDes!$A:$A),"")</f>
        <v/>
      </c>
      <c r="N1304" s="10">
        <f>IFERROR(_xlfn.XLOOKUP(C1304,[1]ModifierDes!$B:$B,[1]ModifierDes!$A:$A),"")</f>
        <v>10060</v>
      </c>
      <c r="O1304" s="10" t="str">
        <f>IFERROR(_xlfn.XLOOKUP(C1304,[1]AttributeName!$C:$C,[1]AttributeName!$B:$B),"")</f>
        <v/>
      </c>
      <c r="P1304" s="10"/>
      <c r="Q1304">
        <v>0.12</v>
      </c>
      <c r="R1304">
        <v>0.18</v>
      </c>
      <c r="S1304" cm="1">
        <f t="array" ref="S1304">IFERROR(_xlfn.SWITCH(L1304,1,_xlfn.XLOOKUP(O1304,[1]AttributeName!$B:$B,[1]AttributeName!$D:$D),2,_xlfn.XLOOKUP(C1304,#REF!,#REF!),3,_xlfn.XLOOKUP(C1304,#REF!,#REF!)),0)</f>
        <v>0</v>
      </c>
      <c r="T1304" cm="1">
        <f t="array" ref="T1304">IFERROR(_xlfn.SWITCH(L1304,1,_xlfn.XLOOKUP(O1304,[1]AttributeName!$B:$B,[1]AttributeName!$E:$E),2,_xlfn.XLOOKUP(C1304,#REF!,#REF!),3,_xlfn.XLOOKUP(C1304,#REF!,#REF!)),0)</f>
        <v>0</v>
      </c>
    </row>
    <row r="1305" customFormat="1" spans="1:20">
      <c r="A1305">
        <f t="shared" si="57"/>
        <v>558</v>
      </c>
      <c r="B1305">
        <v>8</v>
      </c>
      <c r="C1305" t="s">
        <v>400</v>
      </c>
      <c r="D1305" t="s">
        <v>28</v>
      </c>
      <c r="E1305" s="13" t="s">
        <v>392</v>
      </c>
      <c r="F1305"/>
      <c r="G1305">
        <v>2</v>
      </c>
      <c r="H1305">
        <v>1000</v>
      </c>
      <c r="J1305" cm="1">
        <f t="array" ref="J1305">_xlfn.SWITCH(B1305,1,75,2,61,3,49,4,37,5,25,6,13,7,4,8,1)</f>
        <v>1</v>
      </c>
      <c r="K1305" t="str" cm="1">
        <f t="array" ref="K1305">IFERROR(_xlfn.SWITCH(L1305,2,_xlfn.XLOOKUP(C1305,[1]ModifierDes!$B:$B,[1]ModifierDes!$C:$C),3,_xlfn.XLOOKUP(C1305,[1]StuntDes!$B:$B,[1]StuntDes!$C:$C)),"")</f>
        <v>攻击暴击伤害增加{0}</v>
      </c>
      <c r="L1305">
        <f t="shared" si="56"/>
        <v>2</v>
      </c>
      <c r="M1305" s="10" t="str">
        <f>IFERROR(_xlfn.XLOOKUP(C1305,[1]StuntDes!$B:$B,[1]StuntDes!$A:$A),"")</f>
        <v/>
      </c>
      <c r="N1305" s="10">
        <f>IFERROR(_xlfn.XLOOKUP(C1305,[1]ModifierDes!$B:$B,[1]ModifierDes!$A:$A),"")</f>
        <v>10060</v>
      </c>
      <c r="O1305" s="10" t="str">
        <f>IFERROR(_xlfn.XLOOKUP(C1305,[1]AttributeName!$C:$C,[1]AttributeName!$B:$B),"")</f>
        <v/>
      </c>
      <c r="P1305" s="10"/>
      <c r="Q1305">
        <v>0.04</v>
      </c>
      <c r="R1305">
        <v>0.1</v>
      </c>
      <c r="S1305" cm="1">
        <f t="array" ref="S1305">IFERROR(_xlfn.SWITCH(L1305,1,_xlfn.XLOOKUP(O1305,[1]AttributeName!$B:$B,[1]AttributeName!$D:$D),2,_xlfn.XLOOKUP(C1305,#REF!,#REF!),3,_xlfn.XLOOKUP(C1305,#REF!,#REF!)),0)</f>
        <v>0</v>
      </c>
      <c r="T1305" cm="1">
        <f t="array" ref="T1305">IFERROR(_xlfn.SWITCH(L1305,1,_xlfn.XLOOKUP(O1305,[1]AttributeName!$B:$B,[1]AttributeName!$E:$E),2,_xlfn.XLOOKUP(C1305,#REF!,#REF!),3,_xlfn.XLOOKUP(C1305,#REF!,#REF!)),0)</f>
        <v>0</v>
      </c>
    </row>
    <row r="1306" customFormat="1" spans="1:20">
      <c r="A1306">
        <f t="shared" si="57"/>
        <v>559</v>
      </c>
      <c r="B1306">
        <v>1</v>
      </c>
      <c r="C1306" t="s">
        <v>426</v>
      </c>
      <c r="D1306" t="s">
        <v>28</v>
      </c>
      <c r="E1306" s="13" t="s">
        <v>392</v>
      </c>
      <c r="F1306"/>
      <c r="G1306">
        <v>2</v>
      </c>
      <c r="H1306">
        <v>100</v>
      </c>
      <c r="J1306" cm="1">
        <f t="array" ref="J1306">_xlfn.SWITCH(B1306,1,75,2,61,3,49,4,37,5,25,6,13,7,4,8,1)</f>
        <v>75</v>
      </c>
      <c r="K1306" t="str" cm="1">
        <f t="array" ref="K1306">IFERROR(_xlfn.SWITCH(L1306,2,_xlfn.XLOOKUP(C1306,[1]ModifierDes!$B:$B,[1]ModifierDes!$C:$C),3,_xlfn.XLOOKUP(C1306,[1]StuntDes!$B:$B,[1]StuntDes!$C:$C)),"")</f>
        <v>法术暴击伤害增加{0}</v>
      </c>
      <c r="L1306">
        <f t="shared" si="56"/>
        <v>2</v>
      </c>
      <c r="M1306" s="10" t="str">
        <f>IFERROR(_xlfn.XLOOKUP(C1306,[1]StuntDes!$B:$B,[1]StuntDes!$A:$A),"")</f>
        <v/>
      </c>
      <c r="N1306" s="10">
        <f>IFERROR(_xlfn.XLOOKUP(C1306,[1]ModifierDes!$B:$B,[1]ModifierDes!$A:$A),"")</f>
        <v>10061</v>
      </c>
      <c r="O1306" s="10" t="str">
        <f>IFERROR(_xlfn.XLOOKUP(C1306,[1]AttributeName!$C:$C,[1]AttributeName!$B:$B),"")</f>
        <v/>
      </c>
      <c r="P1306" s="10"/>
      <c r="Q1306">
        <v>0.6</v>
      </c>
      <c r="R1306">
        <v>0.8</v>
      </c>
      <c r="S1306" cm="1">
        <f t="array" ref="S1306">IFERROR(_xlfn.SWITCH(L1306,1,_xlfn.XLOOKUP(O1306,[1]AttributeName!$B:$B,[1]AttributeName!$D:$D),2,_xlfn.XLOOKUP(C1306,#REF!,#REF!),3,_xlfn.XLOOKUP(C1306,#REF!,#REF!)),0)</f>
        <v>0</v>
      </c>
      <c r="T1306" cm="1">
        <f t="array" ref="T1306">IFERROR(_xlfn.SWITCH(L1306,1,_xlfn.XLOOKUP(O1306,[1]AttributeName!$B:$B,[1]AttributeName!$E:$E),2,_xlfn.XLOOKUP(C1306,#REF!,#REF!),3,_xlfn.XLOOKUP(C1306,#REF!,#REF!)),0)</f>
        <v>0</v>
      </c>
    </row>
    <row r="1307" customFormat="1" spans="1:20">
      <c r="A1307">
        <f t="shared" si="57"/>
        <v>559</v>
      </c>
      <c r="B1307">
        <v>2</v>
      </c>
      <c r="C1307" t="s">
        <v>426</v>
      </c>
      <c r="D1307" t="s">
        <v>28</v>
      </c>
      <c r="E1307" s="13" t="s">
        <v>392</v>
      </c>
      <c r="F1307"/>
      <c r="G1307">
        <v>2</v>
      </c>
      <c r="H1307">
        <v>200</v>
      </c>
      <c r="J1307" cm="1">
        <f t="array" ref="J1307">_xlfn.SWITCH(B1307,1,75,2,61,3,49,4,37,5,25,6,13,7,4,8,1)</f>
        <v>61</v>
      </c>
      <c r="K1307" t="str" cm="1">
        <f t="array" ref="K1307">IFERROR(_xlfn.SWITCH(L1307,2,_xlfn.XLOOKUP(C1307,[1]ModifierDes!$B:$B,[1]ModifierDes!$C:$C),3,_xlfn.XLOOKUP(C1307,[1]StuntDes!$B:$B,[1]StuntDes!$C:$C)),"")</f>
        <v>法术暴击伤害增加{0}</v>
      </c>
      <c r="L1307">
        <f t="shared" si="56"/>
        <v>2</v>
      </c>
      <c r="M1307" s="10" t="str">
        <f>IFERROR(_xlfn.XLOOKUP(C1307,[1]StuntDes!$B:$B,[1]StuntDes!$A:$A),"")</f>
        <v/>
      </c>
      <c r="N1307" s="10">
        <f>IFERROR(_xlfn.XLOOKUP(C1307,[1]ModifierDes!$B:$B,[1]ModifierDes!$A:$A),"")</f>
        <v>10061</v>
      </c>
      <c r="O1307" s="10" t="str">
        <f>IFERROR(_xlfn.XLOOKUP(C1307,[1]AttributeName!$C:$C,[1]AttributeName!$B:$B),"")</f>
        <v/>
      </c>
      <c r="P1307" s="10"/>
      <c r="Q1307">
        <v>0.52</v>
      </c>
      <c r="R1307">
        <v>0.58</v>
      </c>
      <c r="S1307" cm="1">
        <f t="array" ref="S1307">IFERROR(_xlfn.SWITCH(L1307,1,_xlfn.XLOOKUP(O1307,[1]AttributeName!$B:$B,[1]AttributeName!$D:$D),2,_xlfn.XLOOKUP(C1307,#REF!,#REF!),3,_xlfn.XLOOKUP(C1307,#REF!,#REF!)),0)</f>
        <v>0</v>
      </c>
      <c r="T1307" cm="1">
        <f t="array" ref="T1307">IFERROR(_xlfn.SWITCH(L1307,1,_xlfn.XLOOKUP(O1307,[1]AttributeName!$B:$B,[1]AttributeName!$E:$E),2,_xlfn.XLOOKUP(C1307,#REF!,#REF!),3,_xlfn.XLOOKUP(C1307,#REF!,#REF!)),0)</f>
        <v>0</v>
      </c>
    </row>
    <row r="1308" customFormat="1" spans="1:20">
      <c r="A1308">
        <f t="shared" si="57"/>
        <v>559</v>
      </c>
      <c r="B1308">
        <v>3</v>
      </c>
      <c r="C1308" t="s">
        <v>426</v>
      </c>
      <c r="D1308" t="s">
        <v>28</v>
      </c>
      <c r="E1308" s="13" t="s">
        <v>392</v>
      </c>
      <c r="F1308"/>
      <c r="G1308">
        <v>2</v>
      </c>
      <c r="H1308">
        <v>500</v>
      </c>
      <c r="J1308" cm="1">
        <f t="array" ref="J1308">_xlfn.SWITCH(B1308,1,75,2,61,3,49,4,37,5,25,6,13,7,4,8,1)</f>
        <v>49</v>
      </c>
      <c r="K1308" t="str" cm="1">
        <f t="array" ref="K1308">IFERROR(_xlfn.SWITCH(L1308,2,_xlfn.XLOOKUP(C1308,[1]ModifierDes!$B:$B,[1]ModifierDes!$C:$C),3,_xlfn.XLOOKUP(C1308,[1]StuntDes!$B:$B,[1]StuntDes!$C:$C)),"")</f>
        <v>法术暴击伤害增加{0}</v>
      </c>
      <c r="L1308">
        <f t="shared" si="56"/>
        <v>2</v>
      </c>
      <c r="M1308" s="10" t="str">
        <f>IFERROR(_xlfn.XLOOKUP(C1308,[1]StuntDes!$B:$B,[1]StuntDes!$A:$A),"")</f>
        <v/>
      </c>
      <c r="N1308" s="10">
        <f>IFERROR(_xlfn.XLOOKUP(C1308,[1]ModifierDes!$B:$B,[1]ModifierDes!$A:$A),"")</f>
        <v>10061</v>
      </c>
      <c r="O1308" s="10" t="str">
        <f>IFERROR(_xlfn.XLOOKUP(C1308,[1]AttributeName!$C:$C,[1]AttributeName!$B:$B),"")</f>
        <v/>
      </c>
      <c r="P1308" s="10"/>
      <c r="Q1308">
        <v>0.44</v>
      </c>
      <c r="R1308">
        <v>0.5</v>
      </c>
      <c r="S1308" cm="1">
        <f t="array" ref="S1308">IFERROR(_xlfn.SWITCH(L1308,1,_xlfn.XLOOKUP(O1308,[1]AttributeName!$B:$B,[1]AttributeName!$D:$D),2,_xlfn.XLOOKUP(C1308,#REF!,#REF!),3,_xlfn.XLOOKUP(C1308,#REF!,#REF!)),0)</f>
        <v>0</v>
      </c>
      <c r="T1308" cm="1">
        <f t="array" ref="T1308">IFERROR(_xlfn.SWITCH(L1308,1,_xlfn.XLOOKUP(O1308,[1]AttributeName!$B:$B,[1]AttributeName!$E:$E),2,_xlfn.XLOOKUP(C1308,#REF!,#REF!),3,_xlfn.XLOOKUP(C1308,#REF!,#REF!)),0)</f>
        <v>0</v>
      </c>
    </row>
    <row r="1309" customFormat="1" spans="1:20">
      <c r="A1309">
        <f t="shared" si="57"/>
        <v>559</v>
      </c>
      <c r="B1309">
        <v>4</v>
      </c>
      <c r="C1309" t="s">
        <v>426</v>
      </c>
      <c r="D1309" t="s">
        <v>28</v>
      </c>
      <c r="E1309" s="13" t="s">
        <v>392</v>
      </c>
      <c r="F1309"/>
      <c r="G1309">
        <v>2</v>
      </c>
      <c r="H1309">
        <v>1000</v>
      </c>
      <c r="J1309" cm="1">
        <f t="array" ref="J1309">_xlfn.SWITCH(B1309,1,75,2,61,3,49,4,37,5,25,6,13,7,4,8,1)</f>
        <v>37</v>
      </c>
      <c r="K1309" t="str" cm="1">
        <f t="array" ref="K1309">IFERROR(_xlfn.SWITCH(L1309,2,_xlfn.XLOOKUP(C1309,[1]ModifierDes!$B:$B,[1]ModifierDes!$C:$C),3,_xlfn.XLOOKUP(C1309,[1]StuntDes!$B:$B,[1]StuntDes!$C:$C)),"")</f>
        <v>法术暴击伤害增加{0}</v>
      </c>
      <c r="L1309">
        <f t="shared" si="56"/>
        <v>2</v>
      </c>
      <c r="M1309" s="10" t="str">
        <f>IFERROR(_xlfn.XLOOKUP(C1309,[1]StuntDes!$B:$B,[1]StuntDes!$A:$A),"")</f>
        <v/>
      </c>
      <c r="N1309" s="10">
        <f>IFERROR(_xlfn.XLOOKUP(C1309,[1]ModifierDes!$B:$B,[1]ModifierDes!$A:$A),"")</f>
        <v>10061</v>
      </c>
      <c r="O1309" s="10" t="str">
        <f>IFERROR(_xlfn.XLOOKUP(C1309,[1]AttributeName!$C:$C,[1]AttributeName!$B:$B),"")</f>
        <v/>
      </c>
      <c r="P1309" s="10"/>
      <c r="Q1309">
        <v>0.36</v>
      </c>
      <c r="R1309">
        <v>0.42</v>
      </c>
      <c r="S1309" cm="1">
        <f t="array" ref="S1309">IFERROR(_xlfn.SWITCH(L1309,1,_xlfn.XLOOKUP(O1309,[1]AttributeName!$B:$B,[1]AttributeName!$D:$D),2,_xlfn.XLOOKUP(C1309,#REF!,#REF!),3,_xlfn.XLOOKUP(C1309,#REF!,#REF!)),0)</f>
        <v>0</v>
      </c>
      <c r="T1309" cm="1">
        <f t="array" ref="T1309">IFERROR(_xlfn.SWITCH(L1309,1,_xlfn.XLOOKUP(O1309,[1]AttributeName!$B:$B,[1]AttributeName!$E:$E),2,_xlfn.XLOOKUP(C1309,#REF!,#REF!),3,_xlfn.XLOOKUP(C1309,#REF!,#REF!)),0)</f>
        <v>0</v>
      </c>
    </row>
    <row r="1310" customFormat="1" spans="1:20">
      <c r="A1310">
        <f t="shared" si="57"/>
        <v>559</v>
      </c>
      <c r="B1310">
        <v>5</v>
      </c>
      <c r="C1310" t="s">
        <v>426</v>
      </c>
      <c r="D1310" t="s">
        <v>28</v>
      </c>
      <c r="E1310" s="13" t="s">
        <v>392</v>
      </c>
      <c r="F1310"/>
      <c r="G1310">
        <v>2</v>
      </c>
      <c r="H1310">
        <v>1000</v>
      </c>
      <c r="J1310" cm="1">
        <f t="array" ref="J1310">_xlfn.SWITCH(B1310,1,75,2,61,3,49,4,37,5,25,6,13,7,4,8,1)</f>
        <v>25</v>
      </c>
      <c r="K1310" t="str" cm="1">
        <f t="array" ref="K1310">IFERROR(_xlfn.SWITCH(L1310,2,_xlfn.XLOOKUP(C1310,[1]ModifierDes!$B:$B,[1]ModifierDes!$C:$C),3,_xlfn.XLOOKUP(C1310,[1]StuntDes!$B:$B,[1]StuntDes!$C:$C)),"")</f>
        <v>法术暴击伤害增加{0}</v>
      </c>
      <c r="L1310">
        <f t="shared" si="56"/>
        <v>2</v>
      </c>
      <c r="M1310" s="10" t="str">
        <f>IFERROR(_xlfn.XLOOKUP(C1310,[1]StuntDes!$B:$B,[1]StuntDes!$A:$A),"")</f>
        <v/>
      </c>
      <c r="N1310" s="10">
        <f>IFERROR(_xlfn.XLOOKUP(C1310,[1]ModifierDes!$B:$B,[1]ModifierDes!$A:$A),"")</f>
        <v>10061</v>
      </c>
      <c r="O1310" s="10" t="str">
        <f>IFERROR(_xlfn.XLOOKUP(C1310,[1]AttributeName!$C:$C,[1]AttributeName!$B:$B),"")</f>
        <v/>
      </c>
      <c r="P1310" s="10"/>
      <c r="Q1310">
        <v>0.28</v>
      </c>
      <c r="R1310">
        <v>0.34</v>
      </c>
      <c r="S1310" cm="1">
        <f t="array" ref="S1310">IFERROR(_xlfn.SWITCH(L1310,1,_xlfn.XLOOKUP(O1310,[1]AttributeName!$B:$B,[1]AttributeName!$D:$D),2,_xlfn.XLOOKUP(C1310,#REF!,#REF!),3,_xlfn.XLOOKUP(C1310,#REF!,#REF!)),0)</f>
        <v>0</v>
      </c>
      <c r="T1310" cm="1">
        <f t="array" ref="T1310">IFERROR(_xlfn.SWITCH(L1310,1,_xlfn.XLOOKUP(O1310,[1]AttributeName!$B:$B,[1]AttributeName!$E:$E),2,_xlfn.XLOOKUP(C1310,#REF!,#REF!),3,_xlfn.XLOOKUP(C1310,#REF!,#REF!)),0)</f>
        <v>0</v>
      </c>
    </row>
    <row r="1311" customFormat="1" spans="1:20">
      <c r="A1311">
        <f t="shared" si="57"/>
        <v>559</v>
      </c>
      <c r="B1311">
        <v>6</v>
      </c>
      <c r="C1311" t="s">
        <v>426</v>
      </c>
      <c r="D1311" t="s">
        <v>28</v>
      </c>
      <c r="E1311" s="13" t="s">
        <v>392</v>
      </c>
      <c r="F1311"/>
      <c r="G1311">
        <v>2</v>
      </c>
      <c r="H1311">
        <v>1000</v>
      </c>
      <c r="J1311" cm="1">
        <f t="array" ref="J1311">_xlfn.SWITCH(B1311,1,75,2,61,3,49,4,37,5,25,6,13,7,4,8,1)</f>
        <v>13</v>
      </c>
      <c r="K1311" t="str" cm="1">
        <f t="array" ref="K1311">IFERROR(_xlfn.SWITCH(L1311,2,_xlfn.XLOOKUP(C1311,[1]ModifierDes!$B:$B,[1]ModifierDes!$C:$C),3,_xlfn.XLOOKUP(C1311,[1]StuntDes!$B:$B,[1]StuntDes!$C:$C)),"")</f>
        <v>法术暴击伤害增加{0}</v>
      </c>
      <c r="L1311">
        <f t="shared" si="56"/>
        <v>2</v>
      </c>
      <c r="M1311" s="10" t="str">
        <f>IFERROR(_xlfn.XLOOKUP(C1311,[1]StuntDes!$B:$B,[1]StuntDes!$A:$A),"")</f>
        <v/>
      </c>
      <c r="N1311" s="10">
        <f>IFERROR(_xlfn.XLOOKUP(C1311,[1]ModifierDes!$B:$B,[1]ModifierDes!$A:$A),"")</f>
        <v>10061</v>
      </c>
      <c r="O1311" s="10" t="str">
        <f>IFERROR(_xlfn.XLOOKUP(C1311,[1]AttributeName!$C:$C,[1]AttributeName!$B:$B),"")</f>
        <v/>
      </c>
      <c r="P1311" s="10"/>
      <c r="Q1311">
        <v>0.2</v>
      </c>
      <c r="R1311">
        <v>0.26</v>
      </c>
      <c r="S1311" cm="1">
        <f t="array" ref="S1311">IFERROR(_xlfn.SWITCH(L1311,1,_xlfn.XLOOKUP(O1311,[1]AttributeName!$B:$B,[1]AttributeName!$D:$D),2,_xlfn.XLOOKUP(C1311,#REF!,#REF!),3,_xlfn.XLOOKUP(C1311,#REF!,#REF!)),0)</f>
        <v>0</v>
      </c>
      <c r="T1311" cm="1">
        <f t="array" ref="T1311">IFERROR(_xlfn.SWITCH(L1311,1,_xlfn.XLOOKUP(O1311,[1]AttributeName!$B:$B,[1]AttributeName!$E:$E),2,_xlfn.XLOOKUP(C1311,#REF!,#REF!),3,_xlfn.XLOOKUP(C1311,#REF!,#REF!)),0)</f>
        <v>0</v>
      </c>
    </row>
    <row r="1312" customFormat="1" spans="1:20">
      <c r="A1312">
        <f t="shared" si="57"/>
        <v>559</v>
      </c>
      <c r="B1312">
        <v>7</v>
      </c>
      <c r="C1312" t="s">
        <v>426</v>
      </c>
      <c r="D1312" t="s">
        <v>28</v>
      </c>
      <c r="E1312" s="13" t="s">
        <v>392</v>
      </c>
      <c r="F1312"/>
      <c r="G1312">
        <v>2</v>
      </c>
      <c r="H1312">
        <v>1000</v>
      </c>
      <c r="J1312" cm="1">
        <f t="array" ref="J1312">_xlfn.SWITCH(B1312,1,75,2,61,3,49,4,37,5,25,6,13,7,4,8,1)</f>
        <v>4</v>
      </c>
      <c r="K1312" t="str" cm="1">
        <f t="array" ref="K1312">IFERROR(_xlfn.SWITCH(L1312,2,_xlfn.XLOOKUP(C1312,[1]ModifierDes!$B:$B,[1]ModifierDes!$C:$C),3,_xlfn.XLOOKUP(C1312,[1]StuntDes!$B:$B,[1]StuntDes!$C:$C)),"")</f>
        <v>法术暴击伤害增加{0}</v>
      </c>
      <c r="L1312">
        <f t="shared" si="56"/>
        <v>2</v>
      </c>
      <c r="M1312" s="10" t="str">
        <f>IFERROR(_xlfn.XLOOKUP(C1312,[1]StuntDes!$B:$B,[1]StuntDes!$A:$A),"")</f>
        <v/>
      </c>
      <c r="N1312" s="10">
        <f>IFERROR(_xlfn.XLOOKUP(C1312,[1]ModifierDes!$B:$B,[1]ModifierDes!$A:$A),"")</f>
        <v>10061</v>
      </c>
      <c r="O1312" s="10" t="str">
        <f>IFERROR(_xlfn.XLOOKUP(C1312,[1]AttributeName!$C:$C,[1]AttributeName!$B:$B),"")</f>
        <v/>
      </c>
      <c r="P1312" s="10"/>
      <c r="Q1312">
        <v>0.12</v>
      </c>
      <c r="R1312">
        <v>0.18</v>
      </c>
      <c r="S1312" cm="1">
        <f t="array" ref="S1312">IFERROR(_xlfn.SWITCH(L1312,1,_xlfn.XLOOKUP(O1312,[1]AttributeName!$B:$B,[1]AttributeName!$D:$D),2,_xlfn.XLOOKUP(C1312,#REF!,#REF!),3,_xlfn.XLOOKUP(C1312,#REF!,#REF!)),0)</f>
        <v>0</v>
      </c>
      <c r="T1312" cm="1">
        <f t="array" ref="T1312">IFERROR(_xlfn.SWITCH(L1312,1,_xlfn.XLOOKUP(O1312,[1]AttributeName!$B:$B,[1]AttributeName!$E:$E),2,_xlfn.XLOOKUP(C1312,#REF!,#REF!),3,_xlfn.XLOOKUP(C1312,#REF!,#REF!)),0)</f>
        <v>0</v>
      </c>
    </row>
    <row r="1313" customFormat="1" spans="1:20">
      <c r="A1313">
        <f t="shared" si="57"/>
        <v>559</v>
      </c>
      <c r="B1313">
        <v>8</v>
      </c>
      <c r="C1313" t="s">
        <v>426</v>
      </c>
      <c r="D1313" t="s">
        <v>28</v>
      </c>
      <c r="E1313" s="13" t="s">
        <v>392</v>
      </c>
      <c r="F1313"/>
      <c r="G1313">
        <v>2</v>
      </c>
      <c r="H1313">
        <v>1000</v>
      </c>
      <c r="J1313" cm="1">
        <f t="array" ref="J1313">_xlfn.SWITCH(B1313,1,75,2,61,3,49,4,37,5,25,6,13,7,4,8,1)</f>
        <v>1</v>
      </c>
      <c r="K1313" t="str" cm="1">
        <f t="array" ref="K1313">IFERROR(_xlfn.SWITCH(L1313,2,_xlfn.XLOOKUP(C1313,[1]ModifierDes!$B:$B,[1]ModifierDes!$C:$C),3,_xlfn.XLOOKUP(C1313,[1]StuntDes!$B:$B,[1]StuntDes!$C:$C)),"")</f>
        <v>法术暴击伤害增加{0}</v>
      </c>
      <c r="L1313">
        <f t="shared" si="56"/>
        <v>2</v>
      </c>
      <c r="M1313" s="10" t="str">
        <f>IFERROR(_xlfn.XLOOKUP(C1313,[1]StuntDes!$B:$B,[1]StuntDes!$A:$A),"")</f>
        <v/>
      </c>
      <c r="N1313" s="10">
        <f>IFERROR(_xlfn.XLOOKUP(C1313,[1]ModifierDes!$B:$B,[1]ModifierDes!$A:$A),"")</f>
        <v>10061</v>
      </c>
      <c r="O1313" s="10" t="str">
        <f>IFERROR(_xlfn.XLOOKUP(C1313,[1]AttributeName!$C:$C,[1]AttributeName!$B:$B),"")</f>
        <v/>
      </c>
      <c r="P1313" s="10"/>
      <c r="Q1313">
        <v>0.04</v>
      </c>
      <c r="R1313">
        <v>0.1</v>
      </c>
      <c r="S1313" cm="1">
        <f t="array" ref="S1313">IFERROR(_xlfn.SWITCH(L1313,1,_xlfn.XLOOKUP(O1313,[1]AttributeName!$B:$B,[1]AttributeName!$D:$D),2,_xlfn.XLOOKUP(C1313,#REF!,#REF!),3,_xlfn.XLOOKUP(C1313,#REF!,#REF!)),0)</f>
        <v>0</v>
      </c>
      <c r="T1313" cm="1">
        <f t="array" ref="T1313">IFERROR(_xlfn.SWITCH(L1313,1,_xlfn.XLOOKUP(O1313,[1]AttributeName!$B:$B,[1]AttributeName!$E:$E),2,_xlfn.XLOOKUP(C1313,#REF!,#REF!),3,_xlfn.XLOOKUP(C1313,#REF!,#REF!)),0)</f>
        <v>0</v>
      </c>
    </row>
    <row r="1314" customFormat="1" spans="1:20">
      <c r="A1314">
        <f t="shared" si="57"/>
        <v>560</v>
      </c>
      <c r="B1314">
        <v>1</v>
      </c>
      <c r="C1314" t="s">
        <v>401</v>
      </c>
      <c r="D1314" t="s">
        <v>28</v>
      </c>
      <c r="E1314" s="13" t="s">
        <v>392</v>
      </c>
      <c r="F1314"/>
      <c r="G1314">
        <v>2</v>
      </c>
      <c r="H1314">
        <v>100</v>
      </c>
      <c r="J1314" cm="1">
        <f t="array" ref="J1314">_xlfn.SWITCH(B1314,1,75,2,61,3,49,4,37,5,25,6,13,7,4,8,1)</f>
        <v>75</v>
      </c>
      <c r="K1314" t="str" cm="1">
        <f t="array" ref="K1314">IFERROR(_xlfn.SWITCH(L1314,2,_xlfn.XLOOKUP(C1314,[1]ModifierDes!$B:$B,[1]ModifierDes!$C:$C),3,_xlfn.XLOOKUP(C1314,[1]StuntDes!$B:$B,[1]StuntDes!$C:$C)),"")</f>
        <v/>
      </c>
      <c r="L1314">
        <f t="shared" si="56"/>
        <v>1</v>
      </c>
      <c r="M1314" s="10" t="str">
        <f>IFERROR(_xlfn.XLOOKUP(C1314,[1]StuntDes!$B:$B,[1]StuntDes!$A:$A),"")</f>
        <v/>
      </c>
      <c r="N1314" s="10" t="str">
        <f>IFERROR(_xlfn.XLOOKUP(C1314,[1]ModifierDes!$B:$B,[1]ModifierDes!$A:$A),"")</f>
        <v/>
      </c>
      <c r="O1314" s="10">
        <f>IFERROR(_xlfn.XLOOKUP(C1314,[1]AttributeName!$C:$C,[1]AttributeName!$B:$B),"")</f>
        <v>10500</v>
      </c>
      <c r="P1314" s="10"/>
      <c r="Q1314">
        <v>0.3</v>
      </c>
      <c r="R1314">
        <v>0.4</v>
      </c>
      <c r="S1314" cm="1">
        <f t="array" ref="S1314">IFERROR(_xlfn.SWITCH(L1314,1,_xlfn.XLOOKUP(O1314,[1]AttributeName!$B:$B,[1]AttributeName!$D:$D),2,_xlfn.XLOOKUP(C1314,#REF!,#REF!),3,_xlfn.XLOOKUP(C1314,#REF!,#REF!)),0)</f>
        <v>2</v>
      </c>
      <c r="T1314" cm="1">
        <f t="array" ref="T1314">IFERROR(_xlfn.SWITCH(L1314,1,_xlfn.XLOOKUP(O1314,[1]AttributeName!$B:$B,[1]AttributeName!$E:$E),2,_xlfn.XLOOKUP(C1314,#REF!,#REF!),3,_xlfn.XLOOKUP(C1314,#REF!,#REF!)),0)</f>
        <v>2</v>
      </c>
    </row>
    <row r="1315" customFormat="1" spans="1:20">
      <c r="A1315">
        <f t="shared" si="57"/>
        <v>560</v>
      </c>
      <c r="B1315">
        <v>2</v>
      </c>
      <c r="C1315" t="s">
        <v>401</v>
      </c>
      <c r="D1315" t="s">
        <v>28</v>
      </c>
      <c r="E1315" s="13" t="s">
        <v>392</v>
      </c>
      <c r="F1315"/>
      <c r="G1315">
        <v>2</v>
      </c>
      <c r="H1315">
        <v>200</v>
      </c>
      <c r="J1315" cm="1">
        <f t="array" ref="J1315">_xlfn.SWITCH(B1315,1,75,2,61,3,49,4,37,5,25,6,13,7,4,8,1)</f>
        <v>61</v>
      </c>
      <c r="K1315" t="str" cm="1">
        <f t="array" ref="K1315">IFERROR(_xlfn.SWITCH(L1315,2,_xlfn.XLOOKUP(C1315,[1]ModifierDes!$B:$B,[1]ModifierDes!$C:$C),3,_xlfn.XLOOKUP(C1315,[1]StuntDes!$B:$B,[1]StuntDes!$C:$C)),"")</f>
        <v/>
      </c>
      <c r="L1315">
        <f t="shared" si="56"/>
        <v>1</v>
      </c>
      <c r="M1315" s="10" t="str">
        <f>IFERROR(_xlfn.XLOOKUP(C1315,[1]StuntDes!$B:$B,[1]StuntDes!$A:$A),"")</f>
        <v/>
      </c>
      <c r="N1315" s="10" t="str">
        <f>IFERROR(_xlfn.XLOOKUP(C1315,[1]ModifierDes!$B:$B,[1]ModifierDes!$A:$A),"")</f>
        <v/>
      </c>
      <c r="O1315" s="10">
        <f>IFERROR(_xlfn.XLOOKUP(C1315,[1]AttributeName!$C:$C,[1]AttributeName!$B:$B),"")</f>
        <v>10500</v>
      </c>
      <c r="P1315" s="10"/>
      <c r="Q1315">
        <v>0.26</v>
      </c>
      <c r="R1315">
        <v>0.29</v>
      </c>
      <c r="S1315" cm="1">
        <f t="array" ref="S1315">IFERROR(_xlfn.SWITCH(L1315,1,_xlfn.XLOOKUP(O1315,[1]AttributeName!$B:$B,[1]AttributeName!$D:$D),2,_xlfn.XLOOKUP(C1315,#REF!,#REF!),3,_xlfn.XLOOKUP(C1315,#REF!,#REF!)),0)</f>
        <v>2</v>
      </c>
      <c r="T1315" cm="1">
        <f t="array" ref="T1315">IFERROR(_xlfn.SWITCH(L1315,1,_xlfn.XLOOKUP(O1315,[1]AttributeName!$B:$B,[1]AttributeName!$E:$E),2,_xlfn.XLOOKUP(C1315,#REF!,#REF!),3,_xlfn.XLOOKUP(C1315,#REF!,#REF!)),0)</f>
        <v>2</v>
      </c>
    </row>
    <row r="1316" customFormat="1" spans="1:20">
      <c r="A1316">
        <f t="shared" si="57"/>
        <v>560</v>
      </c>
      <c r="B1316">
        <v>3</v>
      </c>
      <c r="C1316" t="s">
        <v>401</v>
      </c>
      <c r="D1316" t="s">
        <v>28</v>
      </c>
      <c r="E1316" s="13" t="s">
        <v>392</v>
      </c>
      <c r="F1316"/>
      <c r="G1316">
        <v>2</v>
      </c>
      <c r="H1316">
        <v>500</v>
      </c>
      <c r="J1316" cm="1">
        <f t="array" ref="J1316">_xlfn.SWITCH(B1316,1,75,2,61,3,49,4,37,5,25,6,13,7,4,8,1)</f>
        <v>49</v>
      </c>
      <c r="K1316" t="str" cm="1">
        <f t="array" ref="K1316">IFERROR(_xlfn.SWITCH(L1316,2,_xlfn.XLOOKUP(C1316,[1]ModifierDes!$B:$B,[1]ModifierDes!$C:$C),3,_xlfn.XLOOKUP(C1316,[1]StuntDes!$B:$B,[1]StuntDes!$C:$C)),"")</f>
        <v/>
      </c>
      <c r="L1316">
        <f t="shared" si="56"/>
        <v>1</v>
      </c>
      <c r="M1316" s="10" t="str">
        <f>IFERROR(_xlfn.XLOOKUP(C1316,[1]StuntDes!$B:$B,[1]StuntDes!$A:$A),"")</f>
        <v/>
      </c>
      <c r="N1316" s="10" t="str">
        <f>IFERROR(_xlfn.XLOOKUP(C1316,[1]ModifierDes!$B:$B,[1]ModifierDes!$A:$A),"")</f>
        <v/>
      </c>
      <c r="O1316" s="10">
        <f>IFERROR(_xlfn.XLOOKUP(C1316,[1]AttributeName!$C:$C,[1]AttributeName!$B:$B),"")</f>
        <v>10500</v>
      </c>
      <c r="P1316" s="10"/>
      <c r="Q1316">
        <v>0.22</v>
      </c>
      <c r="R1316">
        <v>0.25</v>
      </c>
      <c r="S1316" cm="1">
        <f t="array" ref="S1316">IFERROR(_xlfn.SWITCH(L1316,1,_xlfn.XLOOKUP(O1316,[1]AttributeName!$B:$B,[1]AttributeName!$D:$D),2,_xlfn.XLOOKUP(C1316,#REF!,#REF!),3,_xlfn.XLOOKUP(C1316,#REF!,#REF!)),0)</f>
        <v>2</v>
      </c>
      <c r="T1316" cm="1">
        <f t="array" ref="T1316">IFERROR(_xlfn.SWITCH(L1316,1,_xlfn.XLOOKUP(O1316,[1]AttributeName!$B:$B,[1]AttributeName!$E:$E),2,_xlfn.XLOOKUP(C1316,#REF!,#REF!),3,_xlfn.XLOOKUP(C1316,#REF!,#REF!)),0)</f>
        <v>2</v>
      </c>
    </row>
    <row r="1317" customFormat="1" spans="1:20">
      <c r="A1317">
        <f t="shared" si="57"/>
        <v>560</v>
      </c>
      <c r="B1317">
        <v>4</v>
      </c>
      <c r="C1317" t="s">
        <v>401</v>
      </c>
      <c r="D1317" t="s">
        <v>28</v>
      </c>
      <c r="E1317" s="13" t="s">
        <v>392</v>
      </c>
      <c r="F1317"/>
      <c r="G1317">
        <v>2</v>
      </c>
      <c r="H1317">
        <v>1000</v>
      </c>
      <c r="J1317" cm="1">
        <f t="array" ref="J1317">_xlfn.SWITCH(B1317,1,75,2,61,3,49,4,37,5,25,6,13,7,4,8,1)</f>
        <v>37</v>
      </c>
      <c r="K1317" t="str" cm="1">
        <f t="array" ref="K1317">IFERROR(_xlfn.SWITCH(L1317,2,_xlfn.XLOOKUP(C1317,[1]ModifierDes!$B:$B,[1]ModifierDes!$C:$C),3,_xlfn.XLOOKUP(C1317,[1]StuntDes!$B:$B,[1]StuntDes!$C:$C)),"")</f>
        <v/>
      </c>
      <c r="L1317">
        <f t="shared" si="56"/>
        <v>1</v>
      </c>
      <c r="M1317" s="10" t="str">
        <f>IFERROR(_xlfn.XLOOKUP(C1317,[1]StuntDes!$B:$B,[1]StuntDes!$A:$A),"")</f>
        <v/>
      </c>
      <c r="N1317" s="10" t="str">
        <f>IFERROR(_xlfn.XLOOKUP(C1317,[1]ModifierDes!$B:$B,[1]ModifierDes!$A:$A),"")</f>
        <v/>
      </c>
      <c r="O1317" s="10">
        <f>IFERROR(_xlfn.XLOOKUP(C1317,[1]AttributeName!$C:$C,[1]AttributeName!$B:$B),"")</f>
        <v>10500</v>
      </c>
      <c r="P1317" s="10"/>
      <c r="Q1317">
        <v>0.18</v>
      </c>
      <c r="R1317">
        <v>0.21</v>
      </c>
      <c r="S1317" cm="1">
        <f t="array" ref="S1317">IFERROR(_xlfn.SWITCH(L1317,1,_xlfn.XLOOKUP(O1317,[1]AttributeName!$B:$B,[1]AttributeName!$D:$D),2,_xlfn.XLOOKUP(C1317,#REF!,#REF!),3,_xlfn.XLOOKUP(C1317,#REF!,#REF!)),0)</f>
        <v>2</v>
      </c>
      <c r="T1317" cm="1">
        <f t="array" ref="T1317">IFERROR(_xlfn.SWITCH(L1317,1,_xlfn.XLOOKUP(O1317,[1]AttributeName!$B:$B,[1]AttributeName!$E:$E),2,_xlfn.XLOOKUP(C1317,#REF!,#REF!),3,_xlfn.XLOOKUP(C1317,#REF!,#REF!)),0)</f>
        <v>2</v>
      </c>
    </row>
    <row r="1318" customFormat="1" spans="1:20">
      <c r="A1318">
        <f t="shared" si="57"/>
        <v>560</v>
      </c>
      <c r="B1318">
        <v>5</v>
      </c>
      <c r="C1318" t="s">
        <v>401</v>
      </c>
      <c r="D1318" t="s">
        <v>28</v>
      </c>
      <c r="E1318" s="13" t="s">
        <v>392</v>
      </c>
      <c r="F1318"/>
      <c r="G1318">
        <v>2</v>
      </c>
      <c r="H1318">
        <v>1000</v>
      </c>
      <c r="J1318" cm="1">
        <f t="array" ref="J1318">_xlfn.SWITCH(B1318,1,75,2,61,3,49,4,37,5,25,6,13,7,4,8,1)</f>
        <v>25</v>
      </c>
      <c r="K1318" t="str" cm="1">
        <f t="array" ref="K1318">IFERROR(_xlfn.SWITCH(L1318,2,_xlfn.XLOOKUP(C1318,[1]ModifierDes!$B:$B,[1]ModifierDes!$C:$C),3,_xlfn.XLOOKUP(C1318,[1]StuntDes!$B:$B,[1]StuntDes!$C:$C)),"")</f>
        <v/>
      </c>
      <c r="L1318">
        <f t="shared" si="56"/>
        <v>1</v>
      </c>
      <c r="M1318" s="10" t="str">
        <f>IFERROR(_xlfn.XLOOKUP(C1318,[1]StuntDes!$B:$B,[1]StuntDes!$A:$A),"")</f>
        <v/>
      </c>
      <c r="N1318" s="10" t="str">
        <f>IFERROR(_xlfn.XLOOKUP(C1318,[1]ModifierDes!$B:$B,[1]ModifierDes!$A:$A),"")</f>
        <v/>
      </c>
      <c r="O1318" s="10">
        <f>IFERROR(_xlfn.XLOOKUP(C1318,[1]AttributeName!$C:$C,[1]AttributeName!$B:$B),"")</f>
        <v>10500</v>
      </c>
      <c r="P1318" s="10"/>
      <c r="Q1318">
        <v>0.14</v>
      </c>
      <c r="R1318">
        <v>0.17</v>
      </c>
      <c r="S1318" cm="1">
        <f t="array" ref="S1318">IFERROR(_xlfn.SWITCH(L1318,1,_xlfn.XLOOKUP(O1318,[1]AttributeName!$B:$B,[1]AttributeName!$D:$D),2,_xlfn.XLOOKUP(C1318,#REF!,#REF!),3,_xlfn.XLOOKUP(C1318,#REF!,#REF!)),0)</f>
        <v>2</v>
      </c>
      <c r="T1318" cm="1">
        <f t="array" ref="T1318">IFERROR(_xlfn.SWITCH(L1318,1,_xlfn.XLOOKUP(O1318,[1]AttributeName!$B:$B,[1]AttributeName!$E:$E),2,_xlfn.XLOOKUP(C1318,#REF!,#REF!),3,_xlfn.XLOOKUP(C1318,#REF!,#REF!)),0)</f>
        <v>2</v>
      </c>
    </row>
    <row r="1319" customFormat="1" spans="1:20">
      <c r="A1319">
        <f t="shared" si="57"/>
        <v>560</v>
      </c>
      <c r="B1319">
        <v>6</v>
      </c>
      <c r="C1319" t="s">
        <v>401</v>
      </c>
      <c r="D1319" t="s">
        <v>28</v>
      </c>
      <c r="E1319" s="13" t="s">
        <v>392</v>
      </c>
      <c r="F1319"/>
      <c r="G1319">
        <v>2</v>
      </c>
      <c r="H1319">
        <v>1000</v>
      </c>
      <c r="J1319" cm="1">
        <f t="array" ref="J1319">_xlfn.SWITCH(B1319,1,75,2,61,3,49,4,37,5,25,6,13,7,4,8,1)</f>
        <v>13</v>
      </c>
      <c r="K1319" t="str" cm="1">
        <f t="array" ref="K1319">IFERROR(_xlfn.SWITCH(L1319,2,_xlfn.XLOOKUP(C1319,[1]ModifierDes!$B:$B,[1]ModifierDes!$C:$C),3,_xlfn.XLOOKUP(C1319,[1]StuntDes!$B:$B,[1]StuntDes!$C:$C)),"")</f>
        <v/>
      </c>
      <c r="L1319">
        <f t="shared" si="56"/>
        <v>1</v>
      </c>
      <c r="M1319" s="10" t="str">
        <f>IFERROR(_xlfn.XLOOKUP(C1319,[1]StuntDes!$B:$B,[1]StuntDes!$A:$A),"")</f>
        <v/>
      </c>
      <c r="N1319" s="10" t="str">
        <f>IFERROR(_xlfn.XLOOKUP(C1319,[1]ModifierDes!$B:$B,[1]ModifierDes!$A:$A),"")</f>
        <v/>
      </c>
      <c r="O1319" s="10">
        <f>IFERROR(_xlfn.XLOOKUP(C1319,[1]AttributeName!$C:$C,[1]AttributeName!$B:$B),"")</f>
        <v>10500</v>
      </c>
      <c r="P1319" s="10"/>
      <c r="Q1319">
        <v>0.1</v>
      </c>
      <c r="R1319">
        <v>0.13</v>
      </c>
      <c r="S1319" cm="1">
        <f t="array" ref="S1319">IFERROR(_xlfn.SWITCH(L1319,1,_xlfn.XLOOKUP(O1319,[1]AttributeName!$B:$B,[1]AttributeName!$D:$D),2,_xlfn.XLOOKUP(C1319,#REF!,#REF!),3,_xlfn.XLOOKUP(C1319,#REF!,#REF!)),0)</f>
        <v>2</v>
      </c>
      <c r="T1319" cm="1">
        <f t="array" ref="T1319">IFERROR(_xlfn.SWITCH(L1319,1,_xlfn.XLOOKUP(O1319,[1]AttributeName!$B:$B,[1]AttributeName!$E:$E),2,_xlfn.XLOOKUP(C1319,#REF!,#REF!),3,_xlfn.XLOOKUP(C1319,#REF!,#REF!)),0)</f>
        <v>2</v>
      </c>
    </row>
    <row r="1320" customFormat="1" spans="1:20">
      <c r="A1320">
        <f t="shared" si="57"/>
        <v>560</v>
      </c>
      <c r="B1320">
        <v>7</v>
      </c>
      <c r="C1320" t="s">
        <v>401</v>
      </c>
      <c r="D1320" t="s">
        <v>28</v>
      </c>
      <c r="E1320" s="13" t="s">
        <v>392</v>
      </c>
      <c r="F1320"/>
      <c r="G1320">
        <v>2</v>
      </c>
      <c r="H1320">
        <v>1000</v>
      </c>
      <c r="J1320" cm="1">
        <f t="array" ref="J1320">_xlfn.SWITCH(B1320,1,75,2,61,3,49,4,37,5,25,6,13,7,4,8,1)</f>
        <v>4</v>
      </c>
      <c r="K1320" t="str" cm="1">
        <f t="array" ref="K1320">IFERROR(_xlfn.SWITCH(L1320,2,_xlfn.XLOOKUP(C1320,[1]ModifierDes!$B:$B,[1]ModifierDes!$C:$C),3,_xlfn.XLOOKUP(C1320,[1]StuntDes!$B:$B,[1]StuntDes!$C:$C)),"")</f>
        <v/>
      </c>
      <c r="L1320">
        <f t="shared" si="56"/>
        <v>1</v>
      </c>
      <c r="M1320" s="10" t="str">
        <f>IFERROR(_xlfn.XLOOKUP(C1320,[1]StuntDes!$B:$B,[1]StuntDes!$A:$A),"")</f>
        <v/>
      </c>
      <c r="N1320" s="10" t="str">
        <f>IFERROR(_xlfn.XLOOKUP(C1320,[1]ModifierDes!$B:$B,[1]ModifierDes!$A:$A),"")</f>
        <v/>
      </c>
      <c r="O1320" s="10">
        <f>IFERROR(_xlfn.XLOOKUP(C1320,[1]AttributeName!$C:$C,[1]AttributeName!$B:$B),"")</f>
        <v>10500</v>
      </c>
      <c r="P1320" s="10"/>
      <c r="Q1320">
        <v>0.06</v>
      </c>
      <c r="R1320">
        <v>0.09</v>
      </c>
      <c r="S1320" cm="1">
        <f t="array" ref="S1320">IFERROR(_xlfn.SWITCH(L1320,1,_xlfn.XLOOKUP(O1320,[1]AttributeName!$B:$B,[1]AttributeName!$D:$D),2,_xlfn.XLOOKUP(C1320,#REF!,#REF!),3,_xlfn.XLOOKUP(C1320,#REF!,#REF!)),0)</f>
        <v>2</v>
      </c>
      <c r="T1320" cm="1">
        <f t="array" ref="T1320">IFERROR(_xlfn.SWITCH(L1320,1,_xlfn.XLOOKUP(O1320,[1]AttributeName!$B:$B,[1]AttributeName!$E:$E),2,_xlfn.XLOOKUP(C1320,#REF!,#REF!),3,_xlfn.XLOOKUP(C1320,#REF!,#REF!)),0)</f>
        <v>2</v>
      </c>
    </row>
    <row r="1321" customFormat="1" spans="1:20">
      <c r="A1321">
        <f t="shared" si="57"/>
        <v>560</v>
      </c>
      <c r="B1321">
        <v>8</v>
      </c>
      <c r="C1321" t="s">
        <v>401</v>
      </c>
      <c r="D1321" t="s">
        <v>28</v>
      </c>
      <c r="E1321" s="13" t="s">
        <v>392</v>
      </c>
      <c r="F1321"/>
      <c r="G1321">
        <v>2</v>
      </c>
      <c r="H1321">
        <v>1000</v>
      </c>
      <c r="J1321" cm="1">
        <f t="array" ref="J1321">_xlfn.SWITCH(B1321,1,75,2,61,3,49,4,37,5,25,6,13,7,4,8,1)</f>
        <v>1</v>
      </c>
      <c r="K1321" t="str" cm="1">
        <f t="array" ref="K1321">IFERROR(_xlfn.SWITCH(L1321,2,_xlfn.XLOOKUP(C1321,[1]ModifierDes!$B:$B,[1]ModifierDes!$C:$C),3,_xlfn.XLOOKUP(C1321,[1]StuntDes!$B:$B,[1]StuntDes!$C:$C)),"")</f>
        <v/>
      </c>
      <c r="L1321">
        <f t="shared" si="56"/>
        <v>1</v>
      </c>
      <c r="M1321" s="10" t="str">
        <f>IFERROR(_xlfn.XLOOKUP(C1321,[1]StuntDes!$B:$B,[1]StuntDes!$A:$A),"")</f>
        <v/>
      </c>
      <c r="N1321" s="10" t="str">
        <f>IFERROR(_xlfn.XLOOKUP(C1321,[1]ModifierDes!$B:$B,[1]ModifierDes!$A:$A),"")</f>
        <v/>
      </c>
      <c r="O1321" s="10">
        <f>IFERROR(_xlfn.XLOOKUP(C1321,[1]AttributeName!$C:$C,[1]AttributeName!$B:$B),"")</f>
        <v>10500</v>
      </c>
      <c r="P1321" s="10"/>
      <c r="Q1321">
        <v>0.02</v>
      </c>
      <c r="R1321">
        <v>0.05</v>
      </c>
      <c r="S1321" cm="1">
        <f t="array" ref="S1321">IFERROR(_xlfn.SWITCH(L1321,1,_xlfn.XLOOKUP(O1321,[1]AttributeName!$B:$B,[1]AttributeName!$D:$D),2,_xlfn.XLOOKUP(C1321,#REF!,#REF!),3,_xlfn.XLOOKUP(C1321,#REF!,#REF!)),0)</f>
        <v>2</v>
      </c>
      <c r="T1321" cm="1">
        <f t="array" ref="T1321">IFERROR(_xlfn.SWITCH(L1321,1,_xlfn.XLOOKUP(O1321,[1]AttributeName!$B:$B,[1]AttributeName!$E:$E),2,_xlfn.XLOOKUP(C1321,#REF!,#REF!),3,_xlfn.XLOOKUP(C1321,#REF!,#REF!)),0)</f>
        <v>2</v>
      </c>
    </row>
    <row r="1322" customFormat="1" spans="1:20">
      <c r="A1322">
        <f t="shared" si="57"/>
        <v>561</v>
      </c>
      <c r="B1322">
        <v>1</v>
      </c>
      <c r="C1322" s="14" t="s">
        <v>402</v>
      </c>
      <c r="D1322" t="s">
        <v>28</v>
      </c>
      <c r="E1322" s="13" t="s">
        <v>392</v>
      </c>
      <c r="F1322"/>
      <c r="G1322">
        <v>2</v>
      </c>
      <c r="H1322">
        <v>100</v>
      </c>
      <c r="J1322" cm="1">
        <f t="array" ref="J1322">_xlfn.SWITCH(B1322,1,75,2,61,3,49,4,37,5,25,6,13,7,4,8,1)</f>
        <v>75</v>
      </c>
      <c r="K1322" t="str" cm="1">
        <f t="array" ref="K1322">IFERROR(_xlfn.SWITCH(L1322,2,_xlfn.XLOOKUP(C1322,[1]ModifierDes!$B:$B,[1]ModifierDes!$C:$C),3,_xlfn.XLOOKUP(C1322,[1]StuntDes!$B:$B,[1]StuntDes!$C:$C)),"")</f>
        <v/>
      </c>
      <c r="L1322">
        <f t="shared" si="56"/>
        <v>1</v>
      </c>
      <c r="M1322" s="10" t="str">
        <f>IFERROR(_xlfn.XLOOKUP(C1322,[1]StuntDes!$B:$B,[1]StuntDes!$A:$A),"")</f>
        <v/>
      </c>
      <c r="N1322" s="10" t="str">
        <f>IFERROR(_xlfn.XLOOKUP(C1322,[1]ModifierDes!$B:$B,[1]ModifierDes!$A:$A),"")</f>
        <v/>
      </c>
      <c r="O1322" s="10">
        <f>IFERROR(_xlfn.XLOOKUP(C1322,[1]AttributeName!$C:$C,[1]AttributeName!$B:$B),"")</f>
        <v>10501</v>
      </c>
      <c r="P1322" s="10"/>
      <c r="Q1322">
        <v>0.3</v>
      </c>
      <c r="R1322">
        <v>0.4</v>
      </c>
      <c r="S1322" cm="1">
        <f t="array" ref="S1322">IFERROR(_xlfn.SWITCH(L1322,1,_xlfn.XLOOKUP(O1322,[1]AttributeName!$B:$B,[1]AttributeName!$D:$D),2,_xlfn.XLOOKUP(C1322,#REF!,#REF!),3,_xlfn.XLOOKUP(C1322,#REF!,#REF!)),0)</f>
        <v>2</v>
      </c>
      <c r="T1322" cm="1">
        <f t="array" ref="T1322">IFERROR(_xlfn.SWITCH(L1322,1,_xlfn.XLOOKUP(O1322,[1]AttributeName!$B:$B,[1]AttributeName!$E:$E),2,_xlfn.XLOOKUP(C1322,#REF!,#REF!),3,_xlfn.XLOOKUP(C1322,#REF!,#REF!)),0)</f>
        <v>2</v>
      </c>
    </row>
    <row r="1323" customFormat="1" spans="1:20">
      <c r="A1323">
        <f t="shared" si="57"/>
        <v>561</v>
      </c>
      <c r="B1323">
        <v>2</v>
      </c>
      <c r="C1323" s="14" t="s">
        <v>402</v>
      </c>
      <c r="D1323" t="s">
        <v>28</v>
      </c>
      <c r="E1323" s="13" t="s">
        <v>392</v>
      </c>
      <c r="F1323"/>
      <c r="G1323">
        <v>2</v>
      </c>
      <c r="H1323">
        <v>200</v>
      </c>
      <c r="J1323" cm="1">
        <f t="array" ref="J1323">_xlfn.SWITCH(B1323,1,75,2,61,3,49,4,37,5,25,6,13,7,4,8,1)</f>
        <v>61</v>
      </c>
      <c r="K1323" t="str" cm="1">
        <f t="array" ref="K1323">IFERROR(_xlfn.SWITCH(L1323,2,_xlfn.XLOOKUP(C1323,[1]ModifierDes!$B:$B,[1]ModifierDes!$C:$C),3,_xlfn.XLOOKUP(C1323,[1]StuntDes!$B:$B,[1]StuntDes!$C:$C)),"")</f>
        <v/>
      </c>
      <c r="L1323">
        <f t="shared" si="56"/>
        <v>1</v>
      </c>
      <c r="M1323" s="10" t="str">
        <f>IFERROR(_xlfn.XLOOKUP(C1323,[1]StuntDes!$B:$B,[1]StuntDes!$A:$A),"")</f>
        <v/>
      </c>
      <c r="N1323" s="10" t="str">
        <f>IFERROR(_xlfn.XLOOKUP(C1323,[1]ModifierDes!$B:$B,[1]ModifierDes!$A:$A),"")</f>
        <v/>
      </c>
      <c r="O1323" s="10">
        <f>IFERROR(_xlfn.XLOOKUP(C1323,[1]AttributeName!$C:$C,[1]AttributeName!$B:$B),"")</f>
        <v>10501</v>
      </c>
      <c r="P1323" s="10"/>
      <c r="Q1323">
        <v>0.26</v>
      </c>
      <c r="R1323">
        <v>0.29</v>
      </c>
      <c r="S1323" cm="1">
        <f t="array" ref="S1323">IFERROR(_xlfn.SWITCH(L1323,1,_xlfn.XLOOKUP(O1323,[1]AttributeName!$B:$B,[1]AttributeName!$D:$D),2,_xlfn.XLOOKUP(C1323,#REF!,#REF!),3,_xlfn.XLOOKUP(C1323,#REF!,#REF!)),0)</f>
        <v>2</v>
      </c>
      <c r="T1323" cm="1">
        <f t="array" ref="T1323">IFERROR(_xlfn.SWITCH(L1323,1,_xlfn.XLOOKUP(O1323,[1]AttributeName!$B:$B,[1]AttributeName!$E:$E),2,_xlfn.XLOOKUP(C1323,#REF!,#REF!),3,_xlfn.XLOOKUP(C1323,#REF!,#REF!)),0)</f>
        <v>2</v>
      </c>
    </row>
    <row r="1324" customFormat="1" spans="1:20">
      <c r="A1324">
        <f t="shared" si="57"/>
        <v>561</v>
      </c>
      <c r="B1324">
        <v>3</v>
      </c>
      <c r="C1324" s="14" t="s">
        <v>402</v>
      </c>
      <c r="D1324" t="s">
        <v>28</v>
      </c>
      <c r="E1324" s="13" t="s">
        <v>392</v>
      </c>
      <c r="F1324"/>
      <c r="G1324">
        <v>2</v>
      </c>
      <c r="H1324">
        <v>500</v>
      </c>
      <c r="J1324" cm="1">
        <f t="array" ref="J1324">_xlfn.SWITCH(B1324,1,75,2,61,3,49,4,37,5,25,6,13,7,4,8,1)</f>
        <v>49</v>
      </c>
      <c r="K1324" t="str" cm="1">
        <f t="array" ref="K1324">IFERROR(_xlfn.SWITCH(L1324,2,_xlfn.XLOOKUP(C1324,[1]ModifierDes!$B:$B,[1]ModifierDes!$C:$C),3,_xlfn.XLOOKUP(C1324,[1]StuntDes!$B:$B,[1]StuntDes!$C:$C)),"")</f>
        <v/>
      </c>
      <c r="L1324">
        <f t="shared" si="56"/>
        <v>1</v>
      </c>
      <c r="M1324" s="10" t="str">
        <f>IFERROR(_xlfn.XLOOKUP(C1324,[1]StuntDes!$B:$B,[1]StuntDes!$A:$A),"")</f>
        <v/>
      </c>
      <c r="N1324" s="10" t="str">
        <f>IFERROR(_xlfn.XLOOKUP(C1324,[1]ModifierDes!$B:$B,[1]ModifierDes!$A:$A),"")</f>
        <v/>
      </c>
      <c r="O1324" s="10">
        <f>IFERROR(_xlfn.XLOOKUP(C1324,[1]AttributeName!$C:$C,[1]AttributeName!$B:$B),"")</f>
        <v>10501</v>
      </c>
      <c r="P1324" s="10"/>
      <c r="Q1324">
        <v>0.22</v>
      </c>
      <c r="R1324">
        <v>0.25</v>
      </c>
      <c r="S1324" cm="1">
        <f t="array" ref="S1324">IFERROR(_xlfn.SWITCH(L1324,1,_xlfn.XLOOKUP(O1324,[1]AttributeName!$B:$B,[1]AttributeName!$D:$D),2,_xlfn.XLOOKUP(C1324,#REF!,#REF!),3,_xlfn.XLOOKUP(C1324,#REF!,#REF!)),0)</f>
        <v>2</v>
      </c>
      <c r="T1324" cm="1">
        <f t="array" ref="T1324">IFERROR(_xlfn.SWITCH(L1324,1,_xlfn.XLOOKUP(O1324,[1]AttributeName!$B:$B,[1]AttributeName!$E:$E),2,_xlfn.XLOOKUP(C1324,#REF!,#REF!),3,_xlfn.XLOOKUP(C1324,#REF!,#REF!)),0)</f>
        <v>2</v>
      </c>
    </row>
    <row r="1325" customFormat="1" spans="1:20">
      <c r="A1325">
        <f t="shared" si="57"/>
        <v>561</v>
      </c>
      <c r="B1325">
        <v>4</v>
      </c>
      <c r="C1325" s="14" t="s">
        <v>402</v>
      </c>
      <c r="D1325" t="s">
        <v>28</v>
      </c>
      <c r="E1325" s="13" t="s">
        <v>392</v>
      </c>
      <c r="F1325"/>
      <c r="G1325">
        <v>2</v>
      </c>
      <c r="H1325">
        <v>1000</v>
      </c>
      <c r="J1325" cm="1">
        <f t="array" ref="J1325">_xlfn.SWITCH(B1325,1,75,2,61,3,49,4,37,5,25,6,13,7,4,8,1)</f>
        <v>37</v>
      </c>
      <c r="K1325" t="str" cm="1">
        <f t="array" ref="K1325">IFERROR(_xlfn.SWITCH(L1325,2,_xlfn.XLOOKUP(C1325,[1]ModifierDes!$B:$B,[1]ModifierDes!$C:$C),3,_xlfn.XLOOKUP(C1325,[1]StuntDes!$B:$B,[1]StuntDes!$C:$C)),"")</f>
        <v/>
      </c>
      <c r="L1325">
        <f t="shared" si="56"/>
        <v>1</v>
      </c>
      <c r="M1325" s="10" t="str">
        <f>IFERROR(_xlfn.XLOOKUP(C1325,[1]StuntDes!$B:$B,[1]StuntDes!$A:$A),"")</f>
        <v/>
      </c>
      <c r="N1325" s="10" t="str">
        <f>IFERROR(_xlfn.XLOOKUP(C1325,[1]ModifierDes!$B:$B,[1]ModifierDes!$A:$A),"")</f>
        <v/>
      </c>
      <c r="O1325" s="10">
        <f>IFERROR(_xlfn.XLOOKUP(C1325,[1]AttributeName!$C:$C,[1]AttributeName!$B:$B),"")</f>
        <v>10501</v>
      </c>
      <c r="P1325" s="10"/>
      <c r="Q1325">
        <v>0.18</v>
      </c>
      <c r="R1325">
        <v>0.21</v>
      </c>
      <c r="S1325" cm="1">
        <f t="array" ref="S1325">IFERROR(_xlfn.SWITCH(L1325,1,_xlfn.XLOOKUP(O1325,[1]AttributeName!$B:$B,[1]AttributeName!$D:$D),2,_xlfn.XLOOKUP(C1325,#REF!,#REF!),3,_xlfn.XLOOKUP(C1325,#REF!,#REF!)),0)</f>
        <v>2</v>
      </c>
      <c r="T1325" cm="1">
        <f t="array" ref="T1325">IFERROR(_xlfn.SWITCH(L1325,1,_xlfn.XLOOKUP(O1325,[1]AttributeName!$B:$B,[1]AttributeName!$E:$E),2,_xlfn.XLOOKUP(C1325,#REF!,#REF!),3,_xlfn.XLOOKUP(C1325,#REF!,#REF!)),0)</f>
        <v>2</v>
      </c>
    </row>
    <row r="1326" customFormat="1" spans="1:20">
      <c r="A1326">
        <f t="shared" si="57"/>
        <v>561</v>
      </c>
      <c r="B1326">
        <v>5</v>
      </c>
      <c r="C1326" s="14" t="s">
        <v>402</v>
      </c>
      <c r="D1326" t="s">
        <v>28</v>
      </c>
      <c r="E1326" s="13" t="s">
        <v>392</v>
      </c>
      <c r="F1326"/>
      <c r="G1326">
        <v>2</v>
      </c>
      <c r="H1326">
        <v>1000</v>
      </c>
      <c r="J1326" cm="1">
        <f t="array" ref="J1326">_xlfn.SWITCH(B1326,1,75,2,61,3,49,4,37,5,25,6,13,7,4,8,1)</f>
        <v>25</v>
      </c>
      <c r="K1326" t="str" cm="1">
        <f t="array" ref="K1326">IFERROR(_xlfn.SWITCH(L1326,2,_xlfn.XLOOKUP(C1326,[1]ModifierDes!$B:$B,[1]ModifierDes!$C:$C),3,_xlfn.XLOOKUP(C1326,[1]StuntDes!$B:$B,[1]StuntDes!$C:$C)),"")</f>
        <v/>
      </c>
      <c r="L1326">
        <f t="shared" si="56"/>
        <v>1</v>
      </c>
      <c r="M1326" s="10" t="str">
        <f>IFERROR(_xlfn.XLOOKUP(C1326,[1]StuntDes!$B:$B,[1]StuntDes!$A:$A),"")</f>
        <v/>
      </c>
      <c r="N1326" s="10" t="str">
        <f>IFERROR(_xlfn.XLOOKUP(C1326,[1]ModifierDes!$B:$B,[1]ModifierDes!$A:$A),"")</f>
        <v/>
      </c>
      <c r="O1326" s="10">
        <f>IFERROR(_xlfn.XLOOKUP(C1326,[1]AttributeName!$C:$C,[1]AttributeName!$B:$B),"")</f>
        <v>10501</v>
      </c>
      <c r="P1326" s="10"/>
      <c r="Q1326">
        <v>0.14</v>
      </c>
      <c r="R1326">
        <v>0.17</v>
      </c>
      <c r="S1326" cm="1">
        <f t="array" ref="S1326">IFERROR(_xlfn.SWITCH(L1326,1,_xlfn.XLOOKUP(O1326,[1]AttributeName!$B:$B,[1]AttributeName!$D:$D),2,_xlfn.XLOOKUP(C1326,#REF!,#REF!),3,_xlfn.XLOOKUP(C1326,#REF!,#REF!)),0)</f>
        <v>2</v>
      </c>
      <c r="T1326" cm="1">
        <f t="array" ref="T1326">IFERROR(_xlfn.SWITCH(L1326,1,_xlfn.XLOOKUP(O1326,[1]AttributeName!$B:$B,[1]AttributeName!$E:$E),2,_xlfn.XLOOKUP(C1326,#REF!,#REF!),3,_xlfn.XLOOKUP(C1326,#REF!,#REF!)),0)</f>
        <v>2</v>
      </c>
    </row>
    <row r="1327" customFormat="1" spans="1:20">
      <c r="A1327">
        <f t="shared" si="57"/>
        <v>561</v>
      </c>
      <c r="B1327">
        <v>6</v>
      </c>
      <c r="C1327" s="14" t="s">
        <v>402</v>
      </c>
      <c r="D1327" t="s">
        <v>28</v>
      </c>
      <c r="E1327" s="13" t="s">
        <v>392</v>
      </c>
      <c r="F1327"/>
      <c r="G1327">
        <v>2</v>
      </c>
      <c r="H1327">
        <v>1000</v>
      </c>
      <c r="J1327" cm="1">
        <f t="array" ref="J1327">_xlfn.SWITCH(B1327,1,75,2,61,3,49,4,37,5,25,6,13,7,4,8,1)</f>
        <v>13</v>
      </c>
      <c r="K1327" t="str" cm="1">
        <f t="array" ref="K1327">IFERROR(_xlfn.SWITCH(L1327,2,_xlfn.XLOOKUP(C1327,[1]ModifierDes!$B:$B,[1]ModifierDes!$C:$C),3,_xlfn.XLOOKUP(C1327,[1]StuntDes!$B:$B,[1]StuntDes!$C:$C)),"")</f>
        <v/>
      </c>
      <c r="L1327">
        <f t="shared" si="56"/>
        <v>1</v>
      </c>
      <c r="M1327" s="10" t="str">
        <f>IFERROR(_xlfn.XLOOKUP(C1327,[1]StuntDes!$B:$B,[1]StuntDes!$A:$A),"")</f>
        <v/>
      </c>
      <c r="N1327" s="10" t="str">
        <f>IFERROR(_xlfn.XLOOKUP(C1327,[1]ModifierDes!$B:$B,[1]ModifierDes!$A:$A),"")</f>
        <v/>
      </c>
      <c r="O1327" s="10">
        <f>IFERROR(_xlfn.XLOOKUP(C1327,[1]AttributeName!$C:$C,[1]AttributeName!$B:$B),"")</f>
        <v>10501</v>
      </c>
      <c r="P1327" s="10"/>
      <c r="Q1327">
        <v>0.1</v>
      </c>
      <c r="R1327">
        <v>0.13</v>
      </c>
      <c r="S1327" cm="1">
        <f t="array" ref="S1327">IFERROR(_xlfn.SWITCH(L1327,1,_xlfn.XLOOKUP(O1327,[1]AttributeName!$B:$B,[1]AttributeName!$D:$D),2,_xlfn.XLOOKUP(C1327,#REF!,#REF!),3,_xlfn.XLOOKUP(C1327,#REF!,#REF!)),0)</f>
        <v>2</v>
      </c>
      <c r="T1327" cm="1">
        <f t="array" ref="T1327">IFERROR(_xlfn.SWITCH(L1327,1,_xlfn.XLOOKUP(O1327,[1]AttributeName!$B:$B,[1]AttributeName!$E:$E),2,_xlfn.XLOOKUP(C1327,#REF!,#REF!),3,_xlfn.XLOOKUP(C1327,#REF!,#REF!)),0)</f>
        <v>2</v>
      </c>
    </row>
    <row r="1328" customFormat="1" spans="1:20">
      <c r="A1328">
        <f t="shared" si="57"/>
        <v>561</v>
      </c>
      <c r="B1328">
        <v>7</v>
      </c>
      <c r="C1328" s="14" t="s">
        <v>402</v>
      </c>
      <c r="D1328" t="s">
        <v>28</v>
      </c>
      <c r="E1328" s="13" t="s">
        <v>392</v>
      </c>
      <c r="F1328"/>
      <c r="G1328">
        <v>2</v>
      </c>
      <c r="H1328">
        <v>1000</v>
      </c>
      <c r="J1328" cm="1">
        <f t="array" ref="J1328">_xlfn.SWITCH(B1328,1,75,2,61,3,49,4,37,5,25,6,13,7,4,8,1)</f>
        <v>4</v>
      </c>
      <c r="K1328" t="str" cm="1">
        <f t="array" ref="K1328">IFERROR(_xlfn.SWITCH(L1328,2,_xlfn.XLOOKUP(C1328,[1]ModifierDes!$B:$B,[1]ModifierDes!$C:$C),3,_xlfn.XLOOKUP(C1328,[1]StuntDes!$B:$B,[1]StuntDes!$C:$C)),"")</f>
        <v/>
      </c>
      <c r="L1328">
        <f t="shared" si="56"/>
        <v>1</v>
      </c>
      <c r="M1328" s="10" t="str">
        <f>IFERROR(_xlfn.XLOOKUP(C1328,[1]StuntDes!$B:$B,[1]StuntDes!$A:$A),"")</f>
        <v/>
      </c>
      <c r="N1328" s="10" t="str">
        <f>IFERROR(_xlfn.XLOOKUP(C1328,[1]ModifierDes!$B:$B,[1]ModifierDes!$A:$A),"")</f>
        <v/>
      </c>
      <c r="O1328" s="10">
        <f>IFERROR(_xlfn.XLOOKUP(C1328,[1]AttributeName!$C:$C,[1]AttributeName!$B:$B),"")</f>
        <v>10501</v>
      </c>
      <c r="P1328" s="10"/>
      <c r="Q1328">
        <v>0.06</v>
      </c>
      <c r="R1328">
        <v>0.09</v>
      </c>
      <c r="S1328" cm="1">
        <f t="array" ref="S1328">IFERROR(_xlfn.SWITCH(L1328,1,_xlfn.XLOOKUP(O1328,[1]AttributeName!$B:$B,[1]AttributeName!$D:$D),2,_xlfn.XLOOKUP(C1328,#REF!,#REF!),3,_xlfn.XLOOKUP(C1328,#REF!,#REF!)),0)</f>
        <v>2</v>
      </c>
      <c r="T1328" cm="1">
        <f t="array" ref="T1328">IFERROR(_xlfn.SWITCH(L1328,1,_xlfn.XLOOKUP(O1328,[1]AttributeName!$B:$B,[1]AttributeName!$E:$E),2,_xlfn.XLOOKUP(C1328,#REF!,#REF!),3,_xlfn.XLOOKUP(C1328,#REF!,#REF!)),0)</f>
        <v>2</v>
      </c>
    </row>
    <row r="1329" customFormat="1" spans="1:20">
      <c r="A1329">
        <f t="shared" si="57"/>
        <v>561</v>
      </c>
      <c r="B1329">
        <v>8</v>
      </c>
      <c r="C1329" s="14" t="s">
        <v>402</v>
      </c>
      <c r="D1329" t="s">
        <v>28</v>
      </c>
      <c r="E1329" s="13" t="s">
        <v>392</v>
      </c>
      <c r="F1329"/>
      <c r="G1329">
        <v>2</v>
      </c>
      <c r="H1329">
        <v>1000</v>
      </c>
      <c r="J1329" cm="1">
        <f t="array" ref="J1329">_xlfn.SWITCH(B1329,1,75,2,61,3,49,4,37,5,25,6,13,7,4,8,1)</f>
        <v>1</v>
      </c>
      <c r="K1329" t="str" cm="1">
        <f t="array" ref="K1329">IFERROR(_xlfn.SWITCH(L1329,2,_xlfn.XLOOKUP(C1329,[1]ModifierDes!$B:$B,[1]ModifierDes!$C:$C),3,_xlfn.XLOOKUP(C1329,[1]StuntDes!$B:$B,[1]StuntDes!$C:$C)),"")</f>
        <v/>
      </c>
      <c r="L1329">
        <f t="shared" si="56"/>
        <v>1</v>
      </c>
      <c r="M1329" s="10" t="str">
        <f>IFERROR(_xlfn.XLOOKUP(C1329,[1]StuntDes!$B:$B,[1]StuntDes!$A:$A),"")</f>
        <v/>
      </c>
      <c r="N1329" s="10" t="str">
        <f>IFERROR(_xlfn.XLOOKUP(C1329,[1]ModifierDes!$B:$B,[1]ModifierDes!$A:$A),"")</f>
        <v/>
      </c>
      <c r="O1329" s="10">
        <f>IFERROR(_xlfn.XLOOKUP(C1329,[1]AttributeName!$C:$C,[1]AttributeName!$B:$B),"")</f>
        <v>10501</v>
      </c>
      <c r="P1329" s="10"/>
      <c r="Q1329">
        <v>0.02</v>
      </c>
      <c r="R1329">
        <v>0.05</v>
      </c>
      <c r="S1329" cm="1">
        <f t="array" ref="S1329">IFERROR(_xlfn.SWITCH(L1329,1,_xlfn.XLOOKUP(O1329,[1]AttributeName!$B:$B,[1]AttributeName!$D:$D),2,_xlfn.XLOOKUP(C1329,#REF!,#REF!),3,_xlfn.XLOOKUP(C1329,#REF!,#REF!)),0)</f>
        <v>2</v>
      </c>
      <c r="T1329" cm="1">
        <f t="array" ref="T1329">IFERROR(_xlfn.SWITCH(L1329,1,_xlfn.XLOOKUP(O1329,[1]AttributeName!$B:$B,[1]AttributeName!$E:$E),2,_xlfn.XLOOKUP(C1329,#REF!,#REF!),3,_xlfn.XLOOKUP(C1329,#REF!,#REF!)),0)</f>
        <v>2</v>
      </c>
    </row>
    <row r="1330" customFormat="1" spans="1:20">
      <c r="A1330">
        <f t="shared" si="57"/>
        <v>562</v>
      </c>
      <c r="B1330">
        <v>1</v>
      </c>
      <c r="C1330" t="s">
        <v>403</v>
      </c>
      <c r="D1330" t="s">
        <v>28</v>
      </c>
      <c r="E1330" s="13" t="s">
        <v>392</v>
      </c>
      <c r="F1330"/>
      <c r="G1330">
        <v>2</v>
      </c>
      <c r="H1330">
        <v>100</v>
      </c>
      <c r="J1330" cm="1">
        <f t="array" ref="J1330">_xlfn.SWITCH(B1330,1,75,2,61,3,49,4,37,5,25,6,13,7,4,8,1)</f>
        <v>75</v>
      </c>
      <c r="K1330" t="str" cm="1">
        <f t="array" ref="K1330">IFERROR(_xlfn.SWITCH(L1330,2,_xlfn.XLOOKUP(C1330,[1]ModifierDes!$B:$B,[1]ModifierDes!$C:$C),3,_xlfn.XLOOKUP(C1330,[1]StuntDes!$B:$B,[1]StuntDes!$C:$C)),"")</f>
        <v/>
      </c>
      <c r="L1330">
        <f t="shared" si="56"/>
        <v>1</v>
      </c>
      <c r="M1330" s="10" t="str">
        <f>IFERROR(_xlfn.XLOOKUP(C1330,[1]StuntDes!$B:$B,[1]StuntDes!$A:$A),"")</f>
        <v/>
      </c>
      <c r="N1330" s="10" t="str">
        <f>IFERROR(_xlfn.XLOOKUP(C1330,[1]ModifierDes!$B:$B,[1]ModifierDes!$A:$A),"")</f>
        <v/>
      </c>
      <c r="O1330" s="10">
        <f>IFERROR(_xlfn.XLOOKUP(C1330,[1]AttributeName!$C:$C,[1]AttributeName!$B:$B),"")</f>
        <v>10502</v>
      </c>
      <c r="P1330" s="10"/>
      <c r="Q1330">
        <v>0.3</v>
      </c>
      <c r="R1330">
        <v>0.4</v>
      </c>
      <c r="S1330" cm="1">
        <f t="array" ref="S1330">IFERROR(_xlfn.SWITCH(L1330,1,_xlfn.XLOOKUP(O1330,[1]AttributeName!$B:$B,[1]AttributeName!$D:$D),2,_xlfn.XLOOKUP(C1330,#REF!,#REF!),3,_xlfn.XLOOKUP(C1330,#REF!,#REF!)),0)</f>
        <v>2</v>
      </c>
      <c r="T1330" cm="1">
        <f t="array" ref="T1330">IFERROR(_xlfn.SWITCH(L1330,1,_xlfn.XLOOKUP(O1330,[1]AttributeName!$B:$B,[1]AttributeName!$E:$E),2,_xlfn.XLOOKUP(C1330,#REF!,#REF!),3,_xlfn.XLOOKUP(C1330,#REF!,#REF!)),0)</f>
        <v>2</v>
      </c>
    </row>
    <row r="1331" customFormat="1" spans="1:20">
      <c r="A1331">
        <f t="shared" si="57"/>
        <v>562</v>
      </c>
      <c r="B1331">
        <v>2</v>
      </c>
      <c r="C1331" t="s">
        <v>403</v>
      </c>
      <c r="D1331" t="s">
        <v>28</v>
      </c>
      <c r="E1331" s="13" t="s">
        <v>392</v>
      </c>
      <c r="F1331"/>
      <c r="G1331">
        <v>2</v>
      </c>
      <c r="H1331">
        <v>200</v>
      </c>
      <c r="J1331" cm="1">
        <f t="array" ref="J1331">_xlfn.SWITCH(B1331,1,75,2,61,3,49,4,37,5,25,6,13,7,4,8,1)</f>
        <v>61</v>
      </c>
      <c r="K1331" t="str" cm="1">
        <f t="array" ref="K1331">IFERROR(_xlfn.SWITCH(L1331,2,_xlfn.XLOOKUP(C1331,[1]ModifierDes!$B:$B,[1]ModifierDes!$C:$C),3,_xlfn.XLOOKUP(C1331,[1]StuntDes!$B:$B,[1]StuntDes!$C:$C)),"")</f>
        <v/>
      </c>
      <c r="L1331">
        <f t="shared" si="56"/>
        <v>1</v>
      </c>
      <c r="M1331" s="10" t="str">
        <f>IFERROR(_xlfn.XLOOKUP(C1331,[1]StuntDes!$B:$B,[1]StuntDes!$A:$A),"")</f>
        <v/>
      </c>
      <c r="N1331" s="10" t="str">
        <f>IFERROR(_xlfn.XLOOKUP(C1331,[1]ModifierDes!$B:$B,[1]ModifierDes!$A:$A),"")</f>
        <v/>
      </c>
      <c r="O1331" s="10">
        <f>IFERROR(_xlfn.XLOOKUP(C1331,[1]AttributeName!$C:$C,[1]AttributeName!$B:$B),"")</f>
        <v>10502</v>
      </c>
      <c r="P1331" s="10"/>
      <c r="Q1331">
        <v>0.26</v>
      </c>
      <c r="R1331">
        <v>0.29</v>
      </c>
      <c r="S1331" cm="1">
        <f t="array" ref="S1331">IFERROR(_xlfn.SWITCH(L1331,1,_xlfn.XLOOKUP(O1331,[1]AttributeName!$B:$B,[1]AttributeName!$D:$D),2,_xlfn.XLOOKUP(C1331,#REF!,#REF!),3,_xlfn.XLOOKUP(C1331,#REF!,#REF!)),0)</f>
        <v>2</v>
      </c>
      <c r="T1331" cm="1">
        <f t="array" ref="T1331">IFERROR(_xlfn.SWITCH(L1331,1,_xlfn.XLOOKUP(O1331,[1]AttributeName!$B:$B,[1]AttributeName!$E:$E),2,_xlfn.XLOOKUP(C1331,#REF!,#REF!),3,_xlfn.XLOOKUP(C1331,#REF!,#REF!)),0)</f>
        <v>2</v>
      </c>
    </row>
    <row r="1332" customFormat="1" spans="1:20">
      <c r="A1332">
        <f t="shared" si="57"/>
        <v>562</v>
      </c>
      <c r="B1332">
        <v>3</v>
      </c>
      <c r="C1332" t="s">
        <v>403</v>
      </c>
      <c r="D1332" t="s">
        <v>28</v>
      </c>
      <c r="E1332" s="13" t="s">
        <v>392</v>
      </c>
      <c r="F1332"/>
      <c r="G1332">
        <v>2</v>
      </c>
      <c r="H1332">
        <v>500</v>
      </c>
      <c r="J1332" cm="1">
        <f t="array" ref="J1332">_xlfn.SWITCH(B1332,1,75,2,61,3,49,4,37,5,25,6,13,7,4,8,1)</f>
        <v>49</v>
      </c>
      <c r="K1332" t="str" cm="1">
        <f t="array" ref="K1332">IFERROR(_xlfn.SWITCH(L1332,2,_xlfn.XLOOKUP(C1332,[1]ModifierDes!$B:$B,[1]ModifierDes!$C:$C),3,_xlfn.XLOOKUP(C1332,[1]StuntDes!$B:$B,[1]StuntDes!$C:$C)),"")</f>
        <v/>
      </c>
      <c r="L1332">
        <f t="shared" si="56"/>
        <v>1</v>
      </c>
      <c r="M1332" s="10" t="str">
        <f>IFERROR(_xlfn.XLOOKUP(C1332,[1]StuntDes!$B:$B,[1]StuntDes!$A:$A),"")</f>
        <v/>
      </c>
      <c r="N1332" s="10" t="str">
        <f>IFERROR(_xlfn.XLOOKUP(C1332,[1]ModifierDes!$B:$B,[1]ModifierDes!$A:$A),"")</f>
        <v/>
      </c>
      <c r="O1332" s="10">
        <f>IFERROR(_xlfn.XLOOKUP(C1332,[1]AttributeName!$C:$C,[1]AttributeName!$B:$B),"")</f>
        <v>10502</v>
      </c>
      <c r="P1332" s="10"/>
      <c r="Q1332">
        <v>0.22</v>
      </c>
      <c r="R1332">
        <v>0.25</v>
      </c>
      <c r="S1332" cm="1">
        <f t="array" ref="S1332">IFERROR(_xlfn.SWITCH(L1332,1,_xlfn.XLOOKUP(O1332,[1]AttributeName!$B:$B,[1]AttributeName!$D:$D),2,_xlfn.XLOOKUP(C1332,#REF!,#REF!),3,_xlfn.XLOOKUP(C1332,#REF!,#REF!)),0)</f>
        <v>2</v>
      </c>
      <c r="T1332" cm="1">
        <f t="array" ref="T1332">IFERROR(_xlfn.SWITCH(L1332,1,_xlfn.XLOOKUP(O1332,[1]AttributeName!$B:$B,[1]AttributeName!$E:$E),2,_xlfn.XLOOKUP(C1332,#REF!,#REF!),3,_xlfn.XLOOKUP(C1332,#REF!,#REF!)),0)</f>
        <v>2</v>
      </c>
    </row>
    <row r="1333" customFormat="1" spans="1:20">
      <c r="A1333">
        <f t="shared" si="57"/>
        <v>562</v>
      </c>
      <c r="B1333">
        <v>4</v>
      </c>
      <c r="C1333" t="s">
        <v>403</v>
      </c>
      <c r="D1333" t="s">
        <v>28</v>
      </c>
      <c r="E1333" s="13" t="s">
        <v>392</v>
      </c>
      <c r="F1333"/>
      <c r="G1333">
        <v>2</v>
      </c>
      <c r="H1333">
        <v>1000</v>
      </c>
      <c r="J1333" cm="1">
        <f t="array" ref="J1333">_xlfn.SWITCH(B1333,1,75,2,61,3,49,4,37,5,25,6,13,7,4,8,1)</f>
        <v>37</v>
      </c>
      <c r="K1333" t="str" cm="1">
        <f t="array" ref="K1333">IFERROR(_xlfn.SWITCH(L1333,2,_xlfn.XLOOKUP(C1333,[1]ModifierDes!$B:$B,[1]ModifierDes!$C:$C),3,_xlfn.XLOOKUP(C1333,[1]StuntDes!$B:$B,[1]StuntDes!$C:$C)),"")</f>
        <v/>
      </c>
      <c r="L1333">
        <f t="shared" si="56"/>
        <v>1</v>
      </c>
      <c r="M1333" s="10" t="str">
        <f>IFERROR(_xlfn.XLOOKUP(C1333,[1]StuntDes!$B:$B,[1]StuntDes!$A:$A),"")</f>
        <v/>
      </c>
      <c r="N1333" s="10" t="str">
        <f>IFERROR(_xlfn.XLOOKUP(C1333,[1]ModifierDes!$B:$B,[1]ModifierDes!$A:$A),"")</f>
        <v/>
      </c>
      <c r="O1333" s="10">
        <f>IFERROR(_xlfn.XLOOKUP(C1333,[1]AttributeName!$C:$C,[1]AttributeName!$B:$B),"")</f>
        <v>10502</v>
      </c>
      <c r="P1333" s="10"/>
      <c r="Q1333">
        <v>0.18</v>
      </c>
      <c r="R1333">
        <v>0.21</v>
      </c>
      <c r="S1333" cm="1">
        <f t="array" ref="S1333">IFERROR(_xlfn.SWITCH(L1333,1,_xlfn.XLOOKUP(O1333,[1]AttributeName!$B:$B,[1]AttributeName!$D:$D),2,_xlfn.XLOOKUP(C1333,#REF!,#REF!),3,_xlfn.XLOOKUP(C1333,#REF!,#REF!)),0)</f>
        <v>2</v>
      </c>
      <c r="T1333" cm="1">
        <f t="array" ref="T1333">IFERROR(_xlfn.SWITCH(L1333,1,_xlfn.XLOOKUP(O1333,[1]AttributeName!$B:$B,[1]AttributeName!$E:$E),2,_xlfn.XLOOKUP(C1333,#REF!,#REF!),3,_xlfn.XLOOKUP(C1333,#REF!,#REF!)),0)</f>
        <v>2</v>
      </c>
    </row>
    <row r="1334" customFormat="1" spans="1:20">
      <c r="A1334">
        <f t="shared" si="57"/>
        <v>562</v>
      </c>
      <c r="B1334">
        <v>5</v>
      </c>
      <c r="C1334" t="s">
        <v>403</v>
      </c>
      <c r="D1334" t="s">
        <v>28</v>
      </c>
      <c r="E1334" s="13" t="s">
        <v>392</v>
      </c>
      <c r="F1334"/>
      <c r="G1334">
        <v>2</v>
      </c>
      <c r="H1334">
        <v>1000</v>
      </c>
      <c r="J1334" cm="1">
        <f t="array" ref="J1334">_xlfn.SWITCH(B1334,1,75,2,61,3,49,4,37,5,25,6,13,7,4,8,1)</f>
        <v>25</v>
      </c>
      <c r="K1334" t="str" cm="1">
        <f t="array" ref="K1334">IFERROR(_xlfn.SWITCH(L1334,2,_xlfn.XLOOKUP(C1334,[1]ModifierDes!$B:$B,[1]ModifierDes!$C:$C),3,_xlfn.XLOOKUP(C1334,[1]StuntDes!$B:$B,[1]StuntDes!$C:$C)),"")</f>
        <v/>
      </c>
      <c r="L1334">
        <f t="shared" si="56"/>
        <v>1</v>
      </c>
      <c r="M1334" s="10" t="str">
        <f>IFERROR(_xlfn.XLOOKUP(C1334,[1]StuntDes!$B:$B,[1]StuntDes!$A:$A),"")</f>
        <v/>
      </c>
      <c r="N1334" s="10" t="str">
        <f>IFERROR(_xlfn.XLOOKUP(C1334,[1]ModifierDes!$B:$B,[1]ModifierDes!$A:$A),"")</f>
        <v/>
      </c>
      <c r="O1334" s="10">
        <f>IFERROR(_xlfn.XLOOKUP(C1334,[1]AttributeName!$C:$C,[1]AttributeName!$B:$B),"")</f>
        <v>10502</v>
      </c>
      <c r="P1334" s="10"/>
      <c r="Q1334">
        <v>0.14</v>
      </c>
      <c r="R1334">
        <v>0.17</v>
      </c>
      <c r="S1334" cm="1">
        <f t="array" ref="S1334">IFERROR(_xlfn.SWITCH(L1334,1,_xlfn.XLOOKUP(O1334,[1]AttributeName!$B:$B,[1]AttributeName!$D:$D),2,_xlfn.XLOOKUP(C1334,#REF!,#REF!),3,_xlfn.XLOOKUP(C1334,#REF!,#REF!)),0)</f>
        <v>2</v>
      </c>
      <c r="T1334" cm="1">
        <f t="array" ref="T1334">IFERROR(_xlfn.SWITCH(L1334,1,_xlfn.XLOOKUP(O1334,[1]AttributeName!$B:$B,[1]AttributeName!$E:$E),2,_xlfn.XLOOKUP(C1334,#REF!,#REF!),3,_xlfn.XLOOKUP(C1334,#REF!,#REF!)),0)</f>
        <v>2</v>
      </c>
    </row>
    <row r="1335" customFormat="1" spans="1:20">
      <c r="A1335">
        <f t="shared" si="57"/>
        <v>562</v>
      </c>
      <c r="B1335">
        <v>6</v>
      </c>
      <c r="C1335" t="s">
        <v>403</v>
      </c>
      <c r="D1335" t="s">
        <v>28</v>
      </c>
      <c r="E1335" s="13" t="s">
        <v>392</v>
      </c>
      <c r="F1335"/>
      <c r="G1335">
        <v>2</v>
      </c>
      <c r="H1335">
        <v>1000</v>
      </c>
      <c r="J1335" cm="1">
        <f t="array" ref="J1335">_xlfn.SWITCH(B1335,1,75,2,61,3,49,4,37,5,25,6,13,7,4,8,1)</f>
        <v>13</v>
      </c>
      <c r="K1335" t="str" cm="1">
        <f t="array" ref="K1335">IFERROR(_xlfn.SWITCH(L1335,2,_xlfn.XLOOKUP(C1335,[1]ModifierDes!$B:$B,[1]ModifierDes!$C:$C),3,_xlfn.XLOOKUP(C1335,[1]StuntDes!$B:$B,[1]StuntDes!$C:$C)),"")</f>
        <v/>
      </c>
      <c r="L1335">
        <f t="shared" si="56"/>
        <v>1</v>
      </c>
      <c r="M1335" s="10" t="str">
        <f>IFERROR(_xlfn.XLOOKUP(C1335,[1]StuntDes!$B:$B,[1]StuntDes!$A:$A),"")</f>
        <v/>
      </c>
      <c r="N1335" s="10" t="str">
        <f>IFERROR(_xlfn.XLOOKUP(C1335,[1]ModifierDes!$B:$B,[1]ModifierDes!$A:$A),"")</f>
        <v/>
      </c>
      <c r="O1335" s="10">
        <f>IFERROR(_xlfn.XLOOKUP(C1335,[1]AttributeName!$C:$C,[1]AttributeName!$B:$B),"")</f>
        <v>10502</v>
      </c>
      <c r="P1335" s="10"/>
      <c r="Q1335">
        <v>0.1</v>
      </c>
      <c r="R1335">
        <v>0.13</v>
      </c>
      <c r="S1335" cm="1">
        <f t="array" ref="S1335">IFERROR(_xlfn.SWITCH(L1335,1,_xlfn.XLOOKUP(O1335,[1]AttributeName!$B:$B,[1]AttributeName!$D:$D),2,_xlfn.XLOOKUP(C1335,#REF!,#REF!),3,_xlfn.XLOOKUP(C1335,#REF!,#REF!)),0)</f>
        <v>2</v>
      </c>
      <c r="T1335" cm="1">
        <f t="array" ref="T1335">IFERROR(_xlfn.SWITCH(L1335,1,_xlfn.XLOOKUP(O1335,[1]AttributeName!$B:$B,[1]AttributeName!$E:$E),2,_xlfn.XLOOKUP(C1335,#REF!,#REF!),3,_xlfn.XLOOKUP(C1335,#REF!,#REF!)),0)</f>
        <v>2</v>
      </c>
    </row>
    <row r="1336" customFormat="1" spans="1:20">
      <c r="A1336">
        <f t="shared" si="57"/>
        <v>562</v>
      </c>
      <c r="B1336">
        <v>7</v>
      </c>
      <c r="C1336" t="s">
        <v>403</v>
      </c>
      <c r="D1336" t="s">
        <v>28</v>
      </c>
      <c r="E1336" s="13" t="s">
        <v>392</v>
      </c>
      <c r="F1336"/>
      <c r="G1336">
        <v>2</v>
      </c>
      <c r="H1336">
        <v>1000</v>
      </c>
      <c r="J1336" cm="1">
        <f t="array" ref="J1336">_xlfn.SWITCH(B1336,1,75,2,61,3,49,4,37,5,25,6,13,7,4,8,1)</f>
        <v>4</v>
      </c>
      <c r="K1336" t="str" cm="1">
        <f t="array" ref="K1336">IFERROR(_xlfn.SWITCH(L1336,2,_xlfn.XLOOKUP(C1336,[1]ModifierDes!$B:$B,[1]ModifierDes!$C:$C),3,_xlfn.XLOOKUP(C1336,[1]StuntDes!$B:$B,[1]StuntDes!$C:$C)),"")</f>
        <v/>
      </c>
      <c r="L1336">
        <f t="shared" si="56"/>
        <v>1</v>
      </c>
      <c r="M1336" s="10" t="str">
        <f>IFERROR(_xlfn.XLOOKUP(C1336,[1]StuntDes!$B:$B,[1]StuntDes!$A:$A),"")</f>
        <v/>
      </c>
      <c r="N1336" s="10" t="str">
        <f>IFERROR(_xlfn.XLOOKUP(C1336,[1]ModifierDes!$B:$B,[1]ModifierDes!$A:$A),"")</f>
        <v/>
      </c>
      <c r="O1336" s="10">
        <f>IFERROR(_xlfn.XLOOKUP(C1336,[1]AttributeName!$C:$C,[1]AttributeName!$B:$B),"")</f>
        <v>10502</v>
      </c>
      <c r="P1336" s="10"/>
      <c r="Q1336">
        <v>0.06</v>
      </c>
      <c r="R1336">
        <v>0.09</v>
      </c>
      <c r="S1336" cm="1">
        <f t="array" ref="S1336">IFERROR(_xlfn.SWITCH(L1336,1,_xlfn.XLOOKUP(O1336,[1]AttributeName!$B:$B,[1]AttributeName!$D:$D),2,_xlfn.XLOOKUP(C1336,#REF!,#REF!),3,_xlfn.XLOOKUP(C1336,#REF!,#REF!)),0)</f>
        <v>2</v>
      </c>
      <c r="T1336" cm="1">
        <f t="array" ref="T1336">IFERROR(_xlfn.SWITCH(L1336,1,_xlfn.XLOOKUP(O1336,[1]AttributeName!$B:$B,[1]AttributeName!$E:$E),2,_xlfn.XLOOKUP(C1336,#REF!,#REF!),3,_xlfn.XLOOKUP(C1336,#REF!,#REF!)),0)</f>
        <v>2</v>
      </c>
    </row>
    <row r="1337" customFormat="1" spans="1:20">
      <c r="A1337">
        <f t="shared" si="57"/>
        <v>562</v>
      </c>
      <c r="B1337">
        <v>8</v>
      </c>
      <c r="C1337" t="s">
        <v>403</v>
      </c>
      <c r="D1337" t="s">
        <v>28</v>
      </c>
      <c r="E1337" s="13" t="s">
        <v>392</v>
      </c>
      <c r="F1337"/>
      <c r="G1337">
        <v>2</v>
      </c>
      <c r="H1337">
        <v>1000</v>
      </c>
      <c r="J1337" cm="1">
        <f t="array" ref="J1337">_xlfn.SWITCH(B1337,1,75,2,61,3,49,4,37,5,25,6,13,7,4,8,1)</f>
        <v>1</v>
      </c>
      <c r="K1337" t="str" cm="1">
        <f t="array" ref="K1337">IFERROR(_xlfn.SWITCH(L1337,2,_xlfn.XLOOKUP(C1337,[1]ModifierDes!$B:$B,[1]ModifierDes!$C:$C),3,_xlfn.XLOOKUP(C1337,[1]StuntDes!$B:$B,[1]StuntDes!$C:$C)),"")</f>
        <v/>
      </c>
      <c r="L1337">
        <f t="shared" si="56"/>
        <v>1</v>
      </c>
      <c r="M1337" s="10" t="str">
        <f>IFERROR(_xlfn.XLOOKUP(C1337,[1]StuntDes!$B:$B,[1]StuntDes!$A:$A),"")</f>
        <v/>
      </c>
      <c r="N1337" s="10" t="str">
        <f>IFERROR(_xlfn.XLOOKUP(C1337,[1]ModifierDes!$B:$B,[1]ModifierDes!$A:$A),"")</f>
        <v/>
      </c>
      <c r="O1337" s="10">
        <f>IFERROR(_xlfn.XLOOKUP(C1337,[1]AttributeName!$C:$C,[1]AttributeName!$B:$B),"")</f>
        <v>10502</v>
      </c>
      <c r="P1337" s="10"/>
      <c r="Q1337">
        <v>0.02</v>
      </c>
      <c r="R1337">
        <v>0.05</v>
      </c>
      <c r="S1337" cm="1">
        <f t="array" ref="S1337">IFERROR(_xlfn.SWITCH(L1337,1,_xlfn.XLOOKUP(O1337,[1]AttributeName!$B:$B,[1]AttributeName!$D:$D),2,_xlfn.XLOOKUP(C1337,#REF!,#REF!),3,_xlfn.XLOOKUP(C1337,#REF!,#REF!)),0)</f>
        <v>2</v>
      </c>
      <c r="T1337" cm="1">
        <f t="array" ref="T1337">IFERROR(_xlfn.SWITCH(L1337,1,_xlfn.XLOOKUP(O1337,[1]AttributeName!$B:$B,[1]AttributeName!$E:$E),2,_xlfn.XLOOKUP(C1337,#REF!,#REF!),3,_xlfn.XLOOKUP(C1337,#REF!,#REF!)),0)</f>
        <v>2</v>
      </c>
    </row>
    <row r="1338" customFormat="1" spans="1:20">
      <c r="A1338">
        <f t="shared" si="57"/>
        <v>563</v>
      </c>
      <c r="B1338">
        <v>1</v>
      </c>
      <c r="C1338" s="14" t="s">
        <v>404</v>
      </c>
      <c r="D1338" t="s">
        <v>28</v>
      </c>
      <c r="E1338" s="13" t="s">
        <v>392</v>
      </c>
      <c r="F1338"/>
      <c r="G1338">
        <v>2</v>
      </c>
      <c r="H1338">
        <v>100</v>
      </c>
      <c r="J1338" cm="1">
        <f t="array" ref="J1338">_xlfn.SWITCH(B1338,1,75,2,61,3,49,4,37,5,25,6,13,7,4,8,1)</f>
        <v>75</v>
      </c>
      <c r="K1338" t="str" cm="1">
        <f t="array" ref="K1338">IFERROR(_xlfn.SWITCH(L1338,2,_xlfn.XLOOKUP(C1338,[1]ModifierDes!$B:$B,[1]ModifierDes!$C:$C),3,_xlfn.XLOOKUP(C1338,[1]StuntDes!$B:$B,[1]StuntDes!$C:$C)),"")</f>
        <v/>
      </c>
      <c r="L1338">
        <f t="shared" si="56"/>
        <v>1</v>
      </c>
      <c r="M1338" s="10" t="str">
        <f>IFERROR(_xlfn.XLOOKUP(C1338,[1]StuntDes!$B:$B,[1]StuntDes!$A:$A),"")</f>
        <v/>
      </c>
      <c r="N1338" s="10" t="str">
        <f>IFERROR(_xlfn.XLOOKUP(C1338,[1]ModifierDes!$B:$B,[1]ModifierDes!$A:$A),"")</f>
        <v/>
      </c>
      <c r="O1338" s="10">
        <f>IFERROR(_xlfn.XLOOKUP(C1338,[1]AttributeName!$C:$C,[1]AttributeName!$B:$B),"")</f>
        <v>10503</v>
      </c>
      <c r="P1338" s="10"/>
      <c r="Q1338">
        <v>0.3</v>
      </c>
      <c r="R1338">
        <v>0.4</v>
      </c>
      <c r="S1338" cm="1">
        <f t="array" ref="S1338">IFERROR(_xlfn.SWITCH(L1338,1,_xlfn.XLOOKUP(O1338,[1]AttributeName!$B:$B,[1]AttributeName!$D:$D),2,_xlfn.XLOOKUP(C1338,#REF!,#REF!),3,_xlfn.XLOOKUP(C1338,#REF!,#REF!)),0)</f>
        <v>2</v>
      </c>
      <c r="T1338" cm="1">
        <f t="array" ref="T1338">IFERROR(_xlfn.SWITCH(L1338,1,_xlfn.XLOOKUP(O1338,[1]AttributeName!$B:$B,[1]AttributeName!$E:$E),2,_xlfn.XLOOKUP(C1338,#REF!,#REF!),3,_xlfn.XLOOKUP(C1338,#REF!,#REF!)),0)</f>
        <v>2</v>
      </c>
    </row>
    <row r="1339" customFormat="1" spans="1:20">
      <c r="A1339">
        <f t="shared" si="57"/>
        <v>563</v>
      </c>
      <c r="B1339">
        <v>2</v>
      </c>
      <c r="C1339" s="14" t="s">
        <v>404</v>
      </c>
      <c r="D1339" t="s">
        <v>28</v>
      </c>
      <c r="E1339" s="13" t="s">
        <v>392</v>
      </c>
      <c r="F1339"/>
      <c r="G1339">
        <v>2</v>
      </c>
      <c r="H1339">
        <v>200</v>
      </c>
      <c r="J1339" cm="1">
        <f t="array" ref="J1339">_xlfn.SWITCH(B1339,1,75,2,61,3,49,4,37,5,25,6,13,7,4,8,1)</f>
        <v>61</v>
      </c>
      <c r="K1339" t="str" cm="1">
        <f t="array" ref="K1339">IFERROR(_xlfn.SWITCH(L1339,2,_xlfn.XLOOKUP(C1339,[1]ModifierDes!$B:$B,[1]ModifierDes!$C:$C),3,_xlfn.XLOOKUP(C1339,[1]StuntDes!$B:$B,[1]StuntDes!$C:$C)),"")</f>
        <v/>
      </c>
      <c r="L1339">
        <f t="shared" si="56"/>
        <v>1</v>
      </c>
      <c r="M1339" s="10" t="str">
        <f>IFERROR(_xlfn.XLOOKUP(C1339,[1]StuntDes!$B:$B,[1]StuntDes!$A:$A),"")</f>
        <v/>
      </c>
      <c r="N1339" s="10" t="str">
        <f>IFERROR(_xlfn.XLOOKUP(C1339,[1]ModifierDes!$B:$B,[1]ModifierDes!$A:$A),"")</f>
        <v/>
      </c>
      <c r="O1339" s="10">
        <f>IFERROR(_xlfn.XLOOKUP(C1339,[1]AttributeName!$C:$C,[1]AttributeName!$B:$B),"")</f>
        <v>10503</v>
      </c>
      <c r="P1339" s="10"/>
      <c r="Q1339">
        <v>0.26</v>
      </c>
      <c r="R1339">
        <v>0.29</v>
      </c>
      <c r="S1339" cm="1">
        <f t="array" ref="S1339">IFERROR(_xlfn.SWITCH(L1339,1,_xlfn.XLOOKUP(O1339,[1]AttributeName!$B:$B,[1]AttributeName!$D:$D),2,_xlfn.XLOOKUP(C1339,#REF!,#REF!),3,_xlfn.XLOOKUP(C1339,#REF!,#REF!)),0)</f>
        <v>2</v>
      </c>
      <c r="T1339" cm="1">
        <f t="array" ref="T1339">IFERROR(_xlfn.SWITCH(L1339,1,_xlfn.XLOOKUP(O1339,[1]AttributeName!$B:$B,[1]AttributeName!$E:$E),2,_xlfn.XLOOKUP(C1339,#REF!,#REF!),3,_xlfn.XLOOKUP(C1339,#REF!,#REF!)),0)</f>
        <v>2</v>
      </c>
    </row>
    <row r="1340" customFormat="1" spans="1:20">
      <c r="A1340">
        <f t="shared" si="57"/>
        <v>563</v>
      </c>
      <c r="B1340">
        <v>3</v>
      </c>
      <c r="C1340" s="14" t="s">
        <v>404</v>
      </c>
      <c r="D1340" t="s">
        <v>28</v>
      </c>
      <c r="E1340" s="13" t="s">
        <v>392</v>
      </c>
      <c r="F1340"/>
      <c r="G1340">
        <v>2</v>
      </c>
      <c r="H1340">
        <v>500</v>
      </c>
      <c r="J1340" cm="1">
        <f t="array" ref="J1340">_xlfn.SWITCH(B1340,1,75,2,61,3,49,4,37,5,25,6,13,7,4,8,1)</f>
        <v>49</v>
      </c>
      <c r="K1340" t="str" cm="1">
        <f t="array" ref="K1340">IFERROR(_xlfn.SWITCH(L1340,2,_xlfn.XLOOKUP(C1340,[1]ModifierDes!$B:$B,[1]ModifierDes!$C:$C),3,_xlfn.XLOOKUP(C1340,[1]StuntDes!$B:$B,[1]StuntDes!$C:$C)),"")</f>
        <v/>
      </c>
      <c r="L1340">
        <f t="shared" si="56"/>
        <v>1</v>
      </c>
      <c r="M1340" s="10" t="str">
        <f>IFERROR(_xlfn.XLOOKUP(C1340,[1]StuntDes!$B:$B,[1]StuntDes!$A:$A),"")</f>
        <v/>
      </c>
      <c r="N1340" s="10" t="str">
        <f>IFERROR(_xlfn.XLOOKUP(C1340,[1]ModifierDes!$B:$B,[1]ModifierDes!$A:$A),"")</f>
        <v/>
      </c>
      <c r="O1340" s="10">
        <f>IFERROR(_xlfn.XLOOKUP(C1340,[1]AttributeName!$C:$C,[1]AttributeName!$B:$B),"")</f>
        <v>10503</v>
      </c>
      <c r="P1340" s="10"/>
      <c r="Q1340">
        <v>0.22</v>
      </c>
      <c r="R1340">
        <v>0.25</v>
      </c>
      <c r="S1340" cm="1">
        <f t="array" ref="S1340">IFERROR(_xlfn.SWITCH(L1340,1,_xlfn.XLOOKUP(O1340,[1]AttributeName!$B:$B,[1]AttributeName!$D:$D),2,_xlfn.XLOOKUP(C1340,#REF!,#REF!),3,_xlfn.XLOOKUP(C1340,#REF!,#REF!)),0)</f>
        <v>2</v>
      </c>
      <c r="T1340" cm="1">
        <f t="array" ref="T1340">IFERROR(_xlfn.SWITCH(L1340,1,_xlfn.XLOOKUP(O1340,[1]AttributeName!$B:$B,[1]AttributeName!$E:$E),2,_xlfn.XLOOKUP(C1340,#REF!,#REF!),3,_xlfn.XLOOKUP(C1340,#REF!,#REF!)),0)</f>
        <v>2</v>
      </c>
    </row>
    <row r="1341" customFormat="1" spans="1:20">
      <c r="A1341">
        <f t="shared" si="57"/>
        <v>563</v>
      </c>
      <c r="B1341">
        <v>4</v>
      </c>
      <c r="C1341" s="14" t="s">
        <v>404</v>
      </c>
      <c r="D1341" t="s">
        <v>28</v>
      </c>
      <c r="E1341" s="13" t="s">
        <v>392</v>
      </c>
      <c r="F1341"/>
      <c r="G1341">
        <v>2</v>
      </c>
      <c r="H1341">
        <v>1000</v>
      </c>
      <c r="J1341" cm="1">
        <f t="array" ref="J1341">_xlfn.SWITCH(B1341,1,75,2,61,3,49,4,37,5,25,6,13,7,4,8,1)</f>
        <v>37</v>
      </c>
      <c r="K1341" t="str" cm="1">
        <f t="array" ref="K1341">IFERROR(_xlfn.SWITCH(L1341,2,_xlfn.XLOOKUP(C1341,[1]ModifierDes!$B:$B,[1]ModifierDes!$C:$C),3,_xlfn.XLOOKUP(C1341,[1]StuntDes!$B:$B,[1]StuntDes!$C:$C)),"")</f>
        <v/>
      </c>
      <c r="L1341">
        <f t="shared" si="56"/>
        <v>1</v>
      </c>
      <c r="M1341" s="10" t="str">
        <f>IFERROR(_xlfn.XLOOKUP(C1341,[1]StuntDes!$B:$B,[1]StuntDes!$A:$A),"")</f>
        <v/>
      </c>
      <c r="N1341" s="10" t="str">
        <f>IFERROR(_xlfn.XLOOKUP(C1341,[1]ModifierDes!$B:$B,[1]ModifierDes!$A:$A),"")</f>
        <v/>
      </c>
      <c r="O1341" s="10">
        <f>IFERROR(_xlfn.XLOOKUP(C1341,[1]AttributeName!$C:$C,[1]AttributeName!$B:$B),"")</f>
        <v>10503</v>
      </c>
      <c r="P1341" s="10"/>
      <c r="Q1341">
        <v>0.18</v>
      </c>
      <c r="R1341">
        <v>0.21</v>
      </c>
      <c r="S1341" cm="1">
        <f t="array" ref="S1341">IFERROR(_xlfn.SWITCH(L1341,1,_xlfn.XLOOKUP(O1341,[1]AttributeName!$B:$B,[1]AttributeName!$D:$D),2,_xlfn.XLOOKUP(C1341,#REF!,#REF!),3,_xlfn.XLOOKUP(C1341,#REF!,#REF!)),0)</f>
        <v>2</v>
      </c>
      <c r="T1341" cm="1">
        <f t="array" ref="T1341">IFERROR(_xlfn.SWITCH(L1341,1,_xlfn.XLOOKUP(O1341,[1]AttributeName!$B:$B,[1]AttributeName!$E:$E),2,_xlfn.XLOOKUP(C1341,#REF!,#REF!),3,_xlfn.XLOOKUP(C1341,#REF!,#REF!)),0)</f>
        <v>2</v>
      </c>
    </row>
    <row r="1342" customFormat="1" spans="1:20">
      <c r="A1342">
        <f t="shared" si="57"/>
        <v>563</v>
      </c>
      <c r="B1342">
        <v>5</v>
      </c>
      <c r="C1342" s="14" t="s">
        <v>404</v>
      </c>
      <c r="D1342" t="s">
        <v>28</v>
      </c>
      <c r="E1342" s="13" t="s">
        <v>392</v>
      </c>
      <c r="F1342"/>
      <c r="G1342">
        <v>2</v>
      </c>
      <c r="H1342">
        <v>1000</v>
      </c>
      <c r="J1342" cm="1">
        <f t="array" ref="J1342">_xlfn.SWITCH(B1342,1,75,2,61,3,49,4,37,5,25,6,13,7,4,8,1)</f>
        <v>25</v>
      </c>
      <c r="K1342" t="str" cm="1">
        <f t="array" ref="K1342">IFERROR(_xlfn.SWITCH(L1342,2,_xlfn.XLOOKUP(C1342,[1]ModifierDes!$B:$B,[1]ModifierDes!$C:$C),3,_xlfn.XLOOKUP(C1342,[1]StuntDes!$B:$B,[1]StuntDes!$C:$C)),"")</f>
        <v/>
      </c>
      <c r="L1342">
        <f t="shared" si="56"/>
        <v>1</v>
      </c>
      <c r="M1342" s="10" t="str">
        <f>IFERROR(_xlfn.XLOOKUP(C1342,[1]StuntDes!$B:$B,[1]StuntDes!$A:$A),"")</f>
        <v/>
      </c>
      <c r="N1342" s="10" t="str">
        <f>IFERROR(_xlfn.XLOOKUP(C1342,[1]ModifierDes!$B:$B,[1]ModifierDes!$A:$A),"")</f>
        <v/>
      </c>
      <c r="O1342" s="10">
        <f>IFERROR(_xlfn.XLOOKUP(C1342,[1]AttributeName!$C:$C,[1]AttributeName!$B:$B),"")</f>
        <v>10503</v>
      </c>
      <c r="P1342" s="10"/>
      <c r="Q1342">
        <v>0.14</v>
      </c>
      <c r="R1342">
        <v>0.17</v>
      </c>
      <c r="S1342" cm="1">
        <f t="array" ref="S1342">IFERROR(_xlfn.SWITCH(L1342,1,_xlfn.XLOOKUP(O1342,[1]AttributeName!$B:$B,[1]AttributeName!$D:$D),2,_xlfn.XLOOKUP(C1342,#REF!,#REF!),3,_xlfn.XLOOKUP(C1342,#REF!,#REF!)),0)</f>
        <v>2</v>
      </c>
      <c r="T1342" cm="1">
        <f t="array" ref="T1342">IFERROR(_xlfn.SWITCH(L1342,1,_xlfn.XLOOKUP(O1342,[1]AttributeName!$B:$B,[1]AttributeName!$E:$E),2,_xlfn.XLOOKUP(C1342,#REF!,#REF!),3,_xlfn.XLOOKUP(C1342,#REF!,#REF!)),0)</f>
        <v>2</v>
      </c>
    </row>
    <row r="1343" customFormat="1" spans="1:20">
      <c r="A1343">
        <f t="shared" si="57"/>
        <v>563</v>
      </c>
      <c r="B1343">
        <v>6</v>
      </c>
      <c r="C1343" s="14" t="s">
        <v>404</v>
      </c>
      <c r="D1343" t="s">
        <v>28</v>
      </c>
      <c r="E1343" s="13" t="s">
        <v>392</v>
      </c>
      <c r="F1343"/>
      <c r="G1343">
        <v>2</v>
      </c>
      <c r="H1343">
        <v>1000</v>
      </c>
      <c r="J1343" cm="1">
        <f t="array" ref="J1343">_xlfn.SWITCH(B1343,1,75,2,61,3,49,4,37,5,25,6,13,7,4,8,1)</f>
        <v>13</v>
      </c>
      <c r="K1343" t="str" cm="1">
        <f t="array" ref="K1343">IFERROR(_xlfn.SWITCH(L1343,2,_xlfn.XLOOKUP(C1343,[1]ModifierDes!$B:$B,[1]ModifierDes!$C:$C),3,_xlfn.XLOOKUP(C1343,[1]StuntDes!$B:$B,[1]StuntDes!$C:$C)),"")</f>
        <v/>
      </c>
      <c r="L1343">
        <f t="shared" si="56"/>
        <v>1</v>
      </c>
      <c r="M1343" s="10" t="str">
        <f>IFERROR(_xlfn.XLOOKUP(C1343,[1]StuntDes!$B:$B,[1]StuntDes!$A:$A),"")</f>
        <v/>
      </c>
      <c r="N1343" s="10" t="str">
        <f>IFERROR(_xlfn.XLOOKUP(C1343,[1]ModifierDes!$B:$B,[1]ModifierDes!$A:$A),"")</f>
        <v/>
      </c>
      <c r="O1343" s="10">
        <f>IFERROR(_xlfn.XLOOKUP(C1343,[1]AttributeName!$C:$C,[1]AttributeName!$B:$B),"")</f>
        <v>10503</v>
      </c>
      <c r="P1343" s="10"/>
      <c r="Q1343">
        <v>0.1</v>
      </c>
      <c r="R1343">
        <v>0.13</v>
      </c>
      <c r="S1343" cm="1">
        <f t="array" ref="S1343">IFERROR(_xlfn.SWITCH(L1343,1,_xlfn.XLOOKUP(O1343,[1]AttributeName!$B:$B,[1]AttributeName!$D:$D),2,_xlfn.XLOOKUP(C1343,#REF!,#REF!),3,_xlfn.XLOOKUP(C1343,#REF!,#REF!)),0)</f>
        <v>2</v>
      </c>
      <c r="T1343" cm="1">
        <f t="array" ref="T1343">IFERROR(_xlfn.SWITCH(L1343,1,_xlfn.XLOOKUP(O1343,[1]AttributeName!$B:$B,[1]AttributeName!$E:$E),2,_xlfn.XLOOKUP(C1343,#REF!,#REF!),3,_xlfn.XLOOKUP(C1343,#REF!,#REF!)),0)</f>
        <v>2</v>
      </c>
    </row>
    <row r="1344" customFormat="1" spans="1:20">
      <c r="A1344">
        <f t="shared" si="57"/>
        <v>563</v>
      </c>
      <c r="B1344">
        <v>7</v>
      </c>
      <c r="C1344" s="14" t="s">
        <v>404</v>
      </c>
      <c r="D1344" t="s">
        <v>28</v>
      </c>
      <c r="E1344" s="13" t="s">
        <v>392</v>
      </c>
      <c r="F1344"/>
      <c r="G1344">
        <v>2</v>
      </c>
      <c r="H1344">
        <v>1000</v>
      </c>
      <c r="J1344" cm="1">
        <f t="array" ref="J1344">_xlfn.SWITCH(B1344,1,75,2,61,3,49,4,37,5,25,6,13,7,4,8,1)</f>
        <v>4</v>
      </c>
      <c r="K1344" t="str" cm="1">
        <f t="array" ref="K1344">IFERROR(_xlfn.SWITCH(L1344,2,_xlfn.XLOOKUP(C1344,[1]ModifierDes!$B:$B,[1]ModifierDes!$C:$C),3,_xlfn.XLOOKUP(C1344,[1]StuntDes!$B:$B,[1]StuntDes!$C:$C)),"")</f>
        <v/>
      </c>
      <c r="L1344">
        <f t="shared" si="56"/>
        <v>1</v>
      </c>
      <c r="M1344" s="10" t="str">
        <f>IFERROR(_xlfn.XLOOKUP(C1344,[1]StuntDes!$B:$B,[1]StuntDes!$A:$A),"")</f>
        <v/>
      </c>
      <c r="N1344" s="10" t="str">
        <f>IFERROR(_xlfn.XLOOKUP(C1344,[1]ModifierDes!$B:$B,[1]ModifierDes!$A:$A),"")</f>
        <v/>
      </c>
      <c r="O1344" s="10">
        <f>IFERROR(_xlfn.XLOOKUP(C1344,[1]AttributeName!$C:$C,[1]AttributeName!$B:$B),"")</f>
        <v>10503</v>
      </c>
      <c r="P1344" s="10"/>
      <c r="Q1344">
        <v>0.06</v>
      </c>
      <c r="R1344">
        <v>0.09</v>
      </c>
      <c r="S1344" cm="1">
        <f t="array" ref="S1344">IFERROR(_xlfn.SWITCH(L1344,1,_xlfn.XLOOKUP(O1344,[1]AttributeName!$B:$B,[1]AttributeName!$D:$D),2,_xlfn.XLOOKUP(C1344,#REF!,#REF!),3,_xlfn.XLOOKUP(C1344,#REF!,#REF!)),0)</f>
        <v>2</v>
      </c>
      <c r="T1344" cm="1">
        <f t="array" ref="T1344">IFERROR(_xlfn.SWITCH(L1344,1,_xlfn.XLOOKUP(O1344,[1]AttributeName!$B:$B,[1]AttributeName!$E:$E),2,_xlfn.XLOOKUP(C1344,#REF!,#REF!),3,_xlfn.XLOOKUP(C1344,#REF!,#REF!)),0)</f>
        <v>2</v>
      </c>
    </row>
    <row r="1345" customFormat="1" spans="1:20">
      <c r="A1345">
        <f t="shared" si="57"/>
        <v>563</v>
      </c>
      <c r="B1345">
        <v>8</v>
      </c>
      <c r="C1345" s="14" t="s">
        <v>404</v>
      </c>
      <c r="D1345" t="s">
        <v>28</v>
      </c>
      <c r="E1345" s="13" t="s">
        <v>392</v>
      </c>
      <c r="F1345"/>
      <c r="G1345">
        <v>2</v>
      </c>
      <c r="H1345">
        <v>1000</v>
      </c>
      <c r="J1345" cm="1">
        <f t="array" ref="J1345">_xlfn.SWITCH(B1345,1,75,2,61,3,49,4,37,5,25,6,13,7,4,8,1)</f>
        <v>1</v>
      </c>
      <c r="K1345" t="str" cm="1">
        <f t="array" ref="K1345">IFERROR(_xlfn.SWITCH(L1345,2,_xlfn.XLOOKUP(C1345,[1]ModifierDes!$B:$B,[1]ModifierDes!$C:$C),3,_xlfn.XLOOKUP(C1345,[1]StuntDes!$B:$B,[1]StuntDes!$C:$C)),"")</f>
        <v/>
      </c>
      <c r="L1345">
        <f t="shared" si="56"/>
        <v>1</v>
      </c>
      <c r="M1345" s="10" t="str">
        <f>IFERROR(_xlfn.XLOOKUP(C1345,[1]StuntDes!$B:$B,[1]StuntDes!$A:$A),"")</f>
        <v/>
      </c>
      <c r="N1345" s="10" t="str">
        <f>IFERROR(_xlfn.XLOOKUP(C1345,[1]ModifierDes!$B:$B,[1]ModifierDes!$A:$A),"")</f>
        <v/>
      </c>
      <c r="O1345" s="10">
        <f>IFERROR(_xlfn.XLOOKUP(C1345,[1]AttributeName!$C:$C,[1]AttributeName!$B:$B),"")</f>
        <v>10503</v>
      </c>
      <c r="P1345" s="10"/>
      <c r="Q1345">
        <v>0.02</v>
      </c>
      <c r="R1345">
        <v>0.05</v>
      </c>
      <c r="S1345" cm="1">
        <f t="array" ref="S1345">IFERROR(_xlfn.SWITCH(L1345,1,_xlfn.XLOOKUP(O1345,[1]AttributeName!$B:$B,[1]AttributeName!$D:$D),2,_xlfn.XLOOKUP(C1345,#REF!,#REF!),3,_xlfn.XLOOKUP(C1345,#REF!,#REF!)),0)</f>
        <v>2</v>
      </c>
      <c r="T1345" cm="1">
        <f t="array" ref="T1345">IFERROR(_xlfn.SWITCH(L1345,1,_xlfn.XLOOKUP(O1345,[1]AttributeName!$B:$B,[1]AttributeName!$E:$E),2,_xlfn.XLOOKUP(C1345,#REF!,#REF!),3,_xlfn.XLOOKUP(C1345,#REF!,#REF!)),0)</f>
        <v>2</v>
      </c>
    </row>
    <row r="1346" customFormat="1" spans="1:20">
      <c r="A1346">
        <f t="shared" si="57"/>
        <v>564</v>
      </c>
      <c r="B1346">
        <v>1</v>
      </c>
      <c r="C1346" s="14" t="s">
        <v>405</v>
      </c>
      <c r="D1346" t="s">
        <v>28</v>
      </c>
      <c r="E1346" s="13" t="s">
        <v>392</v>
      </c>
      <c r="F1346"/>
      <c r="G1346">
        <v>2</v>
      </c>
      <c r="H1346">
        <v>100</v>
      </c>
      <c r="J1346" cm="1">
        <f t="array" ref="J1346">_xlfn.SWITCH(B1346,1,75,2,61,3,49,4,37,5,25,6,13,7,4,8,1)</f>
        <v>75</v>
      </c>
      <c r="K1346" t="str" cm="1">
        <f t="array" ref="K1346">IFERROR(_xlfn.SWITCH(L1346,2,_xlfn.XLOOKUP(C1346,[1]ModifierDes!$B:$B,[1]ModifierDes!$C:$C),3,_xlfn.XLOOKUP(C1346,[1]StuntDes!$B:$B,[1]StuntDes!$C:$C)),"")</f>
        <v/>
      </c>
      <c r="L1346">
        <f t="shared" si="56"/>
        <v>1</v>
      </c>
      <c r="M1346" s="10" t="str">
        <f>IFERROR(_xlfn.XLOOKUP(C1346,[1]StuntDes!$B:$B,[1]StuntDes!$A:$A),"")</f>
        <v/>
      </c>
      <c r="N1346" s="10" t="str">
        <f>IFERROR(_xlfn.XLOOKUP(C1346,[1]ModifierDes!$B:$B,[1]ModifierDes!$A:$A),"")</f>
        <v/>
      </c>
      <c r="O1346" s="10">
        <f>IFERROR(_xlfn.XLOOKUP(C1346,[1]AttributeName!$C:$C,[1]AttributeName!$B:$B),"")</f>
        <v>10504</v>
      </c>
      <c r="P1346" s="10"/>
      <c r="Q1346">
        <v>0.3</v>
      </c>
      <c r="R1346">
        <v>0.4</v>
      </c>
      <c r="S1346" cm="1">
        <f t="array" ref="S1346">IFERROR(_xlfn.SWITCH(L1346,1,_xlfn.XLOOKUP(O1346,[1]AttributeName!$B:$B,[1]AttributeName!$D:$D),2,_xlfn.XLOOKUP(C1346,#REF!,#REF!),3,_xlfn.XLOOKUP(C1346,#REF!,#REF!)),0)</f>
        <v>2</v>
      </c>
      <c r="T1346" cm="1">
        <f t="array" ref="T1346">IFERROR(_xlfn.SWITCH(L1346,1,_xlfn.XLOOKUP(O1346,[1]AttributeName!$B:$B,[1]AttributeName!$E:$E),2,_xlfn.XLOOKUP(C1346,#REF!,#REF!),3,_xlfn.XLOOKUP(C1346,#REF!,#REF!)),0)</f>
        <v>2</v>
      </c>
    </row>
    <row r="1347" customFormat="1" spans="1:20">
      <c r="A1347">
        <f t="shared" si="57"/>
        <v>564</v>
      </c>
      <c r="B1347">
        <v>2</v>
      </c>
      <c r="C1347" s="14" t="s">
        <v>405</v>
      </c>
      <c r="D1347" t="s">
        <v>28</v>
      </c>
      <c r="E1347" s="13" t="s">
        <v>392</v>
      </c>
      <c r="F1347"/>
      <c r="G1347">
        <v>2</v>
      </c>
      <c r="H1347">
        <v>200</v>
      </c>
      <c r="J1347" cm="1">
        <f t="array" ref="J1347">_xlfn.SWITCH(B1347,1,75,2,61,3,49,4,37,5,25,6,13,7,4,8,1)</f>
        <v>61</v>
      </c>
      <c r="K1347" t="str" cm="1">
        <f t="array" ref="K1347">IFERROR(_xlfn.SWITCH(L1347,2,_xlfn.XLOOKUP(C1347,[1]ModifierDes!$B:$B,[1]ModifierDes!$C:$C),3,_xlfn.XLOOKUP(C1347,[1]StuntDes!$B:$B,[1]StuntDes!$C:$C)),"")</f>
        <v/>
      </c>
      <c r="L1347">
        <f t="shared" si="56"/>
        <v>1</v>
      </c>
      <c r="M1347" s="10" t="str">
        <f>IFERROR(_xlfn.XLOOKUP(C1347,[1]StuntDes!$B:$B,[1]StuntDes!$A:$A),"")</f>
        <v/>
      </c>
      <c r="N1347" s="10" t="str">
        <f>IFERROR(_xlfn.XLOOKUP(C1347,[1]ModifierDes!$B:$B,[1]ModifierDes!$A:$A),"")</f>
        <v/>
      </c>
      <c r="O1347" s="10">
        <f>IFERROR(_xlfn.XLOOKUP(C1347,[1]AttributeName!$C:$C,[1]AttributeName!$B:$B),"")</f>
        <v>10504</v>
      </c>
      <c r="P1347" s="10"/>
      <c r="Q1347">
        <v>0.26</v>
      </c>
      <c r="R1347">
        <v>0.29</v>
      </c>
      <c r="S1347" cm="1">
        <f t="array" ref="S1347">IFERROR(_xlfn.SWITCH(L1347,1,_xlfn.XLOOKUP(O1347,[1]AttributeName!$B:$B,[1]AttributeName!$D:$D),2,_xlfn.XLOOKUP(C1347,#REF!,#REF!),3,_xlfn.XLOOKUP(C1347,#REF!,#REF!)),0)</f>
        <v>2</v>
      </c>
      <c r="T1347" cm="1">
        <f t="array" ref="T1347">IFERROR(_xlfn.SWITCH(L1347,1,_xlfn.XLOOKUP(O1347,[1]AttributeName!$B:$B,[1]AttributeName!$E:$E),2,_xlfn.XLOOKUP(C1347,#REF!,#REF!),3,_xlfn.XLOOKUP(C1347,#REF!,#REF!)),0)</f>
        <v>2</v>
      </c>
    </row>
    <row r="1348" customFormat="1" spans="1:20">
      <c r="A1348">
        <f t="shared" si="57"/>
        <v>564</v>
      </c>
      <c r="B1348">
        <v>3</v>
      </c>
      <c r="C1348" s="14" t="s">
        <v>405</v>
      </c>
      <c r="D1348" t="s">
        <v>28</v>
      </c>
      <c r="E1348" s="13" t="s">
        <v>392</v>
      </c>
      <c r="F1348"/>
      <c r="G1348">
        <v>2</v>
      </c>
      <c r="H1348">
        <v>500</v>
      </c>
      <c r="J1348" cm="1">
        <f t="array" ref="J1348">_xlfn.SWITCH(B1348,1,75,2,61,3,49,4,37,5,25,6,13,7,4,8,1)</f>
        <v>49</v>
      </c>
      <c r="K1348" t="str" cm="1">
        <f t="array" ref="K1348">IFERROR(_xlfn.SWITCH(L1348,2,_xlfn.XLOOKUP(C1348,[1]ModifierDes!$B:$B,[1]ModifierDes!$C:$C),3,_xlfn.XLOOKUP(C1348,[1]StuntDes!$B:$B,[1]StuntDes!$C:$C)),"")</f>
        <v/>
      </c>
      <c r="L1348">
        <f t="shared" ref="L1348:L1411" si="58">IF(M1348="",IF(N1348="",1,2),3)</f>
        <v>1</v>
      </c>
      <c r="M1348" s="10" t="str">
        <f>IFERROR(_xlfn.XLOOKUP(C1348,[1]StuntDes!$B:$B,[1]StuntDes!$A:$A),"")</f>
        <v/>
      </c>
      <c r="N1348" s="10" t="str">
        <f>IFERROR(_xlfn.XLOOKUP(C1348,[1]ModifierDes!$B:$B,[1]ModifierDes!$A:$A),"")</f>
        <v/>
      </c>
      <c r="O1348" s="10">
        <f>IFERROR(_xlfn.XLOOKUP(C1348,[1]AttributeName!$C:$C,[1]AttributeName!$B:$B),"")</f>
        <v>10504</v>
      </c>
      <c r="P1348" s="10"/>
      <c r="Q1348">
        <v>0.22</v>
      </c>
      <c r="R1348">
        <v>0.25</v>
      </c>
      <c r="S1348" cm="1">
        <f t="array" ref="S1348">IFERROR(_xlfn.SWITCH(L1348,1,_xlfn.XLOOKUP(O1348,[1]AttributeName!$B:$B,[1]AttributeName!$D:$D),2,_xlfn.XLOOKUP(C1348,#REF!,#REF!),3,_xlfn.XLOOKUP(C1348,#REF!,#REF!)),0)</f>
        <v>2</v>
      </c>
      <c r="T1348" cm="1">
        <f t="array" ref="T1348">IFERROR(_xlfn.SWITCH(L1348,1,_xlfn.XLOOKUP(O1348,[1]AttributeName!$B:$B,[1]AttributeName!$E:$E),2,_xlfn.XLOOKUP(C1348,#REF!,#REF!),3,_xlfn.XLOOKUP(C1348,#REF!,#REF!)),0)</f>
        <v>2</v>
      </c>
    </row>
    <row r="1349" customFormat="1" spans="1:20">
      <c r="A1349">
        <f t="shared" si="57"/>
        <v>564</v>
      </c>
      <c r="B1349">
        <v>4</v>
      </c>
      <c r="C1349" s="14" t="s">
        <v>405</v>
      </c>
      <c r="D1349" t="s">
        <v>28</v>
      </c>
      <c r="E1349" s="13" t="s">
        <v>392</v>
      </c>
      <c r="F1349"/>
      <c r="G1349">
        <v>2</v>
      </c>
      <c r="H1349">
        <v>1000</v>
      </c>
      <c r="J1349" cm="1">
        <f t="array" ref="J1349">_xlfn.SWITCH(B1349,1,75,2,61,3,49,4,37,5,25,6,13,7,4,8,1)</f>
        <v>37</v>
      </c>
      <c r="K1349" t="str" cm="1">
        <f t="array" ref="K1349">IFERROR(_xlfn.SWITCH(L1349,2,_xlfn.XLOOKUP(C1349,[1]ModifierDes!$B:$B,[1]ModifierDes!$C:$C),3,_xlfn.XLOOKUP(C1349,[1]StuntDes!$B:$B,[1]StuntDes!$C:$C)),"")</f>
        <v/>
      </c>
      <c r="L1349">
        <f t="shared" si="58"/>
        <v>1</v>
      </c>
      <c r="M1349" s="10" t="str">
        <f>IFERROR(_xlfn.XLOOKUP(C1349,[1]StuntDes!$B:$B,[1]StuntDes!$A:$A),"")</f>
        <v/>
      </c>
      <c r="N1349" s="10" t="str">
        <f>IFERROR(_xlfn.XLOOKUP(C1349,[1]ModifierDes!$B:$B,[1]ModifierDes!$A:$A),"")</f>
        <v/>
      </c>
      <c r="O1349" s="10">
        <f>IFERROR(_xlfn.XLOOKUP(C1349,[1]AttributeName!$C:$C,[1]AttributeName!$B:$B),"")</f>
        <v>10504</v>
      </c>
      <c r="P1349" s="10"/>
      <c r="Q1349">
        <v>0.18</v>
      </c>
      <c r="R1349">
        <v>0.21</v>
      </c>
      <c r="S1349" cm="1">
        <f t="array" ref="S1349">IFERROR(_xlfn.SWITCH(L1349,1,_xlfn.XLOOKUP(O1349,[1]AttributeName!$B:$B,[1]AttributeName!$D:$D),2,_xlfn.XLOOKUP(C1349,#REF!,#REF!),3,_xlfn.XLOOKUP(C1349,#REF!,#REF!)),0)</f>
        <v>2</v>
      </c>
      <c r="T1349" cm="1">
        <f t="array" ref="T1349">IFERROR(_xlfn.SWITCH(L1349,1,_xlfn.XLOOKUP(O1349,[1]AttributeName!$B:$B,[1]AttributeName!$E:$E),2,_xlfn.XLOOKUP(C1349,#REF!,#REF!),3,_xlfn.XLOOKUP(C1349,#REF!,#REF!)),0)</f>
        <v>2</v>
      </c>
    </row>
    <row r="1350" customFormat="1" spans="1:20">
      <c r="A1350">
        <f t="shared" si="57"/>
        <v>564</v>
      </c>
      <c r="B1350">
        <v>5</v>
      </c>
      <c r="C1350" s="14" t="s">
        <v>405</v>
      </c>
      <c r="D1350" t="s">
        <v>28</v>
      </c>
      <c r="E1350" s="13" t="s">
        <v>392</v>
      </c>
      <c r="F1350"/>
      <c r="G1350">
        <v>2</v>
      </c>
      <c r="H1350">
        <v>1000</v>
      </c>
      <c r="J1350" cm="1">
        <f t="array" ref="J1350">_xlfn.SWITCH(B1350,1,75,2,61,3,49,4,37,5,25,6,13,7,4,8,1)</f>
        <v>25</v>
      </c>
      <c r="K1350" t="str" cm="1">
        <f t="array" ref="K1350">IFERROR(_xlfn.SWITCH(L1350,2,_xlfn.XLOOKUP(C1350,[1]ModifierDes!$B:$B,[1]ModifierDes!$C:$C),3,_xlfn.XLOOKUP(C1350,[1]StuntDes!$B:$B,[1]StuntDes!$C:$C)),"")</f>
        <v/>
      </c>
      <c r="L1350">
        <f t="shared" si="58"/>
        <v>1</v>
      </c>
      <c r="M1350" s="10" t="str">
        <f>IFERROR(_xlfn.XLOOKUP(C1350,[1]StuntDes!$B:$B,[1]StuntDes!$A:$A),"")</f>
        <v/>
      </c>
      <c r="N1350" s="10" t="str">
        <f>IFERROR(_xlfn.XLOOKUP(C1350,[1]ModifierDes!$B:$B,[1]ModifierDes!$A:$A),"")</f>
        <v/>
      </c>
      <c r="O1350" s="10">
        <f>IFERROR(_xlfn.XLOOKUP(C1350,[1]AttributeName!$C:$C,[1]AttributeName!$B:$B),"")</f>
        <v>10504</v>
      </c>
      <c r="P1350" s="10"/>
      <c r="Q1350">
        <v>0.14</v>
      </c>
      <c r="R1350">
        <v>0.17</v>
      </c>
      <c r="S1350" cm="1">
        <f t="array" ref="S1350">IFERROR(_xlfn.SWITCH(L1350,1,_xlfn.XLOOKUP(O1350,[1]AttributeName!$B:$B,[1]AttributeName!$D:$D),2,_xlfn.XLOOKUP(C1350,#REF!,#REF!),3,_xlfn.XLOOKUP(C1350,#REF!,#REF!)),0)</f>
        <v>2</v>
      </c>
      <c r="T1350" cm="1">
        <f t="array" ref="T1350">IFERROR(_xlfn.SWITCH(L1350,1,_xlfn.XLOOKUP(O1350,[1]AttributeName!$B:$B,[1]AttributeName!$E:$E),2,_xlfn.XLOOKUP(C1350,#REF!,#REF!),3,_xlfn.XLOOKUP(C1350,#REF!,#REF!)),0)</f>
        <v>2</v>
      </c>
    </row>
    <row r="1351" customFormat="1" spans="1:20">
      <c r="A1351">
        <f t="shared" si="57"/>
        <v>564</v>
      </c>
      <c r="B1351">
        <v>6</v>
      </c>
      <c r="C1351" s="14" t="s">
        <v>405</v>
      </c>
      <c r="D1351" t="s">
        <v>28</v>
      </c>
      <c r="E1351" s="13" t="s">
        <v>392</v>
      </c>
      <c r="F1351"/>
      <c r="G1351">
        <v>2</v>
      </c>
      <c r="H1351">
        <v>1000</v>
      </c>
      <c r="J1351" cm="1">
        <f t="array" ref="J1351">_xlfn.SWITCH(B1351,1,75,2,61,3,49,4,37,5,25,6,13,7,4,8,1)</f>
        <v>13</v>
      </c>
      <c r="K1351" t="str" cm="1">
        <f t="array" ref="K1351">IFERROR(_xlfn.SWITCH(L1351,2,_xlfn.XLOOKUP(C1351,[1]ModifierDes!$B:$B,[1]ModifierDes!$C:$C),3,_xlfn.XLOOKUP(C1351,[1]StuntDes!$B:$B,[1]StuntDes!$C:$C)),"")</f>
        <v/>
      </c>
      <c r="L1351">
        <f t="shared" si="58"/>
        <v>1</v>
      </c>
      <c r="M1351" s="10" t="str">
        <f>IFERROR(_xlfn.XLOOKUP(C1351,[1]StuntDes!$B:$B,[1]StuntDes!$A:$A),"")</f>
        <v/>
      </c>
      <c r="N1351" s="10" t="str">
        <f>IFERROR(_xlfn.XLOOKUP(C1351,[1]ModifierDes!$B:$B,[1]ModifierDes!$A:$A),"")</f>
        <v/>
      </c>
      <c r="O1351" s="10">
        <f>IFERROR(_xlfn.XLOOKUP(C1351,[1]AttributeName!$C:$C,[1]AttributeName!$B:$B),"")</f>
        <v>10504</v>
      </c>
      <c r="P1351" s="10"/>
      <c r="Q1351">
        <v>0.1</v>
      </c>
      <c r="R1351">
        <v>0.13</v>
      </c>
      <c r="S1351" cm="1">
        <f t="array" ref="S1351">IFERROR(_xlfn.SWITCH(L1351,1,_xlfn.XLOOKUP(O1351,[1]AttributeName!$B:$B,[1]AttributeName!$D:$D),2,_xlfn.XLOOKUP(C1351,#REF!,#REF!),3,_xlfn.XLOOKUP(C1351,#REF!,#REF!)),0)</f>
        <v>2</v>
      </c>
      <c r="T1351" cm="1">
        <f t="array" ref="T1351">IFERROR(_xlfn.SWITCH(L1351,1,_xlfn.XLOOKUP(O1351,[1]AttributeName!$B:$B,[1]AttributeName!$E:$E),2,_xlfn.XLOOKUP(C1351,#REF!,#REF!),3,_xlfn.XLOOKUP(C1351,#REF!,#REF!)),0)</f>
        <v>2</v>
      </c>
    </row>
    <row r="1352" customFormat="1" spans="1:20">
      <c r="A1352">
        <f t="shared" si="57"/>
        <v>564</v>
      </c>
      <c r="B1352">
        <v>7</v>
      </c>
      <c r="C1352" s="14" t="s">
        <v>405</v>
      </c>
      <c r="D1352" t="s">
        <v>28</v>
      </c>
      <c r="E1352" s="13" t="s">
        <v>392</v>
      </c>
      <c r="F1352"/>
      <c r="G1352">
        <v>2</v>
      </c>
      <c r="H1352">
        <v>1000</v>
      </c>
      <c r="J1352" cm="1">
        <f t="array" ref="J1352">_xlfn.SWITCH(B1352,1,75,2,61,3,49,4,37,5,25,6,13,7,4,8,1)</f>
        <v>4</v>
      </c>
      <c r="K1352" t="str" cm="1">
        <f t="array" ref="K1352">IFERROR(_xlfn.SWITCH(L1352,2,_xlfn.XLOOKUP(C1352,[1]ModifierDes!$B:$B,[1]ModifierDes!$C:$C),3,_xlfn.XLOOKUP(C1352,[1]StuntDes!$B:$B,[1]StuntDes!$C:$C)),"")</f>
        <v/>
      </c>
      <c r="L1352">
        <f t="shared" si="58"/>
        <v>1</v>
      </c>
      <c r="M1352" s="10" t="str">
        <f>IFERROR(_xlfn.XLOOKUP(C1352,[1]StuntDes!$B:$B,[1]StuntDes!$A:$A),"")</f>
        <v/>
      </c>
      <c r="N1352" s="10" t="str">
        <f>IFERROR(_xlfn.XLOOKUP(C1352,[1]ModifierDes!$B:$B,[1]ModifierDes!$A:$A),"")</f>
        <v/>
      </c>
      <c r="O1352" s="10">
        <f>IFERROR(_xlfn.XLOOKUP(C1352,[1]AttributeName!$C:$C,[1]AttributeName!$B:$B),"")</f>
        <v>10504</v>
      </c>
      <c r="P1352" s="10"/>
      <c r="Q1352">
        <v>0.06</v>
      </c>
      <c r="R1352">
        <v>0.09</v>
      </c>
      <c r="S1352" cm="1">
        <f t="array" ref="S1352">IFERROR(_xlfn.SWITCH(L1352,1,_xlfn.XLOOKUP(O1352,[1]AttributeName!$B:$B,[1]AttributeName!$D:$D),2,_xlfn.XLOOKUP(C1352,#REF!,#REF!),3,_xlfn.XLOOKUP(C1352,#REF!,#REF!)),0)</f>
        <v>2</v>
      </c>
      <c r="T1352" cm="1">
        <f t="array" ref="T1352">IFERROR(_xlfn.SWITCH(L1352,1,_xlfn.XLOOKUP(O1352,[1]AttributeName!$B:$B,[1]AttributeName!$E:$E),2,_xlfn.XLOOKUP(C1352,#REF!,#REF!),3,_xlfn.XLOOKUP(C1352,#REF!,#REF!)),0)</f>
        <v>2</v>
      </c>
    </row>
    <row r="1353" customFormat="1" spans="1:20">
      <c r="A1353">
        <f t="shared" si="57"/>
        <v>564</v>
      </c>
      <c r="B1353">
        <v>8</v>
      </c>
      <c r="C1353" s="14" t="s">
        <v>405</v>
      </c>
      <c r="D1353" t="s">
        <v>28</v>
      </c>
      <c r="E1353" s="13" t="s">
        <v>392</v>
      </c>
      <c r="F1353"/>
      <c r="G1353">
        <v>2</v>
      </c>
      <c r="H1353">
        <v>1000</v>
      </c>
      <c r="J1353" cm="1">
        <f t="array" ref="J1353">_xlfn.SWITCH(B1353,1,75,2,61,3,49,4,37,5,25,6,13,7,4,8,1)</f>
        <v>1</v>
      </c>
      <c r="K1353" t="str" cm="1">
        <f t="array" ref="K1353">IFERROR(_xlfn.SWITCH(L1353,2,_xlfn.XLOOKUP(C1353,[1]ModifierDes!$B:$B,[1]ModifierDes!$C:$C),3,_xlfn.XLOOKUP(C1353,[1]StuntDes!$B:$B,[1]StuntDes!$C:$C)),"")</f>
        <v/>
      </c>
      <c r="L1353">
        <f t="shared" si="58"/>
        <v>1</v>
      </c>
      <c r="M1353" s="10" t="str">
        <f>IFERROR(_xlfn.XLOOKUP(C1353,[1]StuntDes!$B:$B,[1]StuntDes!$A:$A),"")</f>
        <v/>
      </c>
      <c r="N1353" s="10" t="str">
        <f>IFERROR(_xlfn.XLOOKUP(C1353,[1]ModifierDes!$B:$B,[1]ModifierDes!$A:$A),"")</f>
        <v/>
      </c>
      <c r="O1353" s="10">
        <f>IFERROR(_xlfn.XLOOKUP(C1353,[1]AttributeName!$C:$C,[1]AttributeName!$B:$B),"")</f>
        <v>10504</v>
      </c>
      <c r="P1353" s="10"/>
      <c r="Q1353">
        <v>0.02</v>
      </c>
      <c r="R1353">
        <v>0.05</v>
      </c>
      <c r="S1353" cm="1">
        <f t="array" ref="S1353">IFERROR(_xlfn.SWITCH(L1353,1,_xlfn.XLOOKUP(O1353,[1]AttributeName!$B:$B,[1]AttributeName!$D:$D),2,_xlfn.XLOOKUP(C1353,#REF!,#REF!),3,_xlfn.XLOOKUP(C1353,#REF!,#REF!)),0)</f>
        <v>2</v>
      </c>
      <c r="T1353" cm="1">
        <f t="array" ref="T1353">IFERROR(_xlfn.SWITCH(L1353,1,_xlfn.XLOOKUP(O1353,[1]AttributeName!$B:$B,[1]AttributeName!$E:$E),2,_xlfn.XLOOKUP(C1353,#REF!,#REF!),3,_xlfn.XLOOKUP(C1353,#REF!,#REF!)),0)</f>
        <v>2</v>
      </c>
    </row>
    <row r="1354" customFormat="1" spans="1:20">
      <c r="A1354">
        <f>A1346+1</f>
        <v>565</v>
      </c>
      <c r="B1354">
        <v>1</v>
      </c>
      <c r="C1354" t="s">
        <v>407</v>
      </c>
      <c r="D1354" t="s">
        <v>28</v>
      </c>
      <c r="E1354" s="13" t="s">
        <v>392</v>
      </c>
      <c r="F1354"/>
      <c r="G1354">
        <v>2</v>
      </c>
      <c r="H1354">
        <v>500</v>
      </c>
      <c r="J1354" cm="1">
        <f t="array" ref="J1354">_xlfn.SWITCH(B1354,1,75,2,61,3,49,4,37,5,25,6,13,7,4,8,1)</f>
        <v>75</v>
      </c>
      <c r="K1354" t="str" cm="1">
        <f t="array" ref="K1354">IFERROR(_xlfn.SWITCH(L1354,2,_xlfn.XLOOKUP(C1354,[1]ModifierDes!$B:$B,[1]ModifierDes!$C:$C),3,_xlfn.XLOOKUP(C1354,[1]StuntDes!$B:$B,[1]StuntDes!$C:$C)),"")</f>
        <v/>
      </c>
      <c r="L1354">
        <f t="shared" si="58"/>
        <v>1</v>
      </c>
      <c r="M1354" s="10" t="str">
        <f>IFERROR(_xlfn.XLOOKUP(C1354,[1]StuntDes!$B:$B,[1]StuntDes!$A:$A),"")</f>
        <v/>
      </c>
      <c r="N1354" s="10" t="str">
        <f>IFERROR(_xlfn.XLOOKUP(C1354,[1]ModifierDes!$B:$B,[1]ModifierDes!$A:$A),"")</f>
        <v/>
      </c>
      <c r="O1354" s="10">
        <f>IFERROR(_xlfn.XLOOKUP(C1354,[1]AttributeName!$C:$C,[1]AttributeName!$B:$B),"")</f>
        <v>11006</v>
      </c>
      <c r="P1354" s="10"/>
      <c r="Q1354">
        <v>0.36</v>
      </c>
      <c r="R1354">
        <v>0.4</v>
      </c>
      <c r="S1354" cm="1">
        <f t="array" ref="S1354">IFERROR(_xlfn.SWITCH(L1354,1,_xlfn.XLOOKUP(O1354,[1]AttributeName!$B:$B,[1]AttributeName!$D:$D),2,_xlfn.XLOOKUP(C1354,#REF!,#REF!),3,_xlfn.XLOOKUP(C1354,#REF!,#REF!)),0)</f>
        <v>2</v>
      </c>
      <c r="T1354" cm="1">
        <f t="array" ref="T1354">IFERROR(_xlfn.SWITCH(L1354,1,_xlfn.XLOOKUP(O1354,[1]AttributeName!$B:$B,[1]AttributeName!$E:$E),2,_xlfn.XLOOKUP(C1354,#REF!,#REF!),3,_xlfn.XLOOKUP(C1354,#REF!,#REF!)),0)</f>
        <v>2</v>
      </c>
    </row>
    <row r="1355" customFormat="1" spans="1:20">
      <c r="A1355">
        <f t="shared" ref="A1355:A1361" si="59">A1347+1</f>
        <v>565</v>
      </c>
      <c r="B1355">
        <v>2</v>
      </c>
      <c r="C1355" t="s">
        <v>407</v>
      </c>
      <c r="D1355" t="s">
        <v>28</v>
      </c>
      <c r="E1355" s="13" t="s">
        <v>392</v>
      </c>
      <c r="F1355"/>
      <c r="G1355">
        <v>2</v>
      </c>
      <c r="H1355">
        <v>500</v>
      </c>
      <c r="J1355" cm="1">
        <f t="array" ref="J1355">_xlfn.SWITCH(B1355,1,75,2,61,3,49,4,37,5,25,6,13,7,4,8,1)</f>
        <v>61</v>
      </c>
      <c r="K1355" t="str" cm="1">
        <f t="array" ref="K1355">IFERROR(_xlfn.SWITCH(L1355,2,_xlfn.XLOOKUP(C1355,[1]ModifierDes!$B:$B,[1]ModifierDes!$C:$C),3,_xlfn.XLOOKUP(C1355,[1]StuntDes!$B:$B,[1]StuntDes!$C:$C)),"")</f>
        <v/>
      </c>
      <c r="L1355">
        <f t="shared" si="58"/>
        <v>1</v>
      </c>
      <c r="M1355" s="10" t="str">
        <f>IFERROR(_xlfn.XLOOKUP(C1355,[1]StuntDes!$B:$B,[1]StuntDes!$A:$A),"")</f>
        <v/>
      </c>
      <c r="N1355" s="10" t="str">
        <f>IFERROR(_xlfn.XLOOKUP(C1355,[1]ModifierDes!$B:$B,[1]ModifierDes!$A:$A),"")</f>
        <v/>
      </c>
      <c r="O1355" s="10">
        <f>IFERROR(_xlfn.XLOOKUP(C1355,[1]AttributeName!$C:$C,[1]AttributeName!$B:$B),"")</f>
        <v>11006</v>
      </c>
      <c r="P1355" s="10"/>
      <c r="Q1355">
        <v>0.31</v>
      </c>
      <c r="R1355">
        <v>0.35</v>
      </c>
      <c r="S1355" cm="1">
        <f t="array" ref="S1355">IFERROR(_xlfn.SWITCH(L1355,1,_xlfn.XLOOKUP(O1355,[1]AttributeName!$B:$B,[1]AttributeName!$D:$D),2,_xlfn.XLOOKUP(C1355,#REF!,#REF!),3,_xlfn.XLOOKUP(C1355,#REF!,#REF!)),0)</f>
        <v>2</v>
      </c>
      <c r="T1355" cm="1">
        <f t="array" ref="T1355">IFERROR(_xlfn.SWITCH(L1355,1,_xlfn.XLOOKUP(O1355,[1]AttributeName!$B:$B,[1]AttributeName!$E:$E),2,_xlfn.XLOOKUP(C1355,#REF!,#REF!),3,_xlfn.XLOOKUP(C1355,#REF!,#REF!)),0)</f>
        <v>2</v>
      </c>
    </row>
    <row r="1356" customFormat="1" spans="1:20">
      <c r="A1356">
        <f t="shared" si="59"/>
        <v>565</v>
      </c>
      <c r="B1356">
        <v>3</v>
      </c>
      <c r="C1356" t="s">
        <v>407</v>
      </c>
      <c r="D1356" t="s">
        <v>28</v>
      </c>
      <c r="E1356" s="13" t="s">
        <v>392</v>
      </c>
      <c r="F1356"/>
      <c r="G1356">
        <v>2</v>
      </c>
      <c r="H1356">
        <v>1000</v>
      </c>
      <c r="J1356" cm="1">
        <f t="array" ref="J1356">_xlfn.SWITCH(B1356,1,75,2,61,3,49,4,37,5,25,6,13,7,4,8,1)</f>
        <v>49</v>
      </c>
      <c r="K1356" t="str" cm="1">
        <f t="array" ref="K1356">IFERROR(_xlfn.SWITCH(L1356,2,_xlfn.XLOOKUP(C1356,[1]ModifierDes!$B:$B,[1]ModifierDes!$C:$C),3,_xlfn.XLOOKUP(C1356,[1]StuntDes!$B:$B,[1]StuntDes!$C:$C)),"")</f>
        <v/>
      </c>
      <c r="L1356">
        <f t="shared" si="58"/>
        <v>1</v>
      </c>
      <c r="M1356" s="10" t="str">
        <f>IFERROR(_xlfn.XLOOKUP(C1356,[1]StuntDes!$B:$B,[1]StuntDes!$A:$A),"")</f>
        <v/>
      </c>
      <c r="N1356" s="10" t="str">
        <f>IFERROR(_xlfn.XLOOKUP(C1356,[1]ModifierDes!$B:$B,[1]ModifierDes!$A:$A),"")</f>
        <v/>
      </c>
      <c r="O1356" s="10">
        <f>IFERROR(_xlfn.XLOOKUP(C1356,[1]AttributeName!$C:$C,[1]AttributeName!$B:$B),"")</f>
        <v>11006</v>
      </c>
      <c r="P1356" s="10"/>
      <c r="Q1356">
        <v>0.26</v>
      </c>
      <c r="R1356">
        <v>0.3</v>
      </c>
      <c r="S1356" cm="1">
        <f t="array" ref="S1356">IFERROR(_xlfn.SWITCH(L1356,1,_xlfn.XLOOKUP(O1356,[1]AttributeName!$B:$B,[1]AttributeName!$D:$D),2,_xlfn.XLOOKUP(C1356,#REF!,#REF!),3,_xlfn.XLOOKUP(C1356,#REF!,#REF!)),0)</f>
        <v>2</v>
      </c>
      <c r="T1356" cm="1">
        <f t="array" ref="T1356">IFERROR(_xlfn.SWITCH(L1356,1,_xlfn.XLOOKUP(O1356,[1]AttributeName!$B:$B,[1]AttributeName!$E:$E),2,_xlfn.XLOOKUP(C1356,#REF!,#REF!),3,_xlfn.XLOOKUP(C1356,#REF!,#REF!)),0)</f>
        <v>2</v>
      </c>
    </row>
    <row r="1357" customFormat="1" spans="1:20">
      <c r="A1357">
        <f t="shared" si="59"/>
        <v>565</v>
      </c>
      <c r="B1357">
        <v>4</v>
      </c>
      <c r="C1357" t="s">
        <v>407</v>
      </c>
      <c r="D1357" t="s">
        <v>28</v>
      </c>
      <c r="E1357" s="13" t="s">
        <v>392</v>
      </c>
      <c r="F1357"/>
      <c r="G1357">
        <v>2</v>
      </c>
      <c r="H1357">
        <v>1000</v>
      </c>
      <c r="J1357" cm="1">
        <f t="array" ref="J1357">_xlfn.SWITCH(B1357,1,75,2,61,3,49,4,37,5,25,6,13,7,4,8,1)</f>
        <v>37</v>
      </c>
      <c r="K1357" t="str" cm="1">
        <f t="array" ref="K1357">IFERROR(_xlfn.SWITCH(L1357,2,_xlfn.XLOOKUP(C1357,[1]ModifierDes!$B:$B,[1]ModifierDes!$C:$C),3,_xlfn.XLOOKUP(C1357,[1]StuntDes!$B:$B,[1]StuntDes!$C:$C)),"")</f>
        <v/>
      </c>
      <c r="L1357">
        <f t="shared" si="58"/>
        <v>1</v>
      </c>
      <c r="M1357" s="10" t="str">
        <f>IFERROR(_xlfn.XLOOKUP(C1357,[1]StuntDes!$B:$B,[1]StuntDes!$A:$A),"")</f>
        <v/>
      </c>
      <c r="N1357" s="10" t="str">
        <f>IFERROR(_xlfn.XLOOKUP(C1357,[1]ModifierDes!$B:$B,[1]ModifierDes!$A:$A),"")</f>
        <v/>
      </c>
      <c r="O1357" s="10">
        <f>IFERROR(_xlfn.XLOOKUP(C1357,[1]AttributeName!$C:$C,[1]AttributeName!$B:$B),"")</f>
        <v>11006</v>
      </c>
      <c r="P1357" s="10"/>
      <c r="Q1357">
        <v>0.21</v>
      </c>
      <c r="R1357">
        <v>0.25</v>
      </c>
      <c r="S1357" cm="1">
        <f t="array" ref="S1357">IFERROR(_xlfn.SWITCH(L1357,1,_xlfn.XLOOKUP(O1357,[1]AttributeName!$B:$B,[1]AttributeName!$D:$D),2,_xlfn.XLOOKUP(C1357,#REF!,#REF!),3,_xlfn.XLOOKUP(C1357,#REF!,#REF!)),0)</f>
        <v>2</v>
      </c>
      <c r="T1357" cm="1">
        <f t="array" ref="T1357">IFERROR(_xlfn.SWITCH(L1357,1,_xlfn.XLOOKUP(O1357,[1]AttributeName!$B:$B,[1]AttributeName!$E:$E),2,_xlfn.XLOOKUP(C1357,#REF!,#REF!),3,_xlfn.XLOOKUP(C1357,#REF!,#REF!)),0)</f>
        <v>2</v>
      </c>
    </row>
    <row r="1358" customFormat="1" spans="1:20">
      <c r="A1358">
        <f t="shared" si="59"/>
        <v>565</v>
      </c>
      <c r="B1358">
        <v>5</v>
      </c>
      <c r="C1358" t="s">
        <v>407</v>
      </c>
      <c r="D1358" t="s">
        <v>28</v>
      </c>
      <c r="E1358" s="13" t="s">
        <v>392</v>
      </c>
      <c r="F1358"/>
      <c r="G1358">
        <v>2</v>
      </c>
      <c r="H1358">
        <v>1000</v>
      </c>
      <c r="J1358" cm="1">
        <f t="array" ref="J1358">_xlfn.SWITCH(B1358,1,75,2,61,3,49,4,37,5,25,6,13,7,4,8,1)</f>
        <v>25</v>
      </c>
      <c r="K1358" t="str" cm="1">
        <f t="array" ref="K1358">IFERROR(_xlfn.SWITCH(L1358,2,_xlfn.XLOOKUP(C1358,[1]ModifierDes!$B:$B,[1]ModifierDes!$C:$C),3,_xlfn.XLOOKUP(C1358,[1]StuntDes!$B:$B,[1]StuntDes!$C:$C)),"")</f>
        <v/>
      </c>
      <c r="L1358">
        <f t="shared" si="58"/>
        <v>1</v>
      </c>
      <c r="M1358" s="10" t="str">
        <f>IFERROR(_xlfn.XLOOKUP(C1358,[1]StuntDes!$B:$B,[1]StuntDes!$A:$A),"")</f>
        <v/>
      </c>
      <c r="N1358" s="10" t="str">
        <f>IFERROR(_xlfn.XLOOKUP(C1358,[1]ModifierDes!$B:$B,[1]ModifierDes!$A:$A),"")</f>
        <v/>
      </c>
      <c r="O1358" s="10">
        <f>IFERROR(_xlfn.XLOOKUP(C1358,[1]AttributeName!$C:$C,[1]AttributeName!$B:$B),"")</f>
        <v>11006</v>
      </c>
      <c r="P1358" s="10"/>
      <c r="Q1358">
        <v>0.16</v>
      </c>
      <c r="R1358">
        <v>0.2</v>
      </c>
      <c r="S1358" cm="1">
        <f t="array" ref="S1358">IFERROR(_xlfn.SWITCH(L1358,1,_xlfn.XLOOKUP(O1358,[1]AttributeName!$B:$B,[1]AttributeName!$D:$D),2,_xlfn.XLOOKUP(C1358,#REF!,#REF!),3,_xlfn.XLOOKUP(C1358,#REF!,#REF!)),0)</f>
        <v>2</v>
      </c>
      <c r="T1358" cm="1">
        <f t="array" ref="T1358">IFERROR(_xlfn.SWITCH(L1358,1,_xlfn.XLOOKUP(O1358,[1]AttributeName!$B:$B,[1]AttributeName!$E:$E),2,_xlfn.XLOOKUP(C1358,#REF!,#REF!),3,_xlfn.XLOOKUP(C1358,#REF!,#REF!)),0)</f>
        <v>2</v>
      </c>
    </row>
    <row r="1359" customFormat="1" spans="1:20">
      <c r="A1359">
        <f t="shared" si="59"/>
        <v>565</v>
      </c>
      <c r="B1359">
        <v>6</v>
      </c>
      <c r="C1359" t="s">
        <v>407</v>
      </c>
      <c r="D1359" t="s">
        <v>28</v>
      </c>
      <c r="E1359" s="13" t="s">
        <v>392</v>
      </c>
      <c r="F1359"/>
      <c r="G1359">
        <v>2</v>
      </c>
      <c r="H1359">
        <v>1000</v>
      </c>
      <c r="J1359" cm="1">
        <f t="array" ref="J1359">_xlfn.SWITCH(B1359,1,75,2,61,3,49,4,37,5,25,6,13,7,4,8,1)</f>
        <v>13</v>
      </c>
      <c r="K1359" t="str" cm="1">
        <f t="array" ref="K1359">IFERROR(_xlfn.SWITCH(L1359,2,_xlfn.XLOOKUP(C1359,[1]ModifierDes!$B:$B,[1]ModifierDes!$C:$C),3,_xlfn.XLOOKUP(C1359,[1]StuntDes!$B:$B,[1]StuntDes!$C:$C)),"")</f>
        <v/>
      </c>
      <c r="L1359">
        <f t="shared" si="58"/>
        <v>1</v>
      </c>
      <c r="M1359" s="10" t="str">
        <f>IFERROR(_xlfn.XLOOKUP(C1359,[1]StuntDes!$B:$B,[1]StuntDes!$A:$A),"")</f>
        <v/>
      </c>
      <c r="N1359" s="10" t="str">
        <f>IFERROR(_xlfn.XLOOKUP(C1359,[1]ModifierDes!$B:$B,[1]ModifierDes!$A:$A),"")</f>
        <v/>
      </c>
      <c r="O1359" s="10">
        <f>IFERROR(_xlfn.XLOOKUP(C1359,[1]AttributeName!$C:$C,[1]AttributeName!$B:$B),"")</f>
        <v>11006</v>
      </c>
      <c r="P1359" s="10"/>
      <c r="Q1359">
        <v>0.11</v>
      </c>
      <c r="R1359">
        <v>0.15</v>
      </c>
      <c r="S1359" cm="1">
        <f t="array" ref="S1359">IFERROR(_xlfn.SWITCH(L1359,1,_xlfn.XLOOKUP(O1359,[1]AttributeName!$B:$B,[1]AttributeName!$D:$D),2,_xlfn.XLOOKUP(C1359,#REF!,#REF!),3,_xlfn.XLOOKUP(C1359,#REF!,#REF!)),0)</f>
        <v>2</v>
      </c>
      <c r="T1359" cm="1">
        <f t="array" ref="T1359">IFERROR(_xlfn.SWITCH(L1359,1,_xlfn.XLOOKUP(O1359,[1]AttributeName!$B:$B,[1]AttributeName!$E:$E),2,_xlfn.XLOOKUP(C1359,#REF!,#REF!),3,_xlfn.XLOOKUP(C1359,#REF!,#REF!)),0)</f>
        <v>2</v>
      </c>
    </row>
    <row r="1360" customFormat="1" spans="1:20">
      <c r="A1360">
        <f t="shared" si="59"/>
        <v>565</v>
      </c>
      <c r="B1360">
        <v>7</v>
      </c>
      <c r="C1360" t="s">
        <v>407</v>
      </c>
      <c r="D1360" t="s">
        <v>28</v>
      </c>
      <c r="E1360" s="13" t="s">
        <v>392</v>
      </c>
      <c r="F1360"/>
      <c r="G1360">
        <v>2</v>
      </c>
      <c r="H1360">
        <v>1000</v>
      </c>
      <c r="J1360" cm="1">
        <f t="array" ref="J1360">_xlfn.SWITCH(B1360,1,75,2,61,3,49,4,37,5,25,6,13,7,4,8,1)</f>
        <v>4</v>
      </c>
      <c r="K1360" t="str" cm="1">
        <f t="array" ref="K1360">IFERROR(_xlfn.SWITCH(L1360,2,_xlfn.XLOOKUP(C1360,[1]ModifierDes!$B:$B,[1]ModifierDes!$C:$C),3,_xlfn.XLOOKUP(C1360,[1]StuntDes!$B:$B,[1]StuntDes!$C:$C)),"")</f>
        <v/>
      </c>
      <c r="L1360">
        <f t="shared" si="58"/>
        <v>1</v>
      </c>
      <c r="M1360" s="10" t="str">
        <f>IFERROR(_xlfn.XLOOKUP(C1360,[1]StuntDes!$B:$B,[1]StuntDes!$A:$A),"")</f>
        <v/>
      </c>
      <c r="N1360" s="10" t="str">
        <f>IFERROR(_xlfn.XLOOKUP(C1360,[1]ModifierDes!$B:$B,[1]ModifierDes!$A:$A),"")</f>
        <v/>
      </c>
      <c r="O1360" s="10">
        <f>IFERROR(_xlfn.XLOOKUP(C1360,[1]AttributeName!$C:$C,[1]AttributeName!$B:$B),"")</f>
        <v>11006</v>
      </c>
      <c r="P1360" s="10"/>
      <c r="Q1360">
        <v>0.06</v>
      </c>
      <c r="R1360">
        <v>0.1</v>
      </c>
      <c r="S1360" cm="1">
        <f t="array" ref="S1360">IFERROR(_xlfn.SWITCH(L1360,1,_xlfn.XLOOKUP(O1360,[1]AttributeName!$B:$B,[1]AttributeName!$D:$D),2,_xlfn.XLOOKUP(C1360,#REF!,#REF!),3,_xlfn.XLOOKUP(C1360,#REF!,#REF!)),0)</f>
        <v>2</v>
      </c>
      <c r="T1360" cm="1">
        <f t="array" ref="T1360">IFERROR(_xlfn.SWITCH(L1360,1,_xlfn.XLOOKUP(O1360,[1]AttributeName!$B:$B,[1]AttributeName!$E:$E),2,_xlfn.XLOOKUP(C1360,#REF!,#REF!),3,_xlfn.XLOOKUP(C1360,#REF!,#REF!)),0)</f>
        <v>2</v>
      </c>
    </row>
    <row r="1361" customFormat="1" spans="1:20">
      <c r="A1361">
        <f t="shared" si="59"/>
        <v>565</v>
      </c>
      <c r="B1361">
        <v>8</v>
      </c>
      <c r="C1361" t="s">
        <v>407</v>
      </c>
      <c r="D1361" t="s">
        <v>28</v>
      </c>
      <c r="E1361" s="13" t="s">
        <v>392</v>
      </c>
      <c r="F1361"/>
      <c r="G1361">
        <v>2</v>
      </c>
      <c r="H1361">
        <v>1000</v>
      </c>
      <c r="J1361" cm="1">
        <f t="array" ref="J1361">_xlfn.SWITCH(B1361,1,75,2,61,3,49,4,37,5,25,6,13,7,4,8,1)</f>
        <v>1</v>
      </c>
      <c r="K1361" t="str" cm="1">
        <f t="array" ref="K1361">IFERROR(_xlfn.SWITCH(L1361,2,_xlfn.XLOOKUP(C1361,[1]ModifierDes!$B:$B,[1]ModifierDes!$C:$C),3,_xlfn.XLOOKUP(C1361,[1]StuntDes!$B:$B,[1]StuntDes!$C:$C)),"")</f>
        <v/>
      </c>
      <c r="L1361">
        <f t="shared" si="58"/>
        <v>1</v>
      </c>
      <c r="M1361" s="10" t="str">
        <f>IFERROR(_xlfn.XLOOKUP(C1361,[1]StuntDes!$B:$B,[1]StuntDes!$A:$A),"")</f>
        <v/>
      </c>
      <c r="N1361" s="10" t="str">
        <f>IFERROR(_xlfn.XLOOKUP(C1361,[1]ModifierDes!$B:$B,[1]ModifierDes!$A:$A),"")</f>
        <v/>
      </c>
      <c r="O1361" s="10">
        <f>IFERROR(_xlfn.XLOOKUP(C1361,[1]AttributeName!$C:$C,[1]AttributeName!$B:$B),"")</f>
        <v>11006</v>
      </c>
      <c r="P1361" s="10"/>
      <c r="Q1361">
        <v>0.01</v>
      </c>
      <c r="R1361">
        <v>0.05</v>
      </c>
      <c r="S1361" cm="1">
        <f t="array" ref="S1361">IFERROR(_xlfn.SWITCH(L1361,1,_xlfn.XLOOKUP(O1361,[1]AttributeName!$B:$B,[1]AttributeName!$D:$D),2,_xlfn.XLOOKUP(C1361,#REF!,#REF!),3,_xlfn.XLOOKUP(C1361,#REF!,#REF!)),0)</f>
        <v>2</v>
      </c>
      <c r="T1361" cm="1">
        <f t="array" ref="T1361">IFERROR(_xlfn.SWITCH(L1361,1,_xlfn.XLOOKUP(O1361,[1]AttributeName!$B:$B,[1]AttributeName!$E:$E),2,_xlfn.XLOOKUP(C1361,#REF!,#REF!),3,_xlfn.XLOOKUP(C1361,#REF!,#REF!)),0)</f>
        <v>2</v>
      </c>
    </row>
    <row r="1362" customFormat="1" spans="1:20">
      <c r="A1362">
        <f t="shared" ref="A1354:A1401" si="60">A1354+1</f>
        <v>566</v>
      </c>
      <c r="B1362">
        <v>1</v>
      </c>
      <c r="C1362" t="s">
        <v>408</v>
      </c>
      <c r="D1362" t="s">
        <v>28</v>
      </c>
      <c r="E1362" s="13" t="s">
        <v>392</v>
      </c>
      <c r="F1362"/>
      <c r="G1362">
        <v>2</v>
      </c>
      <c r="H1362">
        <v>500</v>
      </c>
      <c r="J1362" cm="1">
        <f t="array" ref="J1362">_xlfn.SWITCH(B1362,1,75,2,61,3,49,4,37,5,25,6,13,7,4,8,1)</f>
        <v>75</v>
      </c>
      <c r="K1362" t="str" cm="1">
        <f t="array" ref="K1362">IFERROR(_xlfn.SWITCH(L1362,2,_xlfn.XLOOKUP(C1362,[1]ModifierDes!$B:$B,[1]ModifierDes!$C:$C),3,_xlfn.XLOOKUP(C1362,[1]StuntDes!$B:$B,[1]StuntDes!$C:$C)),"")</f>
        <v/>
      </c>
      <c r="L1362">
        <f t="shared" si="58"/>
        <v>1</v>
      </c>
      <c r="M1362" s="10" t="str">
        <f>IFERROR(_xlfn.XLOOKUP(C1362,[1]StuntDes!$B:$B,[1]StuntDes!$A:$A),"")</f>
        <v/>
      </c>
      <c r="N1362" s="10" t="str">
        <f>IFERROR(_xlfn.XLOOKUP(C1362,[1]ModifierDes!$B:$B,[1]ModifierDes!$A:$A),"")</f>
        <v/>
      </c>
      <c r="O1362" s="10">
        <f>IFERROR(_xlfn.XLOOKUP(C1362,[1]AttributeName!$C:$C,[1]AttributeName!$B:$B),"")</f>
        <v>10801</v>
      </c>
      <c r="P1362" s="10"/>
      <c r="Q1362">
        <v>0.36</v>
      </c>
      <c r="R1362">
        <v>0.4</v>
      </c>
      <c r="S1362" cm="1">
        <f t="array" ref="S1362">IFERROR(_xlfn.SWITCH(L1362,1,_xlfn.XLOOKUP(O1362,[1]AttributeName!$B:$B,[1]AttributeName!$D:$D),2,_xlfn.XLOOKUP(C1362,#REF!,#REF!),3,_xlfn.XLOOKUP(C1362,#REF!,#REF!)),0)</f>
        <v>2</v>
      </c>
      <c r="T1362" cm="1">
        <f t="array" ref="T1362">IFERROR(_xlfn.SWITCH(L1362,1,_xlfn.XLOOKUP(O1362,[1]AttributeName!$B:$B,[1]AttributeName!$E:$E),2,_xlfn.XLOOKUP(C1362,#REF!,#REF!),3,_xlfn.XLOOKUP(C1362,#REF!,#REF!)),0)</f>
        <v>2</v>
      </c>
    </row>
    <row r="1363" customFormat="1" spans="1:20">
      <c r="A1363">
        <f t="shared" si="60"/>
        <v>566</v>
      </c>
      <c r="B1363">
        <v>2</v>
      </c>
      <c r="C1363" t="s">
        <v>408</v>
      </c>
      <c r="D1363" t="s">
        <v>28</v>
      </c>
      <c r="E1363" s="13" t="s">
        <v>392</v>
      </c>
      <c r="F1363"/>
      <c r="G1363">
        <v>2</v>
      </c>
      <c r="H1363">
        <v>500</v>
      </c>
      <c r="J1363" cm="1">
        <f t="array" ref="J1363">_xlfn.SWITCH(B1363,1,75,2,61,3,49,4,37,5,25,6,13,7,4,8,1)</f>
        <v>61</v>
      </c>
      <c r="K1363" t="str" cm="1">
        <f t="array" ref="K1363">IFERROR(_xlfn.SWITCH(L1363,2,_xlfn.XLOOKUP(C1363,[1]ModifierDes!$B:$B,[1]ModifierDes!$C:$C),3,_xlfn.XLOOKUP(C1363,[1]StuntDes!$B:$B,[1]StuntDes!$C:$C)),"")</f>
        <v/>
      </c>
      <c r="L1363">
        <f t="shared" si="58"/>
        <v>1</v>
      </c>
      <c r="M1363" s="10" t="str">
        <f>IFERROR(_xlfn.XLOOKUP(C1363,[1]StuntDes!$B:$B,[1]StuntDes!$A:$A),"")</f>
        <v/>
      </c>
      <c r="N1363" s="10" t="str">
        <f>IFERROR(_xlfn.XLOOKUP(C1363,[1]ModifierDes!$B:$B,[1]ModifierDes!$A:$A),"")</f>
        <v/>
      </c>
      <c r="O1363" s="10">
        <f>IFERROR(_xlfn.XLOOKUP(C1363,[1]AttributeName!$C:$C,[1]AttributeName!$B:$B),"")</f>
        <v>10801</v>
      </c>
      <c r="P1363" s="10"/>
      <c r="Q1363">
        <v>0.31</v>
      </c>
      <c r="R1363">
        <v>0.35</v>
      </c>
      <c r="S1363" cm="1">
        <f t="array" ref="S1363">IFERROR(_xlfn.SWITCH(L1363,1,_xlfn.XLOOKUP(O1363,[1]AttributeName!$B:$B,[1]AttributeName!$D:$D),2,_xlfn.XLOOKUP(C1363,#REF!,#REF!),3,_xlfn.XLOOKUP(C1363,#REF!,#REF!)),0)</f>
        <v>2</v>
      </c>
      <c r="T1363" cm="1">
        <f t="array" ref="T1363">IFERROR(_xlfn.SWITCH(L1363,1,_xlfn.XLOOKUP(O1363,[1]AttributeName!$B:$B,[1]AttributeName!$E:$E),2,_xlfn.XLOOKUP(C1363,#REF!,#REF!),3,_xlfn.XLOOKUP(C1363,#REF!,#REF!)),0)</f>
        <v>2</v>
      </c>
    </row>
    <row r="1364" customFormat="1" spans="1:20">
      <c r="A1364">
        <f t="shared" si="60"/>
        <v>566</v>
      </c>
      <c r="B1364">
        <v>3</v>
      </c>
      <c r="C1364" t="s">
        <v>408</v>
      </c>
      <c r="D1364" t="s">
        <v>28</v>
      </c>
      <c r="E1364" s="13" t="s">
        <v>392</v>
      </c>
      <c r="F1364"/>
      <c r="G1364">
        <v>2</v>
      </c>
      <c r="H1364">
        <v>1000</v>
      </c>
      <c r="J1364" cm="1">
        <f t="array" ref="J1364">_xlfn.SWITCH(B1364,1,75,2,61,3,49,4,37,5,25,6,13,7,4,8,1)</f>
        <v>49</v>
      </c>
      <c r="K1364" t="str" cm="1">
        <f t="array" ref="K1364">IFERROR(_xlfn.SWITCH(L1364,2,_xlfn.XLOOKUP(C1364,[1]ModifierDes!$B:$B,[1]ModifierDes!$C:$C),3,_xlfn.XLOOKUP(C1364,[1]StuntDes!$B:$B,[1]StuntDes!$C:$C)),"")</f>
        <v/>
      </c>
      <c r="L1364">
        <f t="shared" si="58"/>
        <v>1</v>
      </c>
      <c r="M1364" s="10" t="str">
        <f>IFERROR(_xlfn.XLOOKUP(C1364,[1]StuntDes!$B:$B,[1]StuntDes!$A:$A),"")</f>
        <v/>
      </c>
      <c r="N1364" s="10" t="str">
        <f>IFERROR(_xlfn.XLOOKUP(C1364,[1]ModifierDes!$B:$B,[1]ModifierDes!$A:$A),"")</f>
        <v/>
      </c>
      <c r="O1364" s="10">
        <f>IFERROR(_xlfn.XLOOKUP(C1364,[1]AttributeName!$C:$C,[1]AttributeName!$B:$B),"")</f>
        <v>10801</v>
      </c>
      <c r="P1364" s="10"/>
      <c r="Q1364">
        <v>0.26</v>
      </c>
      <c r="R1364">
        <v>0.3</v>
      </c>
      <c r="S1364" cm="1">
        <f t="array" ref="S1364">IFERROR(_xlfn.SWITCH(L1364,1,_xlfn.XLOOKUP(O1364,[1]AttributeName!$B:$B,[1]AttributeName!$D:$D),2,_xlfn.XLOOKUP(C1364,#REF!,#REF!),3,_xlfn.XLOOKUP(C1364,#REF!,#REF!)),0)</f>
        <v>2</v>
      </c>
      <c r="T1364" cm="1">
        <f t="array" ref="T1364">IFERROR(_xlfn.SWITCH(L1364,1,_xlfn.XLOOKUP(O1364,[1]AttributeName!$B:$B,[1]AttributeName!$E:$E),2,_xlfn.XLOOKUP(C1364,#REF!,#REF!),3,_xlfn.XLOOKUP(C1364,#REF!,#REF!)),0)</f>
        <v>2</v>
      </c>
    </row>
    <row r="1365" customFormat="1" spans="1:20">
      <c r="A1365">
        <f t="shared" si="60"/>
        <v>566</v>
      </c>
      <c r="B1365">
        <v>4</v>
      </c>
      <c r="C1365" t="s">
        <v>408</v>
      </c>
      <c r="D1365" t="s">
        <v>28</v>
      </c>
      <c r="E1365" s="13" t="s">
        <v>392</v>
      </c>
      <c r="F1365"/>
      <c r="G1365">
        <v>2</v>
      </c>
      <c r="H1365">
        <v>1000</v>
      </c>
      <c r="J1365" cm="1">
        <f t="array" ref="J1365">_xlfn.SWITCH(B1365,1,75,2,61,3,49,4,37,5,25,6,13,7,4,8,1)</f>
        <v>37</v>
      </c>
      <c r="K1365" t="str" cm="1">
        <f t="array" ref="K1365">IFERROR(_xlfn.SWITCH(L1365,2,_xlfn.XLOOKUP(C1365,[1]ModifierDes!$B:$B,[1]ModifierDes!$C:$C),3,_xlfn.XLOOKUP(C1365,[1]StuntDes!$B:$B,[1]StuntDes!$C:$C)),"")</f>
        <v/>
      </c>
      <c r="L1365">
        <f t="shared" si="58"/>
        <v>1</v>
      </c>
      <c r="M1365" s="10" t="str">
        <f>IFERROR(_xlfn.XLOOKUP(C1365,[1]StuntDes!$B:$B,[1]StuntDes!$A:$A),"")</f>
        <v/>
      </c>
      <c r="N1365" s="10" t="str">
        <f>IFERROR(_xlfn.XLOOKUP(C1365,[1]ModifierDes!$B:$B,[1]ModifierDes!$A:$A),"")</f>
        <v/>
      </c>
      <c r="O1365" s="10">
        <f>IFERROR(_xlfn.XLOOKUP(C1365,[1]AttributeName!$C:$C,[1]AttributeName!$B:$B),"")</f>
        <v>10801</v>
      </c>
      <c r="P1365" s="10"/>
      <c r="Q1365">
        <v>0.21</v>
      </c>
      <c r="R1365">
        <v>0.25</v>
      </c>
      <c r="S1365" cm="1">
        <f t="array" ref="S1365">IFERROR(_xlfn.SWITCH(L1365,1,_xlfn.XLOOKUP(O1365,[1]AttributeName!$B:$B,[1]AttributeName!$D:$D),2,_xlfn.XLOOKUP(C1365,#REF!,#REF!),3,_xlfn.XLOOKUP(C1365,#REF!,#REF!)),0)</f>
        <v>2</v>
      </c>
      <c r="T1365" cm="1">
        <f t="array" ref="T1365">IFERROR(_xlfn.SWITCH(L1365,1,_xlfn.XLOOKUP(O1365,[1]AttributeName!$B:$B,[1]AttributeName!$E:$E),2,_xlfn.XLOOKUP(C1365,#REF!,#REF!),3,_xlfn.XLOOKUP(C1365,#REF!,#REF!)),0)</f>
        <v>2</v>
      </c>
    </row>
    <row r="1366" customFormat="1" spans="1:20">
      <c r="A1366">
        <f t="shared" si="60"/>
        <v>566</v>
      </c>
      <c r="B1366">
        <v>5</v>
      </c>
      <c r="C1366" t="s">
        <v>408</v>
      </c>
      <c r="D1366" t="s">
        <v>28</v>
      </c>
      <c r="E1366" s="13" t="s">
        <v>392</v>
      </c>
      <c r="F1366"/>
      <c r="G1366">
        <v>2</v>
      </c>
      <c r="H1366">
        <v>1000</v>
      </c>
      <c r="J1366" cm="1">
        <f t="array" ref="J1366">_xlfn.SWITCH(B1366,1,75,2,61,3,49,4,37,5,25,6,13,7,4,8,1)</f>
        <v>25</v>
      </c>
      <c r="K1366" t="str" cm="1">
        <f t="array" ref="K1366">IFERROR(_xlfn.SWITCH(L1366,2,_xlfn.XLOOKUP(C1366,[1]ModifierDes!$B:$B,[1]ModifierDes!$C:$C),3,_xlfn.XLOOKUP(C1366,[1]StuntDes!$B:$B,[1]StuntDes!$C:$C)),"")</f>
        <v/>
      </c>
      <c r="L1366">
        <f t="shared" si="58"/>
        <v>1</v>
      </c>
      <c r="M1366" s="10" t="str">
        <f>IFERROR(_xlfn.XLOOKUP(C1366,[1]StuntDes!$B:$B,[1]StuntDes!$A:$A),"")</f>
        <v/>
      </c>
      <c r="N1366" s="10" t="str">
        <f>IFERROR(_xlfn.XLOOKUP(C1366,[1]ModifierDes!$B:$B,[1]ModifierDes!$A:$A),"")</f>
        <v/>
      </c>
      <c r="O1366" s="10">
        <f>IFERROR(_xlfn.XLOOKUP(C1366,[1]AttributeName!$C:$C,[1]AttributeName!$B:$B),"")</f>
        <v>10801</v>
      </c>
      <c r="P1366" s="10"/>
      <c r="Q1366">
        <v>0.16</v>
      </c>
      <c r="R1366">
        <v>0.2</v>
      </c>
      <c r="S1366" cm="1">
        <f t="array" ref="S1366">IFERROR(_xlfn.SWITCH(L1366,1,_xlfn.XLOOKUP(O1366,[1]AttributeName!$B:$B,[1]AttributeName!$D:$D),2,_xlfn.XLOOKUP(C1366,#REF!,#REF!),3,_xlfn.XLOOKUP(C1366,#REF!,#REF!)),0)</f>
        <v>2</v>
      </c>
      <c r="T1366" cm="1">
        <f t="array" ref="T1366">IFERROR(_xlfn.SWITCH(L1366,1,_xlfn.XLOOKUP(O1366,[1]AttributeName!$B:$B,[1]AttributeName!$E:$E),2,_xlfn.XLOOKUP(C1366,#REF!,#REF!),3,_xlfn.XLOOKUP(C1366,#REF!,#REF!)),0)</f>
        <v>2</v>
      </c>
    </row>
    <row r="1367" customFormat="1" spans="1:20">
      <c r="A1367">
        <f t="shared" si="60"/>
        <v>566</v>
      </c>
      <c r="B1367">
        <v>6</v>
      </c>
      <c r="C1367" t="s">
        <v>408</v>
      </c>
      <c r="D1367" t="s">
        <v>28</v>
      </c>
      <c r="E1367" s="13" t="s">
        <v>392</v>
      </c>
      <c r="F1367"/>
      <c r="G1367">
        <v>2</v>
      </c>
      <c r="H1367">
        <v>1000</v>
      </c>
      <c r="J1367" cm="1">
        <f t="array" ref="J1367">_xlfn.SWITCH(B1367,1,75,2,61,3,49,4,37,5,25,6,13,7,4,8,1)</f>
        <v>13</v>
      </c>
      <c r="K1367" t="str" cm="1">
        <f t="array" ref="K1367">IFERROR(_xlfn.SWITCH(L1367,2,_xlfn.XLOOKUP(C1367,[1]ModifierDes!$B:$B,[1]ModifierDes!$C:$C),3,_xlfn.XLOOKUP(C1367,[1]StuntDes!$B:$B,[1]StuntDes!$C:$C)),"")</f>
        <v/>
      </c>
      <c r="L1367">
        <f t="shared" si="58"/>
        <v>1</v>
      </c>
      <c r="M1367" s="10" t="str">
        <f>IFERROR(_xlfn.XLOOKUP(C1367,[1]StuntDes!$B:$B,[1]StuntDes!$A:$A),"")</f>
        <v/>
      </c>
      <c r="N1367" s="10" t="str">
        <f>IFERROR(_xlfn.XLOOKUP(C1367,[1]ModifierDes!$B:$B,[1]ModifierDes!$A:$A),"")</f>
        <v/>
      </c>
      <c r="O1367" s="10">
        <f>IFERROR(_xlfn.XLOOKUP(C1367,[1]AttributeName!$C:$C,[1]AttributeName!$B:$B),"")</f>
        <v>10801</v>
      </c>
      <c r="P1367" s="10"/>
      <c r="Q1367">
        <v>0.11</v>
      </c>
      <c r="R1367">
        <v>0.15</v>
      </c>
      <c r="S1367" cm="1">
        <f t="array" ref="S1367">IFERROR(_xlfn.SWITCH(L1367,1,_xlfn.XLOOKUP(O1367,[1]AttributeName!$B:$B,[1]AttributeName!$D:$D),2,_xlfn.XLOOKUP(C1367,#REF!,#REF!),3,_xlfn.XLOOKUP(C1367,#REF!,#REF!)),0)</f>
        <v>2</v>
      </c>
      <c r="T1367" cm="1">
        <f t="array" ref="T1367">IFERROR(_xlfn.SWITCH(L1367,1,_xlfn.XLOOKUP(O1367,[1]AttributeName!$B:$B,[1]AttributeName!$E:$E),2,_xlfn.XLOOKUP(C1367,#REF!,#REF!),3,_xlfn.XLOOKUP(C1367,#REF!,#REF!)),0)</f>
        <v>2</v>
      </c>
    </row>
    <row r="1368" customFormat="1" spans="1:20">
      <c r="A1368">
        <f t="shared" si="60"/>
        <v>566</v>
      </c>
      <c r="B1368">
        <v>7</v>
      </c>
      <c r="C1368" t="s">
        <v>408</v>
      </c>
      <c r="D1368" t="s">
        <v>28</v>
      </c>
      <c r="E1368" s="13" t="s">
        <v>392</v>
      </c>
      <c r="F1368"/>
      <c r="G1368">
        <v>2</v>
      </c>
      <c r="H1368">
        <v>1000</v>
      </c>
      <c r="J1368" cm="1">
        <f t="array" ref="J1368">_xlfn.SWITCH(B1368,1,75,2,61,3,49,4,37,5,25,6,13,7,4,8,1)</f>
        <v>4</v>
      </c>
      <c r="K1368" t="str" cm="1">
        <f t="array" ref="K1368">IFERROR(_xlfn.SWITCH(L1368,2,_xlfn.XLOOKUP(C1368,[1]ModifierDes!$B:$B,[1]ModifierDes!$C:$C),3,_xlfn.XLOOKUP(C1368,[1]StuntDes!$B:$B,[1]StuntDes!$C:$C)),"")</f>
        <v/>
      </c>
      <c r="L1368">
        <f t="shared" si="58"/>
        <v>1</v>
      </c>
      <c r="M1368" s="10" t="str">
        <f>IFERROR(_xlfn.XLOOKUP(C1368,[1]StuntDes!$B:$B,[1]StuntDes!$A:$A),"")</f>
        <v/>
      </c>
      <c r="N1368" s="10" t="str">
        <f>IFERROR(_xlfn.XLOOKUP(C1368,[1]ModifierDes!$B:$B,[1]ModifierDes!$A:$A),"")</f>
        <v/>
      </c>
      <c r="O1368" s="10">
        <f>IFERROR(_xlfn.XLOOKUP(C1368,[1]AttributeName!$C:$C,[1]AttributeName!$B:$B),"")</f>
        <v>10801</v>
      </c>
      <c r="P1368" s="10"/>
      <c r="Q1368">
        <v>0.06</v>
      </c>
      <c r="R1368">
        <v>0.1</v>
      </c>
      <c r="S1368" cm="1">
        <f t="array" ref="S1368">IFERROR(_xlfn.SWITCH(L1368,1,_xlfn.XLOOKUP(O1368,[1]AttributeName!$B:$B,[1]AttributeName!$D:$D),2,_xlfn.XLOOKUP(C1368,#REF!,#REF!),3,_xlfn.XLOOKUP(C1368,#REF!,#REF!)),0)</f>
        <v>2</v>
      </c>
      <c r="T1368" cm="1">
        <f t="array" ref="T1368">IFERROR(_xlfn.SWITCH(L1368,1,_xlfn.XLOOKUP(O1368,[1]AttributeName!$B:$B,[1]AttributeName!$E:$E),2,_xlfn.XLOOKUP(C1368,#REF!,#REF!),3,_xlfn.XLOOKUP(C1368,#REF!,#REF!)),0)</f>
        <v>2</v>
      </c>
    </row>
    <row r="1369" customFormat="1" spans="1:20">
      <c r="A1369">
        <f t="shared" si="60"/>
        <v>566</v>
      </c>
      <c r="B1369">
        <v>8</v>
      </c>
      <c r="C1369" t="s">
        <v>408</v>
      </c>
      <c r="D1369" t="s">
        <v>28</v>
      </c>
      <c r="E1369" s="13" t="s">
        <v>392</v>
      </c>
      <c r="F1369"/>
      <c r="G1369">
        <v>2</v>
      </c>
      <c r="H1369">
        <v>1000</v>
      </c>
      <c r="J1369" cm="1">
        <f t="array" ref="J1369">_xlfn.SWITCH(B1369,1,75,2,61,3,49,4,37,5,25,6,13,7,4,8,1)</f>
        <v>1</v>
      </c>
      <c r="K1369" t="str" cm="1">
        <f t="array" ref="K1369">IFERROR(_xlfn.SWITCH(L1369,2,_xlfn.XLOOKUP(C1369,[1]ModifierDes!$B:$B,[1]ModifierDes!$C:$C),3,_xlfn.XLOOKUP(C1369,[1]StuntDes!$B:$B,[1]StuntDes!$C:$C)),"")</f>
        <v/>
      </c>
      <c r="L1369">
        <f t="shared" si="58"/>
        <v>1</v>
      </c>
      <c r="M1369" s="10" t="str">
        <f>IFERROR(_xlfn.XLOOKUP(C1369,[1]StuntDes!$B:$B,[1]StuntDes!$A:$A),"")</f>
        <v/>
      </c>
      <c r="N1369" s="10" t="str">
        <f>IFERROR(_xlfn.XLOOKUP(C1369,[1]ModifierDes!$B:$B,[1]ModifierDes!$A:$A),"")</f>
        <v/>
      </c>
      <c r="O1369" s="10">
        <f>IFERROR(_xlfn.XLOOKUP(C1369,[1]AttributeName!$C:$C,[1]AttributeName!$B:$B),"")</f>
        <v>10801</v>
      </c>
      <c r="P1369" s="10"/>
      <c r="Q1369">
        <v>0.01</v>
      </c>
      <c r="R1369">
        <v>0.05</v>
      </c>
      <c r="S1369" cm="1">
        <f t="array" ref="S1369">IFERROR(_xlfn.SWITCH(L1369,1,_xlfn.XLOOKUP(O1369,[1]AttributeName!$B:$B,[1]AttributeName!$D:$D),2,_xlfn.XLOOKUP(C1369,#REF!,#REF!),3,_xlfn.XLOOKUP(C1369,#REF!,#REF!)),0)</f>
        <v>2</v>
      </c>
      <c r="T1369" cm="1">
        <f t="array" ref="T1369">IFERROR(_xlfn.SWITCH(L1369,1,_xlfn.XLOOKUP(O1369,[1]AttributeName!$B:$B,[1]AttributeName!$E:$E),2,_xlfn.XLOOKUP(C1369,#REF!,#REF!),3,_xlfn.XLOOKUP(C1369,#REF!,#REF!)),0)</f>
        <v>2</v>
      </c>
    </row>
    <row r="1370" customFormat="1" spans="1:20">
      <c r="A1370">
        <f t="shared" si="60"/>
        <v>567</v>
      </c>
      <c r="B1370">
        <v>1</v>
      </c>
      <c r="C1370" t="s">
        <v>409</v>
      </c>
      <c r="D1370" t="s">
        <v>28</v>
      </c>
      <c r="E1370" s="13" t="s">
        <v>392</v>
      </c>
      <c r="F1370"/>
      <c r="G1370">
        <v>2</v>
      </c>
      <c r="H1370">
        <v>500</v>
      </c>
      <c r="J1370" cm="1">
        <f t="array" ref="J1370">_xlfn.SWITCH(B1370,1,75,2,61,3,49,4,37,5,25,6,13,7,4,8,1)</f>
        <v>75</v>
      </c>
      <c r="K1370" t="str" cm="1">
        <f t="array" ref="K1370">IFERROR(_xlfn.SWITCH(L1370,2,_xlfn.XLOOKUP(C1370,[1]ModifierDes!$B:$B,[1]ModifierDes!$C:$C),3,_xlfn.XLOOKUP(C1370,[1]StuntDes!$B:$B,[1]StuntDes!$C:$C)),"")</f>
        <v/>
      </c>
      <c r="L1370">
        <f t="shared" si="58"/>
        <v>1</v>
      </c>
      <c r="M1370" s="10" t="str">
        <f>IFERROR(_xlfn.XLOOKUP(C1370,[1]StuntDes!$B:$B,[1]StuntDes!$A:$A),"")</f>
        <v/>
      </c>
      <c r="N1370" s="10" t="str">
        <f>IFERROR(_xlfn.XLOOKUP(C1370,[1]ModifierDes!$B:$B,[1]ModifierDes!$A:$A),"")</f>
        <v/>
      </c>
      <c r="O1370" s="10">
        <f>IFERROR(_xlfn.XLOOKUP(C1370,[1]AttributeName!$C:$C,[1]AttributeName!$B:$B),"")</f>
        <v>11009</v>
      </c>
      <c r="P1370" s="10"/>
      <c r="Q1370">
        <v>0.36</v>
      </c>
      <c r="R1370">
        <v>0.4</v>
      </c>
      <c r="S1370" cm="1">
        <f t="array" ref="S1370">IFERROR(_xlfn.SWITCH(L1370,1,_xlfn.XLOOKUP(O1370,[1]AttributeName!$B:$B,[1]AttributeName!$D:$D),2,_xlfn.XLOOKUP(C1370,#REF!,#REF!),3,_xlfn.XLOOKUP(C1370,#REF!,#REF!)),0)</f>
        <v>2</v>
      </c>
      <c r="T1370" cm="1">
        <f t="array" ref="T1370">IFERROR(_xlfn.SWITCH(L1370,1,_xlfn.XLOOKUP(O1370,[1]AttributeName!$B:$B,[1]AttributeName!$E:$E),2,_xlfn.XLOOKUP(C1370,#REF!,#REF!),3,_xlfn.XLOOKUP(C1370,#REF!,#REF!)),0)</f>
        <v>2</v>
      </c>
    </row>
    <row r="1371" customFormat="1" spans="1:20">
      <c r="A1371">
        <f t="shared" si="60"/>
        <v>567</v>
      </c>
      <c r="B1371">
        <v>2</v>
      </c>
      <c r="C1371" t="s">
        <v>409</v>
      </c>
      <c r="D1371" t="s">
        <v>28</v>
      </c>
      <c r="E1371" s="13" t="s">
        <v>392</v>
      </c>
      <c r="F1371"/>
      <c r="G1371">
        <v>2</v>
      </c>
      <c r="H1371">
        <v>500</v>
      </c>
      <c r="J1371" cm="1">
        <f t="array" ref="J1371">_xlfn.SWITCH(B1371,1,75,2,61,3,49,4,37,5,25,6,13,7,4,8,1)</f>
        <v>61</v>
      </c>
      <c r="K1371" t="str" cm="1">
        <f t="array" ref="K1371">IFERROR(_xlfn.SWITCH(L1371,2,_xlfn.XLOOKUP(C1371,[1]ModifierDes!$B:$B,[1]ModifierDes!$C:$C),3,_xlfn.XLOOKUP(C1371,[1]StuntDes!$B:$B,[1]StuntDes!$C:$C)),"")</f>
        <v/>
      </c>
      <c r="L1371">
        <f t="shared" si="58"/>
        <v>1</v>
      </c>
      <c r="M1371" s="10" t="str">
        <f>IFERROR(_xlfn.XLOOKUP(C1371,[1]StuntDes!$B:$B,[1]StuntDes!$A:$A),"")</f>
        <v/>
      </c>
      <c r="N1371" s="10" t="str">
        <f>IFERROR(_xlfn.XLOOKUP(C1371,[1]ModifierDes!$B:$B,[1]ModifierDes!$A:$A),"")</f>
        <v/>
      </c>
      <c r="O1371" s="10">
        <f>IFERROR(_xlfn.XLOOKUP(C1371,[1]AttributeName!$C:$C,[1]AttributeName!$B:$B),"")</f>
        <v>11009</v>
      </c>
      <c r="P1371" s="10"/>
      <c r="Q1371">
        <v>0.31</v>
      </c>
      <c r="R1371">
        <v>0.35</v>
      </c>
      <c r="S1371" cm="1">
        <f t="array" ref="S1371">IFERROR(_xlfn.SWITCH(L1371,1,_xlfn.XLOOKUP(O1371,[1]AttributeName!$B:$B,[1]AttributeName!$D:$D),2,_xlfn.XLOOKUP(C1371,#REF!,#REF!),3,_xlfn.XLOOKUP(C1371,#REF!,#REF!)),0)</f>
        <v>2</v>
      </c>
      <c r="T1371" cm="1">
        <f t="array" ref="T1371">IFERROR(_xlfn.SWITCH(L1371,1,_xlfn.XLOOKUP(O1371,[1]AttributeName!$B:$B,[1]AttributeName!$E:$E),2,_xlfn.XLOOKUP(C1371,#REF!,#REF!),3,_xlfn.XLOOKUP(C1371,#REF!,#REF!)),0)</f>
        <v>2</v>
      </c>
    </row>
    <row r="1372" customFormat="1" spans="1:20">
      <c r="A1372">
        <f t="shared" si="60"/>
        <v>567</v>
      </c>
      <c r="B1372">
        <v>3</v>
      </c>
      <c r="C1372" t="s">
        <v>409</v>
      </c>
      <c r="D1372" t="s">
        <v>28</v>
      </c>
      <c r="E1372" s="13" t="s">
        <v>392</v>
      </c>
      <c r="F1372"/>
      <c r="G1372">
        <v>2</v>
      </c>
      <c r="H1372">
        <v>1000</v>
      </c>
      <c r="J1372" cm="1">
        <f t="array" ref="J1372">_xlfn.SWITCH(B1372,1,75,2,61,3,49,4,37,5,25,6,13,7,4,8,1)</f>
        <v>49</v>
      </c>
      <c r="K1372" t="str" cm="1">
        <f t="array" ref="K1372">IFERROR(_xlfn.SWITCH(L1372,2,_xlfn.XLOOKUP(C1372,[1]ModifierDes!$B:$B,[1]ModifierDes!$C:$C),3,_xlfn.XLOOKUP(C1372,[1]StuntDes!$B:$B,[1]StuntDes!$C:$C)),"")</f>
        <v/>
      </c>
      <c r="L1372">
        <f t="shared" si="58"/>
        <v>1</v>
      </c>
      <c r="M1372" s="10" t="str">
        <f>IFERROR(_xlfn.XLOOKUP(C1372,[1]StuntDes!$B:$B,[1]StuntDes!$A:$A),"")</f>
        <v/>
      </c>
      <c r="N1372" s="10" t="str">
        <f>IFERROR(_xlfn.XLOOKUP(C1372,[1]ModifierDes!$B:$B,[1]ModifierDes!$A:$A),"")</f>
        <v/>
      </c>
      <c r="O1372" s="10">
        <f>IFERROR(_xlfn.XLOOKUP(C1372,[1]AttributeName!$C:$C,[1]AttributeName!$B:$B),"")</f>
        <v>11009</v>
      </c>
      <c r="P1372" s="10"/>
      <c r="Q1372">
        <v>0.26</v>
      </c>
      <c r="R1372">
        <v>0.3</v>
      </c>
      <c r="S1372" cm="1">
        <f t="array" ref="S1372">IFERROR(_xlfn.SWITCH(L1372,1,_xlfn.XLOOKUP(O1372,[1]AttributeName!$B:$B,[1]AttributeName!$D:$D),2,_xlfn.XLOOKUP(C1372,#REF!,#REF!),3,_xlfn.XLOOKUP(C1372,#REF!,#REF!)),0)</f>
        <v>2</v>
      </c>
      <c r="T1372" cm="1">
        <f t="array" ref="T1372">IFERROR(_xlfn.SWITCH(L1372,1,_xlfn.XLOOKUP(O1372,[1]AttributeName!$B:$B,[1]AttributeName!$E:$E),2,_xlfn.XLOOKUP(C1372,#REF!,#REF!),3,_xlfn.XLOOKUP(C1372,#REF!,#REF!)),0)</f>
        <v>2</v>
      </c>
    </row>
    <row r="1373" customFormat="1" spans="1:20">
      <c r="A1373">
        <f t="shared" si="60"/>
        <v>567</v>
      </c>
      <c r="B1373">
        <v>4</v>
      </c>
      <c r="C1373" t="s">
        <v>409</v>
      </c>
      <c r="D1373" t="s">
        <v>28</v>
      </c>
      <c r="E1373" s="13" t="s">
        <v>392</v>
      </c>
      <c r="F1373"/>
      <c r="G1373">
        <v>2</v>
      </c>
      <c r="H1373">
        <v>1000</v>
      </c>
      <c r="J1373" cm="1">
        <f t="array" ref="J1373">_xlfn.SWITCH(B1373,1,75,2,61,3,49,4,37,5,25,6,13,7,4,8,1)</f>
        <v>37</v>
      </c>
      <c r="K1373" t="str" cm="1">
        <f t="array" ref="K1373">IFERROR(_xlfn.SWITCH(L1373,2,_xlfn.XLOOKUP(C1373,[1]ModifierDes!$B:$B,[1]ModifierDes!$C:$C),3,_xlfn.XLOOKUP(C1373,[1]StuntDes!$B:$B,[1]StuntDes!$C:$C)),"")</f>
        <v/>
      </c>
      <c r="L1373">
        <f t="shared" si="58"/>
        <v>1</v>
      </c>
      <c r="M1373" s="10" t="str">
        <f>IFERROR(_xlfn.XLOOKUP(C1373,[1]StuntDes!$B:$B,[1]StuntDes!$A:$A),"")</f>
        <v/>
      </c>
      <c r="N1373" s="10" t="str">
        <f>IFERROR(_xlfn.XLOOKUP(C1373,[1]ModifierDes!$B:$B,[1]ModifierDes!$A:$A),"")</f>
        <v/>
      </c>
      <c r="O1373" s="10">
        <f>IFERROR(_xlfn.XLOOKUP(C1373,[1]AttributeName!$C:$C,[1]AttributeName!$B:$B),"")</f>
        <v>11009</v>
      </c>
      <c r="P1373" s="10"/>
      <c r="Q1373">
        <v>0.21</v>
      </c>
      <c r="R1373">
        <v>0.25</v>
      </c>
      <c r="S1373" cm="1">
        <f t="array" ref="S1373">IFERROR(_xlfn.SWITCH(L1373,1,_xlfn.XLOOKUP(O1373,[1]AttributeName!$B:$B,[1]AttributeName!$D:$D),2,_xlfn.XLOOKUP(C1373,#REF!,#REF!),3,_xlfn.XLOOKUP(C1373,#REF!,#REF!)),0)</f>
        <v>2</v>
      </c>
      <c r="T1373" cm="1">
        <f t="array" ref="T1373">IFERROR(_xlfn.SWITCH(L1373,1,_xlfn.XLOOKUP(O1373,[1]AttributeName!$B:$B,[1]AttributeName!$E:$E),2,_xlfn.XLOOKUP(C1373,#REF!,#REF!),3,_xlfn.XLOOKUP(C1373,#REF!,#REF!)),0)</f>
        <v>2</v>
      </c>
    </row>
    <row r="1374" customFormat="1" spans="1:20">
      <c r="A1374">
        <f t="shared" si="60"/>
        <v>567</v>
      </c>
      <c r="B1374">
        <v>5</v>
      </c>
      <c r="C1374" t="s">
        <v>409</v>
      </c>
      <c r="D1374" t="s">
        <v>28</v>
      </c>
      <c r="E1374" s="13" t="s">
        <v>392</v>
      </c>
      <c r="F1374"/>
      <c r="G1374">
        <v>2</v>
      </c>
      <c r="H1374">
        <v>1000</v>
      </c>
      <c r="J1374" cm="1">
        <f t="array" ref="J1374">_xlfn.SWITCH(B1374,1,75,2,61,3,49,4,37,5,25,6,13,7,4,8,1)</f>
        <v>25</v>
      </c>
      <c r="K1374" t="str" cm="1">
        <f t="array" ref="K1374">IFERROR(_xlfn.SWITCH(L1374,2,_xlfn.XLOOKUP(C1374,[1]ModifierDes!$B:$B,[1]ModifierDes!$C:$C),3,_xlfn.XLOOKUP(C1374,[1]StuntDes!$B:$B,[1]StuntDes!$C:$C)),"")</f>
        <v/>
      </c>
      <c r="L1374">
        <f t="shared" si="58"/>
        <v>1</v>
      </c>
      <c r="M1374" s="10" t="str">
        <f>IFERROR(_xlfn.XLOOKUP(C1374,[1]StuntDes!$B:$B,[1]StuntDes!$A:$A),"")</f>
        <v/>
      </c>
      <c r="N1374" s="10" t="str">
        <f>IFERROR(_xlfn.XLOOKUP(C1374,[1]ModifierDes!$B:$B,[1]ModifierDes!$A:$A),"")</f>
        <v/>
      </c>
      <c r="O1374" s="10">
        <f>IFERROR(_xlfn.XLOOKUP(C1374,[1]AttributeName!$C:$C,[1]AttributeName!$B:$B),"")</f>
        <v>11009</v>
      </c>
      <c r="P1374" s="10"/>
      <c r="Q1374">
        <v>0.16</v>
      </c>
      <c r="R1374">
        <v>0.2</v>
      </c>
      <c r="S1374" cm="1">
        <f t="array" ref="S1374">IFERROR(_xlfn.SWITCH(L1374,1,_xlfn.XLOOKUP(O1374,[1]AttributeName!$B:$B,[1]AttributeName!$D:$D),2,_xlfn.XLOOKUP(C1374,#REF!,#REF!),3,_xlfn.XLOOKUP(C1374,#REF!,#REF!)),0)</f>
        <v>2</v>
      </c>
      <c r="T1374" cm="1">
        <f t="array" ref="T1374">IFERROR(_xlfn.SWITCH(L1374,1,_xlfn.XLOOKUP(O1374,[1]AttributeName!$B:$B,[1]AttributeName!$E:$E),2,_xlfn.XLOOKUP(C1374,#REF!,#REF!),3,_xlfn.XLOOKUP(C1374,#REF!,#REF!)),0)</f>
        <v>2</v>
      </c>
    </row>
    <row r="1375" customFormat="1" spans="1:20">
      <c r="A1375">
        <f t="shared" si="60"/>
        <v>567</v>
      </c>
      <c r="B1375">
        <v>6</v>
      </c>
      <c r="C1375" t="s">
        <v>409</v>
      </c>
      <c r="D1375" t="s">
        <v>28</v>
      </c>
      <c r="E1375" s="13" t="s">
        <v>392</v>
      </c>
      <c r="F1375"/>
      <c r="G1375">
        <v>2</v>
      </c>
      <c r="H1375">
        <v>1000</v>
      </c>
      <c r="J1375" cm="1">
        <f t="array" ref="J1375">_xlfn.SWITCH(B1375,1,75,2,61,3,49,4,37,5,25,6,13,7,4,8,1)</f>
        <v>13</v>
      </c>
      <c r="K1375" t="str" cm="1">
        <f t="array" ref="K1375">IFERROR(_xlfn.SWITCH(L1375,2,_xlfn.XLOOKUP(C1375,[1]ModifierDes!$B:$B,[1]ModifierDes!$C:$C),3,_xlfn.XLOOKUP(C1375,[1]StuntDes!$B:$B,[1]StuntDes!$C:$C)),"")</f>
        <v/>
      </c>
      <c r="L1375">
        <f t="shared" si="58"/>
        <v>1</v>
      </c>
      <c r="M1375" s="10" t="str">
        <f>IFERROR(_xlfn.XLOOKUP(C1375,[1]StuntDes!$B:$B,[1]StuntDes!$A:$A),"")</f>
        <v/>
      </c>
      <c r="N1375" s="10" t="str">
        <f>IFERROR(_xlfn.XLOOKUP(C1375,[1]ModifierDes!$B:$B,[1]ModifierDes!$A:$A),"")</f>
        <v/>
      </c>
      <c r="O1375" s="10">
        <f>IFERROR(_xlfn.XLOOKUP(C1375,[1]AttributeName!$C:$C,[1]AttributeName!$B:$B),"")</f>
        <v>11009</v>
      </c>
      <c r="P1375" s="10"/>
      <c r="Q1375">
        <v>0.11</v>
      </c>
      <c r="R1375">
        <v>0.15</v>
      </c>
      <c r="S1375" cm="1">
        <f t="array" ref="S1375">IFERROR(_xlfn.SWITCH(L1375,1,_xlfn.XLOOKUP(O1375,[1]AttributeName!$B:$B,[1]AttributeName!$D:$D),2,_xlfn.XLOOKUP(C1375,#REF!,#REF!),3,_xlfn.XLOOKUP(C1375,#REF!,#REF!)),0)</f>
        <v>2</v>
      </c>
      <c r="T1375" cm="1">
        <f t="array" ref="T1375">IFERROR(_xlfn.SWITCH(L1375,1,_xlfn.XLOOKUP(O1375,[1]AttributeName!$B:$B,[1]AttributeName!$E:$E),2,_xlfn.XLOOKUP(C1375,#REF!,#REF!),3,_xlfn.XLOOKUP(C1375,#REF!,#REF!)),0)</f>
        <v>2</v>
      </c>
    </row>
    <row r="1376" customFormat="1" spans="1:20">
      <c r="A1376">
        <f t="shared" si="60"/>
        <v>567</v>
      </c>
      <c r="B1376">
        <v>7</v>
      </c>
      <c r="C1376" t="s">
        <v>409</v>
      </c>
      <c r="D1376" t="s">
        <v>28</v>
      </c>
      <c r="E1376" s="13" t="s">
        <v>392</v>
      </c>
      <c r="F1376"/>
      <c r="G1376">
        <v>2</v>
      </c>
      <c r="H1376">
        <v>1000</v>
      </c>
      <c r="J1376" cm="1">
        <f t="array" ref="J1376">_xlfn.SWITCH(B1376,1,75,2,61,3,49,4,37,5,25,6,13,7,4,8,1)</f>
        <v>4</v>
      </c>
      <c r="K1376" t="str" cm="1">
        <f t="array" ref="K1376">IFERROR(_xlfn.SWITCH(L1376,2,_xlfn.XLOOKUP(C1376,[1]ModifierDes!$B:$B,[1]ModifierDes!$C:$C),3,_xlfn.XLOOKUP(C1376,[1]StuntDes!$B:$B,[1]StuntDes!$C:$C)),"")</f>
        <v/>
      </c>
      <c r="L1376">
        <f t="shared" si="58"/>
        <v>1</v>
      </c>
      <c r="M1376" s="10" t="str">
        <f>IFERROR(_xlfn.XLOOKUP(C1376,[1]StuntDes!$B:$B,[1]StuntDes!$A:$A),"")</f>
        <v/>
      </c>
      <c r="N1376" s="10" t="str">
        <f>IFERROR(_xlfn.XLOOKUP(C1376,[1]ModifierDes!$B:$B,[1]ModifierDes!$A:$A),"")</f>
        <v/>
      </c>
      <c r="O1376" s="10">
        <f>IFERROR(_xlfn.XLOOKUP(C1376,[1]AttributeName!$C:$C,[1]AttributeName!$B:$B),"")</f>
        <v>11009</v>
      </c>
      <c r="P1376" s="10"/>
      <c r="Q1376">
        <v>0.06</v>
      </c>
      <c r="R1376">
        <v>0.1</v>
      </c>
      <c r="S1376" cm="1">
        <f t="array" ref="S1376">IFERROR(_xlfn.SWITCH(L1376,1,_xlfn.XLOOKUP(O1376,[1]AttributeName!$B:$B,[1]AttributeName!$D:$D),2,_xlfn.XLOOKUP(C1376,#REF!,#REF!),3,_xlfn.XLOOKUP(C1376,#REF!,#REF!)),0)</f>
        <v>2</v>
      </c>
      <c r="T1376" cm="1">
        <f t="array" ref="T1376">IFERROR(_xlfn.SWITCH(L1376,1,_xlfn.XLOOKUP(O1376,[1]AttributeName!$B:$B,[1]AttributeName!$E:$E),2,_xlfn.XLOOKUP(C1376,#REF!,#REF!),3,_xlfn.XLOOKUP(C1376,#REF!,#REF!)),0)</f>
        <v>2</v>
      </c>
    </row>
    <row r="1377" customFormat="1" spans="1:20">
      <c r="A1377">
        <f t="shared" si="60"/>
        <v>567</v>
      </c>
      <c r="B1377">
        <v>8</v>
      </c>
      <c r="C1377" t="s">
        <v>409</v>
      </c>
      <c r="D1377" t="s">
        <v>28</v>
      </c>
      <c r="E1377" s="13" t="s">
        <v>392</v>
      </c>
      <c r="F1377"/>
      <c r="G1377">
        <v>2</v>
      </c>
      <c r="H1377">
        <v>1000</v>
      </c>
      <c r="J1377" cm="1">
        <f t="array" ref="J1377">_xlfn.SWITCH(B1377,1,75,2,61,3,49,4,37,5,25,6,13,7,4,8,1)</f>
        <v>1</v>
      </c>
      <c r="K1377" t="str" cm="1">
        <f t="array" ref="K1377">IFERROR(_xlfn.SWITCH(L1377,2,_xlfn.XLOOKUP(C1377,[1]ModifierDes!$B:$B,[1]ModifierDes!$C:$C),3,_xlfn.XLOOKUP(C1377,[1]StuntDes!$B:$B,[1]StuntDes!$C:$C)),"")</f>
        <v/>
      </c>
      <c r="L1377">
        <f t="shared" si="58"/>
        <v>1</v>
      </c>
      <c r="M1377" s="10" t="str">
        <f>IFERROR(_xlfn.XLOOKUP(C1377,[1]StuntDes!$B:$B,[1]StuntDes!$A:$A),"")</f>
        <v/>
      </c>
      <c r="N1377" s="10" t="str">
        <f>IFERROR(_xlfn.XLOOKUP(C1377,[1]ModifierDes!$B:$B,[1]ModifierDes!$A:$A),"")</f>
        <v/>
      </c>
      <c r="O1377" s="10">
        <f>IFERROR(_xlfn.XLOOKUP(C1377,[1]AttributeName!$C:$C,[1]AttributeName!$B:$B),"")</f>
        <v>11009</v>
      </c>
      <c r="P1377" s="10"/>
      <c r="Q1377">
        <v>0.01</v>
      </c>
      <c r="R1377">
        <v>0.05</v>
      </c>
      <c r="S1377" cm="1">
        <f t="array" ref="S1377">IFERROR(_xlfn.SWITCH(L1377,1,_xlfn.XLOOKUP(O1377,[1]AttributeName!$B:$B,[1]AttributeName!$D:$D),2,_xlfn.XLOOKUP(C1377,#REF!,#REF!),3,_xlfn.XLOOKUP(C1377,#REF!,#REF!)),0)</f>
        <v>2</v>
      </c>
      <c r="T1377" cm="1">
        <f t="array" ref="T1377">IFERROR(_xlfn.SWITCH(L1377,1,_xlfn.XLOOKUP(O1377,[1]AttributeName!$B:$B,[1]AttributeName!$E:$E),2,_xlfn.XLOOKUP(C1377,#REF!,#REF!),3,_xlfn.XLOOKUP(C1377,#REF!,#REF!)),0)</f>
        <v>2</v>
      </c>
    </row>
    <row r="1378" customFormat="1" spans="1:20">
      <c r="A1378">
        <f t="shared" si="60"/>
        <v>568</v>
      </c>
      <c r="B1378">
        <v>1</v>
      </c>
      <c r="C1378" t="s">
        <v>410</v>
      </c>
      <c r="D1378" t="s">
        <v>28</v>
      </c>
      <c r="E1378" s="13" t="s">
        <v>392</v>
      </c>
      <c r="F1378"/>
      <c r="G1378">
        <v>2</v>
      </c>
      <c r="H1378">
        <v>500</v>
      </c>
      <c r="J1378" cm="1">
        <f t="array" ref="J1378">_xlfn.SWITCH(B1378,1,75,2,61,3,49,4,37,5,25,6,13,7,4,8,1)</f>
        <v>75</v>
      </c>
      <c r="K1378" t="str" cm="1">
        <f t="array" ref="K1378">IFERROR(_xlfn.SWITCH(L1378,2,_xlfn.XLOOKUP(C1378,[1]ModifierDes!$B:$B,[1]ModifierDes!$C:$C),3,_xlfn.XLOOKUP(C1378,[1]StuntDes!$B:$B,[1]StuntDes!$C:$C)),"")</f>
        <v/>
      </c>
      <c r="L1378">
        <f t="shared" si="58"/>
        <v>1</v>
      </c>
      <c r="M1378" s="10" t="str">
        <f>IFERROR(_xlfn.XLOOKUP(C1378,[1]StuntDes!$B:$B,[1]StuntDes!$A:$A),"")</f>
        <v/>
      </c>
      <c r="N1378" s="10" t="str">
        <f>IFERROR(_xlfn.XLOOKUP(C1378,[1]ModifierDes!$B:$B,[1]ModifierDes!$A:$A),"")</f>
        <v/>
      </c>
      <c r="O1378" s="10">
        <f>IFERROR(_xlfn.XLOOKUP(C1378,[1]AttributeName!$C:$C,[1]AttributeName!$B:$B),"")</f>
        <v>10803</v>
      </c>
      <c r="P1378" s="10"/>
      <c r="Q1378">
        <v>0.36</v>
      </c>
      <c r="R1378">
        <v>0.4</v>
      </c>
      <c r="S1378" cm="1">
        <f t="array" ref="S1378">IFERROR(_xlfn.SWITCH(L1378,1,_xlfn.XLOOKUP(O1378,[1]AttributeName!$B:$B,[1]AttributeName!$D:$D),2,_xlfn.XLOOKUP(C1378,#REF!,#REF!),3,_xlfn.XLOOKUP(C1378,#REF!,#REF!)),0)</f>
        <v>2</v>
      </c>
      <c r="T1378" cm="1">
        <f t="array" ref="T1378">IFERROR(_xlfn.SWITCH(L1378,1,_xlfn.XLOOKUP(O1378,[1]AttributeName!$B:$B,[1]AttributeName!$E:$E),2,_xlfn.XLOOKUP(C1378,#REF!,#REF!),3,_xlfn.XLOOKUP(C1378,#REF!,#REF!)),0)</f>
        <v>2</v>
      </c>
    </row>
    <row r="1379" customFormat="1" spans="1:20">
      <c r="A1379">
        <f t="shared" si="60"/>
        <v>568</v>
      </c>
      <c r="B1379">
        <v>2</v>
      </c>
      <c r="C1379" t="s">
        <v>410</v>
      </c>
      <c r="D1379" t="s">
        <v>28</v>
      </c>
      <c r="E1379" s="13" t="s">
        <v>392</v>
      </c>
      <c r="F1379"/>
      <c r="G1379">
        <v>2</v>
      </c>
      <c r="H1379">
        <v>500</v>
      </c>
      <c r="J1379" cm="1">
        <f t="array" ref="J1379">_xlfn.SWITCH(B1379,1,75,2,61,3,49,4,37,5,25,6,13,7,4,8,1)</f>
        <v>61</v>
      </c>
      <c r="K1379" t="str" cm="1">
        <f t="array" ref="K1379">IFERROR(_xlfn.SWITCH(L1379,2,_xlfn.XLOOKUP(C1379,[1]ModifierDes!$B:$B,[1]ModifierDes!$C:$C),3,_xlfn.XLOOKUP(C1379,[1]StuntDes!$B:$B,[1]StuntDes!$C:$C)),"")</f>
        <v/>
      </c>
      <c r="L1379">
        <f t="shared" si="58"/>
        <v>1</v>
      </c>
      <c r="M1379" s="10" t="str">
        <f>IFERROR(_xlfn.XLOOKUP(C1379,[1]StuntDes!$B:$B,[1]StuntDes!$A:$A),"")</f>
        <v/>
      </c>
      <c r="N1379" s="10" t="str">
        <f>IFERROR(_xlfn.XLOOKUP(C1379,[1]ModifierDes!$B:$B,[1]ModifierDes!$A:$A),"")</f>
        <v/>
      </c>
      <c r="O1379" s="10">
        <f>IFERROR(_xlfn.XLOOKUP(C1379,[1]AttributeName!$C:$C,[1]AttributeName!$B:$B),"")</f>
        <v>10803</v>
      </c>
      <c r="P1379" s="10"/>
      <c r="Q1379">
        <v>0.31</v>
      </c>
      <c r="R1379">
        <v>0.35</v>
      </c>
      <c r="S1379" cm="1">
        <f t="array" ref="S1379">IFERROR(_xlfn.SWITCH(L1379,1,_xlfn.XLOOKUP(O1379,[1]AttributeName!$B:$B,[1]AttributeName!$D:$D),2,_xlfn.XLOOKUP(C1379,#REF!,#REF!),3,_xlfn.XLOOKUP(C1379,#REF!,#REF!)),0)</f>
        <v>2</v>
      </c>
      <c r="T1379" cm="1">
        <f t="array" ref="T1379">IFERROR(_xlfn.SWITCH(L1379,1,_xlfn.XLOOKUP(O1379,[1]AttributeName!$B:$B,[1]AttributeName!$E:$E),2,_xlfn.XLOOKUP(C1379,#REF!,#REF!),3,_xlfn.XLOOKUP(C1379,#REF!,#REF!)),0)</f>
        <v>2</v>
      </c>
    </row>
    <row r="1380" customFormat="1" spans="1:20">
      <c r="A1380">
        <f t="shared" si="60"/>
        <v>568</v>
      </c>
      <c r="B1380">
        <v>3</v>
      </c>
      <c r="C1380" t="s">
        <v>410</v>
      </c>
      <c r="D1380" t="s">
        <v>28</v>
      </c>
      <c r="E1380" s="13" t="s">
        <v>392</v>
      </c>
      <c r="F1380"/>
      <c r="G1380">
        <v>2</v>
      </c>
      <c r="H1380">
        <v>1000</v>
      </c>
      <c r="J1380" cm="1">
        <f t="array" ref="J1380">_xlfn.SWITCH(B1380,1,75,2,61,3,49,4,37,5,25,6,13,7,4,8,1)</f>
        <v>49</v>
      </c>
      <c r="K1380" t="str" cm="1">
        <f t="array" ref="K1380">IFERROR(_xlfn.SWITCH(L1380,2,_xlfn.XLOOKUP(C1380,[1]ModifierDes!$B:$B,[1]ModifierDes!$C:$C),3,_xlfn.XLOOKUP(C1380,[1]StuntDes!$B:$B,[1]StuntDes!$C:$C)),"")</f>
        <v/>
      </c>
      <c r="L1380">
        <f t="shared" si="58"/>
        <v>1</v>
      </c>
      <c r="M1380" s="10" t="str">
        <f>IFERROR(_xlfn.XLOOKUP(C1380,[1]StuntDes!$B:$B,[1]StuntDes!$A:$A),"")</f>
        <v/>
      </c>
      <c r="N1380" s="10" t="str">
        <f>IFERROR(_xlfn.XLOOKUP(C1380,[1]ModifierDes!$B:$B,[1]ModifierDes!$A:$A),"")</f>
        <v/>
      </c>
      <c r="O1380" s="10">
        <f>IFERROR(_xlfn.XLOOKUP(C1380,[1]AttributeName!$C:$C,[1]AttributeName!$B:$B),"")</f>
        <v>10803</v>
      </c>
      <c r="P1380" s="10"/>
      <c r="Q1380">
        <v>0.26</v>
      </c>
      <c r="R1380">
        <v>0.3</v>
      </c>
      <c r="S1380" cm="1">
        <f t="array" ref="S1380">IFERROR(_xlfn.SWITCH(L1380,1,_xlfn.XLOOKUP(O1380,[1]AttributeName!$B:$B,[1]AttributeName!$D:$D),2,_xlfn.XLOOKUP(C1380,#REF!,#REF!),3,_xlfn.XLOOKUP(C1380,#REF!,#REF!)),0)</f>
        <v>2</v>
      </c>
      <c r="T1380" cm="1">
        <f t="array" ref="T1380">IFERROR(_xlfn.SWITCH(L1380,1,_xlfn.XLOOKUP(O1380,[1]AttributeName!$B:$B,[1]AttributeName!$E:$E),2,_xlfn.XLOOKUP(C1380,#REF!,#REF!),3,_xlfn.XLOOKUP(C1380,#REF!,#REF!)),0)</f>
        <v>2</v>
      </c>
    </row>
    <row r="1381" customFormat="1" spans="1:20">
      <c r="A1381">
        <f t="shared" si="60"/>
        <v>568</v>
      </c>
      <c r="B1381">
        <v>4</v>
      </c>
      <c r="C1381" t="s">
        <v>410</v>
      </c>
      <c r="D1381" t="s">
        <v>28</v>
      </c>
      <c r="E1381" s="13" t="s">
        <v>392</v>
      </c>
      <c r="F1381"/>
      <c r="G1381">
        <v>2</v>
      </c>
      <c r="H1381">
        <v>1000</v>
      </c>
      <c r="J1381" cm="1">
        <f t="array" ref="J1381">_xlfn.SWITCH(B1381,1,75,2,61,3,49,4,37,5,25,6,13,7,4,8,1)</f>
        <v>37</v>
      </c>
      <c r="K1381" t="str" cm="1">
        <f t="array" ref="K1381">IFERROR(_xlfn.SWITCH(L1381,2,_xlfn.XLOOKUP(C1381,[1]ModifierDes!$B:$B,[1]ModifierDes!$C:$C),3,_xlfn.XLOOKUP(C1381,[1]StuntDes!$B:$B,[1]StuntDes!$C:$C)),"")</f>
        <v/>
      </c>
      <c r="L1381">
        <f t="shared" si="58"/>
        <v>1</v>
      </c>
      <c r="M1381" s="10" t="str">
        <f>IFERROR(_xlfn.XLOOKUP(C1381,[1]StuntDes!$B:$B,[1]StuntDes!$A:$A),"")</f>
        <v/>
      </c>
      <c r="N1381" s="10" t="str">
        <f>IFERROR(_xlfn.XLOOKUP(C1381,[1]ModifierDes!$B:$B,[1]ModifierDes!$A:$A),"")</f>
        <v/>
      </c>
      <c r="O1381" s="10">
        <f>IFERROR(_xlfn.XLOOKUP(C1381,[1]AttributeName!$C:$C,[1]AttributeName!$B:$B),"")</f>
        <v>10803</v>
      </c>
      <c r="P1381" s="10"/>
      <c r="Q1381">
        <v>0.21</v>
      </c>
      <c r="R1381">
        <v>0.25</v>
      </c>
      <c r="S1381" cm="1">
        <f t="array" ref="S1381">IFERROR(_xlfn.SWITCH(L1381,1,_xlfn.XLOOKUP(O1381,[1]AttributeName!$B:$B,[1]AttributeName!$D:$D),2,_xlfn.XLOOKUP(C1381,#REF!,#REF!),3,_xlfn.XLOOKUP(C1381,#REF!,#REF!)),0)</f>
        <v>2</v>
      </c>
      <c r="T1381" cm="1">
        <f t="array" ref="T1381">IFERROR(_xlfn.SWITCH(L1381,1,_xlfn.XLOOKUP(O1381,[1]AttributeName!$B:$B,[1]AttributeName!$E:$E),2,_xlfn.XLOOKUP(C1381,#REF!,#REF!),3,_xlfn.XLOOKUP(C1381,#REF!,#REF!)),0)</f>
        <v>2</v>
      </c>
    </row>
    <row r="1382" customFormat="1" spans="1:20">
      <c r="A1382">
        <f t="shared" si="60"/>
        <v>568</v>
      </c>
      <c r="B1382">
        <v>5</v>
      </c>
      <c r="C1382" t="s">
        <v>410</v>
      </c>
      <c r="D1382" t="s">
        <v>28</v>
      </c>
      <c r="E1382" s="13" t="s">
        <v>392</v>
      </c>
      <c r="F1382"/>
      <c r="G1382">
        <v>2</v>
      </c>
      <c r="H1382">
        <v>1000</v>
      </c>
      <c r="J1382" cm="1">
        <f t="array" ref="J1382">_xlfn.SWITCH(B1382,1,75,2,61,3,49,4,37,5,25,6,13,7,4,8,1)</f>
        <v>25</v>
      </c>
      <c r="K1382" t="str" cm="1">
        <f t="array" ref="K1382">IFERROR(_xlfn.SWITCH(L1382,2,_xlfn.XLOOKUP(C1382,[1]ModifierDes!$B:$B,[1]ModifierDes!$C:$C),3,_xlfn.XLOOKUP(C1382,[1]StuntDes!$B:$B,[1]StuntDes!$C:$C)),"")</f>
        <v/>
      </c>
      <c r="L1382">
        <f t="shared" si="58"/>
        <v>1</v>
      </c>
      <c r="M1382" s="10" t="str">
        <f>IFERROR(_xlfn.XLOOKUP(C1382,[1]StuntDes!$B:$B,[1]StuntDes!$A:$A),"")</f>
        <v/>
      </c>
      <c r="N1382" s="10" t="str">
        <f>IFERROR(_xlfn.XLOOKUP(C1382,[1]ModifierDes!$B:$B,[1]ModifierDes!$A:$A),"")</f>
        <v/>
      </c>
      <c r="O1382" s="10">
        <f>IFERROR(_xlfn.XLOOKUP(C1382,[1]AttributeName!$C:$C,[1]AttributeName!$B:$B),"")</f>
        <v>10803</v>
      </c>
      <c r="P1382" s="10"/>
      <c r="Q1382">
        <v>0.16</v>
      </c>
      <c r="R1382">
        <v>0.2</v>
      </c>
      <c r="S1382" cm="1">
        <f t="array" ref="S1382">IFERROR(_xlfn.SWITCH(L1382,1,_xlfn.XLOOKUP(O1382,[1]AttributeName!$B:$B,[1]AttributeName!$D:$D),2,_xlfn.XLOOKUP(C1382,#REF!,#REF!),3,_xlfn.XLOOKUP(C1382,#REF!,#REF!)),0)</f>
        <v>2</v>
      </c>
      <c r="T1382" cm="1">
        <f t="array" ref="T1382">IFERROR(_xlfn.SWITCH(L1382,1,_xlfn.XLOOKUP(O1382,[1]AttributeName!$B:$B,[1]AttributeName!$E:$E),2,_xlfn.XLOOKUP(C1382,#REF!,#REF!),3,_xlfn.XLOOKUP(C1382,#REF!,#REF!)),0)</f>
        <v>2</v>
      </c>
    </row>
    <row r="1383" customFormat="1" spans="1:20">
      <c r="A1383">
        <f t="shared" si="60"/>
        <v>568</v>
      </c>
      <c r="B1383">
        <v>6</v>
      </c>
      <c r="C1383" t="s">
        <v>410</v>
      </c>
      <c r="D1383" t="s">
        <v>28</v>
      </c>
      <c r="E1383" s="13" t="s">
        <v>392</v>
      </c>
      <c r="F1383"/>
      <c r="G1383">
        <v>2</v>
      </c>
      <c r="H1383">
        <v>1000</v>
      </c>
      <c r="J1383" cm="1">
        <f t="array" ref="J1383">_xlfn.SWITCH(B1383,1,75,2,61,3,49,4,37,5,25,6,13,7,4,8,1)</f>
        <v>13</v>
      </c>
      <c r="K1383" t="str" cm="1">
        <f t="array" ref="K1383">IFERROR(_xlfn.SWITCH(L1383,2,_xlfn.XLOOKUP(C1383,[1]ModifierDes!$B:$B,[1]ModifierDes!$C:$C),3,_xlfn.XLOOKUP(C1383,[1]StuntDes!$B:$B,[1]StuntDes!$C:$C)),"")</f>
        <v/>
      </c>
      <c r="L1383">
        <f t="shared" si="58"/>
        <v>1</v>
      </c>
      <c r="M1383" s="10" t="str">
        <f>IFERROR(_xlfn.XLOOKUP(C1383,[1]StuntDes!$B:$B,[1]StuntDes!$A:$A),"")</f>
        <v/>
      </c>
      <c r="N1383" s="10" t="str">
        <f>IFERROR(_xlfn.XLOOKUP(C1383,[1]ModifierDes!$B:$B,[1]ModifierDes!$A:$A),"")</f>
        <v/>
      </c>
      <c r="O1383" s="10">
        <f>IFERROR(_xlfn.XLOOKUP(C1383,[1]AttributeName!$C:$C,[1]AttributeName!$B:$B),"")</f>
        <v>10803</v>
      </c>
      <c r="P1383" s="10"/>
      <c r="Q1383">
        <v>0.11</v>
      </c>
      <c r="R1383">
        <v>0.15</v>
      </c>
      <c r="S1383" cm="1">
        <f t="array" ref="S1383">IFERROR(_xlfn.SWITCH(L1383,1,_xlfn.XLOOKUP(O1383,[1]AttributeName!$B:$B,[1]AttributeName!$D:$D),2,_xlfn.XLOOKUP(C1383,#REF!,#REF!),3,_xlfn.XLOOKUP(C1383,#REF!,#REF!)),0)</f>
        <v>2</v>
      </c>
      <c r="T1383" cm="1">
        <f t="array" ref="T1383">IFERROR(_xlfn.SWITCH(L1383,1,_xlfn.XLOOKUP(O1383,[1]AttributeName!$B:$B,[1]AttributeName!$E:$E),2,_xlfn.XLOOKUP(C1383,#REF!,#REF!),3,_xlfn.XLOOKUP(C1383,#REF!,#REF!)),0)</f>
        <v>2</v>
      </c>
    </row>
    <row r="1384" customFormat="1" spans="1:20">
      <c r="A1384">
        <f t="shared" si="60"/>
        <v>568</v>
      </c>
      <c r="B1384">
        <v>7</v>
      </c>
      <c r="C1384" t="s">
        <v>410</v>
      </c>
      <c r="D1384" t="s">
        <v>28</v>
      </c>
      <c r="E1384" s="13" t="s">
        <v>392</v>
      </c>
      <c r="F1384"/>
      <c r="G1384">
        <v>2</v>
      </c>
      <c r="H1384">
        <v>1000</v>
      </c>
      <c r="J1384" cm="1">
        <f t="array" ref="J1384">_xlfn.SWITCH(B1384,1,75,2,61,3,49,4,37,5,25,6,13,7,4,8,1)</f>
        <v>4</v>
      </c>
      <c r="K1384" t="str" cm="1">
        <f t="array" ref="K1384">IFERROR(_xlfn.SWITCH(L1384,2,_xlfn.XLOOKUP(C1384,[1]ModifierDes!$B:$B,[1]ModifierDes!$C:$C),3,_xlfn.XLOOKUP(C1384,[1]StuntDes!$B:$B,[1]StuntDes!$C:$C)),"")</f>
        <v/>
      </c>
      <c r="L1384">
        <f t="shared" si="58"/>
        <v>1</v>
      </c>
      <c r="M1384" s="10" t="str">
        <f>IFERROR(_xlfn.XLOOKUP(C1384,[1]StuntDes!$B:$B,[1]StuntDes!$A:$A),"")</f>
        <v/>
      </c>
      <c r="N1384" s="10" t="str">
        <f>IFERROR(_xlfn.XLOOKUP(C1384,[1]ModifierDes!$B:$B,[1]ModifierDes!$A:$A),"")</f>
        <v/>
      </c>
      <c r="O1384" s="10">
        <f>IFERROR(_xlfn.XLOOKUP(C1384,[1]AttributeName!$C:$C,[1]AttributeName!$B:$B),"")</f>
        <v>10803</v>
      </c>
      <c r="P1384" s="10"/>
      <c r="Q1384">
        <v>0.06</v>
      </c>
      <c r="R1384">
        <v>0.1</v>
      </c>
      <c r="S1384" cm="1">
        <f t="array" ref="S1384">IFERROR(_xlfn.SWITCH(L1384,1,_xlfn.XLOOKUP(O1384,[1]AttributeName!$B:$B,[1]AttributeName!$D:$D),2,_xlfn.XLOOKUP(C1384,#REF!,#REF!),3,_xlfn.XLOOKUP(C1384,#REF!,#REF!)),0)</f>
        <v>2</v>
      </c>
      <c r="T1384" cm="1">
        <f t="array" ref="T1384">IFERROR(_xlfn.SWITCH(L1384,1,_xlfn.XLOOKUP(O1384,[1]AttributeName!$B:$B,[1]AttributeName!$E:$E),2,_xlfn.XLOOKUP(C1384,#REF!,#REF!),3,_xlfn.XLOOKUP(C1384,#REF!,#REF!)),0)</f>
        <v>2</v>
      </c>
    </row>
    <row r="1385" customFormat="1" spans="1:20">
      <c r="A1385">
        <f t="shared" si="60"/>
        <v>568</v>
      </c>
      <c r="B1385">
        <v>8</v>
      </c>
      <c r="C1385" t="s">
        <v>410</v>
      </c>
      <c r="D1385" t="s">
        <v>28</v>
      </c>
      <c r="E1385" s="13" t="s">
        <v>392</v>
      </c>
      <c r="F1385"/>
      <c r="G1385">
        <v>2</v>
      </c>
      <c r="H1385">
        <v>1000</v>
      </c>
      <c r="J1385" cm="1">
        <f t="array" ref="J1385">_xlfn.SWITCH(B1385,1,75,2,61,3,49,4,37,5,25,6,13,7,4,8,1)</f>
        <v>1</v>
      </c>
      <c r="K1385" t="str" cm="1">
        <f t="array" ref="K1385">IFERROR(_xlfn.SWITCH(L1385,2,_xlfn.XLOOKUP(C1385,[1]ModifierDes!$B:$B,[1]ModifierDes!$C:$C),3,_xlfn.XLOOKUP(C1385,[1]StuntDes!$B:$B,[1]StuntDes!$C:$C)),"")</f>
        <v/>
      </c>
      <c r="L1385">
        <f t="shared" si="58"/>
        <v>1</v>
      </c>
      <c r="M1385" s="10" t="str">
        <f>IFERROR(_xlfn.XLOOKUP(C1385,[1]StuntDes!$B:$B,[1]StuntDes!$A:$A),"")</f>
        <v/>
      </c>
      <c r="N1385" s="10" t="str">
        <f>IFERROR(_xlfn.XLOOKUP(C1385,[1]ModifierDes!$B:$B,[1]ModifierDes!$A:$A),"")</f>
        <v/>
      </c>
      <c r="O1385" s="10">
        <f>IFERROR(_xlfn.XLOOKUP(C1385,[1]AttributeName!$C:$C,[1]AttributeName!$B:$B),"")</f>
        <v>10803</v>
      </c>
      <c r="P1385" s="10"/>
      <c r="Q1385">
        <v>0.01</v>
      </c>
      <c r="R1385">
        <v>0.05</v>
      </c>
      <c r="S1385" cm="1">
        <f t="array" ref="S1385">IFERROR(_xlfn.SWITCH(L1385,1,_xlfn.XLOOKUP(O1385,[1]AttributeName!$B:$B,[1]AttributeName!$D:$D),2,_xlfn.XLOOKUP(C1385,#REF!,#REF!),3,_xlfn.XLOOKUP(C1385,#REF!,#REF!)),0)</f>
        <v>2</v>
      </c>
      <c r="T1385" cm="1">
        <f t="array" ref="T1385">IFERROR(_xlfn.SWITCH(L1385,1,_xlfn.XLOOKUP(O1385,[1]AttributeName!$B:$B,[1]AttributeName!$E:$E),2,_xlfn.XLOOKUP(C1385,#REF!,#REF!),3,_xlfn.XLOOKUP(C1385,#REF!,#REF!)),0)</f>
        <v>2</v>
      </c>
    </row>
    <row r="1386" customFormat="1" spans="1:20">
      <c r="A1386">
        <f t="shared" si="60"/>
        <v>569</v>
      </c>
      <c r="B1386">
        <v>1</v>
      </c>
      <c r="C1386" t="s">
        <v>411</v>
      </c>
      <c r="D1386" t="s">
        <v>28</v>
      </c>
      <c r="E1386" s="13" t="s">
        <v>392</v>
      </c>
      <c r="F1386"/>
      <c r="G1386">
        <v>2</v>
      </c>
      <c r="H1386">
        <v>500</v>
      </c>
      <c r="J1386" cm="1">
        <f t="array" ref="J1386">_xlfn.SWITCH(B1386,1,75,2,61,3,49,4,37,5,25,6,13,7,4,8,1)</f>
        <v>75</v>
      </c>
      <c r="K1386" t="str" cm="1">
        <f t="array" ref="K1386">IFERROR(_xlfn.SWITCH(L1386,2,_xlfn.XLOOKUP(C1386,[1]ModifierDes!$B:$B,[1]ModifierDes!$C:$C),3,_xlfn.XLOOKUP(C1386,[1]StuntDes!$B:$B,[1]StuntDes!$C:$C)),"")</f>
        <v/>
      </c>
      <c r="L1386">
        <f t="shared" si="58"/>
        <v>1</v>
      </c>
      <c r="M1386" s="10" t="str">
        <f>IFERROR(_xlfn.XLOOKUP(C1386,[1]StuntDes!$B:$B,[1]StuntDes!$A:$A),"")</f>
        <v/>
      </c>
      <c r="N1386" s="10" t="str">
        <f>IFERROR(_xlfn.XLOOKUP(C1386,[1]ModifierDes!$B:$B,[1]ModifierDes!$A:$A),"")</f>
        <v/>
      </c>
      <c r="O1386" s="10">
        <f>IFERROR(_xlfn.XLOOKUP(C1386,[1]AttributeName!$C:$C,[1]AttributeName!$B:$B),"")</f>
        <v>10804</v>
      </c>
      <c r="P1386" s="10"/>
      <c r="Q1386">
        <v>0.36</v>
      </c>
      <c r="R1386">
        <v>0.4</v>
      </c>
      <c r="S1386" cm="1">
        <f t="array" ref="S1386">IFERROR(_xlfn.SWITCH(L1386,1,_xlfn.XLOOKUP(O1386,[1]AttributeName!$B:$B,[1]AttributeName!$D:$D),2,_xlfn.XLOOKUP(C1386,#REF!,#REF!),3,_xlfn.XLOOKUP(C1386,#REF!,#REF!)),0)</f>
        <v>2</v>
      </c>
      <c r="T1386" cm="1">
        <f t="array" ref="T1386">IFERROR(_xlfn.SWITCH(L1386,1,_xlfn.XLOOKUP(O1386,[1]AttributeName!$B:$B,[1]AttributeName!$E:$E),2,_xlfn.XLOOKUP(C1386,#REF!,#REF!),3,_xlfn.XLOOKUP(C1386,#REF!,#REF!)),0)</f>
        <v>2</v>
      </c>
    </row>
    <row r="1387" customFormat="1" spans="1:20">
      <c r="A1387">
        <f t="shared" si="60"/>
        <v>569</v>
      </c>
      <c r="B1387">
        <v>2</v>
      </c>
      <c r="C1387" t="s">
        <v>411</v>
      </c>
      <c r="D1387" t="s">
        <v>28</v>
      </c>
      <c r="E1387" s="13" t="s">
        <v>392</v>
      </c>
      <c r="F1387"/>
      <c r="G1387">
        <v>2</v>
      </c>
      <c r="H1387">
        <v>500</v>
      </c>
      <c r="J1387" cm="1">
        <f t="array" ref="J1387">_xlfn.SWITCH(B1387,1,75,2,61,3,49,4,37,5,25,6,13,7,4,8,1)</f>
        <v>61</v>
      </c>
      <c r="K1387" t="str" cm="1">
        <f t="array" ref="K1387">IFERROR(_xlfn.SWITCH(L1387,2,_xlfn.XLOOKUP(C1387,[1]ModifierDes!$B:$B,[1]ModifierDes!$C:$C),3,_xlfn.XLOOKUP(C1387,[1]StuntDes!$B:$B,[1]StuntDes!$C:$C)),"")</f>
        <v/>
      </c>
      <c r="L1387">
        <f t="shared" si="58"/>
        <v>1</v>
      </c>
      <c r="M1387" s="10" t="str">
        <f>IFERROR(_xlfn.XLOOKUP(C1387,[1]StuntDes!$B:$B,[1]StuntDes!$A:$A),"")</f>
        <v/>
      </c>
      <c r="N1387" s="10" t="str">
        <f>IFERROR(_xlfn.XLOOKUP(C1387,[1]ModifierDes!$B:$B,[1]ModifierDes!$A:$A),"")</f>
        <v/>
      </c>
      <c r="O1387" s="10">
        <f>IFERROR(_xlfn.XLOOKUP(C1387,[1]AttributeName!$C:$C,[1]AttributeName!$B:$B),"")</f>
        <v>10804</v>
      </c>
      <c r="P1387" s="10"/>
      <c r="Q1387">
        <v>0.31</v>
      </c>
      <c r="R1387">
        <v>0.35</v>
      </c>
      <c r="S1387" cm="1">
        <f t="array" ref="S1387">IFERROR(_xlfn.SWITCH(L1387,1,_xlfn.XLOOKUP(O1387,[1]AttributeName!$B:$B,[1]AttributeName!$D:$D),2,_xlfn.XLOOKUP(C1387,#REF!,#REF!),3,_xlfn.XLOOKUP(C1387,#REF!,#REF!)),0)</f>
        <v>2</v>
      </c>
      <c r="T1387" cm="1">
        <f t="array" ref="T1387">IFERROR(_xlfn.SWITCH(L1387,1,_xlfn.XLOOKUP(O1387,[1]AttributeName!$B:$B,[1]AttributeName!$E:$E),2,_xlfn.XLOOKUP(C1387,#REF!,#REF!),3,_xlfn.XLOOKUP(C1387,#REF!,#REF!)),0)</f>
        <v>2</v>
      </c>
    </row>
    <row r="1388" customFormat="1" spans="1:20">
      <c r="A1388">
        <f t="shared" si="60"/>
        <v>569</v>
      </c>
      <c r="B1388">
        <v>3</v>
      </c>
      <c r="C1388" t="s">
        <v>411</v>
      </c>
      <c r="D1388" t="s">
        <v>28</v>
      </c>
      <c r="E1388" s="13" t="s">
        <v>392</v>
      </c>
      <c r="F1388"/>
      <c r="G1388">
        <v>2</v>
      </c>
      <c r="H1388">
        <v>1000</v>
      </c>
      <c r="J1388" cm="1">
        <f t="array" ref="J1388">_xlfn.SWITCH(B1388,1,75,2,61,3,49,4,37,5,25,6,13,7,4,8,1)</f>
        <v>49</v>
      </c>
      <c r="K1388" t="str" cm="1">
        <f t="array" ref="K1388">IFERROR(_xlfn.SWITCH(L1388,2,_xlfn.XLOOKUP(C1388,[1]ModifierDes!$B:$B,[1]ModifierDes!$C:$C),3,_xlfn.XLOOKUP(C1388,[1]StuntDes!$B:$B,[1]StuntDes!$C:$C)),"")</f>
        <v/>
      </c>
      <c r="L1388">
        <f t="shared" si="58"/>
        <v>1</v>
      </c>
      <c r="M1388" s="10" t="str">
        <f>IFERROR(_xlfn.XLOOKUP(C1388,[1]StuntDes!$B:$B,[1]StuntDes!$A:$A),"")</f>
        <v/>
      </c>
      <c r="N1388" s="10" t="str">
        <f>IFERROR(_xlfn.XLOOKUP(C1388,[1]ModifierDes!$B:$B,[1]ModifierDes!$A:$A),"")</f>
        <v/>
      </c>
      <c r="O1388" s="10">
        <f>IFERROR(_xlfn.XLOOKUP(C1388,[1]AttributeName!$C:$C,[1]AttributeName!$B:$B),"")</f>
        <v>10804</v>
      </c>
      <c r="P1388" s="10"/>
      <c r="Q1388">
        <v>0.26</v>
      </c>
      <c r="R1388">
        <v>0.3</v>
      </c>
      <c r="S1388" cm="1">
        <f t="array" ref="S1388">IFERROR(_xlfn.SWITCH(L1388,1,_xlfn.XLOOKUP(O1388,[1]AttributeName!$B:$B,[1]AttributeName!$D:$D),2,_xlfn.XLOOKUP(C1388,#REF!,#REF!),3,_xlfn.XLOOKUP(C1388,#REF!,#REF!)),0)</f>
        <v>2</v>
      </c>
      <c r="T1388" cm="1">
        <f t="array" ref="T1388">IFERROR(_xlfn.SWITCH(L1388,1,_xlfn.XLOOKUP(O1388,[1]AttributeName!$B:$B,[1]AttributeName!$E:$E),2,_xlfn.XLOOKUP(C1388,#REF!,#REF!),3,_xlfn.XLOOKUP(C1388,#REF!,#REF!)),0)</f>
        <v>2</v>
      </c>
    </row>
    <row r="1389" customFormat="1" spans="1:20">
      <c r="A1389">
        <f t="shared" si="60"/>
        <v>569</v>
      </c>
      <c r="B1389">
        <v>4</v>
      </c>
      <c r="C1389" t="s">
        <v>411</v>
      </c>
      <c r="D1389" t="s">
        <v>28</v>
      </c>
      <c r="E1389" s="13" t="s">
        <v>392</v>
      </c>
      <c r="F1389"/>
      <c r="G1389">
        <v>2</v>
      </c>
      <c r="H1389">
        <v>1000</v>
      </c>
      <c r="J1389" cm="1">
        <f t="array" ref="J1389">_xlfn.SWITCH(B1389,1,75,2,61,3,49,4,37,5,25,6,13,7,4,8,1)</f>
        <v>37</v>
      </c>
      <c r="K1389" t="str" cm="1">
        <f t="array" ref="K1389">IFERROR(_xlfn.SWITCH(L1389,2,_xlfn.XLOOKUP(C1389,[1]ModifierDes!$B:$B,[1]ModifierDes!$C:$C),3,_xlfn.XLOOKUP(C1389,[1]StuntDes!$B:$B,[1]StuntDes!$C:$C)),"")</f>
        <v/>
      </c>
      <c r="L1389">
        <f t="shared" si="58"/>
        <v>1</v>
      </c>
      <c r="M1389" s="10" t="str">
        <f>IFERROR(_xlfn.XLOOKUP(C1389,[1]StuntDes!$B:$B,[1]StuntDes!$A:$A),"")</f>
        <v/>
      </c>
      <c r="N1389" s="10" t="str">
        <f>IFERROR(_xlfn.XLOOKUP(C1389,[1]ModifierDes!$B:$B,[1]ModifierDes!$A:$A),"")</f>
        <v/>
      </c>
      <c r="O1389" s="10">
        <f>IFERROR(_xlfn.XLOOKUP(C1389,[1]AttributeName!$C:$C,[1]AttributeName!$B:$B),"")</f>
        <v>10804</v>
      </c>
      <c r="P1389" s="10"/>
      <c r="Q1389">
        <v>0.21</v>
      </c>
      <c r="R1389">
        <v>0.25</v>
      </c>
      <c r="S1389" cm="1">
        <f t="array" ref="S1389">IFERROR(_xlfn.SWITCH(L1389,1,_xlfn.XLOOKUP(O1389,[1]AttributeName!$B:$B,[1]AttributeName!$D:$D),2,_xlfn.XLOOKUP(C1389,#REF!,#REF!),3,_xlfn.XLOOKUP(C1389,#REF!,#REF!)),0)</f>
        <v>2</v>
      </c>
      <c r="T1389" cm="1">
        <f t="array" ref="T1389">IFERROR(_xlfn.SWITCH(L1389,1,_xlfn.XLOOKUP(O1389,[1]AttributeName!$B:$B,[1]AttributeName!$E:$E),2,_xlfn.XLOOKUP(C1389,#REF!,#REF!),3,_xlfn.XLOOKUP(C1389,#REF!,#REF!)),0)</f>
        <v>2</v>
      </c>
    </row>
    <row r="1390" customFormat="1" spans="1:20">
      <c r="A1390">
        <f t="shared" si="60"/>
        <v>569</v>
      </c>
      <c r="B1390">
        <v>5</v>
      </c>
      <c r="C1390" t="s">
        <v>411</v>
      </c>
      <c r="D1390" t="s">
        <v>28</v>
      </c>
      <c r="E1390" s="13" t="s">
        <v>392</v>
      </c>
      <c r="F1390"/>
      <c r="G1390">
        <v>2</v>
      </c>
      <c r="H1390">
        <v>1000</v>
      </c>
      <c r="J1390" cm="1">
        <f t="array" ref="J1390">_xlfn.SWITCH(B1390,1,75,2,61,3,49,4,37,5,25,6,13,7,4,8,1)</f>
        <v>25</v>
      </c>
      <c r="K1390" t="str" cm="1">
        <f t="array" ref="K1390">IFERROR(_xlfn.SWITCH(L1390,2,_xlfn.XLOOKUP(C1390,[1]ModifierDes!$B:$B,[1]ModifierDes!$C:$C),3,_xlfn.XLOOKUP(C1390,[1]StuntDes!$B:$B,[1]StuntDes!$C:$C)),"")</f>
        <v/>
      </c>
      <c r="L1390">
        <f t="shared" si="58"/>
        <v>1</v>
      </c>
      <c r="M1390" s="10" t="str">
        <f>IFERROR(_xlfn.XLOOKUP(C1390,[1]StuntDes!$B:$B,[1]StuntDes!$A:$A),"")</f>
        <v/>
      </c>
      <c r="N1390" s="10" t="str">
        <f>IFERROR(_xlfn.XLOOKUP(C1390,[1]ModifierDes!$B:$B,[1]ModifierDes!$A:$A),"")</f>
        <v/>
      </c>
      <c r="O1390" s="10">
        <f>IFERROR(_xlfn.XLOOKUP(C1390,[1]AttributeName!$C:$C,[1]AttributeName!$B:$B),"")</f>
        <v>10804</v>
      </c>
      <c r="P1390" s="10"/>
      <c r="Q1390">
        <v>0.16</v>
      </c>
      <c r="R1390">
        <v>0.2</v>
      </c>
      <c r="S1390" cm="1">
        <f t="array" ref="S1390">IFERROR(_xlfn.SWITCH(L1390,1,_xlfn.XLOOKUP(O1390,[1]AttributeName!$B:$B,[1]AttributeName!$D:$D),2,_xlfn.XLOOKUP(C1390,#REF!,#REF!),3,_xlfn.XLOOKUP(C1390,#REF!,#REF!)),0)</f>
        <v>2</v>
      </c>
      <c r="T1390" cm="1">
        <f t="array" ref="T1390">IFERROR(_xlfn.SWITCH(L1390,1,_xlfn.XLOOKUP(O1390,[1]AttributeName!$B:$B,[1]AttributeName!$E:$E),2,_xlfn.XLOOKUP(C1390,#REF!,#REF!),3,_xlfn.XLOOKUP(C1390,#REF!,#REF!)),0)</f>
        <v>2</v>
      </c>
    </row>
    <row r="1391" customFormat="1" spans="1:20">
      <c r="A1391">
        <f t="shared" si="60"/>
        <v>569</v>
      </c>
      <c r="B1391">
        <v>6</v>
      </c>
      <c r="C1391" t="s">
        <v>411</v>
      </c>
      <c r="D1391" t="s">
        <v>28</v>
      </c>
      <c r="E1391" s="13" t="s">
        <v>392</v>
      </c>
      <c r="F1391"/>
      <c r="G1391">
        <v>2</v>
      </c>
      <c r="H1391">
        <v>1000</v>
      </c>
      <c r="J1391" cm="1">
        <f t="array" ref="J1391">_xlfn.SWITCH(B1391,1,75,2,61,3,49,4,37,5,25,6,13,7,4,8,1)</f>
        <v>13</v>
      </c>
      <c r="K1391" t="str" cm="1">
        <f t="array" ref="K1391">IFERROR(_xlfn.SWITCH(L1391,2,_xlfn.XLOOKUP(C1391,[1]ModifierDes!$B:$B,[1]ModifierDes!$C:$C),3,_xlfn.XLOOKUP(C1391,[1]StuntDes!$B:$B,[1]StuntDes!$C:$C)),"")</f>
        <v/>
      </c>
      <c r="L1391">
        <f t="shared" si="58"/>
        <v>1</v>
      </c>
      <c r="M1391" s="10" t="str">
        <f>IFERROR(_xlfn.XLOOKUP(C1391,[1]StuntDes!$B:$B,[1]StuntDes!$A:$A),"")</f>
        <v/>
      </c>
      <c r="N1391" s="10" t="str">
        <f>IFERROR(_xlfn.XLOOKUP(C1391,[1]ModifierDes!$B:$B,[1]ModifierDes!$A:$A),"")</f>
        <v/>
      </c>
      <c r="O1391" s="10">
        <f>IFERROR(_xlfn.XLOOKUP(C1391,[1]AttributeName!$C:$C,[1]AttributeName!$B:$B),"")</f>
        <v>10804</v>
      </c>
      <c r="P1391" s="10"/>
      <c r="Q1391">
        <v>0.11</v>
      </c>
      <c r="R1391">
        <v>0.15</v>
      </c>
      <c r="S1391" cm="1">
        <f t="array" ref="S1391">IFERROR(_xlfn.SWITCH(L1391,1,_xlfn.XLOOKUP(O1391,[1]AttributeName!$B:$B,[1]AttributeName!$D:$D),2,_xlfn.XLOOKUP(C1391,#REF!,#REF!),3,_xlfn.XLOOKUP(C1391,#REF!,#REF!)),0)</f>
        <v>2</v>
      </c>
      <c r="T1391" cm="1">
        <f t="array" ref="T1391">IFERROR(_xlfn.SWITCH(L1391,1,_xlfn.XLOOKUP(O1391,[1]AttributeName!$B:$B,[1]AttributeName!$E:$E),2,_xlfn.XLOOKUP(C1391,#REF!,#REF!),3,_xlfn.XLOOKUP(C1391,#REF!,#REF!)),0)</f>
        <v>2</v>
      </c>
    </row>
    <row r="1392" customFormat="1" spans="1:20">
      <c r="A1392">
        <f t="shared" si="60"/>
        <v>569</v>
      </c>
      <c r="B1392">
        <v>7</v>
      </c>
      <c r="C1392" t="s">
        <v>411</v>
      </c>
      <c r="D1392" t="s">
        <v>28</v>
      </c>
      <c r="E1392" s="13" t="s">
        <v>392</v>
      </c>
      <c r="F1392"/>
      <c r="G1392">
        <v>2</v>
      </c>
      <c r="H1392">
        <v>1000</v>
      </c>
      <c r="J1392" cm="1">
        <f t="array" ref="J1392">_xlfn.SWITCH(B1392,1,75,2,61,3,49,4,37,5,25,6,13,7,4,8,1)</f>
        <v>4</v>
      </c>
      <c r="K1392" t="str" cm="1">
        <f t="array" ref="K1392">IFERROR(_xlfn.SWITCH(L1392,2,_xlfn.XLOOKUP(C1392,[1]ModifierDes!$B:$B,[1]ModifierDes!$C:$C),3,_xlfn.XLOOKUP(C1392,[1]StuntDes!$B:$B,[1]StuntDes!$C:$C)),"")</f>
        <v/>
      </c>
      <c r="L1392">
        <f t="shared" si="58"/>
        <v>1</v>
      </c>
      <c r="M1392" s="10" t="str">
        <f>IFERROR(_xlfn.XLOOKUP(C1392,[1]StuntDes!$B:$B,[1]StuntDes!$A:$A),"")</f>
        <v/>
      </c>
      <c r="N1392" s="10" t="str">
        <f>IFERROR(_xlfn.XLOOKUP(C1392,[1]ModifierDes!$B:$B,[1]ModifierDes!$A:$A),"")</f>
        <v/>
      </c>
      <c r="O1392" s="10">
        <f>IFERROR(_xlfn.XLOOKUP(C1392,[1]AttributeName!$C:$C,[1]AttributeName!$B:$B),"")</f>
        <v>10804</v>
      </c>
      <c r="P1392" s="10"/>
      <c r="Q1392">
        <v>0.06</v>
      </c>
      <c r="R1392">
        <v>0.1</v>
      </c>
      <c r="S1392" cm="1">
        <f t="array" ref="S1392">IFERROR(_xlfn.SWITCH(L1392,1,_xlfn.XLOOKUP(O1392,[1]AttributeName!$B:$B,[1]AttributeName!$D:$D),2,_xlfn.XLOOKUP(C1392,#REF!,#REF!),3,_xlfn.XLOOKUP(C1392,#REF!,#REF!)),0)</f>
        <v>2</v>
      </c>
      <c r="T1392" cm="1">
        <f t="array" ref="T1392">IFERROR(_xlfn.SWITCH(L1392,1,_xlfn.XLOOKUP(O1392,[1]AttributeName!$B:$B,[1]AttributeName!$E:$E),2,_xlfn.XLOOKUP(C1392,#REF!,#REF!),3,_xlfn.XLOOKUP(C1392,#REF!,#REF!)),0)</f>
        <v>2</v>
      </c>
    </row>
    <row r="1393" customFormat="1" spans="1:20">
      <c r="A1393">
        <f t="shared" si="60"/>
        <v>569</v>
      </c>
      <c r="B1393">
        <v>8</v>
      </c>
      <c r="C1393" t="s">
        <v>411</v>
      </c>
      <c r="D1393" t="s">
        <v>28</v>
      </c>
      <c r="E1393" s="13" t="s">
        <v>392</v>
      </c>
      <c r="F1393"/>
      <c r="G1393">
        <v>2</v>
      </c>
      <c r="H1393">
        <v>1000</v>
      </c>
      <c r="J1393" cm="1">
        <f t="array" ref="J1393">_xlfn.SWITCH(B1393,1,75,2,61,3,49,4,37,5,25,6,13,7,4,8,1)</f>
        <v>1</v>
      </c>
      <c r="K1393" t="str" cm="1">
        <f t="array" ref="K1393">IFERROR(_xlfn.SWITCH(L1393,2,_xlfn.XLOOKUP(C1393,[1]ModifierDes!$B:$B,[1]ModifierDes!$C:$C),3,_xlfn.XLOOKUP(C1393,[1]StuntDes!$B:$B,[1]StuntDes!$C:$C)),"")</f>
        <v/>
      </c>
      <c r="L1393">
        <f t="shared" si="58"/>
        <v>1</v>
      </c>
      <c r="M1393" s="10" t="str">
        <f>IFERROR(_xlfn.XLOOKUP(C1393,[1]StuntDes!$B:$B,[1]StuntDes!$A:$A),"")</f>
        <v/>
      </c>
      <c r="N1393" s="10" t="str">
        <f>IFERROR(_xlfn.XLOOKUP(C1393,[1]ModifierDes!$B:$B,[1]ModifierDes!$A:$A),"")</f>
        <v/>
      </c>
      <c r="O1393" s="10">
        <f>IFERROR(_xlfn.XLOOKUP(C1393,[1]AttributeName!$C:$C,[1]AttributeName!$B:$B),"")</f>
        <v>10804</v>
      </c>
      <c r="P1393" s="10"/>
      <c r="Q1393">
        <v>0.01</v>
      </c>
      <c r="R1393">
        <v>0.05</v>
      </c>
      <c r="S1393" cm="1">
        <f t="array" ref="S1393">IFERROR(_xlfn.SWITCH(L1393,1,_xlfn.XLOOKUP(O1393,[1]AttributeName!$B:$B,[1]AttributeName!$D:$D),2,_xlfn.XLOOKUP(C1393,#REF!,#REF!),3,_xlfn.XLOOKUP(C1393,#REF!,#REF!)),0)</f>
        <v>2</v>
      </c>
      <c r="T1393" cm="1">
        <f t="array" ref="T1393">IFERROR(_xlfn.SWITCH(L1393,1,_xlfn.XLOOKUP(O1393,[1]AttributeName!$B:$B,[1]AttributeName!$E:$E),2,_xlfn.XLOOKUP(C1393,#REF!,#REF!),3,_xlfn.XLOOKUP(C1393,#REF!,#REF!)),0)</f>
        <v>2</v>
      </c>
    </row>
    <row r="1394" customFormat="1" spans="1:20">
      <c r="A1394">
        <f t="shared" si="60"/>
        <v>570</v>
      </c>
      <c r="B1394">
        <v>1</v>
      </c>
      <c r="C1394" t="s">
        <v>412</v>
      </c>
      <c r="D1394" t="s">
        <v>28</v>
      </c>
      <c r="E1394" s="13" t="s">
        <v>392</v>
      </c>
      <c r="F1394"/>
      <c r="G1394">
        <v>2</v>
      </c>
      <c r="H1394">
        <v>1000</v>
      </c>
      <c r="J1394" cm="1">
        <f t="array" ref="J1394">_xlfn.SWITCH(B1394,1,75,2,61,3,49,4,37,5,25,6,13,7,4,8,1)</f>
        <v>75</v>
      </c>
      <c r="K1394" t="str" cm="1">
        <f t="array" ref="K1394">IFERROR(_xlfn.SWITCH(L1394,2,_xlfn.XLOOKUP(C1394,[1]ModifierDes!$B:$B,[1]ModifierDes!$C:$C),3,_xlfn.XLOOKUP(C1394,[1]StuntDes!$B:$B,[1]StuntDes!$C:$C)),"")</f>
        <v/>
      </c>
      <c r="L1394">
        <f t="shared" si="58"/>
        <v>1</v>
      </c>
      <c r="M1394" s="10" t="str">
        <f>IFERROR(_xlfn.XLOOKUP(C1394,[1]StuntDes!$B:$B,[1]StuntDes!$A:$A),"")</f>
        <v/>
      </c>
      <c r="N1394" s="10" t="str">
        <f>IFERROR(_xlfn.XLOOKUP(C1394,[1]ModifierDes!$B:$B,[1]ModifierDes!$A:$A),"")</f>
        <v/>
      </c>
      <c r="O1394" s="10">
        <f>IFERROR(_xlfn.XLOOKUP(C1394,[1]AttributeName!$C:$C,[1]AttributeName!$B:$B),"")</f>
        <v>10019</v>
      </c>
      <c r="P1394" s="10"/>
      <c r="Q1394">
        <v>12</v>
      </c>
      <c r="R1394">
        <v>14</v>
      </c>
      <c r="S1394" cm="1">
        <f t="array" ref="S1394">IFERROR(_xlfn.SWITCH(L1394,1,_xlfn.XLOOKUP(O1394,[1]AttributeName!$B:$B,[1]AttributeName!$D:$D),2,_xlfn.XLOOKUP(C1394,#REF!,#REF!),3,_xlfn.XLOOKUP(C1394,#REF!,#REF!)),0)</f>
        <v>0</v>
      </c>
      <c r="T1394" cm="1">
        <f t="array" ref="T1394">IFERROR(_xlfn.SWITCH(L1394,1,_xlfn.XLOOKUP(O1394,[1]AttributeName!$B:$B,[1]AttributeName!$E:$E),2,_xlfn.XLOOKUP(C1394,#REF!,#REF!),3,_xlfn.XLOOKUP(C1394,#REF!,#REF!)),0)</f>
        <v>1</v>
      </c>
    </row>
    <row r="1395" customFormat="1" spans="1:20">
      <c r="A1395">
        <f t="shared" si="60"/>
        <v>570</v>
      </c>
      <c r="B1395">
        <v>2</v>
      </c>
      <c r="C1395" t="s">
        <v>412</v>
      </c>
      <c r="D1395" t="s">
        <v>28</v>
      </c>
      <c r="E1395" s="13" t="s">
        <v>392</v>
      </c>
      <c r="F1395"/>
      <c r="G1395">
        <v>2</v>
      </c>
      <c r="H1395">
        <v>1000</v>
      </c>
      <c r="J1395" cm="1">
        <f t="array" ref="J1395">_xlfn.SWITCH(B1395,1,75,2,61,3,49,4,37,5,25,6,13,7,4,8,1)</f>
        <v>61</v>
      </c>
      <c r="K1395" t="str" cm="1">
        <f t="array" ref="K1395">IFERROR(_xlfn.SWITCH(L1395,2,_xlfn.XLOOKUP(C1395,[1]ModifierDes!$B:$B,[1]ModifierDes!$C:$C),3,_xlfn.XLOOKUP(C1395,[1]StuntDes!$B:$B,[1]StuntDes!$C:$C)),"")</f>
        <v/>
      </c>
      <c r="L1395">
        <f t="shared" si="58"/>
        <v>1</v>
      </c>
      <c r="M1395" s="10" t="str">
        <f>IFERROR(_xlfn.XLOOKUP(C1395,[1]StuntDes!$B:$B,[1]StuntDes!$A:$A),"")</f>
        <v/>
      </c>
      <c r="N1395" s="10" t="str">
        <f>IFERROR(_xlfn.XLOOKUP(C1395,[1]ModifierDes!$B:$B,[1]ModifierDes!$A:$A),"")</f>
        <v/>
      </c>
      <c r="O1395" s="10">
        <f>IFERROR(_xlfn.XLOOKUP(C1395,[1]AttributeName!$C:$C,[1]AttributeName!$B:$B),"")</f>
        <v>10019</v>
      </c>
      <c r="P1395" s="10"/>
      <c r="Q1395">
        <v>9</v>
      </c>
      <c r="R1395">
        <v>11</v>
      </c>
      <c r="S1395" cm="1">
        <f t="array" ref="S1395">IFERROR(_xlfn.SWITCH(L1395,1,_xlfn.XLOOKUP(O1395,[1]AttributeName!$B:$B,[1]AttributeName!$D:$D),2,_xlfn.XLOOKUP(C1395,#REF!,#REF!),3,_xlfn.XLOOKUP(C1395,#REF!,#REF!)),0)</f>
        <v>0</v>
      </c>
      <c r="T1395" cm="1">
        <f t="array" ref="T1395">IFERROR(_xlfn.SWITCH(L1395,1,_xlfn.XLOOKUP(O1395,[1]AttributeName!$B:$B,[1]AttributeName!$E:$E),2,_xlfn.XLOOKUP(C1395,#REF!,#REF!),3,_xlfn.XLOOKUP(C1395,#REF!,#REF!)),0)</f>
        <v>1</v>
      </c>
    </row>
    <row r="1396" customFormat="1" spans="1:20">
      <c r="A1396">
        <f t="shared" si="60"/>
        <v>570</v>
      </c>
      <c r="B1396">
        <v>3</v>
      </c>
      <c r="C1396" t="s">
        <v>412</v>
      </c>
      <c r="D1396" t="s">
        <v>28</v>
      </c>
      <c r="E1396" s="13" t="s">
        <v>392</v>
      </c>
      <c r="F1396"/>
      <c r="G1396">
        <v>2</v>
      </c>
      <c r="H1396">
        <v>1000</v>
      </c>
      <c r="J1396" cm="1">
        <f t="array" ref="J1396">_xlfn.SWITCH(B1396,1,75,2,61,3,49,4,37,5,25,6,13,7,4,8,1)</f>
        <v>49</v>
      </c>
      <c r="K1396" t="str" cm="1">
        <f t="array" ref="K1396">IFERROR(_xlfn.SWITCH(L1396,2,_xlfn.XLOOKUP(C1396,[1]ModifierDes!$B:$B,[1]ModifierDes!$C:$C),3,_xlfn.XLOOKUP(C1396,[1]StuntDes!$B:$B,[1]StuntDes!$C:$C)),"")</f>
        <v/>
      </c>
      <c r="L1396">
        <f t="shared" si="58"/>
        <v>1</v>
      </c>
      <c r="M1396" s="10" t="str">
        <f>IFERROR(_xlfn.XLOOKUP(C1396,[1]StuntDes!$B:$B,[1]StuntDes!$A:$A),"")</f>
        <v/>
      </c>
      <c r="N1396" s="10" t="str">
        <f>IFERROR(_xlfn.XLOOKUP(C1396,[1]ModifierDes!$B:$B,[1]ModifierDes!$A:$A),"")</f>
        <v/>
      </c>
      <c r="O1396" s="10">
        <f>IFERROR(_xlfn.XLOOKUP(C1396,[1]AttributeName!$C:$C,[1]AttributeName!$B:$B),"")</f>
        <v>10019</v>
      </c>
      <c r="P1396" s="10"/>
      <c r="Q1396">
        <v>6</v>
      </c>
      <c r="R1396">
        <v>8</v>
      </c>
      <c r="S1396" cm="1">
        <f t="array" ref="S1396">IFERROR(_xlfn.SWITCH(L1396,1,_xlfn.XLOOKUP(O1396,[1]AttributeName!$B:$B,[1]AttributeName!$D:$D),2,_xlfn.XLOOKUP(C1396,#REF!,#REF!),3,_xlfn.XLOOKUP(C1396,#REF!,#REF!)),0)</f>
        <v>0</v>
      </c>
      <c r="T1396" cm="1">
        <f t="array" ref="T1396">IFERROR(_xlfn.SWITCH(L1396,1,_xlfn.XLOOKUP(O1396,[1]AttributeName!$B:$B,[1]AttributeName!$E:$E),2,_xlfn.XLOOKUP(C1396,#REF!,#REF!),3,_xlfn.XLOOKUP(C1396,#REF!,#REF!)),0)</f>
        <v>1</v>
      </c>
    </row>
    <row r="1397" customFormat="1" spans="1:20">
      <c r="A1397">
        <f t="shared" si="60"/>
        <v>570</v>
      </c>
      <c r="B1397">
        <v>4</v>
      </c>
      <c r="C1397" t="s">
        <v>412</v>
      </c>
      <c r="D1397" t="s">
        <v>28</v>
      </c>
      <c r="E1397" s="13" t="s">
        <v>392</v>
      </c>
      <c r="F1397"/>
      <c r="G1397">
        <v>2</v>
      </c>
      <c r="H1397">
        <v>1000</v>
      </c>
      <c r="J1397" cm="1">
        <f t="array" ref="J1397">_xlfn.SWITCH(B1397,1,75,2,61,3,49,4,37,5,25,6,13,7,4,8,1)</f>
        <v>37</v>
      </c>
      <c r="K1397" t="str" cm="1">
        <f t="array" ref="K1397">IFERROR(_xlfn.SWITCH(L1397,2,_xlfn.XLOOKUP(C1397,[1]ModifierDes!$B:$B,[1]ModifierDes!$C:$C),3,_xlfn.XLOOKUP(C1397,[1]StuntDes!$B:$B,[1]StuntDes!$C:$C)),"")</f>
        <v/>
      </c>
      <c r="L1397">
        <f t="shared" si="58"/>
        <v>1</v>
      </c>
      <c r="M1397" s="10" t="str">
        <f>IFERROR(_xlfn.XLOOKUP(C1397,[1]StuntDes!$B:$B,[1]StuntDes!$A:$A),"")</f>
        <v/>
      </c>
      <c r="N1397" s="10" t="str">
        <f>IFERROR(_xlfn.XLOOKUP(C1397,[1]ModifierDes!$B:$B,[1]ModifierDes!$A:$A),"")</f>
        <v/>
      </c>
      <c r="O1397" s="10">
        <f>IFERROR(_xlfn.XLOOKUP(C1397,[1]AttributeName!$C:$C,[1]AttributeName!$B:$B),"")</f>
        <v>10019</v>
      </c>
      <c r="P1397" s="10"/>
      <c r="Q1397">
        <v>5</v>
      </c>
      <c r="R1397">
        <v>5</v>
      </c>
      <c r="S1397" cm="1">
        <f t="array" ref="S1397">IFERROR(_xlfn.SWITCH(L1397,1,_xlfn.XLOOKUP(O1397,[1]AttributeName!$B:$B,[1]AttributeName!$D:$D),2,_xlfn.XLOOKUP(C1397,#REF!,#REF!),3,_xlfn.XLOOKUP(C1397,#REF!,#REF!)),0)</f>
        <v>0</v>
      </c>
      <c r="T1397" cm="1">
        <f t="array" ref="T1397">IFERROR(_xlfn.SWITCH(L1397,1,_xlfn.XLOOKUP(O1397,[1]AttributeName!$B:$B,[1]AttributeName!$E:$E),2,_xlfn.XLOOKUP(C1397,#REF!,#REF!),3,_xlfn.XLOOKUP(C1397,#REF!,#REF!)),0)</f>
        <v>1</v>
      </c>
    </row>
    <row r="1398" customFormat="1" spans="1:20">
      <c r="A1398">
        <f t="shared" si="60"/>
        <v>570</v>
      </c>
      <c r="B1398">
        <v>5</v>
      </c>
      <c r="C1398" t="s">
        <v>412</v>
      </c>
      <c r="D1398" t="s">
        <v>28</v>
      </c>
      <c r="E1398" s="13" t="s">
        <v>392</v>
      </c>
      <c r="F1398"/>
      <c r="G1398">
        <v>2</v>
      </c>
      <c r="H1398">
        <v>1000</v>
      </c>
      <c r="J1398" cm="1">
        <f t="array" ref="J1398">_xlfn.SWITCH(B1398,1,75,2,61,3,49,4,37,5,25,6,13,7,4,8,1)</f>
        <v>25</v>
      </c>
      <c r="K1398" t="str" cm="1">
        <f t="array" ref="K1398">IFERROR(_xlfn.SWITCH(L1398,2,_xlfn.XLOOKUP(C1398,[1]ModifierDes!$B:$B,[1]ModifierDes!$C:$C),3,_xlfn.XLOOKUP(C1398,[1]StuntDes!$B:$B,[1]StuntDes!$C:$C)),"")</f>
        <v/>
      </c>
      <c r="L1398">
        <f t="shared" si="58"/>
        <v>1</v>
      </c>
      <c r="M1398" s="10" t="str">
        <f>IFERROR(_xlfn.XLOOKUP(C1398,[1]StuntDes!$B:$B,[1]StuntDes!$A:$A),"")</f>
        <v/>
      </c>
      <c r="N1398" s="10" t="str">
        <f>IFERROR(_xlfn.XLOOKUP(C1398,[1]ModifierDes!$B:$B,[1]ModifierDes!$A:$A),"")</f>
        <v/>
      </c>
      <c r="O1398" s="10">
        <f>IFERROR(_xlfn.XLOOKUP(C1398,[1]AttributeName!$C:$C,[1]AttributeName!$B:$B),"")</f>
        <v>10019</v>
      </c>
      <c r="P1398" s="10"/>
      <c r="Q1398">
        <v>4</v>
      </c>
      <c r="R1398">
        <v>4</v>
      </c>
      <c r="S1398" cm="1">
        <f t="array" ref="S1398">IFERROR(_xlfn.SWITCH(L1398,1,_xlfn.XLOOKUP(O1398,[1]AttributeName!$B:$B,[1]AttributeName!$D:$D),2,_xlfn.XLOOKUP(C1398,#REF!,#REF!),3,_xlfn.XLOOKUP(C1398,#REF!,#REF!)),0)</f>
        <v>0</v>
      </c>
      <c r="T1398" cm="1">
        <f t="array" ref="T1398">IFERROR(_xlfn.SWITCH(L1398,1,_xlfn.XLOOKUP(O1398,[1]AttributeName!$B:$B,[1]AttributeName!$E:$E),2,_xlfn.XLOOKUP(C1398,#REF!,#REF!),3,_xlfn.XLOOKUP(C1398,#REF!,#REF!)),0)</f>
        <v>1</v>
      </c>
    </row>
    <row r="1399" customFormat="1" spans="1:20">
      <c r="A1399">
        <f t="shared" si="60"/>
        <v>570</v>
      </c>
      <c r="B1399">
        <v>6</v>
      </c>
      <c r="C1399" t="s">
        <v>412</v>
      </c>
      <c r="D1399" t="s">
        <v>28</v>
      </c>
      <c r="E1399" s="13" t="s">
        <v>392</v>
      </c>
      <c r="F1399"/>
      <c r="G1399">
        <v>2</v>
      </c>
      <c r="H1399">
        <v>1000</v>
      </c>
      <c r="J1399" cm="1">
        <f t="array" ref="J1399">_xlfn.SWITCH(B1399,1,75,2,61,3,49,4,37,5,25,6,13,7,4,8,1)</f>
        <v>13</v>
      </c>
      <c r="K1399" t="str" cm="1">
        <f t="array" ref="K1399">IFERROR(_xlfn.SWITCH(L1399,2,_xlfn.XLOOKUP(C1399,[1]ModifierDes!$B:$B,[1]ModifierDes!$C:$C),3,_xlfn.XLOOKUP(C1399,[1]StuntDes!$B:$B,[1]StuntDes!$C:$C)),"")</f>
        <v/>
      </c>
      <c r="L1399">
        <f t="shared" si="58"/>
        <v>1</v>
      </c>
      <c r="M1399" s="10" t="str">
        <f>IFERROR(_xlfn.XLOOKUP(C1399,[1]StuntDes!$B:$B,[1]StuntDes!$A:$A),"")</f>
        <v/>
      </c>
      <c r="N1399" s="10" t="str">
        <f>IFERROR(_xlfn.XLOOKUP(C1399,[1]ModifierDes!$B:$B,[1]ModifierDes!$A:$A),"")</f>
        <v/>
      </c>
      <c r="O1399" s="10">
        <f>IFERROR(_xlfn.XLOOKUP(C1399,[1]AttributeName!$C:$C,[1]AttributeName!$B:$B),"")</f>
        <v>10019</v>
      </c>
      <c r="P1399" s="10"/>
      <c r="Q1399">
        <v>3</v>
      </c>
      <c r="R1399">
        <v>3</v>
      </c>
      <c r="S1399" cm="1">
        <f t="array" ref="S1399">IFERROR(_xlfn.SWITCH(L1399,1,_xlfn.XLOOKUP(O1399,[1]AttributeName!$B:$B,[1]AttributeName!$D:$D),2,_xlfn.XLOOKUP(C1399,#REF!,#REF!),3,_xlfn.XLOOKUP(C1399,#REF!,#REF!)),0)</f>
        <v>0</v>
      </c>
      <c r="T1399" cm="1">
        <f t="array" ref="T1399">IFERROR(_xlfn.SWITCH(L1399,1,_xlfn.XLOOKUP(O1399,[1]AttributeName!$B:$B,[1]AttributeName!$E:$E),2,_xlfn.XLOOKUP(C1399,#REF!,#REF!),3,_xlfn.XLOOKUP(C1399,#REF!,#REF!)),0)</f>
        <v>1</v>
      </c>
    </row>
    <row r="1400" customFormat="1" spans="1:20">
      <c r="A1400">
        <f t="shared" si="60"/>
        <v>570</v>
      </c>
      <c r="B1400">
        <v>7</v>
      </c>
      <c r="C1400" t="s">
        <v>412</v>
      </c>
      <c r="D1400" t="s">
        <v>28</v>
      </c>
      <c r="E1400" s="13" t="s">
        <v>392</v>
      </c>
      <c r="F1400"/>
      <c r="G1400">
        <v>2</v>
      </c>
      <c r="H1400">
        <v>1000</v>
      </c>
      <c r="J1400" cm="1">
        <f t="array" ref="J1400">_xlfn.SWITCH(B1400,1,75,2,61,3,49,4,37,5,25,6,13,7,4,8,1)</f>
        <v>4</v>
      </c>
      <c r="K1400" t="str" cm="1">
        <f t="array" ref="K1400">IFERROR(_xlfn.SWITCH(L1400,2,_xlfn.XLOOKUP(C1400,[1]ModifierDes!$B:$B,[1]ModifierDes!$C:$C),3,_xlfn.XLOOKUP(C1400,[1]StuntDes!$B:$B,[1]StuntDes!$C:$C)),"")</f>
        <v/>
      </c>
      <c r="L1400">
        <f t="shared" si="58"/>
        <v>1</v>
      </c>
      <c r="M1400" s="10" t="str">
        <f>IFERROR(_xlfn.XLOOKUP(C1400,[1]StuntDes!$B:$B,[1]StuntDes!$A:$A),"")</f>
        <v/>
      </c>
      <c r="N1400" s="10" t="str">
        <f>IFERROR(_xlfn.XLOOKUP(C1400,[1]ModifierDes!$B:$B,[1]ModifierDes!$A:$A),"")</f>
        <v/>
      </c>
      <c r="O1400" s="10">
        <f>IFERROR(_xlfn.XLOOKUP(C1400,[1]AttributeName!$C:$C,[1]AttributeName!$B:$B),"")</f>
        <v>10019</v>
      </c>
      <c r="P1400" s="10"/>
      <c r="Q1400">
        <v>2</v>
      </c>
      <c r="R1400">
        <v>2</v>
      </c>
      <c r="S1400" cm="1">
        <f t="array" ref="S1400">IFERROR(_xlfn.SWITCH(L1400,1,_xlfn.XLOOKUP(O1400,[1]AttributeName!$B:$B,[1]AttributeName!$D:$D),2,_xlfn.XLOOKUP(C1400,#REF!,#REF!),3,_xlfn.XLOOKUP(C1400,#REF!,#REF!)),0)</f>
        <v>0</v>
      </c>
      <c r="T1400" cm="1">
        <f t="array" ref="T1400">IFERROR(_xlfn.SWITCH(L1400,1,_xlfn.XLOOKUP(O1400,[1]AttributeName!$B:$B,[1]AttributeName!$E:$E),2,_xlfn.XLOOKUP(C1400,#REF!,#REF!),3,_xlfn.XLOOKUP(C1400,#REF!,#REF!)),0)</f>
        <v>1</v>
      </c>
    </row>
    <row r="1401" customFormat="1" spans="1:20">
      <c r="A1401">
        <f t="shared" si="60"/>
        <v>570</v>
      </c>
      <c r="B1401">
        <v>8</v>
      </c>
      <c r="C1401" t="s">
        <v>412</v>
      </c>
      <c r="D1401" t="s">
        <v>28</v>
      </c>
      <c r="E1401" s="13" t="s">
        <v>392</v>
      </c>
      <c r="F1401"/>
      <c r="G1401">
        <v>2</v>
      </c>
      <c r="H1401">
        <v>1000</v>
      </c>
      <c r="J1401" cm="1">
        <f t="array" ref="J1401">_xlfn.SWITCH(B1401,1,75,2,61,3,49,4,37,5,25,6,13,7,4,8,1)</f>
        <v>1</v>
      </c>
      <c r="K1401" t="str" cm="1">
        <f t="array" ref="K1401">IFERROR(_xlfn.SWITCH(L1401,2,_xlfn.XLOOKUP(C1401,[1]ModifierDes!$B:$B,[1]ModifierDes!$C:$C),3,_xlfn.XLOOKUP(C1401,[1]StuntDes!$B:$B,[1]StuntDes!$C:$C)),"")</f>
        <v/>
      </c>
      <c r="L1401">
        <f t="shared" si="58"/>
        <v>1</v>
      </c>
      <c r="M1401" s="10" t="str">
        <f>IFERROR(_xlfn.XLOOKUP(C1401,[1]StuntDes!$B:$B,[1]StuntDes!$A:$A),"")</f>
        <v/>
      </c>
      <c r="N1401" s="10" t="str">
        <f>IFERROR(_xlfn.XLOOKUP(C1401,[1]ModifierDes!$B:$B,[1]ModifierDes!$A:$A),"")</f>
        <v/>
      </c>
      <c r="O1401" s="10">
        <f>IFERROR(_xlfn.XLOOKUP(C1401,[1]AttributeName!$C:$C,[1]AttributeName!$B:$B),"")</f>
        <v>10019</v>
      </c>
      <c r="P1401" s="10"/>
      <c r="Q1401">
        <v>1</v>
      </c>
      <c r="R1401">
        <v>1</v>
      </c>
      <c r="S1401" cm="1">
        <f t="array" ref="S1401">IFERROR(_xlfn.SWITCH(L1401,1,_xlfn.XLOOKUP(O1401,[1]AttributeName!$B:$B,[1]AttributeName!$D:$D),2,_xlfn.XLOOKUP(C1401,#REF!,#REF!),3,_xlfn.XLOOKUP(C1401,#REF!,#REF!)),0)</f>
        <v>0</v>
      </c>
      <c r="T1401" cm="1">
        <f t="array" ref="T1401">IFERROR(_xlfn.SWITCH(L1401,1,_xlfn.XLOOKUP(O1401,[1]AttributeName!$B:$B,[1]AttributeName!$E:$E),2,_xlfn.XLOOKUP(C1401,#REF!,#REF!),3,_xlfn.XLOOKUP(C1401,#REF!,#REF!)),0)</f>
        <v>1</v>
      </c>
    </row>
    <row r="1402" customFormat="1" spans="1:20">
      <c r="A1402">
        <f t="shared" ref="A1402:A1417" si="61">A1394+1</f>
        <v>571</v>
      </c>
      <c r="B1402">
        <v>1</v>
      </c>
      <c r="C1402" t="s">
        <v>413</v>
      </c>
      <c r="D1402" t="s">
        <v>28</v>
      </c>
      <c r="E1402" s="13" t="s">
        <v>392</v>
      </c>
      <c r="F1402"/>
      <c r="G1402">
        <v>2</v>
      </c>
      <c r="H1402">
        <v>1000</v>
      </c>
      <c r="J1402" cm="1">
        <f t="array" ref="J1402">_xlfn.SWITCH(B1402,1,75,2,61,3,49,4,37,5,25,6,13,7,4,8,1)</f>
        <v>75</v>
      </c>
      <c r="K1402" t="str" cm="1">
        <f t="array" ref="K1402">IFERROR(_xlfn.SWITCH(L1402,2,_xlfn.XLOOKUP(C1402,[1]ModifierDes!$B:$B,[1]ModifierDes!$C:$C),3,_xlfn.XLOOKUP(C1402,[1]StuntDes!$B:$B,[1]StuntDes!$C:$C)),"")</f>
        <v/>
      </c>
      <c r="L1402">
        <f t="shared" si="58"/>
        <v>1</v>
      </c>
      <c r="M1402" s="10" t="str">
        <f>IFERROR(_xlfn.XLOOKUP(C1402,[1]StuntDes!$B:$B,[1]StuntDes!$A:$A),"")</f>
        <v/>
      </c>
      <c r="N1402" s="10" t="str">
        <f>IFERROR(_xlfn.XLOOKUP(C1402,[1]ModifierDes!$B:$B,[1]ModifierDes!$A:$A),"")</f>
        <v/>
      </c>
      <c r="O1402" s="10">
        <f>IFERROR(_xlfn.XLOOKUP(C1402,[1]AttributeName!$C:$C,[1]AttributeName!$B:$B),"")</f>
        <v>10020</v>
      </c>
      <c r="P1402" s="10"/>
      <c r="Q1402">
        <v>12</v>
      </c>
      <c r="R1402">
        <v>14</v>
      </c>
      <c r="S1402" cm="1">
        <f t="array" ref="S1402">IFERROR(_xlfn.SWITCH(L1402,1,_xlfn.XLOOKUP(O1402,[1]AttributeName!$B:$B,[1]AttributeName!$D:$D),2,_xlfn.XLOOKUP(C1402,#REF!,#REF!),3,_xlfn.XLOOKUP(C1402,#REF!,#REF!)),0)</f>
        <v>0</v>
      </c>
      <c r="T1402" cm="1">
        <f t="array" ref="T1402">IFERROR(_xlfn.SWITCH(L1402,1,_xlfn.XLOOKUP(O1402,[1]AttributeName!$B:$B,[1]AttributeName!$E:$E),2,_xlfn.XLOOKUP(C1402,#REF!,#REF!),3,_xlfn.XLOOKUP(C1402,#REF!,#REF!)),0)</f>
        <v>1</v>
      </c>
    </row>
    <row r="1403" customFormat="1" spans="1:20">
      <c r="A1403">
        <f t="shared" si="61"/>
        <v>571</v>
      </c>
      <c r="B1403">
        <v>2</v>
      </c>
      <c r="C1403" t="s">
        <v>413</v>
      </c>
      <c r="D1403" t="s">
        <v>28</v>
      </c>
      <c r="E1403" s="13" t="s">
        <v>392</v>
      </c>
      <c r="F1403"/>
      <c r="G1403">
        <v>2</v>
      </c>
      <c r="H1403">
        <v>1000</v>
      </c>
      <c r="J1403" cm="1">
        <f t="array" ref="J1403">_xlfn.SWITCH(B1403,1,75,2,61,3,49,4,37,5,25,6,13,7,4,8,1)</f>
        <v>61</v>
      </c>
      <c r="K1403" t="str" cm="1">
        <f t="array" ref="K1403">IFERROR(_xlfn.SWITCH(L1403,2,_xlfn.XLOOKUP(C1403,[1]ModifierDes!$B:$B,[1]ModifierDes!$C:$C),3,_xlfn.XLOOKUP(C1403,[1]StuntDes!$B:$B,[1]StuntDes!$C:$C)),"")</f>
        <v/>
      </c>
      <c r="L1403">
        <f t="shared" si="58"/>
        <v>1</v>
      </c>
      <c r="M1403" s="10" t="str">
        <f>IFERROR(_xlfn.XLOOKUP(C1403,[1]StuntDes!$B:$B,[1]StuntDes!$A:$A),"")</f>
        <v/>
      </c>
      <c r="N1403" s="10" t="str">
        <f>IFERROR(_xlfn.XLOOKUP(C1403,[1]ModifierDes!$B:$B,[1]ModifierDes!$A:$A),"")</f>
        <v/>
      </c>
      <c r="O1403" s="10">
        <f>IFERROR(_xlfn.XLOOKUP(C1403,[1]AttributeName!$C:$C,[1]AttributeName!$B:$B),"")</f>
        <v>10020</v>
      </c>
      <c r="P1403" s="10"/>
      <c r="Q1403">
        <v>9</v>
      </c>
      <c r="R1403">
        <v>11</v>
      </c>
      <c r="S1403" cm="1">
        <f t="array" ref="S1403">IFERROR(_xlfn.SWITCH(L1403,1,_xlfn.XLOOKUP(O1403,[1]AttributeName!$B:$B,[1]AttributeName!$D:$D),2,_xlfn.XLOOKUP(C1403,#REF!,#REF!),3,_xlfn.XLOOKUP(C1403,#REF!,#REF!)),0)</f>
        <v>0</v>
      </c>
      <c r="T1403" cm="1">
        <f t="array" ref="T1403">IFERROR(_xlfn.SWITCH(L1403,1,_xlfn.XLOOKUP(O1403,[1]AttributeName!$B:$B,[1]AttributeName!$E:$E),2,_xlfn.XLOOKUP(C1403,#REF!,#REF!),3,_xlfn.XLOOKUP(C1403,#REF!,#REF!)),0)</f>
        <v>1</v>
      </c>
    </row>
    <row r="1404" customFormat="1" spans="1:20">
      <c r="A1404">
        <f t="shared" si="61"/>
        <v>571</v>
      </c>
      <c r="B1404">
        <v>3</v>
      </c>
      <c r="C1404" t="s">
        <v>413</v>
      </c>
      <c r="D1404" t="s">
        <v>28</v>
      </c>
      <c r="E1404" s="13" t="s">
        <v>392</v>
      </c>
      <c r="F1404"/>
      <c r="G1404">
        <v>2</v>
      </c>
      <c r="H1404">
        <v>1000</v>
      </c>
      <c r="J1404" cm="1">
        <f t="array" ref="J1404">_xlfn.SWITCH(B1404,1,75,2,61,3,49,4,37,5,25,6,13,7,4,8,1)</f>
        <v>49</v>
      </c>
      <c r="K1404" t="str" cm="1">
        <f t="array" ref="K1404">IFERROR(_xlfn.SWITCH(L1404,2,_xlfn.XLOOKUP(C1404,[1]ModifierDes!$B:$B,[1]ModifierDes!$C:$C),3,_xlfn.XLOOKUP(C1404,[1]StuntDes!$B:$B,[1]StuntDes!$C:$C)),"")</f>
        <v/>
      </c>
      <c r="L1404">
        <f t="shared" si="58"/>
        <v>1</v>
      </c>
      <c r="M1404" s="10" t="str">
        <f>IFERROR(_xlfn.XLOOKUP(C1404,[1]StuntDes!$B:$B,[1]StuntDes!$A:$A),"")</f>
        <v/>
      </c>
      <c r="N1404" s="10" t="str">
        <f>IFERROR(_xlfn.XLOOKUP(C1404,[1]ModifierDes!$B:$B,[1]ModifierDes!$A:$A),"")</f>
        <v/>
      </c>
      <c r="O1404" s="10">
        <f>IFERROR(_xlfn.XLOOKUP(C1404,[1]AttributeName!$C:$C,[1]AttributeName!$B:$B),"")</f>
        <v>10020</v>
      </c>
      <c r="P1404" s="10"/>
      <c r="Q1404">
        <v>6</v>
      </c>
      <c r="R1404">
        <v>8</v>
      </c>
      <c r="S1404" cm="1">
        <f t="array" ref="S1404">IFERROR(_xlfn.SWITCH(L1404,1,_xlfn.XLOOKUP(O1404,[1]AttributeName!$B:$B,[1]AttributeName!$D:$D),2,_xlfn.XLOOKUP(C1404,#REF!,#REF!),3,_xlfn.XLOOKUP(C1404,#REF!,#REF!)),0)</f>
        <v>0</v>
      </c>
      <c r="T1404" cm="1">
        <f t="array" ref="T1404">IFERROR(_xlfn.SWITCH(L1404,1,_xlfn.XLOOKUP(O1404,[1]AttributeName!$B:$B,[1]AttributeName!$E:$E),2,_xlfn.XLOOKUP(C1404,#REF!,#REF!),3,_xlfn.XLOOKUP(C1404,#REF!,#REF!)),0)</f>
        <v>1</v>
      </c>
    </row>
    <row r="1405" customFormat="1" spans="1:20">
      <c r="A1405">
        <f t="shared" si="61"/>
        <v>571</v>
      </c>
      <c r="B1405">
        <v>4</v>
      </c>
      <c r="C1405" t="s">
        <v>413</v>
      </c>
      <c r="D1405" t="s">
        <v>28</v>
      </c>
      <c r="E1405" s="13" t="s">
        <v>392</v>
      </c>
      <c r="F1405"/>
      <c r="G1405">
        <v>2</v>
      </c>
      <c r="H1405">
        <v>1000</v>
      </c>
      <c r="J1405" cm="1">
        <f t="array" ref="J1405">_xlfn.SWITCH(B1405,1,75,2,61,3,49,4,37,5,25,6,13,7,4,8,1)</f>
        <v>37</v>
      </c>
      <c r="K1405" t="str" cm="1">
        <f t="array" ref="K1405">IFERROR(_xlfn.SWITCH(L1405,2,_xlfn.XLOOKUP(C1405,[1]ModifierDes!$B:$B,[1]ModifierDes!$C:$C),3,_xlfn.XLOOKUP(C1405,[1]StuntDes!$B:$B,[1]StuntDes!$C:$C)),"")</f>
        <v/>
      </c>
      <c r="L1405">
        <f t="shared" si="58"/>
        <v>1</v>
      </c>
      <c r="M1405" s="10" t="str">
        <f>IFERROR(_xlfn.XLOOKUP(C1405,[1]StuntDes!$B:$B,[1]StuntDes!$A:$A),"")</f>
        <v/>
      </c>
      <c r="N1405" s="10" t="str">
        <f>IFERROR(_xlfn.XLOOKUP(C1405,[1]ModifierDes!$B:$B,[1]ModifierDes!$A:$A),"")</f>
        <v/>
      </c>
      <c r="O1405" s="10">
        <f>IFERROR(_xlfn.XLOOKUP(C1405,[1]AttributeName!$C:$C,[1]AttributeName!$B:$B),"")</f>
        <v>10020</v>
      </c>
      <c r="P1405" s="10"/>
      <c r="Q1405">
        <v>5</v>
      </c>
      <c r="R1405">
        <v>5</v>
      </c>
      <c r="S1405" cm="1">
        <f t="array" ref="S1405">IFERROR(_xlfn.SWITCH(L1405,1,_xlfn.XLOOKUP(O1405,[1]AttributeName!$B:$B,[1]AttributeName!$D:$D),2,_xlfn.XLOOKUP(C1405,#REF!,#REF!),3,_xlfn.XLOOKUP(C1405,#REF!,#REF!)),0)</f>
        <v>0</v>
      </c>
      <c r="T1405" cm="1">
        <f t="array" ref="T1405">IFERROR(_xlfn.SWITCH(L1405,1,_xlfn.XLOOKUP(O1405,[1]AttributeName!$B:$B,[1]AttributeName!$E:$E),2,_xlfn.XLOOKUP(C1405,#REF!,#REF!),3,_xlfn.XLOOKUP(C1405,#REF!,#REF!)),0)</f>
        <v>1</v>
      </c>
    </row>
    <row r="1406" customFormat="1" spans="1:20">
      <c r="A1406">
        <f t="shared" si="61"/>
        <v>571</v>
      </c>
      <c r="B1406">
        <v>5</v>
      </c>
      <c r="C1406" t="s">
        <v>413</v>
      </c>
      <c r="D1406" t="s">
        <v>28</v>
      </c>
      <c r="E1406" s="13" t="s">
        <v>392</v>
      </c>
      <c r="F1406"/>
      <c r="G1406">
        <v>2</v>
      </c>
      <c r="H1406">
        <v>1000</v>
      </c>
      <c r="J1406" cm="1">
        <f t="array" ref="J1406">_xlfn.SWITCH(B1406,1,75,2,61,3,49,4,37,5,25,6,13,7,4,8,1)</f>
        <v>25</v>
      </c>
      <c r="K1406" t="str" cm="1">
        <f t="array" ref="K1406">IFERROR(_xlfn.SWITCH(L1406,2,_xlfn.XLOOKUP(C1406,[1]ModifierDes!$B:$B,[1]ModifierDes!$C:$C),3,_xlfn.XLOOKUP(C1406,[1]StuntDes!$B:$B,[1]StuntDes!$C:$C)),"")</f>
        <v/>
      </c>
      <c r="L1406">
        <f t="shared" si="58"/>
        <v>1</v>
      </c>
      <c r="M1406" s="10" t="str">
        <f>IFERROR(_xlfn.XLOOKUP(C1406,[1]StuntDes!$B:$B,[1]StuntDes!$A:$A),"")</f>
        <v/>
      </c>
      <c r="N1406" s="10" t="str">
        <f>IFERROR(_xlfn.XLOOKUP(C1406,[1]ModifierDes!$B:$B,[1]ModifierDes!$A:$A),"")</f>
        <v/>
      </c>
      <c r="O1406" s="10">
        <f>IFERROR(_xlfn.XLOOKUP(C1406,[1]AttributeName!$C:$C,[1]AttributeName!$B:$B),"")</f>
        <v>10020</v>
      </c>
      <c r="P1406" s="10"/>
      <c r="Q1406">
        <v>4</v>
      </c>
      <c r="R1406">
        <v>4</v>
      </c>
      <c r="S1406" cm="1">
        <f t="array" ref="S1406">IFERROR(_xlfn.SWITCH(L1406,1,_xlfn.XLOOKUP(O1406,[1]AttributeName!$B:$B,[1]AttributeName!$D:$D),2,_xlfn.XLOOKUP(C1406,#REF!,#REF!),3,_xlfn.XLOOKUP(C1406,#REF!,#REF!)),0)</f>
        <v>0</v>
      </c>
      <c r="T1406" cm="1">
        <f t="array" ref="T1406">IFERROR(_xlfn.SWITCH(L1406,1,_xlfn.XLOOKUP(O1406,[1]AttributeName!$B:$B,[1]AttributeName!$E:$E),2,_xlfn.XLOOKUP(C1406,#REF!,#REF!),3,_xlfn.XLOOKUP(C1406,#REF!,#REF!)),0)</f>
        <v>1</v>
      </c>
    </row>
    <row r="1407" customFormat="1" spans="1:20">
      <c r="A1407">
        <f t="shared" si="61"/>
        <v>571</v>
      </c>
      <c r="B1407">
        <v>6</v>
      </c>
      <c r="C1407" t="s">
        <v>413</v>
      </c>
      <c r="D1407" t="s">
        <v>28</v>
      </c>
      <c r="E1407" s="13" t="s">
        <v>392</v>
      </c>
      <c r="F1407"/>
      <c r="G1407">
        <v>2</v>
      </c>
      <c r="H1407">
        <v>1000</v>
      </c>
      <c r="J1407" cm="1">
        <f t="array" ref="J1407">_xlfn.SWITCH(B1407,1,75,2,61,3,49,4,37,5,25,6,13,7,4,8,1)</f>
        <v>13</v>
      </c>
      <c r="K1407" t="str" cm="1">
        <f t="array" ref="K1407">IFERROR(_xlfn.SWITCH(L1407,2,_xlfn.XLOOKUP(C1407,[1]ModifierDes!$B:$B,[1]ModifierDes!$C:$C),3,_xlfn.XLOOKUP(C1407,[1]StuntDes!$B:$B,[1]StuntDes!$C:$C)),"")</f>
        <v/>
      </c>
      <c r="L1407">
        <f t="shared" si="58"/>
        <v>1</v>
      </c>
      <c r="M1407" s="10" t="str">
        <f>IFERROR(_xlfn.XLOOKUP(C1407,[1]StuntDes!$B:$B,[1]StuntDes!$A:$A),"")</f>
        <v/>
      </c>
      <c r="N1407" s="10" t="str">
        <f>IFERROR(_xlfn.XLOOKUP(C1407,[1]ModifierDes!$B:$B,[1]ModifierDes!$A:$A),"")</f>
        <v/>
      </c>
      <c r="O1407" s="10">
        <f>IFERROR(_xlfn.XLOOKUP(C1407,[1]AttributeName!$C:$C,[1]AttributeName!$B:$B),"")</f>
        <v>10020</v>
      </c>
      <c r="P1407" s="10"/>
      <c r="Q1407">
        <v>3</v>
      </c>
      <c r="R1407">
        <v>3</v>
      </c>
      <c r="S1407" cm="1">
        <f t="array" ref="S1407">IFERROR(_xlfn.SWITCH(L1407,1,_xlfn.XLOOKUP(O1407,[1]AttributeName!$B:$B,[1]AttributeName!$D:$D),2,_xlfn.XLOOKUP(C1407,#REF!,#REF!),3,_xlfn.XLOOKUP(C1407,#REF!,#REF!)),0)</f>
        <v>0</v>
      </c>
      <c r="T1407" cm="1">
        <f t="array" ref="T1407">IFERROR(_xlfn.SWITCH(L1407,1,_xlfn.XLOOKUP(O1407,[1]AttributeName!$B:$B,[1]AttributeName!$E:$E),2,_xlfn.XLOOKUP(C1407,#REF!,#REF!),3,_xlfn.XLOOKUP(C1407,#REF!,#REF!)),0)</f>
        <v>1</v>
      </c>
    </row>
    <row r="1408" customFormat="1" spans="1:20">
      <c r="A1408">
        <f t="shared" si="61"/>
        <v>571</v>
      </c>
      <c r="B1408">
        <v>7</v>
      </c>
      <c r="C1408" t="s">
        <v>413</v>
      </c>
      <c r="D1408" t="s">
        <v>28</v>
      </c>
      <c r="E1408" s="13" t="s">
        <v>392</v>
      </c>
      <c r="F1408"/>
      <c r="G1408">
        <v>2</v>
      </c>
      <c r="H1408">
        <v>1000</v>
      </c>
      <c r="J1408" cm="1">
        <f t="array" ref="J1408">_xlfn.SWITCH(B1408,1,75,2,61,3,49,4,37,5,25,6,13,7,4,8,1)</f>
        <v>4</v>
      </c>
      <c r="K1408" t="str" cm="1">
        <f t="array" ref="K1408">IFERROR(_xlfn.SWITCH(L1408,2,_xlfn.XLOOKUP(C1408,[1]ModifierDes!$B:$B,[1]ModifierDes!$C:$C),3,_xlfn.XLOOKUP(C1408,[1]StuntDes!$B:$B,[1]StuntDes!$C:$C)),"")</f>
        <v/>
      </c>
      <c r="L1408">
        <f t="shared" si="58"/>
        <v>1</v>
      </c>
      <c r="M1408" s="10" t="str">
        <f>IFERROR(_xlfn.XLOOKUP(C1408,[1]StuntDes!$B:$B,[1]StuntDes!$A:$A),"")</f>
        <v/>
      </c>
      <c r="N1408" s="10" t="str">
        <f>IFERROR(_xlfn.XLOOKUP(C1408,[1]ModifierDes!$B:$B,[1]ModifierDes!$A:$A),"")</f>
        <v/>
      </c>
      <c r="O1408" s="10">
        <f>IFERROR(_xlfn.XLOOKUP(C1408,[1]AttributeName!$C:$C,[1]AttributeName!$B:$B),"")</f>
        <v>10020</v>
      </c>
      <c r="P1408" s="10"/>
      <c r="Q1408">
        <v>2</v>
      </c>
      <c r="R1408">
        <v>2</v>
      </c>
      <c r="S1408" cm="1">
        <f t="array" ref="S1408">IFERROR(_xlfn.SWITCH(L1408,1,_xlfn.XLOOKUP(O1408,[1]AttributeName!$B:$B,[1]AttributeName!$D:$D),2,_xlfn.XLOOKUP(C1408,#REF!,#REF!),3,_xlfn.XLOOKUP(C1408,#REF!,#REF!)),0)</f>
        <v>0</v>
      </c>
      <c r="T1408" cm="1">
        <f t="array" ref="T1408">IFERROR(_xlfn.SWITCH(L1408,1,_xlfn.XLOOKUP(O1408,[1]AttributeName!$B:$B,[1]AttributeName!$E:$E),2,_xlfn.XLOOKUP(C1408,#REF!,#REF!),3,_xlfn.XLOOKUP(C1408,#REF!,#REF!)),0)</f>
        <v>1</v>
      </c>
    </row>
    <row r="1409" customFormat="1" spans="1:20">
      <c r="A1409">
        <f t="shared" si="61"/>
        <v>571</v>
      </c>
      <c r="B1409">
        <v>8</v>
      </c>
      <c r="C1409" t="s">
        <v>413</v>
      </c>
      <c r="D1409" t="s">
        <v>28</v>
      </c>
      <c r="E1409" s="13" t="s">
        <v>392</v>
      </c>
      <c r="F1409"/>
      <c r="G1409">
        <v>2</v>
      </c>
      <c r="H1409">
        <v>1000</v>
      </c>
      <c r="J1409" cm="1">
        <f t="array" ref="J1409">_xlfn.SWITCH(B1409,1,75,2,61,3,49,4,37,5,25,6,13,7,4,8,1)</f>
        <v>1</v>
      </c>
      <c r="K1409" t="str" cm="1">
        <f t="array" ref="K1409">IFERROR(_xlfn.SWITCH(L1409,2,_xlfn.XLOOKUP(C1409,[1]ModifierDes!$B:$B,[1]ModifierDes!$C:$C),3,_xlfn.XLOOKUP(C1409,[1]StuntDes!$B:$B,[1]StuntDes!$C:$C)),"")</f>
        <v/>
      </c>
      <c r="L1409">
        <f t="shared" si="58"/>
        <v>1</v>
      </c>
      <c r="M1409" s="10" t="str">
        <f>IFERROR(_xlfn.XLOOKUP(C1409,[1]StuntDes!$B:$B,[1]StuntDes!$A:$A),"")</f>
        <v/>
      </c>
      <c r="N1409" s="10" t="str">
        <f>IFERROR(_xlfn.XLOOKUP(C1409,[1]ModifierDes!$B:$B,[1]ModifierDes!$A:$A),"")</f>
        <v/>
      </c>
      <c r="O1409" s="10">
        <f>IFERROR(_xlfn.XLOOKUP(C1409,[1]AttributeName!$C:$C,[1]AttributeName!$B:$B),"")</f>
        <v>10020</v>
      </c>
      <c r="P1409" s="10"/>
      <c r="Q1409">
        <v>1</v>
      </c>
      <c r="R1409">
        <v>1</v>
      </c>
      <c r="S1409" cm="1">
        <f t="array" ref="S1409">IFERROR(_xlfn.SWITCH(L1409,1,_xlfn.XLOOKUP(O1409,[1]AttributeName!$B:$B,[1]AttributeName!$D:$D),2,_xlfn.XLOOKUP(C1409,#REF!,#REF!),3,_xlfn.XLOOKUP(C1409,#REF!,#REF!)),0)</f>
        <v>0</v>
      </c>
      <c r="T1409" cm="1">
        <f t="array" ref="T1409">IFERROR(_xlfn.SWITCH(L1409,1,_xlfn.XLOOKUP(O1409,[1]AttributeName!$B:$B,[1]AttributeName!$E:$E),2,_xlfn.XLOOKUP(C1409,#REF!,#REF!),3,_xlfn.XLOOKUP(C1409,#REF!,#REF!)),0)</f>
        <v>1</v>
      </c>
    </row>
    <row r="1410" customFormat="1" spans="1:20">
      <c r="A1410">
        <f t="shared" si="61"/>
        <v>572</v>
      </c>
      <c r="B1410">
        <v>1</v>
      </c>
      <c r="C1410" t="s">
        <v>414</v>
      </c>
      <c r="D1410" t="s">
        <v>28</v>
      </c>
      <c r="E1410" s="13" t="s">
        <v>392</v>
      </c>
      <c r="F1410"/>
      <c r="G1410">
        <v>2</v>
      </c>
      <c r="H1410">
        <v>1000</v>
      </c>
      <c r="J1410" cm="1">
        <f t="array" ref="J1410">_xlfn.SWITCH(B1410,1,75,2,61,3,49,4,37,5,25,6,13,7,4,8,1)</f>
        <v>75</v>
      </c>
      <c r="K1410" t="str" cm="1">
        <f t="array" ref="K1410">IFERROR(_xlfn.SWITCH(L1410,2,_xlfn.XLOOKUP(C1410,[1]ModifierDes!$B:$B,[1]ModifierDes!$C:$C),3,_xlfn.XLOOKUP(C1410,[1]StuntDes!$B:$B,[1]StuntDes!$C:$C)),"")</f>
        <v/>
      </c>
      <c r="L1410">
        <f t="shared" si="58"/>
        <v>1</v>
      </c>
      <c r="M1410" s="10" t="str">
        <f>IFERROR(_xlfn.XLOOKUP(C1410,[1]StuntDes!$B:$B,[1]StuntDes!$A:$A),"")</f>
        <v/>
      </c>
      <c r="N1410" s="10" t="str">
        <f>IFERROR(_xlfn.XLOOKUP(C1410,[1]ModifierDes!$B:$B,[1]ModifierDes!$A:$A),"")</f>
        <v/>
      </c>
      <c r="O1410" s="10">
        <f>IFERROR(_xlfn.XLOOKUP(C1410,[1]AttributeName!$C:$C,[1]AttributeName!$B:$B),"")</f>
        <v>10900</v>
      </c>
      <c r="P1410" s="10"/>
      <c r="Q1410">
        <v>15</v>
      </c>
      <c r="R1410">
        <v>16</v>
      </c>
      <c r="S1410" cm="1">
        <f t="array" ref="S1410">IFERROR(_xlfn.SWITCH(L1410,1,_xlfn.XLOOKUP(O1410,[1]AttributeName!$B:$B,[1]AttributeName!$D:$D),2,_xlfn.XLOOKUP(C1410,#REF!,#REF!),3,_xlfn.XLOOKUP(C1410,#REF!,#REF!)),0)</f>
        <v>0</v>
      </c>
      <c r="T1410" cm="1">
        <f t="array" ref="T1410">IFERROR(_xlfn.SWITCH(L1410,1,_xlfn.XLOOKUP(O1410,[1]AttributeName!$B:$B,[1]AttributeName!$E:$E),2,_xlfn.XLOOKUP(C1410,#REF!,#REF!),3,_xlfn.XLOOKUP(C1410,#REF!,#REF!)),0)</f>
        <v>1</v>
      </c>
    </row>
    <row r="1411" customFormat="1" spans="1:20">
      <c r="A1411">
        <f t="shared" si="61"/>
        <v>572</v>
      </c>
      <c r="B1411">
        <v>2</v>
      </c>
      <c r="C1411" t="s">
        <v>414</v>
      </c>
      <c r="D1411" t="s">
        <v>28</v>
      </c>
      <c r="E1411" s="13" t="s">
        <v>392</v>
      </c>
      <c r="F1411"/>
      <c r="G1411">
        <v>2</v>
      </c>
      <c r="H1411">
        <v>1000</v>
      </c>
      <c r="J1411" cm="1">
        <f t="array" ref="J1411">_xlfn.SWITCH(B1411,1,75,2,61,3,49,4,37,5,25,6,13,7,4,8,1)</f>
        <v>61</v>
      </c>
      <c r="K1411" t="str" cm="1">
        <f t="array" ref="K1411">IFERROR(_xlfn.SWITCH(L1411,2,_xlfn.XLOOKUP(C1411,[1]ModifierDes!$B:$B,[1]ModifierDes!$C:$C),3,_xlfn.XLOOKUP(C1411,[1]StuntDes!$B:$B,[1]StuntDes!$C:$C)),"")</f>
        <v/>
      </c>
      <c r="L1411">
        <f t="shared" si="58"/>
        <v>1</v>
      </c>
      <c r="M1411" s="10" t="str">
        <f>IFERROR(_xlfn.XLOOKUP(C1411,[1]StuntDes!$B:$B,[1]StuntDes!$A:$A),"")</f>
        <v/>
      </c>
      <c r="N1411" s="10" t="str">
        <f>IFERROR(_xlfn.XLOOKUP(C1411,[1]ModifierDes!$B:$B,[1]ModifierDes!$A:$A),"")</f>
        <v/>
      </c>
      <c r="O1411" s="10">
        <f>IFERROR(_xlfn.XLOOKUP(C1411,[1]AttributeName!$C:$C,[1]AttributeName!$B:$B),"")</f>
        <v>10900</v>
      </c>
      <c r="P1411" s="10"/>
      <c r="Q1411">
        <v>13</v>
      </c>
      <c r="R1411">
        <v>14</v>
      </c>
      <c r="S1411" cm="1">
        <f t="array" ref="S1411">IFERROR(_xlfn.SWITCH(L1411,1,_xlfn.XLOOKUP(O1411,[1]AttributeName!$B:$B,[1]AttributeName!$D:$D),2,_xlfn.XLOOKUP(C1411,#REF!,#REF!),3,_xlfn.XLOOKUP(C1411,#REF!,#REF!)),0)</f>
        <v>0</v>
      </c>
      <c r="T1411" cm="1">
        <f t="array" ref="T1411">IFERROR(_xlfn.SWITCH(L1411,1,_xlfn.XLOOKUP(O1411,[1]AttributeName!$B:$B,[1]AttributeName!$E:$E),2,_xlfn.XLOOKUP(C1411,#REF!,#REF!),3,_xlfn.XLOOKUP(C1411,#REF!,#REF!)),0)</f>
        <v>1</v>
      </c>
    </row>
    <row r="1412" customFormat="1" spans="1:20">
      <c r="A1412">
        <f t="shared" si="61"/>
        <v>572</v>
      </c>
      <c r="B1412">
        <v>3</v>
      </c>
      <c r="C1412" t="s">
        <v>414</v>
      </c>
      <c r="D1412" t="s">
        <v>28</v>
      </c>
      <c r="E1412" s="13" t="s">
        <v>392</v>
      </c>
      <c r="F1412"/>
      <c r="G1412">
        <v>2</v>
      </c>
      <c r="H1412">
        <v>1000</v>
      </c>
      <c r="J1412" cm="1">
        <f t="array" ref="J1412">_xlfn.SWITCH(B1412,1,75,2,61,3,49,4,37,5,25,6,13,7,4,8,1)</f>
        <v>49</v>
      </c>
      <c r="K1412" t="str" cm="1">
        <f t="array" ref="K1412">IFERROR(_xlfn.SWITCH(L1412,2,_xlfn.XLOOKUP(C1412,[1]ModifierDes!$B:$B,[1]ModifierDes!$C:$C),3,_xlfn.XLOOKUP(C1412,[1]StuntDes!$B:$B,[1]StuntDes!$C:$C)),"")</f>
        <v/>
      </c>
      <c r="L1412">
        <f t="shared" ref="L1412:L1475" si="62">IF(M1412="",IF(N1412="",1,2),3)</f>
        <v>1</v>
      </c>
      <c r="M1412" s="10" t="str">
        <f>IFERROR(_xlfn.XLOOKUP(C1412,[1]StuntDes!$B:$B,[1]StuntDes!$A:$A),"")</f>
        <v/>
      </c>
      <c r="N1412" s="10" t="str">
        <f>IFERROR(_xlfn.XLOOKUP(C1412,[1]ModifierDes!$B:$B,[1]ModifierDes!$A:$A),"")</f>
        <v/>
      </c>
      <c r="O1412" s="10">
        <f>IFERROR(_xlfn.XLOOKUP(C1412,[1]AttributeName!$C:$C,[1]AttributeName!$B:$B),"")</f>
        <v>10900</v>
      </c>
      <c r="P1412" s="10"/>
      <c r="Q1412">
        <v>11</v>
      </c>
      <c r="R1412">
        <v>12</v>
      </c>
      <c r="S1412" cm="1">
        <f t="array" ref="S1412">IFERROR(_xlfn.SWITCH(L1412,1,_xlfn.XLOOKUP(O1412,[1]AttributeName!$B:$B,[1]AttributeName!$D:$D),2,_xlfn.XLOOKUP(C1412,#REF!,#REF!),3,_xlfn.XLOOKUP(C1412,#REF!,#REF!)),0)</f>
        <v>0</v>
      </c>
      <c r="T1412" cm="1">
        <f t="array" ref="T1412">IFERROR(_xlfn.SWITCH(L1412,1,_xlfn.XLOOKUP(O1412,[1]AttributeName!$B:$B,[1]AttributeName!$E:$E),2,_xlfn.XLOOKUP(C1412,#REF!,#REF!),3,_xlfn.XLOOKUP(C1412,#REF!,#REF!)),0)</f>
        <v>1</v>
      </c>
    </row>
    <row r="1413" customFormat="1" spans="1:20">
      <c r="A1413">
        <f t="shared" si="61"/>
        <v>572</v>
      </c>
      <c r="B1413">
        <v>4</v>
      </c>
      <c r="C1413" t="s">
        <v>414</v>
      </c>
      <c r="D1413" t="s">
        <v>28</v>
      </c>
      <c r="E1413" s="13" t="s">
        <v>392</v>
      </c>
      <c r="F1413"/>
      <c r="G1413">
        <v>2</v>
      </c>
      <c r="H1413">
        <v>1000</v>
      </c>
      <c r="J1413" cm="1">
        <f t="array" ref="J1413">_xlfn.SWITCH(B1413,1,75,2,61,3,49,4,37,5,25,6,13,7,4,8,1)</f>
        <v>37</v>
      </c>
      <c r="K1413" t="str" cm="1">
        <f t="array" ref="K1413">IFERROR(_xlfn.SWITCH(L1413,2,_xlfn.XLOOKUP(C1413,[1]ModifierDes!$B:$B,[1]ModifierDes!$C:$C),3,_xlfn.XLOOKUP(C1413,[1]StuntDes!$B:$B,[1]StuntDes!$C:$C)),"")</f>
        <v/>
      </c>
      <c r="L1413">
        <f t="shared" si="62"/>
        <v>1</v>
      </c>
      <c r="M1413" s="10" t="str">
        <f>IFERROR(_xlfn.XLOOKUP(C1413,[1]StuntDes!$B:$B,[1]StuntDes!$A:$A),"")</f>
        <v/>
      </c>
      <c r="N1413" s="10" t="str">
        <f>IFERROR(_xlfn.XLOOKUP(C1413,[1]ModifierDes!$B:$B,[1]ModifierDes!$A:$A),"")</f>
        <v/>
      </c>
      <c r="O1413" s="10">
        <f>IFERROR(_xlfn.XLOOKUP(C1413,[1]AttributeName!$C:$C,[1]AttributeName!$B:$B),"")</f>
        <v>10900</v>
      </c>
      <c r="P1413" s="10"/>
      <c r="Q1413">
        <v>9</v>
      </c>
      <c r="R1413">
        <v>10</v>
      </c>
      <c r="S1413" cm="1">
        <f t="array" ref="S1413">IFERROR(_xlfn.SWITCH(L1413,1,_xlfn.XLOOKUP(O1413,[1]AttributeName!$B:$B,[1]AttributeName!$D:$D),2,_xlfn.XLOOKUP(C1413,#REF!,#REF!),3,_xlfn.XLOOKUP(C1413,#REF!,#REF!)),0)</f>
        <v>0</v>
      </c>
      <c r="T1413" cm="1">
        <f t="array" ref="T1413">IFERROR(_xlfn.SWITCH(L1413,1,_xlfn.XLOOKUP(O1413,[1]AttributeName!$B:$B,[1]AttributeName!$E:$E),2,_xlfn.XLOOKUP(C1413,#REF!,#REF!),3,_xlfn.XLOOKUP(C1413,#REF!,#REF!)),0)</f>
        <v>1</v>
      </c>
    </row>
    <row r="1414" customFormat="1" spans="1:20">
      <c r="A1414">
        <f t="shared" si="61"/>
        <v>572</v>
      </c>
      <c r="B1414">
        <v>5</v>
      </c>
      <c r="C1414" t="s">
        <v>414</v>
      </c>
      <c r="D1414" t="s">
        <v>28</v>
      </c>
      <c r="E1414" s="13" t="s">
        <v>392</v>
      </c>
      <c r="F1414"/>
      <c r="G1414">
        <v>2</v>
      </c>
      <c r="H1414">
        <v>1000</v>
      </c>
      <c r="J1414" cm="1">
        <f t="array" ref="J1414">_xlfn.SWITCH(B1414,1,75,2,61,3,49,4,37,5,25,6,13,7,4,8,1)</f>
        <v>25</v>
      </c>
      <c r="K1414" t="str" cm="1">
        <f t="array" ref="K1414">IFERROR(_xlfn.SWITCH(L1414,2,_xlfn.XLOOKUP(C1414,[1]ModifierDes!$B:$B,[1]ModifierDes!$C:$C),3,_xlfn.XLOOKUP(C1414,[1]StuntDes!$B:$B,[1]StuntDes!$C:$C)),"")</f>
        <v/>
      </c>
      <c r="L1414">
        <f t="shared" si="62"/>
        <v>1</v>
      </c>
      <c r="M1414" s="10" t="str">
        <f>IFERROR(_xlfn.XLOOKUP(C1414,[1]StuntDes!$B:$B,[1]StuntDes!$A:$A),"")</f>
        <v/>
      </c>
      <c r="N1414" s="10" t="str">
        <f>IFERROR(_xlfn.XLOOKUP(C1414,[1]ModifierDes!$B:$B,[1]ModifierDes!$A:$A),"")</f>
        <v/>
      </c>
      <c r="O1414" s="10">
        <f>IFERROR(_xlfn.XLOOKUP(C1414,[1]AttributeName!$C:$C,[1]AttributeName!$B:$B),"")</f>
        <v>10900</v>
      </c>
      <c r="P1414" s="10"/>
      <c r="Q1414">
        <v>7</v>
      </c>
      <c r="R1414">
        <v>8</v>
      </c>
      <c r="S1414" cm="1">
        <f t="array" ref="S1414">IFERROR(_xlfn.SWITCH(L1414,1,_xlfn.XLOOKUP(O1414,[1]AttributeName!$B:$B,[1]AttributeName!$D:$D),2,_xlfn.XLOOKUP(C1414,#REF!,#REF!),3,_xlfn.XLOOKUP(C1414,#REF!,#REF!)),0)</f>
        <v>0</v>
      </c>
      <c r="T1414" cm="1">
        <f t="array" ref="T1414">IFERROR(_xlfn.SWITCH(L1414,1,_xlfn.XLOOKUP(O1414,[1]AttributeName!$B:$B,[1]AttributeName!$E:$E),2,_xlfn.XLOOKUP(C1414,#REF!,#REF!),3,_xlfn.XLOOKUP(C1414,#REF!,#REF!)),0)</f>
        <v>1</v>
      </c>
    </row>
    <row r="1415" customFormat="1" spans="1:20">
      <c r="A1415">
        <f t="shared" si="61"/>
        <v>572</v>
      </c>
      <c r="B1415">
        <v>6</v>
      </c>
      <c r="C1415" t="s">
        <v>414</v>
      </c>
      <c r="D1415" t="s">
        <v>28</v>
      </c>
      <c r="E1415" s="13" t="s">
        <v>392</v>
      </c>
      <c r="F1415"/>
      <c r="G1415">
        <v>2</v>
      </c>
      <c r="H1415">
        <v>1000</v>
      </c>
      <c r="J1415" cm="1">
        <f t="array" ref="J1415">_xlfn.SWITCH(B1415,1,75,2,61,3,49,4,37,5,25,6,13,7,4,8,1)</f>
        <v>13</v>
      </c>
      <c r="K1415" t="str" cm="1">
        <f t="array" ref="K1415">IFERROR(_xlfn.SWITCH(L1415,2,_xlfn.XLOOKUP(C1415,[1]ModifierDes!$B:$B,[1]ModifierDes!$C:$C),3,_xlfn.XLOOKUP(C1415,[1]StuntDes!$B:$B,[1]StuntDes!$C:$C)),"")</f>
        <v/>
      </c>
      <c r="L1415">
        <f t="shared" si="62"/>
        <v>1</v>
      </c>
      <c r="M1415" s="10" t="str">
        <f>IFERROR(_xlfn.XLOOKUP(C1415,[1]StuntDes!$B:$B,[1]StuntDes!$A:$A),"")</f>
        <v/>
      </c>
      <c r="N1415" s="10" t="str">
        <f>IFERROR(_xlfn.XLOOKUP(C1415,[1]ModifierDes!$B:$B,[1]ModifierDes!$A:$A),"")</f>
        <v/>
      </c>
      <c r="O1415" s="10">
        <f>IFERROR(_xlfn.XLOOKUP(C1415,[1]AttributeName!$C:$C,[1]AttributeName!$B:$B),"")</f>
        <v>10900</v>
      </c>
      <c r="P1415" s="10"/>
      <c r="Q1415">
        <v>5</v>
      </c>
      <c r="R1415">
        <v>6</v>
      </c>
      <c r="S1415" cm="1">
        <f t="array" ref="S1415">IFERROR(_xlfn.SWITCH(L1415,1,_xlfn.XLOOKUP(O1415,[1]AttributeName!$B:$B,[1]AttributeName!$D:$D),2,_xlfn.XLOOKUP(C1415,#REF!,#REF!),3,_xlfn.XLOOKUP(C1415,#REF!,#REF!)),0)</f>
        <v>0</v>
      </c>
      <c r="T1415" cm="1">
        <f t="array" ref="T1415">IFERROR(_xlfn.SWITCH(L1415,1,_xlfn.XLOOKUP(O1415,[1]AttributeName!$B:$B,[1]AttributeName!$E:$E),2,_xlfn.XLOOKUP(C1415,#REF!,#REF!),3,_xlfn.XLOOKUP(C1415,#REF!,#REF!)),0)</f>
        <v>1</v>
      </c>
    </row>
    <row r="1416" customFormat="1" spans="1:20">
      <c r="A1416">
        <f t="shared" si="61"/>
        <v>572</v>
      </c>
      <c r="B1416">
        <v>7</v>
      </c>
      <c r="C1416" t="s">
        <v>414</v>
      </c>
      <c r="D1416" t="s">
        <v>28</v>
      </c>
      <c r="E1416" s="13" t="s">
        <v>392</v>
      </c>
      <c r="F1416"/>
      <c r="G1416">
        <v>2</v>
      </c>
      <c r="H1416">
        <v>1000</v>
      </c>
      <c r="J1416" cm="1">
        <f t="array" ref="J1416">_xlfn.SWITCH(B1416,1,75,2,61,3,49,4,37,5,25,6,13,7,4,8,1)</f>
        <v>4</v>
      </c>
      <c r="K1416" t="str" cm="1">
        <f t="array" ref="K1416">IFERROR(_xlfn.SWITCH(L1416,2,_xlfn.XLOOKUP(C1416,[1]ModifierDes!$B:$B,[1]ModifierDes!$C:$C),3,_xlfn.XLOOKUP(C1416,[1]StuntDes!$B:$B,[1]StuntDes!$C:$C)),"")</f>
        <v/>
      </c>
      <c r="L1416">
        <f t="shared" si="62"/>
        <v>1</v>
      </c>
      <c r="M1416" s="10" t="str">
        <f>IFERROR(_xlfn.XLOOKUP(C1416,[1]StuntDes!$B:$B,[1]StuntDes!$A:$A),"")</f>
        <v/>
      </c>
      <c r="N1416" s="10" t="str">
        <f>IFERROR(_xlfn.XLOOKUP(C1416,[1]ModifierDes!$B:$B,[1]ModifierDes!$A:$A),"")</f>
        <v/>
      </c>
      <c r="O1416" s="10">
        <f>IFERROR(_xlfn.XLOOKUP(C1416,[1]AttributeName!$C:$C,[1]AttributeName!$B:$B),"")</f>
        <v>10900</v>
      </c>
      <c r="P1416" s="10"/>
      <c r="Q1416">
        <v>3</v>
      </c>
      <c r="R1416">
        <v>4</v>
      </c>
      <c r="S1416" cm="1">
        <f t="array" ref="S1416">IFERROR(_xlfn.SWITCH(L1416,1,_xlfn.XLOOKUP(O1416,[1]AttributeName!$B:$B,[1]AttributeName!$D:$D),2,_xlfn.XLOOKUP(C1416,#REF!,#REF!),3,_xlfn.XLOOKUP(C1416,#REF!,#REF!)),0)</f>
        <v>0</v>
      </c>
      <c r="T1416" cm="1">
        <f t="array" ref="T1416">IFERROR(_xlfn.SWITCH(L1416,1,_xlfn.XLOOKUP(O1416,[1]AttributeName!$B:$B,[1]AttributeName!$E:$E),2,_xlfn.XLOOKUP(C1416,#REF!,#REF!),3,_xlfn.XLOOKUP(C1416,#REF!,#REF!)),0)</f>
        <v>1</v>
      </c>
    </row>
    <row r="1417" customFormat="1" spans="1:20">
      <c r="A1417">
        <f t="shared" si="61"/>
        <v>572</v>
      </c>
      <c r="B1417">
        <v>8</v>
      </c>
      <c r="C1417" t="s">
        <v>414</v>
      </c>
      <c r="D1417" t="s">
        <v>28</v>
      </c>
      <c r="E1417" s="13" t="s">
        <v>392</v>
      </c>
      <c r="F1417"/>
      <c r="G1417">
        <v>2</v>
      </c>
      <c r="H1417">
        <v>1000</v>
      </c>
      <c r="J1417" cm="1">
        <f t="array" ref="J1417">_xlfn.SWITCH(B1417,1,75,2,61,3,49,4,37,5,25,6,13,7,4,8,1)</f>
        <v>1</v>
      </c>
      <c r="K1417" t="str" cm="1">
        <f t="array" ref="K1417">IFERROR(_xlfn.SWITCH(L1417,2,_xlfn.XLOOKUP(C1417,[1]ModifierDes!$B:$B,[1]ModifierDes!$C:$C),3,_xlfn.XLOOKUP(C1417,[1]StuntDes!$B:$B,[1]StuntDes!$C:$C)),"")</f>
        <v/>
      </c>
      <c r="L1417">
        <f t="shared" si="62"/>
        <v>1</v>
      </c>
      <c r="M1417" s="10" t="str">
        <f>IFERROR(_xlfn.XLOOKUP(C1417,[1]StuntDes!$B:$B,[1]StuntDes!$A:$A),"")</f>
        <v/>
      </c>
      <c r="N1417" s="10" t="str">
        <f>IFERROR(_xlfn.XLOOKUP(C1417,[1]ModifierDes!$B:$B,[1]ModifierDes!$A:$A),"")</f>
        <v/>
      </c>
      <c r="O1417" s="10">
        <f>IFERROR(_xlfn.XLOOKUP(C1417,[1]AttributeName!$C:$C,[1]AttributeName!$B:$B),"")</f>
        <v>10900</v>
      </c>
      <c r="P1417" s="10"/>
      <c r="Q1417">
        <v>1</v>
      </c>
      <c r="R1417">
        <v>2</v>
      </c>
      <c r="S1417" cm="1">
        <f t="array" ref="S1417">IFERROR(_xlfn.SWITCH(L1417,1,_xlfn.XLOOKUP(O1417,[1]AttributeName!$B:$B,[1]AttributeName!$D:$D),2,_xlfn.XLOOKUP(C1417,#REF!,#REF!),3,_xlfn.XLOOKUP(C1417,#REF!,#REF!)),0)</f>
        <v>0</v>
      </c>
      <c r="T1417" cm="1">
        <f t="array" ref="T1417">IFERROR(_xlfn.SWITCH(L1417,1,_xlfn.XLOOKUP(O1417,[1]AttributeName!$B:$B,[1]AttributeName!$E:$E),2,_xlfn.XLOOKUP(C1417,#REF!,#REF!),3,_xlfn.XLOOKUP(C1417,#REF!,#REF!)),0)</f>
        <v>1</v>
      </c>
    </row>
    <row r="1418" customFormat="1" spans="1:20">
      <c r="A1418">
        <v>601</v>
      </c>
      <c r="B1418">
        <v>1</v>
      </c>
      <c r="C1418" t="s">
        <v>389</v>
      </c>
      <c r="D1418" t="s">
        <v>29</v>
      </c>
      <c r="E1418" t="s">
        <v>378</v>
      </c>
      <c r="F1418"/>
      <c r="G1418">
        <v>1</v>
      </c>
      <c r="H1418">
        <v>1000</v>
      </c>
      <c r="J1418" cm="1">
        <f t="array" ref="J1418">_xlfn.SWITCH(B1418,1,75,2,61,3,49,4,37,5,25,6,13,7,4,8,1)</f>
        <v>75</v>
      </c>
      <c r="K1418" t="str" cm="1">
        <f t="array" ref="K1418">IFERROR(_xlfn.SWITCH(L1418,2,_xlfn.XLOOKUP(C1418,[1]ModifierDes!$B:$B,[1]ModifierDes!$C:$C),3,_xlfn.XLOOKUP(C1418,[1]StuntDes!$B:$B,[1]StuntDes!$C:$C)),"")</f>
        <v/>
      </c>
      <c r="L1418">
        <f t="shared" si="62"/>
        <v>1</v>
      </c>
      <c r="M1418" s="10" t="str">
        <f>IFERROR(_xlfn.XLOOKUP(C1418,[1]StuntDes!$B:$B,[1]StuntDes!$A:$A),"")</f>
        <v/>
      </c>
      <c r="N1418" s="10" t="str">
        <f>IFERROR(_xlfn.XLOOKUP(C1418,[1]ModifierDes!$B:$B,[1]ModifierDes!$A:$A),"")</f>
        <v/>
      </c>
      <c r="O1418" s="10">
        <f>IFERROR(_xlfn.XLOOKUP(C1418,[1]AttributeName!$C:$C,[1]AttributeName!$B:$B),"")</f>
        <v>10001</v>
      </c>
      <c r="P1418" s="10"/>
      <c r="Q1418">
        <v>950</v>
      </c>
      <c r="R1418">
        <v>1050</v>
      </c>
      <c r="S1418" cm="1">
        <f t="array" ref="S1418">IFERROR(_xlfn.SWITCH(L1418,1,_xlfn.XLOOKUP(O1418,[1]AttributeName!$B:$B,[1]AttributeName!$D:$D),2,_xlfn.XLOOKUP(C1418,#REF!,#REF!),3,_xlfn.XLOOKUP(C1418,#REF!,#REF!)),0)</f>
        <v>0</v>
      </c>
      <c r="T1418" cm="1">
        <f t="array" ref="T1418">IFERROR(_xlfn.SWITCH(L1418,1,_xlfn.XLOOKUP(O1418,[1]AttributeName!$B:$B,[1]AttributeName!$E:$E),2,_xlfn.XLOOKUP(C1418,#REF!,#REF!),3,_xlfn.XLOOKUP(C1418,#REF!,#REF!)),0)</f>
        <v>1</v>
      </c>
    </row>
    <row r="1419" customFormat="1" spans="1:20">
      <c r="A1419">
        <v>601</v>
      </c>
      <c r="B1419">
        <v>2</v>
      </c>
      <c r="C1419" t="s">
        <v>389</v>
      </c>
      <c r="D1419" t="s">
        <v>29</v>
      </c>
      <c r="E1419" t="s">
        <v>378</v>
      </c>
      <c r="F1419"/>
      <c r="G1419">
        <v>1</v>
      </c>
      <c r="H1419">
        <v>1000</v>
      </c>
      <c r="J1419" cm="1">
        <f t="array" ref="J1419">_xlfn.SWITCH(B1419,1,75,2,61,3,49,4,37,5,25,6,13,7,4,8,1)</f>
        <v>61</v>
      </c>
      <c r="K1419" t="str" cm="1">
        <f t="array" ref="K1419">IFERROR(_xlfn.SWITCH(L1419,2,_xlfn.XLOOKUP(C1419,[1]ModifierDes!$B:$B,[1]ModifierDes!$C:$C),3,_xlfn.XLOOKUP(C1419,[1]StuntDes!$B:$B,[1]StuntDes!$C:$C)),"")</f>
        <v/>
      </c>
      <c r="L1419">
        <f t="shared" si="62"/>
        <v>1</v>
      </c>
      <c r="M1419" s="10" t="str">
        <f>IFERROR(_xlfn.XLOOKUP(C1419,[1]StuntDes!$B:$B,[1]StuntDes!$A:$A),"")</f>
        <v/>
      </c>
      <c r="N1419" s="10" t="str">
        <f>IFERROR(_xlfn.XLOOKUP(C1419,[1]ModifierDes!$B:$B,[1]ModifierDes!$A:$A),"")</f>
        <v/>
      </c>
      <c r="O1419" s="10">
        <f>IFERROR(_xlfn.XLOOKUP(C1419,[1]AttributeName!$C:$C,[1]AttributeName!$B:$B),"")</f>
        <v>10001</v>
      </c>
      <c r="P1419" s="10"/>
      <c r="Q1419">
        <v>520</v>
      </c>
      <c r="R1419">
        <v>600</v>
      </c>
      <c r="S1419" cm="1">
        <f t="array" ref="S1419">IFERROR(_xlfn.SWITCH(L1419,1,_xlfn.XLOOKUP(O1419,[1]AttributeName!$B:$B,[1]AttributeName!$D:$D),2,_xlfn.XLOOKUP(C1419,#REF!,#REF!),3,_xlfn.XLOOKUP(C1419,#REF!,#REF!)),0)</f>
        <v>0</v>
      </c>
      <c r="T1419" cm="1">
        <f t="array" ref="T1419">IFERROR(_xlfn.SWITCH(L1419,1,_xlfn.XLOOKUP(O1419,[1]AttributeName!$B:$B,[1]AttributeName!$E:$E),2,_xlfn.XLOOKUP(C1419,#REF!,#REF!),3,_xlfn.XLOOKUP(C1419,#REF!,#REF!)),0)</f>
        <v>1</v>
      </c>
    </row>
    <row r="1420" customFormat="1" spans="1:20">
      <c r="A1420">
        <v>601</v>
      </c>
      <c r="B1420">
        <v>3</v>
      </c>
      <c r="C1420" t="s">
        <v>389</v>
      </c>
      <c r="D1420" t="s">
        <v>29</v>
      </c>
      <c r="E1420" t="s">
        <v>378</v>
      </c>
      <c r="F1420"/>
      <c r="G1420">
        <v>1</v>
      </c>
      <c r="H1420">
        <v>1000</v>
      </c>
      <c r="J1420" cm="1">
        <f t="array" ref="J1420">_xlfn.SWITCH(B1420,1,75,2,61,3,49,4,37,5,25,6,13,7,4,8,1)</f>
        <v>49</v>
      </c>
      <c r="K1420" t="str" cm="1">
        <f t="array" ref="K1420">IFERROR(_xlfn.SWITCH(L1420,2,_xlfn.XLOOKUP(C1420,[1]ModifierDes!$B:$B,[1]ModifierDes!$C:$C),3,_xlfn.XLOOKUP(C1420,[1]StuntDes!$B:$B,[1]StuntDes!$C:$C)),"")</f>
        <v/>
      </c>
      <c r="L1420">
        <f t="shared" si="62"/>
        <v>1</v>
      </c>
      <c r="M1420" s="10" t="str">
        <f>IFERROR(_xlfn.XLOOKUP(C1420,[1]StuntDes!$B:$B,[1]StuntDes!$A:$A),"")</f>
        <v/>
      </c>
      <c r="N1420" s="10" t="str">
        <f>IFERROR(_xlfn.XLOOKUP(C1420,[1]ModifierDes!$B:$B,[1]ModifierDes!$A:$A),"")</f>
        <v/>
      </c>
      <c r="O1420" s="10">
        <f>IFERROR(_xlfn.XLOOKUP(C1420,[1]AttributeName!$C:$C,[1]AttributeName!$B:$B),"")</f>
        <v>10001</v>
      </c>
      <c r="P1420" s="10"/>
      <c r="Q1420">
        <v>250</v>
      </c>
      <c r="R1420">
        <v>310</v>
      </c>
      <c r="S1420" cm="1">
        <f t="array" ref="S1420">IFERROR(_xlfn.SWITCH(L1420,1,_xlfn.XLOOKUP(O1420,[1]AttributeName!$B:$B,[1]AttributeName!$D:$D),2,_xlfn.XLOOKUP(C1420,#REF!,#REF!),3,_xlfn.XLOOKUP(C1420,#REF!,#REF!)),0)</f>
        <v>0</v>
      </c>
      <c r="T1420" cm="1">
        <f t="array" ref="T1420">IFERROR(_xlfn.SWITCH(L1420,1,_xlfn.XLOOKUP(O1420,[1]AttributeName!$B:$B,[1]AttributeName!$E:$E),2,_xlfn.XLOOKUP(C1420,#REF!,#REF!),3,_xlfn.XLOOKUP(C1420,#REF!,#REF!)),0)</f>
        <v>1</v>
      </c>
    </row>
    <row r="1421" customFormat="1" spans="1:20">
      <c r="A1421">
        <v>601</v>
      </c>
      <c r="B1421">
        <v>4</v>
      </c>
      <c r="C1421" t="s">
        <v>389</v>
      </c>
      <c r="D1421" t="s">
        <v>29</v>
      </c>
      <c r="E1421" t="s">
        <v>378</v>
      </c>
      <c r="F1421"/>
      <c r="G1421">
        <v>1</v>
      </c>
      <c r="H1421">
        <v>1000</v>
      </c>
      <c r="J1421" cm="1">
        <f t="array" ref="J1421">_xlfn.SWITCH(B1421,1,75,2,61,3,49,4,37,5,25,6,13,7,4,8,1)</f>
        <v>37</v>
      </c>
      <c r="K1421" t="str" cm="1">
        <f t="array" ref="K1421">IFERROR(_xlfn.SWITCH(L1421,2,_xlfn.XLOOKUP(C1421,[1]ModifierDes!$B:$B,[1]ModifierDes!$C:$C),3,_xlfn.XLOOKUP(C1421,[1]StuntDes!$B:$B,[1]StuntDes!$C:$C)),"")</f>
        <v/>
      </c>
      <c r="L1421">
        <f t="shared" si="62"/>
        <v>1</v>
      </c>
      <c r="M1421" s="10" t="str">
        <f>IFERROR(_xlfn.XLOOKUP(C1421,[1]StuntDes!$B:$B,[1]StuntDes!$A:$A),"")</f>
        <v/>
      </c>
      <c r="N1421" s="10" t="str">
        <f>IFERROR(_xlfn.XLOOKUP(C1421,[1]ModifierDes!$B:$B,[1]ModifierDes!$A:$A),"")</f>
        <v/>
      </c>
      <c r="O1421" s="10">
        <f>IFERROR(_xlfn.XLOOKUP(C1421,[1]AttributeName!$C:$C,[1]AttributeName!$B:$B),"")</f>
        <v>10001</v>
      </c>
      <c r="P1421" s="10"/>
      <c r="Q1421">
        <v>120</v>
      </c>
      <c r="R1421">
        <v>160</v>
      </c>
      <c r="S1421" cm="1">
        <f t="array" ref="S1421">IFERROR(_xlfn.SWITCH(L1421,1,_xlfn.XLOOKUP(O1421,[1]AttributeName!$B:$B,[1]AttributeName!$D:$D),2,_xlfn.XLOOKUP(C1421,#REF!,#REF!),3,_xlfn.XLOOKUP(C1421,#REF!,#REF!)),0)</f>
        <v>0</v>
      </c>
      <c r="T1421" cm="1">
        <f t="array" ref="T1421">IFERROR(_xlfn.SWITCH(L1421,1,_xlfn.XLOOKUP(O1421,[1]AttributeName!$B:$B,[1]AttributeName!$E:$E),2,_xlfn.XLOOKUP(C1421,#REF!,#REF!),3,_xlfn.XLOOKUP(C1421,#REF!,#REF!)),0)</f>
        <v>1</v>
      </c>
    </row>
    <row r="1422" customFormat="1" spans="1:20">
      <c r="A1422">
        <v>601</v>
      </c>
      <c r="B1422">
        <v>5</v>
      </c>
      <c r="C1422" t="s">
        <v>389</v>
      </c>
      <c r="D1422" t="s">
        <v>29</v>
      </c>
      <c r="E1422" t="s">
        <v>378</v>
      </c>
      <c r="F1422"/>
      <c r="G1422">
        <v>1</v>
      </c>
      <c r="H1422">
        <v>1000</v>
      </c>
      <c r="J1422" cm="1">
        <f t="array" ref="J1422">_xlfn.SWITCH(B1422,1,75,2,61,3,49,4,37,5,25,6,13,7,4,8,1)</f>
        <v>25</v>
      </c>
      <c r="K1422" t="str" cm="1">
        <f t="array" ref="K1422">IFERROR(_xlfn.SWITCH(L1422,2,_xlfn.XLOOKUP(C1422,[1]ModifierDes!$B:$B,[1]ModifierDes!$C:$C),3,_xlfn.XLOOKUP(C1422,[1]StuntDes!$B:$B,[1]StuntDes!$C:$C)),"")</f>
        <v/>
      </c>
      <c r="L1422">
        <f t="shared" si="62"/>
        <v>1</v>
      </c>
      <c r="M1422" s="10" t="str">
        <f>IFERROR(_xlfn.XLOOKUP(C1422,[1]StuntDes!$B:$B,[1]StuntDes!$A:$A),"")</f>
        <v/>
      </c>
      <c r="N1422" s="10" t="str">
        <f>IFERROR(_xlfn.XLOOKUP(C1422,[1]ModifierDes!$B:$B,[1]ModifierDes!$A:$A),"")</f>
        <v/>
      </c>
      <c r="O1422" s="10">
        <f>IFERROR(_xlfn.XLOOKUP(C1422,[1]AttributeName!$C:$C,[1]AttributeName!$B:$B),"")</f>
        <v>10001</v>
      </c>
      <c r="P1422" s="10"/>
      <c r="Q1422">
        <v>60</v>
      </c>
      <c r="R1422">
        <v>80</v>
      </c>
      <c r="S1422" cm="1">
        <f t="array" ref="S1422">IFERROR(_xlfn.SWITCH(L1422,1,_xlfn.XLOOKUP(O1422,[1]AttributeName!$B:$B,[1]AttributeName!$D:$D),2,_xlfn.XLOOKUP(C1422,#REF!,#REF!),3,_xlfn.XLOOKUP(C1422,#REF!,#REF!)),0)</f>
        <v>0</v>
      </c>
      <c r="T1422" cm="1">
        <f t="array" ref="T1422">IFERROR(_xlfn.SWITCH(L1422,1,_xlfn.XLOOKUP(O1422,[1]AttributeName!$B:$B,[1]AttributeName!$E:$E),2,_xlfn.XLOOKUP(C1422,#REF!,#REF!),3,_xlfn.XLOOKUP(C1422,#REF!,#REF!)),0)</f>
        <v>1</v>
      </c>
    </row>
    <row r="1423" customFormat="1" spans="1:20">
      <c r="A1423">
        <v>601</v>
      </c>
      <c r="B1423">
        <v>6</v>
      </c>
      <c r="C1423" t="s">
        <v>389</v>
      </c>
      <c r="D1423" t="s">
        <v>29</v>
      </c>
      <c r="E1423" t="s">
        <v>378</v>
      </c>
      <c r="F1423"/>
      <c r="G1423">
        <v>1</v>
      </c>
      <c r="H1423">
        <v>1000</v>
      </c>
      <c r="J1423" cm="1">
        <f t="array" ref="J1423">_xlfn.SWITCH(B1423,1,75,2,61,3,49,4,37,5,25,6,13,7,4,8,1)</f>
        <v>13</v>
      </c>
      <c r="K1423" t="str" cm="1">
        <f t="array" ref="K1423">IFERROR(_xlfn.SWITCH(L1423,2,_xlfn.XLOOKUP(C1423,[1]ModifierDes!$B:$B,[1]ModifierDes!$C:$C),3,_xlfn.XLOOKUP(C1423,[1]StuntDes!$B:$B,[1]StuntDes!$C:$C)),"")</f>
        <v/>
      </c>
      <c r="L1423">
        <f t="shared" si="62"/>
        <v>1</v>
      </c>
      <c r="M1423" s="10" t="str">
        <f>IFERROR(_xlfn.XLOOKUP(C1423,[1]StuntDes!$B:$B,[1]StuntDes!$A:$A),"")</f>
        <v/>
      </c>
      <c r="N1423" s="10" t="str">
        <f>IFERROR(_xlfn.XLOOKUP(C1423,[1]ModifierDes!$B:$B,[1]ModifierDes!$A:$A),"")</f>
        <v/>
      </c>
      <c r="O1423" s="10">
        <f>IFERROR(_xlfn.XLOOKUP(C1423,[1]AttributeName!$C:$C,[1]AttributeName!$B:$B),"")</f>
        <v>10001</v>
      </c>
      <c r="P1423" s="10"/>
      <c r="Q1423">
        <v>30</v>
      </c>
      <c r="R1423">
        <v>40</v>
      </c>
      <c r="S1423" cm="1">
        <f t="array" ref="S1423">IFERROR(_xlfn.SWITCH(L1423,1,_xlfn.XLOOKUP(O1423,[1]AttributeName!$B:$B,[1]AttributeName!$D:$D),2,_xlfn.XLOOKUP(C1423,#REF!,#REF!),3,_xlfn.XLOOKUP(C1423,#REF!,#REF!)),0)</f>
        <v>0</v>
      </c>
      <c r="T1423" cm="1">
        <f t="array" ref="T1423">IFERROR(_xlfn.SWITCH(L1423,1,_xlfn.XLOOKUP(O1423,[1]AttributeName!$B:$B,[1]AttributeName!$E:$E),2,_xlfn.XLOOKUP(C1423,#REF!,#REF!),3,_xlfn.XLOOKUP(C1423,#REF!,#REF!)),0)</f>
        <v>1</v>
      </c>
    </row>
    <row r="1424" customFormat="1" spans="1:20">
      <c r="A1424">
        <v>601</v>
      </c>
      <c r="B1424">
        <v>7</v>
      </c>
      <c r="C1424" t="s">
        <v>389</v>
      </c>
      <c r="D1424" t="s">
        <v>29</v>
      </c>
      <c r="E1424" t="s">
        <v>378</v>
      </c>
      <c r="F1424"/>
      <c r="G1424">
        <v>1</v>
      </c>
      <c r="H1424">
        <v>1000</v>
      </c>
      <c r="J1424" cm="1">
        <f t="array" ref="J1424">_xlfn.SWITCH(B1424,1,75,2,61,3,49,4,37,5,25,6,13,7,4,8,1)</f>
        <v>4</v>
      </c>
      <c r="K1424" t="str" cm="1">
        <f t="array" ref="K1424">IFERROR(_xlfn.SWITCH(L1424,2,_xlfn.XLOOKUP(C1424,[1]ModifierDes!$B:$B,[1]ModifierDes!$C:$C),3,_xlfn.XLOOKUP(C1424,[1]StuntDes!$B:$B,[1]StuntDes!$C:$C)),"")</f>
        <v/>
      </c>
      <c r="L1424">
        <f t="shared" si="62"/>
        <v>1</v>
      </c>
      <c r="M1424" s="10" t="str">
        <f>IFERROR(_xlfn.XLOOKUP(C1424,[1]StuntDes!$B:$B,[1]StuntDes!$A:$A),"")</f>
        <v/>
      </c>
      <c r="N1424" s="10" t="str">
        <f>IFERROR(_xlfn.XLOOKUP(C1424,[1]ModifierDes!$B:$B,[1]ModifierDes!$A:$A),"")</f>
        <v/>
      </c>
      <c r="O1424" s="10">
        <f>IFERROR(_xlfn.XLOOKUP(C1424,[1]AttributeName!$C:$C,[1]AttributeName!$B:$B),"")</f>
        <v>10001</v>
      </c>
      <c r="P1424" s="10"/>
      <c r="Q1424">
        <v>12</v>
      </c>
      <c r="R1424">
        <v>20</v>
      </c>
      <c r="S1424" cm="1">
        <f t="array" ref="S1424">IFERROR(_xlfn.SWITCH(L1424,1,_xlfn.XLOOKUP(O1424,[1]AttributeName!$B:$B,[1]AttributeName!$D:$D),2,_xlfn.XLOOKUP(C1424,#REF!,#REF!),3,_xlfn.XLOOKUP(C1424,#REF!,#REF!)),0)</f>
        <v>0</v>
      </c>
      <c r="T1424" cm="1">
        <f t="array" ref="T1424">IFERROR(_xlfn.SWITCH(L1424,1,_xlfn.XLOOKUP(O1424,[1]AttributeName!$B:$B,[1]AttributeName!$E:$E),2,_xlfn.XLOOKUP(C1424,#REF!,#REF!),3,_xlfn.XLOOKUP(C1424,#REF!,#REF!)),0)</f>
        <v>1</v>
      </c>
    </row>
    <row r="1425" customFormat="1" spans="1:20">
      <c r="A1425">
        <v>601</v>
      </c>
      <c r="B1425">
        <v>8</v>
      </c>
      <c r="C1425" t="s">
        <v>389</v>
      </c>
      <c r="D1425" t="s">
        <v>29</v>
      </c>
      <c r="E1425" t="s">
        <v>378</v>
      </c>
      <c r="F1425"/>
      <c r="G1425">
        <v>1</v>
      </c>
      <c r="H1425">
        <v>1000</v>
      </c>
      <c r="J1425" cm="1">
        <f t="array" ref="J1425">_xlfn.SWITCH(B1425,1,75,2,61,3,49,4,37,5,25,6,13,7,4,8,1)</f>
        <v>1</v>
      </c>
      <c r="K1425" t="str" cm="1">
        <f t="array" ref="K1425">IFERROR(_xlfn.SWITCH(L1425,2,_xlfn.XLOOKUP(C1425,[1]ModifierDes!$B:$B,[1]ModifierDes!$C:$C),3,_xlfn.XLOOKUP(C1425,[1]StuntDes!$B:$B,[1]StuntDes!$C:$C)),"")</f>
        <v/>
      </c>
      <c r="L1425">
        <f t="shared" si="62"/>
        <v>1</v>
      </c>
      <c r="M1425" s="10" t="str">
        <f>IFERROR(_xlfn.XLOOKUP(C1425,[1]StuntDes!$B:$B,[1]StuntDes!$A:$A),"")</f>
        <v/>
      </c>
      <c r="N1425" s="10" t="str">
        <f>IFERROR(_xlfn.XLOOKUP(C1425,[1]ModifierDes!$B:$B,[1]ModifierDes!$A:$A),"")</f>
        <v/>
      </c>
      <c r="O1425" s="10">
        <f>IFERROR(_xlfn.XLOOKUP(C1425,[1]AttributeName!$C:$C,[1]AttributeName!$B:$B),"")</f>
        <v>10001</v>
      </c>
      <c r="P1425" s="10"/>
      <c r="Q1425">
        <v>6</v>
      </c>
      <c r="R1425">
        <v>10</v>
      </c>
      <c r="S1425" cm="1">
        <f t="array" ref="S1425">IFERROR(_xlfn.SWITCH(L1425,1,_xlfn.XLOOKUP(O1425,[1]AttributeName!$B:$B,[1]AttributeName!$D:$D),2,_xlfn.XLOOKUP(C1425,#REF!,#REF!),3,_xlfn.XLOOKUP(C1425,#REF!,#REF!)),0)</f>
        <v>0</v>
      </c>
      <c r="T1425" cm="1">
        <f t="array" ref="T1425">IFERROR(_xlfn.SWITCH(L1425,1,_xlfn.XLOOKUP(O1425,[1]AttributeName!$B:$B,[1]AttributeName!$E:$E),2,_xlfn.XLOOKUP(C1425,#REF!,#REF!),3,_xlfn.XLOOKUP(C1425,#REF!,#REF!)),0)</f>
        <v>1</v>
      </c>
    </row>
    <row r="1426" customFormat="1" spans="1:20">
      <c r="A1426">
        <f t="shared" ref="A1426:A1489" si="63">A1418+1</f>
        <v>602</v>
      </c>
      <c r="B1426">
        <v>1</v>
      </c>
      <c r="C1426" t="s">
        <v>416</v>
      </c>
      <c r="D1426" t="s">
        <v>29</v>
      </c>
      <c r="E1426" t="s">
        <v>378</v>
      </c>
      <c r="F1426"/>
      <c r="G1426">
        <v>1</v>
      </c>
      <c r="H1426">
        <v>1000</v>
      </c>
      <c r="J1426" cm="1">
        <f t="array" ref="J1426">_xlfn.SWITCH(B1426,1,75,2,61,3,49,4,37,5,25,6,13,7,4,8,1)</f>
        <v>75</v>
      </c>
      <c r="K1426" t="str" cm="1">
        <f t="array" ref="K1426">IFERROR(_xlfn.SWITCH(L1426,2,_xlfn.XLOOKUP(C1426,[1]ModifierDes!$B:$B,[1]ModifierDes!$C:$C),3,_xlfn.XLOOKUP(C1426,[1]StuntDes!$B:$B,[1]StuntDes!$C:$C)),"")</f>
        <v/>
      </c>
      <c r="L1426">
        <f t="shared" si="62"/>
        <v>1</v>
      </c>
      <c r="M1426" s="10" t="str">
        <f>IFERROR(_xlfn.XLOOKUP(C1426,[1]StuntDes!$B:$B,[1]StuntDes!$A:$A),"")</f>
        <v/>
      </c>
      <c r="N1426" s="10" t="str">
        <f>IFERROR(_xlfn.XLOOKUP(C1426,[1]ModifierDes!$B:$B,[1]ModifierDes!$A:$A),"")</f>
        <v/>
      </c>
      <c r="O1426" s="10">
        <f>IFERROR(_xlfn.XLOOKUP(C1426,[1]AttributeName!$C:$C,[1]AttributeName!$B:$B),"")</f>
        <v>10002</v>
      </c>
      <c r="P1426" s="10"/>
      <c r="Q1426">
        <v>71</v>
      </c>
      <c r="R1426">
        <v>80</v>
      </c>
      <c r="S1426" cm="1">
        <f t="array" ref="S1426">IFERROR(_xlfn.SWITCH(L1426,1,_xlfn.XLOOKUP(O1426,[1]AttributeName!$B:$B,[1]AttributeName!$D:$D),2,_xlfn.XLOOKUP(C1426,#REF!,#REF!),3,_xlfn.XLOOKUP(C1426,#REF!,#REF!)),0)</f>
        <v>0</v>
      </c>
      <c r="T1426" cm="1">
        <f t="array" ref="T1426">IFERROR(_xlfn.SWITCH(L1426,1,_xlfn.XLOOKUP(O1426,[1]AttributeName!$B:$B,[1]AttributeName!$E:$E),2,_xlfn.XLOOKUP(C1426,#REF!,#REF!),3,_xlfn.XLOOKUP(C1426,#REF!,#REF!)),0)</f>
        <v>1</v>
      </c>
    </row>
    <row r="1427" customFormat="1" spans="1:20">
      <c r="A1427">
        <f t="shared" si="63"/>
        <v>602</v>
      </c>
      <c r="B1427">
        <v>2</v>
      </c>
      <c r="C1427" t="s">
        <v>416</v>
      </c>
      <c r="D1427" t="s">
        <v>29</v>
      </c>
      <c r="E1427" t="s">
        <v>378</v>
      </c>
      <c r="F1427"/>
      <c r="G1427">
        <v>1</v>
      </c>
      <c r="H1427">
        <v>1000</v>
      </c>
      <c r="J1427" cm="1">
        <f t="array" ref="J1427">_xlfn.SWITCH(B1427,1,75,2,61,3,49,4,37,5,25,6,13,7,4,8,1)</f>
        <v>61</v>
      </c>
      <c r="K1427" t="str" cm="1">
        <f t="array" ref="K1427">IFERROR(_xlfn.SWITCH(L1427,2,_xlfn.XLOOKUP(C1427,[1]ModifierDes!$B:$B,[1]ModifierDes!$C:$C),3,_xlfn.XLOOKUP(C1427,[1]StuntDes!$B:$B,[1]StuntDes!$C:$C)),"")</f>
        <v/>
      </c>
      <c r="L1427">
        <f t="shared" si="62"/>
        <v>1</v>
      </c>
      <c r="M1427" s="10" t="str">
        <f>IFERROR(_xlfn.XLOOKUP(C1427,[1]StuntDes!$B:$B,[1]StuntDes!$A:$A),"")</f>
        <v/>
      </c>
      <c r="N1427" s="10" t="str">
        <f>IFERROR(_xlfn.XLOOKUP(C1427,[1]ModifierDes!$B:$B,[1]ModifierDes!$A:$A),"")</f>
        <v/>
      </c>
      <c r="O1427" s="10">
        <f>IFERROR(_xlfn.XLOOKUP(C1427,[1]AttributeName!$C:$C,[1]AttributeName!$B:$B),"")</f>
        <v>10002</v>
      </c>
      <c r="P1427" s="10"/>
      <c r="Q1427">
        <v>61</v>
      </c>
      <c r="R1427">
        <v>70</v>
      </c>
      <c r="S1427" cm="1">
        <f t="array" ref="S1427">IFERROR(_xlfn.SWITCH(L1427,1,_xlfn.XLOOKUP(O1427,[1]AttributeName!$B:$B,[1]AttributeName!$D:$D),2,_xlfn.XLOOKUP(C1427,#REF!,#REF!),3,_xlfn.XLOOKUP(C1427,#REF!,#REF!)),0)</f>
        <v>0</v>
      </c>
      <c r="T1427" cm="1">
        <f t="array" ref="T1427">IFERROR(_xlfn.SWITCH(L1427,1,_xlfn.XLOOKUP(O1427,[1]AttributeName!$B:$B,[1]AttributeName!$E:$E),2,_xlfn.XLOOKUP(C1427,#REF!,#REF!),3,_xlfn.XLOOKUP(C1427,#REF!,#REF!)),0)</f>
        <v>1</v>
      </c>
    </row>
    <row r="1428" customFormat="1" spans="1:20">
      <c r="A1428">
        <f t="shared" si="63"/>
        <v>602</v>
      </c>
      <c r="B1428">
        <v>3</v>
      </c>
      <c r="C1428" t="s">
        <v>416</v>
      </c>
      <c r="D1428" t="s">
        <v>29</v>
      </c>
      <c r="E1428" t="s">
        <v>378</v>
      </c>
      <c r="F1428"/>
      <c r="G1428">
        <v>1</v>
      </c>
      <c r="H1428">
        <v>1000</v>
      </c>
      <c r="J1428" cm="1">
        <f t="array" ref="J1428">_xlfn.SWITCH(B1428,1,75,2,61,3,49,4,37,5,25,6,13,7,4,8,1)</f>
        <v>49</v>
      </c>
      <c r="K1428" t="str" cm="1">
        <f t="array" ref="K1428">IFERROR(_xlfn.SWITCH(L1428,2,_xlfn.XLOOKUP(C1428,[1]ModifierDes!$B:$B,[1]ModifierDes!$C:$C),3,_xlfn.XLOOKUP(C1428,[1]StuntDes!$B:$B,[1]StuntDes!$C:$C)),"")</f>
        <v/>
      </c>
      <c r="L1428">
        <f t="shared" si="62"/>
        <v>1</v>
      </c>
      <c r="M1428" s="10" t="str">
        <f>IFERROR(_xlfn.XLOOKUP(C1428,[1]StuntDes!$B:$B,[1]StuntDes!$A:$A),"")</f>
        <v/>
      </c>
      <c r="N1428" s="10" t="str">
        <f>IFERROR(_xlfn.XLOOKUP(C1428,[1]ModifierDes!$B:$B,[1]ModifierDes!$A:$A),"")</f>
        <v/>
      </c>
      <c r="O1428" s="10">
        <f>IFERROR(_xlfn.XLOOKUP(C1428,[1]AttributeName!$C:$C,[1]AttributeName!$B:$B),"")</f>
        <v>10002</v>
      </c>
      <c r="P1428" s="10"/>
      <c r="Q1428">
        <v>51</v>
      </c>
      <c r="R1428">
        <v>60</v>
      </c>
      <c r="S1428" cm="1">
        <f t="array" ref="S1428">IFERROR(_xlfn.SWITCH(L1428,1,_xlfn.XLOOKUP(O1428,[1]AttributeName!$B:$B,[1]AttributeName!$D:$D),2,_xlfn.XLOOKUP(C1428,#REF!,#REF!),3,_xlfn.XLOOKUP(C1428,#REF!,#REF!)),0)</f>
        <v>0</v>
      </c>
      <c r="T1428" cm="1">
        <f t="array" ref="T1428">IFERROR(_xlfn.SWITCH(L1428,1,_xlfn.XLOOKUP(O1428,[1]AttributeName!$B:$B,[1]AttributeName!$E:$E),2,_xlfn.XLOOKUP(C1428,#REF!,#REF!),3,_xlfn.XLOOKUP(C1428,#REF!,#REF!)),0)</f>
        <v>1</v>
      </c>
    </row>
    <row r="1429" customFormat="1" spans="1:20">
      <c r="A1429">
        <f t="shared" si="63"/>
        <v>602</v>
      </c>
      <c r="B1429">
        <v>4</v>
      </c>
      <c r="C1429" t="s">
        <v>416</v>
      </c>
      <c r="D1429" t="s">
        <v>29</v>
      </c>
      <c r="E1429" t="s">
        <v>378</v>
      </c>
      <c r="F1429"/>
      <c r="G1429">
        <v>1</v>
      </c>
      <c r="H1429">
        <v>1000</v>
      </c>
      <c r="J1429" cm="1">
        <f t="array" ref="J1429">_xlfn.SWITCH(B1429,1,75,2,61,3,49,4,37,5,25,6,13,7,4,8,1)</f>
        <v>37</v>
      </c>
      <c r="K1429" t="str" cm="1">
        <f t="array" ref="K1429">IFERROR(_xlfn.SWITCH(L1429,2,_xlfn.XLOOKUP(C1429,[1]ModifierDes!$B:$B,[1]ModifierDes!$C:$C),3,_xlfn.XLOOKUP(C1429,[1]StuntDes!$B:$B,[1]StuntDes!$C:$C)),"")</f>
        <v/>
      </c>
      <c r="L1429">
        <f t="shared" si="62"/>
        <v>1</v>
      </c>
      <c r="M1429" s="10" t="str">
        <f>IFERROR(_xlfn.XLOOKUP(C1429,[1]StuntDes!$B:$B,[1]StuntDes!$A:$A),"")</f>
        <v/>
      </c>
      <c r="N1429" s="10" t="str">
        <f>IFERROR(_xlfn.XLOOKUP(C1429,[1]ModifierDes!$B:$B,[1]ModifierDes!$A:$A),"")</f>
        <v/>
      </c>
      <c r="O1429" s="10">
        <f>IFERROR(_xlfn.XLOOKUP(C1429,[1]AttributeName!$C:$C,[1]AttributeName!$B:$B),"")</f>
        <v>10002</v>
      </c>
      <c r="P1429" s="10"/>
      <c r="Q1429">
        <v>41</v>
      </c>
      <c r="R1429">
        <v>50</v>
      </c>
      <c r="S1429" cm="1">
        <f t="array" ref="S1429">IFERROR(_xlfn.SWITCH(L1429,1,_xlfn.XLOOKUP(O1429,[1]AttributeName!$B:$B,[1]AttributeName!$D:$D),2,_xlfn.XLOOKUP(C1429,#REF!,#REF!),3,_xlfn.XLOOKUP(C1429,#REF!,#REF!)),0)</f>
        <v>0</v>
      </c>
      <c r="T1429" cm="1">
        <f t="array" ref="T1429">IFERROR(_xlfn.SWITCH(L1429,1,_xlfn.XLOOKUP(O1429,[1]AttributeName!$B:$B,[1]AttributeName!$E:$E),2,_xlfn.XLOOKUP(C1429,#REF!,#REF!),3,_xlfn.XLOOKUP(C1429,#REF!,#REF!)),0)</f>
        <v>1</v>
      </c>
    </row>
    <row r="1430" customFormat="1" spans="1:20">
      <c r="A1430">
        <f t="shared" si="63"/>
        <v>602</v>
      </c>
      <c r="B1430">
        <v>5</v>
      </c>
      <c r="C1430" t="s">
        <v>416</v>
      </c>
      <c r="D1430" t="s">
        <v>29</v>
      </c>
      <c r="E1430" t="s">
        <v>378</v>
      </c>
      <c r="F1430"/>
      <c r="G1430">
        <v>1</v>
      </c>
      <c r="H1430">
        <v>1000</v>
      </c>
      <c r="J1430" cm="1">
        <f t="array" ref="J1430">_xlfn.SWITCH(B1430,1,75,2,61,3,49,4,37,5,25,6,13,7,4,8,1)</f>
        <v>25</v>
      </c>
      <c r="K1430" t="str" cm="1">
        <f t="array" ref="K1430">IFERROR(_xlfn.SWITCH(L1430,2,_xlfn.XLOOKUP(C1430,[1]ModifierDes!$B:$B,[1]ModifierDes!$C:$C),3,_xlfn.XLOOKUP(C1430,[1]StuntDes!$B:$B,[1]StuntDes!$C:$C)),"")</f>
        <v/>
      </c>
      <c r="L1430">
        <f t="shared" si="62"/>
        <v>1</v>
      </c>
      <c r="M1430" s="10" t="str">
        <f>IFERROR(_xlfn.XLOOKUP(C1430,[1]StuntDes!$B:$B,[1]StuntDes!$A:$A),"")</f>
        <v/>
      </c>
      <c r="N1430" s="10" t="str">
        <f>IFERROR(_xlfn.XLOOKUP(C1430,[1]ModifierDes!$B:$B,[1]ModifierDes!$A:$A),"")</f>
        <v/>
      </c>
      <c r="O1430" s="10">
        <f>IFERROR(_xlfn.XLOOKUP(C1430,[1]AttributeName!$C:$C,[1]AttributeName!$B:$B),"")</f>
        <v>10002</v>
      </c>
      <c r="P1430" s="10"/>
      <c r="Q1430">
        <v>31</v>
      </c>
      <c r="R1430">
        <v>40</v>
      </c>
      <c r="S1430" cm="1">
        <f t="array" ref="S1430">IFERROR(_xlfn.SWITCH(L1430,1,_xlfn.XLOOKUP(O1430,[1]AttributeName!$B:$B,[1]AttributeName!$D:$D),2,_xlfn.XLOOKUP(C1430,#REF!,#REF!),3,_xlfn.XLOOKUP(C1430,#REF!,#REF!)),0)</f>
        <v>0</v>
      </c>
      <c r="T1430" cm="1">
        <f t="array" ref="T1430">IFERROR(_xlfn.SWITCH(L1430,1,_xlfn.XLOOKUP(O1430,[1]AttributeName!$B:$B,[1]AttributeName!$E:$E),2,_xlfn.XLOOKUP(C1430,#REF!,#REF!),3,_xlfn.XLOOKUP(C1430,#REF!,#REF!)),0)</f>
        <v>1</v>
      </c>
    </row>
    <row r="1431" customFormat="1" spans="1:20">
      <c r="A1431">
        <f t="shared" si="63"/>
        <v>602</v>
      </c>
      <c r="B1431">
        <v>6</v>
      </c>
      <c r="C1431" t="s">
        <v>416</v>
      </c>
      <c r="D1431" t="s">
        <v>29</v>
      </c>
      <c r="E1431" t="s">
        <v>378</v>
      </c>
      <c r="F1431"/>
      <c r="G1431">
        <v>1</v>
      </c>
      <c r="H1431">
        <v>1000</v>
      </c>
      <c r="J1431" cm="1">
        <f t="array" ref="J1431">_xlfn.SWITCH(B1431,1,75,2,61,3,49,4,37,5,25,6,13,7,4,8,1)</f>
        <v>13</v>
      </c>
      <c r="K1431" t="str" cm="1">
        <f t="array" ref="K1431">IFERROR(_xlfn.SWITCH(L1431,2,_xlfn.XLOOKUP(C1431,[1]ModifierDes!$B:$B,[1]ModifierDes!$C:$C),3,_xlfn.XLOOKUP(C1431,[1]StuntDes!$B:$B,[1]StuntDes!$C:$C)),"")</f>
        <v/>
      </c>
      <c r="L1431">
        <f t="shared" si="62"/>
        <v>1</v>
      </c>
      <c r="M1431" s="10" t="str">
        <f>IFERROR(_xlfn.XLOOKUP(C1431,[1]StuntDes!$B:$B,[1]StuntDes!$A:$A),"")</f>
        <v/>
      </c>
      <c r="N1431" s="10" t="str">
        <f>IFERROR(_xlfn.XLOOKUP(C1431,[1]ModifierDes!$B:$B,[1]ModifierDes!$A:$A),"")</f>
        <v/>
      </c>
      <c r="O1431" s="10">
        <f>IFERROR(_xlfn.XLOOKUP(C1431,[1]AttributeName!$C:$C,[1]AttributeName!$B:$B),"")</f>
        <v>10002</v>
      </c>
      <c r="P1431" s="10"/>
      <c r="Q1431">
        <v>21</v>
      </c>
      <c r="R1431">
        <v>30</v>
      </c>
      <c r="S1431" cm="1">
        <f t="array" ref="S1431">IFERROR(_xlfn.SWITCH(L1431,1,_xlfn.XLOOKUP(O1431,[1]AttributeName!$B:$B,[1]AttributeName!$D:$D),2,_xlfn.XLOOKUP(C1431,#REF!,#REF!),3,_xlfn.XLOOKUP(C1431,#REF!,#REF!)),0)</f>
        <v>0</v>
      </c>
      <c r="T1431" cm="1">
        <f t="array" ref="T1431">IFERROR(_xlfn.SWITCH(L1431,1,_xlfn.XLOOKUP(O1431,[1]AttributeName!$B:$B,[1]AttributeName!$E:$E),2,_xlfn.XLOOKUP(C1431,#REF!,#REF!),3,_xlfn.XLOOKUP(C1431,#REF!,#REF!)),0)</f>
        <v>1</v>
      </c>
    </row>
    <row r="1432" customFormat="1" spans="1:20">
      <c r="A1432">
        <f t="shared" si="63"/>
        <v>602</v>
      </c>
      <c r="B1432">
        <v>7</v>
      </c>
      <c r="C1432" t="s">
        <v>416</v>
      </c>
      <c r="D1432" t="s">
        <v>29</v>
      </c>
      <c r="E1432" t="s">
        <v>378</v>
      </c>
      <c r="F1432"/>
      <c r="G1432">
        <v>1</v>
      </c>
      <c r="H1432">
        <v>1000</v>
      </c>
      <c r="J1432" cm="1">
        <f t="array" ref="J1432">_xlfn.SWITCH(B1432,1,75,2,61,3,49,4,37,5,25,6,13,7,4,8,1)</f>
        <v>4</v>
      </c>
      <c r="K1432" t="str" cm="1">
        <f t="array" ref="K1432">IFERROR(_xlfn.SWITCH(L1432,2,_xlfn.XLOOKUP(C1432,[1]ModifierDes!$B:$B,[1]ModifierDes!$C:$C),3,_xlfn.XLOOKUP(C1432,[1]StuntDes!$B:$B,[1]StuntDes!$C:$C)),"")</f>
        <v/>
      </c>
      <c r="L1432">
        <f t="shared" si="62"/>
        <v>1</v>
      </c>
      <c r="M1432" s="10" t="str">
        <f>IFERROR(_xlfn.XLOOKUP(C1432,[1]StuntDes!$B:$B,[1]StuntDes!$A:$A),"")</f>
        <v/>
      </c>
      <c r="N1432" s="10" t="str">
        <f>IFERROR(_xlfn.XLOOKUP(C1432,[1]ModifierDes!$B:$B,[1]ModifierDes!$A:$A),"")</f>
        <v/>
      </c>
      <c r="O1432" s="10">
        <f>IFERROR(_xlfn.XLOOKUP(C1432,[1]AttributeName!$C:$C,[1]AttributeName!$B:$B),"")</f>
        <v>10002</v>
      </c>
      <c r="P1432" s="10"/>
      <c r="Q1432">
        <v>10</v>
      </c>
      <c r="R1432">
        <v>20</v>
      </c>
      <c r="S1432" cm="1">
        <f t="array" ref="S1432">IFERROR(_xlfn.SWITCH(L1432,1,_xlfn.XLOOKUP(O1432,[1]AttributeName!$B:$B,[1]AttributeName!$D:$D),2,_xlfn.XLOOKUP(C1432,#REF!,#REF!),3,_xlfn.XLOOKUP(C1432,#REF!,#REF!)),0)</f>
        <v>0</v>
      </c>
      <c r="T1432" cm="1">
        <f t="array" ref="T1432">IFERROR(_xlfn.SWITCH(L1432,1,_xlfn.XLOOKUP(O1432,[1]AttributeName!$B:$B,[1]AttributeName!$E:$E),2,_xlfn.XLOOKUP(C1432,#REF!,#REF!),3,_xlfn.XLOOKUP(C1432,#REF!,#REF!)),0)</f>
        <v>1</v>
      </c>
    </row>
    <row r="1433" customFormat="1" spans="1:20">
      <c r="A1433">
        <f t="shared" si="63"/>
        <v>602</v>
      </c>
      <c r="B1433">
        <v>8</v>
      </c>
      <c r="C1433" t="s">
        <v>416</v>
      </c>
      <c r="D1433" t="s">
        <v>29</v>
      </c>
      <c r="E1433" t="s">
        <v>378</v>
      </c>
      <c r="F1433"/>
      <c r="G1433">
        <v>1</v>
      </c>
      <c r="H1433">
        <v>1000</v>
      </c>
      <c r="J1433" cm="1">
        <f t="array" ref="J1433">_xlfn.SWITCH(B1433,1,75,2,61,3,49,4,37,5,25,6,13,7,4,8,1)</f>
        <v>1</v>
      </c>
      <c r="K1433" t="str" cm="1">
        <f t="array" ref="K1433">IFERROR(_xlfn.SWITCH(L1433,2,_xlfn.XLOOKUP(C1433,[1]ModifierDes!$B:$B,[1]ModifierDes!$C:$C),3,_xlfn.XLOOKUP(C1433,[1]StuntDes!$B:$B,[1]StuntDes!$C:$C)),"")</f>
        <v/>
      </c>
      <c r="L1433">
        <f t="shared" si="62"/>
        <v>1</v>
      </c>
      <c r="M1433" s="10" t="str">
        <f>IFERROR(_xlfn.XLOOKUP(C1433,[1]StuntDes!$B:$B,[1]StuntDes!$A:$A),"")</f>
        <v/>
      </c>
      <c r="N1433" s="10" t="str">
        <f>IFERROR(_xlfn.XLOOKUP(C1433,[1]ModifierDes!$B:$B,[1]ModifierDes!$A:$A),"")</f>
        <v/>
      </c>
      <c r="O1433" s="10">
        <f>IFERROR(_xlfn.XLOOKUP(C1433,[1]AttributeName!$C:$C,[1]AttributeName!$B:$B),"")</f>
        <v>10002</v>
      </c>
      <c r="P1433" s="10"/>
      <c r="Q1433">
        <v>5</v>
      </c>
      <c r="R1433">
        <v>9</v>
      </c>
      <c r="S1433" cm="1">
        <f t="array" ref="S1433">IFERROR(_xlfn.SWITCH(L1433,1,_xlfn.XLOOKUP(O1433,[1]AttributeName!$B:$B,[1]AttributeName!$D:$D),2,_xlfn.XLOOKUP(C1433,#REF!,#REF!),3,_xlfn.XLOOKUP(C1433,#REF!,#REF!)),0)</f>
        <v>0</v>
      </c>
      <c r="T1433" cm="1">
        <f t="array" ref="T1433">IFERROR(_xlfn.SWITCH(L1433,1,_xlfn.XLOOKUP(O1433,[1]AttributeName!$B:$B,[1]AttributeName!$E:$E),2,_xlfn.XLOOKUP(C1433,#REF!,#REF!),3,_xlfn.XLOOKUP(C1433,#REF!,#REF!)),0)</f>
        <v>1</v>
      </c>
    </row>
    <row r="1434" customFormat="1" spans="1:20">
      <c r="A1434">
        <f t="shared" si="63"/>
        <v>603</v>
      </c>
      <c r="B1434">
        <v>1</v>
      </c>
      <c r="C1434" t="s">
        <v>417</v>
      </c>
      <c r="D1434" t="s">
        <v>29</v>
      </c>
      <c r="E1434" t="s">
        <v>378</v>
      </c>
      <c r="F1434"/>
      <c r="G1434">
        <v>1</v>
      </c>
      <c r="H1434">
        <v>1000</v>
      </c>
      <c r="J1434" cm="1">
        <f t="array" ref="J1434">_xlfn.SWITCH(B1434,1,75,2,61,3,49,4,37,5,25,6,13,7,4,8,1)</f>
        <v>75</v>
      </c>
      <c r="K1434" t="str" cm="1">
        <f t="array" ref="K1434">IFERROR(_xlfn.SWITCH(L1434,2,_xlfn.XLOOKUP(C1434,[1]ModifierDes!$B:$B,[1]ModifierDes!$C:$C),3,_xlfn.XLOOKUP(C1434,[1]StuntDes!$B:$B,[1]StuntDes!$C:$C)),"")</f>
        <v/>
      </c>
      <c r="L1434">
        <f t="shared" si="62"/>
        <v>1</v>
      </c>
      <c r="M1434" s="10" t="str">
        <f>IFERROR(_xlfn.XLOOKUP(C1434,[1]StuntDes!$B:$B,[1]StuntDes!$A:$A),"")</f>
        <v/>
      </c>
      <c r="N1434" s="10" t="str">
        <f>IFERROR(_xlfn.XLOOKUP(C1434,[1]ModifierDes!$B:$B,[1]ModifierDes!$A:$A),"")</f>
        <v/>
      </c>
      <c r="O1434" s="10">
        <f>IFERROR(_xlfn.XLOOKUP(C1434,[1]AttributeName!$C:$C,[1]AttributeName!$B:$B),"")</f>
        <v>10700</v>
      </c>
      <c r="P1434" s="10"/>
      <c r="Q1434">
        <v>0.08</v>
      </c>
      <c r="R1434">
        <v>0.1</v>
      </c>
      <c r="S1434" cm="1">
        <f t="array" ref="S1434">IFERROR(_xlfn.SWITCH(L1434,1,_xlfn.XLOOKUP(O1434,[1]AttributeName!$B:$B,[1]AttributeName!$D:$D),2,_xlfn.XLOOKUP(C1434,#REF!,#REF!),3,_xlfn.XLOOKUP(C1434,#REF!,#REF!)),0)</f>
        <v>2</v>
      </c>
      <c r="T1434" cm="1">
        <f t="array" ref="T1434">IFERROR(_xlfn.SWITCH(L1434,1,_xlfn.XLOOKUP(O1434,[1]AttributeName!$B:$B,[1]AttributeName!$E:$E),2,_xlfn.XLOOKUP(C1434,#REF!,#REF!),3,_xlfn.XLOOKUP(C1434,#REF!,#REF!)),0)</f>
        <v>2</v>
      </c>
    </row>
    <row r="1435" customFormat="1" spans="1:20">
      <c r="A1435">
        <f t="shared" si="63"/>
        <v>603</v>
      </c>
      <c r="B1435">
        <v>2</v>
      </c>
      <c r="C1435" t="s">
        <v>417</v>
      </c>
      <c r="D1435" t="s">
        <v>29</v>
      </c>
      <c r="E1435" t="s">
        <v>378</v>
      </c>
      <c r="F1435"/>
      <c r="G1435">
        <v>1</v>
      </c>
      <c r="H1435">
        <v>1000</v>
      </c>
      <c r="J1435" cm="1">
        <f t="array" ref="J1435">_xlfn.SWITCH(B1435,1,75,2,61,3,49,4,37,5,25,6,13,7,4,8,1)</f>
        <v>61</v>
      </c>
      <c r="K1435" t="str" cm="1">
        <f t="array" ref="K1435">IFERROR(_xlfn.SWITCH(L1435,2,_xlfn.XLOOKUP(C1435,[1]ModifierDes!$B:$B,[1]ModifierDes!$C:$C),3,_xlfn.XLOOKUP(C1435,[1]StuntDes!$B:$B,[1]StuntDes!$C:$C)),"")</f>
        <v/>
      </c>
      <c r="L1435">
        <f t="shared" si="62"/>
        <v>1</v>
      </c>
      <c r="M1435" s="10" t="str">
        <f>IFERROR(_xlfn.XLOOKUP(C1435,[1]StuntDes!$B:$B,[1]StuntDes!$A:$A),"")</f>
        <v/>
      </c>
      <c r="N1435" s="10" t="str">
        <f>IFERROR(_xlfn.XLOOKUP(C1435,[1]ModifierDes!$B:$B,[1]ModifierDes!$A:$A),"")</f>
        <v/>
      </c>
      <c r="O1435" s="10">
        <f>IFERROR(_xlfn.XLOOKUP(C1435,[1]AttributeName!$C:$C,[1]AttributeName!$B:$B),"")</f>
        <v>10700</v>
      </c>
      <c r="P1435" s="10"/>
      <c r="Q1435">
        <v>0.07</v>
      </c>
      <c r="R1435">
        <v>0.07</v>
      </c>
      <c r="S1435" cm="1">
        <f t="array" ref="S1435">IFERROR(_xlfn.SWITCH(L1435,1,_xlfn.XLOOKUP(O1435,[1]AttributeName!$B:$B,[1]AttributeName!$D:$D),2,_xlfn.XLOOKUP(C1435,#REF!,#REF!),3,_xlfn.XLOOKUP(C1435,#REF!,#REF!)),0)</f>
        <v>2</v>
      </c>
      <c r="T1435" cm="1">
        <f t="array" ref="T1435">IFERROR(_xlfn.SWITCH(L1435,1,_xlfn.XLOOKUP(O1435,[1]AttributeName!$B:$B,[1]AttributeName!$E:$E),2,_xlfn.XLOOKUP(C1435,#REF!,#REF!),3,_xlfn.XLOOKUP(C1435,#REF!,#REF!)),0)</f>
        <v>2</v>
      </c>
    </row>
    <row r="1436" customFormat="1" spans="1:20">
      <c r="A1436">
        <f t="shared" si="63"/>
        <v>603</v>
      </c>
      <c r="B1436">
        <v>3</v>
      </c>
      <c r="C1436" t="s">
        <v>417</v>
      </c>
      <c r="D1436" t="s">
        <v>29</v>
      </c>
      <c r="E1436" t="s">
        <v>378</v>
      </c>
      <c r="F1436"/>
      <c r="G1436">
        <v>1</v>
      </c>
      <c r="H1436">
        <v>1000</v>
      </c>
      <c r="J1436" cm="1">
        <f t="array" ref="J1436">_xlfn.SWITCH(B1436,1,75,2,61,3,49,4,37,5,25,6,13,7,4,8,1)</f>
        <v>49</v>
      </c>
      <c r="K1436" t="str" cm="1">
        <f t="array" ref="K1436">IFERROR(_xlfn.SWITCH(L1436,2,_xlfn.XLOOKUP(C1436,[1]ModifierDes!$B:$B,[1]ModifierDes!$C:$C),3,_xlfn.XLOOKUP(C1436,[1]StuntDes!$B:$B,[1]StuntDes!$C:$C)),"")</f>
        <v/>
      </c>
      <c r="L1436">
        <f t="shared" si="62"/>
        <v>1</v>
      </c>
      <c r="M1436" s="10" t="str">
        <f>IFERROR(_xlfn.XLOOKUP(C1436,[1]StuntDes!$B:$B,[1]StuntDes!$A:$A),"")</f>
        <v/>
      </c>
      <c r="N1436" s="10" t="str">
        <f>IFERROR(_xlfn.XLOOKUP(C1436,[1]ModifierDes!$B:$B,[1]ModifierDes!$A:$A),"")</f>
        <v/>
      </c>
      <c r="O1436" s="10">
        <f>IFERROR(_xlfn.XLOOKUP(C1436,[1]AttributeName!$C:$C,[1]AttributeName!$B:$B),"")</f>
        <v>10700</v>
      </c>
      <c r="P1436" s="10"/>
      <c r="Q1436">
        <v>0.06</v>
      </c>
      <c r="R1436">
        <v>0.06</v>
      </c>
      <c r="S1436" cm="1">
        <f t="array" ref="S1436">IFERROR(_xlfn.SWITCH(L1436,1,_xlfn.XLOOKUP(O1436,[1]AttributeName!$B:$B,[1]AttributeName!$D:$D),2,_xlfn.XLOOKUP(C1436,#REF!,#REF!),3,_xlfn.XLOOKUP(C1436,#REF!,#REF!)),0)</f>
        <v>2</v>
      </c>
      <c r="T1436" cm="1">
        <f t="array" ref="T1436">IFERROR(_xlfn.SWITCH(L1436,1,_xlfn.XLOOKUP(O1436,[1]AttributeName!$B:$B,[1]AttributeName!$E:$E),2,_xlfn.XLOOKUP(C1436,#REF!,#REF!),3,_xlfn.XLOOKUP(C1436,#REF!,#REF!)),0)</f>
        <v>2</v>
      </c>
    </row>
    <row r="1437" customFormat="1" spans="1:20">
      <c r="A1437">
        <f t="shared" si="63"/>
        <v>603</v>
      </c>
      <c r="B1437">
        <v>4</v>
      </c>
      <c r="C1437" t="s">
        <v>417</v>
      </c>
      <c r="D1437" t="s">
        <v>29</v>
      </c>
      <c r="E1437" t="s">
        <v>378</v>
      </c>
      <c r="F1437"/>
      <c r="G1437">
        <v>1</v>
      </c>
      <c r="H1437">
        <v>1000</v>
      </c>
      <c r="J1437" cm="1">
        <f t="array" ref="J1437">_xlfn.SWITCH(B1437,1,75,2,61,3,49,4,37,5,25,6,13,7,4,8,1)</f>
        <v>37</v>
      </c>
      <c r="K1437" t="str" cm="1">
        <f t="array" ref="K1437">IFERROR(_xlfn.SWITCH(L1437,2,_xlfn.XLOOKUP(C1437,[1]ModifierDes!$B:$B,[1]ModifierDes!$C:$C),3,_xlfn.XLOOKUP(C1437,[1]StuntDes!$B:$B,[1]StuntDes!$C:$C)),"")</f>
        <v/>
      </c>
      <c r="L1437">
        <f t="shared" si="62"/>
        <v>1</v>
      </c>
      <c r="M1437" s="10" t="str">
        <f>IFERROR(_xlfn.XLOOKUP(C1437,[1]StuntDes!$B:$B,[1]StuntDes!$A:$A),"")</f>
        <v/>
      </c>
      <c r="N1437" s="10" t="str">
        <f>IFERROR(_xlfn.XLOOKUP(C1437,[1]ModifierDes!$B:$B,[1]ModifierDes!$A:$A),"")</f>
        <v/>
      </c>
      <c r="O1437" s="10">
        <f>IFERROR(_xlfn.XLOOKUP(C1437,[1]AttributeName!$C:$C,[1]AttributeName!$B:$B),"")</f>
        <v>10700</v>
      </c>
      <c r="P1437" s="10"/>
      <c r="Q1437">
        <v>0.05</v>
      </c>
      <c r="R1437">
        <v>0.05</v>
      </c>
      <c r="S1437" cm="1">
        <f t="array" ref="S1437">IFERROR(_xlfn.SWITCH(L1437,1,_xlfn.XLOOKUP(O1437,[1]AttributeName!$B:$B,[1]AttributeName!$D:$D),2,_xlfn.XLOOKUP(C1437,#REF!,#REF!),3,_xlfn.XLOOKUP(C1437,#REF!,#REF!)),0)</f>
        <v>2</v>
      </c>
      <c r="T1437" cm="1">
        <f t="array" ref="T1437">IFERROR(_xlfn.SWITCH(L1437,1,_xlfn.XLOOKUP(O1437,[1]AttributeName!$B:$B,[1]AttributeName!$E:$E),2,_xlfn.XLOOKUP(C1437,#REF!,#REF!),3,_xlfn.XLOOKUP(C1437,#REF!,#REF!)),0)</f>
        <v>2</v>
      </c>
    </row>
    <row r="1438" customFormat="1" spans="1:20">
      <c r="A1438">
        <f t="shared" si="63"/>
        <v>603</v>
      </c>
      <c r="B1438">
        <v>5</v>
      </c>
      <c r="C1438" t="s">
        <v>417</v>
      </c>
      <c r="D1438" t="s">
        <v>29</v>
      </c>
      <c r="E1438" t="s">
        <v>378</v>
      </c>
      <c r="F1438"/>
      <c r="G1438">
        <v>1</v>
      </c>
      <c r="H1438">
        <v>1000</v>
      </c>
      <c r="J1438" cm="1">
        <f t="array" ref="J1438">_xlfn.SWITCH(B1438,1,75,2,61,3,49,4,37,5,25,6,13,7,4,8,1)</f>
        <v>25</v>
      </c>
      <c r="K1438" t="str" cm="1">
        <f t="array" ref="K1438">IFERROR(_xlfn.SWITCH(L1438,2,_xlfn.XLOOKUP(C1438,[1]ModifierDes!$B:$B,[1]ModifierDes!$C:$C),3,_xlfn.XLOOKUP(C1438,[1]StuntDes!$B:$B,[1]StuntDes!$C:$C)),"")</f>
        <v/>
      </c>
      <c r="L1438">
        <f t="shared" si="62"/>
        <v>1</v>
      </c>
      <c r="M1438" s="10" t="str">
        <f>IFERROR(_xlfn.XLOOKUP(C1438,[1]StuntDes!$B:$B,[1]StuntDes!$A:$A),"")</f>
        <v/>
      </c>
      <c r="N1438" s="10" t="str">
        <f>IFERROR(_xlfn.XLOOKUP(C1438,[1]ModifierDes!$B:$B,[1]ModifierDes!$A:$A),"")</f>
        <v/>
      </c>
      <c r="O1438" s="10">
        <f>IFERROR(_xlfn.XLOOKUP(C1438,[1]AttributeName!$C:$C,[1]AttributeName!$B:$B),"")</f>
        <v>10700</v>
      </c>
      <c r="P1438" s="10"/>
      <c r="Q1438">
        <v>0.04</v>
      </c>
      <c r="R1438">
        <v>0.04</v>
      </c>
      <c r="S1438" cm="1">
        <f t="array" ref="S1438">IFERROR(_xlfn.SWITCH(L1438,1,_xlfn.XLOOKUP(O1438,[1]AttributeName!$B:$B,[1]AttributeName!$D:$D),2,_xlfn.XLOOKUP(C1438,#REF!,#REF!),3,_xlfn.XLOOKUP(C1438,#REF!,#REF!)),0)</f>
        <v>2</v>
      </c>
      <c r="T1438" cm="1">
        <f t="array" ref="T1438">IFERROR(_xlfn.SWITCH(L1438,1,_xlfn.XLOOKUP(O1438,[1]AttributeName!$B:$B,[1]AttributeName!$E:$E),2,_xlfn.XLOOKUP(C1438,#REF!,#REF!),3,_xlfn.XLOOKUP(C1438,#REF!,#REF!)),0)</f>
        <v>2</v>
      </c>
    </row>
    <row r="1439" customFormat="1" spans="1:20">
      <c r="A1439">
        <f t="shared" si="63"/>
        <v>603</v>
      </c>
      <c r="B1439">
        <v>6</v>
      </c>
      <c r="C1439" t="s">
        <v>417</v>
      </c>
      <c r="D1439" t="s">
        <v>29</v>
      </c>
      <c r="E1439" t="s">
        <v>378</v>
      </c>
      <c r="F1439"/>
      <c r="G1439">
        <v>1</v>
      </c>
      <c r="H1439">
        <v>1000</v>
      </c>
      <c r="J1439" cm="1">
        <f t="array" ref="J1439">_xlfn.SWITCH(B1439,1,75,2,61,3,49,4,37,5,25,6,13,7,4,8,1)</f>
        <v>13</v>
      </c>
      <c r="K1439" t="str" cm="1">
        <f t="array" ref="K1439">IFERROR(_xlfn.SWITCH(L1439,2,_xlfn.XLOOKUP(C1439,[1]ModifierDes!$B:$B,[1]ModifierDes!$C:$C),3,_xlfn.XLOOKUP(C1439,[1]StuntDes!$B:$B,[1]StuntDes!$C:$C)),"")</f>
        <v/>
      </c>
      <c r="L1439">
        <f t="shared" si="62"/>
        <v>1</v>
      </c>
      <c r="M1439" s="10" t="str">
        <f>IFERROR(_xlfn.XLOOKUP(C1439,[1]StuntDes!$B:$B,[1]StuntDes!$A:$A),"")</f>
        <v/>
      </c>
      <c r="N1439" s="10" t="str">
        <f>IFERROR(_xlfn.XLOOKUP(C1439,[1]ModifierDes!$B:$B,[1]ModifierDes!$A:$A),"")</f>
        <v/>
      </c>
      <c r="O1439" s="10">
        <f>IFERROR(_xlfn.XLOOKUP(C1439,[1]AttributeName!$C:$C,[1]AttributeName!$B:$B),"")</f>
        <v>10700</v>
      </c>
      <c r="P1439" s="10"/>
      <c r="Q1439">
        <v>0.03</v>
      </c>
      <c r="R1439">
        <v>0.03</v>
      </c>
      <c r="S1439" cm="1">
        <f t="array" ref="S1439">IFERROR(_xlfn.SWITCH(L1439,1,_xlfn.XLOOKUP(O1439,[1]AttributeName!$B:$B,[1]AttributeName!$D:$D),2,_xlfn.XLOOKUP(C1439,#REF!,#REF!),3,_xlfn.XLOOKUP(C1439,#REF!,#REF!)),0)</f>
        <v>2</v>
      </c>
      <c r="T1439" cm="1">
        <f t="array" ref="T1439">IFERROR(_xlfn.SWITCH(L1439,1,_xlfn.XLOOKUP(O1439,[1]AttributeName!$B:$B,[1]AttributeName!$E:$E),2,_xlfn.XLOOKUP(C1439,#REF!,#REF!),3,_xlfn.XLOOKUP(C1439,#REF!,#REF!)),0)</f>
        <v>2</v>
      </c>
    </row>
    <row r="1440" customFormat="1" spans="1:20">
      <c r="A1440">
        <f t="shared" si="63"/>
        <v>603</v>
      </c>
      <c r="B1440">
        <v>7</v>
      </c>
      <c r="C1440" t="s">
        <v>417</v>
      </c>
      <c r="D1440" t="s">
        <v>29</v>
      </c>
      <c r="E1440" t="s">
        <v>378</v>
      </c>
      <c r="F1440"/>
      <c r="G1440">
        <v>1</v>
      </c>
      <c r="H1440">
        <v>1000</v>
      </c>
      <c r="J1440" cm="1">
        <f t="array" ref="J1440">_xlfn.SWITCH(B1440,1,75,2,61,3,49,4,37,5,25,6,13,7,4,8,1)</f>
        <v>4</v>
      </c>
      <c r="K1440" t="str" cm="1">
        <f t="array" ref="K1440">IFERROR(_xlfn.SWITCH(L1440,2,_xlfn.XLOOKUP(C1440,[1]ModifierDes!$B:$B,[1]ModifierDes!$C:$C),3,_xlfn.XLOOKUP(C1440,[1]StuntDes!$B:$B,[1]StuntDes!$C:$C)),"")</f>
        <v/>
      </c>
      <c r="L1440">
        <f t="shared" si="62"/>
        <v>1</v>
      </c>
      <c r="M1440" s="10" t="str">
        <f>IFERROR(_xlfn.XLOOKUP(C1440,[1]StuntDes!$B:$B,[1]StuntDes!$A:$A),"")</f>
        <v/>
      </c>
      <c r="N1440" s="10" t="str">
        <f>IFERROR(_xlfn.XLOOKUP(C1440,[1]ModifierDes!$B:$B,[1]ModifierDes!$A:$A),"")</f>
        <v/>
      </c>
      <c r="O1440" s="10">
        <f>IFERROR(_xlfn.XLOOKUP(C1440,[1]AttributeName!$C:$C,[1]AttributeName!$B:$B),"")</f>
        <v>10700</v>
      </c>
      <c r="P1440" s="10"/>
      <c r="Q1440">
        <v>0.02</v>
      </c>
      <c r="R1440">
        <v>0.02</v>
      </c>
      <c r="S1440" cm="1">
        <f t="array" ref="S1440">IFERROR(_xlfn.SWITCH(L1440,1,_xlfn.XLOOKUP(O1440,[1]AttributeName!$B:$B,[1]AttributeName!$D:$D),2,_xlfn.XLOOKUP(C1440,#REF!,#REF!),3,_xlfn.XLOOKUP(C1440,#REF!,#REF!)),0)</f>
        <v>2</v>
      </c>
      <c r="T1440" cm="1">
        <f t="array" ref="T1440">IFERROR(_xlfn.SWITCH(L1440,1,_xlfn.XLOOKUP(O1440,[1]AttributeName!$B:$B,[1]AttributeName!$E:$E),2,_xlfn.XLOOKUP(C1440,#REF!,#REF!),3,_xlfn.XLOOKUP(C1440,#REF!,#REF!)),0)</f>
        <v>2</v>
      </c>
    </row>
    <row r="1441" customFormat="1" spans="1:20">
      <c r="A1441">
        <f t="shared" si="63"/>
        <v>603</v>
      </c>
      <c r="B1441">
        <v>8</v>
      </c>
      <c r="C1441" t="s">
        <v>417</v>
      </c>
      <c r="D1441" t="s">
        <v>29</v>
      </c>
      <c r="E1441" t="s">
        <v>378</v>
      </c>
      <c r="F1441"/>
      <c r="G1441">
        <v>1</v>
      </c>
      <c r="H1441">
        <v>1000</v>
      </c>
      <c r="J1441" cm="1">
        <f t="array" ref="J1441">_xlfn.SWITCH(B1441,1,75,2,61,3,49,4,37,5,25,6,13,7,4,8,1)</f>
        <v>1</v>
      </c>
      <c r="K1441" t="str" cm="1">
        <f t="array" ref="K1441">IFERROR(_xlfn.SWITCH(L1441,2,_xlfn.XLOOKUP(C1441,[1]ModifierDes!$B:$B,[1]ModifierDes!$C:$C),3,_xlfn.XLOOKUP(C1441,[1]StuntDes!$B:$B,[1]StuntDes!$C:$C)),"")</f>
        <v/>
      </c>
      <c r="L1441">
        <f t="shared" si="62"/>
        <v>1</v>
      </c>
      <c r="M1441" s="10" t="str">
        <f>IFERROR(_xlfn.XLOOKUP(C1441,[1]StuntDes!$B:$B,[1]StuntDes!$A:$A),"")</f>
        <v/>
      </c>
      <c r="N1441" s="10" t="str">
        <f>IFERROR(_xlfn.XLOOKUP(C1441,[1]ModifierDes!$B:$B,[1]ModifierDes!$A:$A),"")</f>
        <v/>
      </c>
      <c r="O1441" s="10">
        <f>IFERROR(_xlfn.XLOOKUP(C1441,[1]AttributeName!$C:$C,[1]AttributeName!$B:$B),"")</f>
        <v>10700</v>
      </c>
      <c r="P1441" s="10"/>
      <c r="Q1441">
        <v>0.01</v>
      </c>
      <c r="R1441">
        <v>0.01</v>
      </c>
      <c r="S1441" cm="1">
        <f t="array" ref="S1441">IFERROR(_xlfn.SWITCH(L1441,1,_xlfn.XLOOKUP(O1441,[1]AttributeName!$B:$B,[1]AttributeName!$D:$D),2,_xlfn.XLOOKUP(C1441,#REF!,#REF!),3,_xlfn.XLOOKUP(C1441,#REF!,#REF!)),0)</f>
        <v>2</v>
      </c>
      <c r="T1441" cm="1">
        <f t="array" ref="T1441">IFERROR(_xlfn.SWITCH(L1441,1,_xlfn.XLOOKUP(O1441,[1]AttributeName!$B:$B,[1]AttributeName!$E:$E),2,_xlfn.XLOOKUP(C1441,#REF!,#REF!),3,_xlfn.XLOOKUP(C1441,#REF!,#REF!)),0)</f>
        <v>2</v>
      </c>
    </row>
    <row r="1442" customFormat="1" spans="1:20">
      <c r="A1442">
        <f t="shared" si="63"/>
        <v>604</v>
      </c>
      <c r="B1442">
        <v>1</v>
      </c>
      <c r="C1442" t="s">
        <v>383</v>
      </c>
      <c r="D1442" t="s">
        <v>29</v>
      </c>
      <c r="E1442" t="s">
        <v>378</v>
      </c>
      <c r="F1442"/>
      <c r="G1442">
        <v>1</v>
      </c>
      <c r="H1442">
        <v>50</v>
      </c>
      <c r="J1442" cm="1">
        <f t="array" ref="J1442">_xlfn.SWITCH(B1442,1,75,2,61,3,49,4,37,5,25,6,13,7,4,8,1)</f>
        <v>75</v>
      </c>
      <c r="K1442" t="str" cm="1">
        <f t="array" ref="K1442">IFERROR(_xlfn.SWITCH(L1442,2,_xlfn.XLOOKUP(C1442,[1]ModifierDes!$B:$B,[1]ModifierDes!$C:$C),3,_xlfn.XLOOKUP(C1442,[1]StuntDes!$B:$B,[1]StuntDes!$C:$C)),"")</f>
        <v>攻击伤害提高{0}</v>
      </c>
      <c r="L1442">
        <f t="shared" si="62"/>
        <v>2</v>
      </c>
      <c r="M1442" s="10" t="str">
        <f>IFERROR(_xlfn.XLOOKUP(C1442,[1]StuntDes!$B:$B,[1]StuntDes!$A:$A),"")</f>
        <v/>
      </c>
      <c r="N1442" s="10">
        <f>IFERROR(_xlfn.XLOOKUP(C1442,[1]ModifierDes!$B:$B,[1]ModifierDes!$A:$A),"")</f>
        <v>10066</v>
      </c>
      <c r="O1442" s="10" t="str">
        <f>IFERROR(_xlfn.XLOOKUP(C1442,[1]AttributeName!$C:$C,[1]AttributeName!$B:$B),"")</f>
        <v/>
      </c>
      <c r="P1442" s="10"/>
      <c r="Q1442">
        <v>0.25</v>
      </c>
      <c r="R1442">
        <v>0.35</v>
      </c>
      <c r="S1442" cm="1">
        <f t="array" ref="S1442">IFERROR(_xlfn.SWITCH(L1442,1,_xlfn.XLOOKUP(O1442,[1]AttributeName!$B:$B,[1]AttributeName!$D:$D),2,_xlfn.XLOOKUP(C1442,#REF!,#REF!),3,_xlfn.XLOOKUP(C1442,#REF!,#REF!)),0)</f>
        <v>0</v>
      </c>
      <c r="T1442" cm="1">
        <f t="array" ref="T1442">IFERROR(_xlfn.SWITCH(L1442,1,_xlfn.XLOOKUP(O1442,[1]AttributeName!$B:$B,[1]AttributeName!$E:$E),2,_xlfn.XLOOKUP(C1442,#REF!,#REF!),3,_xlfn.XLOOKUP(C1442,#REF!,#REF!)),0)</f>
        <v>0</v>
      </c>
    </row>
    <row r="1443" customFormat="1" spans="1:20">
      <c r="A1443">
        <f t="shared" si="63"/>
        <v>604</v>
      </c>
      <c r="B1443">
        <v>2</v>
      </c>
      <c r="C1443" t="s">
        <v>383</v>
      </c>
      <c r="D1443" t="s">
        <v>29</v>
      </c>
      <c r="E1443" t="s">
        <v>378</v>
      </c>
      <c r="F1443"/>
      <c r="G1443">
        <v>1</v>
      </c>
      <c r="H1443">
        <v>100</v>
      </c>
      <c r="I1443">
        <v>3</v>
      </c>
      <c r="J1443" cm="1">
        <f t="array" ref="J1443">_xlfn.SWITCH(B1443,1,75,2,61,3,49,4,37,5,25,6,13,7,4,8,1)</f>
        <v>61</v>
      </c>
      <c r="K1443" t="str" cm="1">
        <f t="array" ref="K1443">IFERROR(_xlfn.SWITCH(L1443,2,_xlfn.XLOOKUP(C1443,[1]ModifierDes!$B:$B,[1]ModifierDes!$C:$C),3,_xlfn.XLOOKUP(C1443,[1]StuntDes!$B:$B,[1]StuntDes!$C:$C)),"")</f>
        <v>攻击伤害提高{0}</v>
      </c>
      <c r="L1443">
        <f t="shared" si="62"/>
        <v>2</v>
      </c>
      <c r="M1443" s="10" t="str">
        <f>IFERROR(_xlfn.XLOOKUP(C1443,[1]StuntDes!$B:$B,[1]StuntDes!$A:$A),"")</f>
        <v/>
      </c>
      <c r="N1443" s="10">
        <f>IFERROR(_xlfn.XLOOKUP(C1443,[1]ModifierDes!$B:$B,[1]ModifierDes!$A:$A),"")</f>
        <v>10066</v>
      </c>
      <c r="O1443" s="10" t="str">
        <f>IFERROR(_xlfn.XLOOKUP(C1443,[1]AttributeName!$C:$C,[1]AttributeName!$B:$B),"")</f>
        <v/>
      </c>
      <c r="P1443" s="10"/>
      <c r="Q1443">
        <v>0.22</v>
      </c>
      <c r="R1443">
        <v>0.24</v>
      </c>
      <c r="S1443" cm="1">
        <f t="array" ref="S1443">IFERROR(_xlfn.SWITCH(L1443,1,_xlfn.XLOOKUP(O1443,[1]AttributeName!$B:$B,[1]AttributeName!$D:$D),2,_xlfn.XLOOKUP(C1443,#REF!,#REF!),3,_xlfn.XLOOKUP(C1443,#REF!,#REF!)),0)</f>
        <v>0</v>
      </c>
      <c r="T1443" cm="1">
        <f t="array" ref="T1443">IFERROR(_xlfn.SWITCH(L1443,1,_xlfn.XLOOKUP(O1443,[1]AttributeName!$B:$B,[1]AttributeName!$E:$E),2,_xlfn.XLOOKUP(C1443,#REF!,#REF!),3,_xlfn.XLOOKUP(C1443,#REF!,#REF!)),0)</f>
        <v>0</v>
      </c>
    </row>
    <row r="1444" customFormat="1" spans="1:20">
      <c r="A1444">
        <f t="shared" si="63"/>
        <v>604</v>
      </c>
      <c r="B1444">
        <v>3</v>
      </c>
      <c r="C1444" t="s">
        <v>383</v>
      </c>
      <c r="D1444" t="s">
        <v>29</v>
      </c>
      <c r="E1444" t="s">
        <v>378</v>
      </c>
      <c r="F1444"/>
      <c r="G1444">
        <v>1</v>
      </c>
      <c r="H1444">
        <v>200</v>
      </c>
      <c r="I1444">
        <v>3</v>
      </c>
      <c r="J1444" cm="1">
        <f t="array" ref="J1444">_xlfn.SWITCH(B1444,1,75,2,61,3,49,4,37,5,25,6,13,7,4,8,1)</f>
        <v>49</v>
      </c>
      <c r="K1444" t="str" cm="1">
        <f t="array" ref="K1444">IFERROR(_xlfn.SWITCH(L1444,2,_xlfn.XLOOKUP(C1444,[1]ModifierDes!$B:$B,[1]ModifierDes!$C:$C),3,_xlfn.XLOOKUP(C1444,[1]StuntDes!$B:$B,[1]StuntDes!$C:$C)),"")</f>
        <v>攻击伤害提高{0}</v>
      </c>
      <c r="L1444">
        <f t="shared" si="62"/>
        <v>2</v>
      </c>
      <c r="M1444" s="10" t="str">
        <f>IFERROR(_xlfn.XLOOKUP(C1444,[1]StuntDes!$B:$B,[1]StuntDes!$A:$A),"")</f>
        <v/>
      </c>
      <c r="N1444" s="10">
        <f>IFERROR(_xlfn.XLOOKUP(C1444,[1]ModifierDes!$B:$B,[1]ModifierDes!$A:$A),"")</f>
        <v>10066</v>
      </c>
      <c r="O1444" s="10" t="str">
        <f>IFERROR(_xlfn.XLOOKUP(C1444,[1]AttributeName!$C:$C,[1]AttributeName!$B:$B),"")</f>
        <v/>
      </c>
      <c r="P1444" s="10"/>
      <c r="Q1444">
        <v>0.19</v>
      </c>
      <c r="R1444">
        <v>0.21</v>
      </c>
      <c r="S1444" cm="1">
        <f t="array" ref="S1444">IFERROR(_xlfn.SWITCH(L1444,1,_xlfn.XLOOKUP(O1444,[1]AttributeName!$B:$B,[1]AttributeName!$D:$D),2,_xlfn.XLOOKUP(C1444,#REF!,#REF!),3,_xlfn.XLOOKUP(C1444,#REF!,#REF!)),0)</f>
        <v>0</v>
      </c>
      <c r="T1444" cm="1">
        <f t="array" ref="T1444">IFERROR(_xlfn.SWITCH(L1444,1,_xlfn.XLOOKUP(O1444,[1]AttributeName!$B:$B,[1]AttributeName!$E:$E),2,_xlfn.XLOOKUP(C1444,#REF!,#REF!),3,_xlfn.XLOOKUP(C1444,#REF!,#REF!)),0)</f>
        <v>0</v>
      </c>
    </row>
    <row r="1445" customFormat="1" spans="1:20">
      <c r="A1445">
        <f t="shared" si="63"/>
        <v>604</v>
      </c>
      <c r="B1445">
        <v>4</v>
      </c>
      <c r="C1445" t="s">
        <v>383</v>
      </c>
      <c r="D1445" t="s">
        <v>29</v>
      </c>
      <c r="E1445" t="s">
        <v>378</v>
      </c>
      <c r="F1445"/>
      <c r="G1445">
        <v>1</v>
      </c>
      <c r="H1445">
        <v>500</v>
      </c>
      <c r="I1445">
        <v>3</v>
      </c>
      <c r="J1445" cm="1">
        <f t="array" ref="J1445">_xlfn.SWITCH(B1445,1,75,2,61,3,49,4,37,5,25,6,13,7,4,8,1)</f>
        <v>37</v>
      </c>
      <c r="K1445" t="str" cm="1">
        <f t="array" ref="K1445">IFERROR(_xlfn.SWITCH(L1445,2,_xlfn.XLOOKUP(C1445,[1]ModifierDes!$B:$B,[1]ModifierDes!$C:$C),3,_xlfn.XLOOKUP(C1445,[1]StuntDes!$B:$B,[1]StuntDes!$C:$C)),"")</f>
        <v>攻击伤害提高{0}</v>
      </c>
      <c r="L1445">
        <f t="shared" si="62"/>
        <v>2</v>
      </c>
      <c r="M1445" s="10" t="str">
        <f>IFERROR(_xlfn.XLOOKUP(C1445,[1]StuntDes!$B:$B,[1]StuntDes!$A:$A),"")</f>
        <v/>
      </c>
      <c r="N1445" s="10">
        <f>IFERROR(_xlfn.XLOOKUP(C1445,[1]ModifierDes!$B:$B,[1]ModifierDes!$A:$A),"")</f>
        <v>10066</v>
      </c>
      <c r="O1445" s="10" t="str">
        <f>IFERROR(_xlfn.XLOOKUP(C1445,[1]AttributeName!$C:$C,[1]AttributeName!$B:$B),"")</f>
        <v/>
      </c>
      <c r="P1445" s="10"/>
      <c r="Q1445">
        <v>0.16</v>
      </c>
      <c r="R1445">
        <v>0.18</v>
      </c>
      <c r="S1445" cm="1">
        <f t="array" ref="S1445">IFERROR(_xlfn.SWITCH(L1445,1,_xlfn.XLOOKUP(O1445,[1]AttributeName!$B:$B,[1]AttributeName!$D:$D),2,_xlfn.XLOOKUP(C1445,#REF!,#REF!),3,_xlfn.XLOOKUP(C1445,#REF!,#REF!)),0)</f>
        <v>0</v>
      </c>
      <c r="T1445" cm="1">
        <f t="array" ref="T1445">IFERROR(_xlfn.SWITCH(L1445,1,_xlfn.XLOOKUP(O1445,[1]AttributeName!$B:$B,[1]AttributeName!$E:$E),2,_xlfn.XLOOKUP(C1445,#REF!,#REF!),3,_xlfn.XLOOKUP(C1445,#REF!,#REF!)),0)</f>
        <v>0</v>
      </c>
    </row>
    <row r="1446" customFormat="1" spans="1:20">
      <c r="A1446">
        <f t="shared" si="63"/>
        <v>604</v>
      </c>
      <c r="B1446">
        <v>5</v>
      </c>
      <c r="C1446" t="s">
        <v>383</v>
      </c>
      <c r="D1446" t="s">
        <v>29</v>
      </c>
      <c r="E1446" t="s">
        <v>378</v>
      </c>
      <c r="F1446"/>
      <c r="G1446">
        <v>1</v>
      </c>
      <c r="H1446">
        <v>750</v>
      </c>
      <c r="I1446">
        <v>3</v>
      </c>
      <c r="J1446" cm="1">
        <f t="array" ref="J1446">_xlfn.SWITCH(B1446,1,75,2,61,3,49,4,37,5,25,6,13,7,4,8,1)</f>
        <v>25</v>
      </c>
      <c r="K1446" t="str" cm="1">
        <f t="array" ref="K1446">IFERROR(_xlfn.SWITCH(L1446,2,_xlfn.XLOOKUP(C1446,[1]ModifierDes!$B:$B,[1]ModifierDes!$C:$C),3,_xlfn.XLOOKUP(C1446,[1]StuntDes!$B:$B,[1]StuntDes!$C:$C)),"")</f>
        <v>攻击伤害提高{0}</v>
      </c>
      <c r="L1446">
        <f t="shared" si="62"/>
        <v>2</v>
      </c>
      <c r="M1446" s="10" t="str">
        <f>IFERROR(_xlfn.XLOOKUP(C1446,[1]StuntDes!$B:$B,[1]StuntDes!$A:$A),"")</f>
        <v/>
      </c>
      <c r="N1446" s="10">
        <f>IFERROR(_xlfn.XLOOKUP(C1446,[1]ModifierDes!$B:$B,[1]ModifierDes!$A:$A),"")</f>
        <v>10066</v>
      </c>
      <c r="O1446" s="10" t="str">
        <f>IFERROR(_xlfn.XLOOKUP(C1446,[1]AttributeName!$C:$C,[1]AttributeName!$B:$B),"")</f>
        <v/>
      </c>
      <c r="P1446" s="10"/>
      <c r="Q1446">
        <v>0.13</v>
      </c>
      <c r="R1446">
        <v>0.15</v>
      </c>
      <c r="S1446" cm="1">
        <f t="array" ref="S1446">IFERROR(_xlfn.SWITCH(L1446,1,_xlfn.XLOOKUP(O1446,[1]AttributeName!$B:$B,[1]AttributeName!$D:$D),2,_xlfn.XLOOKUP(C1446,#REF!,#REF!),3,_xlfn.XLOOKUP(C1446,#REF!,#REF!)),0)</f>
        <v>0</v>
      </c>
      <c r="T1446" cm="1">
        <f t="array" ref="T1446">IFERROR(_xlfn.SWITCH(L1446,1,_xlfn.XLOOKUP(O1446,[1]AttributeName!$B:$B,[1]AttributeName!$E:$E),2,_xlfn.XLOOKUP(C1446,#REF!,#REF!),3,_xlfn.XLOOKUP(C1446,#REF!,#REF!)),0)</f>
        <v>0</v>
      </c>
    </row>
    <row r="1447" customFormat="1" spans="1:20">
      <c r="A1447">
        <f t="shared" si="63"/>
        <v>604</v>
      </c>
      <c r="B1447">
        <v>6</v>
      </c>
      <c r="C1447" t="s">
        <v>383</v>
      </c>
      <c r="D1447" t="s">
        <v>29</v>
      </c>
      <c r="E1447" t="s">
        <v>378</v>
      </c>
      <c r="F1447"/>
      <c r="G1447">
        <v>1</v>
      </c>
      <c r="H1447">
        <v>1000</v>
      </c>
      <c r="I1447">
        <v>3</v>
      </c>
      <c r="J1447" cm="1">
        <f t="array" ref="J1447">_xlfn.SWITCH(B1447,1,75,2,61,3,49,4,37,5,25,6,13,7,4,8,1)</f>
        <v>13</v>
      </c>
      <c r="K1447" t="str" cm="1">
        <f t="array" ref="K1447">IFERROR(_xlfn.SWITCH(L1447,2,_xlfn.XLOOKUP(C1447,[1]ModifierDes!$B:$B,[1]ModifierDes!$C:$C),3,_xlfn.XLOOKUP(C1447,[1]StuntDes!$B:$B,[1]StuntDes!$C:$C)),"")</f>
        <v>攻击伤害提高{0}</v>
      </c>
      <c r="L1447">
        <f t="shared" si="62"/>
        <v>2</v>
      </c>
      <c r="M1447" s="10" t="str">
        <f>IFERROR(_xlfn.XLOOKUP(C1447,[1]StuntDes!$B:$B,[1]StuntDes!$A:$A),"")</f>
        <v/>
      </c>
      <c r="N1447" s="10">
        <f>IFERROR(_xlfn.XLOOKUP(C1447,[1]ModifierDes!$B:$B,[1]ModifierDes!$A:$A),"")</f>
        <v>10066</v>
      </c>
      <c r="O1447" s="10" t="str">
        <f>IFERROR(_xlfn.XLOOKUP(C1447,[1]AttributeName!$C:$C,[1]AttributeName!$B:$B),"")</f>
        <v/>
      </c>
      <c r="P1447" s="10"/>
      <c r="Q1447">
        <v>0.0999999999999999</v>
      </c>
      <c r="R1447">
        <v>0.12</v>
      </c>
      <c r="S1447" cm="1">
        <f t="array" ref="S1447">IFERROR(_xlfn.SWITCH(L1447,1,_xlfn.XLOOKUP(O1447,[1]AttributeName!$B:$B,[1]AttributeName!$D:$D),2,_xlfn.XLOOKUP(C1447,#REF!,#REF!),3,_xlfn.XLOOKUP(C1447,#REF!,#REF!)),0)</f>
        <v>0</v>
      </c>
      <c r="T1447" cm="1">
        <f t="array" ref="T1447">IFERROR(_xlfn.SWITCH(L1447,1,_xlfn.XLOOKUP(O1447,[1]AttributeName!$B:$B,[1]AttributeName!$E:$E),2,_xlfn.XLOOKUP(C1447,#REF!,#REF!),3,_xlfn.XLOOKUP(C1447,#REF!,#REF!)),0)</f>
        <v>0</v>
      </c>
    </row>
    <row r="1448" customFormat="1" spans="1:20">
      <c r="A1448">
        <f t="shared" si="63"/>
        <v>604</v>
      </c>
      <c r="B1448">
        <v>7</v>
      </c>
      <c r="C1448" t="s">
        <v>383</v>
      </c>
      <c r="D1448" t="s">
        <v>29</v>
      </c>
      <c r="E1448" t="s">
        <v>378</v>
      </c>
      <c r="F1448"/>
      <c r="G1448">
        <v>1</v>
      </c>
      <c r="H1448">
        <v>1000</v>
      </c>
      <c r="I1448">
        <v>3</v>
      </c>
      <c r="J1448" cm="1">
        <f t="array" ref="J1448">_xlfn.SWITCH(B1448,1,75,2,61,3,49,4,37,5,25,6,13,7,4,8,1)</f>
        <v>4</v>
      </c>
      <c r="K1448" t="str" cm="1">
        <f t="array" ref="K1448">IFERROR(_xlfn.SWITCH(L1448,2,_xlfn.XLOOKUP(C1448,[1]ModifierDes!$B:$B,[1]ModifierDes!$C:$C),3,_xlfn.XLOOKUP(C1448,[1]StuntDes!$B:$B,[1]StuntDes!$C:$C)),"")</f>
        <v>攻击伤害提高{0}</v>
      </c>
      <c r="L1448">
        <f t="shared" si="62"/>
        <v>2</v>
      </c>
      <c r="M1448" s="10" t="str">
        <f>IFERROR(_xlfn.XLOOKUP(C1448,[1]StuntDes!$B:$B,[1]StuntDes!$A:$A),"")</f>
        <v/>
      </c>
      <c r="N1448" s="10">
        <f>IFERROR(_xlfn.XLOOKUP(C1448,[1]ModifierDes!$B:$B,[1]ModifierDes!$A:$A),"")</f>
        <v>10066</v>
      </c>
      <c r="O1448" s="10" t="str">
        <f>IFERROR(_xlfn.XLOOKUP(C1448,[1]AttributeName!$C:$C,[1]AttributeName!$B:$B),"")</f>
        <v/>
      </c>
      <c r="P1448" s="10"/>
      <c r="Q1448">
        <v>0.0699999999999999</v>
      </c>
      <c r="R1448">
        <v>0.09</v>
      </c>
      <c r="S1448" cm="1">
        <f t="array" ref="S1448">IFERROR(_xlfn.SWITCH(L1448,1,_xlfn.XLOOKUP(O1448,[1]AttributeName!$B:$B,[1]AttributeName!$D:$D),2,_xlfn.XLOOKUP(C1448,#REF!,#REF!),3,_xlfn.XLOOKUP(C1448,#REF!,#REF!)),0)</f>
        <v>0</v>
      </c>
      <c r="T1448" cm="1">
        <f t="array" ref="T1448">IFERROR(_xlfn.SWITCH(L1448,1,_xlfn.XLOOKUP(O1448,[1]AttributeName!$B:$B,[1]AttributeName!$E:$E),2,_xlfn.XLOOKUP(C1448,#REF!,#REF!),3,_xlfn.XLOOKUP(C1448,#REF!,#REF!)),0)</f>
        <v>0</v>
      </c>
    </row>
    <row r="1449" customFormat="1" spans="1:20">
      <c r="A1449">
        <f t="shared" si="63"/>
        <v>604</v>
      </c>
      <c r="B1449">
        <v>8</v>
      </c>
      <c r="C1449" t="s">
        <v>383</v>
      </c>
      <c r="D1449" t="s">
        <v>29</v>
      </c>
      <c r="E1449" t="s">
        <v>378</v>
      </c>
      <c r="F1449"/>
      <c r="G1449">
        <v>1</v>
      </c>
      <c r="H1449">
        <v>1000</v>
      </c>
      <c r="I1449">
        <v>3</v>
      </c>
      <c r="J1449" cm="1">
        <f t="array" ref="J1449">_xlfn.SWITCH(B1449,1,75,2,61,3,49,4,37,5,25,6,13,7,4,8,1)</f>
        <v>1</v>
      </c>
      <c r="K1449" t="str" cm="1">
        <f t="array" ref="K1449">IFERROR(_xlfn.SWITCH(L1449,2,_xlfn.XLOOKUP(C1449,[1]ModifierDes!$B:$B,[1]ModifierDes!$C:$C),3,_xlfn.XLOOKUP(C1449,[1]StuntDes!$B:$B,[1]StuntDes!$C:$C)),"")</f>
        <v>攻击伤害提高{0}</v>
      </c>
      <c r="L1449">
        <f t="shared" si="62"/>
        <v>2</v>
      </c>
      <c r="M1449" s="10" t="str">
        <f>IFERROR(_xlfn.XLOOKUP(C1449,[1]StuntDes!$B:$B,[1]StuntDes!$A:$A),"")</f>
        <v/>
      </c>
      <c r="N1449" s="10">
        <f>IFERROR(_xlfn.XLOOKUP(C1449,[1]ModifierDes!$B:$B,[1]ModifierDes!$A:$A),"")</f>
        <v>10066</v>
      </c>
      <c r="O1449" s="10" t="str">
        <f>IFERROR(_xlfn.XLOOKUP(C1449,[1]AttributeName!$C:$C,[1]AttributeName!$B:$B),"")</f>
        <v/>
      </c>
      <c r="P1449" s="10"/>
      <c r="Q1449">
        <v>0.0399999999999998</v>
      </c>
      <c r="R1449">
        <v>0.06</v>
      </c>
      <c r="S1449" cm="1">
        <f t="array" ref="S1449">IFERROR(_xlfn.SWITCH(L1449,1,_xlfn.XLOOKUP(O1449,[1]AttributeName!$B:$B,[1]AttributeName!$D:$D),2,_xlfn.XLOOKUP(C1449,#REF!,#REF!),3,_xlfn.XLOOKUP(C1449,#REF!,#REF!)),0)</f>
        <v>0</v>
      </c>
      <c r="T1449" cm="1">
        <f t="array" ref="T1449">IFERROR(_xlfn.SWITCH(L1449,1,_xlfn.XLOOKUP(O1449,[1]AttributeName!$B:$B,[1]AttributeName!$E:$E),2,_xlfn.XLOOKUP(C1449,#REF!,#REF!),3,_xlfn.XLOOKUP(C1449,#REF!,#REF!)),0)</f>
        <v>0</v>
      </c>
    </row>
    <row r="1450" customFormat="1" spans="1:20">
      <c r="A1450">
        <f t="shared" si="63"/>
        <v>605</v>
      </c>
      <c r="B1450">
        <v>1</v>
      </c>
      <c r="C1450" t="s">
        <v>418</v>
      </c>
      <c r="D1450" t="s">
        <v>29</v>
      </c>
      <c r="E1450" t="s">
        <v>378</v>
      </c>
      <c r="F1450"/>
      <c r="G1450">
        <v>1</v>
      </c>
      <c r="H1450">
        <v>50</v>
      </c>
      <c r="I1450">
        <v>3</v>
      </c>
      <c r="J1450" cm="1">
        <f t="array" ref="J1450">_xlfn.SWITCH(B1450,1,75,2,61,3,49,4,37,5,25,6,13,7,4,8,1)</f>
        <v>75</v>
      </c>
      <c r="K1450" t="str" cm="1">
        <f t="array" ref="K1450">IFERROR(_xlfn.SWITCH(L1450,2,_xlfn.XLOOKUP(C1450,[1]ModifierDes!$B:$B,[1]ModifierDes!$C:$C),3,_xlfn.XLOOKUP(C1450,[1]StuntDes!$B:$B,[1]StuntDes!$C:$C)),"")</f>
        <v>法术伤害提高{0}</v>
      </c>
      <c r="L1450">
        <f t="shared" si="62"/>
        <v>2</v>
      </c>
      <c r="M1450" s="10" t="str">
        <f>IFERROR(_xlfn.XLOOKUP(C1450,[1]StuntDes!$B:$B,[1]StuntDes!$A:$A),"")</f>
        <v/>
      </c>
      <c r="N1450" s="10">
        <f>IFERROR(_xlfn.XLOOKUP(C1450,[1]ModifierDes!$B:$B,[1]ModifierDes!$A:$A),"")</f>
        <v>10067</v>
      </c>
      <c r="O1450" s="10" t="str">
        <f>IFERROR(_xlfn.XLOOKUP(C1450,[1]AttributeName!$C:$C,[1]AttributeName!$B:$B),"")</f>
        <v/>
      </c>
      <c r="P1450" s="10"/>
      <c r="Q1450">
        <v>0.25</v>
      </c>
      <c r="R1450">
        <v>0.35</v>
      </c>
      <c r="S1450" cm="1">
        <f t="array" ref="S1450">IFERROR(_xlfn.SWITCH(L1450,1,_xlfn.XLOOKUP(O1450,[1]AttributeName!$B:$B,[1]AttributeName!$D:$D),2,_xlfn.XLOOKUP(C1450,#REF!,#REF!),3,_xlfn.XLOOKUP(C1450,#REF!,#REF!)),0)</f>
        <v>0</v>
      </c>
      <c r="T1450" cm="1">
        <f t="array" ref="T1450">IFERROR(_xlfn.SWITCH(L1450,1,_xlfn.XLOOKUP(O1450,[1]AttributeName!$B:$B,[1]AttributeName!$E:$E),2,_xlfn.XLOOKUP(C1450,#REF!,#REF!),3,_xlfn.XLOOKUP(C1450,#REF!,#REF!)),0)</f>
        <v>0</v>
      </c>
    </row>
    <row r="1451" customFormat="1" spans="1:20">
      <c r="A1451">
        <f t="shared" si="63"/>
        <v>605</v>
      </c>
      <c r="B1451">
        <v>2</v>
      </c>
      <c r="C1451" t="s">
        <v>418</v>
      </c>
      <c r="D1451" t="s">
        <v>29</v>
      </c>
      <c r="E1451" t="s">
        <v>378</v>
      </c>
      <c r="F1451"/>
      <c r="G1451">
        <v>1</v>
      </c>
      <c r="H1451">
        <v>100</v>
      </c>
      <c r="I1451">
        <v>3</v>
      </c>
      <c r="J1451" cm="1">
        <f t="array" ref="J1451">_xlfn.SWITCH(B1451,1,75,2,61,3,49,4,37,5,25,6,13,7,4,8,1)</f>
        <v>61</v>
      </c>
      <c r="K1451" t="str" cm="1">
        <f t="array" ref="K1451">IFERROR(_xlfn.SWITCH(L1451,2,_xlfn.XLOOKUP(C1451,[1]ModifierDes!$B:$B,[1]ModifierDes!$C:$C),3,_xlfn.XLOOKUP(C1451,[1]StuntDes!$B:$B,[1]StuntDes!$C:$C)),"")</f>
        <v>法术伤害提高{0}</v>
      </c>
      <c r="L1451">
        <f t="shared" si="62"/>
        <v>2</v>
      </c>
      <c r="M1451" s="10" t="str">
        <f>IFERROR(_xlfn.XLOOKUP(C1451,[1]StuntDes!$B:$B,[1]StuntDes!$A:$A),"")</f>
        <v/>
      </c>
      <c r="N1451" s="10">
        <f>IFERROR(_xlfn.XLOOKUP(C1451,[1]ModifierDes!$B:$B,[1]ModifierDes!$A:$A),"")</f>
        <v>10067</v>
      </c>
      <c r="O1451" s="10" t="str">
        <f>IFERROR(_xlfn.XLOOKUP(C1451,[1]AttributeName!$C:$C,[1]AttributeName!$B:$B),"")</f>
        <v/>
      </c>
      <c r="P1451" s="10"/>
      <c r="Q1451">
        <v>0.22</v>
      </c>
      <c r="R1451">
        <v>0.24</v>
      </c>
      <c r="S1451" cm="1">
        <f t="array" ref="S1451">IFERROR(_xlfn.SWITCH(L1451,1,_xlfn.XLOOKUP(O1451,[1]AttributeName!$B:$B,[1]AttributeName!$D:$D),2,_xlfn.XLOOKUP(C1451,#REF!,#REF!),3,_xlfn.XLOOKUP(C1451,#REF!,#REF!)),0)</f>
        <v>0</v>
      </c>
      <c r="T1451" cm="1">
        <f t="array" ref="T1451">IFERROR(_xlfn.SWITCH(L1451,1,_xlfn.XLOOKUP(O1451,[1]AttributeName!$B:$B,[1]AttributeName!$E:$E),2,_xlfn.XLOOKUP(C1451,#REF!,#REF!),3,_xlfn.XLOOKUP(C1451,#REF!,#REF!)),0)</f>
        <v>0</v>
      </c>
    </row>
    <row r="1452" customFormat="1" spans="1:20">
      <c r="A1452">
        <f t="shared" si="63"/>
        <v>605</v>
      </c>
      <c r="B1452">
        <v>3</v>
      </c>
      <c r="C1452" t="s">
        <v>418</v>
      </c>
      <c r="D1452" t="s">
        <v>29</v>
      </c>
      <c r="E1452" t="s">
        <v>378</v>
      </c>
      <c r="F1452"/>
      <c r="G1452">
        <v>1</v>
      </c>
      <c r="H1452">
        <v>200</v>
      </c>
      <c r="I1452">
        <v>3</v>
      </c>
      <c r="J1452" cm="1">
        <f t="array" ref="J1452">_xlfn.SWITCH(B1452,1,75,2,61,3,49,4,37,5,25,6,13,7,4,8,1)</f>
        <v>49</v>
      </c>
      <c r="K1452" t="str" cm="1">
        <f t="array" ref="K1452">IFERROR(_xlfn.SWITCH(L1452,2,_xlfn.XLOOKUP(C1452,[1]ModifierDes!$B:$B,[1]ModifierDes!$C:$C),3,_xlfn.XLOOKUP(C1452,[1]StuntDes!$B:$B,[1]StuntDes!$C:$C)),"")</f>
        <v>法术伤害提高{0}</v>
      </c>
      <c r="L1452">
        <f t="shared" si="62"/>
        <v>2</v>
      </c>
      <c r="M1452" s="10" t="str">
        <f>IFERROR(_xlfn.XLOOKUP(C1452,[1]StuntDes!$B:$B,[1]StuntDes!$A:$A),"")</f>
        <v/>
      </c>
      <c r="N1452" s="10">
        <f>IFERROR(_xlfn.XLOOKUP(C1452,[1]ModifierDes!$B:$B,[1]ModifierDes!$A:$A),"")</f>
        <v>10067</v>
      </c>
      <c r="O1452" s="10" t="str">
        <f>IFERROR(_xlfn.XLOOKUP(C1452,[1]AttributeName!$C:$C,[1]AttributeName!$B:$B),"")</f>
        <v/>
      </c>
      <c r="P1452" s="10"/>
      <c r="Q1452">
        <v>0.19</v>
      </c>
      <c r="R1452">
        <v>0.21</v>
      </c>
      <c r="S1452" cm="1">
        <f t="array" ref="S1452">IFERROR(_xlfn.SWITCH(L1452,1,_xlfn.XLOOKUP(O1452,[1]AttributeName!$B:$B,[1]AttributeName!$D:$D),2,_xlfn.XLOOKUP(C1452,#REF!,#REF!),3,_xlfn.XLOOKUP(C1452,#REF!,#REF!)),0)</f>
        <v>0</v>
      </c>
      <c r="T1452" cm="1">
        <f t="array" ref="T1452">IFERROR(_xlfn.SWITCH(L1452,1,_xlfn.XLOOKUP(O1452,[1]AttributeName!$B:$B,[1]AttributeName!$E:$E),2,_xlfn.XLOOKUP(C1452,#REF!,#REF!),3,_xlfn.XLOOKUP(C1452,#REF!,#REF!)),0)</f>
        <v>0</v>
      </c>
    </row>
    <row r="1453" customFormat="1" spans="1:20">
      <c r="A1453">
        <f t="shared" si="63"/>
        <v>605</v>
      </c>
      <c r="B1453">
        <v>4</v>
      </c>
      <c r="C1453" t="s">
        <v>418</v>
      </c>
      <c r="D1453" t="s">
        <v>29</v>
      </c>
      <c r="E1453" t="s">
        <v>378</v>
      </c>
      <c r="F1453"/>
      <c r="G1453">
        <v>1</v>
      </c>
      <c r="H1453">
        <v>500</v>
      </c>
      <c r="I1453">
        <v>3</v>
      </c>
      <c r="J1453" cm="1">
        <f t="array" ref="J1453">_xlfn.SWITCH(B1453,1,75,2,61,3,49,4,37,5,25,6,13,7,4,8,1)</f>
        <v>37</v>
      </c>
      <c r="K1453" t="str" cm="1">
        <f t="array" ref="K1453">IFERROR(_xlfn.SWITCH(L1453,2,_xlfn.XLOOKUP(C1453,[1]ModifierDes!$B:$B,[1]ModifierDes!$C:$C),3,_xlfn.XLOOKUP(C1453,[1]StuntDes!$B:$B,[1]StuntDes!$C:$C)),"")</f>
        <v>法术伤害提高{0}</v>
      </c>
      <c r="L1453">
        <f t="shared" si="62"/>
        <v>2</v>
      </c>
      <c r="M1453" s="10" t="str">
        <f>IFERROR(_xlfn.XLOOKUP(C1453,[1]StuntDes!$B:$B,[1]StuntDes!$A:$A),"")</f>
        <v/>
      </c>
      <c r="N1453" s="10">
        <f>IFERROR(_xlfn.XLOOKUP(C1453,[1]ModifierDes!$B:$B,[1]ModifierDes!$A:$A),"")</f>
        <v>10067</v>
      </c>
      <c r="O1453" s="10" t="str">
        <f>IFERROR(_xlfn.XLOOKUP(C1453,[1]AttributeName!$C:$C,[1]AttributeName!$B:$B),"")</f>
        <v/>
      </c>
      <c r="P1453" s="10"/>
      <c r="Q1453">
        <v>0.16</v>
      </c>
      <c r="R1453">
        <v>0.18</v>
      </c>
      <c r="S1453" cm="1">
        <f t="array" ref="S1453">IFERROR(_xlfn.SWITCH(L1453,1,_xlfn.XLOOKUP(O1453,[1]AttributeName!$B:$B,[1]AttributeName!$D:$D),2,_xlfn.XLOOKUP(C1453,#REF!,#REF!),3,_xlfn.XLOOKUP(C1453,#REF!,#REF!)),0)</f>
        <v>0</v>
      </c>
      <c r="T1453" cm="1">
        <f t="array" ref="T1453">IFERROR(_xlfn.SWITCH(L1453,1,_xlfn.XLOOKUP(O1453,[1]AttributeName!$B:$B,[1]AttributeName!$E:$E),2,_xlfn.XLOOKUP(C1453,#REF!,#REF!),3,_xlfn.XLOOKUP(C1453,#REF!,#REF!)),0)</f>
        <v>0</v>
      </c>
    </row>
    <row r="1454" customFormat="1" spans="1:20">
      <c r="A1454">
        <f t="shared" si="63"/>
        <v>605</v>
      </c>
      <c r="B1454">
        <v>5</v>
      </c>
      <c r="C1454" t="s">
        <v>418</v>
      </c>
      <c r="D1454" t="s">
        <v>29</v>
      </c>
      <c r="E1454" t="s">
        <v>378</v>
      </c>
      <c r="F1454"/>
      <c r="G1454">
        <v>1</v>
      </c>
      <c r="H1454">
        <v>750</v>
      </c>
      <c r="I1454">
        <v>3</v>
      </c>
      <c r="J1454" cm="1">
        <f t="array" ref="J1454">_xlfn.SWITCH(B1454,1,75,2,61,3,49,4,37,5,25,6,13,7,4,8,1)</f>
        <v>25</v>
      </c>
      <c r="K1454" t="str" cm="1">
        <f t="array" ref="K1454">IFERROR(_xlfn.SWITCH(L1454,2,_xlfn.XLOOKUP(C1454,[1]ModifierDes!$B:$B,[1]ModifierDes!$C:$C),3,_xlfn.XLOOKUP(C1454,[1]StuntDes!$B:$B,[1]StuntDes!$C:$C)),"")</f>
        <v>法术伤害提高{0}</v>
      </c>
      <c r="L1454">
        <f t="shared" si="62"/>
        <v>2</v>
      </c>
      <c r="M1454" s="10" t="str">
        <f>IFERROR(_xlfn.XLOOKUP(C1454,[1]StuntDes!$B:$B,[1]StuntDes!$A:$A),"")</f>
        <v/>
      </c>
      <c r="N1454" s="10">
        <f>IFERROR(_xlfn.XLOOKUP(C1454,[1]ModifierDes!$B:$B,[1]ModifierDes!$A:$A),"")</f>
        <v>10067</v>
      </c>
      <c r="O1454" s="10" t="str">
        <f>IFERROR(_xlfn.XLOOKUP(C1454,[1]AttributeName!$C:$C,[1]AttributeName!$B:$B),"")</f>
        <v/>
      </c>
      <c r="P1454" s="10"/>
      <c r="Q1454">
        <v>0.13</v>
      </c>
      <c r="R1454">
        <v>0.15</v>
      </c>
      <c r="S1454" cm="1">
        <f t="array" ref="S1454">IFERROR(_xlfn.SWITCH(L1454,1,_xlfn.XLOOKUP(O1454,[1]AttributeName!$B:$B,[1]AttributeName!$D:$D),2,_xlfn.XLOOKUP(C1454,#REF!,#REF!),3,_xlfn.XLOOKUP(C1454,#REF!,#REF!)),0)</f>
        <v>0</v>
      </c>
      <c r="T1454" cm="1">
        <f t="array" ref="T1454">IFERROR(_xlfn.SWITCH(L1454,1,_xlfn.XLOOKUP(O1454,[1]AttributeName!$B:$B,[1]AttributeName!$E:$E),2,_xlfn.XLOOKUP(C1454,#REF!,#REF!),3,_xlfn.XLOOKUP(C1454,#REF!,#REF!)),0)</f>
        <v>0</v>
      </c>
    </row>
    <row r="1455" customFormat="1" spans="1:20">
      <c r="A1455">
        <f t="shared" si="63"/>
        <v>605</v>
      </c>
      <c r="B1455">
        <v>6</v>
      </c>
      <c r="C1455" t="s">
        <v>418</v>
      </c>
      <c r="D1455" t="s">
        <v>29</v>
      </c>
      <c r="E1455" t="s">
        <v>378</v>
      </c>
      <c r="F1455"/>
      <c r="G1455">
        <v>1</v>
      </c>
      <c r="H1455">
        <v>1000</v>
      </c>
      <c r="I1455">
        <v>3</v>
      </c>
      <c r="J1455" cm="1">
        <f t="array" ref="J1455">_xlfn.SWITCH(B1455,1,75,2,61,3,49,4,37,5,25,6,13,7,4,8,1)</f>
        <v>13</v>
      </c>
      <c r="K1455" t="str" cm="1">
        <f t="array" ref="K1455">IFERROR(_xlfn.SWITCH(L1455,2,_xlfn.XLOOKUP(C1455,[1]ModifierDes!$B:$B,[1]ModifierDes!$C:$C),3,_xlfn.XLOOKUP(C1455,[1]StuntDes!$B:$B,[1]StuntDes!$C:$C)),"")</f>
        <v>法术伤害提高{0}</v>
      </c>
      <c r="L1455">
        <f t="shared" si="62"/>
        <v>2</v>
      </c>
      <c r="M1455" s="10" t="str">
        <f>IFERROR(_xlfn.XLOOKUP(C1455,[1]StuntDes!$B:$B,[1]StuntDes!$A:$A),"")</f>
        <v/>
      </c>
      <c r="N1455" s="10">
        <f>IFERROR(_xlfn.XLOOKUP(C1455,[1]ModifierDes!$B:$B,[1]ModifierDes!$A:$A),"")</f>
        <v>10067</v>
      </c>
      <c r="O1455" s="10" t="str">
        <f>IFERROR(_xlfn.XLOOKUP(C1455,[1]AttributeName!$C:$C,[1]AttributeName!$B:$B),"")</f>
        <v/>
      </c>
      <c r="P1455" s="10"/>
      <c r="Q1455">
        <v>0.0999999999999999</v>
      </c>
      <c r="R1455">
        <v>0.12</v>
      </c>
      <c r="S1455" cm="1">
        <f t="array" ref="S1455">IFERROR(_xlfn.SWITCH(L1455,1,_xlfn.XLOOKUP(O1455,[1]AttributeName!$B:$B,[1]AttributeName!$D:$D),2,_xlfn.XLOOKUP(C1455,#REF!,#REF!),3,_xlfn.XLOOKUP(C1455,#REF!,#REF!)),0)</f>
        <v>0</v>
      </c>
      <c r="T1455" cm="1">
        <f t="array" ref="T1455">IFERROR(_xlfn.SWITCH(L1455,1,_xlfn.XLOOKUP(O1455,[1]AttributeName!$B:$B,[1]AttributeName!$E:$E),2,_xlfn.XLOOKUP(C1455,#REF!,#REF!),3,_xlfn.XLOOKUP(C1455,#REF!,#REF!)),0)</f>
        <v>0</v>
      </c>
    </row>
    <row r="1456" customFormat="1" spans="1:20">
      <c r="A1456">
        <f t="shared" si="63"/>
        <v>605</v>
      </c>
      <c r="B1456">
        <v>7</v>
      </c>
      <c r="C1456" t="s">
        <v>418</v>
      </c>
      <c r="D1456" t="s">
        <v>29</v>
      </c>
      <c r="E1456" t="s">
        <v>378</v>
      </c>
      <c r="F1456"/>
      <c r="G1456">
        <v>1</v>
      </c>
      <c r="H1456">
        <v>1000</v>
      </c>
      <c r="I1456">
        <v>3</v>
      </c>
      <c r="J1456" cm="1">
        <f t="array" ref="J1456">_xlfn.SWITCH(B1456,1,75,2,61,3,49,4,37,5,25,6,13,7,4,8,1)</f>
        <v>4</v>
      </c>
      <c r="K1456" t="str" cm="1">
        <f t="array" ref="K1456">IFERROR(_xlfn.SWITCH(L1456,2,_xlfn.XLOOKUP(C1456,[1]ModifierDes!$B:$B,[1]ModifierDes!$C:$C),3,_xlfn.XLOOKUP(C1456,[1]StuntDes!$B:$B,[1]StuntDes!$C:$C)),"")</f>
        <v>法术伤害提高{0}</v>
      </c>
      <c r="L1456">
        <f t="shared" si="62"/>
        <v>2</v>
      </c>
      <c r="M1456" s="10" t="str">
        <f>IFERROR(_xlfn.XLOOKUP(C1456,[1]StuntDes!$B:$B,[1]StuntDes!$A:$A),"")</f>
        <v/>
      </c>
      <c r="N1456" s="10">
        <f>IFERROR(_xlfn.XLOOKUP(C1456,[1]ModifierDes!$B:$B,[1]ModifierDes!$A:$A),"")</f>
        <v>10067</v>
      </c>
      <c r="O1456" s="10" t="str">
        <f>IFERROR(_xlfn.XLOOKUP(C1456,[1]AttributeName!$C:$C,[1]AttributeName!$B:$B),"")</f>
        <v/>
      </c>
      <c r="P1456" s="10"/>
      <c r="Q1456">
        <v>0.0699999999999999</v>
      </c>
      <c r="R1456">
        <v>0.09</v>
      </c>
      <c r="S1456" cm="1">
        <f t="array" ref="S1456">IFERROR(_xlfn.SWITCH(L1456,1,_xlfn.XLOOKUP(O1456,[1]AttributeName!$B:$B,[1]AttributeName!$D:$D),2,_xlfn.XLOOKUP(C1456,#REF!,#REF!),3,_xlfn.XLOOKUP(C1456,#REF!,#REF!)),0)</f>
        <v>0</v>
      </c>
      <c r="T1456" cm="1">
        <f t="array" ref="T1456">IFERROR(_xlfn.SWITCH(L1456,1,_xlfn.XLOOKUP(O1456,[1]AttributeName!$B:$B,[1]AttributeName!$E:$E),2,_xlfn.XLOOKUP(C1456,#REF!,#REF!),3,_xlfn.XLOOKUP(C1456,#REF!,#REF!)),0)</f>
        <v>0</v>
      </c>
    </row>
    <row r="1457" customFormat="1" spans="1:20">
      <c r="A1457">
        <f t="shared" si="63"/>
        <v>605</v>
      </c>
      <c r="B1457">
        <v>8</v>
      </c>
      <c r="C1457" t="s">
        <v>418</v>
      </c>
      <c r="D1457" t="s">
        <v>29</v>
      </c>
      <c r="E1457" t="s">
        <v>378</v>
      </c>
      <c r="F1457"/>
      <c r="G1457">
        <v>1</v>
      </c>
      <c r="H1457">
        <v>1000</v>
      </c>
      <c r="I1457">
        <v>3</v>
      </c>
      <c r="J1457" cm="1">
        <f t="array" ref="J1457">_xlfn.SWITCH(B1457,1,75,2,61,3,49,4,37,5,25,6,13,7,4,8,1)</f>
        <v>1</v>
      </c>
      <c r="K1457" t="str" cm="1">
        <f t="array" ref="K1457">IFERROR(_xlfn.SWITCH(L1457,2,_xlfn.XLOOKUP(C1457,[1]ModifierDes!$B:$B,[1]ModifierDes!$C:$C),3,_xlfn.XLOOKUP(C1457,[1]StuntDes!$B:$B,[1]StuntDes!$C:$C)),"")</f>
        <v>法术伤害提高{0}</v>
      </c>
      <c r="L1457">
        <f t="shared" si="62"/>
        <v>2</v>
      </c>
      <c r="M1457" s="10" t="str">
        <f>IFERROR(_xlfn.XLOOKUP(C1457,[1]StuntDes!$B:$B,[1]StuntDes!$A:$A),"")</f>
        <v/>
      </c>
      <c r="N1457" s="10">
        <f>IFERROR(_xlfn.XLOOKUP(C1457,[1]ModifierDes!$B:$B,[1]ModifierDes!$A:$A),"")</f>
        <v>10067</v>
      </c>
      <c r="O1457" s="10" t="str">
        <f>IFERROR(_xlfn.XLOOKUP(C1457,[1]AttributeName!$C:$C,[1]AttributeName!$B:$B),"")</f>
        <v/>
      </c>
      <c r="P1457" s="10"/>
      <c r="Q1457">
        <v>0.0399999999999998</v>
      </c>
      <c r="R1457">
        <v>0.06</v>
      </c>
      <c r="S1457" cm="1">
        <f t="array" ref="S1457">IFERROR(_xlfn.SWITCH(L1457,1,_xlfn.XLOOKUP(O1457,[1]AttributeName!$B:$B,[1]AttributeName!$D:$D),2,_xlfn.XLOOKUP(C1457,#REF!,#REF!),3,_xlfn.XLOOKUP(C1457,#REF!,#REF!)),0)</f>
        <v>0</v>
      </c>
      <c r="T1457" cm="1">
        <f t="array" ref="T1457">IFERROR(_xlfn.SWITCH(L1457,1,_xlfn.XLOOKUP(O1457,[1]AttributeName!$B:$B,[1]AttributeName!$E:$E),2,_xlfn.XLOOKUP(C1457,#REF!,#REF!),3,_xlfn.XLOOKUP(C1457,#REF!,#REF!)),0)</f>
        <v>0</v>
      </c>
    </row>
    <row r="1458" customFormat="1" spans="1:20">
      <c r="A1458">
        <f t="shared" si="63"/>
        <v>606</v>
      </c>
      <c r="B1458">
        <v>1</v>
      </c>
      <c r="C1458" t="s">
        <v>384</v>
      </c>
      <c r="D1458" t="s">
        <v>29</v>
      </c>
      <c r="E1458" t="s">
        <v>378</v>
      </c>
      <c r="F1458"/>
      <c r="G1458">
        <v>1</v>
      </c>
      <c r="H1458">
        <v>100</v>
      </c>
      <c r="I1458">
        <v>3</v>
      </c>
      <c r="J1458" cm="1">
        <f t="array" ref="J1458">_xlfn.SWITCH(B1458,1,75,2,61,3,49,4,37,5,25,6,13,7,4,8,1)</f>
        <v>75</v>
      </c>
      <c r="K1458" t="str" cm="1">
        <f t="array" ref="K1458">IFERROR(_xlfn.SWITCH(L1458,2,_xlfn.XLOOKUP(C1458,[1]ModifierDes!$B:$B,[1]ModifierDes!$C:$C),3,_xlfn.XLOOKUP(C1458,[1]StuntDes!$B:$B,[1]StuntDes!$C:$C)),"")</f>
        <v/>
      </c>
      <c r="L1458">
        <f t="shared" si="62"/>
        <v>1</v>
      </c>
      <c r="M1458" s="10" t="str">
        <f>IFERROR(_xlfn.XLOOKUP(C1458,[1]StuntDes!$B:$B,[1]StuntDes!$A:$A),"")</f>
        <v/>
      </c>
      <c r="N1458" s="10" t="str">
        <f>IFERROR(_xlfn.XLOOKUP(C1458,[1]ModifierDes!$B:$B,[1]ModifierDes!$A:$A),"")</f>
        <v/>
      </c>
      <c r="O1458" s="10">
        <f>IFERROR(_xlfn.XLOOKUP(C1458,[1]AttributeName!$C:$C,[1]AttributeName!$B:$B),"")</f>
        <v>10303</v>
      </c>
      <c r="P1458" s="10"/>
      <c r="Q1458">
        <v>0.25</v>
      </c>
      <c r="R1458">
        <v>0.35</v>
      </c>
      <c r="S1458" cm="1">
        <f t="array" ref="S1458">IFERROR(_xlfn.SWITCH(L1458,1,_xlfn.XLOOKUP(O1458,[1]AttributeName!$B:$B,[1]AttributeName!$D:$D),2,_xlfn.XLOOKUP(C1458,#REF!,#REF!),3,_xlfn.XLOOKUP(C1458,#REF!,#REF!)),0)</f>
        <v>2</v>
      </c>
      <c r="T1458" cm="1">
        <f t="array" ref="T1458">IFERROR(_xlfn.SWITCH(L1458,1,_xlfn.XLOOKUP(O1458,[1]AttributeName!$B:$B,[1]AttributeName!$E:$E),2,_xlfn.XLOOKUP(C1458,#REF!,#REF!),3,_xlfn.XLOOKUP(C1458,#REF!,#REF!)),0)</f>
        <v>2</v>
      </c>
    </row>
    <row r="1459" customFormat="1" spans="1:20">
      <c r="A1459">
        <f t="shared" si="63"/>
        <v>606</v>
      </c>
      <c r="B1459">
        <v>2</v>
      </c>
      <c r="C1459" t="s">
        <v>384</v>
      </c>
      <c r="D1459" t="s">
        <v>29</v>
      </c>
      <c r="E1459" t="s">
        <v>378</v>
      </c>
      <c r="F1459"/>
      <c r="G1459">
        <v>1</v>
      </c>
      <c r="H1459">
        <v>200</v>
      </c>
      <c r="I1459">
        <v>3</v>
      </c>
      <c r="J1459" cm="1">
        <f t="array" ref="J1459">_xlfn.SWITCH(B1459,1,75,2,61,3,49,4,37,5,25,6,13,7,4,8,1)</f>
        <v>61</v>
      </c>
      <c r="K1459" t="str" cm="1">
        <f t="array" ref="K1459">IFERROR(_xlfn.SWITCH(L1459,2,_xlfn.XLOOKUP(C1459,[1]ModifierDes!$B:$B,[1]ModifierDes!$C:$C),3,_xlfn.XLOOKUP(C1459,[1]StuntDes!$B:$B,[1]StuntDes!$C:$C)),"")</f>
        <v/>
      </c>
      <c r="L1459">
        <f t="shared" si="62"/>
        <v>1</v>
      </c>
      <c r="M1459" s="10" t="str">
        <f>IFERROR(_xlfn.XLOOKUP(C1459,[1]StuntDes!$B:$B,[1]StuntDes!$A:$A),"")</f>
        <v/>
      </c>
      <c r="N1459" s="10" t="str">
        <f>IFERROR(_xlfn.XLOOKUP(C1459,[1]ModifierDes!$B:$B,[1]ModifierDes!$A:$A),"")</f>
        <v/>
      </c>
      <c r="O1459" s="10">
        <f>IFERROR(_xlfn.XLOOKUP(C1459,[1]AttributeName!$C:$C,[1]AttributeName!$B:$B),"")</f>
        <v>10303</v>
      </c>
      <c r="P1459" s="10"/>
      <c r="Q1459">
        <v>0.22</v>
      </c>
      <c r="R1459">
        <v>0.24</v>
      </c>
      <c r="S1459" cm="1">
        <f t="array" ref="S1459">IFERROR(_xlfn.SWITCH(L1459,1,_xlfn.XLOOKUP(O1459,[1]AttributeName!$B:$B,[1]AttributeName!$D:$D),2,_xlfn.XLOOKUP(C1459,#REF!,#REF!),3,_xlfn.XLOOKUP(C1459,#REF!,#REF!)),0)</f>
        <v>2</v>
      </c>
      <c r="T1459" cm="1">
        <f t="array" ref="T1459">IFERROR(_xlfn.SWITCH(L1459,1,_xlfn.XLOOKUP(O1459,[1]AttributeName!$B:$B,[1]AttributeName!$E:$E),2,_xlfn.XLOOKUP(C1459,#REF!,#REF!),3,_xlfn.XLOOKUP(C1459,#REF!,#REF!)),0)</f>
        <v>2</v>
      </c>
    </row>
    <row r="1460" customFormat="1" spans="1:20">
      <c r="A1460">
        <f t="shared" si="63"/>
        <v>606</v>
      </c>
      <c r="B1460">
        <v>3</v>
      </c>
      <c r="C1460" t="s">
        <v>384</v>
      </c>
      <c r="D1460" t="s">
        <v>29</v>
      </c>
      <c r="E1460" t="s">
        <v>378</v>
      </c>
      <c r="F1460"/>
      <c r="G1460">
        <v>1</v>
      </c>
      <c r="H1460">
        <v>500</v>
      </c>
      <c r="I1460">
        <v>3</v>
      </c>
      <c r="J1460" cm="1">
        <f t="array" ref="J1460">_xlfn.SWITCH(B1460,1,75,2,61,3,49,4,37,5,25,6,13,7,4,8,1)</f>
        <v>49</v>
      </c>
      <c r="K1460" t="str" cm="1">
        <f t="array" ref="K1460">IFERROR(_xlfn.SWITCH(L1460,2,_xlfn.XLOOKUP(C1460,[1]ModifierDes!$B:$B,[1]ModifierDes!$C:$C),3,_xlfn.XLOOKUP(C1460,[1]StuntDes!$B:$B,[1]StuntDes!$C:$C)),"")</f>
        <v/>
      </c>
      <c r="L1460">
        <f t="shared" si="62"/>
        <v>1</v>
      </c>
      <c r="M1460" s="10" t="str">
        <f>IFERROR(_xlfn.XLOOKUP(C1460,[1]StuntDes!$B:$B,[1]StuntDes!$A:$A),"")</f>
        <v/>
      </c>
      <c r="N1460" s="10" t="str">
        <f>IFERROR(_xlfn.XLOOKUP(C1460,[1]ModifierDes!$B:$B,[1]ModifierDes!$A:$A),"")</f>
        <v/>
      </c>
      <c r="O1460" s="10">
        <f>IFERROR(_xlfn.XLOOKUP(C1460,[1]AttributeName!$C:$C,[1]AttributeName!$B:$B),"")</f>
        <v>10303</v>
      </c>
      <c r="P1460" s="10"/>
      <c r="Q1460">
        <v>0.19</v>
      </c>
      <c r="R1460">
        <v>0.21</v>
      </c>
      <c r="S1460" cm="1">
        <f t="array" ref="S1460">IFERROR(_xlfn.SWITCH(L1460,1,_xlfn.XLOOKUP(O1460,[1]AttributeName!$B:$B,[1]AttributeName!$D:$D),2,_xlfn.XLOOKUP(C1460,#REF!,#REF!),3,_xlfn.XLOOKUP(C1460,#REF!,#REF!)),0)</f>
        <v>2</v>
      </c>
      <c r="T1460" cm="1">
        <f t="array" ref="T1460">IFERROR(_xlfn.SWITCH(L1460,1,_xlfn.XLOOKUP(O1460,[1]AttributeName!$B:$B,[1]AttributeName!$E:$E),2,_xlfn.XLOOKUP(C1460,#REF!,#REF!),3,_xlfn.XLOOKUP(C1460,#REF!,#REF!)),0)</f>
        <v>2</v>
      </c>
    </row>
    <row r="1461" customFormat="1" spans="1:20">
      <c r="A1461">
        <f t="shared" si="63"/>
        <v>606</v>
      </c>
      <c r="B1461">
        <v>4</v>
      </c>
      <c r="C1461" t="s">
        <v>384</v>
      </c>
      <c r="D1461" t="s">
        <v>29</v>
      </c>
      <c r="E1461" t="s">
        <v>378</v>
      </c>
      <c r="F1461"/>
      <c r="G1461">
        <v>1</v>
      </c>
      <c r="H1461">
        <v>1000</v>
      </c>
      <c r="I1461">
        <v>3</v>
      </c>
      <c r="J1461" cm="1">
        <f t="array" ref="J1461">_xlfn.SWITCH(B1461,1,75,2,61,3,49,4,37,5,25,6,13,7,4,8,1)</f>
        <v>37</v>
      </c>
      <c r="K1461" t="str" cm="1">
        <f t="array" ref="K1461">IFERROR(_xlfn.SWITCH(L1461,2,_xlfn.XLOOKUP(C1461,[1]ModifierDes!$B:$B,[1]ModifierDes!$C:$C),3,_xlfn.XLOOKUP(C1461,[1]StuntDes!$B:$B,[1]StuntDes!$C:$C)),"")</f>
        <v/>
      </c>
      <c r="L1461">
        <f t="shared" si="62"/>
        <v>1</v>
      </c>
      <c r="M1461" s="10" t="str">
        <f>IFERROR(_xlfn.XLOOKUP(C1461,[1]StuntDes!$B:$B,[1]StuntDes!$A:$A),"")</f>
        <v/>
      </c>
      <c r="N1461" s="10" t="str">
        <f>IFERROR(_xlfn.XLOOKUP(C1461,[1]ModifierDes!$B:$B,[1]ModifierDes!$A:$A),"")</f>
        <v/>
      </c>
      <c r="O1461" s="10">
        <f>IFERROR(_xlfn.XLOOKUP(C1461,[1]AttributeName!$C:$C,[1]AttributeName!$B:$B),"")</f>
        <v>10303</v>
      </c>
      <c r="P1461" s="10"/>
      <c r="Q1461">
        <v>0.16</v>
      </c>
      <c r="R1461">
        <v>0.18</v>
      </c>
      <c r="S1461" cm="1">
        <f t="array" ref="S1461">IFERROR(_xlfn.SWITCH(L1461,1,_xlfn.XLOOKUP(O1461,[1]AttributeName!$B:$B,[1]AttributeName!$D:$D),2,_xlfn.XLOOKUP(C1461,#REF!,#REF!),3,_xlfn.XLOOKUP(C1461,#REF!,#REF!)),0)</f>
        <v>2</v>
      </c>
      <c r="T1461" cm="1">
        <f t="array" ref="T1461">IFERROR(_xlfn.SWITCH(L1461,1,_xlfn.XLOOKUP(O1461,[1]AttributeName!$B:$B,[1]AttributeName!$E:$E),2,_xlfn.XLOOKUP(C1461,#REF!,#REF!),3,_xlfn.XLOOKUP(C1461,#REF!,#REF!)),0)</f>
        <v>2</v>
      </c>
    </row>
    <row r="1462" customFormat="1" spans="1:20">
      <c r="A1462">
        <f t="shared" si="63"/>
        <v>606</v>
      </c>
      <c r="B1462">
        <v>5</v>
      </c>
      <c r="C1462" t="s">
        <v>384</v>
      </c>
      <c r="D1462" t="s">
        <v>29</v>
      </c>
      <c r="E1462" t="s">
        <v>378</v>
      </c>
      <c r="F1462"/>
      <c r="G1462">
        <v>1</v>
      </c>
      <c r="H1462">
        <v>1000</v>
      </c>
      <c r="I1462">
        <v>3</v>
      </c>
      <c r="J1462" cm="1">
        <f t="array" ref="J1462">_xlfn.SWITCH(B1462,1,75,2,61,3,49,4,37,5,25,6,13,7,4,8,1)</f>
        <v>25</v>
      </c>
      <c r="K1462" t="str" cm="1">
        <f t="array" ref="K1462">IFERROR(_xlfn.SWITCH(L1462,2,_xlfn.XLOOKUP(C1462,[1]ModifierDes!$B:$B,[1]ModifierDes!$C:$C),3,_xlfn.XLOOKUP(C1462,[1]StuntDes!$B:$B,[1]StuntDes!$C:$C)),"")</f>
        <v/>
      </c>
      <c r="L1462">
        <f t="shared" si="62"/>
        <v>1</v>
      </c>
      <c r="M1462" s="10" t="str">
        <f>IFERROR(_xlfn.XLOOKUP(C1462,[1]StuntDes!$B:$B,[1]StuntDes!$A:$A),"")</f>
        <v/>
      </c>
      <c r="N1462" s="10" t="str">
        <f>IFERROR(_xlfn.XLOOKUP(C1462,[1]ModifierDes!$B:$B,[1]ModifierDes!$A:$A),"")</f>
        <v/>
      </c>
      <c r="O1462" s="10">
        <f>IFERROR(_xlfn.XLOOKUP(C1462,[1]AttributeName!$C:$C,[1]AttributeName!$B:$B),"")</f>
        <v>10303</v>
      </c>
      <c r="P1462" s="10"/>
      <c r="Q1462">
        <v>0.13</v>
      </c>
      <c r="R1462">
        <v>0.15</v>
      </c>
      <c r="S1462" cm="1">
        <f t="array" ref="S1462">IFERROR(_xlfn.SWITCH(L1462,1,_xlfn.XLOOKUP(O1462,[1]AttributeName!$B:$B,[1]AttributeName!$D:$D),2,_xlfn.XLOOKUP(C1462,#REF!,#REF!),3,_xlfn.XLOOKUP(C1462,#REF!,#REF!)),0)</f>
        <v>2</v>
      </c>
      <c r="T1462" cm="1">
        <f t="array" ref="T1462">IFERROR(_xlfn.SWITCH(L1462,1,_xlfn.XLOOKUP(O1462,[1]AttributeName!$B:$B,[1]AttributeName!$E:$E),2,_xlfn.XLOOKUP(C1462,#REF!,#REF!),3,_xlfn.XLOOKUP(C1462,#REF!,#REF!)),0)</f>
        <v>2</v>
      </c>
    </row>
    <row r="1463" customFormat="1" spans="1:20">
      <c r="A1463">
        <f t="shared" si="63"/>
        <v>606</v>
      </c>
      <c r="B1463">
        <v>6</v>
      </c>
      <c r="C1463" t="s">
        <v>384</v>
      </c>
      <c r="D1463" t="s">
        <v>29</v>
      </c>
      <c r="E1463" t="s">
        <v>378</v>
      </c>
      <c r="F1463"/>
      <c r="G1463">
        <v>1</v>
      </c>
      <c r="H1463">
        <v>1000</v>
      </c>
      <c r="I1463">
        <v>3</v>
      </c>
      <c r="J1463" cm="1">
        <f t="array" ref="J1463">_xlfn.SWITCH(B1463,1,75,2,61,3,49,4,37,5,25,6,13,7,4,8,1)</f>
        <v>13</v>
      </c>
      <c r="K1463" t="str" cm="1">
        <f t="array" ref="K1463">IFERROR(_xlfn.SWITCH(L1463,2,_xlfn.XLOOKUP(C1463,[1]ModifierDes!$B:$B,[1]ModifierDes!$C:$C),3,_xlfn.XLOOKUP(C1463,[1]StuntDes!$B:$B,[1]StuntDes!$C:$C)),"")</f>
        <v/>
      </c>
      <c r="L1463">
        <f t="shared" si="62"/>
        <v>1</v>
      </c>
      <c r="M1463" s="10" t="str">
        <f>IFERROR(_xlfn.XLOOKUP(C1463,[1]StuntDes!$B:$B,[1]StuntDes!$A:$A),"")</f>
        <v/>
      </c>
      <c r="N1463" s="10" t="str">
        <f>IFERROR(_xlfn.XLOOKUP(C1463,[1]ModifierDes!$B:$B,[1]ModifierDes!$A:$A),"")</f>
        <v/>
      </c>
      <c r="O1463" s="10">
        <f>IFERROR(_xlfn.XLOOKUP(C1463,[1]AttributeName!$C:$C,[1]AttributeName!$B:$B),"")</f>
        <v>10303</v>
      </c>
      <c r="P1463" s="10"/>
      <c r="Q1463">
        <v>0.0999999999999999</v>
      </c>
      <c r="R1463">
        <v>0.12</v>
      </c>
      <c r="S1463" cm="1">
        <f t="array" ref="S1463">IFERROR(_xlfn.SWITCH(L1463,1,_xlfn.XLOOKUP(O1463,[1]AttributeName!$B:$B,[1]AttributeName!$D:$D),2,_xlfn.XLOOKUP(C1463,#REF!,#REF!),3,_xlfn.XLOOKUP(C1463,#REF!,#REF!)),0)</f>
        <v>2</v>
      </c>
      <c r="T1463" cm="1">
        <f t="array" ref="T1463">IFERROR(_xlfn.SWITCH(L1463,1,_xlfn.XLOOKUP(O1463,[1]AttributeName!$B:$B,[1]AttributeName!$E:$E),2,_xlfn.XLOOKUP(C1463,#REF!,#REF!),3,_xlfn.XLOOKUP(C1463,#REF!,#REF!)),0)</f>
        <v>2</v>
      </c>
    </row>
    <row r="1464" customFormat="1" spans="1:20">
      <c r="A1464">
        <f t="shared" si="63"/>
        <v>606</v>
      </c>
      <c r="B1464">
        <v>7</v>
      </c>
      <c r="C1464" t="s">
        <v>384</v>
      </c>
      <c r="D1464" t="s">
        <v>29</v>
      </c>
      <c r="E1464" t="s">
        <v>378</v>
      </c>
      <c r="F1464"/>
      <c r="G1464">
        <v>1</v>
      </c>
      <c r="H1464">
        <v>1000</v>
      </c>
      <c r="I1464">
        <v>3</v>
      </c>
      <c r="J1464" cm="1">
        <f t="array" ref="J1464">_xlfn.SWITCH(B1464,1,75,2,61,3,49,4,37,5,25,6,13,7,4,8,1)</f>
        <v>4</v>
      </c>
      <c r="K1464" t="str" cm="1">
        <f t="array" ref="K1464">IFERROR(_xlfn.SWITCH(L1464,2,_xlfn.XLOOKUP(C1464,[1]ModifierDes!$B:$B,[1]ModifierDes!$C:$C),3,_xlfn.XLOOKUP(C1464,[1]StuntDes!$B:$B,[1]StuntDes!$C:$C)),"")</f>
        <v/>
      </c>
      <c r="L1464">
        <f t="shared" si="62"/>
        <v>1</v>
      </c>
      <c r="M1464" s="10" t="str">
        <f>IFERROR(_xlfn.XLOOKUP(C1464,[1]StuntDes!$B:$B,[1]StuntDes!$A:$A),"")</f>
        <v/>
      </c>
      <c r="N1464" s="10" t="str">
        <f>IFERROR(_xlfn.XLOOKUP(C1464,[1]ModifierDes!$B:$B,[1]ModifierDes!$A:$A),"")</f>
        <v/>
      </c>
      <c r="O1464" s="10">
        <f>IFERROR(_xlfn.XLOOKUP(C1464,[1]AttributeName!$C:$C,[1]AttributeName!$B:$B),"")</f>
        <v>10303</v>
      </c>
      <c r="P1464" s="10"/>
      <c r="Q1464">
        <v>0.0699999999999999</v>
      </c>
      <c r="R1464">
        <v>0.09</v>
      </c>
      <c r="S1464" cm="1">
        <f t="array" ref="S1464">IFERROR(_xlfn.SWITCH(L1464,1,_xlfn.XLOOKUP(O1464,[1]AttributeName!$B:$B,[1]AttributeName!$D:$D),2,_xlfn.XLOOKUP(C1464,#REF!,#REF!),3,_xlfn.XLOOKUP(C1464,#REF!,#REF!)),0)</f>
        <v>2</v>
      </c>
      <c r="T1464" cm="1">
        <f t="array" ref="T1464">IFERROR(_xlfn.SWITCH(L1464,1,_xlfn.XLOOKUP(O1464,[1]AttributeName!$B:$B,[1]AttributeName!$E:$E),2,_xlfn.XLOOKUP(C1464,#REF!,#REF!),3,_xlfn.XLOOKUP(C1464,#REF!,#REF!)),0)</f>
        <v>2</v>
      </c>
    </row>
    <row r="1465" customFormat="1" spans="1:20">
      <c r="A1465">
        <f t="shared" si="63"/>
        <v>606</v>
      </c>
      <c r="B1465">
        <v>8</v>
      </c>
      <c r="C1465" t="s">
        <v>384</v>
      </c>
      <c r="D1465" t="s">
        <v>29</v>
      </c>
      <c r="E1465" t="s">
        <v>378</v>
      </c>
      <c r="F1465"/>
      <c r="G1465">
        <v>1</v>
      </c>
      <c r="H1465">
        <v>1000</v>
      </c>
      <c r="I1465">
        <v>3</v>
      </c>
      <c r="J1465" cm="1">
        <f t="array" ref="J1465">_xlfn.SWITCH(B1465,1,75,2,61,3,49,4,37,5,25,6,13,7,4,8,1)</f>
        <v>1</v>
      </c>
      <c r="K1465" t="str" cm="1">
        <f t="array" ref="K1465">IFERROR(_xlfn.SWITCH(L1465,2,_xlfn.XLOOKUP(C1465,[1]ModifierDes!$B:$B,[1]ModifierDes!$C:$C),3,_xlfn.XLOOKUP(C1465,[1]StuntDes!$B:$B,[1]StuntDes!$C:$C)),"")</f>
        <v/>
      </c>
      <c r="L1465">
        <f t="shared" si="62"/>
        <v>1</v>
      </c>
      <c r="M1465" s="10" t="str">
        <f>IFERROR(_xlfn.XLOOKUP(C1465,[1]StuntDes!$B:$B,[1]StuntDes!$A:$A),"")</f>
        <v/>
      </c>
      <c r="N1465" s="10" t="str">
        <f>IFERROR(_xlfn.XLOOKUP(C1465,[1]ModifierDes!$B:$B,[1]ModifierDes!$A:$A),"")</f>
        <v/>
      </c>
      <c r="O1465" s="10">
        <f>IFERROR(_xlfn.XLOOKUP(C1465,[1]AttributeName!$C:$C,[1]AttributeName!$B:$B),"")</f>
        <v>10303</v>
      </c>
      <c r="P1465" s="10"/>
      <c r="Q1465">
        <v>0.0399999999999998</v>
      </c>
      <c r="R1465">
        <v>0.06</v>
      </c>
      <c r="S1465" cm="1">
        <f t="array" ref="S1465">IFERROR(_xlfn.SWITCH(L1465,1,_xlfn.XLOOKUP(O1465,[1]AttributeName!$B:$B,[1]AttributeName!$D:$D),2,_xlfn.XLOOKUP(C1465,#REF!,#REF!),3,_xlfn.XLOOKUP(C1465,#REF!,#REF!)),0)</f>
        <v>2</v>
      </c>
      <c r="T1465" cm="1">
        <f t="array" ref="T1465">IFERROR(_xlfn.SWITCH(L1465,1,_xlfn.XLOOKUP(O1465,[1]AttributeName!$B:$B,[1]AttributeName!$E:$E),2,_xlfn.XLOOKUP(C1465,#REF!,#REF!),3,_xlfn.XLOOKUP(C1465,#REF!,#REF!)),0)</f>
        <v>2</v>
      </c>
    </row>
    <row r="1466" customFormat="1" spans="1:20">
      <c r="A1466">
        <f t="shared" si="63"/>
        <v>607</v>
      </c>
      <c r="B1466">
        <v>1</v>
      </c>
      <c r="C1466" t="s">
        <v>385</v>
      </c>
      <c r="D1466" t="s">
        <v>29</v>
      </c>
      <c r="E1466" t="s">
        <v>378</v>
      </c>
      <c r="F1466"/>
      <c r="G1466">
        <v>1</v>
      </c>
      <c r="H1466">
        <v>100</v>
      </c>
      <c r="I1466">
        <v>3</v>
      </c>
      <c r="J1466" cm="1">
        <f t="array" ref="J1466">_xlfn.SWITCH(B1466,1,75,2,61,3,49,4,37,5,25,6,13,7,4,8,1)</f>
        <v>75</v>
      </c>
      <c r="K1466" t="str" cm="1">
        <f t="array" ref="K1466">IFERROR(_xlfn.SWITCH(L1466,2,_xlfn.XLOOKUP(C1466,[1]ModifierDes!$B:$B,[1]ModifierDes!$C:$C),3,_xlfn.XLOOKUP(C1466,[1]StuntDes!$B:$B,[1]StuntDes!$C:$C)),"")</f>
        <v/>
      </c>
      <c r="L1466">
        <f t="shared" si="62"/>
        <v>1</v>
      </c>
      <c r="M1466" s="10" t="str">
        <f>IFERROR(_xlfn.XLOOKUP(C1466,[1]StuntDes!$B:$B,[1]StuntDes!$A:$A),"")</f>
        <v/>
      </c>
      <c r="N1466" s="10" t="str">
        <f>IFERROR(_xlfn.XLOOKUP(C1466,[1]ModifierDes!$B:$B,[1]ModifierDes!$A:$A),"")</f>
        <v/>
      </c>
      <c r="O1466" s="10">
        <f>IFERROR(_xlfn.XLOOKUP(C1466,[1]AttributeName!$C:$C,[1]AttributeName!$B:$B),"")</f>
        <v>10304</v>
      </c>
      <c r="P1466" s="10"/>
      <c r="Q1466">
        <v>0.25</v>
      </c>
      <c r="R1466">
        <v>0.35</v>
      </c>
      <c r="S1466" cm="1">
        <f t="array" ref="S1466">IFERROR(_xlfn.SWITCH(L1466,1,_xlfn.XLOOKUP(O1466,[1]AttributeName!$B:$B,[1]AttributeName!$D:$D),2,_xlfn.XLOOKUP(C1466,#REF!,#REF!),3,_xlfn.XLOOKUP(C1466,#REF!,#REF!)),0)</f>
        <v>2</v>
      </c>
      <c r="T1466" cm="1">
        <f t="array" ref="T1466">IFERROR(_xlfn.SWITCH(L1466,1,_xlfn.XLOOKUP(O1466,[1]AttributeName!$B:$B,[1]AttributeName!$E:$E),2,_xlfn.XLOOKUP(C1466,#REF!,#REF!),3,_xlfn.XLOOKUP(C1466,#REF!,#REF!)),0)</f>
        <v>2</v>
      </c>
    </row>
    <row r="1467" customFormat="1" spans="1:20">
      <c r="A1467">
        <f t="shared" si="63"/>
        <v>607</v>
      </c>
      <c r="B1467">
        <v>2</v>
      </c>
      <c r="C1467" t="s">
        <v>385</v>
      </c>
      <c r="D1467" t="s">
        <v>29</v>
      </c>
      <c r="E1467" t="s">
        <v>378</v>
      </c>
      <c r="F1467"/>
      <c r="G1467">
        <v>1</v>
      </c>
      <c r="H1467">
        <v>200</v>
      </c>
      <c r="I1467">
        <v>3</v>
      </c>
      <c r="J1467" cm="1">
        <f t="array" ref="J1467">_xlfn.SWITCH(B1467,1,75,2,61,3,49,4,37,5,25,6,13,7,4,8,1)</f>
        <v>61</v>
      </c>
      <c r="K1467" t="str" cm="1">
        <f t="array" ref="K1467">IFERROR(_xlfn.SWITCH(L1467,2,_xlfn.XLOOKUP(C1467,[1]ModifierDes!$B:$B,[1]ModifierDes!$C:$C),3,_xlfn.XLOOKUP(C1467,[1]StuntDes!$B:$B,[1]StuntDes!$C:$C)),"")</f>
        <v/>
      </c>
      <c r="L1467">
        <f t="shared" si="62"/>
        <v>1</v>
      </c>
      <c r="M1467" s="10" t="str">
        <f>IFERROR(_xlfn.XLOOKUP(C1467,[1]StuntDes!$B:$B,[1]StuntDes!$A:$A),"")</f>
        <v/>
      </c>
      <c r="N1467" s="10" t="str">
        <f>IFERROR(_xlfn.XLOOKUP(C1467,[1]ModifierDes!$B:$B,[1]ModifierDes!$A:$A),"")</f>
        <v/>
      </c>
      <c r="O1467" s="10">
        <f>IFERROR(_xlfn.XLOOKUP(C1467,[1]AttributeName!$C:$C,[1]AttributeName!$B:$B),"")</f>
        <v>10304</v>
      </c>
      <c r="P1467" s="10"/>
      <c r="Q1467">
        <v>0.22</v>
      </c>
      <c r="R1467">
        <v>0.24</v>
      </c>
      <c r="S1467" cm="1">
        <f t="array" ref="S1467">IFERROR(_xlfn.SWITCH(L1467,1,_xlfn.XLOOKUP(O1467,[1]AttributeName!$B:$B,[1]AttributeName!$D:$D),2,_xlfn.XLOOKUP(C1467,#REF!,#REF!),3,_xlfn.XLOOKUP(C1467,#REF!,#REF!)),0)</f>
        <v>2</v>
      </c>
      <c r="T1467" cm="1">
        <f t="array" ref="T1467">IFERROR(_xlfn.SWITCH(L1467,1,_xlfn.XLOOKUP(O1467,[1]AttributeName!$B:$B,[1]AttributeName!$E:$E),2,_xlfn.XLOOKUP(C1467,#REF!,#REF!),3,_xlfn.XLOOKUP(C1467,#REF!,#REF!)),0)</f>
        <v>2</v>
      </c>
    </row>
    <row r="1468" customFormat="1" spans="1:20">
      <c r="A1468">
        <f t="shared" si="63"/>
        <v>607</v>
      </c>
      <c r="B1468">
        <v>3</v>
      </c>
      <c r="C1468" t="s">
        <v>385</v>
      </c>
      <c r="D1468" t="s">
        <v>29</v>
      </c>
      <c r="E1468" t="s">
        <v>378</v>
      </c>
      <c r="F1468"/>
      <c r="G1468">
        <v>1</v>
      </c>
      <c r="H1468">
        <v>500</v>
      </c>
      <c r="I1468">
        <v>3</v>
      </c>
      <c r="J1468" cm="1">
        <f t="array" ref="J1468">_xlfn.SWITCH(B1468,1,75,2,61,3,49,4,37,5,25,6,13,7,4,8,1)</f>
        <v>49</v>
      </c>
      <c r="K1468" t="str" cm="1">
        <f t="array" ref="K1468">IFERROR(_xlfn.SWITCH(L1468,2,_xlfn.XLOOKUP(C1468,[1]ModifierDes!$B:$B,[1]ModifierDes!$C:$C),3,_xlfn.XLOOKUP(C1468,[1]StuntDes!$B:$B,[1]StuntDes!$C:$C)),"")</f>
        <v/>
      </c>
      <c r="L1468">
        <f t="shared" si="62"/>
        <v>1</v>
      </c>
      <c r="M1468" s="10" t="str">
        <f>IFERROR(_xlfn.XLOOKUP(C1468,[1]StuntDes!$B:$B,[1]StuntDes!$A:$A),"")</f>
        <v/>
      </c>
      <c r="N1468" s="10" t="str">
        <f>IFERROR(_xlfn.XLOOKUP(C1468,[1]ModifierDes!$B:$B,[1]ModifierDes!$A:$A),"")</f>
        <v/>
      </c>
      <c r="O1468" s="10">
        <f>IFERROR(_xlfn.XLOOKUP(C1468,[1]AttributeName!$C:$C,[1]AttributeName!$B:$B),"")</f>
        <v>10304</v>
      </c>
      <c r="P1468" s="10"/>
      <c r="Q1468">
        <v>0.19</v>
      </c>
      <c r="R1468">
        <v>0.21</v>
      </c>
      <c r="S1468" cm="1">
        <f t="array" ref="S1468">IFERROR(_xlfn.SWITCH(L1468,1,_xlfn.XLOOKUP(O1468,[1]AttributeName!$B:$B,[1]AttributeName!$D:$D),2,_xlfn.XLOOKUP(C1468,#REF!,#REF!),3,_xlfn.XLOOKUP(C1468,#REF!,#REF!)),0)</f>
        <v>2</v>
      </c>
      <c r="T1468" cm="1">
        <f t="array" ref="T1468">IFERROR(_xlfn.SWITCH(L1468,1,_xlfn.XLOOKUP(O1468,[1]AttributeName!$B:$B,[1]AttributeName!$E:$E),2,_xlfn.XLOOKUP(C1468,#REF!,#REF!),3,_xlfn.XLOOKUP(C1468,#REF!,#REF!)),0)</f>
        <v>2</v>
      </c>
    </row>
    <row r="1469" customFormat="1" spans="1:20">
      <c r="A1469">
        <f t="shared" si="63"/>
        <v>607</v>
      </c>
      <c r="B1469">
        <v>4</v>
      </c>
      <c r="C1469" t="s">
        <v>385</v>
      </c>
      <c r="D1469" t="s">
        <v>29</v>
      </c>
      <c r="E1469" t="s">
        <v>378</v>
      </c>
      <c r="F1469"/>
      <c r="G1469">
        <v>1</v>
      </c>
      <c r="H1469">
        <v>1000</v>
      </c>
      <c r="I1469">
        <v>3</v>
      </c>
      <c r="J1469" cm="1">
        <f t="array" ref="J1469">_xlfn.SWITCH(B1469,1,75,2,61,3,49,4,37,5,25,6,13,7,4,8,1)</f>
        <v>37</v>
      </c>
      <c r="K1469" t="str" cm="1">
        <f t="array" ref="K1469">IFERROR(_xlfn.SWITCH(L1469,2,_xlfn.XLOOKUP(C1469,[1]ModifierDes!$B:$B,[1]ModifierDes!$C:$C),3,_xlfn.XLOOKUP(C1469,[1]StuntDes!$B:$B,[1]StuntDes!$C:$C)),"")</f>
        <v/>
      </c>
      <c r="L1469">
        <f t="shared" si="62"/>
        <v>1</v>
      </c>
      <c r="M1469" s="10" t="str">
        <f>IFERROR(_xlfn.XLOOKUP(C1469,[1]StuntDes!$B:$B,[1]StuntDes!$A:$A),"")</f>
        <v/>
      </c>
      <c r="N1469" s="10" t="str">
        <f>IFERROR(_xlfn.XLOOKUP(C1469,[1]ModifierDes!$B:$B,[1]ModifierDes!$A:$A),"")</f>
        <v/>
      </c>
      <c r="O1469" s="10">
        <f>IFERROR(_xlfn.XLOOKUP(C1469,[1]AttributeName!$C:$C,[1]AttributeName!$B:$B),"")</f>
        <v>10304</v>
      </c>
      <c r="P1469" s="10"/>
      <c r="Q1469">
        <v>0.16</v>
      </c>
      <c r="R1469">
        <v>0.18</v>
      </c>
      <c r="S1469" cm="1">
        <f t="array" ref="S1469">IFERROR(_xlfn.SWITCH(L1469,1,_xlfn.XLOOKUP(O1469,[1]AttributeName!$B:$B,[1]AttributeName!$D:$D),2,_xlfn.XLOOKUP(C1469,#REF!,#REF!),3,_xlfn.XLOOKUP(C1469,#REF!,#REF!)),0)</f>
        <v>2</v>
      </c>
      <c r="T1469" cm="1">
        <f t="array" ref="T1469">IFERROR(_xlfn.SWITCH(L1469,1,_xlfn.XLOOKUP(O1469,[1]AttributeName!$B:$B,[1]AttributeName!$E:$E),2,_xlfn.XLOOKUP(C1469,#REF!,#REF!),3,_xlfn.XLOOKUP(C1469,#REF!,#REF!)),0)</f>
        <v>2</v>
      </c>
    </row>
    <row r="1470" customFormat="1" spans="1:20">
      <c r="A1470">
        <f t="shared" si="63"/>
        <v>607</v>
      </c>
      <c r="B1470">
        <v>5</v>
      </c>
      <c r="C1470" t="s">
        <v>385</v>
      </c>
      <c r="D1470" t="s">
        <v>29</v>
      </c>
      <c r="E1470" t="s">
        <v>378</v>
      </c>
      <c r="F1470"/>
      <c r="G1470">
        <v>1</v>
      </c>
      <c r="H1470">
        <v>1000</v>
      </c>
      <c r="I1470">
        <v>3</v>
      </c>
      <c r="J1470" cm="1">
        <f t="array" ref="J1470">_xlfn.SWITCH(B1470,1,75,2,61,3,49,4,37,5,25,6,13,7,4,8,1)</f>
        <v>25</v>
      </c>
      <c r="K1470" t="str" cm="1">
        <f t="array" ref="K1470">IFERROR(_xlfn.SWITCH(L1470,2,_xlfn.XLOOKUP(C1470,[1]ModifierDes!$B:$B,[1]ModifierDes!$C:$C),3,_xlfn.XLOOKUP(C1470,[1]StuntDes!$B:$B,[1]StuntDes!$C:$C)),"")</f>
        <v/>
      </c>
      <c r="L1470">
        <f t="shared" si="62"/>
        <v>1</v>
      </c>
      <c r="M1470" s="10" t="str">
        <f>IFERROR(_xlfn.XLOOKUP(C1470,[1]StuntDes!$B:$B,[1]StuntDes!$A:$A),"")</f>
        <v/>
      </c>
      <c r="N1470" s="10" t="str">
        <f>IFERROR(_xlfn.XLOOKUP(C1470,[1]ModifierDes!$B:$B,[1]ModifierDes!$A:$A),"")</f>
        <v/>
      </c>
      <c r="O1470" s="10">
        <f>IFERROR(_xlfn.XLOOKUP(C1470,[1]AttributeName!$C:$C,[1]AttributeName!$B:$B),"")</f>
        <v>10304</v>
      </c>
      <c r="P1470" s="10"/>
      <c r="Q1470">
        <v>0.13</v>
      </c>
      <c r="R1470">
        <v>0.15</v>
      </c>
      <c r="S1470" cm="1">
        <f t="array" ref="S1470">IFERROR(_xlfn.SWITCH(L1470,1,_xlfn.XLOOKUP(O1470,[1]AttributeName!$B:$B,[1]AttributeName!$D:$D),2,_xlfn.XLOOKUP(C1470,#REF!,#REF!),3,_xlfn.XLOOKUP(C1470,#REF!,#REF!)),0)</f>
        <v>2</v>
      </c>
      <c r="T1470" cm="1">
        <f t="array" ref="T1470">IFERROR(_xlfn.SWITCH(L1470,1,_xlfn.XLOOKUP(O1470,[1]AttributeName!$B:$B,[1]AttributeName!$E:$E),2,_xlfn.XLOOKUP(C1470,#REF!,#REF!),3,_xlfn.XLOOKUP(C1470,#REF!,#REF!)),0)</f>
        <v>2</v>
      </c>
    </row>
    <row r="1471" customFormat="1" spans="1:20">
      <c r="A1471">
        <f t="shared" si="63"/>
        <v>607</v>
      </c>
      <c r="B1471">
        <v>6</v>
      </c>
      <c r="C1471" t="s">
        <v>385</v>
      </c>
      <c r="D1471" t="s">
        <v>29</v>
      </c>
      <c r="E1471" t="s">
        <v>378</v>
      </c>
      <c r="F1471"/>
      <c r="G1471">
        <v>1</v>
      </c>
      <c r="H1471">
        <v>1000</v>
      </c>
      <c r="I1471">
        <v>3</v>
      </c>
      <c r="J1471" cm="1">
        <f t="array" ref="J1471">_xlfn.SWITCH(B1471,1,75,2,61,3,49,4,37,5,25,6,13,7,4,8,1)</f>
        <v>13</v>
      </c>
      <c r="K1471" t="str" cm="1">
        <f t="array" ref="K1471">IFERROR(_xlfn.SWITCH(L1471,2,_xlfn.XLOOKUP(C1471,[1]ModifierDes!$B:$B,[1]ModifierDes!$C:$C),3,_xlfn.XLOOKUP(C1471,[1]StuntDes!$B:$B,[1]StuntDes!$C:$C)),"")</f>
        <v/>
      </c>
      <c r="L1471">
        <f t="shared" si="62"/>
        <v>1</v>
      </c>
      <c r="M1471" s="10" t="str">
        <f>IFERROR(_xlfn.XLOOKUP(C1471,[1]StuntDes!$B:$B,[1]StuntDes!$A:$A),"")</f>
        <v/>
      </c>
      <c r="N1471" s="10" t="str">
        <f>IFERROR(_xlfn.XLOOKUP(C1471,[1]ModifierDes!$B:$B,[1]ModifierDes!$A:$A),"")</f>
        <v/>
      </c>
      <c r="O1471" s="10">
        <f>IFERROR(_xlfn.XLOOKUP(C1471,[1]AttributeName!$C:$C,[1]AttributeName!$B:$B),"")</f>
        <v>10304</v>
      </c>
      <c r="P1471" s="10"/>
      <c r="Q1471">
        <v>0.0999999999999999</v>
      </c>
      <c r="R1471">
        <v>0.12</v>
      </c>
      <c r="S1471" cm="1">
        <f t="array" ref="S1471">IFERROR(_xlfn.SWITCH(L1471,1,_xlfn.XLOOKUP(O1471,[1]AttributeName!$B:$B,[1]AttributeName!$D:$D),2,_xlfn.XLOOKUP(C1471,#REF!,#REF!),3,_xlfn.XLOOKUP(C1471,#REF!,#REF!)),0)</f>
        <v>2</v>
      </c>
      <c r="T1471" cm="1">
        <f t="array" ref="T1471">IFERROR(_xlfn.SWITCH(L1471,1,_xlfn.XLOOKUP(O1471,[1]AttributeName!$B:$B,[1]AttributeName!$E:$E),2,_xlfn.XLOOKUP(C1471,#REF!,#REF!),3,_xlfn.XLOOKUP(C1471,#REF!,#REF!)),0)</f>
        <v>2</v>
      </c>
    </row>
    <row r="1472" customFormat="1" spans="1:20">
      <c r="A1472">
        <f t="shared" si="63"/>
        <v>607</v>
      </c>
      <c r="B1472">
        <v>7</v>
      </c>
      <c r="C1472" t="s">
        <v>385</v>
      </c>
      <c r="D1472" t="s">
        <v>29</v>
      </c>
      <c r="E1472" t="s">
        <v>378</v>
      </c>
      <c r="F1472"/>
      <c r="G1472">
        <v>1</v>
      </c>
      <c r="H1472">
        <v>1000</v>
      </c>
      <c r="I1472">
        <v>3</v>
      </c>
      <c r="J1472" cm="1">
        <f t="array" ref="J1472">_xlfn.SWITCH(B1472,1,75,2,61,3,49,4,37,5,25,6,13,7,4,8,1)</f>
        <v>4</v>
      </c>
      <c r="K1472" t="str" cm="1">
        <f t="array" ref="K1472">IFERROR(_xlfn.SWITCH(L1472,2,_xlfn.XLOOKUP(C1472,[1]ModifierDes!$B:$B,[1]ModifierDes!$C:$C),3,_xlfn.XLOOKUP(C1472,[1]StuntDes!$B:$B,[1]StuntDes!$C:$C)),"")</f>
        <v/>
      </c>
      <c r="L1472">
        <f t="shared" si="62"/>
        <v>1</v>
      </c>
      <c r="M1472" s="10" t="str">
        <f>IFERROR(_xlfn.XLOOKUP(C1472,[1]StuntDes!$B:$B,[1]StuntDes!$A:$A),"")</f>
        <v/>
      </c>
      <c r="N1472" s="10" t="str">
        <f>IFERROR(_xlfn.XLOOKUP(C1472,[1]ModifierDes!$B:$B,[1]ModifierDes!$A:$A),"")</f>
        <v/>
      </c>
      <c r="O1472" s="10">
        <f>IFERROR(_xlfn.XLOOKUP(C1472,[1]AttributeName!$C:$C,[1]AttributeName!$B:$B),"")</f>
        <v>10304</v>
      </c>
      <c r="P1472" s="10"/>
      <c r="Q1472">
        <v>0.0699999999999999</v>
      </c>
      <c r="R1472">
        <v>0.09</v>
      </c>
      <c r="S1472" cm="1">
        <f t="array" ref="S1472">IFERROR(_xlfn.SWITCH(L1472,1,_xlfn.XLOOKUP(O1472,[1]AttributeName!$B:$B,[1]AttributeName!$D:$D),2,_xlfn.XLOOKUP(C1472,#REF!,#REF!),3,_xlfn.XLOOKUP(C1472,#REF!,#REF!)),0)</f>
        <v>2</v>
      </c>
      <c r="T1472" cm="1">
        <f t="array" ref="T1472">IFERROR(_xlfn.SWITCH(L1472,1,_xlfn.XLOOKUP(O1472,[1]AttributeName!$B:$B,[1]AttributeName!$E:$E),2,_xlfn.XLOOKUP(C1472,#REF!,#REF!),3,_xlfn.XLOOKUP(C1472,#REF!,#REF!)),0)</f>
        <v>2</v>
      </c>
    </row>
    <row r="1473" customFormat="1" spans="1:20">
      <c r="A1473">
        <f t="shared" si="63"/>
        <v>607</v>
      </c>
      <c r="B1473">
        <v>8</v>
      </c>
      <c r="C1473" t="s">
        <v>385</v>
      </c>
      <c r="D1473" t="s">
        <v>29</v>
      </c>
      <c r="E1473" t="s">
        <v>378</v>
      </c>
      <c r="F1473"/>
      <c r="G1473">
        <v>1</v>
      </c>
      <c r="H1473">
        <v>1000</v>
      </c>
      <c r="I1473">
        <v>3</v>
      </c>
      <c r="J1473" cm="1">
        <f t="array" ref="J1473">_xlfn.SWITCH(B1473,1,75,2,61,3,49,4,37,5,25,6,13,7,4,8,1)</f>
        <v>1</v>
      </c>
      <c r="K1473" t="str" cm="1">
        <f t="array" ref="K1473">IFERROR(_xlfn.SWITCH(L1473,2,_xlfn.XLOOKUP(C1473,[1]ModifierDes!$B:$B,[1]ModifierDes!$C:$C),3,_xlfn.XLOOKUP(C1473,[1]StuntDes!$B:$B,[1]StuntDes!$C:$C)),"")</f>
        <v/>
      </c>
      <c r="L1473">
        <f t="shared" si="62"/>
        <v>1</v>
      </c>
      <c r="M1473" s="10" t="str">
        <f>IFERROR(_xlfn.XLOOKUP(C1473,[1]StuntDes!$B:$B,[1]StuntDes!$A:$A),"")</f>
        <v/>
      </c>
      <c r="N1473" s="10" t="str">
        <f>IFERROR(_xlfn.XLOOKUP(C1473,[1]ModifierDes!$B:$B,[1]ModifierDes!$A:$A),"")</f>
        <v/>
      </c>
      <c r="O1473" s="10">
        <f>IFERROR(_xlfn.XLOOKUP(C1473,[1]AttributeName!$C:$C,[1]AttributeName!$B:$B),"")</f>
        <v>10304</v>
      </c>
      <c r="P1473" s="10"/>
      <c r="Q1473">
        <v>0.0399999999999998</v>
      </c>
      <c r="R1473">
        <v>0.06</v>
      </c>
      <c r="S1473" cm="1">
        <f t="array" ref="S1473">IFERROR(_xlfn.SWITCH(L1473,1,_xlfn.XLOOKUP(O1473,[1]AttributeName!$B:$B,[1]AttributeName!$D:$D),2,_xlfn.XLOOKUP(C1473,#REF!,#REF!),3,_xlfn.XLOOKUP(C1473,#REF!,#REF!)),0)</f>
        <v>2</v>
      </c>
      <c r="T1473" cm="1">
        <f t="array" ref="T1473">IFERROR(_xlfn.SWITCH(L1473,1,_xlfn.XLOOKUP(O1473,[1]AttributeName!$B:$B,[1]AttributeName!$E:$E),2,_xlfn.XLOOKUP(C1473,#REF!,#REF!),3,_xlfn.XLOOKUP(C1473,#REF!,#REF!)),0)</f>
        <v>2</v>
      </c>
    </row>
    <row r="1474" customFormat="1" spans="1:20">
      <c r="A1474">
        <f t="shared" si="63"/>
        <v>608</v>
      </c>
      <c r="B1474">
        <v>1</v>
      </c>
      <c r="C1474" t="s">
        <v>386</v>
      </c>
      <c r="D1474" t="s">
        <v>29</v>
      </c>
      <c r="E1474" t="s">
        <v>378</v>
      </c>
      <c r="F1474"/>
      <c r="G1474">
        <v>1</v>
      </c>
      <c r="H1474">
        <v>100</v>
      </c>
      <c r="I1474">
        <v>3</v>
      </c>
      <c r="J1474" cm="1">
        <f t="array" ref="J1474">_xlfn.SWITCH(B1474,1,75,2,61,3,49,4,37,5,25,6,13,7,4,8,1)</f>
        <v>75</v>
      </c>
      <c r="K1474" t="str" cm="1">
        <f t="array" ref="K1474">IFERROR(_xlfn.SWITCH(L1474,2,_xlfn.XLOOKUP(C1474,[1]ModifierDes!$B:$B,[1]ModifierDes!$C:$C),3,_xlfn.XLOOKUP(C1474,[1]StuntDes!$B:$B,[1]StuntDes!$C:$C)),"")</f>
        <v/>
      </c>
      <c r="L1474">
        <f t="shared" si="62"/>
        <v>1</v>
      </c>
      <c r="M1474" s="10" t="str">
        <f>IFERROR(_xlfn.XLOOKUP(C1474,[1]StuntDes!$B:$B,[1]StuntDes!$A:$A),"")</f>
        <v/>
      </c>
      <c r="N1474" s="10" t="str">
        <f>IFERROR(_xlfn.XLOOKUP(C1474,[1]ModifierDes!$B:$B,[1]ModifierDes!$A:$A),"")</f>
        <v/>
      </c>
      <c r="O1474" s="10">
        <f>IFERROR(_xlfn.XLOOKUP(C1474,[1]AttributeName!$C:$C,[1]AttributeName!$B:$B),"")</f>
        <v>10305</v>
      </c>
      <c r="P1474" s="10"/>
      <c r="Q1474">
        <v>0.25</v>
      </c>
      <c r="R1474">
        <v>0.35</v>
      </c>
      <c r="S1474" cm="1">
        <f t="array" ref="S1474">IFERROR(_xlfn.SWITCH(L1474,1,_xlfn.XLOOKUP(O1474,[1]AttributeName!$B:$B,[1]AttributeName!$D:$D),2,_xlfn.XLOOKUP(C1474,#REF!,#REF!),3,_xlfn.XLOOKUP(C1474,#REF!,#REF!)),0)</f>
        <v>2</v>
      </c>
      <c r="T1474" cm="1">
        <f t="array" ref="T1474">IFERROR(_xlfn.SWITCH(L1474,1,_xlfn.XLOOKUP(O1474,[1]AttributeName!$B:$B,[1]AttributeName!$E:$E),2,_xlfn.XLOOKUP(C1474,#REF!,#REF!),3,_xlfn.XLOOKUP(C1474,#REF!,#REF!)),0)</f>
        <v>2</v>
      </c>
    </row>
    <row r="1475" customFormat="1" spans="1:20">
      <c r="A1475">
        <f t="shared" si="63"/>
        <v>608</v>
      </c>
      <c r="B1475">
        <v>2</v>
      </c>
      <c r="C1475" t="s">
        <v>386</v>
      </c>
      <c r="D1475" t="s">
        <v>29</v>
      </c>
      <c r="E1475" t="s">
        <v>378</v>
      </c>
      <c r="F1475"/>
      <c r="G1475">
        <v>1</v>
      </c>
      <c r="H1475">
        <v>200</v>
      </c>
      <c r="I1475">
        <v>3</v>
      </c>
      <c r="J1475" cm="1">
        <f t="array" ref="J1475">_xlfn.SWITCH(B1475,1,75,2,61,3,49,4,37,5,25,6,13,7,4,8,1)</f>
        <v>61</v>
      </c>
      <c r="K1475" t="str" cm="1">
        <f t="array" ref="K1475">IFERROR(_xlfn.SWITCH(L1475,2,_xlfn.XLOOKUP(C1475,[1]ModifierDes!$B:$B,[1]ModifierDes!$C:$C),3,_xlfn.XLOOKUP(C1475,[1]StuntDes!$B:$B,[1]StuntDes!$C:$C)),"")</f>
        <v/>
      </c>
      <c r="L1475">
        <f t="shared" si="62"/>
        <v>1</v>
      </c>
      <c r="M1475" s="10" t="str">
        <f>IFERROR(_xlfn.XLOOKUP(C1475,[1]StuntDes!$B:$B,[1]StuntDes!$A:$A),"")</f>
        <v/>
      </c>
      <c r="N1475" s="10" t="str">
        <f>IFERROR(_xlfn.XLOOKUP(C1475,[1]ModifierDes!$B:$B,[1]ModifierDes!$A:$A),"")</f>
        <v/>
      </c>
      <c r="O1475" s="10">
        <f>IFERROR(_xlfn.XLOOKUP(C1475,[1]AttributeName!$C:$C,[1]AttributeName!$B:$B),"")</f>
        <v>10305</v>
      </c>
      <c r="P1475" s="10"/>
      <c r="Q1475">
        <v>0.22</v>
      </c>
      <c r="R1475">
        <v>0.24</v>
      </c>
      <c r="S1475" cm="1">
        <f t="array" ref="S1475">IFERROR(_xlfn.SWITCH(L1475,1,_xlfn.XLOOKUP(O1475,[1]AttributeName!$B:$B,[1]AttributeName!$D:$D),2,_xlfn.XLOOKUP(C1475,#REF!,#REF!),3,_xlfn.XLOOKUP(C1475,#REF!,#REF!)),0)</f>
        <v>2</v>
      </c>
      <c r="T1475" cm="1">
        <f t="array" ref="T1475">IFERROR(_xlfn.SWITCH(L1475,1,_xlfn.XLOOKUP(O1475,[1]AttributeName!$B:$B,[1]AttributeName!$E:$E),2,_xlfn.XLOOKUP(C1475,#REF!,#REF!),3,_xlfn.XLOOKUP(C1475,#REF!,#REF!)),0)</f>
        <v>2</v>
      </c>
    </row>
    <row r="1476" customFormat="1" spans="1:20">
      <c r="A1476">
        <f t="shared" si="63"/>
        <v>608</v>
      </c>
      <c r="B1476">
        <v>3</v>
      </c>
      <c r="C1476" t="s">
        <v>386</v>
      </c>
      <c r="D1476" t="s">
        <v>29</v>
      </c>
      <c r="E1476" t="s">
        <v>378</v>
      </c>
      <c r="F1476"/>
      <c r="G1476">
        <v>1</v>
      </c>
      <c r="H1476">
        <v>500</v>
      </c>
      <c r="I1476">
        <v>3</v>
      </c>
      <c r="J1476" cm="1">
        <f t="array" ref="J1476">_xlfn.SWITCH(B1476,1,75,2,61,3,49,4,37,5,25,6,13,7,4,8,1)</f>
        <v>49</v>
      </c>
      <c r="K1476" t="str" cm="1">
        <f t="array" ref="K1476">IFERROR(_xlfn.SWITCH(L1476,2,_xlfn.XLOOKUP(C1476,[1]ModifierDes!$B:$B,[1]ModifierDes!$C:$C),3,_xlfn.XLOOKUP(C1476,[1]StuntDes!$B:$B,[1]StuntDes!$C:$C)),"")</f>
        <v/>
      </c>
      <c r="L1476">
        <f t="shared" ref="L1476:L1539" si="64">IF(M1476="",IF(N1476="",1,2),3)</f>
        <v>1</v>
      </c>
      <c r="M1476" s="10" t="str">
        <f>IFERROR(_xlfn.XLOOKUP(C1476,[1]StuntDes!$B:$B,[1]StuntDes!$A:$A),"")</f>
        <v/>
      </c>
      <c r="N1476" s="10" t="str">
        <f>IFERROR(_xlfn.XLOOKUP(C1476,[1]ModifierDes!$B:$B,[1]ModifierDes!$A:$A),"")</f>
        <v/>
      </c>
      <c r="O1476" s="10">
        <f>IFERROR(_xlfn.XLOOKUP(C1476,[1]AttributeName!$C:$C,[1]AttributeName!$B:$B),"")</f>
        <v>10305</v>
      </c>
      <c r="P1476" s="10"/>
      <c r="Q1476">
        <v>0.19</v>
      </c>
      <c r="R1476">
        <v>0.21</v>
      </c>
      <c r="S1476" cm="1">
        <f t="array" ref="S1476">IFERROR(_xlfn.SWITCH(L1476,1,_xlfn.XLOOKUP(O1476,[1]AttributeName!$B:$B,[1]AttributeName!$D:$D),2,_xlfn.XLOOKUP(C1476,#REF!,#REF!),3,_xlfn.XLOOKUP(C1476,#REF!,#REF!)),0)</f>
        <v>2</v>
      </c>
      <c r="T1476" cm="1">
        <f t="array" ref="T1476">IFERROR(_xlfn.SWITCH(L1476,1,_xlfn.XLOOKUP(O1476,[1]AttributeName!$B:$B,[1]AttributeName!$E:$E),2,_xlfn.XLOOKUP(C1476,#REF!,#REF!),3,_xlfn.XLOOKUP(C1476,#REF!,#REF!)),0)</f>
        <v>2</v>
      </c>
    </row>
    <row r="1477" customFormat="1" spans="1:20">
      <c r="A1477">
        <f t="shared" si="63"/>
        <v>608</v>
      </c>
      <c r="B1477">
        <v>4</v>
      </c>
      <c r="C1477" t="s">
        <v>386</v>
      </c>
      <c r="D1477" t="s">
        <v>29</v>
      </c>
      <c r="E1477" t="s">
        <v>378</v>
      </c>
      <c r="F1477"/>
      <c r="G1477">
        <v>1</v>
      </c>
      <c r="H1477">
        <v>1000</v>
      </c>
      <c r="I1477">
        <v>3</v>
      </c>
      <c r="J1477" cm="1">
        <f t="array" ref="J1477">_xlfn.SWITCH(B1477,1,75,2,61,3,49,4,37,5,25,6,13,7,4,8,1)</f>
        <v>37</v>
      </c>
      <c r="K1477" t="str" cm="1">
        <f t="array" ref="K1477">IFERROR(_xlfn.SWITCH(L1477,2,_xlfn.XLOOKUP(C1477,[1]ModifierDes!$B:$B,[1]ModifierDes!$C:$C),3,_xlfn.XLOOKUP(C1477,[1]StuntDes!$B:$B,[1]StuntDes!$C:$C)),"")</f>
        <v/>
      </c>
      <c r="L1477">
        <f t="shared" si="64"/>
        <v>1</v>
      </c>
      <c r="M1477" s="10" t="str">
        <f>IFERROR(_xlfn.XLOOKUP(C1477,[1]StuntDes!$B:$B,[1]StuntDes!$A:$A),"")</f>
        <v/>
      </c>
      <c r="N1477" s="10" t="str">
        <f>IFERROR(_xlfn.XLOOKUP(C1477,[1]ModifierDes!$B:$B,[1]ModifierDes!$A:$A),"")</f>
        <v/>
      </c>
      <c r="O1477" s="10">
        <f>IFERROR(_xlfn.XLOOKUP(C1477,[1]AttributeName!$C:$C,[1]AttributeName!$B:$B),"")</f>
        <v>10305</v>
      </c>
      <c r="P1477" s="10"/>
      <c r="Q1477">
        <v>0.16</v>
      </c>
      <c r="R1477">
        <v>0.18</v>
      </c>
      <c r="S1477" cm="1">
        <f t="array" ref="S1477">IFERROR(_xlfn.SWITCH(L1477,1,_xlfn.XLOOKUP(O1477,[1]AttributeName!$B:$B,[1]AttributeName!$D:$D),2,_xlfn.XLOOKUP(C1477,#REF!,#REF!),3,_xlfn.XLOOKUP(C1477,#REF!,#REF!)),0)</f>
        <v>2</v>
      </c>
      <c r="T1477" cm="1">
        <f t="array" ref="T1477">IFERROR(_xlfn.SWITCH(L1477,1,_xlfn.XLOOKUP(O1477,[1]AttributeName!$B:$B,[1]AttributeName!$E:$E),2,_xlfn.XLOOKUP(C1477,#REF!,#REF!),3,_xlfn.XLOOKUP(C1477,#REF!,#REF!)),0)</f>
        <v>2</v>
      </c>
    </row>
    <row r="1478" customFormat="1" spans="1:20">
      <c r="A1478">
        <f t="shared" si="63"/>
        <v>608</v>
      </c>
      <c r="B1478">
        <v>5</v>
      </c>
      <c r="C1478" t="s">
        <v>386</v>
      </c>
      <c r="D1478" t="s">
        <v>29</v>
      </c>
      <c r="E1478" t="s">
        <v>378</v>
      </c>
      <c r="F1478"/>
      <c r="G1478">
        <v>1</v>
      </c>
      <c r="H1478">
        <v>1000</v>
      </c>
      <c r="I1478">
        <v>3</v>
      </c>
      <c r="J1478" cm="1">
        <f t="array" ref="J1478">_xlfn.SWITCH(B1478,1,75,2,61,3,49,4,37,5,25,6,13,7,4,8,1)</f>
        <v>25</v>
      </c>
      <c r="K1478" t="str" cm="1">
        <f t="array" ref="K1478">IFERROR(_xlfn.SWITCH(L1478,2,_xlfn.XLOOKUP(C1478,[1]ModifierDes!$B:$B,[1]ModifierDes!$C:$C),3,_xlfn.XLOOKUP(C1478,[1]StuntDes!$B:$B,[1]StuntDes!$C:$C)),"")</f>
        <v/>
      </c>
      <c r="L1478">
        <f t="shared" si="64"/>
        <v>1</v>
      </c>
      <c r="M1478" s="10" t="str">
        <f>IFERROR(_xlfn.XLOOKUP(C1478,[1]StuntDes!$B:$B,[1]StuntDes!$A:$A),"")</f>
        <v/>
      </c>
      <c r="N1478" s="10" t="str">
        <f>IFERROR(_xlfn.XLOOKUP(C1478,[1]ModifierDes!$B:$B,[1]ModifierDes!$A:$A),"")</f>
        <v/>
      </c>
      <c r="O1478" s="10">
        <f>IFERROR(_xlfn.XLOOKUP(C1478,[1]AttributeName!$C:$C,[1]AttributeName!$B:$B),"")</f>
        <v>10305</v>
      </c>
      <c r="P1478" s="10"/>
      <c r="Q1478">
        <v>0.13</v>
      </c>
      <c r="R1478">
        <v>0.15</v>
      </c>
      <c r="S1478" cm="1">
        <f t="array" ref="S1478">IFERROR(_xlfn.SWITCH(L1478,1,_xlfn.XLOOKUP(O1478,[1]AttributeName!$B:$B,[1]AttributeName!$D:$D),2,_xlfn.XLOOKUP(C1478,#REF!,#REF!),3,_xlfn.XLOOKUP(C1478,#REF!,#REF!)),0)</f>
        <v>2</v>
      </c>
      <c r="T1478" cm="1">
        <f t="array" ref="T1478">IFERROR(_xlfn.SWITCH(L1478,1,_xlfn.XLOOKUP(O1478,[1]AttributeName!$B:$B,[1]AttributeName!$E:$E),2,_xlfn.XLOOKUP(C1478,#REF!,#REF!),3,_xlfn.XLOOKUP(C1478,#REF!,#REF!)),0)</f>
        <v>2</v>
      </c>
    </row>
    <row r="1479" customFormat="1" spans="1:20">
      <c r="A1479">
        <f t="shared" si="63"/>
        <v>608</v>
      </c>
      <c r="B1479">
        <v>6</v>
      </c>
      <c r="C1479" t="s">
        <v>386</v>
      </c>
      <c r="D1479" t="s">
        <v>29</v>
      </c>
      <c r="E1479" t="s">
        <v>378</v>
      </c>
      <c r="F1479"/>
      <c r="G1479">
        <v>1</v>
      </c>
      <c r="H1479">
        <v>1000</v>
      </c>
      <c r="I1479">
        <v>3</v>
      </c>
      <c r="J1479" cm="1">
        <f t="array" ref="J1479">_xlfn.SWITCH(B1479,1,75,2,61,3,49,4,37,5,25,6,13,7,4,8,1)</f>
        <v>13</v>
      </c>
      <c r="K1479" t="str" cm="1">
        <f t="array" ref="K1479">IFERROR(_xlfn.SWITCH(L1479,2,_xlfn.XLOOKUP(C1479,[1]ModifierDes!$B:$B,[1]ModifierDes!$C:$C),3,_xlfn.XLOOKUP(C1479,[1]StuntDes!$B:$B,[1]StuntDes!$C:$C)),"")</f>
        <v/>
      </c>
      <c r="L1479">
        <f t="shared" si="64"/>
        <v>1</v>
      </c>
      <c r="M1479" s="10" t="str">
        <f>IFERROR(_xlfn.XLOOKUP(C1479,[1]StuntDes!$B:$B,[1]StuntDes!$A:$A),"")</f>
        <v/>
      </c>
      <c r="N1479" s="10" t="str">
        <f>IFERROR(_xlfn.XLOOKUP(C1479,[1]ModifierDes!$B:$B,[1]ModifierDes!$A:$A),"")</f>
        <v/>
      </c>
      <c r="O1479" s="10">
        <f>IFERROR(_xlfn.XLOOKUP(C1479,[1]AttributeName!$C:$C,[1]AttributeName!$B:$B),"")</f>
        <v>10305</v>
      </c>
      <c r="P1479" s="10"/>
      <c r="Q1479">
        <v>0.0999999999999999</v>
      </c>
      <c r="R1479">
        <v>0.12</v>
      </c>
      <c r="S1479" cm="1">
        <f t="array" ref="S1479">IFERROR(_xlfn.SWITCH(L1479,1,_xlfn.XLOOKUP(O1479,[1]AttributeName!$B:$B,[1]AttributeName!$D:$D),2,_xlfn.XLOOKUP(C1479,#REF!,#REF!),3,_xlfn.XLOOKUP(C1479,#REF!,#REF!)),0)</f>
        <v>2</v>
      </c>
      <c r="T1479" cm="1">
        <f t="array" ref="T1479">IFERROR(_xlfn.SWITCH(L1479,1,_xlfn.XLOOKUP(O1479,[1]AttributeName!$B:$B,[1]AttributeName!$E:$E),2,_xlfn.XLOOKUP(C1479,#REF!,#REF!),3,_xlfn.XLOOKUP(C1479,#REF!,#REF!)),0)</f>
        <v>2</v>
      </c>
    </row>
    <row r="1480" customFormat="1" spans="1:20">
      <c r="A1480">
        <f t="shared" si="63"/>
        <v>608</v>
      </c>
      <c r="B1480">
        <v>7</v>
      </c>
      <c r="C1480" t="s">
        <v>386</v>
      </c>
      <c r="D1480" t="s">
        <v>29</v>
      </c>
      <c r="E1480" t="s">
        <v>378</v>
      </c>
      <c r="F1480"/>
      <c r="G1480">
        <v>1</v>
      </c>
      <c r="H1480">
        <v>1000</v>
      </c>
      <c r="I1480">
        <v>3</v>
      </c>
      <c r="J1480" cm="1">
        <f t="array" ref="J1480">_xlfn.SWITCH(B1480,1,75,2,61,3,49,4,37,5,25,6,13,7,4,8,1)</f>
        <v>4</v>
      </c>
      <c r="K1480" t="str" cm="1">
        <f t="array" ref="K1480">IFERROR(_xlfn.SWITCH(L1480,2,_xlfn.XLOOKUP(C1480,[1]ModifierDes!$B:$B,[1]ModifierDes!$C:$C),3,_xlfn.XLOOKUP(C1480,[1]StuntDes!$B:$B,[1]StuntDes!$C:$C)),"")</f>
        <v/>
      </c>
      <c r="L1480">
        <f t="shared" si="64"/>
        <v>1</v>
      </c>
      <c r="M1480" s="10" t="str">
        <f>IFERROR(_xlfn.XLOOKUP(C1480,[1]StuntDes!$B:$B,[1]StuntDes!$A:$A),"")</f>
        <v/>
      </c>
      <c r="N1480" s="10" t="str">
        <f>IFERROR(_xlfn.XLOOKUP(C1480,[1]ModifierDes!$B:$B,[1]ModifierDes!$A:$A),"")</f>
        <v/>
      </c>
      <c r="O1480" s="10">
        <f>IFERROR(_xlfn.XLOOKUP(C1480,[1]AttributeName!$C:$C,[1]AttributeName!$B:$B),"")</f>
        <v>10305</v>
      </c>
      <c r="P1480" s="10"/>
      <c r="Q1480">
        <v>0.0699999999999999</v>
      </c>
      <c r="R1480">
        <v>0.09</v>
      </c>
      <c r="S1480" cm="1">
        <f t="array" ref="S1480">IFERROR(_xlfn.SWITCH(L1480,1,_xlfn.XLOOKUP(O1480,[1]AttributeName!$B:$B,[1]AttributeName!$D:$D),2,_xlfn.XLOOKUP(C1480,#REF!,#REF!),3,_xlfn.XLOOKUP(C1480,#REF!,#REF!)),0)</f>
        <v>2</v>
      </c>
      <c r="T1480" cm="1">
        <f t="array" ref="T1480">IFERROR(_xlfn.SWITCH(L1480,1,_xlfn.XLOOKUP(O1480,[1]AttributeName!$B:$B,[1]AttributeName!$E:$E),2,_xlfn.XLOOKUP(C1480,#REF!,#REF!),3,_xlfn.XLOOKUP(C1480,#REF!,#REF!)),0)</f>
        <v>2</v>
      </c>
    </row>
    <row r="1481" customFormat="1" spans="1:20">
      <c r="A1481">
        <f t="shared" si="63"/>
        <v>608</v>
      </c>
      <c r="B1481">
        <v>8</v>
      </c>
      <c r="C1481" t="s">
        <v>386</v>
      </c>
      <c r="D1481" t="s">
        <v>29</v>
      </c>
      <c r="E1481" t="s">
        <v>378</v>
      </c>
      <c r="F1481"/>
      <c r="G1481">
        <v>1</v>
      </c>
      <c r="H1481">
        <v>1000</v>
      </c>
      <c r="I1481">
        <v>3</v>
      </c>
      <c r="J1481" cm="1">
        <f t="array" ref="J1481">_xlfn.SWITCH(B1481,1,75,2,61,3,49,4,37,5,25,6,13,7,4,8,1)</f>
        <v>1</v>
      </c>
      <c r="K1481" t="str" cm="1">
        <f t="array" ref="K1481">IFERROR(_xlfn.SWITCH(L1481,2,_xlfn.XLOOKUP(C1481,[1]ModifierDes!$B:$B,[1]ModifierDes!$C:$C),3,_xlfn.XLOOKUP(C1481,[1]StuntDes!$B:$B,[1]StuntDes!$C:$C)),"")</f>
        <v/>
      </c>
      <c r="L1481">
        <f t="shared" si="64"/>
        <v>1</v>
      </c>
      <c r="M1481" s="10" t="str">
        <f>IFERROR(_xlfn.XLOOKUP(C1481,[1]StuntDes!$B:$B,[1]StuntDes!$A:$A),"")</f>
        <v/>
      </c>
      <c r="N1481" s="10" t="str">
        <f>IFERROR(_xlfn.XLOOKUP(C1481,[1]ModifierDes!$B:$B,[1]ModifierDes!$A:$A),"")</f>
        <v/>
      </c>
      <c r="O1481" s="10">
        <f>IFERROR(_xlfn.XLOOKUP(C1481,[1]AttributeName!$C:$C,[1]AttributeName!$B:$B),"")</f>
        <v>10305</v>
      </c>
      <c r="P1481" s="10"/>
      <c r="Q1481">
        <v>0.0399999999999998</v>
      </c>
      <c r="R1481">
        <v>0.06</v>
      </c>
      <c r="S1481" cm="1">
        <f t="array" ref="S1481">IFERROR(_xlfn.SWITCH(L1481,1,_xlfn.XLOOKUP(O1481,[1]AttributeName!$B:$B,[1]AttributeName!$D:$D),2,_xlfn.XLOOKUP(C1481,#REF!,#REF!),3,_xlfn.XLOOKUP(C1481,#REF!,#REF!)),0)</f>
        <v>2</v>
      </c>
      <c r="T1481" cm="1">
        <f t="array" ref="T1481">IFERROR(_xlfn.SWITCH(L1481,1,_xlfn.XLOOKUP(O1481,[1]AttributeName!$B:$B,[1]AttributeName!$E:$E),2,_xlfn.XLOOKUP(C1481,#REF!,#REF!),3,_xlfn.XLOOKUP(C1481,#REF!,#REF!)),0)</f>
        <v>2</v>
      </c>
    </row>
    <row r="1482" customFormat="1" spans="1:20">
      <c r="A1482">
        <f t="shared" si="63"/>
        <v>609</v>
      </c>
      <c r="B1482">
        <v>1</v>
      </c>
      <c r="C1482" t="s">
        <v>387</v>
      </c>
      <c r="D1482" t="s">
        <v>29</v>
      </c>
      <c r="E1482" t="s">
        <v>378</v>
      </c>
      <c r="F1482"/>
      <c r="G1482">
        <v>1</v>
      </c>
      <c r="H1482">
        <v>100</v>
      </c>
      <c r="I1482">
        <v>3</v>
      </c>
      <c r="J1482" cm="1">
        <f t="array" ref="J1482">_xlfn.SWITCH(B1482,1,75,2,61,3,49,4,37,5,25,6,13,7,4,8,1)</f>
        <v>75</v>
      </c>
      <c r="K1482" t="str" cm="1">
        <f t="array" ref="K1482">IFERROR(_xlfn.SWITCH(L1482,2,_xlfn.XLOOKUP(C1482,[1]ModifierDes!$B:$B,[1]ModifierDes!$C:$C),3,_xlfn.XLOOKUP(C1482,[1]StuntDes!$B:$B,[1]StuntDes!$C:$C)),"")</f>
        <v/>
      </c>
      <c r="L1482">
        <f t="shared" si="64"/>
        <v>1</v>
      </c>
      <c r="M1482" s="10" t="str">
        <f>IFERROR(_xlfn.XLOOKUP(C1482,[1]StuntDes!$B:$B,[1]StuntDes!$A:$A),"")</f>
        <v/>
      </c>
      <c r="N1482" s="10" t="str">
        <f>IFERROR(_xlfn.XLOOKUP(C1482,[1]ModifierDes!$B:$B,[1]ModifierDes!$A:$A),"")</f>
        <v/>
      </c>
      <c r="O1482" s="10">
        <f>IFERROR(_xlfn.XLOOKUP(C1482,[1]AttributeName!$C:$C,[1]AttributeName!$B:$B),"")</f>
        <v>10306</v>
      </c>
      <c r="P1482" s="10"/>
      <c r="Q1482">
        <v>0.25</v>
      </c>
      <c r="R1482">
        <v>0.35</v>
      </c>
      <c r="S1482" cm="1">
        <f t="array" ref="S1482">IFERROR(_xlfn.SWITCH(L1482,1,_xlfn.XLOOKUP(O1482,[1]AttributeName!$B:$B,[1]AttributeName!$D:$D),2,_xlfn.XLOOKUP(C1482,#REF!,#REF!),3,_xlfn.XLOOKUP(C1482,#REF!,#REF!)),0)</f>
        <v>2</v>
      </c>
      <c r="T1482" cm="1">
        <f t="array" ref="T1482">IFERROR(_xlfn.SWITCH(L1482,1,_xlfn.XLOOKUP(O1482,[1]AttributeName!$B:$B,[1]AttributeName!$E:$E),2,_xlfn.XLOOKUP(C1482,#REF!,#REF!),3,_xlfn.XLOOKUP(C1482,#REF!,#REF!)),0)</f>
        <v>2</v>
      </c>
    </row>
    <row r="1483" customFormat="1" spans="1:20">
      <c r="A1483">
        <f t="shared" si="63"/>
        <v>609</v>
      </c>
      <c r="B1483">
        <v>2</v>
      </c>
      <c r="C1483" t="s">
        <v>387</v>
      </c>
      <c r="D1483" t="s">
        <v>29</v>
      </c>
      <c r="E1483" t="s">
        <v>378</v>
      </c>
      <c r="F1483"/>
      <c r="G1483">
        <v>1</v>
      </c>
      <c r="H1483">
        <v>200</v>
      </c>
      <c r="I1483">
        <v>3</v>
      </c>
      <c r="J1483" cm="1">
        <f t="array" ref="J1483">_xlfn.SWITCH(B1483,1,75,2,61,3,49,4,37,5,25,6,13,7,4,8,1)</f>
        <v>61</v>
      </c>
      <c r="K1483" t="str" cm="1">
        <f t="array" ref="K1483">IFERROR(_xlfn.SWITCH(L1483,2,_xlfn.XLOOKUP(C1483,[1]ModifierDes!$B:$B,[1]ModifierDes!$C:$C),3,_xlfn.XLOOKUP(C1483,[1]StuntDes!$B:$B,[1]StuntDes!$C:$C)),"")</f>
        <v/>
      </c>
      <c r="L1483">
        <f t="shared" si="64"/>
        <v>1</v>
      </c>
      <c r="M1483" s="10" t="str">
        <f>IFERROR(_xlfn.XLOOKUP(C1483,[1]StuntDes!$B:$B,[1]StuntDes!$A:$A),"")</f>
        <v/>
      </c>
      <c r="N1483" s="10" t="str">
        <f>IFERROR(_xlfn.XLOOKUP(C1483,[1]ModifierDes!$B:$B,[1]ModifierDes!$A:$A),"")</f>
        <v/>
      </c>
      <c r="O1483" s="10">
        <f>IFERROR(_xlfn.XLOOKUP(C1483,[1]AttributeName!$C:$C,[1]AttributeName!$B:$B),"")</f>
        <v>10306</v>
      </c>
      <c r="P1483" s="10"/>
      <c r="Q1483">
        <v>0.22</v>
      </c>
      <c r="R1483">
        <v>0.24</v>
      </c>
      <c r="S1483" cm="1">
        <f t="array" ref="S1483">IFERROR(_xlfn.SWITCH(L1483,1,_xlfn.XLOOKUP(O1483,[1]AttributeName!$B:$B,[1]AttributeName!$D:$D),2,_xlfn.XLOOKUP(C1483,#REF!,#REF!),3,_xlfn.XLOOKUP(C1483,#REF!,#REF!)),0)</f>
        <v>2</v>
      </c>
      <c r="T1483" cm="1">
        <f t="array" ref="T1483">IFERROR(_xlfn.SWITCH(L1483,1,_xlfn.XLOOKUP(O1483,[1]AttributeName!$B:$B,[1]AttributeName!$E:$E),2,_xlfn.XLOOKUP(C1483,#REF!,#REF!),3,_xlfn.XLOOKUP(C1483,#REF!,#REF!)),0)</f>
        <v>2</v>
      </c>
    </row>
    <row r="1484" customFormat="1" spans="1:20">
      <c r="A1484">
        <f t="shared" si="63"/>
        <v>609</v>
      </c>
      <c r="B1484">
        <v>3</v>
      </c>
      <c r="C1484" t="s">
        <v>387</v>
      </c>
      <c r="D1484" t="s">
        <v>29</v>
      </c>
      <c r="E1484" t="s">
        <v>378</v>
      </c>
      <c r="F1484"/>
      <c r="G1484">
        <v>1</v>
      </c>
      <c r="H1484">
        <v>500</v>
      </c>
      <c r="I1484">
        <v>3</v>
      </c>
      <c r="J1484" cm="1">
        <f t="array" ref="J1484">_xlfn.SWITCH(B1484,1,75,2,61,3,49,4,37,5,25,6,13,7,4,8,1)</f>
        <v>49</v>
      </c>
      <c r="K1484" t="str" cm="1">
        <f t="array" ref="K1484">IFERROR(_xlfn.SWITCH(L1484,2,_xlfn.XLOOKUP(C1484,[1]ModifierDes!$B:$B,[1]ModifierDes!$C:$C),3,_xlfn.XLOOKUP(C1484,[1]StuntDes!$B:$B,[1]StuntDes!$C:$C)),"")</f>
        <v/>
      </c>
      <c r="L1484">
        <f t="shared" si="64"/>
        <v>1</v>
      </c>
      <c r="M1484" s="10" t="str">
        <f>IFERROR(_xlfn.XLOOKUP(C1484,[1]StuntDes!$B:$B,[1]StuntDes!$A:$A),"")</f>
        <v/>
      </c>
      <c r="N1484" s="10" t="str">
        <f>IFERROR(_xlfn.XLOOKUP(C1484,[1]ModifierDes!$B:$B,[1]ModifierDes!$A:$A),"")</f>
        <v/>
      </c>
      <c r="O1484" s="10">
        <f>IFERROR(_xlfn.XLOOKUP(C1484,[1]AttributeName!$C:$C,[1]AttributeName!$B:$B),"")</f>
        <v>10306</v>
      </c>
      <c r="P1484" s="10"/>
      <c r="Q1484">
        <v>0.19</v>
      </c>
      <c r="R1484">
        <v>0.21</v>
      </c>
      <c r="S1484" cm="1">
        <f t="array" ref="S1484">IFERROR(_xlfn.SWITCH(L1484,1,_xlfn.XLOOKUP(O1484,[1]AttributeName!$B:$B,[1]AttributeName!$D:$D),2,_xlfn.XLOOKUP(C1484,#REF!,#REF!),3,_xlfn.XLOOKUP(C1484,#REF!,#REF!)),0)</f>
        <v>2</v>
      </c>
      <c r="T1484" cm="1">
        <f t="array" ref="T1484">IFERROR(_xlfn.SWITCH(L1484,1,_xlfn.XLOOKUP(O1484,[1]AttributeName!$B:$B,[1]AttributeName!$E:$E),2,_xlfn.XLOOKUP(C1484,#REF!,#REF!),3,_xlfn.XLOOKUP(C1484,#REF!,#REF!)),0)</f>
        <v>2</v>
      </c>
    </row>
    <row r="1485" customFormat="1" spans="1:20">
      <c r="A1485">
        <f t="shared" si="63"/>
        <v>609</v>
      </c>
      <c r="B1485">
        <v>4</v>
      </c>
      <c r="C1485" t="s">
        <v>387</v>
      </c>
      <c r="D1485" t="s">
        <v>29</v>
      </c>
      <c r="E1485" t="s">
        <v>378</v>
      </c>
      <c r="F1485"/>
      <c r="G1485">
        <v>1</v>
      </c>
      <c r="H1485">
        <v>1000</v>
      </c>
      <c r="I1485">
        <v>3</v>
      </c>
      <c r="J1485" cm="1">
        <f t="array" ref="J1485">_xlfn.SWITCH(B1485,1,75,2,61,3,49,4,37,5,25,6,13,7,4,8,1)</f>
        <v>37</v>
      </c>
      <c r="K1485" t="str" cm="1">
        <f t="array" ref="K1485">IFERROR(_xlfn.SWITCH(L1485,2,_xlfn.XLOOKUP(C1485,[1]ModifierDes!$B:$B,[1]ModifierDes!$C:$C),3,_xlfn.XLOOKUP(C1485,[1]StuntDes!$B:$B,[1]StuntDes!$C:$C)),"")</f>
        <v/>
      </c>
      <c r="L1485">
        <f t="shared" si="64"/>
        <v>1</v>
      </c>
      <c r="M1485" s="10" t="str">
        <f>IFERROR(_xlfn.XLOOKUP(C1485,[1]StuntDes!$B:$B,[1]StuntDes!$A:$A),"")</f>
        <v/>
      </c>
      <c r="N1485" s="10" t="str">
        <f>IFERROR(_xlfn.XLOOKUP(C1485,[1]ModifierDes!$B:$B,[1]ModifierDes!$A:$A),"")</f>
        <v/>
      </c>
      <c r="O1485" s="10">
        <f>IFERROR(_xlfn.XLOOKUP(C1485,[1]AttributeName!$C:$C,[1]AttributeName!$B:$B),"")</f>
        <v>10306</v>
      </c>
      <c r="P1485" s="10"/>
      <c r="Q1485">
        <v>0.16</v>
      </c>
      <c r="R1485">
        <v>0.18</v>
      </c>
      <c r="S1485" cm="1">
        <f t="array" ref="S1485">IFERROR(_xlfn.SWITCH(L1485,1,_xlfn.XLOOKUP(O1485,[1]AttributeName!$B:$B,[1]AttributeName!$D:$D),2,_xlfn.XLOOKUP(C1485,#REF!,#REF!),3,_xlfn.XLOOKUP(C1485,#REF!,#REF!)),0)</f>
        <v>2</v>
      </c>
      <c r="T1485" cm="1">
        <f t="array" ref="T1485">IFERROR(_xlfn.SWITCH(L1485,1,_xlfn.XLOOKUP(O1485,[1]AttributeName!$B:$B,[1]AttributeName!$E:$E),2,_xlfn.XLOOKUP(C1485,#REF!,#REF!),3,_xlfn.XLOOKUP(C1485,#REF!,#REF!)),0)</f>
        <v>2</v>
      </c>
    </row>
    <row r="1486" customFormat="1" spans="1:20">
      <c r="A1486">
        <f t="shared" si="63"/>
        <v>609</v>
      </c>
      <c r="B1486">
        <v>5</v>
      </c>
      <c r="C1486" t="s">
        <v>387</v>
      </c>
      <c r="D1486" t="s">
        <v>29</v>
      </c>
      <c r="E1486" t="s">
        <v>378</v>
      </c>
      <c r="F1486"/>
      <c r="G1486">
        <v>1</v>
      </c>
      <c r="H1486">
        <v>1000</v>
      </c>
      <c r="I1486">
        <v>3</v>
      </c>
      <c r="J1486" cm="1">
        <f t="array" ref="J1486">_xlfn.SWITCH(B1486,1,75,2,61,3,49,4,37,5,25,6,13,7,4,8,1)</f>
        <v>25</v>
      </c>
      <c r="K1486" t="str" cm="1">
        <f t="array" ref="K1486">IFERROR(_xlfn.SWITCH(L1486,2,_xlfn.XLOOKUP(C1486,[1]ModifierDes!$B:$B,[1]ModifierDes!$C:$C),3,_xlfn.XLOOKUP(C1486,[1]StuntDes!$B:$B,[1]StuntDes!$C:$C)),"")</f>
        <v/>
      </c>
      <c r="L1486">
        <f t="shared" si="64"/>
        <v>1</v>
      </c>
      <c r="M1486" s="10" t="str">
        <f>IFERROR(_xlfn.XLOOKUP(C1486,[1]StuntDes!$B:$B,[1]StuntDes!$A:$A),"")</f>
        <v/>
      </c>
      <c r="N1486" s="10" t="str">
        <f>IFERROR(_xlfn.XLOOKUP(C1486,[1]ModifierDes!$B:$B,[1]ModifierDes!$A:$A),"")</f>
        <v/>
      </c>
      <c r="O1486" s="10">
        <f>IFERROR(_xlfn.XLOOKUP(C1486,[1]AttributeName!$C:$C,[1]AttributeName!$B:$B),"")</f>
        <v>10306</v>
      </c>
      <c r="P1486" s="10"/>
      <c r="Q1486">
        <v>0.13</v>
      </c>
      <c r="R1486">
        <v>0.15</v>
      </c>
      <c r="S1486" cm="1">
        <f t="array" ref="S1486">IFERROR(_xlfn.SWITCH(L1486,1,_xlfn.XLOOKUP(O1486,[1]AttributeName!$B:$B,[1]AttributeName!$D:$D),2,_xlfn.XLOOKUP(C1486,#REF!,#REF!),3,_xlfn.XLOOKUP(C1486,#REF!,#REF!)),0)</f>
        <v>2</v>
      </c>
      <c r="T1486" cm="1">
        <f t="array" ref="T1486">IFERROR(_xlfn.SWITCH(L1486,1,_xlfn.XLOOKUP(O1486,[1]AttributeName!$B:$B,[1]AttributeName!$E:$E),2,_xlfn.XLOOKUP(C1486,#REF!,#REF!),3,_xlfn.XLOOKUP(C1486,#REF!,#REF!)),0)</f>
        <v>2</v>
      </c>
    </row>
    <row r="1487" customFormat="1" spans="1:20">
      <c r="A1487">
        <f t="shared" si="63"/>
        <v>609</v>
      </c>
      <c r="B1487">
        <v>6</v>
      </c>
      <c r="C1487" t="s">
        <v>387</v>
      </c>
      <c r="D1487" t="s">
        <v>29</v>
      </c>
      <c r="E1487" t="s">
        <v>378</v>
      </c>
      <c r="F1487"/>
      <c r="G1487">
        <v>1</v>
      </c>
      <c r="H1487">
        <v>1000</v>
      </c>
      <c r="I1487">
        <v>3</v>
      </c>
      <c r="J1487" cm="1">
        <f t="array" ref="J1487">_xlfn.SWITCH(B1487,1,75,2,61,3,49,4,37,5,25,6,13,7,4,8,1)</f>
        <v>13</v>
      </c>
      <c r="K1487" t="str" cm="1">
        <f t="array" ref="K1487">IFERROR(_xlfn.SWITCH(L1487,2,_xlfn.XLOOKUP(C1487,[1]ModifierDes!$B:$B,[1]ModifierDes!$C:$C),3,_xlfn.XLOOKUP(C1487,[1]StuntDes!$B:$B,[1]StuntDes!$C:$C)),"")</f>
        <v/>
      </c>
      <c r="L1487">
        <f t="shared" si="64"/>
        <v>1</v>
      </c>
      <c r="M1487" s="10" t="str">
        <f>IFERROR(_xlfn.XLOOKUP(C1487,[1]StuntDes!$B:$B,[1]StuntDes!$A:$A),"")</f>
        <v/>
      </c>
      <c r="N1487" s="10" t="str">
        <f>IFERROR(_xlfn.XLOOKUP(C1487,[1]ModifierDes!$B:$B,[1]ModifierDes!$A:$A),"")</f>
        <v/>
      </c>
      <c r="O1487" s="10">
        <f>IFERROR(_xlfn.XLOOKUP(C1487,[1]AttributeName!$C:$C,[1]AttributeName!$B:$B),"")</f>
        <v>10306</v>
      </c>
      <c r="P1487" s="10"/>
      <c r="Q1487">
        <v>0.0999999999999999</v>
      </c>
      <c r="R1487">
        <v>0.12</v>
      </c>
      <c r="S1487" cm="1">
        <f t="array" ref="S1487">IFERROR(_xlfn.SWITCH(L1487,1,_xlfn.XLOOKUP(O1487,[1]AttributeName!$B:$B,[1]AttributeName!$D:$D),2,_xlfn.XLOOKUP(C1487,#REF!,#REF!),3,_xlfn.XLOOKUP(C1487,#REF!,#REF!)),0)</f>
        <v>2</v>
      </c>
      <c r="T1487" cm="1">
        <f t="array" ref="T1487">IFERROR(_xlfn.SWITCH(L1487,1,_xlfn.XLOOKUP(O1487,[1]AttributeName!$B:$B,[1]AttributeName!$E:$E),2,_xlfn.XLOOKUP(C1487,#REF!,#REF!),3,_xlfn.XLOOKUP(C1487,#REF!,#REF!)),0)</f>
        <v>2</v>
      </c>
    </row>
    <row r="1488" customFormat="1" spans="1:20">
      <c r="A1488">
        <f t="shared" si="63"/>
        <v>609</v>
      </c>
      <c r="B1488">
        <v>7</v>
      </c>
      <c r="C1488" t="s">
        <v>387</v>
      </c>
      <c r="D1488" t="s">
        <v>29</v>
      </c>
      <c r="E1488" t="s">
        <v>378</v>
      </c>
      <c r="F1488"/>
      <c r="G1488">
        <v>1</v>
      </c>
      <c r="H1488">
        <v>1000</v>
      </c>
      <c r="I1488">
        <v>3</v>
      </c>
      <c r="J1488" cm="1">
        <f t="array" ref="J1488">_xlfn.SWITCH(B1488,1,75,2,61,3,49,4,37,5,25,6,13,7,4,8,1)</f>
        <v>4</v>
      </c>
      <c r="K1488" t="str" cm="1">
        <f t="array" ref="K1488">IFERROR(_xlfn.SWITCH(L1488,2,_xlfn.XLOOKUP(C1488,[1]ModifierDes!$B:$B,[1]ModifierDes!$C:$C),3,_xlfn.XLOOKUP(C1488,[1]StuntDes!$B:$B,[1]StuntDes!$C:$C)),"")</f>
        <v/>
      </c>
      <c r="L1488">
        <f t="shared" si="64"/>
        <v>1</v>
      </c>
      <c r="M1488" s="10" t="str">
        <f>IFERROR(_xlfn.XLOOKUP(C1488,[1]StuntDes!$B:$B,[1]StuntDes!$A:$A),"")</f>
        <v/>
      </c>
      <c r="N1488" s="10" t="str">
        <f>IFERROR(_xlfn.XLOOKUP(C1488,[1]ModifierDes!$B:$B,[1]ModifierDes!$A:$A),"")</f>
        <v/>
      </c>
      <c r="O1488" s="10">
        <f>IFERROR(_xlfn.XLOOKUP(C1488,[1]AttributeName!$C:$C,[1]AttributeName!$B:$B),"")</f>
        <v>10306</v>
      </c>
      <c r="P1488" s="10"/>
      <c r="Q1488">
        <v>0.0699999999999999</v>
      </c>
      <c r="R1488">
        <v>0.09</v>
      </c>
      <c r="S1488" cm="1">
        <f t="array" ref="S1488">IFERROR(_xlfn.SWITCH(L1488,1,_xlfn.XLOOKUP(O1488,[1]AttributeName!$B:$B,[1]AttributeName!$D:$D),2,_xlfn.XLOOKUP(C1488,#REF!,#REF!),3,_xlfn.XLOOKUP(C1488,#REF!,#REF!)),0)</f>
        <v>2</v>
      </c>
      <c r="T1488" cm="1">
        <f t="array" ref="T1488">IFERROR(_xlfn.SWITCH(L1488,1,_xlfn.XLOOKUP(O1488,[1]AttributeName!$B:$B,[1]AttributeName!$E:$E),2,_xlfn.XLOOKUP(C1488,#REF!,#REF!),3,_xlfn.XLOOKUP(C1488,#REF!,#REF!)),0)</f>
        <v>2</v>
      </c>
    </row>
    <row r="1489" customFormat="1" spans="1:20">
      <c r="A1489">
        <f t="shared" si="63"/>
        <v>609</v>
      </c>
      <c r="B1489">
        <v>8</v>
      </c>
      <c r="C1489" t="s">
        <v>387</v>
      </c>
      <c r="D1489" t="s">
        <v>29</v>
      </c>
      <c r="E1489" t="s">
        <v>378</v>
      </c>
      <c r="F1489"/>
      <c r="G1489">
        <v>1</v>
      </c>
      <c r="H1489">
        <v>1000</v>
      </c>
      <c r="I1489">
        <v>3</v>
      </c>
      <c r="J1489" cm="1">
        <f t="array" ref="J1489">_xlfn.SWITCH(B1489,1,75,2,61,3,49,4,37,5,25,6,13,7,4,8,1)</f>
        <v>1</v>
      </c>
      <c r="K1489" t="str" cm="1">
        <f t="array" ref="K1489">IFERROR(_xlfn.SWITCH(L1489,2,_xlfn.XLOOKUP(C1489,[1]ModifierDes!$B:$B,[1]ModifierDes!$C:$C),3,_xlfn.XLOOKUP(C1489,[1]StuntDes!$B:$B,[1]StuntDes!$C:$C)),"")</f>
        <v/>
      </c>
      <c r="L1489">
        <f t="shared" si="64"/>
        <v>1</v>
      </c>
      <c r="M1489" s="10" t="str">
        <f>IFERROR(_xlfn.XLOOKUP(C1489,[1]StuntDes!$B:$B,[1]StuntDes!$A:$A),"")</f>
        <v/>
      </c>
      <c r="N1489" s="10" t="str">
        <f>IFERROR(_xlfn.XLOOKUP(C1489,[1]ModifierDes!$B:$B,[1]ModifierDes!$A:$A),"")</f>
        <v/>
      </c>
      <c r="O1489" s="10">
        <f>IFERROR(_xlfn.XLOOKUP(C1489,[1]AttributeName!$C:$C,[1]AttributeName!$B:$B),"")</f>
        <v>10306</v>
      </c>
      <c r="P1489" s="10"/>
      <c r="Q1489">
        <v>0.0399999999999998</v>
      </c>
      <c r="R1489">
        <v>0.06</v>
      </c>
      <c r="S1489" cm="1">
        <f t="array" ref="S1489">IFERROR(_xlfn.SWITCH(L1489,1,_xlfn.XLOOKUP(O1489,[1]AttributeName!$B:$B,[1]AttributeName!$D:$D),2,_xlfn.XLOOKUP(C1489,#REF!,#REF!),3,_xlfn.XLOOKUP(C1489,#REF!,#REF!)),0)</f>
        <v>2</v>
      </c>
      <c r="T1489" cm="1">
        <f t="array" ref="T1489">IFERROR(_xlfn.SWITCH(L1489,1,_xlfn.XLOOKUP(O1489,[1]AttributeName!$B:$B,[1]AttributeName!$E:$E),2,_xlfn.XLOOKUP(C1489,#REF!,#REF!),3,_xlfn.XLOOKUP(C1489,#REF!,#REF!)),0)</f>
        <v>2</v>
      </c>
    </row>
    <row r="1490" customFormat="1" spans="1:20">
      <c r="A1490">
        <f t="shared" ref="A1490:A1537" si="65">A1482+1</f>
        <v>610</v>
      </c>
      <c r="B1490">
        <v>1</v>
      </c>
      <c r="C1490" t="s">
        <v>388</v>
      </c>
      <c r="D1490" t="s">
        <v>29</v>
      </c>
      <c r="E1490" t="s">
        <v>378</v>
      </c>
      <c r="F1490"/>
      <c r="G1490">
        <v>1</v>
      </c>
      <c r="H1490">
        <v>100</v>
      </c>
      <c r="I1490">
        <v>3</v>
      </c>
      <c r="J1490" cm="1">
        <f t="array" ref="J1490">_xlfn.SWITCH(B1490,1,75,2,61,3,49,4,37,5,25,6,13,7,4,8,1)</f>
        <v>75</v>
      </c>
      <c r="K1490" t="str" cm="1">
        <f t="array" ref="K1490">IFERROR(_xlfn.SWITCH(L1490,2,_xlfn.XLOOKUP(C1490,[1]ModifierDes!$B:$B,[1]ModifierDes!$C:$C),3,_xlfn.XLOOKUP(C1490,[1]StuntDes!$B:$B,[1]StuntDes!$C:$C)),"")</f>
        <v/>
      </c>
      <c r="L1490">
        <f t="shared" si="64"/>
        <v>1</v>
      </c>
      <c r="M1490" s="10" t="str">
        <f>IFERROR(_xlfn.XLOOKUP(C1490,[1]StuntDes!$B:$B,[1]StuntDes!$A:$A),"")</f>
        <v/>
      </c>
      <c r="N1490" s="10" t="str">
        <f>IFERROR(_xlfn.XLOOKUP(C1490,[1]ModifierDes!$B:$B,[1]ModifierDes!$A:$A),"")</f>
        <v/>
      </c>
      <c r="O1490" s="10">
        <f>IFERROR(_xlfn.XLOOKUP(C1490,[1]AttributeName!$C:$C,[1]AttributeName!$B:$B),"")</f>
        <v>10307</v>
      </c>
      <c r="P1490" s="10"/>
      <c r="Q1490">
        <v>0.25</v>
      </c>
      <c r="R1490">
        <v>0.35</v>
      </c>
      <c r="S1490" cm="1">
        <f t="array" ref="S1490">IFERROR(_xlfn.SWITCH(L1490,1,_xlfn.XLOOKUP(O1490,[1]AttributeName!$B:$B,[1]AttributeName!$D:$D),2,_xlfn.XLOOKUP(C1490,#REF!,#REF!),3,_xlfn.XLOOKUP(C1490,#REF!,#REF!)),0)</f>
        <v>2</v>
      </c>
      <c r="T1490" cm="1">
        <f t="array" ref="T1490">IFERROR(_xlfn.SWITCH(L1490,1,_xlfn.XLOOKUP(O1490,[1]AttributeName!$B:$B,[1]AttributeName!$E:$E),2,_xlfn.XLOOKUP(C1490,#REF!,#REF!),3,_xlfn.XLOOKUP(C1490,#REF!,#REF!)),0)</f>
        <v>2</v>
      </c>
    </row>
    <row r="1491" customFormat="1" spans="1:20">
      <c r="A1491">
        <f t="shared" si="65"/>
        <v>610</v>
      </c>
      <c r="B1491">
        <v>2</v>
      </c>
      <c r="C1491" t="s">
        <v>388</v>
      </c>
      <c r="D1491" t="s">
        <v>29</v>
      </c>
      <c r="E1491" t="s">
        <v>378</v>
      </c>
      <c r="F1491"/>
      <c r="G1491">
        <v>1</v>
      </c>
      <c r="H1491">
        <v>200</v>
      </c>
      <c r="I1491">
        <v>3</v>
      </c>
      <c r="J1491" cm="1">
        <f t="array" ref="J1491">_xlfn.SWITCH(B1491,1,75,2,61,3,49,4,37,5,25,6,13,7,4,8,1)</f>
        <v>61</v>
      </c>
      <c r="K1491" t="str" cm="1">
        <f t="array" ref="K1491">IFERROR(_xlfn.SWITCH(L1491,2,_xlfn.XLOOKUP(C1491,[1]ModifierDes!$B:$B,[1]ModifierDes!$C:$C),3,_xlfn.XLOOKUP(C1491,[1]StuntDes!$B:$B,[1]StuntDes!$C:$C)),"")</f>
        <v/>
      </c>
      <c r="L1491">
        <f t="shared" si="64"/>
        <v>1</v>
      </c>
      <c r="M1491" s="10" t="str">
        <f>IFERROR(_xlfn.XLOOKUP(C1491,[1]StuntDes!$B:$B,[1]StuntDes!$A:$A),"")</f>
        <v/>
      </c>
      <c r="N1491" s="10" t="str">
        <f>IFERROR(_xlfn.XLOOKUP(C1491,[1]ModifierDes!$B:$B,[1]ModifierDes!$A:$A),"")</f>
        <v/>
      </c>
      <c r="O1491" s="10">
        <f>IFERROR(_xlfn.XLOOKUP(C1491,[1]AttributeName!$C:$C,[1]AttributeName!$B:$B),"")</f>
        <v>10307</v>
      </c>
      <c r="P1491" s="10"/>
      <c r="Q1491">
        <v>0.22</v>
      </c>
      <c r="R1491">
        <v>0.24</v>
      </c>
      <c r="S1491" cm="1">
        <f t="array" ref="S1491">IFERROR(_xlfn.SWITCH(L1491,1,_xlfn.XLOOKUP(O1491,[1]AttributeName!$B:$B,[1]AttributeName!$D:$D),2,_xlfn.XLOOKUP(C1491,#REF!,#REF!),3,_xlfn.XLOOKUP(C1491,#REF!,#REF!)),0)</f>
        <v>2</v>
      </c>
      <c r="T1491" cm="1">
        <f t="array" ref="T1491">IFERROR(_xlfn.SWITCH(L1491,1,_xlfn.XLOOKUP(O1491,[1]AttributeName!$B:$B,[1]AttributeName!$E:$E),2,_xlfn.XLOOKUP(C1491,#REF!,#REF!),3,_xlfn.XLOOKUP(C1491,#REF!,#REF!)),0)</f>
        <v>2</v>
      </c>
    </row>
    <row r="1492" customFormat="1" spans="1:20">
      <c r="A1492">
        <f t="shared" si="65"/>
        <v>610</v>
      </c>
      <c r="B1492">
        <v>3</v>
      </c>
      <c r="C1492" t="s">
        <v>388</v>
      </c>
      <c r="D1492" t="s">
        <v>29</v>
      </c>
      <c r="E1492" t="s">
        <v>378</v>
      </c>
      <c r="F1492"/>
      <c r="G1492">
        <v>1</v>
      </c>
      <c r="H1492">
        <v>500</v>
      </c>
      <c r="I1492">
        <v>3</v>
      </c>
      <c r="J1492" cm="1">
        <f t="array" ref="J1492">_xlfn.SWITCH(B1492,1,75,2,61,3,49,4,37,5,25,6,13,7,4,8,1)</f>
        <v>49</v>
      </c>
      <c r="K1492" t="str" cm="1">
        <f t="array" ref="K1492">IFERROR(_xlfn.SWITCH(L1492,2,_xlfn.XLOOKUP(C1492,[1]ModifierDes!$B:$B,[1]ModifierDes!$C:$C),3,_xlfn.XLOOKUP(C1492,[1]StuntDes!$B:$B,[1]StuntDes!$C:$C)),"")</f>
        <v/>
      </c>
      <c r="L1492">
        <f t="shared" si="64"/>
        <v>1</v>
      </c>
      <c r="M1492" s="10" t="str">
        <f>IFERROR(_xlfn.XLOOKUP(C1492,[1]StuntDes!$B:$B,[1]StuntDes!$A:$A),"")</f>
        <v/>
      </c>
      <c r="N1492" s="10" t="str">
        <f>IFERROR(_xlfn.XLOOKUP(C1492,[1]ModifierDes!$B:$B,[1]ModifierDes!$A:$A),"")</f>
        <v/>
      </c>
      <c r="O1492" s="10">
        <f>IFERROR(_xlfn.XLOOKUP(C1492,[1]AttributeName!$C:$C,[1]AttributeName!$B:$B),"")</f>
        <v>10307</v>
      </c>
      <c r="P1492" s="10"/>
      <c r="Q1492">
        <v>0.19</v>
      </c>
      <c r="R1492">
        <v>0.21</v>
      </c>
      <c r="S1492" cm="1">
        <f t="array" ref="S1492">IFERROR(_xlfn.SWITCH(L1492,1,_xlfn.XLOOKUP(O1492,[1]AttributeName!$B:$B,[1]AttributeName!$D:$D),2,_xlfn.XLOOKUP(C1492,#REF!,#REF!),3,_xlfn.XLOOKUP(C1492,#REF!,#REF!)),0)</f>
        <v>2</v>
      </c>
      <c r="T1492" cm="1">
        <f t="array" ref="T1492">IFERROR(_xlfn.SWITCH(L1492,1,_xlfn.XLOOKUP(O1492,[1]AttributeName!$B:$B,[1]AttributeName!$E:$E),2,_xlfn.XLOOKUP(C1492,#REF!,#REF!),3,_xlfn.XLOOKUP(C1492,#REF!,#REF!)),0)</f>
        <v>2</v>
      </c>
    </row>
    <row r="1493" customFormat="1" spans="1:20">
      <c r="A1493">
        <f t="shared" si="65"/>
        <v>610</v>
      </c>
      <c r="B1493">
        <v>4</v>
      </c>
      <c r="C1493" t="s">
        <v>388</v>
      </c>
      <c r="D1493" t="s">
        <v>29</v>
      </c>
      <c r="E1493" t="s">
        <v>378</v>
      </c>
      <c r="F1493"/>
      <c r="G1493">
        <v>1</v>
      </c>
      <c r="H1493">
        <v>1000</v>
      </c>
      <c r="I1493">
        <v>3</v>
      </c>
      <c r="J1493" cm="1">
        <f t="array" ref="J1493">_xlfn.SWITCH(B1493,1,75,2,61,3,49,4,37,5,25,6,13,7,4,8,1)</f>
        <v>37</v>
      </c>
      <c r="K1493" t="str" cm="1">
        <f t="array" ref="K1493">IFERROR(_xlfn.SWITCH(L1493,2,_xlfn.XLOOKUP(C1493,[1]ModifierDes!$B:$B,[1]ModifierDes!$C:$C),3,_xlfn.XLOOKUP(C1493,[1]StuntDes!$B:$B,[1]StuntDes!$C:$C)),"")</f>
        <v/>
      </c>
      <c r="L1493">
        <f t="shared" si="64"/>
        <v>1</v>
      </c>
      <c r="M1493" s="10" t="str">
        <f>IFERROR(_xlfn.XLOOKUP(C1493,[1]StuntDes!$B:$B,[1]StuntDes!$A:$A),"")</f>
        <v/>
      </c>
      <c r="N1493" s="10" t="str">
        <f>IFERROR(_xlfn.XLOOKUP(C1493,[1]ModifierDes!$B:$B,[1]ModifierDes!$A:$A),"")</f>
        <v/>
      </c>
      <c r="O1493" s="10">
        <f>IFERROR(_xlfn.XLOOKUP(C1493,[1]AttributeName!$C:$C,[1]AttributeName!$B:$B),"")</f>
        <v>10307</v>
      </c>
      <c r="P1493" s="10"/>
      <c r="Q1493">
        <v>0.16</v>
      </c>
      <c r="R1493">
        <v>0.18</v>
      </c>
      <c r="S1493" cm="1">
        <f t="array" ref="S1493">IFERROR(_xlfn.SWITCH(L1493,1,_xlfn.XLOOKUP(O1493,[1]AttributeName!$B:$B,[1]AttributeName!$D:$D),2,_xlfn.XLOOKUP(C1493,#REF!,#REF!),3,_xlfn.XLOOKUP(C1493,#REF!,#REF!)),0)</f>
        <v>2</v>
      </c>
      <c r="T1493" cm="1">
        <f t="array" ref="T1493">IFERROR(_xlfn.SWITCH(L1493,1,_xlfn.XLOOKUP(O1493,[1]AttributeName!$B:$B,[1]AttributeName!$E:$E),2,_xlfn.XLOOKUP(C1493,#REF!,#REF!),3,_xlfn.XLOOKUP(C1493,#REF!,#REF!)),0)</f>
        <v>2</v>
      </c>
    </row>
    <row r="1494" customFormat="1" spans="1:20">
      <c r="A1494">
        <f t="shared" si="65"/>
        <v>610</v>
      </c>
      <c r="B1494">
        <v>5</v>
      </c>
      <c r="C1494" t="s">
        <v>388</v>
      </c>
      <c r="D1494" t="s">
        <v>29</v>
      </c>
      <c r="E1494" t="s">
        <v>378</v>
      </c>
      <c r="F1494"/>
      <c r="G1494">
        <v>1</v>
      </c>
      <c r="H1494">
        <v>1000</v>
      </c>
      <c r="I1494">
        <v>3</v>
      </c>
      <c r="J1494" cm="1">
        <f t="array" ref="J1494">_xlfn.SWITCH(B1494,1,75,2,61,3,49,4,37,5,25,6,13,7,4,8,1)</f>
        <v>25</v>
      </c>
      <c r="K1494" t="str" cm="1">
        <f t="array" ref="K1494">IFERROR(_xlfn.SWITCH(L1494,2,_xlfn.XLOOKUP(C1494,[1]ModifierDes!$B:$B,[1]ModifierDes!$C:$C),3,_xlfn.XLOOKUP(C1494,[1]StuntDes!$B:$B,[1]StuntDes!$C:$C)),"")</f>
        <v/>
      </c>
      <c r="L1494">
        <f t="shared" si="64"/>
        <v>1</v>
      </c>
      <c r="M1494" s="10" t="str">
        <f>IFERROR(_xlfn.XLOOKUP(C1494,[1]StuntDes!$B:$B,[1]StuntDes!$A:$A),"")</f>
        <v/>
      </c>
      <c r="N1494" s="10" t="str">
        <f>IFERROR(_xlfn.XLOOKUP(C1494,[1]ModifierDes!$B:$B,[1]ModifierDes!$A:$A),"")</f>
        <v/>
      </c>
      <c r="O1494" s="10">
        <f>IFERROR(_xlfn.XLOOKUP(C1494,[1]AttributeName!$C:$C,[1]AttributeName!$B:$B),"")</f>
        <v>10307</v>
      </c>
      <c r="P1494" s="10"/>
      <c r="Q1494">
        <v>0.13</v>
      </c>
      <c r="R1494">
        <v>0.15</v>
      </c>
      <c r="S1494" cm="1">
        <f t="array" ref="S1494">IFERROR(_xlfn.SWITCH(L1494,1,_xlfn.XLOOKUP(O1494,[1]AttributeName!$B:$B,[1]AttributeName!$D:$D),2,_xlfn.XLOOKUP(C1494,#REF!,#REF!),3,_xlfn.XLOOKUP(C1494,#REF!,#REF!)),0)</f>
        <v>2</v>
      </c>
      <c r="T1494" cm="1">
        <f t="array" ref="T1494">IFERROR(_xlfn.SWITCH(L1494,1,_xlfn.XLOOKUP(O1494,[1]AttributeName!$B:$B,[1]AttributeName!$E:$E),2,_xlfn.XLOOKUP(C1494,#REF!,#REF!),3,_xlfn.XLOOKUP(C1494,#REF!,#REF!)),0)</f>
        <v>2</v>
      </c>
    </row>
    <row r="1495" customFormat="1" spans="1:20">
      <c r="A1495">
        <f t="shared" si="65"/>
        <v>610</v>
      </c>
      <c r="B1495">
        <v>6</v>
      </c>
      <c r="C1495" t="s">
        <v>388</v>
      </c>
      <c r="D1495" t="s">
        <v>29</v>
      </c>
      <c r="E1495" t="s">
        <v>378</v>
      </c>
      <c r="F1495"/>
      <c r="G1495">
        <v>1</v>
      </c>
      <c r="H1495">
        <v>1000</v>
      </c>
      <c r="I1495">
        <v>3</v>
      </c>
      <c r="J1495" cm="1">
        <f t="array" ref="J1495">_xlfn.SWITCH(B1495,1,75,2,61,3,49,4,37,5,25,6,13,7,4,8,1)</f>
        <v>13</v>
      </c>
      <c r="K1495" t="str" cm="1">
        <f t="array" ref="K1495">IFERROR(_xlfn.SWITCH(L1495,2,_xlfn.XLOOKUP(C1495,[1]ModifierDes!$B:$B,[1]ModifierDes!$C:$C),3,_xlfn.XLOOKUP(C1495,[1]StuntDes!$B:$B,[1]StuntDes!$C:$C)),"")</f>
        <v/>
      </c>
      <c r="L1495">
        <f t="shared" si="64"/>
        <v>1</v>
      </c>
      <c r="M1495" s="10" t="str">
        <f>IFERROR(_xlfn.XLOOKUP(C1495,[1]StuntDes!$B:$B,[1]StuntDes!$A:$A),"")</f>
        <v/>
      </c>
      <c r="N1495" s="10" t="str">
        <f>IFERROR(_xlfn.XLOOKUP(C1495,[1]ModifierDes!$B:$B,[1]ModifierDes!$A:$A),"")</f>
        <v/>
      </c>
      <c r="O1495" s="10">
        <f>IFERROR(_xlfn.XLOOKUP(C1495,[1]AttributeName!$C:$C,[1]AttributeName!$B:$B),"")</f>
        <v>10307</v>
      </c>
      <c r="P1495" s="10"/>
      <c r="Q1495">
        <v>0.0999999999999999</v>
      </c>
      <c r="R1495">
        <v>0.12</v>
      </c>
      <c r="S1495" cm="1">
        <f t="array" ref="S1495">IFERROR(_xlfn.SWITCH(L1495,1,_xlfn.XLOOKUP(O1495,[1]AttributeName!$B:$B,[1]AttributeName!$D:$D),2,_xlfn.XLOOKUP(C1495,#REF!,#REF!),3,_xlfn.XLOOKUP(C1495,#REF!,#REF!)),0)</f>
        <v>2</v>
      </c>
      <c r="T1495" cm="1">
        <f t="array" ref="T1495">IFERROR(_xlfn.SWITCH(L1495,1,_xlfn.XLOOKUP(O1495,[1]AttributeName!$B:$B,[1]AttributeName!$E:$E),2,_xlfn.XLOOKUP(C1495,#REF!,#REF!),3,_xlfn.XLOOKUP(C1495,#REF!,#REF!)),0)</f>
        <v>2</v>
      </c>
    </row>
    <row r="1496" customFormat="1" spans="1:20">
      <c r="A1496">
        <f t="shared" si="65"/>
        <v>610</v>
      </c>
      <c r="B1496">
        <v>7</v>
      </c>
      <c r="C1496" t="s">
        <v>388</v>
      </c>
      <c r="D1496" t="s">
        <v>29</v>
      </c>
      <c r="E1496" t="s">
        <v>378</v>
      </c>
      <c r="F1496"/>
      <c r="G1496">
        <v>1</v>
      </c>
      <c r="H1496">
        <v>1000</v>
      </c>
      <c r="I1496">
        <v>3</v>
      </c>
      <c r="J1496" cm="1">
        <f t="array" ref="J1496">_xlfn.SWITCH(B1496,1,75,2,61,3,49,4,37,5,25,6,13,7,4,8,1)</f>
        <v>4</v>
      </c>
      <c r="K1496" t="str" cm="1">
        <f t="array" ref="K1496">IFERROR(_xlfn.SWITCH(L1496,2,_xlfn.XLOOKUP(C1496,[1]ModifierDes!$B:$B,[1]ModifierDes!$C:$C),3,_xlfn.XLOOKUP(C1496,[1]StuntDes!$B:$B,[1]StuntDes!$C:$C)),"")</f>
        <v/>
      </c>
      <c r="L1496">
        <f t="shared" si="64"/>
        <v>1</v>
      </c>
      <c r="M1496" s="10" t="str">
        <f>IFERROR(_xlfn.XLOOKUP(C1496,[1]StuntDes!$B:$B,[1]StuntDes!$A:$A),"")</f>
        <v/>
      </c>
      <c r="N1496" s="10" t="str">
        <f>IFERROR(_xlfn.XLOOKUP(C1496,[1]ModifierDes!$B:$B,[1]ModifierDes!$A:$A),"")</f>
        <v/>
      </c>
      <c r="O1496" s="10">
        <f>IFERROR(_xlfn.XLOOKUP(C1496,[1]AttributeName!$C:$C,[1]AttributeName!$B:$B),"")</f>
        <v>10307</v>
      </c>
      <c r="P1496" s="10"/>
      <c r="Q1496">
        <v>0.0699999999999999</v>
      </c>
      <c r="R1496">
        <v>0.09</v>
      </c>
      <c r="S1496" cm="1">
        <f t="array" ref="S1496">IFERROR(_xlfn.SWITCH(L1496,1,_xlfn.XLOOKUP(O1496,[1]AttributeName!$B:$B,[1]AttributeName!$D:$D),2,_xlfn.XLOOKUP(C1496,#REF!,#REF!),3,_xlfn.XLOOKUP(C1496,#REF!,#REF!)),0)</f>
        <v>2</v>
      </c>
      <c r="T1496" cm="1">
        <f t="array" ref="T1496">IFERROR(_xlfn.SWITCH(L1496,1,_xlfn.XLOOKUP(O1496,[1]AttributeName!$B:$B,[1]AttributeName!$E:$E),2,_xlfn.XLOOKUP(C1496,#REF!,#REF!),3,_xlfn.XLOOKUP(C1496,#REF!,#REF!)),0)</f>
        <v>2</v>
      </c>
    </row>
    <row r="1497" customFormat="1" spans="1:20">
      <c r="A1497">
        <f t="shared" si="65"/>
        <v>610</v>
      </c>
      <c r="B1497">
        <v>8</v>
      </c>
      <c r="C1497" t="s">
        <v>388</v>
      </c>
      <c r="D1497" t="s">
        <v>29</v>
      </c>
      <c r="E1497" t="s">
        <v>378</v>
      </c>
      <c r="F1497"/>
      <c r="G1497">
        <v>1</v>
      </c>
      <c r="H1497">
        <v>1000</v>
      </c>
      <c r="I1497">
        <v>3</v>
      </c>
      <c r="J1497" cm="1">
        <f t="array" ref="J1497">_xlfn.SWITCH(B1497,1,75,2,61,3,49,4,37,5,25,6,13,7,4,8,1)</f>
        <v>1</v>
      </c>
      <c r="K1497" t="str" cm="1">
        <f t="array" ref="K1497">IFERROR(_xlfn.SWITCH(L1497,2,_xlfn.XLOOKUP(C1497,[1]ModifierDes!$B:$B,[1]ModifierDes!$C:$C),3,_xlfn.XLOOKUP(C1497,[1]StuntDes!$B:$B,[1]StuntDes!$C:$C)),"")</f>
        <v/>
      </c>
      <c r="L1497">
        <f t="shared" si="64"/>
        <v>1</v>
      </c>
      <c r="M1497" s="10" t="str">
        <f>IFERROR(_xlfn.XLOOKUP(C1497,[1]StuntDes!$B:$B,[1]StuntDes!$A:$A),"")</f>
        <v/>
      </c>
      <c r="N1497" s="10" t="str">
        <f>IFERROR(_xlfn.XLOOKUP(C1497,[1]ModifierDes!$B:$B,[1]ModifierDes!$A:$A),"")</f>
        <v/>
      </c>
      <c r="O1497" s="10">
        <f>IFERROR(_xlfn.XLOOKUP(C1497,[1]AttributeName!$C:$C,[1]AttributeName!$B:$B),"")</f>
        <v>10307</v>
      </c>
      <c r="P1497" s="10"/>
      <c r="Q1497">
        <v>0.0399999999999998</v>
      </c>
      <c r="R1497">
        <v>0.06</v>
      </c>
      <c r="S1497" cm="1">
        <f t="array" ref="S1497">IFERROR(_xlfn.SWITCH(L1497,1,_xlfn.XLOOKUP(O1497,[1]AttributeName!$B:$B,[1]AttributeName!$D:$D),2,_xlfn.XLOOKUP(C1497,#REF!,#REF!),3,_xlfn.XLOOKUP(C1497,#REF!,#REF!)),0)</f>
        <v>2</v>
      </c>
      <c r="T1497" cm="1">
        <f t="array" ref="T1497">IFERROR(_xlfn.SWITCH(L1497,1,_xlfn.XLOOKUP(O1497,[1]AttributeName!$B:$B,[1]AttributeName!$E:$E),2,_xlfn.XLOOKUP(C1497,#REF!,#REF!),3,_xlfn.XLOOKUP(C1497,#REF!,#REF!)),0)</f>
        <v>2</v>
      </c>
    </row>
    <row r="1498" customFormat="1" spans="1:20">
      <c r="A1498">
        <f t="shared" si="65"/>
        <v>611</v>
      </c>
      <c r="B1498">
        <v>1</v>
      </c>
      <c r="C1498" t="s">
        <v>430</v>
      </c>
      <c r="D1498" t="s">
        <v>29</v>
      </c>
      <c r="E1498" t="s">
        <v>378</v>
      </c>
      <c r="F1498"/>
      <c r="G1498">
        <v>1</v>
      </c>
      <c r="H1498">
        <v>250</v>
      </c>
      <c r="J1498" cm="1">
        <f t="array" ref="J1498">_xlfn.SWITCH(B1498,1,75,2,61,3,49,4,37,5,25,6,13,7,4,8,1)</f>
        <v>75</v>
      </c>
      <c r="K1498" t="str" cm="1">
        <f t="array" ref="K1498">IFERROR(_xlfn.SWITCH(L1498,2,_xlfn.XLOOKUP(C1498,[1]ModifierDes!$B:$B,[1]ModifierDes!$C:$C),3,_xlfn.XLOOKUP(C1498,[1]StuntDes!$B:$B,[1]StuntDes!$C:$C)),"")</f>
        <v/>
      </c>
      <c r="L1498">
        <f t="shared" si="64"/>
        <v>1</v>
      </c>
      <c r="M1498" s="10" t="str">
        <f>IFERROR(_xlfn.XLOOKUP(C1498,[1]StuntDes!$B:$B,[1]StuntDes!$A:$A),"")</f>
        <v/>
      </c>
      <c r="N1498" s="10" t="str">
        <f>IFERROR(_xlfn.XLOOKUP(C1498,[1]ModifierDes!$B:$B,[1]ModifierDes!$A:$A),"")</f>
        <v/>
      </c>
      <c r="O1498" s="10">
        <f>IFERROR(_xlfn.XLOOKUP(C1498,[1]AttributeName!$C:$C,[1]AttributeName!$B:$B),"")</f>
        <v>10812</v>
      </c>
      <c r="P1498" s="10"/>
      <c r="Q1498">
        <v>0.08</v>
      </c>
      <c r="R1498">
        <v>0.1</v>
      </c>
      <c r="S1498" cm="1">
        <f t="array" ref="S1498">IFERROR(_xlfn.SWITCH(L1498,1,_xlfn.XLOOKUP(O1498,[1]AttributeName!$B:$B,[1]AttributeName!$D:$D),2,_xlfn.XLOOKUP(C1498,#REF!,#REF!),3,_xlfn.XLOOKUP(C1498,#REF!,#REF!)),0)</f>
        <v>2</v>
      </c>
      <c r="T1498" cm="1">
        <f t="array" ref="T1498">IFERROR(_xlfn.SWITCH(L1498,1,_xlfn.XLOOKUP(O1498,[1]AttributeName!$B:$B,[1]AttributeName!$E:$E),2,_xlfn.XLOOKUP(C1498,#REF!,#REF!),3,_xlfn.XLOOKUP(C1498,#REF!,#REF!)),0)</f>
        <v>2</v>
      </c>
    </row>
    <row r="1499" customFormat="1" spans="1:20">
      <c r="A1499">
        <f t="shared" si="65"/>
        <v>611</v>
      </c>
      <c r="B1499">
        <v>2</v>
      </c>
      <c r="C1499" t="s">
        <v>430</v>
      </c>
      <c r="D1499" t="s">
        <v>29</v>
      </c>
      <c r="E1499" t="s">
        <v>378</v>
      </c>
      <c r="F1499"/>
      <c r="G1499">
        <v>1</v>
      </c>
      <c r="H1499">
        <v>500</v>
      </c>
      <c r="J1499" cm="1">
        <f t="array" ref="J1499">_xlfn.SWITCH(B1499,1,75,2,61,3,49,4,37,5,25,6,13,7,4,8,1)</f>
        <v>61</v>
      </c>
      <c r="K1499" t="str" cm="1">
        <f t="array" ref="K1499">IFERROR(_xlfn.SWITCH(L1499,2,_xlfn.XLOOKUP(C1499,[1]ModifierDes!$B:$B,[1]ModifierDes!$C:$C),3,_xlfn.XLOOKUP(C1499,[1]StuntDes!$B:$B,[1]StuntDes!$C:$C)),"")</f>
        <v/>
      </c>
      <c r="L1499">
        <f t="shared" si="64"/>
        <v>1</v>
      </c>
      <c r="M1499" s="10" t="str">
        <f>IFERROR(_xlfn.XLOOKUP(C1499,[1]StuntDes!$B:$B,[1]StuntDes!$A:$A),"")</f>
        <v/>
      </c>
      <c r="N1499" s="10" t="str">
        <f>IFERROR(_xlfn.XLOOKUP(C1499,[1]ModifierDes!$B:$B,[1]ModifierDes!$A:$A),"")</f>
        <v/>
      </c>
      <c r="O1499" s="10">
        <f>IFERROR(_xlfn.XLOOKUP(C1499,[1]AttributeName!$C:$C,[1]AttributeName!$B:$B),"")</f>
        <v>10812</v>
      </c>
      <c r="P1499" s="10"/>
      <c r="Q1499">
        <v>0.07</v>
      </c>
      <c r="R1499">
        <v>0.07</v>
      </c>
      <c r="S1499" cm="1">
        <f t="array" ref="S1499">IFERROR(_xlfn.SWITCH(L1499,1,_xlfn.XLOOKUP(O1499,[1]AttributeName!$B:$B,[1]AttributeName!$D:$D),2,_xlfn.XLOOKUP(C1499,#REF!,#REF!),3,_xlfn.XLOOKUP(C1499,#REF!,#REF!)),0)</f>
        <v>2</v>
      </c>
      <c r="T1499" cm="1">
        <f t="array" ref="T1499">IFERROR(_xlfn.SWITCH(L1499,1,_xlfn.XLOOKUP(O1499,[1]AttributeName!$B:$B,[1]AttributeName!$E:$E),2,_xlfn.XLOOKUP(C1499,#REF!,#REF!),3,_xlfn.XLOOKUP(C1499,#REF!,#REF!)),0)</f>
        <v>2</v>
      </c>
    </row>
    <row r="1500" customFormat="1" spans="1:20">
      <c r="A1500">
        <f t="shared" si="65"/>
        <v>611</v>
      </c>
      <c r="B1500">
        <v>3</v>
      </c>
      <c r="C1500" t="s">
        <v>430</v>
      </c>
      <c r="D1500" t="s">
        <v>29</v>
      </c>
      <c r="E1500" t="s">
        <v>378</v>
      </c>
      <c r="F1500"/>
      <c r="G1500">
        <v>1</v>
      </c>
      <c r="H1500">
        <v>750</v>
      </c>
      <c r="J1500" cm="1">
        <f t="array" ref="J1500">_xlfn.SWITCH(B1500,1,75,2,61,3,49,4,37,5,25,6,13,7,4,8,1)</f>
        <v>49</v>
      </c>
      <c r="K1500" t="str" cm="1">
        <f t="array" ref="K1500">IFERROR(_xlfn.SWITCH(L1500,2,_xlfn.XLOOKUP(C1500,[1]ModifierDes!$B:$B,[1]ModifierDes!$C:$C),3,_xlfn.XLOOKUP(C1500,[1]StuntDes!$B:$B,[1]StuntDes!$C:$C)),"")</f>
        <v/>
      </c>
      <c r="L1500">
        <f t="shared" si="64"/>
        <v>1</v>
      </c>
      <c r="M1500" s="10" t="str">
        <f>IFERROR(_xlfn.XLOOKUP(C1500,[1]StuntDes!$B:$B,[1]StuntDes!$A:$A),"")</f>
        <v/>
      </c>
      <c r="N1500" s="10" t="str">
        <f>IFERROR(_xlfn.XLOOKUP(C1500,[1]ModifierDes!$B:$B,[1]ModifierDes!$A:$A),"")</f>
        <v/>
      </c>
      <c r="O1500" s="10">
        <f>IFERROR(_xlfn.XLOOKUP(C1500,[1]AttributeName!$C:$C,[1]AttributeName!$B:$B),"")</f>
        <v>10812</v>
      </c>
      <c r="P1500" s="10"/>
      <c r="Q1500">
        <v>0.06</v>
      </c>
      <c r="R1500">
        <v>0.06</v>
      </c>
      <c r="S1500" cm="1">
        <f t="array" ref="S1500">IFERROR(_xlfn.SWITCH(L1500,1,_xlfn.XLOOKUP(O1500,[1]AttributeName!$B:$B,[1]AttributeName!$D:$D),2,_xlfn.XLOOKUP(C1500,#REF!,#REF!),3,_xlfn.XLOOKUP(C1500,#REF!,#REF!)),0)</f>
        <v>2</v>
      </c>
      <c r="T1500" cm="1">
        <f t="array" ref="T1500">IFERROR(_xlfn.SWITCH(L1500,1,_xlfn.XLOOKUP(O1500,[1]AttributeName!$B:$B,[1]AttributeName!$E:$E),2,_xlfn.XLOOKUP(C1500,#REF!,#REF!),3,_xlfn.XLOOKUP(C1500,#REF!,#REF!)),0)</f>
        <v>2</v>
      </c>
    </row>
    <row r="1501" customFormat="1" spans="1:20">
      <c r="A1501">
        <f t="shared" si="65"/>
        <v>611</v>
      </c>
      <c r="B1501">
        <v>4</v>
      </c>
      <c r="C1501" t="s">
        <v>430</v>
      </c>
      <c r="D1501" t="s">
        <v>29</v>
      </c>
      <c r="E1501" t="s">
        <v>378</v>
      </c>
      <c r="F1501"/>
      <c r="G1501">
        <v>1</v>
      </c>
      <c r="H1501">
        <v>1000</v>
      </c>
      <c r="J1501" cm="1">
        <f t="array" ref="J1501">_xlfn.SWITCH(B1501,1,75,2,61,3,49,4,37,5,25,6,13,7,4,8,1)</f>
        <v>37</v>
      </c>
      <c r="K1501" t="str" cm="1">
        <f t="array" ref="K1501">IFERROR(_xlfn.SWITCH(L1501,2,_xlfn.XLOOKUP(C1501,[1]ModifierDes!$B:$B,[1]ModifierDes!$C:$C),3,_xlfn.XLOOKUP(C1501,[1]StuntDes!$B:$B,[1]StuntDes!$C:$C)),"")</f>
        <v/>
      </c>
      <c r="L1501">
        <f t="shared" si="64"/>
        <v>1</v>
      </c>
      <c r="M1501" s="10" t="str">
        <f>IFERROR(_xlfn.XLOOKUP(C1501,[1]StuntDes!$B:$B,[1]StuntDes!$A:$A),"")</f>
        <v/>
      </c>
      <c r="N1501" s="10" t="str">
        <f>IFERROR(_xlfn.XLOOKUP(C1501,[1]ModifierDes!$B:$B,[1]ModifierDes!$A:$A),"")</f>
        <v/>
      </c>
      <c r="O1501" s="10">
        <f>IFERROR(_xlfn.XLOOKUP(C1501,[1]AttributeName!$C:$C,[1]AttributeName!$B:$B),"")</f>
        <v>10812</v>
      </c>
      <c r="P1501" s="10"/>
      <c r="Q1501">
        <v>0.05</v>
      </c>
      <c r="R1501">
        <v>0.05</v>
      </c>
      <c r="S1501" cm="1">
        <f t="array" ref="S1501">IFERROR(_xlfn.SWITCH(L1501,1,_xlfn.XLOOKUP(O1501,[1]AttributeName!$B:$B,[1]AttributeName!$D:$D),2,_xlfn.XLOOKUP(C1501,#REF!,#REF!),3,_xlfn.XLOOKUP(C1501,#REF!,#REF!)),0)</f>
        <v>2</v>
      </c>
      <c r="T1501" cm="1">
        <f t="array" ref="T1501">IFERROR(_xlfn.SWITCH(L1501,1,_xlfn.XLOOKUP(O1501,[1]AttributeName!$B:$B,[1]AttributeName!$E:$E),2,_xlfn.XLOOKUP(C1501,#REF!,#REF!),3,_xlfn.XLOOKUP(C1501,#REF!,#REF!)),0)</f>
        <v>2</v>
      </c>
    </row>
    <row r="1502" customFormat="1" spans="1:20">
      <c r="A1502">
        <f t="shared" si="65"/>
        <v>611</v>
      </c>
      <c r="B1502">
        <v>5</v>
      </c>
      <c r="C1502" t="s">
        <v>430</v>
      </c>
      <c r="D1502" t="s">
        <v>29</v>
      </c>
      <c r="E1502" t="s">
        <v>378</v>
      </c>
      <c r="F1502"/>
      <c r="G1502">
        <v>1</v>
      </c>
      <c r="H1502">
        <v>1000</v>
      </c>
      <c r="J1502" cm="1">
        <f t="array" ref="J1502">_xlfn.SWITCH(B1502,1,75,2,61,3,49,4,37,5,25,6,13,7,4,8,1)</f>
        <v>25</v>
      </c>
      <c r="K1502" t="str" cm="1">
        <f t="array" ref="K1502">IFERROR(_xlfn.SWITCH(L1502,2,_xlfn.XLOOKUP(C1502,[1]ModifierDes!$B:$B,[1]ModifierDes!$C:$C),3,_xlfn.XLOOKUP(C1502,[1]StuntDes!$B:$B,[1]StuntDes!$C:$C)),"")</f>
        <v/>
      </c>
      <c r="L1502">
        <f t="shared" si="64"/>
        <v>1</v>
      </c>
      <c r="M1502" s="10" t="str">
        <f>IFERROR(_xlfn.XLOOKUP(C1502,[1]StuntDes!$B:$B,[1]StuntDes!$A:$A),"")</f>
        <v/>
      </c>
      <c r="N1502" s="10" t="str">
        <f>IFERROR(_xlfn.XLOOKUP(C1502,[1]ModifierDes!$B:$B,[1]ModifierDes!$A:$A),"")</f>
        <v/>
      </c>
      <c r="O1502" s="10">
        <f>IFERROR(_xlfn.XLOOKUP(C1502,[1]AttributeName!$C:$C,[1]AttributeName!$B:$B),"")</f>
        <v>10812</v>
      </c>
      <c r="P1502" s="10"/>
      <c r="Q1502">
        <v>0.04</v>
      </c>
      <c r="R1502">
        <v>0.04</v>
      </c>
      <c r="S1502" cm="1">
        <f t="array" ref="S1502">IFERROR(_xlfn.SWITCH(L1502,1,_xlfn.XLOOKUP(O1502,[1]AttributeName!$B:$B,[1]AttributeName!$D:$D),2,_xlfn.XLOOKUP(C1502,#REF!,#REF!),3,_xlfn.XLOOKUP(C1502,#REF!,#REF!)),0)</f>
        <v>2</v>
      </c>
      <c r="T1502" cm="1">
        <f t="array" ref="T1502">IFERROR(_xlfn.SWITCH(L1502,1,_xlfn.XLOOKUP(O1502,[1]AttributeName!$B:$B,[1]AttributeName!$E:$E),2,_xlfn.XLOOKUP(C1502,#REF!,#REF!),3,_xlfn.XLOOKUP(C1502,#REF!,#REF!)),0)</f>
        <v>2</v>
      </c>
    </row>
    <row r="1503" customFormat="1" spans="1:20">
      <c r="A1503">
        <f t="shared" si="65"/>
        <v>611</v>
      </c>
      <c r="B1503">
        <v>6</v>
      </c>
      <c r="C1503" t="s">
        <v>430</v>
      </c>
      <c r="D1503" t="s">
        <v>29</v>
      </c>
      <c r="E1503" t="s">
        <v>378</v>
      </c>
      <c r="F1503"/>
      <c r="G1503">
        <v>1</v>
      </c>
      <c r="H1503">
        <v>1000</v>
      </c>
      <c r="J1503" cm="1">
        <f t="array" ref="J1503">_xlfn.SWITCH(B1503,1,75,2,61,3,49,4,37,5,25,6,13,7,4,8,1)</f>
        <v>13</v>
      </c>
      <c r="K1503" t="str" cm="1">
        <f t="array" ref="K1503">IFERROR(_xlfn.SWITCH(L1503,2,_xlfn.XLOOKUP(C1503,[1]ModifierDes!$B:$B,[1]ModifierDes!$C:$C),3,_xlfn.XLOOKUP(C1503,[1]StuntDes!$B:$B,[1]StuntDes!$C:$C)),"")</f>
        <v/>
      </c>
      <c r="L1503">
        <f t="shared" si="64"/>
        <v>1</v>
      </c>
      <c r="M1503" s="10" t="str">
        <f>IFERROR(_xlfn.XLOOKUP(C1503,[1]StuntDes!$B:$B,[1]StuntDes!$A:$A),"")</f>
        <v/>
      </c>
      <c r="N1503" s="10" t="str">
        <f>IFERROR(_xlfn.XLOOKUP(C1503,[1]ModifierDes!$B:$B,[1]ModifierDes!$A:$A),"")</f>
        <v/>
      </c>
      <c r="O1503" s="10">
        <f>IFERROR(_xlfn.XLOOKUP(C1503,[1]AttributeName!$C:$C,[1]AttributeName!$B:$B),"")</f>
        <v>10812</v>
      </c>
      <c r="P1503" s="10"/>
      <c r="Q1503">
        <v>0.03</v>
      </c>
      <c r="R1503">
        <v>0.03</v>
      </c>
      <c r="S1503" cm="1">
        <f t="array" ref="S1503">IFERROR(_xlfn.SWITCH(L1503,1,_xlfn.XLOOKUP(O1503,[1]AttributeName!$B:$B,[1]AttributeName!$D:$D),2,_xlfn.XLOOKUP(C1503,#REF!,#REF!),3,_xlfn.XLOOKUP(C1503,#REF!,#REF!)),0)</f>
        <v>2</v>
      </c>
      <c r="T1503" cm="1">
        <f t="array" ref="T1503">IFERROR(_xlfn.SWITCH(L1503,1,_xlfn.XLOOKUP(O1503,[1]AttributeName!$B:$B,[1]AttributeName!$E:$E),2,_xlfn.XLOOKUP(C1503,#REF!,#REF!),3,_xlfn.XLOOKUP(C1503,#REF!,#REF!)),0)</f>
        <v>2</v>
      </c>
    </row>
    <row r="1504" customFormat="1" spans="1:20">
      <c r="A1504">
        <f t="shared" si="65"/>
        <v>611</v>
      </c>
      <c r="B1504">
        <v>7</v>
      </c>
      <c r="C1504" t="s">
        <v>430</v>
      </c>
      <c r="D1504" t="s">
        <v>29</v>
      </c>
      <c r="E1504" t="s">
        <v>378</v>
      </c>
      <c r="F1504"/>
      <c r="G1504">
        <v>1</v>
      </c>
      <c r="H1504">
        <v>1000</v>
      </c>
      <c r="J1504" cm="1">
        <f t="array" ref="J1504">_xlfn.SWITCH(B1504,1,75,2,61,3,49,4,37,5,25,6,13,7,4,8,1)</f>
        <v>4</v>
      </c>
      <c r="K1504" t="str" cm="1">
        <f t="array" ref="K1504">IFERROR(_xlfn.SWITCH(L1504,2,_xlfn.XLOOKUP(C1504,[1]ModifierDes!$B:$B,[1]ModifierDes!$C:$C),3,_xlfn.XLOOKUP(C1504,[1]StuntDes!$B:$B,[1]StuntDes!$C:$C)),"")</f>
        <v/>
      </c>
      <c r="L1504">
        <f t="shared" si="64"/>
        <v>1</v>
      </c>
      <c r="M1504" s="10" t="str">
        <f>IFERROR(_xlfn.XLOOKUP(C1504,[1]StuntDes!$B:$B,[1]StuntDes!$A:$A),"")</f>
        <v/>
      </c>
      <c r="N1504" s="10" t="str">
        <f>IFERROR(_xlfn.XLOOKUP(C1504,[1]ModifierDes!$B:$B,[1]ModifierDes!$A:$A),"")</f>
        <v/>
      </c>
      <c r="O1504" s="10">
        <f>IFERROR(_xlfn.XLOOKUP(C1504,[1]AttributeName!$C:$C,[1]AttributeName!$B:$B),"")</f>
        <v>10812</v>
      </c>
      <c r="P1504" s="10"/>
      <c r="Q1504">
        <v>0.02</v>
      </c>
      <c r="R1504">
        <v>0.02</v>
      </c>
      <c r="S1504" cm="1">
        <f t="array" ref="S1504">IFERROR(_xlfn.SWITCH(L1504,1,_xlfn.XLOOKUP(O1504,[1]AttributeName!$B:$B,[1]AttributeName!$D:$D),2,_xlfn.XLOOKUP(C1504,#REF!,#REF!),3,_xlfn.XLOOKUP(C1504,#REF!,#REF!)),0)</f>
        <v>2</v>
      </c>
      <c r="T1504" cm="1">
        <f t="array" ref="T1504">IFERROR(_xlfn.SWITCH(L1504,1,_xlfn.XLOOKUP(O1504,[1]AttributeName!$B:$B,[1]AttributeName!$E:$E),2,_xlfn.XLOOKUP(C1504,#REF!,#REF!),3,_xlfn.XLOOKUP(C1504,#REF!,#REF!)),0)</f>
        <v>2</v>
      </c>
    </row>
    <row r="1505" customFormat="1" spans="1:20">
      <c r="A1505">
        <f t="shared" si="65"/>
        <v>611</v>
      </c>
      <c r="B1505">
        <v>8</v>
      </c>
      <c r="C1505" t="s">
        <v>430</v>
      </c>
      <c r="D1505" t="s">
        <v>29</v>
      </c>
      <c r="E1505" t="s">
        <v>378</v>
      </c>
      <c r="F1505"/>
      <c r="G1505">
        <v>1</v>
      </c>
      <c r="H1505">
        <v>1000</v>
      </c>
      <c r="J1505" cm="1">
        <f t="array" ref="J1505">_xlfn.SWITCH(B1505,1,75,2,61,3,49,4,37,5,25,6,13,7,4,8,1)</f>
        <v>1</v>
      </c>
      <c r="K1505" t="str" cm="1">
        <f t="array" ref="K1505">IFERROR(_xlfn.SWITCH(L1505,2,_xlfn.XLOOKUP(C1505,[1]ModifierDes!$B:$B,[1]ModifierDes!$C:$C),3,_xlfn.XLOOKUP(C1505,[1]StuntDes!$B:$B,[1]StuntDes!$C:$C)),"")</f>
        <v/>
      </c>
      <c r="L1505">
        <f t="shared" si="64"/>
        <v>1</v>
      </c>
      <c r="M1505" s="10" t="str">
        <f>IFERROR(_xlfn.XLOOKUP(C1505,[1]StuntDes!$B:$B,[1]StuntDes!$A:$A),"")</f>
        <v/>
      </c>
      <c r="N1505" s="10" t="str">
        <f>IFERROR(_xlfn.XLOOKUP(C1505,[1]ModifierDes!$B:$B,[1]ModifierDes!$A:$A),"")</f>
        <v/>
      </c>
      <c r="O1505" s="10">
        <f>IFERROR(_xlfn.XLOOKUP(C1505,[1]AttributeName!$C:$C,[1]AttributeName!$B:$B),"")</f>
        <v>10812</v>
      </c>
      <c r="P1505" s="10"/>
      <c r="Q1505">
        <v>0.01</v>
      </c>
      <c r="R1505">
        <v>0.01</v>
      </c>
      <c r="S1505" cm="1">
        <f t="array" ref="S1505">IFERROR(_xlfn.SWITCH(L1505,1,_xlfn.XLOOKUP(O1505,[1]AttributeName!$B:$B,[1]AttributeName!$D:$D),2,_xlfn.XLOOKUP(C1505,#REF!,#REF!),3,_xlfn.XLOOKUP(C1505,#REF!,#REF!)),0)</f>
        <v>2</v>
      </c>
      <c r="T1505" cm="1">
        <f t="array" ref="T1505">IFERROR(_xlfn.SWITCH(L1505,1,_xlfn.XLOOKUP(O1505,[1]AttributeName!$B:$B,[1]AttributeName!$E:$E),2,_xlfn.XLOOKUP(C1505,#REF!,#REF!),3,_xlfn.XLOOKUP(C1505,#REF!,#REF!)),0)</f>
        <v>2</v>
      </c>
    </row>
    <row r="1506" customFormat="1" spans="1:20">
      <c r="A1506">
        <f t="shared" si="65"/>
        <v>612</v>
      </c>
      <c r="B1506">
        <v>1</v>
      </c>
      <c r="C1506" t="s">
        <v>431</v>
      </c>
      <c r="D1506" t="s">
        <v>29</v>
      </c>
      <c r="E1506" t="s">
        <v>378</v>
      </c>
      <c r="F1506"/>
      <c r="G1506">
        <v>1</v>
      </c>
      <c r="H1506">
        <v>250</v>
      </c>
      <c r="J1506" cm="1">
        <f t="array" ref="J1506">_xlfn.SWITCH(B1506,1,75,2,61,3,49,4,37,5,25,6,13,7,4,8,1)</f>
        <v>75</v>
      </c>
      <c r="K1506" t="str" cm="1">
        <f t="array" ref="K1506">IFERROR(_xlfn.SWITCH(L1506,2,_xlfn.XLOOKUP(C1506,[1]ModifierDes!$B:$B,[1]ModifierDes!$C:$C),3,_xlfn.XLOOKUP(C1506,[1]StuntDes!$B:$B,[1]StuntDes!$C:$C)),"")</f>
        <v/>
      </c>
      <c r="L1506">
        <f t="shared" si="64"/>
        <v>1</v>
      </c>
      <c r="M1506" s="10" t="str">
        <f>IFERROR(_xlfn.XLOOKUP(C1506,[1]StuntDes!$B:$B,[1]StuntDes!$A:$A),"")</f>
        <v/>
      </c>
      <c r="N1506" s="10" t="str">
        <f>IFERROR(_xlfn.XLOOKUP(C1506,[1]ModifierDes!$B:$B,[1]ModifierDes!$A:$A),"")</f>
        <v/>
      </c>
      <c r="O1506" s="10">
        <f>IFERROR(_xlfn.XLOOKUP(C1506,[1]AttributeName!$C:$C,[1]AttributeName!$B:$B),"")</f>
        <v>10813</v>
      </c>
      <c r="P1506" s="10"/>
      <c r="Q1506">
        <v>0.08</v>
      </c>
      <c r="R1506">
        <v>0.1</v>
      </c>
      <c r="S1506" cm="1">
        <f t="array" ref="S1506">IFERROR(_xlfn.SWITCH(L1506,1,_xlfn.XLOOKUP(O1506,[1]AttributeName!$B:$B,[1]AttributeName!$D:$D),2,_xlfn.XLOOKUP(C1506,#REF!,#REF!),3,_xlfn.XLOOKUP(C1506,#REF!,#REF!)),0)</f>
        <v>2</v>
      </c>
      <c r="T1506" cm="1">
        <f t="array" ref="T1506">IFERROR(_xlfn.SWITCH(L1506,1,_xlfn.XLOOKUP(O1506,[1]AttributeName!$B:$B,[1]AttributeName!$E:$E),2,_xlfn.XLOOKUP(C1506,#REF!,#REF!),3,_xlfn.XLOOKUP(C1506,#REF!,#REF!)),0)</f>
        <v>2</v>
      </c>
    </row>
    <row r="1507" customFormat="1" spans="1:20">
      <c r="A1507">
        <f t="shared" si="65"/>
        <v>612</v>
      </c>
      <c r="B1507">
        <v>2</v>
      </c>
      <c r="C1507" t="s">
        <v>431</v>
      </c>
      <c r="D1507" t="s">
        <v>29</v>
      </c>
      <c r="E1507" t="s">
        <v>378</v>
      </c>
      <c r="F1507"/>
      <c r="G1507">
        <v>1</v>
      </c>
      <c r="H1507">
        <v>500</v>
      </c>
      <c r="J1507" cm="1">
        <f t="array" ref="J1507">_xlfn.SWITCH(B1507,1,75,2,61,3,49,4,37,5,25,6,13,7,4,8,1)</f>
        <v>61</v>
      </c>
      <c r="K1507" t="str" cm="1">
        <f t="array" ref="K1507">IFERROR(_xlfn.SWITCH(L1507,2,_xlfn.XLOOKUP(C1507,[1]ModifierDes!$B:$B,[1]ModifierDes!$C:$C),3,_xlfn.XLOOKUP(C1507,[1]StuntDes!$B:$B,[1]StuntDes!$C:$C)),"")</f>
        <v/>
      </c>
      <c r="L1507">
        <f t="shared" si="64"/>
        <v>1</v>
      </c>
      <c r="M1507" s="10" t="str">
        <f>IFERROR(_xlfn.XLOOKUP(C1507,[1]StuntDes!$B:$B,[1]StuntDes!$A:$A),"")</f>
        <v/>
      </c>
      <c r="N1507" s="10" t="str">
        <f>IFERROR(_xlfn.XLOOKUP(C1507,[1]ModifierDes!$B:$B,[1]ModifierDes!$A:$A),"")</f>
        <v/>
      </c>
      <c r="O1507" s="10">
        <f>IFERROR(_xlfn.XLOOKUP(C1507,[1]AttributeName!$C:$C,[1]AttributeName!$B:$B),"")</f>
        <v>10813</v>
      </c>
      <c r="P1507" s="10"/>
      <c r="Q1507">
        <v>0.07</v>
      </c>
      <c r="R1507">
        <v>0.07</v>
      </c>
      <c r="S1507" cm="1">
        <f t="array" ref="S1507">IFERROR(_xlfn.SWITCH(L1507,1,_xlfn.XLOOKUP(O1507,[1]AttributeName!$B:$B,[1]AttributeName!$D:$D),2,_xlfn.XLOOKUP(C1507,#REF!,#REF!),3,_xlfn.XLOOKUP(C1507,#REF!,#REF!)),0)</f>
        <v>2</v>
      </c>
      <c r="T1507" cm="1">
        <f t="array" ref="T1507">IFERROR(_xlfn.SWITCH(L1507,1,_xlfn.XLOOKUP(O1507,[1]AttributeName!$B:$B,[1]AttributeName!$E:$E),2,_xlfn.XLOOKUP(C1507,#REF!,#REF!),3,_xlfn.XLOOKUP(C1507,#REF!,#REF!)),0)</f>
        <v>2</v>
      </c>
    </row>
    <row r="1508" customFormat="1" spans="1:20">
      <c r="A1508">
        <f t="shared" si="65"/>
        <v>612</v>
      </c>
      <c r="B1508">
        <v>3</v>
      </c>
      <c r="C1508" t="s">
        <v>431</v>
      </c>
      <c r="D1508" t="s">
        <v>29</v>
      </c>
      <c r="E1508" t="s">
        <v>378</v>
      </c>
      <c r="F1508"/>
      <c r="G1508">
        <v>1</v>
      </c>
      <c r="H1508">
        <v>750</v>
      </c>
      <c r="J1508" cm="1">
        <f t="array" ref="J1508">_xlfn.SWITCH(B1508,1,75,2,61,3,49,4,37,5,25,6,13,7,4,8,1)</f>
        <v>49</v>
      </c>
      <c r="K1508" t="str" cm="1">
        <f t="array" ref="K1508">IFERROR(_xlfn.SWITCH(L1508,2,_xlfn.XLOOKUP(C1508,[1]ModifierDes!$B:$B,[1]ModifierDes!$C:$C),3,_xlfn.XLOOKUP(C1508,[1]StuntDes!$B:$B,[1]StuntDes!$C:$C)),"")</f>
        <v/>
      </c>
      <c r="L1508">
        <f t="shared" si="64"/>
        <v>1</v>
      </c>
      <c r="M1508" s="10" t="str">
        <f>IFERROR(_xlfn.XLOOKUP(C1508,[1]StuntDes!$B:$B,[1]StuntDes!$A:$A),"")</f>
        <v/>
      </c>
      <c r="N1508" s="10" t="str">
        <f>IFERROR(_xlfn.XLOOKUP(C1508,[1]ModifierDes!$B:$B,[1]ModifierDes!$A:$A),"")</f>
        <v/>
      </c>
      <c r="O1508" s="10">
        <f>IFERROR(_xlfn.XLOOKUP(C1508,[1]AttributeName!$C:$C,[1]AttributeName!$B:$B),"")</f>
        <v>10813</v>
      </c>
      <c r="P1508" s="10"/>
      <c r="Q1508">
        <v>0.06</v>
      </c>
      <c r="R1508">
        <v>0.06</v>
      </c>
      <c r="S1508" cm="1">
        <f t="array" ref="S1508">IFERROR(_xlfn.SWITCH(L1508,1,_xlfn.XLOOKUP(O1508,[1]AttributeName!$B:$B,[1]AttributeName!$D:$D),2,_xlfn.XLOOKUP(C1508,#REF!,#REF!),3,_xlfn.XLOOKUP(C1508,#REF!,#REF!)),0)</f>
        <v>2</v>
      </c>
      <c r="T1508" cm="1">
        <f t="array" ref="T1508">IFERROR(_xlfn.SWITCH(L1508,1,_xlfn.XLOOKUP(O1508,[1]AttributeName!$B:$B,[1]AttributeName!$E:$E),2,_xlfn.XLOOKUP(C1508,#REF!,#REF!),3,_xlfn.XLOOKUP(C1508,#REF!,#REF!)),0)</f>
        <v>2</v>
      </c>
    </row>
    <row r="1509" customFormat="1" spans="1:20">
      <c r="A1509">
        <f t="shared" si="65"/>
        <v>612</v>
      </c>
      <c r="B1509">
        <v>4</v>
      </c>
      <c r="C1509" t="s">
        <v>431</v>
      </c>
      <c r="D1509" t="s">
        <v>29</v>
      </c>
      <c r="E1509" t="s">
        <v>378</v>
      </c>
      <c r="F1509"/>
      <c r="G1509">
        <v>1</v>
      </c>
      <c r="H1509">
        <v>1000</v>
      </c>
      <c r="J1509" cm="1">
        <f t="array" ref="J1509">_xlfn.SWITCH(B1509,1,75,2,61,3,49,4,37,5,25,6,13,7,4,8,1)</f>
        <v>37</v>
      </c>
      <c r="K1509" t="str" cm="1">
        <f t="array" ref="K1509">IFERROR(_xlfn.SWITCH(L1509,2,_xlfn.XLOOKUP(C1509,[1]ModifierDes!$B:$B,[1]ModifierDes!$C:$C),3,_xlfn.XLOOKUP(C1509,[1]StuntDes!$B:$B,[1]StuntDes!$C:$C)),"")</f>
        <v/>
      </c>
      <c r="L1509">
        <f t="shared" si="64"/>
        <v>1</v>
      </c>
      <c r="M1509" s="10" t="str">
        <f>IFERROR(_xlfn.XLOOKUP(C1509,[1]StuntDes!$B:$B,[1]StuntDes!$A:$A),"")</f>
        <v/>
      </c>
      <c r="N1509" s="10" t="str">
        <f>IFERROR(_xlfn.XLOOKUP(C1509,[1]ModifierDes!$B:$B,[1]ModifierDes!$A:$A),"")</f>
        <v/>
      </c>
      <c r="O1509" s="10">
        <f>IFERROR(_xlfn.XLOOKUP(C1509,[1]AttributeName!$C:$C,[1]AttributeName!$B:$B),"")</f>
        <v>10813</v>
      </c>
      <c r="P1509" s="10"/>
      <c r="Q1509">
        <v>0.05</v>
      </c>
      <c r="R1509">
        <v>0.05</v>
      </c>
      <c r="S1509" cm="1">
        <f t="array" ref="S1509">IFERROR(_xlfn.SWITCH(L1509,1,_xlfn.XLOOKUP(O1509,[1]AttributeName!$B:$B,[1]AttributeName!$D:$D),2,_xlfn.XLOOKUP(C1509,#REF!,#REF!),3,_xlfn.XLOOKUP(C1509,#REF!,#REF!)),0)</f>
        <v>2</v>
      </c>
      <c r="T1509" cm="1">
        <f t="array" ref="T1509">IFERROR(_xlfn.SWITCH(L1509,1,_xlfn.XLOOKUP(O1509,[1]AttributeName!$B:$B,[1]AttributeName!$E:$E),2,_xlfn.XLOOKUP(C1509,#REF!,#REF!),3,_xlfn.XLOOKUP(C1509,#REF!,#REF!)),0)</f>
        <v>2</v>
      </c>
    </row>
    <row r="1510" customFormat="1" spans="1:20">
      <c r="A1510">
        <f t="shared" si="65"/>
        <v>612</v>
      </c>
      <c r="B1510">
        <v>5</v>
      </c>
      <c r="C1510" t="s">
        <v>431</v>
      </c>
      <c r="D1510" t="s">
        <v>29</v>
      </c>
      <c r="E1510" t="s">
        <v>378</v>
      </c>
      <c r="F1510"/>
      <c r="G1510">
        <v>1</v>
      </c>
      <c r="H1510">
        <v>1000</v>
      </c>
      <c r="J1510" cm="1">
        <f t="array" ref="J1510">_xlfn.SWITCH(B1510,1,75,2,61,3,49,4,37,5,25,6,13,7,4,8,1)</f>
        <v>25</v>
      </c>
      <c r="K1510" t="str" cm="1">
        <f t="array" ref="K1510">IFERROR(_xlfn.SWITCH(L1510,2,_xlfn.XLOOKUP(C1510,[1]ModifierDes!$B:$B,[1]ModifierDes!$C:$C),3,_xlfn.XLOOKUP(C1510,[1]StuntDes!$B:$B,[1]StuntDes!$C:$C)),"")</f>
        <v/>
      </c>
      <c r="L1510">
        <f t="shared" si="64"/>
        <v>1</v>
      </c>
      <c r="M1510" s="10" t="str">
        <f>IFERROR(_xlfn.XLOOKUP(C1510,[1]StuntDes!$B:$B,[1]StuntDes!$A:$A),"")</f>
        <v/>
      </c>
      <c r="N1510" s="10" t="str">
        <f>IFERROR(_xlfn.XLOOKUP(C1510,[1]ModifierDes!$B:$B,[1]ModifierDes!$A:$A),"")</f>
        <v/>
      </c>
      <c r="O1510" s="10">
        <f>IFERROR(_xlfn.XLOOKUP(C1510,[1]AttributeName!$C:$C,[1]AttributeName!$B:$B),"")</f>
        <v>10813</v>
      </c>
      <c r="P1510" s="10"/>
      <c r="Q1510">
        <v>0.04</v>
      </c>
      <c r="R1510">
        <v>0.04</v>
      </c>
      <c r="S1510" cm="1">
        <f t="array" ref="S1510">IFERROR(_xlfn.SWITCH(L1510,1,_xlfn.XLOOKUP(O1510,[1]AttributeName!$B:$B,[1]AttributeName!$D:$D),2,_xlfn.XLOOKUP(C1510,#REF!,#REF!),3,_xlfn.XLOOKUP(C1510,#REF!,#REF!)),0)</f>
        <v>2</v>
      </c>
      <c r="T1510" cm="1">
        <f t="array" ref="T1510">IFERROR(_xlfn.SWITCH(L1510,1,_xlfn.XLOOKUP(O1510,[1]AttributeName!$B:$B,[1]AttributeName!$E:$E),2,_xlfn.XLOOKUP(C1510,#REF!,#REF!),3,_xlfn.XLOOKUP(C1510,#REF!,#REF!)),0)</f>
        <v>2</v>
      </c>
    </row>
    <row r="1511" customFormat="1" spans="1:20">
      <c r="A1511">
        <f t="shared" si="65"/>
        <v>612</v>
      </c>
      <c r="B1511">
        <v>6</v>
      </c>
      <c r="C1511" t="s">
        <v>431</v>
      </c>
      <c r="D1511" t="s">
        <v>29</v>
      </c>
      <c r="E1511" t="s">
        <v>378</v>
      </c>
      <c r="F1511"/>
      <c r="G1511">
        <v>1</v>
      </c>
      <c r="H1511">
        <v>1000</v>
      </c>
      <c r="J1511" cm="1">
        <f t="array" ref="J1511">_xlfn.SWITCH(B1511,1,75,2,61,3,49,4,37,5,25,6,13,7,4,8,1)</f>
        <v>13</v>
      </c>
      <c r="K1511" t="str" cm="1">
        <f t="array" ref="K1511">IFERROR(_xlfn.SWITCH(L1511,2,_xlfn.XLOOKUP(C1511,[1]ModifierDes!$B:$B,[1]ModifierDes!$C:$C),3,_xlfn.XLOOKUP(C1511,[1]StuntDes!$B:$B,[1]StuntDes!$C:$C)),"")</f>
        <v/>
      </c>
      <c r="L1511">
        <f t="shared" si="64"/>
        <v>1</v>
      </c>
      <c r="M1511" s="10" t="str">
        <f>IFERROR(_xlfn.XLOOKUP(C1511,[1]StuntDes!$B:$B,[1]StuntDes!$A:$A),"")</f>
        <v/>
      </c>
      <c r="N1511" s="10" t="str">
        <f>IFERROR(_xlfn.XLOOKUP(C1511,[1]ModifierDes!$B:$B,[1]ModifierDes!$A:$A),"")</f>
        <v/>
      </c>
      <c r="O1511" s="10">
        <f>IFERROR(_xlfn.XLOOKUP(C1511,[1]AttributeName!$C:$C,[1]AttributeName!$B:$B),"")</f>
        <v>10813</v>
      </c>
      <c r="P1511" s="10"/>
      <c r="Q1511">
        <v>0.03</v>
      </c>
      <c r="R1511">
        <v>0.03</v>
      </c>
      <c r="S1511" cm="1">
        <f t="array" ref="S1511">IFERROR(_xlfn.SWITCH(L1511,1,_xlfn.XLOOKUP(O1511,[1]AttributeName!$B:$B,[1]AttributeName!$D:$D),2,_xlfn.XLOOKUP(C1511,#REF!,#REF!),3,_xlfn.XLOOKUP(C1511,#REF!,#REF!)),0)</f>
        <v>2</v>
      </c>
      <c r="T1511" cm="1">
        <f t="array" ref="T1511">IFERROR(_xlfn.SWITCH(L1511,1,_xlfn.XLOOKUP(O1511,[1]AttributeName!$B:$B,[1]AttributeName!$E:$E),2,_xlfn.XLOOKUP(C1511,#REF!,#REF!),3,_xlfn.XLOOKUP(C1511,#REF!,#REF!)),0)</f>
        <v>2</v>
      </c>
    </row>
    <row r="1512" customFormat="1" spans="1:20">
      <c r="A1512">
        <f t="shared" si="65"/>
        <v>612</v>
      </c>
      <c r="B1512">
        <v>7</v>
      </c>
      <c r="C1512" t="s">
        <v>431</v>
      </c>
      <c r="D1512" t="s">
        <v>29</v>
      </c>
      <c r="E1512" t="s">
        <v>378</v>
      </c>
      <c r="F1512"/>
      <c r="G1512">
        <v>1</v>
      </c>
      <c r="H1512">
        <v>1000</v>
      </c>
      <c r="J1512" cm="1">
        <f t="array" ref="J1512">_xlfn.SWITCH(B1512,1,75,2,61,3,49,4,37,5,25,6,13,7,4,8,1)</f>
        <v>4</v>
      </c>
      <c r="K1512" t="str" cm="1">
        <f t="array" ref="K1512">IFERROR(_xlfn.SWITCH(L1512,2,_xlfn.XLOOKUP(C1512,[1]ModifierDes!$B:$B,[1]ModifierDes!$C:$C),3,_xlfn.XLOOKUP(C1512,[1]StuntDes!$B:$B,[1]StuntDes!$C:$C)),"")</f>
        <v/>
      </c>
      <c r="L1512">
        <f t="shared" si="64"/>
        <v>1</v>
      </c>
      <c r="M1512" s="10" t="str">
        <f>IFERROR(_xlfn.XLOOKUP(C1512,[1]StuntDes!$B:$B,[1]StuntDes!$A:$A),"")</f>
        <v/>
      </c>
      <c r="N1512" s="10" t="str">
        <f>IFERROR(_xlfn.XLOOKUP(C1512,[1]ModifierDes!$B:$B,[1]ModifierDes!$A:$A),"")</f>
        <v/>
      </c>
      <c r="O1512" s="10">
        <f>IFERROR(_xlfn.XLOOKUP(C1512,[1]AttributeName!$C:$C,[1]AttributeName!$B:$B),"")</f>
        <v>10813</v>
      </c>
      <c r="P1512" s="10"/>
      <c r="Q1512">
        <v>0.02</v>
      </c>
      <c r="R1512">
        <v>0.02</v>
      </c>
      <c r="S1512" cm="1">
        <f t="array" ref="S1512">IFERROR(_xlfn.SWITCH(L1512,1,_xlfn.XLOOKUP(O1512,[1]AttributeName!$B:$B,[1]AttributeName!$D:$D),2,_xlfn.XLOOKUP(C1512,#REF!,#REF!),3,_xlfn.XLOOKUP(C1512,#REF!,#REF!)),0)</f>
        <v>2</v>
      </c>
      <c r="T1512" cm="1">
        <f t="array" ref="T1512">IFERROR(_xlfn.SWITCH(L1512,1,_xlfn.XLOOKUP(O1512,[1]AttributeName!$B:$B,[1]AttributeName!$E:$E),2,_xlfn.XLOOKUP(C1512,#REF!,#REF!),3,_xlfn.XLOOKUP(C1512,#REF!,#REF!)),0)</f>
        <v>2</v>
      </c>
    </row>
    <row r="1513" customFormat="1" spans="1:20">
      <c r="A1513">
        <f t="shared" si="65"/>
        <v>612</v>
      </c>
      <c r="B1513">
        <v>8</v>
      </c>
      <c r="C1513" t="s">
        <v>431</v>
      </c>
      <c r="D1513" t="s">
        <v>29</v>
      </c>
      <c r="E1513" t="s">
        <v>378</v>
      </c>
      <c r="F1513"/>
      <c r="G1513">
        <v>1</v>
      </c>
      <c r="H1513">
        <v>1000</v>
      </c>
      <c r="J1513" cm="1">
        <f t="array" ref="J1513">_xlfn.SWITCH(B1513,1,75,2,61,3,49,4,37,5,25,6,13,7,4,8,1)</f>
        <v>1</v>
      </c>
      <c r="K1513" t="str" cm="1">
        <f t="array" ref="K1513">IFERROR(_xlfn.SWITCH(L1513,2,_xlfn.XLOOKUP(C1513,[1]ModifierDes!$B:$B,[1]ModifierDes!$C:$C),3,_xlfn.XLOOKUP(C1513,[1]StuntDes!$B:$B,[1]StuntDes!$C:$C)),"")</f>
        <v/>
      </c>
      <c r="L1513">
        <f t="shared" si="64"/>
        <v>1</v>
      </c>
      <c r="M1513" s="10" t="str">
        <f>IFERROR(_xlfn.XLOOKUP(C1513,[1]StuntDes!$B:$B,[1]StuntDes!$A:$A),"")</f>
        <v/>
      </c>
      <c r="N1513" s="10" t="str">
        <f>IFERROR(_xlfn.XLOOKUP(C1513,[1]ModifierDes!$B:$B,[1]ModifierDes!$A:$A),"")</f>
        <v/>
      </c>
      <c r="O1513" s="10">
        <f>IFERROR(_xlfn.XLOOKUP(C1513,[1]AttributeName!$C:$C,[1]AttributeName!$B:$B),"")</f>
        <v>10813</v>
      </c>
      <c r="P1513" s="10"/>
      <c r="Q1513">
        <v>0.01</v>
      </c>
      <c r="R1513">
        <v>0.01</v>
      </c>
      <c r="S1513" cm="1">
        <f t="array" ref="S1513">IFERROR(_xlfn.SWITCH(L1513,1,_xlfn.XLOOKUP(O1513,[1]AttributeName!$B:$B,[1]AttributeName!$D:$D),2,_xlfn.XLOOKUP(C1513,#REF!,#REF!),3,_xlfn.XLOOKUP(C1513,#REF!,#REF!)),0)</f>
        <v>2</v>
      </c>
      <c r="T1513" cm="1">
        <f t="array" ref="T1513">IFERROR(_xlfn.SWITCH(L1513,1,_xlfn.XLOOKUP(O1513,[1]AttributeName!$B:$B,[1]AttributeName!$E:$E),2,_xlfn.XLOOKUP(C1513,#REF!,#REF!),3,_xlfn.XLOOKUP(C1513,#REF!,#REF!)),0)</f>
        <v>2</v>
      </c>
    </row>
    <row r="1514" customFormat="1" spans="1:20">
      <c r="A1514">
        <f t="shared" si="65"/>
        <v>613</v>
      </c>
      <c r="B1514">
        <v>1</v>
      </c>
      <c r="C1514" t="s">
        <v>419</v>
      </c>
      <c r="D1514" t="s">
        <v>29</v>
      </c>
      <c r="E1514" t="s">
        <v>378</v>
      </c>
      <c r="F1514"/>
      <c r="G1514">
        <v>1</v>
      </c>
      <c r="H1514">
        <v>250</v>
      </c>
      <c r="J1514" cm="1">
        <f t="array" ref="J1514">_xlfn.SWITCH(B1514,1,75,2,61,3,49,4,37,5,25,6,13,7,4,8,1)</f>
        <v>75</v>
      </c>
      <c r="K1514" t="str" cm="1">
        <f t="array" ref="K1514">IFERROR(_xlfn.SWITCH(L1514,2,_xlfn.XLOOKUP(C1514,[1]ModifierDes!$B:$B,[1]ModifierDes!$C:$C),3,_xlfn.XLOOKUP(C1514,[1]StuntDes!$B:$B,[1]StuntDes!$C:$C)),"")</f>
        <v/>
      </c>
      <c r="L1514">
        <f t="shared" si="64"/>
        <v>1</v>
      </c>
      <c r="M1514" s="10" t="str">
        <f>IFERROR(_xlfn.XLOOKUP(C1514,[1]StuntDes!$B:$B,[1]StuntDes!$A:$A),"")</f>
        <v/>
      </c>
      <c r="N1514" s="10" t="str">
        <f>IFERROR(_xlfn.XLOOKUP(C1514,[1]ModifierDes!$B:$B,[1]ModifierDes!$A:$A),"")</f>
        <v/>
      </c>
      <c r="O1514" s="10">
        <f>IFERROR(_xlfn.XLOOKUP(C1514,[1]AttributeName!$C:$C,[1]AttributeName!$B:$B),"")</f>
        <v>11012</v>
      </c>
      <c r="P1514" s="10"/>
      <c r="Q1514">
        <v>0.08</v>
      </c>
      <c r="R1514">
        <v>0.1</v>
      </c>
      <c r="S1514" cm="1">
        <f t="array" ref="S1514">IFERROR(_xlfn.SWITCH(L1514,1,_xlfn.XLOOKUP(O1514,[1]AttributeName!$B:$B,[1]AttributeName!$D:$D),2,_xlfn.XLOOKUP(C1514,#REF!,#REF!),3,_xlfn.XLOOKUP(C1514,#REF!,#REF!)),0)</f>
        <v>2</v>
      </c>
      <c r="T1514" cm="1">
        <f t="array" ref="T1514">IFERROR(_xlfn.SWITCH(L1514,1,_xlfn.XLOOKUP(O1514,[1]AttributeName!$B:$B,[1]AttributeName!$E:$E),2,_xlfn.XLOOKUP(C1514,#REF!,#REF!),3,_xlfn.XLOOKUP(C1514,#REF!,#REF!)),0)</f>
        <v>2</v>
      </c>
    </row>
    <row r="1515" customFormat="1" spans="1:20">
      <c r="A1515">
        <f t="shared" si="65"/>
        <v>613</v>
      </c>
      <c r="B1515">
        <v>2</v>
      </c>
      <c r="C1515" t="s">
        <v>419</v>
      </c>
      <c r="D1515" t="s">
        <v>29</v>
      </c>
      <c r="E1515" t="s">
        <v>378</v>
      </c>
      <c r="F1515"/>
      <c r="G1515">
        <v>1</v>
      </c>
      <c r="H1515">
        <v>500</v>
      </c>
      <c r="J1515" cm="1">
        <f t="array" ref="J1515">_xlfn.SWITCH(B1515,1,75,2,61,3,49,4,37,5,25,6,13,7,4,8,1)</f>
        <v>61</v>
      </c>
      <c r="K1515" t="str" cm="1">
        <f t="array" ref="K1515">IFERROR(_xlfn.SWITCH(L1515,2,_xlfn.XLOOKUP(C1515,[1]ModifierDes!$B:$B,[1]ModifierDes!$C:$C),3,_xlfn.XLOOKUP(C1515,[1]StuntDes!$B:$B,[1]StuntDes!$C:$C)),"")</f>
        <v/>
      </c>
      <c r="L1515">
        <f t="shared" si="64"/>
        <v>1</v>
      </c>
      <c r="M1515" s="10" t="str">
        <f>IFERROR(_xlfn.XLOOKUP(C1515,[1]StuntDes!$B:$B,[1]StuntDes!$A:$A),"")</f>
        <v/>
      </c>
      <c r="N1515" s="10" t="str">
        <f>IFERROR(_xlfn.XLOOKUP(C1515,[1]ModifierDes!$B:$B,[1]ModifierDes!$A:$A),"")</f>
        <v/>
      </c>
      <c r="O1515" s="10">
        <f>IFERROR(_xlfn.XLOOKUP(C1515,[1]AttributeName!$C:$C,[1]AttributeName!$B:$B),"")</f>
        <v>11012</v>
      </c>
      <c r="P1515" s="10"/>
      <c r="Q1515">
        <v>0.07</v>
      </c>
      <c r="R1515">
        <v>0.07</v>
      </c>
      <c r="S1515" cm="1">
        <f t="array" ref="S1515">IFERROR(_xlfn.SWITCH(L1515,1,_xlfn.XLOOKUP(O1515,[1]AttributeName!$B:$B,[1]AttributeName!$D:$D),2,_xlfn.XLOOKUP(C1515,#REF!,#REF!),3,_xlfn.XLOOKUP(C1515,#REF!,#REF!)),0)</f>
        <v>2</v>
      </c>
      <c r="T1515" cm="1">
        <f t="array" ref="T1515">IFERROR(_xlfn.SWITCH(L1515,1,_xlfn.XLOOKUP(O1515,[1]AttributeName!$B:$B,[1]AttributeName!$E:$E),2,_xlfn.XLOOKUP(C1515,#REF!,#REF!),3,_xlfn.XLOOKUP(C1515,#REF!,#REF!)),0)</f>
        <v>2</v>
      </c>
    </row>
    <row r="1516" customFormat="1" spans="1:20">
      <c r="A1516">
        <f t="shared" si="65"/>
        <v>613</v>
      </c>
      <c r="B1516">
        <v>3</v>
      </c>
      <c r="C1516" t="s">
        <v>419</v>
      </c>
      <c r="D1516" t="s">
        <v>29</v>
      </c>
      <c r="E1516" t="s">
        <v>378</v>
      </c>
      <c r="F1516"/>
      <c r="G1516">
        <v>1</v>
      </c>
      <c r="H1516">
        <v>750</v>
      </c>
      <c r="J1516" cm="1">
        <f t="array" ref="J1516">_xlfn.SWITCH(B1516,1,75,2,61,3,49,4,37,5,25,6,13,7,4,8,1)</f>
        <v>49</v>
      </c>
      <c r="K1516" t="str" cm="1">
        <f t="array" ref="K1516">IFERROR(_xlfn.SWITCH(L1516,2,_xlfn.XLOOKUP(C1516,[1]ModifierDes!$B:$B,[1]ModifierDes!$C:$C),3,_xlfn.XLOOKUP(C1516,[1]StuntDes!$B:$B,[1]StuntDes!$C:$C)),"")</f>
        <v/>
      </c>
      <c r="L1516">
        <f t="shared" si="64"/>
        <v>1</v>
      </c>
      <c r="M1516" s="10" t="str">
        <f>IFERROR(_xlfn.XLOOKUP(C1516,[1]StuntDes!$B:$B,[1]StuntDes!$A:$A),"")</f>
        <v/>
      </c>
      <c r="N1516" s="10" t="str">
        <f>IFERROR(_xlfn.XLOOKUP(C1516,[1]ModifierDes!$B:$B,[1]ModifierDes!$A:$A),"")</f>
        <v/>
      </c>
      <c r="O1516" s="10">
        <f>IFERROR(_xlfn.XLOOKUP(C1516,[1]AttributeName!$C:$C,[1]AttributeName!$B:$B),"")</f>
        <v>11012</v>
      </c>
      <c r="P1516" s="10"/>
      <c r="Q1516">
        <v>0.06</v>
      </c>
      <c r="R1516">
        <v>0.06</v>
      </c>
      <c r="S1516" cm="1">
        <f t="array" ref="S1516">IFERROR(_xlfn.SWITCH(L1516,1,_xlfn.XLOOKUP(O1516,[1]AttributeName!$B:$B,[1]AttributeName!$D:$D),2,_xlfn.XLOOKUP(C1516,#REF!,#REF!),3,_xlfn.XLOOKUP(C1516,#REF!,#REF!)),0)</f>
        <v>2</v>
      </c>
      <c r="T1516" cm="1">
        <f t="array" ref="T1516">IFERROR(_xlfn.SWITCH(L1516,1,_xlfn.XLOOKUP(O1516,[1]AttributeName!$B:$B,[1]AttributeName!$E:$E),2,_xlfn.XLOOKUP(C1516,#REF!,#REF!),3,_xlfn.XLOOKUP(C1516,#REF!,#REF!)),0)</f>
        <v>2</v>
      </c>
    </row>
    <row r="1517" customFormat="1" spans="1:20">
      <c r="A1517">
        <f t="shared" si="65"/>
        <v>613</v>
      </c>
      <c r="B1517">
        <v>4</v>
      </c>
      <c r="C1517" t="s">
        <v>419</v>
      </c>
      <c r="D1517" t="s">
        <v>29</v>
      </c>
      <c r="E1517" t="s">
        <v>378</v>
      </c>
      <c r="F1517"/>
      <c r="G1517">
        <v>1</v>
      </c>
      <c r="H1517">
        <v>1000</v>
      </c>
      <c r="J1517" cm="1">
        <f t="array" ref="J1517">_xlfn.SWITCH(B1517,1,75,2,61,3,49,4,37,5,25,6,13,7,4,8,1)</f>
        <v>37</v>
      </c>
      <c r="K1517" t="str" cm="1">
        <f t="array" ref="K1517">IFERROR(_xlfn.SWITCH(L1517,2,_xlfn.XLOOKUP(C1517,[1]ModifierDes!$B:$B,[1]ModifierDes!$C:$C),3,_xlfn.XLOOKUP(C1517,[1]StuntDes!$B:$B,[1]StuntDes!$C:$C)),"")</f>
        <v/>
      </c>
      <c r="L1517">
        <f t="shared" si="64"/>
        <v>1</v>
      </c>
      <c r="M1517" s="10" t="str">
        <f>IFERROR(_xlfn.XLOOKUP(C1517,[1]StuntDes!$B:$B,[1]StuntDes!$A:$A),"")</f>
        <v/>
      </c>
      <c r="N1517" s="10" t="str">
        <f>IFERROR(_xlfn.XLOOKUP(C1517,[1]ModifierDes!$B:$B,[1]ModifierDes!$A:$A),"")</f>
        <v/>
      </c>
      <c r="O1517" s="10">
        <f>IFERROR(_xlfn.XLOOKUP(C1517,[1]AttributeName!$C:$C,[1]AttributeName!$B:$B),"")</f>
        <v>11012</v>
      </c>
      <c r="P1517" s="10"/>
      <c r="Q1517">
        <v>0.05</v>
      </c>
      <c r="R1517">
        <v>0.05</v>
      </c>
      <c r="S1517" cm="1">
        <f t="array" ref="S1517">IFERROR(_xlfn.SWITCH(L1517,1,_xlfn.XLOOKUP(O1517,[1]AttributeName!$B:$B,[1]AttributeName!$D:$D),2,_xlfn.XLOOKUP(C1517,#REF!,#REF!),3,_xlfn.XLOOKUP(C1517,#REF!,#REF!)),0)</f>
        <v>2</v>
      </c>
      <c r="T1517" cm="1">
        <f t="array" ref="T1517">IFERROR(_xlfn.SWITCH(L1517,1,_xlfn.XLOOKUP(O1517,[1]AttributeName!$B:$B,[1]AttributeName!$E:$E),2,_xlfn.XLOOKUP(C1517,#REF!,#REF!),3,_xlfn.XLOOKUP(C1517,#REF!,#REF!)),0)</f>
        <v>2</v>
      </c>
    </row>
    <row r="1518" customFormat="1" spans="1:20">
      <c r="A1518">
        <f t="shared" si="65"/>
        <v>613</v>
      </c>
      <c r="B1518">
        <v>5</v>
      </c>
      <c r="C1518" t="s">
        <v>419</v>
      </c>
      <c r="D1518" t="s">
        <v>29</v>
      </c>
      <c r="E1518" t="s">
        <v>378</v>
      </c>
      <c r="F1518"/>
      <c r="G1518">
        <v>1</v>
      </c>
      <c r="H1518">
        <v>1000</v>
      </c>
      <c r="J1518" cm="1">
        <f t="array" ref="J1518">_xlfn.SWITCH(B1518,1,75,2,61,3,49,4,37,5,25,6,13,7,4,8,1)</f>
        <v>25</v>
      </c>
      <c r="K1518" t="str" cm="1">
        <f t="array" ref="K1518">IFERROR(_xlfn.SWITCH(L1518,2,_xlfn.XLOOKUP(C1518,[1]ModifierDes!$B:$B,[1]ModifierDes!$C:$C),3,_xlfn.XLOOKUP(C1518,[1]StuntDes!$B:$B,[1]StuntDes!$C:$C)),"")</f>
        <v/>
      </c>
      <c r="L1518">
        <f t="shared" si="64"/>
        <v>1</v>
      </c>
      <c r="M1518" s="10" t="str">
        <f>IFERROR(_xlfn.XLOOKUP(C1518,[1]StuntDes!$B:$B,[1]StuntDes!$A:$A),"")</f>
        <v/>
      </c>
      <c r="N1518" s="10" t="str">
        <f>IFERROR(_xlfn.XLOOKUP(C1518,[1]ModifierDes!$B:$B,[1]ModifierDes!$A:$A),"")</f>
        <v/>
      </c>
      <c r="O1518" s="10">
        <f>IFERROR(_xlfn.XLOOKUP(C1518,[1]AttributeName!$C:$C,[1]AttributeName!$B:$B),"")</f>
        <v>11012</v>
      </c>
      <c r="P1518" s="10"/>
      <c r="Q1518">
        <v>0.04</v>
      </c>
      <c r="R1518">
        <v>0.04</v>
      </c>
      <c r="S1518" cm="1">
        <f t="array" ref="S1518">IFERROR(_xlfn.SWITCH(L1518,1,_xlfn.XLOOKUP(O1518,[1]AttributeName!$B:$B,[1]AttributeName!$D:$D),2,_xlfn.XLOOKUP(C1518,#REF!,#REF!),3,_xlfn.XLOOKUP(C1518,#REF!,#REF!)),0)</f>
        <v>2</v>
      </c>
      <c r="T1518" cm="1">
        <f t="array" ref="T1518">IFERROR(_xlfn.SWITCH(L1518,1,_xlfn.XLOOKUP(O1518,[1]AttributeName!$B:$B,[1]AttributeName!$E:$E),2,_xlfn.XLOOKUP(C1518,#REF!,#REF!),3,_xlfn.XLOOKUP(C1518,#REF!,#REF!)),0)</f>
        <v>2</v>
      </c>
    </row>
    <row r="1519" customFormat="1" spans="1:20">
      <c r="A1519">
        <f t="shared" si="65"/>
        <v>613</v>
      </c>
      <c r="B1519">
        <v>6</v>
      </c>
      <c r="C1519" t="s">
        <v>419</v>
      </c>
      <c r="D1519" t="s">
        <v>29</v>
      </c>
      <c r="E1519" t="s">
        <v>378</v>
      </c>
      <c r="F1519"/>
      <c r="G1519">
        <v>1</v>
      </c>
      <c r="H1519">
        <v>1000</v>
      </c>
      <c r="J1519" cm="1">
        <f t="array" ref="J1519">_xlfn.SWITCH(B1519,1,75,2,61,3,49,4,37,5,25,6,13,7,4,8,1)</f>
        <v>13</v>
      </c>
      <c r="K1519" t="str" cm="1">
        <f t="array" ref="K1519">IFERROR(_xlfn.SWITCH(L1519,2,_xlfn.XLOOKUP(C1519,[1]ModifierDes!$B:$B,[1]ModifierDes!$C:$C),3,_xlfn.XLOOKUP(C1519,[1]StuntDes!$B:$B,[1]StuntDes!$C:$C)),"")</f>
        <v/>
      </c>
      <c r="L1519">
        <f t="shared" si="64"/>
        <v>1</v>
      </c>
      <c r="M1519" s="10" t="str">
        <f>IFERROR(_xlfn.XLOOKUP(C1519,[1]StuntDes!$B:$B,[1]StuntDes!$A:$A),"")</f>
        <v/>
      </c>
      <c r="N1519" s="10" t="str">
        <f>IFERROR(_xlfn.XLOOKUP(C1519,[1]ModifierDes!$B:$B,[1]ModifierDes!$A:$A),"")</f>
        <v/>
      </c>
      <c r="O1519" s="10">
        <f>IFERROR(_xlfn.XLOOKUP(C1519,[1]AttributeName!$C:$C,[1]AttributeName!$B:$B),"")</f>
        <v>11012</v>
      </c>
      <c r="P1519" s="10"/>
      <c r="Q1519">
        <v>0.03</v>
      </c>
      <c r="R1519">
        <v>0.03</v>
      </c>
      <c r="S1519" cm="1">
        <f t="array" ref="S1519">IFERROR(_xlfn.SWITCH(L1519,1,_xlfn.XLOOKUP(O1519,[1]AttributeName!$B:$B,[1]AttributeName!$D:$D),2,_xlfn.XLOOKUP(C1519,#REF!,#REF!),3,_xlfn.XLOOKUP(C1519,#REF!,#REF!)),0)</f>
        <v>2</v>
      </c>
      <c r="T1519" cm="1">
        <f t="array" ref="T1519">IFERROR(_xlfn.SWITCH(L1519,1,_xlfn.XLOOKUP(O1519,[1]AttributeName!$B:$B,[1]AttributeName!$E:$E),2,_xlfn.XLOOKUP(C1519,#REF!,#REF!),3,_xlfn.XLOOKUP(C1519,#REF!,#REF!)),0)</f>
        <v>2</v>
      </c>
    </row>
    <row r="1520" customFormat="1" spans="1:20">
      <c r="A1520">
        <f t="shared" si="65"/>
        <v>613</v>
      </c>
      <c r="B1520">
        <v>7</v>
      </c>
      <c r="C1520" t="s">
        <v>419</v>
      </c>
      <c r="D1520" t="s">
        <v>29</v>
      </c>
      <c r="E1520" t="s">
        <v>378</v>
      </c>
      <c r="F1520"/>
      <c r="G1520">
        <v>1</v>
      </c>
      <c r="H1520">
        <v>1000</v>
      </c>
      <c r="J1520" cm="1">
        <f t="array" ref="J1520">_xlfn.SWITCH(B1520,1,75,2,61,3,49,4,37,5,25,6,13,7,4,8,1)</f>
        <v>4</v>
      </c>
      <c r="K1520" t="str" cm="1">
        <f t="array" ref="K1520">IFERROR(_xlfn.SWITCH(L1520,2,_xlfn.XLOOKUP(C1520,[1]ModifierDes!$B:$B,[1]ModifierDes!$C:$C),3,_xlfn.XLOOKUP(C1520,[1]StuntDes!$B:$B,[1]StuntDes!$C:$C)),"")</f>
        <v/>
      </c>
      <c r="L1520">
        <f t="shared" si="64"/>
        <v>1</v>
      </c>
      <c r="M1520" s="10" t="str">
        <f>IFERROR(_xlfn.XLOOKUP(C1520,[1]StuntDes!$B:$B,[1]StuntDes!$A:$A),"")</f>
        <v/>
      </c>
      <c r="N1520" s="10" t="str">
        <f>IFERROR(_xlfn.XLOOKUP(C1520,[1]ModifierDes!$B:$B,[1]ModifierDes!$A:$A),"")</f>
        <v/>
      </c>
      <c r="O1520" s="10">
        <f>IFERROR(_xlfn.XLOOKUP(C1520,[1]AttributeName!$C:$C,[1]AttributeName!$B:$B),"")</f>
        <v>11012</v>
      </c>
      <c r="P1520" s="10"/>
      <c r="Q1520">
        <v>0.02</v>
      </c>
      <c r="R1520">
        <v>0.02</v>
      </c>
      <c r="S1520" cm="1">
        <f t="array" ref="S1520">IFERROR(_xlfn.SWITCH(L1520,1,_xlfn.XLOOKUP(O1520,[1]AttributeName!$B:$B,[1]AttributeName!$D:$D),2,_xlfn.XLOOKUP(C1520,#REF!,#REF!),3,_xlfn.XLOOKUP(C1520,#REF!,#REF!)),0)</f>
        <v>2</v>
      </c>
      <c r="T1520" cm="1">
        <f t="array" ref="T1520">IFERROR(_xlfn.SWITCH(L1520,1,_xlfn.XLOOKUP(O1520,[1]AttributeName!$B:$B,[1]AttributeName!$E:$E),2,_xlfn.XLOOKUP(C1520,#REF!,#REF!),3,_xlfn.XLOOKUP(C1520,#REF!,#REF!)),0)</f>
        <v>2</v>
      </c>
    </row>
    <row r="1521" customFormat="1" spans="1:20">
      <c r="A1521">
        <f t="shared" si="65"/>
        <v>613</v>
      </c>
      <c r="B1521">
        <v>8</v>
      </c>
      <c r="C1521" t="s">
        <v>419</v>
      </c>
      <c r="D1521" t="s">
        <v>29</v>
      </c>
      <c r="E1521" t="s">
        <v>378</v>
      </c>
      <c r="F1521"/>
      <c r="G1521">
        <v>1</v>
      </c>
      <c r="H1521">
        <v>1000</v>
      </c>
      <c r="J1521" cm="1">
        <f t="array" ref="J1521">_xlfn.SWITCH(B1521,1,75,2,61,3,49,4,37,5,25,6,13,7,4,8,1)</f>
        <v>1</v>
      </c>
      <c r="K1521" t="str" cm="1">
        <f t="array" ref="K1521">IFERROR(_xlfn.SWITCH(L1521,2,_xlfn.XLOOKUP(C1521,[1]ModifierDes!$B:$B,[1]ModifierDes!$C:$C),3,_xlfn.XLOOKUP(C1521,[1]StuntDes!$B:$B,[1]StuntDes!$C:$C)),"")</f>
        <v/>
      </c>
      <c r="L1521">
        <f t="shared" si="64"/>
        <v>1</v>
      </c>
      <c r="M1521" s="10" t="str">
        <f>IFERROR(_xlfn.XLOOKUP(C1521,[1]StuntDes!$B:$B,[1]StuntDes!$A:$A),"")</f>
        <v/>
      </c>
      <c r="N1521" s="10" t="str">
        <f>IFERROR(_xlfn.XLOOKUP(C1521,[1]ModifierDes!$B:$B,[1]ModifierDes!$A:$A),"")</f>
        <v/>
      </c>
      <c r="O1521" s="10">
        <f>IFERROR(_xlfn.XLOOKUP(C1521,[1]AttributeName!$C:$C,[1]AttributeName!$B:$B),"")</f>
        <v>11012</v>
      </c>
      <c r="P1521" s="10"/>
      <c r="Q1521">
        <v>0.01</v>
      </c>
      <c r="R1521">
        <v>0.01</v>
      </c>
      <c r="S1521" cm="1">
        <f t="array" ref="S1521">IFERROR(_xlfn.SWITCH(L1521,1,_xlfn.XLOOKUP(O1521,[1]AttributeName!$B:$B,[1]AttributeName!$D:$D),2,_xlfn.XLOOKUP(C1521,#REF!,#REF!),3,_xlfn.XLOOKUP(C1521,#REF!,#REF!)),0)</f>
        <v>2</v>
      </c>
      <c r="T1521" cm="1">
        <f t="array" ref="T1521">IFERROR(_xlfn.SWITCH(L1521,1,_xlfn.XLOOKUP(O1521,[1]AttributeName!$B:$B,[1]AttributeName!$E:$E),2,_xlfn.XLOOKUP(C1521,#REF!,#REF!),3,_xlfn.XLOOKUP(C1521,#REF!,#REF!)),0)</f>
        <v>2</v>
      </c>
    </row>
    <row r="1522" customFormat="1" spans="1:20">
      <c r="A1522">
        <v>614</v>
      </c>
      <c r="B1522">
        <v>1</v>
      </c>
      <c r="C1522" t="s">
        <v>436</v>
      </c>
      <c r="D1522" t="s">
        <v>29</v>
      </c>
      <c r="E1522" t="s">
        <v>378</v>
      </c>
      <c r="F1522"/>
      <c r="G1522">
        <v>1</v>
      </c>
      <c r="H1522">
        <v>250</v>
      </c>
      <c r="I1522">
        <v>1</v>
      </c>
      <c r="J1522" cm="1">
        <f t="array" ref="J1522">_xlfn.SWITCH(B1522,1,75,2,61,3,49,4,37,5,25,6,13,7,4,8,1)</f>
        <v>75</v>
      </c>
      <c r="K1522" t="str" cm="1">
        <f t="array" ref="K1522">IFERROR(_xlfn.SWITCH(L1522,2,_xlfn.XLOOKUP(C1522,[1]ModifierDes!$B:$B,[1]ModifierDes!$C:$C),3,_xlfn.XLOOKUP(C1522,[1]StuntDes!$B:$B,[1]StuntDes!$C:$C)),"")</f>
        <v/>
      </c>
      <c r="L1522">
        <f t="shared" si="64"/>
        <v>1</v>
      </c>
      <c r="M1522" s="10" t="str">
        <f>IFERROR(_xlfn.XLOOKUP(C1522,[1]StuntDes!$B:$B,[1]StuntDes!$A:$A),"")</f>
        <v/>
      </c>
      <c r="N1522" s="10" t="str">
        <f>IFERROR(_xlfn.XLOOKUP(C1522,[1]ModifierDes!$B:$B,[1]ModifierDes!$A:$A),"")</f>
        <v/>
      </c>
      <c r="O1522" s="10">
        <f>IFERROR(_xlfn.XLOOKUP(C1522,[1]AttributeName!$C:$C,[1]AttributeName!$B:$B),"")</f>
        <v>10010</v>
      </c>
      <c r="P1522" s="10"/>
      <c r="Q1522">
        <v>0.08</v>
      </c>
      <c r="R1522">
        <v>0.1</v>
      </c>
      <c r="S1522" cm="1">
        <f t="array" ref="S1522">IFERROR(_xlfn.SWITCH(L1522,1,_xlfn.XLOOKUP(O1522,[1]AttributeName!$B:$B,[1]AttributeName!$D:$D),2,_xlfn.XLOOKUP(C1522,#REF!,#REF!),3,_xlfn.XLOOKUP(C1522,#REF!,#REF!)),0)</f>
        <v>2</v>
      </c>
      <c r="T1522" cm="1">
        <f t="array" ref="T1522">IFERROR(_xlfn.SWITCH(L1522,1,_xlfn.XLOOKUP(O1522,[1]AttributeName!$B:$B,[1]AttributeName!$E:$E),2,_xlfn.XLOOKUP(C1522,#REF!,#REF!),3,_xlfn.XLOOKUP(C1522,#REF!,#REF!)),0)</f>
        <v>2</v>
      </c>
    </row>
    <row r="1523" customFormat="1" spans="1:20">
      <c r="A1523">
        <v>614</v>
      </c>
      <c r="B1523">
        <v>3</v>
      </c>
      <c r="C1523" t="s">
        <v>436</v>
      </c>
      <c r="D1523" t="s">
        <v>29</v>
      </c>
      <c r="E1523" t="s">
        <v>378</v>
      </c>
      <c r="F1523"/>
      <c r="G1523">
        <v>1</v>
      </c>
      <c r="H1523">
        <v>500</v>
      </c>
      <c r="I1523">
        <v>1</v>
      </c>
      <c r="J1523" cm="1">
        <f t="array" ref="J1523">_xlfn.SWITCH(B1523,1,75,2,61,3,49,4,37,5,25,6,13,7,4,8,1)</f>
        <v>49</v>
      </c>
      <c r="K1523" t="str" cm="1">
        <f t="array" ref="K1523">IFERROR(_xlfn.SWITCH(L1523,2,_xlfn.XLOOKUP(C1523,[1]ModifierDes!$B:$B,[1]ModifierDes!$C:$C),3,_xlfn.XLOOKUP(C1523,[1]StuntDes!$B:$B,[1]StuntDes!$C:$C)),"")</f>
        <v/>
      </c>
      <c r="L1523">
        <f t="shared" si="64"/>
        <v>1</v>
      </c>
      <c r="M1523" s="10" t="str">
        <f>IFERROR(_xlfn.XLOOKUP(C1523,[1]StuntDes!$B:$B,[1]StuntDes!$A:$A),"")</f>
        <v/>
      </c>
      <c r="N1523" s="10" t="str">
        <f>IFERROR(_xlfn.XLOOKUP(C1523,[1]ModifierDes!$B:$B,[1]ModifierDes!$A:$A),"")</f>
        <v/>
      </c>
      <c r="O1523" s="10">
        <f>IFERROR(_xlfn.XLOOKUP(C1523,[1]AttributeName!$C:$C,[1]AttributeName!$B:$B),"")</f>
        <v>10010</v>
      </c>
      <c r="P1523" s="10"/>
      <c r="Q1523">
        <v>0.05</v>
      </c>
      <c r="R1523">
        <v>0.07</v>
      </c>
      <c r="S1523" cm="1">
        <f t="array" ref="S1523">IFERROR(_xlfn.SWITCH(L1523,1,_xlfn.XLOOKUP(O1523,[1]AttributeName!$B:$B,[1]AttributeName!$D:$D),2,_xlfn.XLOOKUP(C1523,#REF!,#REF!),3,_xlfn.XLOOKUP(C1523,#REF!,#REF!)),0)</f>
        <v>2</v>
      </c>
      <c r="T1523" cm="1">
        <f t="array" ref="T1523">IFERROR(_xlfn.SWITCH(L1523,1,_xlfn.XLOOKUP(O1523,[1]AttributeName!$B:$B,[1]AttributeName!$E:$E),2,_xlfn.XLOOKUP(C1523,#REF!,#REF!),3,_xlfn.XLOOKUP(C1523,#REF!,#REF!)),0)</f>
        <v>2</v>
      </c>
    </row>
    <row r="1524" customFormat="1" spans="1:20">
      <c r="A1524">
        <v>614</v>
      </c>
      <c r="B1524">
        <v>5</v>
      </c>
      <c r="C1524" t="s">
        <v>436</v>
      </c>
      <c r="D1524" t="s">
        <v>29</v>
      </c>
      <c r="E1524" t="s">
        <v>378</v>
      </c>
      <c r="F1524"/>
      <c r="G1524">
        <v>1</v>
      </c>
      <c r="H1524">
        <v>750</v>
      </c>
      <c r="I1524">
        <v>1</v>
      </c>
      <c r="J1524" cm="1">
        <f t="array" ref="J1524">_xlfn.SWITCH(B1524,1,75,2,61,3,49,4,37,5,25,6,13,7,4,8,1)</f>
        <v>25</v>
      </c>
      <c r="K1524" t="str" cm="1">
        <f t="array" ref="K1524">IFERROR(_xlfn.SWITCH(L1524,2,_xlfn.XLOOKUP(C1524,[1]ModifierDes!$B:$B,[1]ModifierDes!$C:$C),3,_xlfn.XLOOKUP(C1524,[1]StuntDes!$B:$B,[1]StuntDes!$C:$C)),"")</f>
        <v/>
      </c>
      <c r="L1524">
        <f t="shared" si="64"/>
        <v>1</v>
      </c>
      <c r="M1524" s="10" t="str">
        <f>IFERROR(_xlfn.XLOOKUP(C1524,[1]StuntDes!$B:$B,[1]StuntDes!$A:$A),"")</f>
        <v/>
      </c>
      <c r="N1524" s="10" t="str">
        <f>IFERROR(_xlfn.XLOOKUP(C1524,[1]ModifierDes!$B:$B,[1]ModifierDes!$A:$A),"")</f>
        <v/>
      </c>
      <c r="O1524" s="10">
        <f>IFERROR(_xlfn.XLOOKUP(C1524,[1]AttributeName!$C:$C,[1]AttributeName!$B:$B),"")</f>
        <v>10010</v>
      </c>
      <c r="P1524" s="10"/>
      <c r="Q1524">
        <v>0.03</v>
      </c>
      <c r="R1524">
        <v>0.04</v>
      </c>
      <c r="S1524" cm="1">
        <f t="array" ref="S1524">IFERROR(_xlfn.SWITCH(L1524,1,_xlfn.XLOOKUP(O1524,[1]AttributeName!$B:$B,[1]AttributeName!$D:$D),2,_xlfn.XLOOKUP(C1524,#REF!,#REF!),3,_xlfn.XLOOKUP(C1524,#REF!,#REF!)),0)</f>
        <v>2</v>
      </c>
      <c r="T1524" cm="1">
        <f t="array" ref="T1524">IFERROR(_xlfn.SWITCH(L1524,1,_xlfn.XLOOKUP(O1524,[1]AttributeName!$B:$B,[1]AttributeName!$E:$E),2,_xlfn.XLOOKUP(C1524,#REF!,#REF!),3,_xlfn.XLOOKUP(C1524,#REF!,#REF!)),0)</f>
        <v>2</v>
      </c>
    </row>
    <row r="1525" customFormat="1" spans="1:20">
      <c r="A1525">
        <f>A1522+1</f>
        <v>615</v>
      </c>
      <c r="B1525">
        <v>1</v>
      </c>
      <c r="C1525" t="s">
        <v>437</v>
      </c>
      <c r="D1525" t="s">
        <v>29</v>
      </c>
      <c r="E1525" t="s">
        <v>378</v>
      </c>
      <c r="F1525"/>
      <c r="G1525">
        <v>1</v>
      </c>
      <c r="H1525">
        <v>250</v>
      </c>
      <c r="I1525">
        <v>1</v>
      </c>
      <c r="J1525" cm="1">
        <f t="array" ref="J1525">_xlfn.SWITCH(B1525,1,75,2,61,3,49,4,37,5,25,6,13,7,4,8,1)</f>
        <v>75</v>
      </c>
      <c r="K1525" t="str" cm="1">
        <f t="array" ref="K1525">IFERROR(_xlfn.SWITCH(L1525,2,_xlfn.XLOOKUP(C1525,[1]ModifierDes!$B:$B,[1]ModifierDes!$C:$C),3,_xlfn.XLOOKUP(C1525,[1]StuntDes!$B:$B,[1]StuntDes!$C:$C)),"")</f>
        <v/>
      </c>
      <c r="L1525">
        <f t="shared" si="64"/>
        <v>1</v>
      </c>
      <c r="M1525" s="10" t="str">
        <f>IFERROR(_xlfn.XLOOKUP(C1525,[1]StuntDes!$B:$B,[1]StuntDes!$A:$A),"")</f>
        <v/>
      </c>
      <c r="N1525" s="10" t="str">
        <f>IFERROR(_xlfn.XLOOKUP(C1525,[1]ModifierDes!$B:$B,[1]ModifierDes!$A:$A),"")</f>
        <v/>
      </c>
      <c r="O1525" s="10">
        <f>IFERROR(_xlfn.XLOOKUP(C1525,[1]AttributeName!$C:$C,[1]AttributeName!$B:$B),"")</f>
        <v>10012</v>
      </c>
      <c r="P1525" s="10"/>
      <c r="Q1525">
        <v>0.16</v>
      </c>
      <c r="R1525">
        <v>0.2</v>
      </c>
      <c r="S1525" cm="1">
        <f t="array" ref="S1525">IFERROR(_xlfn.SWITCH(L1525,1,_xlfn.XLOOKUP(O1525,[1]AttributeName!$B:$B,[1]AttributeName!$D:$D),2,_xlfn.XLOOKUP(C1525,#REF!,#REF!),3,_xlfn.XLOOKUP(C1525,#REF!,#REF!)),0)</f>
        <v>2</v>
      </c>
      <c r="T1525" cm="1">
        <f t="array" ref="T1525">IFERROR(_xlfn.SWITCH(L1525,1,_xlfn.XLOOKUP(O1525,[1]AttributeName!$B:$B,[1]AttributeName!$E:$E),2,_xlfn.XLOOKUP(C1525,#REF!,#REF!),3,_xlfn.XLOOKUP(C1525,#REF!,#REF!)),0)</f>
        <v>2</v>
      </c>
    </row>
    <row r="1526" customFormat="1" spans="1:20">
      <c r="A1526">
        <f>A1523+1</f>
        <v>615</v>
      </c>
      <c r="B1526">
        <v>5</v>
      </c>
      <c r="C1526" t="s">
        <v>437</v>
      </c>
      <c r="D1526" t="s">
        <v>29</v>
      </c>
      <c r="E1526" t="s">
        <v>378</v>
      </c>
      <c r="F1526"/>
      <c r="G1526">
        <v>1</v>
      </c>
      <c r="H1526">
        <v>500</v>
      </c>
      <c r="I1526">
        <v>1</v>
      </c>
      <c r="J1526" cm="1">
        <f t="array" ref="J1526">_xlfn.SWITCH(B1526,1,75,2,61,3,49,4,37,5,25,6,13,7,4,8,1)</f>
        <v>25</v>
      </c>
      <c r="K1526" t="str" cm="1">
        <f t="array" ref="K1526">IFERROR(_xlfn.SWITCH(L1526,2,_xlfn.XLOOKUP(C1526,[1]ModifierDes!$B:$B,[1]ModifierDes!$C:$C),3,_xlfn.XLOOKUP(C1526,[1]StuntDes!$B:$B,[1]StuntDes!$C:$C)),"")</f>
        <v/>
      </c>
      <c r="L1526">
        <f t="shared" si="64"/>
        <v>1</v>
      </c>
      <c r="M1526" s="10" t="str">
        <f>IFERROR(_xlfn.XLOOKUP(C1526,[1]StuntDes!$B:$B,[1]StuntDes!$A:$A),"")</f>
        <v/>
      </c>
      <c r="N1526" s="10" t="str">
        <f>IFERROR(_xlfn.XLOOKUP(C1526,[1]ModifierDes!$B:$B,[1]ModifierDes!$A:$A),"")</f>
        <v/>
      </c>
      <c r="O1526" s="10">
        <f>IFERROR(_xlfn.XLOOKUP(C1526,[1]AttributeName!$C:$C,[1]AttributeName!$B:$B),"")</f>
        <v>10012</v>
      </c>
      <c r="P1526" s="10"/>
      <c r="Q1526">
        <v>0.1</v>
      </c>
      <c r="R1526">
        <v>0.14</v>
      </c>
      <c r="S1526" cm="1">
        <f t="array" ref="S1526">IFERROR(_xlfn.SWITCH(L1526,1,_xlfn.XLOOKUP(O1526,[1]AttributeName!$B:$B,[1]AttributeName!$D:$D),2,_xlfn.XLOOKUP(C1526,#REF!,#REF!),3,_xlfn.XLOOKUP(C1526,#REF!,#REF!)),0)</f>
        <v>2</v>
      </c>
      <c r="T1526" cm="1">
        <f t="array" ref="T1526">IFERROR(_xlfn.SWITCH(L1526,1,_xlfn.XLOOKUP(O1526,[1]AttributeName!$B:$B,[1]AttributeName!$E:$E),2,_xlfn.XLOOKUP(C1526,#REF!,#REF!),3,_xlfn.XLOOKUP(C1526,#REF!,#REF!)),0)</f>
        <v>2</v>
      </c>
    </row>
    <row r="1527" customFormat="1" spans="1:20">
      <c r="A1527">
        <f>A1524+1</f>
        <v>615</v>
      </c>
      <c r="B1527">
        <v>8</v>
      </c>
      <c r="C1527" t="s">
        <v>437</v>
      </c>
      <c r="D1527" t="s">
        <v>29</v>
      </c>
      <c r="E1527" t="s">
        <v>378</v>
      </c>
      <c r="F1527"/>
      <c r="G1527">
        <v>1</v>
      </c>
      <c r="H1527">
        <v>750</v>
      </c>
      <c r="I1527">
        <v>1</v>
      </c>
      <c r="J1527" cm="1">
        <f t="array" ref="J1527">_xlfn.SWITCH(B1527,1,75,2,61,3,49,4,37,5,25,6,13,7,4,8,1)</f>
        <v>1</v>
      </c>
      <c r="K1527" t="str" cm="1">
        <f t="array" ref="K1527">IFERROR(_xlfn.SWITCH(L1527,2,_xlfn.XLOOKUP(C1527,[1]ModifierDes!$B:$B,[1]ModifierDes!$C:$C),3,_xlfn.XLOOKUP(C1527,[1]StuntDes!$B:$B,[1]StuntDes!$C:$C)),"")</f>
        <v/>
      </c>
      <c r="L1527">
        <f t="shared" si="64"/>
        <v>1</v>
      </c>
      <c r="M1527" s="10" t="str">
        <f>IFERROR(_xlfn.XLOOKUP(C1527,[1]StuntDes!$B:$B,[1]StuntDes!$A:$A),"")</f>
        <v/>
      </c>
      <c r="N1527" s="10" t="str">
        <f>IFERROR(_xlfn.XLOOKUP(C1527,[1]ModifierDes!$B:$B,[1]ModifierDes!$A:$A),"")</f>
        <v/>
      </c>
      <c r="O1527" s="10">
        <f>IFERROR(_xlfn.XLOOKUP(C1527,[1]AttributeName!$C:$C,[1]AttributeName!$B:$B),"")</f>
        <v>10012</v>
      </c>
      <c r="P1527" s="10"/>
      <c r="Q1527">
        <v>0.06</v>
      </c>
      <c r="R1527">
        <v>0.08</v>
      </c>
      <c r="S1527" cm="1">
        <f t="array" ref="S1527">IFERROR(_xlfn.SWITCH(L1527,1,_xlfn.XLOOKUP(O1527,[1]AttributeName!$B:$B,[1]AttributeName!$D:$D),2,_xlfn.XLOOKUP(C1527,#REF!,#REF!),3,_xlfn.XLOOKUP(C1527,#REF!,#REF!)),0)</f>
        <v>2</v>
      </c>
      <c r="T1527" cm="1">
        <f t="array" ref="T1527">IFERROR(_xlfn.SWITCH(L1527,1,_xlfn.XLOOKUP(O1527,[1]AttributeName!$B:$B,[1]AttributeName!$E:$E),2,_xlfn.XLOOKUP(C1527,#REF!,#REF!),3,_xlfn.XLOOKUP(C1527,#REF!,#REF!)),0)</f>
        <v>2</v>
      </c>
    </row>
    <row r="1528" customFormat="1" spans="1:20">
      <c r="A1528">
        <v>651</v>
      </c>
      <c r="B1528">
        <v>1</v>
      </c>
      <c r="C1528" t="s">
        <v>73</v>
      </c>
      <c r="D1528" t="s">
        <v>29</v>
      </c>
      <c r="E1528" t="s">
        <v>392</v>
      </c>
      <c r="F1528"/>
      <c r="G1528">
        <v>2</v>
      </c>
      <c r="H1528">
        <v>250</v>
      </c>
      <c r="J1528" cm="1">
        <f t="array" ref="J1528">_xlfn.SWITCH(B1528,1,75,2,61,3,49,4,37,5,25,6,13,7,4,8,1)</f>
        <v>75</v>
      </c>
      <c r="K1528" t="str" cm="1">
        <f t="array" ref="K1528">IFERROR(_xlfn.SWITCH(L1528,2,_xlfn.XLOOKUP(C1528,[1]ModifierDes!$B:$B,[1]ModifierDes!$C:$C),3,_xlfn.XLOOKUP(C1528,[1]StuntDes!$B:$B,[1]StuntDes!$C:$C)),"")</f>
        <v/>
      </c>
      <c r="L1528">
        <f t="shared" si="64"/>
        <v>1</v>
      </c>
      <c r="M1528" s="10" t="str">
        <f>IFERROR(_xlfn.XLOOKUP(C1528,[1]StuntDes!$B:$B,[1]StuntDes!$A:$A),"")</f>
        <v/>
      </c>
      <c r="N1528" s="10" t="str">
        <f>IFERROR(_xlfn.XLOOKUP(C1528,[1]ModifierDes!$B:$B,[1]ModifierDes!$A:$A),"")</f>
        <v/>
      </c>
      <c r="O1528" s="10">
        <f>IFERROR(_xlfn.XLOOKUP(C1528,[1]AttributeName!$C:$C,[1]AttributeName!$B:$B),"")</f>
        <v>10311</v>
      </c>
      <c r="P1528" s="10"/>
      <c r="Q1528">
        <v>0.3</v>
      </c>
      <c r="R1528">
        <v>0.4</v>
      </c>
      <c r="S1528" cm="1">
        <f t="array" ref="S1528">IFERROR(_xlfn.SWITCH(L1528,1,_xlfn.XLOOKUP(O1528,[1]AttributeName!$B:$B,[1]AttributeName!$D:$D),2,_xlfn.XLOOKUP(C1528,#REF!,#REF!),3,_xlfn.XLOOKUP(C1528,#REF!,#REF!)),0)</f>
        <v>2</v>
      </c>
      <c r="T1528" cm="1">
        <f t="array" ref="T1528">IFERROR(_xlfn.SWITCH(L1528,1,_xlfn.XLOOKUP(O1528,[1]AttributeName!$B:$B,[1]AttributeName!$E:$E),2,_xlfn.XLOOKUP(C1528,#REF!,#REF!),3,_xlfn.XLOOKUP(C1528,#REF!,#REF!)),0)</f>
        <v>2</v>
      </c>
    </row>
    <row r="1529" customFormat="1" spans="1:20">
      <c r="A1529">
        <v>651</v>
      </c>
      <c r="B1529">
        <v>2</v>
      </c>
      <c r="C1529" t="s">
        <v>73</v>
      </c>
      <c r="D1529" t="s">
        <v>29</v>
      </c>
      <c r="E1529" t="s">
        <v>392</v>
      </c>
      <c r="F1529"/>
      <c r="G1529">
        <v>2</v>
      </c>
      <c r="H1529">
        <v>500</v>
      </c>
      <c r="J1529" cm="1">
        <f t="array" ref="J1529">_xlfn.SWITCH(B1529,1,75,2,61,3,49,4,37,5,25,6,13,7,4,8,1)</f>
        <v>61</v>
      </c>
      <c r="K1529" t="str" cm="1">
        <f t="array" ref="K1529">IFERROR(_xlfn.SWITCH(L1529,2,_xlfn.XLOOKUP(C1529,[1]ModifierDes!$B:$B,[1]ModifierDes!$C:$C),3,_xlfn.XLOOKUP(C1529,[1]StuntDes!$B:$B,[1]StuntDes!$C:$C)),"")</f>
        <v/>
      </c>
      <c r="L1529">
        <f t="shared" si="64"/>
        <v>1</v>
      </c>
      <c r="M1529" s="10" t="str">
        <f>IFERROR(_xlfn.XLOOKUP(C1529,[1]StuntDes!$B:$B,[1]StuntDes!$A:$A),"")</f>
        <v/>
      </c>
      <c r="N1529" s="10" t="str">
        <f>IFERROR(_xlfn.XLOOKUP(C1529,[1]ModifierDes!$B:$B,[1]ModifierDes!$A:$A),"")</f>
        <v/>
      </c>
      <c r="O1529" s="10">
        <f>IFERROR(_xlfn.XLOOKUP(C1529,[1]AttributeName!$C:$C,[1]AttributeName!$B:$B),"")</f>
        <v>10311</v>
      </c>
      <c r="P1529" s="10"/>
      <c r="Q1529">
        <v>0.26</v>
      </c>
      <c r="R1529">
        <v>0.29</v>
      </c>
      <c r="S1529" cm="1">
        <f t="array" ref="S1529">IFERROR(_xlfn.SWITCH(L1529,1,_xlfn.XLOOKUP(O1529,[1]AttributeName!$B:$B,[1]AttributeName!$D:$D),2,_xlfn.XLOOKUP(C1529,#REF!,#REF!),3,_xlfn.XLOOKUP(C1529,#REF!,#REF!)),0)</f>
        <v>2</v>
      </c>
      <c r="T1529" cm="1">
        <f t="array" ref="T1529">IFERROR(_xlfn.SWITCH(L1529,1,_xlfn.XLOOKUP(O1529,[1]AttributeName!$B:$B,[1]AttributeName!$E:$E),2,_xlfn.XLOOKUP(C1529,#REF!,#REF!),3,_xlfn.XLOOKUP(C1529,#REF!,#REF!)),0)</f>
        <v>2</v>
      </c>
    </row>
    <row r="1530" customFormat="1" spans="1:20">
      <c r="A1530">
        <v>651</v>
      </c>
      <c r="B1530">
        <v>3</v>
      </c>
      <c r="C1530" t="s">
        <v>73</v>
      </c>
      <c r="D1530" t="s">
        <v>29</v>
      </c>
      <c r="E1530" t="s">
        <v>392</v>
      </c>
      <c r="F1530"/>
      <c r="G1530">
        <v>2</v>
      </c>
      <c r="H1530">
        <v>750</v>
      </c>
      <c r="J1530" cm="1">
        <f t="array" ref="J1530">_xlfn.SWITCH(B1530,1,75,2,61,3,49,4,37,5,25,6,13,7,4,8,1)</f>
        <v>49</v>
      </c>
      <c r="K1530" t="str" cm="1">
        <f t="array" ref="K1530">IFERROR(_xlfn.SWITCH(L1530,2,_xlfn.XLOOKUP(C1530,[1]ModifierDes!$B:$B,[1]ModifierDes!$C:$C),3,_xlfn.XLOOKUP(C1530,[1]StuntDes!$B:$B,[1]StuntDes!$C:$C)),"")</f>
        <v/>
      </c>
      <c r="L1530">
        <f t="shared" si="64"/>
        <v>1</v>
      </c>
      <c r="M1530" s="10" t="str">
        <f>IFERROR(_xlfn.XLOOKUP(C1530,[1]StuntDes!$B:$B,[1]StuntDes!$A:$A),"")</f>
        <v/>
      </c>
      <c r="N1530" s="10" t="str">
        <f>IFERROR(_xlfn.XLOOKUP(C1530,[1]ModifierDes!$B:$B,[1]ModifierDes!$A:$A),"")</f>
        <v/>
      </c>
      <c r="O1530" s="10">
        <f>IFERROR(_xlfn.XLOOKUP(C1530,[1]AttributeName!$C:$C,[1]AttributeName!$B:$B),"")</f>
        <v>10311</v>
      </c>
      <c r="P1530" s="10"/>
      <c r="Q1530">
        <v>0.22</v>
      </c>
      <c r="R1530">
        <v>0.25</v>
      </c>
      <c r="S1530" cm="1">
        <f t="array" ref="S1530">IFERROR(_xlfn.SWITCH(L1530,1,_xlfn.XLOOKUP(O1530,[1]AttributeName!$B:$B,[1]AttributeName!$D:$D),2,_xlfn.XLOOKUP(C1530,#REF!,#REF!),3,_xlfn.XLOOKUP(C1530,#REF!,#REF!)),0)</f>
        <v>2</v>
      </c>
      <c r="T1530" cm="1">
        <f t="array" ref="T1530">IFERROR(_xlfn.SWITCH(L1530,1,_xlfn.XLOOKUP(O1530,[1]AttributeName!$B:$B,[1]AttributeName!$E:$E),2,_xlfn.XLOOKUP(C1530,#REF!,#REF!),3,_xlfn.XLOOKUP(C1530,#REF!,#REF!)),0)</f>
        <v>2</v>
      </c>
    </row>
    <row r="1531" customFormat="1" spans="1:20">
      <c r="A1531">
        <v>651</v>
      </c>
      <c r="B1531">
        <v>4</v>
      </c>
      <c r="C1531" t="s">
        <v>73</v>
      </c>
      <c r="D1531" t="s">
        <v>29</v>
      </c>
      <c r="E1531" t="s">
        <v>392</v>
      </c>
      <c r="F1531"/>
      <c r="G1531">
        <v>2</v>
      </c>
      <c r="H1531">
        <v>1000</v>
      </c>
      <c r="J1531" cm="1">
        <f t="array" ref="J1531">_xlfn.SWITCH(B1531,1,75,2,61,3,49,4,37,5,25,6,13,7,4,8,1)</f>
        <v>37</v>
      </c>
      <c r="K1531" t="str" cm="1">
        <f t="array" ref="K1531">IFERROR(_xlfn.SWITCH(L1531,2,_xlfn.XLOOKUP(C1531,[1]ModifierDes!$B:$B,[1]ModifierDes!$C:$C),3,_xlfn.XLOOKUP(C1531,[1]StuntDes!$B:$B,[1]StuntDes!$C:$C)),"")</f>
        <v/>
      </c>
      <c r="L1531">
        <f t="shared" si="64"/>
        <v>1</v>
      </c>
      <c r="M1531" s="10" t="str">
        <f>IFERROR(_xlfn.XLOOKUP(C1531,[1]StuntDes!$B:$B,[1]StuntDes!$A:$A),"")</f>
        <v/>
      </c>
      <c r="N1531" s="10" t="str">
        <f>IFERROR(_xlfn.XLOOKUP(C1531,[1]ModifierDes!$B:$B,[1]ModifierDes!$A:$A),"")</f>
        <v/>
      </c>
      <c r="O1531" s="10">
        <f>IFERROR(_xlfn.XLOOKUP(C1531,[1]AttributeName!$C:$C,[1]AttributeName!$B:$B),"")</f>
        <v>10311</v>
      </c>
      <c r="P1531" s="10"/>
      <c r="Q1531">
        <v>0.18</v>
      </c>
      <c r="R1531">
        <v>0.21</v>
      </c>
      <c r="S1531" cm="1">
        <f t="array" ref="S1531">IFERROR(_xlfn.SWITCH(L1531,1,_xlfn.XLOOKUP(O1531,[1]AttributeName!$B:$B,[1]AttributeName!$D:$D),2,_xlfn.XLOOKUP(C1531,#REF!,#REF!),3,_xlfn.XLOOKUP(C1531,#REF!,#REF!)),0)</f>
        <v>2</v>
      </c>
      <c r="T1531" cm="1">
        <f t="array" ref="T1531">IFERROR(_xlfn.SWITCH(L1531,1,_xlfn.XLOOKUP(O1531,[1]AttributeName!$B:$B,[1]AttributeName!$E:$E),2,_xlfn.XLOOKUP(C1531,#REF!,#REF!),3,_xlfn.XLOOKUP(C1531,#REF!,#REF!)),0)</f>
        <v>2</v>
      </c>
    </row>
    <row r="1532" customFormat="1" spans="1:20">
      <c r="A1532">
        <v>651</v>
      </c>
      <c r="B1532">
        <v>5</v>
      </c>
      <c r="C1532" t="s">
        <v>73</v>
      </c>
      <c r="D1532" t="s">
        <v>29</v>
      </c>
      <c r="E1532" t="s">
        <v>392</v>
      </c>
      <c r="F1532"/>
      <c r="G1532">
        <v>2</v>
      </c>
      <c r="H1532">
        <v>1000</v>
      </c>
      <c r="J1532" cm="1">
        <f t="array" ref="J1532">_xlfn.SWITCH(B1532,1,75,2,61,3,49,4,37,5,25,6,13,7,4,8,1)</f>
        <v>25</v>
      </c>
      <c r="K1532" t="str" cm="1">
        <f t="array" ref="K1532">IFERROR(_xlfn.SWITCH(L1532,2,_xlfn.XLOOKUP(C1532,[1]ModifierDes!$B:$B,[1]ModifierDes!$C:$C),3,_xlfn.XLOOKUP(C1532,[1]StuntDes!$B:$B,[1]StuntDes!$C:$C)),"")</f>
        <v/>
      </c>
      <c r="L1532">
        <f t="shared" si="64"/>
        <v>1</v>
      </c>
      <c r="M1532" s="10" t="str">
        <f>IFERROR(_xlfn.XLOOKUP(C1532,[1]StuntDes!$B:$B,[1]StuntDes!$A:$A),"")</f>
        <v/>
      </c>
      <c r="N1532" s="10" t="str">
        <f>IFERROR(_xlfn.XLOOKUP(C1532,[1]ModifierDes!$B:$B,[1]ModifierDes!$A:$A),"")</f>
        <v/>
      </c>
      <c r="O1532" s="10">
        <f>IFERROR(_xlfn.XLOOKUP(C1532,[1]AttributeName!$C:$C,[1]AttributeName!$B:$B),"")</f>
        <v>10311</v>
      </c>
      <c r="P1532" s="10"/>
      <c r="Q1532">
        <v>0.14</v>
      </c>
      <c r="R1532">
        <v>0.17</v>
      </c>
      <c r="S1532" cm="1">
        <f t="array" ref="S1532">IFERROR(_xlfn.SWITCH(L1532,1,_xlfn.XLOOKUP(O1532,[1]AttributeName!$B:$B,[1]AttributeName!$D:$D),2,_xlfn.XLOOKUP(C1532,#REF!,#REF!),3,_xlfn.XLOOKUP(C1532,#REF!,#REF!)),0)</f>
        <v>2</v>
      </c>
      <c r="T1532" cm="1">
        <f t="array" ref="T1532">IFERROR(_xlfn.SWITCH(L1532,1,_xlfn.XLOOKUP(O1532,[1]AttributeName!$B:$B,[1]AttributeName!$E:$E),2,_xlfn.XLOOKUP(C1532,#REF!,#REF!),3,_xlfn.XLOOKUP(C1532,#REF!,#REF!)),0)</f>
        <v>2</v>
      </c>
    </row>
    <row r="1533" customFormat="1" spans="1:20">
      <c r="A1533">
        <v>651</v>
      </c>
      <c r="B1533">
        <v>6</v>
      </c>
      <c r="C1533" t="s">
        <v>73</v>
      </c>
      <c r="D1533" t="s">
        <v>29</v>
      </c>
      <c r="E1533" t="s">
        <v>392</v>
      </c>
      <c r="F1533"/>
      <c r="G1533">
        <v>2</v>
      </c>
      <c r="H1533">
        <v>1000</v>
      </c>
      <c r="J1533" cm="1">
        <f t="array" ref="J1533">_xlfn.SWITCH(B1533,1,75,2,61,3,49,4,37,5,25,6,13,7,4,8,1)</f>
        <v>13</v>
      </c>
      <c r="K1533" t="str" cm="1">
        <f t="array" ref="K1533">IFERROR(_xlfn.SWITCH(L1533,2,_xlfn.XLOOKUP(C1533,[1]ModifierDes!$B:$B,[1]ModifierDes!$C:$C),3,_xlfn.XLOOKUP(C1533,[1]StuntDes!$B:$B,[1]StuntDes!$C:$C)),"")</f>
        <v/>
      </c>
      <c r="L1533">
        <f t="shared" si="64"/>
        <v>1</v>
      </c>
      <c r="M1533" s="10" t="str">
        <f>IFERROR(_xlfn.XLOOKUP(C1533,[1]StuntDes!$B:$B,[1]StuntDes!$A:$A),"")</f>
        <v/>
      </c>
      <c r="N1533" s="10" t="str">
        <f>IFERROR(_xlfn.XLOOKUP(C1533,[1]ModifierDes!$B:$B,[1]ModifierDes!$A:$A),"")</f>
        <v/>
      </c>
      <c r="O1533" s="10">
        <f>IFERROR(_xlfn.XLOOKUP(C1533,[1]AttributeName!$C:$C,[1]AttributeName!$B:$B),"")</f>
        <v>10311</v>
      </c>
      <c r="P1533" s="10"/>
      <c r="Q1533">
        <v>0.1</v>
      </c>
      <c r="R1533">
        <v>0.13</v>
      </c>
      <c r="S1533" cm="1">
        <f t="array" ref="S1533">IFERROR(_xlfn.SWITCH(L1533,1,_xlfn.XLOOKUP(O1533,[1]AttributeName!$B:$B,[1]AttributeName!$D:$D),2,_xlfn.XLOOKUP(C1533,#REF!,#REF!),3,_xlfn.XLOOKUP(C1533,#REF!,#REF!)),0)</f>
        <v>2</v>
      </c>
      <c r="T1533" cm="1">
        <f t="array" ref="T1533">IFERROR(_xlfn.SWITCH(L1533,1,_xlfn.XLOOKUP(O1533,[1]AttributeName!$B:$B,[1]AttributeName!$E:$E),2,_xlfn.XLOOKUP(C1533,#REF!,#REF!),3,_xlfn.XLOOKUP(C1533,#REF!,#REF!)),0)</f>
        <v>2</v>
      </c>
    </row>
    <row r="1534" customFormat="1" spans="1:20">
      <c r="A1534">
        <v>651</v>
      </c>
      <c r="B1534">
        <v>7</v>
      </c>
      <c r="C1534" t="s">
        <v>73</v>
      </c>
      <c r="D1534" t="s">
        <v>29</v>
      </c>
      <c r="E1534" t="s">
        <v>392</v>
      </c>
      <c r="F1534"/>
      <c r="G1534">
        <v>2</v>
      </c>
      <c r="H1534">
        <v>1000</v>
      </c>
      <c r="J1534" cm="1">
        <f t="array" ref="J1534">_xlfn.SWITCH(B1534,1,75,2,61,3,49,4,37,5,25,6,13,7,4,8,1)</f>
        <v>4</v>
      </c>
      <c r="K1534" t="str" cm="1">
        <f t="array" ref="K1534">IFERROR(_xlfn.SWITCH(L1534,2,_xlfn.XLOOKUP(C1534,[1]ModifierDes!$B:$B,[1]ModifierDes!$C:$C),3,_xlfn.XLOOKUP(C1534,[1]StuntDes!$B:$B,[1]StuntDes!$C:$C)),"")</f>
        <v/>
      </c>
      <c r="L1534">
        <f t="shared" si="64"/>
        <v>1</v>
      </c>
      <c r="M1534" s="10" t="str">
        <f>IFERROR(_xlfn.XLOOKUP(C1534,[1]StuntDes!$B:$B,[1]StuntDes!$A:$A),"")</f>
        <v/>
      </c>
      <c r="N1534" s="10" t="str">
        <f>IFERROR(_xlfn.XLOOKUP(C1534,[1]ModifierDes!$B:$B,[1]ModifierDes!$A:$A),"")</f>
        <v/>
      </c>
      <c r="O1534" s="10">
        <f>IFERROR(_xlfn.XLOOKUP(C1534,[1]AttributeName!$C:$C,[1]AttributeName!$B:$B),"")</f>
        <v>10311</v>
      </c>
      <c r="P1534" s="10"/>
      <c r="Q1534">
        <v>0.06</v>
      </c>
      <c r="R1534">
        <v>0.0900000000000001</v>
      </c>
      <c r="S1534" cm="1">
        <f t="array" ref="S1534">IFERROR(_xlfn.SWITCH(L1534,1,_xlfn.XLOOKUP(O1534,[1]AttributeName!$B:$B,[1]AttributeName!$D:$D),2,_xlfn.XLOOKUP(C1534,#REF!,#REF!),3,_xlfn.XLOOKUP(C1534,#REF!,#REF!)),0)</f>
        <v>2</v>
      </c>
      <c r="T1534" cm="1">
        <f t="array" ref="T1534">IFERROR(_xlfn.SWITCH(L1534,1,_xlfn.XLOOKUP(O1534,[1]AttributeName!$B:$B,[1]AttributeName!$E:$E),2,_xlfn.XLOOKUP(C1534,#REF!,#REF!),3,_xlfn.XLOOKUP(C1534,#REF!,#REF!)),0)</f>
        <v>2</v>
      </c>
    </row>
    <row r="1535" customFormat="1" spans="1:20">
      <c r="A1535">
        <v>651</v>
      </c>
      <c r="B1535">
        <v>8</v>
      </c>
      <c r="C1535" t="s">
        <v>73</v>
      </c>
      <c r="D1535" t="s">
        <v>29</v>
      </c>
      <c r="E1535" t="s">
        <v>392</v>
      </c>
      <c r="F1535"/>
      <c r="G1535">
        <v>2</v>
      </c>
      <c r="H1535">
        <v>1000</v>
      </c>
      <c r="J1535" cm="1">
        <f t="array" ref="J1535">_xlfn.SWITCH(B1535,1,75,2,61,3,49,4,37,5,25,6,13,7,4,8,1)</f>
        <v>1</v>
      </c>
      <c r="K1535" t="str" cm="1">
        <f t="array" ref="K1535">IFERROR(_xlfn.SWITCH(L1535,2,_xlfn.XLOOKUP(C1535,[1]ModifierDes!$B:$B,[1]ModifierDes!$C:$C),3,_xlfn.XLOOKUP(C1535,[1]StuntDes!$B:$B,[1]StuntDes!$C:$C)),"")</f>
        <v/>
      </c>
      <c r="L1535">
        <f t="shared" si="64"/>
        <v>1</v>
      </c>
      <c r="M1535" s="10" t="str">
        <f>IFERROR(_xlfn.XLOOKUP(C1535,[1]StuntDes!$B:$B,[1]StuntDes!$A:$A),"")</f>
        <v/>
      </c>
      <c r="N1535" s="10" t="str">
        <f>IFERROR(_xlfn.XLOOKUP(C1535,[1]ModifierDes!$B:$B,[1]ModifierDes!$A:$A),"")</f>
        <v/>
      </c>
      <c r="O1535" s="10">
        <f>IFERROR(_xlfn.XLOOKUP(C1535,[1]AttributeName!$C:$C,[1]AttributeName!$B:$B),"")</f>
        <v>10311</v>
      </c>
      <c r="P1535" s="10"/>
      <c r="Q1535">
        <v>0.02</v>
      </c>
      <c r="R1535">
        <v>0.0500000000000001</v>
      </c>
      <c r="S1535" cm="1">
        <f t="array" ref="S1535">IFERROR(_xlfn.SWITCH(L1535,1,_xlfn.XLOOKUP(O1535,[1]AttributeName!$B:$B,[1]AttributeName!$D:$D),2,_xlfn.XLOOKUP(C1535,#REF!,#REF!),3,_xlfn.XLOOKUP(C1535,#REF!,#REF!)),0)</f>
        <v>2</v>
      </c>
      <c r="T1535" cm="1">
        <f t="array" ref="T1535">IFERROR(_xlfn.SWITCH(L1535,1,_xlfn.XLOOKUP(O1535,[1]AttributeName!$B:$B,[1]AttributeName!$E:$E),2,_xlfn.XLOOKUP(C1535,#REF!,#REF!),3,_xlfn.XLOOKUP(C1535,#REF!,#REF!)),0)</f>
        <v>2</v>
      </c>
    </row>
    <row r="1536" customFormat="1" spans="1:20">
      <c r="A1536">
        <f t="shared" ref="A1536:A1567" si="66">A1528+1</f>
        <v>652</v>
      </c>
      <c r="B1536">
        <v>1</v>
      </c>
      <c r="C1536" t="s">
        <v>423</v>
      </c>
      <c r="D1536" t="s">
        <v>29</v>
      </c>
      <c r="E1536" t="s">
        <v>392</v>
      </c>
      <c r="F1536"/>
      <c r="G1536">
        <v>2</v>
      </c>
      <c r="H1536">
        <v>250</v>
      </c>
      <c r="J1536" cm="1">
        <f t="array" ref="J1536">_xlfn.SWITCH(B1536,1,75,2,61,3,49,4,37,5,25,6,13,7,4,8,1)</f>
        <v>75</v>
      </c>
      <c r="K1536" t="str" cm="1">
        <f t="array" ref="K1536">IFERROR(_xlfn.SWITCH(L1536,2,_xlfn.XLOOKUP(C1536,[1]ModifierDes!$B:$B,[1]ModifierDes!$C:$C),3,_xlfn.XLOOKUP(C1536,[1]StuntDes!$B:$B,[1]StuntDes!$C:$C)),"")</f>
        <v/>
      </c>
      <c r="L1536">
        <f t="shared" si="64"/>
        <v>1</v>
      </c>
      <c r="M1536" s="10" t="str">
        <f>IFERROR(_xlfn.XLOOKUP(C1536,[1]StuntDes!$B:$B,[1]StuntDes!$A:$A),"")</f>
        <v/>
      </c>
      <c r="N1536" s="10" t="str">
        <f>IFERROR(_xlfn.XLOOKUP(C1536,[1]ModifierDes!$B:$B,[1]ModifierDes!$A:$A),"")</f>
        <v/>
      </c>
      <c r="O1536" s="10">
        <f>IFERROR(_xlfn.XLOOKUP(C1536,[1]AttributeName!$C:$C,[1]AttributeName!$B:$B),"")</f>
        <v>10312</v>
      </c>
      <c r="P1536" s="10"/>
      <c r="Q1536">
        <v>0.3</v>
      </c>
      <c r="R1536">
        <v>0.4</v>
      </c>
      <c r="S1536" cm="1">
        <f t="array" ref="S1536">IFERROR(_xlfn.SWITCH(L1536,1,_xlfn.XLOOKUP(O1536,[1]AttributeName!$B:$B,[1]AttributeName!$D:$D),2,_xlfn.XLOOKUP(C1536,#REF!,#REF!),3,_xlfn.XLOOKUP(C1536,#REF!,#REF!)),0)</f>
        <v>2</v>
      </c>
      <c r="T1536" cm="1">
        <f t="array" ref="T1536">IFERROR(_xlfn.SWITCH(L1536,1,_xlfn.XLOOKUP(O1536,[1]AttributeName!$B:$B,[1]AttributeName!$E:$E),2,_xlfn.XLOOKUP(C1536,#REF!,#REF!),3,_xlfn.XLOOKUP(C1536,#REF!,#REF!)),0)</f>
        <v>2</v>
      </c>
    </row>
    <row r="1537" customFormat="1" spans="1:20">
      <c r="A1537">
        <f t="shared" si="66"/>
        <v>652</v>
      </c>
      <c r="B1537">
        <v>2</v>
      </c>
      <c r="C1537" t="s">
        <v>423</v>
      </c>
      <c r="D1537" t="s">
        <v>29</v>
      </c>
      <c r="E1537" t="s">
        <v>392</v>
      </c>
      <c r="F1537"/>
      <c r="G1537">
        <v>2</v>
      </c>
      <c r="H1537">
        <v>500</v>
      </c>
      <c r="J1537" cm="1">
        <f t="array" ref="J1537">_xlfn.SWITCH(B1537,1,75,2,61,3,49,4,37,5,25,6,13,7,4,8,1)</f>
        <v>61</v>
      </c>
      <c r="K1537" t="str" cm="1">
        <f t="array" ref="K1537">IFERROR(_xlfn.SWITCH(L1537,2,_xlfn.XLOOKUP(C1537,[1]ModifierDes!$B:$B,[1]ModifierDes!$C:$C),3,_xlfn.XLOOKUP(C1537,[1]StuntDes!$B:$B,[1]StuntDes!$C:$C)),"")</f>
        <v/>
      </c>
      <c r="L1537">
        <f t="shared" si="64"/>
        <v>1</v>
      </c>
      <c r="M1537" s="10" t="str">
        <f>IFERROR(_xlfn.XLOOKUP(C1537,[1]StuntDes!$B:$B,[1]StuntDes!$A:$A),"")</f>
        <v/>
      </c>
      <c r="N1537" s="10" t="str">
        <f>IFERROR(_xlfn.XLOOKUP(C1537,[1]ModifierDes!$B:$B,[1]ModifierDes!$A:$A),"")</f>
        <v/>
      </c>
      <c r="O1537" s="10">
        <f>IFERROR(_xlfn.XLOOKUP(C1537,[1]AttributeName!$C:$C,[1]AttributeName!$B:$B),"")</f>
        <v>10312</v>
      </c>
      <c r="P1537" s="10"/>
      <c r="Q1537">
        <v>0.26</v>
      </c>
      <c r="R1537">
        <v>0.29</v>
      </c>
      <c r="S1537" cm="1">
        <f t="array" ref="S1537">IFERROR(_xlfn.SWITCH(L1537,1,_xlfn.XLOOKUP(O1537,[1]AttributeName!$B:$B,[1]AttributeName!$D:$D),2,_xlfn.XLOOKUP(C1537,#REF!,#REF!),3,_xlfn.XLOOKUP(C1537,#REF!,#REF!)),0)</f>
        <v>2</v>
      </c>
      <c r="T1537" cm="1">
        <f t="array" ref="T1537">IFERROR(_xlfn.SWITCH(L1537,1,_xlfn.XLOOKUP(O1537,[1]AttributeName!$B:$B,[1]AttributeName!$E:$E),2,_xlfn.XLOOKUP(C1537,#REF!,#REF!),3,_xlfn.XLOOKUP(C1537,#REF!,#REF!)),0)</f>
        <v>2</v>
      </c>
    </row>
    <row r="1538" customFormat="1" spans="1:20">
      <c r="A1538">
        <f t="shared" si="66"/>
        <v>652</v>
      </c>
      <c r="B1538">
        <v>3</v>
      </c>
      <c r="C1538" t="s">
        <v>423</v>
      </c>
      <c r="D1538" t="s">
        <v>29</v>
      </c>
      <c r="E1538" t="s">
        <v>392</v>
      </c>
      <c r="F1538"/>
      <c r="G1538">
        <v>2</v>
      </c>
      <c r="H1538">
        <v>750</v>
      </c>
      <c r="J1538" cm="1">
        <f t="array" ref="J1538">_xlfn.SWITCH(B1538,1,75,2,61,3,49,4,37,5,25,6,13,7,4,8,1)</f>
        <v>49</v>
      </c>
      <c r="K1538" t="str" cm="1">
        <f t="array" ref="K1538">IFERROR(_xlfn.SWITCH(L1538,2,_xlfn.XLOOKUP(C1538,[1]ModifierDes!$B:$B,[1]ModifierDes!$C:$C),3,_xlfn.XLOOKUP(C1538,[1]StuntDes!$B:$B,[1]StuntDes!$C:$C)),"")</f>
        <v/>
      </c>
      <c r="L1538">
        <f t="shared" si="64"/>
        <v>1</v>
      </c>
      <c r="M1538" s="10" t="str">
        <f>IFERROR(_xlfn.XLOOKUP(C1538,[1]StuntDes!$B:$B,[1]StuntDes!$A:$A),"")</f>
        <v/>
      </c>
      <c r="N1538" s="10" t="str">
        <f>IFERROR(_xlfn.XLOOKUP(C1538,[1]ModifierDes!$B:$B,[1]ModifierDes!$A:$A),"")</f>
        <v/>
      </c>
      <c r="O1538" s="10">
        <f>IFERROR(_xlfn.XLOOKUP(C1538,[1]AttributeName!$C:$C,[1]AttributeName!$B:$B),"")</f>
        <v>10312</v>
      </c>
      <c r="P1538" s="10"/>
      <c r="Q1538">
        <v>0.22</v>
      </c>
      <c r="R1538">
        <v>0.25</v>
      </c>
      <c r="S1538" cm="1">
        <f t="array" ref="S1538">IFERROR(_xlfn.SWITCH(L1538,1,_xlfn.XLOOKUP(O1538,[1]AttributeName!$B:$B,[1]AttributeName!$D:$D),2,_xlfn.XLOOKUP(C1538,#REF!,#REF!),3,_xlfn.XLOOKUP(C1538,#REF!,#REF!)),0)</f>
        <v>2</v>
      </c>
      <c r="T1538" cm="1">
        <f t="array" ref="T1538">IFERROR(_xlfn.SWITCH(L1538,1,_xlfn.XLOOKUP(O1538,[1]AttributeName!$B:$B,[1]AttributeName!$E:$E),2,_xlfn.XLOOKUP(C1538,#REF!,#REF!),3,_xlfn.XLOOKUP(C1538,#REF!,#REF!)),0)</f>
        <v>2</v>
      </c>
    </row>
    <row r="1539" customFormat="1" spans="1:20">
      <c r="A1539">
        <f t="shared" si="66"/>
        <v>652</v>
      </c>
      <c r="B1539">
        <v>4</v>
      </c>
      <c r="C1539" t="s">
        <v>423</v>
      </c>
      <c r="D1539" t="s">
        <v>29</v>
      </c>
      <c r="E1539" t="s">
        <v>392</v>
      </c>
      <c r="F1539"/>
      <c r="G1539">
        <v>2</v>
      </c>
      <c r="H1539">
        <v>1000</v>
      </c>
      <c r="J1539" cm="1">
        <f t="array" ref="J1539">_xlfn.SWITCH(B1539,1,75,2,61,3,49,4,37,5,25,6,13,7,4,8,1)</f>
        <v>37</v>
      </c>
      <c r="K1539" t="str" cm="1">
        <f t="array" ref="K1539">IFERROR(_xlfn.SWITCH(L1539,2,_xlfn.XLOOKUP(C1539,[1]ModifierDes!$B:$B,[1]ModifierDes!$C:$C),3,_xlfn.XLOOKUP(C1539,[1]StuntDes!$B:$B,[1]StuntDes!$C:$C)),"")</f>
        <v/>
      </c>
      <c r="L1539">
        <f t="shared" si="64"/>
        <v>1</v>
      </c>
      <c r="M1539" s="10" t="str">
        <f>IFERROR(_xlfn.XLOOKUP(C1539,[1]StuntDes!$B:$B,[1]StuntDes!$A:$A),"")</f>
        <v/>
      </c>
      <c r="N1539" s="10" t="str">
        <f>IFERROR(_xlfn.XLOOKUP(C1539,[1]ModifierDes!$B:$B,[1]ModifierDes!$A:$A),"")</f>
        <v/>
      </c>
      <c r="O1539" s="10">
        <f>IFERROR(_xlfn.XLOOKUP(C1539,[1]AttributeName!$C:$C,[1]AttributeName!$B:$B),"")</f>
        <v>10312</v>
      </c>
      <c r="P1539" s="10"/>
      <c r="Q1539">
        <v>0.18</v>
      </c>
      <c r="R1539">
        <v>0.21</v>
      </c>
      <c r="S1539" cm="1">
        <f t="array" ref="S1539">IFERROR(_xlfn.SWITCH(L1539,1,_xlfn.XLOOKUP(O1539,[1]AttributeName!$B:$B,[1]AttributeName!$D:$D),2,_xlfn.XLOOKUP(C1539,#REF!,#REF!),3,_xlfn.XLOOKUP(C1539,#REF!,#REF!)),0)</f>
        <v>2</v>
      </c>
      <c r="T1539" cm="1">
        <f t="array" ref="T1539">IFERROR(_xlfn.SWITCH(L1539,1,_xlfn.XLOOKUP(O1539,[1]AttributeName!$B:$B,[1]AttributeName!$E:$E),2,_xlfn.XLOOKUP(C1539,#REF!,#REF!),3,_xlfn.XLOOKUP(C1539,#REF!,#REF!)),0)</f>
        <v>2</v>
      </c>
    </row>
    <row r="1540" customFormat="1" spans="1:20">
      <c r="A1540">
        <f t="shared" si="66"/>
        <v>652</v>
      </c>
      <c r="B1540">
        <v>5</v>
      </c>
      <c r="C1540" t="s">
        <v>423</v>
      </c>
      <c r="D1540" t="s">
        <v>29</v>
      </c>
      <c r="E1540" t="s">
        <v>392</v>
      </c>
      <c r="F1540"/>
      <c r="G1540">
        <v>2</v>
      </c>
      <c r="H1540">
        <v>1000</v>
      </c>
      <c r="J1540" cm="1">
        <f t="array" ref="J1540">_xlfn.SWITCH(B1540,1,75,2,61,3,49,4,37,5,25,6,13,7,4,8,1)</f>
        <v>25</v>
      </c>
      <c r="K1540" t="str" cm="1">
        <f t="array" ref="K1540">IFERROR(_xlfn.SWITCH(L1540,2,_xlfn.XLOOKUP(C1540,[1]ModifierDes!$B:$B,[1]ModifierDes!$C:$C),3,_xlfn.XLOOKUP(C1540,[1]StuntDes!$B:$B,[1]StuntDes!$C:$C)),"")</f>
        <v/>
      </c>
      <c r="L1540">
        <f t="shared" ref="L1540:L1603" si="67">IF(M1540="",IF(N1540="",1,2),3)</f>
        <v>1</v>
      </c>
      <c r="M1540" s="10" t="str">
        <f>IFERROR(_xlfn.XLOOKUP(C1540,[1]StuntDes!$B:$B,[1]StuntDes!$A:$A),"")</f>
        <v/>
      </c>
      <c r="N1540" s="10" t="str">
        <f>IFERROR(_xlfn.XLOOKUP(C1540,[1]ModifierDes!$B:$B,[1]ModifierDes!$A:$A),"")</f>
        <v/>
      </c>
      <c r="O1540" s="10">
        <f>IFERROR(_xlfn.XLOOKUP(C1540,[1]AttributeName!$C:$C,[1]AttributeName!$B:$B),"")</f>
        <v>10312</v>
      </c>
      <c r="P1540" s="10"/>
      <c r="Q1540">
        <v>0.14</v>
      </c>
      <c r="R1540">
        <v>0.17</v>
      </c>
      <c r="S1540" cm="1">
        <f t="array" ref="S1540">IFERROR(_xlfn.SWITCH(L1540,1,_xlfn.XLOOKUP(O1540,[1]AttributeName!$B:$B,[1]AttributeName!$D:$D),2,_xlfn.XLOOKUP(C1540,#REF!,#REF!),3,_xlfn.XLOOKUP(C1540,#REF!,#REF!)),0)</f>
        <v>2</v>
      </c>
      <c r="T1540" cm="1">
        <f t="array" ref="T1540">IFERROR(_xlfn.SWITCH(L1540,1,_xlfn.XLOOKUP(O1540,[1]AttributeName!$B:$B,[1]AttributeName!$E:$E),2,_xlfn.XLOOKUP(C1540,#REF!,#REF!),3,_xlfn.XLOOKUP(C1540,#REF!,#REF!)),0)</f>
        <v>2</v>
      </c>
    </row>
    <row r="1541" customFormat="1" spans="1:20">
      <c r="A1541">
        <f t="shared" si="66"/>
        <v>652</v>
      </c>
      <c r="B1541">
        <v>6</v>
      </c>
      <c r="C1541" t="s">
        <v>423</v>
      </c>
      <c r="D1541" t="s">
        <v>29</v>
      </c>
      <c r="E1541" t="s">
        <v>392</v>
      </c>
      <c r="F1541"/>
      <c r="G1541">
        <v>2</v>
      </c>
      <c r="H1541">
        <v>1000</v>
      </c>
      <c r="J1541" cm="1">
        <f t="array" ref="J1541">_xlfn.SWITCH(B1541,1,75,2,61,3,49,4,37,5,25,6,13,7,4,8,1)</f>
        <v>13</v>
      </c>
      <c r="K1541" t="str" cm="1">
        <f t="array" ref="K1541">IFERROR(_xlfn.SWITCH(L1541,2,_xlfn.XLOOKUP(C1541,[1]ModifierDes!$B:$B,[1]ModifierDes!$C:$C),3,_xlfn.XLOOKUP(C1541,[1]StuntDes!$B:$B,[1]StuntDes!$C:$C)),"")</f>
        <v/>
      </c>
      <c r="L1541">
        <f t="shared" si="67"/>
        <v>1</v>
      </c>
      <c r="M1541" s="10" t="str">
        <f>IFERROR(_xlfn.XLOOKUP(C1541,[1]StuntDes!$B:$B,[1]StuntDes!$A:$A),"")</f>
        <v/>
      </c>
      <c r="N1541" s="10" t="str">
        <f>IFERROR(_xlfn.XLOOKUP(C1541,[1]ModifierDes!$B:$B,[1]ModifierDes!$A:$A),"")</f>
        <v/>
      </c>
      <c r="O1541" s="10">
        <f>IFERROR(_xlfn.XLOOKUP(C1541,[1]AttributeName!$C:$C,[1]AttributeName!$B:$B),"")</f>
        <v>10312</v>
      </c>
      <c r="P1541" s="10"/>
      <c r="Q1541">
        <v>0.1</v>
      </c>
      <c r="R1541">
        <v>0.13</v>
      </c>
      <c r="S1541" cm="1">
        <f t="array" ref="S1541">IFERROR(_xlfn.SWITCH(L1541,1,_xlfn.XLOOKUP(O1541,[1]AttributeName!$B:$B,[1]AttributeName!$D:$D),2,_xlfn.XLOOKUP(C1541,#REF!,#REF!),3,_xlfn.XLOOKUP(C1541,#REF!,#REF!)),0)</f>
        <v>2</v>
      </c>
      <c r="T1541" cm="1">
        <f t="array" ref="T1541">IFERROR(_xlfn.SWITCH(L1541,1,_xlfn.XLOOKUP(O1541,[1]AttributeName!$B:$B,[1]AttributeName!$E:$E),2,_xlfn.XLOOKUP(C1541,#REF!,#REF!),3,_xlfn.XLOOKUP(C1541,#REF!,#REF!)),0)</f>
        <v>2</v>
      </c>
    </row>
    <row r="1542" customFormat="1" spans="1:20">
      <c r="A1542">
        <f t="shared" si="66"/>
        <v>652</v>
      </c>
      <c r="B1542">
        <v>7</v>
      </c>
      <c r="C1542" t="s">
        <v>423</v>
      </c>
      <c r="D1542" t="s">
        <v>29</v>
      </c>
      <c r="E1542" t="s">
        <v>392</v>
      </c>
      <c r="F1542"/>
      <c r="G1542">
        <v>2</v>
      </c>
      <c r="H1542">
        <v>1000</v>
      </c>
      <c r="J1542" cm="1">
        <f t="array" ref="J1542">_xlfn.SWITCH(B1542,1,75,2,61,3,49,4,37,5,25,6,13,7,4,8,1)</f>
        <v>4</v>
      </c>
      <c r="K1542" t="str" cm="1">
        <f t="array" ref="K1542">IFERROR(_xlfn.SWITCH(L1542,2,_xlfn.XLOOKUP(C1542,[1]ModifierDes!$B:$B,[1]ModifierDes!$C:$C),3,_xlfn.XLOOKUP(C1542,[1]StuntDes!$B:$B,[1]StuntDes!$C:$C)),"")</f>
        <v/>
      </c>
      <c r="L1542">
        <f t="shared" si="67"/>
        <v>1</v>
      </c>
      <c r="M1542" s="10" t="str">
        <f>IFERROR(_xlfn.XLOOKUP(C1542,[1]StuntDes!$B:$B,[1]StuntDes!$A:$A),"")</f>
        <v/>
      </c>
      <c r="N1542" s="10" t="str">
        <f>IFERROR(_xlfn.XLOOKUP(C1542,[1]ModifierDes!$B:$B,[1]ModifierDes!$A:$A),"")</f>
        <v/>
      </c>
      <c r="O1542" s="10">
        <f>IFERROR(_xlfn.XLOOKUP(C1542,[1]AttributeName!$C:$C,[1]AttributeName!$B:$B),"")</f>
        <v>10312</v>
      </c>
      <c r="P1542" s="10"/>
      <c r="Q1542">
        <v>0.06</v>
      </c>
      <c r="R1542">
        <v>0.0900000000000001</v>
      </c>
      <c r="S1542" cm="1">
        <f t="array" ref="S1542">IFERROR(_xlfn.SWITCH(L1542,1,_xlfn.XLOOKUP(O1542,[1]AttributeName!$B:$B,[1]AttributeName!$D:$D),2,_xlfn.XLOOKUP(C1542,#REF!,#REF!),3,_xlfn.XLOOKUP(C1542,#REF!,#REF!)),0)</f>
        <v>2</v>
      </c>
      <c r="T1542" cm="1">
        <f t="array" ref="T1542">IFERROR(_xlfn.SWITCH(L1542,1,_xlfn.XLOOKUP(O1542,[1]AttributeName!$B:$B,[1]AttributeName!$E:$E),2,_xlfn.XLOOKUP(C1542,#REF!,#REF!),3,_xlfn.XLOOKUP(C1542,#REF!,#REF!)),0)</f>
        <v>2</v>
      </c>
    </row>
    <row r="1543" customFormat="1" spans="1:20">
      <c r="A1543">
        <f t="shared" si="66"/>
        <v>652</v>
      </c>
      <c r="B1543">
        <v>8</v>
      </c>
      <c r="C1543" t="s">
        <v>423</v>
      </c>
      <c r="D1543" t="s">
        <v>29</v>
      </c>
      <c r="E1543" t="s">
        <v>392</v>
      </c>
      <c r="F1543"/>
      <c r="G1543">
        <v>2</v>
      </c>
      <c r="H1543">
        <v>1000</v>
      </c>
      <c r="J1543" cm="1">
        <f t="array" ref="J1543">_xlfn.SWITCH(B1543,1,75,2,61,3,49,4,37,5,25,6,13,7,4,8,1)</f>
        <v>1</v>
      </c>
      <c r="K1543" t="str" cm="1">
        <f t="array" ref="K1543">IFERROR(_xlfn.SWITCH(L1543,2,_xlfn.XLOOKUP(C1543,[1]ModifierDes!$B:$B,[1]ModifierDes!$C:$C),3,_xlfn.XLOOKUP(C1543,[1]StuntDes!$B:$B,[1]StuntDes!$C:$C)),"")</f>
        <v/>
      </c>
      <c r="L1543">
        <f t="shared" si="67"/>
        <v>1</v>
      </c>
      <c r="M1543" s="10" t="str">
        <f>IFERROR(_xlfn.XLOOKUP(C1543,[1]StuntDes!$B:$B,[1]StuntDes!$A:$A),"")</f>
        <v/>
      </c>
      <c r="N1543" s="10" t="str">
        <f>IFERROR(_xlfn.XLOOKUP(C1543,[1]ModifierDes!$B:$B,[1]ModifierDes!$A:$A),"")</f>
        <v/>
      </c>
      <c r="O1543" s="10">
        <f>IFERROR(_xlfn.XLOOKUP(C1543,[1]AttributeName!$C:$C,[1]AttributeName!$B:$B),"")</f>
        <v>10312</v>
      </c>
      <c r="P1543" s="10"/>
      <c r="Q1543">
        <v>0.02</v>
      </c>
      <c r="R1543">
        <v>0.0500000000000001</v>
      </c>
      <c r="S1543" cm="1">
        <f t="array" ref="S1543">IFERROR(_xlfn.SWITCH(L1543,1,_xlfn.XLOOKUP(O1543,[1]AttributeName!$B:$B,[1]AttributeName!$D:$D),2,_xlfn.XLOOKUP(C1543,#REF!,#REF!),3,_xlfn.XLOOKUP(C1543,#REF!,#REF!)),0)</f>
        <v>2</v>
      </c>
      <c r="T1543" cm="1">
        <f t="array" ref="T1543">IFERROR(_xlfn.SWITCH(L1543,1,_xlfn.XLOOKUP(O1543,[1]AttributeName!$B:$B,[1]AttributeName!$E:$E),2,_xlfn.XLOOKUP(C1543,#REF!,#REF!),3,_xlfn.XLOOKUP(C1543,#REF!,#REF!)),0)</f>
        <v>2</v>
      </c>
    </row>
    <row r="1544" customFormat="1" spans="1:20">
      <c r="A1544">
        <f t="shared" si="66"/>
        <v>653</v>
      </c>
      <c r="B1544">
        <v>1</v>
      </c>
      <c r="C1544" t="s">
        <v>424</v>
      </c>
      <c r="D1544" t="s">
        <v>29</v>
      </c>
      <c r="E1544" t="s">
        <v>392</v>
      </c>
      <c r="F1544"/>
      <c r="G1544">
        <v>2</v>
      </c>
      <c r="H1544">
        <v>250</v>
      </c>
      <c r="J1544" cm="1">
        <f t="array" ref="J1544">_xlfn.SWITCH(B1544,1,75,2,61,3,49,4,37,5,25,6,13,7,4,8,1)</f>
        <v>75</v>
      </c>
      <c r="K1544" t="str" cm="1">
        <f t="array" ref="K1544">IFERROR(_xlfn.SWITCH(L1544,2,_xlfn.XLOOKUP(C1544,[1]ModifierDes!$B:$B,[1]ModifierDes!$C:$C),3,_xlfn.XLOOKUP(C1544,[1]StuntDes!$B:$B,[1]StuntDes!$C:$C)),"")</f>
        <v/>
      </c>
      <c r="L1544">
        <f t="shared" si="67"/>
        <v>1</v>
      </c>
      <c r="M1544" s="10" t="str">
        <f>IFERROR(_xlfn.XLOOKUP(C1544,[1]StuntDes!$B:$B,[1]StuntDes!$A:$A),"")</f>
        <v/>
      </c>
      <c r="N1544" s="10" t="str">
        <f>IFERROR(_xlfn.XLOOKUP(C1544,[1]ModifierDes!$B:$B,[1]ModifierDes!$A:$A),"")</f>
        <v/>
      </c>
      <c r="O1544" s="10">
        <f>IFERROR(_xlfn.XLOOKUP(C1544,[1]AttributeName!$C:$C,[1]AttributeName!$B:$B),"")</f>
        <v>10313</v>
      </c>
      <c r="P1544" s="10"/>
      <c r="Q1544">
        <v>0.3</v>
      </c>
      <c r="R1544">
        <v>0.4</v>
      </c>
      <c r="S1544" cm="1">
        <f t="array" ref="S1544">IFERROR(_xlfn.SWITCH(L1544,1,_xlfn.XLOOKUP(O1544,[1]AttributeName!$B:$B,[1]AttributeName!$D:$D),2,_xlfn.XLOOKUP(C1544,#REF!,#REF!),3,_xlfn.XLOOKUP(C1544,#REF!,#REF!)),0)</f>
        <v>2</v>
      </c>
      <c r="T1544" cm="1">
        <f t="array" ref="T1544">IFERROR(_xlfn.SWITCH(L1544,1,_xlfn.XLOOKUP(O1544,[1]AttributeName!$B:$B,[1]AttributeName!$E:$E),2,_xlfn.XLOOKUP(C1544,#REF!,#REF!),3,_xlfn.XLOOKUP(C1544,#REF!,#REF!)),0)</f>
        <v>2</v>
      </c>
    </row>
    <row r="1545" customFormat="1" spans="1:20">
      <c r="A1545">
        <f t="shared" si="66"/>
        <v>653</v>
      </c>
      <c r="B1545">
        <v>2</v>
      </c>
      <c r="C1545" t="s">
        <v>424</v>
      </c>
      <c r="D1545" t="s">
        <v>29</v>
      </c>
      <c r="E1545" t="s">
        <v>392</v>
      </c>
      <c r="F1545"/>
      <c r="G1545">
        <v>2</v>
      </c>
      <c r="H1545">
        <v>500</v>
      </c>
      <c r="J1545" cm="1">
        <f t="array" ref="J1545">_xlfn.SWITCH(B1545,1,75,2,61,3,49,4,37,5,25,6,13,7,4,8,1)</f>
        <v>61</v>
      </c>
      <c r="K1545" t="str" cm="1">
        <f t="array" ref="K1545">IFERROR(_xlfn.SWITCH(L1545,2,_xlfn.XLOOKUP(C1545,[1]ModifierDes!$B:$B,[1]ModifierDes!$C:$C),3,_xlfn.XLOOKUP(C1545,[1]StuntDes!$B:$B,[1]StuntDes!$C:$C)),"")</f>
        <v/>
      </c>
      <c r="L1545">
        <f t="shared" si="67"/>
        <v>1</v>
      </c>
      <c r="M1545" s="10" t="str">
        <f>IFERROR(_xlfn.XLOOKUP(C1545,[1]StuntDes!$B:$B,[1]StuntDes!$A:$A),"")</f>
        <v/>
      </c>
      <c r="N1545" s="10" t="str">
        <f>IFERROR(_xlfn.XLOOKUP(C1545,[1]ModifierDes!$B:$B,[1]ModifierDes!$A:$A),"")</f>
        <v/>
      </c>
      <c r="O1545" s="10">
        <f>IFERROR(_xlfn.XLOOKUP(C1545,[1]AttributeName!$C:$C,[1]AttributeName!$B:$B),"")</f>
        <v>10313</v>
      </c>
      <c r="P1545" s="10"/>
      <c r="Q1545">
        <v>0.26</v>
      </c>
      <c r="R1545">
        <v>0.29</v>
      </c>
      <c r="S1545" cm="1">
        <f t="array" ref="S1545">IFERROR(_xlfn.SWITCH(L1545,1,_xlfn.XLOOKUP(O1545,[1]AttributeName!$B:$B,[1]AttributeName!$D:$D),2,_xlfn.XLOOKUP(C1545,#REF!,#REF!),3,_xlfn.XLOOKUP(C1545,#REF!,#REF!)),0)</f>
        <v>2</v>
      </c>
      <c r="T1545" cm="1">
        <f t="array" ref="T1545">IFERROR(_xlfn.SWITCH(L1545,1,_xlfn.XLOOKUP(O1545,[1]AttributeName!$B:$B,[1]AttributeName!$E:$E),2,_xlfn.XLOOKUP(C1545,#REF!,#REF!),3,_xlfn.XLOOKUP(C1545,#REF!,#REF!)),0)</f>
        <v>2</v>
      </c>
    </row>
    <row r="1546" customFormat="1" spans="1:20">
      <c r="A1546">
        <f t="shared" si="66"/>
        <v>653</v>
      </c>
      <c r="B1546">
        <v>3</v>
      </c>
      <c r="C1546" t="s">
        <v>424</v>
      </c>
      <c r="D1546" t="s">
        <v>29</v>
      </c>
      <c r="E1546" t="s">
        <v>392</v>
      </c>
      <c r="F1546"/>
      <c r="G1546">
        <v>2</v>
      </c>
      <c r="H1546">
        <v>750</v>
      </c>
      <c r="J1546" cm="1">
        <f t="array" ref="J1546">_xlfn.SWITCH(B1546,1,75,2,61,3,49,4,37,5,25,6,13,7,4,8,1)</f>
        <v>49</v>
      </c>
      <c r="K1546" t="str" cm="1">
        <f t="array" ref="K1546">IFERROR(_xlfn.SWITCH(L1546,2,_xlfn.XLOOKUP(C1546,[1]ModifierDes!$B:$B,[1]ModifierDes!$C:$C),3,_xlfn.XLOOKUP(C1546,[1]StuntDes!$B:$B,[1]StuntDes!$C:$C)),"")</f>
        <v/>
      </c>
      <c r="L1546">
        <f t="shared" si="67"/>
        <v>1</v>
      </c>
      <c r="M1546" s="10" t="str">
        <f>IFERROR(_xlfn.XLOOKUP(C1546,[1]StuntDes!$B:$B,[1]StuntDes!$A:$A),"")</f>
        <v/>
      </c>
      <c r="N1546" s="10" t="str">
        <f>IFERROR(_xlfn.XLOOKUP(C1546,[1]ModifierDes!$B:$B,[1]ModifierDes!$A:$A),"")</f>
        <v/>
      </c>
      <c r="O1546" s="10">
        <f>IFERROR(_xlfn.XLOOKUP(C1546,[1]AttributeName!$C:$C,[1]AttributeName!$B:$B),"")</f>
        <v>10313</v>
      </c>
      <c r="P1546" s="10"/>
      <c r="Q1546">
        <v>0.22</v>
      </c>
      <c r="R1546">
        <v>0.25</v>
      </c>
      <c r="S1546" cm="1">
        <f t="array" ref="S1546">IFERROR(_xlfn.SWITCH(L1546,1,_xlfn.XLOOKUP(O1546,[1]AttributeName!$B:$B,[1]AttributeName!$D:$D),2,_xlfn.XLOOKUP(C1546,#REF!,#REF!),3,_xlfn.XLOOKUP(C1546,#REF!,#REF!)),0)</f>
        <v>2</v>
      </c>
      <c r="T1546" cm="1">
        <f t="array" ref="T1546">IFERROR(_xlfn.SWITCH(L1546,1,_xlfn.XLOOKUP(O1546,[1]AttributeName!$B:$B,[1]AttributeName!$E:$E),2,_xlfn.XLOOKUP(C1546,#REF!,#REF!),3,_xlfn.XLOOKUP(C1546,#REF!,#REF!)),0)</f>
        <v>2</v>
      </c>
    </row>
    <row r="1547" customFormat="1" spans="1:20">
      <c r="A1547">
        <f t="shared" si="66"/>
        <v>653</v>
      </c>
      <c r="B1547">
        <v>4</v>
      </c>
      <c r="C1547" t="s">
        <v>424</v>
      </c>
      <c r="D1547" t="s">
        <v>29</v>
      </c>
      <c r="E1547" t="s">
        <v>392</v>
      </c>
      <c r="F1547"/>
      <c r="G1547">
        <v>2</v>
      </c>
      <c r="H1547">
        <v>1000</v>
      </c>
      <c r="J1547" cm="1">
        <f t="array" ref="J1547">_xlfn.SWITCH(B1547,1,75,2,61,3,49,4,37,5,25,6,13,7,4,8,1)</f>
        <v>37</v>
      </c>
      <c r="K1547" t="str" cm="1">
        <f t="array" ref="K1547">IFERROR(_xlfn.SWITCH(L1547,2,_xlfn.XLOOKUP(C1547,[1]ModifierDes!$B:$B,[1]ModifierDes!$C:$C),3,_xlfn.XLOOKUP(C1547,[1]StuntDes!$B:$B,[1]StuntDes!$C:$C)),"")</f>
        <v/>
      </c>
      <c r="L1547">
        <f t="shared" si="67"/>
        <v>1</v>
      </c>
      <c r="M1547" s="10" t="str">
        <f>IFERROR(_xlfn.XLOOKUP(C1547,[1]StuntDes!$B:$B,[1]StuntDes!$A:$A),"")</f>
        <v/>
      </c>
      <c r="N1547" s="10" t="str">
        <f>IFERROR(_xlfn.XLOOKUP(C1547,[1]ModifierDes!$B:$B,[1]ModifierDes!$A:$A),"")</f>
        <v/>
      </c>
      <c r="O1547" s="10">
        <f>IFERROR(_xlfn.XLOOKUP(C1547,[1]AttributeName!$C:$C,[1]AttributeName!$B:$B),"")</f>
        <v>10313</v>
      </c>
      <c r="P1547" s="10"/>
      <c r="Q1547">
        <v>0.18</v>
      </c>
      <c r="R1547">
        <v>0.21</v>
      </c>
      <c r="S1547" cm="1">
        <f t="array" ref="S1547">IFERROR(_xlfn.SWITCH(L1547,1,_xlfn.XLOOKUP(O1547,[1]AttributeName!$B:$B,[1]AttributeName!$D:$D),2,_xlfn.XLOOKUP(C1547,#REF!,#REF!),3,_xlfn.XLOOKUP(C1547,#REF!,#REF!)),0)</f>
        <v>2</v>
      </c>
      <c r="T1547" cm="1">
        <f t="array" ref="T1547">IFERROR(_xlfn.SWITCH(L1547,1,_xlfn.XLOOKUP(O1547,[1]AttributeName!$B:$B,[1]AttributeName!$E:$E),2,_xlfn.XLOOKUP(C1547,#REF!,#REF!),3,_xlfn.XLOOKUP(C1547,#REF!,#REF!)),0)</f>
        <v>2</v>
      </c>
    </row>
    <row r="1548" customFormat="1" spans="1:20">
      <c r="A1548">
        <f t="shared" si="66"/>
        <v>653</v>
      </c>
      <c r="B1548">
        <v>5</v>
      </c>
      <c r="C1548" t="s">
        <v>424</v>
      </c>
      <c r="D1548" t="s">
        <v>29</v>
      </c>
      <c r="E1548" t="s">
        <v>392</v>
      </c>
      <c r="F1548"/>
      <c r="G1548">
        <v>2</v>
      </c>
      <c r="H1548">
        <v>1000</v>
      </c>
      <c r="J1548" cm="1">
        <f t="array" ref="J1548">_xlfn.SWITCH(B1548,1,75,2,61,3,49,4,37,5,25,6,13,7,4,8,1)</f>
        <v>25</v>
      </c>
      <c r="K1548" t="str" cm="1">
        <f t="array" ref="K1548">IFERROR(_xlfn.SWITCH(L1548,2,_xlfn.XLOOKUP(C1548,[1]ModifierDes!$B:$B,[1]ModifierDes!$C:$C),3,_xlfn.XLOOKUP(C1548,[1]StuntDes!$B:$B,[1]StuntDes!$C:$C)),"")</f>
        <v/>
      </c>
      <c r="L1548">
        <f t="shared" si="67"/>
        <v>1</v>
      </c>
      <c r="M1548" s="10" t="str">
        <f>IFERROR(_xlfn.XLOOKUP(C1548,[1]StuntDes!$B:$B,[1]StuntDes!$A:$A),"")</f>
        <v/>
      </c>
      <c r="N1548" s="10" t="str">
        <f>IFERROR(_xlfn.XLOOKUP(C1548,[1]ModifierDes!$B:$B,[1]ModifierDes!$A:$A),"")</f>
        <v/>
      </c>
      <c r="O1548" s="10">
        <f>IFERROR(_xlfn.XLOOKUP(C1548,[1]AttributeName!$C:$C,[1]AttributeName!$B:$B),"")</f>
        <v>10313</v>
      </c>
      <c r="P1548" s="10"/>
      <c r="Q1548">
        <v>0.14</v>
      </c>
      <c r="R1548">
        <v>0.17</v>
      </c>
      <c r="S1548" cm="1">
        <f t="array" ref="S1548">IFERROR(_xlfn.SWITCH(L1548,1,_xlfn.XLOOKUP(O1548,[1]AttributeName!$B:$B,[1]AttributeName!$D:$D),2,_xlfn.XLOOKUP(C1548,#REF!,#REF!),3,_xlfn.XLOOKUP(C1548,#REF!,#REF!)),0)</f>
        <v>2</v>
      </c>
      <c r="T1548" cm="1">
        <f t="array" ref="T1548">IFERROR(_xlfn.SWITCH(L1548,1,_xlfn.XLOOKUP(O1548,[1]AttributeName!$B:$B,[1]AttributeName!$E:$E),2,_xlfn.XLOOKUP(C1548,#REF!,#REF!),3,_xlfn.XLOOKUP(C1548,#REF!,#REF!)),0)</f>
        <v>2</v>
      </c>
    </row>
    <row r="1549" customFormat="1" spans="1:20">
      <c r="A1549">
        <f t="shared" si="66"/>
        <v>653</v>
      </c>
      <c r="B1549">
        <v>6</v>
      </c>
      <c r="C1549" t="s">
        <v>424</v>
      </c>
      <c r="D1549" t="s">
        <v>29</v>
      </c>
      <c r="E1549" t="s">
        <v>392</v>
      </c>
      <c r="F1549"/>
      <c r="G1549">
        <v>2</v>
      </c>
      <c r="H1549">
        <v>1000</v>
      </c>
      <c r="J1549" cm="1">
        <f t="array" ref="J1549">_xlfn.SWITCH(B1549,1,75,2,61,3,49,4,37,5,25,6,13,7,4,8,1)</f>
        <v>13</v>
      </c>
      <c r="K1549" t="str" cm="1">
        <f t="array" ref="K1549">IFERROR(_xlfn.SWITCH(L1549,2,_xlfn.XLOOKUP(C1549,[1]ModifierDes!$B:$B,[1]ModifierDes!$C:$C),3,_xlfn.XLOOKUP(C1549,[1]StuntDes!$B:$B,[1]StuntDes!$C:$C)),"")</f>
        <v/>
      </c>
      <c r="L1549">
        <f t="shared" si="67"/>
        <v>1</v>
      </c>
      <c r="M1549" s="10" t="str">
        <f>IFERROR(_xlfn.XLOOKUP(C1549,[1]StuntDes!$B:$B,[1]StuntDes!$A:$A),"")</f>
        <v/>
      </c>
      <c r="N1549" s="10" t="str">
        <f>IFERROR(_xlfn.XLOOKUP(C1549,[1]ModifierDes!$B:$B,[1]ModifierDes!$A:$A),"")</f>
        <v/>
      </c>
      <c r="O1549" s="10">
        <f>IFERROR(_xlfn.XLOOKUP(C1549,[1]AttributeName!$C:$C,[1]AttributeName!$B:$B),"")</f>
        <v>10313</v>
      </c>
      <c r="P1549" s="10"/>
      <c r="Q1549">
        <v>0.1</v>
      </c>
      <c r="R1549">
        <v>0.13</v>
      </c>
      <c r="S1549" cm="1">
        <f t="array" ref="S1549">IFERROR(_xlfn.SWITCH(L1549,1,_xlfn.XLOOKUP(O1549,[1]AttributeName!$B:$B,[1]AttributeName!$D:$D),2,_xlfn.XLOOKUP(C1549,#REF!,#REF!),3,_xlfn.XLOOKUP(C1549,#REF!,#REF!)),0)</f>
        <v>2</v>
      </c>
      <c r="T1549" cm="1">
        <f t="array" ref="T1549">IFERROR(_xlfn.SWITCH(L1549,1,_xlfn.XLOOKUP(O1549,[1]AttributeName!$B:$B,[1]AttributeName!$E:$E),2,_xlfn.XLOOKUP(C1549,#REF!,#REF!),3,_xlfn.XLOOKUP(C1549,#REF!,#REF!)),0)</f>
        <v>2</v>
      </c>
    </row>
    <row r="1550" customFormat="1" spans="1:20">
      <c r="A1550">
        <f t="shared" si="66"/>
        <v>653</v>
      </c>
      <c r="B1550">
        <v>7</v>
      </c>
      <c r="C1550" t="s">
        <v>424</v>
      </c>
      <c r="D1550" t="s">
        <v>29</v>
      </c>
      <c r="E1550" t="s">
        <v>392</v>
      </c>
      <c r="F1550"/>
      <c r="G1550">
        <v>2</v>
      </c>
      <c r="H1550">
        <v>1000</v>
      </c>
      <c r="J1550" cm="1">
        <f t="array" ref="J1550">_xlfn.SWITCH(B1550,1,75,2,61,3,49,4,37,5,25,6,13,7,4,8,1)</f>
        <v>4</v>
      </c>
      <c r="K1550" t="str" cm="1">
        <f t="array" ref="K1550">IFERROR(_xlfn.SWITCH(L1550,2,_xlfn.XLOOKUP(C1550,[1]ModifierDes!$B:$B,[1]ModifierDes!$C:$C),3,_xlfn.XLOOKUP(C1550,[1]StuntDes!$B:$B,[1]StuntDes!$C:$C)),"")</f>
        <v/>
      </c>
      <c r="L1550">
        <f t="shared" si="67"/>
        <v>1</v>
      </c>
      <c r="M1550" s="10" t="str">
        <f>IFERROR(_xlfn.XLOOKUP(C1550,[1]StuntDes!$B:$B,[1]StuntDes!$A:$A),"")</f>
        <v/>
      </c>
      <c r="N1550" s="10" t="str">
        <f>IFERROR(_xlfn.XLOOKUP(C1550,[1]ModifierDes!$B:$B,[1]ModifierDes!$A:$A),"")</f>
        <v/>
      </c>
      <c r="O1550" s="10">
        <f>IFERROR(_xlfn.XLOOKUP(C1550,[1]AttributeName!$C:$C,[1]AttributeName!$B:$B),"")</f>
        <v>10313</v>
      </c>
      <c r="P1550" s="10"/>
      <c r="Q1550">
        <v>0.06</v>
      </c>
      <c r="R1550">
        <v>0.0900000000000001</v>
      </c>
      <c r="S1550" cm="1">
        <f t="array" ref="S1550">IFERROR(_xlfn.SWITCH(L1550,1,_xlfn.XLOOKUP(O1550,[1]AttributeName!$B:$B,[1]AttributeName!$D:$D),2,_xlfn.XLOOKUP(C1550,#REF!,#REF!),3,_xlfn.XLOOKUP(C1550,#REF!,#REF!)),0)</f>
        <v>2</v>
      </c>
      <c r="T1550" cm="1">
        <f t="array" ref="T1550">IFERROR(_xlfn.SWITCH(L1550,1,_xlfn.XLOOKUP(O1550,[1]AttributeName!$B:$B,[1]AttributeName!$E:$E),2,_xlfn.XLOOKUP(C1550,#REF!,#REF!),3,_xlfn.XLOOKUP(C1550,#REF!,#REF!)),0)</f>
        <v>2</v>
      </c>
    </row>
    <row r="1551" customFormat="1" spans="1:20">
      <c r="A1551">
        <f t="shared" si="66"/>
        <v>653</v>
      </c>
      <c r="B1551">
        <v>8</v>
      </c>
      <c r="C1551" t="s">
        <v>424</v>
      </c>
      <c r="D1551" t="s">
        <v>29</v>
      </c>
      <c r="E1551" t="s">
        <v>392</v>
      </c>
      <c r="F1551"/>
      <c r="G1551">
        <v>2</v>
      </c>
      <c r="H1551">
        <v>1000</v>
      </c>
      <c r="J1551" cm="1">
        <f t="array" ref="J1551">_xlfn.SWITCH(B1551,1,75,2,61,3,49,4,37,5,25,6,13,7,4,8,1)</f>
        <v>1</v>
      </c>
      <c r="K1551" t="str" cm="1">
        <f t="array" ref="K1551">IFERROR(_xlfn.SWITCH(L1551,2,_xlfn.XLOOKUP(C1551,[1]ModifierDes!$B:$B,[1]ModifierDes!$C:$C),3,_xlfn.XLOOKUP(C1551,[1]StuntDes!$B:$B,[1]StuntDes!$C:$C)),"")</f>
        <v/>
      </c>
      <c r="L1551">
        <f t="shared" si="67"/>
        <v>1</v>
      </c>
      <c r="M1551" s="10" t="str">
        <f>IFERROR(_xlfn.XLOOKUP(C1551,[1]StuntDes!$B:$B,[1]StuntDes!$A:$A),"")</f>
        <v/>
      </c>
      <c r="N1551" s="10" t="str">
        <f>IFERROR(_xlfn.XLOOKUP(C1551,[1]ModifierDes!$B:$B,[1]ModifierDes!$A:$A),"")</f>
        <v/>
      </c>
      <c r="O1551" s="10">
        <f>IFERROR(_xlfn.XLOOKUP(C1551,[1]AttributeName!$C:$C,[1]AttributeName!$B:$B),"")</f>
        <v>10313</v>
      </c>
      <c r="P1551" s="10"/>
      <c r="Q1551">
        <v>0.02</v>
      </c>
      <c r="R1551">
        <v>0.0500000000000001</v>
      </c>
      <c r="S1551" cm="1">
        <f t="array" ref="S1551">IFERROR(_xlfn.SWITCH(L1551,1,_xlfn.XLOOKUP(O1551,[1]AttributeName!$B:$B,[1]AttributeName!$D:$D),2,_xlfn.XLOOKUP(C1551,#REF!,#REF!),3,_xlfn.XLOOKUP(C1551,#REF!,#REF!)),0)</f>
        <v>2</v>
      </c>
      <c r="T1551" cm="1">
        <f t="array" ref="T1551">IFERROR(_xlfn.SWITCH(L1551,1,_xlfn.XLOOKUP(O1551,[1]AttributeName!$B:$B,[1]AttributeName!$E:$E),2,_xlfn.XLOOKUP(C1551,#REF!,#REF!),3,_xlfn.XLOOKUP(C1551,#REF!,#REF!)),0)</f>
        <v>2</v>
      </c>
    </row>
    <row r="1552" customFormat="1" spans="1:20">
      <c r="A1552">
        <f t="shared" si="66"/>
        <v>654</v>
      </c>
      <c r="B1552">
        <v>1</v>
      </c>
      <c r="C1552" t="s">
        <v>425</v>
      </c>
      <c r="D1552" t="s">
        <v>29</v>
      </c>
      <c r="E1552" t="s">
        <v>392</v>
      </c>
      <c r="F1552"/>
      <c r="G1552">
        <v>2</v>
      </c>
      <c r="H1552">
        <v>250</v>
      </c>
      <c r="J1552" cm="1">
        <f t="array" ref="J1552">_xlfn.SWITCH(B1552,1,75,2,61,3,49,4,37,5,25,6,13,7,4,8,1)</f>
        <v>75</v>
      </c>
      <c r="K1552" t="str" cm="1">
        <f t="array" ref="K1552">IFERROR(_xlfn.SWITCH(L1552,2,_xlfn.XLOOKUP(C1552,[1]ModifierDes!$B:$B,[1]ModifierDes!$C:$C),3,_xlfn.XLOOKUP(C1552,[1]StuntDes!$B:$B,[1]StuntDes!$C:$C)),"")</f>
        <v/>
      </c>
      <c r="L1552">
        <f t="shared" si="67"/>
        <v>1</v>
      </c>
      <c r="M1552" s="10" t="str">
        <f>IFERROR(_xlfn.XLOOKUP(C1552,[1]StuntDes!$B:$B,[1]StuntDes!$A:$A),"")</f>
        <v/>
      </c>
      <c r="N1552" s="10" t="str">
        <f>IFERROR(_xlfn.XLOOKUP(C1552,[1]ModifierDes!$B:$B,[1]ModifierDes!$A:$A),"")</f>
        <v/>
      </c>
      <c r="O1552" s="10">
        <f>IFERROR(_xlfn.XLOOKUP(C1552,[1]AttributeName!$C:$C,[1]AttributeName!$B:$B),"")</f>
        <v>10314</v>
      </c>
      <c r="P1552" s="10"/>
      <c r="Q1552">
        <v>0.3</v>
      </c>
      <c r="R1552">
        <v>0.4</v>
      </c>
      <c r="S1552" cm="1">
        <f t="array" ref="S1552">IFERROR(_xlfn.SWITCH(L1552,1,_xlfn.XLOOKUP(O1552,[1]AttributeName!$B:$B,[1]AttributeName!$D:$D),2,_xlfn.XLOOKUP(C1552,#REF!,#REF!),3,_xlfn.XLOOKUP(C1552,#REF!,#REF!)),0)</f>
        <v>2</v>
      </c>
      <c r="T1552" cm="1">
        <f t="array" ref="T1552">IFERROR(_xlfn.SWITCH(L1552,1,_xlfn.XLOOKUP(O1552,[1]AttributeName!$B:$B,[1]AttributeName!$E:$E),2,_xlfn.XLOOKUP(C1552,#REF!,#REF!),3,_xlfn.XLOOKUP(C1552,#REF!,#REF!)),0)</f>
        <v>2</v>
      </c>
    </row>
    <row r="1553" customFormat="1" spans="1:20">
      <c r="A1553">
        <f t="shared" si="66"/>
        <v>654</v>
      </c>
      <c r="B1553">
        <v>2</v>
      </c>
      <c r="C1553" t="s">
        <v>425</v>
      </c>
      <c r="D1553" t="s">
        <v>29</v>
      </c>
      <c r="E1553" t="s">
        <v>392</v>
      </c>
      <c r="F1553"/>
      <c r="G1553">
        <v>2</v>
      </c>
      <c r="H1553">
        <v>500</v>
      </c>
      <c r="J1553" cm="1">
        <f t="array" ref="J1553">_xlfn.SWITCH(B1553,1,75,2,61,3,49,4,37,5,25,6,13,7,4,8,1)</f>
        <v>61</v>
      </c>
      <c r="K1553" t="str" cm="1">
        <f t="array" ref="K1553">IFERROR(_xlfn.SWITCH(L1553,2,_xlfn.XLOOKUP(C1553,[1]ModifierDes!$B:$B,[1]ModifierDes!$C:$C),3,_xlfn.XLOOKUP(C1553,[1]StuntDes!$B:$B,[1]StuntDes!$C:$C)),"")</f>
        <v/>
      </c>
      <c r="L1553">
        <f t="shared" si="67"/>
        <v>1</v>
      </c>
      <c r="M1553" s="10" t="str">
        <f>IFERROR(_xlfn.XLOOKUP(C1553,[1]StuntDes!$B:$B,[1]StuntDes!$A:$A),"")</f>
        <v/>
      </c>
      <c r="N1553" s="10" t="str">
        <f>IFERROR(_xlfn.XLOOKUP(C1553,[1]ModifierDes!$B:$B,[1]ModifierDes!$A:$A),"")</f>
        <v/>
      </c>
      <c r="O1553" s="10">
        <f>IFERROR(_xlfn.XLOOKUP(C1553,[1]AttributeName!$C:$C,[1]AttributeName!$B:$B),"")</f>
        <v>10314</v>
      </c>
      <c r="P1553" s="10"/>
      <c r="Q1553">
        <v>0.26</v>
      </c>
      <c r="R1553">
        <v>0.29</v>
      </c>
      <c r="S1553" cm="1">
        <f t="array" ref="S1553">IFERROR(_xlfn.SWITCH(L1553,1,_xlfn.XLOOKUP(O1553,[1]AttributeName!$B:$B,[1]AttributeName!$D:$D),2,_xlfn.XLOOKUP(C1553,#REF!,#REF!),3,_xlfn.XLOOKUP(C1553,#REF!,#REF!)),0)</f>
        <v>2</v>
      </c>
      <c r="T1553" cm="1">
        <f t="array" ref="T1553">IFERROR(_xlfn.SWITCH(L1553,1,_xlfn.XLOOKUP(O1553,[1]AttributeName!$B:$B,[1]AttributeName!$E:$E),2,_xlfn.XLOOKUP(C1553,#REF!,#REF!),3,_xlfn.XLOOKUP(C1553,#REF!,#REF!)),0)</f>
        <v>2</v>
      </c>
    </row>
    <row r="1554" customFormat="1" spans="1:20">
      <c r="A1554">
        <f t="shared" si="66"/>
        <v>654</v>
      </c>
      <c r="B1554">
        <v>3</v>
      </c>
      <c r="C1554" t="s">
        <v>425</v>
      </c>
      <c r="D1554" t="s">
        <v>29</v>
      </c>
      <c r="E1554" t="s">
        <v>392</v>
      </c>
      <c r="F1554"/>
      <c r="G1554">
        <v>2</v>
      </c>
      <c r="H1554">
        <v>750</v>
      </c>
      <c r="J1554" cm="1">
        <f t="array" ref="J1554">_xlfn.SWITCH(B1554,1,75,2,61,3,49,4,37,5,25,6,13,7,4,8,1)</f>
        <v>49</v>
      </c>
      <c r="K1554" t="str" cm="1">
        <f t="array" ref="K1554">IFERROR(_xlfn.SWITCH(L1554,2,_xlfn.XLOOKUP(C1554,[1]ModifierDes!$B:$B,[1]ModifierDes!$C:$C),3,_xlfn.XLOOKUP(C1554,[1]StuntDes!$B:$B,[1]StuntDes!$C:$C)),"")</f>
        <v/>
      </c>
      <c r="L1554">
        <f t="shared" si="67"/>
        <v>1</v>
      </c>
      <c r="M1554" s="10" t="str">
        <f>IFERROR(_xlfn.XLOOKUP(C1554,[1]StuntDes!$B:$B,[1]StuntDes!$A:$A),"")</f>
        <v/>
      </c>
      <c r="N1554" s="10" t="str">
        <f>IFERROR(_xlfn.XLOOKUP(C1554,[1]ModifierDes!$B:$B,[1]ModifierDes!$A:$A),"")</f>
        <v/>
      </c>
      <c r="O1554" s="10">
        <f>IFERROR(_xlfn.XLOOKUP(C1554,[1]AttributeName!$C:$C,[1]AttributeName!$B:$B),"")</f>
        <v>10314</v>
      </c>
      <c r="P1554" s="10"/>
      <c r="Q1554">
        <v>0.22</v>
      </c>
      <c r="R1554">
        <v>0.25</v>
      </c>
      <c r="S1554" cm="1">
        <f t="array" ref="S1554">IFERROR(_xlfn.SWITCH(L1554,1,_xlfn.XLOOKUP(O1554,[1]AttributeName!$B:$B,[1]AttributeName!$D:$D),2,_xlfn.XLOOKUP(C1554,#REF!,#REF!),3,_xlfn.XLOOKUP(C1554,#REF!,#REF!)),0)</f>
        <v>2</v>
      </c>
      <c r="T1554" cm="1">
        <f t="array" ref="T1554">IFERROR(_xlfn.SWITCH(L1554,1,_xlfn.XLOOKUP(O1554,[1]AttributeName!$B:$B,[1]AttributeName!$E:$E),2,_xlfn.XLOOKUP(C1554,#REF!,#REF!),3,_xlfn.XLOOKUP(C1554,#REF!,#REF!)),0)</f>
        <v>2</v>
      </c>
    </row>
    <row r="1555" customFormat="1" spans="1:20">
      <c r="A1555">
        <f t="shared" si="66"/>
        <v>654</v>
      </c>
      <c r="B1555">
        <v>4</v>
      </c>
      <c r="C1555" t="s">
        <v>425</v>
      </c>
      <c r="D1555" t="s">
        <v>29</v>
      </c>
      <c r="E1555" t="s">
        <v>392</v>
      </c>
      <c r="F1555"/>
      <c r="G1555">
        <v>2</v>
      </c>
      <c r="H1555">
        <v>1000</v>
      </c>
      <c r="J1555" cm="1">
        <f t="array" ref="J1555">_xlfn.SWITCH(B1555,1,75,2,61,3,49,4,37,5,25,6,13,7,4,8,1)</f>
        <v>37</v>
      </c>
      <c r="K1555" t="str" cm="1">
        <f t="array" ref="K1555">IFERROR(_xlfn.SWITCH(L1555,2,_xlfn.XLOOKUP(C1555,[1]ModifierDes!$B:$B,[1]ModifierDes!$C:$C),3,_xlfn.XLOOKUP(C1555,[1]StuntDes!$B:$B,[1]StuntDes!$C:$C)),"")</f>
        <v/>
      </c>
      <c r="L1555">
        <f t="shared" si="67"/>
        <v>1</v>
      </c>
      <c r="M1555" s="10" t="str">
        <f>IFERROR(_xlfn.XLOOKUP(C1555,[1]StuntDes!$B:$B,[1]StuntDes!$A:$A),"")</f>
        <v/>
      </c>
      <c r="N1555" s="10" t="str">
        <f>IFERROR(_xlfn.XLOOKUP(C1555,[1]ModifierDes!$B:$B,[1]ModifierDes!$A:$A),"")</f>
        <v/>
      </c>
      <c r="O1555" s="10">
        <f>IFERROR(_xlfn.XLOOKUP(C1555,[1]AttributeName!$C:$C,[1]AttributeName!$B:$B),"")</f>
        <v>10314</v>
      </c>
      <c r="P1555" s="10"/>
      <c r="Q1555">
        <v>0.18</v>
      </c>
      <c r="R1555">
        <v>0.21</v>
      </c>
      <c r="S1555" cm="1">
        <f t="array" ref="S1555">IFERROR(_xlfn.SWITCH(L1555,1,_xlfn.XLOOKUP(O1555,[1]AttributeName!$B:$B,[1]AttributeName!$D:$D),2,_xlfn.XLOOKUP(C1555,#REF!,#REF!),3,_xlfn.XLOOKUP(C1555,#REF!,#REF!)),0)</f>
        <v>2</v>
      </c>
      <c r="T1555" cm="1">
        <f t="array" ref="T1555">IFERROR(_xlfn.SWITCH(L1555,1,_xlfn.XLOOKUP(O1555,[1]AttributeName!$B:$B,[1]AttributeName!$E:$E),2,_xlfn.XLOOKUP(C1555,#REF!,#REF!),3,_xlfn.XLOOKUP(C1555,#REF!,#REF!)),0)</f>
        <v>2</v>
      </c>
    </row>
    <row r="1556" customFormat="1" spans="1:20">
      <c r="A1556">
        <f t="shared" si="66"/>
        <v>654</v>
      </c>
      <c r="B1556">
        <v>5</v>
      </c>
      <c r="C1556" t="s">
        <v>425</v>
      </c>
      <c r="D1556" t="s">
        <v>29</v>
      </c>
      <c r="E1556" t="s">
        <v>392</v>
      </c>
      <c r="F1556"/>
      <c r="G1556">
        <v>2</v>
      </c>
      <c r="H1556">
        <v>1000</v>
      </c>
      <c r="J1556" cm="1">
        <f t="array" ref="J1556">_xlfn.SWITCH(B1556,1,75,2,61,3,49,4,37,5,25,6,13,7,4,8,1)</f>
        <v>25</v>
      </c>
      <c r="K1556" t="str" cm="1">
        <f t="array" ref="K1556">IFERROR(_xlfn.SWITCH(L1556,2,_xlfn.XLOOKUP(C1556,[1]ModifierDes!$B:$B,[1]ModifierDes!$C:$C),3,_xlfn.XLOOKUP(C1556,[1]StuntDes!$B:$B,[1]StuntDes!$C:$C)),"")</f>
        <v/>
      </c>
      <c r="L1556">
        <f t="shared" si="67"/>
        <v>1</v>
      </c>
      <c r="M1556" s="10" t="str">
        <f>IFERROR(_xlfn.XLOOKUP(C1556,[1]StuntDes!$B:$B,[1]StuntDes!$A:$A),"")</f>
        <v/>
      </c>
      <c r="N1556" s="10" t="str">
        <f>IFERROR(_xlfn.XLOOKUP(C1556,[1]ModifierDes!$B:$B,[1]ModifierDes!$A:$A),"")</f>
        <v/>
      </c>
      <c r="O1556" s="10">
        <f>IFERROR(_xlfn.XLOOKUP(C1556,[1]AttributeName!$C:$C,[1]AttributeName!$B:$B),"")</f>
        <v>10314</v>
      </c>
      <c r="P1556" s="10"/>
      <c r="Q1556">
        <v>0.14</v>
      </c>
      <c r="R1556">
        <v>0.17</v>
      </c>
      <c r="S1556" cm="1">
        <f t="array" ref="S1556">IFERROR(_xlfn.SWITCH(L1556,1,_xlfn.XLOOKUP(O1556,[1]AttributeName!$B:$B,[1]AttributeName!$D:$D),2,_xlfn.XLOOKUP(C1556,#REF!,#REF!),3,_xlfn.XLOOKUP(C1556,#REF!,#REF!)),0)</f>
        <v>2</v>
      </c>
      <c r="T1556" cm="1">
        <f t="array" ref="T1556">IFERROR(_xlfn.SWITCH(L1556,1,_xlfn.XLOOKUP(O1556,[1]AttributeName!$B:$B,[1]AttributeName!$E:$E),2,_xlfn.XLOOKUP(C1556,#REF!,#REF!),3,_xlfn.XLOOKUP(C1556,#REF!,#REF!)),0)</f>
        <v>2</v>
      </c>
    </row>
    <row r="1557" customFormat="1" spans="1:20">
      <c r="A1557">
        <f t="shared" si="66"/>
        <v>654</v>
      </c>
      <c r="B1557">
        <v>6</v>
      </c>
      <c r="C1557" t="s">
        <v>425</v>
      </c>
      <c r="D1557" t="s">
        <v>29</v>
      </c>
      <c r="E1557" t="s">
        <v>392</v>
      </c>
      <c r="F1557"/>
      <c r="G1557">
        <v>2</v>
      </c>
      <c r="H1557">
        <v>1000</v>
      </c>
      <c r="J1557" cm="1">
        <f t="array" ref="J1557">_xlfn.SWITCH(B1557,1,75,2,61,3,49,4,37,5,25,6,13,7,4,8,1)</f>
        <v>13</v>
      </c>
      <c r="K1557" t="str" cm="1">
        <f t="array" ref="K1557">IFERROR(_xlfn.SWITCH(L1557,2,_xlfn.XLOOKUP(C1557,[1]ModifierDes!$B:$B,[1]ModifierDes!$C:$C),3,_xlfn.XLOOKUP(C1557,[1]StuntDes!$B:$B,[1]StuntDes!$C:$C)),"")</f>
        <v/>
      </c>
      <c r="L1557">
        <f t="shared" si="67"/>
        <v>1</v>
      </c>
      <c r="M1557" s="10" t="str">
        <f>IFERROR(_xlfn.XLOOKUP(C1557,[1]StuntDes!$B:$B,[1]StuntDes!$A:$A),"")</f>
        <v/>
      </c>
      <c r="N1557" s="10" t="str">
        <f>IFERROR(_xlfn.XLOOKUP(C1557,[1]ModifierDes!$B:$B,[1]ModifierDes!$A:$A),"")</f>
        <v/>
      </c>
      <c r="O1557" s="10">
        <f>IFERROR(_xlfn.XLOOKUP(C1557,[1]AttributeName!$C:$C,[1]AttributeName!$B:$B),"")</f>
        <v>10314</v>
      </c>
      <c r="P1557" s="10"/>
      <c r="Q1557">
        <v>0.1</v>
      </c>
      <c r="R1557">
        <v>0.13</v>
      </c>
      <c r="S1557" cm="1">
        <f t="array" ref="S1557">IFERROR(_xlfn.SWITCH(L1557,1,_xlfn.XLOOKUP(O1557,[1]AttributeName!$B:$B,[1]AttributeName!$D:$D),2,_xlfn.XLOOKUP(C1557,#REF!,#REF!),3,_xlfn.XLOOKUP(C1557,#REF!,#REF!)),0)</f>
        <v>2</v>
      </c>
      <c r="T1557" cm="1">
        <f t="array" ref="T1557">IFERROR(_xlfn.SWITCH(L1557,1,_xlfn.XLOOKUP(O1557,[1]AttributeName!$B:$B,[1]AttributeName!$E:$E),2,_xlfn.XLOOKUP(C1557,#REF!,#REF!),3,_xlfn.XLOOKUP(C1557,#REF!,#REF!)),0)</f>
        <v>2</v>
      </c>
    </row>
    <row r="1558" customFormat="1" spans="1:20">
      <c r="A1558">
        <f t="shared" si="66"/>
        <v>654</v>
      </c>
      <c r="B1558">
        <v>7</v>
      </c>
      <c r="C1558" t="s">
        <v>425</v>
      </c>
      <c r="D1558" t="s">
        <v>29</v>
      </c>
      <c r="E1558" t="s">
        <v>392</v>
      </c>
      <c r="F1558"/>
      <c r="G1558">
        <v>2</v>
      </c>
      <c r="H1558">
        <v>1000</v>
      </c>
      <c r="J1558" cm="1">
        <f t="array" ref="J1558">_xlfn.SWITCH(B1558,1,75,2,61,3,49,4,37,5,25,6,13,7,4,8,1)</f>
        <v>4</v>
      </c>
      <c r="K1558" t="str" cm="1">
        <f t="array" ref="K1558">IFERROR(_xlfn.SWITCH(L1558,2,_xlfn.XLOOKUP(C1558,[1]ModifierDes!$B:$B,[1]ModifierDes!$C:$C),3,_xlfn.XLOOKUP(C1558,[1]StuntDes!$B:$B,[1]StuntDes!$C:$C)),"")</f>
        <v/>
      </c>
      <c r="L1558">
        <f t="shared" si="67"/>
        <v>1</v>
      </c>
      <c r="M1558" s="10" t="str">
        <f>IFERROR(_xlfn.XLOOKUP(C1558,[1]StuntDes!$B:$B,[1]StuntDes!$A:$A),"")</f>
        <v/>
      </c>
      <c r="N1558" s="10" t="str">
        <f>IFERROR(_xlfn.XLOOKUP(C1558,[1]ModifierDes!$B:$B,[1]ModifierDes!$A:$A),"")</f>
        <v/>
      </c>
      <c r="O1558" s="10">
        <f>IFERROR(_xlfn.XLOOKUP(C1558,[1]AttributeName!$C:$C,[1]AttributeName!$B:$B),"")</f>
        <v>10314</v>
      </c>
      <c r="P1558" s="10"/>
      <c r="Q1558">
        <v>0.06</v>
      </c>
      <c r="R1558">
        <v>0.0900000000000001</v>
      </c>
      <c r="S1558" cm="1">
        <f t="array" ref="S1558">IFERROR(_xlfn.SWITCH(L1558,1,_xlfn.XLOOKUP(O1558,[1]AttributeName!$B:$B,[1]AttributeName!$D:$D),2,_xlfn.XLOOKUP(C1558,#REF!,#REF!),3,_xlfn.XLOOKUP(C1558,#REF!,#REF!)),0)</f>
        <v>2</v>
      </c>
      <c r="T1558" cm="1">
        <f t="array" ref="T1558">IFERROR(_xlfn.SWITCH(L1558,1,_xlfn.XLOOKUP(O1558,[1]AttributeName!$B:$B,[1]AttributeName!$E:$E),2,_xlfn.XLOOKUP(C1558,#REF!,#REF!),3,_xlfn.XLOOKUP(C1558,#REF!,#REF!)),0)</f>
        <v>2</v>
      </c>
    </row>
    <row r="1559" customFormat="1" spans="1:20">
      <c r="A1559">
        <f t="shared" si="66"/>
        <v>654</v>
      </c>
      <c r="B1559">
        <v>8</v>
      </c>
      <c r="C1559" t="s">
        <v>425</v>
      </c>
      <c r="D1559" t="s">
        <v>29</v>
      </c>
      <c r="E1559" t="s">
        <v>392</v>
      </c>
      <c r="F1559"/>
      <c r="G1559">
        <v>2</v>
      </c>
      <c r="H1559">
        <v>1000</v>
      </c>
      <c r="J1559" cm="1">
        <f t="array" ref="J1559">_xlfn.SWITCH(B1559,1,75,2,61,3,49,4,37,5,25,6,13,7,4,8,1)</f>
        <v>1</v>
      </c>
      <c r="K1559" t="str" cm="1">
        <f t="array" ref="K1559">IFERROR(_xlfn.SWITCH(L1559,2,_xlfn.XLOOKUP(C1559,[1]ModifierDes!$B:$B,[1]ModifierDes!$C:$C),3,_xlfn.XLOOKUP(C1559,[1]StuntDes!$B:$B,[1]StuntDes!$C:$C)),"")</f>
        <v/>
      </c>
      <c r="L1559">
        <f t="shared" si="67"/>
        <v>1</v>
      </c>
      <c r="M1559" s="10" t="str">
        <f>IFERROR(_xlfn.XLOOKUP(C1559,[1]StuntDes!$B:$B,[1]StuntDes!$A:$A),"")</f>
        <v/>
      </c>
      <c r="N1559" s="10" t="str">
        <f>IFERROR(_xlfn.XLOOKUP(C1559,[1]ModifierDes!$B:$B,[1]ModifierDes!$A:$A),"")</f>
        <v/>
      </c>
      <c r="O1559" s="10">
        <f>IFERROR(_xlfn.XLOOKUP(C1559,[1]AttributeName!$C:$C,[1]AttributeName!$B:$B),"")</f>
        <v>10314</v>
      </c>
      <c r="P1559" s="10"/>
      <c r="Q1559">
        <v>0.02</v>
      </c>
      <c r="R1559">
        <v>0.0500000000000001</v>
      </c>
      <c r="S1559" cm="1">
        <f t="array" ref="S1559">IFERROR(_xlfn.SWITCH(L1559,1,_xlfn.XLOOKUP(O1559,[1]AttributeName!$B:$B,[1]AttributeName!$D:$D),2,_xlfn.XLOOKUP(C1559,#REF!,#REF!),3,_xlfn.XLOOKUP(C1559,#REF!,#REF!)),0)</f>
        <v>2</v>
      </c>
      <c r="T1559" cm="1">
        <f t="array" ref="T1559">IFERROR(_xlfn.SWITCH(L1559,1,_xlfn.XLOOKUP(O1559,[1]AttributeName!$B:$B,[1]AttributeName!$E:$E),2,_xlfn.XLOOKUP(C1559,#REF!,#REF!),3,_xlfn.XLOOKUP(C1559,#REF!,#REF!)),0)</f>
        <v>2</v>
      </c>
    </row>
    <row r="1560" customFormat="1" spans="1:20">
      <c r="A1560">
        <f t="shared" si="66"/>
        <v>655</v>
      </c>
      <c r="B1560">
        <v>1</v>
      </c>
      <c r="C1560" t="s">
        <v>82</v>
      </c>
      <c r="D1560" t="s">
        <v>29</v>
      </c>
      <c r="E1560" t="s">
        <v>392</v>
      </c>
      <c r="F1560"/>
      <c r="G1560">
        <v>2</v>
      </c>
      <c r="H1560">
        <v>50</v>
      </c>
      <c r="J1560" cm="1">
        <f t="array" ref="J1560">_xlfn.SWITCH(B1560,1,75,2,61,3,49,4,37,5,25,6,13,7,4,8,1)</f>
        <v>75</v>
      </c>
      <c r="K1560" t="str" cm="1">
        <f t="array" ref="K1560">IFERROR(_xlfn.SWITCH(L1560,2,_xlfn.XLOOKUP(C1560,[1]ModifierDes!$B:$B,[1]ModifierDes!$C:$C),3,_xlfn.XLOOKUP(C1560,[1]StuntDes!$B:$B,[1]StuntDes!$C:$C)),"")</f>
        <v/>
      </c>
      <c r="L1560">
        <f t="shared" si="67"/>
        <v>1</v>
      </c>
      <c r="M1560" s="10" t="str">
        <f>IFERROR(_xlfn.XLOOKUP(C1560,[1]StuntDes!$B:$B,[1]StuntDes!$A:$A),"")</f>
        <v/>
      </c>
      <c r="N1560" s="10" t="str">
        <f>IFERROR(_xlfn.XLOOKUP(C1560,[1]ModifierDes!$B:$B,[1]ModifierDes!$A:$A),"")</f>
        <v/>
      </c>
      <c r="O1560" s="10">
        <f>IFERROR(_xlfn.XLOOKUP(C1560,[1]AttributeName!$C:$C,[1]AttributeName!$B:$B),"")</f>
        <v>10315</v>
      </c>
      <c r="P1560" s="10"/>
      <c r="Q1560">
        <v>0.2</v>
      </c>
      <c r="R1560">
        <v>0.25</v>
      </c>
      <c r="S1560" cm="1">
        <f t="array" ref="S1560">IFERROR(_xlfn.SWITCH(L1560,1,_xlfn.XLOOKUP(O1560,[1]AttributeName!$B:$B,[1]AttributeName!$D:$D),2,_xlfn.XLOOKUP(C1560,#REF!,#REF!),3,_xlfn.XLOOKUP(C1560,#REF!,#REF!)),0)</f>
        <v>2</v>
      </c>
      <c r="T1560" cm="1">
        <f t="array" ref="T1560">IFERROR(_xlfn.SWITCH(L1560,1,_xlfn.XLOOKUP(O1560,[1]AttributeName!$B:$B,[1]AttributeName!$E:$E),2,_xlfn.XLOOKUP(C1560,#REF!,#REF!),3,_xlfn.XLOOKUP(C1560,#REF!,#REF!)),0)</f>
        <v>2</v>
      </c>
    </row>
    <row r="1561" customFormat="1" spans="1:20">
      <c r="A1561">
        <f t="shared" si="66"/>
        <v>655</v>
      </c>
      <c r="B1561">
        <v>2</v>
      </c>
      <c r="C1561" t="s">
        <v>82</v>
      </c>
      <c r="D1561" t="s">
        <v>29</v>
      </c>
      <c r="E1561" t="s">
        <v>392</v>
      </c>
      <c r="F1561"/>
      <c r="G1561">
        <v>2</v>
      </c>
      <c r="H1561">
        <v>100</v>
      </c>
      <c r="J1561" cm="1">
        <f t="array" ref="J1561">_xlfn.SWITCH(B1561,1,75,2,61,3,49,4,37,5,25,6,13,7,4,8,1)</f>
        <v>61</v>
      </c>
      <c r="K1561" t="str" cm="1">
        <f t="array" ref="K1561">IFERROR(_xlfn.SWITCH(L1561,2,_xlfn.XLOOKUP(C1561,[1]ModifierDes!$B:$B,[1]ModifierDes!$C:$C),3,_xlfn.XLOOKUP(C1561,[1]StuntDes!$B:$B,[1]StuntDes!$C:$C)),"")</f>
        <v/>
      </c>
      <c r="L1561">
        <f t="shared" si="67"/>
        <v>1</v>
      </c>
      <c r="M1561" s="10" t="str">
        <f>IFERROR(_xlfn.XLOOKUP(C1561,[1]StuntDes!$B:$B,[1]StuntDes!$A:$A),"")</f>
        <v/>
      </c>
      <c r="N1561" s="10" t="str">
        <f>IFERROR(_xlfn.XLOOKUP(C1561,[1]ModifierDes!$B:$B,[1]ModifierDes!$A:$A),"")</f>
        <v/>
      </c>
      <c r="O1561" s="10">
        <f>IFERROR(_xlfn.XLOOKUP(C1561,[1]AttributeName!$C:$C,[1]AttributeName!$B:$B),"")</f>
        <v>10315</v>
      </c>
      <c r="P1561" s="10"/>
      <c r="Q1561">
        <v>0.17</v>
      </c>
      <c r="R1561">
        <v>0.19</v>
      </c>
      <c r="S1561" cm="1">
        <f t="array" ref="S1561">IFERROR(_xlfn.SWITCH(L1561,1,_xlfn.XLOOKUP(O1561,[1]AttributeName!$B:$B,[1]AttributeName!$D:$D),2,_xlfn.XLOOKUP(C1561,#REF!,#REF!),3,_xlfn.XLOOKUP(C1561,#REF!,#REF!)),0)</f>
        <v>2</v>
      </c>
      <c r="T1561" cm="1">
        <f t="array" ref="T1561">IFERROR(_xlfn.SWITCH(L1561,1,_xlfn.XLOOKUP(O1561,[1]AttributeName!$B:$B,[1]AttributeName!$E:$E),2,_xlfn.XLOOKUP(C1561,#REF!,#REF!),3,_xlfn.XLOOKUP(C1561,#REF!,#REF!)),0)</f>
        <v>2</v>
      </c>
    </row>
    <row r="1562" customFormat="1" spans="1:20">
      <c r="A1562">
        <f t="shared" si="66"/>
        <v>655</v>
      </c>
      <c r="B1562">
        <v>3</v>
      </c>
      <c r="C1562" t="s">
        <v>82</v>
      </c>
      <c r="D1562" t="s">
        <v>29</v>
      </c>
      <c r="E1562" t="s">
        <v>392</v>
      </c>
      <c r="F1562"/>
      <c r="G1562">
        <v>2</v>
      </c>
      <c r="H1562">
        <v>250</v>
      </c>
      <c r="J1562" cm="1">
        <f t="array" ref="J1562">_xlfn.SWITCH(B1562,1,75,2,61,3,49,4,37,5,25,6,13,7,4,8,1)</f>
        <v>49</v>
      </c>
      <c r="K1562" t="str" cm="1">
        <f t="array" ref="K1562">IFERROR(_xlfn.SWITCH(L1562,2,_xlfn.XLOOKUP(C1562,[1]ModifierDes!$B:$B,[1]ModifierDes!$C:$C),3,_xlfn.XLOOKUP(C1562,[1]StuntDes!$B:$B,[1]StuntDes!$C:$C)),"")</f>
        <v/>
      </c>
      <c r="L1562">
        <f t="shared" si="67"/>
        <v>1</v>
      </c>
      <c r="M1562" s="10" t="str">
        <f>IFERROR(_xlfn.XLOOKUP(C1562,[1]StuntDes!$B:$B,[1]StuntDes!$A:$A),"")</f>
        <v/>
      </c>
      <c r="N1562" s="10" t="str">
        <f>IFERROR(_xlfn.XLOOKUP(C1562,[1]ModifierDes!$B:$B,[1]ModifierDes!$A:$A),"")</f>
        <v/>
      </c>
      <c r="O1562" s="10">
        <f>IFERROR(_xlfn.XLOOKUP(C1562,[1]AttributeName!$C:$C,[1]AttributeName!$B:$B),"")</f>
        <v>10315</v>
      </c>
      <c r="P1562" s="10"/>
      <c r="Q1562">
        <v>0.14</v>
      </c>
      <c r="R1562">
        <v>0.16</v>
      </c>
      <c r="S1562" cm="1">
        <f t="array" ref="S1562">IFERROR(_xlfn.SWITCH(L1562,1,_xlfn.XLOOKUP(O1562,[1]AttributeName!$B:$B,[1]AttributeName!$D:$D),2,_xlfn.XLOOKUP(C1562,#REF!,#REF!),3,_xlfn.XLOOKUP(C1562,#REF!,#REF!)),0)</f>
        <v>2</v>
      </c>
      <c r="T1562" cm="1">
        <f t="array" ref="T1562">IFERROR(_xlfn.SWITCH(L1562,1,_xlfn.XLOOKUP(O1562,[1]AttributeName!$B:$B,[1]AttributeName!$E:$E),2,_xlfn.XLOOKUP(C1562,#REF!,#REF!),3,_xlfn.XLOOKUP(C1562,#REF!,#REF!)),0)</f>
        <v>2</v>
      </c>
    </row>
    <row r="1563" customFormat="1" spans="1:20">
      <c r="A1563">
        <f t="shared" si="66"/>
        <v>655</v>
      </c>
      <c r="B1563">
        <v>4</v>
      </c>
      <c r="C1563" t="s">
        <v>82</v>
      </c>
      <c r="D1563" t="s">
        <v>29</v>
      </c>
      <c r="E1563" t="s">
        <v>392</v>
      </c>
      <c r="F1563"/>
      <c r="G1563">
        <v>2</v>
      </c>
      <c r="H1563">
        <v>500</v>
      </c>
      <c r="J1563" cm="1">
        <f t="array" ref="J1563">_xlfn.SWITCH(B1563,1,75,2,61,3,49,4,37,5,25,6,13,7,4,8,1)</f>
        <v>37</v>
      </c>
      <c r="K1563" t="str" cm="1">
        <f t="array" ref="K1563">IFERROR(_xlfn.SWITCH(L1563,2,_xlfn.XLOOKUP(C1563,[1]ModifierDes!$B:$B,[1]ModifierDes!$C:$C),3,_xlfn.XLOOKUP(C1563,[1]StuntDes!$B:$B,[1]StuntDes!$C:$C)),"")</f>
        <v/>
      </c>
      <c r="L1563">
        <f t="shared" si="67"/>
        <v>1</v>
      </c>
      <c r="M1563" s="10" t="str">
        <f>IFERROR(_xlfn.XLOOKUP(C1563,[1]StuntDes!$B:$B,[1]StuntDes!$A:$A),"")</f>
        <v/>
      </c>
      <c r="N1563" s="10" t="str">
        <f>IFERROR(_xlfn.XLOOKUP(C1563,[1]ModifierDes!$B:$B,[1]ModifierDes!$A:$A),"")</f>
        <v/>
      </c>
      <c r="O1563" s="10">
        <f>IFERROR(_xlfn.XLOOKUP(C1563,[1]AttributeName!$C:$C,[1]AttributeName!$B:$B),"")</f>
        <v>10315</v>
      </c>
      <c r="P1563" s="10"/>
      <c r="Q1563">
        <v>0.11</v>
      </c>
      <c r="R1563">
        <v>0.13</v>
      </c>
      <c r="S1563" cm="1">
        <f t="array" ref="S1563">IFERROR(_xlfn.SWITCH(L1563,1,_xlfn.XLOOKUP(O1563,[1]AttributeName!$B:$B,[1]AttributeName!$D:$D),2,_xlfn.XLOOKUP(C1563,#REF!,#REF!),3,_xlfn.XLOOKUP(C1563,#REF!,#REF!)),0)</f>
        <v>2</v>
      </c>
      <c r="T1563" cm="1">
        <f t="array" ref="T1563">IFERROR(_xlfn.SWITCH(L1563,1,_xlfn.XLOOKUP(O1563,[1]AttributeName!$B:$B,[1]AttributeName!$E:$E),2,_xlfn.XLOOKUP(C1563,#REF!,#REF!),3,_xlfn.XLOOKUP(C1563,#REF!,#REF!)),0)</f>
        <v>2</v>
      </c>
    </row>
    <row r="1564" customFormat="1" spans="1:20">
      <c r="A1564">
        <f t="shared" si="66"/>
        <v>655</v>
      </c>
      <c r="B1564">
        <v>5</v>
      </c>
      <c r="C1564" t="s">
        <v>82</v>
      </c>
      <c r="D1564" t="s">
        <v>29</v>
      </c>
      <c r="E1564" t="s">
        <v>392</v>
      </c>
      <c r="F1564"/>
      <c r="G1564">
        <v>2</v>
      </c>
      <c r="H1564">
        <v>500</v>
      </c>
      <c r="J1564" cm="1">
        <f t="array" ref="J1564">_xlfn.SWITCH(B1564,1,75,2,61,3,49,4,37,5,25,6,13,7,4,8,1)</f>
        <v>25</v>
      </c>
      <c r="K1564" t="str" cm="1">
        <f t="array" ref="K1564">IFERROR(_xlfn.SWITCH(L1564,2,_xlfn.XLOOKUP(C1564,[1]ModifierDes!$B:$B,[1]ModifierDes!$C:$C),3,_xlfn.XLOOKUP(C1564,[1]StuntDes!$B:$B,[1]StuntDes!$C:$C)),"")</f>
        <v/>
      </c>
      <c r="L1564">
        <f t="shared" si="67"/>
        <v>1</v>
      </c>
      <c r="M1564" s="10" t="str">
        <f>IFERROR(_xlfn.XLOOKUP(C1564,[1]StuntDes!$B:$B,[1]StuntDes!$A:$A),"")</f>
        <v/>
      </c>
      <c r="N1564" s="10" t="str">
        <f>IFERROR(_xlfn.XLOOKUP(C1564,[1]ModifierDes!$B:$B,[1]ModifierDes!$A:$A),"")</f>
        <v/>
      </c>
      <c r="O1564" s="10">
        <f>IFERROR(_xlfn.XLOOKUP(C1564,[1]AttributeName!$C:$C,[1]AttributeName!$B:$B),"")</f>
        <v>10315</v>
      </c>
      <c r="P1564" s="10"/>
      <c r="Q1564">
        <v>0.08</v>
      </c>
      <c r="R1564">
        <v>0.1</v>
      </c>
      <c r="S1564" cm="1">
        <f t="array" ref="S1564">IFERROR(_xlfn.SWITCH(L1564,1,_xlfn.XLOOKUP(O1564,[1]AttributeName!$B:$B,[1]AttributeName!$D:$D),2,_xlfn.XLOOKUP(C1564,#REF!,#REF!),3,_xlfn.XLOOKUP(C1564,#REF!,#REF!)),0)</f>
        <v>2</v>
      </c>
      <c r="T1564" cm="1">
        <f t="array" ref="T1564">IFERROR(_xlfn.SWITCH(L1564,1,_xlfn.XLOOKUP(O1564,[1]AttributeName!$B:$B,[1]AttributeName!$E:$E),2,_xlfn.XLOOKUP(C1564,#REF!,#REF!),3,_xlfn.XLOOKUP(C1564,#REF!,#REF!)),0)</f>
        <v>2</v>
      </c>
    </row>
    <row r="1565" customFormat="1" spans="1:20">
      <c r="A1565">
        <f t="shared" si="66"/>
        <v>655</v>
      </c>
      <c r="B1565">
        <v>6</v>
      </c>
      <c r="C1565" t="s">
        <v>82</v>
      </c>
      <c r="D1565" t="s">
        <v>29</v>
      </c>
      <c r="E1565" t="s">
        <v>392</v>
      </c>
      <c r="F1565"/>
      <c r="G1565">
        <v>2</v>
      </c>
      <c r="H1565">
        <v>500</v>
      </c>
      <c r="J1565" cm="1">
        <f t="array" ref="J1565">_xlfn.SWITCH(B1565,1,75,2,61,3,49,4,37,5,25,6,13,7,4,8,1)</f>
        <v>13</v>
      </c>
      <c r="K1565" t="str" cm="1">
        <f t="array" ref="K1565">IFERROR(_xlfn.SWITCH(L1565,2,_xlfn.XLOOKUP(C1565,[1]ModifierDes!$B:$B,[1]ModifierDes!$C:$C),3,_xlfn.XLOOKUP(C1565,[1]StuntDes!$B:$B,[1]StuntDes!$C:$C)),"")</f>
        <v/>
      </c>
      <c r="L1565">
        <f t="shared" si="67"/>
        <v>1</v>
      </c>
      <c r="M1565" s="10" t="str">
        <f>IFERROR(_xlfn.XLOOKUP(C1565,[1]StuntDes!$B:$B,[1]StuntDes!$A:$A),"")</f>
        <v/>
      </c>
      <c r="N1565" s="10" t="str">
        <f>IFERROR(_xlfn.XLOOKUP(C1565,[1]ModifierDes!$B:$B,[1]ModifierDes!$A:$A),"")</f>
        <v/>
      </c>
      <c r="O1565" s="10">
        <f>IFERROR(_xlfn.XLOOKUP(C1565,[1]AttributeName!$C:$C,[1]AttributeName!$B:$B),"")</f>
        <v>10315</v>
      </c>
      <c r="P1565" s="10"/>
      <c r="Q1565">
        <v>0.05</v>
      </c>
      <c r="R1565">
        <v>0.07</v>
      </c>
      <c r="S1565" cm="1">
        <f t="array" ref="S1565">IFERROR(_xlfn.SWITCH(L1565,1,_xlfn.XLOOKUP(O1565,[1]AttributeName!$B:$B,[1]AttributeName!$D:$D),2,_xlfn.XLOOKUP(C1565,#REF!,#REF!),3,_xlfn.XLOOKUP(C1565,#REF!,#REF!)),0)</f>
        <v>2</v>
      </c>
      <c r="T1565" cm="1">
        <f t="array" ref="T1565">IFERROR(_xlfn.SWITCH(L1565,1,_xlfn.XLOOKUP(O1565,[1]AttributeName!$B:$B,[1]AttributeName!$E:$E),2,_xlfn.XLOOKUP(C1565,#REF!,#REF!),3,_xlfn.XLOOKUP(C1565,#REF!,#REF!)),0)</f>
        <v>2</v>
      </c>
    </row>
    <row r="1566" customFormat="1" spans="1:20">
      <c r="A1566">
        <f t="shared" si="66"/>
        <v>655</v>
      </c>
      <c r="B1566">
        <v>7</v>
      </c>
      <c r="C1566" t="s">
        <v>82</v>
      </c>
      <c r="D1566" t="s">
        <v>29</v>
      </c>
      <c r="E1566" t="s">
        <v>392</v>
      </c>
      <c r="F1566"/>
      <c r="G1566">
        <v>2</v>
      </c>
      <c r="H1566">
        <v>500</v>
      </c>
      <c r="J1566" cm="1">
        <f t="array" ref="J1566">_xlfn.SWITCH(B1566,1,75,2,61,3,49,4,37,5,25,6,13,7,4,8,1)</f>
        <v>4</v>
      </c>
      <c r="K1566" t="str" cm="1">
        <f t="array" ref="K1566">IFERROR(_xlfn.SWITCH(L1566,2,_xlfn.XLOOKUP(C1566,[1]ModifierDes!$B:$B,[1]ModifierDes!$C:$C),3,_xlfn.XLOOKUP(C1566,[1]StuntDes!$B:$B,[1]StuntDes!$C:$C)),"")</f>
        <v/>
      </c>
      <c r="L1566">
        <f t="shared" si="67"/>
        <v>1</v>
      </c>
      <c r="M1566" s="10" t="str">
        <f>IFERROR(_xlfn.XLOOKUP(C1566,[1]StuntDes!$B:$B,[1]StuntDes!$A:$A),"")</f>
        <v/>
      </c>
      <c r="N1566" s="10" t="str">
        <f>IFERROR(_xlfn.XLOOKUP(C1566,[1]ModifierDes!$B:$B,[1]ModifierDes!$A:$A),"")</f>
        <v/>
      </c>
      <c r="O1566" s="10">
        <f>IFERROR(_xlfn.XLOOKUP(C1566,[1]AttributeName!$C:$C,[1]AttributeName!$B:$B),"")</f>
        <v>10315</v>
      </c>
      <c r="P1566" s="10"/>
      <c r="Q1566">
        <v>0.02</v>
      </c>
      <c r="R1566">
        <v>0.04</v>
      </c>
      <c r="S1566" cm="1">
        <f t="array" ref="S1566">IFERROR(_xlfn.SWITCH(L1566,1,_xlfn.XLOOKUP(O1566,[1]AttributeName!$B:$B,[1]AttributeName!$D:$D),2,_xlfn.XLOOKUP(C1566,#REF!,#REF!),3,_xlfn.XLOOKUP(C1566,#REF!,#REF!)),0)</f>
        <v>2</v>
      </c>
      <c r="T1566" cm="1">
        <f t="array" ref="T1566">IFERROR(_xlfn.SWITCH(L1566,1,_xlfn.XLOOKUP(O1566,[1]AttributeName!$B:$B,[1]AttributeName!$E:$E),2,_xlfn.XLOOKUP(C1566,#REF!,#REF!),3,_xlfn.XLOOKUP(C1566,#REF!,#REF!)),0)</f>
        <v>2</v>
      </c>
    </row>
    <row r="1567" customFormat="1" spans="1:20">
      <c r="A1567">
        <f t="shared" si="66"/>
        <v>655</v>
      </c>
      <c r="B1567">
        <v>8</v>
      </c>
      <c r="C1567" t="s">
        <v>82</v>
      </c>
      <c r="D1567" t="s">
        <v>29</v>
      </c>
      <c r="E1567" t="s">
        <v>392</v>
      </c>
      <c r="F1567"/>
      <c r="G1567">
        <v>2</v>
      </c>
      <c r="H1567">
        <v>500</v>
      </c>
      <c r="J1567" cm="1">
        <f t="array" ref="J1567">_xlfn.SWITCH(B1567,1,75,2,61,3,49,4,37,5,25,6,13,7,4,8,1)</f>
        <v>1</v>
      </c>
      <c r="K1567" t="str" cm="1">
        <f t="array" ref="K1567">IFERROR(_xlfn.SWITCH(L1567,2,_xlfn.XLOOKUP(C1567,[1]ModifierDes!$B:$B,[1]ModifierDes!$C:$C),3,_xlfn.XLOOKUP(C1567,[1]StuntDes!$B:$B,[1]StuntDes!$C:$C)),"")</f>
        <v/>
      </c>
      <c r="L1567">
        <f t="shared" si="67"/>
        <v>1</v>
      </c>
      <c r="M1567" s="10" t="str">
        <f>IFERROR(_xlfn.XLOOKUP(C1567,[1]StuntDes!$B:$B,[1]StuntDes!$A:$A),"")</f>
        <v/>
      </c>
      <c r="N1567" s="10" t="str">
        <f>IFERROR(_xlfn.XLOOKUP(C1567,[1]ModifierDes!$B:$B,[1]ModifierDes!$A:$A),"")</f>
        <v/>
      </c>
      <c r="O1567" s="10">
        <f>IFERROR(_xlfn.XLOOKUP(C1567,[1]AttributeName!$C:$C,[1]AttributeName!$B:$B),"")</f>
        <v>10315</v>
      </c>
      <c r="P1567" s="10"/>
      <c r="Q1567">
        <v>0.01</v>
      </c>
      <c r="R1567">
        <v>0.01</v>
      </c>
      <c r="S1567" cm="1">
        <f t="array" ref="S1567">IFERROR(_xlfn.SWITCH(L1567,1,_xlfn.XLOOKUP(O1567,[1]AttributeName!$B:$B,[1]AttributeName!$D:$D),2,_xlfn.XLOOKUP(C1567,#REF!,#REF!),3,_xlfn.XLOOKUP(C1567,#REF!,#REF!)),0)</f>
        <v>2</v>
      </c>
      <c r="T1567" cm="1">
        <f t="array" ref="T1567">IFERROR(_xlfn.SWITCH(L1567,1,_xlfn.XLOOKUP(O1567,[1]AttributeName!$B:$B,[1]AttributeName!$E:$E),2,_xlfn.XLOOKUP(C1567,#REF!,#REF!),3,_xlfn.XLOOKUP(C1567,#REF!,#REF!)),0)</f>
        <v>2</v>
      </c>
    </row>
    <row r="1568" customFormat="1" spans="1:20">
      <c r="A1568">
        <v>656</v>
      </c>
      <c r="B1568">
        <v>1</v>
      </c>
      <c r="C1568" t="s">
        <v>400</v>
      </c>
      <c r="D1568" t="s">
        <v>29</v>
      </c>
      <c r="E1568" t="s">
        <v>392</v>
      </c>
      <c r="F1568"/>
      <c r="G1568">
        <v>2</v>
      </c>
      <c r="H1568">
        <v>50</v>
      </c>
      <c r="I1568">
        <v>3</v>
      </c>
      <c r="J1568" cm="1">
        <f t="array" ref="J1568">_xlfn.SWITCH(B1568,1,75,2,61,3,49,4,37,5,25,6,13,7,4,8,1)</f>
        <v>75</v>
      </c>
      <c r="K1568" t="str" cm="1">
        <f t="array" ref="K1568">IFERROR(_xlfn.SWITCH(L1568,2,_xlfn.XLOOKUP(C1568,[1]ModifierDes!$B:$B,[1]ModifierDes!$C:$C),3,_xlfn.XLOOKUP(C1568,[1]StuntDes!$B:$B,[1]StuntDes!$C:$C)),"")</f>
        <v>攻击暴击伤害增加{0}</v>
      </c>
      <c r="L1568">
        <f t="shared" si="67"/>
        <v>2</v>
      </c>
      <c r="M1568" s="10" t="str">
        <f>IFERROR(_xlfn.XLOOKUP(C1568,[1]StuntDes!$B:$B,[1]StuntDes!$A:$A),"")</f>
        <v/>
      </c>
      <c r="N1568" s="10">
        <f>IFERROR(_xlfn.XLOOKUP(C1568,[1]ModifierDes!$B:$B,[1]ModifierDes!$A:$A),"")</f>
        <v>10060</v>
      </c>
      <c r="O1568" s="10" t="str">
        <f>IFERROR(_xlfn.XLOOKUP(C1568,[1]AttributeName!$C:$C,[1]AttributeName!$B:$B),"")</f>
        <v/>
      </c>
      <c r="P1568" s="10"/>
      <c r="Q1568">
        <v>0.6</v>
      </c>
      <c r="R1568">
        <v>0.8</v>
      </c>
      <c r="S1568" cm="1">
        <f t="array" ref="S1568">IFERROR(_xlfn.SWITCH(L1568,1,_xlfn.XLOOKUP(O1568,[1]AttributeName!$B:$B,[1]AttributeName!$D:$D),2,_xlfn.XLOOKUP(C1568,#REF!,#REF!),3,_xlfn.XLOOKUP(C1568,#REF!,#REF!)),0)</f>
        <v>0</v>
      </c>
      <c r="T1568" cm="1">
        <f t="array" ref="T1568">IFERROR(_xlfn.SWITCH(L1568,1,_xlfn.XLOOKUP(O1568,[1]AttributeName!$B:$B,[1]AttributeName!$E:$E),2,_xlfn.XLOOKUP(C1568,#REF!,#REF!),3,_xlfn.XLOOKUP(C1568,#REF!,#REF!)),0)</f>
        <v>0</v>
      </c>
    </row>
    <row r="1569" customFormat="1" spans="1:20">
      <c r="A1569">
        <v>656</v>
      </c>
      <c r="B1569">
        <v>2</v>
      </c>
      <c r="C1569" t="s">
        <v>400</v>
      </c>
      <c r="D1569" t="s">
        <v>29</v>
      </c>
      <c r="E1569" t="s">
        <v>392</v>
      </c>
      <c r="F1569"/>
      <c r="G1569">
        <v>2</v>
      </c>
      <c r="H1569">
        <v>100</v>
      </c>
      <c r="I1569">
        <v>3</v>
      </c>
      <c r="J1569" cm="1">
        <f t="array" ref="J1569">_xlfn.SWITCH(B1569,1,75,2,61,3,49,4,37,5,25,6,13,7,4,8,1)</f>
        <v>61</v>
      </c>
      <c r="K1569" t="str" cm="1">
        <f t="array" ref="K1569">IFERROR(_xlfn.SWITCH(L1569,2,_xlfn.XLOOKUP(C1569,[1]ModifierDes!$B:$B,[1]ModifierDes!$C:$C),3,_xlfn.XLOOKUP(C1569,[1]StuntDes!$B:$B,[1]StuntDes!$C:$C)),"")</f>
        <v>攻击暴击伤害增加{0}</v>
      </c>
      <c r="L1569">
        <f t="shared" si="67"/>
        <v>2</v>
      </c>
      <c r="M1569" s="10" t="str">
        <f>IFERROR(_xlfn.XLOOKUP(C1569,[1]StuntDes!$B:$B,[1]StuntDes!$A:$A),"")</f>
        <v/>
      </c>
      <c r="N1569" s="10">
        <f>IFERROR(_xlfn.XLOOKUP(C1569,[1]ModifierDes!$B:$B,[1]ModifierDes!$A:$A),"")</f>
        <v>10060</v>
      </c>
      <c r="O1569" s="10" t="str">
        <f>IFERROR(_xlfn.XLOOKUP(C1569,[1]AttributeName!$C:$C,[1]AttributeName!$B:$B),"")</f>
        <v/>
      </c>
      <c r="P1569" s="10"/>
      <c r="Q1569">
        <v>0.52</v>
      </c>
      <c r="R1569">
        <v>0.58</v>
      </c>
      <c r="S1569" cm="1">
        <f t="array" ref="S1569">IFERROR(_xlfn.SWITCH(L1569,1,_xlfn.XLOOKUP(O1569,[1]AttributeName!$B:$B,[1]AttributeName!$D:$D),2,_xlfn.XLOOKUP(C1569,#REF!,#REF!),3,_xlfn.XLOOKUP(C1569,#REF!,#REF!)),0)</f>
        <v>0</v>
      </c>
      <c r="T1569" cm="1">
        <f t="array" ref="T1569">IFERROR(_xlfn.SWITCH(L1569,1,_xlfn.XLOOKUP(O1569,[1]AttributeName!$B:$B,[1]AttributeName!$E:$E),2,_xlfn.XLOOKUP(C1569,#REF!,#REF!),3,_xlfn.XLOOKUP(C1569,#REF!,#REF!)),0)</f>
        <v>0</v>
      </c>
    </row>
    <row r="1570" customFormat="1" spans="1:20">
      <c r="A1570">
        <v>656</v>
      </c>
      <c r="B1570">
        <v>3</v>
      </c>
      <c r="C1570" t="s">
        <v>400</v>
      </c>
      <c r="D1570" t="s">
        <v>29</v>
      </c>
      <c r="E1570" t="s">
        <v>392</v>
      </c>
      <c r="F1570"/>
      <c r="G1570">
        <v>2</v>
      </c>
      <c r="H1570">
        <v>250</v>
      </c>
      <c r="I1570">
        <v>3</v>
      </c>
      <c r="J1570" cm="1">
        <f t="array" ref="J1570">_xlfn.SWITCH(B1570,1,75,2,61,3,49,4,37,5,25,6,13,7,4,8,1)</f>
        <v>49</v>
      </c>
      <c r="K1570" t="str" cm="1">
        <f t="array" ref="K1570">IFERROR(_xlfn.SWITCH(L1570,2,_xlfn.XLOOKUP(C1570,[1]ModifierDes!$B:$B,[1]ModifierDes!$C:$C),3,_xlfn.XLOOKUP(C1570,[1]StuntDes!$B:$B,[1]StuntDes!$C:$C)),"")</f>
        <v>攻击暴击伤害增加{0}</v>
      </c>
      <c r="L1570">
        <f t="shared" si="67"/>
        <v>2</v>
      </c>
      <c r="M1570" s="10" t="str">
        <f>IFERROR(_xlfn.XLOOKUP(C1570,[1]StuntDes!$B:$B,[1]StuntDes!$A:$A),"")</f>
        <v/>
      </c>
      <c r="N1570" s="10">
        <f>IFERROR(_xlfn.XLOOKUP(C1570,[1]ModifierDes!$B:$B,[1]ModifierDes!$A:$A),"")</f>
        <v>10060</v>
      </c>
      <c r="O1570" s="10" t="str">
        <f>IFERROR(_xlfn.XLOOKUP(C1570,[1]AttributeName!$C:$C,[1]AttributeName!$B:$B),"")</f>
        <v/>
      </c>
      <c r="P1570" s="10"/>
      <c r="Q1570">
        <v>0.44</v>
      </c>
      <c r="R1570">
        <v>0.5</v>
      </c>
      <c r="S1570" cm="1">
        <f t="array" ref="S1570">IFERROR(_xlfn.SWITCH(L1570,1,_xlfn.XLOOKUP(O1570,[1]AttributeName!$B:$B,[1]AttributeName!$D:$D),2,_xlfn.XLOOKUP(C1570,#REF!,#REF!),3,_xlfn.XLOOKUP(C1570,#REF!,#REF!)),0)</f>
        <v>0</v>
      </c>
      <c r="T1570" cm="1">
        <f t="array" ref="T1570">IFERROR(_xlfn.SWITCH(L1570,1,_xlfn.XLOOKUP(O1570,[1]AttributeName!$B:$B,[1]AttributeName!$E:$E),2,_xlfn.XLOOKUP(C1570,#REF!,#REF!),3,_xlfn.XLOOKUP(C1570,#REF!,#REF!)),0)</f>
        <v>0</v>
      </c>
    </row>
    <row r="1571" customFormat="1" spans="1:20">
      <c r="A1571">
        <v>656</v>
      </c>
      <c r="B1571">
        <v>4</v>
      </c>
      <c r="C1571" t="s">
        <v>400</v>
      </c>
      <c r="D1571" t="s">
        <v>29</v>
      </c>
      <c r="E1571" t="s">
        <v>392</v>
      </c>
      <c r="F1571"/>
      <c r="G1571">
        <v>2</v>
      </c>
      <c r="H1571">
        <v>500</v>
      </c>
      <c r="I1571">
        <v>3</v>
      </c>
      <c r="J1571" cm="1">
        <f t="array" ref="J1571">_xlfn.SWITCH(B1571,1,75,2,61,3,49,4,37,5,25,6,13,7,4,8,1)</f>
        <v>37</v>
      </c>
      <c r="K1571" t="str" cm="1">
        <f t="array" ref="K1571">IFERROR(_xlfn.SWITCH(L1571,2,_xlfn.XLOOKUP(C1571,[1]ModifierDes!$B:$B,[1]ModifierDes!$C:$C),3,_xlfn.XLOOKUP(C1571,[1]StuntDes!$B:$B,[1]StuntDes!$C:$C)),"")</f>
        <v>攻击暴击伤害增加{0}</v>
      </c>
      <c r="L1571">
        <f t="shared" si="67"/>
        <v>2</v>
      </c>
      <c r="M1571" s="10" t="str">
        <f>IFERROR(_xlfn.XLOOKUP(C1571,[1]StuntDes!$B:$B,[1]StuntDes!$A:$A),"")</f>
        <v/>
      </c>
      <c r="N1571" s="10">
        <f>IFERROR(_xlfn.XLOOKUP(C1571,[1]ModifierDes!$B:$B,[1]ModifierDes!$A:$A),"")</f>
        <v>10060</v>
      </c>
      <c r="O1571" s="10" t="str">
        <f>IFERROR(_xlfn.XLOOKUP(C1571,[1]AttributeName!$C:$C,[1]AttributeName!$B:$B),"")</f>
        <v/>
      </c>
      <c r="P1571" s="10"/>
      <c r="Q1571">
        <v>0.36</v>
      </c>
      <c r="R1571">
        <v>0.42</v>
      </c>
      <c r="S1571" cm="1">
        <f t="array" ref="S1571">IFERROR(_xlfn.SWITCH(L1571,1,_xlfn.XLOOKUP(O1571,[1]AttributeName!$B:$B,[1]AttributeName!$D:$D),2,_xlfn.XLOOKUP(C1571,#REF!,#REF!),3,_xlfn.XLOOKUP(C1571,#REF!,#REF!)),0)</f>
        <v>0</v>
      </c>
      <c r="T1571" cm="1">
        <f t="array" ref="T1571">IFERROR(_xlfn.SWITCH(L1571,1,_xlfn.XLOOKUP(O1571,[1]AttributeName!$B:$B,[1]AttributeName!$E:$E),2,_xlfn.XLOOKUP(C1571,#REF!,#REF!),3,_xlfn.XLOOKUP(C1571,#REF!,#REF!)),0)</f>
        <v>0</v>
      </c>
    </row>
    <row r="1572" customFormat="1" spans="1:20">
      <c r="A1572">
        <v>656</v>
      </c>
      <c r="B1572">
        <v>5</v>
      </c>
      <c r="C1572" t="s">
        <v>400</v>
      </c>
      <c r="D1572" t="s">
        <v>29</v>
      </c>
      <c r="E1572" t="s">
        <v>392</v>
      </c>
      <c r="F1572"/>
      <c r="G1572">
        <v>2</v>
      </c>
      <c r="H1572">
        <v>500</v>
      </c>
      <c r="I1572">
        <v>3</v>
      </c>
      <c r="J1572" cm="1">
        <f t="array" ref="J1572">_xlfn.SWITCH(B1572,1,75,2,61,3,49,4,37,5,25,6,13,7,4,8,1)</f>
        <v>25</v>
      </c>
      <c r="K1572" t="str" cm="1">
        <f t="array" ref="K1572">IFERROR(_xlfn.SWITCH(L1572,2,_xlfn.XLOOKUP(C1572,[1]ModifierDes!$B:$B,[1]ModifierDes!$C:$C),3,_xlfn.XLOOKUP(C1572,[1]StuntDes!$B:$B,[1]StuntDes!$C:$C)),"")</f>
        <v>攻击暴击伤害增加{0}</v>
      </c>
      <c r="L1572">
        <f t="shared" si="67"/>
        <v>2</v>
      </c>
      <c r="M1572" s="10" t="str">
        <f>IFERROR(_xlfn.XLOOKUP(C1572,[1]StuntDes!$B:$B,[1]StuntDes!$A:$A),"")</f>
        <v/>
      </c>
      <c r="N1572" s="10">
        <f>IFERROR(_xlfn.XLOOKUP(C1572,[1]ModifierDes!$B:$B,[1]ModifierDes!$A:$A),"")</f>
        <v>10060</v>
      </c>
      <c r="O1572" s="10" t="str">
        <f>IFERROR(_xlfn.XLOOKUP(C1572,[1]AttributeName!$C:$C,[1]AttributeName!$B:$B),"")</f>
        <v/>
      </c>
      <c r="P1572" s="10"/>
      <c r="Q1572">
        <v>0.28</v>
      </c>
      <c r="R1572">
        <v>0.34</v>
      </c>
      <c r="S1572" cm="1">
        <f t="array" ref="S1572">IFERROR(_xlfn.SWITCH(L1572,1,_xlfn.XLOOKUP(O1572,[1]AttributeName!$B:$B,[1]AttributeName!$D:$D),2,_xlfn.XLOOKUP(C1572,#REF!,#REF!),3,_xlfn.XLOOKUP(C1572,#REF!,#REF!)),0)</f>
        <v>0</v>
      </c>
      <c r="T1572" cm="1">
        <f t="array" ref="T1572">IFERROR(_xlfn.SWITCH(L1572,1,_xlfn.XLOOKUP(O1572,[1]AttributeName!$B:$B,[1]AttributeName!$E:$E),2,_xlfn.XLOOKUP(C1572,#REF!,#REF!),3,_xlfn.XLOOKUP(C1572,#REF!,#REF!)),0)</f>
        <v>0</v>
      </c>
    </row>
    <row r="1573" customFormat="1" spans="1:20">
      <c r="A1573">
        <v>656</v>
      </c>
      <c r="B1573">
        <v>6</v>
      </c>
      <c r="C1573" t="s">
        <v>400</v>
      </c>
      <c r="D1573" t="s">
        <v>29</v>
      </c>
      <c r="E1573" t="s">
        <v>392</v>
      </c>
      <c r="F1573"/>
      <c r="G1573">
        <v>2</v>
      </c>
      <c r="H1573">
        <v>500</v>
      </c>
      <c r="I1573">
        <v>3</v>
      </c>
      <c r="J1573" cm="1">
        <f t="array" ref="J1573">_xlfn.SWITCH(B1573,1,75,2,61,3,49,4,37,5,25,6,13,7,4,8,1)</f>
        <v>13</v>
      </c>
      <c r="K1573" t="str" cm="1">
        <f t="array" ref="K1573">IFERROR(_xlfn.SWITCH(L1573,2,_xlfn.XLOOKUP(C1573,[1]ModifierDes!$B:$B,[1]ModifierDes!$C:$C),3,_xlfn.XLOOKUP(C1573,[1]StuntDes!$B:$B,[1]StuntDes!$C:$C)),"")</f>
        <v>攻击暴击伤害增加{0}</v>
      </c>
      <c r="L1573">
        <f t="shared" si="67"/>
        <v>2</v>
      </c>
      <c r="M1573" s="10" t="str">
        <f>IFERROR(_xlfn.XLOOKUP(C1573,[1]StuntDes!$B:$B,[1]StuntDes!$A:$A),"")</f>
        <v/>
      </c>
      <c r="N1573" s="10">
        <f>IFERROR(_xlfn.XLOOKUP(C1573,[1]ModifierDes!$B:$B,[1]ModifierDes!$A:$A),"")</f>
        <v>10060</v>
      </c>
      <c r="O1573" s="10" t="str">
        <f>IFERROR(_xlfn.XLOOKUP(C1573,[1]AttributeName!$C:$C,[1]AttributeName!$B:$B),"")</f>
        <v/>
      </c>
      <c r="P1573" s="10"/>
      <c r="Q1573">
        <v>0.2</v>
      </c>
      <c r="R1573">
        <v>0.26</v>
      </c>
      <c r="S1573" cm="1">
        <f t="array" ref="S1573">IFERROR(_xlfn.SWITCH(L1573,1,_xlfn.XLOOKUP(O1573,[1]AttributeName!$B:$B,[1]AttributeName!$D:$D),2,_xlfn.XLOOKUP(C1573,#REF!,#REF!),3,_xlfn.XLOOKUP(C1573,#REF!,#REF!)),0)</f>
        <v>0</v>
      </c>
      <c r="T1573" cm="1">
        <f t="array" ref="T1573">IFERROR(_xlfn.SWITCH(L1573,1,_xlfn.XLOOKUP(O1573,[1]AttributeName!$B:$B,[1]AttributeName!$E:$E),2,_xlfn.XLOOKUP(C1573,#REF!,#REF!),3,_xlfn.XLOOKUP(C1573,#REF!,#REF!)),0)</f>
        <v>0</v>
      </c>
    </row>
    <row r="1574" customFormat="1" spans="1:20">
      <c r="A1574">
        <v>656</v>
      </c>
      <c r="B1574">
        <v>7</v>
      </c>
      <c r="C1574" t="s">
        <v>400</v>
      </c>
      <c r="D1574" t="s">
        <v>29</v>
      </c>
      <c r="E1574" t="s">
        <v>392</v>
      </c>
      <c r="F1574"/>
      <c r="G1574">
        <v>2</v>
      </c>
      <c r="H1574">
        <v>500</v>
      </c>
      <c r="I1574">
        <v>3</v>
      </c>
      <c r="J1574" cm="1">
        <f t="array" ref="J1574">_xlfn.SWITCH(B1574,1,75,2,61,3,49,4,37,5,25,6,13,7,4,8,1)</f>
        <v>4</v>
      </c>
      <c r="K1574" t="str" cm="1">
        <f t="array" ref="K1574">IFERROR(_xlfn.SWITCH(L1574,2,_xlfn.XLOOKUP(C1574,[1]ModifierDes!$B:$B,[1]ModifierDes!$C:$C),3,_xlfn.XLOOKUP(C1574,[1]StuntDes!$B:$B,[1]StuntDes!$C:$C)),"")</f>
        <v>攻击暴击伤害增加{0}</v>
      </c>
      <c r="L1574">
        <f t="shared" si="67"/>
        <v>2</v>
      </c>
      <c r="M1574" s="10" t="str">
        <f>IFERROR(_xlfn.XLOOKUP(C1574,[1]StuntDes!$B:$B,[1]StuntDes!$A:$A),"")</f>
        <v/>
      </c>
      <c r="N1574" s="10">
        <f>IFERROR(_xlfn.XLOOKUP(C1574,[1]ModifierDes!$B:$B,[1]ModifierDes!$A:$A),"")</f>
        <v>10060</v>
      </c>
      <c r="O1574" s="10" t="str">
        <f>IFERROR(_xlfn.XLOOKUP(C1574,[1]AttributeName!$C:$C,[1]AttributeName!$B:$B),"")</f>
        <v/>
      </c>
      <c r="P1574" s="10"/>
      <c r="Q1574">
        <v>0.12</v>
      </c>
      <c r="R1574">
        <v>0.18</v>
      </c>
      <c r="S1574" cm="1">
        <f t="array" ref="S1574">IFERROR(_xlfn.SWITCH(L1574,1,_xlfn.XLOOKUP(O1574,[1]AttributeName!$B:$B,[1]AttributeName!$D:$D),2,_xlfn.XLOOKUP(C1574,#REF!,#REF!),3,_xlfn.XLOOKUP(C1574,#REF!,#REF!)),0)</f>
        <v>0</v>
      </c>
      <c r="T1574" cm="1">
        <f t="array" ref="T1574">IFERROR(_xlfn.SWITCH(L1574,1,_xlfn.XLOOKUP(O1574,[1]AttributeName!$B:$B,[1]AttributeName!$E:$E),2,_xlfn.XLOOKUP(C1574,#REF!,#REF!),3,_xlfn.XLOOKUP(C1574,#REF!,#REF!)),0)</f>
        <v>0</v>
      </c>
    </row>
    <row r="1575" customFormat="1" spans="1:20">
      <c r="A1575">
        <v>656</v>
      </c>
      <c r="B1575">
        <v>8</v>
      </c>
      <c r="C1575" t="s">
        <v>400</v>
      </c>
      <c r="D1575" t="s">
        <v>29</v>
      </c>
      <c r="E1575" t="s">
        <v>392</v>
      </c>
      <c r="F1575"/>
      <c r="G1575">
        <v>2</v>
      </c>
      <c r="H1575">
        <v>500</v>
      </c>
      <c r="I1575">
        <v>3</v>
      </c>
      <c r="J1575" cm="1">
        <f t="array" ref="J1575">_xlfn.SWITCH(B1575,1,75,2,61,3,49,4,37,5,25,6,13,7,4,8,1)</f>
        <v>1</v>
      </c>
      <c r="K1575" t="str" cm="1">
        <f t="array" ref="K1575">IFERROR(_xlfn.SWITCH(L1575,2,_xlfn.XLOOKUP(C1575,[1]ModifierDes!$B:$B,[1]ModifierDes!$C:$C),3,_xlfn.XLOOKUP(C1575,[1]StuntDes!$B:$B,[1]StuntDes!$C:$C)),"")</f>
        <v>攻击暴击伤害增加{0}</v>
      </c>
      <c r="L1575">
        <f t="shared" si="67"/>
        <v>2</v>
      </c>
      <c r="M1575" s="10" t="str">
        <f>IFERROR(_xlfn.XLOOKUP(C1575,[1]StuntDes!$B:$B,[1]StuntDes!$A:$A),"")</f>
        <v/>
      </c>
      <c r="N1575" s="10">
        <f>IFERROR(_xlfn.XLOOKUP(C1575,[1]ModifierDes!$B:$B,[1]ModifierDes!$A:$A),"")</f>
        <v>10060</v>
      </c>
      <c r="O1575" s="10" t="str">
        <f>IFERROR(_xlfn.XLOOKUP(C1575,[1]AttributeName!$C:$C,[1]AttributeName!$B:$B),"")</f>
        <v/>
      </c>
      <c r="P1575" s="10"/>
      <c r="Q1575">
        <v>0.04</v>
      </c>
      <c r="R1575">
        <v>0.1</v>
      </c>
      <c r="S1575" cm="1">
        <f t="array" ref="S1575">IFERROR(_xlfn.SWITCH(L1575,1,_xlfn.XLOOKUP(O1575,[1]AttributeName!$B:$B,[1]AttributeName!$D:$D),2,_xlfn.XLOOKUP(C1575,#REF!,#REF!),3,_xlfn.XLOOKUP(C1575,#REF!,#REF!)),0)</f>
        <v>0</v>
      </c>
      <c r="T1575" cm="1">
        <f t="array" ref="T1575">IFERROR(_xlfn.SWITCH(L1575,1,_xlfn.XLOOKUP(O1575,[1]AttributeName!$B:$B,[1]AttributeName!$E:$E),2,_xlfn.XLOOKUP(C1575,#REF!,#REF!),3,_xlfn.XLOOKUP(C1575,#REF!,#REF!)),0)</f>
        <v>0</v>
      </c>
    </row>
    <row r="1576" customFormat="1" spans="1:20">
      <c r="A1576">
        <f t="shared" ref="A1576:A1639" si="68">A1568+1</f>
        <v>657</v>
      </c>
      <c r="B1576">
        <v>1</v>
      </c>
      <c r="C1576" t="s">
        <v>426</v>
      </c>
      <c r="D1576" t="s">
        <v>29</v>
      </c>
      <c r="E1576" t="s">
        <v>392</v>
      </c>
      <c r="F1576"/>
      <c r="G1576">
        <v>2</v>
      </c>
      <c r="H1576">
        <v>50</v>
      </c>
      <c r="I1576">
        <v>3</v>
      </c>
      <c r="J1576" cm="1">
        <f t="array" ref="J1576">_xlfn.SWITCH(B1576,1,75,2,61,3,49,4,37,5,25,6,13,7,4,8,1)</f>
        <v>75</v>
      </c>
      <c r="K1576" t="str" cm="1">
        <f t="array" ref="K1576">IFERROR(_xlfn.SWITCH(L1576,2,_xlfn.XLOOKUP(C1576,[1]ModifierDes!$B:$B,[1]ModifierDes!$C:$C),3,_xlfn.XLOOKUP(C1576,[1]StuntDes!$B:$B,[1]StuntDes!$C:$C)),"")</f>
        <v>法术暴击伤害增加{0}</v>
      </c>
      <c r="L1576">
        <f t="shared" si="67"/>
        <v>2</v>
      </c>
      <c r="M1576" s="10" t="str">
        <f>IFERROR(_xlfn.XLOOKUP(C1576,[1]StuntDes!$B:$B,[1]StuntDes!$A:$A),"")</f>
        <v/>
      </c>
      <c r="N1576" s="10">
        <f>IFERROR(_xlfn.XLOOKUP(C1576,[1]ModifierDes!$B:$B,[1]ModifierDes!$A:$A),"")</f>
        <v>10061</v>
      </c>
      <c r="O1576" s="10" t="str">
        <f>IFERROR(_xlfn.XLOOKUP(C1576,[1]AttributeName!$C:$C,[1]AttributeName!$B:$B),"")</f>
        <v/>
      </c>
      <c r="P1576" s="10"/>
      <c r="Q1576">
        <v>0.6</v>
      </c>
      <c r="R1576">
        <v>0.8</v>
      </c>
      <c r="S1576" cm="1">
        <f t="array" ref="S1576">IFERROR(_xlfn.SWITCH(L1576,1,_xlfn.XLOOKUP(O1576,[1]AttributeName!$B:$B,[1]AttributeName!$D:$D),2,_xlfn.XLOOKUP(C1576,#REF!,#REF!),3,_xlfn.XLOOKUP(C1576,#REF!,#REF!)),0)</f>
        <v>0</v>
      </c>
      <c r="T1576" cm="1">
        <f t="array" ref="T1576">IFERROR(_xlfn.SWITCH(L1576,1,_xlfn.XLOOKUP(O1576,[1]AttributeName!$B:$B,[1]AttributeName!$E:$E),2,_xlfn.XLOOKUP(C1576,#REF!,#REF!),3,_xlfn.XLOOKUP(C1576,#REF!,#REF!)),0)</f>
        <v>0</v>
      </c>
    </row>
    <row r="1577" customFormat="1" spans="1:20">
      <c r="A1577">
        <f t="shared" si="68"/>
        <v>657</v>
      </c>
      <c r="B1577">
        <v>2</v>
      </c>
      <c r="C1577" t="s">
        <v>426</v>
      </c>
      <c r="D1577" t="s">
        <v>29</v>
      </c>
      <c r="E1577" t="s">
        <v>392</v>
      </c>
      <c r="F1577"/>
      <c r="G1577">
        <v>2</v>
      </c>
      <c r="H1577">
        <v>100</v>
      </c>
      <c r="I1577">
        <v>3</v>
      </c>
      <c r="J1577" cm="1">
        <f t="array" ref="J1577">_xlfn.SWITCH(B1577,1,75,2,61,3,49,4,37,5,25,6,13,7,4,8,1)</f>
        <v>61</v>
      </c>
      <c r="K1577" t="str" cm="1">
        <f t="array" ref="K1577">IFERROR(_xlfn.SWITCH(L1577,2,_xlfn.XLOOKUP(C1577,[1]ModifierDes!$B:$B,[1]ModifierDes!$C:$C),3,_xlfn.XLOOKUP(C1577,[1]StuntDes!$B:$B,[1]StuntDes!$C:$C)),"")</f>
        <v>法术暴击伤害增加{0}</v>
      </c>
      <c r="L1577">
        <f t="shared" si="67"/>
        <v>2</v>
      </c>
      <c r="M1577" s="10" t="str">
        <f>IFERROR(_xlfn.XLOOKUP(C1577,[1]StuntDes!$B:$B,[1]StuntDes!$A:$A),"")</f>
        <v/>
      </c>
      <c r="N1577" s="10">
        <f>IFERROR(_xlfn.XLOOKUP(C1577,[1]ModifierDes!$B:$B,[1]ModifierDes!$A:$A),"")</f>
        <v>10061</v>
      </c>
      <c r="O1577" s="10" t="str">
        <f>IFERROR(_xlfn.XLOOKUP(C1577,[1]AttributeName!$C:$C,[1]AttributeName!$B:$B),"")</f>
        <v/>
      </c>
      <c r="P1577" s="10"/>
      <c r="Q1577">
        <v>0.52</v>
      </c>
      <c r="R1577">
        <v>0.58</v>
      </c>
      <c r="S1577" cm="1">
        <f t="array" ref="S1577">IFERROR(_xlfn.SWITCH(L1577,1,_xlfn.XLOOKUP(O1577,[1]AttributeName!$B:$B,[1]AttributeName!$D:$D),2,_xlfn.XLOOKUP(C1577,#REF!,#REF!),3,_xlfn.XLOOKUP(C1577,#REF!,#REF!)),0)</f>
        <v>0</v>
      </c>
      <c r="T1577" cm="1">
        <f t="array" ref="T1577">IFERROR(_xlfn.SWITCH(L1577,1,_xlfn.XLOOKUP(O1577,[1]AttributeName!$B:$B,[1]AttributeName!$E:$E),2,_xlfn.XLOOKUP(C1577,#REF!,#REF!),3,_xlfn.XLOOKUP(C1577,#REF!,#REF!)),0)</f>
        <v>0</v>
      </c>
    </row>
    <row r="1578" customFormat="1" spans="1:20">
      <c r="A1578">
        <f t="shared" si="68"/>
        <v>657</v>
      </c>
      <c r="B1578">
        <v>3</v>
      </c>
      <c r="C1578" t="s">
        <v>426</v>
      </c>
      <c r="D1578" t="s">
        <v>29</v>
      </c>
      <c r="E1578" t="s">
        <v>392</v>
      </c>
      <c r="F1578"/>
      <c r="G1578">
        <v>2</v>
      </c>
      <c r="H1578">
        <v>250</v>
      </c>
      <c r="I1578">
        <v>3</v>
      </c>
      <c r="J1578" cm="1">
        <f t="array" ref="J1578">_xlfn.SWITCH(B1578,1,75,2,61,3,49,4,37,5,25,6,13,7,4,8,1)</f>
        <v>49</v>
      </c>
      <c r="K1578" t="str" cm="1">
        <f t="array" ref="K1578">IFERROR(_xlfn.SWITCH(L1578,2,_xlfn.XLOOKUP(C1578,[1]ModifierDes!$B:$B,[1]ModifierDes!$C:$C),3,_xlfn.XLOOKUP(C1578,[1]StuntDes!$B:$B,[1]StuntDes!$C:$C)),"")</f>
        <v>法术暴击伤害增加{0}</v>
      </c>
      <c r="L1578">
        <f t="shared" si="67"/>
        <v>2</v>
      </c>
      <c r="M1578" s="10" t="str">
        <f>IFERROR(_xlfn.XLOOKUP(C1578,[1]StuntDes!$B:$B,[1]StuntDes!$A:$A),"")</f>
        <v/>
      </c>
      <c r="N1578" s="10">
        <f>IFERROR(_xlfn.XLOOKUP(C1578,[1]ModifierDes!$B:$B,[1]ModifierDes!$A:$A),"")</f>
        <v>10061</v>
      </c>
      <c r="O1578" s="10" t="str">
        <f>IFERROR(_xlfn.XLOOKUP(C1578,[1]AttributeName!$C:$C,[1]AttributeName!$B:$B),"")</f>
        <v/>
      </c>
      <c r="P1578" s="10"/>
      <c r="Q1578">
        <v>0.44</v>
      </c>
      <c r="R1578">
        <v>0.5</v>
      </c>
      <c r="S1578" cm="1">
        <f t="array" ref="S1578">IFERROR(_xlfn.SWITCH(L1578,1,_xlfn.XLOOKUP(O1578,[1]AttributeName!$B:$B,[1]AttributeName!$D:$D),2,_xlfn.XLOOKUP(C1578,#REF!,#REF!),3,_xlfn.XLOOKUP(C1578,#REF!,#REF!)),0)</f>
        <v>0</v>
      </c>
      <c r="T1578" cm="1">
        <f t="array" ref="T1578">IFERROR(_xlfn.SWITCH(L1578,1,_xlfn.XLOOKUP(O1578,[1]AttributeName!$B:$B,[1]AttributeName!$E:$E),2,_xlfn.XLOOKUP(C1578,#REF!,#REF!),3,_xlfn.XLOOKUP(C1578,#REF!,#REF!)),0)</f>
        <v>0</v>
      </c>
    </row>
    <row r="1579" customFormat="1" spans="1:20">
      <c r="A1579">
        <f t="shared" si="68"/>
        <v>657</v>
      </c>
      <c r="B1579">
        <v>4</v>
      </c>
      <c r="C1579" t="s">
        <v>426</v>
      </c>
      <c r="D1579" t="s">
        <v>29</v>
      </c>
      <c r="E1579" t="s">
        <v>392</v>
      </c>
      <c r="F1579"/>
      <c r="G1579">
        <v>2</v>
      </c>
      <c r="H1579">
        <v>500</v>
      </c>
      <c r="I1579">
        <v>3</v>
      </c>
      <c r="J1579" cm="1">
        <f t="array" ref="J1579">_xlfn.SWITCH(B1579,1,75,2,61,3,49,4,37,5,25,6,13,7,4,8,1)</f>
        <v>37</v>
      </c>
      <c r="K1579" t="str" cm="1">
        <f t="array" ref="K1579">IFERROR(_xlfn.SWITCH(L1579,2,_xlfn.XLOOKUP(C1579,[1]ModifierDes!$B:$B,[1]ModifierDes!$C:$C),3,_xlfn.XLOOKUP(C1579,[1]StuntDes!$B:$B,[1]StuntDes!$C:$C)),"")</f>
        <v>法术暴击伤害增加{0}</v>
      </c>
      <c r="L1579">
        <f t="shared" si="67"/>
        <v>2</v>
      </c>
      <c r="M1579" s="10" t="str">
        <f>IFERROR(_xlfn.XLOOKUP(C1579,[1]StuntDes!$B:$B,[1]StuntDes!$A:$A),"")</f>
        <v/>
      </c>
      <c r="N1579" s="10">
        <f>IFERROR(_xlfn.XLOOKUP(C1579,[1]ModifierDes!$B:$B,[1]ModifierDes!$A:$A),"")</f>
        <v>10061</v>
      </c>
      <c r="O1579" s="10" t="str">
        <f>IFERROR(_xlfn.XLOOKUP(C1579,[1]AttributeName!$C:$C,[1]AttributeName!$B:$B),"")</f>
        <v/>
      </c>
      <c r="P1579" s="10"/>
      <c r="Q1579">
        <v>0.36</v>
      </c>
      <c r="R1579">
        <v>0.42</v>
      </c>
      <c r="S1579" cm="1">
        <f t="array" ref="S1579">IFERROR(_xlfn.SWITCH(L1579,1,_xlfn.XLOOKUP(O1579,[1]AttributeName!$B:$B,[1]AttributeName!$D:$D),2,_xlfn.XLOOKUP(C1579,#REF!,#REF!),3,_xlfn.XLOOKUP(C1579,#REF!,#REF!)),0)</f>
        <v>0</v>
      </c>
      <c r="T1579" cm="1">
        <f t="array" ref="T1579">IFERROR(_xlfn.SWITCH(L1579,1,_xlfn.XLOOKUP(O1579,[1]AttributeName!$B:$B,[1]AttributeName!$E:$E),2,_xlfn.XLOOKUP(C1579,#REF!,#REF!),3,_xlfn.XLOOKUP(C1579,#REF!,#REF!)),0)</f>
        <v>0</v>
      </c>
    </row>
    <row r="1580" customFormat="1" spans="1:20">
      <c r="A1580">
        <f t="shared" si="68"/>
        <v>657</v>
      </c>
      <c r="B1580">
        <v>5</v>
      </c>
      <c r="C1580" t="s">
        <v>426</v>
      </c>
      <c r="D1580" t="s">
        <v>29</v>
      </c>
      <c r="E1580" t="s">
        <v>392</v>
      </c>
      <c r="F1580"/>
      <c r="G1580">
        <v>2</v>
      </c>
      <c r="H1580">
        <v>500</v>
      </c>
      <c r="I1580">
        <v>3</v>
      </c>
      <c r="J1580" cm="1">
        <f t="array" ref="J1580">_xlfn.SWITCH(B1580,1,75,2,61,3,49,4,37,5,25,6,13,7,4,8,1)</f>
        <v>25</v>
      </c>
      <c r="K1580" t="str" cm="1">
        <f t="array" ref="K1580">IFERROR(_xlfn.SWITCH(L1580,2,_xlfn.XLOOKUP(C1580,[1]ModifierDes!$B:$B,[1]ModifierDes!$C:$C),3,_xlfn.XLOOKUP(C1580,[1]StuntDes!$B:$B,[1]StuntDes!$C:$C)),"")</f>
        <v>法术暴击伤害增加{0}</v>
      </c>
      <c r="L1580">
        <f t="shared" si="67"/>
        <v>2</v>
      </c>
      <c r="M1580" s="10" t="str">
        <f>IFERROR(_xlfn.XLOOKUP(C1580,[1]StuntDes!$B:$B,[1]StuntDes!$A:$A),"")</f>
        <v/>
      </c>
      <c r="N1580" s="10">
        <f>IFERROR(_xlfn.XLOOKUP(C1580,[1]ModifierDes!$B:$B,[1]ModifierDes!$A:$A),"")</f>
        <v>10061</v>
      </c>
      <c r="O1580" s="10" t="str">
        <f>IFERROR(_xlfn.XLOOKUP(C1580,[1]AttributeName!$C:$C,[1]AttributeName!$B:$B),"")</f>
        <v/>
      </c>
      <c r="P1580" s="10"/>
      <c r="Q1580">
        <v>0.28</v>
      </c>
      <c r="R1580">
        <v>0.34</v>
      </c>
      <c r="S1580" cm="1">
        <f t="array" ref="S1580">IFERROR(_xlfn.SWITCH(L1580,1,_xlfn.XLOOKUP(O1580,[1]AttributeName!$B:$B,[1]AttributeName!$D:$D),2,_xlfn.XLOOKUP(C1580,#REF!,#REF!),3,_xlfn.XLOOKUP(C1580,#REF!,#REF!)),0)</f>
        <v>0</v>
      </c>
      <c r="T1580" cm="1">
        <f t="array" ref="T1580">IFERROR(_xlfn.SWITCH(L1580,1,_xlfn.XLOOKUP(O1580,[1]AttributeName!$B:$B,[1]AttributeName!$E:$E),2,_xlfn.XLOOKUP(C1580,#REF!,#REF!),3,_xlfn.XLOOKUP(C1580,#REF!,#REF!)),0)</f>
        <v>0</v>
      </c>
    </row>
    <row r="1581" customFormat="1" spans="1:20">
      <c r="A1581">
        <f t="shared" si="68"/>
        <v>657</v>
      </c>
      <c r="B1581">
        <v>6</v>
      </c>
      <c r="C1581" t="s">
        <v>426</v>
      </c>
      <c r="D1581" t="s">
        <v>29</v>
      </c>
      <c r="E1581" t="s">
        <v>392</v>
      </c>
      <c r="F1581"/>
      <c r="G1581">
        <v>2</v>
      </c>
      <c r="H1581">
        <v>500</v>
      </c>
      <c r="I1581">
        <v>3</v>
      </c>
      <c r="J1581" cm="1">
        <f t="array" ref="J1581">_xlfn.SWITCH(B1581,1,75,2,61,3,49,4,37,5,25,6,13,7,4,8,1)</f>
        <v>13</v>
      </c>
      <c r="K1581" t="str" cm="1">
        <f t="array" ref="K1581">IFERROR(_xlfn.SWITCH(L1581,2,_xlfn.XLOOKUP(C1581,[1]ModifierDes!$B:$B,[1]ModifierDes!$C:$C),3,_xlfn.XLOOKUP(C1581,[1]StuntDes!$B:$B,[1]StuntDes!$C:$C)),"")</f>
        <v>法术暴击伤害增加{0}</v>
      </c>
      <c r="L1581">
        <f t="shared" si="67"/>
        <v>2</v>
      </c>
      <c r="M1581" s="10" t="str">
        <f>IFERROR(_xlfn.XLOOKUP(C1581,[1]StuntDes!$B:$B,[1]StuntDes!$A:$A),"")</f>
        <v/>
      </c>
      <c r="N1581" s="10">
        <f>IFERROR(_xlfn.XLOOKUP(C1581,[1]ModifierDes!$B:$B,[1]ModifierDes!$A:$A),"")</f>
        <v>10061</v>
      </c>
      <c r="O1581" s="10" t="str">
        <f>IFERROR(_xlfn.XLOOKUP(C1581,[1]AttributeName!$C:$C,[1]AttributeName!$B:$B),"")</f>
        <v/>
      </c>
      <c r="P1581" s="10"/>
      <c r="Q1581">
        <v>0.2</v>
      </c>
      <c r="R1581">
        <v>0.26</v>
      </c>
      <c r="S1581" cm="1">
        <f t="array" ref="S1581">IFERROR(_xlfn.SWITCH(L1581,1,_xlfn.XLOOKUP(O1581,[1]AttributeName!$B:$B,[1]AttributeName!$D:$D),2,_xlfn.XLOOKUP(C1581,#REF!,#REF!),3,_xlfn.XLOOKUP(C1581,#REF!,#REF!)),0)</f>
        <v>0</v>
      </c>
      <c r="T1581" cm="1">
        <f t="array" ref="T1581">IFERROR(_xlfn.SWITCH(L1581,1,_xlfn.XLOOKUP(O1581,[1]AttributeName!$B:$B,[1]AttributeName!$E:$E),2,_xlfn.XLOOKUP(C1581,#REF!,#REF!),3,_xlfn.XLOOKUP(C1581,#REF!,#REF!)),0)</f>
        <v>0</v>
      </c>
    </row>
    <row r="1582" customFormat="1" spans="1:20">
      <c r="A1582">
        <f t="shared" si="68"/>
        <v>657</v>
      </c>
      <c r="B1582">
        <v>7</v>
      </c>
      <c r="C1582" t="s">
        <v>426</v>
      </c>
      <c r="D1582" t="s">
        <v>29</v>
      </c>
      <c r="E1582" t="s">
        <v>392</v>
      </c>
      <c r="F1582"/>
      <c r="G1582">
        <v>2</v>
      </c>
      <c r="H1582">
        <v>500</v>
      </c>
      <c r="I1582">
        <v>3</v>
      </c>
      <c r="J1582" cm="1">
        <f t="array" ref="J1582">_xlfn.SWITCH(B1582,1,75,2,61,3,49,4,37,5,25,6,13,7,4,8,1)</f>
        <v>4</v>
      </c>
      <c r="K1582" t="str" cm="1">
        <f t="array" ref="K1582">IFERROR(_xlfn.SWITCH(L1582,2,_xlfn.XLOOKUP(C1582,[1]ModifierDes!$B:$B,[1]ModifierDes!$C:$C),3,_xlfn.XLOOKUP(C1582,[1]StuntDes!$B:$B,[1]StuntDes!$C:$C)),"")</f>
        <v>法术暴击伤害增加{0}</v>
      </c>
      <c r="L1582">
        <f t="shared" si="67"/>
        <v>2</v>
      </c>
      <c r="M1582" s="10" t="str">
        <f>IFERROR(_xlfn.XLOOKUP(C1582,[1]StuntDes!$B:$B,[1]StuntDes!$A:$A),"")</f>
        <v/>
      </c>
      <c r="N1582" s="10">
        <f>IFERROR(_xlfn.XLOOKUP(C1582,[1]ModifierDes!$B:$B,[1]ModifierDes!$A:$A),"")</f>
        <v>10061</v>
      </c>
      <c r="O1582" s="10" t="str">
        <f>IFERROR(_xlfn.XLOOKUP(C1582,[1]AttributeName!$C:$C,[1]AttributeName!$B:$B),"")</f>
        <v/>
      </c>
      <c r="P1582" s="10"/>
      <c r="Q1582">
        <v>0.12</v>
      </c>
      <c r="R1582">
        <v>0.18</v>
      </c>
      <c r="S1582" cm="1">
        <f t="array" ref="S1582">IFERROR(_xlfn.SWITCH(L1582,1,_xlfn.XLOOKUP(O1582,[1]AttributeName!$B:$B,[1]AttributeName!$D:$D),2,_xlfn.XLOOKUP(C1582,#REF!,#REF!),3,_xlfn.XLOOKUP(C1582,#REF!,#REF!)),0)</f>
        <v>0</v>
      </c>
      <c r="T1582" cm="1">
        <f t="array" ref="T1582">IFERROR(_xlfn.SWITCH(L1582,1,_xlfn.XLOOKUP(O1582,[1]AttributeName!$B:$B,[1]AttributeName!$E:$E),2,_xlfn.XLOOKUP(C1582,#REF!,#REF!),3,_xlfn.XLOOKUP(C1582,#REF!,#REF!)),0)</f>
        <v>0</v>
      </c>
    </row>
    <row r="1583" customFormat="1" spans="1:20">
      <c r="A1583">
        <f t="shared" si="68"/>
        <v>657</v>
      </c>
      <c r="B1583">
        <v>8</v>
      </c>
      <c r="C1583" t="s">
        <v>426</v>
      </c>
      <c r="D1583" t="s">
        <v>29</v>
      </c>
      <c r="E1583" t="s">
        <v>392</v>
      </c>
      <c r="F1583"/>
      <c r="G1583">
        <v>2</v>
      </c>
      <c r="H1583">
        <v>500</v>
      </c>
      <c r="I1583">
        <v>3</v>
      </c>
      <c r="J1583" cm="1">
        <f t="array" ref="J1583">_xlfn.SWITCH(B1583,1,75,2,61,3,49,4,37,5,25,6,13,7,4,8,1)</f>
        <v>1</v>
      </c>
      <c r="K1583" t="str" cm="1">
        <f t="array" ref="K1583">IFERROR(_xlfn.SWITCH(L1583,2,_xlfn.XLOOKUP(C1583,[1]ModifierDes!$B:$B,[1]ModifierDes!$C:$C),3,_xlfn.XLOOKUP(C1583,[1]StuntDes!$B:$B,[1]StuntDes!$C:$C)),"")</f>
        <v>法术暴击伤害增加{0}</v>
      </c>
      <c r="L1583">
        <f t="shared" si="67"/>
        <v>2</v>
      </c>
      <c r="M1583" s="10" t="str">
        <f>IFERROR(_xlfn.XLOOKUP(C1583,[1]StuntDes!$B:$B,[1]StuntDes!$A:$A),"")</f>
        <v/>
      </c>
      <c r="N1583" s="10">
        <f>IFERROR(_xlfn.XLOOKUP(C1583,[1]ModifierDes!$B:$B,[1]ModifierDes!$A:$A),"")</f>
        <v>10061</v>
      </c>
      <c r="O1583" s="10" t="str">
        <f>IFERROR(_xlfn.XLOOKUP(C1583,[1]AttributeName!$C:$C,[1]AttributeName!$B:$B),"")</f>
        <v/>
      </c>
      <c r="P1583" s="10"/>
      <c r="Q1583">
        <v>0.04</v>
      </c>
      <c r="R1583">
        <v>0.1</v>
      </c>
      <c r="S1583" cm="1">
        <f t="array" ref="S1583">IFERROR(_xlfn.SWITCH(L1583,1,_xlfn.XLOOKUP(O1583,[1]AttributeName!$B:$B,[1]AttributeName!$D:$D),2,_xlfn.XLOOKUP(C1583,#REF!,#REF!),3,_xlfn.XLOOKUP(C1583,#REF!,#REF!)),0)</f>
        <v>0</v>
      </c>
      <c r="T1583" cm="1">
        <f t="array" ref="T1583">IFERROR(_xlfn.SWITCH(L1583,1,_xlfn.XLOOKUP(O1583,[1]AttributeName!$B:$B,[1]AttributeName!$E:$E),2,_xlfn.XLOOKUP(C1583,#REF!,#REF!),3,_xlfn.XLOOKUP(C1583,#REF!,#REF!)),0)</f>
        <v>0</v>
      </c>
    </row>
    <row r="1584" customFormat="1" spans="1:20">
      <c r="A1584">
        <f t="shared" si="68"/>
        <v>658</v>
      </c>
      <c r="B1584">
        <v>1</v>
      </c>
      <c r="C1584" t="s">
        <v>401</v>
      </c>
      <c r="D1584" t="s">
        <v>29</v>
      </c>
      <c r="E1584" t="s">
        <v>392</v>
      </c>
      <c r="F1584"/>
      <c r="G1584">
        <v>2</v>
      </c>
      <c r="H1584">
        <v>50</v>
      </c>
      <c r="I1584">
        <v>3</v>
      </c>
      <c r="J1584" cm="1">
        <f t="array" ref="J1584">_xlfn.SWITCH(B1584,1,75,2,61,3,49,4,37,5,25,6,13,7,4,8,1)</f>
        <v>75</v>
      </c>
      <c r="K1584" t="str" cm="1">
        <f t="array" ref="K1584">IFERROR(_xlfn.SWITCH(L1584,2,_xlfn.XLOOKUP(C1584,[1]ModifierDes!$B:$B,[1]ModifierDes!$C:$C),3,_xlfn.XLOOKUP(C1584,[1]StuntDes!$B:$B,[1]StuntDes!$C:$C)),"")</f>
        <v/>
      </c>
      <c r="L1584">
        <f t="shared" si="67"/>
        <v>1</v>
      </c>
      <c r="M1584" s="10" t="str">
        <f>IFERROR(_xlfn.XLOOKUP(C1584,[1]StuntDes!$B:$B,[1]StuntDes!$A:$A),"")</f>
        <v/>
      </c>
      <c r="N1584" s="10" t="str">
        <f>IFERROR(_xlfn.XLOOKUP(C1584,[1]ModifierDes!$B:$B,[1]ModifierDes!$A:$A),"")</f>
        <v/>
      </c>
      <c r="O1584" s="10">
        <f>IFERROR(_xlfn.XLOOKUP(C1584,[1]AttributeName!$C:$C,[1]AttributeName!$B:$B),"")</f>
        <v>10500</v>
      </c>
      <c r="P1584" s="10"/>
      <c r="Q1584">
        <v>0.3</v>
      </c>
      <c r="R1584">
        <v>0.4</v>
      </c>
      <c r="S1584" cm="1">
        <f t="array" ref="S1584">IFERROR(_xlfn.SWITCH(L1584,1,_xlfn.XLOOKUP(O1584,[1]AttributeName!$B:$B,[1]AttributeName!$D:$D),2,_xlfn.XLOOKUP(C1584,#REF!,#REF!),3,_xlfn.XLOOKUP(C1584,#REF!,#REF!)),0)</f>
        <v>2</v>
      </c>
      <c r="T1584" cm="1">
        <f t="array" ref="T1584">IFERROR(_xlfn.SWITCH(L1584,1,_xlfn.XLOOKUP(O1584,[1]AttributeName!$B:$B,[1]AttributeName!$E:$E),2,_xlfn.XLOOKUP(C1584,#REF!,#REF!),3,_xlfn.XLOOKUP(C1584,#REF!,#REF!)),0)</f>
        <v>2</v>
      </c>
    </row>
    <row r="1585" customFormat="1" spans="1:20">
      <c r="A1585">
        <f t="shared" si="68"/>
        <v>658</v>
      </c>
      <c r="B1585">
        <v>2</v>
      </c>
      <c r="C1585" t="s">
        <v>401</v>
      </c>
      <c r="D1585" t="s">
        <v>29</v>
      </c>
      <c r="E1585" t="s">
        <v>392</v>
      </c>
      <c r="F1585"/>
      <c r="G1585">
        <v>2</v>
      </c>
      <c r="H1585">
        <v>100</v>
      </c>
      <c r="I1585">
        <v>3</v>
      </c>
      <c r="J1585" cm="1">
        <f t="array" ref="J1585">_xlfn.SWITCH(B1585,1,75,2,61,3,49,4,37,5,25,6,13,7,4,8,1)</f>
        <v>61</v>
      </c>
      <c r="K1585" t="str" cm="1">
        <f t="array" ref="K1585">IFERROR(_xlfn.SWITCH(L1585,2,_xlfn.XLOOKUP(C1585,[1]ModifierDes!$B:$B,[1]ModifierDes!$C:$C),3,_xlfn.XLOOKUP(C1585,[1]StuntDes!$B:$B,[1]StuntDes!$C:$C)),"")</f>
        <v/>
      </c>
      <c r="L1585">
        <f t="shared" si="67"/>
        <v>1</v>
      </c>
      <c r="M1585" s="10" t="str">
        <f>IFERROR(_xlfn.XLOOKUP(C1585,[1]StuntDes!$B:$B,[1]StuntDes!$A:$A),"")</f>
        <v/>
      </c>
      <c r="N1585" s="10" t="str">
        <f>IFERROR(_xlfn.XLOOKUP(C1585,[1]ModifierDes!$B:$B,[1]ModifierDes!$A:$A),"")</f>
        <v/>
      </c>
      <c r="O1585" s="10">
        <f>IFERROR(_xlfn.XLOOKUP(C1585,[1]AttributeName!$C:$C,[1]AttributeName!$B:$B),"")</f>
        <v>10500</v>
      </c>
      <c r="P1585" s="10"/>
      <c r="Q1585">
        <v>0.26</v>
      </c>
      <c r="R1585">
        <v>0.29</v>
      </c>
      <c r="S1585" cm="1">
        <f t="array" ref="S1585">IFERROR(_xlfn.SWITCH(L1585,1,_xlfn.XLOOKUP(O1585,[1]AttributeName!$B:$B,[1]AttributeName!$D:$D),2,_xlfn.XLOOKUP(C1585,#REF!,#REF!),3,_xlfn.XLOOKUP(C1585,#REF!,#REF!)),0)</f>
        <v>2</v>
      </c>
      <c r="T1585" cm="1">
        <f t="array" ref="T1585">IFERROR(_xlfn.SWITCH(L1585,1,_xlfn.XLOOKUP(O1585,[1]AttributeName!$B:$B,[1]AttributeName!$E:$E),2,_xlfn.XLOOKUP(C1585,#REF!,#REF!),3,_xlfn.XLOOKUP(C1585,#REF!,#REF!)),0)</f>
        <v>2</v>
      </c>
    </row>
    <row r="1586" customFormat="1" spans="1:20">
      <c r="A1586">
        <f t="shared" si="68"/>
        <v>658</v>
      </c>
      <c r="B1586">
        <v>3</v>
      </c>
      <c r="C1586" t="s">
        <v>401</v>
      </c>
      <c r="D1586" t="s">
        <v>29</v>
      </c>
      <c r="E1586" t="s">
        <v>392</v>
      </c>
      <c r="F1586"/>
      <c r="G1586">
        <v>2</v>
      </c>
      <c r="H1586">
        <v>250</v>
      </c>
      <c r="I1586">
        <v>3</v>
      </c>
      <c r="J1586" cm="1">
        <f t="array" ref="J1586">_xlfn.SWITCH(B1586,1,75,2,61,3,49,4,37,5,25,6,13,7,4,8,1)</f>
        <v>49</v>
      </c>
      <c r="K1586" t="str" cm="1">
        <f t="array" ref="K1586">IFERROR(_xlfn.SWITCH(L1586,2,_xlfn.XLOOKUP(C1586,[1]ModifierDes!$B:$B,[1]ModifierDes!$C:$C),3,_xlfn.XLOOKUP(C1586,[1]StuntDes!$B:$B,[1]StuntDes!$C:$C)),"")</f>
        <v/>
      </c>
      <c r="L1586">
        <f t="shared" si="67"/>
        <v>1</v>
      </c>
      <c r="M1586" s="10" t="str">
        <f>IFERROR(_xlfn.XLOOKUP(C1586,[1]StuntDes!$B:$B,[1]StuntDes!$A:$A),"")</f>
        <v/>
      </c>
      <c r="N1586" s="10" t="str">
        <f>IFERROR(_xlfn.XLOOKUP(C1586,[1]ModifierDes!$B:$B,[1]ModifierDes!$A:$A),"")</f>
        <v/>
      </c>
      <c r="O1586" s="10">
        <f>IFERROR(_xlfn.XLOOKUP(C1586,[1]AttributeName!$C:$C,[1]AttributeName!$B:$B),"")</f>
        <v>10500</v>
      </c>
      <c r="P1586" s="10"/>
      <c r="Q1586">
        <v>0.22</v>
      </c>
      <c r="R1586">
        <v>0.25</v>
      </c>
      <c r="S1586" cm="1">
        <f t="array" ref="S1586">IFERROR(_xlfn.SWITCH(L1586,1,_xlfn.XLOOKUP(O1586,[1]AttributeName!$B:$B,[1]AttributeName!$D:$D),2,_xlfn.XLOOKUP(C1586,#REF!,#REF!),3,_xlfn.XLOOKUP(C1586,#REF!,#REF!)),0)</f>
        <v>2</v>
      </c>
      <c r="T1586" cm="1">
        <f t="array" ref="T1586">IFERROR(_xlfn.SWITCH(L1586,1,_xlfn.XLOOKUP(O1586,[1]AttributeName!$B:$B,[1]AttributeName!$E:$E),2,_xlfn.XLOOKUP(C1586,#REF!,#REF!),3,_xlfn.XLOOKUP(C1586,#REF!,#REF!)),0)</f>
        <v>2</v>
      </c>
    </row>
    <row r="1587" customFormat="1" spans="1:20">
      <c r="A1587">
        <f t="shared" si="68"/>
        <v>658</v>
      </c>
      <c r="B1587">
        <v>4</v>
      </c>
      <c r="C1587" t="s">
        <v>401</v>
      </c>
      <c r="D1587" t="s">
        <v>29</v>
      </c>
      <c r="E1587" t="s">
        <v>392</v>
      </c>
      <c r="F1587"/>
      <c r="G1587">
        <v>2</v>
      </c>
      <c r="H1587">
        <v>500</v>
      </c>
      <c r="I1587">
        <v>3</v>
      </c>
      <c r="J1587" cm="1">
        <f t="array" ref="J1587">_xlfn.SWITCH(B1587,1,75,2,61,3,49,4,37,5,25,6,13,7,4,8,1)</f>
        <v>37</v>
      </c>
      <c r="K1587" t="str" cm="1">
        <f t="array" ref="K1587">IFERROR(_xlfn.SWITCH(L1587,2,_xlfn.XLOOKUP(C1587,[1]ModifierDes!$B:$B,[1]ModifierDes!$C:$C),3,_xlfn.XLOOKUP(C1587,[1]StuntDes!$B:$B,[1]StuntDes!$C:$C)),"")</f>
        <v/>
      </c>
      <c r="L1587">
        <f t="shared" si="67"/>
        <v>1</v>
      </c>
      <c r="M1587" s="10" t="str">
        <f>IFERROR(_xlfn.XLOOKUP(C1587,[1]StuntDes!$B:$B,[1]StuntDes!$A:$A),"")</f>
        <v/>
      </c>
      <c r="N1587" s="10" t="str">
        <f>IFERROR(_xlfn.XLOOKUP(C1587,[1]ModifierDes!$B:$B,[1]ModifierDes!$A:$A),"")</f>
        <v/>
      </c>
      <c r="O1587" s="10">
        <f>IFERROR(_xlfn.XLOOKUP(C1587,[1]AttributeName!$C:$C,[1]AttributeName!$B:$B),"")</f>
        <v>10500</v>
      </c>
      <c r="P1587" s="10"/>
      <c r="Q1587">
        <v>0.18</v>
      </c>
      <c r="R1587">
        <v>0.21</v>
      </c>
      <c r="S1587" cm="1">
        <f t="array" ref="S1587">IFERROR(_xlfn.SWITCH(L1587,1,_xlfn.XLOOKUP(O1587,[1]AttributeName!$B:$B,[1]AttributeName!$D:$D),2,_xlfn.XLOOKUP(C1587,#REF!,#REF!),3,_xlfn.XLOOKUP(C1587,#REF!,#REF!)),0)</f>
        <v>2</v>
      </c>
      <c r="T1587" cm="1">
        <f t="array" ref="T1587">IFERROR(_xlfn.SWITCH(L1587,1,_xlfn.XLOOKUP(O1587,[1]AttributeName!$B:$B,[1]AttributeName!$E:$E),2,_xlfn.XLOOKUP(C1587,#REF!,#REF!),3,_xlfn.XLOOKUP(C1587,#REF!,#REF!)),0)</f>
        <v>2</v>
      </c>
    </row>
    <row r="1588" customFormat="1" spans="1:20">
      <c r="A1588">
        <f t="shared" si="68"/>
        <v>658</v>
      </c>
      <c r="B1588">
        <v>5</v>
      </c>
      <c r="C1588" t="s">
        <v>401</v>
      </c>
      <c r="D1588" t="s">
        <v>29</v>
      </c>
      <c r="E1588" t="s">
        <v>392</v>
      </c>
      <c r="F1588"/>
      <c r="G1588">
        <v>2</v>
      </c>
      <c r="H1588">
        <v>500</v>
      </c>
      <c r="I1588">
        <v>3</v>
      </c>
      <c r="J1588" cm="1">
        <f t="array" ref="J1588">_xlfn.SWITCH(B1588,1,75,2,61,3,49,4,37,5,25,6,13,7,4,8,1)</f>
        <v>25</v>
      </c>
      <c r="K1588" t="str" cm="1">
        <f t="array" ref="K1588">IFERROR(_xlfn.SWITCH(L1588,2,_xlfn.XLOOKUP(C1588,[1]ModifierDes!$B:$B,[1]ModifierDes!$C:$C),3,_xlfn.XLOOKUP(C1588,[1]StuntDes!$B:$B,[1]StuntDes!$C:$C)),"")</f>
        <v/>
      </c>
      <c r="L1588">
        <f t="shared" si="67"/>
        <v>1</v>
      </c>
      <c r="M1588" s="10" t="str">
        <f>IFERROR(_xlfn.XLOOKUP(C1588,[1]StuntDes!$B:$B,[1]StuntDes!$A:$A),"")</f>
        <v/>
      </c>
      <c r="N1588" s="10" t="str">
        <f>IFERROR(_xlfn.XLOOKUP(C1588,[1]ModifierDes!$B:$B,[1]ModifierDes!$A:$A),"")</f>
        <v/>
      </c>
      <c r="O1588" s="10">
        <f>IFERROR(_xlfn.XLOOKUP(C1588,[1]AttributeName!$C:$C,[1]AttributeName!$B:$B),"")</f>
        <v>10500</v>
      </c>
      <c r="P1588" s="10"/>
      <c r="Q1588">
        <v>0.14</v>
      </c>
      <c r="R1588">
        <v>0.17</v>
      </c>
      <c r="S1588" cm="1">
        <f t="array" ref="S1588">IFERROR(_xlfn.SWITCH(L1588,1,_xlfn.XLOOKUP(O1588,[1]AttributeName!$B:$B,[1]AttributeName!$D:$D),2,_xlfn.XLOOKUP(C1588,#REF!,#REF!),3,_xlfn.XLOOKUP(C1588,#REF!,#REF!)),0)</f>
        <v>2</v>
      </c>
      <c r="T1588" cm="1">
        <f t="array" ref="T1588">IFERROR(_xlfn.SWITCH(L1588,1,_xlfn.XLOOKUP(O1588,[1]AttributeName!$B:$B,[1]AttributeName!$E:$E),2,_xlfn.XLOOKUP(C1588,#REF!,#REF!),3,_xlfn.XLOOKUP(C1588,#REF!,#REF!)),0)</f>
        <v>2</v>
      </c>
    </row>
    <row r="1589" customFormat="1" spans="1:20">
      <c r="A1589">
        <f t="shared" si="68"/>
        <v>658</v>
      </c>
      <c r="B1589">
        <v>6</v>
      </c>
      <c r="C1589" t="s">
        <v>401</v>
      </c>
      <c r="D1589" t="s">
        <v>29</v>
      </c>
      <c r="E1589" t="s">
        <v>392</v>
      </c>
      <c r="F1589"/>
      <c r="G1589">
        <v>2</v>
      </c>
      <c r="H1589">
        <v>500</v>
      </c>
      <c r="I1589">
        <v>3</v>
      </c>
      <c r="J1589" cm="1">
        <f t="array" ref="J1589">_xlfn.SWITCH(B1589,1,75,2,61,3,49,4,37,5,25,6,13,7,4,8,1)</f>
        <v>13</v>
      </c>
      <c r="K1589" t="str" cm="1">
        <f t="array" ref="K1589">IFERROR(_xlfn.SWITCH(L1589,2,_xlfn.XLOOKUP(C1589,[1]ModifierDes!$B:$B,[1]ModifierDes!$C:$C),3,_xlfn.XLOOKUP(C1589,[1]StuntDes!$B:$B,[1]StuntDes!$C:$C)),"")</f>
        <v/>
      </c>
      <c r="L1589">
        <f t="shared" si="67"/>
        <v>1</v>
      </c>
      <c r="M1589" s="10" t="str">
        <f>IFERROR(_xlfn.XLOOKUP(C1589,[1]StuntDes!$B:$B,[1]StuntDes!$A:$A),"")</f>
        <v/>
      </c>
      <c r="N1589" s="10" t="str">
        <f>IFERROR(_xlfn.XLOOKUP(C1589,[1]ModifierDes!$B:$B,[1]ModifierDes!$A:$A),"")</f>
        <v/>
      </c>
      <c r="O1589" s="10">
        <f>IFERROR(_xlfn.XLOOKUP(C1589,[1]AttributeName!$C:$C,[1]AttributeName!$B:$B),"")</f>
        <v>10500</v>
      </c>
      <c r="P1589" s="10"/>
      <c r="Q1589">
        <v>0.1</v>
      </c>
      <c r="R1589">
        <v>0.13</v>
      </c>
      <c r="S1589" cm="1">
        <f t="array" ref="S1589">IFERROR(_xlfn.SWITCH(L1589,1,_xlfn.XLOOKUP(O1589,[1]AttributeName!$B:$B,[1]AttributeName!$D:$D),2,_xlfn.XLOOKUP(C1589,#REF!,#REF!),3,_xlfn.XLOOKUP(C1589,#REF!,#REF!)),0)</f>
        <v>2</v>
      </c>
      <c r="T1589" cm="1">
        <f t="array" ref="T1589">IFERROR(_xlfn.SWITCH(L1589,1,_xlfn.XLOOKUP(O1589,[1]AttributeName!$B:$B,[1]AttributeName!$E:$E),2,_xlfn.XLOOKUP(C1589,#REF!,#REF!),3,_xlfn.XLOOKUP(C1589,#REF!,#REF!)),0)</f>
        <v>2</v>
      </c>
    </row>
    <row r="1590" customFormat="1" spans="1:20">
      <c r="A1590">
        <f t="shared" si="68"/>
        <v>658</v>
      </c>
      <c r="B1590">
        <v>7</v>
      </c>
      <c r="C1590" t="s">
        <v>401</v>
      </c>
      <c r="D1590" t="s">
        <v>29</v>
      </c>
      <c r="E1590" t="s">
        <v>392</v>
      </c>
      <c r="F1590"/>
      <c r="G1590">
        <v>2</v>
      </c>
      <c r="H1590">
        <v>500</v>
      </c>
      <c r="I1590">
        <v>3</v>
      </c>
      <c r="J1590" cm="1">
        <f t="array" ref="J1590">_xlfn.SWITCH(B1590,1,75,2,61,3,49,4,37,5,25,6,13,7,4,8,1)</f>
        <v>4</v>
      </c>
      <c r="K1590" t="str" cm="1">
        <f t="array" ref="K1590">IFERROR(_xlfn.SWITCH(L1590,2,_xlfn.XLOOKUP(C1590,[1]ModifierDes!$B:$B,[1]ModifierDes!$C:$C),3,_xlfn.XLOOKUP(C1590,[1]StuntDes!$B:$B,[1]StuntDes!$C:$C)),"")</f>
        <v/>
      </c>
      <c r="L1590">
        <f t="shared" si="67"/>
        <v>1</v>
      </c>
      <c r="M1590" s="10" t="str">
        <f>IFERROR(_xlfn.XLOOKUP(C1590,[1]StuntDes!$B:$B,[1]StuntDes!$A:$A),"")</f>
        <v/>
      </c>
      <c r="N1590" s="10" t="str">
        <f>IFERROR(_xlfn.XLOOKUP(C1590,[1]ModifierDes!$B:$B,[1]ModifierDes!$A:$A),"")</f>
        <v/>
      </c>
      <c r="O1590" s="10">
        <f>IFERROR(_xlfn.XLOOKUP(C1590,[1]AttributeName!$C:$C,[1]AttributeName!$B:$B),"")</f>
        <v>10500</v>
      </c>
      <c r="P1590" s="10"/>
      <c r="Q1590">
        <v>0.06</v>
      </c>
      <c r="R1590">
        <v>0.0900000000000001</v>
      </c>
      <c r="S1590" cm="1">
        <f t="array" ref="S1590">IFERROR(_xlfn.SWITCH(L1590,1,_xlfn.XLOOKUP(O1590,[1]AttributeName!$B:$B,[1]AttributeName!$D:$D),2,_xlfn.XLOOKUP(C1590,#REF!,#REF!),3,_xlfn.XLOOKUP(C1590,#REF!,#REF!)),0)</f>
        <v>2</v>
      </c>
      <c r="T1590" cm="1">
        <f t="array" ref="T1590">IFERROR(_xlfn.SWITCH(L1590,1,_xlfn.XLOOKUP(O1590,[1]AttributeName!$B:$B,[1]AttributeName!$E:$E),2,_xlfn.XLOOKUP(C1590,#REF!,#REF!),3,_xlfn.XLOOKUP(C1590,#REF!,#REF!)),0)</f>
        <v>2</v>
      </c>
    </row>
    <row r="1591" customFormat="1" spans="1:20">
      <c r="A1591">
        <f t="shared" si="68"/>
        <v>658</v>
      </c>
      <c r="B1591">
        <v>8</v>
      </c>
      <c r="C1591" t="s">
        <v>401</v>
      </c>
      <c r="D1591" t="s">
        <v>29</v>
      </c>
      <c r="E1591" t="s">
        <v>392</v>
      </c>
      <c r="F1591"/>
      <c r="G1591">
        <v>2</v>
      </c>
      <c r="H1591">
        <v>500</v>
      </c>
      <c r="I1591">
        <v>3</v>
      </c>
      <c r="J1591" cm="1">
        <f t="array" ref="J1591">_xlfn.SWITCH(B1591,1,75,2,61,3,49,4,37,5,25,6,13,7,4,8,1)</f>
        <v>1</v>
      </c>
      <c r="K1591" t="str" cm="1">
        <f t="array" ref="K1591">IFERROR(_xlfn.SWITCH(L1591,2,_xlfn.XLOOKUP(C1591,[1]ModifierDes!$B:$B,[1]ModifierDes!$C:$C),3,_xlfn.XLOOKUP(C1591,[1]StuntDes!$B:$B,[1]StuntDes!$C:$C)),"")</f>
        <v/>
      </c>
      <c r="L1591">
        <f t="shared" si="67"/>
        <v>1</v>
      </c>
      <c r="M1591" s="10" t="str">
        <f>IFERROR(_xlfn.XLOOKUP(C1591,[1]StuntDes!$B:$B,[1]StuntDes!$A:$A),"")</f>
        <v/>
      </c>
      <c r="N1591" s="10" t="str">
        <f>IFERROR(_xlfn.XLOOKUP(C1591,[1]ModifierDes!$B:$B,[1]ModifierDes!$A:$A),"")</f>
        <v/>
      </c>
      <c r="O1591" s="10">
        <f>IFERROR(_xlfn.XLOOKUP(C1591,[1]AttributeName!$C:$C,[1]AttributeName!$B:$B),"")</f>
        <v>10500</v>
      </c>
      <c r="P1591" s="10"/>
      <c r="Q1591">
        <v>0.02</v>
      </c>
      <c r="R1591">
        <v>0.0500000000000001</v>
      </c>
      <c r="S1591" cm="1">
        <f t="array" ref="S1591">IFERROR(_xlfn.SWITCH(L1591,1,_xlfn.XLOOKUP(O1591,[1]AttributeName!$B:$B,[1]AttributeName!$D:$D),2,_xlfn.XLOOKUP(C1591,#REF!,#REF!),3,_xlfn.XLOOKUP(C1591,#REF!,#REF!)),0)</f>
        <v>2</v>
      </c>
      <c r="T1591" cm="1">
        <f t="array" ref="T1591">IFERROR(_xlfn.SWITCH(L1591,1,_xlfn.XLOOKUP(O1591,[1]AttributeName!$B:$B,[1]AttributeName!$E:$E),2,_xlfn.XLOOKUP(C1591,#REF!,#REF!),3,_xlfn.XLOOKUP(C1591,#REF!,#REF!)),0)</f>
        <v>2</v>
      </c>
    </row>
    <row r="1592" customFormat="1" spans="1:20">
      <c r="A1592">
        <f t="shared" si="68"/>
        <v>659</v>
      </c>
      <c r="B1592">
        <v>1</v>
      </c>
      <c r="C1592" t="s">
        <v>402</v>
      </c>
      <c r="D1592" t="s">
        <v>29</v>
      </c>
      <c r="E1592" t="s">
        <v>392</v>
      </c>
      <c r="F1592"/>
      <c r="G1592">
        <v>2</v>
      </c>
      <c r="H1592">
        <v>50</v>
      </c>
      <c r="I1592">
        <v>3</v>
      </c>
      <c r="J1592" cm="1">
        <f t="array" ref="J1592">_xlfn.SWITCH(B1592,1,75,2,61,3,49,4,37,5,25,6,13,7,4,8,1)</f>
        <v>75</v>
      </c>
      <c r="K1592" t="str" cm="1">
        <f t="array" ref="K1592">IFERROR(_xlfn.SWITCH(L1592,2,_xlfn.XLOOKUP(C1592,[1]ModifierDes!$B:$B,[1]ModifierDes!$C:$C),3,_xlfn.XLOOKUP(C1592,[1]StuntDes!$B:$B,[1]StuntDes!$C:$C)),"")</f>
        <v/>
      </c>
      <c r="L1592">
        <f t="shared" si="67"/>
        <v>1</v>
      </c>
      <c r="M1592" s="10" t="str">
        <f>IFERROR(_xlfn.XLOOKUP(C1592,[1]StuntDes!$B:$B,[1]StuntDes!$A:$A),"")</f>
        <v/>
      </c>
      <c r="N1592" s="10" t="str">
        <f>IFERROR(_xlfn.XLOOKUP(C1592,[1]ModifierDes!$B:$B,[1]ModifierDes!$A:$A),"")</f>
        <v/>
      </c>
      <c r="O1592" s="10">
        <f>IFERROR(_xlfn.XLOOKUP(C1592,[1]AttributeName!$C:$C,[1]AttributeName!$B:$B),"")</f>
        <v>10501</v>
      </c>
      <c r="P1592" s="10"/>
      <c r="Q1592">
        <v>0.3</v>
      </c>
      <c r="R1592">
        <v>0.4</v>
      </c>
      <c r="S1592" cm="1">
        <f t="array" ref="S1592">IFERROR(_xlfn.SWITCH(L1592,1,_xlfn.XLOOKUP(O1592,[1]AttributeName!$B:$B,[1]AttributeName!$D:$D),2,_xlfn.XLOOKUP(C1592,#REF!,#REF!),3,_xlfn.XLOOKUP(C1592,#REF!,#REF!)),0)</f>
        <v>2</v>
      </c>
      <c r="T1592" cm="1">
        <f t="array" ref="T1592">IFERROR(_xlfn.SWITCH(L1592,1,_xlfn.XLOOKUP(O1592,[1]AttributeName!$B:$B,[1]AttributeName!$E:$E),2,_xlfn.XLOOKUP(C1592,#REF!,#REF!),3,_xlfn.XLOOKUP(C1592,#REF!,#REF!)),0)</f>
        <v>2</v>
      </c>
    </row>
    <row r="1593" customFormat="1" spans="1:20">
      <c r="A1593">
        <f t="shared" si="68"/>
        <v>659</v>
      </c>
      <c r="B1593">
        <v>2</v>
      </c>
      <c r="C1593" t="s">
        <v>402</v>
      </c>
      <c r="D1593" t="s">
        <v>29</v>
      </c>
      <c r="E1593" t="s">
        <v>392</v>
      </c>
      <c r="F1593"/>
      <c r="G1593">
        <v>2</v>
      </c>
      <c r="H1593">
        <v>100</v>
      </c>
      <c r="I1593">
        <v>3</v>
      </c>
      <c r="J1593" cm="1">
        <f t="array" ref="J1593">_xlfn.SWITCH(B1593,1,75,2,61,3,49,4,37,5,25,6,13,7,4,8,1)</f>
        <v>61</v>
      </c>
      <c r="K1593" t="str" cm="1">
        <f t="array" ref="K1593">IFERROR(_xlfn.SWITCH(L1593,2,_xlfn.XLOOKUP(C1593,[1]ModifierDes!$B:$B,[1]ModifierDes!$C:$C),3,_xlfn.XLOOKUP(C1593,[1]StuntDes!$B:$B,[1]StuntDes!$C:$C)),"")</f>
        <v/>
      </c>
      <c r="L1593">
        <f t="shared" si="67"/>
        <v>1</v>
      </c>
      <c r="M1593" s="10" t="str">
        <f>IFERROR(_xlfn.XLOOKUP(C1593,[1]StuntDes!$B:$B,[1]StuntDes!$A:$A),"")</f>
        <v/>
      </c>
      <c r="N1593" s="10" t="str">
        <f>IFERROR(_xlfn.XLOOKUP(C1593,[1]ModifierDes!$B:$B,[1]ModifierDes!$A:$A),"")</f>
        <v/>
      </c>
      <c r="O1593" s="10">
        <f>IFERROR(_xlfn.XLOOKUP(C1593,[1]AttributeName!$C:$C,[1]AttributeName!$B:$B),"")</f>
        <v>10501</v>
      </c>
      <c r="P1593" s="10"/>
      <c r="Q1593">
        <v>0.26</v>
      </c>
      <c r="R1593">
        <v>0.29</v>
      </c>
      <c r="S1593" cm="1">
        <f t="array" ref="S1593">IFERROR(_xlfn.SWITCH(L1593,1,_xlfn.XLOOKUP(O1593,[1]AttributeName!$B:$B,[1]AttributeName!$D:$D),2,_xlfn.XLOOKUP(C1593,#REF!,#REF!),3,_xlfn.XLOOKUP(C1593,#REF!,#REF!)),0)</f>
        <v>2</v>
      </c>
      <c r="T1593" cm="1">
        <f t="array" ref="T1593">IFERROR(_xlfn.SWITCH(L1593,1,_xlfn.XLOOKUP(O1593,[1]AttributeName!$B:$B,[1]AttributeName!$E:$E),2,_xlfn.XLOOKUP(C1593,#REF!,#REF!),3,_xlfn.XLOOKUP(C1593,#REF!,#REF!)),0)</f>
        <v>2</v>
      </c>
    </row>
    <row r="1594" customFormat="1" spans="1:20">
      <c r="A1594">
        <f t="shared" si="68"/>
        <v>659</v>
      </c>
      <c r="B1594">
        <v>3</v>
      </c>
      <c r="C1594" t="s">
        <v>402</v>
      </c>
      <c r="D1594" t="s">
        <v>29</v>
      </c>
      <c r="E1594" t="s">
        <v>392</v>
      </c>
      <c r="F1594"/>
      <c r="G1594">
        <v>2</v>
      </c>
      <c r="H1594">
        <v>250</v>
      </c>
      <c r="I1594">
        <v>3</v>
      </c>
      <c r="J1594" cm="1">
        <f t="array" ref="J1594">_xlfn.SWITCH(B1594,1,75,2,61,3,49,4,37,5,25,6,13,7,4,8,1)</f>
        <v>49</v>
      </c>
      <c r="K1594" t="str" cm="1">
        <f t="array" ref="K1594">IFERROR(_xlfn.SWITCH(L1594,2,_xlfn.XLOOKUP(C1594,[1]ModifierDes!$B:$B,[1]ModifierDes!$C:$C),3,_xlfn.XLOOKUP(C1594,[1]StuntDes!$B:$B,[1]StuntDes!$C:$C)),"")</f>
        <v/>
      </c>
      <c r="L1594">
        <f t="shared" si="67"/>
        <v>1</v>
      </c>
      <c r="M1594" s="10" t="str">
        <f>IFERROR(_xlfn.XLOOKUP(C1594,[1]StuntDes!$B:$B,[1]StuntDes!$A:$A),"")</f>
        <v/>
      </c>
      <c r="N1594" s="10" t="str">
        <f>IFERROR(_xlfn.XLOOKUP(C1594,[1]ModifierDes!$B:$B,[1]ModifierDes!$A:$A),"")</f>
        <v/>
      </c>
      <c r="O1594" s="10">
        <f>IFERROR(_xlfn.XLOOKUP(C1594,[1]AttributeName!$C:$C,[1]AttributeName!$B:$B),"")</f>
        <v>10501</v>
      </c>
      <c r="P1594" s="10"/>
      <c r="Q1594">
        <v>0.22</v>
      </c>
      <c r="R1594">
        <v>0.25</v>
      </c>
      <c r="S1594" cm="1">
        <f t="array" ref="S1594">IFERROR(_xlfn.SWITCH(L1594,1,_xlfn.XLOOKUP(O1594,[1]AttributeName!$B:$B,[1]AttributeName!$D:$D),2,_xlfn.XLOOKUP(C1594,#REF!,#REF!),3,_xlfn.XLOOKUP(C1594,#REF!,#REF!)),0)</f>
        <v>2</v>
      </c>
      <c r="T1594" cm="1">
        <f t="array" ref="T1594">IFERROR(_xlfn.SWITCH(L1594,1,_xlfn.XLOOKUP(O1594,[1]AttributeName!$B:$B,[1]AttributeName!$E:$E),2,_xlfn.XLOOKUP(C1594,#REF!,#REF!),3,_xlfn.XLOOKUP(C1594,#REF!,#REF!)),0)</f>
        <v>2</v>
      </c>
    </row>
    <row r="1595" customFormat="1" spans="1:20">
      <c r="A1595">
        <f t="shared" si="68"/>
        <v>659</v>
      </c>
      <c r="B1595">
        <v>4</v>
      </c>
      <c r="C1595" t="s">
        <v>402</v>
      </c>
      <c r="D1595" t="s">
        <v>29</v>
      </c>
      <c r="E1595" t="s">
        <v>392</v>
      </c>
      <c r="F1595"/>
      <c r="G1595">
        <v>2</v>
      </c>
      <c r="H1595">
        <v>500</v>
      </c>
      <c r="I1595">
        <v>3</v>
      </c>
      <c r="J1595" cm="1">
        <f t="array" ref="J1595">_xlfn.SWITCH(B1595,1,75,2,61,3,49,4,37,5,25,6,13,7,4,8,1)</f>
        <v>37</v>
      </c>
      <c r="K1595" t="str" cm="1">
        <f t="array" ref="K1595">IFERROR(_xlfn.SWITCH(L1595,2,_xlfn.XLOOKUP(C1595,[1]ModifierDes!$B:$B,[1]ModifierDes!$C:$C),3,_xlfn.XLOOKUP(C1595,[1]StuntDes!$B:$B,[1]StuntDes!$C:$C)),"")</f>
        <v/>
      </c>
      <c r="L1595">
        <f t="shared" si="67"/>
        <v>1</v>
      </c>
      <c r="M1595" s="10" t="str">
        <f>IFERROR(_xlfn.XLOOKUP(C1595,[1]StuntDes!$B:$B,[1]StuntDes!$A:$A),"")</f>
        <v/>
      </c>
      <c r="N1595" s="10" t="str">
        <f>IFERROR(_xlfn.XLOOKUP(C1595,[1]ModifierDes!$B:$B,[1]ModifierDes!$A:$A),"")</f>
        <v/>
      </c>
      <c r="O1595" s="10">
        <f>IFERROR(_xlfn.XLOOKUP(C1595,[1]AttributeName!$C:$C,[1]AttributeName!$B:$B),"")</f>
        <v>10501</v>
      </c>
      <c r="P1595" s="10"/>
      <c r="Q1595">
        <v>0.18</v>
      </c>
      <c r="R1595">
        <v>0.21</v>
      </c>
      <c r="S1595" cm="1">
        <f t="array" ref="S1595">IFERROR(_xlfn.SWITCH(L1595,1,_xlfn.XLOOKUP(O1595,[1]AttributeName!$B:$B,[1]AttributeName!$D:$D),2,_xlfn.XLOOKUP(C1595,#REF!,#REF!),3,_xlfn.XLOOKUP(C1595,#REF!,#REF!)),0)</f>
        <v>2</v>
      </c>
      <c r="T1595" cm="1">
        <f t="array" ref="T1595">IFERROR(_xlfn.SWITCH(L1595,1,_xlfn.XLOOKUP(O1595,[1]AttributeName!$B:$B,[1]AttributeName!$E:$E),2,_xlfn.XLOOKUP(C1595,#REF!,#REF!),3,_xlfn.XLOOKUP(C1595,#REF!,#REF!)),0)</f>
        <v>2</v>
      </c>
    </row>
    <row r="1596" customFormat="1" spans="1:20">
      <c r="A1596">
        <f t="shared" si="68"/>
        <v>659</v>
      </c>
      <c r="B1596">
        <v>5</v>
      </c>
      <c r="C1596" t="s">
        <v>402</v>
      </c>
      <c r="D1596" t="s">
        <v>29</v>
      </c>
      <c r="E1596" t="s">
        <v>392</v>
      </c>
      <c r="F1596"/>
      <c r="G1596">
        <v>2</v>
      </c>
      <c r="H1596">
        <v>500</v>
      </c>
      <c r="I1596">
        <v>3</v>
      </c>
      <c r="J1596" cm="1">
        <f t="array" ref="J1596">_xlfn.SWITCH(B1596,1,75,2,61,3,49,4,37,5,25,6,13,7,4,8,1)</f>
        <v>25</v>
      </c>
      <c r="K1596" t="str" cm="1">
        <f t="array" ref="K1596">IFERROR(_xlfn.SWITCH(L1596,2,_xlfn.XLOOKUP(C1596,[1]ModifierDes!$B:$B,[1]ModifierDes!$C:$C),3,_xlfn.XLOOKUP(C1596,[1]StuntDes!$B:$B,[1]StuntDes!$C:$C)),"")</f>
        <v/>
      </c>
      <c r="L1596">
        <f t="shared" si="67"/>
        <v>1</v>
      </c>
      <c r="M1596" s="10" t="str">
        <f>IFERROR(_xlfn.XLOOKUP(C1596,[1]StuntDes!$B:$B,[1]StuntDes!$A:$A),"")</f>
        <v/>
      </c>
      <c r="N1596" s="10" t="str">
        <f>IFERROR(_xlfn.XLOOKUP(C1596,[1]ModifierDes!$B:$B,[1]ModifierDes!$A:$A),"")</f>
        <v/>
      </c>
      <c r="O1596" s="10">
        <f>IFERROR(_xlfn.XLOOKUP(C1596,[1]AttributeName!$C:$C,[1]AttributeName!$B:$B),"")</f>
        <v>10501</v>
      </c>
      <c r="P1596" s="10"/>
      <c r="Q1596">
        <v>0.14</v>
      </c>
      <c r="R1596">
        <v>0.17</v>
      </c>
      <c r="S1596" cm="1">
        <f t="array" ref="S1596">IFERROR(_xlfn.SWITCH(L1596,1,_xlfn.XLOOKUP(O1596,[1]AttributeName!$B:$B,[1]AttributeName!$D:$D),2,_xlfn.XLOOKUP(C1596,#REF!,#REF!),3,_xlfn.XLOOKUP(C1596,#REF!,#REF!)),0)</f>
        <v>2</v>
      </c>
      <c r="T1596" cm="1">
        <f t="array" ref="T1596">IFERROR(_xlfn.SWITCH(L1596,1,_xlfn.XLOOKUP(O1596,[1]AttributeName!$B:$B,[1]AttributeName!$E:$E),2,_xlfn.XLOOKUP(C1596,#REF!,#REF!),3,_xlfn.XLOOKUP(C1596,#REF!,#REF!)),0)</f>
        <v>2</v>
      </c>
    </row>
    <row r="1597" customFormat="1" spans="1:20">
      <c r="A1597">
        <f t="shared" si="68"/>
        <v>659</v>
      </c>
      <c r="B1597">
        <v>6</v>
      </c>
      <c r="C1597" t="s">
        <v>402</v>
      </c>
      <c r="D1597" t="s">
        <v>29</v>
      </c>
      <c r="E1597" t="s">
        <v>392</v>
      </c>
      <c r="F1597"/>
      <c r="G1597">
        <v>2</v>
      </c>
      <c r="H1597">
        <v>500</v>
      </c>
      <c r="I1597">
        <v>3</v>
      </c>
      <c r="J1597" cm="1">
        <f t="array" ref="J1597">_xlfn.SWITCH(B1597,1,75,2,61,3,49,4,37,5,25,6,13,7,4,8,1)</f>
        <v>13</v>
      </c>
      <c r="K1597" t="str" cm="1">
        <f t="array" ref="K1597">IFERROR(_xlfn.SWITCH(L1597,2,_xlfn.XLOOKUP(C1597,[1]ModifierDes!$B:$B,[1]ModifierDes!$C:$C),3,_xlfn.XLOOKUP(C1597,[1]StuntDes!$B:$B,[1]StuntDes!$C:$C)),"")</f>
        <v/>
      </c>
      <c r="L1597">
        <f t="shared" si="67"/>
        <v>1</v>
      </c>
      <c r="M1597" s="10" t="str">
        <f>IFERROR(_xlfn.XLOOKUP(C1597,[1]StuntDes!$B:$B,[1]StuntDes!$A:$A),"")</f>
        <v/>
      </c>
      <c r="N1597" s="10" t="str">
        <f>IFERROR(_xlfn.XLOOKUP(C1597,[1]ModifierDes!$B:$B,[1]ModifierDes!$A:$A),"")</f>
        <v/>
      </c>
      <c r="O1597" s="10">
        <f>IFERROR(_xlfn.XLOOKUP(C1597,[1]AttributeName!$C:$C,[1]AttributeName!$B:$B),"")</f>
        <v>10501</v>
      </c>
      <c r="P1597" s="10"/>
      <c r="Q1597">
        <v>0.1</v>
      </c>
      <c r="R1597">
        <v>0.13</v>
      </c>
      <c r="S1597" cm="1">
        <f t="array" ref="S1597">IFERROR(_xlfn.SWITCH(L1597,1,_xlfn.XLOOKUP(O1597,[1]AttributeName!$B:$B,[1]AttributeName!$D:$D),2,_xlfn.XLOOKUP(C1597,#REF!,#REF!),3,_xlfn.XLOOKUP(C1597,#REF!,#REF!)),0)</f>
        <v>2</v>
      </c>
      <c r="T1597" cm="1">
        <f t="array" ref="T1597">IFERROR(_xlfn.SWITCH(L1597,1,_xlfn.XLOOKUP(O1597,[1]AttributeName!$B:$B,[1]AttributeName!$E:$E),2,_xlfn.XLOOKUP(C1597,#REF!,#REF!),3,_xlfn.XLOOKUP(C1597,#REF!,#REF!)),0)</f>
        <v>2</v>
      </c>
    </row>
    <row r="1598" customFormat="1" spans="1:20">
      <c r="A1598">
        <f t="shared" si="68"/>
        <v>659</v>
      </c>
      <c r="B1598">
        <v>7</v>
      </c>
      <c r="C1598" t="s">
        <v>402</v>
      </c>
      <c r="D1598" t="s">
        <v>29</v>
      </c>
      <c r="E1598" t="s">
        <v>392</v>
      </c>
      <c r="F1598"/>
      <c r="G1598">
        <v>2</v>
      </c>
      <c r="H1598">
        <v>500</v>
      </c>
      <c r="I1598">
        <v>3</v>
      </c>
      <c r="J1598" cm="1">
        <f t="array" ref="J1598">_xlfn.SWITCH(B1598,1,75,2,61,3,49,4,37,5,25,6,13,7,4,8,1)</f>
        <v>4</v>
      </c>
      <c r="K1598" t="str" cm="1">
        <f t="array" ref="K1598">IFERROR(_xlfn.SWITCH(L1598,2,_xlfn.XLOOKUP(C1598,[1]ModifierDes!$B:$B,[1]ModifierDes!$C:$C),3,_xlfn.XLOOKUP(C1598,[1]StuntDes!$B:$B,[1]StuntDes!$C:$C)),"")</f>
        <v/>
      </c>
      <c r="L1598">
        <f t="shared" si="67"/>
        <v>1</v>
      </c>
      <c r="M1598" s="10" t="str">
        <f>IFERROR(_xlfn.XLOOKUP(C1598,[1]StuntDes!$B:$B,[1]StuntDes!$A:$A),"")</f>
        <v/>
      </c>
      <c r="N1598" s="10" t="str">
        <f>IFERROR(_xlfn.XLOOKUP(C1598,[1]ModifierDes!$B:$B,[1]ModifierDes!$A:$A),"")</f>
        <v/>
      </c>
      <c r="O1598" s="10">
        <f>IFERROR(_xlfn.XLOOKUP(C1598,[1]AttributeName!$C:$C,[1]AttributeName!$B:$B),"")</f>
        <v>10501</v>
      </c>
      <c r="P1598" s="10"/>
      <c r="Q1598">
        <v>0.06</v>
      </c>
      <c r="R1598">
        <v>0.0900000000000001</v>
      </c>
      <c r="S1598" cm="1">
        <f t="array" ref="S1598">IFERROR(_xlfn.SWITCH(L1598,1,_xlfn.XLOOKUP(O1598,[1]AttributeName!$B:$B,[1]AttributeName!$D:$D),2,_xlfn.XLOOKUP(C1598,#REF!,#REF!),3,_xlfn.XLOOKUP(C1598,#REF!,#REF!)),0)</f>
        <v>2</v>
      </c>
      <c r="T1598" cm="1">
        <f t="array" ref="T1598">IFERROR(_xlfn.SWITCH(L1598,1,_xlfn.XLOOKUP(O1598,[1]AttributeName!$B:$B,[1]AttributeName!$E:$E),2,_xlfn.XLOOKUP(C1598,#REF!,#REF!),3,_xlfn.XLOOKUP(C1598,#REF!,#REF!)),0)</f>
        <v>2</v>
      </c>
    </row>
    <row r="1599" customFormat="1" spans="1:20">
      <c r="A1599">
        <f t="shared" si="68"/>
        <v>659</v>
      </c>
      <c r="B1599">
        <v>8</v>
      </c>
      <c r="C1599" t="s">
        <v>402</v>
      </c>
      <c r="D1599" t="s">
        <v>29</v>
      </c>
      <c r="E1599" t="s">
        <v>392</v>
      </c>
      <c r="F1599"/>
      <c r="G1599">
        <v>2</v>
      </c>
      <c r="H1599">
        <v>500</v>
      </c>
      <c r="I1599">
        <v>3</v>
      </c>
      <c r="J1599" cm="1">
        <f t="array" ref="J1599">_xlfn.SWITCH(B1599,1,75,2,61,3,49,4,37,5,25,6,13,7,4,8,1)</f>
        <v>1</v>
      </c>
      <c r="K1599" t="str" cm="1">
        <f t="array" ref="K1599">IFERROR(_xlfn.SWITCH(L1599,2,_xlfn.XLOOKUP(C1599,[1]ModifierDes!$B:$B,[1]ModifierDes!$C:$C),3,_xlfn.XLOOKUP(C1599,[1]StuntDes!$B:$B,[1]StuntDes!$C:$C)),"")</f>
        <v/>
      </c>
      <c r="L1599">
        <f t="shared" si="67"/>
        <v>1</v>
      </c>
      <c r="M1599" s="10" t="str">
        <f>IFERROR(_xlfn.XLOOKUP(C1599,[1]StuntDes!$B:$B,[1]StuntDes!$A:$A),"")</f>
        <v/>
      </c>
      <c r="N1599" s="10" t="str">
        <f>IFERROR(_xlfn.XLOOKUP(C1599,[1]ModifierDes!$B:$B,[1]ModifierDes!$A:$A),"")</f>
        <v/>
      </c>
      <c r="O1599" s="10">
        <f>IFERROR(_xlfn.XLOOKUP(C1599,[1]AttributeName!$C:$C,[1]AttributeName!$B:$B),"")</f>
        <v>10501</v>
      </c>
      <c r="P1599" s="10"/>
      <c r="Q1599">
        <v>0.02</v>
      </c>
      <c r="R1599">
        <v>0.0500000000000001</v>
      </c>
      <c r="S1599" cm="1">
        <f t="array" ref="S1599">IFERROR(_xlfn.SWITCH(L1599,1,_xlfn.XLOOKUP(O1599,[1]AttributeName!$B:$B,[1]AttributeName!$D:$D),2,_xlfn.XLOOKUP(C1599,#REF!,#REF!),3,_xlfn.XLOOKUP(C1599,#REF!,#REF!)),0)</f>
        <v>2</v>
      </c>
      <c r="T1599" cm="1">
        <f t="array" ref="T1599">IFERROR(_xlfn.SWITCH(L1599,1,_xlfn.XLOOKUP(O1599,[1]AttributeName!$B:$B,[1]AttributeName!$E:$E),2,_xlfn.XLOOKUP(C1599,#REF!,#REF!),3,_xlfn.XLOOKUP(C1599,#REF!,#REF!)),0)</f>
        <v>2</v>
      </c>
    </row>
    <row r="1600" customFormat="1" spans="1:20">
      <c r="A1600">
        <f t="shared" si="68"/>
        <v>660</v>
      </c>
      <c r="B1600">
        <v>1</v>
      </c>
      <c r="C1600" t="s">
        <v>403</v>
      </c>
      <c r="D1600" t="s">
        <v>29</v>
      </c>
      <c r="E1600" t="s">
        <v>392</v>
      </c>
      <c r="F1600"/>
      <c r="G1600">
        <v>2</v>
      </c>
      <c r="H1600">
        <v>50</v>
      </c>
      <c r="I1600">
        <v>3</v>
      </c>
      <c r="J1600" cm="1">
        <f t="array" ref="J1600">_xlfn.SWITCH(B1600,1,75,2,61,3,49,4,37,5,25,6,13,7,4,8,1)</f>
        <v>75</v>
      </c>
      <c r="K1600" t="str" cm="1">
        <f t="array" ref="K1600">IFERROR(_xlfn.SWITCH(L1600,2,_xlfn.XLOOKUP(C1600,[1]ModifierDes!$B:$B,[1]ModifierDes!$C:$C),3,_xlfn.XLOOKUP(C1600,[1]StuntDes!$B:$B,[1]StuntDes!$C:$C)),"")</f>
        <v/>
      </c>
      <c r="L1600">
        <f t="shared" si="67"/>
        <v>1</v>
      </c>
      <c r="M1600" s="10" t="str">
        <f>IFERROR(_xlfn.XLOOKUP(C1600,[1]StuntDes!$B:$B,[1]StuntDes!$A:$A),"")</f>
        <v/>
      </c>
      <c r="N1600" s="10" t="str">
        <f>IFERROR(_xlfn.XLOOKUP(C1600,[1]ModifierDes!$B:$B,[1]ModifierDes!$A:$A),"")</f>
        <v/>
      </c>
      <c r="O1600" s="10">
        <f>IFERROR(_xlfn.XLOOKUP(C1600,[1]AttributeName!$C:$C,[1]AttributeName!$B:$B),"")</f>
        <v>10502</v>
      </c>
      <c r="P1600" s="10"/>
      <c r="Q1600">
        <v>0.3</v>
      </c>
      <c r="R1600">
        <v>0.4</v>
      </c>
      <c r="S1600" cm="1">
        <f t="array" ref="S1600">IFERROR(_xlfn.SWITCH(L1600,1,_xlfn.XLOOKUP(O1600,[1]AttributeName!$B:$B,[1]AttributeName!$D:$D),2,_xlfn.XLOOKUP(C1600,#REF!,#REF!),3,_xlfn.XLOOKUP(C1600,#REF!,#REF!)),0)</f>
        <v>2</v>
      </c>
      <c r="T1600" cm="1">
        <f t="array" ref="T1600">IFERROR(_xlfn.SWITCH(L1600,1,_xlfn.XLOOKUP(O1600,[1]AttributeName!$B:$B,[1]AttributeName!$E:$E),2,_xlfn.XLOOKUP(C1600,#REF!,#REF!),3,_xlfn.XLOOKUP(C1600,#REF!,#REF!)),0)</f>
        <v>2</v>
      </c>
    </row>
    <row r="1601" customFormat="1" spans="1:20">
      <c r="A1601">
        <f t="shared" si="68"/>
        <v>660</v>
      </c>
      <c r="B1601">
        <v>2</v>
      </c>
      <c r="C1601" t="s">
        <v>403</v>
      </c>
      <c r="D1601" t="s">
        <v>29</v>
      </c>
      <c r="E1601" t="s">
        <v>392</v>
      </c>
      <c r="F1601"/>
      <c r="G1601">
        <v>2</v>
      </c>
      <c r="H1601">
        <v>100</v>
      </c>
      <c r="I1601">
        <v>3</v>
      </c>
      <c r="J1601" cm="1">
        <f t="array" ref="J1601">_xlfn.SWITCH(B1601,1,75,2,61,3,49,4,37,5,25,6,13,7,4,8,1)</f>
        <v>61</v>
      </c>
      <c r="K1601" t="str" cm="1">
        <f t="array" ref="K1601">IFERROR(_xlfn.SWITCH(L1601,2,_xlfn.XLOOKUP(C1601,[1]ModifierDes!$B:$B,[1]ModifierDes!$C:$C),3,_xlfn.XLOOKUP(C1601,[1]StuntDes!$B:$B,[1]StuntDes!$C:$C)),"")</f>
        <v/>
      </c>
      <c r="L1601">
        <f t="shared" si="67"/>
        <v>1</v>
      </c>
      <c r="M1601" s="10" t="str">
        <f>IFERROR(_xlfn.XLOOKUP(C1601,[1]StuntDes!$B:$B,[1]StuntDes!$A:$A),"")</f>
        <v/>
      </c>
      <c r="N1601" s="10" t="str">
        <f>IFERROR(_xlfn.XLOOKUP(C1601,[1]ModifierDes!$B:$B,[1]ModifierDes!$A:$A),"")</f>
        <v/>
      </c>
      <c r="O1601" s="10">
        <f>IFERROR(_xlfn.XLOOKUP(C1601,[1]AttributeName!$C:$C,[1]AttributeName!$B:$B),"")</f>
        <v>10502</v>
      </c>
      <c r="P1601" s="10"/>
      <c r="Q1601">
        <v>0.26</v>
      </c>
      <c r="R1601">
        <v>0.29</v>
      </c>
      <c r="S1601" cm="1">
        <f t="array" ref="S1601">IFERROR(_xlfn.SWITCH(L1601,1,_xlfn.XLOOKUP(O1601,[1]AttributeName!$B:$B,[1]AttributeName!$D:$D),2,_xlfn.XLOOKUP(C1601,#REF!,#REF!),3,_xlfn.XLOOKUP(C1601,#REF!,#REF!)),0)</f>
        <v>2</v>
      </c>
      <c r="T1601" cm="1">
        <f t="array" ref="T1601">IFERROR(_xlfn.SWITCH(L1601,1,_xlfn.XLOOKUP(O1601,[1]AttributeName!$B:$B,[1]AttributeName!$E:$E),2,_xlfn.XLOOKUP(C1601,#REF!,#REF!),3,_xlfn.XLOOKUP(C1601,#REF!,#REF!)),0)</f>
        <v>2</v>
      </c>
    </row>
    <row r="1602" customFormat="1" spans="1:20">
      <c r="A1602">
        <f t="shared" si="68"/>
        <v>660</v>
      </c>
      <c r="B1602">
        <v>3</v>
      </c>
      <c r="C1602" t="s">
        <v>403</v>
      </c>
      <c r="D1602" t="s">
        <v>29</v>
      </c>
      <c r="E1602" t="s">
        <v>392</v>
      </c>
      <c r="F1602"/>
      <c r="G1602">
        <v>2</v>
      </c>
      <c r="H1602">
        <v>250</v>
      </c>
      <c r="I1602">
        <v>3</v>
      </c>
      <c r="J1602" cm="1">
        <f t="array" ref="J1602">_xlfn.SWITCH(B1602,1,75,2,61,3,49,4,37,5,25,6,13,7,4,8,1)</f>
        <v>49</v>
      </c>
      <c r="K1602" t="str" cm="1">
        <f t="array" ref="K1602">IFERROR(_xlfn.SWITCH(L1602,2,_xlfn.XLOOKUP(C1602,[1]ModifierDes!$B:$B,[1]ModifierDes!$C:$C),3,_xlfn.XLOOKUP(C1602,[1]StuntDes!$B:$B,[1]StuntDes!$C:$C)),"")</f>
        <v/>
      </c>
      <c r="L1602">
        <f t="shared" si="67"/>
        <v>1</v>
      </c>
      <c r="M1602" s="10" t="str">
        <f>IFERROR(_xlfn.XLOOKUP(C1602,[1]StuntDes!$B:$B,[1]StuntDes!$A:$A),"")</f>
        <v/>
      </c>
      <c r="N1602" s="10" t="str">
        <f>IFERROR(_xlfn.XLOOKUP(C1602,[1]ModifierDes!$B:$B,[1]ModifierDes!$A:$A),"")</f>
        <v/>
      </c>
      <c r="O1602" s="10">
        <f>IFERROR(_xlfn.XLOOKUP(C1602,[1]AttributeName!$C:$C,[1]AttributeName!$B:$B),"")</f>
        <v>10502</v>
      </c>
      <c r="P1602" s="10"/>
      <c r="Q1602">
        <v>0.22</v>
      </c>
      <c r="R1602">
        <v>0.25</v>
      </c>
      <c r="S1602" cm="1">
        <f t="array" ref="S1602">IFERROR(_xlfn.SWITCH(L1602,1,_xlfn.XLOOKUP(O1602,[1]AttributeName!$B:$B,[1]AttributeName!$D:$D),2,_xlfn.XLOOKUP(C1602,#REF!,#REF!),3,_xlfn.XLOOKUP(C1602,#REF!,#REF!)),0)</f>
        <v>2</v>
      </c>
      <c r="T1602" cm="1">
        <f t="array" ref="T1602">IFERROR(_xlfn.SWITCH(L1602,1,_xlfn.XLOOKUP(O1602,[1]AttributeName!$B:$B,[1]AttributeName!$E:$E),2,_xlfn.XLOOKUP(C1602,#REF!,#REF!),3,_xlfn.XLOOKUP(C1602,#REF!,#REF!)),0)</f>
        <v>2</v>
      </c>
    </row>
    <row r="1603" customFormat="1" spans="1:20">
      <c r="A1603">
        <f t="shared" si="68"/>
        <v>660</v>
      </c>
      <c r="B1603">
        <v>4</v>
      </c>
      <c r="C1603" t="s">
        <v>403</v>
      </c>
      <c r="D1603" t="s">
        <v>29</v>
      </c>
      <c r="E1603" t="s">
        <v>392</v>
      </c>
      <c r="F1603"/>
      <c r="G1603">
        <v>2</v>
      </c>
      <c r="H1603">
        <v>500</v>
      </c>
      <c r="I1603">
        <v>3</v>
      </c>
      <c r="J1603" cm="1">
        <f t="array" ref="J1603">_xlfn.SWITCH(B1603,1,75,2,61,3,49,4,37,5,25,6,13,7,4,8,1)</f>
        <v>37</v>
      </c>
      <c r="K1603" t="str" cm="1">
        <f t="array" ref="K1603">IFERROR(_xlfn.SWITCH(L1603,2,_xlfn.XLOOKUP(C1603,[1]ModifierDes!$B:$B,[1]ModifierDes!$C:$C),3,_xlfn.XLOOKUP(C1603,[1]StuntDes!$B:$B,[1]StuntDes!$C:$C)),"")</f>
        <v/>
      </c>
      <c r="L1603">
        <f t="shared" si="67"/>
        <v>1</v>
      </c>
      <c r="M1603" s="10" t="str">
        <f>IFERROR(_xlfn.XLOOKUP(C1603,[1]StuntDes!$B:$B,[1]StuntDes!$A:$A),"")</f>
        <v/>
      </c>
      <c r="N1603" s="10" t="str">
        <f>IFERROR(_xlfn.XLOOKUP(C1603,[1]ModifierDes!$B:$B,[1]ModifierDes!$A:$A),"")</f>
        <v/>
      </c>
      <c r="O1603" s="10">
        <f>IFERROR(_xlfn.XLOOKUP(C1603,[1]AttributeName!$C:$C,[1]AttributeName!$B:$B),"")</f>
        <v>10502</v>
      </c>
      <c r="P1603" s="10"/>
      <c r="Q1603">
        <v>0.18</v>
      </c>
      <c r="R1603">
        <v>0.21</v>
      </c>
      <c r="S1603" cm="1">
        <f t="array" ref="S1603">IFERROR(_xlfn.SWITCH(L1603,1,_xlfn.XLOOKUP(O1603,[1]AttributeName!$B:$B,[1]AttributeName!$D:$D),2,_xlfn.XLOOKUP(C1603,#REF!,#REF!),3,_xlfn.XLOOKUP(C1603,#REF!,#REF!)),0)</f>
        <v>2</v>
      </c>
      <c r="T1603" cm="1">
        <f t="array" ref="T1603">IFERROR(_xlfn.SWITCH(L1603,1,_xlfn.XLOOKUP(O1603,[1]AttributeName!$B:$B,[1]AttributeName!$E:$E),2,_xlfn.XLOOKUP(C1603,#REF!,#REF!),3,_xlfn.XLOOKUP(C1603,#REF!,#REF!)),0)</f>
        <v>2</v>
      </c>
    </row>
    <row r="1604" customFormat="1" spans="1:20">
      <c r="A1604">
        <f t="shared" si="68"/>
        <v>660</v>
      </c>
      <c r="B1604">
        <v>5</v>
      </c>
      <c r="C1604" t="s">
        <v>403</v>
      </c>
      <c r="D1604" t="s">
        <v>29</v>
      </c>
      <c r="E1604" t="s">
        <v>392</v>
      </c>
      <c r="F1604"/>
      <c r="G1604">
        <v>2</v>
      </c>
      <c r="H1604">
        <v>500</v>
      </c>
      <c r="I1604">
        <v>3</v>
      </c>
      <c r="J1604" cm="1">
        <f t="array" ref="J1604">_xlfn.SWITCH(B1604,1,75,2,61,3,49,4,37,5,25,6,13,7,4,8,1)</f>
        <v>25</v>
      </c>
      <c r="K1604" t="str" cm="1">
        <f t="array" ref="K1604">IFERROR(_xlfn.SWITCH(L1604,2,_xlfn.XLOOKUP(C1604,[1]ModifierDes!$B:$B,[1]ModifierDes!$C:$C),3,_xlfn.XLOOKUP(C1604,[1]StuntDes!$B:$B,[1]StuntDes!$C:$C)),"")</f>
        <v/>
      </c>
      <c r="L1604">
        <f t="shared" ref="L1604:L1667" si="69">IF(M1604="",IF(N1604="",1,2),3)</f>
        <v>1</v>
      </c>
      <c r="M1604" s="10" t="str">
        <f>IFERROR(_xlfn.XLOOKUP(C1604,[1]StuntDes!$B:$B,[1]StuntDes!$A:$A),"")</f>
        <v/>
      </c>
      <c r="N1604" s="10" t="str">
        <f>IFERROR(_xlfn.XLOOKUP(C1604,[1]ModifierDes!$B:$B,[1]ModifierDes!$A:$A),"")</f>
        <v/>
      </c>
      <c r="O1604" s="10">
        <f>IFERROR(_xlfn.XLOOKUP(C1604,[1]AttributeName!$C:$C,[1]AttributeName!$B:$B),"")</f>
        <v>10502</v>
      </c>
      <c r="P1604" s="10"/>
      <c r="Q1604">
        <v>0.14</v>
      </c>
      <c r="R1604">
        <v>0.17</v>
      </c>
      <c r="S1604" cm="1">
        <f t="array" ref="S1604">IFERROR(_xlfn.SWITCH(L1604,1,_xlfn.XLOOKUP(O1604,[1]AttributeName!$B:$B,[1]AttributeName!$D:$D),2,_xlfn.XLOOKUP(C1604,#REF!,#REF!),3,_xlfn.XLOOKUP(C1604,#REF!,#REF!)),0)</f>
        <v>2</v>
      </c>
      <c r="T1604" cm="1">
        <f t="array" ref="T1604">IFERROR(_xlfn.SWITCH(L1604,1,_xlfn.XLOOKUP(O1604,[1]AttributeName!$B:$B,[1]AttributeName!$E:$E),2,_xlfn.XLOOKUP(C1604,#REF!,#REF!),3,_xlfn.XLOOKUP(C1604,#REF!,#REF!)),0)</f>
        <v>2</v>
      </c>
    </row>
    <row r="1605" customFormat="1" spans="1:20">
      <c r="A1605">
        <f t="shared" si="68"/>
        <v>660</v>
      </c>
      <c r="B1605">
        <v>6</v>
      </c>
      <c r="C1605" t="s">
        <v>403</v>
      </c>
      <c r="D1605" t="s">
        <v>29</v>
      </c>
      <c r="E1605" t="s">
        <v>392</v>
      </c>
      <c r="F1605"/>
      <c r="G1605">
        <v>2</v>
      </c>
      <c r="H1605">
        <v>500</v>
      </c>
      <c r="I1605">
        <v>3</v>
      </c>
      <c r="J1605" cm="1">
        <f t="array" ref="J1605">_xlfn.SWITCH(B1605,1,75,2,61,3,49,4,37,5,25,6,13,7,4,8,1)</f>
        <v>13</v>
      </c>
      <c r="K1605" t="str" cm="1">
        <f t="array" ref="K1605">IFERROR(_xlfn.SWITCH(L1605,2,_xlfn.XLOOKUP(C1605,[1]ModifierDes!$B:$B,[1]ModifierDes!$C:$C),3,_xlfn.XLOOKUP(C1605,[1]StuntDes!$B:$B,[1]StuntDes!$C:$C)),"")</f>
        <v/>
      </c>
      <c r="L1605">
        <f t="shared" si="69"/>
        <v>1</v>
      </c>
      <c r="M1605" s="10" t="str">
        <f>IFERROR(_xlfn.XLOOKUP(C1605,[1]StuntDes!$B:$B,[1]StuntDes!$A:$A),"")</f>
        <v/>
      </c>
      <c r="N1605" s="10" t="str">
        <f>IFERROR(_xlfn.XLOOKUP(C1605,[1]ModifierDes!$B:$B,[1]ModifierDes!$A:$A),"")</f>
        <v/>
      </c>
      <c r="O1605" s="10">
        <f>IFERROR(_xlfn.XLOOKUP(C1605,[1]AttributeName!$C:$C,[1]AttributeName!$B:$B),"")</f>
        <v>10502</v>
      </c>
      <c r="P1605" s="10"/>
      <c r="Q1605">
        <v>0.1</v>
      </c>
      <c r="R1605">
        <v>0.13</v>
      </c>
      <c r="S1605" cm="1">
        <f t="array" ref="S1605">IFERROR(_xlfn.SWITCH(L1605,1,_xlfn.XLOOKUP(O1605,[1]AttributeName!$B:$B,[1]AttributeName!$D:$D),2,_xlfn.XLOOKUP(C1605,#REF!,#REF!),3,_xlfn.XLOOKUP(C1605,#REF!,#REF!)),0)</f>
        <v>2</v>
      </c>
      <c r="T1605" cm="1">
        <f t="array" ref="T1605">IFERROR(_xlfn.SWITCH(L1605,1,_xlfn.XLOOKUP(O1605,[1]AttributeName!$B:$B,[1]AttributeName!$E:$E),2,_xlfn.XLOOKUP(C1605,#REF!,#REF!),3,_xlfn.XLOOKUP(C1605,#REF!,#REF!)),0)</f>
        <v>2</v>
      </c>
    </row>
    <row r="1606" customFormat="1" spans="1:20">
      <c r="A1606">
        <f t="shared" si="68"/>
        <v>660</v>
      </c>
      <c r="B1606">
        <v>7</v>
      </c>
      <c r="C1606" t="s">
        <v>403</v>
      </c>
      <c r="D1606" t="s">
        <v>29</v>
      </c>
      <c r="E1606" t="s">
        <v>392</v>
      </c>
      <c r="F1606"/>
      <c r="G1606">
        <v>2</v>
      </c>
      <c r="H1606">
        <v>500</v>
      </c>
      <c r="I1606">
        <v>3</v>
      </c>
      <c r="J1606" cm="1">
        <f t="array" ref="J1606">_xlfn.SWITCH(B1606,1,75,2,61,3,49,4,37,5,25,6,13,7,4,8,1)</f>
        <v>4</v>
      </c>
      <c r="K1606" t="str" cm="1">
        <f t="array" ref="K1606">IFERROR(_xlfn.SWITCH(L1606,2,_xlfn.XLOOKUP(C1606,[1]ModifierDes!$B:$B,[1]ModifierDes!$C:$C),3,_xlfn.XLOOKUP(C1606,[1]StuntDes!$B:$B,[1]StuntDes!$C:$C)),"")</f>
        <v/>
      </c>
      <c r="L1606">
        <f t="shared" si="69"/>
        <v>1</v>
      </c>
      <c r="M1606" s="10" t="str">
        <f>IFERROR(_xlfn.XLOOKUP(C1606,[1]StuntDes!$B:$B,[1]StuntDes!$A:$A),"")</f>
        <v/>
      </c>
      <c r="N1606" s="10" t="str">
        <f>IFERROR(_xlfn.XLOOKUP(C1606,[1]ModifierDes!$B:$B,[1]ModifierDes!$A:$A),"")</f>
        <v/>
      </c>
      <c r="O1606" s="10">
        <f>IFERROR(_xlfn.XLOOKUP(C1606,[1]AttributeName!$C:$C,[1]AttributeName!$B:$B),"")</f>
        <v>10502</v>
      </c>
      <c r="P1606" s="10"/>
      <c r="Q1606">
        <v>0.06</v>
      </c>
      <c r="R1606">
        <v>0.0900000000000001</v>
      </c>
      <c r="S1606" cm="1">
        <f t="array" ref="S1606">IFERROR(_xlfn.SWITCH(L1606,1,_xlfn.XLOOKUP(O1606,[1]AttributeName!$B:$B,[1]AttributeName!$D:$D),2,_xlfn.XLOOKUP(C1606,#REF!,#REF!),3,_xlfn.XLOOKUP(C1606,#REF!,#REF!)),0)</f>
        <v>2</v>
      </c>
      <c r="T1606" cm="1">
        <f t="array" ref="T1606">IFERROR(_xlfn.SWITCH(L1606,1,_xlfn.XLOOKUP(O1606,[1]AttributeName!$B:$B,[1]AttributeName!$E:$E),2,_xlfn.XLOOKUP(C1606,#REF!,#REF!),3,_xlfn.XLOOKUP(C1606,#REF!,#REF!)),0)</f>
        <v>2</v>
      </c>
    </row>
    <row r="1607" customFormat="1" spans="1:20">
      <c r="A1607">
        <f t="shared" si="68"/>
        <v>660</v>
      </c>
      <c r="B1607">
        <v>8</v>
      </c>
      <c r="C1607" t="s">
        <v>403</v>
      </c>
      <c r="D1607" t="s">
        <v>29</v>
      </c>
      <c r="E1607" t="s">
        <v>392</v>
      </c>
      <c r="F1607"/>
      <c r="G1607">
        <v>2</v>
      </c>
      <c r="H1607">
        <v>500</v>
      </c>
      <c r="I1607">
        <v>3</v>
      </c>
      <c r="J1607" cm="1">
        <f t="array" ref="J1607">_xlfn.SWITCH(B1607,1,75,2,61,3,49,4,37,5,25,6,13,7,4,8,1)</f>
        <v>1</v>
      </c>
      <c r="K1607" t="str" cm="1">
        <f t="array" ref="K1607">IFERROR(_xlfn.SWITCH(L1607,2,_xlfn.XLOOKUP(C1607,[1]ModifierDes!$B:$B,[1]ModifierDes!$C:$C),3,_xlfn.XLOOKUP(C1607,[1]StuntDes!$B:$B,[1]StuntDes!$C:$C)),"")</f>
        <v/>
      </c>
      <c r="L1607">
        <f t="shared" si="69"/>
        <v>1</v>
      </c>
      <c r="M1607" s="10" t="str">
        <f>IFERROR(_xlfn.XLOOKUP(C1607,[1]StuntDes!$B:$B,[1]StuntDes!$A:$A),"")</f>
        <v/>
      </c>
      <c r="N1607" s="10" t="str">
        <f>IFERROR(_xlfn.XLOOKUP(C1607,[1]ModifierDes!$B:$B,[1]ModifierDes!$A:$A),"")</f>
        <v/>
      </c>
      <c r="O1607" s="10">
        <f>IFERROR(_xlfn.XLOOKUP(C1607,[1]AttributeName!$C:$C,[1]AttributeName!$B:$B),"")</f>
        <v>10502</v>
      </c>
      <c r="P1607" s="10"/>
      <c r="Q1607">
        <v>0.02</v>
      </c>
      <c r="R1607">
        <v>0.0500000000000001</v>
      </c>
      <c r="S1607" cm="1">
        <f t="array" ref="S1607">IFERROR(_xlfn.SWITCH(L1607,1,_xlfn.XLOOKUP(O1607,[1]AttributeName!$B:$B,[1]AttributeName!$D:$D),2,_xlfn.XLOOKUP(C1607,#REF!,#REF!),3,_xlfn.XLOOKUP(C1607,#REF!,#REF!)),0)</f>
        <v>2</v>
      </c>
      <c r="T1607" cm="1">
        <f t="array" ref="T1607">IFERROR(_xlfn.SWITCH(L1607,1,_xlfn.XLOOKUP(O1607,[1]AttributeName!$B:$B,[1]AttributeName!$E:$E),2,_xlfn.XLOOKUP(C1607,#REF!,#REF!),3,_xlfn.XLOOKUP(C1607,#REF!,#REF!)),0)</f>
        <v>2</v>
      </c>
    </row>
    <row r="1608" customFormat="1" spans="1:20">
      <c r="A1608">
        <f t="shared" si="68"/>
        <v>661</v>
      </c>
      <c r="B1608">
        <v>1</v>
      </c>
      <c r="C1608" t="s">
        <v>404</v>
      </c>
      <c r="D1608" t="s">
        <v>29</v>
      </c>
      <c r="E1608" t="s">
        <v>392</v>
      </c>
      <c r="F1608"/>
      <c r="G1608">
        <v>2</v>
      </c>
      <c r="H1608">
        <v>50</v>
      </c>
      <c r="I1608">
        <v>3</v>
      </c>
      <c r="J1608" cm="1">
        <f t="array" ref="J1608">_xlfn.SWITCH(B1608,1,75,2,61,3,49,4,37,5,25,6,13,7,4,8,1)</f>
        <v>75</v>
      </c>
      <c r="K1608" t="str" cm="1">
        <f t="array" ref="K1608">IFERROR(_xlfn.SWITCH(L1608,2,_xlfn.XLOOKUP(C1608,[1]ModifierDes!$B:$B,[1]ModifierDes!$C:$C),3,_xlfn.XLOOKUP(C1608,[1]StuntDes!$B:$B,[1]StuntDes!$C:$C)),"")</f>
        <v/>
      </c>
      <c r="L1608">
        <f t="shared" si="69"/>
        <v>1</v>
      </c>
      <c r="M1608" s="10" t="str">
        <f>IFERROR(_xlfn.XLOOKUP(C1608,[1]StuntDes!$B:$B,[1]StuntDes!$A:$A),"")</f>
        <v/>
      </c>
      <c r="N1608" s="10" t="str">
        <f>IFERROR(_xlfn.XLOOKUP(C1608,[1]ModifierDes!$B:$B,[1]ModifierDes!$A:$A),"")</f>
        <v/>
      </c>
      <c r="O1608" s="10">
        <f>IFERROR(_xlfn.XLOOKUP(C1608,[1]AttributeName!$C:$C,[1]AttributeName!$B:$B),"")</f>
        <v>10503</v>
      </c>
      <c r="P1608" s="10"/>
      <c r="Q1608">
        <v>0.3</v>
      </c>
      <c r="R1608">
        <v>0.4</v>
      </c>
      <c r="S1608" cm="1">
        <f t="array" ref="S1608">IFERROR(_xlfn.SWITCH(L1608,1,_xlfn.XLOOKUP(O1608,[1]AttributeName!$B:$B,[1]AttributeName!$D:$D),2,_xlfn.XLOOKUP(C1608,#REF!,#REF!),3,_xlfn.XLOOKUP(C1608,#REF!,#REF!)),0)</f>
        <v>2</v>
      </c>
      <c r="T1608" cm="1">
        <f t="array" ref="T1608">IFERROR(_xlfn.SWITCH(L1608,1,_xlfn.XLOOKUP(O1608,[1]AttributeName!$B:$B,[1]AttributeName!$E:$E),2,_xlfn.XLOOKUP(C1608,#REF!,#REF!),3,_xlfn.XLOOKUP(C1608,#REF!,#REF!)),0)</f>
        <v>2</v>
      </c>
    </row>
    <row r="1609" customFormat="1" spans="1:20">
      <c r="A1609">
        <f t="shared" si="68"/>
        <v>661</v>
      </c>
      <c r="B1609">
        <v>2</v>
      </c>
      <c r="C1609" t="s">
        <v>404</v>
      </c>
      <c r="D1609" t="s">
        <v>29</v>
      </c>
      <c r="E1609" t="s">
        <v>392</v>
      </c>
      <c r="F1609"/>
      <c r="G1609">
        <v>2</v>
      </c>
      <c r="H1609">
        <v>100</v>
      </c>
      <c r="I1609">
        <v>3</v>
      </c>
      <c r="J1609" cm="1">
        <f t="array" ref="J1609">_xlfn.SWITCH(B1609,1,75,2,61,3,49,4,37,5,25,6,13,7,4,8,1)</f>
        <v>61</v>
      </c>
      <c r="K1609" t="str" cm="1">
        <f t="array" ref="K1609">IFERROR(_xlfn.SWITCH(L1609,2,_xlfn.XLOOKUP(C1609,[1]ModifierDes!$B:$B,[1]ModifierDes!$C:$C),3,_xlfn.XLOOKUP(C1609,[1]StuntDes!$B:$B,[1]StuntDes!$C:$C)),"")</f>
        <v/>
      </c>
      <c r="L1609">
        <f t="shared" si="69"/>
        <v>1</v>
      </c>
      <c r="M1609" s="10" t="str">
        <f>IFERROR(_xlfn.XLOOKUP(C1609,[1]StuntDes!$B:$B,[1]StuntDes!$A:$A),"")</f>
        <v/>
      </c>
      <c r="N1609" s="10" t="str">
        <f>IFERROR(_xlfn.XLOOKUP(C1609,[1]ModifierDes!$B:$B,[1]ModifierDes!$A:$A),"")</f>
        <v/>
      </c>
      <c r="O1609" s="10">
        <f>IFERROR(_xlfn.XLOOKUP(C1609,[1]AttributeName!$C:$C,[1]AttributeName!$B:$B),"")</f>
        <v>10503</v>
      </c>
      <c r="P1609" s="10"/>
      <c r="Q1609">
        <v>0.26</v>
      </c>
      <c r="R1609">
        <v>0.29</v>
      </c>
      <c r="S1609" cm="1">
        <f t="array" ref="S1609">IFERROR(_xlfn.SWITCH(L1609,1,_xlfn.XLOOKUP(O1609,[1]AttributeName!$B:$B,[1]AttributeName!$D:$D),2,_xlfn.XLOOKUP(C1609,#REF!,#REF!),3,_xlfn.XLOOKUP(C1609,#REF!,#REF!)),0)</f>
        <v>2</v>
      </c>
      <c r="T1609" cm="1">
        <f t="array" ref="T1609">IFERROR(_xlfn.SWITCH(L1609,1,_xlfn.XLOOKUP(O1609,[1]AttributeName!$B:$B,[1]AttributeName!$E:$E),2,_xlfn.XLOOKUP(C1609,#REF!,#REF!),3,_xlfn.XLOOKUP(C1609,#REF!,#REF!)),0)</f>
        <v>2</v>
      </c>
    </row>
    <row r="1610" customFormat="1" spans="1:20">
      <c r="A1610">
        <f t="shared" si="68"/>
        <v>661</v>
      </c>
      <c r="B1610">
        <v>3</v>
      </c>
      <c r="C1610" t="s">
        <v>404</v>
      </c>
      <c r="D1610" t="s">
        <v>29</v>
      </c>
      <c r="E1610" t="s">
        <v>392</v>
      </c>
      <c r="F1610"/>
      <c r="G1610">
        <v>2</v>
      </c>
      <c r="H1610">
        <v>250</v>
      </c>
      <c r="I1610">
        <v>3</v>
      </c>
      <c r="J1610" cm="1">
        <f t="array" ref="J1610">_xlfn.SWITCH(B1610,1,75,2,61,3,49,4,37,5,25,6,13,7,4,8,1)</f>
        <v>49</v>
      </c>
      <c r="K1610" t="str" cm="1">
        <f t="array" ref="K1610">IFERROR(_xlfn.SWITCH(L1610,2,_xlfn.XLOOKUP(C1610,[1]ModifierDes!$B:$B,[1]ModifierDes!$C:$C),3,_xlfn.XLOOKUP(C1610,[1]StuntDes!$B:$B,[1]StuntDes!$C:$C)),"")</f>
        <v/>
      </c>
      <c r="L1610">
        <f t="shared" si="69"/>
        <v>1</v>
      </c>
      <c r="M1610" s="10" t="str">
        <f>IFERROR(_xlfn.XLOOKUP(C1610,[1]StuntDes!$B:$B,[1]StuntDes!$A:$A),"")</f>
        <v/>
      </c>
      <c r="N1610" s="10" t="str">
        <f>IFERROR(_xlfn.XLOOKUP(C1610,[1]ModifierDes!$B:$B,[1]ModifierDes!$A:$A),"")</f>
        <v/>
      </c>
      <c r="O1610" s="10">
        <f>IFERROR(_xlfn.XLOOKUP(C1610,[1]AttributeName!$C:$C,[1]AttributeName!$B:$B),"")</f>
        <v>10503</v>
      </c>
      <c r="P1610" s="10"/>
      <c r="Q1610">
        <v>0.22</v>
      </c>
      <c r="R1610">
        <v>0.25</v>
      </c>
      <c r="S1610" cm="1">
        <f t="array" ref="S1610">IFERROR(_xlfn.SWITCH(L1610,1,_xlfn.XLOOKUP(O1610,[1]AttributeName!$B:$B,[1]AttributeName!$D:$D),2,_xlfn.XLOOKUP(C1610,#REF!,#REF!),3,_xlfn.XLOOKUP(C1610,#REF!,#REF!)),0)</f>
        <v>2</v>
      </c>
      <c r="T1610" cm="1">
        <f t="array" ref="T1610">IFERROR(_xlfn.SWITCH(L1610,1,_xlfn.XLOOKUP(O1610,[1]AttributeName!$B:$B,[1]AttributeName!$E:$E),2,_xlfn.XLOOKUP(C1610,#REF!,#REF!),3,_xlfn.XLOOKUP(C1610,#REF!,#REF!)),0)</f>
        <v>2</v>
      </c>
    </row>
    <row r="1611" customFormat="1" spans="1:20">
      <c r="A1611">
        <f t="shared" si="68"/>
        <v>661</v>
      </c>
      <c r="B1611">
        <v>4</v>
      </c>
      <c r="C1611" t="s">
        <v>404</v>
      </c>
      <c r="D1611" t="s">
        <v>29</v>
      </c>
      <c r="E1611" t="s">
        <v>392</v>
      </c>
      <c r="F1611"/>
      <c r="G1611">
        <v>2</v>
      </c>
      <c r="H1611">
        <v>500</v>
      </c>
      <c r="I1611">
        <v>3</v>
      </c>
      <c r="J1611" cm="1">
        <f t="array" ref="J1611">_xlfn.SWITCH(B1611,1,75,2,61,3,49,4,37,5,25,6,13,7,4,8,1)</f>
        <v>37</v>
      </c>
      <c r="K1611" t="str" cm="1">
        <f t="array" ref="K1611">IFERROR(_xlfn.SWITCH(L1611,2,_xlfn.XLOOKUP(C1611,[1]ModifierDes!$B:$B,[1]ModifierDes!$C:$C),3,_xlfn.XLOOKUP(C1611,[1]StuntDes!$B:$B,[1]StuntDes!$C:$C)),"")</f>
        <v/>
      </c>
      <c r="L1611">
        <f t="shared" si="69"/>
        <v>1</v>
      </c>
      <c r="M1611" s="10" t="str">
        <f>IFERROR(_xlfn.XLOOKUP(C1611,[1]StuntDes!$B:$B,[1]StuntDes!$A:$A),"")</f>
        <v/>
      </c>
      <c r="N1611" s="10" t="str">
        <f>IFERROR(_xlfn.XLOOKUP(C1611,[1]ModifierDes!$B:$B,[1]ModifierDes!$A:$A),"")</f>
        <v/>
      </c>
      <c r="O1611" s="10">
        <f>IFERROR(_xlfn.XLOOKUP(C1611,[1]AttributeName!$C:$C,[1]AttributeName!$B:$B),"")</f>
        <v>10503</v>
      </c>
      <c r="P1611" s="10"/>
      <c r="Q1611">
        <v>0.18</v>
      </c>
      <c r="R1611">
        <v>0.21</v>
      </c>
      <c r="S1611" cm="1">
        <f t="array" ref="S1611">IFERROR(_xlfn.SWITCH(L1611,1,_xlfn.XLOOKUP(O1611,[1]AttributeName!$B:$B,[1]AttributeName!$D:$D),2,_xlfn.XLOOKUP(C1611,#REF!,#REF!),3,_xlfn.XLOOKUP(C1611,#REF!,#REF!)),0)</f>
        <v>2</v>
      </c>
      <c r="T1611" cm="1">
        <f t="array" ref="T1611">IFERROR(_xlfn.SWITCH(L1611,1,_xlfn.XLOOKUP(O1611,[1]AttributeName!$B:$B,[1]AttributeName!$E:$E),2,_xlfn.XLOOKUP(C1611,#REF!,#REF!),3,_xlfn.XLOOKUP(C1611,#REF!,#REF!)),0)</f>
        <v>2</v>
      </c>
    </row>
    <row r="1612" customFormat="1" spans="1:20">
      <c r="A1612">
        <f t="shared" si="68"/>
        <v>661</v>
      </c>
      <c r="B1612">
        <v>5</v>
      </c>
      <c r="C1612" t="s">
        <v>404</v>
      </c>
      <c r="D1612" t="s">
        <v>29</v>
      </c>
      <c r="E1612" t="s">
        <v>392</v>
      </c>
      <c r="F1612"/>
      <c r="G1612">
        <v>2</v>
      </c>
      <c r="H1612">
        <v>500</v>
      </c>
      <c r="I1612">
        <v>3</v>
      </c>
      <c r="J1612" cm="1">
        <f t="array" ref="J1612">_xlfn.SWITCH(B1612,1,75,2,61,3,49,4,37,5,25,6,13,7,4,8,1)</f>
        <v>25</v>
      </c>
      <c r="K1612" t="str" cm="1">
        <f t="array" ref="K1612">IFERROR(_xlfn.SWITCH(L1612,2,_xlfn.XLOOKUP(C1612,[1]ModifierDes!$B:$B,[1]ModifierDes!$C:$C),3,_xlfn.XLOOKUP(C1612,[1]StuntDes!$B:$B,[1]StuntDes!$C:$C)),"")</f>
        <v/>
      </c>
      <c r="L1612">
        <f t="shared" si="69"/>
        <v>1</v>
      </c>
      <c r="M1612" s="10" t="str">
        <f>IFERROR(_xlfn.XLOOKUP(C1612,[1]StuntDes!$B:$B,[1]StuntDes!$A:$A),"")</f>
        <v/>
      </c>
      <c r="N1612" s="10" t="str">
        <f>IFERROR(_xlfn.XLOOKUP(C1612,[1]ModifierDes!$B:$B,[1]ModifierDes!$A:$A),"")</f>
        <v/>
      </c>
      <c r="O1612" s="10">
        <f>IFERROR(_xlfn.XLOOKUP(C1612,[1]AttributeName!$C:$C,[1]AttributeName!$B:$B),"")</f>
        <v>10503</v>
      </c>
      <c r="P1612" s="10"/>
      <c r="Q1612">
        <v>0.14</v>
      </c>
      <c r="R1612">
        <v>0.17</v>
      </c>
      <c r="S1612" cm="1">
        <f t="array" ref="S1612">IFERROR(_xlfn.SWITCH(L1612,1,_xlfn.XLOOKUP(O1612,[1]AttributeName!$B:$B,[1]AttributeName!$D:$D),2,_xlfn.XLOOKUP(C1612,#REF!,#REF!),3,_xlfn.XLOOKUP(C1612,#REF!,#REF!)),0)</f>
        <v>2</v>
      </c>
      <c r="T1612" cm="1">
        <f t="array" ref="T1612">IFERROR(_xlfn.SWITCH(L1612,1,_xlfn.XLOOKUP(O1612,[1]AttributeName!$B:$B,[1]AttributeName!$E:$E),2,_xlfn.XLOOKUP(C1612,#REF!,#REF!),3,_xlfn.XLOOKUP(C1612,#REF!,#REF!)),0)</f>
        <v>2</v>
      </c>
    </row>
    <row r="1613" customFormat="1" spans="1:20">
      <c r="A1613">
        <f t="shared" si="68"/>
        <v>661</v>
      </c>
      <c r="B1613">
        <v>6</v>
      </c>
      <c r="C1613" t="s">
        <v>404</v>
      </c>
      <c r="D1613" t="s">
        <v>29</v>
      </c>
      <c r="E1613" t="s">
        <v>392</v>
      </c>
      <c r="F1613"/>
      <c r="G1613">
        <v>2</v>
      </c>
      <c r="H1613">
        <v>500</v>
      </c>
      <c r="I1613">
        <v>3</v>
      </c>
      <c r="J1613" cm="1">
        <f t="array" ref="J1613">_xlfn.SWITCH(B1613,1,75,2,61,3,49,4,37,5,25,6,13,7,4,8,1)</f>
        <v>13</v>
      </c>
      <c r="K1613" t="str" cm="1">
        <f t="array" ref="K1613">IFERROR(_xlfn.SWITCH(L1613,2,_xlfn.XLOOKUP(C1613,[1]ModifierDes!$B:$B,[1]ModifierDes!$C:$C),3,_xlfn.XLOOKUP(C1613,[1]StuntDes!$B:$B,[1]StuntDes!$C:$C)),"")</f>
        <v/>
      </c>
      <c r="L1613">
        <f t="shared" si="69"/>
        <v>1</v>
      </c>
      <c r="M1613" s="10" t="str">
        <f>IFERROR(_xlfn.XLOOKUP(C1613,[1]StuntDes!$B:$B,[1]StuntDes!$A:$A),"")</f>
        <v/>
      </c>
      <c r="N1613" s="10" t="str">
        <f>IFERROR(_xlfn.XLOOKUP(C1613,[1]ModifierDes!$B:$B,[1]ModifierDes!$A:$A),"")</f>
        <v/>
      </c>
      <c r="O1613" s="10">
        <f>IFERROR(_xlfn.XLOOKUP(C1613,[1]AttributeName!$C:$C,[1]AttributeName!$B:$B),"")</f>
        <v>10503</v>
      </c>
      <c r="P1613" s="10"/>
      <c r="Q1613">
        <v>0.1</v>
      </c>
      <c r="R1613">
        <v>0.13</v>
      </c>
      <c r="S1613" cm="1">
        <f t="array" ref="S1613">IFERROR(_xlfn.SWITCH(L1613,1,_xlfn.XLOOKUP(O1613,[1]AttributeName!$B:$B,[1]AttributeName!$D:$D),2,_xlfn.XLOOKUP(C1613,#REF!,#REF!),3,_xlfn.XLOOKUP(C1613,#REF!,#REF!)),0)</f>
        <v>2</v>
      </c>
      <c r="T1613" cm="1">
        <f t="array" ref="T1613">IFERROR(_xlfn.SWITCH(L1613,1,_xlfn.XLOOKUP(O1613,[1]AttributeName!$B:$B,[1]AttributeName!$E:$E),2,_xlfn.XLOOKUP(C1613,#REF!,#REF!),3,_xlfn.XLOOKUP(C1613,#REF!,#REF!)),0)</f>
        <v>2</v>
      </c>
    </row>
    <row r="1614" customFormat="1" spans="1:20">
      <c r="A1614">
        <f t="shared" si="68"/>
        <v>661</v>
      </c>
      <c r="B1614">
        <v>7</v>
      </c>
      <c r="C1614" t="s">
        <v>404</v>
      </c>
      <c r="D1614" t="s">
        <v>29</v>
      </c>
      <c r="E1614" t="s">
        <v>392</v>
      </c>
      <c r="F1614"/>
      <c r="G1614">
        <v>2</v>
      </c>
      <c r="H1614">
        <v>500</v>
      </c>
      <c r="I1614">
        <v>3</v>
      </c>
      <c r="J1614" cm="1">
        <f t="array" ref="J1614">_xlfn.SWITCH(B1614,1,75,2,61,3,49,4,37,5,25,6,13,7,4,8,1)</f>
        <v>4</v>
      </c>
      <c r="K1614" t="str" cm="1">
        <f t="array" ref="K1614">IFERROR(_xlfn.SWITCH(L1614,2,_xlfn.XLOOKUP(C1614,[1]ModifierDes!$B:$B,[1]ModifierDes!$C:$C),3,_xlfn.XLOOKUP(C1614,[1]StuntDes!$B:$B,[1]StuntDes!$C:$C)),"")</f>
        <v/>
      </c>
      <c r="L1614">
        <f t="shared" si="69"/>
        <v>1</v>
      </c>
      <c r="M1614" s="10" t="str">
        <f>IFERROR(_xlfn.XLOOKUP(C1614,[1]StuntDes!$B:$B,[1]StuntDes!$A:$A),"")</f>
        <v/>
      </c>
      <c r="N1614" s="10" t="str">
        <f>IFERROR(_xlfn.XLOOKUP(C1614,[1]ModifierDes!$B:$B,[1]ModifierDes!$A:$A),"")</f>
        <v/>
      </c>
      <c r="O1614" s="10">
        <f>IFERROR(_xlfn.XLOOKUP(C1614,[1]AttributeName!$C:$C,[1]AttributeName!$B:$B),"")</f>
        <v>10503</v>
      </c>
      <c r="P1614" s="10"/>
      <c r="Q1614">
        <v>0.06</v>
      </c>
      <c r="R1614">
        <v>0.0900000000000001</v>
      </c>
      <c r="S1614" cm="1">
        <f t="array" ref="S1614">IFERROR(_xlfn.SWITCH(L1614,1,_xlfn.XLOOKUP(O1614,[1]AttributeName!$B:$B,[1]AttributeName!$D:$D),2,_xlfn.XLOOKUP(C1614,#REF!,#REF!),3,_xlfn.XLOOKUP(C1614,#REF!,#REF!)),0)</f>
        <v>2</v>
      </c>
      <c r="T1614" cm="1">
        <f t="array" ref="T1614">IFERROR(_xlfn.SWITCH(L1614,1,_xlfn.XLOOKUP(O1614,[1]AttributeName!$B:$B,[1]AttributeName!$E:$E),2,_xlfn.XLOOKUP(C1614,#REF!,#REF!),3,_xlfn.XLOOKUP(C1614,#REF!,#REF!)),0)</f>
        <v>2</v>
      </c>
    </row>
    <row r="1615" customFormat="1" spans="1:20">
      <c r="A1615">
        <f t="shared" si="68"/>
        <v>661</v>
      </c>
      <c r="B1615">
        <v>8</v>
      </c>
      <c r="C1615" t="s">
        <v>404</v>
      </c>
      <c r="D1615" t="s">
        <v>29</v>
      </c>
      <c r="E1615" t="s">
        <v>392</v>
      </c>
      <c r="F1615"/>
      <c r="G1615">
        <v>2</v>
      </c>
      <c r="H1615">
        <v>500</v>
      </c>
      <c r="I1615">
        <v>3</v>
      </c>
      <c r="J1615" cm="1">
        <f t="array" ref="J1615">_xlfn.SWITCH(B1615,1,75,2,61,3,49,4,37,5,25,6,13,7,4,8,1)</f>
        <v>1</v>
      </c>
      <c r="K1615" t="str" cm="1">
        <f t="array" ref="K1615">IFERROR(_xlfn.SWITCH(L1615,2,_xlfn.XLOOKUP(C1615,[1]ModifierDes!$B:$B,[1]ModifierDes!$C:$C),3,_xlfn.XLOOKUP(C1615,[1]StuntDes!$B:$B,[1]StuntDes!$C:$C)),"")</f>
        <v/>
      </c>
      <c r="L1615">
        <f t="shared" si="69"/>
        <v>1</v>
      </c>
      <c r="M1615" s="10" t="str">
        <f>IFERROR(_xlfn.XLOOKUP(C1615,[1]StuntDes!$B:$B,[1]StuntDes!$A:$A),"")</f>
        <v/>
      </c>
      <c r="N1615" s="10" t="str">
        <f>IFERROR(_xlfn.XLOOKUP(C1615,[1]ModifierDes!$B:$B,[1]ModifierDes!$A:$A),"")</f>
        <v/>
      </c>
      <c r="O1615" s="10">
        <f>IFERROR(_xlfn.XLOOKUP(C1615,[1]AttributeName!$C:$C,[1]AttributeName!$B:$B),"")</f>
        <v>10503</v>
      </c>
      <c r="P1615" s="10"/>
      <c r="Q1615">
        <v>0.02</v>
      </c>
      <c r="R1615">
        <v>0.0500000000000001</v>
      </c>
      <c r="S1615" cm="1">
        <f t="array" ref="S1615">IFERROR(_xlfn.SWITCH(L1615,1,_xlfn.XLOOKUP(O1615,[1]AttributeName!$B:$B,[1]AttributeName!$D:$D),2,_xlfn.XLOOKUP(C1615,#REF!,#REF!),3,_xlfn.XLOOKUP(C1615,#REF!,#REF!)),0)</f>
        <v>2</v>
      </c>
      <c r="T1615" cm="1">
        <f t="array" ref="T1615">IFERROR(_xlfn.SWITCH(L1615,1,_xlfn.XLOOKUP(O1615,[1]AttributeName!$B:$B,[1]AttributeName!$E:$E),2,_xlfn.XLOOKUP(C1615,#REF!,#REF!),3,_xlfn.XLOOKUP(C1615,#REF!,#REF!)),0)</f>
        <v>2</v>
      </c>
    </row>
    <row r="1616" customFormat="1" spans="1:20">
      <c r="A1616">
        <f t="shared" si="68"/>
        <v>662</v>
      </c>
      <c r="B1616">
        <v>1</v>
      </c>
      <c r="C1616" t="s">
        <v>405</v>
      </c>
      <c r="D1616" t="s">
        <v>29</v>
      </c>
      <c r="E1616" t="s">
        <v>392</v>
      </c>
      <c r="F1616"/>
      <c r="G1616">
        <v>2</v>
      </c>
      <c r="H1616">
        <v>50</v>
      </c>
      <c r="I1616">
        <v>3</v>
      </c>
      <c r="J1616" cm="1">
        <f t="array" ref="J1616">_xlfn.SWITCH(B1616,1,75,2,61,3,49,4,37,5,25,6,13,7,4,8,1)</f>
        <v>75</v>
      </c>
      <c r="K1616" t="str" cm="1">
        <f t="array" ref="K1616">IFERROR(_xlfn.SWITCH(L1616,2,_xlfn.XLOOKUP(C1616,[1]ModifierDes!$B:$B,[1]ModifierDes!$C:$C),3,_xlfn.XLOOKUP(C1616,[1]StuntDes!$B:$B,[1]StuntDes!$C:$C)),"")</f>
        <v/>
      </c>
      <c r="L1616">
        <f t="shared" si="69"/>
        <v>1</v>
      </c>
      <c r="M1616" s="10" t="str">
        <f>IFERROR(_xlfn.XLOOKUP(C1616,[1]StuntDes!$B:$B,[1]StuntDes!$A:$A),"")</f>
        <v/>
      </c>
      <c r="N1616" s="10" t="str">
        <f>IFERROR(_xlfn.XLOOKUP(C1616,[1]ModifierDes!$B:$B,[1]ModifierDes!$A:$A),"")</f>
        <v/>
      </c>
      <c r="O1616" s="10">
        <f>IFERROR(_xlfn.XLOOKUP(C1616,[1]AttributeName!$C:$C,[1]AttributeName!$B:$B),"")</f>
        <v>10504</v>
      </c>
      <c r="P1616" s="10"/>
      <c r="Q1616">
        <v>0.3</v>
      </c>
      <c r="R1616">
        <v>0.4</v>
      </c>
      <c r="S1616" cm="1">
        <f t="array" ref="S1616">IFERROR(_xlfn.SWITCH(L1616,1,_xlfn.XLOOKUP(O1616,[1]AttributeName!$B:$B,[1]AttributeName!$D:$D),2,_xlfn.XLOOKUP(C1616,#REF!,#REF!),3,_xlfn.XLOOKUP(C1616,#REF!,#REF!)),0)</f>
        <v>2</v>
      </c>
      <c r="T1616" cm="1">
        <f t="array" ref="T1616">IFERROR(_xlfn.SWITCH(L1616,1,_xlfn.XLOOKUP(O1616,[1]AttributeName!$B:$B,[1]AttributeName!$E:$E),2,_xlfn.XLOOKUP(C1616,#REF!,#REF!),3,_xlfn.XLOOKUP(C1616,#REF!,#REF!)),0)</f>
        <v>2</v>
      </c>
    </row>
    <row r="1617" customFormat="1" spans="1:20">
      <c r="A1617">
        <f t="shared" si="68"/>
        <v>662</v>
      </c>
      <c r="B1617">
        <v>2</v>
      </c>
      <c r="C1617" t="s">
        <v>405</v>
      </c>
      <c r="D1617" t="s">
        <v>29</v>
      </c>
      <c r="E1617" t="s">
        <v>392</v>
      </c>
      <c r="F1617"/>
      <c r="G1617">
        <v>2</v>
      </c>
      <c r="H1617">
        <v>100</v>
      </c>
      <c r="I1617">
        <v>3</v>
      </c>
      <c r="J1617" cm="1">
        <f t="array" ref="J1617">_xlfn.SWITCH(B1617,1,75,2,61,3,49,4,37,5,25,6,13,7,4,8,1)</f>
        <v>61</v>
      </c>
      <c r="K1617" t="str" cm="1">
        <f t="array" ref="K1617">IFERROR(_xlfn.SWITCH(L1617,2,_xlfn.XLOOKUP(C1617,[1]ModifierDes!$B:$B,[1]ModifierDes!$C:$C),3,_xlfn.XLOOKUP(C1617,[1]StuntDes!$B:$B,[1]StuntDes!$C:$C)),"")</f>
        <v/>
      </c>
      <c r="L1617">
        <f t="shared" si="69"/>
        <v>1</v>
      </c>
      <c r="M1617" s="10" t="str">
        <f>IFERROR(_xlfn.XLOOKUP(C1617,[1]StuntDes!$B:$B,[1]StuntDes!$A:$A),"")</f>
        <v/>
      </c>
      <c r="N1617" s="10" t="str">
        <f>IFERROR(_xlfn.XLOOKUP(C1617,[1]ModifierDes!$B:$B,[1]ModifierDes!$A:$A),"")</f>
        <v/>
      </c>
      <c r="O1617" s="10">
        <f>IFERROR(_xlfn.XLOOKUP(C1617,[1]AttributeName!$C:$C,[1]AttributeName!$B:$B),"")</f>
        <v>10504</v>
      </c>
      <c r="P1617" s="10"/>
      <c r="Q1617">
        <v>0.26</v>
      </c>
      <c r="R1617">
        <v>0.29</v>
      </c>
      <c r="S1617" cm="1">
        <f t="array" ref="S1617">IFERROR(_xlfn.SWITCH(L1617,1,_xlfn.XLOOKUP(O1617,[1]AttributeName!$B:$B,[1]AttributeName!$D:$D),2,_xlfn.XLOOKUP(C1617,#REF!,#REF!),3,_xlfn.XLOOKUP(C1617,#REF!,#REF!)),0)</f>
        <v>2</v>
      </c>
      <c r="T1617" cm="1">
        <f t="array" ref="T1617">IFERROR(_xlfn.SWITCH(L1617,1,_xlfn.XLOOKUP(O1617,[1]AttributeName!$B:$B,[1]AttributeName!$E:$E),2,_xlfn.XLOOKUP(C1617,#REF!,#REF!),3,_xlfn.XLOOKUP(C1617,#REF!,#REF!)),0)</f>
        <v>2</v>
      </c>
    </row>
    <row r="1618" customFormat="1" spans="1:20">
      <c r="A1618">
        <f t="shared" si="68"/>
        <v>662</v>
      </c>
      <c r="B1618">
        <v>3</v>
      </c>
      <c r="C1618" t="s">
        <v>405</v>
      </c>
      <c r="D1618" t="s">
        <v>29</v>
      </c>
      <c r="E1618" t="s">
        <v>392</v>
      </c>
      <c r="F1618"/>
      <c r="G1618">
        <v>2</v>
      </c>
      <c r="H1618">
        <v>250</v>
      </c>
      <c r="I1618">
        <v>3</v>
      </c>
      <c r="J1618" cm="1">
        <f t="array" ref="J1618">_xlfn.SWITCH(B1618,1,75,2,61,3,49,4,37,5,25,6,13,7,4,8,1)</f>
        <v>49</v>
      </c>
      <c r="K1618" t="str" cm="1">
        <f t="array" ref="K1618">IFERROR(_xlfn.SWITCH(L1618,2,_xlfn.XLOOKUP(C1618,[1]ModifierDes!$B:$B,[1]ModifierDes!$C:$C),3,_xlfn.XLOOKUP(C1618,[1]StuntDes!$B:$B,[1]StuntDes!$C:$C)),"")</f>
        <v/>
      </c>
      <c r="L1618">
        <f t="shared" si="69"/>
        <v>1</v>
      </c>
      <c r="M1618" s="10" t="str">
        <f>IFERROR(_xlfn.XLOOKUP(C1618,[1]StuntDes!$B:$B,[1]StuntDes!$A:$A),"")</f>
        <v/>
      </c>
      <c r="N1618" s="10" t="str">
        <f>IFERROR(_xlfn.XLOOKUP(C1618,[1]ModifierDes!$B:$B,[1]ModifierDes!$A:$A),"")</f>
        <v/>
      </c>
      <c r="O1618" s="10">
        <f>IFERROR(_xlfn.XLOOKUP(C1618,[1]AttributeName!$C:$C,[1]AttributeName!$B:$B),"")</f>
        <v>10504</v>
      </c>
      <c r="P1618" s="10"/>
      <c r="Q1618">
        <v>0.22</v>
      </c>
      <c r="R1618">
        <v>0.25</v>
      </c>
      <c r="S1618" cm="1">
        <f t="array" ref="S1618">IFERROR(_xlfn.SWITCH(L1618,1,_xlfn.XLOOKUP(O1618,[1]AttributeName!$B:$B,[1]AttributeName!$D:$D),2,_xlfn.XLOOKUP(C1618,#REF!,#REF!),3,_xlfn.XLOOKUP(C1618,#REF!,#REF!)),0)</f>
        <v>2</v>
      </c>
      <c r="T1618" cm="1">
        <f t="array" ref="T1618">IFERROR(_xlfn.SWITCH(L1618,1,_xlfn.XLOOKUP(O1618,[1]AttributeName!$B:$B,[1]AttributeName!$E:$E),2,_xlfn.XLOOKUP(C1618,#REF!,#REF!),3,_xlfn.XLOOKUP(C1618,#REF!,#REF!)),0)</f>
        <v>2</v>
      </c>
    </row>
    <row r="1619" customFormat="1" spans="1:20">
      <c r="A1619">
        <f t="shared" si="68"/>
        <v>662</v>
      </c>
      <c r="B1619">
        <v>4</v>
      </c>
      <c r="C1619" t="s">
        <v>405</v>
      </c>
      <c r="D1619" t="s">
        <v>29</v>
      </c>
      <c r="E1619" t="s">
        <v>392</v>
      </c>
      <c r="F1619"/>
      <c r="G1619">
        <v>2</v>
      </c>
      <c r="H1619">
        <v>500</v>
      </c>
      <c r="I1619">
        <v>3</v>
      </c>
      <c r="J1619" cm="1">
        <f t="array" ref="J1619">_xlfn.SWITCH(B1619,1,75,2,61,3,49,4,37,5,25,6,13,7,4,8,1)</f>
        <v>37</v>
      </c>
      <c r="K1619" t="str" cm="1">
        <f t="array" ref="K1619">IFERROR(_xlfn.SWITCH(L1619,2,_xlfn.XLOOKUP(C1619,[1]ModifierDes!$B:$B,[1]ModifierDes!$C:$C),3,_xlfn.XLOOKUP(C1619,[1]StuntDes!$B:$B,[1]StuntDes!$C:$C)),"")</f>
        <v/>
      </c>
      <c r="L1619">
        <f t="shared" si="69"/>
        <v>1</v>
      </c>
      <c r="M1619" s="10" t="str">
        <f>IFERROR(_xlfn.XLOOKUP(C1619,[1]StuntDes!$B:$B,[1]StuntDes!$A:$A),"")</f>
        <v/>
      </c>
      <c r="N1619" s="10" t="str">
        <f>IFERROR(_xlfn.XLOOKUP(C1619,[1]ModifierDes!$B:$B,[1]ModifierDes!$A:$A),"")</f>
        <v/>
      </c>
      <c r="O1619" s="10">
        <f>IFERROR(_xlfn.XLOOKUP(C1619,[1]AttributeName!$C:$C,[1]AttributeName!$B:$B),"")</f>
        <v>10504</v>
      </c>
      <c r="P1619" s="10"/>
      <c r="Q1619">
        <v>0.18</v>
      </c>
      <c r="R1619">
        <v>0.21</v>
      </c>
      <c r="S1619" cm="1">
        <f t="array" ref="S1619">IFERROR(_xlfn.SWITCH(L1619,1,_xlfn.XLOOKUP(O1619,[1]AttributeName!$B:$B,[1]AttributeName!$D:$D),2,_xlfn.XLOOKUP(C1619,#REF!,#REF!),3,_xlfn.XLOOKUP(C1619,#REF!,#REF!)),0)</f>
        <v>2</v>
      </c>
      <c r="T1619" cm="1">
        <f t="array" ref="T1619">IFERROR(_xlfn.SWITCH(L1619,1,_xlfn.XLOOKUP(O1619,[1]AttributeName!$B:$B,[1]AttributeName!$E:$E),2,_xlfn.XLOOKUP(C1619,#REF!,#REF!),3,_xlfn.XLOOKUP(C1619,#REF!,#REF!)),0)</f>
        <v>2</v>
      </c>
    </row>
    <row r="1620" customFormat="1" spans="1:20">
      <c r="A1620">
        <f t="shared" si="68"/>
        <v>662</v>
      </c>
      <c r="B1620">
        <v>5</v>
      </c>
      <c r="C1620" t="s">
        <v>405</v>
      </c>
      <c r="D1620" t="s">
        <v>29</v>
      </c>
      <c r="E1620" t="s">
        <v>392</v>
      </c>
      <c r="F1620"/>
      <c r="G1620">
        <v>2</v>
      </c>
      <c r="H1620">
        <v>500</v>
      </c>
      <c r="I1620">
        <v>3</v>
      </c>
      <c r="J1620" cm="1">
        <f t="array" ref="J1620">_xlfn.SWITCH(B1620,1,75,2,61,3,49,4,37,5,25,6,13,7,4,8,1)</f>
        <v>25</v>
      </c>
      <c r="K1620" t="str" cm="1">
        <f t="array" ref="K1620">IFERROR(_xlfn.SWITCH(L1620,2,_xlfn.XLOOKUP(C1620,[1]ModifierDes!$B:$B,[1]ModifierDes!$C:$C),3,_xlfn.XLOOKUP(C1620,[1]StuntDes!$B:$B,[1]StuntDes!$C:$C)),"")</f>
        <v/>
      </c>
      <c r="L1620">
        <f t="shared" si="69"/>
        <v>1</v>
      </c>
      <c r="M1620" s="10" t="str">
        <f>IFERROR(_xlfn.XLOOKUP(C1620,[1]StuntDes!$B:$B,[1]StuntDes!$A:$A),"")</f>
        <v/>
      </c>
      <c r="N1620" s="10" t="str">
        <f>IFERROR(_xlfn.XLOOKUP(C1620,[1]ModifierDes!$B:$B,[1]ModifierDes!$A:$A),"")</f>
        <v/>
      </c>
      <c r="O1620" s="10">
        <f>IFERROR(_xlfn.XLOOKUP(C1620,[1]AttributeName!$C:$C,[1]AttributeName!$B:$B),"")</f>
        <v>10504</v>
      </c>
      <c r="P1620" s="10"/>
      <c r="Q1620">
        <v>0.14</v>
      </c>
      <c r="R1620">
        <v>0.17</v>
      </c>
      <c r="S1620" cm="1">
        <f t="array" ref="S1620">IFERROR(_xlfn.SWITCH(L1620,1,_xlfn.XLOOKUP(O1620,[1]AttributeName!$B:$B,[1]AttributeName!$D:$D),2,_xlfn.XLOOKUP(C1620,#REF!,#REF!),3,_xlfn.XLOOKUP(C1620,#REF!,#REF!)),0)</f>
        <v>2</v>
      </c>
      <c r="T1620" cm="1">
        <f t="array" ref="T1620">IFERROR(_xlfn.SWITCH(L1620,1,_xlfn.XLOOKUP(O1620,[1]AttributeName!$B:$B,[1]AttributeName!$E:$E),2,_xlfn.XLOOKUP(C1620,#REF!,#REF!),3,_xlfn.XLOOKUP(C1620,#REF!,#REF!)),0)</f>
        <v>2</v>
      </c>
    </row>
    <row r="1621" customFormat="1" spans="1:20">
      <c r="A1621">
        <f t="shared" si="68"/>
        <v>662</v>
      </c>
      <c r="B1621">
        <v>6</v>
      </c>
      <c r="C1621" t="s">
        <v>405</v>
      </c>
      <c r="D1621" t="s">
        <v>29</v>
      </c>
      <c r="E1621" t="s">
        <v>392</v>
      </c>
      <c r="F1621"/>
      <c r="G1621">
        <v>2</v>
      </c>
      <c r="H1621">
        <v>500</v>
      </c>
      <c r="I1621">
        <v>3</v>
      </c>
      <c r="J1621" cm="1">
        <f t="array" ref="J1621">_xlfn.SWITCH(B1621,1,75,2,61,3,49,4,37,5,25,6,13,7,4,8,1)</f>
        <v>13</v>
      </c>
      <c r="K1621" t="str" cm="1">
        <f t="array" ref="K1621">IFERROR(_xlfn.SWITCH(L1621,2,_xlfn.XLOOKUP(C1621,[1]ModifierDes!$B:$B,[1]ModifierDes!$C:$C),3,_xlfn.XLOOKUP(C1621,[1]StuntDes!$B:$B,[1]StuntDes!$C:$C)),"")</f>
        <v/>
      </c>
      <c r="L1621">
        <f t="shared" si="69"/>
        <v>1</v>
      </c>
      <c r="M1621" s="10" t="str">
        <f>IFERROR(_xlfn.XLOOKUP(C1621,[1]StuntDes!$B:$B,[1]StuntDes!$A:$A),"")</f>
        <v/>
      </c>
      <c r="N1621" s="10" t="str">
        <f>IFERROR(_xlfn.XLOOKUP(C1621,[1]ModifierDes!$B:$B,[1]ModifierDes!$A:$A),"")</f>
        <v/>
      </c>
      <c r="O1621" s="10">
        <f>IFERROR(_xlfn.XLOOKUP(C1621,[1]AttributeName!$C:$C,[1]AttributeName!$B:$B),"")</f>
        <v>10504</v>
      </c>
      <c r="P1621" s="10"/>
      <c r="Q1621">
        <v>0.1</v>
      </c>
      <c r="R1621">
        <v>0.13</v>
      </c>
      <c r="S1621" cm="1">
        <f t="array" ref="S1621">IFERROR(_xlfn.SWITCH(L1621,1,_xlfn.XLOOKUP(O1621,[1]AttributeName!$B:$B,[1]AttributeName!$D:$D),2,_xlfn.XLOOKUP(C1621,#REF!,#REF!),3,_xlfn.XLOOKUP(C1621,#REF!,#REF!)),0)</f>
        <v>2</v>
      </c>
      <c r="T1621" cm="1">
        <f t="array" ref="T1621">IFERROR(_xlfn.SWITCH(L1621,1,_xlfn.XLOOKUP(O1621,[1]AttributeName!$B:$B,[1]AttributeName!$E:$E),2,_xlfn.XLOOKUP(C1621,#REF!,#REF!),3,_xlfn.XLOOKUP(C1621,#REF!,#REF!)),0)</f>
        <v>2</v>
      </c>
    </row>
    <row r="1622" customFormat="1" spans="1:20">
      <c r="A1622">
        <f t="shared" si="68"/>
        <v>662</v>
      </c>
      <c r="B1622">
        <v>7</v>
      </c>
      <c r="C1622" t="s">
        <v>405</v>
      </c>
      <c r="D1622" t="s">
        <v>29</v>
      </c>
      <c r="E1622" t="s">
        <v>392</v>
      </c>
      <c r="F1622"/>
      <c r="G1622">
        <v>2</v>
      </c>
      <c r="H1622">
        <v>500</v>
      </c>
      <c r="I1622">
        <v>3</v>
      </c>
      <c r="J1622" cm="1">
        <f t="array" ref="J1622">_xlfn.SWITCH(B1622,1,75,2,61,3,49,4,37,5,25,6,13,7,4,8,1)</f>
        <v>4</v>
      </c>
      <c r="K1622" t="str" cm="1">
        <f t="array" ref="K1622">IFERROR(_xlfn.SWITCH(L1622,2,_xlfn.XLOOKUP(C1622,[1]ModifierDes!$B:$B,[1]ModifierDes!$C:$C),3,_xlfn.XLOOKUP(C1622,[1]StuntDes!$B:$B,[1]StuntDes!$C:$C)),"")</f>
        <v/>
      </c>
      <c r="L1622">
        <f t="shared" si="69"/>
        <v>1</v>
      </c>
      <c r="M1622" s="10" t="str">
        <f>IFERROR(_xlfn.XLOOKUP(C1622,[1]StuntDes!$B:$B,[1]StuntDes!$A:$A),"")</f>
        <v/>
      </c>
      <c r="N1622" s="10" t="str">
        <f>IFERROR(_xlfn.XLOOKUP(C1622,[1]ModifierDes!$B:$B,[1]ModifierDes!$A:$A),"")</f>
        <v/>
      </c>
      <c r="O1622" s="10">
        <f>IFERROR(_xlfn.XLOOKUP(C1622,[1]AttributeName!$C:$C,[1]AttributeName!$B:$B),"")</f>
        <v>10504</v>
      </c>
      <c r="P1622" s="10"/>
      <c r="Q1622">
        <v>0.06</v>
      </c>
      <c r="R1622">
        <v>0.0900000000000001</v>
      </c>
      <c r="S1622" cm="1">
        <f t="array" ref="S1622">IFERROR(_xlfn.SWITCH(L1622,1,_xlfn.XLOOKUP(O1622,[1]AttributeName!$B:$B,[1]AttributeName!$D:$D),2,_xlfn.XLOOKUP(C1622,#REF!,#REF!),3,_xlfn.XLOOKUP(C1622,#REF!,#REF!)),0)</f>
        <v>2</v>
      </c>
      <c r="T1622" cm="1">
        <f t="array" ref="T1622">IFERROR(_xlfn.SWITCH(L1622,1,_xlfn.XLOOKUP(O1622,[1]AttributeName!$B:$B,[1]AttributeName!$E:$E),2,_xlfn.XLOOKUP(C1622,#REF!,#REF!),3,_xlfn.XLOOKUP(C1622,#REF!,#REF!)),0)</f>
        <v>2</v>
      </c>
    </row>
    <row r="1623" customFormat="1" spans="1:20">
      <c r="A1623">
        <f t="shared" si="68"/>
        <v>662</v>
      </c>
      <c r="B1623">
        <v>8</v>
      </c>
      <c r="C1623" t="s">
        <v>405</v>
      </c>
      <c r="D1623" t="s">
        <v>29</v>
      </c>
      <c r="E1623" t="s">
        <v>392</v>
      </c>
      <c r="F1623"/>
      <c r="G1623">
        <v>2</v>
      </c>
      <c r="H1623">
        <v>500</v>
      </c>
      <c r="I1623">
        <v>3</v>
      </c>
      <c r="J1623" cm="1">
        <f t="array" ref="J1623">_xlfn.SWITCH(B1623,1,75,2,61,3,49,4,37,5,25,6,13,7,4,8,1)</f>
        <v>1</v>
      </c>
      <c r="K1623" t="str" cm="1">
        <f t="array" ref="K1623">IFERROR(_xlfn.SWITCH(L1623,2,_xlfn.XLOOKUP(C1623,[1]ModifierDes!$B:$B,[1]ModifierDes!$C:$C),3,_xlfn.XLOOKUP(C1623,[1]StuntDes!$B:$B,[1]StuntDes!$C:$C)),"")</f>
        <v/>
      </c>
      <c r="L1623">
        <f t="shared" si="69"/>
        <v>1</v>
      </c>
      <c r="M1623" s="10" t="str">
        <f>IFERROR(_xlfn.XLOOKUP(C1623,[1]StuntDes!$B:$B,[1]StuntDes!$A:$A),"")</f>
        <v/>
      </c>
      <c r="N1623" s="10" t="str">
        <f>IFERROR(_xlfn.XLOOKUP(C1623,[1]ModifierDes!$B:$B,[1]ModifierDes!$A:$A),"")</f>
        <v/>
      </c>
      <c r="O1623" s="10">
        <f>IFERROR(_xlfn.XLOOKUP(C1623,[1]AttributeName!$C:$C,[1]AttributeName!$B:$B),"")</f>
        <v>10504</v>
      </c>
      <c r="P1623" s="10"/>
      <c r="Q1623">
        <v>0.02</v>
      </c>
      <c r="R1623">
        <v>0.0500000000000001</v>
      </c>
      <c r="S1623" cm="1">
        <f t="array" ref="S1623">IFERROR(_xlfn.SWITCH(L1623,1,_xlfn.XLOOKUP(O1623,[1]AttributeName!$B:$B,[1]AttributeName!$D:$D),2,_xlfn.XLOOKUP(C1623,#REF!,#REF!),3,_xlfn.XLOOKUP(C1623,#REF!,#REF!)),0)</f>
        <v>2</v>
      </c>
      <c r="T1623" cm="1">
        <f t="array" ref="T1623">IFERROR(_xlfn.SWITCH(L1623,1,_xlfn.XLOOKUP(O1623,[1]AttributeName!$B:$B,[1]AttributeName!$E:$E),2,_xlfn.XLOOKUP(C1623,#REF!,#REF!),3,_xlfn.XLOOKUP(C1623,#REF!,#REF!)),0)</f>
        <v>2</v>
      </c>
    </row>
    <row r="1624" customFormat="1" spans="1:20">
      <c r="A1624">
        <f t="shared" si="68"/>
        <v>663</v>
      </c>
      <c r="B1624">
        <v>1</v>
      </c>
      <c r="C1624" t="s">
        <v>414</v>
      </c>
      <c r="D1624" t="s">
        <v>29</v>
      </c>
      <c r="E1624" t="s">
        <v>392</v>
      </c>
      <c r="F1624"/>
      <c r="G1624">
        <v>2</v>
      </c>
      <c r="H1624">
        <v>50</v>
      </c>
      <c r="I1624">
        <v>3</v>
      </c>
      <c r="J1624" cm="1">
        <f t="array" ref="J1624">_xlfn.SWITCH(B1624,1,75,2,61,3,49,4,37,5,25,6,13,7,4,8,1)</f>
        <v>75</v>
      </c>
      <c r="K1624" t="str" cm="1">
        <f t="array" ref="K1624">IFERROR(_xlfn.SWITCH(L1624,2,_xlfn.XLOOKUP(C1624,[1]ModifierDes!$B:$B,[1]ModifierDes!$C:$C),3,_xlfn.XLOOKUP(C1624,[1]StuntDes!$B:$B,[1]StuntDes!$C:$C)),"")</f>
        <v/>
      </c>
      <c r="L1624">
        <f t="shared" si="69"/>
        <v>1</v>
      </c>
      <c r="M1624" s="10" t="str">
        <f>IFERROR(_xlfn.XLOOKUP(C1624,[1]StuntDes!$B:$B,[1]StuntDes!$A:$A),"")</f>
        <v/>
      </c>
      <c r="N1624" s="10" t="str">
        <f>IFERROR(_xlfn.XLOOKUP(C1624,[1]ModifierDes!$B:$B,[1]ModifierDes!$A:$A),"")</f>
        <v/>
      </c>
      <c r="O1624" s="10">
        <f>IFERROR(_xlfn.XLOOKUP(C1624,[1]AttributeName!$C:$C,[1]AttributeName!$B:$B),"")</f>
        <v>10900</v>
      </c>
      <c r="P1624" s="10"/>
      <c r="Q1624">
        <v>15</v>
      </c>
      <c r="R1624">
        <v>16</v>
      </c>
      <c r="S1624" cm="1">
        <f t="array" ref="S1624">IFERROR(_xlfn.SWITCH(L1624,1,_xlfn.XLOOKUP(O1624,[1]AttributeName!$B:$B,[1]AttributeName!$D:$D),2,_xlfn.XLOOKUP(C1624,#REF!,#REF!),3,_xlfn.XLOOKUP(C1624,#REF!,#REF!)),0)</f>
        <v>0</v>
      </c>
      <c r="T1624" cm="1">
        <f t="array" ref="T1624">IFERROR(_xlfn.SWITCH(L1624,1,_xlfn.XLOOKUP(O1624,[1]AttributeName!$B:$B,[1]AttributeName!$E:$E),2,_xlfn.XLOOKUP(C1624,#REF!,#REF!),3,_xlfn.XLOOKUP(C1624,#REF!,#REF!)),0)</f>
        <v>1</v>
      </c>
    </row>
    <row r="1625" customFormat="1" spans="1:20">
      <c r="A1625">
        <f t="shared" si="68"/>
        <v>663</v>
      </c>
      <c r="B1625">
        <v>2</v>
      </c>
      <c r="C1625" t="s">
        <v>414</v>
      </c>
      <c r="D1625" t="s">
        <v>29</v>
      </c>
      <c r="E1625" t="s">
        <v>392</v>
      </c>
      <c r="F1625"/>
      <c r="G1625">
        <v>2</v>
      </c>
      <c r="H1625">
        <v>100</v>
      </c>
      <c r="I1625">
        <v>3</v>
      </c>
      <c r="J1625" cm="1">
        <f t="array" ref="J1625">_xlfn.SWITCH(B1625,1,75,2,61,3,49,4,37,5,25,6,13,7,4,8,1)</f>
        <v>61</v>
      </c>
      <c r="K1625" t="str" cm="1">
        <f t="array" ref="K1625">IFERROR(_xlfn.SWITCH(L1625,2,_xlfn.XLOOKUP(C1625,[1]ModifierDes!$B:$B,[1]ModifierDes!$C:$C),3,_xlfn.XLOOKUP(C1625,[1]StuntDes!$B:$B,[1]StuntDes!$C:$C)),"")</f>
        <v/>
      </c>
      <c r="L1625">
        <f t="shared" si="69"/>
        <v>1</v>
      </c>
      <c r="M1625" s="10" t="str">
        <f>IFERROR(_xlfn.XLOOKUP(C1625,[1]StuntDes!$B:$B,[1]StuntDes!$A:$A),"")</f>
        <v/>
      </c>
      <c r="N1625" s="10" t="str">
        <f>IFERROR(_xlfn.XLOOKUP(C1625,[1]ModifierDes!$B:$B,[1]ModifierDes!$A:$A),"")</f>
        <v/>
      </c>
      <c r="O1625" s="10">
        <f>IFERROR(_xlfn.XLOOKUP(C1625,[1]AttributeName!$C:$C,[1]AttributeName!$B:$B),"")</f>
        <v>10900</v>
      </c>
      <c r="P1625" s="10"/>
      <c r="Q1625">
        <v>13</v>
      </c>
      <c r="R1625">
        <v>14</v>
      </c>
      <c r="S1625" cm="1">
        <f t="array" ref="S1625">IFERROR(_xlfn.SWITCH(L1625,1,_xlfn.XLOOKUP(O1625,[1]AttributeName!$B:$B,[1]AttributeName!$D:$D),2,_xlfn.XLOOKUP(C1625,#REF!,#REF!),3,_xlfn.XLOOKUP(C1625,#REF!,#REF!)),0)</f>
        <v>0</v>
      </c>
      <c r="T1625" cm="1">
        <f t="array" ref="T1625">IFERROR(_xlfn.SWITCH(L1625,1,_xlfn.XLOOKUP(O1625,[1]AttributeName!$B:$B,[1]AttributeName!$E:$E),2,_xlfn.XLOOKUP(C1625,#REF!,#REF!),3,_xlfn.XLOOKUP(C1625,#REF!,#REF!)),0)</f>
        <v>1</v>
      </c>
    </row>
    <row r="1626" customFormat="1" spans="1:20">
      <c r="A1626">
        <f t="shared" si="68"/>
        <v>663</v>
      </c>
      <c r="B1626">
        <v>3</v>
      </c>
      <c r="C1626" t="s">
        <v>414</v>
      </c>
      <c r="D1626" t="s">
        <v>29</v>
      </c>
      <c r="E1626" t="s">
        <v>392</v>
      </c>
      <c r="F1626"/>
      <c r="G1626">
        <v>2</v>
      </c>
      <c r="H1626">
        <v>250</v>
      </c>
      <c r="I1626">
        <v>3</v>
      </c>
      <c r="J1626" cm="1">
        <f t="array" ref="J1626">_xlfn.SWITCH(B1626,1,75,2,61,3,49,4,37,5,25,6,13,7,4,8,1)</f>
        <v>49</v>
      </c>
      <c r="K1626" t="str" cm="1">
        <f t="array" ref="K1626">IFERROR(_xlfn.SWITCH(L1626,2,_xlfn.XLOOKUP(C1626,[1]ModifierDes!$B:$B,[1]ModifierDes!$C:$C),3,_xlfn.XLOOKUP(C1626,[1]StuntDes!$B:$B,[1]StuntDes!$C:$C)),"")</f>
        <v/>
      </c>
      <c r="L1626">
        <f t="shared" si="69"/>
        <v>1</v>
      </c>
      <c r="M1626" s="10" t="str">
        <f>IFERROR(_xlfn.XLOOKUP(C1626,[1]StuntDes!$B:$B,[1]StuntDes!$A:$A),"")</f>
        <v/>
      </c>
      <c r="N1626" s="10" t="str">
        <f>IFERROR(_xlfn.XLOOKUP(C1626,[1]ModifierDes!$B:$B,[1]ModifierDes!$A:$A),"")</f>
        <v/>
      </c>
      <c r="O1626" s="10">
        <f>IFERROR(_xlfn.XLOOKUP(C1626,[1]AttributeName!$C:$C,[1]AttributeName!$B:$B),"")</f>
        <v>10900</v>
      </c>
      <c r="P1626" s="10"/>
      <c r="Q1626">
        <v>11</v>
      </c>
      <c r="R1626">
        <v>12</v>
      </c>
      <c r="S1626" cm="1">
        <f t="array" ref="S1626">IFERROR(_xlfn.SWITCH(L1626,1,_xlfn.XLOOKUP(O1626,[1]AttributeName!$B:$B,[1]AttributeName!$D:$D),2,_xlfn.XLOOKUP(C1626,#REF!,#REF!),3,_xlfn.XLOOKUP(C1626,#REF!,#REF!)),0)</f>
        <v>0</v>
      </c>
      <c r="T1626" cm="1">
        <f t="array" ref="T1626">IFERROR(_xlfn.SWITCH(L1626,1,_xlfn.XLOOKUP(O1626,[1]AttributeName!$B:$B,[1]AttributeName!$E:$E),2,_xlfn.XLOOKUP(C1626,#REF!,#REF!),3,_xlfn.XLOOKUP(C1626,#REF!,#REF!)),0)</f>
        <v>1</v>
      </c>
    </row>
    <row r="1627" customFormat="1" spans="1:20">
      <c r="A1627">
        <f t="shared" si="68"/>
        <v>663</v>
      </c>
      <c r="B1627">
        <v>4</v>
      </c>
      <c r="C1627" t="s">
        <v>414</v>
      </c>
      <c r="D1627" t="s">
        <v>29</v>
      </c>
      <c r="E1627" t="s">
        <v>392</v>
      </c>
      <c r="F1627"/>
      <c r="G1627">
        <v>2</v>
      </c>
      <c r="H1627">
        <v>500</v>
      </c>
      <c r="I1627">
        <v>3</v>
      </c>
      <c r="J1627" cm="1">
        <f t="array" ref="J1627">_xlfn.SWITCH(B1627,1,75,2,61,3,49,4,37,5,25,6,13,7,4,8,1)</f>
        <v>37</v>
      </c>
      <c r="K1627" t="str" cm="1">
        <f t="array" ref="K1627">IFERROR(_xlfn.SWITCH(L1627,2,_xlfn.XLOOKUP(C1627,[1]ModifierDes!$B:$B,[1]ModifierDes!$C:$C),3,_xlfn.XLOOKUP(C1627,[1]StuntDes!$B:$B,[1]StuntDes!$C:$C)),"")</f>
        <v/>
      </c>
      <c r="L1627">
        <f t="shared" si="69"/>
        <v>1</v>
      </c>
      <c r="M1627" s="10" t="str">
        <f>IFERROR(_xlfn.XLOOKUP(C1627,[1]StuntDes!$B:$B,[1]StuntDes!$A:$A),"")</f>
        <v/>
      </c>
      <c r="N1627" s="10" t="str">
        <f>IFERROR(_xlfn.XLOOKUP(C1627,[1]ModifierDes!$B:$B,[1]ModifierDes!$A:$A),"")</f>
        <v/>
      </c>
      <c r="O1627" s="10">
        <f>IFERROR(_xlfn.XLOOKUP(C1627,[1]AttributeName!$C:$C,[1]AttributeName!$B:$B),"")</f>
        <v>10900</v>
      </c>
      <c r="P1627" s="10"/>
      <c r="Q1627">
        <v>9</v>
      </c>
      <c r="R1627">
        <v>10</v>
      </c>
      <c r="S1627" cm="1">
        <f t="array" ref="S1627">IFERROR(_xlfn.SWITCH(L1627,1,_xlfn.XLOOKUP(O1627,[1]AttributeName!$B:$B,[1]AttributeName!$D:$D),2,_xlfn.XLOOKUP(C1627,#REF!,#REF!),3,_xlfn.XLOOKUP(C1627,#REF!,#REF!)),0)</f>
        <v>0</v>
      </c>
      <c r="T1627" cm="1">
        <f t="array" ref="T1627">IFERROR(_xlfn.SWITCH(L1627,1,_xlfn.XLOOKUP(O1627,[1]AttributeName!$B:$B,[1]AttributeName!$E:$E),2,_xlfn.XLOOKUP(C1627,#REF!,#REF!),3,_xlfn.XLOOKUP(C1627,#REF!,#REF!)),0)</f>
        <v>1</v>
      </c>
    </row>
    <row r="1628" customFormat="1" spans="1:20">
      <c r="A1628">
        <f t="shared" si="68"/>
        <v>663</v>
      </c>
      <c r="B1628">
        <v>5</v>
      </c>
      <c r="C1628" t="s">
        <v>414</v>
      </c>
      <c r="D1628" t="s">
        <v>29</v>
      </c>
      <c r="E1628" t="s">
        <v>392</v>
      </c>
      <c r="F1628"/>
      <c r="G1628">
        <v>2</v>
      </c>
      <c r="H1628">
        <v>500</v>
      </c>
      <c r="I1628">
        <v>3</v>
      </c>
      <c r="J1628" cm="1">
        <f t="array" ref="J1628">_xlfn.SWITCH(B1628,1,75,2,61,3,49,4,37,5,25,6,13,7,4,8,1)</f>
        <v>25</v>
      </c>
      <c r="K1628" t="str" cm="1">
        <f t="array" ref="K1628">IFERROR(_xlfn.SWITCH(L1628,2,_xlfn.XLOOKUP(C1628,[1]ModifierDes!$B:$B,[1]ModifierDes!$C:$C),3,_xlfn.XLOOKUP(C1628,[1]StuntDes!$B:$B,[1]StuntDes!$C:$C)),"")</f>
        <v/>
      </c>
      <c r="L1628">
        <f t="shared" si="69"/>
        <v>1</v>
      </c>
      <c r="M1628" s="10" t="str">
        <f>IFERROR(_xlfn.XLOOKUP(C1628,[1]StuntDes!$B:$B,[1]StuntDes!$A:$A),"")</f>
        <v/>
      </c>
      <c r="N1628" s="10" t="str">
        <f>IFERROR(_xlfn.XLOOKUP(C1628,[1]ModifierDes!$B:$B,[1]ModifierDes!$A:$A),"")</f>
        <v/>
      </c>
      <c r="O1628" s="10">
        <f>IFERROR(_xlfn.XLOOKUP(C1628,[1]AttributeName!$C:$C,[1]AttributeName!$B:$B),"")</f>
        <v>10900</v>
      </c>
      <c r="P1628" s="10"/>
      <c r="Q1628">
        <v>7</v>
      </c>
      <c r="R1628">
        <v>8</v>
      </c>
      <c r="S1628" cm="1">
        <f t="array" ref="S1628">IFERROR(_xlfn.SWITCH(L1628,1,_xlfn.XLOOKUP(O1628,[1]AttributeName!$B:$B,[1]AttributeName!$D:$D),2,_xlfn.XLOOKUP(C1628,#REF!,#REF!),3,_xlfn.XLOOKUP(C1628,#REF!,#REF!)),0)</f>
        <v>0</v>
      </c>
      <c r="T1628" cm="1">
        <f t="array" ref="T1628">IFERROR(_xlfn.SWITCH(L1628,1,_xlfn.XLOOKUP(O1628,[1]AttributeName!$B:$B,[1]AttributeName!$E:$E),2,_xlfn.XLOOKUP(C1628,#REF!,#REF!),3,_xlfn.XLOOKUP(C1628,#REF!,#REF!)),0)</f>
        <v>1</v>
      </c>
    </row>
    <row r="1629" customFormat="1" spans="1:20">
      <c r="A1629">
        <f t="shared" si="68"/>
        <v>663</v>
      </c>
      <c r="B1629">
        <v>6</v>
      </c>
      <c r="C1629" t="s">
        <v>414</v>
      </c>
      <c r="D1629" t="s">
        <v>29</v>
      </c>
      <c r="E1629" t="s">
        <v>392</v>
      </c>
      <c r="F1629"/>
      <c r="G1629">
        <v>2</v>
      </c>
      <c r="H1629">
        <v>500</v>
      </c>
      <c r="I1629">
        <v>3</v>
      </c>
      <c r="J1629" cm="1">
        <f t="array" ref="J1629">_xlfn.SWITCH(B1629,1,75,2,61,3,49,4,37,5,25,6,13,7,4,8,1)</f>
        <v>13</v>
      </c>
      <c r="K1629" t="str" cm="1">
        <f t="array" ref="K1629">IFERROR(_xlfn.SWITCH(L1629,2,_xlfn.XLOOKUP(C1629,[1]ModifierDes!$B:$B,[1]ModifierDes!$C:$C),3,_xlfn.XLOOKUP(C1629,[1]StuntDes!$B:$B,[1]StuntDes!$C:$C)),"")</f>
        <v/>
      </c>
      <c r="L1629">
        <f t="shared" si="69"/>
        <v>1</v>
      </c>
      <c r="M1629" s="10" t="str">
        <f>IFERROR(_xlfn.XLOOKUP(C1629,[1]StuntDes!$B:$B,[1]StuntDes!$A:$A),"")</f>
        <v/>
      </c>
      <c r="N1629" s="10" t="str">
        <f>IFERROR(_xlfn.XLOOKUP(C1629,[1]ModifierDes!$B:$B,[1]ModifierDes!$A:$A),"")</f>
        <v/>
      </c>
      <c r="O1629" s="10">
        <f>IFERROR(_xlfn.XLOOKUP(C1629,[1]AttributeName!$C:$C,[1]AttributeName!$B:$B),"")</f>
        <v>10900</v>
      </c>
      <c r="P1629" s="10"/>
      <c r="Q1629">
        <v>5</v>
      </c>
      <c r="R1629">
        <v>6</v>
      </c>
      <c r="S1629" cm="1">
        <f t="array" ref="S1629">IFERROR(_xlfn.SWITCH(L1629,1,_xlfn.XLOOKUP(O1629,[1]AttributeName!$B:$B,[1]AttributeName!$D:$D),2,_xlfn.XLOOKUP(C1629,#REF!,#REF!),3,_xlfn.XLOOKUP(C1629,#REF!,#REF!)),0)</f>
        <v>0</v>
      </c>
      <c r="T1629" cm="1">
        <f t="array" ref="T1629">IFERROR(_xlfn.SWITCH(L1629,1,_xlfn.XLOOKUP(O1629,[1]AttributeName!$B:$B,[1]AttributeName!$E:$E),2,_xlfn.XLOOKUP(C1629,#REF!,#REF!),3,_xlfn.XLOOKUP(C1629,#REF!,#REF!)),0)</f>
        <v>1</v>
      </c>
    </row>
    <row r="1630" customFormat="1" spans="1:20">
      <c r="A1630">
        <f t="shared" si="68"/>
        <v>663</v>
      </c>
      <c r="B1630">
        <v>7</v>
      </c>
      <c r="C1630" t="s">
        <v>414</v>
      </c>
      <c r="D1630" t="s">
        <v>29</v>
      </c>
      <c r="E1630" t="s">
        <v>392</v>
      </c>
      <c r="F1630"/>
      <c r="G1630">
        <v>2</v>
      </c>
      <c r="H1630">
        <v>500</v>
      </c>
      <c r="I1630">
        <v>3</v>
      </c>
      <c r="J1630" cm="1">
        <f t="array" ref="J1630">_xlfn.SWITCH(B1630,1,75,2,61,3,49,4,37,5,25,6,13,7,4,8,1)</f>
        <v>4</v>
      </c>
      <c r="K1630" t="str" cm="1">
        <f t="array" ref="K1630">IFERROR(_xlfn.SWITCH(L1630,2,_xlfn.XLOOKUP(C1630,[1]ModifierDes!$B:$B,[1]ModifierDes!$C:$C),3,_xlfn.XLOOKUP(C1630,[1]StuntDes!$B:$B,[1]StuntDes!$C:$C)),"")</f>
        <v/>
      </c>
      <c r="L1630">
        <f t="shared" si="69"/>
        <v>1</v>
      </c>
      <c r="M1630" s="10" t="str">
        <f>IFERROR(_xlfn.XLOOKUP(C1630,[1]StuntDes!$B:$B,[1]StuntDes!$A:$A),"")</f>
        <v/>
      </c>
      <c r="N1630" s="10" t="str">
        <f>IFERROR(_xlfn.XLOOKUP(C1630,[1]ModifierDes!$B:$B,[1]ModifierDes!$A:$A),"")</f>
        <v/>
      </c>
      <c r="O1630" s="10">
        <f>IFERROR(_xlfn.XLOOKUP(C1630,[1]AttributeName!$C:$C,[1]AttributeName!$B:$B),"")</f>
        <v>10900</v>
      </c>
      <c r="P1630" s="10"/>
      <c r="Q1630">
        <v>3</v>
      </c>
      <c r="R1630">
        <v>4</v>
      </c>
      <c r="S1630" cm="1">
        <f t="array" ref="S1630">IFERROR(_xlfn.SWITCH(L1630,1,_xlfn.XLOOKUP(O1630,[1]AttributeName!$B:$B,[1]AttributeName!$D:$D),2,_xlfn.XLOOKUP(C1630,#REF!,#REF!),3,_xlfn.XLOOKUP(C1630,#REF!,#REF!)),0)</f>
        <v>0</v>
      </c>
      <c r="T1630" cm="1">
        <f t="array" ref="T1630">IFERROR(_xlfn.SWITCH(L1630,1,_xlfn.XLOOKUP(O1630,[1]AttributeName!$B:$B,[1]AttributeName!$E:$E),2,_xlfn.XLOOKUP(C1630,#REF!,#REF!),3,_xlfn.XLOOKUP(C1630,#REF!,#REF!)),0)</f>
        <v>1</v>
      </c>
    </row>
    <row r="1631" customFormat="1" spans="1:20">
      <c r="A1631">
        <f t="shared" si="68"/>
        <v>663</v>
      </c>
      <c r="B1631">
        <v>8</v>
      </c>
      <c r="C1631" t="s">
        <v>414</v>
      </c>
      <c r="D1631" t="s">
        <v>29</v>
      </c>
      <c r="E1631" t="s">
        <v>392</v>
      </c>
      <c r="F1631"/>
      <c r="G1631">
        <v>2</v>
      </c>
      <c r="H1631">
        <v>500</v>
      </c>
      <c r="I1631">
        <v>3</v>
      </c>
      <c r="J1631" cm="1">
        <f t="array" ref="J1631">_xlfn.SWITCH(B1631,1,75,2,61,3,49,4,37,5,25,6,13,7,4,8,1)</f>
        <v>1</v>
      </c>
      <c r="K1631" t="str" cm="1">
        <f t="array" ref="K1631">IFERROR(_xlfn.SWITCH(L1631,2,_xlfn.XLOOKUP(C1631,[1]ModifierDes!$B:$B,[1]ModifierDes!$C:$C),3,_xlfn.XLOOKUP(C1631,[1]StuntDes!$B:$B,[1]StuntDes!$C:$C)),"")</f>
        <v/>
      </c>
      <c r="L1631">
        <f t="shared" si="69"/>
        <v>1</v>
      </c>
      <c r="M1631" s="10" t="str">
        <f>IFERROR(_xlfn.XLOOKUP(C1631,[1]StuntDes!$B:$B,[1]StuntDes!$A:$A),"")</f>
        <v/>
      </c>
      <c r="N1631" s="10" t="str">
        <f>IFERROR(_xlfn.XLOOKUP(C1631,[1]ModifierDes!$B:$B,[1]ModifierDes!$A:$A),"")</f>
        <v/>
      </c>
      <c r="O1631" s="10">
        <f>IFERROR(_xlfn.XLOOKUP(C1631,[1]AttributeName!$C:$C,[1]AttributeName!$B:$B),"")</f>
        <v>10900</v>
      </c>
      <c r="P1631" s="10"/>
      <c r="Q1631">
        <v>1</v>
      </c>
      <c r="R1631">
        <v>2</v>
      </c>
      <c r="S1631" cm="1">
        <f t="array" ref="S1631">IFERROR(_xlfn.SWITCH(L1631,1,_xlfn.XLOOKUP(O1631,[1]AttributeName!$B:$B,[1]AttributeName!$D:$D),2,_xlfn.XLOOKUP(C1631,#REF!,#REF!),3,_xlfn.XLOOKUP(C1631,#REF!,#REF!)),0)</f>
        <v>0</v>
      </c>
      <c r="T1631" cm="1">
        <f t="array" ref="T1631">IFERROR(_xlfn.SWITCH(L1631,1,_xlfn.XLOOKUP(O1631,[1]AttributeName!$B:$B,[1]AttributeName!$E:$E),2,_xlfn.XLOOKUP(C1631,#REF!,#REF!),3,_xlfn.XLOOKUP(C1631,#REF!,#REF!)),0)</f>
        <v>1</v>
      </c>
    </row>
    <row r="1632" customFormat="1" spans="1:20">
      <c r="A1632">
        <f t="shared" si="68"/>
        <v>664</v>
      </c>
      <c r="B1632">
        <v>1</v>
      </c>
      <c r="C1632" t="s">
        <v>427</v>
      </c>
      <c r="D1632" t="s">
        <v>29</v>
      </c>
      <c r="E1632" t="s">
        <v>392</v>
      </c>
      <c r="F1632"/>
      <c r="G1632">
        <v>2</v>
      </c>
      <c r="H1632">
        <v>50</v>
      </c>
      <c r="I1632">
        <v>3</v>
      </c>
      <c r="J1632" cm="1">
        <f t="array" ref="J1632">_xlfn.SWITCH(B1632,1,75,2,61,3,49,4,37,5,25,6,13,7,4,8,1)</f>
        <v>75</v>
      </c>
      <c r="K1632" t="str" cm="1">
        <f t="array" ref="K1632">IFERROR(_xlfn.SWITCH(L1632,2,_xlfn.XLOOKUP(C1632,[1]ModifierDes!$B:$B,[1]ModifierDes!$C:$C),3,_xlfn.XLOOKUP(C1632,[1]StuntDes!$B:$B,[1]StuntDes!$C:$C)),"")</f>
        <v/>
      </c>
      <c r="L1632">
        <f t="shared" si="69"/>
        <v>1</v>
      </c>
      <c r="M1632" s="10" t="str">
        <f>IFERROR(_xlfn.XLOOKUP(C1632,[1]StuntDes!$B:$B,[1]StuntDes!$A:$A),"")</f>
        <v/>
      </c>
      <c r="N1632" s="10" t="str">
        <f>IFERROR(_xlfn.XLOOKUP(C1632,[1]ModifierDes!$B:$B,[1]ModifierDes!$A:$A),"")</f>
        <v/>
      </c>
      <c r="O1632" s="10">
        <f>IFERROR(_xlfn.XLOOKUP(C1632,[1]AttributeName!$C:$C,[1]AttributeName!$B:$B),"")</f>
        <v>10003</v>
      </c>
      <c r="P1632" s="10"/>
      <c r="Q1632">
        <v>8</v>
      </c>
      <c r="R1632">
        <v>10</v>
      </c>
      <c r="S1632" cm="1">
        <f t="array" ref="S1632">IFERROR(_xlfn.SWITCH(L1632,1,_xlfn.XLOOKUP(O1632,[1]AttributeName!$B:$B,[1]AttributeName!$D:$D),2,_xlfn.XLOOKUP(C1632,#REF!,#REF!),3,_xlfn.XLOOKUP(C1632,#REF!,#REF!)),0)</f>
        <v>0</v>
      </c>
      <c r="T1632" cm="1">
        <f t="array" ref="T1632">IFERROR(_xlfn.SWITCH(L1632,1,_xlfn.XLOOKUP(O1632,[1]AttributeName!$B:$B,[1]AttributeName!$E:$E),2,_xlfn.XLOOKUP(C1632,#REF!,#REF!),3,_xlfn.XLOOKUP(C1632,#REF!,#REF!)),0)</f>
        <v>1</v>
      </c>
    </row>
    <row r="1633" customFormat="1" spans="1:20">
      <c r="A1633">
        <f t="shared" si="68"/>
        <v>664</v>
      </c>
      <c r="B1633">
        <v>2</v>
      </c>
      <c r="C1633" t="s">
        <v>427</v>
      </c>
      <c r="D1633" t="s">
        <v>29</v>
      </c>
      <c r="E1633" t="s">
        <v>392</v>
      </c>
      <c r="F1633"/>
      <c r="G1633">
        <v>2</v>
      </c>
      <c r="H1633">
        <v>100</v>
      </c>
      <c r="I1633">
        <v>3</v>
      </c>
      <c r="J1633" cm="1">
        <f t="array" ref="J1633">_xlfn.SWITCH(B1633,1,75,2,61,3,49,4,37,5,25,6,13,7,4,8,1)</f>
        <v>61</v>
      </c>
      <c r="K1633" t="str" cm="1">
        <f t="array" ref="K1633">IFERROR(_xlfn.SWITCH(L1633,2,_xlfn.XLOOKUP(C1633,[1]ModifierDes!$B:$B,[1]ModifierDes!$C:$C),3,_xlfn.XLOOKUP(C1633,[1]StuntDes!$B:$B,[1]StuntDes!$C:$C)),"")</f>
        <v/>
      </c>
      <c r="L1633">
        <f t="shared" si="69"/>
        <v>1</v>
      </c>
      <c r="M1633" s="10" t="str">
        <f>IFERROR(_xlfn.XLOOKUP(C1633,[1]StuntDes!$B:$B,[1]StuntDes!$A:$A),"")</f>
        <v/>
      </c>
      <c r="N1633" s="10" t="str">
        <f>IFERROR(_xlfn.XLOOKUP(C1633,[1]ModifierDes!$B:$B,[1]ModifierDes!$A:$A),"")</f>
        <v/>
      </c>
      <c r="O1633" s="10">
        <f>IFERROR(_xlfn.XLOOKUP(C1633,[1]AttributeName!$C:$C,[1]AttributeName!$B:$B),"")</f>
        <v>10003</v>
      </c>
      <c r="P1633" s="10"/>
      <c r="Q1633">
        <v>7</v>
      </c>
      <c r="R1633">
        <v>7</v>
      </c>
      <c r="S1633" cm="1">
        <f t="array" ref="S1633">IFERROR(_xlfn.SWITCH(L1633,1,_xlfn.XLOOKUP(O1633,[1]AttributeName!$B:$B,[1]AttributeName!$D:$D),2,_xlfn.XLOOKUP(C1633,#REF!,#REF!),3,_xlfn.XLOOKUP(C1633,#REF!,#REF!)),0)</f>
        <v>0</v>
      </c>
      <c r="T1633" cm="1">
        <f t="array" ref="T1633">IFERROR(_xlfn.SWITCH(L1633,1,_xlfn.XLOOKUP(O1633,[1]AttributeName!$B:$B,[1]AttributeName!$E:$E),2,_xlfn.XLOOKUP(C1633,#REF!,#REF!),3,_xlfn.XLOOKUP(C1633,#REF!,#REF!)),0)</f>
        <v>1</v>
      </c>
    </row>
    <row r="1634" customFormat="1" spans="1:20">
      <c r="A1634">
        <f t="shared" si="68"/>
        <v>664</v>
      </c>
      <c r="B1634">
        <v>3</v>
      </c>
      <c r="C1634" t="s">
        <v>427</v>
      </c>
      <c r="D1634" t="s">
        <v>29</v>
      </c>
      <c r="E1634" t="s">
        <v>392</v>
      </c>
      <c r="F1634"/>
      <c r="G1634">
        <v>2</v>
      </c>
      <c r="H1634">
        <v>250</v>
      </c>
      <c r="I1634">
        <v>3</v>
      </c>
      <c r="J1634" cm="1">
        <f t="array" ref="J1634">_xlfn.SWITCH(B1634,1,75,2,61,3,49,4,37,5,25,6,13,7,4,8,1)</f>
        <v>49</v>
      </c>
      <c r="K1634" t="str" cm="1">
        <f t="array" ref="K1634">IFERROR(_xlfn.SWITCH(L1634,2,_xlfn.XLOOKUP(C1634,[1]ModifierDes!$B:$B,[1]ModifierDes!$C:$C),3,_xlfn.XLOOKUP(C1634,[1]StuntDes!$B:$B,[1]StuntDes!$C:$C)),"")</f>
        <v/>
      </c>
      <c r="L1634">
        <f t="shared" si="69"/>
        <v>1</v>
      </c>
      <c r="M1634" s="10" t="str">
        <f>IFERROR(_xlfn.XLOOKUP(C1634,[1]StuntDes!$B:$B,[1]StuntDes!$A:$A),"")</f>
        <v/>
      </c>
      <c r="N1634" s="10" t="str">
        <f>IFERROR(_xlfn.XLOOKUP(C1634,[1]ModifierDes!$B:$B,[1]ModifierDes!$A:$A),"")</f>
        <v/>
      </c>
      <c r="O1634" s="10">
        <f>IFERROR(_xlfn.XLOOKUP(C1634,[1]AttributeName!$C:$C,[1]AttributeName!$B:$B),"")</f>
        <v>10003</v>
      </c>
      <c r="P1634" s="10"/>
      <c r="Q1634">
        <v>6</v>
      </c>
      <c r="R1634">
        <v>6</v>
      </c>
      <c r="S1634" cm="1">
        <f t="array" ref="S1634">IFERROR(_xlfn.SWITCH(L1634,1,_xlfn.XLOOKUP(O1634,[1]AttributeName!$B:$B,[1]AttributeName!$D:$D),2,_xlfn.XLOOKUP(C1634,#REF!,#REF!),3,_xlfn.XLOOKUP(C1634,#REF!,#REF!)),0)</f>
        <v>0</v>
      </c>
      <c r="T1634" cm="1">
        <f t="array" ref="T1634">IFERROR(_xlfn.SWITCH(L1634,1,_xlfn.XLOOKUP(O1634,[1]AttributeName!$B:$B,[1]AttributeName!$E:$E),2,_xlfn.XLOOKUP(C1634,#REF!,#REF!),3,_xlfn.XLOOKUP(C1634,#REF!,#REF!)),0)</f>
        <v>1</v>
      </c>
    </row>
    <row r="1635" customFormat="1" spans="1:20">
      <c r="A1635">
        <f t="shared" si="68"/>
        <v>664</v>
      </c>
      <c r="B1635">
        <v>4</v>
      </c>
      <c r="C1635" t="s">
        <v>427</v>
      </c>
      <c r="D1635" t="s">
        <v>29</v>
      </c>
      <c r="E1635" t="s">
        <v>392</v>
      </c>
      <c r="F1635"/>
      <c r="G1635">
        <v>2</v>
      </c>
      <c r="H1635">
        <v>500</v>
      </c>
      <c r="I1635">
        <v>3</v>
      </c>
      <c r="J1635" cm="1">
        <f t="array" ref="J1635">_xlfn.SWITCH(B1635,1,75,2,61,3,49,4,37,5,25,6,13,7,4,8,1)</f>
        <v>37</v>
      </c>
      <c r="K1635" t="str" cm="1">
        <f t="array" ref="K1635">IFERROR(_xlfn.SWITCH(L1635,2,_xlfn.XLOOKUP(C1635,[1]ModifierDes!$B:$B,[1]ModifierDes!$C:$C),3,_xlfn.XLOOKUP(C1635,[1]StuntDes!$B:$B,[1]StuntDes!$C:$C)),"")</f>
        <v/>
      </c>
      <c r="L1635">
        <f t="shared" si="69"/>
        <v>1</v>
      </c>
      <c r="M1635" s="10" t="str">
        <f>IFERROR(_xlfn.XLOOKUP(C1635,[1]StuntDes!$B:$B,[1]StuntDes!$A:$A),"")</f>
        <v/>
      </c>
      <c r="N1635" s="10" t="str">
        <f>IFERROR(_xlfn.XLOOKUP(C1635,[1]ModifierDes!$B:$B,[1]ModifierDes!$A:$A),"")</f>
        <v/>
      </c>
      <c r="O1635" s="10">
        <f>IFERROR(_xlfn.XLOOKUP(C1635,[1]AttributeName!$C:$C,[1]AttributeName!$B:$B),"")</f>
        <v>10003</v>
      </c>
      <c r="P1635" s="10"/>
      <c r="Q1635">
        <v>5</v>
      </c>
      <c r="R1635">
        <v>5</v>
      </c>
      <c r="S1635" cm="1">
        <f t="array" ref="S1635">IFERROR(_xlfn.SWITCH(L1635,1,_xlfn.XLOOKUP(O1635,[1]AttributeName!$B:$B,[1]AttributeName!$D:$D),2,_xlfn.XLOOKUP(C1635,#REF!,#REF!),3,_xlfn.XLOOKUP(C1635,#REF!,#REF!)),0)</f>
        <v>0</v>
      </c>
      <c r="T1635" cm="1">
        <f t="array" ref="T1635">IFERROR(_xlfn.SWITCH(L1635,1,_xlfn.XLOOKUP(O1635,[1]AttributeName!$B:$B,[1]AttributeName!$E:$E),2,_xlfn.XLOOKUP(C1635,#REF!,#REF!),3,_xlfn.XLOOKUP(C1635,#REF!,#REF!)),0)</f>
        <v>1</v>
      </c>
    </row>
    <row r="1636" customFormat="1" spans="1:20">
      <c r="A1636">
        <f t="shared" si="68"/>
        <v>664</v>
      </c>
      <c r="B1636">
        <v>5</v>
      </c>
      <c r="C1636" t="s">
        <v>427</v>
      </c>
      <c r="D1636" t="s">
        <v>29</v>
      </c>
      <c r="E1636" t="s">
        <v>392</v>
      </c>
      <c r="F1636"/>
      <c r="G1636">
        <v>2</v>
      </c>
      <c r="H1636">
        <v>500</v>
      </c>
      <c r="I1636">
        <v>3</v>
      </c>
      <c r="J1636" cm="1">
        <f t="array" ref="J1636">_xlfn.SWITCH(B1636,1,75,2,61,3,49,4,37,5,25,6,13,7,4,8,1)</f>
        <v>25</v>
      </c>
      <c r="K1636" t="str" cm="1">
        <f t="array" ref="K1636">IFERROR(_xlfn.SWITCH(L1636,2,_xlfn.XLOOKUP(C1636,[1]ModifierDes!$B:$B,[1]ModifierDes!$C:$C),3,_xlfn.XLOOKUP(C1636,[1]StuntDes!$B:$B,[1]StuntDes!$C:$C)),"")</f>
        <v/>
      </c>
      <c r="L1636">
        <f t="shared" si="69"/>
        <v>1</v>
      </c>
      <c r="M1636" s="10" t="str">
        <f>IFERROR(_xlfn.XLOOKUP(C1636,[1]StuntDes!$B:$B,[1]StuntDes!$A:$A),"")</f>
        <v/>
      </c>
      <c r="N1636" s="10" t="str">
        <f>IFERROR(_xlfn.XLOOKUP(C1636,[1]ModifierDes!$B:$B,[1]ModifierDes!$A:$A),"")</f>
        <v/>
      </c>
      <c r="O1636" s="10">
        <f>IFERROR(_xlfn.XLOOKUP(C1636,[1]AttributeName!$C:$C,[1]AttributeName!$B:$B),"")</f>
        <v>10003</v>
      </c>
      <c r="P1636" s="10"/>
      <c r="Q1636">
        <v>4</v>
      </c>
      <c r="R1636">
        <v>4</v>
      </c>
      <c r="S1636" cm="1">
        <f t="array" ref="S1636">IFERROR(_xlfn.SWITCH(L1636,1,_xlfn.XLOOKUP(O1636,[1]AttributeName!$B:$B,[1]AttributeName!$D:$D),2,_xlfn.XLOOKUP(C1636,#REF!,#REF!),3,_xlfn.XLOOKUP(C1636,#REF!,#REF!)),0)</f>
        <v>0</v>
      </c>
      <c r="T1636" cm="1">
        <f t="array" ref="T1636">IFERROR(_xlfn.SWITCH(L1636,1,_xlfn.XLOOKUP(O1636,[1]AttributeName!$B:$B,[1]AttributeName!$E:$E),2,_xlfn.XLOOKUP(C1636,#REF!,#REF!),3,_xlfn.XLOOKUP(C1636,#REF!,#REF!)),0)</f>
        <v>1</v>
      </c>
    </row>
    <row r="1637" customFormat="1" spans="1:20">
      <c r="A1637">
        <f t="shared" si="68"/>
        <v>664</v>
      </c>
      <c r="B1637">
        <v>6</v>
      </c>
      <c r="C1637" t="s">
        <v>427</v>
      </c>
      <c r="D1637" t="s">
        <v>29</v>
      </c>
      <c r="E1637" t="s">
        <v>392</v>
      </c>
      <c r="F1637"/>
      <c r="G1637">
        <v>2</v>
      </c>
      <c r="H1637">
        <v>500</v>
      </c>
      <c r="I1637">
        <v>3</v>
      </c>
      <c r="J1637" cm="1">
        <f t="array" ref="J1637">_xlfn.SWITCH(B1637,1,75,2,61,3,49,4,37,5,25,6,13,7,4,8,1)</f>
        <v>13</v>
      </c>
      <c r="K1637" t="str" cm="1">
        <f t="array" ref="K1637">IFERROR(_xlfn.SWITCH(L1637,2,_xlfn.XLOOKUP(C1637,[1]ModifierDes!$B:$B,[1]ModifierDes!$C:$C),3,_xlfn.XLOOKUP(C1637,[1]StuntDes!$B:$B,[1]StuntDes!$C:$C)),"")</f>
        <v/>
      </c>
      <c r="L1637">
        <f t="shared" si="69"/>
        <v>1</v>
      </c>
      <c r="M1637" s="10" t="str">
        <f>IFERROR(_xlfn.XLOOKUP(C1637,[1]StuntDes!$B:$B,[1]StuntDes!$A:$A),"")</f>
        <v/>
      </c>
      <c r="N1637" s="10" t="str">
        <f>IFERROR(_xlfn.XLOOKUP(C1637,[1]ModifierDes!$B:$B,[1]ModifierDes!$A:$A),"")</f>
        <v/>
      </c>
      <c r="O1637" s="10">
        <f>IFERROR(_xlfn.XLOOKUP(C1637,[1]AttributeName!$C:$C,[1]AttributeName!$B:$B),"")</f>
        <v>10003</v>
      </c>
      <c r="P1637" s="10"/>
      <c r="Q1637">
        <v>3</v>
      </c>
      <c r="R1637">
        <v>3</v>
      </c>
      <c r="S1637" cm="1">
        <f t="array" ref="S1637">IFERROR(_xlfn.SWITCH(L1637,1,_xlfn.XLOOKUP(O1637,[1]AttributeName!$B:$B,[1]AttributeName!$D:$D),2,_xlfn.XLOOKUP(C1637,#REF!,#REF!),3,_xlfn.XLOOKUP(C1637,#REF!,#REF!)),0)</f>
        <v>0</v>
      </c>
      <c r="T1637" cm="1">
        <f t="array" ref="T1637">IFERROR(_xlfn.SWITCH(L1637,1,_xlfn.XLOOKUP(O1637,[1]AttributeName!$B:$B,[1]AttributeName!$E:$E),2,_xlfn.XLOOKUP(C1637,#REF!,#REF!),3,_xlfn.XLOOKUP(C1637,#REF!,#REF!)),0)</f>
        <v>1</v>
      </c>
    </row>
    <row r="1638" customFormat="1" spans="1:20">
      <c r="A1638">
        <f t="shared" si="68"/>
        <v>664</v>
      </c>
      <c r="B1638">
        <v>7</v>
      </c>
      <c r="C1638" t="s">
        <v>427</v>
      </c>
      <c r="D1638" t="s">
        <v>29</v>
      </c>
      <c r="E1638" t="s">
        <v>392</v>
      </c>
      <c r="F1638"/>
      <c r="G1638">
        <v>2</v>
      </c>
      <c r="H1638">
        <v>500</v>
      </c>
      <c r="I1638">
        <v>3</v>
      </c>
      <c r="J1638" cm="1">
        <f t="array" ref="J1638">_xlfn.SWITCH(B1638,1,75,2,61,3,49,4,37,5,25,6,13,7,4,8,1)</f>
        <v>4</v>
      </c>
      <c r="K1638" t="str" cm="1">
        <f t="array" ref="K1638">IFERROR(_xlfn.SWITCH(L1638,2,_xlfn.XLOOKUP(C1638,[1]ModifierDes!$B:$B,[1]ModifierDes!$C:$C),3,_xlfn.XLOOKUP(C1638,[1]StuntDes!$B:$B,[1]StuntDes!$C:$C)),"")</f>
        <v/>
      </c>
      <c r="L1638">
        <f t="shared" si="69"/>
        <v>1</v>
      </c>
      <c r="M1638" s="10" t="str">
        <f>IFERROR(_xlfn.XLOOKUP(C1638,[1]StuntDes!$B:$B,[1]StuntDes!$A:$A),"")</f>
        <v/>
      </c>
      <c r="N1638" s="10" t="str">
        <f>IFERROR(_xlfn.XLOOKUP(C1638,[1]ModifierDes!$B:$B,[1]ModifierDes!$A:$A),"")</f>
        <v/>
      </c>
      <c r="O1638" s="10">
        <f>IFERROR(_xlfn.XLOOKUP(C1638,[1]AttributeName!$C:$C,[1]AttributeName!$B:$B),"")</f>
        <v>10003</v>
      </c>
      <c r="P1638" s="10"/>
      <c r="Q1638">
        <v>2</v>
      </c>
      <c r="R1638">
        <v>2</v>
      </c>
      <c r="S1638" cm="1">
        <f t="array" ref="S1638">IFERROR(_xlfn.SWITCH(L1638,1,_xlfn.XLOOKUP(O1638,[1]AttributeName!$B:$B,[1]AttributeName!$D:$D),2,_xlfn.XLOOKUP(C1638,#REF!,#REF!),3,_xlfn.XLOOKUP(C1638,#REF!,#REF!)),0)</f>
        <v>0</v>
      </c>
      <c r="T1638" cm="1">
        <f t="array" ref="T1638">IFERROR(_xlfn.SWITCH(L1638,1,_xlfn.XLOOKUP(O1638,[1]AttributeName!$B:$B,[1]AttributeName!$E:$E),2,_xlfn.XLOOKUP(C1638,#REF!,#REF!),3,_xlfn.XLOOKUP(C1638,#REF!,#REF!)),0)</f>
        <v>1</v>
      </c>
    </row>
    <row r="1639" customFormat="1" spans="1:20">
      <c r="A1639">
        <f t="shared" si="68"/>
        <v>664</v>
      </c>
      <c r="B1639">
        <v>8</v>
      </c>
      <c r="C1639" t="s">
        <v>427</v>
      </c>
      <c r="D1639" t="s">
        <v>29</v>
      </c>
      <c r="E1639" t="s">
        <v>392</v>
      </c>
      <c r="F1639"/>
      <c r="G1639">
        <v>2</v>
      </c>
      <c r="H1639">
        <v>500</v>
      </c>
      <c r="I1639">
        <v>3</v>
      </c>
      <c r="J1639" cm="1">
        <f t="array" ref="J1639">_xlfn.SWITCH(B1639,1,75,2,61,3,49,4,37,5,25,6,13,7,4,8,1)</f>
        <v>1</v>
      </c>
      <c r="K1639" t="str" cm="1">
        <f t="array" ref="K1639">IFERROR(_xlfn.SWITCH(L1639,2,_xlfn.XLOOKUP(C1639,[1]ModifierDes!$B:$B,[1]ModifierDes!$C:$C),3,_xlfn.XLOOKUP(C1639,[1]StuntDes!$B:$B,[1]StuntDes!$C:$C)),"")</f>
        <v/>
      </c>
      <c r="L1639">
        <f t="shared" si="69"/>
        <v>1</v>
      </c>
      <c r="M1639" s="10" t="str">
        <f>IFERROR(_xlfn.XLOOKUP(C1639,[1]StuntDes!$B:$B,[1]StuntDes!$A:$A),"")</f>
        <v/>
      </c>
      <c r="N1639" s="10" t="str">
        <f>IFERROR(_xlfn.XLOOKUP(C1639,[1]ModifierDes!$B:$B,[1]ModifierDes!$A:$A),"")</f>
        <v/>
      </c>
      <c r="O1639" s="10">
        <f>IFERROR(_xlfn.XLOOKUP(C1639,[1]AttributeName!$C:$C,[1]AttributeName!$B:$B),"")</f>
        <v>10003</v>
      </c>
      <c r="P1639" s="10"/>
      <c r="Q1639">
        <v>1</v>
      </c>
      <c r="R1639">
        <v>1</v>
      </c>
      <c r="S1639" cm="1">
        <f t="array" ref="S1639">IFERROR(_xlfn.SWITCH(L1639,1,_xlfn.XLOOKUP(O1639,[1]AttributeName!$B:$B,[1]AttributeName!$D:$D),2,_xlfn.XLOOKUP(C1639,#REF!,#REF!),3,_xlfn.XLOOKUP(C1639,#REF!,#REF!)),0)</f>
        <v>0</v>
      </c>
      <c r="T1639" cm="1">
        <f t="array" ref="T1639">IFERROR(_xlfn.SWITCH(L1639,1,_xlfn.XLOOKUP(O1639,[1]AttributeName!$B:$B,[1]AttributeName!$E:$E),2,_xlfn.XLOOKUP(C1639,#REF!,#REF!),3,_xlfn.XLOOKUP(C1639,#REF!,#REF!)),0)</f>
        <v>1</v>
      </c>
    </row>
    <row r="1640" customFormat="1" spans="1:20">
      <c r="A1640">
        <v>701</v>
      </c>
      <c r="B1640">
        <v>1</v>
      </c>
      <c r="C1640" t="s">
        <v>389</v>
      </c>
      <c r="D1640" t="s">
        <v>30</v>
      </c>
      <c r="E1640" t="s">
        <v>378</v>
      </c>
      <c r="F1640"/>
      <c r="G1640">
        <v>1</v>
      </c>
      <c r="H1640">
        <v>1000</v>
      </c>
      <c r="J1640" cm="1">
        <f t="array" ref="J1640">_xlfn.SWITCH(B1640,1,75,2,61,3,49,4,37,5,25,6,13,7,4,8,1)</f>
        <v>75</v>
      </c>
      <c r="K1640" t="str" cm="1">
        <f t="array" ref="K1640">IFERROR(_xlfn.SWITCH(L1640,2,_xlfn.XLOOKUP(C1640,[1]ModifierDes!$B:$B,[1]ModifierDes!$C:$C),3,_xlfn.XLOOKUP(C1640,[1]StuntDes!$B:$B,[1]StuntDes!$C:$C)),"")</f>
        <v/>
      </c>
      <c r="L1640">
        <f t="shared" si="69"/>
        <v>1</v>
      </c>
      <c r="M1640" s="10" t="str">
        <f>IFERROR(_xlfn.XLOOKUP(C1640,[1]StuntDes!$B:$B,[1]StuntDes!$A:$A),"")</f>
        <v/>
      </c>
      <c r="N1640" s="10" t="str">
        <f>IFERROR(_xlfn.XLOOKUP(C1640,[1]ModifierDes!$B:$B,[1]ModifierDes!$A:$A),"")</f>
        <v/>
      </c>
      <c r="O1640" s="10">
        <f>IFERROR(_xlfn.XLOOKUP(C1640,[1]AttributeName!$C:$C,[1]AttributeName!$B:$B),"")</f>
        <v>10001</v>
      </c>
      <c r="P1640" s="10"/>
      <c r="Q1640">
        <v>950</v>
      </c>
      <c r="R1640">
        <v>1050</v>
      </c>
      <c r="S1640" cm="1">
        <f t="array" ref="S1640">IFERROR(_xlfn.SWITCH(L1640,1,_xlfn.XLOOKUP(O1640,[1]AttributeName!$B:$B,[1]AttributeName!$D:$D),2,_xlfn.XLOOKUP(C1640,#REF!,#REF!),3,_xlfn.XLOOKUP(C1640,#REF!,#REF!)),0)</f>
        <v>0</v>
      </c>
      <c r="T1640" cm="1">
        <f t="array" ref="T1640">IFERROR(_xlfn.SWITCH(L1640,1,_xlfn.XLOOKUP(O1640,[1]AttributeName!$B:$B,[1]AttributeName!$E:$E),2,_xlfn.XLOOKUP(C1640,#REF!,#REF!),3,_xlfn.XLOOKUP(C1640,#REF!,#REF!)),0)</f>
        <v>1</v>
      </c>
    </row>
    <row r="1641" customFormat="1" spans="1:20">
      <c r="A1641">
        <v>701</v>
      </c>
      <c r="B1641">
        <v>2</v>
      </c>
      <c r="C1641" t="s">
        <v>389</v>
      </c>
      <c r="D1641" t="s">
        <v>30</v>
      </c>
      <c r="E1641" t="s">
        <v>378</v>
      </c>
      <c r="F1641"/>
      <c r="G1641">
        <v>1</v>
      </c>
      <c r="H1641">
        <v>1000</v>
      </c>
      <c r="J1641" cm="1">
        <f t="array" ref="J1641">_xlfn.SWITCH(B1641,1,75,2,61,3,49,4,37,5,25,6,13,7,4,8,1)</f>
        <v>61</v>
      </c>
      <c r="K1641" t="str" cm="1">
        <f t="array" ref="K1641">IFERROR(_xlfn.SWITCH(L1641,2,_xlfn.XLOOKUP(C1641,[1]ModifierDes!$B:$B,[1]ModifierDes!$C:$C),3,_xlfn.XLOOKUP(C1641,[1]StuntDes!$B:$B,[1]StuntDes!$C:$C)),"")</f>
        <v/>
      </c>
      <c r="L1641">
        <f t="shared" si="69"/>
        <v>1</v>
      </c>
      <c r="M1641" s="10" t="str">
        <f>IFERROR(_xlfn.XLOOKUP(C1641,[1]StuntDes!$B:$B,[1]StuntDes!$A:$A),"")</f>
        <v/>
      </c>
      <c r="N1641" s="10" t="str">
        <f>IFERROR(_xlfn.XLOOKUP(C1641,[1]ModifierDes!$B:$B,[1]ModifierDes!$A:$A),"")</f>
        <v/>
      </c>
      <c r="O1641" s="10">
        <f>IFERROR(_xlfn.XLOOKUP(C1641,[1]AttributeName!$C:$C,[1]AttributeName!$B:$B),"")</f>
        <v>10001</v>
      </c>
      <c r="P1641" s="10"/>
      <c r="Q1641">
        <v>520</v>
      </c>
      <c r="R1641">
        <v>600</v>
      </c>
      <c r="S1641" cm="1">
        <f t="array" ref="S1641">IFERROR(_xlfn.SWITCH(L1641,1,_xlfn.XLOOKUP(O1641,[1]AttributeName!$B:$B,[1]AttributeName!$D:$D),2,_xlfn.XLOOKUP(C1641,#REF!,#REF!),3,_xlfn.XLOOKUP(C1641,#REF!,#REF!)),0)</f>
        <v>0</v>
      </c>
      <c r="T1641" cm="1">
        <f t="array" ref="T1641">IFERROR(_xlfn.SWITCH(L1641,1,_xlfn.XLOOKUP(O1641,[1]AttributeName!$B:$B,[1]AttributeName!$E:$E),2,_xlfn.XLOOKUP(C1641,#REF!,#REF!),3,_xlfn.XLOOKUP(C1641,#REF!,#REF!)),0)</f>
        <v>1</v>
      </c>
    </row>
    <row r="1642" customFormat="1" spans="1:20">
      <c r="A1642">
        <v>701</v>
      </c>
      <c r="B1642">
        <v>3</v>
      </c>
      <c r="C1642" t="s">
        <v>389</v>
      </c>
      <c r="D1642" t="s">
        <v>30</v>
      </c>
      <c r="E1642" t="s">
        <v>378</v>
      </c>
      <c r="F1642"/>
      <c r="G1642">
        <v>1</v>
      </c>
      <c r="H1642">
        <v>1000</v>
      </c>
      <c r="J1642" cm="1">
        <f t="array" ref="J1642">_xlfn.SWITCH(B1642,1,75,2,61,3,49,4,37,5,25,6,13,7,4,8,1)</f>
        <v>49</v>
      </c>
      <c r="K1642" t="str" cm="1">
        <f t="array" ref="K1642">IFERROR(_xlfn.SWITCH(L1642,2,_xlfn.XLOOKUP(C1642,[1]ModifierDes!$B:$B,[1]ModifierDes!$C:$C),3,_xlfn.XLOOKUP(C1642,[1]StuntDes!$B:$B,[1]StuntDes!$C:$C)),"")</f>
        <v/>
      </c>
      <c r="L1642">
        <f t="shared" si="69"/>
        <v>1</v>
      </c>
      <c r="M1642" s="10" t="str">
        <f>IFERROR(_xlfn.XLOOKUP(C1642,[1]StuntDes!$B:$B,[1]StuntDes!$A:$A),"")</f>
        <v/>
      </c>
      <c r="N1642" s="10" t="str">
        <f>IFERROR(_xlfn.XLOOKUP(C1642,[1]ModifierDes!$B:$B,[1]ModifierDes!$A:$A),"")</f>
        <v/>
      </c>
      <c r="O1642" s="10">
        <f>IFERROR(_xlfn.XLOOKUP(C1642,[1]AttributeName!$C:$C,[1]AttributeName!$B:$B),"")</f>
        <v>10001</v>
      </c>
      <c r="P1642" s="10"/>
      <c r="Q1642">
        <v>250</v>
      </c>
      <c r="R1642">
        <v>310</v>
      </c>
      <c r="S1642" cm="1">
        <f t="array" ref="S1642">IFERROR(_xlfn.SWITCH(L1642,1,_xlfn.XLOOKUP(O1642,[1]AttributeName!$B:$B,[1]AttributeName!$D:$D),2,_xlfn.XLOOKUP(C1642,#REF!,#REF!),3,_xlfn.XLOOKUP(C1642,#REF!,#REF!)),0)</f>
        <v>0</v>
      </c>
      <c r="T1642" cm="1">
        <f t="array" ref="T1642">IFERROR(_xlfn.SWITCH(L1642,1,_xlfn.XLOOKUP(O1642,[1]AttributeName!$B:$B,[1]AttributeName!$E:$E),2,_xlfn.XLOOKUP(C1642,#REF!,#REF!),3,_xlfn.XLOOKUP(C1642,#REF!,#REF!)),0)</f>
        <v>1</v>
      </c>
    </row>
    <row r="1643" customFormat="1" spans="1:20">
      <c r="A1643">
        <v>701</v>
      </c>
      <c r="B1643">
        <v>4</v>
      </c>
      <c r="C1643" t="s">
        <v>389</v>
      </c>
      <c r="D1643" t="s">
        <v>30</v>
      </c>
      <c r="E1643" t="s">
        <v>378</v>
      </c>
      <c r="F1643"/>
      <c r="G1643">
        <v>1</v>
      </c>
      <c r="H1643">
        <v>1000</v>
      </c>
      <c r="J1643" cm="1">
        <f t="array" ref="J1643">_xlfn.SWITCH(B1643,1,75,2,61,3,49,4,37,5,25,6,13,7,4,8,1)</f>
        <v>37</v>
      </c>
      <c r="K1643" t="str" cm="1">
        <f t="array" ref="K1643">IFERROR(_xlfn.SWITCH(L1643,2,_xlfn.XLOOKUP(C1643,[1]ModifierDes!$B:$B,[1]ModifierDes!$C:$C),3,_xlfn.XLOOKUP(C1643,[1]StuntDes!$B:$B,[1]StuntDes!$C:$C)),"")</f>
        <v/>
      </c>
      <c r="L1643">
        <f t="shared" si="69"/>
        <v>1</v>
      </c>
      <c r="M1643" s="10" t="str">
        <f>IFERROR(_xlfn.XLOOKUP(C1643,[1]StuntDes!$B:$B,[1]StuntDes!$A:$A),"")</f>
        <v/>
      </c>
      <c r="N1643" s="10" t="str">
        <f>IFERROR(_xlfn.XLOOKUP(C1643,[1]ModifierDes!$B:$B,[1]ModifierDes!$A:$A),"")</f>
        <v/>
      </c>
      <c r="O1643" s="10">
        <f>IFERROR(_xlfn.XLOOKUP(C1643,[1]AttributeName!$C:$C,[1]AttributeName!$B:$B),"")</f>
        <v>10001</v>
      </c>
      <c r="P1643" s="10"/>
      <c r="Q1643">
        <v>120</v>
      </c>
      <c r="R1643">
        <v>160</v>
      </c>
      <c r="S1643" cm="1">
        <f t="array" ref="S1643">IFERROR(_xlfn.SWITCH(L1643,1,_xlfn.XLOOKUP(O1643,[1]AttributeName!$B:$B,[1]AttributeName!$D:$D),2,_xlfn.XLOOKUP(C1643,#REF!,#REF!),3,_xlfn.XLOOKUP(C1643,#REF!,#REF!)),0)</f>
        <v>0</v>
      </c>
      <c r="T1643" cm="1">
        <f t="array" ref="T1643">IFERROR(_xlfn.SWITCH(L1643,1,_xlfn.XLOOKUP(O1643,[1]AttributeName!$B:$B,[1]AttributeName!$E:$E),2,_xlfn.XLOOKUP(C1643,#REF!,#REF!),3,_xlfn.XLOOKUP(C1643,#REF!,#REF!)),0)</f>
        <v>1</v>
      </c>
    </row>
    <row r="1644" customFormat="1" spans="1:20">
      <c r="A1644">
        <v>701</v>
      </c>
      <c r="B1644">
        <v>5</v>
      </c>
      <c r="C1644" t="s">
        <v>389</v>
      </c>
      <c r="D1644" t="s">
        <v>30</v>
      </c>
      <c r="E1644" t="s">
        <v>378</v>
      </c>
      <c r="F1644"/>
      <c r="G1644">
        <v>1</v>
      </c>
      <c r="H1644">
        <v>1000</v>
      </c>
      <c r="J1644" cm="1">
        <f t="array" ref="J1644">_xlfn.SWITCH(B1644,1,75,2,61,3,49,4,37,5,25,6,13,7,4,8,1)</f>
        <v>25</v>
      </c>
      <c r="K1644" t="str" cm="1">
        <f t="array" ref="K1644">IFERROR(_xlfn.SWITCH(L1644,2,_xlfn.XLOOKUP(C1644,[1]ModifierDes!$B:$B,[1]ModifierDes!$C:$C),3,_xlfn.XLOOKUP(C1644,[1]StuntDes!$B:$B,[1]StuntDes!$C:$C)),"")</f>
        <v/>
      </c>
      <c r="L1644">
        <f t="shared" si="69"/>
        <v>1</v>
      </c>
      <c r="M1644" s="10" t="str">
        <f>IFERROR(_xlfn.XLOOKUP(C1644,[1]StuntDes!$B:$B,[1]StuntDes!$A:$A),"")</f>
        <v/>
      </c>
      <c r="N1644" s="10" t="str">
        <f>IFERROR(_xlfn.XLOOKUP(C1644,[1]ModifierDes!$B:$B,[1]ModifierDes!$A:$A),"")</f>
        <v/>
      </c>
      <c r="O1644" s="10">
        <f>IFERROR(_xlfn.XLOOKUP(C1644,[1]AttributeName!$C:$C,[1]AttributeName!$B:$B),"")</f>
        <v>10001</v>
      </c>
      <c r="P1644" s="10"/>
      <c r="Q1644">
        <v>60</v>
      </c>
      <c r="R1644">
        <v>80</v>
      </c>
      <c r="S1644" cm="1">
        <f t="array" ref="S1644">IFERROR(_xlfn.SWITCH(L1644,1,_xlfn.XLOOKUP(O1644,[1]AttributeName!$B:$B,[1]AttributeName!$D:$D),2,_xlfn.XLOOKUP(C1644,#REF!,#REF!),3,_xlfn.XLOOKUP(C1644,#REF!,#REF!)),0)</f>
        <v>0</v>
      </c>
      <c r="T1644" cm="1">
        <f t="array" ref="T1644">IFERROR(_xlfn.SWITCH(L1644,1,_xlfn.XLOOKUP(O1644,[1]AttributeName!$B:$B,[1]AttributeName!$E:$E),2,_xlfn.XLOOKUP(C1644,#REF!,#REF!),3,_xlfn.XLOOKUP(C1644,#REF!,#REF!)),0)</f>
        <v>1</v>
      </c>
    </row>
    <row r="1645" customFormat="1" spans="1:20">
      <c r="A1645">
        <v>701</v>
      </c>
      <c r="B1645">
        <v>6</v>
      </c>
      <c r="C1645" t="s">
        <v>389</v>
      </c>
      <c r="D1645" t="s">
        <v>30</v>
      </c>
      <c r="E1645" t="s">
        <v>378</v>
      </c>
      <c r="F1645"/>
      <c r="G1645">
        <v>1</v>
      </c>
      <c r="H1645">
        <v>1000</v>
      </c>
      <c r="J1645" cm="1">
        <f t="array" ref="J1645">_xlfn.SWITCH(B1645,1,75,2,61,3,49,4,37,5,25,6,13,7,4,8,1)</f>
        <v>13</v>
      </c>
      <c r="K1645" t="str" cm="1">
        <f t="array" ref="K1645">IFERROR(_xlfn.SWITCH(L1645,2,_xlfn.XLOOKUP(C1645,[1]ModifierDes!$B:$B,[1]ModifierDes!$C:$C),3,_xlfn.XLOOKUP(C1645,[1]StuntDes!$B:$B,[1]StuntDes!$C:$C)),"")</f>
        <v/>
      </c>
      <c r="L1645">
        <f t="shared" si="69"/>
        <v>1</v>
      </c>
      <c r="M1645" s="10" t="str">
        <f>IFERROR(_xlfn.XLOOKUP(C1645,[1]StuntDes!$B:$B,[1]StuntDes!$A:$A),"")</f>
        <v/>
      </c>
      <c r="N1645" s="10" t="str">
        <f>IFERROR(_xlfn.XLOOKUP(C1645,[1]ModifierDes!$B:$B,[1]ModifierDes!$A:$A),"")</f>
        <v/>
      </c>
      <c r="O1645" s="10">
        <f>IFERROR(_xlfn.XLOOKUP(C1645,[1]AttributeName!$C:$C,[1]AttributeName!$B:$B),"")</f>
        <v>10001</v>
      </c>
      <c r="P1645" s="10"/>
      <c r="Q1645">
        <v>30</v>
      </c>
      <c r="R1645">
        <v>40</v>
      </c>
      <c r="S1645" cm="1">
        <f t="array" ref="S1645">IFERROR(_xlfn.SWITCH(L1645,1,_xlfn.XLOOKUP(O1645,[1]AttributeName!$B:$B,[1]AttributeName!$D:$D),2,_xlfn.XLOOKUP(C1645,#REF!,#REF!),3,_xlfn.XLOOKUP(C1645,#REF!,#REF!)),0)</f>
        <v>0</v>
      </c>
      <c r="T1645" cm="1">
        <f t="array" ref="T1645">IFERROR(_xlfn.SWITCH(L1645,1,_xlfn.XLOOKUP(O1645,[1]AttributeName!$B:$B,[1]AttributeName!$E:$E),2,_xlfn.XLOOKUP(C1645,#REF!,#REF!),3,_xlfn.XLOOKUP(C1645,#REF!,#REF!)),0)</f>
        <v>1</v>
      </c>
    </row>
    <row r="1646" customFormat="1" spans="1:20">
      <c r="A1646">
        <v>701</v>
      </c>
      <c r="B1646">
        <v>7</v>
      </c>
      <c r="C1646" t="s">
        <v>389</v>
      </c>
      <c r="D1646" t="s">
        <v>30</v>
      </c>
      <c r="E1646" t="s">
        <v>378</v>
      </c>
      <c r="F1646"/>
      <c r="G1646">
        <v>1</v>
      </c>
      <c r="H1646">
        <v>1000</v>
      </c>
      <c r="J1646" cm="1">
        <f t="array" ref="J1646">_xlfn.SWITCH(B1646,1,75,2,61,3,49,4,37,5,25,6,13,7,4,8,1)</f>
        <v>4</v>
      </c>
      <c r="K1646" t="str" cm="1">
        <f t="array" ref="K1646">IFERROR(_xlfn.SWITCH(L1646,2,_xlfn.XLOOKUP(C1646,[1]ModifierDes!$B:$B,[1]ModifierDes!$C:$C),3,_xlfn.XLOOKUP(C1646,[1]StuntDes!$B:$B,[1]StuntDes!$C:$C)),"")</f>
        <v/>
      </c>
      <c r="L1646">
        <f t="shared" si="69"/>
        <v>1</v>
      </c>
      <c r="M1646" s="10" t="str">
        <f>IFERROR(_xlfn.XLOOKUP(C1646,[1]StuntDes!$B:$B,[1]StuntDes!$A:$A),"")</f>
        <v/>
      </c>
      <c r="N1646" s="10" t="str">
        <f>IFERROR(_xlfn.XLOOKUP(C1646,[1]ModifierDes!$B:$B,[1]ModifierDes!$A:$A),"")</f>
        <v/>
      </c>
      <c r="O1646" s="10">
        <f>IFERROR(_xlfn.XLOOKUP(C1646,[1]AttributeName!$C:$C,[1]AttributeName!$B:$B),"")</f>
        <v>10001</v>
      </c>
      <c r="P1646" s="10"/>
      <c r="Q1646">
        <v>12</v>
      </c>
      <c r="R1646">
        <v>20</v>
      </c>
      <c r="S1646" cm="1">
        <f t="array" ref="S1646">IFERROR(_xlfn.SWITCH(L1646,1,_xlfn.XLOOKUP(O1646,[1]AttributeName!$B:$B,[1]AttributeName!$D:$D),2,_xlfn.XLOOKUP(C1646,#REF!,#REF!),3,_xlfn.XLOOKUP(C1646,#REF!,#REF!)),0)</f>
        <v>0</v>
      </c>
      <c r="T1646" cm="1">
        <f t="array" ref="T1646">IFERROR(_xlfn.SWITCH(L1646,1,_xlfn.XLOOKUP(O1646,[1]AttributeName!$B:$B,[1]AttributeName!$E:$E),2,_xlfn.XLOOKUP(C1646,#REF!,#REF!),3,_xlfn.XLOOKUP(C1646,#REF!,#REF!)),0)</f>
        <v>1</v>
      </c>
    </row>
    <row r="1647" customFormat="1" spans="1:20">
      <c r="A1647">
        <v>701</v>
      </c>
      <c r="B1647">
        <v>8</v>
      </c>
      <c r="C1647" t="s">
        <v>389</v>
      </c>
      <c r="D1647" t="s">
        <v>30</v>
      </c>
      <c r="E1647" t="s">
        <v>378</v>
      </c>
      <c r="F1647"/>
      <c r="G1647">
        <v>1</v>
      </c>
      <c r="H1647">
        <v>1000</v>
      </c>
      <c r="J1647" cm="1">
        <f t="array" ref="J1647">_xlfn.SWITCH(B1647,1,75,2,61,3,49,4,37,5,25,6,13,7,4,8,1)</f>
        <v>1</v>
      </c>
      <c r="K1647" t="str" cm="1">
        <f t="array" ref="K1647">IFERROR(_xlfn.SWITCH(L1647,2,_xlfn.XLOOKUP(C1647,[1]ModifierDes!$B:$B,[1]ModifierDes!$C:$C),3,_xlfn.XLOOKUP(C1647,[1]StuntDes!$B:$B,[1]StuntDes!$C:$C)),"")</f>
        <v/>
      </c>
      <c r="L1647">
        <f t="shared" si="69"/>
        <v>1</v>
      </c>
      <c r="M1647" s="10" t="str">
        <f>IFERROR(_xlfn.XLOOKUP(C1647,[1]StuntDes!$B:$B,[1]StuntDes!$A:$A),"")</f>
        <v/>
      </c>
      <c r="N1647" s="10" t="str">
        <f>IFERROR(_xlfn.XLOOKUP(C1647,[1]ModifierDes!$B:$B,[1]ModifierDes!$A:$A),"")</f>
        <v/>
      </c>
      <c r="O1647" s="10">
        <f>IFERROR(_xlfn.XLOOKUP(C1647,[1]AttributeName!$C:$C,[1]AttributeName!$B:$B),"")</f>
        <v>10001</v>
      </c>
      <c r="P1647" s="10"/>
      <c r="Q1647">
        <v>6</v>
      </c>
      <c r="R1647">
        <v>10</v>
      </c>
      <c r="S1647" cm="1">
        <f t="array" ref="S1647">IFERROR(_xlfn.SWITCH(L1647,1,_xlfn.XLOOKUP(O1647,[1]AttributeName!$B:$B,[1]AttributeName!$D:$D),2,_xlfn.XLOOKUP(C1647,#REF!,#REF!),3,_xlfn.XLOOKUP(C1647,#REF!,#REF!)),0)</f>
        <v>0</v>
      </c>
      <c r="T1647" cm="1">
        <f t="array" ref="T1647">IFERROR(_xlfn.SWITCH(L1647,1,_xlfn.XLOOKUP(O1647,[1]AttributeName!$B:$B,[1]AttributeName!$E:$E),2,_xlfn.XLOOKUP(C1647,#REF!,#REF!),3,_xlfn.XLOOKUP(C1647,#REF!,#REF!)),0)</f>
        <v>1</v>
      </c>
    </row>
    <row r="1648" customFormat="1" spans="1:20">
      <c r="A1648">
        <f t="shared" ref="A1648:A1711" si="70">A1640+1</f>
        <v>702</v>
      </c>
      <c r="B1648">
        <v>1</v>
      </c>
      <c r="C1648" t="s">
        <v>416</v>
      </c>
      <c r="D1648" t="s">
        <v>30</v>
      </c>
      <c r="E1648" t="s">
        <v>378</v>
      </c>
      <c r="F1648"/>
      <c r="G1648">
        <v>1</v>
      </c>
      <c r="H1648">
        <v>1000</v>
      </c>
      <c r="J1648" cm="1">
        <f t="array" ref="J1648">_xlfn.SWITCH(B1648,1,75,2,61,3,49,4,37,5,25,6,13,7,4,8,1)</f>
        <v>75</v>
      </c>
      <c r="K1648" t="str" cm="1">
        <f t="array" ref="K1648">IFERROR(_xlfn.SWITCH(L1648,2,_xlfn.XLOOKUP(C1648,[1]ModifierDes!$B:$B,[1]ModifierDes!$C:$C),3,_xlfn.XLOOKUP(C1648,[1]StuntDes!$B:$B,[1]StuntDes!$C:$C)),"")</f>
        <v/>
      </c>
      <c r="L1648">
        <f t="shared" si="69"/>
        <v>1</v>
      </c>
      <c r="M1648" s="10" t="str">
        <f>IFERROR(_xlfn.XLOOKUP(C1648,[1]StuntDes!$B:$B,[1]StuntDes!$A:$A),"")</f>
        <v/>
      </c>
      <c r="N1648" s="10" t="str">
        <f>IFERROR(_xlfn.XLOOKUP(C1648,[1]ModifierDes!$B:$B,[1]ModifierDes!$A:$A),"")</f>
        <v/>
      </c>
      <c r="O1648" s="10">
        <f>IFERROR(_xlfn.XLOOKUP(C1648,[1]AttributeName!$C:$C,[1]AttributeName!$B:$B),"")</f>
        <v>10002</v>
      </c>
      <c r="P1648" s="10"/>
      <c r="Q1648">
        <v>71</v>
      </c>
      <c r="R1648">
        <v>80</v>
      </c>
      <c r="S1648" cm="1">
        <f t="array" ref="S1648">IFERROR(_xlfn.SWITCH(L1648,1,_xlfn.XLOOKUP(O1648,[1]AttributeName!$B:$B,[1]AttributeName!$D:$D),2,_xlfn.XLOOKUP(C1648,#REF!,#REF!),3,_xlfn.XLOOKUP(C1648,#REF!,#REF!)),0)</f>
        <v>0</v>
      </c>
      <c r="T1648" cm="1">
        <f t="array" ref="T1648">IFERROR(_xlfn.SWITCH(L1648,1,_xlfn.XLOOKUP(O1648,[1]AttributeName!$B:$B,[1]AttributeName!$E:$E),2,_xlfn.XLOOKUP(C1648,#REF!,#REF!),3,_xlfn.XLOOKUP(C1648,#REF!,#REF!)),0)</f>
        <v>1</v>
      </c>
    </row>
    <row r="1649" customFormat="1" spans="1:20">
      <c r="A1649">
        <f t="shared" si="70"/>
        <v>702</v>
      </c>
      <c r="B1649">
        <v>2</v>
      </c>
      <c r="C1649" t="s">
        <v>416</v>
      </c>
      <c r="D1649" t="s">
        <v>30</v>
      </c>
      <c r="E1649" t="s">
        <v>378</v>
      </c>
      <c r="F1649"/>
      <c r="G1649">
        <v>1</v>
      </c>
      <c r="H1649">
        <v>1000</v>
      </c>
      <c r="J1649" cm="1">
        <f t="array" ref="J1649">_xlfn.SWITCH(B1649,1,75,2,61,3,49,4,37,5,25,6,13,7,4,8,1)</f>
        <v>61</v>
      </c>
      <c r="K1649" t="str" cm="1">
        <f t="array" ref="K1649">IFERROR(_xlfn.SWITCH(L1649,2,_xlfn.XLOOKUP(C1649,[1]ModifierDes!$B:$B,[1]ModifierDes!$C:$C),3,_xlfn.XLOOKUP(C1649,[1]StuntDes!$B:$B,[1]StuntDes!$C:$C)),"")</f>
        <v/>
      </c>
      <c r="L1649">
        <f t="shared" si="69"/>
        <v>1</v>
      </c>
      <c r="M1649" s="10" t="str">
        <f>IFERROR(_xlfn.XLOOKUP(C1649,[1]StuntDes!$B:$B,[1]StuntDes!$A:$A),"")</f>
        <v/>
      </c>
      <c r="N1649" s="10" t="str">
        <f>IFERROR(_xlfn.XLOOKUP(C1649,[1]ModifierDes!$B:$B,[1]ModifierDes!$A:$A),"")</f>
        <v/>
      </c>
      <c r="O1649" s="10">
        <f>IFERROR(_xlfn.XLOOKUP(C1649,[1]AttributeName!$C:$C,[1]AttributeName!$B:$B),"")</f>
        <v>10002</v>
      </c>
      <c r="P1649" s="10"/>
      <c r="Q1649">
        <v>61</v>
      </c>
      <c r="R1649">
        <v>70</v>
      </c>
      <c r="S1649" cm="1">
        <f t="array" ref="S1649">IFERROR(_xlfn.SWITCH(L1649,1,_xlfn.XLOOKUP(O1649,[1]AttributeName!$B:$B,[1]AttributeName!$D:$D),2,_xlfn.XLOOKUP(C1649,#REF!,#REF!),3,_xlfn.XLOOKUP(C1649,#REF!,#REF!)),0)</f>
        <v>0</v>
      </c>
      <c r="T1649" cm="1">
        <f t="array" ref="T1649">IFERROR(_xlfn.SWITCH(L1649,1,_xlfn.XLOOKUP(O1649,[1]AttributeName!$B:$B,[1]AttributeName!$E:$E),2,_xlfn.XLOOKUP(C1649,#REF!,#REF!),3,_xlfn.XLOOKUP(C1649,#REF!,#REF!)),0)</f>
        <v>1</v>
      </c>
    </row>
    <row r="1650" customFormat="1" spans="1:20">
      <c r="A1650">
        <f t="shared" si="70"/>
        <v>702</v>
      </c>
      <c r="B1650">
        <v>3</v>
      </c>
      <c r="C1650" t="s">
        <v>416</v>
      </c>
      <c r="D1650" t="s">
        <v>30</v>
      </c>
      <c r="E1650" t="s">
        <v>378</v>
      </c>
      <c r="F1650"/>
      <c r="G1650">
        <v>1</v>
      </c>
      <c r="H1650">
        <v>1000</v>
      </c>
      <c r="J1650" cm="1">
        <f t="array" ref="J1650">_xlfn.SWITCH(B1650,1,75,2,61,3,49,4,37,5,25,6,13,7,4,8,1)</f>
        <v>49</v>
      </c>
      <c r="K1650" t="str" cm="1">
        <f t="array" ref="K1650">IFERROR(_xlfn.SWITCH(L1650,2,_xlfn.XLOOKUP(C1650,[1]ModifierDes!$B:$B,[1]ModifierDes!$C:$C),3,_xlfn.XLOOKUP(C1650,[1]StuntDes!$B:$B,[1]StuntDes!$C:$C)),"")</f>
        <v/>
      </c>
      <c r="L1650">
        <f t="shared" si="69"/>
        <v>1</v>
      </c>
      <c r="M1650" s="10" t="str">
        <f>IFERROR(_xlfn.XLOOKUP(C1650,[1]StuntDes!$B:$B,[1]StuntDes!$A:$A),"")</f>
        <v/>
      </c>
      <c r="N1650" s="10" t="str">
        <f>IFERROR(_xlfn.XLOOKUP(C1650,[1]ModifierDes!$B:$B,[1]ModifierDes!$A:$A),"")</f>
        <v/>
      </c>
      <c r="O1650" s="10">
        <f>IFERROR(_xlfn.XLOOKUP(C1650,[1]AttributeName!$C:$C,[1]AttributeName!$B:$B),"")</f>
        <v>10002</v>
      </c>
      <c r="P1650" s="10"/>
      <c r="Q1650">
        <v>51</v>
      </c>
      <c r="R1650">
        <v>60</v>
      </c>
      <c r="S1650" cm="1">
        <f t="array" ref="S1650">IFERROR(_xlfn.SWITCH(L1650,1,_xlfn.XLOOKUP(O1650,[1]AttributeName!$B:$B,[1]AttributeName!$D:$D),2,_xlfn.XLOOKUP(C1650,#REF!,#REF!),3,_xlfn.XLOOKUP(C1650,#REF!,#REF!)),0)</f>
        <v>0</v>
      </c>
      <c r="T1650" cm="1">
        <f t="array" ref="T1650">IFERROR(_xlfn.SWITCH(L1650,1,_xlfn.XLOOKUP(O1650,[1]AttributeName!$B:$B,[1]AttributeName!$E:$E),2,_xlfn.XLOOKUP(C1650,#REF!,#REF!),3,_xlfn.XLOOKUP(C1650,#REF!,#REF!)),0)</f>
        <v>1</v>
      </c>
    </row>
    <row r="1651" customFormat="1" spans="1:20">
      <c r="A1651">
        <f t="shared" si="70"/>
        <v>702</v>
      </c>
      <c r="B1651">
        <v>4</v>
      </c>
      <c r="C1651" t="s">
        <v>416</v>
      </c>
      <c r="D1651" t="s">
        <v>30</v>
      </c>
      <c r="E1651" t="s">
        <v>378</v>
      </c>
      <c r="F1651"/>
      <c r="G1651">
        <v>1</v>
      </c>
      <c r="H1651">
        <v>1000</v>
      </c>
      <c r="J1651" cm="1">
        <f t="array" ref="J1651">_xlfn.SWITCH(B1651,1,75,2,61,3,49,4,37,5,25,6,13,7,4,8,1)</f>
        <v>37</v>
      </c>
      <c r="K1651" t="str" cm="1">
        <f t="array" ref="K1651">IFERROR(_xlfn.SWITCH(L1651,2,_xlfn.XLOOKUP(C1651,[1]ModifierDes!$B:$B,[1]ModifierDes!$C:$C),3,_xlfn.XLOOKUP(C1651,[1]StuntDes!$B:$B,[1]StuntDes!$C:$C)),"")</f>
        <v/>
      </c>
      <c r="L1651">
        <f t="shared" si="69"/>
        <v>1</v>
      </c>
      <c r="M1651" s="10" t="str">
        <f>IFERROR(_xlfn.XLOOKUP(C1651,[1]StuntDes!$B:$B,[1]StuntDes!$A:$A),"")</f>
        <v/>
      </c>
      <c r="N1651" s="10" t="str">
        <f>IFERROR(_xlfn.XLOOKUP(C1651,[1]ModifierDes!$B:$B,[1]ModifierDes!$A:$A),"")</f>
        <v/>
      </c>
      <c r="O1651" s="10">
        <f>IFERROR(_xlfn.XLOOKUP(C1651,[1]AttributeName!$C:$C,[1]AttributeName!$B:$B),"")</f>
        <v>10002</v>
      </c>
      <c r="P1651" s="10"/>
      <c r="Q1651">
        <v>41</v>
      </c>
      <c r="R1651">
        <v>50</v>
      </c>
      <c r="S1651" cm="1">
        <f t="array" ref="S1651">IFERROR(_xlfn.SWITCH(L1651,1,_xlfn.XLOOKUP(O1651,[1]AttributeName!$B:$B,[1]AttributeName!$D:$D),2,_xlfn.XLOOKUP(C1651,#REF!,#REF!),3,_xlfn.XLOOKUP(C1651,#REF!,#REF!)),0)</f>
        <v>0</v>
      </c>
      <c r="T1651" cm="1">
        <f t="array" ref="T1651">IFERROR(_xlfn.SWITCH(L1651,1,_xlfn.XLOOKUP(O1651,[1]AttributeName!$B:$B,[1]AttributeName!$E:$E),2,_xlfn.XLOOKUP(C1651,#REF!,#REF!),3,_xlfn.XLOOKUP(C1651,#REF!,#REF!)),0)</f>
        <v>1</v>
      </c>
    </row>
    <row r="1652" customFormat="1" spans="1:20">
      <c r="A1652">
        <f t="shared" si="70"/>
        <v>702</v>
      </c>
      <c r="B1652">
        <v>5</v>
      </c>
      <c r="C1652" t="s">
        <v>416</v>
      </c>
      <c r="D1652" t="s">
        <v>30</v>
      </c>
      <c r="E1652" t="s">
        <v>378</v>
      </c>
      <c r="F1652"/>
      <c r="G1652">
        <v>1</v>
      </c>
      <c r="H1652">
        <v>1000</v>
      </c>
      <c r="J1652" cm="1">
        <f t="array" ref="J1652">_xlfn.SWITCH(B1652,1,75,2,61,3,49,4,37,5,25,6,13,7,4,8,1)</f>
        <v>25</v>
      </c>
      <c r="K1652" t="str" cm="1">
        <f t="array" ref="K1652">IFERROR(_xlfn.SWITCH(L1652,2,_xlfn.XLOOKUP(C1652,[1]ModifierDes!$B:$B,[1]ModifierDes!$C:$C),3,_xlfn.XLOOKUP(C1652,[1]StuntDes!$B:$B,[1]StuntDes!$C:$C)),"")</f>
        <v/>
      </c>
      <c r="L1652">
        <f t="shared" si="69"/>
        <v>1</v>
      </c>
      <c r="M1652" s="10" t="str">
        <f>IFERROR(_xlfn.XLOOKUP(C1652,[1]StuntDes!$B:$B,[1]StuntDes!$A:$A),"")</f>
        <v/>
      </c>
      <c r="N1652" s="10" t="str">
        <f>IFERROR(_xlfn.XLOOKUP(C1652,[1]ModifierDes!$B:$B,[1]ModifierDes!$A:$A),"")</f>
        <v/>
      </c>
      <c r="O1652" s="10">
        <f>IFERROR(_xlfn.XLOOKUP(C1652,[1]AttributeName!$C:$C,[1]AttributeName!$B:$B),"")</f>
        <v>10002</v>
      </c>
      <c r="P1652" s="10"/>
      <c r="Q1652">
        <v>31</v>
      </c>
      <c r="R1652">
        <v>40</v>
      </c>
      <c r="S1652" cm="1">
        <f t="array" ref="S1652">IFERROR(_xlfn.SWITCH(L1652,1,_xlfn.XLOOKUP(O1652,[1]AttributeName!$B:$B,[1]AttributeName!$D:$D),2,_xlfn.XLOOKUP(C1652,#REF!,#REF!),3,_xlfn.XLOOKUP(C1652,#REF!,#REF!)),0)</f>
        <v>0</v>
      </c>
      <c r="T1652" cm="1">
        <f t="array" ref="T1652">IFERROR(_xlfn.SWITCH(L1652,1,_xlfn.XLOOKUP(O1652,[1]AttributeName!$B:$B,[1]AttributeName!$E:$E),2,_xlfn.XLOOKUP(C1652,#REF!,#REF!),3,_xlfn.XLOOKUP(C1652,#REF!,#REF!)),0)</f>
        <v>1</v>
      </c>
    </row>
    <row r="1653" customFormat="1" spans="1:20">
      <c r="A1653">
        <f t="shared" si="70"/>
        <v>702</v>
      </c>
      <c r="B1653">
        <v>6</v>
      </c>
      <c r="C1653" t="s">
        <v>416</v>
      </c>
      <c r="D1653" t="s">
        <v>30</v>
      </c>
      <c r="E1653" t="s">
        <v>378</v>
      </c>
      <c r="F1653"/>
      <c r="G1653">
        <v>1</v>
      </c>
      <c r="H1653">
        <v>1000</v>
      </c>
      <c r="J1653" cm="1">
        <f t="array" ref="J1653">_xlfn.SWITCH(B1653,1,75,2,61,3,49,4,37,5,25,6,13,7,4,8,1)</f>
        <v>13</v>
      </c>
      <c r="K1653" t="str" cm="1">
        <f t="array" ref="K1653">IFERROR(_xlfn.SWITCH(L1653,2,_xlfn.XLOOKUP(C1653,[1]ModifierDes!$B:$B,[1]ModifierDes!$C:$C),3,_xlfn.XLOOKUP(C1653,[1]StuntDes!$B:$B,[1]StuntDes!$C:$C)),"")</f>
        <v/>
      </c>
      <c r="L1653">
        <f t="shared" si="69"/>
        <v>1</v>
      </c>
      <c r="M1653" s="10" t="str">
        <f>IFERROR(_xlfn.XLOOKUP(C1653,[1]StuntDes!$B:$B,[1]StuntDes!$A:$A),"")</f>
        <v/>
      </c>
      <c r="N1653" s="10" t="str">
        <f>IFERROR(_xlfn.XLOOKUP(C1653,[1]ModifierDes!$B:$B,[1]ModifierDes!$A:$A),"")</f>
        <v/>
      </c>
      <c r="O1653" s="10">
        <f>IFERROR(_xlfn.XLOOKUP(C1653,[1]AttributeName!$C:$C,[1]AttributeName!$B:$B),"")</f>
        <v>10002</v>
      </c>
      <c r="P1653" s="10"/>
      <c r="Q1653">
        <v>21</v>
      </c>
      <c r="R1653">
        <v>30</v>
      </c>
      <c r="S1653" cm="1">
        <f t="array" ref="S1653">IFERROR(_xlfn.SWITCH(L1653,1,_xlfn.XLOOKUP(O1653,[1]AttributeName!$B:$B,[1]AttributeName!$D:$D),2,_xlfn.XLOOKUP(C1653,#REF!,#REF!),3,_xlfn.XLOOKUP(C1653,#REF!,#REF!)),0)</f>
        <v>0</v>
      </c>
      <c r="T1653" cm="1">
        <f t="array" ref="T1653">IFERROR(_xlfn.SWITCH(L1653,1,_xlfn.XLOOKUP(O1653,[1]AttributeName!$B:$B,[1]AttributeName!$E:$E),2,_xlfn.XLOOKUP(C1653,#REF!,#REF!),3,_xlfn.XLOOKUP(C1653,#REF!,#REF!)),0)</f>
        <v>1</v>
      </c>
    </row>
    <row r="1654" customFormat="1" spans="1:20">
      <c r="A1654">
        <f t="shared" si="70"/>
        <v>702</v>
      </c>
      <c r="B1654">
        <v>7</v>
      </c>
      <c r="C1654" t="s">
        <v>416</v>
      </c>
      <c r="D1654" t="s">
        <v>30</v>
      </c>
      <c r="E1654" t="s">
        <v>378</v>
      </c>
      <c r="F1654"/>
      <c r="G1654">
        <v>1</v>
      </c>
      <c r="H1654">
        <v>1000</v>
      </c>
      <c r="J1654" cm="1">
        <f t="array" ref="J1654">_xlfn.SWITCH(B1654,1,75,2,61,3,49,4,37,5,25,6,13,7,4,8,1)</f>
        <v>4</v>
      </c>
      <c r="K1654" t="str" cm="1">
        <f t="array" ref="K1654">IFERROR(_xlfn.SWITCH(L1654,2,_xlfn.XLOOKUP(C1654,[1]ModifierDes!$B:$B,[1]ModifierDes!$C:$C),3,_xlfn.XLOOKUP(C1654,[1]StuntDes!$B:$B,[1]StuntDes!$C:$C)),"")</f>
        <v/>
      </c>
      <c r="L1654">
        <f t="shared" si="69"/>
        <v>1</v>
      </c>
      <c r="M1654" s="10" t="str">
        <f>IFERROR(_xlfn.XLOOKUP(C1654,[1]StuntDes!$B:$B,[1]StuntDes!$A:$A),"")</f>
        <v/>
      </c>
      <c r="N1654" s="10" t="str">
        <f>IFERROR(_xlfn.XLOOKUP(C1654,[1]ModifierDes!$B:$B,[1]ModifierDes!$A:$A),"")</f>
        <v/>
      </c>
      <c r="O1654" s="10">
        <f>IFERROR(_xlfn.XLOOKUP(C1654,[1]AttributeName!$C:$C,[1]AttributeName!$B:$B),"")</f>
        <v>10002</v>
      </c>
      <c r="P1654" s="10"/>
      <c r="Q1654">
        <v>10</v>
      </c>
      <c r="R1654">
        <v>20</v>
      </c>
      <c r="S1654" cm="1">
        <f t="array" ref="S1654">IFERROR(_xlfn.SWITCH(L1654,1,_xlfn.XLOOKUP(O1654,[1]AttributeName!$B:$B,[1]AttributeName!$D:$D),2,_xlfn.XLOOKUP(C1654,#REF!,#REF!),3,_xlfn.XLOOKUP(C1654,#REF!,#REF!)),0)</f>
        <v>0</v>
      </c>
      <c r="T1654" cm="1">
        <f t="array" ref="T1654">IFERROR(_xlfn.SWITCH(L1654,1,_xlfn.XLOOKUP(O1654,[1]AttributeName!$B:$B,[1]AttributeName!$E:$E),2,_xlfn.XLOOKUP(C1654,#REF!,#REF!),3,_xlfn.XLOOKUP(C1654,#REF!,#REF!)),0)</f>
        <v>1</v>
      </c>
    </row>
    <row r="1655" customFormat="1" spans="1:20">
      <c r="A1655">
        <f t="shared" si="70"/>
        <v>702</v>
      </c>
      <c r="B1655">
        <v>8</v>
      </c>
      <c r="C1655" t="s">
        <v>416</v>
      </c>
      <c r="D1655" t="s">
        <v>30</v>
      </c>
      <c r="E1655" t="s">
        <v>378</v>
      </c>
      <c r="F1655"/>
      <c r="G1655">
        <v>1</v>
      </c>
      <c r="H1655">
        <v>1000</v>
      </c>
      <c r="J1655" cm="1">
        <f t="array" ref="J1655">_xlfn.SWITCH(B1655,1,75,2,61,3,49,4,37,5,25,6,13,7,4,8,1)</f>
        <v>1</v>
      </c>
      <c r="K1655" t="str" cm="1">
        <f t="array" ref="K1655">IFERROR(_xlfn.SWITCH(L1655,2,_xlfn.XLOOKUP(C1655,[1]ModifierDes!$B:$B,[1]ModifierDes!$C:$C),3,_xlfn.XLOOKUP(C1655,[1]StuntDes!$B:$B,[1]StuntDes!$C:$C)),"")</f>
        <v/>
      </c>
      <c r="L1655">
        <f t="shared" si="69"/>
        <v>1</v>
      </c>
      <c r="M1655" s="10" t="str">
        <f>IFERROR(_xlfn.XLOOKUP(C1655,[1]StuntDes!$B:$B,[1]StuntDes!$A:$A),"")</f>
        <v/>
      </c>
      <c r="N1655" s="10" t="str">
        <f>IFERROR(_xlfn.XLOOKUP(C1655,[1]ModifierDes!$B:$B,[1]ModifierDes!$A:$A),"")</f>
        <v/>
      </c>
      <c r="O1655" s="10">
        <f>IFERROR(_xlfn.XLOOKUP(C1655,[1]AttributeName!$C:$C,[1]AttributeName!$B:$B),"")</f>
        <v>10002</v>
      </c>
      <c r="P1655" s="10"/>
      <c r="Q1655">
        <v>5</v>
      </c>
      <c r="R1655">
        <v>9</v>
      </c>
      <c r="S1655" cm="1">
        <f t="array" ref="S1655">IFERROR(_xlfn.SWITCH(L1655,1,_xlfn.XLOOKUP(O1655,[1]AttributeName!$B:$B,[1]AttributeName!$D:$D),2,_xlfn.XLOOKUP(C1655,#REF!,#REF!),3,_xlfn.XLOOKUP(C1655,#REF!,#REF!)),0)</f>
        <v>0</v>
      </c>
      <c r="T1655" cm="1">
        <f t="array" ref="T1655">IFERROR(_xlfn.SWITCH(L1655,1,_xlfn.XLOOKUP(O1655,[1]AttributeName!$B:$B,[1]AttributeName!$E:$E),2,_xlfn.XLOOKUP(C1655,#REF!,#REF!),3,_xlfn.XLOOKUP(C1655,#REF!,#REF!)),0)</f>
        <v>1</v>
      </c>
    </row>
    <row r="1656" customFormat="1" spans="1:20">
      <c r="A1656">
        <f t="shared" si="70"/>
        <v>703</v>
      </c>
      <c r="B1656">
        <v>1</v>
      </c>
      <c r="C1656" t="s">
        <v>417</v>
      </c>
      <c r="D1656" t="s">
        <v>30</v>
      </c>
      <c r="E1656" t="s">
        <v>378</v>
      </c>
      <c r="F1656"/>
      <c r="G1656">
        <v>1</v>
      </c>
      <c r="H1656">
        <v>1000</v>
      </c>
      <c r="J1656" cm="1">
        <f t="array" ref="J1656">_xlfn.SWITCH(B1656,1,75,2,61,3,49,4,37,5,25,6,13,7,4,8,1)</f>
        <v>75</v>
      </c>
      <c r="K1656" t="str" cm="1">
        <f t="array" ref="K1656">IFERROR(_xlfn.SWITCH(L1656,2,_xlfn.XLOOKUP(C1656,[1]ModifierDes!$B:$B,[1]ModifierDes!$C:$C),3,_xlfn.XLOOKUP(C1656,[1]StuntDes!$B:$B,[1]StuntDes!$C:$C)),"")</f>
        <v/>
      </c>
      <c r="L1656">
        <f t="shared" si="69"/>
        <v>1</v>
      </c>
      <c r="M1656" s="10" t="str">
        <f>IFERROR(_xlfn.XLOOKUP(C1656,[1]StuntDes!$B:$B,[1]StuntDes!$A:$A),"")</f>
        <v/>
      </c>
      <c r="N1656" s="10" t="str">
        <f>IFERROR(_xlfn.XLOOKUP(C1656,[1]ModifierDes!$B:$B,[1]ModifierDes!$A:$A),"")</f>
        <v/>
      </c>
      <c r="O1656" s="10">
        <f>IFERROR(_xlfn.XLOOKUP(C1656,[1]AttributeName!$C:$C,[1]AttributeName!$B:$B),"")</f>
        <v>10700</v>
      </c>
      <c r="P1656" s="10"/>
      <c r="Q1656">
        <v>0.08</v>
      </c>
      <c r="R1656">
        <v>0.1</v>
      </c>
      <c r="S1656" cm="1">
        <f t="array" ref="S1656">IFERROR(_xlfn.SWITCH(L1656,1,_xlfn.XLOOKUP(O1656,[1]AttributeName!$B:$B,[1]AttributeName!$D:$D),2,_xlfn.XLOOKUP(C1656,#REF!,#REF!),3,_xlfn.XLOOKUP(C1656,#REF!,#REF!)),0)</f>
        <v>2</v>
      </c>
      <c r="T1656" cm="1">
        <f t="array" ref="T1656">IFERROR(_xlfn.SWITCH(L1656,1,_xlfn.XLOOKUP(O1656,[1]AttributeName!$B:$B,[1]AttributeName!$E:$E),2,_xlfn.XLOOKUP(C1656,#REF!,#REF!),3,_xlfn.XLOOKUP(C1656,#REF!,#REF!)),0)</f>
        <v>2</v>
      </c>
    </row>
    <row r="1657" customFormat="1" spans="1:20">
      <c r="A1657">
        <f t="shared" si="70"/>
        <v>703</v>
      </c>
      <c r="B1657">
        <v>2</v>
      </c>
      <c r="C1657" t="s">
        <v>417</v>
      </c>
      <c r="D1657" t="s">
        <v>30</v>
      </c>
      <c r="E1657" t="s">
        <v>378</v>
      </c>
      <c r="F1657"/>
      <c r="G1657">
        <v>1</v>
      </c>
      <c r="H1657">
        <v>1000</v>
      </c>
      <c r="J1657" cm="1">
        <f t="array" ref="J1657">_xlfn.SWITCH(B1657,1,75,2,61,3,49,4,37,5,25,6,13,7,4,8,1)</f>
        <v>61</v>
      </c>
      <c r="K1657" t="str" cm="1">
        <f t="array" ref="K1657">IFERROR(_xlfn.SWITCH(L1657,2,_xlfn.XLOOKUP(C1657,[1]ModifierDes!$B:$B,[1]ModifierDes!$C:$C),3,_xlfn.XLOOKUP(C1657,[1]StuntDes!$B:$B,[1]StuntDes!$C:$C)),"")</f>
        <v/>
      </c>
      <c r="L1657">
        <f t="shared" si="69"/>
        <v>1</v>
      </c>
      <c r="M1657" s="10" t="str">
        <f>IFERROR(_xlfn.XLOOKUP(C1657,[1]StuntDes!$B:$B,[1]StuntDes!$A:$A),"")</f>
        <v/>
      </c>
      <c r="N1657" s="10" t="str">
        <f>IFERROR(_xlfn.XLOOKUP(C1657,[1]ModifierDes!$B:$B,[1]ModifierDes!$A:$A),"")</f>
        <v/>
      </c>
      <c r="O1657" s="10">
        <f>IFERROR(_xlfn.XLOOKUP(C1657,[1]AttributeName!$C:$C,[1]AttributeName!$B:$B),"")</f>
        <v>10700</v>
      </c>
      <c r="P1657" s="10"/>
      <c r="Q1657">
        <v>0.07</v>
      </c>
      <c r="R1657">
        <v>0.07</v>
      </c>
      <c r="S1657" cm="1">
        <f t="array" ref="S1657">IFERROR(_xlfn.SWITCH(L1657,1,_xlfn.XLOOKUP(O1657,[1]AttributeName!$B:$B,[1]AttributeName!$D:$D),2,_xlfn.XLOOKUP(C1657,#REF!,#REF!),3,_xlfn.XLOOKUP(C1657,#REF!,#REF!)),0)</f>
        <v>2</v>
      </c>
      <c r="T1657" cm="1">
        <f t="array" ref="T1657">IFERROR(_xlfn.SWITCH(L1657,1,_xlfn.XLOOKUP(O1657,[1]AttributeName!$B:$B,[1]AttributeName!$E:$E),2,_xlfn.XLOOKUP(C1657,#REF!,#REF!),3,_xlfn.XLOOKUP(C1657,#REF!,#REF!)),0)</f>
        <v>2</v>
      </c>
    </row>
    <row r="1658" customFormat="1" spans="1:20">
      <c r="A1658">
        <f t="shared" si="70"/>
        <v>703</v>
      </c>
      <c r="B1658">
        <v>3</v>
      </c>
      <c r="C1658" t="s">
        <v>417</v>
      </c>
      <c r="D1658" t="s">
        <v>30</v>
      </c>
      <c r="E1658" t="s">
        <v>378</v>
      </c>
      <c r="F1658"/>
      <c r="G1658">
        <v>1</v>
      </c>
      <c r="H1658">
        <v>1000</v>
      </c>
      <c r="J1658" cm="1">
        <f t="array" ref="J1658">_xlfn.SWITCH(B1658,1,75,2,61,3,49,4,37,5,25,6,13,7,4,8,1)</f>
        <v>49</v>
      </c>
      <c r="K1658" t="str" cm="1">
        <f t="array" ref="K1658">IFERROR(_xlfn.SWITCH(L1658,2,_xlfn.XLOOKUP(C1658,[1]ModifierDes!$B:$B,[1]ModifierDes!$C:$C),3,_xlfn.XLOOKUP(C1658,[1]StuntDes!$B:$B,[1]StuntDes!$C:$C)),"")</f>
        <v/>
      </c>
      <c r="L1658">
        <f t="shared" si="69"/>
        <v>1</v>
      </c>
      <c r="M1658" s="10" t="str">
        <f>IFERROR(_xlfn.XLOOKUP(C1658,[1]StuntDes!$B:$B,[1]StuntDes!$A:$A),"")</f>
        <v/>
      </c>
      <c r="N1658" s="10" t="str">
        <f>IFERROR(_xlfn.XLOOKUP(C1658,[1]ModifierDes!$B:$B,[1]ModifierDes!$A:$A),"")</f>
        <v/>
      </c>
      <c r="O1658" s="10">
        <f>IFERROR(_xlfn.XLOOKUP(C1658,[1]AttributeName!$C:$C,[1]AttributeName!$B:$B),"")</f>
        <v>10700</v>
      </c>
      <c r="P1658" s="10"/>
      <c r="Q1658">
        <v>0.06</v>
      </c>
      <c r="R1658">
        <v>0.06</v>
      </c>
      <c r="S1658" cm="1">
        <f t="array" ref="S1658">IFERROR(_xlfn.SWITCH(L1658,1,_xlfn.XLOOKUP(O1658,[1]AttributeName!$B:$B,[1]AttributeName!$D:$D),2,_xlfn.XLOOKUP(C1658,#REF!,#REF!),3,_xlfn.XLOOKUP(C1658,#REF!,#REF!)),0)</f>
        <v>2</v>
      </c>
      <c r="T1658" cm="1">
        <f t="array" ref="T1658">IFERROR(_xlfn.SWITCH(L1658,1,_xlfn.XLOOKUP(O1658,[1]AttributeName!$B:$B,[1]AttributeName!$E:$E),2,_xlfn.XLOOKUP(C1658,#REF!,#REF!),3,_xlfn.XLOOKUP(C1658,#REF!,#REF!)),0)</f>
        <v>2</v>
      </c>
    </row>
    <row r="1659" customFormat="1" spans="1:20">
      <c r="A1659">
        <f t="shared" si="70"/>
        <v>703</v>
      </c>
      <c r="B1659">
        <v>4</v>
      </c>
      <c r="C1659" t="s">
        <v>417</v>
      </c>
      <c r="D1659" t="s">
        <v>30</v>
      </c>
      <c r="E1659" t="s">
        <v>378</v>
      </c>
      <c r="F1659"/>
      <c r="G1659">
        <v>1</v>
      </c>
      <c r="H1659">
        <v>1000</v>
      </c>
      <c r="J1659" cm="1">
        <f t="array" ref="J1659">_xlfn.SWITCH(B1659,1,75,2,61,3,49,4,37,5,25,6,13,7,4,8,1)</f>
        <v>37</v>
      </c>
      <c r="K1659" t="str" cm="1">
        <f t="array" ref="K1659">IFERROR(_xlfn.SWITCH(L1659,2,_xlfn.XLOOKUP(C1659,[1]ModifierDes!$B:$B,[1]ModifierDes!$C:$C),3,_xlfn.XLOOKUP(C1659,[1]StuntDes!$B:$B,[1]StuntDes!$C:$C)),"")</f>
        <v/>
      </c>
      <c r="L1659">
        <f t="shared" si="69"/>
        <v>1</v>
      </c>
      <c r="M1659" s="10" t="str">
        <f>IFERROR(_xlfn.XLOOKUP(C1659,[1]StuntDes!$B:$B,[1]StuntDes!$A:$A),"")</f>
        <v/>
      </c>
      <c r="N1659" s="10" t="str">
        <f>IFERROR(_xlfn.XLOOKUP(C1659,[1]ModifierDes!$B:$B,[1]ModifierDes!$A:$A),"")</f>
        <v/>
      </c>
      <c r="O1659" s="10">
        <f>IFERROR(_xlfn.XLOOKUP(C1659,[1]AttributeName!$C:$C,[1]AttributeName!$B:$B),"")</f>
        <v>10700</v>
      </c>
      <c r="P1659" s="10"/>
      <c r="Q1659">
        <v>0.05</v>
      </c>
      <c r="R1659">
        <v>0.05</v>
      </c>
      <c r="S1659" cm="1">
        <f t="array" ref="S1659">IFERROR(_xlfn.SWITCH(L1659,1,_xlfn.XLOOKUP(O1659,[1]AttributeName!$B:$B,[1]AttributeName!$D:$D),2,_xlfn.XLOOKUP(C1659,#REF!,#REF!),3,_xlfn.XLOOKUP(C1659,#REF!,#REF!)),0)</f>
        <v>2</v>
      </c>
      <c r="T1659" cm="1">
        <f t="array" ref="T1659">IFERROR(_xlfn.SWITCH(L1659,1,_xlfn.XLOOKUP(O1659,[1]AttributeName!$B:$B,[1]AttributeName!$E:$E),2,_xlfn.XLOOKUP(C1659,#REF!,#REF!),3,_xlfn.XLOOKUP(C1659,#REF!,#REF!)),0)</f>
        <v>2</v>
      </c>
    </row>
    <row r="1660" customFormat="1" spans="1:20">
      <c r="A1660">
        <f t="shared" si="70"/>
        <v>703</v>
      </c>
      <c r="B1660">
        <v>5</v>
      </c>
      <c r="C1660" t="s">
        <v>417</v>
      </c>
      <c r="D1660" t="s">
        <v>30</v>
      </c>
      <c r="E1660" t="s">
        <v>378</v>
      </c>
      <c r="F1660"/>
      <c r="G1660">
        <v>1</v>
      </c>
      <c r="H1660">
        <v>1000</v>
      </c>
      <c r="J1660" cm="1">
        <f t="array" ref="J1660">_xlfn.SWITCH(B1660,1,75,2,61,3,49,4,37,5,25,6,13,7,4,8,1)</f>
        <v>25</v>
      </c>
      <c r="K1660" t="str" cm="1">
        <f t="array" ref="K1660">IFERROR(_xlfn.SWITCH(L1660,2,_xlfn.XLOOKUP(C1660,[1]ModifierDes!$B:$B,[1]ModifierDes!$C:$C),3,_xlfn.XLOOKUP(C1660,[1]StuntDes!$B:$B,[1]StuntDes!$C:$C)),"")</f>
        <v/>
      </c>
      <c r="L1660">
        <f t="shared" si="69"/>
        <v>1</v>
      </c>
      <c r="M1660" s="10" t="str">
        <f>IFERROR(_xlfn.XLOOKUP(C1660,[1]StuntDes!$B:$B,[1]StuntDes!$A:$A),"")</f>
        <v/>
      </c>
      <c r="N1660" s="10" t="str">
        <f>IFERROR(_xlfn.XLOOKUP(C1660,[1]ModifierDes!$B:$B,[1]ModifierDes!$A:$A),"")</f>
        <v/>
      </c>
      <c r="O1660" s="10">
        <f>IFERROR(_xlfn.XLOOKUP(C1660,[1]AttributeName!$C:$C,[1]AttributeName!$B:$B),"")</f>
        <v>10700</v>
      </c>
      <c r="P1660" s="10"/>
      <c r="Q1660">
        <v>0.04</v>
      </c>
      <c r="R1660">
        <v>0.04</v>
      </c>
      <c r="S1660" cm="1">
        <f t="array" ref="S1660">IFERROR(_xlfn.SWITCH(L1660,1,_xlfn.XLOOKUP(O1660,[1]AttributeName!$B:$B,[1]AttributeName!$D:$D),2,_xlfn.XLOOKUP(C1660,#REF!,#REF!),3,_xlfn.XLOOKUP(C1660,#REF!,#REF!)),0)</f>
        <v>2</v>
      </c>
      <c r="T1660" cm="1">
        <f t="array" ref="T1660">IFERROR(_xlfn.SWITCH(L1660,1,_xlfn.XLOOKUP(O1660,[1]AttributeName!$B:$B,[1]AttributeName!$E:$E),2,_xlfn.XLOOKUP(C1660,#REF!,#REF!),3,_xlfn.XLOOKUP(C1660,#REF!,#REF!)),0)</f>
        <v>2</v>
      </c>
    </row>
    <row r="1661" customFormat="1" spans="1:20">
      <c r="A1661">
        <f t="shared" si="70"/>
        <v>703</v>
      </c>
      <c r="B1661">
        <v>6</v>
      </c>
      <c r="C1661" t="s">
        <v>417</v>
      </c>
      <c r="D1661" t="s">
        <v>30</v>
      </c>
      <c r="E1661" t="s">
        <v>378</v>
      </c>
      <c r="F1661"/>
      <c r="G1661">
        <v>1</v>
      </c>
      <c r="H1661">
        <v>1000</v>
      </c>
      <c r="J1661" cm="1">
        <f t="array" ref="J1661">_xlfn.SWITCH(B1661,1,75,2,61,3,49,4,37,5,25,6,13,7,4,8,1)</f>
        <v>13</v>
      </c>
      <c r="K1661" t="str" cm="1">
        <f t="array" ref="K1661">IFERROR(_xlfn.SWITCH(L1661,2,_xlfn.XLOOKUP(C1661,[1]ModifierDes!$B:$B,[1]ModifierDes!$C:$C),3,_xlfn.XLOOKUP(C1661,[1]StuntDes!$B:$B,[1]StuntDes!$C:$C)),"")</f>
        <v/>
      </c>
      <c r="L1661">
        <f t="shared" si="69"/>
        <v>1</v>
      </c>
      <c r="M1661" s="10" t="str">
        <f>IFERROR(_xlfn.XLOOKUP(C1661,[1]StuntDes!$B:$B,[1]StuntDes!$A:$A),"")</f>
        <v/>
      </c>
      <c r="N1661" s="10" t="str">
        <f>IFERROR(_xlfn.XLOOKUP(C1661,[1]ModifierDes!$B:$B,[1]ModifierDes!$A:$A),"")</f>
        <v/>
      </c>
      <c r="O1661" s="10">
        <f>IFERROR(_xlfn.XLOOKUP(C1661,[1]AttributeName!$C:$C,[1]AttributeName!$B:$B),"")</f>
        <v>10700</v>
      </c>
      <c r="P1661" s="10"/>
      <c r="Q1661">
        <v>0.03</v>
      </c>
      <c r="R1661">
        <v>0.03</v>
      </c>
      <c r="S1661" cm="1">
        <f t="array" ref="S1661">IFERROR(_xlfn.SWITCH(L1661,1,_xlfn.XLOOKUP(O1661,[1]AttributeName!$B:$B,[1]AttributeName!$D:$D),2,_xlfn.XLOOKUP(C1661,#REF!,#REF!),3,_xlfn.XLOOKUP(C1661,#REF!,#REF!)),0)</f>
        <v>2</v>
      </c>
      <c r="T1661" cm="1">
        <f t="array" ref="T1661">IFERROR(_xlfn.SWITCH(L1661,1,_xlfn.XLOOKUP(O1661,[1]AttributeName!$B:$B,[1]AttributeName!$E:$E),2,_xlfn.XLOOKUP(C1661,#REF!,#REF!),3,_xlfn.XLOOKUP(C1661,#REF!,#REF!)),0)</f>
        <v>2</v>
      </c>
    </row>
    <row r="1662" customFormat="1" spans="1:20">
      <c r="A1662">
        <f t="shared" si="70"/>
        <v>703</v>
      </c>
      <c r="B1662">
        <v>7</v>
      </c>
      <c r="C1662" t="s">
        <v>417</v>
      </c>
      <c r="D1662" t="s">
        <v>30</v>
      </c>
      <c r="E1662" t="s">
        <v>378</v>
      </c>
      <c r="F1662"/>
      <c r="G1662">
        <v>1</v>
      </c>
      <c r="H1662">
        <v>1000</v>
      </c>
      <c r="J1662" cm="1">
        <f t="array" ref="J1662">_xlfn.SWITCH(B1662,1,75,2,61,3,49,4,37,5,25,6,13,7,4,8,1)</f>
        <v>4</v>
      </c>
      <c r="K1662" t="str" cm="1">
        <f t="array" ref="K1662">IFERROR(_xlfn.SWITCH(L1662,2,_xlfn.XLOOKUP(C1662,[1]ModifierDes!$B:$B,[1]ModifierDes!$C:$C),3,_xlfn.XLOOKUP(C1662,[1]StuntDes!$B:$B,[1]StuntDes!$C:$C)),"")</f>
        <v/>
      </c>
      <c r="L1662">
        <f t="shared" si="69"/>
        <v>1</v>
      </c>
      <c r="M1662" s="10" t="str">
        <f>IFERROR(_xlfn.XLOOKUP(C1662,[1]StuntDes!$B:$B,[1]StuntDes!$A:$A),"")</f>
        <v/>
      </c>
      <c r="N1662" s="10" t="str">
        <f>IFERROR(_xlfn.XLOOKUP(C1662,[1]ModifierDes!$B:$B,[1]ModifierDes!$A:$A),"")</f>
        <v/>
      </c>
      <c r="O1662" s="10">
        <f>IFERROR(_xlfn.XLOOKUP(C1662,[1]AttributeName!$C:$C,[1]AttributeName!$B:$B),"")</f>
        <v>10700</v>
      </c>
      <c r="P1662" s="10"/>
      <c r="Q1662">
        <v>0.02</v>
      </c>
      <c r="R1662">
        <v>0.02</v>
      </c>
      <c r="S1662" cm="1">
        <f t="array" ref="S1662">IFERROR(_xlfn.SWITCH(L1662,1,_xlfn.XLOOKUP(O1662,[1]AttributeName!$B:$B,[1]AttributeName!$D:$D),2,_xlfn.XLOOKUP(C1662,#REF!,#REF!),3,_xlfn.XLOOKUP(C1662,#REF!,#REF!)),0)</f>
        <v>2</v>
      </c>
      <c r="T1662" cm="1">
        <f t="array" ref="T1662">IFERROR(_xlfn.SWITCH(L1662,1,_xlfn.XLOOKUP(O1662,[1]AttributeName!$B:$B,[1]AttributeName!$E:$E),2,_xlfn.XLOOKUP(C1662,#REF!,#REF!),3,_xlfn.XLOOKUP(C1662,#REF!,#REF!)),0)</f>
        <v>2</v>
      </c>
    </row>
    <row r="1663" customFormat="1" spans="1:20">
      <c r="A1663">
        <f t="shared" si="70"/>
        <v>703</v>
      </c>
      <c r="B1663">
        <v>8</v>
      </c>
      <c r="C1663" t="s">
        <v>417</v>
      </c>
      <c r="D1663" t="s">
        <v>30</v>
      </c>
      <c r="E1663" t="s">
        <v>378</v>
      </c>
      <c r="F1663"/>
      <c r="G1663">
        <v>1</v>
      </c>
      <c r="H1663">
        <v>1000</v>
      </c>
      <c r="J1663" cm="1">
        <f t="array" ref="J1663">_xlfn.SWITCH(B1663,1,75,2,61,3,49,4,37,5,25,6,13,7,4,8,1)</f>
        <v>1</v>
      </c>
      <c r="K1663" t="str" cm="1">
        <f t="array" ref="K1663">IFERROR(_xlfn.SWITCH(L1663,2,_xlfn.XLOOKUP(C1663,[1]ModifierDes!$B:$B,[1]ModifierDes!$C:$C),3,_xlfn.XLOOKUP(C1663,[1]StuntDes!$B:$B,[1]StuntDes!$C:$C)),"")</f>
        <v/>
      </c>
      <c r="L1663">
        <f t="shared" si="69"/>
        <v>1</v>
      </c>
      <c r="M1663" s="10" t="str">
        <f>IFERROR(_xlfn.XLOOKUP(C1663,[1]StuntDes!$B:$B,[1]StuntDes!$A:$A),"")</f>
        <v/>
      </c>
      <c r="N1663" s="10" t="str">
        <f>IFERROR(_xlfn.XLOOKUP(C1663,[1]ModifierDes!$B:$B,[1]ModifierDes!$A:$A),"")</f>
        <v/>
      </c>
      <c r="O1663" s="10">
        <f>IFERROR(_xlfn.XLOOKUP(C1663,[1]AttributeName!$C:$C,[1]AttributeName!$B:$B),"")</f>
        <v>10700</v>
      </c>
      <c r="P1663" s="10"/>
      <c r="Q1663">
        <v>0.01</v>
      </c>
      <c r="R1663">
        <v>0.01</v>
      </c>
      <c r="S1663" cm="1">
        <f t="array" ref="S1663">IFERROR(_xlfn.SWITCH(L1663,1,_xlfn.XLOOKUP(O1663,[1]AttributeName!$B:$B,[1]AttributeName!$D:$D),2,_xlfn.XLOOKUP(C1663,#REF!,#REF!),3,_xlfn.XLOOKUP(C1663,#REF!,#REF!)),0)</f>
        <v>2</v>
      </c>
      <c r="T1663" cm="1">
        <f t="array" ref="T1663">IFERROR(_xlfn.SWITCH(L1663,1,_xlfn.XLOOKUP(O1663,[1]AttributeName!$B:$B,[1]AttributeName!$E:$E),2,_xlfn.XLOOKUP(C1663,#REF!,#REF!),3,_xlfn.XLOOKUP(C1663,#REF!,#REF!)),0)</f>
        <v>2</v>
      </c>
    </row>
    <row r="1664" customFormat="1" spans="1:20">
      <c r="A1664">
        <f t="shared" si="70"/>
        <v>704</v>
      </c>
      <c r="B1664">
        <v>1</v>
      </c>
      <c r="C1664" t="s">
        <v>383</v>
      </c>
      <c r="D1664" t="s">
        <v>30</v>
      </c>
      <c r="E1664" t="s">
        <v>378</v>
      </c>
      <c r="F1664"/>
      <c r="G1664">
        <v>1</v>
      </c>
      <c r="H1664">
        <v>50</v>
      </c>
      <c r="J1664" cm="1">
        <f t="array" ref="J1664">_xlfn.SWITCH(B1664,1,75,2,61,3,49,4,37,5,25,6,13,7,4,8,1)</f>
        <v>75</v>
      </c>
      <c r="K1664" t="str" cm="1">
        <f t="array" ref="K1664">IFERROR(_xlfn.SWITCH(L1664,2,_xlfn.XLOOKUP(C1664,[1]ModifierDes!$B:$B,[1]ModifierDes!$C:$C),3,_xlfn.XLOOKUP(C1664,[1]StuntDes!$B:$B,[1]StuntDes!$C:$C)),"")</f>
        <v>攻击伤害提高{0}</v>
      </c>
      <c r="L1664">
        <f t="shared" si="69"/>
        <v>2</v>
      </c>
      <c r="M1664" s="10" t="str">
        <f>IFERROR(_xlfn.XLOOKUP(C1664,[1]StuntDes!$B:$B,[1]StuntDes!$A:$A),"")</f>
        <v/>
      </c>
      <c r="N1664" s="10">
        <f>IFERROR(_xlfn.XLOOKUP(C1664,[1]ModifierDes!$B:$B,[1]ModifierDes!$A:$A),"")</f>
        <v>10066</v>
      </c>
      <c r="O1664" s="10" t="str">
        <f>IFERROR(_xlfn.XLOOKUP(C1664,[1]AttributeName!$C:$C,[1]AttributeName!$B:$B),"")</f>
        <v/>
      </c>
      <c r="P1664" s="10"/>
      <c r="Q1664">
        <v>0.25</v>
      </c>
      <c r="R1664">
        <v>0.35</v>
      </c>
      <c r="S1664" cm="1">
        <f t="array" ref="S1664">IFERROR(_xlfn.SWITCH(L1664,1,_xlfn.XLOOKUP(O1664,[1]AttributeName!$B:$B,[1]AttributeName!$D:$D),2,_xlfn.XLOOKUP(C1664,#REF!,#REF!),3,_xlfn.XLOOKUP(C1664,#REF!,#REF!)),0)</f>
        <v>0</v>
      </c>
      <c r="T1664" cm="1">
        <f t="array" ref="T1664">IFERROR(_xlfn.SWITCH(L1664,1,_xlfn.XLOOKUP(O1664,[1]AttributeName!$B:$B,[1]AttributeName!$E:$E),2,_xlfn.XLOOKUP(C1664,#REF!,#REF!),3,_xlfn.XLOOKUP(C1664,#REF!,#REF!)),0)</f>
        <v>0</v>
      </c>
    </row>
    <row r="1665" customFormat="1" spans="1:20">
      <c r="A1665">
        <f t="shared" si="70"/>
        <v>704</v>
      </c>
      <c r="B1665">
        <v>2</v>
      </c>
      <c r="C1665" t="s">
        <v>383</v>
      </c>
      <c r="D1665" t="s">
        <v>30</v>
      </c>
      <c r="E1665" t="s">
        <v>378</v>
      </c>
      <c r="F1665"/>
      <c r="G1665">
        <v>1</v>
      </c>
      <c r="H1665">
        <v>100</v>
      </c>
      <c r="I1665">
        <v>3</v>
      </c>
      <c r="J1665" cm="1">
        <f t="array" ref="J1665">_xlfn.SWITCH(B1665,1,75,2,61,3,49,4,37,5,25,6,13,7,4,8,1)</f>
        <v>61</v>
      </c>
      <c r="K1665" t="str" cm="1">
        <f t="array" ref="K1665">IFERROR(_xlfn.SWITCH(L1665,2,_xlfn.XLOOKUP(C1665,[1]ModifierDes!$B:$B,[1]ModifierDes!$C:$C),3,_xlfn.XLOOKUP(C1665,[1]StuntDes!$B:$B,[1]StuntDes!$C:$C)),"")</f>
        <v>攻击伤害提高{0}</v>
      </c>
      <c r="L1665">
        <f t="shared" si="69"/>
        <v>2</v>
      </c>
      <c r="M1665" s="10" t="str">
        <f>IFERROR(_xlfn.XLOOKUP(C1665,[1]StuntDes!$B:$B,[1]StuntDes!$A:$A),"")</f>
        <v/>
      </c>
      <c r="N1665" s="10">
        <f>IFERROR(_xlfn.XLOOKUP(C1665,[1]ModifierDes!$B:$B,[1]ModifierDes!$A:$A),"")</f>
        <v>10066</v>
      </c>
      <c r="O1665" s="10" t="str">
        <f>IFERROR(_xlfn.XLOOKUP(C1665,[1]AttributeName!$C:$C,[1]AttributeName!$B:$B),"")</f>
        <v/>
      </c>
      <c r="P1665" s="10"/>
      <c r="Q1665">
        <v>0.22</v>
      </c>
      <c r="R1665">
        <v>0.24</v>
      </c>
      <c r="S1665" cm="1">
        <f t="array" ref="S1665">IFERROR(_xlfn.SWITCH(L1665,1,_xlfn.XLOOKUP(O1665,[1]AttributeName!$B:$B,[1]AttributeName!$D:$D),2,_xlfn.XLOOKUP(C1665,#REF!,#REF!),3,_xlfn.XLOOKUP(C1665,#REF!,#REF!)),0)</f>
        <v>0</v>
      </c>
      <c r="T1665" cm="1">
        <f t="array" ref="T1665">IFERROR(_xlfn.SWITCH(L1665,1,_xlfn.XLOOKUP(O1665,[1]AttributeName!$B:$B,[1]AttributeName!$E:$E),2,_xlfn.XLOOKUP(C1665,#REF!,#REF!),3,_xlfn.XLOOKUP(C1665,#REF!,#REF!)),0)</f>
        <v>0</v>
      </c>
    </row>
    <row r="1666" customFormat="1" spans="1:20">
      <c r="A1666">
        <f t="shared" si="70"/>
        <v>704</v>
      </c>
      <c r="B1666">
        <v>3</v>
      </c>
      <c r="C1666" t="s">
        <v>383</v>
      </c>
      <c r="D1666" t="s">
        <v>30</v>
      </c>
      <c r="E1666" t="s">
        <v>378</v>
      </c>
      <c r="F1666"/>
      <c r="G1666">
        <v>1</v>
      </c>
      <c r="H1666">
        <v>200</v>
      </c>
      <c r="I1666">
        <v>3</v>
      </c>
      <c r="J1666" cm="1">
        <f t="array" ref="J1666">_xlfn.SWITCH(B1666,1,75,2,61,3,49,4,37,5,25,6,13,7,4,8,1)</f>
        <v>49</v>
      </c>
      <c r="K1666" t="str" cm="1">
        <f t="array" ref="K1666">IFERROR(_xlfn.SWITCH(L1666,2,_xlfn.XLOOKUP(C1666,[1]ModifierDes!$B:$B,[1]ModifierDes!$C:$C),3,_xlfn.XLOOKUP(C1666,[1]StuntDes!$B:$B,[1]StuntDes!$C:$C)),"")</f>
        <v>攻击伤害提高{0}</v>
      </c>
      <c r="L1666">
        <f t="shared" si="69"/>
        <v>2</v>
      </c>
      <c r="M1666" s="10" t="str">
        <f>IFERROR(_xlfn.XLOOKUP(C1666,[1]StuntDes!$B:$B,[1]StuntDes!$A:$A),"")</f>
        <v/>
      </c>
      <c r="N1666" s="10">
        <f>IFERROR(_xlfn.XLOOKUP(C1666,[1]ModifierDes!$B:$B,[1]ModifierDes!$A:$A),"")</f>
        <v>10066</v>
      </c>
      <c r="O1666" s="10" t="str">
        <f>IFERROR(_xlfn.XLOOKUP(C1666,[1]AttributeName!$C:$C,[1]AttributeName!$B:$B),"")</f>
        <v/>
      </c>
      <c r="P1666" s="10"/>
      <c r="Q1666">
        <v>0.19</v>
      </c>
      <c r="R1666">
        <v>0.21</v>
      </c>
      <c r="S1666" cm="1">
        <f t="array" ref="S1666">IFERROR(_xlfn.SWITCH(L1666,1,_xlfn.XLOOKUP(O1666,[1]AttributeName!$B:$B,[1]AttributeName!$D:$D),2,_xlfn.XLOOKUP(C1666,#REF!,#REF!),3,_xlfn.XLOOKUP(C1666,#REF!,#REF!)),0)</f>
        <v>0</v>
      </c>
      <c r="T1666" cm="1">
        <f t="array" ref="T1666">IFERROR(_xlfn.SWITCH(L1666,1,_xlfn.XLOOKUP(O1666,[1]AttributeName!$B:$B,[1]AttributeName!$E:$E),2,_xlfn.XLOOKUP(C1666,#REF!,#REF!),3,_xlfn.XLOOKUP(C1666,#REF!,#REF!)),0)</f>
        <v>0</v>
      </c>
    </row>
    <row r="1667" customFormat="1" spans="1:20">
      <c r="A1667">
        <f t="shared" si="70"/>
        <v>704</v>
      </c>
      <c r="B1667">
        <v>4</v>
      </c>
      <c r="C1667" t="s">
        <v>383</v>
      </c>
      <c r="D1667" t="s">
        <v>30</v>
      </c>
      <c r="E1667" t="s">
        <v>378</v>
      </c>
      <c r="F1667"/>
      <c r="G1667">
        <v>1</v>
      </c>
      <c r="H1667">
        <v>500</v>
      </c>
      <c r="I1667">
        <v>3</v>
      </c>
      <c r="J1667" cm="1">
        <f t="array" ref="J1667">_xlfn.SWITCH(B1667,1,75,2,61,3,49,4,37,5,25,6,13,7,4,8,1)</f>
        <v>37</v>
      </c>
      <c r="K1667" t="str" cm="1">
        <f t="array" ref="K1667">IFERROR(_xlfn.SWITCH(L1667,2,_xlfn.XLOOKUP(C1667,[1]ModifierDes!$B:$B,[1]ModifierDes!$C:$C),3,_xlfn.XLOOKUP(C1667,[1]StuntDes!$B:$B,[1]StuntDes!$C:$C)),"")</f>
        <v>攻击伤害提高{0}</v>
      </c>
      <c r="L1667">
        <f t="shared" si="69"/>
        <v>2</v>
      </c>
      <c r="M1667" s="10" t="str">
        <f>IFERROR(_xlfn.XLOOKUP(C1667,[1]StuntDes!$B:$B,[1]StuntDes!$A:$A),"")</f>
        <v/>
      </c>
      <c r="N1667" s="10">
        <f>IFERROR(_xlfn.XLOOKUP(C1667,[1]ModifierDes!$B:$B,[1]ModifierDes!$A:$A),"")</f>
        <v>10066</v>
      </c>
      <c r="O1667" s="10" t="str">
        <f>IFERROR(_xlfn.XLOOKUP(C1667,[1]AttributeName!$C:$C,[1]AttributeName!$B:$B),"")</f>
        <v/>
      </c>
      <c r="P1667" s="10"/>
      <c r="Q1667">
        <v>0.16</v>
      </c>
      <c r="R1667">
        <v>0.18</v>
      </c>
      <c r="S1667" cm="1">
        <f t="array" ref="S1667">IFERROR(_xlfn.SWITCH(L1667,1,_xlfn.XLOOKUP(O1667,[1]AttributeName!$B:$B,[1]AttributeName!$D:$D),2,_xlfn.XLOOKUP(C1667,#REF!,#REF!),3,_xlfn.XLOOKUP(C1667,#REF!,#REF!)),0)</f>
        <v>0</v>
      </c>
      <c r="T1667" cm="1">
        <f t="array" ref="T1667">IFERROR(_xlfn.SWITCH(L1667,1,_xlfn.XLOOKUP(O1667,[1]AttributeName!$B:$B,[1]AttributeName!$E:$E),2,_xlfn.XLOOKUP(C1667,#REF!,#REF!),3,_xlfn.XLOOKUP(C1667,#REF!,#REF!)),0)</f>
        <v>0</v>
      </c>
    </row>
    <row r="1668" customFormat="1" spans="1:20">
      <c r="A1668">
        <f t="shared" si="70"/>
        <v>704</v>
      </c>
      <c r="B1668">
        <v>5</v>
      </c>
      <c r="C1668" t="s">
        <v>383</v>
      </c>
      <c r="D1668" t="s">
        <v>30</v>
      </c>
      <c r="E1668" t="s">
        <v>378</v>
      </c>
      <c r="F1668"/>
      <c r="G1668">
        <v>1</v>
      </c>
      <c r="H1668">
        <v>750</v>
      </c>
      <c r="I1668">
        <v>3</v>
      </c>
      <c r="J1668" cm="1">
        <f t="array" ref="J1668">_xlfn.SWITCH(B1668,1,75,2,61,3,49,4,37,5,25,6,13,7,4,8,1)</f>
        <v>25</v>
      </c>
      <c r="K1668" t="str" cm="1">
        <f t="array" ref="K1668">IFERROR(_xlfn.SWITCH(L1668,2,_xlfn.XLOOKUP(C1668,[1]ModifierDes!$B:$B,[1]ModifierDes!$C:$C),3,_xlfn.XLOOKUP(C1668,[1]StuntDes!$B:$B,[1]StuntDes!$C:$C)),"")</f>
        <v>攻击伤害提高{0}</v>
      </c>
      <c r="L1668">
        <f t="shared" ref="L1668:L1731" si="71">IF(M1668="",IF(N1668="",1,2),3)</f>
        <v>2</v>
      </c>
      <c r="M1668" s="10" t="str">
        <f>IFERROR(_xlfn.XLOOKUP(C1668,[1]StuntDes!$B:$B,[1]StuntDes!$A:$A),"")</f>
        <v/>
      </c>
      <c r="N1668" s="10">
        <f>IFERROR(_xlfn.XLOOKUP(C1668,[1]ModifierDes!$B:$B,[1]ModifierDes!$A:$A),"")</f>
        <v>10066</v>
      </c>
      <c r="O1668" s="10" t="str">
        <f>IFERROR(_xlfn.XLOOKUP(C1668,[1]AttributeName!$C:$C,[1]AttributeName!$B:$B),"")</f>
        <v/>
      </c>
      <c r="P1668" s="10"/>
      <c r="Q1668">
        <v>0.13</v>
      </c>
      <c r="R1668">
        <v>0.15</v>
      </c>
      <c r="S1668" cm="1">
        <f t="array" ref="S1668">IFERROR(_xlfn.SWITCH(L1668,1,_xlfn.XLOOKUP(O1668,[1]AttributeName!$B:$B,[1]AttributeName!$D:$D),2,_xlfn.XLOOKUP(C1668,#REF!,#REF!),3,_xlfn.XLOOKUP(C1668,#REF!,#REF!)),0)</f>
        <v>0</v>
      </c>
      <c r="T1668" cm="1">
        <f t="array" ref="T1668">IFERROR(_xlfn.SWITCH(L1668,1,_xlfn.XLOOKUP(O1668,[1]AttributeName!$B:$B,[1]AttributeName!$E:$E),2,_xlfn.XLOOKUP(C1668,#REF!,#REF!),3,_xlfn.XLOOKUP(C1668,#REF!,#REF!)),0)</f>
        <v>0</v>
      </c>
    </row>
    <row r="1669" customFormat="1" spans="1:20">
      <c r="A1669">
        <f t="shared" si="70"/>
        <v>704</v>
      </c>
      <c r="B1669">
        <v>6</v>
      </c>
      <c r="C1669" t="s">
        <v>383</v>
      </c>
      <c r="D1669" t="s">
        <v>30</v>
      </c>
      <c r="E1669" t="s">
        <v>378</v>
      </c>
      <c r="F1669"/>
      <c r="G1669">
        <v>1</v>
      </c>
      <c r="H1669">
        <v>1000</v>
      </c>
      <c r="I1669">
        <v>3</v>
      </c>
      <c r="J1669" cm="1">
        <f t="array" ref="J1669">_xlfn.SWITCH(B1669,1,75,2,61,3,49,4,37,5,25,6,13,7,4,8,1)</f>
        <v>13</v>
      </c>
      <c r="K1669" t="str" cm="1">
        <f t="array" ref="K1669">IFERROR(_xlfn.SWITCH(L1669,2,_xlfn.XLOOKUP(C1669,[1]ModifierDes!$B:$B,[1]ModifierDes!$C:$C),3,_xlfn.XLOOKUP(C1669,[1]StuntDes!$B:$B,[1]StuntDes!$C:$C)),"")</f>
        <v>攻击伤害提高{0}</v>
      </c>
      <c r="L1669">
        <f t="shared" si="71"/>
        <v>2</v>
      </c>
      <c r="M1669" s="10" t="str">
        <f>IFERROR(_xlfn.XLOOKUP(C1669,[1]StuntDes!$B:$B,[1]StuntDes!$A:$A),"")</f>
        <v/>
      </c>
      <c r="N1669" s="10">
        <f>IFERROR(_xlfn.XLOOKUP(C1669,[1]ModifierDes!$B:$B,[1]ModifierDes!$A:$A),"")</f>
        <v>10066</v>
      </c>
      <c r="O1669" s="10" t="str">
        <f>IFERROR(_xlfn.XLOOKUP(C1669,[1]AttributeName!$C:$C,[1]AttributeName!$B:$B),"")</f>
        <v/>
      </c>
      <c r="P1669" s="10"/>
      <c r="Q1669">
        <v>0.0999999999999999</v>
      </c>
      <c r="R1669">
        <v>0.12</v>
      </c>
      <c r="S1669" cm="1">
        <f t="array" ref="S1669">IFERROR(_xlfn.SWITCH(L1669,1,_xlfn.XLOOKUP(O1669,[1]AttributeName!$B:$B,[1]AttributeName!$D:$D),2,_xlfn.XLOOKUP(C1669,#REF!,#REF!),3,_xlfn.XLOOKUP(C1669,#REF!,#REF!)),0)</f>
        <v>0</v>
      </c>
      <c r="T1669" cm="1">
        <f t="array" ref="T1669">IFERROR(_xlfn.SWITCH(L1669,1,_xlfn.XLOOKUP(O1669,[1]AttributeName!$B:$B,[1]AttributeName!$E:$E),2,_xlfn.XLOOKUP(C1669,#REF!,#REF!),3,_xlfn.XLOOKUP(C1669,#REF!,#REF!)),0)</f>
        <v>0</v>
      </c>
    </row>
    <row r="1670" customFormat="1" spans="1:20">
      <c r="A1670">
        <f t="shared" si="70"/>
        <v>704</v>
      </c>
      <c r="B1670">
        <v>7</v>
      </c>
      <c r="C1670" t="s">
        <v>383</v>
      </c>
      <c r="D1670" t="s">
        <v>30</v>
      </c>
      <c r="E1670" t="s">
        <v>378</v>
      </c>
      <c r="F1670"/>
      <c r="G1670">
        <v>1</v>
      </c>
      <c r="H1670">
        <v>1000</v>
      </c>
      <c r="I1670">
        <v>3</v>
      </c>
      <c r="J1670" cm="1">
        <f t="array" ref="J1670">_xlfn.SWITCH(B1670,1,75,2,61,3,49,4,37,5,25,6,13,7,4,8,1)</f>
        <v>4</v>
      </c>
      <c r="K1670" t="str" cm="1">
        <f t="array" ref="K1670">IFERROR(_xlfn.SWITCH(L1670,2,_xlfn.XLOOKUP(C1670,[1]ModifierDes!$B:$B,[1]ModifierDes!$C:$C),3,_xlfn.XLOOKUP(C1670,[1]StuntDes!$B:$B,[1]StuntDes!$C:$C)),"")</f>
        <v>攻击伤害提高{0}</v>
      </c>
      <c r="L1670">
        <f t="shared" si="71"/>
        <v>2</v>
      </c>
      <c r="M1670" s="10" t="str">
        <f>IFERROR(_xlfn.XLOOKUP(C1670,[1]StuntDes!$B:$B,[1]StuntDes!$A:$A),"")</f>
        <v/>
      </c>
      <c r="N1670" s="10">
        <f>IFERROR(_xlfn.XLOOKUP(C1670,[1]ModifierDes!$B:$B,[1]ModifierDes!$A:$A),"")</f>
        <v>10066</v>
      </c>
      <c r="O1670" s="10" t="str">
        <f>IFERROR(_xlfn.XLOOKUP(C1670,[1]AttributeName!$C:$C,[1]AttributeName!$B:$B),"")</f>
        <v/>
      </c>
      <c r="P1670" s="10"/>
      <c r="Q1670">
        <v>0.0699999999999999</v>
      </c>
      <c r="R1670">
        <v>0.09</v>
      </c>
      <c r="S1670" cm="1">
        <f t="array" ref="S1670">IFERROR(_xlfn.SWITCH(L1670,1,_xlfn.XLOOKUP(O1670,[1]AttributeName!$B:$B,[1]AttributeName!$D:$D),2,_xlfn.XLOOKUP(C1670,#REF!,#REF!),3,_xlfn.XLOOKUP(C1670,#REF!,#REF!)),0)</f>
        <v>0</v>
      </c>
      <c r="T1670" cm="1">
        <f t="array" ref="T1670">IFERROR(_xlfn.SWITCH(L1670,1,_xlfn.XLOOKUP(O1670,[1]AttributeName!$B:$B,[1]AttributeName!$E:$E),2,_xlfn.XLOOKUP(C1670,#REF!,#REF!),3,_xlfn.XLOOKUP(C1670,#REF!,#REF!)),0)</f>
        <v>0</v>
      </c>
    </row>
    <row r="1671" customFormat="1" spans="1:20">
      <c r="A1671">
        <f t="shared" si="70"/>
        <v>704</v>
      </c>
      <c r="B1671">
        <v>8</v>
      </c>
      <c r="C1671" t="s">
        <v>383</v>
      </c>
      <c r="D1671" t="s">
        <v>30</v>
      </c>
      <c r="E1671" t="s">
        <v>378</v>
      </c>
      <c r="F1671"/>
      <c r="G1671">
        <v>1</v>
      </c>
      <c r="H1671">
        <v>1000</v>
      </c>
      <c r="I1671">
        <v>3</v>
      </c>
      <c r="J1671" cm="1">
        <f t="array" ref="J1671">_xlfn.SWITCH(B1671,1,75,2,61,3,49,4,37,5,25,6,13,7,4,8,1)</f>
        <v>1</v>
      </c>
      <c r="K1671" t="str" cm="1">
        <f t="array" ref="K1671">IFERROR(_xlfn.SWITCH(L1671,2,_xlfn.XLOOKUP(C1671,[1]ModifierDes!$B:$B,[1]ModifierDes!$C:$C),3,_xlfn.XLOOKUP(C1671,[1]StuntDes!$B:$B,[1]StuntDes!$C:$C)),"")</f>
        <v>攻击伤害提高{0}</v>
      </c>
      <c r="L1671">
        <f t="shared" si="71"/>
        <v>2</v>
      </c>
      <c r="M1671" s="10" t="str">
        <f>IFERROR(_xlfn.XLOOKUP(C1671,[1]StuntDes!$B:$B,[1]StuntDes!$A:$A),"")</f>
        <v/>
      </c>
      <c r="N1671" s="10">
        <f>IFERROR(_xlfn.XLOOKUP(C1671,[1]ModifierDes!$B:$B,[1]ModifierDes!$A:$A),"")</f>
        <v>10066</v>
      </c>
      <c r="O1671" s="10" t="str">
        <f>IFERROR(_xlfn.XLOOKUP(C1671,[1]AttributeName!$C:$C,[1]AttributeName!$B:$B),"")</f>
        <v/>
      </c>
      <c r="P1671" s="10"/>
      <c r="Q1671">
        <v>0.0399999999999998</v>
      </c>
      <c r="R1671">
        <v>0.06</v>
      </c>
      <c r="S1671" cm="1">
        <f t="array" ref="S1671">IFERROR(_xlfn.SWITCH(L1671,1,_xlfn.XLOOKUP(O1671,[1]AttributeName!$B:$B,[1]AttributeName!$D:$D),2,_xlfn.XLOOKUP(C1671,#REF!,#REF!),3,_xlfn.XLOOKUP(C1671,#REF!,#REF!)),0)</f>
        <v>0</v>
      </c>
      <c r="T1671" cm="1">
        <f t="array" ref="T1671">IFERROR(_xlfn.SWITCH(L1671,1,_xlfn.XLOOKUP(O1671,[1]AttributeName!$B:$B,[1]AttributeName!$E:$E),2,_xlfn.XLOOKUP(C1671,#REF!,#REF!),3,_xlfn.XLOOKUP(C1671,#REF!,#REF!)),0)</f>
        <v>0</v>
      </c>
    </row>
    <row r="1672" customFormat="1" spans="1:20">
      <c r="A1672">
        <f t="shared" si="70"/>
        <v>705</v>
      </c>
      <c r="B1672">
        <v>1</v>
      </c>
      <c r="C1672" t="s">
        <v>418</v>
      </c>
      <c r="D1672" t="s">
        <v>30</v>
      </c>
      <c r="E1672" t="s">
        <v>378</v>
      </c>
      <c r="F1672"/>
      <c r="G1672">
        <v>1</v>
      </c>
      <c r="H1672">
        <v>50</v>
      </c>
      <c r="I1672">
        <v>3</v>
      </c>
      <c r="J1672" cm="1">
        <f t="array" ref="J1672">_xlfn.SWITCH(B1672,1,75,2,61,3,49,4,37,5,25,6,13,7,4,8,1)</f>
        <v>75</v>
      </c>
      <c r="K1672" t="str" cm="1">
        <f t="array" ref="K1672">IFERROR(_xlfn.SWITCH(L1672,2,_xlfn.XLOOKUP(C1672,[1]ModifierDes!$B:$B,[1]ModifierDes!$C:$C),3,_xlfn.XLOOKUP(C1672,[1]StuntDes!$B:$B,[1]StuntDes!$C:$C)),"")</f>
        <v>法术伤害提高{0}</v>
      </c>
      <c r="L1672">
        <f t="shared" si="71"/>
        <v>2</v>
      </c>
      <c r="M1672" s="10" t="str">
        <f>IFERROR(_xlfn.XLOOKUP(C1672,[1]StuntDes!$B:$B,[1]StuntDes!$A:$A),"")</f>
        <v/>
      </c>
      <c r="N1672" s="10">
        <f>IFERROR(_xlfn.XLOOKUP(C1672,[1]ModifierDes!$B:$B,[1]ModifierDes!$A:$A),"")</f>
        <v>10067</v>
      </c>
      <c r="O1672" s="10" t="str">
        <f>IFERROR(_xlfn.XLOOKUP(C1672,[1]AttributeName!$C:$C,[1]AttributeName!$B:$B),"")</f>
        <v/>
      </c>
      <c r="P1672" s="10"/>
      <c r="Q1672">
        <v>0.25</v>
      </c>
      <c r="R1672">
        <v>0.35</v>
      </c>
      <c r="S1672" cm="1">
        <f t="array" ref="S1672">IFERROR(_xlfn.SWITCH(L1672,1,_xlfn.XLOOKUP(O1672,[1]AttributeName!$B:$B,[1]AttributeName!$D:$D),2,_xlfn.XLOOKUP(C1672,#REF!,#REF!),3,_xlfn.XLOOKUP(C1672,#REF!,#REF!)),0)</f>
        <v>0</v>
      </c>
      <c r="T1672" cm="1">
        <f t="array" ref="T1672">IFERROR(_xlfn.SWITCH(L1672,1,_xlfn.XLOOKUP(O1672,[1]AttributeName!$B:$B,[1]AttributeName!$E:$E),2,_xlfn.XLOOKUP(C1672,#REF!,#REF!),3,_xlfn.XLOOKUP(C1672,#REF!,#REF!)),0)</f>
        <v>0</v>
      </c>
    </row>
    <row r="1673" customFormat="1" spans="1:20">
      <c r="A1673">
        <f t="shared" si="70"/>
        <v>705</v>
      </c>
      <c r="B1673">
        <v>2</v>
      </c>
      <c r="C1673" t="s">
        <v>418</v>
      </c>
      <c r="D1673" t="s">
        <v>30</v>
      </c>
      <c r="E1673" t="s">
        <v>378</v>
      </c>
      <c r="F1673"/>
      <c r="G1673">
        <v>1</v>
      </c>
      <c r="H1673">
        <v>100</v>
      </c>
      <c r="I1673">
        <v>3</v>
      </c>
      <c r="J1673" cm="1">
        <f t="array" ref="J1673">_xlfn.SWITCH(B1673,1,75,2,61,3,49,4,37,5,25,6,13,7,4,8,1)</f>
        <v>61</v>
      </c>
      <c r="K1673" t="str" cm="1">
        <f t="array" ref="K1673">IFERROR(_xlfn.SWITCH(L1673,2,_xlfn.XLOOKUP(C1673,[1]ModifierDes!$B:$B,[1]ModifierDes!$C:$C),3,_xlfn.XLOOKUP(C1673,[1]StuntDes!$B:$B,[1]StuntDes!$C:$C)),"")</f>
        <v>法术伤害提高{0}</v>
      </c>
      <c r="L1673">
        <f t="shared" si="71"/>
        <v>2</v>
      </c>
      <c r="M1673" s="10" t="str">
        <f>IFERROR(_xlfn.XLOOKUP(C1673,[1]StuntDes!$B:$B,[1]StuntDes!$A:$A),"")</f>
        <v/>
      </c>
      <c r="N1673" s="10">
        <f>IFERROR(_xlfn.XLOOKUP(C1673,[1]ModifierDes!$B:$B,[1]ModifierDes!$A:$A),"")</f>
        <v>10067</v>
      </c>
      <c r="O1673" s="10" t="str">
        <f>IFERROR(_xlfn.XLOOKUP(C1673,[1]AttributeName!$C:$C,[1]AttributeName!$B:$B),"")</f>
        <v/>
      </c>
      <c r="P1673" s="10"/>
      <c r="Q1673">
        <v>0.22</v>
      </c>
      <c r="R1673">
        <v>0.24</v>
      </c>
      <c r="S1673" cm="1">
        <f t="array" ref="S1673">IFERROR(_xlfn.SWITCH(L1673,1,_xlfn.XLOOKUP(O1673,[1]AttributeName!$B:$B,[1]AttributeName!$D:$D),2,_xlfn.XLOOKUP(C1673,#REF!,#REF!),3,_xlfn.XLOOKUP(C1673,#REF!,#REF!)),0)</f>
        <v>0</v>
      </c>
      <c r="T1673" cm="1">
        <f t="array" ref="T1673">IFERROR(_xlfn.SWITCH(L1673,1,_xlfn.XLOOKUP(O1673,[1]AttributeName!$B:$B,[1]AttributeName!$E:$E),2,_xlfn.XLOOKUP(C1673,#REF!,#REF!),3,_xlfn.XLOOKUP(C1673,#REF!,#REF!)),0)</f>
        <v>0</v>
      </c>
    </row>
    <row r="1674" customFormat="1" spans="1:20">
      <c r="A1674">
        <f t="shared" si="70"/>
        <v>705</v>
      </c>
      <c r="B1674">
        <v>3</v>
      </c>
      <c r="C1674" t="s">
        <v>418</v>
      </c>
      <c r="D1674" t="s">
        <v>30</v>
      </c>
      <c r="E1674" t="s">
        <v>378</v>
      </c>
      <c r="F1674"/>
      <c r="G1674">
        <v>1</v>
      </c>
      <c r="H1674">
        <v>200</v>
      </c>
      <c r="I1674">
        <v>3</v>
      </c>
      <c r="J1674" cm="1">
        <f t="array" ref="J1674">_xlfn.SWITCH(B1674,1,75,2,61,3,49,4,37,5,25,6,13,7,4,8,1)</f>
        <v>49</v>
      </c>
      <c r="K1674" t="str" cm="1">
        <f t="array" ref="K1674">IFERROR(_xlfn.SWITCH(L1674,2,_xlfn.XLOOKUP(C1674,[1]ModifierDes!$B:$B,[1]ModifierDes!$C:$C),3,_xlfn.XLOOKUP(C1674,[1]StuntDes!$B:$B,[1]StuntDes!$C:$C)),"")</f>
        <v>法术伤害提高{0}</v>
      </c>
      <c r="L1674">
        <f t="shared" si="71"/>
        <v>2</v>
      </c>
      <c r="M1674" s="10" t="str">
        <f>IFERROR(_xlfn.XLOOKUP(C1674,[1]StuntDes!$B:$B,[1]StuntDes!$A:$A),"")</f>
        <v/>
      </c>
      <c r="N1674" s="10">
        <f>IFERROR(_xlfn.XLOOKUP(C1674,[1]ModifierDes!$B:$B,[1]ModifierDes!$A:$A),"")</f>
        <v>10067</v>
      </c>
      <c r="O1674" s="10" t="str">
        <f>IFERROR(_xlfn.XLOOKUP(C1674,[1]AttributeName!$C:$C,[1]AttributeName!$B:$B),"")</f>
        <v/>
      </c>
      <c r="P1674" s="10"/>
      <c r="Q1674">
        <v>0.19</v>
      </c>
      <c r="R1674">
        <v>0.21</v>
      </c>
      <c r="S1674" cm="1">
        <f t="array" ref="S1674">IFERROR(_xlfn.SWITCH(L1674,1,_xlfn.XLOOKUP(O1674,[1]AttributeName!$B:$B,[1]AttributeName!$D:$D),2,_xlfn.XLOOKUP(C1674,#REF!,#REF!),3,_xlfn.XLOOKUP(C1674,#REF!,#REF!)),0)</f>
        <v>0</v>
      </c>
      <c r="T1674" cm="1">
        <f t="array" ref="T1674">IFERROR(_xlfn.SWITCH(L1674,1,_xlfn.XLOOKUP(O1674,[1]AttributeName!$B:$B,[1]AttributeName!$E:$E),2,_xlfn.XLOOKUP(C1674,#REF!,#REF!),3,_xlfn.XLOOKUP(C1674,#REF!,#REF!)),0)</f>
        <v>0</v>
      </c>
    </row>
    <row r="1675" customFormat="1" spans="1:20">
      <c r="A1675">
        <f t="shared" si="70"/>
        <v>705</v>
      </c>
      <c r="B1675">
        <v>4</v>
      </c>
      <c r="C1675" t="s">
        <v>418</v>
      </c>
      <c r="D1675" t="s">
        <v>30</v>
      </c>
      <c r="E1675" t="s">
        <v>378</v>
      </c>
      <c r="F1675"/>
      <c r="G1675">
        <v>1</v>
      </c>
      <c r="H1675">
        <v>500</v>
      </c>
      <c r="I1675">
        <v>3</v>
      </c>
      <c r="J1675" cm="1">
        <f t="array" ref="J1675">_xlfn.SWITCH(B1675,1,75,2,61,3,49,4,37,5,25,6,13,7,4,8,1)</f>
        <v>37</v>
      </c>
      <c r="K1675" t="str" cm="1">
        <f t="array" ref="K1675">IFERROR(_xlfn.SWITCH(L1675,2,_xlfn.XLOOKUP(C1675,[1]ModifierDes!$B:$B,[1]ModifierDes!$C:$C),3,_xlfn.XLOOKUP(C1675,[1]StuntDes!$B:$B,[1]StuntDes!$C:$C)),"")</f>
        <v>法术伤害提高{0}</v>
      </c>
      <c r="L1675">
        <f t="shared" si="71"/>
        <v>2</v>
      </c>
      <c r="M1675" s="10" t="str">
        <f>IFERROR(_xlfn.XLOOKUP(C1675,[1]StuntDes!$B:$B,[1]StuntDes!$A:$A),"")</f>
        <v/>
      </c>
      <c r="N1675" s="10">
        <f>IFERROR(_xlfn.XLOOKUP(C1675,[1]ModifierDes!$B:$B,[1]ModifierDes!$A:$A),"")</f>
        <v>10067</v>
      </c>
      <c r="O1675" s="10" t="str">
        <f>IFERROR(_xlfn.XLOOKUP(C1675,[1]AttributeName!$C:$C,[1]AttributeName!$B:$B),"")</f>
        <v/>
      </c>
      <c r="P1675" s="10"/>
      <c r="Q1675">
        <v>0.16</v>
      </c>
      <c r="R1675">
        <v>0.18</v>
      </c>
      <c r="S1675" cm="1">
        <f t="array" ref="S1675">IFERROR(_xlfn.SWITCH(L1675,1,_xlfn.XLOOKUP(O1675,[1]AttributeName!$B:$B,[1]AttributeName!$D:$D),2,_xlfn.XLOOKUP(C1675,#REF!,#REF!),3,_xlfn.XLOOKUP(C1675,#REF!,#REF!)),0)</f>
        <v>0</v>
      </c>
      <c r="T1675" cm="1">
        <f t="array" ref="T1675">IFERROR(_xlfn.SWITCH(L1675,1,_xlfn.XLOOKUP(O1675,[1]AttributeName!$B:$B,[1]AttributeName!$E:$E),2,_xlfn.XLOOKUP(C1675,#REF!,#REF!),3,_xlfn.XLOOKUP(C1675,#REF!,#REF!)),0)</f>
        <v>0</v>
      </c>
    </row>
    <row r="1676" customFormat="1" spans="1:20">
      <c r="A1676">
        <f t="shared" si="70"/>
        <v>705</v>
      </c>
      <c r="B1676">
        <v>5</v>
      </c>
      <c r="C1676" t="s">
        <v>418</v>
      </c>
      <c r="D1676" t="s">
        <v>30</v>
      </c>
      <c r="E1676" t="s">
        <v>378</v>
      </c>
      <c r="F1676"/>
      <c r="G1676">
        <v>1</v>
      </c>
      <c r="H1676">
        <v>750</v>
      </c>
      <c r="I1676">
        <v>3</v>
      </c>
      <c r="J1676" cm="1">
        <f t="array" ref="J1676">_xlfn.SWITCH(B1676,1,75,2,61,3,49,4,37,5,25,6,13,7,4,8,1)</f>
        <v>25</v>
      </c>
      <c r="K1676" t="str" cm="1">
        <f t="array" ref="K1676">IFERROR(_xlfn.SWITCH(L1676,2,_xlfn.XLOOKUP(C1676,[1]ModifierDes!$B:$B,[1]ModifierDes!$C:$C),3,_xlfn.XLOOKUP(C1676,[1]StuntDes!$B:$B,[1]StuntDes!$C:$C)),"")</f>
        <v>法术伤害提高{0}</v>
      </c>
      <c r="L1676">
        <f t="shared" si="71"/>
        <v>2</v>
      </c>
      <c r="M1676" s="10" t="str">
        <f>IFERROR(_xlfn.XLOOKUP(C1676,[1]StuntDes!$B:$B,[1]StuntDes!$A:$A),"")</f>
        <v/>
      </c>
      <c r="N1676" s="10">
        <f>IFERROR(_xlfn.XLOOKUP(C1676,[1]ModifierDes!$B:$B,[1]ModifierDes!$A:$A),"")</f>
        <v>10067</v>
      </c>
      <c r="O1676" s="10" t="str">
        <f>IFERROR(_xlfn.XLOOKUP(C1676,[1]AttributeName!$C:$C,[1]AttributeName!$B:$B),"")</f>
        <v/>
      </c>
      <c r="P1676" s="10"/>
      <c r="Q1676">
        <v>0.13</v>
      </c>
      <c r="R1676">
        <v>0.15</v>
      </c>
      <c r="S1676" cm="1">
        <f t="array" ref="S1676">IFERROR(_xlfn.SWITCH(L1676,1,_xlfn.XLOOKUP(O1676,[1]AttributeName!$B:$B,[1]AttributeName!$D:$D),2,_xlfn.XLOOKUP(C1676,#REF!,#REF!),3,_xlfn.XLOOKUP(C1676,#REF!,#REF!)),0)</f>
        <v>0</v>
      </c>
      <c r="T1676" cm="1">
        <f t="array" ref="T1676">IFERROR(_xlfn.SWITCH(L1676,1,_xlfn.XLOOKUP(O1676,[1]AttributeName!$B:$B,[1]AttributeName!$E:$E),2,_xlfn.XLOOKUP(C1676,#REF!,#REF!),3,_xlfn.XLOOKUP(C1676,#REF!,#REF!)),0)</f>
        <v>0</v>
      </c>
    </row>
    <row r="1677" customFormat="1" spans="1:20">
      <c r="A1677">
        <f t="shared" si="70"/>
        <v>705</v>
      </c>
      <c r="B1677">
        <v>6</v>
      </c>
      <c r="C1677" t="s">
        <v>418</v>
      </c>
      <c r="D1677" t="s">
        <v>30</v>
      </c>
      <c r="E1677" t="s">
        <v>378</v>
      </c>
      <c r="F1677"/>
      <c r="G1677">
        <v>1</v>
      </c>
      <c r="H1677">
        <v>1000</v>
      </c>
      <c r="I1677">
        <v>3</v>
      </c>
      <c r="J1677" cm="1">
        <f t="array" ref="J1677">_xlfn.SWITCH(B1677,1,75,2,61,3,49,4,37,5,25,6,13,7,4,8,1)</f>
        <v>13</v>
      </c>
      <c r="K1677" t="str" cm="1">
        <f t="array" ref="K1677">IFERROR(_xlfn.SWITCH(L1677,2,_xlfn.XLOOKUP(C1677,[1]ModifierDes!$B:$B,[1]ModifierDes!$C:$C),3,_xlfn.XLOOKUP(C1677,[1]StuntDes!$B:$B,[1]StuntDes!$C:$C)),"")</f>
        <v>法术伤害提高{0}</v>
      </c>
      <c r="L1677">
        <f t="shared" si="71"/>
        <v>2</v>
      </c>
      <c r="M1677" s="10" t="str">
        <f>IFERROR(_xlfn.XLOOKUP(C1677,[1]StuntDes!$B:$B,[1]StuntDes!$A:$A),"")</f>
        <v/>
      </c>
      <c r="N1677" s="10">
        <f>IFERROR(_xlfn.XLOOKUP(C1677,[1]ModifierDes!$B:$B,[1]ModifierDes!$A:$A),"")</f>
        <v>10067</v>
      </c>
      <c r="O1677" s="10" t="str">
        <f>IFERROR(_xlfn.XLOOKUP(C1677,[1]AttributeName!$C:$C,[1]AttributeName!$B:$B),"")</f>
        <v/>
      </c>
      <c r="P1677" s="10"/>
      <c r="Q1677">
        <v>0.0999999999999999</v>
      </c>
      <c r="R1677">
        <v>0.12</v>
      </c>
      <c r="S1677" cm="1">
        <f t="array" ref="S1677">IFERROR(_xlfn.SWITCH(L1677,1,_xlfn.XLOOKUP(O1677,[1]AttributeName!$B:$B,[1]AttributeName!$D:$D),2,_xlfn.XLOOKUP(C1677,#REF!,#REF!),3,_xlfn.XLOOKUP(C1677,#REF!,#REF!)),0)</f>
        <v>0</v>
      </c>
      <c r="T1677" cm="1">
        <f t="array" ref="T1677">IFERROR(_xlfn.SWITCH(L1677,1,_xlfn.XLOOKUP(O1677,[1]AttributeName!$B:$B,[1]AttributeName!$E:$E),2,_xlfn.XLOOKUP(C1677,#REF!,#REF!),3,_xlfn.XLOOKUP(C1677,#REF!,#REF!)),0)</f>
        <v>0</v>
      </c>
    </row>
    <row r="1678" customFormat="1" spans="1:20">
      <c r="A1678">
        <f t="shared" si="70"/>
        <v>705</v>
      </c>
      <c r="B1678">
        <v>7</v>
      </c>
      <c r="C1678" t="s">
        <v>418</v>
      </c>
      <c r="D1678" t="s">
        <v>30</v>
      </c>
      <c r="E1678" t="s">
        <v>378</v>
      </c>
      <c r="F1678"/>
      <c r="G1678">
        <v>1</v>
      </c>
      <c r="H1678">
        <v>1000</v>
      </c>
      <c r="I1678">
        <v>3</v>
      </c>
      <c r="J1678" cm="1">
        <f t="array" ref="J1678">_xlfn.SWITCH(B1678,1,75,2,61,3,49,4,37,5,25,6,13,7,4,8,1)</f>
        <v>4</v>
      </c>
      <c r="K1678" t="str" cm="1">
        <f t="array" ref="K1678">IFERROR(_xlfn.SWITCH(L1678,2,_xlfn.XLOOKUP(C1678,[1]ModifierDes!$B:$B,[1]ModifierDes!$C:$C),3,_xlfn.XLOOKUP(C1678,[1]StuntDes!$B:$B,[1]StuntDes!$C:$C)),"")</f>
        <v>法术伤害提高{0}</v>
      </c>
      <c r="L1678">
        <f t="shared" si="71"/>
        <v>2</v>
      </c>
      <c r="M1678" s="10" t="str">
        <f>IFERROR(_xlfn.XLOOKUP(C1678,[1]StuntDes!$B:$B,[1]StuntDes!$A:$A),"")</f>
        <v/>
      </c>
      <c r="N1678" s="10">
        <f>IFERROR(_xlfn.XLOOKUP(C1678,[1]ModifierDes!$B:$B,[1]ModifierDes!$A:$A),"")</f>
        <v>10067</v>
      </c>
      <c r="O1678" s="10" t="str">
        <f>IFERROR(_xlfn.XLOOKUP(C1678,[1]AttributeName!$C:$C,[1]AttributeName!$B:$B),"")</f>
        <v/>
      </c>
      <c r="P1678" s="10"/>
      <c r="Q1678">
        <v>0.0699999999999999</v>
      </c>
      <c r="R1678">
        <v>0.09</v>
      </c>
      <c r="S1678" cm="1">
        <f t="array" ref="S1678">IFERROR(_xlfn.SWITCH(L1678,1,_xlfn.XLOOKUP(O1678,[1]AttributeName!$B:$B,[1]AttributeName!$D:$D),2,_xlfn.XLOOKUP(C1678,#REF!,#REF!),3,_xlfn.XLOOKUP(C1678,#REF!,#REF!)),0)</f>
        <v>0</v>
      </c>
      <c r="T1678" cm="1">
        <f t="array" ref="T1678">IFERROR(_xlfn.SWITCH(L1678,1,_xlfn.XLOOKUP(O1678,[1]AttributeName!$B:$B,[1]AttributeName!$E:$E),2,_xlfn.XLOOKUP(C1678,#REF!,#REF!),3,_xlfn.XLOOKUP(C1678,#REF!,#REF!)),0)</f>
        <v>0</v>
      </c>
    </row>
    <row r="1679" customFormat="1" spans="1:20">
      <c r="A1679">
        <f t="shared" si="70"/>
        <v>705</v>
      </c>
      <c r="B1679">
        <v>8</v>
      </c>
      <c r="C1679" t="s">
        <v>418</v>
      </c>
      <c r="D1679" t="s">
        <v>30</v>
      </c>
      <c r="E1679" t="s">
        <v>378</v>
      </c>
      <c r="F1679"/>
      <c r="G1679">
        <v>1</v>
      </c>
      <c r="H1679">
        <v>1000</v>
      </c>
      <c r="I1679">
        <v>3</v>
      </c>
      <c r="J1679" cm="1">
        <f t="array" ref="J1679">_xlfn.SWITCH(B1679,1,75,2,61,3,49,4,37,5,25,6,13,7,4,8,1)</f>
        <v>1</v>
      </c>
      <c r="K1679" t="str" cm="1">
        <f t="array" ref="K1679">IFERROR(_xlfn.SWITCH(L1679,2,_xlfn.XLOOKUP(C1679,[1]ModifierDes!$B:$B,[1]ModifierDes!$C:$C),3,_xlfn.XLOOKUP(C1679,[1]StuntDes!$B:$B,[1]StuntDes!$C:$C)),"")</f>
        <v>法术伤害提高{0}</v>
      </c>
      <c r="L1679">
        <f t="shared" si="71"/>
        <v>2</v>
      </c>
      <c r="M1679" s="10" t="str">
        <f>IFERROR(_xlfn.XLOOKUP(C1679,[1]StuntDes!$B:$B,[1]StuntDes!$A:$A),"")</f>
        <v/>
      </c>
      <c r="N1679" s="10">
        <f>IFERROR(_xlfn.XLOOKUP(C1679,[1]ModifierDes!$B:$B,[1]ModifierDes!$A:$A),"")</f>
        <v>10067</v>
      </c>
      <c r="O1679" s="10" t="str">
        <f>IFERROR(_xlfn.XLOOKUP(C1679,[1]AttributeName!$C:$C,[1]AttributeName!$B:$B),"")</f>
        <v/>
      </c>
      <c r="P1679" s="10"/>
      <c r="Q1679">
        <v>0.0399999999999998</v>
      </c>
      <c r="R1679">
        <v>0.06</v>
      </c>
      <c r="S1679" cm="1">
        <f t="array" ref="S1679">IFERROR(_xlfn.SWITCH(L1679,1,_xlfn.XLOOKUP(O1679,[1]AttributeName!$B:$B,[1]AttributeName!$D:$D),2,_xlfn.XLOOKUP(C1679,#REF!,#REF!),3,_xlfn.XLOOKUP(C1679,#REF!,#REF!)),0)</f>
        <v>0</v>
      </c>
      <c r="T1679" cm="1">
        <f t="array" ref="T1679">IFERROR(_xlfn.SWITCH(L1679,1,_xlfn.XLOOKUP(O1679,[1]AttributeName!$B:$B,[1]AttributeName!$E:$E),2,_xlfn.XLOOKUP(C1679,#REF!,#REF!),3,_xlfn.XLOOKUP(C1679,#REF!,#REF!)),0)</f>
        <v>0</v>
      </c>
    </row>
    <row r="1680" customFormat="1" spans="1:20">
      <c r="A1680">
        <f t="shared" si="70"/>
        <v>706</v>
      </c>
      <c r="B1680">
        <v>1</v>
      </c>
      <c r="C1680" t="s">
        <v>384</v>
      </c>
      <c r="D1680" t="s">
        <v>30</v>
      </c>
      <c r="E1680" t="s">
        <v>378</v>
      </c>
      <c r="F1680"/>
      <c r="G1680">
        <v>1</v>
      </c>
      <c r="H1680">
        <v>100</v>
      </c>
      <c r="I1680">
        <v>3</v>
      </c>
      <c r="J1680" cm="1">
        <f t="array" ref="J1680">_xlfn.SWITCH(B1680,1,75,2,61,3,49,4,37,5,25,6,13,7,4,8,1)</f>
        <v>75</v>
      </c>
      <c r="K1680" t="str" cm="1">
        <f t="array" ref="K1680">IFERROR(_xlfn.SWITCH(L1680,2,_xlfn.XLOOKUP(C1680,[1]ModifierDes!$B:$B,[1]ModifierDes!$C:$C),3,_xlfn.XLOOKUP(C1680,[1]StuntDes!$B:$B,[1]StuntDes!$C:$C)),"")</f>
        <v/>
      </c>
      <c r="L1680">
        <f t="shared" si="71"/>
        <v>1</v>
      </c>
      <c r="M1680" s="10" t="str">
        <f>IFERROR(_xlfn.XLOOKUP(C1680,[1]StuntDes!$B:$B,[1]StuntDes!$A:$A),"")</f>
        <v/>
      </c>
      <c r="N1680" s="10" t="str">
        <f>IFERROR(_xlfn.XLOOKUP(C1680,[1]ModifierDes!$B:$B,[1]ModifierDes!$A:$A),"")</f>
        <v/>
      </c>
      <c r="O1680" s="10">
        <f>IFERROR(_xlfn.XLOOKUP(C1680,[1]AttributeName!$C:$C,[1]AttributeName!$B:$B),"")</f>
        <v>10303</v>
      </c>
      <c r="P1680" s="10"/>
      <c r="Q1680">
        <v>0.25</v>
      </c>
      <c r="R1680">
        <v>0.35</v>
      </c>
      <c r="S1680" cm="1">
        <f t="array" ref="S1680">IFERROR(_xlfn.SWITCH(L1680,1,_xlfn.XLOOKUP(O1680,[1]AttributeName!$B:$B,[1]AttributeName!$D:$D),2,_xlfn.XLOOKUP(C1680,#REF!,#REF!),3,_xlfn.XLOOKUP(C1680,#REF!,#REF!)),0)</f>
        <v>2</v>
      </c>
      <c r="T1680" cm="1">
        <f t="array" ref="T1680">IFERROR(_xlfn.SWITCH(L1680,1,_xlfn.XLOOKUP(O1680,[1]AttributeName!$B:$B,[1]AttributeName!$E:$E),2,_xlfn.XLOOKUP(C1680,#REF!,#REF!),3,_xlfn.XLOOKUP(C1680,#REF!,#REF!)),0)</f>
        <v>2</v>
      </c>
    </row>
    <row r="1681" customFormat="1" spans="1:20">
      <c r="A1681">
        <f t="shared" si="70"/>
        <v>706</v>
      </c>
      <c r="B1681">
        <v>2</v>
      </c>
      <c r="C1681" t="s">
        <v>384</v>
      </c>
      <c r="D1681" t="s">
        <v>30</v>
      </c>
      <c r="E1681" t="s">
        <v>378</v>
      </c>
      <c r="F1681"/>
      <c r="G1681">
        <v>1</v>
      </c>
      <c r="H1681">
        <v>200</v>
      </c>
      <c r="I1681">
        <v>3</v>
      </c>
      <c r="J1681" cm="1">
        <f t="array" ref="J1681">_xlfn.SWITCH(B1681,1,75,2,61,3,49,4,37,5,25,6,13,7,4,8,1)</f>
        <v>61</v>
      </c>
      <c r="K1681" t="str" cm="1">
        <f t="array" ref="K1681">IFERROR(_xlfn.SWITCH(L1681,2,_xlfn.XLOOKUP(C1681,[1]ModifierDes!$B:$B,[1]ModifierDes!$C:$C),3,_xlfn.XLOOKUP(C1681,[1]StuntDes!$B:$B,[1]StuntDes!$C:$C)),"")</f>
        <v/>
      </c>
      <c r="L1681">
        <f t="shared" si="71"/>
        <v>1</v>
      </c>
      <c r="M1681" s="10" t="str">
        <f>IFERROR(_xlfn.XLOOKUP(C1681,[1]StuntDes!$B:$B,[1]StuntDes!$A:$A),"")</f>
        <v/>
      </c>
      <c r="N1681" s="10" t="str">
        <f>IFERROR(_xlfn.XLOOKUP(C1681,[1]ModifierDes!$B:$B,[1]ModifierDes!$A:$A),"")</f>
        <v/>
      </c>
      <c r="O1681" s="10">
        <f>IFERROR(_xlfn.XLOOKUP(C1681,[1]AttributeName!$C:$C,[1]AttributeName!$B:$B),"")</f>
        <v>10303</v>
      </c>
      <c r="P1681" s="10"/>
      <c r="Q1681">
        <v>0.22</v>
      </c>
      <c r="R1681">
        <v>0.24</v>
      </c>
      <c r="S1681" cm="1">
        <f t="array" ref="S1681">IFERROR(_xlfn.SWITCH(L1681,1,_xlfn.XLOOKUP(O1681,[1]AttributeName!$B:$B,[1]AttributeName!$D:$D),2,_xlfn.XLOOKUP(C1681,#REF!,#REF!),3,_xlfn.XLOOKUP(C1681,#REF!,#REF!)),0)</f>
        <v>2</v>
      </c>
      <c r="T1681" cm="1">
        <f t="array" ref="T1681">IFERROR(_xlfn.SWITCH(L1681,1,_xlfn.XLOOKUP(O1681,[1]AttributeName!$B:$B,[1]AttributeName!$E:$E),2,_xlfn.XLOOKUP(C1681,#REF!,#REF!),3,_xlfn.XLOOKUP(C1681,#REF!,#REF!)),0)</f>
        <v>2</v>
      </c>
    </row>
    <row r="1682" customFormat="1" spans="1:20">
      <c r="A1682">
        <f t="shared" si="70"/>
        <v>706</v>
      </c>
      <c r="B1682">
        <v>3</v>
      </c>
      <c r="C1682" t="s">
        <v>384</v>
      </c>
      <c r="D1682" t="s">
        <v>30</v>
      </c>
      <c r="E1682" t="s">
        <v>378</v>
      </c>
      <c r="F1682"/>
      <c r="G1682">
        <v>1</v>
      </c>
      <c r="H1682">
        <v>500</v>
      </c>
      <c r="I1682">
        <v>3</v>
      </c>
      <c r="J1682" cm="1">
        <f t="array" ref="J1682">_xlfn.SWITCH(B1682,1,75,2,61,3,49,4,37,5,25,6,13,7,4,8,1)</f>
        <v>49</v>
      </c>
      <c r="K1682" t="str" cm="1">
        <f t="array" ref="K1682">IFERROR(_xlfn.SWITCH(L1682,2,_xlfn.XLOOKUP(C1682,[1]ModifierDes!$B:$B,[1]ModifierDes!$C:$C),3,_xlfn.XLOOKUP(C1682,[1]StuntDes!$B:$B,[1]StuntDes!$C:$C)),"")</f>
        <v/>
      </c>
      <c r="L1682">
        <f t="shared" si="71"/>
        <v>1</v>
      </c>
      <c r="M1682" s="10" t="str">
        <f>IFERROR(_xlfn.XLOOKUP(C1682,[1]StuntDes!$B:$B,[1]StuntDes!$A:$A),"")</f>
        <v/>
      </c>
      <c r="N1682" s="10" t="str">
        <f>IFERROR(_xlfn.XLOOKUP(C1682,[1]ModifierDes!$B:$B,[1]ModifierDes!$A:$A),"")</f>
        <v/>
      </c>
      <c r="O1682" s="10">
        <f>IFERROR(_xlfn.XLOOKUP(C1682,[1]AttributeName!$C:$C,[1]AttributeName!$B:$B),"")</f>
        <v>10303</v>
      </c>
      <c r="P1682" s="10"/>
      <c r="Q1682">
        <v>0.19</v>
      </c>
      <c r="R1682">
        <v>0.21</v>
      </c>
      <c r="S1682" cm="1">
        <f t="array" ref="S1682">IFERROR(_xlfn.SWITCH(L1682,1,_xlfn.XLOOKUP(O1682,[1]AttributeName!$B:$B,[1]AttributeName!$D:$D),2,_xlfn.XLOOKUP(C1682,#REF!,#REF!),3,_xlfn.XLOOKUP(C1682,#REF!,#REF!)),0)</f>
        <v>2</v>
      </c>
      <c r="T1682" cm="1">
        <f t="array" ref="T1682">IFERROR(_xlfn.SWITCH(L1682,1,_xlfn.XLOOKUP(O1682,[1]AttributeName!$B:$B,[1]AttributeName!$E:$E),2,_xlfn.XLOOKUP(C1682,#REF!,#REF!),3,_xlfn.XLOOKUP(C1682,#REF!,#REF!)),0)</f>
        <v>2</v>
      </c>
    </row>
    <row r="1683" customFormat="1" spans="1:20">
      <c r="A1683">
        <f t="shared" si="70"/>
        <v>706</v>
      </c>
      <c r="B1683">
        <v>4</v>
      </c>
      <c r="C1683" t="s">
        <v>384</v>
      </c>
      <c r="D1683" t="s">
        <v>30</v>
      </c>
      <c r="E1683" t="s">
        <v>378</v>
      </c>
      <c r="F1683"/>
      <c r="G1683">
        <v>1</v>
      </c>
      <c r="H1683">
        <v>1000</v>
      </c>
      <c r="I1683">
        <v>3</v>
      </c>
      <c r="J1683" cm="1">
        <f t="array" ref="J1683">_xlfn.SWITCH(B1683,1,75,2,61,3,49,4,37,5,25,6,13,7,4,8,1)</f>
        <v>37</v>
      </c>
      <c r="K1683" t="str" cm="1">
        <f t="array" ref="K1683">IFERROR(_xlfn.SWITCH(L1683,2,_xlfn.XLOOKUP(C1683,[1]ModifierDes!$B:$B,[1]ModifierDes!$C:$C),3,_xlfn.XLOOKUP(C1683,[1]StuntDes!$B:$B,[1]StuntDes!$C:$C)),"")</f>
        <v/>
      </c>
      <c r="L1683">
        <f t="shared" si="71"/>
        <v>1</v>
      </c>
      <c r="M1683" s="10" t="str">
        <f>IFERROR(_xlfn.XLOOKUP(C1683,[1]StuntDes!$B:$B,[1]StuntDes!$A:$A),"")</f>
        <v/>
      </c>
      <c r="N1683" s="10" t="str">
        <f>IFERROR(_xlfn.XLOOKUP(C1683,[1]ModifierDes!$B:$B,[1]ModifierDes!$A:$A),"")</f>
        <v/>
      </c>
      <c r="O1683" s="10">
        <f>IFERROR(_xlfn.XLOOKUP(C1683,[1]AttributeName!$C:$C,[1]AttributeName!$B:$B),"")</f>
        <v>10303</v>
      </c>
      <c r="P1683" s="10"/>
      <c r="Q1683">
        <v>0.16</v>
      </c>
      <c r="R1683">
        <v>0.18</v>
      </c>
      <c r="S1683" cm="1">
        <f t="array" ref="S1683">IFERROR(_xlfn.SWITCH(L1683,1,_xlfn.XLOOKUP(O1683,[1]AttributeName!$B:$B,[1]AttributeName!$D:$D),2,_xlfn.XLOOKUP(C1683,#REF!,#REF!),3,_xlfn.XLOOKUP(C1683,#REF!,#REF!)),0)</f>
        <v>2</v>
      </c>
      <c r="T1683" cm="1">
        <f t="array" ref="T1683">IFERROR(_xlfn.SWITCH(L1683,1,_xlfn.XLOOKUP(O1683,[1]AttributeName!$B:$B,[1]AttributeName!$E:$E),2,_xlfn.XLOOKUP(C1683,#REF!,#REF!),3,_xlfn.XLOOKUP(C1683,#REF!,#REF!)),0)</f>
        <v>2</v>
      </c>
    </row>
    <row r="1684" customFormat="1" spans="1:20">
      <c r="A1684">
        <f t="shared" si="70"/>
        <v>706</v>
      </c>
      <c r="B1684">
        <v>5</v>
      </c>
      <c r="C1684" t="s">
        <v>384</v>
      </c>
      <c r="D1684" t="s">
        <v>30</v>
      </c>
      <c r="E1684" t="s">
        <v>378</v>
      </c>
      <c r="F1684"/>
      <c r="G1684">
        <v>1</v>
      </c>
      <c r="H1684">
        <v>1000</v>
      </c>
      <c r="I1684">
        <v>3</v>
      </c>
      <c r="J1684" cm="1">
        <f t="array" ref="J1684">_xlfn.SWITCH(B1684,1,75,2,61,3,49,4,37,5,25,6,13,7,4,8,1)</f>
        <v>25</v>
      </c>
      <c r="K1684" t="str" cm="1">
        <f t="array" ref="K1684">IFERROR(_xlfn.SWITCH(L1684,2,_xlfn.XLOOKUP(C1684,[1]ModifierDes!$B:$B,[1]ModifierDes!$C:$C),3,_xlfn.XLOOKUP(C1684,[1]StuntDes!$B:$B,[1]StuntDes!$C:$C)),"")</f>
        <v/>
      </c>
      <c r="L1684">
        <f t="shared" si="71"/>
        <v>1</v>
      </c>
      <c r="M1684" s="10" t="str">
        <f>IFERROR(_xlfn.XLOOKUP(C1684,[1]StuntDes!$B:$B,[1]StuntDes!$A:$A),"")</f>
        <v/>
      </c>
      <c r="N1684" s="10" t="str">
        <f>IFERROR(_xlfn.XLOOKUP(C1684,[1]ModifierDes!$B:$B,[1]ModifierDes!$A:$A),"")</f>
        <v/>
      </c>
      <c r="O1684" s="10">
        <f>IFERROR(_xlfn.XLOOKUP(C1684,[1]AttributeName!$C:$C,[1]AttributeName!$B:$B),"")</f>
        <v>10303</v>
      </c>
      <c r="P1684" s="10"/>
      <c r="Q1684">
        <v>0.13</v>
      </c>
      <c r="R1684">
        <v>0.15</v>
      </c>
      <c r="S1684" cm="1">
        <f t="array" ref="S1684">IFERROR(_xlfn.SWITCH(L1684,1,_xlfn.XLOOKUP(O1684,[1]AttributeName!$B:$B,[1]AttributeName!$D:$D),2,_xlfn.XLOOKUP(C1684,#REF!,#REF!),3,_xlfn.XLOOKUP(C1684,#REF!,#REF!)),0)</f>
        <v>2</v>
      </c>
      <c r="T1684" cm="1">
        <f t="array" ref="T1684">IFERROR(_xlfn.SWITCH(L1684,1,_xlfn.XLOOKUP(O1684,[1]AttributeName!$B:$B,[1]AttributeName!$E:$E),2,_xlfn.XLOOKUP(C1684,#REF!,#REF!),3,_xlfn.XLOOKUP(C1684,#REF!,#REF!)),0)</f>
        <v>2</v>
      </c>
    </row>
    <row r="1685" customFormat="1" spans="1:20">
      <c r="A1685">
        <f t="shared" si="70"/>
        <v>706</v>
      </c>
      <c r="B1685">
        <v>6</v>
      </c>
      <c r="C1685" t="s">
        <v>384</v>
      </c>
      <c r="D1685" t="s">
        <v>30</v>
      </c>
      <c r="E1685" t="s">
        <v>378</v>
      </c>
      <c r="F1685"/>
      <c r="G1685">
        <v>1</v>
      </c>
      <c r="H1685">
        <v>1000</v>
      </c>
      <c r="I1685">
        <v>3</v>
      </c>
      <c r="J1685" cm="1">
        <f t="array" ref="J1685">_xlfn.SWITCH(B1685,1,75,2,61,3,49,4,37,5,25,6,13,7,4,8,1)</f>
        <v>13</v>
      </c>
      <c r="K1685" t="str" cm="1">
        <f t="array" ref="K1685">IFERROR(_xlfn.SWITCH(L1685,2,_xlfn.XLOOKUP(C1685,[1]ModifierDes!$B:$B,[1]ModifierDes!$C:$C),3,_xlfn.XLOOKUP(C1685,[1]StuntDes!$B:$B,[1]StuntDes!$C:$C)),"")</f>
        <v/>
      </c>
      <c r="L1685">
        <f t="shared" si="71"/>
        <v>1</v>
      </c>
      <c r="M1685" s="10" t="str">
        <f>IFERROR(_xlfn.XLOOKUP(C1685,[1]StuntDes!$B:$B,[1]StuntDes!$A:$A),"")</f>
        <v/>
      </c>
      <c r="N1685" s="10" t="str">
        <f>IFERROR(_xlfn.XLOOKUP(C1685,[1]ModifierDes!$B:$B,[1]ModifierDes!$A:$A),"")</f>
        <v/>
      </c>
      <c r="O1685" s="10">
        <f>IFERROR(_xlfn.XLOOKUP(C1685,[1]AttributeName!$C:$C,[1]AttributeName!$B:$B),"")</f>
        <v>10303</v>
      </c>
      <c r="P1685" s="10"/>
      <c r="Q1685">
        <v>0.0999999999999999</v>
      </c>
      <c r="R1685">
        <v>0.12</v>
      </c>
      <c r="S1685" cm="1">
        <f t="array" ref="S1685">IFERROR(_xlfn.SWITCH(L1685,1,_xlfn.XLOOKUP(O1685,[1]AttributeName!$B:$B,[1]AttributeName!$D:$D),2,_xlfn.XLOOKUP(C1685,#REF!,#REF!),3,_xlfn.XLOOKUP(C1685,#REF!,#REF!)),0)</f>
        <v>2</v>
      </c>
      <c r="T1685" cm="1">
        <f t="array" ref="T1685">IFERROR(_xlfn.SWITCH(L1685,1,_xlfn.XLOOKUP(O1685,[1]AttributeName!$B:$B,[1]AttributeName!$E:$E),2,_xlfn.XLOOKUP(C1685,#REF!,#REF!),3,_xlfn.XLOOKUP(C1685,#REF!,#REF!)),0)</f>
        <v>2</v>
      </c>
    </row>
    <row r="1686" customFormat="1" spans="1:20">
      <c r="A1686">
        <f t="shared" si="70"/>
        <v>706</v>
      </c>
      <c r="B1686">
        <v>7</v>
      </c>
      <c r="C1686" t="s">
        <v>384</v>
      </c>
      <c r="D1686" t="s">
        <v>30</v>
      </c>
      <c r="E1686" t="s">
        <v>378</v>
      </c>
      <c r="F1686"/>
      <c r="G1686">
        <v>1</v>
      </c>
      <c r="H1686">
        <v>1000</v>
      </c>
      <c r="I1686">
        <v>3</v>
      </c>
      <c r="J1686" cm="1">
        <f t="array" ref="J1686">_xlfn.SWITCH(B1686,1,75,2,61,3,49,4,37,5,25,6,13,7,4,8,1)</f>
        <v>4</v>
      </c>
      <c r="K1686" t="str" cm="1">
        <f t="array" ref="K1686">IFERROR(_xlfn.SWITCH(L1686,2,_xlfn.XLOOKUP(C1686,[1]ModifierDes!$B:$B,[1]ModifierDes!$C:$C),3,_xlfn.XLOOKUP(C1686,[1]StuntDes!$B:$B,[1]StuntDes!$C:$C)),"")</f>
        <v/>
      </c>
      <c r="L1686">
        <f t="shared" si="71"/>
        <v>1</v>
      </c>
      <c r="M1686" s="10" t="str">
        <f>IFERROR(_xlfn.XLOOKUP(C1686,[1]StuntDes!$B:$B,[1]StuntDes!$A:$A),"")</f>
        <v/>
      </c>
      <c r="N1686" s="10" t="str">
        <f>IFERROR(_xlfn.XLOOKUP(C1686,[1]ModifierDes!$B:$B,[1]ModifierDes!$A:$A),"")</f>
        <v/>
      </c>
      <c r="O1686" s="10">
        <f>IFERROR(_xlfn.XLOOKUP(C1686,[1]AttributeName!$C:$C,[1]AttributeName!$B:$B),"")</f>
        <v>10303</v>
      </c>
      <c r="P1686" s="10"/>
      <c r="Q1686">
        <v>0.0699999999999999</v>
      </c>
      <c r="R1686">
        <v>0.09</v>
      </c>
      <c r="S1686" cm="1">
        <f t="array" ref="S1686">IFERROR(_xlfn.SWITCH(L1686,1,_xlfn.XLOOKUP(O1686,[1]AttributeName!$B:$B,[1]AttributeName!$D:$D),2,_xlfn.XLOOKUP(C1686,#REF!,#REF!),3,_xlfn.XLOOKUP(C1686,#REF!,#REF!)),0)</f>
        <v>2</v>
      </c>
      <c r="T1686" cm="1">
        <f t="array" ref="T1686">IFERROR(_xlfn.SWITCH(L1686,1,_xlfn.XLOOKUP(O1686,[1]AttributeName!$B:$B,[1]AttributeName!$E:$E),2,_xlfn.XLOOKUP(C1686,#REF!,#REF!),3,_xlfn.XLOOKUP(C1686,#REF!,#REF!)),0)</f>
        <v>2</v>
      </c>
    </row>
    <row r="1687" customFormat="1" spans="1:20">
      <c r="A1687">
        <f t="shared" si="70"/>
        <v>706</v>
      </c>
      <c r="B1687">
        <v>8</v>
      </c>
      <c r="C1687" t="s">
        <v>384</v>
      </c>
      <c r="D1687" t="s">
        <v>30</v>
      </c>
      <c r="E1687" t="s">
        <v>378</v>
      </c>
      <c r="F1687"/>
      <c r="G1687">
        <v>1</v>
      </c>
      <c r="H1687">
        <v>1000</v>
      </c>
      <c r="I1687">
        <v>3</v>
      </c>
      <c r="J1687" cm="1">
        <f t="array" ref="J1687">_xlfn.SWITCH(B1687,1,75,2,61,3,49,4,37,5,25,6,13,7,4,8,1)</f>
        <v>1</v>
      </c>
      <c r="K1687" t="str" cm="1">
        <f t="array" ref="K1687">IFERROR(_xlfn.SWITCH(L1687,2,_xlfn.XLOOKUP(C1687,[1]ModifierDes!$B:$B,[1]ModifierDes!$C:$C),3,_xlfn.XLOOKUP(C1687,[1]StuntDes!$B:$B,[1]StuntDes!$C:$C)),"")</f>
        <v/>
      </c>
      <c r="L1687">
        <f t="shared" si="71"/>
        <v>1</v>
      </c>
      <c r="M1687" s="10" t="str">
        <f>IFERROR(_xlfn.XLOOKUP(C1687,[1]StuntDes!$B:$B,[1]StuntDes!$A:$A),"")</f>
        <v/>
      </c>
      <c r="N1687" s="10" t="str">
        <f>IFERROR(_xlfn.XLOOKUP(C1687,[1]ModifierDes!$B:$B,[1]ModifierDes!$A:$A),"")</f>
        <v/>
      </c>
      <c r="O1687" s="10">
        <f>IFERROR(_xlfn.XLOOKUP(C1687,[1]AttributeName!$C:$C,[1]AttributeName!$B:$B),"")</f>
        <v>10303</v>
      </c>
      <c r="P1687" s="10"/>
      <c r="Q1687">
        <v>0.0399999999999998</v>
      </c>
      <c r="R1687">
        <v>0.06</v>
      </c>
      <c r="S1687" cm="1">
        <f t="array" ref="S1687">IFERROR(_xlfn.SWITCH(L1687,1,_xlfn.XLOOKUP(O1687,[1]AttributeName!$B:$B,[1]AttributeName!$D:$D),2,_xlfn.XLOOKUP(C1687,#REF!,#REF!),3,_xlfn.XLOOKUP(C1687,#REF!,#REF!)),0)</f>
        <v>2</v>
      </c>
      <c r="T1687" cm="1">
        <f t="array" ref="T1687">IFERROR(_xlfn.SWITCH(L1687,1,_xlfn.XLOOKUP(O1687,[1]AttributeName!$B:$B,[1]AttributeName!$E:$E),2,_xlfn.XLOOKUP(C1687,#REF!,#REF!),3,_xlfn.XLOOKUP(C1687,#REF!,#REF!)),0)</f>
        <v>2</v>
      </c>
    </row>
    <row r="1688" customFormat="1" spans="1:20">
      <c r="A1688">
        <f t="shared" si="70"/>
        <v>707</v>
      </c>
      <c r="B1688">
        <v>1</v>
      </c>
      <c r="C1688" t="s">
        <v>385</v>
      </c>
      <c r="D1688" t="s">
        <v>30</v>
      </c>
      <c r="E1688" t="s">
        <v>378</v>
      </c>
      <c r="F1688"/>
      <c r="G1688">
        <v>1</v>
      </c>
      <c r="H1688">
        <v>100</v>
      </c>
      <c r="I1688">
        <v>3</v>
      </c>
      <c r="J1688" cm="1">
        <f t="array" ref="J1688">_xlfn.SWITCH(B1688,1,75,2,61,3,49,4,37,5,25,6,13,7,4,8,1)</f>
        <v>75</v>
      </c>
      <c r="K1688" t="str" cm="1">
        <f t="array" ref="K1688">IFERROR(_xlfn.SWITCH(L1688,2,_xlfn.XLOOKUP(C1688,[1]ModifierDes!$B:$B,[1]ModifierDes!$C:$C),3,_xlfn.XLOOKUP(C1688,[1]StuntDes!$B:$B,[1]StuntDes!$C:$C)),"")</f>
        <v/>
      </c>
      <c r="L1688">
        <f t="shared" si="71"/>
        <v>1</v>
      </c>
      <c r="M1688" s="10" t="str">
        <f>IFERROR(_xlfn.XLOOKUP(C1688,[1]StuntDes!$B:$B,[1]StuntDes!$A:$A),"")</f>
        <v/>
      </c>
      <c r="N1688" s="10" t="str">
        <f>IFERROR(_xlfn.XLOOKUP(C1688,[1]ModifierDes!$B:$B,[1]ModifierDes!$A:$A),"")</f>
        <v/>
      </c>
      <c r="O1688" s="10">
        <f>IFERROR(_xlfn.XLOOKUP(C1688,[1]AttributeName!$C:$C,[1]AttributeName!$B:$B),"")</f>
        <v>10304</v>
      </c>
      <c r="P1688" s="10"/>
      <c r="Q1688">
        <v>0.25</v>
      </c>
      <c r="R1688">
        <v>0.35</v>
      </c>
      <c r="S1688" cm="1">
        <f t="array" ref="S1688">IFERROR(_xlfn.SWITCH(L1688,1,_xlfn.XLOOKUP(O1688,[1]AttributeName!$B:$B,[1]AttributeName!$D:$D),2,_xlfn.XLOOKUP(C1688,#REF!,#REF!),3,_xlfn.XLOOKUP(C1688,#REF!,#REF!)),0)</f>
        <v>2</v>
      </c>
      <c r="T1688" cm="1">
        <f t="array" ref="T1688">IFERROR(_xlfn.SWITCH(L1688,1,_xlfn.XLOOKUP(O1688,[1]AttributeName!$B:$B,[1]AttributeName!$E:$E),2,_xlfn.XLOOKUP(C1688,#REF!,#REF!),3,_xlfn.XLOOKUP(C1688,#REF!,#REF!)),0)</f>
        <v>2</v>
      </c>
    </row>
    <row r="1689" customFormat="1" spans="1:20">
      <c r="A1689">
        <f t="shared" si="70"/>
        <v>707</v>
      </c>
      <c r="B1689">
        <v>2</v>
      </c>
      <c r="C1689" t="s">
        <v>385</v>
      </c>
      <c r="D1689" t="s">
        <v>30</v>
      </c>
      <c r="E1689" t="s">
        <v>378</v>
      </c>
      <c r="F1689"/>
      <c r="G1689">
        <v>1</v>
      </c>
      <c r="H1689">
        <v>200</v>
      </c>
      <c r="I1689">
        <v>3</v>
      </c>
      <c r="J1689" cm="1">
        <f t="array" ref="J1689">_xlfn.SWITCH(B1689,1,75,2,61,3,49,4,37,5,25,6,13,7,4,8,1)</f>
        <v>61</v>
      </c>
      <c r="K1689" t="str" cm="1">
        <f t="array" ref="K1689">IFERROR(_xlfn.SWITCH(L1689,2,_xlfn.XLOOKUP(C1689,[1]ModifierDes!$B:$B,[1]ModifierDes!$C:$C),3,_xlfn.XLOOKUP(C1689,[1]StuntDes!$B:$B,[1]StuntDes!$C:$C)),"")</f>
        <v/>
      </c>
      <c r="L1689">
        <f t="shared" si="71"/>
        <v>1</v>
      </c>
      <c r="M1689" s="10" t="str">
        <f>IFERROR(_xlfn.XLOOKUP(C1689,[1]StuntDes!$B:$B,[1]StuntDes!$A:$A),"")</f>
        <v/>
      </c>
      <c r="N1689" s="10" t="str">
        <f>IFERROR(_xlfn.XLOOKUP(C1689,[1]ModifierDes!$B:$B,[1]ModifierDes!$A:$A),"")</f>
        <v/>
      </c>
      <c r="O1689" s="10">
        <f>IFERROR(_xlfn.XLOOKUP(C1689,[1]AttributeName!$C:$C,[1]AttributeName!$B:$B),"")</f>
        <v>10304</v>
      </c>
      <c r="P1689" s="10"/>
      <c r="Q1689">
        <v>0.22</v>
      </c>
      <c r="R1689">
        <v>0.24</v>
      </c>
      <c r="S1689" cm="1">
        <f t="array" ref="S1689">IFERROR(_xlfn.SWITCH(L1689,1,_xlfn.XLOOKUP(O1689,[1]AttributeName!$B:$B,[1]AttributeName!$D:$D),2,_xlfn.XLOOKUP(C1689,#REF!,#REF!),3,_xlfn.XLOOKUP(C1689,#REF!,#REF!)),0)</f>
        <v>2</v>
      </c>
      <c r="T1689" cm="1">
        <f t="array" ref="T1689">IFERROR(_xlfn.SWITCH(L1689,1,_xlfn.XLOOKUP(O1689,[1]AttributeName!$B:$B,[1]AttributeName!$E:$E),2,_xlfn.XLOOKUP(C1689,#REF!,#REF!),3,_xlfn.XLOOKUP(C1689,#REF!,#REF!)),0)</f>
        <v>2</v>
      </c>
    </row>
    <row r="1690" customFormat="1" spans="1:20">
      <c r="A1690">
        <f t="shared" si="70"/>
        <v>707</v>
      </c>
      <c r="B1690">
        <v>3</v>
      </c>
      <c r="C1690" t="s">
        <v>385</v>
      </c>
      <c r="D1690" t="s">
        <v>30</v>
      </c>
      <c r="E1690" t="s">
        <v>378</v>
      </c>
      <c r="F1690"/>
      <c r="G1690">
        <v>1</v>
      </c>
      <c r="H1690">
        <v>500</v>
      </c>
      <c r="I1690">
        <v>3</v>
      </c>
      <c r="J1690" cm="1">
        <f t="array" ref="J1690">_xlfn.SWITCH(B1690,1,75,2,61,3,49,4,37,5,25,6,13,7,4,8,1)</f>
        <v>49</v>
      </c>
      <c r="K1690" t="str" cm="1">
        <f t="array" ref="K1690">IFERROR(_xlfn.SWITCH(L1690,2,_xlfn.XLOOKUP(C1690,[1]ModifierDes!$B:$B,[1]ModifierDes!$C:$C),3,_xlfn.XLOOKUP(C1690,[1]StuntDes!$B:$B,[1]StuntDes!$C:$C)),"")</f>
        <v/>
      </c>
      <c r="L1690">
        <f t="shared" si="71"/>
        <v>1</v>
      </c>
      <c r="M1690" s="10" t="str">
        <f>IFERROR(_xlfn.XLOOKUP(C1690,[1]StuntDes!$B:$B,[1]StuntDes!$A:$A),"")</f>
        <v/>
      </c>
      <c r="N1690" s="10" t="str">
        <f>IFERROR(_xlfn.XLOOKUP(C1690,[1]ModifierDes!$B:$B,[1]ModifierDes!$A:$A),"")</f>
        <v/>
      </c>
      <c r="O1690" s="10">
        <f>IFERROR(_xlfn.XLOOKUP(C1690,[1]AttributeName!$C:$C,[1]AttributeName!$B:$B),"")</f>
        <v>10304</v>
      </c>
      <c r="P1690" s="10"/>
      <c r="Q1690">
        <v>0.19</v>
      </c>
      <c r="R1690">
        <v>0.21</v>
      </c>
      <c r="S1690" cm="1">
        <f t="array" ref="S1690">IFERROR(_xlfn.SWITCH(L1690,1,_xlfn.XLOOKUP(O1690,[1]AttributeName!$B:$B,[1]AttributeName!$D:$D),2,_xlfn.XLOOKUP(C1690,#REF!,#REF!),3,_xlfn.XLOOKUP(C1690,#REF!,#REF!)),0)</f>
        <v>2</v>
      </c>
      <c r="T1690" cm="1">
        <f t="array" ref="T1690">IFERROR(_xlfn.SWITCH(L1690,1,_xlfn.XLOOKUP(O1690,[1]AttributeName!$B:$B,[1]AttributeName!$E:$E),2,_xlfn.XLOOKUP(C1690,#REF!,#REF!),3,_xlfn.XLOOKUP(C1690,#REF!,#REF!)),0)</f>
        <v>2</v>
      </c>
    </row>
    <row r="1691" customFormat="1" spans="1:20">
      <c r="A1691">
        <f t="shared" si="70"/>
        <v>707</v>
      </c>
      <c r="B1691">
        <v>4</v>
      </c>
      <c r="C1691" t="s">
        <v>385</v>
      </c>
      <c r="D1691" t="s">
        <v>30</v>
      </c>
      <c r="E1691" t="s">
        <v>378</v>
      </c>
      <c r="F1691"/>
      <c r="G1691">
        <v>1</v>
      </c>
      <c r="H1691">
        <v>1000</v>
      </c>
      <c r="I1691">
        <v>3</v>
      </c>
      <c r="J1691" cm="1">
        <f t="array" ref="J1691">_xlfn.SWITCH(B1691,1,75,2,61,3,49,4,37,5,25,6,13,7,4,8,1)</f>
        <v>37</v>
      </c>
      <c r="K1691" t="str" cm="1">
        <f t="array" ref="K1691">IFERROR(_xlfn.SWITCH(L1691,2,_xlfn.XLOOKUP(C1691,[1]ModifierDes!$B:$B,[1]ModifierDes!$C:$C),3,_xlfn.XLOOKUP(C1691,[1]StuntDes!$B:$B,[1]StuntDes!$C:$C)),"")</f>
        <v/>
      </c>
      <c r="L1691">
        <f t="shared" si="71"/>
        <v>1</v>
      </c>
      <c r="M1691" s="10" t="str">
        <f>IFERROR(_xlfn.XLOOKUP(C1691,[1]StuntDes!$B:$B,[1]StuntDes!$A:$A),"")</f>
        <v/>
      </c>
      <c r="N1691" s="10" t="str">
        <f>IFERROR(_xlfn.XLOOKUP(C1691,[1]ModifierDes!$B:$B,[1]ModifierDes!$A:$A),"")</f>
        <v/>
      </c>
      <c r="O1691" s="10">
        <f>IFERROR(_xlfn.XLOOKUP(C1691,[1]AttributeName!$C:$C,[1]AttributeName!$B:$B),"")</f>
        <v>10304</v>
      </c>
      <c r="P1691" s="10"/>
      <c r="Q1691">
        <v>0.16</v>
      </c>
      <c r="R1691">
        <v>0.18</v>
      </c>
      <c r="S1691" cm="1">
        <f t="array" ref="S1691">IFERROR(_xlfn.SWITCH(L1691,1,_xlfn.XLOOKUP(O1691,[1]AttributeName!$B:$B,[1]AttributeName!$D:$D),2,_xlfn.XLOOKUP(C1691,#REF!,#REF!),3,_xlfn.XLOOKUP(C1691,#REF!,#REF!)),0)</f>
        <v>2</v>
      </c>
      <c r="T1691" cm="1">
        <f t="array" ref="T1691">IFERROR(_xlfn.SWITCH(L1691,1,_xlfn.XLOOKUP(O1691,[1]AttributeName!$B:$B,[1]AttributeName!$E:$E),2,_xlfn.XLOOKUP(C1691,#REF!,#REF!),3,_xlfn.XLOOKUP(C1691,#REF!,#REF!)),0)</f>
        <v>2</v>
      </c>
    </row>
    <row r="1692" customFormat="1" spans="1:20">
      <c r="A1692">
        <f t="shared" si="70"/>
        <v>707</v>
      </c>
      <c r="B1692">
        <v>5</v>
      </c>
      <c r="C1692" t="s">
        <v>385</v>
      </c>
      <c r="D1692" t="s">
        <v>30</v>
      </c>
      <c r="E1692" t="s">
        <v>378</v>
      </c>
      <c r="F1692"/>
      <c r="G1692">
        <v>1</v>
      </c>
      <c r="H1692">
        <v>1000</v>
      </c>
      <c r="I1692">
        <v>3</v>
      </c>
      <c r="J1692" cm="1">
        <f t="array" ref="J1692">_xlfn.SWITCH(B1692,1,75,2,61,3,49,4,37,5,25,6,13,7,4,8,1)</f>
        <v>25</v>
      </c>
      <c r="K1692" t="str" cm="1">
        <f t="array" ref="K1692">IFERROR(_xlfn.SWITCH(L1692,2,_xlfn.XLOOKUP(C1692,[1]ModifierDes!$B:$B,[1]ModifierDes!$C:$C),3,_xlfn.XLOOKUP(C1692,[1]StuntDes!$B:$B,[1]StuntDes!$C:$C)),"")</f>
        <v/>
      </c>
      <c r="L1692">
        <f t="shared" si="71"/>
        <v>1</v>
      </c>
      <c r="M1692" s="10" t="str">
        <f>IFERROR(_xlfn.XLOOKUP(C1692,[1]StuntDes!$B:$B,[1]StuntDes!$A:$A),"")</f>
        <v/>
      </c>
      <c r="N1692" s="10" t="str">
        <f>IFERROR(_xlfn.XLOOKUP(C1692,[1]ModifierDes!$B:$B,[1]ModifierDes!$A:$A),"")</f>
        <v/>
      </c>
      <c r="O1692" s="10">
        <f>IFERROR(_xlfn.XLOOKUP(C1692,[1]AttributeName!$C:$C,[1]AttributeName!$B:$B),"")</f>
        <v>10304</v>
      </c>
      <c r="P1692" s="10"/>
      <c r="Q1692">
        <v>0.13</v>
      </c>
      <c r="R1692">
        <v>0.15</v>
      </c>
      <c r="S1692" cm="1">
        <f t="array" ref="S1692">IFERROR(_xlfn.SWITCH(L1692,1,_xlfn.XLOOKUP(O1692,[1]AttributeName!$B:$B,[1]AttributeName!$D:$D),2,_xlfn.XLOOKUP(C1692,#REF!,#REF!),3,_xlfn.XLOOKUP(C1692,#REF!,#REF!)),0)</f>
        <v>2</v>
      </c>
      <c r="T1692" cm="1">
        <f t="array" ref="T1692">IFERROR(_xlfn.SWITCH(L1692,1,_xlfn.XLOOKUP(O1692,[1]AttributeName!$B:$B,[1]AttributeName!$E:$E),2,_xlfn.XLOOKUP(C1692,#REF!,#REF!),3,_xlfn.XLOOKUP(C1692,#REF!,#REF!)),0)</f>
        <v>2</v>
      </c>
    </row>
    <row r="1693" customFormat="1" spans="1:20">
      <c r="A1693">
        <f t="shared" si="70"/>
        <v>707</v>
      </c>
      <c r="B1693">
        <v>6</v>
      </c>
      <c r="C1693" t="s">
        <v>385</v>
      </c>
      <c r="D1693" t="s">
        <v>30</v>
      </c>
      <c r="E1693" t="s">
        <v>378</v>
      </c>
      <c r="F1693"/>
      <c r="G1693">
        <v>1</v>
      </c>
      <c r="H1693">
        <v>1000</v>
      </c>
      <c r="I1693">
        <v>3</v>
      </c>
      <c r="J1693" cm="1">
        <f t="array" ref="J1693">_xlfn.SWITCH(B1693,1,75,2,61,3,49,4,37,5,25,6,13,7,4,8,1)</f>
        <v>13</v>
      </c>
      <c r="K1693" t="str" cm="1">
        <f t="array" ref="K1693">IFERROR(_xlfn.SWITCH(L1693,2,_xlfn.XLOOKUP(C1693,[1]ModifierDes!$B:$B,[1]ModifierDes!$C:$C),3,_xlfn.XLOOKUP(C1693,[1]StuntDes!$B:$B,[1]StuntDes!$C:$C)),"")</f>
        <v/>
      </c>
      <c r="L1693">
        <f t="shared" si="71"/>
        <v>1</v>
      </c>
      <c r="M1693" s="10" t="str">
        <f>IFERROR(_xlfn.XLOOKUP(C1693,[1]StuntDes!$B:$B,[1]StuntDes!$A:$A),"")</f>
        <v/>
      </c>
      <c r="N1693" s="10" t="str">
        <f>IFERROR(_xlfn.XLOOKUP(C1693,[1]ModifierDes!$B:$B,[1]ModifierDes!$A:$A),"")</f>
        <v/>
      </c>
      <c r="O1693" s="10">
        <f>IFERROR(_xlfn.XLOOKUP(C1693,[1]AttributeName!$C:$C,[1]AttributeName!$B:$B),"")</f>
        <v>10304</v>
      </c>
      <c r="P1693" s="10"/>
      <c r="Q1693">
        <v>0.0999999999999999</v>
      </c>
      <c r="R1693">
        <v>0.12</v>
      </c>
      <c r="S1693" cm="1">
        <f t="array" ref="S1693">IFERROR(_xlfn.SWITCH(L1693,1,_xlfn.XLOOKUP(O1693,[1]AttributeName!$B:$B,[1]AttributeName!$D:$D),2,_xlfn.XLOOKUP(C1693,#REF!,#REF!),3,_xlfn.XLOOKUP(C1693,#REF!,#REF!)),0)</f>
        <v>2</v>
      </c>
      <c r="T1693" cm="1">
        <f t="array" ref="T1693">IFERROR(_xlfn.SWITCH(L1693,1,_xlfn.XLOOKUP(O1693,[1]AttributeName!$B:$B,[1]AttributeName!$E:$E),2,_xlfn.XLOOKUP(C1693,#REF!,#REF!),3,_xlfn.XLOOKUP(C1693,#REF!,#REF!)),0)</f>
        <v>2</v>
      </c>
    </row>
    <row r="1694" customFormat="1" spans="1:20">
      <c r="A1694">
        <f t="shared" si="70"/>
        <v>707</v>
      </c>
      <c r="B1694">
        <v>7</v>
      </c>
      <c r="C1694" t="s">
        <v>385</v>
      </c>
      <c r="D1694" t="s">
        <v>30</v>
      </c>
      <c r="E1694" t="s">
        <v>378</v>
      </c>
      <c r="F1694"/>
      <c r="G1694">
        <v>1</v>
      </c>
      <c r="H1694">
        <v>1000</v>
      </c>
      <c r="I1694">
        <v>3</v>
      </c>
      <c r="J1694" cm="1">
        <f t="array" ref="J1694">_xlfn.SWITCH(B1694,1,75,2,61,3,49,4,37,5,25,6,13,7,4,8,1)</f>
        <v>4</v>
      </c>
      <c r="K1694" t="str" cm="1">
        <f t="array" ref="K1694">IFERROR(_xlfn.SWITCH(L1694,2,_xlfn.XLOOKUP(C1694,[1]ModifierDes!$B:$B,[1]ModifierDes!$C:$C),3,_xlfn.XLOOKUP(C1694,[1]StuntDes!$B:$B,[1]StuntDes!$C:$C)),"")</f>
        <v/>
      </c>
      <c r="L1694">
        <f t="shared" si="71"/>
        <v>1</v>
      </c>
      <c r="M1694" s="10" t="str">
        <f>IFERROR(_xlfn.XLOOKUP(C1694,[1]StuntDes!$B:$B,[1]StuntDes!$A:$A),"")</f>
        <v/>
      </c>
      <c r="N1694" s="10" t="str">
        <f>IFERROR(_xlfn.XLOOKUP(C1694,[1]ModifierDes!$B:$B,[1]ModifierDes!$A:$A),"")</f>
        <v/>
      </c>
      <c r="O1694" s="10">
        <f>IFERROR(_xlfn.XLOOKUP(C1694,[1]AttributeName!$C:$C,[1]AttributeName!$B:$B),"")</f>
        <v>10304</v>
      </c>
      <c r="P1694" s="10"/>
      <c r="Q1694">
        <v>0.0699999999999999</v>
      </c>
      <c r="R1694">
        <v>0.09</v>
      </c>
      <c r="S1694" cm="1">
        <f t="array" ref="S1694">IFERROR(_xlfn.SWITCH(L1694,1,_xlfn.XLOOKUP(O1694,[1]AttributeName!$B:$B,[1]AttributeName!$D:$D),2,_xlfn.XLOOKUP(C1694,#REF!,#REF!),3,_xlfn.XLOOKUP(C1694,#REF!,#REF!)),0)</f>
        <v>2</v>
      </c>
      <c r="T1694" cm="1">
        <f t="array" ref="T1694">IFERROR(_xlfn.SWITCH(L1694,1,_xlfn.XLOOKUP(O1694,[1]AttributeName!$B:$B,[1]AttributeName!$E:$E),2,_xlfn.XLOOKUP(C1694,#REF!,#REF!),3,_xlfn.XLOOKUP(C1694,#REF!,#REF!)),0)</f>
        <v>2</v>
      </c>
    </row>
    <row r="1695" customFormat="1" spans="1:20">
      <c r="A1695">
        <f t="shared" si="70"/>
        <v>707</v>
      </c>
      <c r="B1695">
        <v>8</v>
      </c>
      <c r="C1695" t="s">
        <v>385</v>
      </c>
      <c r="D1695" t="s">
        <v>30</v>
      </c>
      <c r="E1695" t="s">
        <v>378</v>
      </c>
      <c r="F1695"/>
      <c r="G1695">
        <v>1</v>
      </c>
      <c r="H1695">
        <v>1000</v>
      </c>
      <c r="I1695">
        <v>3</v>
      </c>
      <c r="J1695" cm="1">
        <f t="array" ref="J1695">_xlfn.SWITCH(B1695,1,75,2,61,3,49,4,37,5,25,6,13,7,4,8,1)</f>
        <v>1</v>
      </c>
      <c r="K1695" t="str" cm="1">
        <f t="array" ref="K1695">IFERROR(_xlfn.SWITCH(L1695,2,_xlfn.XLOOKUP(C1695,[1]ModifierDes!$B:$B,[1]ModifierDes!$C:$C),3,_xlfn.XLOOKUP(C1695,[1]StuntDes!$B:$B,[1]StuntDes!$C:$C)),"")</f>
        <v/>
      </c>
      <c r="L1695">
        <f t="shared" si="71"/>
        <v>1</v>
      </c>
      <c r="M1695" s="10" t="str">
        <f>IFERROR(_xlfn.XLOOKUP(C1695,[1]StuntDes!$B:$B,[1]StuntDes!$A:$A),"")</f>
        <v/>
      </c>
      <c r="N1695" s="10" t="str">
        <f>IFERROR(_xlfn.XLOOKUP(C1695,[1]ModifierDes!$B:$B,[1]ModifierDes!$A:$A),"")</f>
        <v/>
      </c>
      <c r="O1695" s="10">
        <f>IFERROR(_xlfn.XLOOKUP(C1695,[1]AttributeName!$C:$C,[1]AttributeName!$B:$B),"")</f>
        <v>10304</v>
      </c>
      <c r="P1695" s="10"/>
      <c r="Q1695">
        <v>0.0399999999999998</v>
      </c>
      <c r="R1695">
        <v>0.06</v>
      </c>
      <c r="S1695" cm="1">
        <f t="array" ref="S1695">IFERROR(_xlfn.SWITCH(L1695,1,_xlfn.XLOOKUP(O1695,[1]AttributeName!$B:$B,[1]AttributeName!$D:$D),2,_xlfn.XLOOKUP(C1695,#REF!,#REF!),3,_xlfn.XLOOKUP(C1695,#REF!,#REF!)),0)</f>
        <v>2</v>
      </c>
      <c r="T1695" cm="1">
        <f t="array" ref="T1695">IFERROR(_xlfn.SWITCH(L1695,1,_xlfn.XLOOKUP(O1695,[1]AttributeName!$B:$B,[1]AttributeName!$E:$E),2,_xlfn.XLOOKUP(C1695,#REF!,#REF!),3,_xlfn.XLOOKUP(C1695,#REF!,#REF!)),0)</f>
        <v>2</v>
      </c>
    </row>
    <row r="1696" customFormat="1" spans="1:20">
      <c r="A1696">
        <f t="shared" si="70"/>
        <v>708</v>
      </c>
      <c r="B1696">
        <v>1</v>
      </c>
      <c r="C1696" t="s">
        <v>386</v>
      </c>
      <c r="D1696" t="s">
        <v>30</v>
      </c>
      <c r="E1696" t="s">
        <v>378</v>
      </c>
      <c r="F1696"/>
      <c r="G1696">
        <v>1</v>
      </c>
      <c r="H1696">
        <v>100</v>
      </c>
      <c r="I1696">
        <v>3</v>
      </c>
      <c r="J1696" cm="1">
        <f t="array" ref="J1696">_xlfn.SWITCH(B1696,1,75,2,61,3,49,4,37,5,25,6,13,7,4,8,1)</f>
        <v>75</v>
      </c>
      <c r="K1696" t="str" cm="1">
        <f t="array" ref="K1696">IFERROR(_xlfn.SWITCH(L1696,2,_xlfn.XLOOKUP(C1696,[1]ModifierDes!$B:$B,[1]ModifierDes!$C:$C),3,_xlfn.XLOOKUP(C1696,[1]StuntDes!$B:$B,[1]StuntDes!$C:$C)),"")</f>
        <v/>
      </c>
      <c r="L1696">
        <f t="shared" si="71"/>
        <v>1</v>
      </c>
      <c r="M1696" s="10" t="str">
        <f>IFERROR(_xlfn.XLOOKUP(C1696,[1]StuntDes!$B:$B,[1]StuntDes!$A:$A),"")</f>
        <v/>
      </c>
      <c r="N1696" s="10" t="str">
        <f>IFERROR(_xlfn.XLOOKUP(C1696,[1]ModifierDes!$B:$B,[1]ModifierDes!$A:$A),"")</f>
        <v/>
      </c>
      <c r="O1696" s="10">
        <f>IFERROR(_xlfn.XLOOKUP(C1696,[1]AttributeName!$C:$C,[1]AttributeName!$B:$B),"")</f>
        <v>10305</v>
      </c>
      <c r="P1696" s="10"/>
      <c r="Q1696">
        <v>0.25</v>
      </c>
      <c r="R1696">
        <v>0.35</v>
      </c>
      <c r="S1696" cm="1">
        <f t="array" ref="S1696">IFERROR(_xlfn.SWITCH(L1696,1,_xlfn.XLOOKUP(O1696,[1]AttributeName!$B:$B,[1]AttributeName!$D:$D),2,_xlfn.XLOOKUP(C1696,#REF!,#REF!),3,_xlfn.XLOOKUP(C1696,#REF!,#REF!)),0)</f>
        <v>2</v>
      </c>
      <c r="T1696" cm="1">
        <f t="array" ref="T1696">IFERROR(_xlfn.SWITCH(L1696,1,_xlfn.XLOOKUP(O1696,[1]AttributeName!$B:$B,[1]AttributeName!$E:$E),2,_xlfn.XLOOKUP(C1696,#REF!,#REF!),3,_xlfn.XLOOKUP(C1696,#REF!,#REF!)),0)</f>
        <v>2</v>
      </c>
    </row>
    <row r="1697" customFormat="1" spans="1:20">
      <c r="A1697">
        <f t="shared" si="70"/>
        <v>708</v>
      </c>
      <c r="B1697">
        <v>2</v>
      </c>
      <c r="C1697" t="s">
        <v>386</v>
      </c>
      <c r="D1697" t="s">
        <v>30</v>
      </c>
      <c r="E1697" t="s">
        <v>378</v>
      </c>
      <c r="F1697"/>
      <c r="G1697">
        <v>1</v>
      </c>
      <c r="H1697">
        <v>200</v>
      </c>
      <c r="I1697">
        <v>3</v>
      </c>
      <c r="J1697" cm="1">
        <f t="array" ref="J1697">_xlfn.SWITCH(B1697,1,75,2,61,3,49,4,37,5,25,6,13,7,4,8,1)</f>
        <v>61</v>
      </c>
      <c r="K1697" t="str" cm="1">
        <f t="array" ref="K1697">IFERROR(_xlfn.SWITCH(L1697,2,_xlfn.XLOOKUP(C1697,[1]ModifierDes!$B:$B,[1]ModifierDes!$C:$C),3,_xlfn.XLOOKUP(C1697,[1]StuntDes!$B:$B,[1]StuntDes!$C:$C)),"")</f>
        <v/>
      </c>
      <c r="L1697">
        <f t="shared" si="71"/>
        <v>1</v>
      </c>
      <c r="M1697" s="10" t="str">
        <f>IFERROR(_xlfn.XLOOKUP(C1697,[1]StuntDes!$B:$B,[1]StuntDes!$A:$A),"")</f>
        <v/>
      </c>
      <c r="N1697" s="10" t="str">
        <f>IFERROR(_xlfn.XLOOKUP(C1697,[1]ModifierDes!$B:$B,[1]ModifierDes!$A:$A),"")</f>
        <v/>
      </c>
      <c r="O1697" s="10">
        <f>IFERROR(_xlfn.XLOOKUP(C1697,[1]AttributeName!$C:$C,[1]AttributeName!$B:$B),"")</f>
        <v>10305</v>
      </c>
      <c r="P1697" s="10"/>
      <c r="Q1697">
        <v>0.22</v>
      </c>
      <c r="R1697">
        <v>0.24</v>
      </c>
      <c r="S1697" cm="1">
        <f t="array" ref="S1697">IFERROR(_xlfn.SWITCH(L1697,1,_xlfn.XLOOKUP(O1697,[1]AttributeName!$B:$B,[1]AttributeName!$D:$D),2,_xlfn.XLOOKUP(C1697,#REF!,#REF!),3,_xlfn.XLOOKUP(C1697,#REF!,#REF!)),0)</f>
        <v>2</v>
      </c>
      <c r="T1697" cm="1">
        <f t="array" ref="T1697">IFERROR(_xlfn.SWITCH(L1697,1,_xlfn.XLOOKUP(O1697,[1]AttributeName!$B:$B,[1]AttributeName!$E:$E),2,_xlfn.XLOOKUP(C1697,#REF!,#REF!),3,_xlfn.XLOOKUP(C1697,#REF!,#REF!)),0)</f>
        <v>2</v>
      </c>
    </row>
    <row r="1698" customFormat="1" spans="1:20">
      <c r="A1698">
        <f t="shared" si="70"/>
        <v>708</v>
      </c>
      <c r="B1698">
        <v>3</v>
      </c>
      <c r="C1698" t="s">
        <v>386</v>
      </c>
      <c r="D1698" t="s">
        <v>30</v>
      </c>
      <c r="E1698" t="s">
        <v>378</v>
      </c>
      <c r="F1698"/>
      <c r="G1698">
        <v>1</v>
      </c>
      <c r="H1698">
        <v>500</v>
      </c>
      <c r="I1698">
        <v>3</v>
      </c>
      <c r="J1698" cm="1">
        <f t="array" ref="J1698">_xlfn.SWITCH(B1698,1,75,2,61,3,49,4,37,5,25,6,13,7,4,8,1)</f>
        <v>49</v>
      </c>
      <c r="K1698" t="str" cm="1">
        <f t="array" ref="K1698">IFERROR(_xlfn.SWITCH(L1698,2,_xlfn.XLOOKUP(C1698,[1]ModifierDes!$B:$B,[1]ModifierDes!$C:$C),3,_xlfn.XLOOKUP(C1698,[1]StuntDes!$B:$B,[1]StuntDes!$C:$C)),"")</f>
        <v/>
      </c>
      <c r="L1698">
        <f t="shared" si="71"/>
        <v>1</v>
      </c>
      <c r="M1698" s="10" t="str">
        <f>IFERROR(_xlfn.XLOOKUP(C1698,[1]StuntDes!$B:$B,[1]StuntDes!$A:$A),"")</f>
        <v/>
      </c>
      <c r="N1698" s="10" t="str">
        <f>IFERROR(_xlfn.XLOOKUP(C1698,[1]ModifierDes!$B:$B,[1]ModifierDes!$A:$A),"")</f>
        <v/>
      </c>
      <c r="O1698" s="10">
        <f>IFERROR(_xlfn.XLOOKUP(C1698,[1]AttributeName!$C:$C,[1]AttributeName!$B:$B),"")</f>
        <v>10305</v>
      </c>
      <c r="P1698" s="10"/>
      <c r="Q1698">
        <v>0.19</v>
      </c>
      <c r="R1698">
        <v>0.21</v>
      </c>
      <c r="S1698" cm="1">
        <f t="array" ref="S1698">IFERROR(_xlfn.SWITCH(L1698,1,_xlfn.XLOOKUP(O1698,[1]AttributeName!$B:$B,[1]AttributeName!$D:$D),2,_xlfn.XLOOKUP(C1698,#REF!,#REF!),3,_xlfn.XLOOKUP(C1698,#REF!,#REF!)),0)</f>
        <v>2</v>
      </c>
      <c r="T1698" cm="1">
        <f t="array" ref="T1698">IFERROR(_xlfn.SWITCH(L1698,1,_xlfn.XLOOKUP(O1698,[1]AttributeName!$B:$B,[1]AttributeName!$E:$E),2,_xlfn.XLOOKUP(C1698,#REF!,#REF!),3,_xlfn.XLOOKUP(C1698,#REF!,#REF!)),0)</f>
        <v>2</v>
      </c>
    </row>
    <row r="1699" customFormat="1" spans="1:20">
      <c r="A1699">
        <f t="shared" si="70"/>
        <v>708</v>
      </c>
      <c r="B1699">
        <v>4</v>
      </c>
      <c r="C1699" t="s">
        <v>386</v>
      </c>
      <c r="D1699" t="s">
        <v>30</v>
      </c>
      <c r="E1699" t="s">
        <v>378</v>
      </c>
      <c r="F1699"/>
      <c r="G1699">
        <v>1</v>
      </c>
      <c r="H1699">
        <v>1000</v>
      </c>
      <c r="I1699">
        <v>3</v>
      </c>
      <c r="J1699" cm="1">
        <f t="array" ref="J1699">_xlfn.SWITCH(B1699,1,75,2,61,3,49,4,37,5,25,6,13,7,4,8,1)</f>
        <v>37</v>
      </c>
      <c r="K1699" t="str" cm="1">
        <f t="array" ref="K1699">IFERROR(_xlfn.SWITCH(L1699,2,_xlfn.XLOOKUP(C1699,[1]ModifierDes!$B:$B,[1]ModifierDes!$C:$C),3,_xlfn.XLOOKUP(C1699,[1]StuntDes!$B:$B,[1]StuntDes!$C:$C)),"")</f>
        <v/>
      </c>
      <c r="L1699">
        <f t="shared" si="71"/>
        <v>1</v>
      </c>
      <c r="M1699" s="10" t="str">
        <f>IFERROR(_xlfn.XLOOKUP(C1699,[1]StuntDes!$B:$B,[1]StuntDes!$A:$A),"")</f>
        <v/>
      </c>
      <c r="N1699" s="10" t="str">
        <f>IFERROR(_xlfn.XLOOKUP(C1699,[1]ModifierDes!$B:$B,[1]ModifierDes!$A:$A),"")</f>
        <v/>
      </c>
      <c r="O1699" s="10">
        <f>IFERROR(_xlfn.XLOOKUP(C1699,[1]AttributeName!$C:$C,[1]AttributeName!$B:$B),"")</f>
        <v>10305</v>
      </c>
      <c r="P1699" s="10"/>
      <c r="Q1699">
        <v>0.16</v>
      </c>
      <c r="R1699">
        <v>0.18</v>
      </c>
      <c r="S1699" cm="1">
        <f t="array" ref="S1699">IFERROR(_xlfn.SWITCH(L1699,1,_xlfn.XLOOKUP(O1699,[1]AttributeName!$B:$B,[1]AttributeName!$D:$D),2,_xlfn.XLOOKUP(C1699,#REF!,#REF!),3,_xlfn.XLOOKUP(C1699,#REF!,#REF!)),0)</f>
        <v>2</v>
      </c>
      <c r="T1699" cm="1">
        <f t="array" ref="T1699">IFERROR(_xlfn.SWITCH(L1699,1,_xlfn.XLOOKUP(O1699,[1]AttributeName!$B:$B,[1]AttributeName!$E:$E),2,_xlfn.XLOOKUP(C1699,#REF!,#REF!),3,_xlfn.XLOOKUP(C1699,#REF!,#REF!)),0)</f>
        <v>2</v>
      </c>
    </row>
    <row r="1700" customFormat="1" spans="1:20">
      <c r="A1700">
        <f t="shared" si="70"/>
        <v>708</v>
      </c>
      <c r="B1700">
        <v>5</v>
      </c>
      <c r="C1700" t="s">
        <v>386</v>
      </c>
      <c r="D1700" t="s">
        <v>30</v>
      </c>
      <c r="E1700" t="s">
        <v>378</v>
      </c>
      <c r="F1700"/>
      <c r="G1700">
        <v>1</v>
      </c>
      <c r="H1700">
        <v>1000</v>
      </c>
      <c r="I1700">
        <v>3</v>
      </c>
      <c r="J1700" cm="1">
        <f t="array" ref="J1700">_xlfn.SWITCH(B1700,1,75,2,61,3,49,4,37,5,25,6,13,7,4,8,1)</f>
        <v>25</v>
      </c>
      <c r="K1700" t="str" cm="1">
        <f t="array" ref="K1700">IFERROR(_xlfn.SWITCH(L1700,2,_xlfn.XLOOKUP(C1700,[1]ModifierDes!$B:$B,[1]ModifierDes!$C:$C),3,_xlfn.XLOOKUP(C1700,[1]StuntDes!$B:$B,[1]StuntDes!$C:$C)),"")</f>
        <v/>
      </c>
      <c r="L1700">
        <f t="shared" si="71"/>
        <v>1</v>
      </c>
      <c r="M1700" s="10" t="str">
        <f>IFERROR(_xlfn.XLOOKUP(C1700,[1]StuntDes!$B:$B,[1]StuntDes!$A:$A),"")</f>
        <v/>
      </c>
      <c r="N1700" s="10" t="str">
        <f>IFERROR(_xlfn.XLOOKUP(C1700,[1]ModifierDes!$B:$B,[1]ModifierDes!$A:$A),"")</f>
        <v/>
      </c>
      <c r="O1700" s="10">
        <f>IFERROR(_xlfn.XLOOKUP(C1700,[1]AttributeName!$C:$C,[1]AttributeName!$B:$B),"")</f>
        <v>10305</v>
      </c>
      <c r="P1700" s="10"/>
      <c r="Q1700">
        <v>0.13</v>
      </c>
      <c r="R1700">
        <v>0.15</v>
      </c>
      <c r="S1700" cm="1">
        <f t="array" ref="S1700">IFERROR(_xlfn.SWITCH(L1700,1,_xlfn.XLOOKUP(O1700,[1]AttributeName!$B:$B,[1]AttributeName!$D:$D),2,_xlfn.XLOOKUP(C1700,#REF!,#REF!),3,_xlfn.XLOOKUP(C1700,#REF!,#REF!)),0)</f>
        <v>2</v>
      </c>
      <c r="T1700" cm="1">
        <f t="array" ref="T1700">IFERROR(_xlfn.SWITCH(L1700,1,_xlfn.XLOOKUP(O1700,[1]AttributeName!$B:$B,[1]AttributeName!$E:$E),2,_xlfn.XLOOKUP(C1700,#REF!,#REF!),3,_xlfn.XLOOKUP(C1700,#REF!,#REF!)),0)</f>
        <v>2</v>
      </c>
    </row>
    <row r="1701" customFormat="1" spans="1:20">
      <c r="A1701">
        <f t="shared" si="70"/>
        <v>708</v>
      </c>
      <c r="B1701">
        <v>6</v>
      </c>
      <c r="C1701" t="s">
        <v>386</v>
      </c>
      <c r="D1701" t="s">
        <v>30</v>
      </c>
      <c r="E1701" t="s">
        <v>378</v>
      </c>
      <c r="F1701"/>
      <c r="G1701">
        <v>1</v>
      </c>
      <c r="H1701">
        <v>1000</v>
      </c>
      <c r="I1701">
        <v>3</v>
      </c>
      <c r="J1701" cm="1">
        <f t="array" ref="J1701">_xlfn.SWITCH(B1701,1,75,2,61,3,49,4,37,5,25,6,13,7,4,8,1)</f>
        <v>13</v>
      </c>
      <c r="K1701" t="str" cm="1">
        <f t="array" ref="K1701">IFERROR(_xlfn.SWITCH(L1701,2,_xlfn.XLOOKUP(C1701,[1]ModifierDes!$B:$B,[1]ModifierDes!$C:$C),3,_xlfn.XLOOKUP(C1701,[1]StuntDes!$B:$B,[1]StuntDes!$C:$C)),"")</f>
        <v/>
      </c>
      <c r="L1701">
        <f t="shared" si="71"/>
        <v>1</v>
      </c>
      <c r="M1701" s="10" t="str">
        <f>IFERROR(_xlfn.XLOOKUP(C1701,[1]StuntDes!$B:$B,[1]StuntDes!$A:$A),"")</f>
        <v/>
      </c>
      <c r="N1701" s="10" t="str">
        <f>IFERROR(_xlfn.XLOOKUP(C1701,[1]ModifierDes!$B:$B,[1]ModifierDes!$A:$A),"")</f>
        <v/>
      </c>
      <c r="O1701" s="10">
        <f>IFERROR(_xlfn.XLOOKUP(C1701,[1]AttributeName!$C:$C,[1]AttributeName!$B:$B),"")</f>
        <v>10305</v>
      </c>
      <c r="P1701" s="10"/>
      <c r="Q1701">
        <v>0.0999999999999999</v>
      </c>
      <c r="R1701">
        <v>0.12</v>
      </c>
      <c r="S1701" cm="1">
        <f t="array" ref="S1701">IFERROR(_xlfn.SWITCH(L1701,1,_xlfn.XLOOKUP(O1701,[1]AttributeName!$B:$B,[1]AttributeName!$D:$D),2,_xlfn.XLOOKUP(C1701,#REF!,#REF!),3,_xlfn.XLOOKUP(C1701,#REF!,#REF!)),0)</f>
        <v>2</v>
      </c>
      <c r="T1701" cm="1">
        <f t="array" ref="T1701">IFERROR(_xlfn.SWITCH(L1701,1,_xlfn.XLOOKUP(O1701,[1]AttributeName!$B:$B,[1]AttributeName!$E:$E),2,_xlfn.XLOOKUP(C1701,#REF!,#REF!),3,_xlfn.XLOOKUP(C1701,#REF!,#REF!)),0)</f>
        <v>2</v>
      </c>
    </row>
    <row r="1702" customFormat="1" spans="1:20">
      <c r="A1702">
        <f t="shared" si="70"/>
        <v>708</v>
      </c>
      <c r="B1702">
        <v>7</v>
      </c>
      <c r="C1702" t="s">
        <v>386</v>
      </c>
      <c r="D1702" t="s">
        <v>30</v>
      </c>
      <c r="E1702" t="s">
        <v>378</v>
      </c>
      <c r="F1702"/>
      <c r="G1702">
        <v>1</v>
      </c>
      <c r="H1702">
        <v>1000</v>
      </c>
      <c r="I1702">
        <v>3</v>
      </c>
      <c r="J1702" cm="1">
        <f t="array" ref="J1702">_xlfn.SWITCH(B1702,1,75,2,61,3,49,4,37,5,25,6,13,7,4,8,1)</f>
        <v>4</v>
      </c>
      <c r="K1702" t="str" cm="1">
        <f t="array" ref="K1702">IFERROR(_xlfn.SWITCH(L1702,2,_xlfn.XLOOKUP(C1702,[1]ModifierDes!$B:$B,[1]ModifierDes!$C:$C),3,_xlfn.XLOOKUP(C1702,[1]StuntDes!$B:$B,[1]StuntDes!$C:$C)),"")</f>
        <v/>
      </c>
      <c r="L1702">
        <f t="shared" si="71"/>
        <v>1</v>
      </c>
      <c r="M1702" s="10" t="str">
        <f>IFERROR(_xlfn.XLOOKUP(C1702,[1]StuntDes!$B:$B,[1]StuntDes!$A:$A),"")</f>
        <v/>
      </c>
      <c r="N1702" s="10" t="str">
        <f>IFERROR(_xlfn.XLOOKUP(C1702,[1]ModifierDes!$B:$B,[1]ModifierDes!$A:$A),"")</f>
        <v/>
      </c>
      <c r="O1702" s="10">
        <f>IFERROR(_xlfn.XLOOKUP(C1702,[1]AttributeName!$C:$C,[1]AttributeName!$B:$B),"")</f>
        <v>10305</v>
      </c>
      <c r="P1702" s="10"/>
      <c r="Q1702">
        <v>0.0699999999999999</v>
      </c>
      <c r="R1702">
        <v>0.09</v>
      </c>
      <c r="S1702" cm="1">
        <f t="array" ref="S1702">IFERROR(_xlfn.SWITCH(L1702,1,_xlfn.XLOOKUP(O1702,[1]AttributeName!$B:$B,[1]AttributeName!$D:$D),2,_xlfn.XLOOKUP(C1702,#REF!,#REF!),3,_xlfn.XLOOKUP(C1702,#REF!,#REF!)),0)</f>
        <v>2</v>
      </c>
      <c r="T1702" cm="1">
        <f t="array" ref="T1702">IFERROR(_xlfn.SWITCH(L1702,1,_xlfn.XLOOKUP(O1702,[1]AttributeName!$B:$B,[1]AttributeName!$E:$E),2,_xlfn.XLOOKUP(C1702,#REF!,#REF!),3,_xlfn.XLOOKUP(C1702,#REF!,#REF!)),0)</f>
        <v>2</v>
      </c>
    </row>
    <row r="1703" customFormat="1" spans="1:20">
      <c r="A1703">
        <f t="shared" si="70"/>
        <v>708</v>
      </c>
      <c r="B1703">
        <v>8</v>
      </c>
      <c r="C1703" t="s">
        <v>386</v>
      </c>
      <c r="D1703" t="s">
        <v>30</v>
      </c>
      <c r="E1703" t="s">
        <v>378</v>
      </c>
      <c r="F1703"/>
      <c r="G1703">
        <v>1</v>
      </c>
      <c r="H1703">
        <v>1000</v>
      </c>
      <c r="I1703">
        <v>3</v>
      </c>
      <c r="J1703" cm="1">
        <f t="array" ref="J1703">_xlfn.SWITCH(B1703,1,75,2,61,3,49,4,37,5,25,6,13,7,4,8,1)</f>
        <v>1</v>
      </c>
      <c r="K1703" t="str" cm="1">
        <f t="array" ref="K1703">IFERROR(_xlfn.SWITCH(L1703,2,_xlfn.XLOOKUP(C1703,[1]ModifierDes!$B:$B,[1]ModifierDes!$C:$C),3,_xlfn.XLOOKUP(C1703,[1]StuntDes!$B:$B,[1]StuntDes!$C:$C)),"")</f>
        <v/>
      </c>
      <c r="L1703">
        <f t="shared" si="71"/>
        <v>1</v>
      </c>
      <c r="M1703" s="10" t="str">
        <f>IFERROR(_xlfn.XLOOKUP(C1703,[1]StuntDes!$B:$B,[1]StuntDes!$A:$A),"")</f>
        <v/>
      </c>
      <c r="N1703" s="10" t="str">
        <f>IFERROR(_xlfn.XLOOKUP(C1703,[1]ModifierDes!$B:$B,[1]ModifierDes!$A:$A),"")</f>
        <v/>
      </c>
      <c r="O1703" s="10">
        <f>IFERROR(_xlfn.XLOOKUP(C1703,[1]AttributeName!$C:$C,[1]AttributeName!$B:$B),"")</f>
        <v>10305</v>
      </c>
      <c r="P1703" s="10"/>
      <c r="Q1703">
        <v>0.0399999999999998</v>
      </c>
      <c r="R1703">
        <v>0.06</v>
      </c>
      <c r="S1703" cm="1">
        <f t="array" ref="S1703">IFERROR(_xlfn.SWITCH(L1703,1,_xlfn.XLOOKUP(O1703,[1]AttributeName!$B:$B,[1]AttributeName!$D:$D),2,_xlfn.XLOOKUP(C1703,#REF!,#REF!),3,_xlfn.XLOOKUP(C1703,#REF!,#REF!)),0)</f>
        <v>2</v>
      </c>
      <c r="T1703" cm="1">
        <f t="array" ref="T1703">IFERROR(_xlfn.SWITCH(L1703,1,_xlfn.XLOOKUP(O1703,[1]AttributeName!$B:$B,[1]AttributeName!$E:$E),2,_xlfn.XLOOKUP(C1703,#REF!,#REF!),3,_xlfn.XLOOKUP(C1703,#REF!,#REF!)),0)</f>
        <v>2</v>
      </c>
    </row>
    <row r="1704" customFormat="1" spans="1:20">
      <c r="A1704">
        <f t="shared" si="70"/>
        <v>709</v>
      </c>
      <c r="B1704">
        <v>1</v>
      </c>
      <c r="C1704" t="s">
        <v>387</v>
      </c>
      <c r="D1704" t="s">
        <v>30</v>
      </c>
      <c r="E1704" t="s">
        <v>378</v>
      </c>
      <c r="F1704"/>
      <c r="G1704">
        <v>1</v>
      </c>
      <c r="H1704">
        <v>100</v>
      </c>
      <c r="I1704">
        <v>3</v>
      </c>
      <c r="J1704" cm="1">
        <f t="array" ref="J1704">_xlfn.SWITCH(B1704,1,75,2,61,3,49,4,37,5,25,6,13,7,4,8,1)</f>
        <v>75</v>
      </c>
      <c r="K1704" t="str" cm="1">
        <f t="array" ref="K1704">IFERROR(_xlfn.SWITCH(L1704,2,_xlfn.XLOOKUP(C1704,[1]ModifierDes!$B:$B,[1]ModifierDes!$C:$C),3,_xlfn.XLOOKUP(C1704,[1]StuntDes!$B:$B,[1]StuntDes!$C:$C)),"")</f>
        <v/>
      </c>
      <c r="L1704">
        <f t="shared" si="71"/>
        <v>1</v>
      </c>
      <c r="M1704" s="10" t="str">
        <f>IFERROR(_xlfn.XLOOKUP(C1704,[1]StuntDes!$B:$B,[1]StuntDes!$A:$A),"")</f>
        <v/>
      </c>
      <c r="N1704" s="10" t="str">
        <f>IFERROR(_xlfn.XLOOKUP(C1704,[1]ModifierDes!$B:$B,[1]ModifierDes!$A:$A),"")</f>
        <v/>
      </c>
      <c r="O1704" s="10">
        <f>IFERROR(_xlfn.XLOOKUP(C1704,[1]AttributeName!$C:$C,[1]AttributeName!$B:$B),"")</f>
        <v>10306</v>
      </c>
      <c r="P1704" s="10"/>
      <c r="Q1704">
        <v>0.25</v>
      </c>
      <c r="R1704">
        <v>0.35</v>
      </c>
      <c r="S1704" cm="1">
        <f t="array" ref="S1704">IFERROR(_xlfn.SWITCH(L1704,1,_xlfn.XLOOKUP(O1704,[1]AttributeName!$B:$B,[1]AttributeName!$D:$D),2,_xlfn.XLOOKUP(C1704,#REF!,#REF!),3,_xlfn.XLOOKUP(C1704,#REF!,#REF!)),0)</f>
        <v>2</v>
      </c>
      <c r="T1704" cm="1">
        <f t="array" ref="T1704">IFERROR(_xlfn.SWITCH(L1704,1,_xlfn.XLOOKUP(O1704,[1]AttributeName!$B:$B,[1]AttributeName!$E:$E),2,_xlfn.XLOOKUP(C1704,#REF!,#REF!),3,_xlfn.XLOOKUP(C1704,#REF!,#REF!)),0)</f>
        <v>2</v>
      </c>
    </row>
    <row r="1705" customFormat="1" spans="1:20">
      <c r="A1705">
        <f t="shared" si="70"/>
        <v>709</v>
      </c>
      <c r="B1705">
        <v>2</v>
      </c>
      <c r="C1705" t="s">
        <v>387</v>
      </c>
      <c r="D1705" t="s">
        <v>30</v>
      </c>
      <c r="E1705" t="s">
        <v>378</v>
      </c>
      <c r="F1705"/>
      <c r="G1705">
        <v>1</v>
      </c>
      <c r="H1705">
        <v>200</v>
      </c>
      <c r="I1705">
        <v>3</v>
      </c>
      <c r="J1705" cm="1">
        <f t="array" ref="J1705">_xlfn.SWITCH(B1705,1,75,2,61,3,49,4,37,5,25,6,13,7,4,8,1)</f>
        <v>61</v>
      </c>
      <c r="K1705" t="str" cm="1">
        <f t="array" ref="K1705">IFERROR(_xlfn.SWITCH(L1705,2,_xlfn.XLOOKUP(C1705,[1]ModifierDes!$B:$B,[1]ModifierDes!$C:$C),3,_xlfn.XLOOKUP(C1705,[1]StuntDes!$B:$B,[1]StuntDes!$C:$C)),"")</f>
        <v/>
      </c>
      <c r="L1705">
        <f t="shared" si="71"/>
        <v>1</v>
      </c>
      <c r="M1705" s="10" t="str">
        <f>IFERROR(_xlfn.XLOOKUP(C1705,[1]StuntDes!$B:$B,[1]StuntDes!$A:$A),"")</f>
        <v/>
      </c>
      <c r="N1705" s="10" t="str">
        <f>IFERROR(_xlfn.XLOOKUP(C1705,[1]ModifierDes!$B:$B,[1]ModifierDes!$A:$A),"")</f>
        <v/>
      </c>
      <c r="O1705" s="10">
        <f>IFERROR(_xlfn.XLOOKUP(C1705,[1]AttributeName!$C:$C,[1]AttributeName!$B:$B),"")</f>
        <v>10306</v>
      </c>
      <c r="P1705" s="10"/>
      <c r="Q1705">
        <v>0.22</v>
      </c>
      <c r="R1705">
        <v>0.24</v>
      </c>
      <c r="S1705" cm="1">
        <f t="array" ref="S1705">IFERROR(_xlfn.SWITCH(L1705,1,_xlfn.XLOOKUP(O1705,[1]AttributeName!$B:$B,[1]AttributeName!$D:$D),2,_xlfn.XLOOKUP(C1705,#REF!,#REF!),3,_xlfn.XLOOKUP(C1705,#REF!,#REF!)),0)</f>
        <v>2</v>
      </c>
      <c r="T1705" cm="1">
        <f t="array" ref="T1705">IFERROR(_xlfn.SWITCH(L1705,1,_xlfn.XLOOKUP(O1705,[1]AttributeName!$B:$B,[1]AttributeName!$E:$E),2,_xlfn.XLOOKUP(C1705,#REF!,#REF!),3,_xlfn.XLOOKUP(C1705,#REF!,#REF!)),0)</f>
        <v>2</v>
      </c>
    </row>
    <row r="1706" customFormat="1" spans="1:20">
      <c r="A1706">
        <f t="shared" si="70"/>
        <v>709</v>
      </c>
      <c r="B1706">
        <v>3</v>
      </c>
      <c r="C1706" t="s">
        <v>387</v>
      </c>
      <c r="D1706" t="s">
        <v>30</v>
      </c>
      <c r="E1706" t="s">
        <v>378</v>
      </c>
      <c r="F1706"/>
      <c r="G1706">
        <v>1</v>
      </c>
      <c r="H1706">
        <v>500</v>
      </c>
      <c r="I1706">
        <v>3</v>
      </c>
      <c r="J1706" cm="1">
        <f t="array" ref="J1706">_xlfn.SWITCH(B1706,1,75,2,61,3,49,4,37,5,25,6,13,7,4,8,1)</f>
        <v>49</v>
      </c>
      <c r="K1706" t="str" cm="1">
        <f t="array" ref="K1706">IFERROR(_xlfn.SWITCH(L1706,2,_xlfn.XLOOKUP(C1706,[1]ModifierDes!$B:$B,[1]ModifierDes!$C:$C),3,_xlfn.XLOOKUP(C1706,[1]StuntDes!$B:$B,[1]StuntDes!$C:$C)),"")</f>
        <v/>
      </c>
      <c r="L1706">
        <f t="shared" si="71"/>
        <v>1</v>
      </c>
      <c r="M1706" s="10" t="str">
        <f>IFERROR(_xlfn.XLOOKUP(C1706,[1]StuntDes!$B:$B,[1]StuntDes!$A:$A),"")</f>
        <v/>
      </c>
      <c r="N1706" s="10" t="str">
        <f>IFERROR(_xlfn.XLOOKUP(C1706,[1]ModifierDes!$B:$B,[1]ModifierDes!$A:$A),"")</f>
        <v/>
      </c>
      <c r="O1706" s="10">
        <f>IFERROR(_xlfn.XLOOKUP(C1706,[1]AttributeName!$C:$C,[1]AttributeName!$B:$B),"")</f>
        <v>10306</v>
      </c>
      <c r="P1706" s="10"/>
      <c r="Q1706">
        <v>0.19</v>
      </c>
      <c r="R1706">
        <v>0.21</v>
      </c>
      <c r="S1706" cm="1">
        <f t="array" ref="S1706">IFERROR(_xlfn.SWITCH(L1706,1,_xlfn.XLOOKUP(O1706,[1]AttributeName!$B:$B,[1]AttributeName!$D:$D),2,_xlfn.XLOOKUP(C1706,#REF!,#REF!),3,_xlfn.XLOOKUP(C1706,#REF!,#REF!)),0)</f>
        <v>2</v>
      </c>
      <c r="T1706" cm="1">
        <f t="array" ref="T1706">IFERROR(_xlfn.SWITCH(L1706,1,_xlfn.XLOOKUP(O1706,[1]AttributeName!$B:$B,[1]AttributeName!$E:$E),2,_xlfn.XLOOKUP(C1706,#REF!,#REF!),3,_xlfn.XLOOKUP(C1706,#REF!,#REF!)),0)</f>
        <v>2</v>
      </c>
    </row>
    <row r="1707" customFormat="1" spans="1:20">
      <c r="A1707">
        <f t="shared" si="70"/>
        <v>709</v>
      </c>
      <c r="B1707">
        <v>4</v>
      </c>
      <c r="C1707" t="s">
        <v>387</v>
      </c>
      <c r="D1707" t="s">
        <v>30</v>
      </c>
      <c r="E1707" t="s">
        <v>378</v>
      </c>
      <c r="F1707"/>
      <c r="G1707">
        <v>1</v>
      </c>
      <c r="H1707">
        <v>1000</v>
      </c>
      <c r="I1707">
        <v>3</v>
      </c>
      <c r="J1707" cm="1">
        <f t="array" ref="J1707">_xlfn.SWITCH(B1707,1,75,2,61,3,49,4,37,5,25,6,13,7,4,8,1)</f>
        <v>37</v>
      </c>
      <c r="K1707" t="str" cm="1">
        <f t="array" ref="K1707">IFERROR(_xlfn.SWITCH(L1707,2,_xlfn.XLOOKUP(C1707,[1]ModifierDes!$B:$B,[1]ModifierDes!$C:$C),3,_xlfn.XLOOKUP(C1707,[1]StuntDes!$B:$B,[1]StuntDes!$C:$C)),"")</f>
        <v/>
      </c>
      <c r="L1707">
        <f t="shared" si="71"/>
        <v>1</v>
      </c>
      <c r="M1707" s="10" t="str">
        <f>IFERROR(_xlfn.XLOOKUP(C1707,[1]StuntDes!$B:$B,[1]StuntDes!$A:$A),"")</f>
        <v/>
      </c>
      <c r="N1707" s="10" t="str">
        <f>IFERROR(_xlfn.XLOOKUP(C1707,[1]ModifierDes!$B:$B,[1]ModifierDes!$A:$A),"")</f>
        <v/>
      </c>
      <c r="O1707" s="10">
        <f>IFERROR(_xlfn.XLOOKUP(C1707,[1]AttributeName!$C:$C,[1]AttributeName!$B:$B),"")</f>
        <v>10306</v>
      </c>
      <c r="P1707" s="10"/>
      <c r="Q1707">
        <v>0.16</v>
      </c>
      <c r="R1707">
        <v>0.18</v>
      </c>
      <c r="S1707" cm="1">
        <f t="array" ref="S1707">IFERROR(_xlfn.SWITCH(L1707,1,_xlfn.XLOOKUP(O1707,[1]AttributeName!$B:$B,[1]AttributeName!$D:$D),2,_xlfn.XLOOKUP(C1707,#REF!,#REF!),3,_xlfn.XLOOKUP(C1707,#REF!,#REF!)),0)</f>
        <v>2</v>
      </c>
      <c r="T1707" cm="1">
        <f t="array" ref="T1707">IFERROR(_xlfn.SWITCH(L1707,1,_xlfn.XLOOKUP(O1707,[1]AttributeName!$B:$B,[1]AttributeName!$E:$E),2,_xlfn.XLOOKUP(C1707,#REF!,#REF!),3,_xlfn.XLOOKUP(C1707,#REF!,#REF!)),0)</f>
        <v>2</v>
      </c>
    </row>
    <row r="1708" customFormat="1" spans="1:20">
      <c r="A1708">
        <f t="shared" si="70"/>
        <v>709</v>
      </c>
      <c r="B1708">
        <v>5</v>
      </c>
      <c r="C1708" t="s">
        <v>387</v>
      </c>
      <c r="D1708" t="s">
        <v>30</v>
      </c>
      <c r="E1708" t="s">
        <v>378</v>
      </c>
      <c r="F1708"/>
      <c r="G1708">
        <v>1</v>
      </c>
      <c r="H1708">
        <v>1000</v>
      </c>
      <c r="I1708">
        <v>3</v>
      </c>
      <c r="J1708" cm="1">
        <f t="array" ref="J1708">_xlfn.SWITCH(B1708,1,75,2,61,3,49,4,37,5,25,6,13,7,4,8,1)</f>
        <v>25</v>
      </c>
      <c r="K1708" t="str" cm="1">
        <f t="array" ref="K1708">IFERROR(_xlfn.SWITCH(L1708,2,_xlfn.XLOOKUP(C1708,[1]ModifierDes!$B:$B,[1]ModifierDes!$C:$C),3,_xlfn.XLOOKUP(C1708,[1]StuntDes!$B:$B,[1]StuntDes!$C:$C)),"")</f>
        <v/>
      </c>
      <c r="L1708">
        <f t="shared" si="71"/>
        <v>1</v>
      </c>
      <c r="M1708" s="10" t="str">
        <f>IFERROR(_xlfn.XLOOKUP(C1708,[1]StuntDes!$B:$B,[1]StuntDes!$A:$A),"")</f>
        <v/>
      </c>
      <c r="N1708" s="10" t="str">
        <f>IFERROR(_xlfn.XLOOKUP(C1708,[1]ModifierDes!$B:$B,[1]ModifierDes!$A:$A),"")</f>
        <v/>
      </c>
      <c r="O1708" s="10">
        <f>IFERROR(_xlfn.XLOOKUP(C1708,[1]AttributeName!$C:$C,[1]AttributeName!$B:$B),"")</f>
        <v>10306</v>
      </c>
      <c r="P1708" s="10"/>
      <c r="Q1708">
        <v>0.13</v>
      </c>
      <c r="R1708">
        <v>0.15</v>
      </c>
      <c r="S1708" cm="1">
        <f t="array" ref="S1708">IFERROR(_xlfn.SWITCH(L1708,1,_xlfn.XLOOKUP(O1708,[1]AttributeName!$B:$B,[1]AttributeName!$D:$D),2,_xlfn.XLOOKUP(C1708,#REF!,#REF!),3,_xlfn.XLOOKUP(C1708,#REF!,#REF!)),0)</f>
        <v>2</v>
      </c>
      <c r="T1708" cm="1">
        <f t="array" ref="T1708">IFERROR(_xlfn.SWITCH(L1708,1,_xlfn.XLOOKUP(O1708,[1]AttributeName!$B:$B,[1]AttributeName!$E:$E),2,_xlfn.XLOOKUP(C1708,#REF!,#REF!),3,_xlfn.XLOOKUP(C1708,#REF!,#REF!)),0)</f>
        <v>2</v>
      </c>
    </row>
    <row r="1709" customFormat="1" spans="1:20">
      <c r="A1709">
        <f t="shared" si="70"/>
        <v>709</v>
      </c>
      <c r="B1709">
        <v>6</v>
      </c>
      <c r="C1709" t="s">
        <v>387</v>
      </c>
      <c r="D1709" t="s">
        <v>30</v>
      </c>
      <c r="E1709" t="s">
        <v>378</v>
      </c>
      <c r="F1709"/>
      <c r="G1709">
        <v>1</v>
      </c>
      <c r="H1709">
        <v>1000</v>
      </c>
      <c r="I1709">
        <v>3</v>
      </c>
      <c r="J1709" cm="1">
        <f t="array" ref="J1709">_xlfn.SWITCH(B1709,1,75,2,61,3,49,4,37,5,25,6,13,7,4,8,1)</f>
        <v>13</v>
      </c>
      <c r="K1709" t="str" cm="1">
        <f t="array" ref="K1709">IFERROR(_xlfn.SWITCH(L1709,2,_xlfn.XLOOKUP(C1709,[1]ModifierDes!$B:$B,[1]ModifierDes!$C:$C),3,_xlfn.XLOOKUP(C1709,[1]StuntDes!$B:$B,[1]StuntDes!$C:$C)),"")</f>
        <v/>
      </c>
      <c r="L1709">
        <f t="shared" si="71"/>
        <v>1</v>
      </c>
      <c r="M1709" s="10" t="str">
        <f>IFERROR(_xlfn.XLOOKUP(C1709,[1]StuntDes!$B:$B,[1]StuntDes!$A:$A),"")</f>
        <v/>
      </c>
      <c r="N1709" s="10" t="str">
        <f>IFERROR(_xlfn.XLOOKUP(C1709,[1]ModifierDes!$B:$B,[1]ModifierDes!$A:$A),"")</f>
        <v/>
      </c>
      <c r="O1709" s="10">
        <f>IFERROR(_xlfn.XLOOKUP(C1709,[1]AttributeName!$C:$C,[1]AttributeName!$B:$B),"")</f>
        <v>10306</v>
      </c>
      <c r="P1709" s="10"/>
      <c r="Q1709">
        <v>0.0999999999999999</v>
      </c>
      <c r="R1709">
        <v>0.12</v>
      </c>
      <c r="S1709" cm="1">
        <f t="array" ref="S1709">IFERROR(_xlfn.SWITCH(L1709,1,_xlfn.XLOOKUP(O1709,[1]AttributeName!$B:$B,[1]AttributeName!$D:$D),2,_xlfn.XLOOKUP(C1709,#REF!,#REF!),3,_xlfn.XLOOKUP(C1709,#REF!,#REF!)),0)</f>
        <v>2</v>
      </c>
      <c r="T1709" cm="1">
        <f t="array" ref="T1709">IFERROR(_xlfn.SWITCH(L1709,1,_xlfn.XLOOKUP(O1709,[1]AttributeName!$B:$B,[1]AttributeName!$E:$E),2,_xlfn.XLOOKUP(C1709,#REF!,#REF!),3,_xlfn.XLOOKUP(C1709,#REF!,#REF!)),0)</f>
        <v>2</v>
      </c>
    </row>
    <row r="1710" customFormat="1" spans="1:20">
      <c r="A1710">
        <f t="shared" si="70"/>
        <v>709</v>
      </c>
      <c r="B1710">
        <v>7</v>
      </c>
      <c r="C1710" t="s">
        <v>387</v>
      </c>
      <c r="D1710" t="s">
        <v>30</v>
      </c>
      <c r="E1710" t="s">
        <v>378</v>
      </c>
      <c r="F1710"/>
      <c r="G1710">
        <v>1</v>
      </c>
      <c r="H1710">
        <v>1000</v>
      </c>
      <c r="I1710">
        <v>3</v>
      </c>
      <c r="J1710" cm="1">
        <f t="array" ref="J1710">_xlfn.SWITCH(B1710,1,75,2,61,3,49,4,37,5,25,6,13,7,4,8,1)</f>
        <v>4</v>
      </c>
      <c r="K1710" t="str" cm="1">
        <f t="array" ref="K1710">IFERROR(_xlfn.SWITCH(L1710,2,_xlfn.XLOOKUP(C1710,[1]ModifierDes!$B:$B,[1]ModifierDes!$C:$C),3,_xlfn.XLOOKUP(C1710,[1]StuntDes!$B:$B,[1]StuntDes!$C:$C)),"")</f>
        <v/>
      </c>
      <c r="L1710">
        <f t="shared" si="71"/>
        <v>1</v>
      </c>
      <c r="M1710" s="10" t="str">
        <f>IFERROR(_xlfn.XLOOKUP(C1710,[1]StuntDes!$B:$B,[1]StuntDes!$A:$A),"")</f>
        <v/>
      </c>
      <c r="N1710" s="10" t="str">
        <f>IFERROR(_xlfn.XLOOKUP(C1710,[1]ModifierDes!$B:$B,[1]ModifierDes!$A:$A),"")</f>
        <v/>
      </c>
      <c r="O1710" s="10">
        <f>IFERROR(_xlfn.XLOOKUP(C1710,[1]AttributeName!$C:$C,[1]AttributeName!$B:$B),"")</f>
        <v>10306</v>
      </c>
      <c r="P1710" s="10"/>
      <c r="Q1710">
        <v>0.0699999999999999</v>
      </c>
      <c r="R1710">
        <v>0.09</v>
      </c>
      <c r="S1710" cm="1">
        <f t="array" ref="S1710">IFERROR(_xlfn.SWITCH(L1710,1,_xlfn.XLOOKUP(O1710,[1]AttributeName!$B:$B,[1]AttributeName!$D:$D),2,_xlfn.XLOOKUP(C1710,#REF!,#REF!),3,_xlfn.XLOOKUP(C1710,#REF!,#REF!)),0)</f>
        <v>2</v>
      </c>
      <c r="T1710" cm="1">
        <f t="array" ref="T1710">IFERROR(_xlfn.SWITCH(L1710,1,_xlfn.XLOOKUP(O1710,[1]AttributeName!$B:$B,[1]AttributeName!$E:$E),2,_xlfn.XLOOKUP(C1710,#REF!,#REF!),3,_xlfn.XLOOKUP(C1710,#REF!,#REF!)),0)</f>
        <v>2</v>
      </c>
    </row>
    <row r="1711" customFormat="1" spans="1:20">
      <c r="A1711">
        <f t="shared" si="70"/>
        <v>709</v>
      </c>
      <c r="B1711">
        <v>8</v>
      </c>
      <c r="C1711" t="s">
        <v>387</v>
      </c>
      <c r="D1711" t="s">
        <v>30</v>
      </c>
      <c r="E1711" t="s">
        <v>378</v>
      </c>
      <c r="F1711"/>
      <c r="G1711">
        <v>1</v>
      </c>
      <c r="H1711">
        <v>1000</v>
      </c>
      <c r="I1711">
        <v>3</v>
      </c>
      <c r="J1711" cm="1">
        <f t="array" ref="J1711">_xlfn.SWITCH(B1711,1,75,2,61,3,49,4,37,5,25,6,13,7,4,8,1)</f>
        <v>1</v>
      </c>
      <c r="K1711" t="str" cm="1">
        <f t="array" ref="K1711">IFERROR(_xlfn.SWITCH(L1711,2,_xlfn.XLOOKUP(C1711,[1]ModifierDes!$B:$B,[1]ModifierDes!$C:$C),3,_xlfn.XLOOKUP(C1711,[1]StuntDes!$B:$B,[1]StuntDes!$C:$C)),"")</f>
        <v/>
      </c>
      <c r="L1711">
        <f t="shared" si="71"/>
        <v>1</v>
      </c>
      <c r="M1711" s="10" t="str">
        <f>IFERROR(_xlfn.XLOOKUP(C1711,[1]StuntDes!$B:$B,[1]StuntDes!$A:$A),"")</f>
        <v/>
      </c>
      <c r="N1711" s="10" t="str">
        <f>IFERROR(_xlfn.XLOOKUP(C1711,[1]ModifierDes!$B:$B,[1]ModifierDes!$A:$A),"")</f>
        <v/>
      </c>
      <c r="O1711" s="10">
        <f>IFERROR(_xlfn.XLOOKUP(C1711,[1]AttributeName!$C:$C,[1]AttributeName!$B:$B),"")</f>
        <v>10306</v>
      </c>
      <c r="P1711" s="10"/>
      <c r="Q1711">
        <v>0.0399999999999998</v>
      </c>
      <c r="R1711">
        <v>0.06</v>
      </c>
      <c r="S1711" cm="1">
        <f t="array" ref="S1711">IFERROR(_xlfn.SWITCH(L1711,1,_xlfn.XLOOKUP(O1711,[1]AttributeName!$B:$B,[1]AttributeName!$D:$D),2,_xlfn.XLOOKUP(C1711,#REF!,#REF!),3,_xlfn.XLOOKUP(C1711,#REF!,#REF!)),0)</f>
        <v>2</v>
      </c>
      <c r="T1711" cm="1">
        <f t="array" ref="T1711">IFERROR(_xlfn.SWITCH(L1711,1,_xlfn.XLOOKUP(O1711,[1]AttributeName!$B:$B,[1]AttributeName!$E:$E),2,_xlfn.XLOOKUP(C1711,#REF!,#REF!),3,_xlfn.XLOOKUP(C1711,#REF!,#REF!)),0)</f>
        <v>2</v>
      </c>
    </row>
    <row r="1712" customFormat="1" spans="1:20">
      <c r="A1712">
        <f t="shared" ref="A1712:A1751" si="72">A1704+1</f>
        <v>710</v>
      </c>
      <c r="B1712">
        <v>1</v>
      </c>
      <c r="C1712" t="s">
        <v>388</v>
      </c>
      <c r="D1712" t="s">
        <v>30</v>
      </c>
      <c r="E1712" t="s">
        <v>378</v>
      </c>
      <c r="F1712"/>
      <c r="G1712">
        <v>1</v>
      </c>
      <c r="H1712">
        <v>100</v>
      </c>
      <c r="I1712">
        <v>3</v>
      </c>
      <c r="J1712" cm="1">
        <f t="array" ref="J1712">_xlfn.SWITCH(B1712,1,75,2,61,3,49,4,37,5,25,6,13,7,4,8,1)</f>
        <v>75</v>
      </c>
      <c r="K1712" t="str" cm="1">
        <f t="array" ref="K1712">IFERROR(_xlfn.SWITCH(L1712,2,_xlfn.XLOOKUP(C1712,[1]ModifierDes!$B:$B,[1]ModifierDes!$C:$C),3,_xlfn.XLOOKUP(C1712,[1]StuntDes!$B:$B,[1]StuntDes!$C:$C)),"")</f>
        <v/>
      </c>
      <c r="L1712">
        <f t="shared" si="71"/>
        <v>1</v>
      </c>
      <c r="M1712" s="10" t="str">
        <f>IFERROR(_xlfn.XLOOKUP(C1712,[1]StuntDes!$B:$B,[1]StuntDes!$A:$A),"")</f>
        <v/>
      </c>
      <c r="N1712" s="10" t="str">
        <f>IFERROR(_xlfn.XLOOKUP(C1712,[1]ModifierDes!$B:$B,[1]ModifierDes!$A:$A),"")</f>
        <v/>
      </c>
      <c r="O1712" s="10">
        <f>IFERROR(_xlfn.XLOOKUP(C1712,[1]AttributeName!$C:$C,[1]AttributeName!$B:$B),"")</f>
        <v>10307</v>
      </c>
      <c r="P1712" s="10"/>
      <c r="Q1712">
        <v>0.25</v>
      </c>
      <c r="R1712">
        <v>0.35</v>
      </c>
      <c r="S1712" cm="1">
        <f t="array" ref="S1712">IFERROR(_xlfn.SWITCH(L1712,1,_xlfn.XLOOKUP(O1712,[1]AttributeName!$B:$B,[1]AttributeName!$D:$D),2,_xlfn.XLOOKUP(C1712,#REF!,#REF!),3,_xlfn.XLOOKUP(C1712,#REF!,#REF!)),0)</f>
        <v>2</v>
      </c>
      <c r="T1712" cm="1">
        <f t="array" ref="T1712">IFERROR(_xlfn.SWITCH(L1712,1,_xlfn.XLOOKUP(O1712,[1]AttributeName!$B:$B,[1]AttributeName!$E:$E),2,_xlfn.XLOOKUP(C1712,#REF!,#REF!),3,_xlfn.XLOOKUP(C1712,#REF!,#REF!)),0)</f>
        <v>2</v>
      </c>
    </row>
    <row r="1713" customFormat="1" spans="1:20">
      <c r="A1713">
        <f t="shared" si="72"/>
        <v>710</v>
      </c>
      <c r="B1713">
        <v>2</v>
      </c>
      <c r="C1713" t="s">
        <v>388</v>
      </c>
      <c r="D1713" t="s">
        <v>30</v>
      </c>
      <c r="E1713" t="s">
        <v>378</v>
      </c>
      <c r="F1713"/>
      <c r="G1713">
        <v>1</v>
      </c>
      <c r="H1713">
        <v>200</v>
      </c>
      <c r="I1713">
        <v>3</v>
      </c>
      <c r="J1713" cm="1">
        <f t="array" ref="J1713">_xlfn.SWITCH(B1713,1,75,2,61,3,49,4,37,5,25,6,13,7,4,8,1)</f>
        <v>61</v>
      </c>
      <c r="K1713" t="str" cm="1">
        <f t="array" ref="K1713">IFERROR(_xlfn.SWITCH(L1713,2,_xlfn.XLOOKUP(C1713,[1]ModifierDes!$B:$B,[1]ModifierDes!$C:$C),3,_xlfn.XLOOKUP(C1713,[1]StuntDes!$B:$B,[1]StuntDes!$C:$C)),"")</f>
        <v/>
      </c>
      <c r="L1713">
        <f t="shared" si="71"/>
        <v>1</v>
      </c>
      <c r="M1713" s="10" t="str">
        <f>IFERROR(_xlfn.XLOOKUP(C1713,[1]StuntDes!$B:$B,[1]StuntDes!$A:$A),"")</f>
        <v/>
      </c>
      <c r="N1713" s="10" t="str">
        <f>IFERROR(_xlfn.XLOOKUP(C1713,[1]ModifierDes!$B:$B,[1]ModifierDes!$A:$A),"")</f>
        <v/>
      </c>
      <c r="O1713" s="10">
        <f>IFERROR(_xlfn.XLOOKUP(C1713,[1]AttributeName!$C:$C,[1]AttributeName!$B:$B),"")</f>
        <v>10307</v>
      </c>
      <c r="P1713" s="10"/>
      <c r="Q1713">
        <v>0.22</v>
      </c>
      <c r="R1713">
        <v>0.24</v>
      </c>
      <c r="S1713" cm="1">
        <f t="array" ref="S1713">IFERROR(_xlfn.SWITCH(L1713,1,_xlfn.XLOOKUP(O1713,[1]AttributeName!$B:$B,[1]AttributeName!$D:$D),2,_xlfn.XLOOKUP(C1713,#REF!,#REF!),3,_xlfn.XLOOKUP(C1713,#REF!,#REF!)),0)</f>
        <v>2</v>
      </c>
      <c r="T1713" cm="1">
        <f t="array" ref="T1713">IFERROR(_xlfn.SWITCH(L1713,1,_xlfn.XLOOKUP(O1713,[1]AttributeName!$B:$B,[1]AttributeName!$E:$E),2,_xlfn.XLOOKUP(C1713,#REF!,#REF!),3,_xlfn.XLOOKUP(C1713,#REF!,#REF!)),0)</f>
        <v>2</v>
      </c>
    </row>
    <row r="1714" customFormat="1" spans="1:20">
      <c r="A1714">
        <f t="shared" si="72"/>
        <v>710</v>
      </c>
      <c r="B1714">
        <v>3</v>
      </c>
      <c r="C1714" t="s">
        <v>388</v>
      </c>
      <c r="D1714" t="s">
        <v>30</v>
      </c>
      <c r="E1714" t="s">
        <v>378</v>
      </c>
      <c r="F1714"/>
      <c r="G1714">
        <v>1</v>
      </c>
      <c r="H1714">
        <v>500</v>
      </c>
      <c r="I1714">
        <v>3</v>
      </c>
      <c r="J1714" cm="1">
        <f t="array" ref="J1714">_xlfn.SWITCH(B1714,1,75,2,61,3,49,4,37,5,25,6,13,7,4,8,1)</f>
        <v>49</v>
      </c>
      <c r="K1714" t="str" cm="1">
        <f t="array" ref="K1714">IFERROR(_xlfn.SWITCH(L1714,2,_xlfn.XLOOKUP(C1714,[1]ModifierDes!$B:$B,[1]ModifierDes!$C:$C),3,_xlfn.XLOOKUP(C1714,[1]StuntDes!$B:$B,[1]StuntDes!$C:$C)),"")</f>
        <v/>
      </c>
      <c r="L1714">
        <f t="shared" si="71"/>
        <v>1</v>
      </c>
      <c r="M1714" s="10" t="str">
        <f>IFERROR(_xlfn.XLOOKUP(C1714,[1]StuntDes!$B:$B,[1]StuntDes!$A:$A),"")</f>
        <v/>
      </c>
      <c r="N1714" s="10" t="str">
        <f>IFERROR(_xlfn.XLOOKUP(C1714,[1]ModifierDes!$B:$B,[1]ModifierDes!$A:$A),"")</f>
        <v/>
      </c>
      <c r="O1714" s="10">
        <f>IFERROR(_xlfn.XLOOKUP(C1714,[1]AttributeName!$C:$C,[1]AttributeName!$B:$B),"")</f>
        <v>10307</v>
      </c>
      <c r="P1714" s="10"/>
      <c r="Q1714">
        <v>0.19</v>
      </c>
      <c r="R1714">
        <v>0.21</v>
      </c>
      <c r="S1714" cm="1">
        <f t="array" ref="S1714">IFERROR(_xlfn.SWITCH(L1714,1,_xlfn.XLOOKUP(O1714,[1]AttributeName!$B:$B,[1]AttributeName!$D:$D),2,_xlfn.XLOOKUP(C1714,#REF!,#REF!),3,_xlfn.XLOOKUP(C1714,#REF!,#REF!)),0)</f>
        <v>2</v>
      </c>
      <c r="T1714" cm="1">
        <f t="array" ref="T1714">IFERROR(_xlfn.SWITCH(L1714,1,_xlfn.XLOOKUP(O1714,[1]AttributeName!$B:$B,[1]AttributeName!$E:$E),2,_xlfn.XLOOKUP(C1714,#REF!,#REF!),3,_xlfn.XLOOKUP(C1714,#REF!,#REF!)),0)</f>
        <v>2</v>
      </c>
    </row>
    <row r="1715" customFormat="1" spans="1:20">
      <c r="A1715">
        <f t="shared" si="72"/>
        <v>710</v>
      </c>
      <c r="B1715">
        <v>4</v>
      </c>
      <c r="C1715" t="s">
        <v>388</v>
      </c>
      <c r="D1715" t="s">
        <v>30</v>
      </c>
      <c r="E1715" t="s">
        <v>378</v>
      </c>
      <c r="F1715"/>
      <c r="G1715">
        <v>1</v>
      </c>
      <c r="H1715">
        <v>1000</v>
      </c>
      <c r="I1715">
        <v>3</v>
      </c>
      <c r="J1715" cm="1">
        <f t="array" ref="J1715">_xlfn.SWITCH(B1715,1,75,2,61,3,49,4,37,5,25,6,13,7,4,8,1)</f>
        <v>37</v>
      </c>
      <c r="K1715" t="str" cm="1">
        <f t="array" ref="K1715">IFERROR(_xlfn.SWITCH(L1715,2,_xlfn.XLOOKUP(C1715,[1]ModifierDes!$B:$B,[1]ModifierDes!$C:$C),3,_xlfn.XLOOKUP(C1715,[1]StuntDes!$B:$B,[1]StuntDes!$C:$C)),"")</f>
        <v/>
      </c>
      <c r="L1715">
        <f t="shared" si="71"/>
        <v>1</v>
      </c>
      <c r="M1715" s="10" t="str">
        <f>IFERROR(_xlfn.XLOOKUP(C1715,[1]StuntDes!$B:$B,[1]StuntDes!$A:$A),"")</f>
        <v/>
      </c>
      <c r="N1715" s="10" t="str">
        <f>IFERROR(_xlfn.XLOOKUP(C1715,[1]ModifierDes!$B:$B,[1]ModifierDes!$A:$A),"")</f>
        <v/>
      </c>
      <c r="O1715" s="10">
        <f>IFERROR(_xlfn.XLOOKUP(C1715,[1]AttributeName!$C:$C,[1]AttributeName!$B:$B),"")</f>
        <v>10307</v>
      </c>
      <c r="P1715" s="10"/>
      <c r="Q1715">
        <v>0.16</v>
      </c>
      <c r="R1715">
        <v>0.18</v>
      </c>
      <c r="S1715" cm="1">
        <f t="array" ref="S1715">IFERROR(_xlfn.SWITCH(L1715,1,_xlfn.XLOOKUP(O1715,[1]AttributeName!$B:$B,[1]AttributeName!$D:$D),2,_xlfn.XLOOKUP(C1715,#REF!,#REF!),3,_xlfn.XLOOKUP(C1715,#REF!,#REF!)),0)</f>
        <v>2</v>
      </c>
      <c r="T1715" cm="1">
        <f t="array" ref="T1715">IFERROR(_xlfn.SWITCH(L1715,1,_xlfn.XLOOKUP(O1715,[1]AttributeName!$B:$B,[1]AttributeName!$E:$E),2,_xlfn.XLOOKUP(C1715,#REF!,#REF!),3,_xlfn.XLOOKUP(C1715,#REF!,#REF!)),0)</f>
        <v>2</v>
      </c>
    </row>
    <row r="1716" customFormat="1" spans="1:20">
      <c r="A1716">
        <f t="shared" si="72"/>
        <v>710</v>
      </c>
      <c r="B1716">
        <v>5</v>
      </c>
      <c r="C1716" t="s">
        <v>388</v>
      </c>
      <c r="D1716" t="s">
        <v>30</v>
      </c>
      <c r="E1716" t="s">
        <v>378</v>
      </c>
      <c r="F1716"/>
      <c r="G1716">
        <v>1</v>
      </c>
      <c r="H1716">
        <v>1000</v>
      </c>
      <c r="I1716">
        <v>3</v>
      </c>
      <c r="J1716" cm="1">
        <f t="array" ref="J1716">_xlfn.SWITCH(B1716,1,75,2,61,3,49,4,37,5,25,6,13,7,4,8,1)</f>
        <v>25</v>
      </c>
      <c r="K1716" t="str" cm="1">
        <f t="array" ref="K1716">IFERROR(_xlfn.SWITCH(L1716,2,_xlfn.XLOOKUP(C1716,[1]ModifierDes!$B:$B,[1]ModifierDes!$C:$C),3,_xlfn.XLOOKUP(C1716,[1]StuntDes!$B:$B,[1]StuntDes!$C:$C)),"")</f>
        <v/>
      </c>
      <c r="L1716">
        <f t="shared" si="71"/>
        <v>1</v>
      </c>
      <c r="M1716" s="10" t="str">
        <f>IFERROR(_xlfn.XLOOKUP(C1716,[1]StuntDes!$B:$B,[1]StuntDes!$A:$A),"")</f>
        <v/>
      </c>
      <c r="N1716" s="10" t="str">
        <f>IFERROR(_xlfn.XLOOKUP(C1716,[1]ModifierDes!$B:$B,[1]ModifierDes!$A:$A),"")</f>
        <v/>
      </c>
      <c r="O1716" s="10">
        <f>IFERROR(_xlfn.XLOOKUP(C1716,[1]AttributeName!$C:$C,[1]AttributeName!$B:$B),"")</f>
        <v>10307</v>
      </c>
      <c r="P1716" s="10"/>
      <c r="Q1716">
        <v>0.13</v>
      </c>
      <c r="R1716">
        <v>0.15</v>
      </c>
      <c r="S1716" cm="1">
        <f t="array" ref="S1716">IFERROR(_xlfn.SWITCH(L1716,1,_xlfn.XLOOKUP(O1716,[1]AttributeName!$B:$B,[1]AttributeName!$D:$D),2,_xlfn.XLOOKUP(C1716,#REF!,#REF!),3,_xlfn.XLOOKUP(C1716,#REF!,#REF!)),0)</f>
        <v>2</v>
      </c>
      <c r="T1716" cm="1">
        <f t="array" ref="T1716">IFERROR(_xlfn.SWITCH(L1716,1,_xlfn.XLOOKUP(O1716,[1]AttributeName!$B:$B,[1]AttributeName!$E:$E),2,_xlfn.XLOOKUP(C1716,#REF!,#REF!),3,_xlfn.XLOOKUP(C1716,#REF!,#REF!)),0)</f>
        <v>2</v>
      </c>
    </row>
    <row r="1717" customFormat="1" spans="1:20">
      <c r="A1717">
        <f t="shared" si="72"/>
        <v>710</v>
      </c>
      <c r="B1717">
        <v>6</v>
      </c>
      <c r="C1717" t="s">
        <v>388</v>
      </c>
      <c r="D1717" t="s">
        <v>30</v>
      </c>
      <c r="E1717" t="s">
        <v>378</v>
      </c>
      <c r="F1717"/>
      <c r="G1717">
        <v>1</v>
      </c>
      <c r="H1717">
        <v>1000</v>
      </c>
      <c r="I1717">
        <v>3</v>
      </c>
      <c r="J1717" cm="1">
        <f t="array" ref="J1717">_xlfn.SWITCH(B1717,1,75,2,61,3,49,4,37,5,25,6,13,7,4,8,1)</f>
        <v>13</v>
      </c>
      <c r="K1717" t="str" cm="1">
        <f t="array" ref="K1717">IFERROR(_xlfn.SWITCH(L1717,2,_xlfn.XLOOKUP(C1717,[1]ModifierDes!$B:$B,[1]ModifierDes!$C:$C),3,_xlfn.XLOOKUP(C1717,[1]StuntDes!$B:$B,[1]StuntDes!$C:$C)),"")</f>
        <v/>
      </c>
      <c r="L1717">
        <f t="shared" si="71"/>
        <v>1</v>
      </c>
      <c r="M1717" s="10" t="str">
        <f>IFERROR(_xlfn.XLOOKUP(C1717,[1]StuntDes!$B:$B,[1]StuntDes!$A:$A),"")</f>
        <v/>
      </c>
      <c r="N1717" s="10" t="str">
        <f>IFERROR(_xlfn.XLOOKUP(C1717,[1]ModifierDes!$B:$B,[1]ModifierDes!$A:$A),"")</f>
        <v/>
      </c>
      <c r="O1717" s="10">
        <f>IFERROR(_xlfn.XLOOKUP(C1717,[1]AttributeName!$C:$C,[1]AttributeName!$B:$B),"")</f>
        <v>10307</v>
      </c>
      <c r="P1717" s="10"/>
      <c r="Q1717">
        <v>0.0999999999999999</v>
      </c>
      <c r="R1717">
        <v>0.12</v>
      </c>
      <c r="S1717" cm="1">
        <f t="array" ref="S1717">IFERROR(_xlfn.SWITCH(L1717,1,_xlfn.XLOOKUP(O1717,[1]AttributeName!$B:$B,[1]AttributeName!$D:$D),2,_xlfn.XLOOKUP(C1717,#REF!,#REF!),3,_xlfn.XLOOKUP(C1717,#REF!,#REF!)),0)</f>
        <v>2</v>
      </c>
      <c r="T1717" cm="1">
        <f t="array" ref="T1717">IFERROR(_xlfn.SWITCH(L1717,1,_xlfn.XLOOKUP(O1717,[1]AttributeName!$B:$B,[1]AttributeName!$E:$E),2,_xlfn.XLOOKUP(C1717,#REF!,#REF!),3,_xlfn.XLOOKUP(C1717,#REF!,#REF!)),0)</f>
        <v>2</v>
      </c>
    </row>
    <row r="1718" customFormat="1" spans="1:20">
      <c r="A1718">
        <f t="shared" si="72"/>
        <v>710</v>
      </c>
      <c r="B1718">
        <v>7</v>
      </c>
      <c r="C1718" t="s">
        <v>388</v>
      </c>
      <c r="D1718" t="s">
        <v>30</v>
      </c>
      <c r="E1718" t="s">
        <v>378</v>
      </c>
      <c r="F1718"/>
      <c r="G1718">
        <v>1</v>
      </c>
      <c r="H1718">
        <v>1000</v>
      </c>
      <c r="I1718">
        <v>3</v>
      </c>
      <c r="J1718" cm="1">
        <f t="array" ref="J1718">_xlfn.SWITCH(B1718,1,75,2,61,3,49,4,37,5,25,6,13,7,4,8,1)</f>
        <v>4</v>
      </c>
      <c r="K1718" t="str" cm="1">
        <f t="array" ref="K1718">IFERROR(_xlfn.SWITCH(L1718,2,_xlfn.XLOOKUP(C1718,[1]ModifierDes!$B:$B,[1]ModifierDes!$C:$C),3,_xlfn.XLOOKUP(C1718,[1]StuntDes!$B:$B,[1]StuntDes!$C:$C)),"")</f>
        <v/>
      </c>
      <c r="L1718">
        <f t="shared" si="71"/>
        <v>1</v>
      </c>
      <c r="M1718" s="10" t="str">
        <f>IFERROR(_xlfn.XLOOKUP(C1718,[1]StuntDes!$B:$B,[1]StuntDes!$A:$A),"")</f>
        <v/>
      </c>
      <c r="N1718" s="10" t="str">
        <f>IFERROR(_xlfn.XLOOKUP(C1718,[1]ModifierDes!$B:$B,[1]ModifierDes!$A:$A),"")</f>
        <v/>
      </c>
      <c r="O1718" s="10">
        <f>IFERROR(_xlfn.XLOOKUP(C1718,[1]AttributeName!$C:$C,[1]AttributeName!$B:$B),"")</f>
        <v>10307</v>
      </c>
      <c r="P1718" s="10"/>
      <c r="Q1718">
        <v>0.0699999999999999</v>
      </c>
      <c r="R1718">
        <v>0.09</v>
      </c>
      <c r="S1718" cm="1">
        <f t="array" ref="S1718">IFERROR(_xlfn.SWITCH(L1718,1,_xlfn.XLOOKUP(O1718,[1]AttributeName!$B:$B,[1]AttributeName!$D:$D),2,_xlfn.XLOOKUP(C1718,#REF!,#REF!),3,_xlfn.XLOOKUP(C1718,#REF!,#REF!)),0)</f>
        <v>2</v>
      </c>
      <c r="T1718" cm="1">
        <f t="array" ref="T1718">IFERROR(_xlfn.SWITCH(L1718,1,_xlfn.XLOOKUP(O1718,[1]AttributeName!$B:$B,[1]AttributeName!$E:$E),2,_xlfn.XLOOKUP(C1718,#REF!,#REF!),3,_xlfn.XLOOKUP(C1718,#REF!,#REF!)),0)</f>
        <v>2</v>
      </c>
    </row>
    <row r="1719" customFormat="1" spans="1:20">
      <c r="A1719">
        <f t="shared" si="72"/>
        <v>710</v>
      </c>
      <c r="B1719">
        <v>8</v>
      </c>
      <c r="C1719" t="s">
        <v>388</v>
      </c>
      <c r="D1719" t="s">
        <v>30</v>
      </c>
      <c r="E1719" t="s">
        <v>378</v>
      </c>
      <c r="F1719"/>
      <c r="G1719">
        <v>1</v>
      </c>
      <c r="H1719">
        <v>1000</v>
      </c>
      <c r="I1719">
        <v>3</v>
      </c>
      <c r="J1719" cm="1">
        <f t="array" ref="J1719">_xlfn.SWITCH(B1719,1,75,2,61,3,49,4,37,5,25,6,13,7,4,8,1)</f>
        <v>1</v>
      </c>
      <c r="K1719" t="str" cm="1">
        <f t="array" ref="K1719">IFERROR(_xlfn.SWITCH(L1719,2,_xlfn.XLOOKUP(C1719,[1]ModifierDes!$B:$B,[1]ModifierDes!$C:$C),3,_xlfn.XLOOKUP(C1719,[1]StuntDes!$B:$B,[1]StuntDes!$C:$C)),"")</f>
        <v/>
      </c>
      <c r="L1719">
        <f t="shared" si="71"/>
        <v>1</v>
      </c>
      <c r="M1719" s="10" t="str">
        <f>IFERROR(_xlfn.XLOOKUP(C1719,[1]StuntDes!$B:$B,[1]StuntDes!$A:$A),"")</f>
        <v/>
      </c>
      <c r="N1719" s="10" t="str">
        <f>IFERROR(_xlfn.XLOOKUP(C1719,[1]ModifierDes!$B:$B,[1]ModifierDes!$A:$A),"")</f>
        <v/>
      </c>
      <c r="O1719" s="10">
        <f>IFERROR(_xlfn.XLOOKUP(C1719,[1]AttributeName!$C:$C,[1]AttributeName!$B:$B),"")</f>
        <v>10307</v>
      </c>
      <c r="P1719" s="10"/>
      <c r="Q1719">
        <v>0.0399999999999998</v>
      </c>
      <c r="R1719">
        <v>0.06</v>
      </c>
      <c r="S1719" cm="1">
        <f t="array" ref="S1719">IFERROR(_xlfn.SWITCH(L1719,1,_xlfn.XLOOKUP(O1719,[1]AttributeName!$B:$B,[1]AttributeName!$D:$D),2,_xlfn.XLOOKUP(C1719,#REF!,#REF!),3,_xlfn.XLOOKUP(C1719,#REF!,#REF!)),0)</f>
        <v>2</v>
      </c>
      <c r="T1719" cm="1">
        <f t="array" ref="T1719">IFERROR(_xlfn.SWITCH(L1719,1,_xlfn.XLOOKUP(O1719,[1]AttributeName!$B:$B,[1]AttributeName!$E:$E),2,_xlfn.XLOOKUP(C1719,#REF!,#REF!),3,_xlfn.XLOOKUP(C1719,#REF!,#REF!)),0)</f>
        <v>2</v>
      </c>
    </row>
    <row r="1720" customFormat="1" spans="1:20">
      <c r="A1720">
        <f t="shared" si="72"/>
        <v>711</v>
      </c>
      <c r="B1720">
        <v>1</v>
      </c>
      <c r="C1720" t="s">
        <v>420</v>
      </c>
      <c r="D1720" t="s">
        <v>30</v>
      </c>
      <c r="E1720" t="s">
        <v>378</v>
      </c>
      <c r="F1720"/>
      <c r="G1720">
        <v>1</v>
      </c>
      <c r="H1720">
        <v>250</v>
      </c>
      <c r="J1720" cm="1">
        <f t="array" ref="J1720">_xlfn.SWITCH(B1720,1,75,2,61,3,49,4,37,5,25,6,13,7,4,8,1)</f>
        <v>75</v>
      </c>
      <c r="K1720" t="str" cm="1">
        <f t="array" ref="K1720">IFERROR(_xlfn.SWITCH(L1720,2,_xlfn.XLOOKUP(C1720,[1]ModifierDes!$B:$B,[1]ModifierDes!$C:$C),3,_xlfn.XLOOKUP(C1720,[1]StuntDes!$B:$B,[1]StuntDes!$C:$C)),"")</f>
        <v/>
      </c>
      <c r="L1720">
        <f t="shared" si="71"/>
        <v>1</v>
      </c>
      <c r="M1720" s="10" t="str">
        <f>IFERROR(_xlfn.XLOOKUP(C1720,[1]StuntDes!$B:$B,[1]StuntDes!$A:$A),"")</f>
        <v/>
      </c>
      <c r="N1720" s="10" t="str">
        <f>IFERROR(_xlfn.XLOOKUP(C1720,[1]ModifierDes!$B:$B,[1]ModifierDes!$A:$A),"")</f>
        <v/>
      </c>
      <c r="O1720" s="10">
        <f>IFERROR(_xlfn.XLOOKUP(C1720,[1]AttributeName!$C:$C,[1]AttributeName!$B:$B),"")</f>
        <v>11013</v>
      </c>
      <c r="P1720" s="10"/>
      <c r="Q1720">
        <v>0.08</v>
      </c>
      <c r="R1720">
        <v>0.1</v>
      </c>
      <c r="S1720" cm="1">
        <f t="array" ref="S1720">IFERROR(_xlfn.SWITCH(L1720,1,_xlfn.XLOOKUP(O1720,[1]AttributeName!$B:$B,[1]AttributeName!$D:$D),2,_xlfn.XLOOKUP(C1720,#REF!,#REF!),3,_xlfn.XLOOKUP(C1720,#REF!,#REF!)),0)</f>
        <v>2</v>
      </c>
      <c r="T1720" cm="1">
        <f t="array" ref="T1720">IFERROR(_xlfn.SWITCH(L1720,1,_xlfn.XLOOKUP(O1720,[1]AttributeName!$B:$B,[1]AttributeName!$E:$E),2,_xlfn.XLOOKUP(C1720,#REF!,#REF!),3,_xlfn.XLOOKUP(C1720,#REF!,#REF!)),0)</f>
        <v>2</v>
      </c>
    </row>
    <row r="1721" customFormat="1" spans="1:20">
      <c r="A1721">
        <f t="shared" si="72"/>
        <v>711</v>
      </c>
      <c r="B1721">
        <v>2</v>
      </c>
      <c r="C1721" t="s">
        <v>420</v>
      </c>
      <c r="D1721" t="s">
        <v>30</v>
      </c>
      <c r="E1721" t="s">
        <v>378</v>
      </c>
      <c r="F1721"/>
      <c r="G1721">
        <v>1</v>
      </c>
      <c r="H1721">
        <v>500</v>
      </c>
      <c r="J1721" cm="1">
        <f t="array" ref="J1721">_xlfn.SWITCH(B1721,1,75,2,61,3,49,4,37,5,25,6,13,7,4,8,1)</f>
        <v>61</v>
      </c>
      <c r="K1721" t="str" cm="1">
        <f t="array" ref="K1721">IFERROR(_xlfn.SWITCH(L1721,2,_xlfn.XLOOKUP(C1721,[1]ModifierDes!$B:$B,[1]ModifierDes!$C:$C),3,_xlfn.XLOOKUP(C1721,[1]StuntDes!$B:$B,[1]StuntDes!$C:$C)),"")</f>
        <v/>
      </c>
      <c r="L1721">
        <f t="shared" si="71"/>
        <v>1</v>
      </c>
      <c r="M1721" s="10" t="str">
        <f>IFERROR(_xlfn.XLOOKUP(C1721,[1]StuntDes!$B:$B,[1]StuntDes!$A:$A),"")</f>
        <v/>
      </c>
      <c r="N1721" s="10" t="str">
        <f>IFERROR(_xlfn.XLOOKUP(C1721,[1]ModifierDes!$B:$B,[1]ModifierDes!$A:$A),"")</f>
        <v/>
      </c>
      <c r="O1721" s="10">
        <f>IFERROR(_xlfn.XLOOKUP(C1721,[1]AttributeName!$C:$C,[1]AttributeName!$B:$B),"")</f>
        <v>11013</v>
      </c>
      <c r="P1721" s="10"/>
      <c r="Q1721">
        <v>0.07</v>
      </c>
      <c r="R1721">
        <v>0.07</v>
      </c>
      <c r="S1721" cm="1">
        <f t="array" ref="S1721">IFERROR(_xlfn.SWITCH(L1721,1,_xlfn.XLOOKUP(O1721,[1]AttributeName!$B:$B,[1]AttributeName!$D:$D),2,_xlfn.XLOOKUP(C1721,#REF!,#REF!),3,_xlfn.XLOOKUP(C1721,#REF!,#REF!)),0)</f>
        <v>2</v>
      </c>
      <c r="T1721" cm="1">
        <f t="array" ref="T1721">IFERROR(_xlfn.SWITCH(L1721,1,_xlfn.XLOOKUP(O1721,[1]AttributeName!$B:$B,[1]AttributeName!$E:$E),2,_xlfn.XLOOKUP(C1721,#REF!,#REF!),3,_xlfn.XLOOKUP(C1721,#REF!,#REF!)),0)</f>
        <v>2</v>
      </c>
    </row>
    <row r="1722" customFormat="1" spans="1:20">
      <c r="A1722">
        <f t="shared" si="72"/>
        <v>711</v>
      </c>
      <c r="B1722">
        <v>3</v>
      </c>
      <c r="C1722" t="s">
        <v>420</v>
      </c>
      <c r="D1722" t="s">
        <v>30</v>
      </c>
      <c r="E1722" t="s">
        <v>378</v>
      </c>
      <c r="F1722"/>
      <c r="G1722">
        <v>1</v>
      </c>
      <c r="H1722">
        <v>750</v>
      </c>
      <c r="J1722" cm="1">
        <f t="array" ref="J1722">_xlfn.SWITCH(B1722,1,75,2,61,3,49,4,37,5,25,6,13,7,4,8,1)</f>
        <v>49</v>
      </c>
      <c r="K1722" t="str" cm="1">
        <f t="array" ref="K1722">IFERROR(_xlfn.SWITCH(L1722,2,_xlfn.XLOOKUP(C1722,[1]ModifierDes!$B:$B,[1]ModifierDes!$C:$C),3,_xlfn.XLOOKUP(C1722,[1]StuntDes!$B:$B,[1]StuntDes!$C:$C)),"")</f>
        <v/>
      </c>
      <c r="L1722">
        <f t="shared" si="71"/>
        <v>1</v>
      </c>
      <c r="M1722" s="10" t="str">
        <f>IFERROR(_xlfn.XLOOKUP(C1722,[1]StuntDes!$B:$B,[1]StuntDes!$A:$A),"")</f>
        <v/>
      </c>
      <c r="N1722" s="10" t="str">
        <f>IFERROR(_xlfn.XLOOKUP(C1722,[1]ModifierDes!$B:$B,[1]ModifierDes!$A:$A),"")</f>
        <v/>
      </c>
      <c r="O1722" s="10">
        <f>IFERROR(_xlfn.XLOOKUP(C1722,[1]AttributeName!$C:$C,[1]AttributeName!$B:$B),"")</f>
        <v>11013</v>
      </c>
      <c r="P1722" s="10"/>
      <c r="Q1722">
        <v>0.06</v>
      </c>
      <c r="R1722">
        <v>0.06</v>
      </c>
      <c r="S1722" cm="1">
        <f t="array" ref="S1722">IFERROR(_xlfn.SWITCH(L1722,1,_xlfn.XLOOKUP(O1722,[1]AttributeName!$B:$B,[1]AttributeName!$D:$D),2,_xlfn.XLOOKUP(C1722,#REF!,#REF!),3,_xlfn.XLOOKUP(C1722,#REF!,#REF!)),0)</f>
        <v>2</v>
      </c>
      <c r="T1722" cm="1">
        <f t="array" ref="T1722">IFERROR(_xlfn.SWITCH(L1722,1,_xlfn.XLOOKUP(O1722,[1]AttributeName!$B:$B,[1]AttributeName!$E:$E),2,_xlfn.XLOOKUP(C1722,#REF!,#REF!),3,_xlfn.XLOOKUP(C1722,#REF!,#REF!)),0)</f>
        <v>2</v>
      </c>
    </row>
    <row r="1723" customFormat="1" spans="1:20">
      <c r="A1723">
        <f t="shared" si="72"/>
        <v>711</v>
      </c>
      <c r="B1723">
        <v>4</v>
      </c>
      <c r="C1723" t="s">
        <v>420</v>
      </c>
      <c r="D1723" t="s">
        <v>30</v>
      </c>
      <c r="E1723" t="s">
        <v>378</v>
      </c>
      <c r="F1723"/>
      <c r="G1723">
        <v>1</v>
      </c>
      <c r="H1723">
        <v>1000</v>
      </c>
      <c r="J1723" cm="1">
        <f t="array" ref="J1723">_xlfn.SWITCH(B1723,1,75,2,61,3,49,4,37,5,25,6,13,7,4,8,1)</f>
        <v>37</v>
      </c>
      <c r="K1723" t="str" cm="1">
        <f t="array" ref="K1723">IFERROR(_xlfn.SWITCH(L1723,2,_xlfn.XLOOKUP(C1723,[1]ModifierDes!$B:$B,[1]ModifierDes!$C:$C),3,_xlfn.XLOOKUP(C1723,[1]StuntDes!$B:$B,[1]StuntDes!$C:$C)),"")</f>
        <v/>
      </c>
      <c r="L1723">
        <f t="shared" si="71"/>
        <v>1</v>
      </c>
      <c r="M1723" s="10" t="str">
        <f>IFERROR(_xlfn.XLOOKUP(C1723,[1]StuntDes!$B:$B,[1]StuntDes!$A:$A),"")</f>
        <v/>
      </c>
      <c r="N1723" s="10" t="str">
        <f>IFERROR(_xlfn.XLOOKUP(C1723,[1]ModifierDes!$B:$B,[1]ModifierDes!$A:$A),"")</f>
        <v/>
      </c>
      <c r="O1723" s="10">
        <f>IFERROR(_xlfn.XLOOKUP(C1723,[1]AttributeName!$C:$C,[1]AttributeName!$B:$B),"")</f>
        <v>11013</v>
      </c>
      <c r="P1723" s="10"/>
      <c r="Q1723">
        <v>0.05</v>
      </c>
      <c r="R1723">
        <v>0.05</v>
      </c>
      <c r="S1723" cm="1">
        <f t="array" ref="S1723">IFERROR(_xlfn.SWITCH(L1723,1,_xlfn.XLOOKUP(O1723,[1]AttributeName!$B:$B,[1]AttributeName!$D:$D),2,_xlfn.XLOOKUP(C1723,#REF!,#REF!),3,_xlfn.XLOOKUP(C1723,#REF!,#REF!)),0)</f>
        <v>2</v>
      </c>
      <c r="T1723" cm="1">
        <f t="array" ref="T1723">IFERROR(_xlfn.SWITCH(L1723,1,_xlfn.XLOOKUP(O1723,[1]AttributeName!$B:$B,[1]AttributeName!$E:$E),2,_xlfn.XLOOKUP(C1723,#REF!,#REF!),3,_xlfn.XLOOKUP(C1723,#REF!,#REF!)),0)</f>
        <v>2</v>
      </c>
    </row>
    <row r="1724" customFormat="1" spans="1:20">
      <c r="A1724">
        <f t="shared" si="72"/>
        <v>711</v>
      </c>
      <c r="B1724">
        <v>5</v>
      </c>
      <c r="C1724" t="s">
        <v>420</v>
      </c>
      <c r="D1724" t="s">
        <v>30</v>
      </c>
      <c r="E1724" t="s">
        <v>378</v>
      </c>
      <c r="F1724"/>
      <c r="G1724">
        <v>1</v>
      </c>
      <c r="H1724">
        <v>1000</v>
      </c>
      <c r="J1724" cm="1">
        <f t="array" ref="J1724">_xlfn.SWITCH(B1724,1,75,2,61,3,49,4,37,5,25,6,13,7,4,8,1)</f>
        <v>25</v>
      </c>
      <c r="K1724" t="str" cm="1">
        <f t="array" ref="K1724">IFERROR(_xlfn.SWITCH(L1724,2,_xlfn.XLOOKUP(C1724,[1]ModifierDes!$B:$B,[1]ModifierDes!$C:$C),3,_xlfn.XLOOKUP(C1724,[1]StuntDes!$B:$B,[1]StuntDes!$C:$C)),"")</f>
        <v/>
      </c>
      <c r="L1724">
        <f t="shared" si="71"/>
        <v>1</v>
      </c>
      <c r="M1724" s="10" t="str">
        <f>IFERROR(_xlfn.XLOOKUP(C1724,[1]StuntDes!$B:$B,[1]StuntDes!$A:$A),"")</f>
        <v/>
      </c>
      <c r="N1724" s="10" t="str">
        <f>IFERROR(_xlfn.XLOOKUP(C1724,[1]ModifierDes!$B:$B,[1]ModifierDes!$A:$A),"")</f>
        <v/>
      </c>
      <c r="O1724" s="10">
        <f>IFERROR(_xlfn.XLOOKUP(C1724,[1]AttributeName!$C:$C,[1]AttributeName!$B:$B),"")</f>
        <v>11013</v>
      </c>
      <c r="P1724" s="10"/>
      <c r="Q1724">
        <v>0.04</v>
      </c>
      <c r="R1724">
        <v>0.04</v>
      </c>
      <c r="S1724" cm="1">
        <f t="array" ref="S1724">IFERROR(_xlfn.SWITCH(L1724,1,_xlfn.XLOOKUP(O1724,[1]AttributeName!$B:$B,[1]AttributeName!$D:$D),2,_xlfn.XLOOKUP(C1724,#REF!,#REF!),3,_xlfn.XLOOKUP(C1724,#REF!,#REF!)),0)</f>
        <v>2</v>
      </c>
      <c r="T1724" cm="1">
        <f t="array" ref="T1724">IFERROR(_xlfn.SWITCH(L1724,1,_xlfn.XLOOKUP(O1724,[1]AttributeName!$B:$B,[1]AttributeName!$E:$E),2,_xlfn.XLOOKUP(C1724,#REF!,#REF!),3,_xlfn.XLOOKUP(C1724,#REF!,#REF!)),0)</f>
        <v>2</v>
      </c>
    </row>
    <row r="1725" customFormat="1" spans="1:20">
      <c r="A1725">
        <f t="shared" si="72"/>
        <v>711</v>
      </c>
      <c r="B1725">
        <v>6</v>
      </c>
      <c r="C1725" t="s">
        <v>420</v>
      </c>
      <c r="D1725" t="s">
        <v>30</v>
      </c>
      <c r="E1725" t="s">
        <v>378</v>
      </c>
      <c r="F1725"/>
      <c r="G1725">
        <v>1</v>
      </c>
      <c r="H1725">
        <v>1000</v>
      </c>
      <c r="J1725" cm="1">
        <f t="array" ref="J1725">_xlfn.SWITCH(B1725,1,75,2,61,3,49,4,37,5,25,6,13,7,4,8,1)</f>
        <v>13</v>
      </c>
      <c r="K1725" t="str" cm="1">
        <f t="array" ref="K1725">IFERROR(_xlfn.SWITCH(L1725,2,_xlfn.XLOOKUP(C1725,[1]ModifierDes!$B:$B,[1]ModifierDes!$C:$C),3,_xlfn.XLOOKUP(C1725,[1]StuntDes!$B:$B,[1]StuntDes!$C:$C)),"")</f>
        <v/>
      </c>
      <c r="L1725">
        <f t="shared" si="71"/>
        <v>1</v>
      </c>
      <c r="M1725" s="10" t="str">
        <f>IFERROR(_xlfn.XLOOKUP(C1725,[1]StuntDes!$B:$B,[1]StuntDes!$A:$A),"")</f>
        <v/>
      </c>
      <c r="N1725" s="10" t="str">
        <f>IFERROR(_xlfn.XLOOKUP(C1725,[1]ModifierDes!$B:$B,[1]ModifierDes!$A:$A),"")</f>
        <v/>
      </c>
      <c r="O1725" s="10">
        <f>IFERROR(_xlfn.XLOOKUP(C1725,[1]AttributeName!$C:$C,[1]AttributeName!$B:$B),"")</f>
        <v>11013</v>
      </c>
      <c r="P1725" s="10"/>
      <c r="Q1725">
        <v>0.03</v>
      </c>
      <c r="R1725">
        <v>0.03</v>
      </c>
      <c r="S1725" cm="1">
        <f t="array" ref="S1725">IFERROR(_xlfn.SWITCH(L1725,1,_xlfn.XLOOKUP(O1725,[1]AttributeName!$B:$B,[1]AttributeName!$D:$D),2,_xlfn.XLOOKUP(C1725,#REF!,#REF!),3,_xlfn.XLOOKUP(C1725,#REF!,#REF!)),0)</f>
        <v>2</v>
      </c>
      <c r="T1725" cm="1">
        <f t="array" ref="T1725">IFERROR(_xlfn.SWITCH(L1725,1,_xlfn.XLOOKUP(O1725,[1]AttributeName!$B:$B,[1]AttributeName!$E:$E),2,_xlfn.XLOOKUP(C1725,#REF!,#REF!),3,_xlfn.XLOOKUP(C1725,#REF!,#REF!)),0)</f>
        <v>2</v>
      </c>
    </row>
    <row r="1726" customFormat="1" spans="1:20">
      <c r="A1726">
        <f t="shared" si="72"/>
        <v>711</v>
      </c>
      <c r="B1726">
        <v>7</v>
      </c>
      <c r="C1726" t="s">
        <v>420</v>
      </c>
      <c r="D1726" t="s">
        <v>30</v>
      </c>
      <c r="E1726" t="s">
        <v>378</v>
      </c>
      <c r="F1726"/>
      <c r="G1726">
        <v>1</v>
      </c>
      <c r="H1726">
        <v>1000</v>
      </c>
      <c r="J1726" cm="1">
        <f t="array" ref="J1726">_xlfn.SWITCH(B1726,1,75,2,61,3,49,4,37,5,25,6,13,7,4,8,1)</f>
        <v>4</v>
      </c>
      <c r="K1726" t="str" cm="1">
        <f t="array" ref="K1726">IFERROR(_xlfn.SWITCH(L1726,2,_xlfn.XLOOKUP(C1726,[1]ModifierDes!$B:$B,[1]ModifierDes!$C:$C),3,_xlfn.XLOOKUP(C1726,[1]StuntDes!$B:$B,[1]StuntDes!$C:$C)),"")</f>
        <v/>
      </c>
      <c r="L1726">
        <f t="shared" si="71"/>
        <v>1</v>
      </c>
      <c r="M1726" s="10" t="str">
        <f>IFERROR(_xlfn.XLOOKUP(C1726,[1]StuntDes!$B:$B,[1]StuntDes!$A:$A),"")</f>
        <v/>
      </c>
      <c r="N1726" s="10" t="str">
        <f>IFERROR(_xlfn.XLOOKUP(C1726,[1]ModifierDes!$B:$B,[1]ModifierDes!$A:$A),"")</f>
        <v/>
      </c>
      <c r="O1726" s="10">
        <f>IFERROR(_xlfn.XLOOKUP(C1726,[1]AttributeName!$C:$C,[1]AttributeName!$B:$B),"")</f>
        <v>11013</v>
      </c>
      <c r="P1726" s="10"/>
      <c r="Q1726">
        <v>0.02</v>
      </c>
      <c r="R1726">
        <v>0.02</v>
      </c>
      <c r="S1726" cm="1">
        <f t="array" ref="S1726">IFERROR(_xlfn.SWITCH(L1726,1,_xlfn.XLOOKUP(O1726,[1]AttributeName!$B:$B,[1]AttributeName!$D:$D),2,_xlfn.XLOOKUP(C1726,#REF!,#REF!),3,_xlfn.XLOOKUP(C1726,#REF!,#REF!)),0)</f>
        <v>2</v>
      </c>
      <c r="T1726" cm="1">
        <f t="array" ref="T1726">IFERROR(_xlfn.SWITCH(L1726,1,_xlfn.XLOOKUP(O1726,[1]AttributeName!$B:$B,[1]AttributeName!$E:$E),2,_xlfn.XLOOKUP(C1726,#REF!,#REF!),3,_xlfn.XLOOKUP(C1726,#REF!,#REF!)),0)</f>
        <v>2</v>
      </c>
    </row>
    <row r="1727" customFormat="1" spans="1:20">
      <c r="A1727">
        <f t="shared" si="72"/>
        <v>711</v>
      </c>
      <c r="B1727">
        <v>8</v>
      </c>
      <c r="C1727" t="s">
        <v>420</v>
      </c>
      <c r="D1727" t="s">
        <v>30</v>
      </c>
      <c r="E1727" t="s">
        <v>378</v>
      </c>
      <c r="F1727"/>
      <c r="G1727">
        <v>1</v>
      </c>
      <c r="H1727">
        <v>1000</v>
      </c>
      <c r="J1727" cm="1">
        <f t="array" ref="J1727">_xlfn.SWITCH(B1727,1,75,2,61,3,49,4,37,5,25,6,13,7,4,8,1)</f>
        <v>1</v>
      </c>
      <c r="K1727" t="str" cm="1">
        <f t="array" ref="K1727">IFERROR(_xlfn.SWITCH(L1727,2,_xlfn.XLOOKUP(C1727,[1]ModifierDes!$B:$B,[1]ModifierDes!$C:$C),3,_xlfn.XLOOKUP(C1727,[1]StuntDes!$B:$B,[1]StuntDes!$C:$C)),"")</f>
        <v/>
      </c>
      <c r="L1727">
        <f t="shared" si="71"/>
        <v>1</v>
      </c>
      <c r="M1727" s="10" t="str">
        <f>IFERROR(_xlfn.XLOOKUP(C1727,[1]StuntDes!$B:$B,[1]StuntDes!$A:$A),"")</f>
        <v/>
      </c>
      <c r="N1727" s="10" t="str">
        <f>IFERROR(_xlfn.XLOOKUP(C1727,[1]ModifierDes!$B:$B,[1]ModifierDes!$A:$A),"")</f>
        <v/>
      </c>
      <c r="O1727" s="10">
        <f>IFERROR(_xlfn.XLOOKUP(C1727,[1]AttributeName!$C:$C,[1]AttributeName!$B:$B),"")</f>
        <v>11013</v>
      </c>
      <c r="P1727" s="10"/>
      <c r="Q1727">
        <v>0.01</v>
      </c>
      <c r="R1727">
        <v>0.01</v>
      </c>
      <c r="S1727" cm="1">
        <f t="array" ref="S1727">IFERROR(_xlfn.SWITCH(L1727,1,_xlfn.XLOOKUP(O1727,[1]AttributeName!$B:$B,[1]AttributeName!$D:$D),2,_xlfn.XLOOKUP(C1727,#REF!,#REF!),3,_xlfn.XLOOKUP(C1727,#REF!,#REF!)),0)</f>
        <v>2</v>
      </c>
      <c r="T1727" cm="1">
        <f t="array" ref="T1727">IFERROR(_xlfn.SWITCH(L1727,1,_xlfn.XLOOKUP(O1727,[1]AttributeName!$B:$B,[1]AttributeName!$E:$E),2,_xlfn.XLOOKUP(C1727,#REF!,#REF!),3,_xlfn.XLOOKUP(C1727,#REF!,#REF!)),0)</f>
        <v>2</v>
      </c>
    </row>
    <row r="1728" customFormat="1" spans="1:20">
      <c r="A1728">
        <f t="shared" si="72"/>
        <v>712</v>
      </c>
      <c r="B1728">
        <v>1</v>
      </c>
      <c r="C1728" t="s">
        <v>421</v>
      </c>
      <c r="D1728" t="s">
        <v>30</v>
      </c>
      <c r="E1728" t="s">
        <v>378</v>
      </c>
      <c r="F1728"/>
      <c r="G1728">
        <v>1</v>
      </c>
      <c r="H1728">
        <v>250</v>
      </c>
      <c r="J1728" cm="1">
        <f t="array" ref="J1728">_xlfn.SWITCH(B1728,1,75,2,61,3,49,4,37,5,25,6,13,7,4,8,1)</f>
        <v>75</v>
      </c>
      <c r="K1728" t="str" cm="1">
        <f t="array" ref="K1728">IFERROR(_xlfn.SWITCH(L1728,2,_xlfn.XLOOKUP(C1728,[1]ModifierDes!$B:$B,[1]ModifierDes!$C:$C),3,_xlfn.XLOOKUP(C1728,[1]StuntDes!$B:$B,[1]StuntDes!$C:$C)),"")</f>
        <v/>
      </c>
      <c r="L1728">
        <f t="shared" si="71"/>
        <v>1</v>
      </c>
      <c r="M1728" s="10" t="str">
        <f>IFERROR(_xlfn.XLOOKUP(C1728,[1]StuntDes!$B:$B,[1]StuntDes!$A:$A),"")</f>
        <v/>
      </c>
      <c r="N1728" s="10" t="str">
        <f>IFERROR(_xlfn.XLOOKUP(C1728,[1]ModifierDes!$B:$B,[1]ModifierDes!$A:$A),"")</f>
        <v/>
      </c>
      <c r="O1728" s="10">
        <f>IFERROR(_xlfn.XLOOKUP(C1728,[1]AttributeName!$C:$C,[1]AttributeName!$B:$B),"")</f>
        <v>11015</v>
      </c>
      <c r="P1728" s="10"/>
      <c r="Q1728">
        <v>0.08</v>
      </c>
      <c r="R1728">
        <v>0.1</v>
      </c>
      <c r="S1728" cm="1">
        <f t="array" ref="S1728">IFERROR(_xlfn.SWITCH(L1728,1,_xlfn.XLOOKUP(O1728,[1]AttributeName!$B:$B,[1]AttributeName!$D:$D),2,_xlfn.XLOOKUP(C1728,#REF!,#REF!),3,_xlfn.XLOOKUP(C1728,#REF!,#REF!)),0)</f>
        <v>2</v>
      </c>
      <c r="T1728" cm="1">
        <f t="array" ref="T1728">IFERROR(_xlfn.SWITCH(L1728,1,_xlfn.XLOOKUP(O1728,[1]AttributeName!$B:$B,[1]AttributeName!$E:$E),2,_xlfn.XLOOKUP(C1728,#REF!,#REF!),3,_xlfn.XLOOKUP(C1728,#REF!,#REF!)),0)</f>
        <v>2</v>
      </c>
    </row>
    <row r="1729" customFormat="1" spans="1:20">
      <c r="A1729">
        <f t="shared" si="72"/>
        <v>712</v>
      </c>
      <c r="B1729">
        <v>2</v>
      </c>
      <c r="C1729" t="s">
        <v>421</v>
      </c>
      <c r="D1729" t="s">
        <v>30</v>
      </c>
      <c r="E1729" t="s">
        <v>378</v>
      </c>
      <c r="F1729"/>
      <c r="G1729">
        <v>1</v>
      </c>
      <c r="H1729">
        <v>500</v>
      </c>
      <c r="J1729" cm="1">
        <f t="array" ref="J1729">_xlfn.SWITCH(B1729,1,75,2,61,3,49,4,37,5,25,6,13,7,4,8,1)</f>
        <v>61</v>
      </c>
      <c r="K1729" t="str" cm="1">
        <f t="array" ref="K1729">IFERROR(_xlfn.SWITCH(L1729,2,_xlfn.XLOOKUP(C1729,[1]ModifierDes!$B:$B,[1]ModifierDes!$C:$C),3,_xlfn.XLOOKUP(C1729,[1]StuntDes!$B:$B,[1]StuntDes!$C:$C)),"")</f>
        <v/>
      </c>
      <c r="L1729">
        <f t="shared" si="71"/>
        <v>1</v>
      </c>
      <c r="M1729" s="10" t="str">
        <f>IFERROR(_xlfn.XLOOKUP(C1729,[1]StuntDes!$B:$B,[1]StuntDes!$A:$A),"")</f>
        <v/>
      </c>
      <c r="N1729" s="10" t="str">
        <f>IFERROR(_xlfn.XLOOKUP(C1729,[1]ModifierDes!$B:$B,[1]ModifierDes!$A:$A),"")</f>
        <v/>
      </c>
      <c r="O1729" s="10">
        <f>IFERROR(_xlfn.XLOOKUP(C1729,[1]AttributeName!$C:$C,[1]AttributeName!$B:$B),"")</f>
        <v>11015</v>
      </c>
      <c r="P1729" s="10"/>
      <c r="Q1729">
        <v>0.07</v>
      </c>
      <c r="R1729">
        <v>0.07</v>
      </c>
      <c r="S1729" cm="1">
        <f t="array" ref="S1729">IFERROR(_xlfn.SWITCH(L1729,1,_xlfn.XLOOKUP(O1729,[1]AttributeName!$B:$B,[1]AttributeName!$D:$D),2,_xlfn.XLOOKUP(C1729,#REF!,#REF!),3,_xlfn.XLOOKUP(C1729,#REF!,#REF!)),0)</f>
        <v>2</v>
      </c>
      <c r="T1729" cm="1">
        <f t="array" ref="T1729">IFERROR(_xlfn.SWITCH(L1729,1,_xlfn.XLOOKUP(O1729,[1]AttributeName!$B:$B,[1]AttributeName!$E:$E),2,_xlfn.XLOOKUP(C1729,#REF!,#REF!),3,_xlfn.XLOOKUP(C1729,#REF!,#REF!)),0)</f>
        <v>2</v>
      </c>
    </row>
    <row r="1730" customFormat="1" spans="1:20">
      <c r="A1730">
        <f t="shared" si="72"/>
        <v>712</v>
      </c>
      <c r="B1730">
        <v>3</v>
      </c>
      <c r="C1730" t="s">
        <v>421</v>
      </c>
      <c r="D1730" t="s">
        <v>30</v>
      </c>
      <c r="E1730" t="s">
        <v>378</v>
      </c>
      <c r="F1730"/>
      <c r="G1730">
        <v>1</v>
      </c>
      <c r="H1730">
        <v>750</v>
      </c>
      <c r="J1730" cm="1">
        <f t="array" ref="J1730">_xlfn.SWITCH(B1730,1,75,2,61,3,49,4,37,5,25,6,13,7,4,8,1)</f>
        <v>49</v>
      </c>
      <c r="K1730" t="str" cm="1">
        <f t="array" ref="K1730">IFERROR(_xlfn.SWITCH(L1730,2,_xlfn.XLOOKUP(C1730,[1]ModifierDes!$B:$B,[1]ModifierDes!$C:$C),3,_xlfn.XLOOKUP(C1730,[1]StuntDes!$B:$B,[1]StuntDes!$C:$C)),"")</f>
        <v/>
      </c>
      <c r="L1730">
        <f t="shared" si="71"/>
        <v>1</v>
      </c>
      <c r="M1730" s="10" t="str">
        <f>IFERROR(_xlfn.XLOOKUP(C1730,[1]StuntDes!$B:$B,[1]StuntDes!$A:$A),"")</f>
        <v/>
      </c>
      <c r="N1730" s="10" t="str">
        <f>IFERROR(_xlfn.XLOOKUP(C1730,[1]ModifierDes!$B:$B,[1]ModifierDes!$A:$A),"")</f>
        <v/>
      </c>
      <c r="O1730" s="10">
        <f>IFERROR(_xlfn.XLOOKUP(C1730,[1]AttributeName!$C:$C,[1]AttributeName!$B:$B),"")</f>
        <v>11015</v>
      </c>
      <c r="P1730" s="10"/>
      <c r="Q1730">
        <v>0.06</v>
      </c>
      <c r="R1730">
        <v>0.06</v>
      </c>
      <c r="S1730" cm="1">
        <f t="array" ref="S1730">IFERROR(_xlfn.SWITCH(L1730,1,_xlfn.XLOOKUP(O1730,[1]AttributeName!$B:$B,[1]AttributeName!$D:$D),2,_xlfn.XLOOKUP(C1730,#REF!,#REF!),3,_xlfn.XLOOKUP(C1730,#REF!,#REF!)),0)</f>
        <v>2</v>
      </c>
      <c r="T1730" cm="1">
        <f t="array" ref="T1730">IFERROR(_xlfn.SWITCH(L1730,1,_xlfn.XLOOKUP(O1730,[1]AttributeName!$B:$B,[1]AttributeName!$E:$E),2,_xlfn.XLOOKUP(C1730,#REF!,#REF!),3,_xlfn.XLOOKUP(C1730,#REF!,#REF!)),0)</f>
        <v>2</v>
      </c>
    </row>
    <row r="1731" customFormat="1" spans="1:20">
      <c r="A1731">
        <f t="shared" si="72"/>
        <v>712</v>
      </c>
      <c r="B1731">
        <v>4</v>
      </c>
      <c r="C1731" t="s">
        <v>421</v>
      </c>
      <c r="D1731" t="s">
        <v>30</v>
      </c>
      <c r="E1731" t="s">
        <v>378</v>
      </c>
      <c r="F1731"/>
      <c r="G1731">
        <v>1</v>
      </c>
      <c r="H1731">
        <v>1000</v>
      </c>
      <c r="J1731" cm="1">
        <f t="array" ref="J1731">_xlfn.SWITCH(B1731,1,75,2,61,3,49,4,37,5,25,6,13,7,4,8,1)</f>
        <v>37</v>
      </c>
      <c r="K1731" t="str" cm="1">
        <f t="array" ref="K1731">IFERROR(_xlfn.SWITCH(L1731,2,_xlfn.XLOOKUP(C1731,[1]ModifierDes!$B:$B,[1]ModifierDes!$C:$C),3,_xlfn.XLOOKUP(C1731,[1]StuntDes!$B:$B,[1]StuntDes!$C:$C)),"")</f>
        <v/>
      </c>
      <c r="L1731">
        <f t="shared" si="71"/>
        <v>1</v>
      </c>
      <c r="M1731" s="10" t="str">
        <f>IFERROR(_xlfn.XLOOKUP(C1731,[1]StuntDes!$B:$B,[1]StuntDes!$A:$A),"")</f>
        <v/>
      </c>
      <c r="N1731" s="10" t="str">
        <f>IFERROR(_xlfn.XLOOKUP(C1731,[1]ModifierDes!$B:$B,[1]ModifierDes!$A:$A),"")</f>
        <v/>
      </c>
      <c r="O1731" s="10">
        <f>IFERROR(_xlfn.XLOOKUP(C1731,[1]AttributeName!$C:$C,[1]AttributeName!$B:$B),"")</f>
        <v>11015</v>
      </c>
      <c r="P1731" s="10"/>
      <c r="Q1731">
        <v>0.05</v>
      </c>
      <c r="R1731">
        <v>0.05</v>
      </c>
      <c r="S1731" cm="1">
        <f t="array" ref="S1731">IFERROR(_xlfn.SWITCH(L1731,1,_xlfn.XLOOKUP(O1731,[1]AttributeName!$B:$B,[1]AttributeName!$D:$D),2,_xlfn.XLOOKUP(C1731,#REF!,#REF!),3,_xlfn.XLOOKUP(C1731,#REF!,#REF!)),0)</f>
        <v>2</v>
      </c>
      <c r="T1731" cm="1">
        <f t="array" ref="T1731">IFERROR(_xlfn.SWITCH(L1731,1,_xlfn.XLOOKUP(O1731,[1]AttributeName!$B:$B,[1]AttributeName!$E:$E),2,_xlfn.XLOOKUP(C1731,#REF!,#REF!),3,_xlfn.XLOOKUP(C1731,#REF!,#REF!)),0)</f>
        <v>2</v>
      </c>
    </row>
    <row r="1732" customFormat="1" spans="1:20">
      <c r="A1732">
        <f t="shared" si="72"/>
        <v>712</v>
      </c>
      <c r="B1732">
        <v>5</v>
      </c>
      <c r="C1732" t="s">
        <v>421</v>
      </c>
      <c r="D1732" t="s">
        <v>30</v>
      </c>
      <c r="E1732" t="s">
        <v>378</v>
      </c>
      <c r="F1732"/>
      <c r="G1732">
        <v>1</v>
      </c>
      <c r="H1732">
        <v>1000</v>
      </c>
      <c r="J1732" cm="1">
        <f t="array" ref="J1732">_xlfn.SWITCH(B1732,1,75,2,61,3,49,4,37,5,25,6,13,7,4,8,1)</f>
        <v>25</v>
      </c>
      <c r="K1732" t="str" cm="1">
        <f t="array" ref="K1732">IFERROR(_xlfn.SWITCH(L1732,2,_xlfn.XLOOKUP(C1732,[1]ModifierDes!$B:$B,[1]ModifierDes!$C:$C),3,_xlfn.XLOOKUP(C1732,[1]StuntDes!$B:$B,[1]StuntDes!$C:$C)),"")</f>
        <v/>
      </c>
      <c r="L1732">
        <f t="shared" ref="L1732:L1795" si="73">IF(M1732="",IF(N1732="",1,2),3)</f>
        <v>1</v>
      </c>
      <c r="M1732" s="10" t="str">
        <f>IFERROR(_xlfn.XLOOKUP(C1732,[1]StuntDes!$B:$B,[1]StuntDes!$A:$A),"")</f>
        <v/>
      </c>
      <c r="N1732" s="10" t="str">
        <f>IFERROR(_xlfn.XLOOKUP(C1732,[1]ModifierDes!$B:$B,[1]ModifierDes!$A:$A),"")</f>
        <v/>
      </c>
      <c r="O1732" s="10">
        <f>IFERROR(_xlfn.XLOOKUP(C1732,[1]AttributeName!$C:$C,[1]AttributeName!$B:$B),"")</f>
        <v>11015</v>
      </c>
      <c r="P1732" s="10"/>
      <c r="Q1732">
        <v>0.04</v>
      </c>
      <c r="R1732">
        <v>0.04</v>
      </c>
      <c r="S1732" cm="1">
        <f t="array" ref="S1732">IFERROR(_xlfn.SWITCH(L1732,1,_xlfn.XLOOKUP(O1732,[1]AttributeName!$B:$B,[1]AttributeName!$D:$D),2,_xlfn.XLOOKUP(C1732,#REF!,#REF!),3,_xlfn.XLOOKUP(C1732,#REF!,#REF!)),0)</f>
        <v>2</v>
      </c>
      <c r="T1732" cm="1">
        <f t="array" ref="T1732">IFERROR(_xlfn.SWITCH(L1732,1,_xlfn.XLOOKUP(O1732,[1]AttributeName!$B:$B,[1]AttributeName!$E:$E),2,_xlfn.XLOOKUP(C1732,#REF!,#REF!),3,_xlfn.XLOOKUP(C1732,#REF!,#REF!)),0)</f>
        <v>2</v>
      </c>
    </row>
    <row r="1733" customFormat="1" spans="1:20">
      <c r="A1733">
        <f t="shared" si="72"/>
        <v>712</v>
      </c>
      <c r="B1733">
        <v>6</v>
      </c>
      <c r="C1733" t="s">
        <v>421</v>
      </c>
      <c r="D1733" t="s">
        <v>30</v>
      </c>
      <c r="E1733" t="s">
        <v>378</v>
      </c>
      <c r="F1733"/>
      <c r="G1733">
        <v>1</v>
      </c>
      <c r="H1733">
        <v>1000</v>
      </c>
      <c r="J1733" cm="1">
        <f t="array" ref="J1733">_xlfn.SWITCH(B1733,1,75,2,61,3,49,4,37,5,25,6,13,7,4,8,1)</f>
        <v>13</v>
      </c>
      <c r="K1733" t="str" cm="1">
        <f t="array" ref="K1733">IFERROR(_xlfn.SWITCH(L1733,2,_xlfn.XLOOKUP(C1733,[1]ModifierDes!$B:$B,[1]ModifierDes!$C:$C),3,_xlfn.XLOOKUP(C1733,[1]StuntDes!$B:$B,[1]StuntDes!$C:$C)),"")</f>
        <v/>
      </c>
      <c r="L1733">
        <f t="shared" si="73"/>
        <v>1</v>
      </c>
      <c r="M1733" s="10" t="str">
        <f>IFERROR(_xlfn.XLOOKUP(C1733,[1]StuntDes!$B:$B,[1]StuntDes!$A:$A),"")</f>
        <v/>
      </c>
      <c r="N1733" s="10" t="str">
        <f>IFERROR(_xlfn.XLOOKUP(C1733,[1]ModifierDes!$B:$B,[1]ModifierDes!$A:$A),"")</f>
        <v/>
      </c>
      <c r="O1733" s="10">
        <f>IFERROR(_xlfn.XLOOKUP(C1733,[1]AttributeName!$C:$C,[1]AttributeName!$B:$B),"")</f>
        <v>11015</v>
      </c>
      <c r="P1733" s="10"/>
      <c r="Q1733">
        <v>0.03</v>
      </c>
      <c r="R1733">
        <v>0.03</v>
      </c>
      <c r="S1733" cm="1">
        <f t="array" ref="S1733">IFERROR(_xlfn.SWITCH(L1733,1,_xlfn.XLOOKUP(O1733,[1]AttributeName!$B:$B,[1]AttributeName!$D:$D),2,_xlfn.XLOOKUP(C1733,#REF!,#REF!),3,_xlfn.XLOOKUP(C1733,#REF!,#REF!)),0)</f>
        <v>2</v>
      </c>
      <c r="T1733" cm="1">
        <f t="array" ref="T1733">IFERROR(_xlfn.SWITCH(L1733,1,_xlfn.XLOOKUP(O1733,[1]AttributeName!$B:$B,[1]AttributeName!$E:$E),2,_xlfn.XLOOKUP(C1733,#REF!,#REF!),3,_xlfn.XLOOKUP(C1733,#REF!,#REF!)),0)</f>
        <v>2</v>
      </c>
    </row>
    <row r="1734" customFormat="1" spans="1:20">
      <c r="A1734">
        <f t="shared" si="72"/>
        <v>712</v>
      </c>
      <c r="B1734">
        <v>7</v>
      </c>
      <c r="C1734" t="s">
        <v>421</v>
      </c>
      <c r="D1734" t="s">
        <v>30</v>
      </c>
      <c r="E1734" t="s">
        <v>378</v>
      </c>
      <c r="F1734"/>
      <c r="G1734">
        <v>1</v>
      </c>
      <c r="H1734">
        <v>1000</v>
      </c>
      <c r="J1734" cm="1">
        <f t="array" ref="J1734">_xlfn.SWITCH(B1734,1,75,2,61,3,49,4,37,5,25,6,13,7,4,8,1)</f>
        <v>4</v>
      </c>
      <c r="K1734" t="str" cm="1">
        <f t="array" ref="K1734">IFERROR(_xlfn.SWITCH(L1734,2,_xlfn.XLOOKUP(C1734,[1]ModifierDes!$B:$B,[1]ModifierDes!$C:$C),3,_xlfn.XLOOKUP(C1734,[1]StuntDes!$B:$B,[1]StuntDes!$C:$C)),"")</f>
        <v/>
      </c>
      <c r="L1734">
        <f t="shared" si="73"/>
        <v>1</v>
      </c>
      <c r="M1734" s="10" t="str">
        <f>IFERROR(_xlfn.XLOOKUP(C1734,[1]StuntDes!$B:$B,[1]StuntDes!$A:$A),"")</f>
        <v/>
      </c>
      <c r="N1734" s="10" t="str">
        <f>IFERROR(_xlfn.XLOOKUP(C1734,[1]ModifierDes!$B:$B,[1]ModifierDes!$A:$A),"")</f>
        <v/>
      </c>
      <c r="O1734" s="10">
        <f>IFERROR(_xlfn.XLOOKUP(C1734,[1]AttributeName!$C:$C,[1]AttributeName!$B:$B),"")</f>
        <v>11015</v>
      </c>
      <c r="P1734" s="10"/>
      <c r="Q1734">
        <v>0.02</v>
      </c>
      <c r="R1734">
        <v>0.02</v>
      </c>
      <c r="S1734" cm="1">
        <f t="array" ref="S1734">IFERROR(_xlfn.SWITCH(L1734,1,_xlfn.XLOOKUP(O1734,[1]AttributeName!$B:$B,[1]AttributeName!$D:$D),2,_xlfn.XLOOKUP(C1734,#REF!,#REF!),3,_xlfn.XLOOKUP(C1734,#REF!,#REF!)),0)</f>
        <v>2</v>
      </c>
      <c r="T1734" cm="1">
        <f t="array" ref="T1734">IFERROR(_xlfn.SWITCH(L1734,1,_xlfn.XLOOKUP(O1734,[1]AttributeName!$B:$B,[1]AttributeName!$E:$E),2,_xlfn.XLOOKUP(C1734,#REF!,#REF!),3,_xlfn.XLOOKUP(C1734,#REF!,#REF!)),0)</f>
        <v>2</v>
      </c>
    </row>
    <row r="1735" customFormat="1" spans="1:20">
      <c r="A1735">
        <f t="shared" si="72"/>
        <v>712</v>
      </c>
      <c r="B1735">
        <v>8</v>
      </c>
      <c r="C1735" t="s">
        <v>421</v>
      </c>
      <c r="D1735" t="s">
        <v>30</v>
      </c>
      <c r="E1735" t="s">
        <v>378</v>
      </c>
      <c r="F1735"/>
      <c r="G1735">
        <v>1</v>
      </c>
      <c r="H1735">
        <v>1000</v>
      </c>
      <c r="J1735" cm="1">
        <f t="array" ref="J1735">_xlfn.SWITCH(B1735,1,75,2,61,3,49,4,37,5,25,6,13,7,4,8,1)</f>
        <v>1</v>
      </c>
      <c r="K1735" t="str" cm="1">
        <f t="array" ref="K1735">IFERROR(_xlfn.SWITCH(L1735,2,_xlfn.XLOOKUP(C1735,[1]ModifierDes!$B:$B,[1]ModifierDes!$C:$C),3,_xlfn.XLOOKUP(C1735,[1]StuntDes!$B:$B,[1]StuntDes!$C:$C)),"")</f>
        <v/>
      </c>
      <c r="L1735">
        <f t="shared" si="73"/>
        <v>1</v>
      </c>
      <c r="M1735" s="10" t="str">
        <f>IFERROR(_xlfn.XLOOKUP(C1735,[1]StuntDes!$B:$B,[1]StuntDes!$A:$A),"")</f>
        <v/>
      </c>
      <c r="N1735" s="10" t="str">
        <f>IFERROR(_xlfn.XLOOKUP(C1735,[1]ModifierDes!$B:$B,[1]ModifierDes!$A:$A),"")</f>
        <v/>
      </c>
      <c r="O1735" s="10">
        <f>IFERROR(_xlfn.XLOOKUP(C1735,[1]AttributeName!$C:$C,[1]AttributeName!$B:$B),"")</f>
        <v>11015</v>
      </c>
      <c r="P1735" s="10"/>
      <c r="Q1735">
        <v>0.01</v>
      </c>
      <c r="R1735">
        <v>0.01</v>
      </c>
      <c r="S1735" cm="1">
        <f t="array" ref="S1735">IFERROR(_xlfn.SWITCH(L1735,1,_xlfn.XLOOKUP(O1735,[1]AttributeName!$B:$B,[1]AttributeName!$D:$D),2,_xlfn.XLOOKUP(C1735,#REF!,#REF!),3,_xlfn.XLOOKUP(C1735,#REF!,#REF!)),0)</f>
        <v>2</v>
      </c>
      <c r="T1735" cm="1">
        <f t="array" ref="T1735">IFERROR(_xlfn.SWITCH(L1735,1,_xlfn.XLOOKUP(O1735,[1]AttributeName!$B:$B,[1]AttributeName!$E:$E),2,_xlfn.XLOOKUP(C1735,#REF!,#REF!),3,_xlfn.XLOOKUP(C1735,#REF!,#REF!)),0)</f>
        <v>2</v>
      </c>
    </row>
    <row r="1736" customFormat="1" spans="1:20">
      <c r="A1736">
        <f t="shared" si="72"/>
        <v>713</v>
      </c>
      <c r="B1736">
        <v>1</v>
      </c>
      <c r="C1736" t="s">
        <v>428</v>
      </c>
      <c r="D1736" t="s">
        <v>30</v>
      </c>
      <c r="E1736" t="s">
        <v>378</v>
      </c>
      <c r="F1736"/>
      <c r="G1736">
        <v>1</v>
      </c>
      <c r="H1736">
        <v>250</v>
      </c>
      <c r="J1736" cm="1">
        <f t="array" ref="J1736">_xlfn.SWITCH(B1736,1,75,2,61,3,49,4,37,5,25,6,13,7,4,8,1)</f>
        <v>75</v>
      </c>
      <c r="K1736" t="str" cm="1">
        <f t="array" ref="K1736">IFERROR(_xlfn.SWITCH(L1736,2,_xlfn.XLOOKUP(C1736,[1]ModifierDes!$B:$B,[1]ModifierDes!$C:$C),3,_xlfn.XLOOKUP(C1736,[1]StuntDes!$B:$B,[1]StuntDes!$C:$C)),"")</f>
        <v/>
      </c>
      <c r="L1736">
        <f t="shared" si="73"/>
        <v>1</v>
      </c>
      <c r="M1736" s="10" t="str">
        <f>IFERROR(_xlfn.XLOOKUP(C1736,[1]StuntDes!$B:$B,[1]StuntDes!$A:$A),"")</f>
        <v/>
      </c>
      <c r="N1736" s="10" t="str">
        <f>IFERROR(_xlfn.XLOOKUP(C1736,[1]ModifierDes!$B:$B,[1]ModifierDes!$A:$A),"")</f>
        <v/>
      </c>
      <c r="O1736" s="10">
        <f>IFERROR(_xlfn.XLOOKUP(C1736,[1]AttributeName!$C:$C,[1]AttributeName!$B:$B),"")</f>
        <v>10810</v>
      </c>
      <c r="P1736" s="10"/>
      <c r="Q1736">
        <v>0.08</v>
      </c>
      <c r="R1736">
        <v>0.1</v>
      </c>
      <c r="S1736" cm="1">
        <f t="array" ref="S1736">IFERROR(_xlfn.SWITCH(L1736,1,_xlfn.XLOOKUP(O1736,[1]AttributeName!$B:$B,[1]AttributeName!$D:$D),2,_xlfn.XLOOKUP(C1736,#REF!,#REF!),3,_xlfn.XLOOKUP(C1736,#REF!,#REF!)),0)</f>
        <v>2</v>
      </c>
      <c r="T1736" cm="1">
        <f t="array" ref="T1736">IFERROR(_xlfn.SWITCH(L1736,1,_xlfn.XLOOKUP(O1736,[1]AttributeName!$B:$B,[1]AttributeName!$E:$E),2,_xlfn.XLOOKUP(C1736,#REF!,#REF!),3,_xlfn.XLOOKUP(C1736,#REF!,#REF!)),0)</f>
        <v>2</v>
      </c>
    </row>
    <row r="1737" customFormat="1" spans="1:20">
      <c r="A1737">
        <f t="shared" si="72"/>
        <v>713</v>
      </c>
      <c r="B1737">
        <v>2</v>
      </c>
      <c r="C1737" t="s">
        <v>428</v>
      </c>
      <c r="D1737" t="s">
        <v>30</v>
      </c>
      <c r="E1737" t="s">
        <v>378</v>
      </c>
      <c r="F1737"/>
      <c r="G1737">
        <v>1</v>
      </c>
      <c r="H1737">
        <v>500</v>
      </c>
      <c r="J1737" cm="1">
        <f t="array" ref="J1737">_xlfn.SWITCH(B1737,1,75,2,61,3,49,4,37,5,25,6,13,7,4,8,1)</f>
        <v>61</v>
      </c>
      <c r="K1737" t="str" cm="1">
        <f t="array" ref="K1737">IFERROR(_xlfn.SWITCH(L1737,2,_xlfn.XLOOKUP(C1737,[1]ModifierDes!$B:$B,[1]ModifierDes!$C:$C),3,_xlfn.XLOOKUP(C1737,[1]StuntDes!$B:$B,[1]StuntDes!$C:$C)),"")</f>
        <v/>
      </c>
      <c r="L1737">
        <f t="shared" si="73"/>
        <v>1</v>
      </c>
      <c r="M1737" s="10" t="str">
        <f>IFERROR(_xlfn.XLOOKUP(C1737,[1]StuntDes!$B:$B,[1]StuntDes!$A:$A),"")</f>
        <v/>
      </c>
      <c r="N1737" s="10" t="str">
        <f>IFERROR(_xlfn.XLOOKUP(C1737,[1]ModifierDes!$B:$B,[1]ModifierDes!$A:$A),"")</f>
        <v/>
      </c>
      <c r="O1737" s="10">
        <f>IFERROR(_xlfn.XLOOKUP(C1737,[1]AttributeName!$C:$C,[1]AttributeName!$B:$B),"")</f>
        <v>10810</v>
      </c>
      <c r="P1737" s="10"/>
      <c r="Q1737">
        <v>0.07</v>
      </c>
      <c r="R1737">
        <v>0.07</v>
      </c>
      <c r="S1737" cm="1">
        <f t="array" ref="S1737">IFERROR(_xlfn.SWITCH(L1737,1,_xlfn.XLOOKUP(O1737,[1]AttributeName!$B:$B,[1]AttributeName!$D:$D),2,_xlfn.XLOOKUP(C1737,#REF!,#REF!),3,_xlfn.XLOOKUP(C1737,#REF!,#REF!)),0)</f>
        <v>2</v>
      </c>
      <c r="T1737" cm="1">
        <f t="array" ref="T1737">IFERROR(_xlfn.SWITCH(L1737,1,_xlfn.XLOOKUP(O1737,[1]AttributeName!$B:$B,[1]AttributeName!$E:$E),2,_xlfn.XLOOKUP(C1737,#REF!,#REF!),3,_xlfn.XLOOKUP(C1737,#REF!,#REF!)),0)</f>
        <v>2</v>
      </c>
    </row>
    <row r="1738" customFormat="1" spans="1:20">
      <c r="A1738">
        <f t="shared" si="72"/>
        <v>713</v>
      </c>
      <c r="B1738">
        <v>3</v>
      </c>
      <c r="C1738" t="s">
        <v>428</v>
      </c>
      <c r="D1738" t="s">
        <v>30</v>
      </c>
      <c r="E1738" t="s">
        <v>378</v>
      </c>
      <c r="F1738"/>
      <c r="G1738">
        <v>1</v>
      </c>
      <c r="H1738">
        <v>750</v>
      </c>
      <c r="J1738" cm="1">
        <f t="array" ref="J1738">_xlfn.SWITCH(B1738,1,75,2,61,3,49,4,37,5,25,6,13,7,4,8,1)</f>
        <v>49</v>
      </c>
      <c r="K1738" t="str" cm="1">
        <f t="array" ref="K1738">IFERROR(_xlfn.SWITCH(L1738,2,_xlfn.XLOOKUP(C1738,[1]ModifierDes!$B:$B,[1]ModifierDes!$C:$C),3,_xlfn.XLOOKUP(C1738,[1]StuntDes!$B:$B,[1]StuntDes!$C:$C)),"")</f>
        <v/>
      </c>
      <c r="L1738">
        <f t="shared" si="73"/>
        <v>1</v>
      </c>
      <c r="M1738" s="10" t="str">
        <f>IFERROR(_xlfn.XLOOKUP(C1738,[1]StuntDes!$B:$B,[1]StuntDes!$A:$A),"")</f>
        <v/>
      </c>
      <c r="N1738" s="10" t="str">
        <f>IFERROR(_xlfn.XLOOKUP(C1738,[1]ModifierDes!$B:$B,[1]ModifierDes!$A:$A),"")</f>
        <v/>
      </c>
      <c r="O1738" s="10">
        <f>IFERROR(_xlfn.XLOOKUP(C1738,[1]AttributeName!$C:$C,[1]AttributeName!$B:$B),"")</f>
        <v>10810</v>
      </c>
      <c r="P1738" s="10"/>
      <c r="Q1738">
        <v>0.06</v>
      </c>
      <c r="R1738">
        <v>0.06</v>
      </c>
      <c r="S1738" cm="1">
        <f t="array" ref="S1738">IFERROR(_xlfn.SWITCH(L1738,1,_xlfn.XLOOKUP(O1738,[1]AttributeName!$B:$B,[1]AttributeName!$D:$D),2,_xlfn.XLOOKUP(C1738,#REF!,#REF!),3,_xlfn.XLOOKUP(C1738,#REF!,#REF!)),0)</f>
        <v>2</v>
      </c>
      <c r="T1738" cm="1">
        <f t="array" ref="T1738">IFERROR(_xlfn.SWITCH(L1738,1,_xlfn.XLOOKUP(O1738,[1]AttributeName!$B:$B,[1]AttributeName!$E:$E),2,_xlfn.XLOOKUP(C1738,#REF!,#REF!),3,_xlfn.XLOOKUP(C1738,#REF!,#REF!)),0)</f>
        <v>2</v>
      </c>
    </row>
    <row r="1739" customFormat="1" spans="1:20">
      <c r="A1739">
        <f t="shared" si="72"/>
        <v>713</v>
      </c>
      <c r="B1739">
        <v>4</v>
      </c>
      <c r="C1739" t="s">
        <v>428</v>
      </c>
      <c r="D1739" t="s">
        <v>30</v>
      </c>
      <c r="E1739" t="s">
        <v>378</v>
      </c>
      <c r="F1739"/>
      <c r="G1739">
        <v>1</v>
      </c>
      <c r="H1739">
        <v>1000</v>
      </c>
      <c r="J1739" cm="1">
        <f t="array" ref="J1739">_xlfn.SWITCH(B1739,1,75,2,61,3,49,4,37,5,25,6,13,7,4,8,1)</f>
        <v>37</v>
      </c>
      <c r="K1739" t="str" cm="1">
        <f t="array" ref="K1739">IFERROR(_xlfn.SWITCH(L1739,2,_xlfn.XLOOKUP(C1739,[1]ModifierDes!$B:$B,[1]ModifierDes!$C:$C),3,_xlfn.XLOOKUP(C1739,[1]StuntDes!$B:$B,[1]StuntDes!$C:$C)),"")</f>
        <v/>
      </c>
      <c r="L1739">
        <f t="shared" si="73"/>
        <v>1</v>
      </c>
      <c r="M1739" s="10" t="str">
        <f>IFERROR(_xlfn.XLOOKUP(C1739,[1]StuntDes!$B:$B,[1]StuntDes!$A:$A),"")</f>
        <v/>
      </c>
      <c r="N1739" s="10" t="str">
        <f>IFERROR(_xlfn.XLOOKUP(C1739,[1]ModifierDes!$B:$B,[1]ModifierDes!$A:$A),"")</f>
        <v/>
      </c>
      <c r="O1739" s="10">
        <f>IFERROR(_xlfn.XLOOKUP(C1739,[1]AttributeName!$C:$C,[1]AttributeName!$B:$B),"")</f>
        <v>10810</v>
      </c>
      <c r="P1739" s="10"/>
      <c r="Q1739">
        <v>0.05</v>
      </c>
      <c r="R1739">
        <v>0.05</v>
      </c>
      <c r="S1739" cm="1">
        <f t="array" ref="S1739">IFERROR(_xlfn.SWITCH(L1739,1,_xlfn.XLOOKUP(O1739,[1]AttributeName!$B:$B,[1]AttributeName!$D:$D),2,_xlfn.XLOOKUP(C1739,#REF!,#REF!),3,_xlfn.XLOOKUP(C1739,#REF!,#REF!)),0)</f>
        <v>2</v>
      </c>
      <c r="T1739" cm="1">
        <f t="array" ref="T1739">IFERROR(_xlfn.SWITCH(L1739,1,_xlfn.XLOOKUP(O1739,[1]AttributeName!$B:$B,[1]AttributeName!$E:$E),2,_xlfn.XLOOKUP(C1739,#REF!,#REF!),3,_xlfn.XLOOKUP(C1739,#REF!,#REF!)),0)</f>
        <v>2</v>
      </c>
    </row>
    <row r="1740" customFormat="1" spans="1:20">
      <c r="A1740">
        <f t="shared" si="72"/>
        <v>713</v>
      </c>
      <c r="B1740">
        <v>5</v>
      </c>
      <c r="C1740" t="s">
        <v>428</v>
      </c>
      <c r="D1740" t="s">
        <v>30</v>
      </c>
      <c r="E1740" t="s">
        <v>378</v>
      </c>
      <c r="F1740"/>
      <c r="G1740">
        <v>1</v>
      </c>
      <c r="H1740">
        <v>1000</v>
      </c>
      <c r="J1740" cm="1">
        <f t="array" ref="J1740">_xlfn.SWITCH(B1740,1,75,2,61,3,49,4,37,5,25,6,13,7,4,8,1)</f>
        <v>25</v>
      </c>
      <c r="K1740" t="str" cm="1">
        <f t="array" ref="K1740">IFERROR(_xlfn.SWITCH(L1740,2,_xlfn.XLOOKUP(C1740,[1]ModifierDes!$B:$B,[1]ModifierDes!$C:$C),3,_xlfn.XLOOKUP(C1740,[1]StuntDes!$B:$B,[1]StuntDes!$C:$C)),"")</f>
        <v/>
      </c>
      <c r="L1740">
        <f t="shared" si="73"/>
        <v>1</v>
      </c>
      <c r="M1740" s="10" t="str">
        <f>IFERROR(_xlfn.XLOOKUP(C1740,[1]StuntDes!$B:$B,[1]StuntDes!$A:$A),"")</f>
        <v/>
      </c>
      <c r="N1740" s="10" t="str">
        <f>IFERROR(_xlfn.XLOOKUP(C1740,[1]ModifierDes!$B:$B,[1]ModifierDes!$A:$A),"")</f>
        <v/>
      </c>
      <c r="O1740" s="10">
        <f>IFERROR(_xlfn.XLOOKUP(C1740,[1]AttributeName!$C:$C,[1]AttributeName!$B:$B),"")</f>
        <v>10810</v>
      </c>
      <c r="P1740" s="10"/>
      <c r="Q1740">
        <v>0.04</v>
      </c>
      <c r="R1740">
        <v>0.04</v>
      </c>
      <c r="S1740" cm="1">
        <f t="array" ref="S1740">IFERROR(_xlfn.SWITCH(L1740,1,_xlfn.XLOOKUP(O1740,[1]AttributeName!$B:$B,[1]AttributeName!$D:$D),2,_xlfn.XLOOKUP(C1740,#REF!,#REF!),3,_xlfn.XLOOKUP(C1740,#REF!,#REF!)),0)</f>
        <v>2</v>
      </c>
      <c r="T1740" cm="1">
        <f t="array" ref="T1740">IFERROR(_xlfn.SWITCH(L1740,1,_xlfn.XLOOKUP(O1740,[1]AttributeName!$B:$B,[1]AttributeName!$E:$E),2,_xlfn.XLOOKUP(C1740,#REF!,#REF!),3,_xlfn.XLOOKUP(C1740,#REF!,#REF!)),0)</f>
        <v>2</v>
      </c>
    </row>
    <row r="1741" customFormat="1" spans="1:20">
      <c r="A1741">
        <f t="shared" si="72"/>
        <v>713</v>
      </c>
      <c r="B1741">
        <v>6</v>
      </c>
      <c r="C1741" t="s">
        <v>428</v>
      </c>
      <c r="D1741" t="s">
        <v>30</v>
      </c>
      <c r="E1741" t="s">
        <v>378</v>
      </c>
      <c r="F1741"/>
      <c r="G1741">
        <v>1</v>
      </c>
      <c r="H1741">
        <v>1000</v>
      </c>
      <c r="J1741" cm="1">
        <f t="array" ref="J1741">_xlfn.SWITCH(B1741,1,75,2,61,3,49,4,37,5,25,6,13,7,4,8,1)</f>
        <v>13</v>
      </c>
      <c r="K1741" t="str" cm="1">
        <f t="array" ref="K1741">IFERROR(_xlfn.SWITCH(L1741,2,_xlfn.XLOOKUP(C1741,[1]ModifierDes!$B:$B,[1]ModifierDes!$C:$C),3,_xlfn.XLOOKUP(C1741,[1]StuntDes!$B:$B,[1]StuntDes!$C:$C)),"")</f>
        <v/>
      </c>
      <c r="L1741">
        <f t="shared" si="73"/>
        <v>1</v>
      </c>
      <c r="M1741" s="10" t="str">
        <f>IFERROR(_xlfn.XLOOKUP(C1741,[1]StuntDes!$B:$B,[1]StuntDes!$A:$A),"")</f>
        <v/>
      </c>
      <c r="N1741" s="10" t="str">
        <f>IFERROR(_xlfn.XLOOKUP(C1741,[1]ModifierDes!$B:$B,[1]ModifierDes!$A:$A),"")</f>
        <v/>
      </c>
      <c r="O1741" s="10">
        <f>IFERROR(_xlfn.XLOOKUP(C1741,[1]AttributeName!$C:$C,[1]AttributeName!$B:$B),"")</f>
        <v>10810</v>
      </c>
      <c r="P1741" s="10"/>
      <c r="Q1741">
        <v>0.03</v>
      </c>
      <c r="R1741">
        <v>0.03</v>
      </c>
      <c r="S1741" cm="1">
        <f t="array" ref="S1741">IFERROR(_xlfn.SWITCH(L1741,1,_xlfn.XLOOKUP(O1741,[1]AttributeName!$B:$B,[1]AttributeName!$D:$D),2,_xlfn.XLOOKUP(C1741,#REF!,#REF!),3,_xlfn.XLOOKUP(C1741,#REF!,#REF!)),0)</f>
        <v>2</v>
      </c>
      <c r="T1741" cm="1">
        <f t="array" ref="T1741">IFERROR(_xlfn.SWITCH(L1741,1,_xlfn.XLOOKUP(O1741,[1]AttributeName!$B:$B,[1]AttributeName!$E:$E),2,_xlfn.XLOOKUP(C1741,#REF!,#REF!),3,_xlfn.XLOOKUP(C1741,#REF!,#REF!)),0)</f>
        <v>2</v>
      </c>
    </row>
    <row r="1742" customFormat="1" spans="1:20">
      <c r="A1742">
        <f t="shared" si="72"/>
        <v>713</v>
      </c>
      <c r="B1742">
        <v>7</v>
      </c>
      <c r="C1742" t="s">
        <v>428</v>
      </c>
      <c r="D1742" t="s">
        <v>30</v>
      </c>
      <c r="E1742" t="s">
        <v>378</v>
      </c>
      <c r="F1742"/>
      <c r="G1742">
        <v>1</v>
      </c>
      <c r="H1742">
        <v>1000</v>
      </c>
      <c r="J1742" cm="1">
        <f t="array" ref="J1742">_xlfn.SWITCH(B1742,1,75,2,61,3,49,4,37,5,25,6,13,7,4,8,1)</f>
        <v>4</v>
      </c>
      <c r="K1742" t="str" cm="1">
        <f t="array" ref="K1742">IFERROR(_xlfn.SWITCH(L1742,2,_xlfn.XLOOKUP(C1742,[1]ModifierDes!$B:$B,[1]ModifierDes!$C:$C),3,_xlfn.XLOOKUP(C1742,[1]StuntDes!$B:$B,[1]StuntDes!$C:$C)),"")</f>
        <v/>
      </c>
      <c r="L1742">
        <f t="shared" si="73"/>
        <v>1</v>
      </c>
      <c r="M1742" s="10" t="str">
        <f>IFERROR(_xlfn.XLOOKUP(C1742,[1]StuntDes!$B:$B,[1]StuntDes!$A:$A),"")</f>
        <v/>
      </c>
      <c r="N1742" s="10" t="str">
        <f>IFERROR(_xlfn.XLOOKUP(C1742,[1]ModifierDes!$B:$B,[1]ModifierDes!$A:$A),"")</f>
        <v/>
      </c>
      <c r="O1742" s="10">
        <f>IFERROR(_xlfn.XLOOKUP(C1742,[1]AttributeName!$C:$C,[1]AttributeName!$B:$B),"")</f>
        <v>10810</v>
      </c>
      <c r="P1742" s="10"/>
      <c r="Q1742">
        <v>0.02</v>
      </c>
      <c r="R1742">
        <v>0.02</v>
      </c>
      <c r="S1742" cm="1">
        <f t="array" ref="S1742">IFERROR(_xlfn.SWITCH(L1742,1,_xlfn.XLOOKUP(O1742,[1]AttributeName!$B:$B,[1]AttributeName!$D:$D),2,_xlfn.XLOOKUP(C1742,#REF!,#REF!),3,_xlfn.XLOOKUP(C1742,#REF!,#REF!)),0)</f>
        <v>2</v>
      </c>
      <c r="T1742" cm="1">
        <f t="array" ref="T1742">IFERROR(_xlfn.SWITCH(L1742,1,_xlfn.XLOOKUP(O1742,[1]AttributeName!$B:$B,[1]AttributeName!$E:$E),2,_xlfn.XLOOKUP(C1742,#REF!,#REF!),3,_xlfn.XLOOKUP(C1742,#REF!,#REF!)),0)</f>
        <v>2</v>
      </c>
    </row>
    <row r="1743" customFormat="1" spans="1:20">
      <c r="A1743">
        <f t="shared" si="72"/>
        <v>713</v>
      </c>
      <c r="B1743">
        <v>8</v>
      </c>
      <c r="C1743" t="s">
        <v>428</v>
      </c>
      <c r="D1743" t="s">
        <v>30</v>
      </c>
      <c r="E1743" t="s">
        <v>378</v>
      </c>
      <c r="F1743"/>
      <c r="G1743">
        <v>1</v>
      </c>
      <c r="H1743">
        <v>1000</v>
      </c>
      <c r="J1743" cm="1">
        <f t="array" ref="J1743">_xlfn.SWITCH(B1743,1,75,2,61,3,49,4,37,5,25,6,13,7,4,8,1)</f>
        <v>1</v>
      </c>
      <c r="K1743" t="str" cm="1">
        <f t="array" ref="K1743">IFERROR(_xlfn.SWITCH(L1743,2,_xlfn.XLOOKUP(C1743,[1]ModifierDes!$B:$B,[1]ModifierDes!$C:$C),3,_xlfn.XLOOKUP(C1743,[1]StuntDes!$B:$B,[1]StuntDes!$C:$C)),"")</f>
        <v/>
      </c>
      <c r="L1743">
        <f t="shared" si="73"/>
        <v>1</v>
      </c>
      <c r="M1743" s="10" t="str">
        <f>IFERROR(_xlfn.XLOOKUP(C1743,[1]StuntDes!$B:$B,[1]StuntDes!$A:$A),"")</f>
        <v/>
      </c>
      <c r="N1743" s="10" t="str">
        <f>IFERROR(_xlfn.XLOOKUP(C1743,[1]ModifierDes!$B:$B,[1]ModifierDes!$A:$A),"")</f>
        <v/>
      </c>
      <c r="O1743" s="10">
        <f>IFERROR(_xlfn.XLOOKUP(C1743,[1]AttributeName!$C:$C,[1]AttributeName!$B:$B),"")</f>
        <v>10810</v>
      </c>
      <c r="P1743" s="10"/>
      <c r="Q1743">
        <v>0.01</v>
      </c>
      <c r="R1743">
        <v>0.01</v>
      </c>
      <c r="S1743" cm="1">
        <f t="array" ref="S1743">IFERROR(_xlfn.SWITCH(L1743,1,_xlfn.XLOOKUP(O1743,[1]AttributeName!$B:$B,[1]AttributeName!$D:$D),2,_xlfn.XLOOKUP(C1743,#REF!,#REF!),3,_xlfn.XLOOKUP(C1743,#REF!,#REF!)),0)</f>
        <v>2</v>
      </c>
      <c r="T1743" cm="1">
        <f t="array" ref="T1743">IFERROR(_xlfn.SWITCH(L1743,1,_xlfn.XLOOKUP(O1743,[1]AttributeName!$B:$B,[1]AttributeName!$E:$E),2,_xlfn.XLOOKUP(C1743,#REF!,#REF!),3,_xlfn.XLOOKUP(C1743,#REF!,#REF!)),0)</f>
        <v>2</v>
      </c>
    </row>
    <row r="1744" customFormat="1" spans="1:20">
      <c r="A1744">
        <v>714</v>
      </c>
      <c r="B1744">
        <v>1</v>
      </c>
      <c r="C1744" t="s">
        <v>436</v>
      </c>
      <c r="D1744" t="s">
        <v>30</v>
      </c>
      <c r="E1744" t="s">
        <v>378</v>
      </c>
      <c r="F1744"/>
      <c r="G1744">
        <v>1</v>
      </c>
      <c r="H1744">
        <v>250</v>
      </c>
      <c r="I1744">
        <v>1</v>
      </c>
      <c r="J1744" cm="1">
        <f t="array" ref="J1744">_xlfn.SWITCH(B1744,1,75,2,61,3,49,4,37,5,25,6,13,7,4,8,1)</f>
        <v>75</v>
      </c>
      <c r="K1744" t="str" cm="1">
        <f t="array" ref="K1744">IFERROR(_xlfn.SWITCH(L1744,2,_xlfn.XLOOKUP(C1744,[1]ModifierDes!$B:$B,[1]ModifierDes!$C:$C),3,_xlfn.XLOOKUP(C1744,[1]StuntDes!$B:$B,[1]StuntDes!$C:$C)),"")</f>
        <v/>
      </c>
      <c r="L1744">
        <f t="shared" si="73"/>
        <v>1</v>
      </c>
      <c r="M1744" s="10" t="str">
        <f>IFERROR(_xlfn.XLOOKUP(C1744,[1]StuntDes!$B:$B,[1]StuntDes!$A:$A),"")</f>
        <v/>
      </c>
      <c r="N1744" s="10" t="str">
        <f>IFERROR(_xlfn.XLOOKUP(C1744,[1]ModifierDes!$B:$B,[1]ModifierDes!$A:$A),"")</f>
        <v/>
      </c>
      <c r="O1744" s="10">
        <f>IFERROR(_xlfn.XLOOKUP(C1744,[1]AttributeName!$C:$C,[1]AttributeName!$B:$B),"")</f>
        <v>10010</v>
      </c>
      <c r="P1744" s="10"/>
      <c r="Q1744">
        <v>0.08</v>
      </c>
      <c r="R1744">
        <v>0.1</v>
      </c>
      <c r="S1744" cm="1">
        <f t="array" ref="S1744">IFERROR(_xlfn.SWITCH(L1744,1,_xlfn.XLOOKUP(O1744,[1]AttributeName!$B:$B,[1]AttributeName!$D:$D),2,_xlfn.XLOOKUP(C1744,#REF!,#REF!),3,_xlfn.XLOOKUP(C1744,#REF!,#REF!)),0)</f>
        <v>2</v>
      </c>
      <c r="T1744" cm="1">
        <f t="array" ref="T1744">IFERROR(_xlfn.SWITCH(L1744,1,_xlfn.XLOOKUP(O1744,[1]AttributeName!$B:$B,[1]AttributeName!$E:$E),2,_xlfn.XLOOKUP(C1744,#REF!,#REF!),3,_xlfn.XLOOKUP(C1744,#REF!,#REF!)),0)</f>
        <v>2</v>
      </c>
    </row>
    <row r="1745" customFormat="1" spans="1:20">
      <c r="A1745">
        <v>714</v>
      </c>
      <c r="B1745">
        <v>3</v>
      </c>
      <c r="C1745" t="s">
        <v>436</v>
      </c>
      <c r="D1745" t="s">
        <v>30</v>
      </c>
      <c r="E1745" t="s">
        <v>378</v>
      </c>
      <c r="F1745"/>
      <c r="G1745">
        <v>1</v>
      </c>
      <c r="H1745">
        <v>500</v>
      </c>
      <c r="I1745">
        <v>1</v>
      </c>
      <c r="J1745" cm="1">
        <f t="array" ref="J1745">_xlfn.SWITCH(B1745,1,75,2,61,3,49,4,37,5,25,6,13,7,4,8,1)</f>
        <v>49</v>
      </c>
      <c r="K1745" t="str" cm="1">
        <f t="array" ref="K1745">IFERROR(_xlfn.SWITCH(L1745,2,_xlfn.XLOOKUP(C1745,[1]ModifierDes!$B:$B,[1]ModifierDes!$C:$C),3,_xlfn.XLOOKUP(C1745,[1]StuntDes!$B:$B,[1]StuntDes!$C:$C)),"")</f>
        <v/>
      </c>
      <c r="L1745">
        <f t="shared" si="73"/>
        <v>1</v>
      </c>
      <c r="M1745" s="10" t="str">
        <f>IFERROR(_xlfn.XLOOKUP(C1745,[1]StuntDes!$B:$B,[1]StuntDes!$A:$A),"")</f>
        <v/>
      </c>
      <c r="N1745" s="10" t="str">
        <f>IFERROR(_xlfn.XLOOKUP(C1745,[1]ModifierDes!$B:$B,[1]ModifierDes!$A:$A),"")</f>
        <v/>
      </c>
      <c r="O1745" s="10">
        <f>IFERROR(_xlfn.XLOOKUP(C1745,[1]AttributeName!$C:$C,[1]AttributeName!$B:$B),"")</f>
        <v>10010</v>
      </c>
      <c r="P1745" s="10"/>
      <c r="Q1745">
        <v>0.05</v>
      </c>
      <c r="R1745">
        <v>0.07</v>
      </c>
      <c r="S1745" cm="1">
        <f t="array" ref="S1745">IFERROR(_xlfn.SWITCH(L1745,1,_xlfn.XLOOKUP(O1745,[1]AttributeName!$B:$B,[1]AttributeName!$D:$D),2,_xlfn.XLOOKUP(C1745,#REF!,#REF!),3,_xlfn.XLOOKUP(C1745,#REF!,#REF!)),0)</f>
        <v>2</v>
      </c>
      <c r="T1745" cm="1">
        <f t="array" ref="T1745">IFERROR(_xlfn.SWITCH(L1745,1,_xlfn.XLOOKUP(O1745,[1]AttributeName!$B:$B,[1]AttributeName!$E:$E),2,_xlfn.XLOOKUP(C1745,#REF!,#REF!),3,_xlfn.XLOOKUP(C1745,#REF!,#REF!)),0)</f>
        <v>2</v>
      </c>
    </row>
    <row r="1746" customFormat="1" spans="1:20">
      <c r="A1746">
        <v>714</v>
      </c>
      <c r="B1746">
        <v>5</v>
      </c>
      <c r="C1746" t="s">
        <v>436</v>
      </c>
      <c r="D1746" t="s">
        <v>30</v>
      </c>
      <c r="E1746" t="s">
        <v>378</v>
      </c>
      <c r="F1746"/>
      <c r="G1746">
        <v>1</v>
      </c>
      <c r="H1746">
        <v>750</v>
      </c>
      <c r="I1746">
        <v>1</v>
      </c>
      <c r="J1746" cm="1">
        <f t="array" ref="J1746">_xlfn.SWITCH(B1746,1,75,2,61,3,49,4,37,5,25,6,13,7,4,8,1)</f>
        <v>25</v>
      </c>
      <c r="K1746" t="str" cm="1">
        <f t="array" ref="K1746">IFERROR(_xlfn.SWITCH(L1746,2,_xlfn.XLOOKUP(C1746,[1]ModifierDes!$B:$B,[1]ModifierDes!$C:$C),3,_xlfn.XLOOKUP(C1746,[1]StuntDes!$B:$B,[1]StuntDes!$C:$C)),"")</f>
        <v/>
      </c>
      <c r="L1746">
        <f t="shared" si="73"/>
        <v>1</v>
      </c>
      <c r="M1746" s="10" t="str">
        <f>IFERROR(_xlfn.XLOOKUP(C1746,[1]StuntDes!$B:$B,[1]StuntDes!$A:$A),"")</f>
        <v/>
      </c>
      <c r="N1746" s="10" t="str">
        <f>IFERROR(_xlfn.XLOOKUP(C1746,[1]ModifierDes!$B:$B,[1]ModifierDes!$A:$A),"")</f>
        <v/>
      </c>
      <c r="O1746" s="10">
        <f>IFERROR(_xlfn.XLOOKUP(C1746,[1]AttributeName!$C:$C,[1]AttributeName!$B:$B),"")</f>
        <v>10010</v>
      </c>
      <c r="P1746" s="10"/>
      <c r="Q1746">
        <v>0.03</v>
      </c>
      <c r="R1746">
        <v>0.04</v>
      </c>
      <c r="S1746" cm="1">
        <f t="array" ref="S1746">IFERROR(_xlfn.SWITCH(L1746,1,_xlfn.XLOOKUP(O1746,[1]AttributeName!$B:$B,[1]AttributeName!$D:$D),2,_xlfn.XLOOKUP(C1746,#REF!,#REF!),3,_xlfn.XLOOKUP(C1746,#REF!,#REF!)),0)</f>
        <v>2</v>
      </c>
      <c r="T1746" cm="1">
        <f t="array" ref="T1746">IFERROR(_xlfn.SWITCH(L1746,1,_xlfn.XLOOKUP(O1746,[1]AttributeName!$B:$B,[1]AttributeName!$E:$E),2,_xlfn.XLOOKUP(C1746,#REF!,#REF!),3,_xlfn.XLOOKUP(C1746,#REF!,#REF!)),0)</f>
        <v>2</v>
      </c>
    </row>
    <row r="1747" customFormat="1" spans="1:20">
      <c r="A1747">
        <f t="shared" ref="A1747:A1749" si="74">A1744+1</f>
        <v>715</v>
      </c>
      <c r="B1747">
        <v>1</v>
      </c>
      <c r="C1747" t="s">
        <v>437</v>
      </c>
      <c r="D1747" t="s">
        <v>30</v>
      </c>
      <c r="E1747" t="s">
        <v>378</v>
      </c>
      <c r="F1747"/>
      <c r="G1747">
        <v>1</v>
      </c>
      <c r="H1747">
        <v>250</v>
      </c>
      <c r="I1747">
        <v>1</v>
      </c>
      <c r="J1747" cm="1">
        <f t="array" ref="J1747">_xlfn.SWITCH(B1747,1,75,2,61,3,49,4,37,5,25,6,13,7,4,8,1)</f>
        <v>75</v>
      </c>
      <c r="K1747" t="str" cm="1">
        <f t="array" ref="K1747">IFERROR(_xlfn.SWITCH(L1747,2,_xlfn.XLOOKUP(C1747,[1]ModifierDes!$B:$B,[1]ModifierDes!$C:$C),3,_xlfn.XLOOKUP(C1747,[1]StuntDes!$B:$B,[1]StuntDes!$C:$C)),"")</f>
        <v/>
      </c>
      <c r="L1747">
        <f t="shared" si="73"/>
        <v>1</v>
      </c>
      <c r="M1747" s="10" t="str">
        <f>IFERROR(_xlfn.XLOOKUP(C1747,[1]StuntDes!$B:$B,[1]StuntDes!$A:$A),"")</f>
        <v/>
      </c>
      <c r="N1747" s="10" t="str">
        <f>IFERROR(_xlfn.XLOOKUP(C1747,[1]ModifierDes!$B:$B,[1]ModifierDes!$A:$A),"")</f>
        <v/>
      </c>
      <c r="O1747" s="10">
        <f>IFERROR(_xlfn.XLOOKUP(C1747,[1]AttributeName!$C:$C,[1]AttributeName!$B:$B),"")</f>
        <v>10012</v>
      </c>
      <c r="P1747" s="10"/>
      <c r="Q1747">
        <v>0.16</v>
      </c>
      <c r="R1747">
        <v>0.2</v>
      </c>
      <c r="S1747" cm="1">
        <f t="array" ref="S1747">IFERROR(_xlfn.SWITCH(L1747,1,_xlfn.XLOOKUP(O1747,[1]AttributeName!$B:$B,[1]AttributeName!$D:$D),2,_xlfn.XLOOKUP(C1747,#REF!,#REF!),3,_xlfn.XLOOKUP(C1747,#REF!,#REF!)),0)</f>
        <v>2</v>
      </c>
      <c r="T1747" cm="1">
        <f t="array" ref="T1747">IFERROR(_xlfn.SWITCH(L1747,1,_xlfn.XLOOKUP(O1747,[1]AttributeName!$B:$B,[1]AttributeName!$E:$E),2,_xlfn.XLOOKUP(C1747,#REF!,#REF!),3,_xlfn.XLOOKUP(C1747,#REF!,#REF!)),0)</f>
        <v>2</v>
      </c>
    </row>
    <row r="1748" customFormat="1" spans="1:20">
      <c r="A1748">
        <f t="shared" si="74"/>
        <v>715</v>
      </c>
      <c r="B1748">
        <v>5</v>
      </c>
      <c r="C1748" t="s">
        <v>437</v>
      </c>
      <c r="D1748" t="s">
        <v>30</v>
      </c>
      <c r="E1748" t="s">
        <v>378</v>
      </c>
      <c r="F1748"/>
      <c r="G1748">
        <v>1</v>
      </c>
      <c r="H1748">
        <v>500</v>
      </c>
      <c r="I1748">
        <v>1</v>
      </c>
      <c r="J1748" cm="1">
        <f t="array" ref="J1748">_xlfn.SWITCH(B1748,1,75,2,61,3,49,4,37,5,25,6,13,7,4,8,1)</f>
        <v>25</v>
      </c>
      <c r="K1748" t="str" cm="1">
        <f t="array" ref="K1748">IFERROR(_xlfn.SWITCH(L1748,2,_xlfn.XLOOKUP(C1748,[1]ModifierDes!$B:$B,[1]ModifierDes!$C:$C),3,_xlfn.XLOOKUP(C1748,[1]StuntDes!$B:$B,[1]StuntDes!$C:$C)),"")</f>
        <v/>
      </c>
      <c r="L1748">
        <f t="shared" si="73"/>
        <v>1</v>
      </c>
      <c r="M1748" s="10" t="str">
        <f>IFERROR(_xlfn.XLOOKUP(C1748,[1]StuntDes!$B:$B,[1]StuntDes!$A:$A),"")</f>
        <v/>
      </c>
      <c r="N1748" s="10" t="str">
        <f>IFERROR(_xlfn.XLOOKUP(C1748,[1]ModifierDes!$B:$B,[1]ModifierDes!$A:$A),"")</f>
        <v/>
      </c>
      <c r="O1748" s="10">
        <f>IFERROR(_xlfn.XLOOKUP(C1748,[1]AttributeName!$C:$C,[1]AttributeName!$B:$B),"")</f>
        <v>10012</v>
      </c>
      <c r="P1748" s="10"/>
      <c r="Q1748">
        <v>0.1</v>
      </c>
      <c r="R1748">
        <v>0.14</v>
      </c>
      <c r="S1748" cm="1">
        <f t="array" ref="S1748">IFERROR(_xlfn.SWITCH(L1748,1,_xlfn.XLOOKUP(O1748,[1]AttributeName!$B:$B,[1]AttributeName!$D:$D),2,_xlfn.XLOOKUP(C1748,#REF!,#REF!),3,_xlfn.XLOOKUP(C1748,#REF!,#REF!)),0)</f>
        <v>2</v>
      </c>
      <c r="T1748" cm="1">
        <f t="array" ref="T1748">IFERROR(_xlfn.SWITCH(L1748,1,_xlfn.XLOOKUP(O1748,[1]AttributeName!$B:$B,[1]AttributeName!$E:$E),2,_xlfn.XLOOKUP(C1748,#REF!,#REF!),3,_xlfn.XLOOKUP(C1748,#REF!,#REF!)),0)</f>
        <v>2</v>
      </c>
    </row>
    <row r="1749" customFormat="1" spans="1:20">
      <c r="A1749">
        <f t="shared" si="74"/>
        <v>715</v>
      </c>
      <c r="B1749">
        <v>8</v>
      </c>
      <c r="C1749" t="s">
        <v>437</v>
      </c>
      <c r="D1749" t="s">
        <v>30</v>
      </c>
      <c r="E1749" t="s">
        <v>378</v>
      </c>
      <c r="F1749"/>
      <c r="G1749">
        <v>1</v>
      </c>
      <c r="H1749">
        <v>750</v>
      </c>
      <c r="I1749">
        <v>1</v>
      </c>
      <c r="J1749" cm="1">
        <f t="array" ref="J1749">_xlfn.SWITCH(B1749,1,75,2,61,3,49,4,37,5,25,6,13,7,4,8,1)</f>
        <v>1</v>
      </c>
      <c r="K1749" t="str" cm="1">
        <f t="array" ref="K1749">IFERROR(_xlfn.SWITCH(L1749,2,_xlfn.XLOOKUP(C1749,[1]ModifierDes!$B:$B,[1]ModifierDes!$C:$C),3,_xlfn.XLOOKUP(C1749,[1]StuntDes!$B:$B,[1]StuntDes!$C:$C)),"")</f>
        <v/>
      </c>
      <c r="L1749">
        <f t="shared" si="73"/>
        <v>1</v>
      </c>
      <c r="M1749" s="10" t="str">
        <f>IFERROR(_xlfn.XLOOKUP(C1749,[1]StuntDes!$B:$B,[1]StuntDes!$A:$A),"")</f>
        <v/>
      </c>
      <c r="N1749" s="10" t="str">
        <f>IFERROR(_xlfn.XLOOKUP(C1749,[1]ModifierDes!$B:$B,[1]ModifierDes!$A:$A),"")</f>
        <v/>
      </c>
      <c r="O1749" s="10">
        <f>IFERROR(_xlfn.XLOOKUP(C1749,[1]AttributeName!$C:$C,[1]AttributeName!$B:$B),"")</f>
        <v>10012</v>
      </c>
      <c r="P1749" s="10"/>
      <c r="Q1749">
        <v>0.06</v>
      </c>
      <c r="R1749">
        <v>0.08</v>
      </c>
      <c r="S1749" cm="1">
        <f t="array" ref="S1749">IFERROR(_xlfn.SWITCH(L1749,1,_xlfn.XLOOKUP(O1749,[1]AttributeName!$B:$B,[1]AttributeName!$D:$D),2,_xlfn.XLOOKUP(C1749,#REF!,#REF!),3,_xlfn.XLOOKUP(C1749,#REF!,#REF!)),0)</f>
        <v>2</v>
      </c>
      <c r="T1749" cm="1">
        <f t="array" ref="T1749">IFERROR(_xlfn.SWITCH(L1749,1,_xlfn.XLOOKUP(O1749,[1]AttributeName!$B:$B,[1]AttributeName!$E:$E),2,_xlfn.XLOOKUP(C1749,#REF!,#REF!),3,_xlfn.XLOOKUP(C1749,#REF!,#REF!)),0)</f>
        <v>2</v>
      </c>
    </row>
    <row r="1750" customFormat="1" spans="1:20">
      <c r="A1750">
        <v>751</v>
      </c>
      <c r="B1750">
        <v>1</v>
      </c>
      <c r="C1750" t="s">
        <v>73</v>
      </c>
      <c r="D1750" t="s">
        <v>30</v>
      </c>
      <c r="E1750" t="s">
        <v>392</v>
      </c>
      <c r="F1750"/>
      <c r="G1750">
        <v>2</v>
      </c>
      <c r="H1750">
        <v>250</v>
      </c>
      <c r="J1750" cm="1">
        <f t="array" ref="J1750">_xlfn.SWITCH(B1750,1,75,2,61,3,49,4,37,5,25,6,13,7,4,8,1)</f>
        <v>75</v>
      </c>
      <c r="K1750" t="str" cm="1">
        <f t="array" ref="K1750">IFERROR(_xlfn.SWITCH(L1750,2,_xlfn.XLOOKUP(C1750,[1]ModifierDes!$B:$B,[1]ModifierDes!$C:$C),3,_xlfn.XLOOKUP(C1750,[1]StuntDes!$B:$B,[1]StuntDes!$C:$C)),"")</f>
        <v/>
      </c>
      <c r="L1750">
        <f t="shared" si="73"/>
        <v>1</v>
      </c>
      <c r="M1750" s="10" t="str">
        <f>IFERROR(_xlfn.XLOOKUP(C1750,[1]StuntDes!$B:$B,[1]StuntDes!$A:$A),"")</f>
        <v/>
      </c>
      <c r="N1750" s="10" t="str">
        <f>IFERROR(_xlfn.XLOOKUP(C1750,[1]ModifierDes!$B:$B,[1]ModifierDes!$A:$A),"")</f>
        <v/>
      </c>
      <c r="O1750" s="10">
        <f>IFERROR(_xlfn.XLOOKUP(C1750,[1]AttributeName!$C:$C,[1]AttributeName!$B:$B),"")</f>
        <v>10311</v>
      </c>
      <c r="P1750" s="10"/>
      <c r="Q1750">
        <v>0.3</v>
      </c>
      <c r="R1750">
        <v>0.4</v>
      </c>
      <c r="S1750" cm="1">
        <f t="array" ref="S1750">IFERROR(_xlfn.SWITCH(L1750,1,_xlfn.XLOOKUP(O1750,[1]AttributeName!$B:$B,[1]AttributeName!$D:$D),2,_xlfn.XLOOKUP(C1750,#REF!,#REF!),3,_xlfn.XLOOKUP(C1750,#REF!,#REF!)),0)</f>
        <v>2</v>
      </c>
      <c r="T1750" cm="1">
        <f t="array" ref="T1750">IFERROR(_xlfn.SWITCH(L1750,1,_xlfn.XLOOKUP(O1750,[1]AttributeName!$B:$B,[1]AttributeName!$E:$E),2,_xlfn.XLOOKUP(C1750,#REF!,#REF!),3,_xlfn.XLOOKUP(C1750,#REF!,#REF!)),0)</f>
        <v>2</v>
      </c>
    </row>
    <row r="1751" customFormat="1" spans="1:20">
      <c r="A1751">
        <v>751</v>
      </c>
      <c r="B1751">
        <v>2</v>
      </c>
      <c r="C1751" t="s">
        <v>73</v>
      </c>
      <c r="D1751" t="s">
        <v>30</v>
      </c>
      <c r="E1751" t="s">
        <v>392</v>
      </c>
      <c r="F1751"/>
      <c r="G1751">
        <v>2</v>
      </c>
      <c r="H1751">
        <v>500</v>
      </c>
      <c r="J1751" cm="1">
        <f t="array" ref="J1751">_xlfn.SWITCH(B1751,1,75,2,61,3,49,4,37,5,25,6,13,7,4,8,1)</f>
        <v>61</v>
      </c>
      <c r="K1751" t="str" cm="1">
        <f t="array" ref="K1751">IFERROR(_xlfn.SWITCH(L1751,2,_xlfn.XLOOKUP(C1751,[1]ModifierDes!$B:$B,[1]ModifierDes!$C:$C),3,_xlfn.XLOOKUP(C1751,[1]StuntDes!$B:$B,[1]StuntDes!$C:$C)),"")</f>
        <v/>
      </c>
      <c r="L1751">
        <f t="shared" si="73"/>
        <v>1</v>
      </c>
      <c r="M1751" s="10" t="str">
        <f>IFERROR(_xlfn.XLOOKUP(C1751,[1]StuntDes!$B:$B,[1]StuntDes!$A:$A),"")</f>
        <v/>
      </c>
      <c r="N1751" s="10" t="str">
        <f>IFERROR(_xlfn.XLOOKUP(C1751,[1]ModifierDes!$B:$B,[1]ModifierDes!$A:$A),"")</f>
        <v/>
      </c>
      <c r="O1751" s="10">
        <f>IFERROR(_xlfn.XLOOKUP(C1751,[1]AttributeName!$C:$C,[1]AttributeName!$B:$B),"")</f>
        <v>10311</v>
      </c>
      <c r="P1751" s="10"/>
      <c r="Q1751">
        <v>0.26</v>
      </c>
      <c r="R1751">
        <v>0.29</v>
      </c>
      <c r="S1751" cm="1">
        <f t="array" ref="S1751">IFERROR(_xlfn.SWITCH(L1751,1,_xlfn.XLOOKUP(O1751,[1]AttributeName!$B:$B,[1]AttributeName!$D:$D),2,_xlfn.XLOOKUP(C1751,#REF!,#REF!),3,_xlfn.XLOOKUP(C1751,#REF!,#REF!)),0)</f>
        <v>2</v>
      </c>
      <c r="T1751" cm="1">
        <f t="array" ref="T1751">IFERROR(_xlfn.SWITCH(L1751,1,_xlfn.XLOOKUP(O1751,[1]AttributeName!$B:$B,[1]AttributeName!$E:$E),2,_xlfn.XLOOKUP(C1751,#REF!,#REF!),3,_xlfn.XLOOKUP(C1751,#REF!,#REF!)),0)</f>
        <v>2</v>
      </c>
    </row>
    <row r="1752" customFormat="1" spans="1:20">
      <c r="A1752">
        <v>751</v>
      </c>
      <c r="B1752">
        <v>3</v>
      </c>
      <c r="C1752" t="s">
        <v>73</v>
      </c>
      <c r="D1752" t="s">
        <v>30</v>
      </c>
      <c r="E1752" t="s">
        <v>392</v>
      </c>
      <c r="F1752"/>
      <c r="G1752">
        <v>2</v>
      </c>
      <c r="H1752">
        <v>750</v>
      </c>
      <c r="J1752" cm="1">
        <f t="array" ref="J1752">_xlfn.SWITCH(B1752,1,75,2,61,3,49,4,37,5,25,6,13,7,4,8,1)</f>
        <v>49</v>
      </c>
      <c r="K1752" t="str" cm="1">
        <f t="array" ref="K1752">IFERROR(_xlfn.SWITCH(L1752,2,_xlfn.XLOOKUP(C1752,[1]ModifierDes!$B:$B,[1]ModifierDes!$C:$C),3,_xlfn.XLOOKUP(C1752,[1]StuntDes!$B:$B,[1]StuntDes!$C:$C)),"")</f>
        <v/>
      </c>
      <c r="L1752">
        <f t="shared" si="73"/>
        <v>1</v>
      </c>
      <c r="M1752" s="10" t="str">
        <f>IFERROR(_xlfn.XLOOKUP(C1752,[1]StuntDes!$B:$B,[1]StuntDes!$A:$A),"")</f>
        <v/>
      </c>
      <c r="N1752" s="10" t="str">
        <f>IFERROR(_xlfn.XLOOKUP(C1752,[1]ModifierDes!$B:$B,[1]ModifierDes!$A:$A),"")</f>
        <v/>
      </c>
      <c r="O1752" s="10">
        <f>IFERROR(_xlfn.XLOOKUP(C1752,[1]AttributeName!$C:$C,[1]AttributeName!$B:$B),"")</f>
        <v>10311</v>
      </c>
      <c r="P1752" s="10"/>
      <c r="Q1752">
        <v>0.22</v>
      </c>
      <c r="R1752">
        <v>0.25</v>
      </c>
      <c r="S1752" cm="1">
        <f t="array" ref="S1752">IFERROR(_xlfn.SWITCH(L1752,1,_xlfn.XLOOKUP(O1752,[1]AttributeName!$B:$B,[1]AttributeName!$D:$D),2,_xlfn.XLOOKUP(C1752,#REF!,#REF!),3,_xlfn.XLOOKUP(C1752,#REF!,#REF!)),0)</f>
        <v>2</v>
      </c>
      <c r="T1752" cm="1">
        <f t="array" ref="T1752">IFERROR(_xlfn.SWITCH(L1752,1,_xlfn.XLOOKUP(O1752,[1]AttributeName!$B:$B,[1]AttributeName!$E:$E),2,_xlfn.XLOOKUP(C1752,#REF!,#REF!),3,_xlfn.XLOOKUP(C1752,#REF!,#REF!)),0)</f>
        <v>2</v>
      </c>
    </row>
    <row r="1753" customFormat="1" spans="1:20">
      <c r="A1753">
        <v>751</v>
      </c>
      <c r="B1753">
        <v>4</v>
      </c>
      <c r="C1753" t="s">
        <v>73</v>
      </c>
      <c r="D1753" t="s">
        <v>30</v>
      </c>
      <c r="E1753" t="s">
        <v>392</v>
      </c>
      <c r="F1753"/>
      <c r="G1753">
        <v>2</v>
      </c>
      <c r="H1753">
        <v>1000</v>
      </c>
      <c r="J1753" cm="1">
        <f t="array" ref="J1753">_xlfn.SWITCH(B1753,1,75,2,61,3,49,4,37,5,25,6,13,7,4,8,1)</f>
        <v>37</v>
      </c>
      <c r="K1753" t="str" cm="1">
        <f t="array" ref="K1753">IFERROR(_xlfn.SWITCH(L1753,2,_xlfn.XLOOKUP(C1753,[1]ModifierDes!$B:$B,[1]ModifierDes!$C:$C),3,_xlfn.XLOOKUP(C1753,[1]StuntDes!$B:$B,[1]StuntDes!$C:$C)),"")</f>
        <v/>
      </c>
      <c r="L1753">
        <f t="shared" si="73"/>
        <v>1</v>
      </c>
      <c r="M1753" s="10" t="str">
        <f>IFERROR(_xlfn.XLOOKUP(C1753,[1]StuntDes!$B:$B,[1]StuntDes!$A:$A),"")</f>
        <v/>
      </c>
      <c r="N1753" s="10" t="str">
        <f>IFERROR(_xlfn.XLOOKUP(C1753,[1]ModifierDes!$B:$B,[1]ModifierDes!$A:$A),"")</f>
        <v/>
      </c>
      <c r="O1753" s="10">
        <f>IFERROR(_xlfn.XLOOKUP(C1753,[1]AttributeName!$C:$C,[1]AttributeName!$B:$B),"")</f>
        <v>10311</v>
      </c>
      <c r="P1753" s="10"/>
      <c r="Q1753">
        <v>0.18</v>
      </c>
      <c r="R1753">
        <v>0.21</v>
      </c>
      <c r="S1753" cm="1">
        <f t="array" ref="S1753">IFERROR(_xlfn.SWITCH(L1753,1,_xlfn.XLOOKUP(O1753,[1]AttributeName!$B:$B,[1]AttributeName!$D:$D),2,_xlfn.XLOOKUP(C1753,#REF!,#REF!),3,_xlfn.XLOOKUP(C1753,#REF!,#REF!)),0)</f>
        <v>2</v>
      </c>
      <c r="T1753" cm="1">
        <f t="array" ref="T1753">IFERROR(_xlfn.SWITCH(L1753,1,_xlfn.XLOOKUP(O1753,[1]AttributeName!$B:$B,[1]AttributeName!$E:$E),2,_xlfn.XLOOKUP(C1753,#REF!,#REF!),3,_xlfn.XLOOKUP(C1753,#REF!,#REF!)),0)</f>
        <v>2</v>
      </c>
    </row>
    <row r="1754" customFormat="1" spans="1:20">
      <c r="A1754">
        <v>751</v>
      </c>
      <c r="B1754">
        <v>5</v>
      </c>
      <c r="C1754" t="s">
        <v>73</v>
      </c>
      <c r="D1754" t="s">
        <v>30</v>
      </c>
      <c r="E1754" t="s">
        <v>392</v>
      </c>
      <c r="F1754"/>
      <c r="G1754">
        <v>2</v>
      </c>
      <c r="H1754">
        <v>1000</v>
      </c>
      <c r="J1754" cm="1">
        <f t="array" ref="J1754">_xlfn.SWITCH(B1754,1,75,2,61,3,49,4,37,5,25,6,13,7,4,8,1)</f>
        <v>25</v>
      </c>
      <c r="K1754" t="str" cm="1">
        <f t="array" ref="K1754">IFERROR(_xlfn.SWITCH(L1754,2,_xlfn.XLOOKUP(C1754,[1]ModifierDes!$B:$B,[1]ModifierDes!$C:$C),3,_xlfn.XLOOKUP(C1754,[1]StuntDes!$B:$B,[1]StuntDes!$C:$C)),"")</f>
        <v/>
      </c>
      <c r="L1754">
        <f t="shared" si="73"/>
        <v>1</v>
      </c>
      <c r="M1754" s="10" t="str">
        <f>IFERROR(_xlfn.XLOOKUP(C1754,[1]StuntDes!$B:$B,[1]StuntDes!$A:$A),"")</f>
        <v/>
      </c>
      <c r="N1754" s="10" t="str">
        <f>IFERROR(_xlfn.XLOOKUP(C1754,[1]ModifierDes!$B:$B,[1]ModifierDes!$A:$A),"")</f>
        <v/>
      </c>
      <c r="O1754" s="10">
        <f>IFERROR(_xlfn.XLOOKUP(C1754,[1]AttributeName!$C:$C,[1]AttributeName!$B:$B),"")</f>
        <v>10311</v>
      </c>
      <c r="P1754" s="10"/>
      <c r="Q1754">
        <v>0.14</v>
      </c>
      <c r="R1754">
        <v>0.17</v>
      </c>
      <c r="S1754" cm="1">
        <f t="array" ref="S1754">IFERROR(_xlfn.SWITCH(L1754,1,_xlfn.XLOOKUP(O1754,[1]AttributeName!$B:$B,[1]AttributeName!$D:$D),2,_xlfn.XLOOKUP(C1754,#REF!,#REF!),3,_xlfn.XLOOKUP(C1754,#REF!,#REF!)),0)</f>
        <v>2</v>
      </c>
      <c r="T1754" cm="1">
        <f t="array" ref="T1754">IFERROR(_xlfn.SWITCH(L1754,1,_xlfn.XLOOKUP(O1754,[1]AttributeName!$B:$B,[1]AttributeName!$E:$E),2,_xlfn.XLOOKUP(C1754,#REF!,#REF!),3,_xlfn.XLOOKUP(C1754,#REF!,#REF!)),0)</f>
        <v>2</v>
      </c>
    </row>
    <row r="1755" customFormat="1" spans="1:20">
      <c r="A1755">
        <v>751</v>
      </c>
      <c r="B1755">
        <v>6</v>
      </c>
      <c r="C1755" t="s">
        <v>73</v>
      </c>
      <c r="D1755" t="s">
        <v>30</v>
      </c>
      <c r="E1755" t="s">
        <v>392</v>
      </c>
      <c r="F1755"/>
      <c r="G1755">
        <v>2</v>
      </c>
      <c r="H1755">
        <v>1000</v>
      </c>
      <c r="J1755" cm="1">
        <f t="array" ref="J1755">_xlfn.SWITCH(B1755,1,75,2,61,3,49,4,37,5,25,6,13,7,4,8,1)</f>
        <v>13</v>
      </c>
      <c r="K1755" t="str" cm="1">
        <f t="array" ref="K1755">IFERROR(_xlfn.SWITCH(L1755,2,_xlfn.XLOOKUP(C1755,[1]ModifierDes!$B:$B,[1]ModifierDes!$C:$C),3,_xlfn.XLOOKUP(C1755,[1]StuntDes!$B:$B,[1]StuntDes!$C:$C)),"")</f>
        <v/>
      </c>
      <c r="L1755">
        <f t="shared" si="73"/>
        <v>1</v>
      </c>
      <c r="M1755" s="10" t="str">
        <f>IFERROR(_xlfn.XLOOKUP(C1755,[1]StuntDes!$B:$B,[1]StuntDes!$A:$A),"")</f>
        <v/>
      </c>
      <c r="N1755" s="10" t="str">
        <f>IFERROR(_xlfn.XLOOKUP(C1755,[1]ModifierDes!$B:$B,[1]ModifierDes!$A:$A),"")</f>
        <v/>
      </c>
      <c r="O1755" s="10">
        <f>IFERROR(_xlfn.XLOOKUP(C1755,[1]AttributeName!$C:$C,[1]AttributeName!$B:$B),"")</f>
        <v>10311</v>
      </c>
      <c r="P1755" s="10"/>
      <c r="Q1755">
        <v>0.1</v>
      </c>
      <c r="R1755">
        <v>0.13</v>
      </c>
      <c r="S1755" cm="1">
        <f t="array" ref="S1755">IFERROR(_xlfn.SWITCH(L1755,1,_xlfn.XLOOKUP(O1755,[1]AttributeName!$B:$B,[1]AttributeName!$D:$D),2,_xlfn.XLOOKUP(C1755,#REF!,#REF!),3,_xlfn.XLOOKUP(C1755,#REF!,#REF!)),0)</f>
        <v>2</v>
      </c>
      <c r="T1755" cm="1">
        <f t="array" ref="T1755">IFERROR(_xlfn.SWITCH(L1755,1,_xlfn.XLOOKUP(O1755,[1]AttributeName!$B:$B,[1]AttributeName!$E:$E),2,_xlfn.XLOOKUP(C1755,#REF!,#REF!),3,_xlfn.XLOOKUP(C1755,#REF!,#REF!)),0)</f>
        <v>2</v>
      </c>
    </row>
    <row r="1756" customFormat="1" spans="1:20">
      <c r="A1756">
        <v>751</v>
      </c>
      <c r="B1756">
        <v>7</v>
      </c>
      <c r="C1756" t="s">
        <v>73</v>
      </c>
      <c r="D1756" t="s">
        <v>30</v>
      </c>
      <c r="E1756" t="s">
        <v>392</v>
      </c>
      <c r="F1756"/>
      <c r="G1756">
        <v>2</v>
      </c>
      <c r="H1756">
        <v>1000</v>
      </c>
      <c r="J1756" cm="1">
        <f t="array" ref="J1756">_xlfn.SWITCH(B1756,1,75,2,61,3,49,4,37,5,25,6,13,7,4,8,1)</f>
        <v>4</v>
      </c>
      <c r="K1756" t="str" cm="1">
        <f t="array" ref="K1756">IFERROR(_xlfn.SWITCH(L1756,2,_xlfn.XLOOKUP(C1756,[1]ModifierDes!$B:$B,[1]ModifierDes!$C:$C),3,_xlfn.XLOOKUP(C1756,[1]StuntDes!$B:$B,[1]StuntDes!$C:$C)),"")</f>
        <v/>
      </c>
      <c r="L1756">
        <f t="shared" si="73"/>
        <v>1</v>
      </c>
      <c r="M1756" s="10" t="str">
        <f>IFERROR(_xlfn.XLOOKUP(C1756,[1]StuntDes!$B:$B,[1]StuntDes!$A:$A),"")</f>
        <v/>
      </c>
      <c r="N1756" s="10" t="str">
        <f>IFERROR(_xlfn.XLOOKUP(C1756,[1]ModifierDes!$B:$B,[1]ModifierDes!$A:$A),"")</f>
        <v/>
      </c>
      <c r="O1756" s="10">
        <f>IFERROR(_xlfn.XLOOKUP(C1756,[1]AttributeName!$C:$C,[1]AttributeName!$B:$B),"")</f>
        <v>10311</v>
      </c>
      <c r="P1756" s="10"/>
      <c r="Q1756">
        <v>0.06</v>
      </c>
      <c r="R1756">
        <v>0.0900000000000001</v>
      </c>
      <c r="S1756" cm="1">
        <f t="array" ref="S1756">IFERROR(_xlfn.SWITCH(L1756,1,_xlfn.XLOOKUP(O1756,[1]AttributeName!$B:$B,[1]AttributeName!$D:$D),2,_xlfn.XLOOKUP(C1756,#REF!,#REF!),3,_xlfn.XLOOKUP(C1756,#REF!,#REF!)),0)</f>
        <v>2</v>
      </c>
      <c r="T1756" cm="1">
        <f t="array" ref="T1756">IFERROR(_xlfn.SWITCH(L1756,1,_xlfn.XLOOKUP(O1756,[1]AttributeName!$B:$B,[1]AttributeName!$E:$E),2,_xlfn.XLOOKUP(C1756,#REF!,#REF!),3,_xlfn.XLOOKUP(C1756,#REF!,#REF!)),0)</f>
        <v>2</v>
      </c>
    </row>
    <row r="1757" customFormat="1" spans="1:20">
      <c r="A1757">
        <v>751</v>
      </c>
      <c r="B1757">
        <v>8</v>
      </c>
      <c r="C1757" t="s">
        <v>73</v>
      </c>
      <c r="D1757" t="s">
        <v>30</v>
      </c>
      <c r="E1757" t="s">
        <v>392</v>
      </c>
      <c r="F1757"/>
      <c r="G1757">
        <v>2</v>
      </c>
      <c r="H1757">
        <v>1000</v>
      </c>
      <c r="J1757" cm="1">
        <f t="array" ref="J1757">_xlfn.SWITCH(B1757,1,75,2,61,3,49,4,37,5,25,6,13,7,4,8,1)</f>
        <v>1</v>
      </c>
      <c r="K1757" t="str" cm="1">
        <f t="array" ref="K1757">IFERROR(_xlfn.SWITCH(L1757,2,_xlfn.XLOOKUP(C1757,[1]ModifierDes!$B:$B,[1]ModifierDes!$C:$C),3,_xlfn.XLOOKUP(C1757,[1]StuntDes!$B:$B,[1]StuntDes!$C:$C)),"")</f>
        <v/>
      </c>
      <c r="L1757">
        <f t="shared" si="73"/>
        <v>1</v>
      </c>
      <c r="M1757" s="10" t="str">
        <f>IFERROR(_xlfn.XLOOKUP(C1757,[1]StuntDes!$B:$B,[1]StuntDes!$A:$A),"")</f>
        <v/>
      </c>
      <c r="N1757" s="10" t="str">
        <f>IFERROR(_xlfn.XLOOKUP(C1757,[1]ModifierDes!$B:$B,[1]ModifierDes!$A:$A),"")</f>
        <v/>
      </c>
      <c r="O1757" s="10">
        <f>IFERROR(_xlfn.XLOOKUP(C1757,[1]AttributeName!$C:$C,[1]AttributeName!$B:$B),"")</f>
        <v>10311</v>
      </c>
      <c r="P1757" s="10"/>
      <c r="Q1757">
        <v>0.02</v>
      </c>
      <c r="R1757">
        <v>0.0500000000000001</v>
      </c>
      <c r="S1757" cm="1">
        <f t="array" ref="S1757">IFERROR(_xlfn.SWITCH(L1757,1,_xlfn.XLOOKUP(O1757,[1]AttributeName!$B:$B,[1]AttributeName!$D:$D),2,_xlfn.XLOOKUP(C1757,#REF!,#REF!),3,_xlfn.XLOOKUP(C1757,#REF!,#REF!)),0)</f>
        <v>2</v>
      </c>
      <c r="T1757" cm="1">
        <f t="array" ref="T1757">IFERROR(_xlfn.SWITCH(L1757,1,_xlfn.XLOOKUP(O1757,[1]AttributeName!$B:$B,[1]AttributeName!$E:$E),2,_xlfn.XLOOKUP(C1757,#REF!,#REF!),3,_xlfn.XLOOKUP(C1757,#REF!,#REF!)),0)</f>
        <v>2</v>
      </c>
    </row>
    <row r="1758" customFormat="1" spans="1:20">
      <c r="A1758">
        <f t="shared" ref="A1758:A1789" si="75">A1750+1</f>
        <v>752</v>
      </c>
      <c r="B1758">
        <v>1</v>
      </c>
      <c r="C1758" t="s">
        <v>423</v>
      </c>
      <c r="D1758" t="s">
        <v>30</v>
      </c>
      <c r="E1758" t="s">
        <v>392</v>
      </c>
      <c r="F1758"/>
      <c r="G1758">
        <v>2</v>
      </c>
      <c r="H1758">
        <v>250</v>
      </c>
      <c r="J1758" cm="1">
        <f t="array" ref="J1758">_xlfn.SWITCH(B1758,1,75,2,61,3,49,4,37,5,25,6,13,7,4,8,1)</f>
        <v>75</v>
      </c>
      <c r="K1758" t="str" cm="1">
        <f t="array" ref="K1758">IFERROR(_xlfn.SWITCH(L1758,2,_xlfn.XLOOKUP(C1758,[1]ModifierDes!$B:$B,[1]ModifierDes!$C:$C),3,_xlfn.XLOOKUP(C1758,[1]StuntDes!$B:$B,[1]StuntDes!$C:$C)),"")</f>
        <v/>
      </c>
      <c r="L1758">
        <f t="shared" si="73"/>
        <v>1</v>
      </c>
      <c r="M1758" s="10" t="str">
        <f>IFERROR(_xlfn.XLOOKUP(C1758,[1]StuntDes!$B:$B,[1]StuntDes!$A:$A),"")</f>
        <v/>
      </c>
      <c r="N1758" s="10" t="str">
        <f>IFERROR(_xlfn.XLOOKUP(C1758,[1]ModifierDes!$B:$B,[1]ModifierDes!$A:$A),"")</f>
        <v/>
      </c>
      <c r="O1758" s="10">
        <f>IFERROR(_xlfn.XLOOKUP(C1758,[1]AttributeName!$C:$C,[1]AttributeName!$B:$B),"")</f>
        <v>10312</v>
      </c>
      <c r="P1758" s="10"/>
      <c r="Q1758">
        <v>0.3</v>
      </c>
      <c r="R1758">
        <v>0.4</v>
      </c>
      <c r="S1758" cm="1">
        <f t="array" ref="S1758">IFERROR(_xlfn.SWITCH(L1758,1,_xlfn.XLOOKUP(O1758,[1]AttributeName!$B:$B,[1]AttributeName!$D:$D),2,_xlfn.XLOOKUP(C1758,#REF!,#REF!),3,_xlfn.XLOOKUP(C1758,#REF!,#REF!)),0)</f>
        <v>2</v>
      </c>
      <c r="T1758" cm="1">
        <f t="array" ref="T1758">IFERROR(_xlfn.SWITCH(L1758,1,_xlfn.XLOOKUP(O1758,[1]AttributeName!$B:$B,[1]AttributeName!$E:$E),2,_xlfn.XLOOKUP(C1758,#REF!,#REF!),3,_xlfn.XLOOKUP(C1758,#REF!,#REF!)),0)</f>
        <v>2</v>
      </c>
    </row>
    <row r="1759" customFormat="1" spans="1:20">
      <c r="A1759">
        <f t="shared" si="75"/>
        <v>752</v>
      </c>
      <c r="B1759">
        <v>2</v>
      </c>
      <c r="C1759" t="s">
        <v>423</v>
      </c>
      <c r="D1759" t="s">
        <v>30</v>
      </c>
      <c r="E1759" t="s">
        <v>392</v>
      </c>
      <c r="F1759"/>
      <c r="G1759">
        <v>2</v>
      </c>
      <c r="H1759">
        <v>500</v>
      </c>
      <c r="J1759" cm="1">
        <f t="array" ref="J1759">_xlfn.SWITCH(B1759,1,75,2,61,3,49,4,37,5,25,6,13,7,4,8,1)</f>
        <v>61</v>
      </c>
      <c r="K1759" t="str" cm="1">
        <f t="array" ref="K1759">IFERROR(_xlfn.SWITCH(L1759,2,_xlfn.XLOOKUP(C1759,[1]ModifierDes!$B:$B,[1]ModifierDes!$C:$C),3,_xlfn.XLOOKUP(C1759,[1]StuntDes!$B:$B,[1]StuntDes!$C:$C)),"")</f>
        <v/>
      </c>
      <c r="L1759">
        <f t="shared" si="73"/>
        <v>1</v>
      </c>
      <c r="M1759" s="10" t="str">
        <f>IFERROR(_xlfn.XLOOKUP(C1759,[1]StuntDes!$B:$B,[1]StuntDes!$A:$A),"")</f>
        <v/>
      </c>
      <c r="N1759" s="10" t="str">
        <f>IFERROR(_xlfn.XLOOKUP(C1759,[1]ModifierDes!$B:$B,[1]ModifierDes!$A:$A),"")</f>
        <v/>
      </c>
      <c r="O1759" s="10">
        <f>IFERROR(_xlfn.XLOOKUP(C1759,[1]AttributeName!$C:$C,[1]AttributeName!$B:$B),"")</f>
        <v>10312</v>
      </c>
      <c r="P1759" s="10"/>
      <c r="Q1759">
        <v>0.26</v>
      </c>
      <c r="R1759">
        <v>0.29</v>
      </c>
      <c r="S1759" cm="1">
        <f t="array" ref="S1759">IFERROR(_xlfn.SWITCH(L1759,1,_xlfn.XLOOKUP(O1759,[1]AttributeName!$B:$B,[1]AttributeName!$D:$D),2,_xlfn.XLOOKUP(C1759,#REF!,#REF!),3,_xlfn.XLOOKUP(C1759,#REF!,#REF!)),0)</f>
        <v>2</v>
      </c>
      <c r="T1759" cm="1">
        <f t="array" ref="T1759">IFERROR(_xlfn.SWITCH(L1759,1,_xlfn.XLOOKUP(O1759,[1]AttributeName!$B:$B,[1]AttributeName!$E:$E),2,_xlfn.XLOOKUP(C1759,#REF!,#REF!),3,_xlfn.XLOOKUP(C1759,#REF!,#REF!)),0)</f>
        <v>2</v>
      </c>
    </row>
    <row r="1760" customFormat="1" spans="1:20">
      <c r="A1760">
        <f t="shared" si="75"/>
        <v>752</v>
      </c>
      <c r="B1760">
        <v>3</v>
      </c>
      <c r="C1760" t="s">
        <v>423</v>
      </c>
      <c r="D1760" t="s">
        <v>30</v>
      </c>
      <c r="E1760" t="s">
        <v>392</v>
      </c>
      <c r="F1760"/>
      <c r="G1760">
        <v>2</v>
      </c>
      <c r="H1760">
        <v>750</v>
      </c>
      <c r="J1760" cm="1">
        <f t="array" ref="J1760">_xlfn.SWITCH(B1760,1,75,2,61,3,49,4,37,5,25,6,13,7,4,8,1)</f>
        <v>49</v>
      </c>
      <c r="K1760" t="str" cm="1">
        <f t="array" ref="K1760">IFERROR(_xlfn.SWITCH(L1760,2,_xlfn.XLOOKUP(C1760,[1]ModifierDes!$B:$B,[1]ModifierDes!$C:$C),3,_xlfn.XLOOKUP(C1760,[1]StuntDes!$B:$B,[1]StuntDes!$C:$C)),"")</f>
        <v/>
      </c>
      <c r="L1760">
        <f t="shared" si="73"/>
        <v>1</v>
      </c>
      <c r="M1760" s="10" t="str">
        <f>IFERROR(_xlfn.XLOOKUP(C1760,[1]StuntDes!$B:$B,[1]StuntDes!$A:$A),"")</f>
        <v/>
      </c>
      <c r="N1760" s="10" t="str">
        <f>IFERROR(_xlfn.XLOOKUP(C1760,[1]ModifierDes!$B:$B,[1]ModifierDes!$A:$A),"")</f>
        <v/>
      </c>
      <c r="O1760" s="10">
        <f>IFERROR(_xlfn.XLOOKUP(C1760,[1]AttributeName!$C:$C,[1]AttributeName!$B:$B),"")</f>
        <v>10312</v>
      </c>
      <c r="P1760" s="10"/>
      <c r="Q1760">
        <v>0.22</v>
      </c>
      <c r="R1760">
        <v>0.25</v>
      </c>
      <c r="S1760" cm="1">
        <f t="array" ref="S1760">IFERROR(_xlfn.SWITCH(L1760,1,_xlfn.XLOOKUP(O1760,[1]AttributeName!$B:$B,[1]AttributeName!$D:$D),2,_xlfn.XLOOKUP(C1760,#REF!,#REF!),3,_xlfn.XLOOKUP(C1760,#REF!,#REF!)),0)</f>
        <v>2</v>
      </c>
      <c r="T1760" cm="1">
        <f t="array" ref="T1760">IFERROR(_xlfn.SWITCH(L1760,1,_xlfn.XLOOKUP(O1760,[1]AttributeName!$B:$B,[1]AttributeName!$E:$E),2,_xlfn.XLOOKUP(C1760,#REF!,#REF!),3,_xlfn.XLOOKUP(C1760,#REF!,#REF!)),0)</f>
        <v>2</v>
      </c>
    </row>
    <row r="1761" customFormat="1" spans="1:20">
      <c r="A1761">
        <f t="shared" si="75"/>
        <v>752</v>
      </c>
      <c r="B1761">
        <v>4</v>
      </c>
      <c r="C1761" t="s">
        <v>423</v>
      </c>
      <c r="D1761" t="s">
        <v>30</v>
      </c>
      <c r="E1761" t="s">
        <v>392</v>
      </c>
      <c r="F1761"/>
      <c r="G1761">
        <v>2</v>
      </c>
      <c r="H1761">
        <v>1000</v>
      </c>
      <c r="J1761" cm="1">
        <f t="array" ref="J1761">_xlfn.SWITCH(B1761,1,75,2,61,3,49,4,37,5,25,6,13,7,4,8,1)</f>
        <v>37</v>
      </c>
      <c r="K1761" t="str" cm="1">
        <f t="array" ref="K1761">IFERROR(_xlfn.SWITCH(L1761,2,_xlfn.XLOOKUP(C1761,[1]ModifierDes!$B:$B,[1]ModifierDes!$C:$C),3,_xlfn.XLOOKUP(C1761,[1]StuntDes!$B:$B,[1]StuntDes!$C:$C)),"")</f>
        <v/>
      </c>
      <c r="L1761">
        <f t="shared" si="73"/>
        <v>1</v>
      </c>
      <c r="M1761" s="10" t="str">
        <f>IFERROR(_xlfn.XLOOKUP(C1761,[1]StuntDes!$B:$B,[1]StuntDes!$A:$A),"")</f>
        <v/>
      </c>
      <c r="N1761" s="10" t="str">
        <f>IFERROR(_xlfn.XLOOKUP(C1761,[1]ModifierDes!$B:$B,[1]ModifierDes!$A:$A),"")</f>
        <v/>
      </c>
      <c r="O1761" s="10">
        <f>IFERROR(_xlfn.XLOOKUP(C1761,[1]AttributeName!$C:$C,[1]AttributeName!$B:$B),"")</f>
        <v>10312</v>
      </c>
      <c r="P1761" s="10"/>
      <c r="Q1761">
        <v>0.18</v>
      </c>
      <c r="R1761">
        <v>0.21</v>
      </c>
      <c r="S1761" cm="1">
        <f t="array" ref="S1761">IFERROR(_xlfn.SWITCH(L1761,1,_xlfn.XLOOKUP(O1761,[1]AttributeName!$B:$B,[1]AttributeName!$D:$D),2,_xlfn.XLOOKUP(C1761,#REF!,#REF!),3,_xlfn.XLOOKUP(C1761,#REF!,#REF!)),0)</f>
        <v>2</v>
      </c>
      <c r="T1761" cm="1">
        <f t="array" ref="T1761">IFERROR(_xlfn.SWITCH(L1761,1,_xlfn.XLOOKUP(O1761,[1]AttributeName!$B:$B,[1]AttributeName!$E:$E),2,_xlfn.XLOOKUP(C1761,#REF!,#REF!),3,_xlfn.XLOOKUP(C1761,#REF!,#REF!)),0)</f>
        <v>2</v>
      </c>
    </row>
    <row r="1762" customFormat="1" spans="1:20">
      <c r="A1762">
        <f t="shared" si="75"/>
        <v>752</v>
      </c>
      <c r="B1762">
        <v>5</v>
      </c>
      <c r="C1762" t="s">
        <v>423</v>
      </c>
      <c r="D1762" t="s">
        <v>30</v>
      </c>
      <c r="E1762" t="s">
        <v>392</v>
      </c>
      <c r="F1762"/>
      <c r="G1762">
        <v>2</v>
      </c>
      <c r="H1762">
        <v>1000</v>
      </c>
      <c r="J1762" cm="1">
        <f t="array" ref="J1762">_xlfn.SWITCH(B1762,1,75,2,61,3,49,4,37,5,25,6,13,7,4,8,1)</f>
        <v>25</v>
      </c>
      <c r="K1762" t="str" cm="1">
        <f t="array" ref="K1762">IFERROR(_xlfn.SWITCH(L1762,2,_xlfn.XLOOKUP(C1762,[1]ModifierDes!$B:$B,[1]ModifierDes!$C:$C),3,_xlfn.XLOOKUP(C1762,[1]StuntDes!$B:$B,[1]StuntDes!$C:$C)),"")</f>
        <v/>
      </c>
      <c r="L1762">
        <f t="shared" si="73"/>
        <v>1</v>
      </c>
      <c r="M1762" s="10" t="str">
        <f>IFERROR(_xlfn.XLOOKUP(C1762,[1]StuntDes!$B:$B,[1]StuntDes!$A:$A),"")</f>
        <v/>
      </c>
      <c r="N1762" s="10" t="str">
        <f>IFERROR(_xlfn.XLOOKUP(C1762,[1]ModifierDes!$B:$B,[1]ModifierDes!$A:$A),"")</f>
        <v/>
      </c>
      <c r="O1762" s="10">
        <f>IFERROR(_xlfn.XLOOKUP(C1762,[1]AttributeName!$C:$C,[1]AttributeName!$B:$B),"")</f>
        <v>10312</v>
      </c>
      <c r="P1762" s="10"/>
      <c r="Q1762">
        <v>0.14</v>
      </c>
      <c r="R1762">
        <v>0.17</v>
      </c>
      <c r="S1762" cm="1">
        <f t="array" ref="S1762">IFERROR(_xlfn.SWITCH(L1762,1,_xlfn.XLOOKUP(O1762,[1]AttributeName!$B:$B,[1]AttributeName!$D:$D),2,_xlfn.XLOOKUP(C1762,#REF!,#REF!),3,_xlfn.XLOOKUP(C1762,#REF!,#REF!)),0)</f>
        <v>2</v>
      </c>
      <c r="T1762" cm="1">
        <f t="array" ref="T1762">IFERROR(_xlfn.SWITCH(L1762,1,_xlfn.XLOOKUP(O1762,[1]AttributeName!$B:$B,[1]AttributeName!$E:$E),2,_xlfn.XLOOKUP(C1762,#REF!,#REF!),3,_xlfn.XLOOKUP(C1762,#REF!,#REF!)),0)</f>
        <v>2</v>
      </c>
    </row>
    <row r="1763" customFormat="1" spans="1:20">
      <c r="A1763">
        <f t="shared" si="75"/>
        <v>752</v>
      </c>
      <c r="B1763">
        <v>6</v>
      </c>
      <c r="C1763" t="s">
        <v>423</v>
      </c>
      <c r="D1763" t="s">
        <v>30</v>
      </c>
      <c r="E1763" t="s">
        <v>392</v>
      </c>
      <c r="F1763"/>
      <c r="G1763">
        <v>2</v>
      </c>
      <c r="H1763">
        <v>1000</v>
      </c>
      <c r="J1763" cm="1">
        <f t="array" ref="J1763">_xlfn.SWITCH(B1763,1,75,2,61,3,49,4,37,5,25,6,13,7,4,8,1)</f>
        <v>13</v>
      </c>
      <c r="K1763" t="str" cm="1">
        <f t="array" ref="K1763">IFERROR(_xlfn.SWITCH(L1763,2,_xlfn.XLOOKUP(C1763,[1]ModifierDes!$B:$B,[1]ModifierDes!$C:$C),3,_xlfn.XLOOKUP(C1763,[1]StuntDes!$B:$B,[1]StuntDes!$C:$C)),"")</f>
        <v/>
      </c>
      <c r="L1763">
        <f t="shared" si="73"/>
        <v>1</v>
      </c>
      <c r="M1763" s="10" t="str">
        <f>IFERROR(_xlfn.XLOOKUP(C1763,[1]StuntDes!$B:$B,[1]StuntDes!$A:$A),"")</f>
        <v/>
      </c>
      <c r="N1763" s="10" t="str">
        <f>IFERROR(_xlfn.XLOOKUP(C1763,[1]ModifierDes!$B:$B,[1]ModifierDes!$A:$A),"")</f>
        <v/>
      </c>
      <c r="O1763" s="10">
        <f>IFERROR(_xlfn.XLOOKUP(C1763,[1]AttributeName!$C:$C,[1]AttributeName!$B:$B),"")</f>
        <v>10312</v>
      </c>
      <c r="P1763" s="10"/>
      <c r="Q1763">
        <v>0.1</v>
      </c>
      <c r="R1763">
        <v>0.13</v>
      </c>
      <c r="S1763" cm="1">
        <f t="array" ref="S1763">IFERROR(_xlfn.SWITCH(L1763,1,_xlfn.XLOOKUP(O1763,[1]AttributeName!$B:$B,[1]AttributeName!$D:$D),2,_xlfn.XLOOKUP(C1763,#REF!,#REF!),3,_xlfn.XLOOKUP(C1763,#REF!,#REF!)),0)</f>
        <v>2</v>
      </c>
      <c r="T1763" cm="1">
        <f t="array" ref="T1763">IFERROR(_xlfn.SWITCH(L1763,1,_xlfn.XLOOKUP(O1763,[1]AttributeName!$B:$B,[1]AttributeName!$E:$E),2,_xlfn.XLOOKUP(C1763,#REF!,#REF!),3,_xlfn.XLOOKUP(C1763,#REF!,#REF!)),0)</f>
        <v>2</v>
      </c>
    </row>
    <row r="1764" customFormat="1" spans="1:20">
      <c r="A1764">
        <f t="shared" si="75"/>
        <v>752</v>
      </c>
      <c r="B1764">
        <v>7</v>
      </c>
      <c r="C1764" t="s">
        <v>423</v>
      </c>
      <c r="D1764" t="s">
        <v>30</v>
      </c>
      <c r="E1764" t="s">
        <v>392</v>
      </c>
      <c r="F1764"/>
      <c r="G1764">
        <v>2</v>
      </c>
      <c r="H1764">
        <v>1000</v>
      </c>
      <c r="J1764" cm="1">
        <f t="array" ref="J1764">_xlfn.SWITCH(B1764,1,75,2,61,3,49,4,37,5,25,6,13,7,4,8,1)</f>
        <v>4</v>
      </c>
      <c r="K1764" t="str" cm="1">
        <f t="array" ref="K1764">IFERROR(_xlfn.SWITCH(L1764,2,_xlfn.XLOOKUP(C1764,[1]ModifierDes!$B:$B,[1]ModifierDes!$C:$C),3,_xlfn.XLOOKUP(C1764,[1]StuntDes!$B:$B,[1]StuntDes!$C:$C)),"")</f>
        <v/>
      </c>
      <c r="L1764">
        <f t="shared" si="73"/>
        <v>1</v>
      </c>
      <c r="M1764" s="10" t="str">
        <f>IFERROR(_xlfn.XLOOKUP(C1764,[1]StuntDes!$B:$B,[1]StuntDes!$A:$A),"")</f>
        <v/>
      </c>
      <c r="N1764" s="10" t="str">
        <f>IFERROR(_xlfn.XLOOKUP(C1764,[1]ModifierDes!$B:$B,[1]ModifierDes!$A:$A),"")</f>
        <v/>
      </c>
      <c r="O1764" s="10">
        <f>IFERROR(_xlfn.XLOOKUP(C1764,[1]AttributeName!$C:$C,[1]AttributeName!$B:$B),"")</f>
        <v>10312</v>
      </c>
      <c r="P1764" s="10"/>
      <c r="Q1764">
        <v>0.06</v>
      </c>
      <c r="R1764">
        <v>0.0900000000000001</v>
      </c>
      <c r="S1764" cm="1">
        <f t="array" ref="S1764">IFERROR(_xlfn.SWITCH(L1764,1,_xlfn.XLOOKUP(O1764,[1]AttributeName!$B:$B,[1]AttributeName!$D:$D),2,_xlfn.XLOOKUP(C1764,#REF!,#REF!),3,_xlfn.XLOOKUP(C1764,#REF!,#REF!)),0)</f>
        <v>2</v>
      </c>
      <c r="T1764" cm="1">
        <f t="array" ref="T1764">IFERROR(_xlfn.SWITCH(L1764,1,_xlfn.XLOOKUP(O1764,[1]AttributeName!$B:$B,[1]AttributeName!$E:$E),2,_xlfn.XLOOKUP(C1764,#REF!,#REF!),3,_xlfn.XLOOKUP(C1764,#REF!,#REF!)),0)</f>
        <v>2</v>
      </c>
    </row>
    <row r="1765" customFormat="1" spans="1:20">
      <c r="A1765">
        <f t="shared" si="75"/>
        <v>752</v>
      </c>
      <c r="B1765">
        <v>8</v>
      </c>
      <c r="C1765" t="s">
        <v>423</v>
      </c>
      <c r="D1765" t="s">
        <v>30</v>
      </c>
      <c r="E1765" t="s">
        <v>392</v>
      </c>
      <c r="F1765"/>
      <c r="G1765">
        <v>2</v>
      </c>
      <c r="H1765">
        <v>1000</v>
      </c>
      <c r="J1765" cm="1">
        <f t="array" ref="J1765">_xlfn.SWITCH(B1765,1,75,2,61,3,49,4,37,5,25,6,13,7,4,8,1)</f>
        <v>1</v>
      </c>
      <c r="K1765" t="str" cm="1">
        <f t="array" ref="K1765">IFERROR(_xlfn.SWITCH(L1765,2,_xlfn.XLOOKUP(C1765,[1]ModifierDes!$B:$B,[1]ModifierDes!$C:$C),3,_xlfn.XLOOKUP(C1765,[1]StuntDes!$B:$B,[1]StuntDes!$C:$C)),"")</f>
        <v/>
      </c>
      <c r="L1765">
        <f t="shared" si="73"/>
        <v>1</v>
      </c>
      <c r="M1765" s="10" t="str">
        <f>IFERROR(_xlfn.XLOOKUP(C1765,[1]StuntDes!$B:$B,[1]StuntDes!$A:$A),"")</f>
        <v/>
      </c>
      <c r="N1765" s="10" t="str">
        <f>IFERROR(_xlfn.XLOOKUP(C1765,[1]ModifierDes!$B:$B,[1]ModifierDes!$A:$A),"")</f>
        <v/>
      </c>
      <c r="O1765" s="10">
        <f>IFERROR(_xlfn.XLOOKUP(C1765,[1]AttributeName!$C:$C,[1]AttributeName!$B:$B),"")</f>
        <v>10312</v>
      </c>
      <c r="P1765" s="10"/>
      <c r="Q1765">
        <v>0.02</v>
      </c>
      <c r="R1765">
        <v>0.0500000000000001</v>
      </c>
      <c r="S1765" cm="1">
        <f t="array" ref="S1765">IFERROR(_xlfn.SWITCH(L1765,1,_xlfn.XLOOKUP(O1765,[1]AttributeName!$B:$B,[1]AttributeName!$D:$D),2,_xlfn.XLOOKUP(C1765,#REF!,#REF!),3,_xlfn.XLOOKUP(C1765,#REF!,#REF!)),0)</f>
        <v>2</v>
      </c>
      <c r="T1765" cm="1">
        <f t="array" ref="T1765">IFERROR(_xlfn.SWITCH(L1765,1,_xlfn.XLOOKUP(O1765,[1]AttributeName!$B:$B,[1]AttributeName!$E:$E),2,_xlfn.XLOOKUP(C1765,#REF!,#REF!),3,_xlfn.XLOOKUP(C1765,#REF!,#REF!)),0)</f>
        <v>2</v>
      </c>
    </row>
    <row r="1766" customFormat="1" spans="1:20">
      <c r="A1766">
        <f t="shared" si="75"/>
        <v>753</v>
      </c>
      <c r="B1766">
        <v>1</v>
      </c>
      <c r="C1766" t="s">
        <v>424</v>
      </c>
      <c r="D1766" t="s">
        <v>30</v>
      </c>
      <c r="E1766" t="s">
        <v>392</v>
      </c>
      <c r="F1766"/>
      <c r="G1766">
        <v>2</v>
      </c>
      <c r="H1766">
        <v>250</v>
      </c>
      <c r="J1766" cm="1">
        <f t="array" ref="J1766">_xlfn.SWITCH(B1766,1,75,2,61,3,49,4,37,5,25,6,13,7,4,8,1)</f>
        <v>75</v>
      </c>
      <c r="K1766" t="str" cm="1">
        <f t="array" ref="K1766">IFERROR(_xlfn.SWITCH(L1766,2,_xlfn.XLOOKUP(C1766,[1]ModifierDes!$B:$B,[1]ModifierDes!$C:$C),3,_xlfn.XLOOKUP(C1766,[1]StuntDes!$B:$B,[1]StuntDes!$C:$C)),"")</f>
        <v/>
      </c>
      <c r="L1766">
        <f t="shared" si="73"/>
        <v>1</v>
      </c>
      <c r="M1766" s="10" t="str">
        <f>IFERROR(_xlfn.XLOOKUP(C1766,[1]StuntDes!$B:$B,[1]StuntDes!$A:$A),"")</f>
        <v/>
      </c>
      <c r="N1766" s="10" t="str">
        <f>IFERROR(_xlfn.XLOOKUP(C1766,[1]ModifierDes!$B:$B,[1]ModifierDes!$A:$A),"")</f>
        <v/>
      </c>
      <c r="O1766" s="10">
        <f>IFERROR(_xlfn.XLOOKUP(C1766,[1]AttributeName!$C:$C,[1]AttributeName!$B:$B),"")</f>
        <v>10313</v>
      </c>
      <c r="P1766" s="10"/>
      <c r="Q1766">
        <v>0.3</v>
      </c>
      <c r="R1766">
        <v>0.4</v>
      </c>
      <c r="S1766" cm="1">
        <f t="array" ref="S1766">IFERROR(_xlfn.SWITCH(L1766,1,_xlfn.XLOOKUP(O1766,[1]AttributeName!$B:$B,[1]AttributeName!$D:$D),2,_xlfn.XLOOKUP(C1766,#REF!,#REF!),3,_xlfn.XLOOKUP(C1766,#REF!,#REF!)),0)</f>
        <v>2</v>
      </c>
      <c r="T1766" cm="1">
        <f t="array" ref="T1766">IFERROR(_xlfn.SWITCH(L1766,1,_xlfn.XLOOKUP(O1766,[1]AttributeName!$B:$B,[1]AttributeName!$E:$E),2,_xlfn.XLOOKUP(C1766,#REF!,#REF!),3,_xlfn.XLOOKUP(C1766,#REF!,#REF!)),0)</f>
        <v>2</v>
      </c>
    </row>
    <row r="1767" customFormat="1" spans="1:20">
      <c r="A1767">
        <f t="shared" si="75"/>
        <v>753</v>
      </c>
      <c r="B1767">
        <v>2</v>
      </c>
      <c r="C1767" t="s">
        <v>424</v>
      </c>
      <c r="D1767" t="s">
        <v>30</v>
      </c>
      <c r="E1767" t="s">
        <v>392</v>
      </c>
      <c r="F1767"/>
      <c r="G1767">
        <v>2</v>
      </c>
      <c r="H1767">
        <v>500</v>
      </c>
      <c r="J1767" cm="1">
        <f t="array" ref="J1767">_xlfn.SWITCH(B1767,1,75,2,61,3,49,4,37,5,25,6,13,7,4,8,1)</f>
        <v>61</v>
      </c>
      <c r="K1767" t="str" cm="1">
        <f t="array" ref="K1767">IFERROR(_xlfn.SWITCH(L1767,2,_xlfn.XLOOKUP(C1767,[1]ModifierDes!$B:$B,[1]ModifierDes!$C:$C),3,_xlfn.XLOOKUP(C1767,[1]StuntDes!$B:$B,[1]StuntDes!$C:$C)),"")</f>
        <v/>
      </c>
      <c r="L1767">
        <f t="shared" si="73"/>
        <v>1</v>
      </c>
      <c r="M1767" s="10" t="str">
        <f>IFERROR(_xlfn.XLOOKUP(C1767,[1]StuntDes!$B:$B,[1]StuntDes!$A:$A),"")</f>
        <v/>
      </c>
      <c r="N1767" s="10" t="str">
        <f>IFERROR(_xlfn.XLOOKUP(C1767,[1]ModifierDes!$B:$B,[1]ModifierDes!$A:$A),"")</f>
        <v/>
      </c>
      <c r="O1767" s="10">
        <f>IFERROR(_xlfn.XLOOKUP(C1767,[1]AttributeName!$C:$C,[1]AttributeName!$B:$B),"")</f>
        <v>10313</v>
      </c>
      <c r="P1767" s="10"/>
      <c r="Q1767">
        <v>0.26</v>
      </c>
      <c r="R1767">
        <v>0.29</v>
      </c>
      <c r="S1767" cm="1">
        <f t="array" ref="S1767">IFERROR(_xlfn.SWITCH(L1767,1,_xlfn.XLOOKUP(O1767,[1]AttributeName!$B:$B,[1]AttributeName!$D:$D),2,_xlfn.XLOOKUP(C1767,#REF!,#REF!),3,_xlfn.XLOOKUP(C1767,#REF!,#REF!)),0)</f>
        <v>2</v>
      </c>
      <c r="T1767" cm="1">
        <f t="array" ref="T1767">IFERROR(_xlfn.SWITCH(L1767,1,_xlfn.XLOOKUP(O1767,[1]AttributeName!$B:$B,[1]AttributeName!$E:$E),2,_xlfn.XLOOKUP(C1767,#REF!,#REF!),3,_xlfn.XLOOKUP(C1767,#REF!,#REF!)),0)</f>
        <v>2</v>
      </c>
    </row>
    <row r="1768" customFormat="1" spans="1:20">
      <c r="A1768">
        <f t="shared" si="75"/>
        <v>753</v>
      </c>
      <c r="B1768">
        <v>3</v>
      </c>
      <c r="C1768" t="s">
        <v>424</v>
      </c>
      <c r="D1768" t="s">
        <v>30</v>
      </c>
      <c r="E1768" t="s">
        <v>392</v>
      </c>
      <c r="F1768"/>
      <c r="G1768">
        <v>2</v>
      </c>
      <c r="H1768">
        <v>750</v>
      </c>
      <c r="J1768" cm="1">
        <f t="array" ref="J1768">_xlfn.SWITCH(B1768,1,75,2,61,3,49,4,37,5,25,6,13,7,4,8,1)</f>
        <v>49</v>
      </c>
      <c r="K1768" t="str" cm="1">
        <f t="array" ref="K1768">IFERROR(_xlfn.SWITCH(L1768,2,_xlfn.XLOOKUP(C1768,[1]ModifierDes!$B:$B,[1]ModifierDes!$C:$C),3,_xlfn.XLOOKUP(C1768,[1]StuntDes!$B:$B,[1]StuntDes!$C:$C)),"")</f>
        <v/>
      </c>
      <c r="L1768">
        <f t="shared" si="73"/>
        <v>1</v>
      </c>
      <c r="M1768" s="10" t="str">
        <f>IFERROR(_xlfn.XLOOKUP(C1768,[1]StuntDes!$B:$B,[1]StuntDes!$A:$A),"")</f>
        <v/>
      </c>
      <c r="N1768" s="10" t="str">
        <f>IFERROR(_xlfn.XLOOKUP(C1768,[1]ModifierDes!$B:$B,[1]ModifierDes!$A:$A),"")</f>
        <v/>
      </c>
      <c r="O1768" s="10">
        <f>IFERROR(_xlfn.XLOOKUP(C1768,[1]AttributeName!$C:$C,[1]AttributeName!$B:$B),"")</f>
        <v>10313</v>
      </c>
      <c r="P1768" s="10"/>
      <c r="Q1768">
        <v>0.22</v>
      </c>
      <c r="R1768">
        <v>0.25</v>
      </c>
      <c r="S1768" cm="1">
        <f t="array" ref="S1768">IFERROR(_xlfn.SWITCH(L1768,1,_xlfn.XLOOKUP(O1768,[1]AttributeName!$B:$B,[1]AttributeName!$D:$D),2,_xlfn.XLOOKUP(C1768,#REF!,#REF!),3,_xlfn.XLOOKUP(C1768,#REF!,#REF!)),0)</f>
        <v>2</v>
      </c>
      <c r="T1768" cm="1">
        <f t="array" ref="T1768">IFERROR(_xlfn.SWITCH(L1768,1,_xlfn.XLOOKUP(O1768,[1]AttributeName!$B:$B,[1]AttributeName!$E:$E),2,_xlfn.XLOOKUP(C1768,#REF!,#REF!),3,_xlfn.XLOOKUP(C1768,#REF!,#REF!)),0)</f>
        <v>2</v>
      </c>
    </row>
    <row r="1769" customFormat="1" spans="1:20">
      <c r="A1769">
        <f t="shared" si="75"/>
        <v>753</v>
      </c>
      <c r="B1769">
        <v>4</v>
      </c>
      <c r="C1769" t="s">
        <v>424</v>
      </c>
      <c r="D1769" t="s">
        <v>30</v>
      </c>
      <c r="E1769" t="s">
        <v>392</v>
      </c>
      <c r="F1769"/>
      <c r="G1769">
        <v>2</v>
      </c>
      <c r="H1769">
        <v>1000</v>
      </c>
      <c r="J1769" cm="1">
        <f t="array" ref="J1769">_xlfn.SWITCH(B1769,1,75,2,61,3,49,4,37,5,25,6,13,7,4,8,1)</f>
        <v>37</v>
      </c>
      <c r="K1769" t="str" cm="1">
        <f t="array" ref="K1769">IFERROR(_xlfn.SWITCH(L1769,2,_xlfn.XLOOKUP(C1769,[1]ModifierDes!$B:$B,[1]ModifierDes!$C:$C),3,_xlfn.XLOOKUP(C1769,[1]StuntDes!$B:$B,[1]StuntDes!$C:$C)),"")</f>
        <v/>
      </c>
      <c r="L1769">
        <f t="shared" si="73"/>
        <v>1</v>
      </c>
      <c r="M1769" s="10" t="str">
        <f>IFERROR(_xlfn.XLOOKUP(C1769,[1]StuntDes!$B:$B,[1]StuntDes!$A:$A),"")</f>
        <v/>
      </c>
      <c r="N1769" s="10" t="str">
        <f>IFERROR(_xlfn.XLOOKUP(C1769,[1]ModifierDes!$B:$B,[1]ModifierDes!$A:$A),"")</f>
        <v/>
      </c>
      <c r="O1769" s="10">
        <f>IFERROR(_xlfn.XLOOKUP(C1769,[1]AttributeName!$C:$C,[1]AttributeName!$B:$B),"")</f>
        <v>10313</v>
      </c>
      <c r="P1769" s="10"/>
      <c r="Q1769">
        <v>0.18</v>
      </c>
      <c r="R1769">
        <v>0.21</v>
      </c>
      <c r="S1769" cm="1">
        <f t="array" ref="S1769">IFERROR(_xlfn.SWITCH(L1769,1,_xlfn.XLOOKUP(O1769,[1]AttributeName!$B:$B,[1]AttributeName!$D:$D),2,_xlfn.XLOOKUP(C1769,#REF!,#REF!),3,_xlfn.XLOOKUP(C1769,#REF!,#REF!)),0)</f>
        <v>2</v>
      </c>
      <c r="T1769" cm="1">
        <f t="array" ref="T1769">IFERROR(_xlfn.SWITCH(L1769,1,_xlfn.XLOOKUP(O1769,[1]AttributeName!$B:$B,[1]AttributeName!$E:$E),2,_xlfn.XLOOKUP(C1769,#REF!,#REF!),3,_xlfn.XLOOKUP(C1769,#REF!,#REF!)),0)</f>
        <v>2</v>
      </c>
    </row>
    <row r="1770" customFormat="1" spans="1:20">
      <c r="A1770">
        <f t="shared" si="75"/>
        <v>753</v>
      </c>
      <c r="B1770">
        <v>5</v>
      </c>
      <c r="C1770" t="s">
        <v>424</v>
      </c>
      <c r="D1770" t="s">
        <v>30</v>
      </c>
      <c r="E1770" t="s">
        <v>392</v>
      </c>
      <c r="F1770"/>
      <c r="G1770">
        <v>2</v>
      </c>
      <c r="H1770">
        <v>1000</v>
      </c>
      <c r="J1770" cm="1">
        <f t="array" ref="J1770">_xlfn.SWITCH(B1770,1,75,2,61,3,49,4,37,5,25,6,13,7,4,8,1)</f>
        <v>25</v>
      </c>
      <c r="K1770" t="str" cm="1">
        <f t="array" ref="K1770">IFERROR(_xlfn.SWITCH(L1770,2,_xlfn.XLOOKUP(C1770,[1]ModifierDes!$B:$B,[1]ModifierDes!$C:$C),3,_xlfn.XLOOKUP(C1770,[1]StuntDes!$B:$B,[1]StuntDes!$C:$C)),"")</f>
        <v/>
      </c>
      <c r="L1770">
        <f t="shared" si="73"/>
        <v>1</v>
      </c>
      <c r="M1770" s="10" t="str">
        <f>IFERROR(_xlfn.XLOOKUP(C1770,[1]StuntDes!$B:$B,[1]StuntDes!$A:$A),"")</f>
        <v/>
      </c>
      <c r="N1770" s="10" t="str">
        <f>IFERROR(_xlfn.XLOOKUP(C1770,[1]ModifierDes!$B:$B,[1]ModifierDes!$A:$A),"")</f>
        <v/>
      </c>
      <c r="O1770" s="10">
        <f>IFERROR(_xlfn.XLOOKUP(C1770,[1]AttributeName!$C:$C,[1]AttributeName!$B:$B),"")</f>
        <v>10313</v>
      </c>
      <c r="P1770" s="10"/>
      <c r="Q1770">
        <v>0.14</v>
      </c>
      <c r="R1770">
        <v>0.17</v>
      </c>
      <c r="S1770" cm="1">
        <f t="array" ref="S1770">IFERROR(_xlfn.SWITCH(L1770,1,_xlfn.XLOOKUP(O1770,[1]AttributeName!$B:$B,[1]AttributeName!$D:$D),2,_xlfn.XLOOKUP(C1770,#REF!,#REF!),3,_xlfn.XLOOKUP(C1770,#REF!,#REF!)),0)</f>
        <v>2</v>
      </c>
      <c r="T1770" cm="1">
        <f t="array" ref="T1770">IFERROR(_xlfn.SWITCH(L1770,1,_xlfn.XLOOKUP(O1770,[1]AttributeName!$B:$B,[1]AttributeName!$E:$E),2,_xlfn.XLOOKUP(C1770,#REF!,#REF!),3,_xlfn.XLOOKUP(C1770,#REF!,#REF!)),0)</f>
        <v>2</v>
      </c>
    </row>
    <row r="1771" customFormat="1" spans="1:20">
      <c r="A1771">
        <f t="shared" si="75"/>
        <v>753</v>
      </c>
      <c r="B1771">
        <v>6</v>
      </c>
      <c r="C1771" t="s">
        <v>424</v>
      </c>
      <c r="D1771" t="s">
        <v>30</v>
      </c>
      <c r="E1771" t="s">
        <v>392</v>
      </c>
      <c r="F1771"/>
      <c r="G1771">
        <v>2</v>
      </c>
      <c r="H1771">
        <v>1000</v>
      </c>
      <c r="J1771" cm="1">
        <f t="array" ref="J1771">_xlfn.SWITCH(B1771,1,75,2,61,3,49,4,37,5,25,6,13,7,4,8,1)</f>
        <v>13</v>
      </c>
      <c r="K1771" t="str" cm="1">
        <f t="array" ref="K1771">IFERROR(_xlfn.SWITCH(L1771,2,_xlfn.XLOOKUP(C1771,[1]ModifierDes!$B:$B,[1]ModifierDes!$C:$C),3,_xlfn.XLOOKUP(C1771,[1]StuntDes!$B:$B,[1]StuntDes!$C:$C)),"")</f>
        <v/>
      </c>
      <c r="L1771">
        <f t="shared" si="73"/>
        <v>1</v>
      </c>
      <c r="M1771" s="10" t="str">
        <f>IFERROR(_xlfn.XLOOKUP(C1771,[1]StuntDes!$B:$B,[1]StuntDes!$A:$A),"")</f>
        <v/>
      </c>
      <c r="N1771" s="10" t="str">
        <f>IFERROR(_xlfn.XLOOKUP(C1771,[1]ModifierDes!$B:$B,[1]ModifierDes!$A:$A),"")</f>
        <v/>
      </c>
      <c r="O1771" s="10">
        <f>IFERROR(_xlfn.XLOOKUP(C1771,[1]AttributeName!$C:$C,[1]AttributeName!$B:$B),"")</f>
        <v>10313</v>
      </c>
      <c r="P1771" s="10"/>
      <c r="Q1771">
        <v>0.1</v>
      </c>
      <c r="R1771">
        <v>0.13</v>
      </c>
      <c r="S1771" cm="1">
        <f t="array" ref="S1771">IFERROR(_xlfn.SWITCH(L1771,1,_xlfn.XLOOKUP(O1771,[1]AttributeName!$B:$B,[1]AttributeName!$D:$D),2,_xlfn.XLOOKUP(C1771,#REF!,#REF!),3,_xlfn.XLOOKUP(C1771,#REF!,#REF!)),0)</f>
        <v>2</v>
      </c>
      <c r="T1771" cm="1">
        <f t="array" ref="T1771">IFERROR(_xlfn.SWITCH(L1771,1,_xlfn.XLOOKUP(O1771,[1]AttributeName!$B:$B,[1]AttributeName!$E:$E),2,_xlfn.XLOOKUP(C1771,#REF!,#REF!),3,_xlfn.XLOOKUP(C1771,#REF!,#REF!)),0)</f>
        <v>2</v>
      </c>
    </row>
    <row r="1772" customFormat="1" spans="1:20">
      <c r="A1772">
        <f t="shared" si="75"/>
        <v>753</v>
      </c>
      <c r="B1772">
        <v>7</v>
      </c>
      <c r="C1772" t="s">
        <v>424</v>
      </c>
      <c r="D1772" t="s">
        <v>30</v>
      </c>
      <c r="E1772" t="s">
        <v>392</v>
      </c>
      <c r="F1772"/>
      <c r="G1772">
        <v>2</v>
      </c>
      <c r="H1772">
        <v>1000</v>
      </c>
      <c r="J1772" cm="1">
        <f t="array" ref="J1772">_xlfn.SWITCH(B1772,1,75,2,61,3,49,4,37,5,25,6,13,7,4,8,1)</f>
        <v>4</v>
      </c>
      <c r="K1772" t="str" cm="1">
        <f t="array" ref="K1772">IFERROR(_xlfn.SWITCH(L1772,2,_xlfn.XLOOKUP(C1772,[1]ModifierDes!$B:$B,[1]ModifierDes!$C:$C),3,_xlfn.XLOOKUP(C1772,[1]StuntDes!$B:$B,[1]StuntDes!$C:$C)),"")</f>
        <v/>
      </c>
      <c r="L1772">
        <f t="shared" si="73"/>
        <v>1</v>
      </c>
      <c r="M1772" s="10" t="str">
        <f>IFERROR(_xlfn.XLOOKUP(C1772,[1]StuntDes!$B:$B,[1]StuntDes!$A:$A),"")</f>
        <v/>
      </c>
      <c r="N1772" s="10" t="str">
        <f>IFERROR(_xlfn.XLOOKUP(C1772,[1]ModifierDes!$B:$B,[1]ModifierDes!$A:$A),"")</f>
        <v/>
      </c>
      <c r="O1772" s="10">
        <f>IFERROR(_xlfn.XLOOKUP(C1772,[1]AttributeName!$C:$C,[1]AttributeName!$B:$B),"")</f>
        <v>10313</v>
      </c>
      <c r="P1772" s="10"/>
      <c r="Q1772">
        <v>0.06</v>
      </c>
      <c r="R1772">
        <v>0.0900000000000001</v>
      </c>
      <c r="S1772" cm="1">
        <f t="array" ref="S1772">IFERROR(_xlfn.SWITCH(L1772,1,_xlfn.XLOOKUP(O1772,[1]AttributeName!$B:$B,[1]AttributeName!$D:$D),2,_xlfn.XLOOKUP(C1772,#REF!,#REF!),3,_xlfn.XLOOKUP(C1772,#REF!,#REF!)),0)</f>
        <v>2</v>
      </c>
      <c r="T1772" cm="1">
        <f t="array" ref="T1772">IFERROR(_xlfn.SWITCH(L1772,1,_xlfn.XLOOKUP(O1772,[1]AttributeName!$B:$B,[1]AttributeName!$E:$E),2,_xlfn.XLOOKUP(C1772,#REF!,#REF!),3,_xlfn.XLOOKUP(C1772,#REF!,#REF!)),0)</f>
        <v>2</v>
      </c>
    </row>
    <row r="1773" customFormat="1" spans="1:20">
      <c r="A1773">
        <f t="shared" si="75"/>
        <v>753</v>
      </c>
      <c r="B1773">
        <v>8</v>
      </c>
      <c r="C1773" t="s">
        <v>424</v>
      </c>
      <c r="D1773" t="s">
        <v>30</v>
      </c>
      <c r="E1773" t="s">
        <v>392</v>
      </c>
      <c r="F1773"/>
      <c r="G1773">
        <v>2</v>
      </c>
      <c r="H1773">
        <v>1000</v>
      </c>
      <c r="J1773" cm="1">
        <f t="array" ref="J1773">_xlfn.SWITCH(B1773,1,75,2,61,3,49,4,37,5,25,6,13,7,4,8,1)</f>
        <v>1</v>
      </c>
      <c r="K1773" t="str" cm="1">
        <f t="array" ref="K1773">IFERROR(_xlfn.SWITCH(L1773,2,_xlfn.XLOOKUP(C1773,[1]ModifierDes!$B:$B,[1]ModifierDes!$C:$C),3,_xlfn.XLOOKUP(C1773,[1]StuntDes!$B:$B,[1]StuntDes!$C:$C)),"")</f>
        <v/>
      </c>
      <c r="L1773">
        <f t="shared" si="73"/>
        <v>1</v>
      </c>
      <c r="M1773" s="10" t="str">
        <f>IFERROR(_xlfn.XLOOKUP(C1773,[1]StuntDes!$B:$B,[1]StuntDes!$A:$A),"")</f>
        <v/>
      </c>
      <c r="N1773" s="10" t="str">
        <f>IFERROR(_xlfn.XLOOKUP(C1773,[1]ModifierDes!$B:$B,[1]ModifierDes!$A:$A),"")</f>
        <v/>
      </c>
      <c r="O1773" s="10">
        <f>IFERROR(_xlfn.XLOOKUP(C1773,[1]AttributeName!$C:$C,[1]AttributeName!$B:$B),"")</f>
        <v>10313</v>
      </c>
      <c r="P1773" s="10"/>
      <c r="Q1773">
        <v>0.02</v>
      </c>
      <c r="R1773">
        <v>0.0500000000000001</v>
      </c>
      <c r="S1773" cm="1">
        <f t="array" ref="S1773">IFERROR(_xlfn.SWITCH(L1773,1,_xlfn.XLOOKUP(O1773,[1]AttributeName!$B:$B,[1]AttributeName!$D:$D),2,_xlfn.XLOOKUP(C1773,#REF!,#REF!),3,_xlfn.XLOOKUP(C1773,#REF!,#REF!)),0)</f>
        <v>2</v>
      </c>
      <c r="T1773" cm="1">
        <f t="array" ref="T1773">IFERROR(_xlfn.SWITCH(L1773,1,_xlfn.XLOOKUP(O1773,[1]AttributeName!$B:$B,[1]AttributeName!$E:$E),2,_xlfn.XLOOKUP(C1773,#REF!,#REF!),3,_xlfn.XLOOKUP(C1773,#REF!,#REF!)),0)</f>
        <v>2</v>
      </c>
    </row>
    <row r="1774" customFormat="1" spans="1:20">
      <c r="A1774">
        <f t="shared" si="75"/>
        <v>754</v>
      </c>
      <c r="B1774">
        <v>1</v>
      </c>
      <c r="C1774" t="s">
        <v>425</v>
      </c>
      <c r="D1774" t="s">
        <v>30</v>
      </c>
      <c r="E1774" t="s">
        <v>392</v>
      </c>
      <c r="F1774"/>
      <c r="G1774">
        <v>2</v>
      </c>
      <c r="H1774">
        <v>250</v>
      </c>
      <c r="J1774" cm="1">
        <f t="array" ref="J1774">_xlfn.SWITCH(B1774,1,75,2,61,3,49,4,37,5,25,6,13,7,4,8,1)</f>
        <v>75</v>
      </c>
      <c r="K1774" t="str" cm="1">
        <f t="array" ref="K1774">IFERROR(_xlfn.SWITCH(L1774,2,_xlfn.XLOOKUP(C1774,[1]ModifierDes!$B:$B,[1]ModifierDes!$C:$C),3,_xlfn.XLOOKUP(C1774,[1]StuntDes!$B:$B,[1]StuntDes!$C:$C)),"")</f>
        <v/>
      </c>
      <c r="L1774">
        <f t="shared" si="73"/>
        <v>1</v>
      </c>
      <c r="M1774" s="10" t="str">
        <f>IFERROR(_xlfn.XLOOKUP(C1774,[1]StuntDes!$B:$B,[1]StuntDes!$A:$A),"")</f>
        <v/>
      </c>
      <c r="N1774" s="10" t="str">
        <f>IFERROR(_xlfn.XLOOKUP(C1774,[1]ModifierDes!$B:$B,[1]ModifierDes!$A:$A),"")</f>
        <v/>
      </c>
      <c r="O1774" s="10">
        <f>IFERROR(_xlfn.XLOOKUP(C1774,[1]AttributeName!$C:$C,[1]AttributeName!$B:$B),"")</f>
        <v>10314</v>
      </c>
      <c r="P1774" s="10"/>
      <c r="Q1774">
        <v>0.3</v>
      </c>
      <c r="R1774">
        <v>0.4</v>
      </c>
      <c r="S1774" cm="1">
        <f t="array" ref="S1774">IFERROR(_xlfn.SWITCH(L1774,1,_xlfn.XLOOKUP(O1774,[1]AttributeName!$B:$B,[1]AttributeName!$D:$D),2,_xlfn.XLOOKUP(C1774,#REF!,#REF!),3,_xlfn.XLOOKUP(C1774,#REF!,#REF!)),0)</f>
        <v>2</v>
      </c>
      <c r="T1774" cm="1">
        <f t="array" ref="T1774">IFERROR(_xlfn.SWITCH(L1774,1,_xlfn.XLOOKUP(O1774,[1]AttributeName!$B:$B,[1]AttributeName!$E:$E),2,_xlfn.XLOOKUP(C1774,#REF!,#REF!),3,_xlfn.XLOOKUP(C1774,#REF!,#REF!)),0)</f>
        <v>2</v>
      </c>
    </row>
    <row r="1775" customFormat="1" spans="1:20">
      <c r="A1775">
        <f t="shared" si="75"/>
        <v>754</v>
      </c>
      <c r="B1775">
        <v>2</v>
      </c>
      <c r="C1775" t="s">
        <v>425</v>
      </c>
      <c r="D1775" t="s">
        <v>30</v>
      </c>
      <c r="E1775" t="s">
        <v>392</v>
      </c>
      <c r="F1775"/>
      <c r="G1775">
        <v>2</v>
      </c>
      <c r="H1775">
        <v>500</v>
      </c>
      <c r="J1775" cm="1">
        <f t="array" ref="J1775">_xlfn.SWITCH(B1775,1,75,2,61,3,49,4,37,5,25,6,13,7,4,8,1)</f>
        <v>61</v>
      </c>
      <c r="K1775" t="str" cm="1">
        <f t="array" ref="K1775">IFERROR(_xlfn.SWITCH(L1775,2,_xlfn.XLOOKUP(C1775,[1]ModifierDes!$B:$B,[1]ModifierDes!$C:$C),3,_xlfn.XLOOKUP(C1775,[1]StuntDes!$B:$B,[1]StuntDes!$C:$C)),"")</f>
        <v/>
      </c>
      <c r="L1775">
        <f t="shared" si="73"/>
        <v>1</v>
      </c>
      <c r="M1775" s="10" t="str">
        <f>IFERROR(_xlfn.XLOOKUP(C1775,[1]StuntDes!$B:$B,[1]StuntDes!$A:$A),"")</f>
        <v/>
      </c>
      <c r="N1775" s="10" t="str">
        <f>IFERROR(_xlfn.XLOOKUP(C1775,[1]ModifierDes!$B:$B,[1]ModifierDes!$A:$A),"")</f>
        <v/>
      </c>
      <c r="O1775" s="10">
        <f>IFERROR(_xlfn.XLOOKUP(C1775,[1]AttributeName!$C:$C,[1]AttributeName!$B:$B),"")</f>
        <v>10314</v>
      </c>
      <c r="P1775" s="10"/>
      <c r="Q1775">
        <v>0.26</v>
      </c>
      <c r="R1775">
        <v>0.29</v>
      </c>
      <c r="S1775" cm="1">
        <f t="array" ref="S1775">IFERROR(_xlfn.SWITCH(L1775,1,_xlfn.XLOOKUP(O1775,[1]AttributeName!$B:$B,[1]AttributeName!$D:$D),2,_xlfn.XLOOKUP(C1775,#REF!,#REF!),3,_xlfn.XLOOKUP(C1775,#REF!,#REF!)),0)</f>
        <v>2</v>
      </c>
      <c r="T1775" cm="1">
        <f t="array" ref="T1775">IFERROR(_xlfn.SWITCH(L1775,1,_xlfn.XLOOKUP(O1775,[1]AttributeName!$B:$B,[1]AttributeName!$E:$E),2,_xlfn.XLOOKUP(C1775,#REF!,#REF!),3,_xlfn.XLOOKUP(C1775,#REF!,#REF!)),0)</f>
        <v>2</v>
      </c>
    </row>
    <row r="1776" customFormat="1" spans="1:20">
      <c r="A1776">
        <f t="shared" si="75"/>
        <v>754</v>
      </c>
      <c r="B1776">
        <v>3</v>
      </c>
      <c r="C1776" t="s">
        <v>425</v>
      </c>
      <c r="D1776" t="s">
        <v>30</v>
      </c>
      <c r="E1776" t="s">
        <v>392</v>
      </c>
      <c r="F1776"/>
      <c r="G1776">
        <v>2</v>
      </c>
      <c r="H1776">
        <v>750</v>
      </c>
      <c r="J1776" cm="1">
        <f t="array" ref="J1776">_xlfn.SWITCH(B1776,1,75,2,61,3,49,4,37,5,25,6,13,7,4,8,1)</f>
        <v>49</v>
      </c>
      <c r="K1776" t="str" cm="1">
        <f t="array" ref="K1776">IFERROR(_xlfn.SWITCH(L1776,2,_xlfn.XLOOKUP(C1776,[1]ModifierDes!$B:$B,[1]ModifierDes!$C:$C),3,_xlfn.XLOOKUP(C1776,[1]StuntDes!$B:$B,[1]StuntDes!$C:$C)),"")</f>
        <v/>
      </c>
      <c r="L1776">
        <f t="shared" si="73"/>
        <v>1</v>
      </c>
      <c r="M1776" s="10" t="str">
        <f>IFERROR(_xlfn.XLOOKUP(C1776,[1]StuntDes!$B:$B,[1]StuntDes!$A:$A),"")</f>
        <v/>
      </c>
      <c r="N1776" s="10" t="str">
        <f>IFERROR(_xlfn.XLOOKUP(C1776,[1]ModifierDes!$B:$B,[1]ModifierDes!$A:$A),"")</f>
        <v/>
      </c>
      <c r="O1776" s="10">
        <f>IFERROR(_xlfn.XLOOKUP(C1776,[1]AttributeName!$C:$C,[1]AttributeName!$B:$B),"")</f>
        <v>10314</v>
      </c>
      <c r="P1776" s="10"/>
      <c r="Q1776">
        <v>0.22</v>
      </c>
      <c r="R1776">
        <v>0.25</v>
      </c>
      <c r="S1776" cm="1">
        <f t="array" ref="S1776">IFERROR(_xlfn.SWITCH(L1776,1,_xlfn.XLOOKUP(O1776,[1]AttributeName!$B:$B,[1]AttributeName!$D:$D),2,_xlfn.XLOOKUP(C1776,#REF!,#REF!),3,_xlfn.XLOOKUP(C1776,#REF!,#REF!)),0)</f>
        <v>2</v>
      </c>
      <c r="T1776" cm="1">
        <f t="array" ref="T1776">IFERROR(_xlfn.SWITCH(L1776,1,_xlfn.XLOOKUP(O1776,[1]AttributeName!$B:$B,[1]AttributeName!$E:$E),2,_xlfn.XLOOKUP(C1776,#REF!,#REF!),3,_xlfn.XLOOKUP(C1776,#REF!,#REF!)),0)</f>
        <v>2</v>
      </c>
    </row>
    <row r="1777" customFormat="1" spans="1:20">
      <c r="A1777">
        <f t="shared" si="75"/>
        <v>754</v>
      </c>
      <c r="B1777">
        <v>4</v>
      </c>
      <c r="C1777" t="s">
        <v>425</v>
      </c>
      <c r="D1777" t="s">
        <v>30</v>
      </c>
      <c r="E1777" t="s">
        <v>392</v>
      </c>
      <c r="F1777"/>
      <c r="G1777">
        <v>2</v>
      </c>
      <c r="H1777">
        <v>1000</v>
      </c>
      <c r="J1777" cm="1">
        <f t="array" ref="J1777">_xlfn.SWITCH(B1777,1,75,2,61,3,49,4,37,5,25,6,13,7,4,8,1)</f>
        <v>37</v>
      </c>
      <c r="K1777" t="str" cm="1">
        <f t="array" ref="K1777">IFERROR(_xlfn.SWITCH(L1777,2,_xlfn.XLOOKUP(C1777,[1]ModifierDes!$B:$B,[1]ModifierDes!$C:$C),3,_xlfn.XLOOKUP(C1777,[1]StuntDes!$B:$B,[1]StuntDes!$C:$C)),"")</f>
        <v/>
      </c>
      <c r="L1777">
        <f t="shared" si="73"/>
        <v>1</v>
      </c>
      <c r="M1777" s="10" t="str">
        <f>IFERROR(_xlfn.XLOOKUP(C1777,[1]StuntDes!$B:$B,[1]StuntDes!$A:$A),"")</f>
        <v/>
      </c>
      <c r="N1777" s="10" t="str">
        <f>IFERROR(_xlfn.XLOOKUP(C1777,[1]ModifierDes!$B:$B,[1]ModifierDes!$A:$A),"")</f>
        <v/>
      </c>
      <c r="O1777" s="10">
        <f>IFERROR(_xlfn.XLOOKUP(C1777,[1]AttributeName!$C:$C,[1]AttributeName!$B:$B),"")</f>
        <v>10314</v>
      </c>
      <c r="P1777" s="10"/>
      <c r="Q1777">
        <v>0.18</v>
      </c>
      <c r="R1777">
        <v>0.21</v>
      </c>
      <c r="S1777" cm="1">
        <f t="array" ref="S1777">IFERROR(_xlfn.SWITCH(L1777,1,_xlfn.XLOOKUP(O1777,[1]AttributeName!$B:$B,[1]AttributeName!$D:$D),2,_xlfn.XLOOKUP(C1777,#REF!,#REF!),3,_xlfn.XLOOKUP(C1777,#REF!,#REF!)),0)</f>
        <v>2</v>
      </c>
      <c r="T1777" cm="1">
        <f t="array" ref="T1777">IFERROR(_xlfn.SWITCH(L1777,1,_xlfn.XLOOKUP(O1777,[1]AttributeName!$B:$B,[1]AttributeName!$E:$E),2,_xlfn.XLOOKUP(C1777,#REF!,#REF!),3,_xlfn.XLOOKUP(C1777,#REF!,#REF!)),0)</f>
        <v>2</v>
      </c>
    </row>
    <row r="1778" customFormat="1" spans="1:20">
      <c r="A1778">
        <f t="shared" si="75"/>
        <v>754</v>
      </c>
      <c r="B1778">
        <v>5</v>
      </c>
      <c r="C1778" t="s">
        <v>425</v>
      </c>
      <c r="D1778" t="s">
        <v>30</v>
      </c>
      <c r="E1778" t="s">
        <v>392</v>
      </c>
      <c r="F1778"/>
      <c r="G1778">
        <v>2</v>
      </c>
      <c r="H1778">
        <v>1000</v>
      </c>
      <c r="J1778" cm="1">
        <f t="array" ref="J1778">_xlfn.SWITCH(B1778,1,75,2,61,3,49,4,37,5,25,6,13,7,4,8,1)</f>
        <v>25</v>
      </c>
      <c r="K1778" t="str" cm="1">
        <f t="array" ref="K1778">IFERROR(_xlfn.SWITCH(L1778,2,_xlfn.XLOOKUP(C1778,[1]ModifierDes!$B:$B,[1]ModifierDes!$C:$C),3,_xlfn.XLOOKUP(C1778,[1]StuntDes!$B:$B,[1]StuntDes!$C:$C)),"")</f>
        <v/>
      </c>
      <c r="L1778">
        <f t="shared" si="73"/>
        <v>1</v>
      </c>
      <c r="M1778" s="10" t="str">
        <f>IFERROR(_xlfn.XLOOKUP(C1778,[1]StuntDes!$B:$B,[1]StuntDes!$A:$A),"")</f>
        <v/>
      </c>
      <c r="N1778" s="10" t="str">
        <f>IFERROR(_xlfn.XLOOKUP(C1778,[1]ModifierDes!$B:$B,[1]ModifierDes!$A:$A),"")</f>
        <v/>
      </c>
      <c r="O1778" s="10">
        <f>IFERROR(_xlfn.XLOOKUP(C1778,[1]AttributeName!$C:$C,[1]AttributeName!$B:$B),"")</f>
        <v>10314</v>
      </c>
      <c r="P1778" s="10"/>
      <c r="Q1778">
        <v>0.14</v>
      </c>
      <c r="R1778">
        <v>0.17</v>
      </c>
      <c r="S1778" cm="1">
        <f t="array" ref="S1778">IFERROR(_xlfn.SWITCH(L1778,1,_xlfn.XLOOKUP(O1778,[1]AttributeName!$B:$B,[1]AttributeName!$D:$D),2,_xlfn.XLOOKUP(C1778,#REF!,#REF!),3,_xlfn.XLOOKUP(C1778,#REF!,#REF!)),0)</f>
        <v>2</v>
      </c>
      <c r="T1778" cm="1">
        <f t="array" ref="T1778">IFERROR(_xlfn.SWITCH(L1778,1,_xlfn.XLOOKUP(O1778,[1]AttributeName!$B:$B,[1]AttributeName!$E:$E),2,_xlfn.XLOOKUP(C1778,#REF!,#REF!),3,_xlfn.XLOOKUP(C1778,#REF!,#REF!)),0)</f>
        <v>2</v>
      </c>
    </row>
    <row r="1779" customFormat="1" spans="1:20">
      <c r="A1779">
        <f t="shared" si="75"/>
        <v>754</v>
      </c>
      <c r="B1779">
        <v>6</v>
      </c>
      <c r="C1779" t="s">
        <v>425</v>
      </c>
      <c r="D1779" t="s">
        <v>30</v>
      </c>
      <c r="E1779" t="s">
        <v>392</v>
      </c>
      <c r="F1779"/>
      <c r="G1779">
        <v>2</v>
      </c>
      <c r="H1779">
        <v>1000</v>
      </c>
      <c r="J1779" cm="1">
        <f t="array" ref="J1779">_xlfn.SWITCH(B1779,1,75,2,61,3,49,4,37,5,25,6,13,7,4,8,1)</f>
        <v>13</v>
      </c>
      <c r="K1779" t="str" cm="1">
        <f t="array" ref="K1779">IFERROR(_xlfn.SWITCH(L1779,2,_xlfn.XLOOKUP(C1779,[1]ModifierDes!$B:$B,[1]ModifierDes!$C:$C),3,_xlfn.XLOOKUP(C1779,[1]StuntDes!$B:$B,[1]StuntDes!$C:$C)),"")</f>
        <v/>
      </c>
      <c r="L1779">
        <f t="shared" si="73"/>
        <v>1</v>
      </c>
      <c r="M1779" s="10" t="str">
        <f>IFERROR(_xlfn.XLOOKUP(C1779,[1]StuntDes!$B:$B,[1]StuntDes!$A:$A),"")</f>
        <v/>
      </c>
      <c r="N1779" s="10" t="str">
        <f>IFERROR(_xlfn.XLOOKUP(C1779,[1]ModifierDes!$B:$B,[1]ModifierDes!$A:$A),"")</f>
        <v/>
      </c>
      <c r="O1779" s="10">
        <f>IFERROR(_xlfn.XLOOKUP(C1779,[1]AttributeName!$C:$C,[1]AttributeName!$B:$B),"")</f>
        <v>10314</v>
      </c>
      <c r="P1779" s="10"/>
      <c r="Q1779">
        <v>0.1</v>
      </c>
      <c r="R1779">
        <v>0.13</v>
      </c>
      <c r="S1779" cm="1">
        <f t="array" ref="S1779">IFERROR(_xlfn.SWITCH(L1779,1,_xlfn.XLOOKUP(O1779,[1]AttributeName!$B:$B,[1]AttributeName!$D:$D),2,_xlfn.XLOOKUP(C1779,#REF!,#REF!),3,_xlfn.XLOOKUP(C1779,#REF!,#REF!)),0)</f>
        <v>2</v>
      </c>
      <c r="T1779" cm="1">
        <f t="array" ref="T1779">IFERROR(_xlfn.SWITCH(L1779,1,_xlfn.XLOOKUP(O1779,[1]AttributeName!$B:$B,[1]AttributeName!$E:$E),2,_xlfn.XLOOKUP(C1779,#REF!,#REF!),3,_xlfn.XLOOKUP(C1779,#REF!,#REF!)),0)</f>
        <v>2</v>
      </c>
    </row>
    <row r="1780" customFormat="1" spans="1:20">
      <c r="A1780">
        <f t="shared" si="75"/>
        <v>754</v>
      </c>
      <c r="B1780">
        <v>7</v>
      </c>
      <c r="C1780" t="s">
        <v>425</v>
      </c>
      <c r="D1780" t="s">
        <v>30</v>
      </c>
      <c r="E1780" t="s">
        <v>392</v>
      </c>
      <c r="F1780"/>
      <c r="G1780">
        <v>2</v>
      </c>
      <c r="H1780">
        <v>1000</v>
      </c>
      <c r="J1780" cm="1">
        <f t="array" ref="J1780">_xlfn.SWITCH(B1780,1,75,2,61,3,49,4,37,5,25,6,13,7,4,8,1)</f>
        <v>4</v>
      </c>
      <c r="K1780" t="str" cm="1">
        <f t="array" ref="K1780">IFERROR(_xlfn.SWITCH(L1780,2,_xlfn.XLOOKUP(C1780,[1]ModifierDes!$B:$B,[1]ModifierDes!$C:$C),3,_xlfn.XLOOKUP(C1780,[1]StuntDes!$B:$B,[1]StuntDes!$C:$C)),"")</f>
        <v/>
      </c>
      <c r="L1780">
        <f t="shared" si="73"/>
        <v>1</v>
      </c>
      <c r="M1780" s="10" t="str">
        <f>IFERROR(_xlfn.XLOOKUP(C1780,[1]StuntDes!$B:$B,[1]StuntDes!$A:$A),"")</f>
        <v/>
      </c>
      <c r="N1780" s="10" t="str">
        <f>IFERROR(_xlfn.XLOOKUP(C1780,[1]ModifierDes!$B:$B,[1]ModifierDes!$A:$A),"")</f>
        <v/>
      </c>
      <c r="O1780" s="10">
        <f>IFERROR(_xlfn.XLOOKUP(C1780,[1]AttributeName!$C:$C,[1]AttributeName!$B:$B),"")</f>
        <v>10314</v>
      </c>
      <c r="P1780" s="10"/>
      <c r="Q1780">
        <v>0.06</v>
      </c>
      <c r="R1780">
        <v>0.0900000000000001</v>
      </c>
      <c r="S1780" cm="1">
        <f t="array" ref="S1780">IFERROR(_xlfn.SWITCH(L1780,1,_xlfn.XLOOKUP(O1780,[1]AttributeName!$B:$B,[1]AttributeName!$D:$D),2,_xlfn.XLOOKUP(C1780,#REF!,#REF!),3,_xlfn.XLOOKUP(C1780,#REF!,#REF!)),0)</f>
        <v>2</v>
      </c>
      <c r="T1780" cm="1">
        <f t="array" ref="T1780">IFERROR(_xlfn.SWITCH(L1780,1,_xlfn.XLOOKUP(O1780,[1]AttributeName!$B:$B,[1]AttributeName!$E:$E),2,_xlfn.XLOOKUP(C1780,#REF!,#REF!),3,_xlfn.XLOOKUP(C1780,#REF!,#REF!)),0)</f>
        <v>2</v>
      </c>
    </row>
    <row r="1781" customFormat="1" spans="1:20">
      <c r="A1781">
        <f t="shared" si="75"/>
        <v>754</v>
      </c>
      <c r="B1781">
        <v>8</v>
      </c>
      <c r="C1781" t="s">
        <v>425</v>
      </c>
      <c r="D1781" t="s">
        <v>30</v>
      </c>
      <c r="E1781" t="s">
        <v>392</v>
      </c>
      <c r="F1781"/>
      <c r="G1781">
        <v>2</v>
      </c>
      <c r="H1781">
        <v>1000</v>
      </c>
      <c r="J1781" cm="1">
        <f t="array" ref="J1781">_xlfn.SWITCH(B1781,1,75,2,61,3,49,4,37,5,25,6,13,7,4,8,1)</f>
        <v>1</v>
      </c>
      <c r="K1781" t="str" cm="1">
        <f t="array" ref="K1781">IFERROR(_xlfn.SWITCH(L1781,2,_xlfn.XLOOKUP(C1781,[1]ModifierDes!$B:$B,[1]ModifierDes!$C:$C),3,_xlfn.XLOOKUP(C1781,[1]StuntDes!$B:$B,[1]StuntDes!$C:$C)),"")</f>
        <v/>
      </c>
      <c r="L1781">
        <f t="shared" si="73"/>
        <v>1</v>
      </c>
      <c r="M1781" s="10" t="str">
        <f>IFERROR(_xlfn.XLOOKUP(C1781,[1]StuntDes!$B:$B,[1]StuntDes!$A:$A),"")</f>
        <v/>
      </c>
      <c r="N1781" s="10" t="str">
        <f>IFERROR(_xlfn.XLOOKUP(C1781,[1]ModifierDes!$B:$B,[1]ModifierDes!$A:$A),"")</f>
        <v/>
      </c>
      <c r="O1781" s="10">
        <f>IFERROR(_xlfn.XLOOKUP(C1781,[1]AttributeName!$C:$C,[1]AttributeName!$B:$B),"")</f>
        <v>10314</v>
      </c>
      <c r="P1781" s="10"/>
      <c r="Q1781">
        <v>0.02</v>
      </c>
      <c r="R1781">
        <v>0.0500000000000001</v>
      </c>
      <c r="S1781" cm="1">
        <f t="array" ref="S1781">IFERROR(_xlfn.SWITCH(L1781,1,_xlfn.XLOOKUP(O1781,[1]AttributeName!$B:$B,[1]AttributeName!$D:$D),2,_xlfn.XLOOKUP(C1781,#REF!,#REF!),3,_xlfn.XLOOKUP(C1781,#REF!,#REF!)),0)</f>
        <v>2</v>
      </c>
      <c r="T1781" cm="1">
        <f t="array" ref="T1781">IFERROR(_xlfn.SWITCH(L1781,1,_xlfn.XLOOKUP(O1781,[1]AttributeName!$B:$B,[1]AttributeName!$E:$E),2,_xlfn.XLOOKUP(C1781,#REF!,#REF!),3,_xlfn.XLOOKUP(C1781,#REF!,#REF!)),0)</f>
        <v>2</v>
      </c>
    </row>
    <row r="1782" customFormat="1" spans="1:20">
      <c r="A1782">
        <f t="shared" si="75"/>
        <v>755</v>
      </c>
      <c r="B1782">
        <v>1</v>
      </c>
      <c r="C1782" t="s">
        <v>82</v>
      </c>
      <c r="D1782" t="s">
        <v>30</v>
      </c>
      <c r="E1782" t="s">
        <v>392</v>
      </c>
      <c r="F1782"/>
      <c r="G1782">
        <v>2</v>
      </c>
      <c r="H1782">
        <v>50</v>
      </c>
      <c r="J1782" cm="1">
        <f t="array" ref="J1782">_xlfn.SWITCH(B1782,1,75,2,61,3,49,4,37,5,25,6,13,7,4,8,1)</f>
        <v>75</v>
      </c>
      <c r="K1782" t="str" cm="1">
        <f t="array" ref="K1782">IFERROR(_xlfn.SWITCH(L1782,2,_xlfn.XLOOKUP(C1782,[1]ModifierDes!$B:$B,[1]ModifierDes!$C:$C),3,_xlfn.XLOOKUP(C1782,[1]StuntDes!$B:$B,[1]StuntDes!$C:$C)),"")</f>
        <v/>
      </c>
      <c r="L1782">
        <f t="shared" si="73"/>
        <v>1</v>
      </c>
      <c r="M1782" s="10" t="str">
        <f>IFERROR(_xlfn.XLOOKUP(C1782,[1]StuntDes!$B:$B,[1]StuntDes!$A:$A),"")</f>
        <v/>
      </c>
      <c r="N1782" s="10" t="str">
        <f>IFERROR(_xlfn.XLOOKUP(C1782,[1]ModifierDes!$B:$B,[1]ModifierDes!$A:$A),"")</f>
        <v/>
      </c>
      <c r="O1782" s="10">
        <f>IFERROR(_xlfn.XLOOKUP(C1782,[1]AttributeName!$C:$C,[1]AttributeName!$B:$B),"")</f>
        <v>10315</v>
      </c>
      <c r="P1782" s="10"/>
      <c r="Q1782">
        <v>0.2</v>
      </c>
      <c r="R1782">
        <v>0.25</v>
      </c>
      <c r="S1782" cm="1">
        <f t="array" ref="S1782">IFERROR(_xlfn.SWITCH(L1782,1,_xlfn.XLOOKUP(O1782,[1]AttributeName!$B:$B,[1]AttributeName!$D:$D),2,_xlfn.XLOOKUP(C1782,#REF!,#REF!),3,_xlfn.XLOOKUP(C1782,#REF!,#REF!)),0)</f>
        <v>2</v>
      </c>
      <c r="T1782" cm="1">
        <f t="array" ref="T1782">IFERROR(_xlfn.SWITCH(L1782,1,_xlfn.XLOOKUP(O1782,[1]AttributeName!$B:$B,[1]AttributeName!$E:$E),2,_xlfn.XLOOKUP(C1782,#REF!,#REF!),3,_xlfn.XLOOKUP(C1782,#REF!,#REF!)),0)</f>
        <v>2</v>
      </c>
    </row>
    <row r="1783" customFormat="1" spans="1:20">
      <c r="A1783">
        <f t="shared" si="75"/>
        <v>755</v>
      </c>
      <c r="B1783">
        <v>2</v>
      </c>
      <c r="C1783" t="s">
        <v>82</v>
      </c>
      <c r="D1783" t="s">
        <v>30</v>
      </c>
      <c r="E1783" t="s">
        <v>392</v>
      </c>
      <c r="F1783"/>
      <c r="G1783">
        <v>2</v>
      </c>
      <c r="H1783">
        <v>100</v>
      </c>
      <c r="J1783" cm="1">
        <f t="array" ref="J1783">_xlfn.SWITCH(B1783,1,75,2,61,3,49,4,37,5,25,6,13,7,4,8,1)</f>
        <v>61</v>
      </c>
      <c r="K1783" t="str" cm="1">
        <f t="array" ref="K1783">IFERROR(_xlfn.SWITCH(L1783,2,_xlfn.XLOOKUP(C1783,[1]ModifierDes!$B:$B,[1]ModifierDes!$C:$C),3,_xlfn.XLOOKUP(C1783,[1]StuntDes!$B:$B,[1]StuntDes!$C:$C)),"")</f>
        <v/>
      </c>
      <c r="L1783">
        <f t="shared" si="73"/>
        <v>1</v>
      </c>
      <c r="M1783" s="10" t="str">
        <f>IFERROR(_xlfn.XLOOKUP(C1783,[1]StuntDes!$B:$B,[1]StuntDes!$A:$A),"")</f>
        <v/>
      </c>
      <c r="N1783" s="10" t="str">
        <f>IFERROR(_xlfn.XLOOKUP(C1783,[1]ModifierDes!$B:$B,[1]ModifierDes!$A:$A),"")</f>
        <v/>
      </c>
      <c r="O1783" s="10">
        <f>IFERROR(_xlfn.XLOOKUP(C1783,[1]AttributeName!$C:$C,[1]AttributeName!$B:$B),"")</f>
        <v>10315</v>
      </c>
      <c r="P1783" s="10"/>
      <c r="Q1783">
        <v>0.17</v>
      </c>
      <c r="R1783">
        <v>0.19</v>
      </c>
      <c r="S1783" cm="1">
        <f t="array" ref="S1783">IFERROR(_xlfn.SWITCH(L1783,1,_xlfn.XLOOKUP(O1783,[1]AttributeName!$B:$B,[1]AttributeName!$D:$D),2,_xlfn.XLOOKUP(C1783,#REF!,#REF!),3,_xlfn.XLOOKUP(C1783,#REF!,#REF!)),0)</f>
        <v>2</v>
      </c>
      <c r="T1783" cm="1">
        <f t="array" ref="T1783">IFERROR(_xlfn.SWITCH(L1783,1,_xlfn.XLOOKUP(O1783,[1]AttributeName!$B:$B,[1]AttributeName!$E:$E),2,_xlfn.XLOOKUP(C1783,#REF!,#REF!),3,_xlfn.XLOOKUP(C1783,#REF!,#REF!)),0)</f>
        <v>2</v>
      </c>
    </row>
    <row r="1784" customFormat="1" spans="1:20">
      <c r="A1784">
        <f t="shared" si="75"/>
        <v>755</v>
      </c>
      <c r="B1784">
        <v>3</v>
      </c>
      <c r="C1784" t="s">
        <v>82</v>
      </c>
      <c r="D1784" t="s">
        <v>30</v>
      </c>
      <c r="E1784" t="s">
        <v>392</v>
      </c>
      <c r="F1784"/>
      <c r="G1784">
        <v>2</v>
      </c>
      <c r="H1784">
        <v>250</v>
      </c>
      <c r="J1784" cm="1">
        <f t="array" ref="J1784">_xlfn.SWITCH(B1784,1,75,2,61,3,49,4,37,5,25,6,13,7,4,8,1)</f>
        <v>49</v>
      </c>
      <c r="K1784" t="str" cm="1">
        <f t="array" ref="K1784">IFERROR(_xlfn.SWITCH(L1784,2,_xlfn.XLOOKUP(C1784,[1]ModifierDes!$B:$B,[1]ModifierDes!$C:$C),3,_xlfn.XLOOKUP(C1784,[1]StuntDes!$B:$B,[1]StuntDes!$C:$C)),"")</f>
        <v/>
      </c>
      <c r="L1784">
        <f t="shared" si="73"/>
        <v>1</v>
      </c>
      <c r="M1784" s="10" t="str">
        <f>IFERROR(_xlfn.XLOOKUP(C1784,[1]StuntDes!$B:$B,[1]StuntDes!$A:$A),"")</f>
        <v/>
      </c>
      <c r="N1784" s="10" t="str">
        <f>IFERROR(_xlfn.XLOOKUP(C1784,[1]ModifierDes!$B:$B,[1]ModifierDes!$A:$A),"")</f>
        <v/>
      </c>
      <c r="O1784" s="10">
        <f>IFERROR(_xlfn.XLOOKUP(C1784,[1]AttributeName!$C:$C,[1]AttributeName!$B:$B),"")</f>
        <v>10315</v>
      </c>
      <c r="P1784" s="10"/>
      <c r="Q1784">
        <v>0.14</v>
      </c>
      <c r="R1784">
        <v>0.16</v>
      </c>
      <c r="S1784" cm="1">
        <f t="array" ref="S1784">IFERROR(_xlfn.SWITCH(L1784,1,_xlfn.XLOOKUP(O1784,[1]AttributeName!$B:$B,[1]AttributeName!$D:$D),2,_xlfn.XLOOKUP(C1784,#REF!,#REF!),3,_xlfn.XLOOKUP(C1784,#REF!,#REF!)),0)</f>
        <v>2</v>
      </c>
      <c r="T1784" cm="1">
        <f t="array" ref="T1784">IFERROR(_xlfn.SWITCH(L1784,1,_xlfn.XLOOKUP(O1784,[1]AttributeName!$B:$B,[1]AttributeName!$E:$E),2,_xlfn.XLOOKUP(C1784,#REF!,#REF!),3,_xlfn.XLOOKUP(C1784,#REF!,#REF!)),0)</f>
        <v>2</v>
      </c>
    </row>
    <row r="1785" customFormat="1" spans="1:20">
      <c r="A1785">
        <f t="shared" si="75"/>
        <v>755</v>
      </c>
      <c r="B1785">
        <v>4</v>
      </c>
      <c r="C1785" t="s">
        <v>82</v>
      </c>
      <c r="D1785" t="s">
        <v>30</v>
      </c>
      <c r="E1785" t="s">
        <v>392</v>
      </c>
      <c r="F1785"/>
      <c r="G1785">
        <v>2</v>
      </c>
      <c r="H1785">
        <v>500</v>
      </c>
      <c r="J1785" cm="1">
        <f t="array" ref="J1785">_xlfn.SWITCH(B1785,1,75,2,61,3,49,4,37,5,25,6,13,7,4,8,1)</f>
        <v>37</v>
      </c>
      <c r="K1785" t="str" cm="1">
        <f t="array" ref="K1785">IFERROR(_xlfn.SWITCH(L1785,2,_xlfn.XLOOKUP(C1785,[1]ModifierDes!$B:$B,[1]ModifierDes!$C:$C),3,_xlfn.XLOOKUP(C1785,[1]StuntDes!$B:$B,[1]StuntDes!$C:$C)),"")</f>
        <v/>
      </c>
      <c r="L1785">
        <f t="shared" si="73"/>
        <v>1</v>
      </c>
      <c r="M1785" s="10" t="str">
        <f>IFERROR(_xlfn.XLOOKUP(C1785,[1]StuntDes!$B:$B,[1]StuntDes!$A:$A),"")</f>
        <v/>
      </c>
      <c r="N1785" s="10" t="str">
        <f>IFERROR(_xlfn.XLOOKUP(C1785,[1]ModifierDes!$B:$B,[1]ModifierDes!$A:$A),"")</f>
        <v/>
      </c>
      <c r="O1785" s="10">
        <f>IFERROR(_xlfn.XLOOKUP(C1785,[1]AttributeName!$C:$C,[1]AttributeName!$B:$B),"")</f>
        <v>10315</v>
      </c>
      <c r="P1785" s="10"/>
      <c r="Q1785">
        <v>0.11</v>
      </c>
      <c r="R1785">
        <v>0.13</v>
      </c>
      <c r="S1785" cm="1">
        <f t="array" ref="S1785">IFERROR(_xlfn.SWITCH(L1785,1,_xlfn.XLOOKUP(O1785,[1]AttributeName!$B:$B,[1]AttributeName!$D:$D),2,_xlfn.XLOOKUP(C1785,#REF!,#REF!),3,_xlfn.XLOOKUP(C1785,#REF!,#REF!)),0)</f>
        <v>2</v>
      </c>
      <c r="T1785" cm="1">
        <f t="array" ref="T1785">IFERROR(_xlfn.SWITCH(L1785,1,_xlfn.XLOOKUP(O1785,[1]AttributeName!$B:$B,[1]AttributeName!$E:$E),2,_xlfn.XLOOKUP(C1785,#REF!,#REF!),3,_xlfn.XLOOKUP(C1785,#REF!,#REF!)),0)</f>
        <v>2</v>
      </c>
    </row>
    <row r="1786" customFormat="1" spans="1:20">
      <c r="A1786">
        <f t="shared" si="75"/>
        <v>755</v>
      </c>
      <c r="B1786">
        <v>5</v>
      </c>
      <c r="C1786" t="s">
        <v>82</v>
      </c>
      <c r="D1786" t="s">
        <v>30</v>
      </c>
      <c r="E1786" t="s">
        <v>392</v>
      </c>
      <c r="F1786"/>
      <c r="G1786">
        <v>2</v>
      </c>
      <c r="H1786">
        <v>500</v>
      </c>
      <c r="J1786" cm="1">
        <f t="array" ref="J1786">_xlfn.SWITCH(B1786,1,75,2,61,3,49,4,37,5,25,6,13,7,4,8,1)</f>
        <v>25</v>
      </c>
      <c r="K1786" t="str" cm="1">
        <f t="array" ref="K1786">IFERROR(_xlfn.SWITCH(L1786,2,_xlfn.XLOOKUP(C1786,[1]ModifierDes!$B:$B,[1]ModifierDes!$C:$C),3,_xlfn.XLOOKUP(C1786,[1]StuntDes!$B:$B,[1]StuntDes!$C:$C)),"")</f>
        <v/>
      </c>
      <c r="L1786">
        <f t="shared" si="73"/>
        <v>1</v>
      </c>
      <c r="M1786" s="10" t="str">
        <f>IFERROR(_xlfn.XLOOKUP(C1786,[1]StuntDes!$B:$B,[1]StuntDes!$A:$A),"")</f>
        <v/>
      </c>
      <c r="N1786" s="10" t="str">
        <f>IFERROR(_xlfn.XLOOKUP(C1786,[1]ModifierDes!$B:$B,[1]ModifierDes!$A:$A),"")</f>
        <v/>
      </c>
      <c r="O1786" s="10">
        <f>IFERROR(_xlfn.XLOOKUP(C1786,[1]AttributeName!$C:$C,[1]AttributeName!$B:$B),"")</f>
        <v>10315</v>
      </c>
      <c r="P1786" s="10"/>
      <c r="Q1786">
        <v>0.08</v>
      </c>
      <c r="R1786">
        <v>0.1</v>
      </c>
      <c r="S1786" cm="1">
        <f t="array" ref="S1786">IFERROR(_xlfn.SWITCH(L1786,1,_xlfn.XLOOKUP(O1786,[1]AttributeName!$B:$B,[1]AttributeName!$D:$D),2,_xlfn.XLOOKUP(C1786,#REF!,#REF!),3,_xlfn.XLOOKUP(C1786,#REF!,#REF!)),0)</f>
        <v>2</v>
      </c>
      <c r="T1786" cm="1">
        <f t="array" ref="T1786">IFERROR(_xlfn.SWITCH(L1786,1,_xlfn.XLOOKUP(O1786,[1]AttributeName!$B:$B,[1]AttributeName!$E:$E),2,_xlfn.XLOOKUP(C1786,#REF!,#REF!),3,_xlfn.XLOOKUP(C1786,#REF!,#REF!)),0)</f>
        <v>2</v>
      </c>
    </row>
    <row r="1787" customFormat="1" spans="1:20">
      <c r="A1787">
        <f t="shared" si="75"/>
        <v>755</v>
      </c>
      <c r="B1787">
        <v>6</v>
      </c>
      <c r="C1787" t="s">
        <v>82</v>
      </c>
      <c r="D1787" t="s">
        <v>30</v>
      </c>
      <c r="E1787" t="s">
        <v>392</v>
      </c>
      <c r="F1787"/>
      <c r="G1787">
        <v>2</v>
      </c>
      <c r="H1787">
        <v>500</v>
      </c>
      <c r="J1787" cm="1">
        <f t="array" ref="J1787">_xlfn.SWITCH(B1787,1,75,2,61,3,49,4,37,5,25,6,13,7,4,8,1)</f>
        <v>13</v>
      </c>
      <c r="K1787" t="str" cm="1">
        <f t="array" ref="K1787">IFERROR(_xlfn.SWITCH(L1787,2,_xlfn.XLOOKUP(C1787,[1]ModifierDes!$B:$B,[1]ModifierDes!$C:$C),3,_xlfn.XLOOKUP(C1787,[1]StuntDes!$B:$B,[1]StuntDes!$C:$C)),"")</f>
        <v/>
      </c>
      <c r="L1787">
        <f t="shared" si="73"/>
        <v>1</v>
      </c>
      <c r="M1787" s="10" t="str">
        <f>IFERROR(_xlfn.XLOOKUP(C1787,[1]StuntDes!$B:$B,[1]StuntDes!$A:$A),"")</f>
        <v/>
      </c>
      <c r="N1787" s="10" t="str">
        <f>IFERROR(_xlfn.XLOOKUP(C1787,[1]ModifierDes!$B:$B,[1]ModifierDes!$A:$A),"")</f>
        <v/>
      </c>
      <c r="O1787" s="10">
        <f>IFERROR(_xlfn.XLOOKUP(C1787,[1]AttributeName!$C:$C,[1]AttributeName!$B:$B),"")</f>
        <v>10315</v>
      </c>
      <c r="P1787" s="10"/>
      <c r="Q1787">
        <v>0.05</v>
      </c>
      <c r="R1787">
        <v>0.07</v>
      </c>
      <c r="S1787" cm="1">
        <f t="array" ref="S1787">IFERROR(_xlfn.SWITCH(L1787,1,_xlfn.XLOOKUP(O1787,[1]AttributeName!$B:$B,[1]AttributeName!$D:$D),2,_xlfn.XLOOKUP(C1787,#REF!,#REF!),3,_xlfn.XLOOKUP(C1787,#REF!,#REF!)),0)</f>
        <v>2</v>
      </c>
      <c r="T1787" cm="1">
        <f t="array" ref="T1787">IFERROR(_xlfn.SWITCH(L1787,1,_xlfn.XLOOKUP(O1787,[1]AttributeName!$B:$B,[1]AttributeName!$E:$E),2,_xlfn.XLOOKUP(C1787,#REF!,#REF!),3,_xlfn.XLOOKUP(C1787,#REF!,#REF!)),0)</f>
        <v>2</v>
      </c>
    </row>
    <row r="1788" customFormat="1" spans="1:20">
      <c r="A1788">
        <f t="shared" si="75"/>
        <v>755</v>
      </c>
      <c r="B1788">
        <v>7</v>
      </c>
      <c r="C1788" t="s">
        <v>82</v>
      </c>
      <c r="D1788" t="s">
        <v>30</v>
      </c>
      <c r="E1788" t="s">
        <v>392</v>
      </c>
      <c r="F1788"/>
      <c r="G1788">
        <v>2</v>
      </c>
      <c r="H1788">
        <v>500</v>
      </c>
      <c r="J1788" cm="1">
        <f t="array" ref="J1788">_xlfn.SWITCH(B1788,1,75,2,61,3,49,4,37,5,25,6,13,7,4,8,1)</f>
        <v>4</v>
      </c>
      <c r="K1788" t="str" cm="1">
        <f t="array" ref="K1788">IFERROR(_xlfn.SWITCH(L1788,2,_xlfn.XLOOKUP(C1788,[1]ModifierDes!$B:$B,[1]ModifierDes!$C:$C),3,_xlfn.XLOOKUP(C1788,[1]StuntDes!$B:$B,[1]StuntDes!$C:$C)),"")</f>
        <v/>
      </c>
      <c r="L1788">
        <f t="shared" si="73"/>
        <v>1</v>
      </c>
      <c r="M1788" s="10" t="str">
        <f>IFERROR(_xlfn.XLOOKUP(C1788,[1]StuntDes!$B:$B,[1]StuntDes!$A:$A),"")</f>
        <v/>
      </c>
      <c r="N1788" s="10" t="str">
        <f>IFERROR(_xlfn.XLOOKUP(C1788,[1]ModifierDes!$B:$B,[1]ModifierDes!$A:$A),"")</f>
        <v/>
      </c>
      <c r="O1788" s="10">
        <f>IFERROR(_xlfn.XLOOKUP(C1788,[1]AttributeName!$C:$C,[1]AttributeName!$B:$B),"")</f>
        <v>10315</v>
      </c>
      <c r="P1788" s="10"/>
      <c r="Q1788">
        <v>0.02</v>
      </c>
      <c r="R1788">
        <v>0.04</v>
      </c>
      <c r="S1788" cm="1">
        <f t="array" ref="S1788">IFERROR(_xlfn.SWITCH(L1788,1,_xlfn.XLOOKUP(O1788,[1]AttributeName!$B:$B,[1]AttributeName!$D:$D),2,_xlfn.XLOOKUP(C1788,#REF!,#REF!),3,_xlfn.XLOOKUP(C1788,#REF!,#REF!)),0)</f>
        <v>2</v>
      </c>
      <c r="T1788" cm="1">
        <f t="array" ref="T1788">IFERROR(_xlfn.SWITCH(L1788,1,_xlfn.XLOOKUP(O1788,[1]AttributeName!$B:$B,[1]AttributeName!$E:$E),2,_xlfn.XLOOKUP(C1788,#REF!,#REF!),3,_xlfn.XLOOKUP(C1788,#REF!,#REF!)),0)</f>
        <v>2</v>
      </c>
    </row>
    <row r="1789" customFormat="1" spans="1:20">
      <c r="A1789">
        <f t="shared" si="75"/>
        <v>755</v>
      </c>
      <c r="B1789">
        <v>8</v>
      </c>
      <c r="C1789" t="s">
        <v>82</v>
      </c>
      <c r="D1789" t="s">
        <v>30</v>
      </c>
      <c r="E1789" t="s">
        <v>392</v>
      </c>
      <c r="F1789"/>
      <c r="G1789">
        <v>2</v>
      </c>
      <c r="H1789">
        <v>500</v>
      </c>
      <c r="J1789" cm="1">
        <f t="array" ref="J1789">_xlfn.SWITCH(B1789,1,75,2,61,3,49,4,37,5,25,6,13,7,4,8,1)</f>
        <v>1</v>
      </c>
      <c r="K1789" t="str" cm="1">
        <f t="array" ref="K1789">IFERROR(_xlfn.SWITCH(L1789,2,_xlfn.XLOOKUP(C1789,[1]ModifierDes!$B:$B,[1]ModifierDes!$C:$C),3,_xlfn.XLOOKUP(C1789,[1]StuntDes!$B:$B,[1]StuntDes!$C:$C)),"")</f>
        <v/>
      </c>
      <c r="L1789">
        <f t="shared" si="73"/>
        <v>1</v>
      </c>
      <c r="M1789" s="10" t="str">
        <f>IFERROR(_xlfn.XLOOKUP(C1789,[1]StuntDes!$B:$B,[1]StuntDes!$A:$A),"")</f>
        <v/>
      </c>
      <c r="N1789" s="10" t="str">
        <f>IFERROR(_xlfn.XLOOKUP(C1789,[1]ModifierDes!$B:$B,[1]ModifierDes!$A:$A),"")</f>
        <v/>
      </c>
      <c r="O1789" s="10">
        <f>IFERROR(_xlfn.XLOOKUP(C1789,[1]AttributeName!$C:$C,[1]AttributeName!$B:$B),"")</f>
        <v>10315</v>
      </c>
      <c r="P1789" s="10"/>
      <c r="Q1789">
        <v>0.01</v>
      </c>
      <c r="R1789">
        <v>0.01</v>
      </c>
      <c r="S1789" cm="1">
        <f t="array" ref="S1789">IFERROR(_xlfn.SWITCH(L1789,1,_xlfn.XLOOKUP(O1789,[1]AttributeName!$B:$B,[1]AttributeName!$D:$D),2,_xlfn.XLOOKUP(C1789,#REF!,#REF!),3,_xlfn.XLOOKUP(C1789,#REF!,#REF!)),0)</f>
        <v>2</v>
      </c>
      <c r="T1789" cm="1">
        <f t="array" ref="T1789">IFERROR(_xlfn.SWITCH(L1789,1,_xlfn.XLOOKUP(O1789,[1]AttributeName!$B:$B,[1]AttributeName!$E:$E),2,_xlfn.XLOOKUP(C1789,#REF!,#REF!),3,_xlfn.XLOOKUP(C1789,#REF!,#REF!)),0)</f>
        <v>2</v>
      </c>
    </row>
    <row r="1790" customFormat="1" spans="1:20">
      <c r="A1790">
        <v>756</v>
      </c>
      <c r="B1790">
        <v>1</v>
      </c>
      <c r="C1790" t="s">
        <v>400</v>
      </c>
      <c r="D1790" t="s">
        <v>30</v>
      </c>
      <c r="E1790" t="s">
        <v>392</v>
      </c>
      <c r="F1790"/>
      <c r="G1790">
        <v>2</v>
      </c>
      <c r="H1790">
        <v>50</v>
      </c>
      <c r="I1790">
        <v>3</v>
      </c>
      <c r="J1790" cm="1">
        <f t="array" ref="J1790">_xlfn.SWITCH(B1790,1,75,2,61,3,49,4,37,5,25,6,13,7,4,8,1)</f>
        <v>75</v>
      </c>
      <c r="K1790" t="str" cm="1">
        <f t="array" ref="K1790">IFERROR(_xlfn.SWITCH(L1790,2,_xlfn.XLOOKUP(C1790,[1]ModifierDes!$B:$B,[1]ModifierDes!$C:$C),3,_xlfn.XLOOKUP(C1790,[1]StuntDes!$B:$B,[1]StuntDes!$C:$C)),"")</f>
        <v>攻击暴击伤害增加{0}</v>
      </c>
      <c r="L1790">
        <f t="shared" si="73"/>
        <v>2</v>
      </c>
      <c r="M1790" s="10" t="str">
        <f>IFERROR(_xlfn.XLOOKUP(C1790,[1]StuntDes!$B:$B,[1]StuntDes!$A:$A),"")</f>
        <v/>
      </c>
      <c r="N1790" s="10">
        <f>IFERROR(_xlfn.XLOOKUP(C1790,[1]ModifierDes!$B:$B,[1]ModifierDes!$A:$A),"")</f>
        <v>10060</v>
      </c>
      <c r="O1790" s="10" t="str">
        <f>IFERROR(_xlfn.XLOOKUP(C1790,[1]AttributeName!$C:$C,[1]AttributeName!$B:$B),"")</f>
        <v/>
      </c>
      <c r="P1790" s="10"/>
      <c r="Q1790">
        <v>0.6</v>
      </c>
      <c r="R1790">
        <v>0.8</v>
      </c>
      <c r="S1790" cm="1">
        <f t="array" ref="S1790">IFERROR(_xlfn.SWITCH(L1790,1,_xlfn.XLOOKUP(O1790,[1]AttributeName!$B:$B,[1]AttributeName!$D:$D),2,_xlfn.XLOOKUP(C1790,#REF!,#REF!),3,_xlfn.XLOOKUP(C1790,#REF!,#REF!)),0)</f>
        <v>0</v>
      </c>
      <c r="T1790" cm="1">
        <f t="array" ref="T1790">IFERROR(_xlfn.SWITCH(L1790,1,_xlfn.XLOOKUP(O1790,[1]AttributeName!$B:$B,[1]AttributeName!$E:$E),2,_xlfn.XLOOKUP(C1790,#REF!,#REF!),3,_xlfn.XLOOKUP(C1790,#REF!,#REF!)),0)</f>
        <v>0</v>
      </c>
    </row>
    <row r="1791" customFormat="1" spans="1:20">
      <c r="A1791">
        <v>756</v>
      </c>
      <c r="B1791">
        <v>2</v>
      </c>
      <c r="C1791" t="s">
        <v>400</v>
      </c>
      <c r="D1791" t="s">
        <v>30</v>
      </c>
      <c r="E1791" t="s">
        <v>392</v>
      </c>
      <c r="F1791"/>
      <c r="G1791">
        <v>2</v>
      </c>
      <c r="H1791">
        <v>100</v>
      </c>
      <c r="I1791">
        <v>3</v>
      </c>
      <c r="J1791" cm="1">
        <f t="array" ref="J1791">_xlfn.SWITCH(B1791,1,75,2,61,3,49,4,37,5,25,6,13,7,4,8,1)</f>
        <v>61</v>
      </c>
      <c r="K1791" t="str" cm="1">
        <f t="array" ref="K1791">IFERROR(_xlfn.SWITCH(L1791,2,_xlfn.XLOOKUP(C1791,[1]ModifierDes!$B:$B,[1]ModifierDes!$C:$C),3,_xlfn.XLOOKUP(C1791,[1]StuntDes!$B:$B,[1]StuntDes!$C:$C)),"")</f>
        <v>攻击暴击伤害增加{0}</v>
      </c>
      <c r="L1791">
        <f t="shared" si="73"/>
        <v>2</v>
      </c>
      <c r="M1791" s="10" t="str">
        <f>IFERROR(_xlfn.XLOOKUP(C1791,[1]StuntDes!$B:$B,[1]StuntDes!$A:$A),"")</f>
        <v/>
      </c>
      <c r="N1791" s="10">
        <f>IFERROR(_xlfn.XLOOKUP(C1791,[1]ModifierDes!$B:$B,[1]ModifierDes!$A:$A),"")</f>
        <v>10060</v>
      </c>
      <c r="O1791" s="10" t="str">
        <f>IFERROR(_xlfn.XLOOKUP(C1791,[1]AttributeName!$C:$C,[1]AttributeName!$B:$B),"")</f>
        <v/>
      </c>
      <c r="P1791" s="10"/>
      <c r="Q1791">
        <v>0.52</v>
      </c>
      <c r="R1791">
        <v>0.58</v>
      </c>
      <c r="S1791" cm="1">
        <f t="array" ref="S1791">IFERROR(_xlfn.SWITCH(L1791,1,_xlfn.XLOOKUP(O1791,[1]AttributeName!$B:$B,[1]AttributeName!$D:$D),2,_xlfn.XLOOKUP(C1791,#REF!,#REF!),3,_xlfn.XLOOKUP(C1791,#REF!,#REF!)),0)</f>
        <v>0</v>
      </c>
      <c r="T1791" cm="1">
        <f t="array" ref="T1791">IFERROR(_xlfn.SWITCH(L1791,1,_xlfn.XLOOKUP(O1791,[1]AttributeName!$B:$B,[1]AttributeName!$E:$E),2,_xlfn.XLOOKUP(C1791,#REF!,#REF!),3,_xlfn.XLOOKUP(C1791,#REF!,#REF!)),0)</f>
        <v>0</v>
      </c>
    </row>
    <row r="1792" customFormat="1" spans="1:20">
      <c r="A1792">
        <v>756</v>
      </c>
      <c r="B1792">
        <v>3</v>
      </c>
      <c r="C1792" t="s">
        <v>400</v>
      </c>
      <c r="D1792" t="s">
        <v>30</v>
      </c>
      <c r="E1792" t="s">
        <v>392</v>
      </c>
      <c r="F1792"/>
      <c r="G1792">
        <v>2</v>
      </c>
      <c r="H1792">
        <v>250</v>
      </c>
      <c r="I1792">
        <v>3</v>
      </c>
      <c r="J1792" cm="1">
        <f t="array" ref="J1792">_xlfn.SWITCH(B1792,1,75,2,61,3,49,4,37,5,25,6,13,7,4,8,1)</f>
        <v>49</v>
      </c>
      <c r="K1792" t="str" cm="1">
        <f t="array" ref="K1792">IFERROR(_xlfn.SWITCH(L1792,2,_xlfn.XLOOKUP(C1792,[1]ModifierDes!$B:$B,[1]ModifierDes!$C:$C),3,_xlfn.XLOOKUP(C1792,[1]StuntDes!$B:$B,[1]StuntDes!$C:$C)),"")</f>
        <v>攻击暴击伤害增加{0}</v>
      </c>
      <c r="L1792">
        <f t="shared" si="73"/>
        <v>2</v>
      </c>
      <c r="M1792" s="10" t="str">
        <f>IFERROR(_xlfn.XLOOKUP(C1792,[1]StuntDes!$B:$B,[1]StuntDes!$A:$A),"")</f>
        <v/>
      </c>
      <c r="N1792" s="10">
        <f>IFERROR(_xlfn.XLOOKUP(C1792,[1]ModifierDes!$B:$B,[1]ModifierDes!$A:$A),"")</f>
        <v>10060</v>
      </c>
      <c r="O1792" s="10" t="str">
        <f>IFERROR(_xlfn.XLOOKUP(C1792,[1]AttributeName!$C:$C,[1]AttributeName!$B:$B),"")</f>
        <v/>
      </c>
      <c r="P1792" s="10"/>
      <c r="Q1792">
        <v>0.44</v>
      </c>
      <c r="R1792">
        <v>0.5</v>
      </c>
      <c r="S1792" cm="1">
        <f t="array" ref="S1792">IFERROR(_xlfn.SWITCH(L1792,1,_xlfn.XLOOKUP(O1792,[1]AttributeName!$B:$B,[1]AttributeName!$D:$D),2,_xlfn.XLOOKUP(C1792,#REF!,#REF!),3,_xlfn.XLOOKUP(C1792,#REF!,#REF!)),0)</f>
        <v>0</v>
      </c>
      <c r="T1792" cm="1">
        <f t="array" ref="T1792">IFERROR(_xlfn.SWITCH(L1792,1,_xlfn.XLOOKUP(O1792,[1]AttributeName!$B:$B,[1]AttributeName!$E:$E),2,_xlfn.XLOOKUP(C1792,#REF!,#REF!),3,_xlfn.XLOOKUP(C1792,#REF!,#REF!)),0)</f>
        <v>0</v>
      </c>
    </row>
    <row r="1793" customFormat="1" spans="1:20">
      <c r="A1793">
        <v>756</v>
      </c>
      <c r="B1793">
        <v>4</v>
      </c>
      <c r="C1793" t="s">
        <v>400</v>
      </c>
      <c r="D1793" t="s">
        <v>30</v>
      </c>
      <c r="E1793" t="s">
        <v>392</v>
      </c>
      <c r="F1793"/>
      <c r="G1793">
        <v>2</v>
      </c>
      <c r="H1793">
        <v>500</v>
      </c>
      <c r="I1793">
        <v>3</v>
      </c>
      <c r="J1793" cm="1">
        <f t="array" ref="J1793">_xlfn.SWITCH(B1793,1,75,2,61,3,49,4,37,5,25,6,13,7,4,8,1)</f>
        <v>37</v>
      </c>
      <c r="K1793" t="str" cm="1">
        <f t="array" ref="K1793">IFERROR(_xlfn.SWITCH(L1793,2,_xlfn.XLOOKUP(C1793,[1]ModifierDes!$B:$B,[1]ModifierDes!$C:$C),3,_xlfn.XLOOKUP(C1793,[1]StuntDes!$B:$B,[1]StuntDes!$C:$C)),"")</f>
        <v>攻击暴击伤害增加{0}</v>
      </c>
      <c r="L1793">
        <f t="shared" si="73"/>
        <v>2</v>
      </c>
      <c r="M1793" s="10" t="str">
        <f>IFERROR(_xlfn.XLOOKUP(C1793,[1]StuntDes!$B:$B,[1]StuntDes!$A:$A),"")</f>
        <v/>
      </c>
      <c r="N1793" s="10">
        <f>IFERROR(_xlfn.XLOOKUP(C1793,[1]ModifierDes!$B:$B,[1]ModifierDes!$A:$A),"")</f>
        <v>10060</v>
      </c>
      <c r="O1793" s="10" t="str">
        <f>IFERROR(_xlfn.XLOOKUP(C1793,[1]AttributeName!$C:$C,[1]AttributeName!$B:$B),"")</f>
        <v/>
      </c>
      <c r="P1793" s="10"/>
      <c r="Q1793">
        <v>0.36</v>
      </c>
      <c r="R1793">
        <v>0.42</v>
      </c>
      <c r="S1793" cm="1">
        <f t="array" ref="S1793">IFERROR(_xlfn.SWITCH(L1793,1,_xlfn.XLOOKUP(O1793,[1]AttributeName!$B:$B,[1]AttributeName!$D:$D),2,_xlfn.XLOOKUP(C1793,#REF!,#REF!),3,_xlfn.XLOOKUP(C1793,#REF!,#REF!)),0)</f>
        <v>0</v>
      </c>
      <c r="T1793" cm="1">
        <f t="array" ref="T1793">IFERROR(_xlfn.SWITCH(L1793,1,_xlfn.XLOOKUP(O1793,[1]AttributeName!$B:$B,[1]AttributeName!$E:$E),2,_xlfn.XLOOKUP(C1793,#REF!,#REF!),3,_xlfn.XLOOKUP(C1793,#REF!,#REF!)),0)</f>
        <v>0</v>
      </c>
    </row>
    <row r="1794" customFormat="1" spans="1:20">
      <c r="A1794">
        <v>756</v>
      </c>
      <c r="B1794">
        <v>5</v>
      </c>
      <c r="C1794" t="s">
        <v>400</v>
      </c>
      <c r="D1794" t="s">
        <v>30</v>
      </c>
      <c r="E1794" t="s">
        <v>392</v>
      </c>
      <c r="F1794"/>
      <c r="G1794">
        <v>2</v>
      </c>
      <c r="H1794">
        <v>500</v>
      </c>
      <c r="I1794">
        <v>3</v>
      </c>
      <c r="J1794" cm="1">
        <f t="array" ref="J1794">_xlfn.SWITCH(B1794,1,75,2,61,3,49,4,37,5,25,6,13,7,4,8,1)</f>
        <v>25</v>
      </c>
      <c r="K1794" t="str" cm="1">
        <f t="array" ref="K1794">IFERROR(_xlfn.SWITCH(L1794,2,_xlfn.XLOOKUP(C1794,[1]ModifierDes!$B:$B,[1]ModifierDes!$C:$C),3,_xlfn.XLOOKUP(C1794,[1]StuntDes!$B:$B,[1]StuntDes!$C:$C)),"")</f>
        <v>攻击暴击伤害增加{0}</v>
      </c>
      <c r="L1794">
        <f t="shared" si="73"/>
        <v>2</v>
      </c>
      <c r="M1794" s="10" t="str">
        <f>IFERROR(_xlfn.XLOOKUP(C1794,[1]StuntDes!$B:$B,[1]StuntDes!$A:$A),"")</f>
        <v/>
      </c>
      <c r="N1794" s="10">
        <f>IFERROR(_xlfn.XLOOKUP(C1794,[1]ModifierDes!$B:$B,[1]ModifierDes!$A:$A),"")</f>
        <v>10060</v>
      </c>
      <c r="O1794" s="10" t="str">
        <f>IFERROR(_xlfn.XLOOKUP(C1794,[1]AttributeName!$C:$C,[1]AttributeName!$B:$B),"")</f>
        <v/>
      </c>
      <c r="P1794" s="10"/>
      <c r="Q1794">
        <v>0.28</v>
      </c>
      <c r="R1794">
        <v>0.34</v>
      </c>
      <c r="S1794" cm="1">
        <f t="array" ref="S1794">IFERROR(_xlfn.SWITCH(L1794,1,_xlfn.XLOOKUP(O1794,[1]AttributeName!$B:$B,[1]AttributeName!$D:$D),2,_xlfn.XLOOKUP(C1794,#REF!,#REF!),3,_xlfn.XLOOKUP(C1794,#REF!,#REF!)),0)</f>
        <v>0</v>
      </c>
      <c r="T1794" cm="1">
        <f t="array" ref="T1794">IFERROR(_xlfn.SWITCH(L1794,1,_xlfn.XLOOKUP(O1794,[1]AttributeName!$B:$B,[1]AttributeName!$E:$E),2,_xlfn.XLOOKUP(C1794,#REF!,#REF!),3,_xlfn.XLOOKUP(C1794,#REF!,#REF!)),0)</f>
        <v>0</v>
      </c>
    </row>
    <row r="1795" customFormat="1" spans="1:20">
      <c r="A1795">
        <v>756</v>
      </c>
      <c r="B1795">
        <v>6</v>
      </c>
      <c r="C1795" t="s">
        <v>400</v>
      </c>
      <c r="D1795" t="s">
        <v>30</v>
      </c>
      <c r="E1795" t="s">
        <v>392</v>
      </c>
      <c r="F1795"/>
      <c r="G1795">
        <v>2</v>
      </c>
      <c r="H1795">
        <v>500</v>
      </c>
      <c r="I1795">
        <v>3</v>
      </c>
      <c r="J1795" cm="1">
        <f t="array" ref="J1795">_xlfn.SWITCH(B1795,1,75,2,61,3,49,4,37,5,25,6,13,7,4,8,1)</f>
        <v>13</v>
      </c>
      <c r="K1795" t="str" cm="1">
        <f t="array" ref="K1795">IFERROR(_xlfn.SWITCH(L1795,2,_xlfn.XLOOKUP(C1795,[1]ModifierDes!$B:$B,[1]ModifierDes!$C:$C),3,_xlfn.XLOOKUP(C1795,[1]StuntDes!$B:$B,[1]StuntDes!$C:$C)),"")</f>
        <v>攻击暴击伤害增加{0}</v>
      </c>
      <c r="L1795">
        <f t="shared" si="73"/>
        <v>2</v>
      </c>
      <c r="M1795" s="10" t="str">
        <f>IFERROR(_xlfn.XLOOKUP(C1795,[1]StuntDes!$B:$B,[1]StuntDes!$A:$A),"")</f>
        <v/>
      </c>
      <c r="N1795" s="10">
        <f>IFERROR(_xlfn.XLOOKUP(C1795,[1]ModifierDes!$B:$B,[1]ModifierDes!$A:$A),"")</f>
        <v>10060</v>
      </c>
      <c r="O1795" s="10" t="str">
        <f>IFERROR(_xlfn.XLOOKUP(C1795,[1]AttributeName!$C:$C,[1]AttributeName!$B:$B),"")</f>
        <v/>
      </c>
      <c r="P1795" s="10"/>
      <c r="Q1795">
        <v>0.2</v>
      </c>
      <c r="R1795">
        <v>0.26</v>
      </c>
      <c r="S1795" cm="1">
        <f t="array" ref="S1795">IFERROR(_xlfn.SWITCH(L1795,1,_xlfn.XLOOKUP(O1795,[1]AttributeName!$B:$B,[1]AttributeName!$D:$D),2,_xlfn.XLOOKUP(C1795,#REF!,#REF!),3,_xlfn.XLOOKUP(C1795,#REF!,#REF!)),0)</f>
        <v>0</v>
      </c>
      <c r="T1795" cm="1">
        <f t="array" ref="T1795">IFERROR(_xlfn.SWITCH(L1795,1,_xlfn.XLOOKUP(O1795,[1]AttributeName!$B:$B,[1]AttributeName!$E:$E),2,_xlfn.XLOOKUP(C1795,#REF!,#REF!),3,_xlfn.XLOOKUP(C1795,#REF!,#REF!)),0)</f>
        <v>0</v>
      </c>
    </row>
    <row r="1796" customFormat="1" spans="1:20">
      <c r="A1796">
        <v>756</v>
      </c>
      <c r="B1796">
        <v>7</v>
      </c>
      <c r="C1796" t="s">
        <v>400</v>
      </c>
      <c r="D1796" t="s">
        <v>30</v>
      </c>
      <c r="E1796" t="s">
        <v>392</v>
      </c>
      <c r="F1796"/>
      <c r="G1796">
        <v>2</v>
      </c>
      <c r="H1796">
        <v>500</v>
      </c>
      <c r="I1796">
        <v>3</v>
      </c>
      <c r="J1796" cm="1">
        <f t="array" ref="J1796">_xlfn.SWITCH(B1796,1,75,2,61,3,49,4,37,5,25,6,13,7,4,8,1)</f>
        <v>4</v>
      </c>
      <c r="K1796" t="str" cm="1">
        <f t="array" ref="K1796">IFERROR(_xlfn.SWITCH(L1796,2,_xlfn.XLOOKUP(C1796,[1]ModifierDes!$B:$B,[1]ModifierDes!$C:$C),3,_xlfn.XLOOKUP(C1796,[1]StuntDes!$B:$B,[1]StuntDes!$C:$C)),"")</f>
        <v>攻击暴击伤害增加{0}</v>
      </c>
      <c r="L1796">
        <f t="shared" ref="L1796:L1859" si="76">IF(M1796="",IF(N1796="",1,2),3)</f>
        <v>2</v>
      </c>
      <c r="M1796" s="10" t="str">
        <f>IFERROR(_xlfn.XLOOKUP(C1796,[1]StuntDes!$B:$B,[1]StuntDes!$A:$A),"")</f>
        <v/>
      </c>
      <c r="N1796" s="10">
        <f>IFERROR(_xlfn.XLOOKUP(C1796,[1]ModifierDes!$B:$B,[1]ModifierDes!$A:$A),"")</f>
        <v>10060</v>
      </c>
      <c r="O1796" s="10" t="str">
        <f>IFERROR(_xlfn.XLOOKUP(C1796,[1]AttributeName!$C:$C,[1]AttributeName!$B:$B),"")</f>
        <v/>
      </c>
      <c r="P1796" s="10"/>
      <c r="Q1796">
        <v>0.12</v>
      </c>
      <c r="R1796">
        <v>0.18</v>
      </c>
      <c r="S1796" cm="1">
        <f t="array" ref="S1796">IFERROR(_xlfn.SWITCH(L1796,1,_xlfn.XLOOKUP(O1796,[1]AttributeName!$B:$B,[1]AttributeName!$D:$D),2,_xlfn.XLOOKUP(C1796,#REF!,#REF!),3,_xlfn.XLOOKUP(C1796,#REF!,#REF!)),0)</f>
        <v>0</v>
      </c>
      <c r="T1796" cm="1">
        <f t="array" ref="T1796">IFERROR(_xlfn.SWITCH(L1796,1,_xlfn.XLOOKUP(O1796,[1]AttributeName!$B:$B,[1]AttributeName!$E:$E),2,_xlfn.XLOOKUP(C1796,#REF!,#REF!),3,_xlfn.XLOOKUP(C1796,#REF!,#REF!)),0)</f>
        <v>0</v>
      </c>
    </row>
    <row r="1797" customFormat="1" spans="1:20">
      <c r="A1797">
        <v>756</v>
      </c>
      <c r="B1797">
        <v>8</v>
      </c>
      <c r="C1797" t="s">
        <v>400</v>
      </c>
      <c r="D1797" t="s">
        <v>30</v>
      </c>
      <c r="E1797" t="s">
        <v>392</v>
      </c>
      <c r="F1797"/>
      <c r="G1797">
        <v>2</v>
      </c>
      <c r="H1797">
        <v>500</v>
      </c>
      <c r="I1797">
        <v>3</v>
      </c>
      <c r="J1797" cm="1">
        <f t="array" ref="J1797">_xlfn.SWITCH(B1797,1,75,2,61,3,49,4,37,5,25,6,13,7,4,8,1)</f>
        <v>1</v>
      </c>
      <c r="K1797" t="str" cm="1">
        <f t="array" ref="K1797">IFERROR(_xlfn.SWITCH(L1797,2,_xlfn.XLOOKUP(C1797,[1]ModifierDes!$B:$B,[1]ModifierDes!$C:$C),3,_xlfn.XLOOKUP(C1797,[1]StuntDes!$B:$B,[1]StuntDes!$C:$C)),"")</f>
        <v>攻击暴击伤害增加{0}</v>
      </c>
      <c r="L1797">
        <f t="shared" si="76"/>
        <v>2</v>
      </c>
      <c r="M1797" s="10" t="str">
        <f>IFERROR(_xlfn.XLOOKUP(C1797,[1]StuntDes!$B:$B,[1]StuntDes!$A:$A),"")</f>
        <v/>
      </c>
      <c r="N1797" s="10">
        <f>IFERROR(_xlfn.XLOOKUP(C1797,[1]ModifierDes!$B:$B,[1]ModifierDes!$A:$A),"")</f>
        <v>10060</v>
      </c>
      <c r="O1797" s="10" t="str">
        <f>IFERROR(_xlfn.XLOOKUP(C1797,[1]AttributeName!$C:$C,[1]AttributeName!$B:$B),"")</f>
        <v/>
      </c>
      <c r="P1797" s="10"/>
      <c r="Q1797">
        <v>0.04</v>
      </c>
      <c r="R1797">
        <v>0.1</v>
      </c>
      <c r="S1797" cm="1">
        <f t="array" ref="S1797">IFERROR(_xlfn.SWITCH(L1797,1,_xlfn.XLOOKUP(O1797,[1]AttributeName!$B:$B,[1]AttributeName!$D:$D),2,_xlfn.XLOOKUP(C1797,#REF!,#REF!),3,_xlfn.XLOOKUP(C1797,#REF!,#REF!)),0)</f>
        <v>0</v>
      </c>
      <c r="T1797" cm="1">
        <f t="array" ref="T1797">IFERROR(_xlfn.SWITCH(L1797,1,_xlfn.XLOOKUP(O1797,[1]AttributeName!$B:$B,[1]AttributeName!$E:$E),2,_xlfn.XLOOKUP(C1797,#REF!,#REF!),3,_xlfn.XLOOKUP(C1797,#REF!,#REF!)),0)</f>
        <v>0</v>
      </c>
    </row>
    <row r="1798" customFormat="1" spans="1:20">
      <c r="A1798">
        <f t="shared" ref="A1798:A1861" si="77">A1790+1</f>
        <v>757</v>
      </c>
      <c r="B1798">
        <v>1</v>
      </c>
      <c r="C1798" t="s">
        <v>426</v>
      </c>
      <c r="D1798" t="s">
        <v>30</v>
      </c>
      <c r="E1798" t="s">
        <v>392</v>
      </c>
      <c r="F1798"/>
      <c r="G1798">
        <v>2</v>
      </c>
      <c r="H1798">
        <v>50</v>
      </c>
      <c r="I1798">
        <v>3</v>
      </c>
      <c r="J1798" cm="1">
        <f t="array" ref="J1798">_xlfn.SWITCH(B1798,1,75,2,61,3,49,4,37,5,25,6,13,7,4,8,1)</f>
        <v>75</v>
      </c>
      <c r="K1798" t="str" cm="1">
        <f t="array" ref="K1798">IFERROR(_xlfn.SWITCH(L1798,2,_xlfn.XLOOKUP(C1798,[1]ModifierDes!$B:$B,[1]ModifierDes!$C:$C),3,_xlfn.XLOOKUP(C1798,[1]StuntDes!$B:$B,[1]StuntDes!$C:$C)),"")</f>
        <v>法术暴击伤害增加{0}</v>
      </c>
      <c r="L1798">
        <f t="shared" si="76"/>
        <v>2</v>
      </c>
      <c r="M1798" s="10" t="str">
        <f>IFERROR(_xlfn.XLOOKUP(C1798,[1]StuntDes!$B:$B,[1]StuntDes!$A:$A),"")</f>
        <v/>
      </c>
      <c r="N1798" s="10">
        <f>IFERROR(_xlfn.XLOOKUP(C1798,[1]ModifierDes!$B:$B,[1]ModifierDes!$A:$A),"")</f>
        <v>10061</v>
      </c>
      <c r="O1798" s="10" t="str">
        <f>IFERROR(_xlfn.XLOOKUP(C1798,[1]AttributeName!$C:$C,[1]AttributeName!$B:$B),"")</f>
        <v/>
      </c>
      <c r="P1798" s="10"/>
      <c r="Q1798">
        <v>0.6</v>
      </c>
      <c r="R1798">
        <v>0.8</v>
      </c>
      <c r="S1798" cm="1">
        <f t="array" ref="S1798">IFERROR(_xlfn.SWITCH(L1798,1,_xlfn.XLOOKUP(O1798,[1]AttributeName!$B:$B,[1]AttributeName!$D:$D),2,_xlfn.XLOOKUP(C1798,#REF!,#REF!),3,_xlfn.XLOOKUP(C1798,#REF!,#REF!)),0)</f>
        <v>0</v>
      </c>
      <c r="T1798" cm="1">
        <f t="array" ref="T1798">IFERROR(_xlfn.SWITCH(L1798,1,_xlfn.XLOOKUP(O1798,[1]AttributeName!$B:$B,[1]AttributeName!$E:$E),2,_xlfn.XLOOKUP(C1798,#REF!,#REF!),3,_xlfn.XLOOKUP(C1798,#REF!,#REF!)),0)</f>
        <v>0</v>
      </c>
    </row>
    <row r="1799" customFormat="1" spans="1:20">
      <c r="A1799">
        <f t="shared" si="77"/>
        <v>757</v>
      </c>
      <c r="B1799">
        <v>2</v>
      </c>
      <c r="C1799" t="s">
        <v>426</v>
      </c>
      <c r="D1799" t="s">
        <v>30</v>
      </c>
      <c r="E1799" t="s">
        <v>392</v>
      </c>
      <c r="F1799"/>
      <c r="G1799">
        <v>2</v>
      </c>
      <c r="H1799">
        <v>100</v>
      </c>
      <c r="I1799">
        <v>3</v>
      </c>
      <c r="J1799" cm="1">
        <f t="array" ref="J1799">_xlfn.SWITCH(B1799,1,75,2,61,3,49,4,37,5,25,6,13,7,4,8,1)</f>
        <v>61</v>
      </c>
      <c r="K1799" t="str" cm="1">
        <f t="array" ref="K1799">IFERROR(_xlfn.SWITCH(L1799,2,_xlfn.XLOOKUP(C1799,[1]ModifierDes!$B:$B,[1]ModifierDes!$C:$C),3,_xlfn.XLOOKUP(C1799,[1]StuntDes!$B:$B,[1]StuntDes!$C:$C)),"")</f>
        <v>法术暴击伤害增加{0}</v>
      </c>
      <c r="L1799">
        <f t="shared" si="76"/>
        <v>2</v>
      </c>
      <c r="M1799" s="10" t="str">
        <f>IFERROR(_xlfn.XLOOKUP(C1799,[1]StuntDes!$B:$B,[1]StuntDes!$A:$A),"")</f>
        <v/>
      </c>
      <c r="N1799" s="10">
        <f>IFERROR(_xlfn.XLOOKUP(C1799,[1]ModifierDes!$B:$B,[1]ModifierDes!$A:$A),"")</f>
        <v>10061</v>
      </c>
      <c r="O1799" s="10" t="str">
        <f>IFERROR(_xlfn.XLOOKUP(C1799,[1]AttributeName!$C:$C,[1]AttributeName!$B:$B),"")</f>
        <v/>
      </c>
      <c r="P1799" s="10"/>
      <c r="Q1799">
        <v>0.52</v>
      </c>
      <c r="R1799">
        <v>0.58</v>
      </c>
      <c r="S1799" cm="1">
        <f t="array" ref="S1799">IFERROR(_xlfn.SWITCH(L1799,1,_xlfn.XLOOKUP(O1799,[1]AttributeName!$B:$B,[1]AttributeName!$D:$D),2,_xlfn.XLOOKUP(C1799,#REF!,#REF!),3,_xlfn.XLOOKUP(C1799,#REF!,#REF!)),0)</f>
        <v>0</v>
      </c>
      <c r="T1799" cm="1">
        <f t="array" ref="T1799">IFERROR(_xlfn.SWITCH(L1799,1,_xlfn.XLOOKUP(O1799,[1]AttributeName!$B:$B,[1]AttributeName!$E:$E),2,_xlfn.XLOOKUP(C1799,#REF!,#REF!),3,_xlfn.XLOOKUP(C1799,#REF!,#REF!)),0)</f>
        <v>0</v>
      </c>
    </row>
    <row r="1800" customFormat="1" spans="1:20">
      <c r="A1800">
        <f t="shared" si="77"/>
        <v>757</v>
      </c>
      <c r="B1800">
        <v>3</v>
      </c>
      <c r="C1800" t="s">
        <v>426</v>
      </c>
      <c r="D1800" t="s">
        <v>30</v>
      </c>
      <c r="E1800" t="s">
        <v>392</v>
      </c>
      <c r="F1800"/>
      <c r="G1800">
        <v>2</v>
      </c>
      <c r="H1800">
        <v>250</v>
      </c>
      <c r="I1800">
        <v>3</v>
      </c>
      <c r="J1800" cm="1">
        <f t="array" ref="J1800">_xlfn.SWITCH(B1800,1,75,2,61,3,49,4,37,5,25,6,13,7,4,8,1)</f>
        <v>49</v>
      </c>
      <c r="K1800" t="str" cm="1">
        <f t="array" ref="K1800">IFERROR(_xlfn.SWITCH(L1800,2,_xlfn.XLOOKUP(C1800,[1]ModifierDes!$B:$B,[1]ModifierDes!$C:$C),3,_xlfn.XLOOKUP(C1800,[1]StuntDes!$B:$B,[1]StuntDes!$C:$C)),"")</f>
        <v>法术暴击伤害增加{0}</v>
      </c>
      <c r="L1800">
        <f t="shared" si="76"/>
        <v>2</v>
      </c>
      <c r="M1800" s="10" t="str">
        <f>IFERROR(_xlfn.XLOOKUP(C1800,[1]StuntDes!$B:$B,[1]StuntDes!$A:$A),"")</f>
        <v/>
      </c>
      <c r="N1800" s="10">
        <f>IFERROR(_xlfn.XLOOKUP(C1800,[1]ModifierDes!$B:$B,[1]ModifierDes!$A:$A),"")</f>
        <v>10061</v>
      </c>
      <c r="O1800" s="10" t="str">
        <f>IFERROR(_xlfn.XLOOKUP(C1800,[1]AttributeName!$C:$C,[1]AttributeName!$B:$B),"")</f>
        <v/>
      </c>
      <c r="P1800" s="10"/>
      <c r="Q1800">
        <v>0.44</v>
      </c>
      <c r="R1800">
        <v>0.5</v>
      </c>
      <c r="S1800" cm="1">
        <f t="array" ref="S1800">IFERROR(_xlfn.SWITCH(L1800,1,_xlfn.XLOOKUP(O1800,[1]AttributeName!$B:$B,[1]AttributeName!$D:$D),2,_xlfn.XLOOKUP(C1800,#REF!,#REF!),3,_xlfn.XLOOKUP(C1800,#REF!,#REF!)),0)</f>
        <v>0</v>
      </c>
      <c r="T1800" cm="1">
        <f t="array" ref="T1800">IFERROR(_xlfn.SWITCH(L1800,1,_xlfn.XLOOKUP(O1800,[1]AttributeName!$B:$B,[1]AttributeName!$E:$E),2,_xlfn.XLOOKUP(C1800,#REF!,#REF!),3,_xlfn.XLOOKUP(C1800,#REF!,#REF!)),0)</f>
        <v>0</v>
      </c>
    </row>
    <row r="1801" customFormat="1" spans="1:20">
      <c r="A1801">
        <f t="shared" si="77"/>
        <v>757</v>
      </c>
      <c r="B1801">
        <v>4</v>
      </c>
      <c r="C1801" t="s">
        <v>426</v>
      </c>
      <c r="D1801" t="s">
        <v>30</v>
      </c>
      <c r="E1801" t="s">
        <v>392</v>
      </c>
      <c r="F1801"/>
      <c r="G1801">
        <v>2</v>
      </c>
      <c r="H1801">
        <v>500</v>
      </c>
      <c r="I1801">
        <v>3</v>
      </c>
      <c r="J1801" cm="1">
        <f t="array" ref="J1801">_xlfn.SWITCH(B1801,1,75,2,61,3,49,4,37,5,25,6,13,7,4,8,1)</f>
        <v>37</v>
      </c>
      <c r="K1801" t="str" cm="1">
        <f t="array" ref="K1801">IFERROR(_xlfn.SWITCH(L1801,2,_xlfn.XLOOKUP(C1801,[1]ModifierDes!$B:$B,[1]ModifierDes!$C:$C),3,_xlfn.XLOOKUP(C1801,[1]StuntDes!$B:$B,[1]StuntDes!$C:$C)),"")</f>
        <v>法术暴击伤害增加{0}</v>
      </c>
      <c r="L1801">
        <f t="shared" si="76"/>
        <v>2</v>
      </c>
      <c r="M1801" s="10" t="str">
        <f>IFERROR(_xlfn.XLOOKUP(C1801,[1]StuntDes!$B:$B,[1]StuntDes!$A:$A),"")</f>
        <v/>
      </c>
      <c r="N1801" s="10">
        <f>IFERROR(_xlfn.XLOOKUP(C1801,[1]ModifierDes!$B:$B,[1]ModifierDes!$A:$A),"")</f>
        <v>10061</v>
      </c>
      <c r="O1801" s="10" t="str">
        <f>IFERROR(_xlfn.XLOOKUP(C1801,[1]AttributeName!$C:$C,[1]AttributeName!$B:$B),"")</f>
        <v/>
      </c>
      <c r="P1801" s="10"/>
      <c r="Q1801">
        <v>0.36</v>
      </c>
      <c r="R1801">
        <v>0.42</v>
      </c>
      <c r="S1801" cm="1">
        <f t="array" ref="S1801">IFERROR(_xlfn.SWITCH(L1801,1,_xlfn.XLOOKUP(O1801,[1]AttributeName!$B:$B,[1]AttributeName!$D:$D),2,_xlfn.XLOOKUP(C1801,#REF!,#REF!),3,_xlfn.XLOOKUP(C1801,#REF!,#REF!)),0)</f>
        <v>0</v>
      </c>
      <c r="T1801" cm="1">
        <f t="array" ref="T1801">IFERROR(_xlfn.SWITCH(L1801,1,_xlfn.XLOOKUP(O1801,[1]AttributeName!$B:$B,[1]AttributeName!$E:$E),2,_xlfn.XLOOKUP(C1801,#REF!,#REF!),3,_xlfn.XLOOKUP(C1801,#REF!,#REF!)),0)</f>
        <v>0</v>
      </c>
    </row>
    <row r="1802" customFormat="1" spans="1:20">
      <c r="A1802">
        <f t="shared" si="77"/>
        <v>757</v>
      </c>
      <c r="B1802">
        <v>5</v>
      </c>
      <c r="C1802" t="s">
        <v>426</v>
      </c>
      <c r="D1802" t="s">
        <v>30</v>
      </c>
      <c r="E1802" t="s">
        <v>392</v>
      </c>
      <c r="F1802"/>
      <c r="G1802">
        <v>2</v>
      </c>
      <c r="H1802">
        <v>500</v>
      </c>
      <c r="I1802">
        <v>3</v>
      </c>
      <c r="J1802" cm="1">
        <f t="array" ref="J1802">_xlfn.SWITCH(B1802,1,75,2,61,3,49,4,37,5,25,6,13,7,4,8,1)</f>
        <v>25</v>
      </c>
      <c r="K1802" t="str" cm="1">
        <f t="array" ref="K1802">IFERROR(_xlfn.SWITCH(L1802,2,_xlfn.XLOOKUP(C1802,[1]ModifierDes!$B:$B,[1]ModifierDes!$C:$C),3,_xlfn.XLOOKUP(C1802,[1]StuntDes!$B:$B,[1]StuntDes!$C:$C)),"")</f>
        <v>法术暴击伤害增加{0}</v>
      </c>
      <c r="L1802">
        <f t="shared" si="76"/>
        <v>2</v>
      </c>
      <c r="M1802" s="10" t="str">
        <f>IFERROR(_xlfn.XLOOKUP(C1802,[1]StuntDes!$B:$B,[1]StuntDes!$A:$A),"")</f>
        <v/>
      </c>
      <c r="N1802" s="10">
        <f>IFERROR(_xlfn.XLOOKUP(C1802,[1]ModifierDes!$B:$B,[1]ModifierDes!$A:$A),"")</f>
        <v>10061</v>
      </c>
      <c r="O1802" s="10" t="str">
        <f>IFERROR(_xlfn.XLOOKUP(C1802,[1]AttributeName!$C:$C,[1]AttributeName!$B:$B),"")</f>
        <v/>
      </c>
      <c r="P1802" s="10"/>
      <c r="Q1802">
        <v>0.28</v>
      </c>
      <c r="R1802">
        <v>0.34</v>
      </c>
      <c r="S1802" cm="1">
        <f t="array" ref="S1802">IFERROR(_xlfn.SWITCH(L1802,1,_xlfn.XLOOKUP(O1802,[1]AttributeName!$B:$B,[1]AttributeName!$D:$D),2,_xlfn.XLOOKUP(C1802,#REF!,#REF!),3,_xlfn.XLOOKUP(C1802,#REF!,#REF!)),0)</f>
        <v>0</v>
      </c>
      <c r="T1802" cm="1">
        <f t="array" ref="T1802">IFERROR(_xlfn.SWITCH(L1802,1,_xlfn.XLOOKUP(O1802,[1]AttributeName!$B:$B,[1]AttributeName!$E:$E),2,_xlfn.XLOOKUP(C1802,#REF!,#REF!),3,_xlfn.XLOOKUP(C1802,#REF!,#REF!)),0)</f>
        <v>0</v>
      </c>
    </row>
    <row r="1803" customFormat="1" spans="1:20">
      <c r="A1803">
        <f t="shared" si="77"/>
        <v>757</v>
      </c>
      <c r="B1803">
        <v>6</v>
      </c>
      <c r="C1803" t="s">
        <v>426</v>
      </c>
      <c r="D1803" t="s">
        <v>30</v>
      </c>
      <c r="E1803" t="s">
        <v>392</v>
      </c>
      <c r="F1803"/>
      <c r="G1803">
        <v>2</v>
      </c>
      <c r="H1803">
        <v>500</v>
      </c>
      <c r="I1803">
        <v>3</v>
      </c>
      <c r="J1803" cm="1">
        <f t="array" ref="J1803">_xlfn.SWITCH(B1803,1,75,2,61,3,49,4,37,5,25,6,13,7,4,8,1)</f>
        <v>13</v>
      </c>
      <c r="K1803" t="str" cm="1">
        <f t="array" ref="K1803">IFERROR(_xlfn.SWITCH(L1803,2,_xlfn.XLOOKUP(C1803,[1]ModifierDes!$B:$B,[1]ModifierDes!$C:$C),3,_xlfn.XLOOKUP(C1803,[1]StuntDes!$B:$B,[1]StuntDes!$C:$C)),"")</f>
        <v>法术暴击伤害增加{0}</v>
      </c>
      <c r="L1803">
        <f t="shared" si="76"/>
        <v>2</v>
      </c>
      <c r="M1803" s="10" t="str">
        <f>IFERROR(_xlfn.XLOOKUP(C1803,[1]StuntDes!$B:$B,[1]StuntDes!$A:$A),"")</f>
        <v/>
      </c>
      <c r="N1803" s="10">
        <f>IFERROR(_xlfn.XLOOKUP(C1803,[1]ModifierDes!$B:$B,[1]ModifierDes!$A:$A),"")</f>
        <v>10061</v>
      </c>
      <c r="O1803" s="10" t="str">
        <f>IFERROR(_xlfn.XLOOKUP(C1803,[1]AttributeName!$C:$C,[1]AttributeName!$B:$B),"")</f>
        <v/>
      </c>
      <c r="P1803" s="10"/>
      <c r="Q1803">
        <v>0.2</v>
      </c>
      <c r="R1803">
        <v>0.26</v>
      </c>
      <c r="S1803" cm="1">
        <f t="array" ref="S1803">IFERROR(_xlfn.SWITCH(L1803,1,_xlfn.XLOOKUP(O1803,[1]AttributeName!$B:$B,[1]AttributeName!$D:$D),2,_xlfn.XLOOKUP(C1803,#REF!,#REF!),3,_xlfn.XLOOKUP(C1803,#REF!,#REF!)),0)</f>
        <v>0</v>
      </c>
      <c r="T1803" cm="1">
        <f t="array" ref="T1803">IFERROR(_xlfn.SWITCH(L1803,1,_xlfn.XLOOKUP(O1803,[1]AttributeName!$B:$B,[1]AttributeName!$E:$E),2,_xlfn.XLOOKUP(C1803,#REF!,#REF!),3,_xlfn.XLOOKUP(C1803,#REF!,#REF!)),0)</f>
        <v>0</v>
      </c>
    </row>
    <row r="1804" customFormat="1" spans="1:20">
      <c r="A1804">
        <f t="shared" si="77"/>
        <v>757</v>
      </c>
      <c r="B1804">
        <v>7</v>
      </c>
      <c r="C1804" t="s">
        <v>426</v>
      </c>
      <c r="D1804" t="s">
        <v>30</v>
      </c>
      <c r="E1804" t="s">
        <v>392</v>
      </c>
      <c r="F1804"/>
      <c r="G1804">
        <v>2</v>
      </c>
      <c r="H1804">
        <v>500</v>
      </c>
      <c r="I1804">
        <v>3</v>
      </c>
      <c r="J1804" cm="1">
        <f t="array" ref="J1804">_xlfn.SWITCH(B1804,1,75,2,61,3,49,4,37,5,25,6,13,7,4,8,1)</f>
        <v>4</v>
      </c>
      <c r="K1804" t="str" cm="1">
        <f t="array" ref="K1804">IFERROR(_xlfn.SWITCH(L1804,2,_xlfn.XLOOKUP(C1804,[1]ModifierDes!$B:$B,[1]ModifierDes!$C:$C),3,_xlfn.XLOOKUP(C1804,[1]StuntDes!$B:$B,[1]StuntDes!$C:$C)),"")</f>
        <v>法术暴击伤害增加{0}</v>
      </c>
      <c r="L1804">
        <f t="shared" si="76"/>
        <v>2</v>
      </c>
      <c r="M1804" s="10" t="str">
        <f>IFERROR(_xlfn.XLOOKUP(C1804,[1]StuntDes!$B:$B,[1]StuntDes!$A:$A),"")</f>
        <v/>
      </c>
      <c r="N1804" s="10">
        <f>IFERROR(_xlfn.XLOOKUP(C1804,[1]ModifierDes!$B:$B,[1]ModifierDes!$A:$A),"")</f>
        <v>10061</v>
      </c>
      <c r="O1804" s="10" t="str">
        <f>IFERROR(_xlfn.XLOOKUP(C1804,[1]AttributeName!$C:$C,[1]AttributeName!$B:$B),"")</f>
        <v/>
      </c>
      <c r="P1804" s="10"/>
      <c r="Q1804">
        <v>0.12</v>
      </c>
      <c r="R1804">
        <v>0.18</v>
      </c>
      <c r="S1804" cm="1">
        <f t="array" ref="S1804">IFERROR(_xlfn.SWITCH(L1804,1,_xlfn.XLOOKUP(O1804,[1]AttributeName!$B:$B,[1]AttributeName!$D:$D),2,_xlfn.XLOOKUP(C1804,#REF!,#REF!),3,_xlfn.XLOOKUP(C1804,#REF!,#REF!)),0)</f>
        <v>0</v>
      </c>
      <c r="T1804" cm="1">
        <f t="array" ref="T1804">IFERROR(_xlfn.SWITCH(L1804,1,_xlfn.XLOOKUP(O1804,[1]AttributeName!$B:$B,[1]AttributeName!$E:$E),2,_xlfn.XLOOKUP(C1804,#REF!,#REF!),3,_xlfn.XLOOKUP(C1804,#REF!,#REF!)),0)</f>
        <v>0</v>
      </c>
    </row>
    <row r="1805" customFormat="1" spans="1:20">
      <c r="A1805">
        <f t="shared" si="77"/>
        <v>757</v>
      </c>
      <c r="B1805">
        <v>8</v>
      </c>
      <c r="C1805" t="s">
        <v>426</v>
      </c>
      <c r="D1805" t="s">
        <v>30</v>
      </c>
      <c r="E1805" t="s">
        <v>392</v>
      </c>
      <c r="F1805"/>
      <c r="G1805">
        <v>2</v>
      </c>
      <c r="H1805">
        <v>500</v>
      </c>
      <c r="I1805">
        <v>3</v>
      </c>
      <c r="J1805" cm="1">
        <f t="array" ref="J1805">_xlfn.SWITCH(B1805,1,75,2,61,3,49,4,37,5,25,6,13,7,4,8,1)</f>
        <v>1</v>
      </c>
      <c r="K1805" t="str" cm="1">
        <f t="array" ref="K1805">IFERROR(_xlfn.SWITCH(L1805,2,_xlfn.XLOOKUP(C1805,[1]ModifierDes!$B:$B,[1]ModifierDes!$C:$C),3,_xlfn.XLOOKUP(C1805,[1]StuntDes!$B:$B,[1]StuntDes!$C:$C)),"")</f>
        <v>法术暴击伤害增加{0}</v>
      </c>
      <c r="L1805">
        <f t="shared" si="76"/>
        <v>2</v>
      </c>
      <c r="M1805" s="10" t="str">
        <f>IFERROR(_xlfn.XLOOKUP(C1805,[1]StuntDes!$B:$B,[1]StuntDes!$A:$A),"")</f>
        <v/>
      </c>
      <c r="N1805" s="10">
        <f>IFERROR(_xlfn.XLOOKUP(C1805,[1]ModifierDes!$B:$B,[1]ModifierDes!$A:$A),"")</f>
        <v>10061</v>
      </c>
      <c r="O1805" s="10" t="str">
        <f>IFERROR(_xlfn.XLOOKUP(C1805,[1]AttributeName!$C:$C,[1]AttributeName!$B:$B),"")</f>
        <v/>
      </c>
      <c r="P1805" s="10"/>
      <c r="Q1805">
        <v>0.04</v>
      </c>
      <c r="R1805">
        <v>0.1</v>
      </c>
      <c r="S1805" cm="1">
        <f t="array" ref="S1805">IFERROR(_xlfn.SWITCH(L1805,1,_xlfn.XLOOKUP(O1805,[1]AttributeName!$B:$B,[1]AttributeName!$D:$D),2,_xlfn.XLOOKUP(C1805,#REF!,#REF!),3,_xlfn.XLOOKUP(C1805,#REF!,#REF!)),0)</f>
        <v>0</v>
      </c>
      <c r="T1805" cm="1">
        <f t="array" ref="T1805">IFERROR(_xlfn.SWITCH(L1805,1,_xlfn.XLOOKUP(O1805,[1]AttributeName!$B:$B,[1]AttributeName!$E:$E),2,_xlfn.XLOOKUP(C1805,#REF!,#REF!),3,_xlfn.XLOOKUP(C1805,#REF!,#REF!)),0)</f>
        <v>0</v>
      </c>
    </row>
    <row r="1806" customFormat="1" spans="1:20">
      <c r="A1806">
        <f t="shared" si="77"/>
        <v>758</v>
      </c>
      <c r="B1806">
        <v>1</v>
      </c>
      <c r="C1806" t="s">
        <v>401</v>
      </c>
      <c r="D1806" t="s">
        <v>30</v>
      </c>
      <c r="E1806" t="s">
        <v>392</v>
      </c>
      <c r="F1806"/>
      <c r="G1806">
        <v>2</v>
      </c>
      <c r="H1806">
        <v>50</v>
      </c>
      <c r="I1806">
        <v>3</v>
      </c>
      <c r="J1806" cm="1">
        <f t="array" ref="J1806">_xlfn.SWITCH(B1806,1,75,2,61,3,49,4,37,5,25,6,13,7,4,8,1)</f>
        <v>75</v>
      </c>
      <c r="K1806" t="str" cm="1">
        <f t="array" ref="K1806">IFERROR(_xlfn.SWITCH(L1806,2,_xlfn.XLOOKUP(C1806,[1]ModifierDes!$B:$B,[1]ModifierDes!$C:$C),3,_xlfn.XLOOKUP(C1806,[1]StuntDes!$B:$B,[1]StuntDes!$C:$C)),"")</f>
        <v/>
      </c>
      <c r="L1806">
        <f t="shared" si="76"/>
        <v>1</v>
      </c>
      <c r="M1806" s="10" t="str">
        <f>IFERROR(_xlfn.XLOOKUP(C1806,[1]StuntDes!$B:$B,[1]StuntDes!$A:$A),"")</f>
        <v/>
      </c>
      <c r="N1806" s="10" t="str">
        <f>IFERROR(_xlfn.XLOOKUP(C1806,[1]ModifierDes!$B:$B,[1]ModifierDes!$A:$A),"")</f>
        <v/>
      </c>
      <c r="O1806" s="10">
        <f>IFERROR(_xlfn.XLOOKUP(C1806,[1]AttributeName!$C:$C,[1]AttributeName!$B:$B),"")</f>
        <v>10500</v>
      </c>
      <c r="P1806" s="10"/>
      <c r="Q1806">
        <v>0.3</v>
      </c>
      <c r="R1806">
        <v>0.4</v>
      </c>
      <c r="S1806" cm="1">
        <f t="array" ref="S1806">IFERROR(_xlfn.SWITCH(L1806,1,_xlfn.XLOOKUP(O1806,[1]AttributeName!$B:$B,[1]AttributeName!$D:$D),2,_xlfn.XLOOKUP(C1806,#REF!,#REF!),3,_xlfn.XLOOKUP(C1806,#REF!,#REF!)),0)</f>
        <v>2</v>
      </c>
      <c r="T1806" cm="1">
        <f t="array" ref="T1806">IFERROR(_xlfn.SWITCH(L1806,1,_xlfn.XLOOKUP(O1806,[1]AttributeName!$B:$B,[1]AttributeName!$E:$E),2,_xlfn.XLOOKUP(C1806,#REF!,#REF!),3,_xlfn.XLOOKUP(C1806,#REF!,#REF!)),0)</f>
        <v>2</v>
      </c>
    </row>
    <row r="1807" customFormat="1" spans="1:20">
      <c r="A1807">
        <f t="shared" si="77"/>
        <v>758</v>
      </c>
      <c r="B1807">
        <v>2</v>
      </c>
      <c r="C1807" t="s">
        <v>401</v>
      </c>
      <c r="D1807" t="s">
        <v>30</v>
      </c>
      <c r="E1807" t="s">
        <v>392</v>
      </c>
      <c r="F1807"/>
      <c r="G1807">
        <v>2</v>
      </c>
      <c r="H1807">
        <v>100</v>
      </c>
      <c r="I1807">
        <v>3</v>
      </c>
      <c r="J1807" cm="1">
        <f t="array" ref="J1807">_xlfn.SWITCH(B1807,1,75,2,61,3,49,4,37,5,25,6,13,7,4,8,1)</f>
        <v>61</v>
      </c>
      <c r="K1807" t="str" cm="1">
        <f t="array" ref="K1807">IFERROR(_xlfn.SWITCH(L1807,2,_xlfn.XLOOKUP(C1807,[1]ModifierDes!$B:$B,[1]ModifierDes!$C:$C),3,_xlfn.XLOOKUP(C1807,[1]StuntDes!$B:$B,[1]StuntDes!$C:$C)),"")</f>
        <v/>
      </c>
      <c r="L1807">
        <f t="shared" si="76"/>
        <v>1</v>
      </c>
      <c r="M1807" s="10" t="str">
        <f>IFERROR(_xlfn.XLOOKUP(C1807,[1]StuntDes!$B:$B,[1]StuntDes!$A:$A),"")</f>
        <v/>
      </c>
      <c r="N1807" s="10" t="str">
        <f>IFERROR(_xlfn.XLOOKUP(C1807,[1]ModifierDes!$B:$B,[1]ModifierDes!$A:$A),"")</f>
        <v/>
      </c>
      <c r="O1807" s="10">
        <f>IFERROR(_xlfn.XLOOKUP(C1807,[1]AttributeName!$C:$C,[1]AttributeName!$B:$B),"")</f>
        <v>10500</v>
      </c>
      <c r="P1807" s="10"/>
      <c r="Q1807">
        <v>0.26</v>
      </c>
      <c r="R1807">
        <v>0.29</v>
      </c>
      <c r="S1807" cm="1">
        <f t="array" ref="S1807">IFERROR(_xlfn.SWITCH(L1807,1,_xlfn.XLOOKUP(O1807,[1]AttributeName!$B:$B,[1]AttributeName!$D:$D),2,_xlfn.XLOOKUP(C1807,#REF!,#REF!),3,_xlfn.XLOOKUP(C1807,#REF!,#REF!)),0)</f>
        <v>2</v>
      </c>
      <c r="T1807" cm="1">
        <f t="array" ref="T1807">IFERROR(_xlfn.SWITCH(L1807,1,_xlfn.XLOOKUP(O1807,[1]AttributeName!$B:$B,[1]AttributeName!$E:$E),2,_xlfn.XLOOKUP(C1807,#REF!,#REF!),3,_xlfn.XLOOKUP(C1807,#REF!,#REF!)),0)</f>
        <v>2</v>
      </c>
    </row>
    <row r="1808" customFormat="1" spans="1:20">
      <c r="A1808">
        <f t="shared" si="77"/>
        <v>758</v>
      </c>
      <c r="B1808">
        <v>3</v>
      </c>
      <c r="C1808" t="s">
        <v>401</v>
      </c>
      <c r="D1808" t="s">
        <v>30</v>
      </c>
      <c r="E1808" t="s">
        <v>392</v>
      </c>
      <c r="F1808"/>
      <c r="G1808">
        <v>2</v>
      </c>
      <c r="H1808">
        <v>250</v>
      </c>
      <c r="I1808">
        <v>3</v>
      </c>
      <c r="J1808" cm="1">
        <f t="array" ref="J1808">_xlfn.SWITCH(B1808,1,75,2,61,3,49,4,37,5,25,6,13,7,4,8,1)</f>
        <v>49</v>
      </c>
      <c r="K1808" t="str" cm="1">
        <f t="array" ref="K1808">IFERROR(_xlfn.SWITCH(L1808,2,_xlfn.XLOOKUP(C1808,[1]ModifierDes!$B:$B,[1]ModifierDes!$C:$C),3,_xlfn.XLOOKUP(C1808,[1]StuntDes!$B:$B,[1]StuntDes!$C:$C)),"")</f>
        <v/>
      </c>
      <c r="L1808">
        <f t="shared" si="76"/>
        <v>1</v>
      </c>
      <c r="M1808" s="10" t="str">
        <f>IFERROR(_xlfn.XLOOKUP(C1808,[1]StuntDes!$B:$B,[1]StuntDes!$A:$A),"")</f>
        <v/>
      </c>
      <c r="N1808" s="10" t="str">
        <f>IFERROR(_xlfn.XLOOKUP(C1808,[1]ModifierDes!$B:$B,[1]ModifierDes!$A:$A),"")</f>
        <v/>
      </c>
      <c r="O1808" s="10">
        <f>IFERROR(_xlfn.XLOOKUP(C1808,[1]AttributeName!$C:$C,[1]AttributeName!$B:$B),"")</f>
        <v>10500</v>
      </c>
      <c r="P1808" s="10"/>
      <c r="Q1808">
        <v>0.22</v>
      </c>
      <c r="R1808">
        <v>0.25</v>
      </c>
      <c r="S1808" cm="1">
        <f t="array" ref="S1808">IFERROR(_xlfn.SWITCH(L1808,1,_xlfn.XLOOKUP(O1808,[1]AttributeName!$B:$B,[1]AttributeName!$D:$D),2,_xlfn.XLOOKUP(C1808,#REF!,#REF!),3,_xlfn.XLOOKUP(C1808,#REF!,#REF!)),0)</f>
        <v>2</v>
      </c>
      <c r="T1808" cm="1">
        <f t="array" ref="T1808">IFERROR(_xlfn.SWITCH(L1808,1,_xlfn.XLOOKUP(O1808,[1]AttributeName!$B:$B,[1]AttributeName!$E:$E),2,_xlfn.XLOOKUP(C1808,#REF!,#REF!),3,_xlfn.XLOOKUP(C1808,#REF!,#REF!)),0)</f>
        <v>2</v>
      </c>
    </row>
    <row r="1809" customFormat="1" spans="1:20">
      <c r="A1809">
        <f t="shared" si="77"/>
        <v>758</v>
      </c>
      <c r="B1809">
        <v>4</v>
      </c>
      <c r="C1809" t="s">
        <v>401</v>
      </c>
      <c r="D1809" t="s">
        <v>30</v>
      </c>
      <c r="E1809" t="s">
        <v>392</v>
      </c>
      <c r="F1809"/>
      <c r="G1809">
        <v>2</v>
      </c>
      <c r="H1809">
        <v>500</v>
      </c>
      <c r="I1809">
        <v>3</v>
      </c>
      <c r="J1809" cm="1">
        <f t="array" ref="J1809">_xlfn.SWITCH(B1809,1,75,2,61,3,49,4,37,5,25,6,13,7,4,8,1)</f>
        <v>37</v>
      </c>
      <c r="K1809" t="str" cm="1">
        <f t="array" ref="K1809">IFERROR(_xlfn.SWITCH(L1809,2,_xlfn.XLOOKUP(C1809,[1]ModifierDes!$B:$B,[1]ModifierDes!$C:$C),3,_xlfn.XLOOKUP(C1809,[1]StuntDes!$B:$B,[1]StuntDes!$C:$C)),"")</f>
        <v/>
      </c>
      <c r="L1809">
        <f t="shared" si="76"/>
        <v>1</v>
      </c>
      <c r="M1809" s="10" t="str">
        <f>IFERROR(_xlfn.XLOOKUP(C1809,[1]StuntDes!$B:$B,[1]StuntDes!$A:$A),"")</f>
        <v/>
      </c>
      <c r="N1809" s="10" t="str">
        <f>IFERROR(_xlfn.XLOOKUP(C1809,[1]ModifierDes!$B:$B,[1]ModifierDes!$A:$A),"")</f>
        <v/>
      </c>
      <c r="O1809" s="10">
        <f>IFERROR(_xlfn.XLOOKUP(C1809,[1]AttributeName!$C:$C,[1]AttributeName!$B:$B),"")</f>
        <v>10500</v>
      </c>
      <c r="P1809" s="10"/>
      <c r="Q1809">
        <v>0.18</v>
      </c>
      <c r="R1809">
        <v>0.21</v>
      </c>
      <c r="S1809" cm="1">
        <f t="array" ref="S1809">IFERROR(_xlfn.SWITCH(L1809,1,_xlfn.XLOOKUP(O1809,[1]AttributeName!$B:$B,[1]AttributeName!$D:$D),2,_xlfn.XLOOKUP(C1809,#REF!,#REF!),3,_xlfn.XLOOKUP(C1809,#REF!,#REF!)),0)</f>
        <v>2</v>
      </c>
      <c r="T1809" cm="1">
        <f t="array" ref="T1809">IFERROR(_xlfn.SWITCH(L1809,1,_xlfn.XLOOKUP(O1809,[1]AttributeName!$B:$B,[1]AttributeName!$E:$E),2,_xlfn.XLOOKUP(C1809,#REF!,#REF!),3,_xlfn.XLOOKUP(C1809,#REF!,#REF!)),0)</f>
        <v>2</v>
      </c>
    </row>
    <row r="1810" customFormat="1" spans="1:20">
      <c r="A1810">
        <f t="shared" si="77"/>
        <v>758</v>
      </c>
      <c r="B1810">
        <v>5</v>
      </c>
      <c r="C1810" t="s">
        <v>401</v>
      </c>
      <c r="D1810" t="s">
        <v>30</v>
      </c>
      <c r="E1810" t="s">
        <v>392</v>
      </c>
      <c r="F1810"/>
      <c r="G1810">
        <v>2</v>
      </c>
      <c r="H1810">
        <v>500</v>
      </c>
      <c r="I1810">
        <v>3</v>
      </c>
      <c r="J1810" cm="1">
        <f t="array" ref="J1810">_xlfn.SWITCH(B1810,1,75,2,61,3,49,4,37,5,25,6,13,7,4,8,1)</f>
        <v>25</v>
      </c>
      <c r="K1810" t="str" cm="1">
        <f t="array" ref="K1810">IFERROR(_xlfn.SWITCH(L1810,2,_xlfn.XLOOKUP(C1810,[1]ModifierDes!$B:$B,[1]ModifierDes!$C:$C),3,_xlfn.XLOOKUP(C1810,[1]StuntDes!$B:$B,[1]StuntDes!$C:$C)),"")</f>
        <v/>
      </c>
      <c r="L1810">
        <f t="shared" si="76"/>
        <v>1</v>
      </c>
      <c r="M1810" s="10" t="str">
        <f>IFERROR(_xlfn.XLOOKUP(C1810,[1]StuntDes!$B:$B,[1]StuntDes!$A:$A),"")</f>
        <v/>
      </c>
      <c r="N1810" s="10" t="str">
        <f>IFERROR(_xlfn.XLOOKUP(C1810,[1]ModifierDes!$B:$B,[1]ModifierDes!$A:$A),"")</f>
        <v/>
      </c>
      <c r="O1810" s="10">
        <f>IFERROR(_xlfn.XLOOKUP(C1810,[1]AttributeName!$C:$C,[1]AttributeName!$B:$B),"")</f>
        <v>10500</v>
      </c>
      <c r="P1810" s="10"/>
      <c r="Q1810">
        <v>0.14</v>
      </c>
      <c r="R1810">
        <v>0.17</v>
      </c>
      <c r="S1810" cm="1">
        <f t="array" ref="S1810">IFERROR(_xlfn.SWITCH(L1810,1,_xlfn.XLOOKUP(O1810,[1]AttributeName!$B:$B,[1]AttributeName!$D:$D),2,_xlfn.XLOOKUP(C1810,#REF!,#REF!),3,_xlfn.XLOOKUP(C1810,#REF!,#REF!)),0)</f>
        <v>2</v>
      </c>
      <c r="T1810" cm="1">
        <f t="array" ref="T1810">IFERROR(_xlfn.SWITCH(L1810,1,_xlfn.XLOOKUP(O1810,[1]AttributeName!$B:$B,[1]AttributeName!$E:$E),2,_xlfn.XLOOKUP(C1810,#REF!,#REF!),3,_xlfn.XLOOKUP(C1810,#REF!,#REF!)),0)</f>
        <v>2</v>
      </c>
    </row>
    <row r="1811" customFormat="1" spans="1:20">
      <c r="A1811">
        <f t="shared" si="77"/>
        <v>758</v>
      </c>
      <c r="B1811">
        <v>6</v>
      </c>
      <c r="C1811" t="s">
        <v>401</v>
      </c>
      <c r="D1811" t="s">
        <v>30</v>
      </c>
      <c r="E1811" t="s">
        <v>392</v>
      </c>
      <c r="F1811"/>
      <c r="G1811">
        <v>2</v>
      </c>
      <c r="H1811">
        <v>500</v>
      </c>
      <c r="I1811">
        <v>3</v>
      </c>
      <c r="J1811" cm="1">
        <f t="array" ref="J1811">_xlfn.SWITCH(B1811,1,75,2,61,3,49,4,37,5,25,6,13,7,4,8,1)</f>
        <v>13</v>
      </c>
      <c r="K1811" t="str" cm="1">
        <f t="array" ref="K1811">IFERROR(_xlfn.SWITCH(L1811,2,_xlfn.XLOOKUP(C1811,[1]ModifierDes!$B:$B,[1]ModifierDes!$C:$C),3,_xlfn.XLOOKUP(C1811,[1]StuntDes!$B:$B,[1]StuntDes!$C:$C)),"")</f>
        <v/>
      </c>
      <c r="L1811">
        <f t="shared" si="76"/>
        <v>1</v>
      </c>
      <c r="M1811" s="10" t="str">
        <f>IFERROR(_xlfn.XLOOKUP(C1811,[1]StuntDes!$B:$B,[1]StuntDes!$A:$A),"")</f>
        <v/>
      </c>
      <c r="N1811" s="10" t="str">
        <f>IFERROR(_xlfn.XLOOKUP(C1811,[1]ModifierDes!$B:$B,[1]ModifierDes!$A:$A),"")</f>
        <v/>
      </c>
      <c r="O1811" s="10">
        <f>IFERROR(_xlfn.XLOOKUP(C1811,[1]AttributeName!$C:$C,[1]AttributeName!$B:$B),"")</f>
        <v>10500</v>
      </c>
      <c r="P1811" s="10"/>
      <c r="Q1811">
        <v>0.1</v>
      </c>
      <c r="R1811">
        <v>0.13</v>
      </c>
      <c r="S1811" cm="1">
        <f t="array" ref="S1811">IFERROR(_xlfn.SWITCH(L1811,1,_xlfn.XLOOKUP(O1811,[1]AttributeName!$B:$B,[1]AttributeName!$D:$D),2,_xlfn.XLOOKUP(C1811,#REF!,#REF!),3,_xlfn.XLOOKUP(C1811,#REF!,#REF!)),0)</f>
        <v>2</v>
      </c>
      <c r="T1811" cm="1">
        <f t="array" ref="T1811">IFERROR(_xlfn.SWITCH(L1811,1,_xlfn.XLOOKUP(O1811,[1]AttributeName!$B:$B,[1]AttributeName!$E:$E),2,_xlfn.XLOOKUP(C1811,#REF!,#REF!),3,_xlfn.XLOOKUP(C1811,#REF!,#REF!)),0)</f>
        <v>2</v>
      </c>
    </row>
    <row r="1812" customFormat="1" spans="1:20">
      <c r="A1812">
        <f t="shared" si="77"/>
        <v>758</v>
      </c>
      <c r="B1812">
        <v>7</v>
      </c>
      <c r="C1812" t="s">
        <v>401</v>
      </c>
      <c r="D1812" t="s">
        <v>30</v>
      </c>
      <c r="E1812" t="s">
        <v>392</v>
      </c>
      <c r="F1812"/>
      <c r="G1812">
        <v>2</v>
      </c>
      <c r="H1812">
        <v>500</v>
      </c>
      <c r="I1812">
        <v>3</v>
      </c>
      <c r="J1812" cm="1">
        <f t="array" ref="J1812">_xlfn.SWITCH(B1812,1,75,2,61,3,49,4,37,5,25,6,13,7,4,8,1)</f>
        <v>4</v>
      </c>
      <c r="K1812" t="str" cm="1">
        <f t="array" ref="K1812">IFERROR(_xlfn.SWITCH(L1812,2,_xlfn.XLOOKUP(C1812,[1]ModifierDes!$B:$B,[1]ModifierDes!$C:$C),3,_xlfn.XLOOKUP(C1812,[1]StuntDes!$B:$B,[1]StuntDes!$C:$C)),"")</f>
        <v/>
      </c>
      <c r="L1812">
        <f t="shared" si="76"/>
        <v>1</v>
      </c>
      <c r="M1812" s="10" t="str">
        <f>IFERROR(_xlfn.XLOOKUP(C1812,[1]StuntDes!$B:$B,[1]StuntDes!$A:$A),"")</f>
        <v/>
      </c>
      <c r="N1812" s="10" t="str">
        <f>IFERROR(_xlfn.XLOOKUP(C1812,[1]ModifierDes!$B:$B,[1]ModifierDes!$A:$A),"")</f>
        <v/>
      </c>
      <c r="O1812" s="10">
        <f>IFERROR(_xlfn.XLOOKUP(C1812,[1]AttributeName!$C:$C,[1]AttributeName!$B:$B),"")</f>
        <v>10500</v>
      </c>
      <c r="P1812" s="10"/>
      <c r="Q1812">
        <v>0.06</v>
      </c>
      <c r="R1812">
        <v>0.0900000000000001</v>
      </c>
      <c r="S1812" cm="1">
        <f t="array" ref="S1812">IFERROR(_xlfn.SWITCH(L1812,1,_xlfn.XLOOKUP(O1812,[1]AttributeName!$B:$B,[1]AttributeName!$D:$D),2,_xlfn.XLOOKUP(C1812,#REF!,#REF!),3,_xlfn.XLOOKUP(C1812,#REF!,#REF!)),0)</f>
        <v>2</v>
      </c>
      <c r="T1812" cm="1">
        <f t="array" ref="T1812">IFERROR(_xlfn.SWITCH(L1812,1,_xlfn.XLOOKUP(O1812,[1]AttributeName!$B:$B,[1]AttributeName!$E:$E),2,_xlfn.XLOOKUP(C1812,#REF!,#REF!),3,_xlfn.XLOOKUP(C1812,#REF!,#REF!)),0)</f>
        <v>2</v>
      </c>
    </row>
    <row r="1813" customFormat="1" spans="1:20">
      <c r="A1813">
        <f t="shared" si="77"/>
        <v>758</v>
      </c>
      <c r="B1813">
        <v>8</v>
      </c>
      <c r="C1813" t="s">
        <v>401</v>
      </c>
      <c r="D1813" t="s">
        <v>30</v>
      </c>
      <c r="E1813" t="s">
        <v>392</v>
      </c>
      <c r="F1813"/>
      <c r="G1813">
        <v>2</v>
      </c>
      <c r="H1813">
        <v>500</v>
      </c>
      <c r="I1813">
        <v>3</v>
      </c>
      <c r="J1813" cm="1">
        <f t="array" ref="J1813">_xlfn.SWITCH(B1813,1,75,2,61,3,49,4,37,5,25,6,13,7,4,8,1)</f>
        <v>1</v>
      </c>
      <c r="K1813" t="str" cm="1">
        <f t="array" ref="K1813">IFERROR(_xlfn.SWITCH(L1813,2,_xlfn.XLOOKUP(C1813,[1]ModifierDes!$B:$B,[1]ModifierDes!$C:$C),3,_xlfn.XLOOKUP(C1813,[1]StuntDes!$B:$B,[1]StuntDes!$C:$C)),"")</f>
        <v/>
      </c>
      <c r="L1813">
        <f t="shared" si="76"/>
        <v>1</v>
      </c>
      <c r="M1813" s="10" t="str">
        <f>IFERROR(_xlfn.XLOOKUP(C1813,[1]StuntDes!$B:$B,[1]StuntDes!$A:$A),"")</f>
        <v/>
      </c>
      <c r="N1813" s="10" t="str">
        <f>IFERROR(_xlfn.XLOOKUP(C1813,[1]ModifierDes!$B:$B,[1]ModifierDes!$A:$A),"")</f>
        <v/>
      </c>
      <c r="O1813" s="10">
        <f>IFERROR(_xlfn.XLOOKUP(C1813,[1]AttributeName!$C:$C,[1]AttributeName!$B:$B),"")</f>
        <v>10500</v>
      </c>
      <c r="P1813" s="10"/>
      <c r="Q1813">
        <v>0.02</v>
      </c>
      <c r="R1813">
        <v>0.0500000000000001</v>
      </c>
      <c r="S1813" cm="1">
        <f t="array" ref="S1813">IFERROR(_xlfn.SWITCH(L1813,1,_xlfn.XLOOKUP(O1813,[1]AttributeName!$B:$B,[1]AttributeName!$D:$D),2,_xlfn.XLOOKUP(C1813,#REF!,#REF!),3,_xlfn.XLOOKUP(C1813,#REF!,#REF!)),0)</f>
        <v>2</v>
      </c>
      <c r="T1813" cm="1">
        <f t="array" ref="T1813">IFERROR(_xlfn.SWITCH(L1813,1,_xlfn.XLOOKUP(O1813,[1]AttributeName!$B:$B,[1]AttributeName!$E:$E),2,_xlfn.XLOOKUP(C1813,#REF!,#REF!),3,_xlfn.XLOOKUP(C1813,#REF!,#REF!)),0)</f>
        <v>2</v>
      </c>
    </row>
    <row r="1814" customFormat="1" spans="1:20">
      <c r="A1814">
        <f t="shared" si="77"/>
        <v>759</v>
      </c>
      <c r="B1814">
        <v>1</v>
      </c>
      <c r="C1814" t="s">
        <v>402</v>
      </c>
      <c r="D1814" t="s">
        <v>30</v>
      </c>
      <c r="E1814" t="s">
        <v>392</v>
      </c>
      <c r="F1814"/>
      <c r="G1814">
        <v>2</v>
      </c>
      <c r="H1814">
        <v>50</v>
      </c>
      <c r="I1814">
        <v>3</v>
      </c>
      <c r="J1814" cm="1">
        <f t="array" ref="J1814">_xlfn.SWITCH(B1814,1,75,2,61,3,49,4,37,5,25,6,13,7,4,8,1)</f>
        <v>75</v>
      </c>
      <c r="K1814" t="str" cm="1">
        <f t="array" ref="K1814">IFERROR(_xlfn.SWITCH(L1814,2,_xlfn.XLOOKUP(C1814,[1]ModifierDes!$B:$B,[1]ModifierDes!$C:$C),3,_xlfn.XLOOKUP(C1814,[1]StuntDes!$B:$B,[1]StuntDes!$C:$C)),"")</f>
        <v/>
      </c>
      <c r="L1814">
        <f t="shared" si="76"/>
        <v>1</v>
      </c>
      <c r="M1814" s="10" t="str">
        <f>IFERROR(_xlfn.XLOOKUP(C1814,[1]StuntDes!$B:$B,[1]StuntDes!$A:$A),"")</f>
        <v/>
      </c>
      <c r="N1814" s="10" t="str">
        <f>IFERROR(_xlfn.XLOOKUP(C1814,[1]ModifierDes!$B:$B,[1]ModifierDes!$A:$A),"")</f>
        <v/>
      </c>
      <c r="O1814" s="10">
        <f>IFERROR(_xlfn.XLOOKUP(C1814,[1]AttributeName!$C:$C,[1]AttributeName!$B:$B),"")</f>
        <v>10501</v>
      </c>
      <c r="P1814" s="10"/>
      <c r="Q1814">
        <v>0.3</v>
      </c>
      <c r="R1814">
        <v>0.4</v>
      </c>
      <c r="S1814" cm="1">
        <f t="array" ref="S1814">IFERROR(_xlfn.SWITCH(L1814,1,_xlfn.XLOOKUP(O1814,[1]AttributeName!$B:$B,[1]AttributeName!$D:$D),2,_xlfn.XLOOKUP(C1814,#REF!,#REF!),3,_xlfn.XLOOKUP(C1814,#REF!,#REF!)),0)</f>
        <v>2</v>
      </c>
      <c r="T1814" cm="1">
        <f t="array" ref="T1814">IFERROR(_xlfn.SWITCH(L1814,1,_xlfn.XLOOKUP(O1814,[1]AttributeName!$B:$B,[1]AttributeName!$E:$E),2,_xlfn.XLOOKUP(C1814,#REF!,#REF!),3,_xlfn.XLOOKUP(C1814,#REF!,#REF!)),0)</f>
        <v>2</v>
      </c>
    </row>
    <row r="1815" customFormat="1" spans="1:20">
      <c r="A1815">
        <f t="shared" si="77"/>
        <v>759</v>
      </c>
      <c r="B1815">
        <v>2</v>
      </c>
      <c r="C1815" t="s">
        <v>402</v>
      </c>
      <c r="D1815" t="s">
        <v>30</v>
      </c>
      <c r="E1815" t="s">
        <v>392</v>
      </c>
      <c r="F1815"/>
      <c r="G1815">
        <v>2</v>
      </c>
      <c r="H1815">
        <v>100</v>
      </c>
      <c r="I1815">
        <v>3</v>
      </c>
      <c r="J1815" cm="1">
        <f t="array" ref="J1815">_xlfn.SWITCH(B1815,1,75,2,61,3,49,4,37,5,25,6,13,7,4,8,1)</f>
        <v>61</v>
      </c>
      <c r="K1815" t="str" cm="1">
        <f t="array" ref="K1815">IFERROR(_xlfn.SWITCH(L1815,2,_xlfn.XLOOKUP(C1815,[1]ModifierDes!$B:$B,[1]ModifierDes!$C:$C),3,_xlfn.XLOOKUP(C1815,[1]StuntDes!$B:$B,[1]StuntDes!$C:$C)),"")</f>
        <v/>
      </c>
      <c r="L1815">
        <f t="shared" si="76"/>
        <v>1</v>
      </c>
      <c r="M1815" s="10" t="str">
        <f>IFERROR(_xlfn.XLOOKUP(C1815,[1]StuntDes!$B:$B,[1]StuntDes!$A:$A),"")</f>
        <v/>
      </c>
      <c r="N1815" s="10" t="str">
        <f>IFERROR(_xlfn.XLOOKUP(C1815,[1]ModifierDes!$B:$B,[1]ModifierDes!$A:$A),"")</f>
        <v/>
      </c>
      <c r="O1815" s="10">
        <f>IFERROR(_xlfn.XLOOKUP(C1815,[1]AttributeName!$C:$C,[1]AttributeName!$B:$B),"")</f>
        <v>10501</v>
      </c>
      <c r="P1815" s="10"/>
      <c r="Q1815">
        <v>0.26</v>
      </c>
      <c r="R1815">
        <v>0.29</v>
      </c>
      <c r="S1815" cm="1">
        <f t="array" ref="S1815">IFERROR(_xlfn.SWITCH(L1815,1,_xlfn.XLOOKUP(O1815,[1]AttributeName!$B:$B,[1]AttributeName!$D:$D),2,_xlfn.XLOOKUP(C1815,#REF!,#REF!),3,_xlfn.XLOOKUP(C1815,#REF!,#REF!)),0)</f>
        <v>2</v>
      </c>
      <c r="T1815" cm="1">
        <f t="array" ref="T1815">IFERROR(_xlfn.SWITCH(L1815,1,_xlfn.XLOOKUP(O1815,[1]AttributeName!$B:$B,[1]AttributeName!$E:$E),2,_xlfn.XLOOKUP(C1815,#REF!,#REF!),3,_xlfn.XLOOKUP(C1815,#REF!,#REF!)),0)</f>
        <v>2</v>
      </c>
    </row>
    <row r="1816" customFormat="1" spans="1:20">
      <c r="A1816">
        <f t="shared" si="77"/>
        <v>759</v>
      </c>
      <c r="B1816">
        <v>3</v>
      </c>
      <c r="C1816" t="s">
        <v>402</v>
      </c>
      <c r="D1816" t="s">
        <v>30</v>
      </c>
      <c r="E1816" t="s">
        <v>392</v>
      </c>
      <c r="F1816"/>
      <c r="G1816">
        <v>2</v>
      </c>
      <c r="H1816">
        <v>250</v>
      </c>
      <c r="I1816">
        <v>3</v>
      </c>
      <c r="J1816" cm="1">
        <f t="array" ref="J1816">_xlfn.SWITCH(B1816,1,75,2,61,3,49,4,37,5,25,6,13,7,4,8,1)</f>
        <v>49</v>
      </c>
      <c r="K1816" t="str" cm="1">
        <f t="array" ref="K1816">IFERROR(_xlfn.SWITCH(L1816,2,_xlfn.XLOOKUP(C1816,[1]ModifierDes!$B:$B,[1]ModifierDes!$C:$C),3,_xlfn.XLOOKUP(C1816,[1]StuntDes!$B:$B,[1]StuntDes!$C:$C)),"")</f>
        <v/>
      </c>
      <c r="L1816">
        <f t="shared" si="76"/>
        <v>1</v>
      </c>
      <c r="M1816" s="10" t="str">
        <f>IFERROR(_xlfn.XLOOKUP(C1816,[1]StuntDes!$B:$B,[1]StuntDes!$A:$A),"")</f>
        <v/>
      </c>
      <c r="N1816" s="10" t="str">
        <f>IFERROR(_xlfn.XLOOKUP(C1816,[1]ModifierDes!$B:$B,[1]ModifierDes!$A:$A),"")</f>
        <v/>
      </c>
      <c r="O1816" s="10">
        <f>IFERROR(_xlfn.XLOOKUP(C1816,[1]AttributeName!$C:$C,[1]AttributeName!$B:$B),"")</f>
        <v>10501</v>
      </c>
      <c r="P1816" s="10"/>
      <c r="Q1816">
        <v>0.22</v>
      </c>
      <c r="R1816">
        <v>0.25</v>
      </c>
      <c r="S1816" cm="1">
        <f t="array" ref="S1816">IFERROR(_xlfn.SWITCH(L1816,1,_xlfn.XLOOKUP(O1816,[1]AttributeName!$B:$B,[1]AttributeName!$D:$D),2,_xlfn.XLOOKUP(C1816,#REF!,#REF!),3,_xlfn.XLOOKUP(C1816,#REF!,#REF!)),0)</f>
        <v>2</v>
      </c>
      <c r="T1816" cm="1">
        <f t="array" ref="T1816">IFERROR(_xlfn.SWITCH(L1816,1,_xlfn.XLOOKUP(O1816,[1]AttributeName!$B:$B,[1]AttributeName!$E:$E),2,_xlfn.XLOOKUP(C1816,#REF!,#REF!),3,_xlfn.XLOOKUP(C1816,#REF!,#REF!)),0)</f>
        <v>2</v>
      </c>
    </row>
    <row r="1817" customFormat="1" spans="1:20">
      <c r="A1817">
        <f t="shared" si="77"/>
        <v>759</v>
      </c>
      <c r="B1817">
        <v>4</v>
      </c>
      <c r="C1817" t="s">
        <v>402</v>
      </c>
      <c r="D1817" t="s">
        <v>30</v>
      </c>
      <c r="E1817" t="s">
        <v>392</v>
      </c>
      <c r="F1817"/>
      <c r="G1817">
        <v>2</v>
      </c>
      <c r="H1817">
        <v>500</v>
      </c>
      <c r="I1817">
        <v>3</v>
      </c>
      <c r="J1817" cm="1">
        <f t="array" ref="J1817">_xlfn.SWITCH(B1817,1,75,2,61,3,49,4,37,5,25,6,13,7,4,8,1)</f>
        <v>37</v>
      </c>
      <c r="K1817" t="str" cm="1">
        <f t="array" ref="K1817">IFERROR(_xlfn.SWITCH(L1817,2,_xlfn.XLOOKUP(C1817,[1]ModifierDes!$B:$B,[1]ModifierDes!$C:$C),3,_xlfn.XLOOKUP(C1817,[1]StuntDes!$B:$B,[1]StuntDes!$C:$C)),"")</f>
        <v/>
      </c>
      <c r="L1817">
        <f t="shared" si="76"/>
        <v>1</v>
      </c>
      <c r="M1817" s="10" t="str">
        <f>IFERROR(_xlfn.XLOOKUP(C1817,[1]StuntDes!$B:$B,[1]StuntDes!$A:$A),"")</f>
        <v/>
      </c>
      <c r="N1817" s="10" t="str">
        <f>IFERROR(_xlfn.XLOOKUP(C1817,[1]ModifierDes!$B:$B,[1]ModifierDes!$A:$A),"")</f>
        <v/>
      </c>
      <c r="O1817" s="10">
        <f>IFERROR(_xlfn.XLOOKUP(C1817,[1]AttributeName!$C:$C,[1]AttributeName!$B:$B),"")</f>
        <v>10501</v>
      </c>
      <c r="P1817" s="10"/>
      <c r="Q1817">
        <v>0.18</v>
      </c>
      <c r="R1817">
        <v>0.21</v>
      </c>
      <c r="S1817" cm="1">
        <f t="array" ref="S1817">IFERROR(_xlfn.SWITCH(L1817,1,_xlfn.XLOOKUP(O1817,[1]AttributeName!$B:$B,[1]AttributeName!$D:$D),2,_xlfn.XLOOKUP(C1817,#REF!,#REF!),3,_xlfn.XLOOKUP(C1817,#REF!,#REF!)),0)</f>
        <v>2</v>
      </c>
      <c r="T1817" cm="1">
        <f t="array" ref="T1817">IFERROR(_xlfn.SWITCH(L1817,1,_xlfn.XLOOKUP(O1817,[1]AttributeName!$B:$B,[1]AttributeName!$E:$E),2,_xlfn.XLOOKUP(C1817,#REF!,#REF!),3,_xlfn.XLOOKUP(C1817,#REF!,#REF!)),0)</f>
        <v>2</v>
      </c>
    </row>
    <row r="1818" customFormat="1" spans="1:20">
      <c r="A1818">
        <f t="shared" si="77"/>
        <v>759</v>
      </c>
      <c r="B1818">
        <v>5</v>
      </c>
      <c r="C1818" t="s">
        <v>402</v>
      </c>
      <c r="D1818" t="s">
        <v>30</v>
      </c>
      <c r="E1818" t="s">
        <v>392</v>
      </c>
      <c r="F1818"/>
      <c r="G1818">
        <v>2</v>
      </c>
      <c r="H1818">
        <v>500</v>
      </c>
      <c r="I1818">
        <v>3</v>
      </c>
      <c r="J1818" cm="1">
        <f t="array" ref="J1818">_xlfn.SWITCH(B1818,1,75,2,61,3,49,4,37,5,25,6,13,7,4,8,1)</f>
        <v>25</v>
      </c>
      <c r="K1818" t="str" cm="1">
        <f t="array" ref="K1818">IFERROR(_xlfn.SWITCH(L1818,2,_xlfn.XLOOKUP(C1818,[1]ModifierDes!$B:$B,[1]ModifierDes!$C:$C),3,_xlfn.XLOOKUP(C1818,[1]StuntDes!$B:$B,[1]StuntDes!$C:$C)),"")</f>
        <v/>
      </c>
      <c r="L1818">
        <f t="shared" si="76"/>
        <v>1</v>
      </c>
      <c r="M1818" s="10" t="str">
        <f>IFERROR(_xlfn.XLOOKUP(C1818,[1]StuntDes!$B:$B,[1]StuntDes!$A:$A),"")</f>
        <v/>
      </c>
      <c r="N1818" s="10" t="str">
        <f>IFERROR(_xlfn.XLOOKUP(C1818,[1]ModifierDes!$B:$B,[1]ModifierDes!$A:$A),"")</f>
        <v/>
      </c>
      <c r="O1818" s="10">
        <f>IFERROR(_xlfn.XLOOKUP(C1818,[1]AttributeName!$C:$C,[1]AttributeName!$B:$B),"")</f>
        <v>10501</v>
      </c>
      <c r="P1818" s="10"/>
      <c r="Q1818">
        <v>0.14</v>
      </c>
      <c r="R1818">
        <v>0.17</v>
      </c>
      <c r="S1818" cm="1">
        <f t="array" ref="S1818">IFERROR(_xlfn.SWITCH(L1818,1,_xlfn.XLOOKUP(O1818,[1]AttributeName!$B:$B,[1]AttributeName!$D:$D),2,_xlfn.XLOOKUP(C1818,#REF!,#REF!),3,_xlfn.XLOOKUP(C1818,#REF!,#REF!)),0)</f>
        <v>2</v>
      </c>
      <c r="T1818" cm="1">
        <f t="array" ref="T1818">IFERROR(_xlfn.SWITCH(L1818,1,_xlfn.XLOOKUP(O1818,[1]AttributeName!$B:$B,[1]AttributeName!$E:$E),2,_xlfn.XLOOKUP(C1818,#REF!,#REF!),3,_xlfn.XLOOKUP(C1818,#REF!,#REF!)),0)</f>
        <v>2</v>
      </c>
    </row>
    <row r="1819" customFormat="1" spans="1:20">
      <c r="A1819">
        <f t="shared" si="77"/>
        <v>759</v>
      </c>
      <c r="B1819">
        <v>6</v>
      </c>
      <c r="C1819" t="s">
        <v>402</v>
      </c>
      <c r="D1819" t="s">
        <v>30</v>
      </c>
      <c r="E1819" t="s">
        <v>392</v>
      </c>
      <c r="F1819"/>
      <c r="G1819">
        <v>2</v>
      </c>
      <c r="H1819">
        <v>500</v>
      </c>
      <c r="I1819">
        <v>3</v>
      </c>
      <c r="J1819" cm="1">
        <f t="array" ref="J1819">_xlfn.SWITCH(B1819,1,75,2,61,3,49,4,37,5,25,6,13,7,4,8,1)</f>
        <v>13</v>
      </c>
      <c r="K1819" t="str" cm="1">
        <f t="array" ref="K1819">IFERROR(_xlfn.SWITCH(L1819,2,_xlfn.XLOOKUP(C1819,[1]ModifierDes!$B:$B,[1]ModifierDes!$C:$C),3,_xlfn.XLOOKUP(C1819,[1]StuntDes!$B:$B,[1]StuntDes!$C:$C)),"")</f>
        <v/>
      </c>
      <c r="L1819">
        <f t="shared" si="76"/>
        <v>1</v>
      </c>
      <c r="M1819" s="10" t="str">
        <f>IFERROR(_xlfn.XLOOKUP(C1819,[1]StuntDes!$B:$B,[1]StuntDes!$A:$A),"")</f>
        <v/>
      </c>
      <c r="N1819" s="10" t="str">
        <f>IFERROR(_xlfn.XLOOKUP(C1819,[1]ModifierDes!$B:$B,[1]ModifierDes!$A:$A),"")</f>
        <v/>
      </c>
      <c r="O1819" s="10">
        <f>IFERROR(_xlfn.XLOOKUP(C1819,[1]AttributeName!$C:$C,[1]AttributeName!$B:$B),"")</f>
        <v>10501</v>
      </c>
      <c r="P1819" s="10"/>
      <c r="Q1819">
        <v>0.1</v>
      </c>
      <c r="R1819">
        <v>0.13</v>
      </c>
      <c r="S1819" cm="1">
        <f t="array" ref="S1819">IFERROR(_xlfn.SWITCH(L1819,1,_xlfn.XLOOKUP(O1819,[1]AttributeName!$B:$B,[1]AttributeName!$D:$D),2,_xlfn.XLOOKUP(C1819,#REF!,#REF!),3,_xlfn.XLOOKUP(C1819,#REF!,#REF!)),0)</f>
        <v>2</v>
      </c>
      <c r="T1819" cm="1">
        <f t="array" ref="T1819">IFERROR(_xlfn.SWITCH(L1819,1,_xlfn.XLOOKUP(O1819,[1]AttributeName!$B:$B,[1]AttributeName!$E:$E),2,_xlfn.XLOOKUP(C1819,#REF!,#REF!),3,_xlfn.XLOOKUP(C1819,#REF!,#REF!)),0)</f>
        <v>2</v>
      </c>
    </row>
    <row r="1820" customFormat="1" spans="1:20">
      <c r="A1820">
        <f t="shared" si="77"/>
        <v>759</v>
      </c>
      <c r="B1820">
        <v>7</v>
      </c>
      <c r="C1820" t="s">
        <v>402</v>
      </c>
      <c r="D1820" t="s">
        <v>30</v>
      </c>
      <c r="E1820" t="s">
        <v>392</v>
      </c>
      <c r="F1820"/>
      <c r="G1820">
        <v>2</v>
      </c>
      <c r="H1820">
        <v>500</v>
      </c>
      <c r="I1820">
        <v>3</v>
      </c>
      <c r="J1820" cm="1">
        <f t="array" ref="J1820">_xlfn.SWITCH(B1820,1,75,2,61,3,49,4,37,5,25,6,13,7,4,8,1)</f>
        <v>4</v>
      </c>
      <c r="K1820" t="str" cm="1">
        <f t="array" ref="K1820">IFERROR(_xlfn.SWITCH(L1820,2,_xlfn.XLOOKUP(C1820,[1]ModifierDes!$B:$B,[1]ModifierDes!$C:$C),3,_xlfn.XLOOKUP(C1820,[1]StuntDes!$B:$B,[1]StuntDes!$C:$C)),"")</f>
        <v/>
      </c>
      <c r="L1820">
        <f t="shared" si="76"/>
        <v>1</v>
      </c>
      <c r="M1820" s="10" t="str">
        <f>IFERROR(_xlfn.XLOOKUP(C1820,[1]StuntDes!$B:$B,[1]StuntDes!$A:$A),"")</f>
        <v/>
      </c>
      <c r="N1820" s="10" t="str">
        <f>IFERROR(_xlfn.XLOOKUP(C1820,[1]ModifierDes!$B:$B,[1]ModifierDes!$A:$A),"")</f>
        <v/>
      </c>
      <c r="O1820" s="10">
        <f>IFERROR(_xlfn.XLOOKUP(C1820,[1]AttributeName!$C:$C,[1]AttributeName!$B:$B),"")</f>
        <v>10501</v>
      </c>
      <c r="P1820" s="10"/>
      <c r="Q1820">
        <v>0.06</v>
      </c>
      <c r="R1820">
        <v>0.0900000000000001</v>
      </c>
      <c r="S1820" cm="1">
        <f t="array" ref="S1820">IFERROR(_xlfn.SWITCH(L1820,1,_xlfn.XLOOKUP(O1820,[1]AttributeName!$B:$B,[1]AttributeName!$D:$D),2,_xlfn.XLOOKUP(C1820,#REF!,#REF!),3,_xlfn.XLOOKUP(C1820,#REF!,#REF!)),0)</f>
        <v>2</v>
      </c>
      <c r="T1820" cm="1">
        <f t="array" ref="T1820">IFERROR(_xlfn.SWITCH(L1820,1,_xlfn.XLOOKUP(O1820,[1]AttributeName!$B:$B,[1]AttributeName!$E:$E),2,_xlfn.XLOOKUP(C1820,#REF!,#REF!),3,_xlfn.XLOOKUP(C1820,#REF!,#REF!)),0)</f>
        <v>2</v>
      </c>
    </row>
    <row r="1821" customFormat="1" spans="1:20">
      <c r="A1821">
        <f t="shared" si="77"/>
        <v>759</v>
      </c>
      <c r="B1821">
        <v>8</v>
      </c>
      <c r="C1821" t="s">
        <v>402</v>
      </c>
      <c r="D1821" t="s">
        <v>30</v>
      </c>
      <c r="E1821" t="s">
        <v>392</v>
      </c>
      <c r="F1821"/>
      <c r="G1821">
        <v>2</v>
      </c>
      <c r="H1821">
        <v>500</v>
      </c>
      <c r="I1821">
        <v>3</v>
      </c>
      <c r="J1821" cm="1">
        <f t="array" ref="J1821">_xlfn.SWITCH(B1821,1,75,2,61,3,49,4,37,5,25,6,13,7,4,8,1)</f>
        <v>1</v>
      </c>
      <c r="K1821" t="str" cm="1">
        <f t="array" ref="K1821">IFERROR(_xlfn.SWITCH(L1821,2,_xlfn.XLOOKUP(C1821,[1]ModifierDes!$B:$B,[1]ModifierDes!$C:$C),3,_xlfn.XLOOKUP(C1821,[1]StuntDes!$B:$B,[1]StuntDes!$C:$C)),"")</f>
        <v/>
      </c>
      <c r="L1821">
        <f t="shared" si="76"/>
        <v>1</v>
      </c>
      <c r="M1821" s="10" t="str">
        <f>IFERROR(_xlfn.XLOOKUP(C1821,[1]StuntDes!$B:$B,[1]StuntDes!$A:$A),"")</f>
        <v/>
      </c>
      <c r="N1821" s="10" t="str">
        <f>IFERROR(_xlfn.XLOOKUP(C1821,[1]ModifierDes!$B:$B,[1]ModifierDes!$A:$A),"")</f>
        <v/>
      </c>
      <c r="O1821" s="10">
        <f>IFERROR(_xlfn.XLOOKUP(C1821,[1]AttributeName!$C:$C,[1]AttributeName!$B:$B),"")</f>
        <v>10501</v>
      </c>
      <c r="P1821" s="10"/>
      <c r="Q1821">
        <v>0.02</v>
      </c>
      <c r="R1821">
        <v>0.0500000000000001</v>
      </c>
      <c r="S1821" cm="1">
        <f t="array" ref="S1821">IFERROR(_xlfn.SWITCH(L1821,1,_xlfn.XLOOKUP(O1821,[1]AttributeName!$B:$B,[1]AttributeName!$D:$D),2,_xlfn.XLOOKUP(C1821,#REF!,#REF!),3,_xlfn.XLOOKUP(C1821,#REF!,#REF!)),0)</f>
        <v>2</v>
      </c>
      <c r="T1821" cm="1">
        <f t="array" ref="T1821">IFERROR(_xlfn.SWITCH(L1821,1,_xlfn.XLOOKUP(O1821,[1]AttributeName!$B:$B,[1]AttributeName!$E:$E),2,_xlfn.XLOOKUP(C1821,#REF!,#REF!),3,_xlfn.XLOOKUP(C1821,#REF!,#REF!)),0)</f>
        <v>2</v>
      </c>
    </row>
    <row r="1822" customFormat="1" spans="1:20">
      <c r="A1822">
        <f t="shared" si="77"/>
        <v>760</v>
      </c>
      <c r="B1822">
        <v>1</v>
      </c>
      <c r="C1822" t="s">
        <v>403</v>
      </c>
      <c r="D1822" t="s">
        <v>30</v>
      </c>
      <c r="E1822" t="s">
        <v>392</v>
      </c>
      <c r="F1822"/>
      <c r="G1822">
        <v>2</v>
      </c>
      <c r="H1822">
        <v>50</v>
      </c>
      <c r="I1822">
        <v>3</v>
      </c>
      <c r="J1822" cm="1">
        <f t="array" ref="J1822">_xlfn.SWITCH(B1822,1,75,2,61,3,49,4,37,5,25,6,13,7,4,8,1)</f>
        <v>75</v>
      </c>
      <c r="K1822" t="str" cm="1">
        <f t="array" ref="K1822">IFERROR(_xlfn.SWITCH(L1822,2,_xlfn.XLOOKUP(C1822,[1]ModifierDes!$B:$B,[1]ModifierDes!$C:$C),3,_xlfn.XLOOKUP(C1822,[1]StuntDes!$B:$B,[1]StuntDes!$C:$C)),"")</f>
        <v/>
      </c>
      <c r="L1822">
        <f t="shared" si="76"/>
        <v>1</v>
      </c>
      <c r="M1822" s="10" t="str">
        <f>IFERROR(_xlfn.XLOOKUP(C1822,[1]StuntDes!$B:$B,[1]StuntDes!$A:$A),"")</f>
        <v/>
      </c>
      <c r="N1822" s="10" t="str">
        <f>IFERROR(_xlfn.XLOOKUP(C1822,[1]ModifierDes!$B:$B,[1]ModifierDes!$A:$A),"")</f>
        <v/>
      </c>
      <c r="O1822" s="10">
        <f>IFERROR(_xlfn.XLOOKUP(C1822,[1]AttributeName!$C:$C,[1]AttributeName!$B:$B),"")</f>
        <v>10502</v>
      </c>
      <c r="P1822" s="10"/>
      <c r="Q1822">
        <v>0.3</v>
      </c>
      <c r="R1822">
        <v>0.4</v>
      </c>
      <c r="S1822" cm="1">
        <f t="array" ref="S1822">IFERROR(_xlfn.SWITCH(L1822,1,_xlfn.XLOOKUP(O1822,[1]AttributeName!$B:$B,[1]AttributeName!$D:$D),2,_xlfn.XLOOKUP(C1822,#REF!,#REF!),3,_xlfn.XLOOKUP(C1822,#REF!,#REF!)),0)</f>
        <v>2</v>
      </c>
      <c r="T1822" cm="1">
        <f t="array" ref="T1822">IFERROR(_xlfn.SWITCH(L1822,1,_xlfn.XLOOKUP(O1822,[1]AttributeName!$B:$B,[1]AttributeName!$E:$E),2,_xlfn.XLOOKUP(C1822,#REF!,#REF!),3,_xlfn.XLOOKUP(C1822,#REF!,#REF!)),0)</f>
        <v>2</v>
      </c>
    </row>
    <row r="1823" customFormat="1" spans="1:20">
      <c r="A1823">
        <f t="shared" si="77"/>
        <v>760</v>
      </c>
      <c r="B1823">
        <v>2</v>
      </c>
      <c r="C1823" t="s">
        <v>403</v>
      </c>
      <c r="D1823" t="s">
        <v>30</v>
      </c>
      <c r="E1823" t="s">
        <v>392</v>
      </c>
      <c r="F1823"/>
      <c r="G1823">
        <v>2</v>
      </c>
      <c r="H1823">
        <v>100</v>
      </c>
      <c r="I1823">
        <v>3</v>
      </c>
      <c r="J1823" cm="1">
        <f t="array" ref="J1823">_xlfn.SWITCH(B1823,1,75,2,61,3,49,4,37,5,25,6,13,7,4,8,1)</f>
        <v>61</v>
      </c>
      <c r="K1823" t="str" cm="1">
        <f t="array" ref="K1823">IFERROR(_xlfn.SWITCH(L1823,2,_xlfn.XLOOKUP(C1823,[1]ModifierDes!$B:$B,[1]ModifierDes!$C:$C),3,_xlfn.XLOOKUP(C1823,[1]StuntDes!$B:$B,[1]StuntDes!$C:$C)),"")</f>
        <v/>
      </c>
      <c r="L1823">
        <f t="shared" si="76"/>
        <v>1</v>
      </c>
      <c r="M1823" s="10" t="str">
        <f>IFERROR(_xlfn.XLOOKUP(C1823,[1]StuntDes!$B:$B,[1]StuntDes!$A:$A),"")</f>
        <v/>
      </c>
      <c r="N1823" s="10" t="str">
        <f>IFERROR(_xlfn.XLOOKUP(C1823,[1]ModifierDes!$B:$B,[1]ModifierDes!$A:$A),"")</f>
        <v/>
      </c>
      <c r="O1823" s="10">
        <f>IFERROR(_xlfn.XLOOKUP(C1823,[1]AttributeName!$C:$C,[1]AttributeName!$B:$B),"")</f>
        <v>10502</v>
      </c>
      <c r="P1823" s="10"/>
      <c r="Q1823">
        <v>0.26</v>
      </c>
      <c r="R1823">
        <v>0.29</v>
      </c>
      <c r="S1823" cm="1">
        <f t="array" ref="S1823">IFERROR(_xlfn.SWITCH(L1823,1,_xlfn.XLOOKUP(O1823,[1]AttributeName!$B:$B,[1]AttributeName!$D:$D),2,_xlfn.XLOOKUP(C1823,#REF!,#REF!),3,_xlfn.XLOOKUP(C1823,#REF!,#REF!)),0)</f>
        <v>2</v>
      </c>
      <c r="T1823" cm="1">
        <f t="array" ref="T1823">IFERROR(_xlfn.SWITCH(L1823,1,_xlfn.XLOOKUP(O1823,[1]AttributeName!$B:$B,[1]AttributeName!$E:$E),2,_xlfn.XLOOKUP(C1823,#REF!,#REF!),3,_xlfn.XLOOKUP(C1823,#REF!,#REF!)),0)</f>
        <v>2</v>
      </c>
    </row>
    <row r="1824" customFormat="1" spans="1:20">
      <c r="A1824">
        <f t="shared" si="77"/>
        <v>760</v>
      </c>
      <c r="B1824">
        <v>3</v>
      </c>
      <c r="C1824" t="s">
        <v>403</v>
      </c>
      <c r="D1824" t="s">
        <v>30</v>
      </c>
      <c r="E1824" t="s">
        <v>392</v>
      </c>
      <c r="F1824"/>
      <c r="G1824">
        <v>2</v>
      </c>
      <c r="H1824">
        <v>250</v>
      </c>
      <c r="I1824">
        <v>3</v>
      </c>
      <c r="J1824" cm="1">
        <f t="array" ref="J1824">_xlfn.SWITCH(B1824,1,75,2,61,3,49,4,37,5,25,6,13,7,4,8,1)</f>
        <v>49</v>
      </c>
      <c r="K1824" t="str" cm="1">
        <f t="array" ref="K1824">IFERROR(_xlfn.SWITCH(L1824,2,_xlfn.XLOOKUP(C1824,[1]ModifierDes!$B:$B,[1]ModifierDes!$C:$C),3,_xlfn.XLOOKUP(C1824,[1]StuntDes!$B:$B,[1]StuntDes!$C:$C)),"")</f>
        <v/>
      </c>
      <c r="L1824">
        <f t="shared" si="76"/>
        <v>1</v>
      </c>
      <c r="M1824" s="10" t="str">
        <f>IFERROR(_xlfn.XLOOKUP(C1824,[1]StuntDes!$B:$B,[1]StuntDes!$A:$A),"")</f>
        <v/>
      </c>
      <c r="N1824" s="10" t="str">
        <f>IFERROR(_xlfn.XLOOKUP(C1824,[1]ModifierDes!$B:$B,[1]ModifierDes!$A:$A),"")</f>
        <v/>
      </c>
      <c r="O1824" s="10">
        <f>IFERROR(_xlfn.XLOOKUP(C1824,[1]AttributeName!$C:$C,[1]AttributeName!$B:$B),"")</f>
        <v>10502</v>
      </c>
      <c r="P1824" s="10"/>
      <c r="Q1824">
        <v>0.22</v>
      </c>
      <c r="R1824">
        <v>0.25</v>
      </c>
      <c r="S1824" cm="1">
        <f t="array" ref="S1824">IFERROR(_xlfn.SWITCH(L1824,1,_xlfn.XLOOKUP(O1824,[1]AttributeName!$B:$B,[1]AttributeName!$D:$D),2,_xlfn.XLOOKUP(C1824,#REF!,#REF!),3,_xlfn.XLOOKUP(C1824,#REF!,#REF!)),0)</f>
        <v>2</v>
      </c>
      <c r="T1824" cm="1">
        <f t="array" ref="T1824">IFERROR(_xlfn.SWITCH(L1824,1,_xlfn.XLOOKUP(O1824,[1]AttributeName!$B:$B,[1]AttributeName!$E:$E),2,_xlfn.XLOOKUP(C1824,#REF!,#REF!),3,_xlfn.XLOOKUP(C1824,#REF!,#REF!)),0)</f>
        <v>2</v>
      </c>
    </row>
    <row r="1825" customFormat="1" spans="1:20">
      <c r="A1825">
        <f t="shared" si="77"/>
        <v>760</v>
      </c>
      <c r="B1825">
        <v>4</v>
      </c>
      <c r="C1825" t="s">
        <v>403</v>
      </c>
      <c r="D1825" t="s">
        <v>30</v>
      </c>
      <c r="E1825" t="s">
        <v>392</v>
      </c>
      <c r="F1825"/>
      <c r="G1825">
        <v>2</v>
      </c>
      <c r="H1825">
        <v>500</v>
      </c>
      <c r="I1825">
        <v>3</v>
      </c>
      <c r="J1825" cm="1">
        <f t="array" ref="J1825">_xlfn.SWITCH(B1825,1,75,2,61,3,49,4,37,5,25,6,13,7,4,8,1)</f>
        <v>37</v>
      </c>
      <c r="K1825" t="str" cm="1">
        <f t="array" ref="K1825">IFERROR(_xlfn.SWITCH(L1825,2,_xlfn.XLOOKUP(C1825,[1]ModifierDes!$B:$B,[1]ModifierDes!$C:$C),3,_xlfn.XLOOKUP(C1825,[1]StuntDes!$B:$B,[1]StuntDes!$C:$C)),"")</f>
        <v/>
      </c>
      <c r="L1825">
        <f t="shared" si="76"/>
        <v>1</v>
      </c>
      <c r="M1825" s="10" t="str">
        <f>IFERROR(_xlfn.XLOOKUP(C1825,[1]StuntDes!$B:$B,[1]StuntDes!$A:$A),"")</f>
        <v/>
      </c>
      <c r="N1825" s="10" t="str">
        <f>IFERROR(_xlfn.XLOOKUP(C1825,[1]ModifierDes!$B:$B,[1]ModifierDes!$A:$A),"")</f>
        <v/>
      </c>
      <c r="O1825" s="10">
        <f>IFERROR(_xlfn.XLOOKUP(C1825,[1]AttributeName!$C:$C,[1]AttributeName!$B:$B),"")</f>
        <v>10502</v>
      </c>
      <c r="P1825" s="10"/>
      <c r="Q1825">
        <v>0.18</v>
      </c>
      <c r="R1825">
        <v>0.21</v>
      </c>
      <c r="S1825" cm="1">
        <f t="array" ref="S1825">IFERROR(_xlfn.SWITCH(L1825,1,_xlfn.XLOOKUP(O1825,[1]AttributeName!$B:$B,[1]AttributeName!$D:$D),2,_xlfn.XLOOKUP(C1825,#REF!,#REF!),3,_xlfn.XLOOKUP(C1825,#REF!,#REF!)),0)</f>
        <v>2</v>
      </c>
      <c r="T1825" cm="1">
        <f t="array" ref="T1825">IFERROR(_xlfn.SWITCH(L1825,1,_xlfn.XLOOKUP(O1825,[1]AttributeName!$B:$B,[1]AttributeName!$E:$E),2,_xlfn.XLOOKUP(C1825,#REF!,#REF!),3,_xlfn.XLOOKUP(C1825,#REF!,#REF!)),0)</f>
        <v>2</v>
      </c>
    </row>
    <row r="1826" customFormat="1" spans="1:20">
      <c r="A1826">
        <f t="shared" si="77"/>
        <v>760</v>
      </c>
      <c r="B1826">
        <v>5</v>
      </c>
      <c r="C1826" t="s">
        <v>403</v>
      </c>
      <c r="D1826" t="s">
        <v>30</v>
      </c>
      <c r="E1826" t="s">
        <v>392</v>
      </c>
      <c r="F1826"/>
      <c r="G1826">
        <v>2</v>
      </c>
      <c r="H1826">
        <v>500</v>
      </c>
      <c r="I1826">
        <v>3</v>
      </c>
      <c r="J1826" cm="1">
        <f t="array" ref="J1826">_xlfn.SWITCH(B1826,1,75,2,61,3,49,4,37,5,25,6,13,7,4,8,1)</f>
        <v>25</v>
      </c>
      <c r="K1826" t="str" cm="1">
        <f t="array" ref="K1826">IFERROR(_xlfn.SWITCH(L1826,2,_xlfn.XLOOKUP(C1826,[1]ModifierDes!$B:$B,[1]ModifierDes!$C:$C),3,_xlfn.XLOOKUP(C1826,[1]StuntDes!$B:$B,[1]StuntDes!$C:$C)),"")</f>
        <v/>
      </c>
      <c r="L1826">
        <f t="shared" si="76"/>
        <v>1</v>
      </c>
      <c r="M1826" s="10" t="str">
        <f>IFERROR(_xlfn.XLOOKUP(C1826,[1]StuntDes!$B:$B,[1]StuntDes!$A:$A),"")</f>
        <v/>
      </c>
      <c r="N1826" s="10" t="str">
        <f>IFERROR(_xlfn.XLOOKUP(C1826,[1]ModifierDes!$B:$B,[1]ModifierDes!$A:$A),"")</f>
        <v/>
      </c>
      <c r="O1826" s="10">
        <f>IFERROR(_xlfn.XLOOKUP(C1826,[1]AttributeName!$C:$C,[1]AttributeName!$B:$B),"")</f>
        <v>10502</v>
      </c>
      <c r="P1826" s="10"/>
      <c r="Q1826">
        <v>0.14</v>
      </c>
      <c r="R1826">
        <v>0.17</v>
      </c>
      <c r="S1826" cm="1">
        <f t="array" ref="S1826">IFERROR(_xlfn.SWITCH(L1826,1,_xlfn.XLOOKUP(O1826,[1]AttributeName!$B:$B,[1]AttributeName!$D:$D),2,_xlfn.XLOOKUP(C1826,#REF!,#REF!),3,_xlfn.XLOOKUP(C1826,#REF!,#REF!)),0)</f>
        <v>2</v>
      </c>
      <c r="T1826" cm="1">
        <f t="array" ref="T1826">IFERROR(_xlfn.SWITCH(L1826,1,_xlfn.XLOOKUP(O1826,[1]AttributeName!$B:$B,[1]AttributeName!$E:$E),2,_xlfn.XLOOKUP(C1826,#REF!,#REF!),3,_xlfn.XLOOKUP(C1826,#REF!,#REF!)),0)</f>
        <v>2</v>
      </c>
    </row>
    <row r="1827" customFormat="1" spans="1:20">
      <c r="A1827">
        <f t="shared" si="77"/>
        <v>760</v>
      </c>
      <c r="B1827">
        <v>6</v>
      </c>
      <c r="C1827" t="s">
        <v>403</v>
      </c>
      <c r="D1827" t="s">
        <v>30</v>
      </c>
      <c r="E1827" t="s">
        <v>392</v>
      </c>
      <c r="F1827"/>
      <c r="G1827">
        <v>2</v>
      </c>
      <c r="H1827">
        <v>500</v>
      </c>
      <c r="I1827">
        <v>3</v>
      </c>
      <c r="J1827" cm="1">
        <f t="array" ref="J1827">_xlfn.SWITCH(B1827,1,75,2,61,3,49,4,37,5,25,6,13,7,4,8,1)</f>
        <v>13</v>
      </c>
      <c r="K1827" t="str" cm="1">
        <f t="array" ref="K1827">IFERROR(_xlfn.SWITCH(L1827,2,_xlfn.XLOOKUP(C1827,[1]ModifierDes!$B:$B,[1]ModifierDes!$C:$C),3,_xlfn.XLOOKUP(C1827,[1]StuntDes!$B:$B,[1]StuntDes!$C:$C)),"")</f>
        <v/>
      </c>
      <c r="L1827">
        <f t="shared" si="76"/>
        <v>1</v>
      </c>
      <c r="M1827" s="10" t="str">
        <f>IFERROR(_xlfn.XLOOKUP(C1827,[1]StuntDes!$B:$B,[1]StuntDes!$A:$A),"")</f>
        <v/>
      </c>
      <c r="N1827" s="10" t="str">
        <f>IFERROR(_xlfn.XLOOKUP(C1827,[1]ModifierDes!$B:$B,[1]ModifierDes!$A:$A),"")</f>
        <v/>
      </c>
      <c r="O1827" s="10">
        <f>IFERROR(_xlfn.XLOOKUP(C1827,[1]AttributeName!$C:$C,[1]AttributeName!$B:$B),"")</f>
        <v>10502</v>
      </c>
      <c r="P1827" s="10"/>
      <c r="Q1827">
        <v>0.1</v>
      </c>
      <c r="R1827">
        <v>0.13</v>
      </c>
      <c r="S1827" cm="1">
        <f t="array" ref="S1827">IFERROR(_xlfn.SWITCH(L1827,1,_xlfn.XLOOKUP(O1827,[1]AttributeName!$B:$B,[1]AttributeName!$D:$D),2,_xlfn.XLOOKUP(C1827,#REF!,#REF!),3,_xlfn.XLOOKUP(C1827,#REF!,#REF!)),0)</f>
        <v>2</v>
      </c>
      <c r="T1827" cm="1">
        <f t="array" ref="T1827">IFERROR(_xlfn.SWITCH(L1827,1,_xlfn.XLOOKUP(O1827,[1]AttributeName!$B:$B,[1]AttributeName!$E:$E),2,_xlfn.XLOOKUP(C1827,#REF!,#REF!),3,_xlfn.XLOOKUP(C1827,#REF!,#REF!)),0)</f>
        <v>2</v>
      </c>
    </row>
    <row r="1828" customFormat="1" spans="1:20">
      <c r="A1828">
        <f t="shared" si="77"/>
        <v>760</v>
      </c>
      <c r="B1828">
        <v>7</v>
      </c>
      <c r="C1828" t="s">
        <v>403</v>
      </c>
      <c r="D1828" t="s">
        <v>30</v>
      </c>
      <c r="E1828" t="s">
        <v>392</v>
      </c>
      <c r="F1828"/>
      <c r="G1828">
        <v>2</v>
      </c>
      <c r="H1828">
        <v>500</v>
      </c>
      <c r="I1828">
        <v>3</v>
      </c>
      <c r="J1828" cm="1">
        <f t="array" ref="J1828">_xlfn.SWITCH(B1828,1,75,2,61,3,49,4,37,5,25,6,13,7,4,8,1)</f>
        <v>4</v>
      </c>
      <c r="K1828" t="str" cm="1">
        <f t="array" ref="K1828">IFERROR(_xlfn.SWITCH(L1828,2,_xlfn.XLOOKUP(C1828,[1]ModifierDes!$B:$B,[1]ModifierDes!$C:$C),3,_xlfn.XLOOKUP(C1828,[1]StuntDes!$B:$B,[1]StuntDes!$C:$C)),"")</f>
        <v/>
      </c>
      <c r="L1828">
        <f t="shared" si="76"/>
        <v>1</v>
      </c>
      <c r="M1828" s="10" t="str">
        <f>IFERROR(_xlfn.XLOOKUP(C1828,[1]StuntDes!$B:$B,[1]StuntDes!$A:$A),"")</f>
        <v/>
      </c>
      <c r="N1828" s="10" t="str">
        <f>IFERROR(_xlfn.XLOOKUP(C1828,[1]ModifierDes!$B:$B,[1]ModifierDes!$A:$A),"")</f>
        <v/>
      </c>
      <c r="O1828" s="10">
        <f>IFERROR(_xlfn.XLOOKUP(C1828,[1]AttributeName!$C:$C,[1]AttributeName!$B:$B),"")</f>
        <v>10502</v>
      </c>
      <c r="P1828" s="10"/>
      <c r="Q1828">
        <v>0.06</v>
      </c>
      <c r="R1828">
        <v>0.0900000000000001</v>
      </c>
      <c r="S1828" cm="1">
        <f t="array" ref="S1828">IFERROR(_xlfn.SWITCH(L1828,1,_xlfn.XLOOKUP(O1828,[1]AttributeName!$B:$B,[1]AttributeName!$D:$D),2,_xlfn.XLOOKUP(C1828,#REF!,#REF!),3,_xlfn.XLOOKUP(C1828,#REF!,#REF!)),0)</f>
        <v>2</v>
      </c>
      <c r="T1828" cm="1">
        <f t="array" ref="T1828">IFERROR(_xlfn.SWITCH(L1828,1,_xlfn.XLOOKUP(O1828,[1]AttributeName!$B:$B,[1]AttributeName!$E:$E),2,_xlfn.XLOOKUP(C1828,#REF!,#REF!),3,_xlfn.XLOOKUP(C1828,#REF!,#REF!)),0)</f>
        <v>2</v>
      </c>
    </row>
    <row r="1829" customFormat="1" spans="1:20">
      <c r="A1829">
        <f t="shared" si="77"/>
        <v>760</v>
      </c>
      <c r="B1829">
        <v>8</v>
      </c>
      <c r="C1829" t="s">
        <v>403</v>
      </c>
      <c r="D1829" t="s">
        <v>30</v>
      </c>
      <c r="E1829" t="s">
        <v>392</v>
      </c>
      <c r="F1829"/>
      <c r="G1829">
        <v>2</v>
      </c>
      <c r="H1829">
        <v>500</v>
      </c>
      <c r="I1829">
        <v>3</v>
      </c>
      <c r="J1829" cm="1">
        <f t="array" ref="J1829">_xlfn.SWITCH(B1829,1,75,2,61,3,49,4,37,5,25,6,13,7,4,8,1)</f>
        <v>1</v>
      </c>
      <c r="K1829" t="str" cm="1">
        <f t="array" ref="K1829">IFERROR(_xlfn.SWITCH(L1829,2,_xlfn.XLOOKUP(C1829,[1]ModifierDes!$B:$B,[1]ModifierDes!$C:$C),3,_xlfn.XLOOKUP(C1829,[1]StuntDes!$B:$B,[1]StuntDes!$C:$C)),"")</f>
        <v/>
      </c>
      <c r="L1829">
        <f t="shared" si="76"/>
        <v>1</v>
      </c>
      <c r="M1829" s="10" t="str">
        <f>IFERROR(_xlfn.XLOOKUP(C1829,[1]StuntDes!$B:$B,[1]StuntDes!$A:$A),"")</f>
        <v/>
      </c>
      <c r="N1829" s="10" t="str">
        <f>IFERROR(_xlfn.XLOOKUP(C1829,[1]ModifierDes!$B:$B,[1]ModifierDes!$A:$A),"")</f>
        <v/>
      </c>
      <c r="O1829" s="10">
        <f>IFERROR(_xlfn.XLOOKUP(C1829,[1]AttributeName!$C:$C,[1]AttributeName!$B:$B),"")</f>
        <v>10502</v>
      </c>
      <c r="P1829" s="10"/>
      <c r="Q1829">
        <v>0.02</v>
      </c>
      <c r="R1829">
        <v>0.0500000000000001</v>
      </c>
      <c r="S1829" cm="1">
        <f t="array" ref="S1829">IFERROR(_xlfn.SWITCH(L1829,1,_xlfn.XLOOKUP(O1829,[1]AttributeName!$B:$B,[1]AttributeName!$D:$D),2,_xlfn.XLOOKUP(C1829,#REF!,#REF!),3,_xlfn.XLOOKUP(C1829,#REF!,#REF!)),0)</f>
        <v>2</v>
      </c>
      <c r="T1829" cm="1">
        <f t="array" ref="T1829">IFERROR(_xlfn.SWITCH(L1829,1,_xlfn.XLOOKUP(O1829,[1]AttributeName!$B:$B,[1]AttributeName!$E:$E),2,_xlfn.XLOOKUP(C1829,#REF!,#REF!),3,_xlfn.XLOOKUP(C1829,#REF!,#REF!)),0)</f>
        <v>2</v>
      </c>
    </row>
    <row r="1830" customFormat="1" spans="1:20">
      <c r="A1830">
        <f t="shared" si="77"/>
        <v>761</v>
      </c>
      <c r="B1830">
        <v>1</v>
      </c>
      <c r="C1830" t="s">
        <v>404</v>
      </c>
      <c r="D1830" t="s">
        <v>30</v>
      </c>
      <c r="E1830" t="s">
        <v>392</v>
      </c>
      <c r="F1830"/>
      <c r="G1830">
        <v>2</v>
      </c>
      <c r="H1830">
        <v>50</v>
      </c>
      <c r="I1830">
        <v>3</v>
      </c>
      <c r="J1830" cm="1">
        <f t="array" ref="J1830">_xlfn.SWITCH(B1830,1,75,2,61,3,49,4,37,5,25,6,13,7,4,8,1)</f>
        <v>75</v>
      </c>
      <c r="K1830" t="str" cm="1">
        <f t="array" ref="K1830">IFERROR(_xlfn.SWITCH(L1830,2,_xlfn.XLOOKUP(C1830,[1]ModifierDes!$B:$B,[1]ModifierDes!$C:$C),3,_xlfn.XLOOKUP(C1830,[1]StuntDes!$B:$B,[1]StuntDes!$C:$C)),"")</f>
        <v/>
      </c>
      <c r="L1830">
        <f t="shared" si="76"/>
        <v>1</v>
      </c>
      <c r="M1830" s="10" t="str">
        <f>IFERROR(_xlfn.XLOOKUP(C1830,[1]StuntDes!$B:$B,[1]StuntDes!$A:$A),"")</f>
        <v/>
      </c>
      <c r="N1830" s="10" t="str">
        <f>IFERROR(_xlfn.XLOOKUP(C1830,[1]ModifierDes!$B:$B,[1]ModifierDes!$A:$A),"")</f>
        <v/>
      </c>
      <c r="O1830" s="10">
        <f>IFERROR(_xlfn.XLOOKUP(C1830,[1]AttributeName!$C:$C,[1]AttributeName!$B:$B),"")</f>
        <v>10503</v>
      </c>
      <c r="P1830" s="10"/>
      <c r="Q1830">
        <v>0.3</v>
      </c>
      <c r="R1830">
        <v>0.4</v>
      </c>
      <c r="S1830" cm="1">
        <f t="array" ref="S1830">IFERROR(_xlfn.SWITCH(L1830,1,_xlfn.XLOOKUP(O1830,[1]AttributeName!$B:$B,[1]AttributeName!$D:$D),2,_xlfn.XLOOKUP(C1830,#REF!,#REF!),3,_xlfn.XLOOKUP(C1830,#REF!,#REF!)),0)</f>
        <v>2</v>
      </c>
      <c r="T1830" cm="1">
        <f t="array" ref="T1830">IFERROR(_xlfn.SWITCH(L1830,1,_xlfn.XLOOKUP(O1830,[1]AttributeName!$B:$B,[1]AttributeName!$E:$E),2,_xlfn.XLOOKUP(C1830,#REF!,#REF!),3,_xlfn.XLOOKUP(C1830,#REF!,#REF!)),0)</f>
        <v>2</v>
      </c>
    </row>
    <row r="1831" customFormat="1" spans="1:20">
      <c r="A1831">
        <f t="shared" si="77"/>
        <v>761</v>
      </c>
      <c r="B1831">
        <v>2</v>
      </c>
      <c r="C1831" t="s">
        <v>404</v>
      </c>
      <c r="D1831" t="s">
        <v>30</v>
      </c>
      <c r="E1831" t="s">
        <v>392</v>
      </c>
      <c r="F1831"/>
      <c r="G1831">
        <v>2</v>
      </c>
      <c r="H1831">
        <v>100</v>
      </c>
      <c r="I1831">
        <v>3</v>
      </c>
      <c r="J1831" cm="1">
        <f t="array" ref="J1831">_xlfn.SWITCH(B1831,1,75,2,61,3,49,4,37,5,25,6,13,7,4,8,1)</f>
        <v>61</v>
      </c>
      <c r="K1831" t="str" cm="1">
        <f t="array" ref="K1831">IFERROR(_xlfn.SWITCH(L1831,2,_xlfn.XLOOKUP(C1831,[1]ModifierDes!$B:$B,[1]ModifierDes!$C:$C),3,_xlfn.XLOOKUP(C1831,[1]StuntDes!$B:$B,[1]StuntDes!$C:$C)),"")</f>
        <v/>
      </c>
      <c r="L1831">
        <f t="shared" si="76"/>
        <v>1</v>
      </c>
      <c r="M1831" s="10" t="str">
        <f>IFERROR(_xlfn.XLOOKUP(C1831,[1]StuntDes!$B:$B,[1]StuntDes!$A:$A),"")</f>
        <v/>
      </c>
      <c r="N1831" s="10" t="str">
        <f>IFERROR(_xlfn.XLOOKUP(C1831,[1]ModifierDes!$B:$B,[1]ModifierDes!$A:$A),"")</f>
        <v/>
      </c>
      <c r="O1831" s="10">
        <f>IFERROR(_xlfn.XLOOKUP(C1831,[1]AttributeName!$C:$C,[1]AttributeName!$B:$B),"")</f>
        <v>10503</v>
      </c>
      <c r="P1831" s="10"/>
      <c r="Q1831">
        <v>0.26</v>
      </c>
      <c r="R1831">
        <v>0.29</v>
      </c>
      <c r="S1831" cm="1">
        <f t="array" ref="S1831">IFERROR(_xlfn.SWITCH(L1831,1,_xlfn.XLOOKUP(O1831,[1]AttributeName!$B:$B,[1]AttributeName!$D:$D),2,_xlfn.XLOOKUP(C1831,#REF!,#REF!),3,_xlfn.XLOOKUP(C1831,#REF!,#REF!)),0)</f>
        <v>2</v>
      </c>
      <c r="T1831" cm="1">
        <f t="array" ref="T1831">IFERROR(_xlfn.SWITCH(L1831,1,_xlfn.XLOOKUP(O1831,[1]AttributeName!$B:$B,[1]AttributeName!$E:$E),2,_xlfn.XLOOKUP(C1831,#REF!,#REF!),3,_xlfn.XLOOKUP(C1831,#REF!,#REF!)),0)</f>
        <v>2</v>
      </c>
    </row>
    <row r="1832" customFormat="1" spans="1:20">
      <c r="A1832">
        <f t="shared" si="77"/>
        <v>761</v>
      </c>
      <c r="B1832">
        <v>3</v>
      </c>
      <c r="C1832" t="s">
        <v>404</v>
      </c>
      <c r="D1832" t="s">
        <v>30</v>
      </c>
      <c r="E1832" t="s">
        <v>392</v>
      </c>
      <c r="F1832"/>
      <c r="G1832">
        <v>2</v>
      </c>
      <c r="H1832">
        <v>250</v>
      </c>
      <c r="I1832">
        <v>3</v>
      </c>
      <c r="J1832" cm="1">
        <f t="array" ref="J1832">_xlfn.SWITCH(B1832,1,75,2,61,3,49,4,37,5,25,6,13,7,4,8,1)</f>
        <v>49</v>
      </c>
      <c r="K1832" t="str" cm="1">
        <f t="array" ref="K1832">IFERROR(_xlfn.SWITCH(L1832,2,_xlfn.XLOOKUP(C1832,[1]ModifierDes!$B:$B,[1]ModifierDes!$C:$C),3,_xlfn.XLOOKUP(C1832,[1]StuntDes!$B:$B,[1]StuntDes!$C:$C)),"")</f>
        <v/>
      </c>
      <c r="L1832">
        <f t="shared" si="76"/>
        <v>1</v>
      </c>
      <c r="M1832" s="10" t="str">
        <f>IFERROR(_xlfn.XLOOKUP(C1832,[1]StuntDes!$B:$B,[1]StuntDes!$A:$A),"")</f>
        <v/>
      </c>
      <c r="N1832" s="10" t="str">
        <f>IFERROR(_xlfn.XLOOKUP(C1832,[1]ModifierDes!$B:$B,[1]ModifierDes!$A:$A),"")</f>
        <v/>
      </c>
      <c r="O1832" s="10">
        <f>IFERROR(_xlfn.XLOOKUP(C1832,[1]AttributeName!$C:$C,[1]AttributeName!$B:$B),"")</f>
        <v>10503</v>
      </c>
      <c r="P1832" s="10"/>
      <c r="Q1832">
        <v>0.22</v>
      </c>
      <c r="R1832">
        <v>0.25</v>
      </c>
      <c r="S1832" cm="1">
        <f t="array" ref="S1832">IFERROR(_xlfn.SWITCH(L1832,1,_xlfn.XLOOKUP(O1832,[1]AttributeName!$B:$B,[1]AttributeName!$D:$D),2,_xlfn.XLOOKUP(C1832,#REF!,#REF!),3,_xlfn.XLOOKUP(C1832,#REF!,#REF!)),0)</f>
        <v>2</v>
      </c>
      <c r="T1832" cm="1">
        <f t="array" ref="T1832">IFERROR(_xlfn.SWITCH(L1832,1,_xlfn.XLOOKUP(O1832,[1]AttributeName!$B:$B,[1]AttributeName!$E:$E),2,_xlfn.XLOOKUP(C1832,#REF!,#REF!),3,_xlfn.XLOOKUP(C1832,#REF!,#REF!)),0)</f>
        <v>2</v>
      </c>
    </row>
    <row r="1833" customFormat="1" spans="1:20">
      <c r="A1833">
        <f t="shared" si="77"/>
        <v>761</v>
      </c>
      <c r="B1833">
        <v>4</v>
      </c>
      <c r="C1833" t="s">
        <v>404</v>
      </c>
      <c r="D1833" t="s">
        <v>30</v>
      </c>
      <c r="E1833" t="s">
        <v>392</v>
      </c>
      <c r="F1833"/>
      <c r="G1833">
        <v>2</v>
      </c>
      <c r="H1833">
        <v>500</v>
      </c>
      <c r="I1833">
        <v>3</v>
      </c>
      <c r="J1833" cm="1">
        <f t="array" ref="J1833">_xlfn.SWITCH(B1833,1,75,2,61,3,49,4,37,5,25,6,13,7,4,8,1)</f>
        <v>37</v>
      </c>
      <c r="K1833" t="str" cm="1">
        <f t="array" ref="K1833">IFERROR(_xlfn.SWITCH(L1833,2,_xlfn.XLOOKUP(C1833,[1]ModifierDes!$B:$B,[1]ModifierDes!$C:$C),3,_xlfn.XLOOKUP(C1833,[1]StuntDes!$B:$B,[1]StuntDes!$C:$C)),"")</f>
        <v/>
      </c>
      <c r="L1833">
        <f t="shared" si="76"/>
        <v>1</v>
      </c>
      <c r="M1833" s="10" t="str">
        <f>IFERROR(_xlfn.XLOOKUP(C1833,[1]StuntDes!$B:$B,[1]StuntDes!$A:$A),"")</f>
        <v/>
      </c>
      <c r="N1833" s="10" t="str">
        <f>IFERROR(_xlfn.XLOOKUP(C1833,[1]ModifierDes!$B:$B,[1]ModifierDes!$A:$A),"")</f>
        <v/>
      </c>
      <c r="O1833" s="10">
        <f>IFERROR(_xlfn.XLOOKUP(C1833,[1]AttributeName!$C:$C,[1]AttributeName!$B:$B),"")</f>
        <v>10503</v>
      </c>
      <c r="P1833" s="10"/>
      <c r="Q1833">
        <v>0.18</v>
      </c>
      <c r="R1833">
        <v>0.21</v>
      </c>
      <c r="S1833" cm="1">
        <f t="array" ref="S1833">IFERROR(_xlfn.SWITCH(L1833,1,_xlfn.XLOOKUP(O1833,[1]AttributeName!$B:$B,[1]AttributeName!$D:$D),2,_xlfn.XLOOKUP(C1833,#REF!,#REF!),3,_xlfn.XLOOKUP(C1833,#REF!,#REF!)),0)</f>
        <v>2</v>
      </c>
      <c r="T1833" cm="1">
        <f t="array" ref="T1833">IFERROR(_xlfn.SWITCH(L1833,1,_xlfn.XLOOKUP(O1833,[1]AttributeName!$B:$B,[1]AttributeName!$E:$E),2,_xlfn.XLOOKUP(C1833,#REF!,#REF!),3,_xlfn.XLOOKUP(C1833,#REF!,#REF!)),0)</f>
        <v>2</v>
      </c>
    </row>
    <row r="1834" customFormat="1" spans="1:20">
      <c r="A1834">
        <f t="shared" si="77"/>
        <v>761</v>
      </c>
      <c r="B1834">
        <v>5</v>
      </c>
      <c r="C1834" t="s">
        <v>404</v>
      </c>
      <c r="D1834" t="s">
        <v>30</v>
      </c>
      <c r="E1834" t="s">
        <v>392</v>
      </c>
      <c r="F1834"/>
      <c r="G1834">
        <v>2</v>
      </c>
      <c r="H1834">
        <v>500</v>
      </c>
      <c r="I1834">
        <v>3</v>
      </c>
      <c r="J1834" cm="1">
        <f t="array" ref="J1834">_xlfn.SWITCH(B1834,1,75,2,61,3,49,4,37,5,25,6,13,7,4,8,1)</f>
        <v>25</v>
      </c>
      <c r="K1834" t="str" cm="1">
        <f t="array" ref="K1834">IFERROR(_xlfn.SWITCH(L1834,2,_xlfn.XLOOKUP(C1834,[1]ModifierDes!$B:$B,[1]ModifierDes!$C:$C),3,_xlfn.XLOOKUP(C1834,[1]StuntDes!$B:$B,[1]StuntDes!$C:$C)),"")</f>
        <v/>
      </c>
      <c r="L1834">
        <f t="shared" si="76"/>
        <v>1</v>
      </c>
      <c r="M1834" s="10" t="str">
        <f>IFERROR(_xlfn.XLOOKUP(C1834,[1]StuntDes!$B:$B,[1]StuntDes!$A:$A),"")</f>
        <v/>
      </c>
      <c r="N1834" s="10" t="str">
        <f>IFERROR(_xlfn.XLOOKUP(C1834,[1]ModifierDes!$B:$B,[1]ModifierDes!$A:$A),"")</f>
        <v/>
      </c>
      <c r="O1834" s="10">
        <f>IFERROR(_xlfn.XLOOKUP(C1834,[1]AttributeName!$C:$C,[1]AttributeName!$B:$B),"")</f>
        <v>10503</v>
      </c>
      <c r="P1834" s="10"/>
      <c r="Q1834">
        <v>0.14</v>
      </c>
      <c r="R1834">
        <v>0.17</v>
      </c>
      <c r="S1834" cm="1">
        <f t="array" ref="S1834">IFERROR(_xlfn.SWITCH(L1834,1,_xlfn.XLOOKUP(O1834,[1]AttributeName!$B:$B,[1]AttributeName!$D:$D),2,_xlfn.XLOOKUP(C1834,#REF!,#REF!),3,_xlfn.XLOOKUP(C1834,#REF!,#REF!)),0)</f>
        <v>2</v>
      </c>
      <c r="T1834" cm="1">
        <f t="array" ref="T1834">IFERROR(_xlfn.SWITCH(L1834,1,_xlfn.XLOOKUP(O1834,[1]AttributeName!$B:$B,[1]AttributeName!$E:$E),2,_xlfn.XLOOKUP(C1834,#REF!,#REF!),3,_xlfn.XLOOKUP(C1834,#REF!,#REF!)),0)</f>
        <v>2</v>
      </c>
    </row>
    <row r="1835" customFormat="1" spans="1:20">
      <c r="A1835">
        <f t="shared" si="77"/>
        <v>761</v>
      </c>
      <c r="B1835">
        <v>6</v>
      </c>
      <c r="C1835" t="s">
        <v>404</v>
      </c>
      <c r="D1835" t="s">
        <v>30</v>
      </c>
      <c r="E1835" t="s">
        <v>392</v>
      </c>
      <c r="F1835"/>
      <c r="G1835">
        <v>2</v>
      </c>
      <c r="H1835">
        <v>500</v>
      </c>
      <c r="I1835">
        <v>3</v>
      </c>
      <c r="J1835" cm="1">
        <f t="array" ref="J1835">_xlfn.SWITCH(B1835,1,75,2,61,3,49,4,37,5,25,6,13,7,4,8,1)</f>
        <v>13</v>
      </c>
      <c r="K1835" t="str" cm="1">
        <f t="array" ref="K1835">IFERROR(_xlfn.SWITCH(L1835,2,_xlfn.XLOOKUP(C1835,[1]ModifierDes!$B:$B,[1]ModifierDes!$C:$C),3,_xlfn.XLOOKUP(C1835,[1]StuntDes!$B:$B,[1]StuntDes!$C:$C)),"")</f>
        <v/>
      </c>
      <c r="L1835">
        <f t="shared" si="76"/>
        <v>1</v>
      </c>
      <c r="M1835" s="10" t="str">
        <f>IFERROR(_xlfn.XLOOKUP(C1835,[1]StuntDes!$B:$B,[1]StuntDes!$A:$A),"")</f>
        <v/>
      </c>
      <c r="N1835" s="10" t="str">
        <f>IFERROR(_xlfn.XLOOKUP(C1835,[1]ModifierDes!$B:$B,[1]ModifierDes!$A:$A),"")</f>
        <v/>
      </c>
      <c r="O1835" s="10">
        <f>IFERROR(_xlfn.XLOOKUP(C1835,[1]AttributeName!$C:$C,[1]AttributeName!$B:$B),"")</f>
        <v>10503</v>
      </c>
      <c r="P1835" s="10"/>
      <c r="Q1835">
        <v>0.1</v>
      </c>
      <c r="R1835">
        <v>0.13</v>
      </c>
      <c r="S1835" cm="1">
        <f t="array" ref="S1835">IFERROR(_xlfn.SWITCH(L1835,1,_xlfn.XLOOKUP(O1835,[1]AttributeName!$B:$B,[1]AttributeName!$D:$D),2,_xlfn.XLOOKUP(C1835,#REF!,#REF!),3,_xlfn.XLOOKUP(C1835,#REF!,#REF!)),0)</f>
        <v>2</v>
      </c>
      <c r="T1835" cm="1">
        <f t="array" ref="T1835">IFERROR(_xlfn.SWITCH(L1835,1,_xlfn.XLOOKUP(O1835,[1]AttributeName!$B:$B,[1]AttributeName!$E:$E),2,_xlfn.XLOOKUP(C1835,#REF!,#REF!),3,_xlfn.XLOOKUP(C1835,#REF!,#REF!)),0)</f>
        <v>2</v>
      </c>
    </row>
    <row r="1836" customFormat="1" spans="1:20">
      <c r="A1836">
        <f t="shared" si="77"/>
        <v>761</v>
      </c>
      <c r="B1836">
        <v>7</v>
      </c>
      <c r="C1836" t="s">
        <v>404</v>
      </c>
      <c r="D1836" t="s">
        <v>30</v>
      </c>
      <c r="E1836" t="s">
        <v>392</v>
      </c>
      <c r="F1836"/>
      <c r="G1836">
        <v>2</v>
      </c>
      <c r="H1836">
        <v>500</v>
      </c>
      <c r="I1836">
        <v>3</v>
      </c>
      <c r="J1836" cm="1">
        <f t="array" ref="J1836">_xlfn.SWITCH(B1836,1,75,2,61,3,49,4,37,5,25,6,13,7,4,8,1)</f>
        <v>4</v>
      </c>
      <c r="K1836" t="str" cm="1">
        <f t="array" ref="K1836">IFERROR(_xlfn.SWITCH(L1836,2,_xlfn.XLOOKUP(C1836,[1]ModifierDes!$B:$B,[1]ModifierDes!$C:$C),3,_xlfn.XLOOKUP(C1836,[1]StuntDes!$B:$B,[1]StuntDes!$C:$C)),"")</f>
        <v/>
      </c>
      <c r="L1836">
        <f t="shared" si="76"/>
        <v>1</v>
      </c>
      <c r="M1836" s="10" t="str">
        <f>IFERROR(_xlfn.XLOOKUP(C1836,[1]StuntDes!$B:$B,[1]StuntDes!$A:$A),"")</f>
        <v/>
      </c>
      <c r="N1836" s="10" t="str">
        <f>IFERROR(_xlfn.XLOOKUP(C1836,[1]ModifierDes!$B:$B,[1]ModifierDes!$A:$A),"")</f>
        <v/>
      </c>
      <c r="O1836" s="10">
        <f>IFERROR(_xlfn.XLOOKUP(C1836,[1]AttributeName!$C:$C,[1]AttributeName!$B:$B),"")</f>
        <v>10503</v>
      </c>
      <c r="P1836" s="10"/>
      <c r="Q1836">
        <v>0.06</v>
      </c>
      <c r="R1836">
        <v>0.0900000000000001</v>
      </c>
      <c r="S1836" cm="1">
        <f t="array" ref="S1836">IFERROR(_xlfn.SWITCH(L1836,1,_xlfn.XLOOKUP(O1836,[1]AttributeName!$B:$B,[1]AttributeName!$D:$D),2,_xlfn.XLOOKUP(C1836,#REF!,#REF!),3,_xlfn.XLOOKUP(C1836,#REF!,#REF!)),0)</f>
        <v>2</v>
      </c>
      <c r="T1836" cm="1">
        <f t="array" ref="T1836">IFERROR(_xlfn.SWITCH(L1836,1,_xlfn.XLOOKUP(O1836,[1]AttributeName!$B:$B,[1]AttributeName!$E:$E),2,_xlfn.XLOOKUP(C1836,#REF!,#REF!),3,_xlfn.XLOOKUP(C1836,#REF!,#REF!)),0)</f>
        <v>2</v>
      </c>
    </row>
    <row r="1837" customFormat="1" spans="1:20">
      <c r="A1837">
        <f t="shared" si="77"/>
        <v>761</v>
      </c>
      <c r="B1837">
        <v>8</v>
      </c>
      <c r="C1837" t="s">
        <v>404</v>
      </c>
      <c r="D1837" t="s">
        <v>30</v>
      </c>
      <c r="E1837" t="s">
        <v>392</v>
      </c>
      <c r="F1837"/>
      <c r="G1837">
        <v>2</v>
      </c>
      <c r="H1837">
        <v>500</v>
      </c>
      <c r="I1837">
        <v>3</v>
      </c>
      <c r="J1837" cm="1">
        <f t="array" ref="J1837">_xlfn.SWITCH(B1837,1,75,2,61,3,49,4,37,5,25,6,13,7,4,8,1)</f>
        <v>1</v>
      </c>
      <c r="K1837" t="str" cm="1">
        <f t="array" ref="K1837">IFERROR(_xlfn.SWITCH(L1837,2,_xlfn.XLOOKUP(C1837,[1]ModifierDes!$B:$B,[1]ModifierDes!$C:$C),3,_xlfn.XLOOKUP(C1837,[1]StuntDes!$B:$B,[1]StuntDes!$C:$C)),"")</f>
        <v/>
      </c>
      <c r="L1837">
        <f t="shared" si="76"/>
        <v>1</v>
      </c>
      <c r="M1837" s="10" t="str">
        <f>IFERROR(_xlfn.XLOOKUP(C1837,[1]StuntDes!$B:$B,[1]StuntDes!$A:$A),"")</f>
        <v/>
      </c>
      <c r="N1837" s="10" t="str">
        <f>IFERROR(_xlfn.XLOOKUP(C1837,[1]ModifierDes!$B:$B,[1]ModifierDes!$A:$A),"")</f>
        <v/>
      </c>
      <c r="O1837" s="10">
        <f>IFERROR(_xlfn.XLOOKUP(C1837,[1]AttributeName!$C:$C,[1]AttributeName!$B:$B),"")</f>
        <v>10503</v>
      </c>
      <c r="P1837" s="10"/>
      <c r="Q1837">
        <v>0.02</v>
      </c>
      <c r="R1837">
        <v>0.0500000000000001</v>
      </c>
      <c r="S1837" cm="1">
        <f t="array" ref="S1837">IFERROR(_xlfn.SWITCH(L1837,1,_xlfn.XLOOKUP(O1837,[1]AttributeName!$B:$B,[1]AttributeName!$D:$D),2,_xlfn.XLOOKUP(C1837,#REF!,#REF!),3,_xlfn.XLOOKUP(C1837,#REF!,#REF!)),0)</f>
        <v>2</v>
      </c>
      <c r="T1837" cm="1">
        <f t="array" ref="T1837">IFERROR(_xlfn.SWITCH(L1837,1,_xlfn.XLOOKUP(O1837,[1]AttributeName!$B:$B,[1]AttributeName!$E:$E),2,_xlfn.XLOOKUP(C1837,#REF!,#REF!),3,_xlfn.XLOOKUP(C1837,#REF!,#REF!)),0)</f>
        <v>2</v>
      </c>
    </row>
    <row r="1838" customFormat="1" spans="1:20">
      <c r="A1838">
        <f t="shared" si="77"/>
        <v>762</v>
      </c>
      <c r="B1838">
        <v>1</v>
      </c>
      <c r="C1838" t="s">
        <v>405</v>
      </c>
      <c r="D1838" t="s">
        <v>30</v>
      </c>
      <c r="E1838" t="s">
        <v>392</v>
      </c>
      <c r="F1838"/>
      <c r="G1838">
        <v>2</v>
      </c>
      <c r="H1838">
        <v>50</v>
      </c>
      <c r="I1838">
        <v>3</v>
      </c>
      <c r="J1838" cm="1">
        <f t="array" ref="J1838">_xlfn.SWITCH(B1838,1,75,2,61,3,49,4,37,5,25,6,13,7,4,8,1)</f>
        <v>75</v>
      </c>
      <c r="K1838" t="str" cm="1">
        <f t="array" ref="K1838">IFERROR(_xlfn.SWITCH(L1838,2,_xlfn.XLOOKUP(C1838,[1]ModifierDes!$B:$B,[1]ModifierDes!$C:$C),3,_xlfn.XLOOKUP(C1838,[1]StuntDes!$B:$B,[1]StuntDes!$C:$C)),"")</f>
        <v/>
      </c>
      <c r="L1838">
        <f t="shared" si="76"/>
        <v>1</v>
      </c>
      <c r="M1838" s="10" t="str">
        <f>IFERROR(_xlfn.XLOOKUP(C1838,[1]StuntDes!$B:$B,[1]StuntDes!$A:$A),"")</f>
        <v/>
      </c>
      <c r="N1838" s="10" t="str">
        <f>IFERROR(_xlfn.XLOOKUP(C1838,[1]ModifierDes!$B:$B,[1]ModifierDes!$A:$A),"")</f>
        <v/>
      </c>
      <c r="O1838" s="10">
        <f>IFERROR(_xlfn.XLOOKUP(C1838,[1]AttributeName!$C:$C,[1]AttributeName!$B:$B),"")</f>
        <v>10504</v>
      </c>
      <c r="P1838" s="10"/>
      <c r="Q1838">
        <v>0.3</v>
      </c>
      <c r="R1838">
        <v>0.4</v>
      </c>
      <c r="S1838" cm="1">
        <f t="array" ref="S1838">IFERROR(_xlfn.SWITCH(L1838,1,_xlfn.XLOOKUP(O1838,[1]AttributeName!$B:$B,[1]AttributeName!$D:$D),2,_xlfn.XLOOKUP(C1838,#REF!,#REF!),3,_xlfn.XLOOKUP(C1838,#REF!,#REF!)),0)</f>
        <v>2</v>
      </c>
      <c r="T1838" cm="1">
        <f t="array" ref="T1838">IFERROR(_xlfn.SWITCH(L1838,1,_xlfn.XLOOKUP(O1838,[1]AttributeName!$B:$B,[1]AttributeName!$E:$E),2,_xlfn.XLOOKUP(C1838,#REF!,#REF!),3,_xlfn.XLOOKUP(C1838,#REF!,#REF!)),0)</f>
        <v>2</v>
      </c>
    </row>
    <row r="1839" customFormat="1" spans="1:20">
      <c r="A1839">
        <f t="shared" si="77"/>
        <v>762</v>
      </c>
      <c r="B1839">
        <v>2</v>
      </c>
      <c r="C1839" t="s">
        <v>405</v>
      </c>
      <c r="D1839" t="s">
        <v>30</v>
      </c>
      <c r="E1839" t="s">
        <v>392</v>
      </c>
      <c r="F1839"/>
      <c r="G1839">
        <v>2</v>
      </c>
      <c r="H1839">
        <v>100</v>
      </c>
      <c r="I1839">
        <v>3</v>
      </c>
      <c r="J1839" cm="1">
        <f t="array" ref="J1839">_xlfn.SWITCH(B1839,1,75,2,61,3,49,4,37,5,25,6,13,7,4,8,1)</f>
        <v>61</v>
      </c>
      <c r="K1839" t="str" cm="1">
        <f t="array" ref="K1839">IFERROR(_xlfn.SWITCH(L1839,2,_xlfn.XLOOKUP(C1839,[1]ModifierDes!$B:$B,[1]ModifierDes!$C:$C),3,_xlfn.XLOOKUP(C1839,[1]StuntDes!$B:$B,[1]StuntDes!$C:$C)),"")</f>
        <v/>
      </c>
      <c r="L1839">
        <f t="shared" si="76"/>
        <v>1</v>
      </c>
      <c r="M1839" s="10" t="str">
        <f>IFERROR(_xlfn.XLOOKUP(C1839,[1]StuntDes!$B:$B,[1]StuntDes!$A:$A),"")</f>
        <v/>
      </c>
      <c r="N1839" s="10" t="str">
        <f>IFERROR(_xlfn.XLOOKUP(C1839,[1]ModifierDes!$B:$B,[1]ModifierDes!$A:$A),"")</f>
        <v/>
      </c>
      <c r="O1839" s="10">
        <f>IFERROR(_xlfn.XLOOKUP(C1839,[1]AttributeName!$C:$C,[1]AttributeName!$B:$B),"")</f>
        <v>10504</v>
      </c>
      <c r="P1839" s="10"/>
      <c r="Q1839">
        <v>0.26</v>
      </c>
      <c r="R1839">
        <v>0.29</v>
      </c>
      <c r="S1839" cm="1">
        <f t="array" ref="S1839">IFERROR(_xlfn.SWITCH(L1839,1,_xlfn.XLOOKUP(O1839,[1]AttributeName!$B:$B,[1]AttributeName!$D:$D),2,_xlfn.XLOOKUP(C1839,#REF!,#REF!),3,_xlfn.XLOOKUP(C1839,#REF!,#REF!)),0)</f>
        <v>2</v>
      </c>
      <c r="T1839" cm="1">
        <f t="array" ref="T1839">IFERROR(_xlfn.SWITCH(L1839,1,_xlfn.XLOOKUP(O1839,[1]AttributeName!$B:$B,[1]AttributeName!$E:$E),2,_xlfn.XLOOKUP(C1839,#REF!,#REF!),3,_xlfn.XLOOKUP(C1839,#REF!,#REF!)),0)</f>
        <v>2</v>
      </c>
    </row>
    <row r="1840" customFormat="1" spans="1:20">
      <c r="A1840">
        <f t="shared" si="77"/>
        <v>762</v>
      </c>
      <c r="B1840">
        <v>3</v>
      </c>
      <c r="C1840" t="s">
        <v>405</v>
      </c>
      <c r="D1840" t="s">
        <v>30</v>
      </c>
      <c r="E1840" t="s">
        <v>392</v>
      </c>
      <c r="F1840"/>
      <c r="G1840">
        <v>2</v>
      </c>
      <c r="H1840">
        <v>250</v>
      </c>
      <c r="I1840">
        <v>3</v>
      </c>
      <c r="J1840" cm="1">
        <f t="array" ref="J1840">_xlfn.SWITCH(B1840,1,75,2,61,3,49,4,37,5,25,6,13,7,4,8,1)</f>
        <v>49</v>
      </c>
      <c r="K1840" t="str" cm="1">
        <f t="array" ref="K1840">IFERROR(_xlfn.SWITCH(L1840,2,_xlfn.XLOOKUP(C1840,[1]ModifierDes!$B:$B,[1]ModifierDes!$C:$C),3,_xlfn.XLOOKUP(C1840,[1]StuntDes!$B:$B,[1]StuntDes!$C:$C)),"")</f>
        <v/>
      </c>
      <c r="L1840">
        <f t="shared" si="76"/>
        <v>1</v>
      </c>
      <c r="M1840" s="10" t="str">
        <f>IFERROR(_xlfn.XLOOKUP(C1840,[1]StuntDes!$B:$B,[1]StuntDes!$A:$A),"")</f>
        <v/>
      </c>
      <c r="N1840" s="10" t="str">
        <f>IFERROR(_xlfn.XLOOKUP(C1840,[1]ModifierDes!$B:$B,[1]ModifierDes!$A:$A),"")</f>
        <v/>
      </c>
      <c r="O1840" s="10">
        <f>IFERROR(_xlfn.XLOOKUP(C1840,[1]AttributeName!$C:$C,[1]AttributeName!$B:$B),"")</f>
        <v>10504</v>
      </c>
      <c r="P1840" s="10"/>
      <c r="Q1840">
        <v>0.22</v>
      </c>
      <c r="R1840">
        <v>0.25</v>
      </c>
      <c r="S1840" cm="1">
        <f t="array" ref="S1840">IFERROR(_xlfn.SWITCH(L1840,1,_xlfn.XLOOKUP(O1840,[1]AttributeName!$B:$B,[1]AttributeName!$D:$D),2,_xlfn.XLOOKUP(C1840,#REF!,#REF!),3,_xlfn.XLOOKUP(C1840,#REF!,#REF!)),0)</f>
        <v>2</v>
      </c>
      <c r="T1840" cm="1">
        <f t="array" ref="T1840">IFERROR(_xlfn.SWITCH(L1840,1,_xlfn.XLOOKUP(O1840,[1]AttributeName!$B:$B,[1]AttributeName!$E:$E),2,_xlfn.XLOOKUP(C1840,#REF!,#REF!),3,_xlfn.XLOOKUP(C1840,#REF!,#REF!)),0)</f>
        <v>2</v>
      </c>
    </row>
    <row r="1841" customFormat="1" spans="1:20">
      <c r="A1841">
        <f t="shared" si="77"/>
        <v>762</v>
      </c>
      <c r="B1841">
        <v>4</v>
      </c>
      <c r="C1841" t="s">
        <v>405</v>
      </c>
      <c r="D1841" t="s">
        <v>30</v>
      </c>
      <c r="E1841" t="s">
        <v>392</v>
      </c>
      <c r="F1841"/>
      <c r="G1841">
        <v>2</v>
      </c>
      <c r="H1841">
        <v>500</v>
      </c>
      <c r="I1841">
        <v>3</v>
      </c>
      <c r="J1841" cm="1">
        <f t="array" ref="J1841">_xlfn.SWITCH(B1841,1,75,2,61,3,49,4,37,5,25,6,13,7,4,8,1)</f>
        <v>37</v>
      </c>
      <c r="K1841" t="str" cm="1">
        <f t="array" ref="K1841">IFERROR(_xlfn.SWITCH(L1841,2,_xlfn.XLOOKUP(C1841,[1]ModifierDes!$B:$B,[1]ModifierDes!$C:$C),3,_xlfn.XLOOKUP(C1841,[1]StuntDes!$B:$B,[1]StuntDes!$C:$C)),"")</f>
        <v/>
      </c>
      <c r="L1841">
        <f t="shared" si="76"/>
        <v>1</v>
      </c>
      <c r="M1841" s="10" t="str">
        <f>IFERROR(_xlfn.XLOOKUP(C1841,[1]StuntDes!$B:$B,[1]StuntDes!$A:$A),"")</f>
        <v/>
      </c>
      <c r="N1841" s="10" t="str">
        <f>IFERROR(_xlfn.XLOOKUP(C1841,[1]ModifierDes!$B:$B,[1]ModifierDes!$A:$A),"")</f>
        <v/>
      </c>
      <c r="O1841" s="10">
        <f>IFERROR(_xlfn.XLOOKUP(C1841,[1]AttributeName!$C:$C,[1]AttributeName!$B:$B),"")</f>
        <v>10504</v>
      </c>
      <c r="P1841" s="10"/>
      <c r="Q1841">
        <v>0.18</v>
      </c>
      <c r="R1841">
        <v>0.21</v>
      </c>
      <c r="S1841" cm="1">
        <f t="array" ref="S1841">IFERROR(_xlfn.SWITCH(L1841,1,_xlfn.XLOOKUP(O1841,[1]AttributeName!$B:$B,[1]AttributeName!$D:$D),2,_xlfn.XLOOKUP(C1841,#REF!,#REF!),3,_xlfn.XLOOKUP(C1841,#REF!,#REF!)),0)</f>
        <v>2</v>
      </c>
      <c r="T1841" cm="1">
        <f t="array" ref="T1841">IFERROR(_xlfn.SWITCH(L1841,1,_xlfn.XLOOKUP(O1841,[1]AttributeName!$B:$B,[1]AttributeName!$E:$E),2,_xlfn.XLOOKUP(C1841,#REF!,#REF!),3,_xlfn.XLOOKUP(C1841,#REF!,#REF!)),0)</f>
        <v>2</v>
      </c>
    </row>
    <row r="1842" customFormat="1" spans="1:20">
      <c r="A1842">
        <f t="shared" si="77"/>
        <v>762</v>
      </c>
      <c r="B1842">
        <v>5</v>
      </c>
      <c r="C1842" t="s">
        <v>405</v>
      </c>
      <c r="D1842" t="s">
        <v>30</v>
      </c>
      <c r="E1842" t="s">
        <v>392</v>
      </c>
      <c r="F1842"/>
      <c r="G1842">
        <v>2</v>
      </c>
      <c r="H1842">
        <v>500</v>
      </c>
      <c r="I1842">
        <v>3</v>
      </c>
      <c r="J1842" cm="1">
        <f t="array" ref="J1842">_xlfn.SWITCH(B1842,1,75,2,61,3,49,4,37,5,25,6,13,7,4,8,1)</f>
        <v>25</v>
      </c>
      <c r="K1842" t="str" cm="1">
        <f t="array" ref="K1842">IFERROR(_xlfn.SWITCH(L1842,2,_xlfn.XLOOKUP(C1842,[1]ModifierDes!$B:$B,[1]ModifierDes!$C:$C),3,_xlfn.XLOOKUP(C1842,[1]StuntDes!$B:$B,[1]StuntDes!$C:$C)),"")</f>
        <v/>
      </c>
      <c r="L1842">
        <f t="shared" si="76"/>
        <v>1</v>
      </c>
      <c r="M1842" s="10" t="str">
        <f>IFERROR(_xlfn.XLOOKUP(C1842,[1]StuntDes!$B:$B,[1]StuntDes!$A:$A),"")</f>
        <v/>
      </c>
      <c r="N1842" s="10" t="str">
        <f>IFERROR(_xlfn.XLOOKUP(C1842,[1]ModifierDes!$B:$B,[1]ModifierDes!$A:$A),"")</f>
        <v/>
      </c>
      <c r="O1842" s="10">
        <f>IFERROR(_xlfn.XLOOKUP(C1842,[1]AttributeName!$C:$C,[1]AttributeName!$B:$B),"")</f>
        <v>10504</v>
      </c>
      <c r="P1842" s="10"/>
      <c r="Q1842">
        <v>0.14</v>
      </c>
      <c r="R1842">
        <v>0.17</v>
      </c>
      <c r="S1842" cm="1">
        <f t="array" ref="S1842">IFERROR(_xlfn.SWITCH(L1842,1,_xlfn.XLOOKUP(O1842,[1]AttributeName!$B:$B,[1]AttributeName!$D:$D),2,_xlfn.XLOOKUP(C1842,#REF!,#REF!),3,_xlfn.XLOOKUP(C1842,#REF!,#REF!)),0)</f>
        <v>2</v>
      </c>
      <c r="T1842" cm="1">
        <f t="array" ref="T1842">IFERROR(_xlfn.SWITCH(L1842,1,_xlfn.XLOOKUP(O1842,[1]AttributeName!$B:$B,[1]AttributeName!$E:$E),2,_xlfn.XLOOKUP(C1842,#REF!,#REF!),3,_xlfn.XLOOKUP(C1842,#REF!,#REF!)),0)</f>
        <v>2</v>
      </c>
    </row>
    <row r="1843" customFormat="1" spans="1:20">
      <c r="A1843">
        <f t="shared" si="77"/>
        <v>762</v>
      </c>
      <c r="B1843">
        <v>6</v>
      </c>
      <c r="C1843" t="s">
        <v>405</v>
      </c>
      <c r="D1843" t="s">
        <v>30</v>
      </c>
      <c r="E1843" t="s">
        <v>392</v>
      </c>
      <c r="F1843"/>
      <c r="G1843">
        <v>2</v>
      </c>
      <c r="H1843">
        <v>500</v>
      </c>
      <c r="I1843">
        <v>3</v>
      </c>
      <c r="J1843" cm="1">
        <f t="array" ref="J1843">_xlfn.SWITCH(B1843,1,75,2,61,3,49,4,37,5,25,6,13,7,4,8,1)</f>
        <v>13</v>
      </c>
      <c r="K1843" t="str" cm="1">
        <f t="array" ref="K1843">IFERROR(_xlfn.SWITCH(L1843,2,_xlfn.XLOOKUP(C1843,[1]ModifierDes!$B:$B,[1]ModifierDes!$C:$C),3,_xlfn.XLOOKUP(C1843,[1]StuntDes!$B:$B,[1]StuntDes!$C:$C)),"")</f>
        <v/>
      </c>
      <c r="L1843">
        <f t="shared" si="76"/>
        <v>1</v>
      </c>
      <c r="M1843" s="10" t="str">
        <f>IFERROR(_xlfn.XLOOKUP(C1843,[1]StuntDes!$B:$B,[1]StuntDes!$A:$A),"")</f>
        <v/>
      </c>
      <c r="N1843" s="10" t="str">
        <f>IFERROR(_xlfn.XLOOKUP(C1843,[1]ModifierDes!$B:$B,[1]ModifierDes!$A:$A),"")</f>
        <v/>
      </c>
      <c r="O1843" s="10">
        <f>IFERROR(_xlfn.XLOOKUP(C1843,[1]AttributeName!$C:$C,[1]AttributeName!$B:$B),"")</f>
        <v>10504</v>
      </c>
      <c r="P1843" s="10"/>
      <c r="Q1843">
        <v>0.1</v>
      </c>
      <c r="R1843">
        <v>0.13</v>
      </c>
      <c r="S1843" cm="1">
        <f t="array" ref="S1843">IFERROR(_xlfn.SWITCH(L1843,1,_xlfn.XLOOKUP(O1843,[1]AttributeName!$B:$B,[1]AttributeName!$D:$D),2,_xlfn.XLOOKUP(C1843,#REF!,#REF!),3,_xlfn.XLOOKUP(C1843,#REF!,#REF!)),0)</f>
        <v>2</v>
      </c>
      <c r="T1843" cm="1">
        <f t="array" ref="T1843">IFERROR(_xlfn.SWITCH(L1843,1,_xlfn.XLOOKUP(O1843,[1]AttributeName!$B:$B,[1]AttributeName!$E:$E),2,_xlfn.XLOOKUP(C1843,#REF!,#REF!),3,_xlfn.XLOOKUP(C1843,#REF!,#REF!)),0)</f>
        <v>2</v>
      </c>
    </row>
    <row r="1844" customFormat="1" spans="1:20">
      <c r="A1844">
        <f t="shared" si="77"/>
        <v>762</v>
      </c>
      <c r="B1844">
        <v>7</v>
      </c>
      <c r="C1844" t="s">
        <v>405</v>
      </c>
      <c r="D1844" t="s">
        <v>30</v>
      </c>
      <c r="E1844" t="s">
        <v>392</v>
      </c>
      <c r="F1844"/>
      <c r="G1844">
        <v>2</v>
      </c>
      <c r="H1844">
        <v>500</v>
      </c>
      <c r="I1844">
        <v>3</v>
      </c>
      <c r="J1844" cm="1">
        <f t="array" ref="J1844">_xlfn.SWITCH(B1844,1,75,2,61,3,49,4,37,5,25,6,13,7,4,8,1)</f>
        <v>4</v>
      </c>
      <c r="K1844" t="str" cm="1">
        <f t="array" ref="K1844">IFERROR(_xlfn.SWITCH(L1844,2,_xlfn.XLOOKUP(C1844,[1]ModifierDes!$B:$B,[1]ModifierDes!$C:$C),3,_xlfn.XLOOKUP(C1844,[1]StuntDes!$B:$B,[1]StuntDes!$C:$C)),"")</f>
        <v/>
      </c>
      <c r="L1844">
        <f t="shared" si="76"/>
        <v>1</v>
      </c>
      <c r="M1844" s="10" t="str">
        <f>IFERROR(_xlfn.XLOOKUP(C1844,[1]StuntDes!$B:$B,[1]StuntDes!$A:$A),"")</f>
        <v/>
      </c>
      <c r="N1844" s="10" t="str">
        <f>IFERROR(_xlfn.XLOOKUP(C1844,[1]ModifierDes!$B:$B,[1]ModifierDes!$A:$A),"")</f>
        <v/>
      </c>
      <c r="O1844" s="10">
        <f>IFERROR(_xlfn.XLOOKUP(C1844,[1]AttributeName!$C:$C,[1]AttributeName!$B:$B),"")</f>
        <v>10504</v>
      </c>
      <c r="P1844" s="10"/>
      <c r="Q1844">
        <v>0.06</v>
      </c>
      <c r="R1844">
        <v>0.0900000000000001</v>
      </c>
      <c r="S1844" cm="1">
        <f t="array" ref="S1844">IFERROR(_xlfn.SWITCH(L1844,1,_xlfn.XLOOKUP(O1844,[1]AttributeName!$B:$B,[1]AttributeName!$D:$D),2,_xlfn.XLOOKUP(C1844,#REF!,#REF!),3,_xlfn.XLOOKUP(C1844,#REF!,#REF!)),0)</f>
        <v>2</v>
      </c>
      <c r="T1844" cm="1">
        <f t="array" ref="T1844">IFERROR(_xlfn.SWITCH(L1844,1,_xlfn.XLOOKUP(O1844,[1]AttributeName!$B:$B,[1]AttributeName!$E:$E),2,_xlfn.XLOOKUP(C1844,#REF!,#REF!),3,_xlfn.XLOOKUP(C1844,#REF!,#REF!)),0)</f>
        <v>2</v>
      </c>
    </row>
    <row r="1845" customFormat="1" spans="1:20">
      <c r="A1845">
        <f t="shared" si="77"/>
        <v>762</v>
      </c>
      <c r="B1845">
        <v>8</v>
      </c>
      <c r="C1845" t="s">
        <v>405</v>
      </c>
      <c r="D1845" t="s">
        <v>30</v>
      </c>
      <c r="E1845" t="s">
        <v>392</v>
      </c>
      <c r="F1845"/>
      <c r="G1845">
        <v>2</v>
      </c>
      <c r="H1845">
        <v>500</v>
      </c>
      <c r="I1845">
        <v>3</v>
      </c>
      <c r="J1845" cm="1">
        <f t="array" ref="J1845">_xlfn.SWITCH(B1845,1,75,2,61,3,49,4,37,5,25,6,13,7,4,8,1)</f>
        <v>1</v>
      </c>
      <c r="K1845" t="str" cm="1">
        <f t="array" ref="K1845">IFERROR(_xlfn.SWITCH(L1845,2,_xlfn.XLOOKUP(C1845,[1]ModifierDes!$B:$B,[1]ModifierDes!$C:$C),3,_xlfn.XLOOKUP(C1845,[1]StuntDes!$B:$B,[1]StuntDes!$C:$C)),"")</f>
        <v/>
      </c>
      <c r="L1845">
        <f t="shared" si="76"/>
        <v>1</v>
      </c>
      <c r="M1845" s="10" t="str">
        <f>IFERROR(_xlfn.XLOOKUP(C1845,[1]StuntDes!$B:$B,[1]StuntDes!$A:$A),"")</f>
        <v/>
      </c>
      <c r="N1845" s="10" t="str">
        <f>IFERROR(_xlfn.XLOOKUP(C1845,[1]ModifierDes!$B:$B,[1]ModifierDes!$A:$A),"")</f>
        <v/>
      </c>
      <c r="O1845" s="10">
        <f>IFERROR(_xlfn.XLOOKUP(C1845,[1]AttributeName!$C:$C,[1]AttributeName!$B:$B),"")</f>
        <v>10504</v>
      </c>
      <c r="P1845" s="10"/>
      <c r="Q1845">
        <v>0.02</v>
      </c>
      <c r="R1845">
        <v>0.0500000000000001</v>
      </c>
      <c r="S1845" cm="1">
        <f t="array" ref="S1845">IFERROR(_xlfn.SWITCH(L1845,1,_xlfn.XLOOKUP(O1845,[1]AttributeName!$B:$B,[1]AttributeName!$D:$D),2,_xlfn.XLOOKUP(C1845,#REF!,#REF!),3,_xlfn.XLOOKUP(C1845,#REF!,#REF!)),0)</f>
        <v>2</v>
      </c>
      <c r="T1845" cm="1">
        <f t="array" ref="T1845">IFERROR(_xlfn.SWITCH(L1845,1,_xlfn.XLOOKUP(O1845,[1]AttributeName!$B:$B,[1]AttributeName!$E:$E),2,_xlfn.XLOOKUP(C1845,#REF!,#REF!),3,_xlfn.XLOOKUP(C1845,#REF!,#REF!)),0)</f>
        <v>2</v>
      </c>
    </row>
    <row r="1846" customFormat="1" spans="1:20">
      <c r="A1846">
        <f t="shared" si="77"/>
        <v>763</v>
      </c>
      <c r="B1846">
        <v>1</v>
      </c>
      <c r="C1846" t="s">
        <v>414</v>
      </c>
      <c r="D1846" t="s">
        <v>30</v>
      </c>
      <c r="E1846" t="s">
        <v>392</v>
      </c>
      <c r="F1846"/>
      <c r="G1846">
        <v>2</v>
      </c>
      <c r="H1846">
        <v>50</v>
      </c>
      <c r="I1846">
        <v>3</v>
      </c>
      <c r="J1846" cm="1">
        <f t="array" ref="J1846">_xlfn.SWITCH(B1846,1,75,2,61,3,49,4,37,5,25,6,13,7,4,8,1)</f>
        <v>75</v>
      </c>
      <c r="K1846" t="str" cm="1">
        <f t="array" ref="K1846">IFERROR(_xlfn.SWITCH(L1846,2,_xlfn.XLOOKUP(C1846,[1]ModifierDes!$B:$B,[1]ModifierDes!$C:$C),3,_xlfn.XLOOKUP(C1846,[1]StuntDes!$B:$B,[1]StuntDes!$C:$C)),"")</f>
        <v/>
      </c>
      <c r="L1846">
        <f t="shared" si="76"/>
        <v>1</v>
      </c>
      <c r="M1846" s="10" t="str">
        <f>IFERROR(_xlfn.XLOOKUP(C1846,[1]StuntDes!$B:$B,[1]StuntDes!$A:$A),"")</f>
        <v/>
      </c>
      <c r="N1846" s="10" t="str">
        <f>IFERROR(_xlfn.XLOOKUP(C1846,[1]ModifierDes!$B:$B,[1]ModifierDes!$A:$A),"")</f>
        <v/>
      </c>
      <c r="O1846" s="10">
        <f>IFERROR(_xlfn.XLOOKUP(C1846,[1]AttributeName!$C:$C,[1]AttributeName!$B:$B),"")</f>
        <v>10900</v>
      </c>
      <c r="P1846" s="10"/>
      <c r="Q1846">
        <v>15</v>
      </c>
      <c r="R1846">
        <v>16</v>
      </c>
      <c r="S1846" cm="1">
        <f t="array" ref="S1846">IFERROR(_xlfn.SWITCH(L1846,1,_xlfn.XLOOKUP(O1846,[1]AttributeName!$B:$B,[1]AttributeName!$D:$D),2,_xlfn.XLOOKUP(C1846,#REF!,#REF!),3,_xlfn.XLOOKUP(C1846,#REF!,#REF!)),0)</f>
        <v>0</v>
      </c>
      <c r="T1846" cm="1">
        <f t="array" ref="T1846">IFERROR(_xlfn.SWITCH(L1846,1,_xlfn.XLOOKUP(O1846,[1]AttributeName!$B:$B,[1]AttributeName!$E:$E),2,_xlfn.XLOOKUP(C1846,#REF!,#REF!),3,_xlfn.XLOOKUP(C1846,#REF!,#REF!)),0)</f>
        <v>1</v>
      </c>
    </row>
    <row r="1847" customFormat="1" spans="1:20">
      <c r="A1847">
        <f t="shared" si="77"/>
        <v>763</v>
      </c>
      <c r="B1847">
        <v>2</v>
      </c>
      <c r="C1847" t="s">
        <v>414</v>
      </c>
      <c r="D1847" t="s">
        <v>30</v>
      </c>
      <c r="E1847" t="s">
        <v>392</v>
      </c>
      <c r="F1847"/>
      <c r="G1847">
        <v>2</v>
      </c>
      <c r="H1847">
        <v>100</v>
      </c>
      <c r="I1847">
        <v>3</v>
      </c>
      <c r="J1847" cm="1">
        <f t="array" ref="J1847">_xlfn.SWITCH(B1847,1,75,2,61,3,49,4,37,5,25,6,13,7,4,8,1)</f>
        <v>61</v>
      </c>
      <c r="K1847" t="str" cm="1">
        <f t="array" ref="K1847">IFERROR(_xlfn.SWITCH(L1847,2,_xlfn.XLOOKUP(C1847,[1]ModifierDes!$B:$B,[1]ModifierDes!$C:$C),3,_xlfn.XLOOKUP(C1847,[1]StuntDes!$B:$B,[1]StuntDes!$C:$C)),"")</f>
        <v/>
      </c>
      <c r="L1847">
        <f t="shared" si="76"/>
        <v>1</v>
      </c>
      <c r="M1847" s="10" t="str">
        <f>IFERROR(_xlfn.XLOOKUP(C1847,[1]StuntDes!$B:$B,[1]StuntDes!$A:$A),"")</f>
        <v/>
      </c>
      <c r="N1847" s="10" t="str">
        <f>IFERROR(_xlfn.XLOOKUP(C1847,[1]ModifierDes!$B:$B,[1]ModifierDes!$A:$A),"")</f>
        <v/>
      </c>
      <c r="O1847" s="10">
        <f>IFERROR(_xlfn.XLOOKUP(C1847,[1]AttributeName!$C:$C,[1]AttributeName!$B:$B),"")</f>
        <v>10900</v>
      </c>
      <c r="P1847" s="10"/>
      <c r="Q1847">
        <v>13</v>
      </c>
      <c r="R1847">
        <v>14</v>
      </c>
      <c r="S1847" cm="1">
        <f t="array" ref="S1847">IFERROR(_xlfn.SWITCH(L1847,1,_xlfn.XLOOKUP(O1847,[1]AttributeName!$B:$B,[1]AttributeName!$D:$D),2,_xlfn.XLOOKUP(C1847,#REF!,#REF!),3,_xlfn.XLOOKUP(C1847,#REF!,#REF!)),0)</f>
        <v>0</v>
      </c>
      <c r="T1847" cm="1">
        <f t="array" ref="T1847">IFERROR(_xlfn.SWITCH(L1847,1,_xlfn.XLOOKUP(O1847,[1]AttributeName!$B:$B,[1]AttributeName!$E:$E),2,_xlfn.XLOOKUP(C1847,#REF!,#REF!),3,_xlfn.XLOOKUP(C1847,#REF!,#REF!)),0)</f>
        <v>1</v>
      </c>
    </row>
    <row r="1848" customFormat="1" spans="1:20">
      <c r="A1848">
        <f t="shared" si="77"/>
        <v>763</v>
      </c>
      <c r="B1848">
        <v>3</v>
      </c>
      <c r="C1848" t="s">
        <v>414</v>
      </c>
      <c r="D1848" t="s">
        <v>30</v>
      </c>
      <c r="E1848" t="s">
        <v>392</v>
      </c>
      <c r="F1848"/>
      <c r="G1848">
        <v>2</v>
      </c>
      <c r="H1848">
        <v>250</v>
      </c>
      <c r="I1848">
        <v>3</v>
      </c>
      <c r="J1848" cm="1">
        <f t="array" ref="J1848">_xlfn.SWITCH(B1848,1,75,2,61,3,49,4,37,5,25,6,13,7,4,8,1)</f>
        <v>49</v>
      </c>
      <c r="K1848" t="str" cm="1">
        <f t="array" ref="K1848">IFERROR(_xlfn.SWITCH(L1848,2,_xlfn.XLOOKUP(C1848,[1]ModifierDes!$B:$B,[1]ModifierDes!$C:$C),3,_xlfn.XLOOKUP(C1848,[1]StuntDes!$B:$B,[1]StuntDes!$C:$C)),"")</f>
        <v/>
      </c>
      <c r="L1848">
        <f t="shared" si="76"/>
        <v>1</v>
      </c>
      <c r="M1848" s="10" t="str">
        <f>IFERROR(_xlfn.XLOOKUP(C1848,[1]StuntDes!$B:$B,[1]StuntDes!$A:$A),"")</f>
        <v/>
      </c>
      <c r="N1848" s="10" t="str">
        <f>IFERROR(_xlfn.XLOOKUP(C1848,[1]ModifierDes!$B:$B,[1]ModifierDes!$A:$A),"")</f>
        <v/>
      </c>
      <c r="O1848" s="10">
        <f>IFERROR(_xlfn.XLOOKUP(C1848,[1]AttributeName!$C:$C,[1]AttributeName!$B:$B),"")</f>
        <v>10900</v>
      </c>
      <c r="P1848" s="10"/>
      <c r="Q1848">
        <v>11</v>
      </c>
      <c r="R1848">
        <v>12</v>
      </c>
      <c r="S1848" cm="1">
        <f t="array" ref="S1848">IFERROR(_xlfn.SWITCH(L1848,1,_xlfn.XLOOKUP(O1848,[1]AttributeName!$B:$B,[1]AttributeName!$D:$D),2,_xlfn.XLOOKUP(C1848,#REF!,#REF!),3,_xlfn.XLOOKUP(C1848,#REF!,#REF!)),0)</f>
        <v>0</v>
      </c>
      <c r="T1848" cm="1">
        <f t="array" ref="T1848">IFERROR(_xlfn.SWITCH(L1848,1,_xlfn.XLOOKUP(O1848,[1]AttributeName!$B:$B,[1]AttributeName!$E:$E),2,_xlfn.XLOOKUP(C1848,#REF!,#REF!),3,_xlfn.XLOOKUP(C1848,#REF!,#REF!)),0)</f>
        <v>1</v>
      </c>
    </row>
    <row r="1849" customFormat="1" spans="1:20">
      <c r="A1849">
        <f t="shared" si="77"/>
        <v>763</v>
      </c>
      <c r="B1849">
        <v>4</v>
      </c>
      <c r="C1849" t="s">
        <v>414</v>
      </c>
      <c r="D1849" t="s">
        <v>30</v>
      </c>
      <c r="E1849" t="s">
        <v>392</v>
      </c>
      <c r="F1849"/>
      <c r="G1849">
        <v>2</v>
      </c>
      <c r="H1849">
        <v>500</v>
      </c>
      <c r="I1849">
        <v>3</v>
      </c>
      <c r="J1849" cm="1">
        <f t="array" ref="J1849">_xlfn.SWITCH(B1849,1,75,2,61,3,49,4,37,5,25,6,13,7,4,8,1)</f>
        <v>37</v>
      </c>
      <c r="K1849" t="str" cm="1">
        <f t="array" ref="K1849">IFERROR(_xlfn.SWITCH(L1849,2,_xlfn.XLOOKUP(C1849,[1]ModifierDes!$B:$B,[1]ModifierDes!$C:$C),3,_xlfn.XLOOKUP(C1849,[1]StuntDes!$B:$B,[1]StuntDes!$C:$C)),"")</f>
        <v/>
      </c>
      <c r="L1849">
        <f t="shared" si="76"/>
        <v>1</v>
      </c>
      <c r="M1849" s="10" t="str">
        <f>IFERROR(_xlfn.XLOOKUP(C1849,[1]StuntDes!$B:$B,[1]StuntDes!$A:$A),"")</f>
        <v/>
      </c>
      <c r="N1849" s="10" t="str">
        <f>IFERROR(_xlfn.XLOOKUP(C1849,[1]ModifierDes!$B:$B,[1]ModifierDes!$A:$A),"")</f>
        <v/>
      </c>
      <c r="O1849" s="10">
        <f>IFERROR(_xlfn.XLOOKUP(C1849,[1]AttributeName!$C:$C,[1]AttributeName!$B:$B),"")</f>
        <v>10900</v>
      </c>
      <c r="P1849" s="10"/>
      <c r="Q1849">
        <v>9</v>
      </c>
      <c r="R1849">
        <v>10</v>
      </c>
      <c r="S1849" cm="1">
        <f t="array" ref="S1849">IFERROR(_xlfn.SWITCH(L1849,1,_xlfn.XLOOKUP(O1849,[1]AttributeName!$B:$B,[1]AttributeName!$D:$D),2,_xlfn.XLOOKUP(C1849,#REF!,#REF!),3,_xlfn.XLOOKUP(C1849,#REF!,#REF!)),0)</f>
        <v>0</v>
      </c>
      <c r="T1849" cm="1">
        <f t="array" ref="T1849">IFERROR(_xlfn.SWITCH(L1849,1,_xlfn.XLOOKUP(O1849,[1]AttributeName!$B:$B,[1]AttributeName!$E:$E),2,_xlfn.XLOOKUP(C1849,#REF!,#REF!),3,_xlfn.XLOOKUP(C1849,#REF!,#REF!)),0)</f>
        <v>1</v>
      </c>
    </row>
    <row r="1850" customFormat="1" spans="1:20">
      <c r="A1850">
        <f t="shared" si="77"/>
        <v>763</v>
      </c>
      <c r="B1850">
        <v>5</v>
      </c>
      <c r="C1850" t="s">
        <v>414</v>
      </c>
      <c r="D1850" t="s">
        <v>30</v>
      </c>
      <c r="E1850" t="s">
        <v>392</v>
      </c>
      <c r="F1850"/>
      <c r="G1850">
        <v>2</v>
      </c>
      <c r="H1850">
        <v>500</v>
      </c>
      <c r="I1850">
        <v>3</v>
      </c>
      <c r="J1850" cm="1">
        <f t="array" ref="J1850">_xlfn.SWITCH(B1850,1,75,2,61,3,49,4,37,5,25,6,13,7,4,8,1)</f>
        <v>25</v>
      </c>
      <c r="K1850" t="str" cm="1">
        <f t="array" ref="K1850">IFERROR(_xlfn.SWITCH(L1850,2,_xlfn.XLOOKUP(C1850,[1]ModifierDes!$B:$B,[1]ModifierDes!$C:$C),3,_xlfn.XLOOKUP(C1850,[1]StuntDes!$B:$B,[1]StuntDes!$C:$C)),"")</f>
        <v/>
      </c>
      <c r="L1850">
        <f t="shared" si="76"/>
        <v>1</v>
      </c>
      <c r="M1850" s="10" t="str">
        <f>IFERROR(_xlfn.XLOOKUP(C1850,[1]StuntDes!$B:$B,[1]StuntDes!$A:$A),"")</f>
        <v/>
      </c>
      <c r="N1850" s="10" t="str">
        <f>IFERROR(_xlfn.XLOOKUP(C1850,[1]ModifierDes!$B:$B,[1]ModifierDes!$A:$A),"")</f>
        <v/>
      </c>
      <c r="O1850" s="10">
        <f>IFERROR(_xlfn.XLOOKUP(C1850,[1]AttributeName!$C:$C,[1]AttributeName!$B:$B),"")</f>
        <v>10900</v>
      </c>
      <c r="P1850" s="10"/>
      <c r="Q1850">
        <v>7</v>
      </c>
      <c r="R1850">
        <v>8</v>
      </c>
      <c r="S1850" cm="1">
        <f t="array" ref="S1850">IFERROR(_xlfn.SWITCH(L1850,1,_xlfn.XLOOKUP(O1850,[1]AttributeName!$B:$B,[1]AttributeName!$D:$D),2,_xlfn.XLOOKUP(C1850,#REF!,#REF!),3,_xlfn.XLOOKUP(C1850,#REF!,#REF!)),0)</f>
        <v>0</v>
      </c>
      <c r="T1850" cm="1">
        <f t="array" ref="T1850">IFERROR(_xlfn.SWITCH(L1850,1,_xlfn.XLOOKUP(O1850,[1]AttributeName!$B:$B,[1]AttributeName!$E:$E),2,_xlfn.XLOOKUP(C1850,#REF!,#REF!),3,_xlfn.XLOOKUP(C1850,#REF!,#REF!)),0)</f>
        <v>1</v>
      </c>
    </row>
    <row r="1851" customFormat="1" spans="1:20">
      <c r="A1851">
        <f t="shared" si="77"/>
        <v>763</v>
      </c>
      <c r="B1851">
        <v>6</v>
      </c>
      <c r="C1851" t="s">
        <v>414</v>
      </c>
      <c r="D1851" t="s">
        <v>30</v>
      </c>
      <c r="E1851" t="s">
        <v>392</v>
      </c>
      <c r="F1851"/>
      <c r="G1851">
        <v>2</v>
      </c>
      <c r="H1851">
        <v>500</v>
      </c>
      <c r="I1851">
        <v>3</v>
      </c>
      <c r="J1851" cm="1">
        <f t="array" ref="J1851">_xlfn.SWITCH(B1851,1,75,2,61,3,49,4,37,5,25,6,13,7,4,8,1)</f>
        <v>13</v>
      </c>
      <c r="K1851" t="str" cm="1">
        <f t="array" ref="K1851">IFERROR(_xlfn.SWITCH(L1851,2,_xlfn.XLOOKUP(C1851,[1]ModifierDes!$B:$B,[1]ModifierDes!$C:$C),3,_xlfn.XLOOKUP(C1851,[1]StuntDes!$B:$B,[1]StuntDes!$C:$C)),"")</f>
        <v/>
      </c>
      <c r="L1851">
        <f t="shared" si="76"/>
        <v>1</v>
      </c>
      <c r="M1851" s="10" t="str">
        <f>IFERROR(_xlfn.XLOOKUP(C1851,[1]StuntDes!$B:$B,[1]StuntDes!$A:$A),"")</f>
        <v/>
      </c>
      <c r="N1851" s="10" t="str">
        <f>IFERROR(_xlfn.XLOOKUP(C1851,[1]ModifierDes!$B:$B,[1]ModifierDes!$A:$A),"")</f>
        <v/>
      </c>
      <c r="O1851" s="10">
        <f>IFERROR(_xlfn.XLOOKUP(C1851,[1]AttributeName!$C:$C,[1]AttributeName!$B:$B),"")</f>
        <v>10900</v>
      </c>
      <c r="P1851" s="10"/>
      <c r="Q1851">
        <v>5</v>
      </c>
      <c r="R1851">
        <v>6</v>
      </c>
      <c r="S1851" cm="1">
        <f t="array" ref="S1851">IFERROR(_xlfn.SWITCH(L1851,1,_xlfn.XLOOKUP(O1851,[1]AttributeName!$B:$B,[1]AttributeName!$D:$D),2,_xlfn.XLOOKUP(C1851,#REF!,#REF!),3,_xlfn.XLOOKUP(C1851,#REF!,#REF!)),0)</f>
        <v>0</v>
      </c>
      <c r="T1851" cm="1">
        <f t="array" ref="T1851">IFERROR(_xlfn.SWITCH(L1851,1,_xlfn.XLOOKUP(O1851,[1]AttributeName!$B:$B,[1]AttributeName!$E:$E),2,_xlfn.XLOOKUP(C1851,#REF!,#REF!),3,_xlfn.XLOOKUP(C1851,#REF!,#REF!)),0)</f>
        <v>1</v>
      </c>
    </row>
    <row r="1852" customFormat="1" spans="1:20">
      <c r="A1852">
        <f t="shared" si="77"/>
        <v>763</v>
      </c>
      <c r="B1852">
        <v>7</v>
      </c>
      <c r="C1852" t="s">
        <v>414</v>
      </c>
      <c r="D1852" t="s">
        <v>30</v>
      </c>
      <c r="E1852" t="s">
        <v>392</v>
      </c>
      <c r="F1852"/>
      <c r="G1852">
        <v>2</v>
      </c>
      <c r="H1852">
        <v>500</v>
      </c>
      <c r="I1852">
        <v>3</v>
      </c>
      <c r="J1852" cm="1">
        <f t="array" ref="J1852">_xlfn.SWITCH(B1852,1,75,2,61,3,49,4,37,5,25,6,13,7,4,8,1)</f>
        <v>4</v>
      </c>
      <c r="K1852" t="str" cm="1">
        <f t="array" ref="K1852">IFERROR(_xlfn.SWITCH(L1852,2,_xlfn.XLOOKUP(C1852,[1]ModifierDes!$B:$B,[1]ModifierDes!$C:$C),3,_xlfn.XLOOKUP(C1852,[1]StuntDes!$B:$B,[1]StuntDes!$C:$C)),"")</f>
        <v/>
      </c>
      <c r="L1852">
        <f t="shared" si="76"/>
        <v>1</v>
      </c>
      <c r="M1852" s="10" t="str">
        <f>IFERROR(_xlfn.XLOOKUP(C1852,[1]StuntDes!$B:$B,[1]StuntDes!$A:$A),"")</f>
        <v/>
      </c>
      <c r="N1852" s="10" t="str">
        <f>IFERROR(_xlfn.XLOOKUP(C1852,[1]ModifierDes!$B:$B,[1]ModifierDes!$A:$A),"")</f>
        <v/>
      </c>
      <c r="O1852" s="10">
        <f>IFERROR(_xlfn.XLOOKUP(C1852,[1]AttributeName!$C:$C,[1]AttributeName!$B:$B),"")</f>
        <v>10900</v>
      </c>
      <c r="P1852" s="10"/>
      <c r="Q1852">
        <v>3</v>
      </c>
      <c r="R1852">
        <v>4</v>
      </c>
      <c r="S1852" cm="1">
        <f t="array" ref="S1852">IFERROR(_xlfn.SWITCH(L1852,1,_xlfn.XLOOKUP(O1852,[1]AttributeName!$B:$B,[1]AttributeName!$D:$D),2,_xlfn.XLOOKUP(C1852,#REF!,#REF!),3,_xlfn.XLOOKUP(C1852,#REF!,#REF!)),0)</f>
        <v>0</v>
      </c>
      <c r="T1852" cm="1">
        <f t="array" ref="T1852">IFERROR(_xlfn.SWITCH(L1852,1,_xlfn.XLOOKUP(O1852,[1]AttributeName!$B:$B,[1]AttributeName!$E:$E),2,_xlfn.XLOOKUP(C1852,#REF!,#REF!),3,_xlfn.XLOOKUP(C1852,#REF!,#REF!)),0)</f>
        <v>1</v>
      </c>
    </row>
    <row r="1853" customFormat="1" spans="1:20">
      <c r="A1853">
        <f t="shared" si="77"/>
        <v>763</v>
      </c>
      <c r="B1853">
        <v>8</v>
      </c>
      <c r="C1853" t="s">
        <v>414</v>
      </c>
      <c r="D1853" t="s">
        <v>30</v>
      </c>
      <c r="E1853" t="s">
        <v>392</v>
      </c>
      <c r="F1853"/>
      <c r="G1853">
        <v>2</v>
      </c>
      <c r="H1853">
        <v>500</v>
      </c>
      <c r="I1853">
        <v>3</v>
      </c>
      <c r="J1853" cm="1">
        <f t="array" ref="J1853">_xlfn.SWITCH(B1853,1,75,2,61,3,49,4,37,5,25,6,13,7,4,8,1)</f>
        <v>1</v>
      </c>
      <c r="K1853" t="str" cm="1">
        <f t="array" ref="K1853">IFERROR(_xlfn.SWITCH(L1853,2,_xlfn.XLOOKUP(C1853,[1]ModifierDes!$B:$B,[1]ModifierDes!$C:$C),3,_xlfn.XLOOKUP(C1853,[1]StuntDes!$B:$B,[1]StuntDes!$C:$C)),"")</f>
        <v/>
      </c>
      <c r="L1853">
        <f t="shared" si="76"/>
        <v>1</v>
      </c>
      <c r="M1853" s="10" t="str">
        <f>IFERROR(_xlfn.XLOOKUP(C1853,[1]StuntDes!$B:$B,[1]StuntDes!$A:$A),"")</f>
        <v/>
      </c>
      <c r="N1853" s="10" t="str">
        <f>IFERROR(_xlfn.XLOOKUP(C1853,[1]ModifierDes!$B:$B,[1]ModifierDes!$A:$A),"")</f>
        <v/>
      </c>
      <c r="O1853" s="10">
        <f>IFERROR(_xlfn.XLOOKUP(C1853,[1]AttributeName!$C:$C,[1]AttributeName!$B:$B),"")</f>
        <v>10900</v>
      </c>
      <c r="P1853" s="10"/>
      <c r="Q1853">
        <v>1</v>
      </c>
      <c r="R1853">
        <v>2</v>
      </c>
      <c r="S1853" cm="1">
        <f t="array" ref="S1853">IFERROR(_xlfn.SWITCH(L1853,1,_xlfn.XLOOKUP(O1853,[1]AttributeName!$B:$B,[1]AttributeName!$D:$D),2,_xlfn.XLOOKUP(C1853,#REF!,#REF!),3,_xlfn.XLOOKUP(C1853,#REF!,#REF!)),0)</f>
        <v>0</v>
      </c>
      <c r="T1853" cm="1">
        <f t="array" ref="T1853">IFERROR(_xlfn.SWITCH(L1853,1,_xlfn.XLOOKUP(O1853,[1]AttributeName!$B:$B,[1]AttributeName!$E:$E),2,_xlfn.XLOOKUP(C1853,#REF!,#REF!),3,_xlfn.XLOOKUP(C1853,#REF!,#REF!)),0)</f>
        <v>1</v>
      </c>
    </row>
    <row r="1854" customFormat="1" spans="1:20">
      <c r="A1854">
        <f t="shared" si="77"/>
        <v>764</v>
      </c>
      <c r="B1854">
        <v>1</v>
      </c>
      <c r="C1854" t="s">
        <v>427</v>
      </c>
      <c r="D1854" t="s">
        <v>30</v>
      </c>
      <c r="E1854" t="s">
        <v>392</v>
      </c>
      <c r="F1854"/>
      <c r="G1854">
        <v>2</v>
      </c>
      <c r="H1854">
        <v>50</v>
      </c>
      <c r="I1854">
        <v>3</v>
      </c>
      <c r="J1854" cm="1">
        <f t="array" ref="J1854">_xlfn.SWITCH(B1854,1,75,2,61,3,49,4,37,5,25,6,13,7,4,8,1)</f>
        <v>75</v>
      </c>
      <c r="K1854" t="str" cm="1">
        <f t="array" ref="K1854">IFERROR(_xlfn.SWITCH(L1854,2,_xlfn.XLOOKUP(C1854,[1]ModifierDes!$B:$B,[1]ModifierDes!$C:$C),3,_xlfn.XLOOKUP(C1854,[1]StuntDes!$B:$B,[1]StuntDes!$C:$C)),"")</f>
        <v/>
      </c>
      <c r="L1854">
        <f t="shared" si="76"/>
        <v>1</v>
      </c>
      <c r="M1854" s="10" t="str">
        <f>IFERROR(_xlfn.XLOOKUP(C1854,[1]StuntDes!$B:$B,[1]StuntDes!$A:$A),"")</f>
        <v/>
      </c>
      <c r="N1854" s="10" t="str">
        <f>IFERROR(_xlfn.XLOOKUP(C1854,[1]ModifierDes!$B:$B,[1]ModifierDes!$A:$A),"")</f>
        <v/>
      </c>
      <c r="O1854" s="10">
        <f>IFERROR(_xlfn.XLOOKUP(C1854,[1]AttributeName!$C:$C,[1]AttributeName!$B:$B),"")</f>
        <v>10003</v>
      </c>
      <c r="P1854" s="10"/>
      <c r="Q1854">
        <v>8</v>
      </c>
      <c r="R1854">
        <v>10</v>
      </c>
      <c r="S1854" cm="1">
        <f t="array" ref="S1854">IFERROR(_xlfn.SWITCH(L1854,1,_xlfn.XLOOKUP(O1854,[1]AttributeName!$B:$B,[1]AttributeName!$D:$D),2,_xlfn.XLOOKUP(C1854,#REF!,#REF!),3,_xlfn.XLOOKUP(C1854,#REF!,#REF!)),0)</f>
        <v>0</v>
      </c>
      <c r="T1854" cm="1">
        <f t="array" ref="T1854">IFERROR(_xlfn.SWITCH(L1854,1,_xlfn.XLOOKUP(O1854,[1]AttributeName!$B:$B,[1]AttributeName!$E:$E),2,_xlfn.XLOOKUP(C1854,#REF!,#REF!),3,_xlfn.XLOOKUP(C1854,#REF!,#REF!)),0)</f>
        <v>1</v>
      </c>
    </row>
    <row r="1855" customFormat="1" spans="1:20">
      <c r="A1855">
        <f t="shared" si="77"/>
        <v>764</v>
      </c>
      <c r="B1855">
        <v>2</v>
      </c>
      <c r="C1855" t="s">
        <v>427</v>
      </c>
      <c r="D1855" t="s">
        <v>30</v>
      </c>
      <c r="E1855" t="s">
        <v>392</v>
      </c>
      <c r="F1855"/>
      <c r="G1855">
        <v>2</v>
      </c>
      <c r="H1855">
        <v>100</v>
      </c>
      <c r="I1855">
        <v>3</v>
      </c>
      <c r="J1855" cm="1">
        <f t="array" ref="J1855">_xlfn.SWITCH(B1855,1,75,2,61,3,49,4,37,5,25,6,13,7,4,8,1)</f>
        <v>61</v>
      </c>
      <c r="K1855" t="str" cm="1">
        <f t="array" ref="K1855">IFERROR(_xlfn.SWITCH(L1855,2,_xlfn.XLOOKUP(C1855,[1]ModifierDes!$B:$B,[1]ModifierDes!$C:$C),3,_xlfn.XLOOKUP(C1855,[1]StuntDes!$B:$B,[1]StuntDes!$C:$C)),"")</f>
        <v/>
      </c>
      <c r="L1855">
        <f t="shared" si="76"/>
        <v>1</v>
      </c>
      <c r="M1855" s="10" t="str">
        <f>IFERROR(_xlfn.XLOOKUP(C1855,[1]StuntDes!$B:$B,[1]StuntDes!$A:$A),"")</f>
        <v/>
      </c>
      <c r="N1855" s="10" t="str">
        <f>IFERROR(_xlfn.XLOOKUP(C1855,[1]ModifierDes!$B:$B,[1]ModifierDes!$A:$A),"")</f>
        <v/>
      </c>
      <c r="O1855" s="10">
        <f>IFERROR(_xlfn.XLOOKUP(C1855,[1]AttributeName!$C:$C,[1]AttributeName!$B:$B),"")</f>
        <v>10003</v>
      </c>
      <c r="P1855" s="10"/>
      <c r="Q1855">
        <v>7</v>
      </c>
      <c r="R1855">
        <v>7</v>
      </c>
      <c r="S1855" cm="1">
        <f t="array" ref="S1855">IFERROR(_xlfn.SWITCH(L1855,1,_xlfn.XLOOKUP(O1855,[1]AttributeName!$B:$B,[1]AttributeName!$D:$D),2,_xlfn.XLOOKUP(C1855,#REF!,#REF!),3,_xlfn.XLOOKUP(C1855,#REF!,#REF!)),0)</f>
        <v>0</v>
      </c>
      <c r="T1855" cm="1">
        <f t="array" ref="T1855">IFERROR(_xlfn.SWITCH(L1855,1,_xlfn.XLOOKUP(O1855,[1]AttributeName!$B:$B,[1]AttributeName!$E:$E),2,_xlfn.XLOOKUP(C1855,#REF!,#REF!),3,_xlfn.XLOOKUP(C1855,#REF!,#REF!)),0)</f>
        <v>1</v>
      </c>
    </row>
    <row r="1856" customFormat="1" spans="1:20">
      <c r="A1856">
        <f t="shared" si="77"/>
        <v>764</v>
      </c>
      <c r="B1856">
        <v>3</v>
      </c>
      <c r="C1856" t="s">
        <v>427</v>
      </c>
      <c r="D1856" t="s">
        <v>30</v>
      </c>
      <c r="E1856" t="s">
        <v>392</v>
      </c>
      <c r="F1856"/>
      <c r="G1856">
        <v>2</v>
      </c>
      <c r="H1856">
        <v>250</v>
      </c>
      <c r="I1856">
        <v>3</v>
      </c>
      <c r="J1856" cm="1">
        <f t="array" ref="J1856">_xlfn.SWITCH(B1856,1,75,2,61,3,49,4,37,5,25,6,13,7,4,8,1)</f>
        <v>49</v>
      </c>
      <c r="K1856" t="str" cm="1">
        <f t="array" ref="K1856">IFERROR(_xlfn.SWITCH(L1856,2,_xlfn.XLOOKUP(C1856,[1]ModifierDes!$B:$B,[1]ModifierDes!$C:$C),3,_xlfn.XLOOKUP(C1856,[1]StuntDes!$B:$B,[1]StuntDes!$C:$C)),"")</f>
        <v/>
      </c>
      <c r="L1856">
        <f t="shared" si="76"/>
        <v>1</v>
      </c>
      <c r="M1856" s="10" t="str">
        <f>IFERROR(_xlfn.XLOOKUP(C1856,[1]StuntDes!$B:$B,[1]StuntDes!$A:$A),"")</f>
        <v/>
      </c>
      <c r="N1856" s="10" t="str">
        <f>IFERROR(_xlfn.XLOOKUP(C1856,[1]ModifierDes!$B:$B,[1]ModifierDes!$A:$A),"")</f>
        <v/>
      </c>
      <c r="O1856" s="10">
        <f>IFERROR(_xlfn.XLOOKUP(C1856,[1]AttributeName!$C:$C,[1]AttributeName!$B:$B),"")</f>
        <v>10003</v>
      </c>
      <c r="P1856" s="10"/>
      <c r="Q1856">
        <v>6</v>
      </c>
      <c r="R1856">
        <v>6</v>
      </c>
      <c r="S1856" cm="1">
        <f t="array" ref="S1856">IFERROR(_xlfn.SWITCH(L1856,1,_xlfn.XLOOKUP(O1856,[1]AttributeName!$B:$B,[1]AttributeName!$D:$D),2,_xlfn.XLOOKUP(C1856,#REF!,#REF!),3,_xlfn.XLOOKUP(C1856,#REF!,#REF!)),0)</f>
        <v>0</v>
      </c>
      <c r="T1856" cm="1">
        <f t="array" ref="T1856">IFERROR(_xlfn.SWITCH(L1856,1,_xlfn.XLOOKUP(O1856,[1]AttributeName!$B:$B,[1]AttributeName!$E:$E),2,_xlfn.XLOOKUP(C1856,#REF!,#REF!),3,_xlfn.XLOOKUP(C1856,#REF!,#REF!)),0)</f>
        <v>1</v>
      </c>
    </row>
    <row r="1857" customFormat="1" spans="1:20">
      <c r="A1857">
        <f t="shared" si="77"/>
        <v>764</v>
      </c>
      <c r="B1857">
        <v>4</v>
      </c>
      <c r="C1857" t="s">
        <v>427</v>
      </c>
      <c r="D1857" t="s">
        <v>30</v>
      </c>
      <c r="E1857" t="s">
        <v>392</v>
      </c>
      <c r="F1857"/>
      <c r="G1857">
        <v>2</v>
      </c>
      <c r="H1857">
        <v>500</v>
      </c>
      <c r="I1857">
        <v>3</v>
      </c>
      <c r="J1857" cm="1">
        <f t="array" ref="J1857">_xlfn.SWITCH(B1857,1,75,2,61,3,49,4,37,5,25,6,13,7,4,8,1)</f>
        <v>37</v>
      </c>
      <c r="K1857" t="str" cm="1">
        <f t="array" ref="K1857">IFERROR(_xlfn.SWITCH(L1857,2,_xlfn.XLOOKUP(C1857,[1]ModifierDes!$B:$B,[1]ModifierDes!$C:$C),3,_xlfn.XLOOKUP(C1857,[1]StuntDes!$B:$B,[1]StuntDes!$C:$C)),"")</f>
        <v/>
      </c>
      <c r="L1857">
        <f t="shared" si="76"/>
        <v>1</v>
      </c>
      <c r="M1857" s="10" t="str">
        <f>IFERROR(_xlfn.XLOOKUP(C1857,[1]StuntDes!$B:$B,[1]StuntDes!$A:$A),"")</f>
        <v/>
      </c>
      <c r="N1857" s="10" t="str">
        <f>IFERROR(_xlfn.XLOOKUP(C1857,[1]ModifierDes!$B:$B,[1]ModifierDes!$A:$A),"")</f>
        <v/>
      </c>
      <c r="O1857" s="10">
        <f>IFERROR(_xlfn.XLOOKUP(C1857,[1]AttributeName!$C:$C,[1]AttributeName!$B:$B),"")</f>
        <v>10003</v>
      </c>
      <c r="P1857" s="10"/>
      <c r="Q1857">
        <v>5</v>
      </c>
      <c r="R1857">
        <v>5</v>
      </c>
      <c r="S1857" cm="1">
        <f t="array" ref="S1857">IFERROR(_xlfn.SWITCH(L1857,1,_xlfn.XLOOKUP(O1857,[1]AttributeName!$B:$B,[1]AttributeName!$D:$D),2,_xlfn.XLOOKUP(C1857,#REF!,#REF!),3,_xlfn.XLOOKUP(C1857,#REF!,#REF!)),0)</f>
        <v>0</v>
      </c>
      <c r="T1857" cm="1">
        <f t="array" ref="T1857">IFERROR(_xlfn.SWITCH(L1857,1,_xlfn.XLOOKUP(O1857,[1]AttributeName!$B:$B,[1]AttributeName!$E:$E),2,_xlfn.XLOOKUP(C1857,#REF!,#REF!),3,_xlfn.XLOOKUP(C1857,#REF!,#REF!)),0)</f>
        <v>1</v>
      </c>
    </row>
    <row r="1858" customFormat="1" spans="1:20">
      <c r="A1858">
        <f t="shared" si="77"/>
        <v>764</v>
      </c>
      <c r="B1858">
        <v>5</v>
      </c>
      <c r="C1858" t="s">
        <v>427</v>
      </c>
      <c r="D1858" t="s">
        <v>30</v>
      </c>
      <c r="E1858" t="s">
        <v>392</v>
      </c>
      <c r="F1858"/>
      <c r="G1858">
        <v>2</v>
      </c>
      <c r="H1858">
        <v>500</v>
      </c>
      <c r="I1858">
        <v>3</v>
      </c>
      <c r="J1858" cm="1">
        <f t="array" ref="J1858">_xlfn.SWITCH(B1858,1,75,2,61,3,49,4,37,5,25,6,13,7,4,8,1)</f>
        <v>25</v>
      </c>
      <c r="K1858" t="str" cm="1">
        <f t="array" ref="K1858">IFERROR(_xlfn.SWITCH(L1858,2,_xlfn.XLOOKUP(C1858,[1]ModifierDes!$B:$B,[1]ModifierDes!$C:$C),3,_xlfn.XLOOKUP(C1858,[1]StuntDes!$B:$B,[1]StuntDes!$C:$C)),"")</f>
        <v/>
      </c>
      <c r="L1858">
        <f t="shared" si="76"/>
        <v>1</v>
      </c>
      <c r="M1858" s="10" t="str">
        <f>IFERROR(_xlfn.XLOOKUP(C1858,[1]StuntDes!$B:$B,[1]StuntDes!$A:$A),"")</f>
        <v/>
      </c>
      <c r="N1858" s="10" t="str">
        <f>IFERROR(_xlfn.XLOOKUP(C1858,[1]ModifierDes!$B:$B,[1]ModifierDes!$A:$A),"")</f>
        <v/>
      </c>
      <c r="O1858" s="10">
        <f>IFERROR(_xlfn.XLOOKUP(C1858,[1]AttributeName!$C:$C,[1]AttributeName!$B:$B),"")</f>
        <v>10003</v>
      </c>
      <c r="P1858" s="10"/>
      <c r="Q1858">
        <v>4</v>
      </c>
      <c r="R1858">
        <v>4</v>
      </c>
      <c r="S1858" cm="1">
        <f t="array" ref="S1858">IFERROR(_xlfn.SWITCH(L1858,1,_xlfn.XLOOKUP(O1858,[1]AttributeName!$B:$B,[1]AttributeName!$D:$D),2,_xlfn.XLOOKUP(C1858,#REF!,#REF!),3,_xlfn.XLOOKUP(C1858,#REF!,#REF!)),0)</f>
        <v>0</v>
      </c>
      <c r="T1858" cm="1">
        <f t="array" ref="T1858">IFERROR(_xlfn.SWITCH(L1858,1,_xlfn.XLOOKUP(O1858,[1]AttributeName!$B:$B,[1]AttributeName!$E:$E),2,_xlfn.XLOOKUP(C1858,#REF!,#REF!),3,_xlfn.XLOOKUP(C1858,#REF!,#REF!)),0)</f>
        <v>1</v>
      </c>
    </row>
    <row r="1859" customFormat="1" spans="1:20">
      <c r="A1859">
        <f t="shared" si="77"/>
        <v>764</v>
      </c>
      <c r="B1859">
        <v>6</v>
      </c>
      <c r="C1859" t="s">
        <v>427</v>
      </c>
      <c r="D1859" t="s">
        <v>30</v>
      </c>
      <c r="E1859" t="s">
        <v>392</v>
      </c>
      <c r="F1859"/>
      <c r="G1859">
        <v>2</v>
      </c>
      <c r="H1859">
        <v>500</v>
      </c>
      <c r="I1859">
        <v>3</v>
      </c>
      <c r="J1859" cm="1">
        <f t="array" ref="J1859">_xlfn.SWITCH(B1859,1,75,2,61,3,49,4,37,5,25,6,13,7,4,8,1)</f>
        <v>13</v>
      </c>
      <c r="K1859" t="str" cm="1">
        <f t="array" ref="K1859">IFERROR(_xlfn.SWITCH(L1859,2,_xlfn.XLOOKUP(C1859,[1]ModifierDes!$B:$B,[1]ModifierDes!$C:$C),3,_xlfn.XLOOKUP(C1859,[1]StuntDes!$B:$B,[1]StuntDes!$C:$C)),"")</f>
        <v/>
      </c>
      <c r="L1859">
        <f t="shared" si="76"/>
        <v>1</v>
      </c>
      <c r="M1859" s="10" t="str">
        <f>IFERROR(_xlfn.XLOOKUP(C1859,[1]StuntDes!$B:$B,[1]StuntDes!$A:$A),"")</f>
        <v/>
      </c>
      <c r="N1859" s="10" t="str">
        <f>IFERROR(_xlfn.XLOOKUP(C1859,[1]ModifierDes!$B:$B,[1]ModifierDes!$A:$A),"")</f>
        <v/>
      </c>
      <c r="O1859" s="10">
        <f>IFERROR(_xlfn.XLOOKUP(C1859,[1]AttributeName!$C:$C,[1]AttributeName!$B:$B),"")</f>
        <v>10003</v>
      </c>
      <c r="P1859" s="10"/>
      <c r="Q1859">
        <v>3</v>
      </c>
      <c r="R1859">
        <v>3</v>
      </c>
      <c r="S1859" cm="1">
        <f t="array" ref="S1859">IFERROR(_xlfn.SWITCH(L1859,1,_xlfn.XLOOKUP(O1859,[1]AttributeName!$B:$B,[1]AttributeName!$D:$D),2,_xlfn.XLOOKUP(C1859,#REF!,#REF!),3,_xlfn.XLOOKUP(C1859,#REF!,#REF!)),0)</f>
        <v>0</v>
      </c>
      <c r="T1859" cm="1">
        <f t="array" ref="T1859">IFERROR(_xlfn.SWITCH(L1859,1,_xlfn.XLOOKUP(O1859,[1]AttributeName!$B:$B,[1]AttributeName!$E:$E),2,_xlfn.XLOOKUP(C1859,#REF!,#REF!),3,_xlfn.XLOOKUP(C1859,#REF!,#REF!)),0)</f>
        <v>1</v>
      </c>
    </row>
    <row r="1860" customFormat="1" spans="1:20">
      <c r="A1860">
        <f t="shared" si="77"/>
        <v>764</v>
      </c>
      <c r="B1860">
        <v>7</v>
      </c>
      <c r="C1860" t="s">
        <v>427</v>
      </c>
      <c r="D1860" t="s">
        <v>30</v>
      </c>
      <c r="E1860" t="s">
        <v>392</v>
      </c>
      <c r="F1860"/>
      <c r="G1860">
        <v>2</v>
      </c>
      <c r="H1860">
        <v>500</v>
      </c>
      <c r="I1860">
        <v>3</v>
      </c>
      <c r="J1860" cm="1">
        <f t="array" ref="J1860">_xlfn.SWITCH(B1860,1,75,2,61,3,49,4,37,5,25,6,13,7,4,8,1)</f>
        <v>4</v>
      </c>
      <c r="K1860" t="str" cm="1">
        <f t="array" ref="K1860">IFERROR(_xlfn.SWITCH(L1860,2,_xlfn.XLOOKUP(C1860,[1]ModifierDes!$B:$B,[1]ModifierDes!$C:$C),3,_xlfn.XLOOKUP(C1860,[1]StuntDes!$B:$B,[1]StuntDes!$C:$C)),"")</f>
        <v/>
      </c>
      <c r="L1860">
        <f t="shared" ref="L1860:L1923" si="78">IF(M1860="",IF(N1860="",1,2),3)</f>
        <v>1</v>
      </c>
      <c r="M1860" s="10" t="str">
        <f>IFERROR(_xlfn.XLOOKUP(C1860,[1]StuntDes!$B:$B,[1]StuntDes!$A:$A),"")</f>
        <v/>
      </c>
      <c r="N1860" s="10" t="str">
        <f>IFERROR(_xlfn.XLOOKUP(C1860,[1]ModifierDes!$B:$B,[1]ModifierDes!$A:$A),"")</f>
        <v/>
      </c>
      <c r="O1860" s="10">
        <f>IFERROR(_xlfn.XLOOKUP(C1860,[1]AttributeName!$C:$C,[1]AttributeName!$B:$B),"")</f>
        <v>10003</v>
      </c>
      <c r="P1860" s="10"/>
      <c r="Q1860">
        <v>2</v>
      </c>
      <c r="R1860">
        <v>2</v>
      </c>
      <c r="S1860" cm="1">
        <f t="array" ref="S1860">IFERROR(_xlfn.SWITCH(L1860,1,_xlfn.XLOOKUP(O1860,[1]AttributeName!$B:$B,[1]AttributeName!$D:$D),2,_xlfn.XLOOKUP(C1860,#REF!,#REF!),3,_xlfn.XLOOKUP(C1860,#REF!,#REF!)),0)</f>
        <v>0</v>
      </c>
      <c r="T1860" cm="1">
        <f t="array" ref="T1860">IFERROR(_xlfn.SWITCH(L1860,1,_xlfn.XLOOKUP(O1860,[1]AttributeName!$B:$B,[1]AttributeName!$E:$E),2,_xlfn.XLOOKUP(C1860,#REF!,#REF!),3,_xlfn.XLOOKUP(C1860,#REF!,#REF!)),0)</f>
        <v>1</v>
      </c>
    </row>
    <row r="1861" customFormat="1" spans="1:20">
      <c r="A1861">
        <f t="shared" si="77"/>
        <v>764</v>
      </c>
      <c r="B1861">
        <v>8</v>
      </c>
      <c r="C1861" t="s">
        <v>427</v>
      </c>
      <c r="D1861" t="s">
        <v>30</v>
      </c>
      <c r="E1861" t="s">
        <v>392</v>
      </c>
      <c r="F1861"/>
      <c r="G1861">
        <v>2</v>
      </c>
      <c r="H1861">
        <v>500</v>
      </c>
      <c r="I1861">
        <v>3</v>
      </c>
      <c r="J1861" cm="1">
        <f t="array" ref="J1861">_xlfn.SWITCH(B1861,1,75,2,61,3,49,4,37,5,25,6,13,7,4,8,1)</f>
        <v>1</v>
      </c>
      <c r="K1861" t="str" cm="1">
        <f t="array" ref="K1861">IFERROR(_xlfn.SWITCH(L1861,2,_xlfn.XLOOKUP(C1861,[1]ModifierDes!$B:$B,[1]ModifierDes!$C:$C),3,_xlfn.XLOOKUP(C1861,[1]StuntDes!$B:$B,[1]StuntDes!$C:$C)),"")</f>
        <v/>
      </c>
      <c r="L1861">
        <f t="shared" si="78"/>
        <v>1</v>
      </c>
      <c r="M1861" s="10" t="str">
        <f>IFERROR(_xlfn.XLOOKUP(C1861,[1]StuntDes!$B:$B,[1]StuntDes!$A:$A),"")</f>
        <v/>
      </c>
      <c r="N1861" s="10" t="str">
        <f>IFERROR(_xlfn.XLOOKUP(C1861,[1]ModifierDes!$B:$B,[1]ModifierDes!$A:$A),"")</f>
        <v/>
      </c>
      <c r="O1861" s="10">
        <f>IFERROR(_xlfn.XLOOKUP(C1861,[1]AttributeName!$C:$C,[1]AttributeName!$B:$B),"")</f>
        <v>10003</v>
      </c>
      <c r="P1861" s="10"/>
      <c r="Q1861">
        <v>1</v>
      </c>
      <c r="R1861">
        <v>1</v>
      </c>
      <c r="S1861" cm="1">
        <f t="array" ref="S1861">IFERROR(_xlfn.SWITCH(L1861,1,_xlfn.XLOOKUP(O1861,[1]AttributeName!$B:$B,[1]AttributeName!$D:$D),2,_xlfn.XLOOKUP(C1861,#REF!,#REF!),3,_xlfn.XLOOKUP(C1861,#REF!,#REF!)),0)</f>
        <v>0</v>
      </c>
      <c r="T1861" cm="1">
        <f t="array" ref="T1861">IFERROR(_xlfn.SWITCH(L1861,1,_xlfn.XLOOKUP(O1861,[1]AttributeName!$B:$B,[1]AttributeName!$E:$E),2,_xlfn.XLOOKUP(C1861,#REF!,#REF!),3,_xlfn.XLOOKUP(C1861,#REF!,#REF!)),0)</f>
        <v>1</v>
      </c>
    </row>
    <row r="1862" customFormat="1" spans="1:20">
      <c r="A1862">
        <v>801</v>
      </c>
      <c r="B1862">
        <v>1</v>
      </c>
      <c r="C1862" t="s">
        <v>377</v>
      </c>
      <c r="D1862" t="s">
        <v>31</v>
      </c>
      <c r="E1862" t="s">
        <v>378</v>
      </c>
      <c r="F1862"/>
      <c r="G1862">
        <v>1</v>
      </c>
      <c r="H1862">
        <v>50</v>
      </c>
      <c r="I1862">
        <v>1</v>
      </c>
      <c r="J1862" cm="1">
        <f t="array" ref="J1862">_xlfn.SWITCH(B1862,1,75,2,61,3,49,4,37,5,25,6,13,7,4,8,1)</f>
        <v>75</v>
      </c>
      <c r="K1862" t="str" cm="1">
        <f t="array" ref="K1862">IFERROR(_xlfn.SWITCH(L1862,2,_xlfn.XLOOKUP(C1862,[1]ModifierDes!$B:$B,[1]ModifierDes!$C:$C),3,_xlfn.XLOOKUP(C1862,[1]StuntDes!$B:$B,[1]StuntDes!$C:$C)),"")</f>
        <v>物理伤害倍率增加{0}</v>
      </c>
      <c r="L1862">
        <f t="shared" si="78"/>
        <v>2</v>
      </c>
      <c r="M1862" s="10" t="str">
        <f>IFERROR(_xlfn.XLOOKUP(C1862,[1]StuntDes!$B:$B,[1]StuntDes!$A:$A),"")</f>
        <v/>
      </c>
      <c r="N1862" s="10">
        <f>IFERROR(_xlfn.XLOOKUP(C1862,[1]ModifierDes!$B:$B,[1]ModifierDes!$A:$A),"")</f>
        <v>10056</v>
      </c>
      <c r="O1862" s="10" t="str">
        <f>IFERROR(_xlfn.XLOOKUP(C1862,[1]AttributeName!$C:$C,[1]AttributeName!$B:$B),"")</f>
        <v/>
      </c>
      <c r="P1862" s="10"/>
      <c r="Q1862">
        <v>0.25</v>
      </c>
      <c r="R1862">
        <v>0.35</v>
      </c>
      <c r="S1862" cm="1">
        <f t="array" ref="S1862">IFERROR(_xlfn.SWITCH(L1862,1,_xlfn.XLOOKUP(O1862,[1]AttributeName!$B:$B,[1]AttributeName!$D:$D),2,_xlfn.XLOOKUP(C1862,#REF!,#REF!),3,_xlfn.XLOOKUP(C1862,#REF!,#REF!)),0)</f>
        <v>0</v>
      </c>
      <c r="T1862" cm="1">
        <f t="array" ref="T1862">IFERROR(_xlfn.SWITCH(L1862,1,_xlfn.XLOOKUP(O1862,[1]AttributeName!$B:$B,[1]AttributeName!$E:$E),2,_xlfn.XLOOKUP(C1862,#REF!,#REF!),3,_xlfn.XLOOKUP(C1862,#REF!,#REF!)),0)</f>
        <v>0</v>
      </c>
    </row>
    <row r="1863" customFormat="1" spans="1:20">
      <c r="A1863">
        <v>801</v>
      </c>
      <c r="B1863">
        <v>2</v>
      </c>
      <c r="C1863" t="s">
        <v>377</v>
      </c>
      <c r="D1863" t="s">
        <v>31</v>
      </c>
      <c r="E1863" t="s">
        <v>378</v>
      </c>
      <c r="F1863"/>
      <c r="G1863">
        <v>1</v>
      </c>
      <c r="H1863">
        <v>100</v>
      </c>
      <c r="I1863">
        <v>1</v>
      </c>
      <c r="J1863" cm="1">
        <f t="array" ref="J1863">_xlfn.SWITCH(B1863,1,75,2,61,3,49,4,37,5,25,6,13,7,4,8,1)</f>
        <v>61</v>
      </c>
      <c r="K1863" t="str" cm="1">
        <f t="array" ref="K1863">IFERROR(_xlfn.SWITCH(L1863,2,_xlfn.XLOOKUP(C1863,[1]ModifierDes!$B:$B,[1]ModifierDes!$C:$C),3,_xlfn.XLOOKUP(C1863,[1]StuntDes!$B:$B,[1]StuntDes!$C:$C)),"")</f>
        <v>物理伤害倍率增加{0}</v>
      </c>
      <c r="L1863">
        <f t="shared" si="78"/>
        <v>2</v>
      </c>
      <c r="M1863" s="10" t="str">
        <f>IFERROR(_xlfn.XLOOKUP(C1863,[1]StuntDes!$B:$B,[1]StuntDes!$A:$A),"")</f>
        <v/>
      </c>
      <c r="N1863" s="10">
        <f>IFERROR(_xlfn.XLOOKUP(C1863,[1]ModifierDes!$B:$B,[1]ModifierDes!$A:$A),"")</f>
        <v>10056</v>
      </c>
      <c r="O1863" s="10" t="str">
        <f>IFERROR(_xlfn.XLOOKUP(C1863,[1]AttributeName!$C:$C,[1]AttributeName!$B:$B),"")</f>
        <v/>
      </c>
      <c r="P1863" s="10"/>
      <c r="Q1863">
        <v>0.22</v>
      </c>
      <c r="R1863">
        <v>0.24</v>
      </c>
      <c r="S1863" cm="1">
        <f t="array" ref="S1863">IFERROR(_xlfn.SWITCH(L1863,1,_xlfn.XLOOKUP(O1863,[1]AttributeName!$B:$B,[1]AttributeName!$D:$D),2,_xlfn.XLOOKUP(C1863,#REF!,#REF!),3,_xlfn.XLOOKUP(C1863,#REF!,#REF!)),0)</f>
        <v>0</v>
      </c>
      <c r="T1863" cm="1">
        <f t="array" ref="T1863">IFERROR(_xlfn.SWITCH(L1863,1,_xlfn.XLOOKUP(O1863,[1]AttributeName!$B:$B,[1]AttributeName!$E:$E),2,_xlfn.XLOOKUP(C1863,#REF!,#REF!),3,_xlfn.XLOOKUP(C1863,#REF!,#REF!)),0)</f>
        <v>0</v>
      </c>
    </row>
    <row r="1864" customFormat="1" spans="1:20">
      <c r="A1864">
        <v>801</v>
      </c>
      <c r="B1864">
        <v>3</v>
      </c>
      <c r="C1864" t="s">
        <v>377</v>
      </c>
      <c r="D1864" t="s">
        <v>31</v>
      </c>
      <c r="E1864" t="s">
        <v>378</v>
      </c>
      <c r="F1864"/>
      <c r="G1864">
        <v>1</v>
      </c>
      <c r="H1864">
        <v>200</v>
      </c>
      <c r="I1864">
        <v>1</v>
      </c>
      <c r="J1864" cm="1">
        <f t="array" ref="J1864">_xlfn.SWITCH(B1864,1,75,2,61,3,49,4,37,5,25,6,13,7,4,8,1)</f>
        <v>49</v>
      </c>
      <c r="K1864" t="str" cm="1">
        <f t="array" ref="K1864">IFERROR(_xlfn.SWITCH(L1864,2,_xlfn.XLOOKUP(C1864,[1]ModifierDes!$B:$B,[1]ModifierDes!$C:$C),3,_xlfn.XLOOKUP(C1864,[1]StuntDes!$B:$B,[1]StuntDes!$C:$C)),"")</f>
        <v>物理伤害倍率增加{0}</v>
      </c>
      <c r="L1864">
        <f t="shared" si="78"/>
        <v>2</v>
      </c>
      <c r="M1864" s="10" t="str">
        <f>IFERROR(_xlfn.XLOOKUP(C1864,[1]StuntDes!$B:$B,[1]StuntDes!$A:$A),"")</f>
        <v/>
      </c>
      <c r="N1864" s="10">
        <f>IFERROR(_xlfn.XLOOKUP(C1864,[1]ModifierDes!$B:$B,[1]ModifierDes!$A:$A),"")</f>
        <v>10056</v>
      </c>
      <c r="O1864" s="10" t="str">
        <f>IFERROR(_xlfn.XLOOKUP(C1864,[1]AttributeName!$C:$C,[1]AttributeName!$B:$B),"")</f>
        <v/>
      </c>
      <c r="P1864" s="10"/>
      <c r="Q1864">
        <v>0.19</v>
      </c>
      <c r="R1864">
        <v>0.21</v>
      </c>
      <c r="S1864" cm="1">
        <f t="array" ref="S1864">IFERROR(_xlfn.SWITCH(L1864,1,_xlfn.XLOOKUP(O1864,[1]AttributeName!$B:$B,[1]AttributeName!$D:$D),2,_xlfn.XLOOKUP(C1864,#REF!,#REF!),3,_xlfn.XLOOKUP(C1864,#REF!,#REF!)),0)</f>
        <v>0</v>
      </c>
      <c r="T1864" cm="1">
        <f t="array" ref="T1864">IFERROR(_xlfn.SWITCH(L1864,1,_xlfn.XLOOKUP(O1864,[1]AttributeName!$B:$B,[1]AttributeName!$E:$E),2,_xlfn.XLOOKUP(C1864,#REF!,#REF!),3,_xlfn.XLOOKUP(C1864,#REF!,#REF!)),0)</f>
        <v>0</v>
      </c>
    </row>
    <row r="1865" customFormat="1" spans="1:20">
      <c r="A1865">
        <v>801</v>
      </c>
      <c r="B1865">
        <v>4</v>
      </c>
      <c r="C1865" t="s">
        <v>377</v>
      </c>
      <c r="D1865" t="s">
        <v>31</v>
      </c>
      <c r="E1865" t="s">
        <v>378</v>
      </c>
      <c r="F1865"/>
      <c r="G1865">
        <v>1</v>
      </c>
      <c r="H1865">
        <v>500</v>
      </c>
      <c r="I1865">
        <v>1</v>
      </c>
      <c r="J1865" cm="1">
        <f t="array" ref="J1865">_xlfn.SWITCH(B1865,1,75,2,61,3,49,4,37,5,25,6,13,7,4,8,1)</f>
        <v>37</v>
      </c>
      <c r="K1865" t="str" cm="1">
        <f t="array" ref="K1865">IFERROR(_xlfn.SWITCH(L1865,2,_xlfn.XLOOKUP(C1865,[1]ModifierDes!$B:$B,[1]ModifierDes!$C:$C),3,_xlfn.XLOOKUP(C1865,[1]StuntDes!$B:$B,[1]StuntDes!$C:$C)),"")</f>
        <v>物理伤害倍率增加{0}</v>
      </c>
      <c r="L1865">
        <f t="shared" si="78"/>
        <v>2</v>
      </c>
      <c r="M1865" s="10" t="str">
        <f>IFERROR(_xlfn.XLOOKUP(C1865,[1]StuntDes!$B:$B,[1]StuntDes!$A:$A),"")</f>
        <v/>
      </c>
      <c r="N1865" s="10">
        <f>IFERROR(_xlfn.XLOOKUP(C1865,[1]ModifierDes!$B:$B,[1]ModifierDes!$A:$A),"")</f>
        <v>10056</v>
      </c>
      <c r="O1865" s="10" t="str">
        <f>IFERROR(_xlfn.XLOOKUP(C1865,[1]AttributeName!$C:$C,[1]AttributeName!$B:$B),"")</f>
        <v/>
      </c>
      <c r="P1865" s="10"/>
      <c r="Q1865">
        <v>0.16</v>
      </c>
      <c r="R1865">
        <v>0.18</v>
      </c>
      <c r="S1865" cm="1">
        <f t="array" ref="S1865">IFERROR(_xlfn.SWITCH(L1865,1,_xlfn.XLOOKUP(O1865,[1]AttributeName!$B:$B,[1]AttributeName!$D:$D),2,_xlfn.XLOOKUP(C1865,#REF!,#REF!),3,_xlfn.XLOOKUP(C1865,#REF!,#REF!)),0)</f>
        <v>0</v>
      </c>
      <c r="T1865" cm="1">
        <f t="array" ref="T1865">IFERROR(_xlfn.SWITCH(L1865,1,_xlfn.XLOOKUP(O1865,[1]AttributeName!$B:$B,[1]AttributeName!$E:$E),2,_xlfn.XLOOKUP(C1865,#REF!,#REF!),3,_xlfn.XLOOKUP(C1865,#REF!,#REF!)),0)</f>
        <v>0</v>
      </c>
    </row>
    <row r="1866" customFormat="1" spans="1:20">
      <c r="A1866">
        <v>801</v>
      </c>
      <c r="B1866">
        <v>5</v>
      </c>
      <c r="C1866" t="s">
        <v>377</v>
      </c>
      <c r="D1866" t="s">
        <v>31</v>
      </c>
      <c r="E1866" t="s">
        <v>378</v>
      </c>
      <c r="F1866"/>
      <c r="G1866">
        <v>1</v>
      </c>
      <c r="H1866">
        <v>1000</v>
      </c>
      <c r="I1866">
        <v>1</v>
      </c>
      <c r="J1866" cm="1">
        <f t="array" ref="J1866">_xlfn.SWITCH(B1866,1,75,2,61,3,49,4,37,5,25,6,13,7,4,8,1)</f>
        <v>25</v>
      </c>
      <c r="K1866" t="str" cm="1">
        <f t="array" ref="K1866">IFERROR(_xlfn.SWITCH(L1866,2,_xlfn.XLOOKUP(C1866,[1]ModifierDes!$B:$B,[1]ModifierDes!$C:$C),3,_xlfn.XLOOKUP(C1866,[1]StuntDes!$B:$B,[1]StuntDes!$C:$C)),"")</f>
        <v>物理伤害倍率增加{0}</v>
      </c>
      <c r="L1866">
        <f t="shared" si="78"/>
        <v>2</v>
      </c>
      <c r="M1866" s="10" t="str">
        <f>IFERROR(_xlfn.XLOOKUP(C1866,[1]StuntDes!$B:$B,[1]StuntDes!$A:$A),"")</f>
        <v/>
      </c>
      <c r="N1866" s="10">
        <f>IFERROR(_xlfn.XLOOKUP(C1866,[1]ModifierDes!$B:$B,[1]ModifierDes!$A:$A),"")</f>
        <v>10056</v>
      </c>
      <c r="O1866" s="10" t="str">
        <f>IFERROR(_xlfn.XLOOKUP(C1866,[1]AttributeName!$C:$C,[1]AttributeName!$B:$B),"")</f>
        <v/>
      </c>
      <c r="P1866" s="10"/>
      <c r="Q1866">
        <v>0.13</v>
      </c>
      <c r="R1866">
        <v>0.15</v>
      </c>
      <c r="S1866" cm="1">
        <f t="array" ref="S1866">IFERROR(_xlfn.SWITCH(L1866,1,_xlfn.XLOOKUP(O1866,[1]AttributeName!$B:$B,[1]AttributeName!$D:$D),2,_xlfn.XLOOKUP(C1866,#REF!,#REF!),3,_xlfn.XLOOKUP(C1866,#REF!,#REF!)),0)</f>
        <v>0</v>
      </c>
      <c r="T1866" cm="1">
        <f t="array" ref="T1866">IFERROR(_xlfn.SWITCH(L1866,1,_xlfn.XLOOKUP(O1866,[1]AttributeName!$B:$B,[1]AttributeName!$E:$E),2,_xlfn.XLOOKUP(C1866,#REF!,#REF!),3,_xlfn.XLOOKUP(C1866,#REF!,#REF!)),0)</f>
        <v>0</v>
      </c>
    </row>
    <row r="1867" customFormat="1" spans="1:20">
      <c r="A1867">
        <v>801</v>
      </c>
      <c r="B1867">
        <v>6</v>
      </c>
      <c r="C1867" t="s">
        <v>377</v>
      </c>
      <c r="D1867" t="s">
        <v>31</v>
      </c>
      <c r="E1867" t="s">
        <v>378</v>
      </c>
      <c r="F1867"/>
      <c r="G1867">
        <v>1</v>
      </c>
      <c r="H1867">
        <v>1000</v>
      </c>
      <c r="I1867">
        <v>1</v>
      </c>
      <c r="J1867" cm="1">
        <f t="array" ref="J1867">_xlfn.SWITCH(B1867,1,75,2,61,3,49,4,37,5,25,6,13,7,4,8,1)</f>
        <v>13</v>
      </c>
      <c r="K1867" t="str" cm="1">
        <f t="array" ref="K1867">IFERROR(_xlfn.SWITCH(L1867,2,_xlfn.XLOOKUP(C1867,[1]ModifierDes!$B:$B,[1]ModifierDes!$C:$C),3,_xlfn.XLOOKUP(C1867,[1]StuntDes!$B:$B,[1]StuntDes!$C:$C)),"")</f>
        <v>物理伤害倍率增加{0}</v>
      </c>
      <c r="L1867">
        <f t="shared" si="78"/>
        <v>2</v>
      </c>
      <c r="M1867" s="10" t="str">
        <f>IFERROR(_xlfn.XLOOKUP(C1867,[1]StuntDes!$B:$B,[1]StuntDes!$A:$A),"")</f>
        <v/>
      </c>
      <c r="N1867" s="10">
        <f>IFERROR(_xlfn.XLOOKUP(C1867,[1]ModifierDes!$B:$B,[1]ModifierDes!$A:$A),"")</f>
        <v>10056</v>
      </c>
      <c r="O1867" s="10" t="str">
        <f>IFERROR(_xlfn.XLOOKUP(C1867,[1]AttributeName!$C:$C,[1]AttributeName!$B:$B),"")</f>
        <v/>
      </c>
      <c r="P1867" s="10"/>
      <c r="Q1867">
        <v>0.1</v>
      </c>
      <c r="R1867">
        <v>0.12</v>
      </c>
      <c r="S1867" cm="1">
        <f t="array" ref="S1867">IFERROR(_xlfn.SWITCH(L1867,1,_xlfn.XLOOKUP(O1867,[1]AttributeName!$B:$B,[1]AttributeName!$D:$D),2,_xlfn.XLOOKUP(C1867,#REF!,#REF!),3,_xlfn.XLOOKUP(C1867,#REF!,#REF!)),0)</f>
        <v>0</v>
      </c>
      <c r="T1867" cm="1">
        <f t="array" ref="T1867">IFERROR(_xlfn.SWITCH(L1867,1,_xlfn.XLOOKUP(O1867,[1]AttributeName!$B:$B,[1]AttributeName!$E:$E),2,_xlfn.XLOOKUP(C1867,#REF!,#REF!),3,_xlfn.XLOOKUP(C1867,#REF!,#REF!)),0)</f>
        <v>0</v>
      </c>
    </row>
    <row r="1868" customFormat="1" spans="1:20">
      <c r="A1868">
        <v>801</v>
      </c>
      <c r="B1868">
        <v>7</v>
      </c>
      <c r="C1868" t="s">
        <v>377</v>
      </c>
      <c r="D1868" t="s">
        <v>31</v>
      </c>
      <c r="E1868" t="s">
        <v>378</v>
      </c>
      <c r="F1868"/>
      <c r="G1868">
        <v>1</v>
      </c>
      <c r="H1868">
        <v>1000</v>
      </c>
      <c r="I1868">
        <v>1</v>
      </c>
      <c r="J1868" cm="1">
        <f t="array" ref="J1868">_xlfn.SWITCH(B1868,1,75,2,61,3,49,4,37,5,25,6,13,7,4,8,1)</f>
        <v>4</v>
      </c>
      <c r="K1868" t="str" cm="1">
        <f t="array" ref="K1868">IFERROR(_xlfn.SWITCH(L1868,2,_xlfn.XLOOKUP(C1868,[1]ModifierDes!$B:$B,[1]ModifierDes!$C:$C),3,_xlfn.XLOOKUP(C1868,[1]StuntDes!$B:$B,[1]StuntDes!$C:$C)),"")</f>
        <v>物理伤害倍率增加{0}</v>
      </c>
      <c r="L1868">
        <f t="shared" si="78"/>
        <v>2</v>
      </c>
      <c r="M1868" s="10" t="str">
        <f>IFERROR(_xlfn.XLOOKUP(C1868,[1]StuntDes!$B:$B,[1]StuntDes!$A:$A),"")</f>
        <v/>
      </c>
      <c r="N1868" s="10">
        <f>IFERROR(_xlfn.XLOOKUP(C1868,[1]ModifierDes!$B:$B,[1]ModifierDes!$A:$A),"")</f>
        <v>10056</v>
      </c>
      <c r="O1868" s="10" t="str">
        <f>IFERROR(_xlfn.XLOOKUP(C1868,[1]AttributeName!$C:$C,[1]AttributeName!$B:$B),"")</f>
        <v/>
      </c>
      <c r="P1868" s="10"/>
      <c r="Q1868">
        <v>0.07</v>
      </c>
      <c r="R1868">
        <v>0.09</v>
      </c>
      <c r="S1868" cm="1">
        <f t="array" ref="S1868">IFERROR(_xlfn.SWITCH(L1868,1,_xlfn.XLOOKUP(O1868,[1]AttributeName!$B:$B,[1]AttributeName!$D:$D),2,_xlfn.XLOOKUP(C1868,#REF!,#REF!),3,_xlfn.XLOOKUP(C1868,#REF!,#REF!)),0)</f>
        <v>0</v>
      </c>
      <c r="T1868" cm="1">
        <f t="array" ref="T1868">IFERROR(_xlfn.SWITCH(L1868,1,_xlfn.XLOOKUP(O1868,[1]AttributeName!$B:$B,[1]AttributeName!$E:$E),2,_xlfn.XLOOKUP(C1868,#REF!,#REF!),3,_xlfn.XLOOKUP(C1868,#REF!,#REF!)),0)</f>
        <v>0</v>
      </c>
    </row>
    <row r="1869" customFormat="1" spans="1:20">
      <c r="A1869">
        <v>801</v>
      </c>
      <c r="B1869">
        <v>8</v>
      </c>
      <c r="C1869" t="s">
        <v>377</v>
      </c>
      <c r="D1869" t="s">
        <v>31</v>
      </c>
      <c r="E1869" t="s">
        <v>378</v>
      </c>
      <c r="F1869"/>
      <c r="G1869">
        <v>1</v>
      </c>
      <c r="H1869">
        <v>1000</v>
      </c>
      <c r="I1869">
        <v>1</v>
      </c>
      <c r="J1869" cm="1">
        <f t="array" ref="J1869">_xlfn.SWITCH(B1869,1,75,2,61,3,49,4,37,5,25,6,13,7,4,8,1)</f>
        <v>1</v>
      </c>
      <c r="K1869" t="str" cm="1">
        <f t="array" ref="K1869">IFERROR(_xlfn.SWITCH(L1869,2,_xlfn.XLOOKUP(C1869,[1]ModifierDes!$B:$B,[1]ModifierDes!$C:$C),3,_xlfn.XLOOKUP(C1869,[1]StuntDes!$B:$B,[1]StuntDes!$C:$C)),"")</f>
        <v>物理伤害倍率增加{0}</v>
      </c>
      <c r="L1869">
        <f t="shared" si="78"/>
        <v>2</v>
      </c>
      <c r="M1869" s="10" t="str">
        <f>IFERROR(_xlfn.XLOOKUP(C1869,[1]StuntDes!$B:$B,[1]StuntDes!$A:$A),"")</f>
        <v/>
      </c>
      <c r="N1869" s="10">
        <f>IFERROR(_xlfn.XLOOKUP(C1869,[1]ModifierDes!$B:$B,[1]ModifierDes!$A:$A),"")</f>
        <v>10056</v>
      </c>
      <c r="O1869" s="10" t="str">
        <f>IFERROR(_xlfn.XLOOKUP(C1869,[1]AttributeName!$C:$C,[1]AttributeName!$B:$B),"")</f>
        <v/>
      </c>
      <c r="P1869" s="10"/>
      <c r="Q1869">
        <v>0.04</v>
      </c>
      <c r="R1869">
        <v>0.07</v>
      </c>
      <c r="S1869" cm="1">
        <f t="array" ref="S1869">IFERROR(_xlfn.SWITCH(L1869,1,_xlfn.XLOOKUP(O1869,[1]AttributeName!$B:$B,[1]AttributeName!$D:$D),2,_xlfn.XLOOKUP(C1869,#REF!,#REF!),3,_xlfn.XLOOKUP(C1869,#REF!,#REF!)),0)</f>
        <v>0</v>
      </c>
      <c r="T1869" cm="1">
        <f t="array" ref="T1869">IFERROR(_xlfn.SWITCH(L1869,1,_xlfn.XLOOKUP(O1869,[1]AttributeName!$B:$B,[1]AttributeName!$E:$E),2,_xlfn.XLOOKUP(C1869,#REF!,#REF!),3,_xlfn.XLOOKUP(C1869,#REF!,#REF!)),0)</f>
        <v>0</v>
      </c>
    </row>
    <row r="1870" customFormat="1" spans="1:20">
      <c r="A1870">
        <f t="shared" ref="A1870:A1933" si="79">A1862+1</f>
        <v>802</v>
      </c>
      <c r="B1870">
        <v>1</v>
      </c>
      <c r="C1870" t="s">
        <v>379</v>
      </c>
      <c r="D1870" t="s">
        <v>31</v>
      </c>
      <c r="E1870" t="s">
        <v>378</v>
      </c>
      <c r="F1870"/>
      <c r="G1870">
        <v>1</v>
      </c>
      <c r="H1870">
        <v>50</v>
      </c>
      <c r="I1870">
        <v>1</v>
      </c>
      <c r="J1870" cm="1">
        <f t="array" ref="J1870">_xlfn.SWITCH(B1870,1,75,2,61,3,49,4,37,5,25,6,13,7,4,8,1)</f>
        <v>75</v>
      </c>
      <c r="K1870" t="str" cm="1">
        <f t="array" ref="K1870">IFERROR(_xlfn.SWITCH(L1870,2,_xlfn.XLOOKUP(C1870,[1]ModifierDes!$B:$B,[1]ModifierDes!$C:$C),3,_xlfn.XLOOKUP(C1870,[1]StuntDes!$B:$B,[1]StuntDes!$C:$C)),"")</f>
        <v>火焰伤害倍率增加{0}</v>
      </c>
      <c r="L1870">
        <f t="shared" si="78"/>
        <v>2</v>
      </c>
      <c r="M1870" s="10" t="str">
        <f>IFERROR(_xlfn.XLOOKUP(C1870,[1]StuntDes!$B:$B,[1]StuntDes!$A:$A),"")</f>
        <v/>
      </c>
      <c r="N1870" s="10">
        <f>IFERROR(_xlfn.XLOOKUP(C1870,[1]ModifierDes!$B:$B,[1]ModifierDes!$A:$A),"")</f>
        <v>10057</v>
      </c>
      <c r="O1870" s="10" t="str">
        <f>IFERROR(_xlfn.XLOOKUP(C1870,[1]AttributeName!$C:$C,[1]AttributeName!$B:$B),"")</f>
        <v/>
      </c>
      <c r="P1870" s="10"/>
      <c r="Q1870">
        <v>0.25</v>
      </c>
      <c r="R1870">
        <v>0.35</v>
      </c>
      <c r="S1870" cm="1">
        <f t="array" ref="S1870">IFERROR(_xlfn.SWITCH(L1870,1,_xlfn.XLOOKUP(O1870,[1]AttributeName!$B:$B,[1]AttributeName!$D:$D),2,_xlfn.XLOOKUP(C1870,#REF!,#REF!),3,_xlfn.XLOOKUP(C1870,#REF!,#REF!)),0)</f>
        <v>0</v>
      </c>
      <c r="T1870" cm="1">
        <f t="array" ref="T1870">IFERROR(_xlfn.SWITCH(L1870,1,_xlfn.XLOOKUP(O1870,[1]AttributeName!$B:$B,[1]AttributeName!$E:$E),2,_xlfn.XLOOKUP(C1870,#REF!,#REF!),3,_xlfn.XLOOKUP(C1870,#REF!,#REF!)),0)</f>
        <v>0</v>
      </c>
    </row>
    <row r="1871" customFormat="1" spans="1:20">
      <c r="A1871">
        <f t="shared" si="79"/>
        <v>802</v>
      </c>
      <c r="B1871">
        <v>2</v>
      </c>
      <c r="C1871" t="s">
        <v>379</v>
      </c>
      <c r="D1871" t="s">
        <v>31</v>
      </c>
      <c r="E1871" t="s">
        <v>378</v>
      </c>
      <c r="F1871"/>
      <c r="G1871">
        <v>1</v>
      </c>
      <c r="H1871">
        <v>100</v>
      </c>
      <c r="I1871">
        <v>1</v>
      </c>
      <c r="J1871" cm="1">
        <f t="array" ref="J1871">_xlfn.SWITCH(B1871,1,75,2,61,3,49,4,37,5,25,6,13,7,4,8,1)</f>
        <v>61</v>
      </c>
      <c r="K1871" t="str" cm="1">
        <f t="array" ref="K1871">IFERROR(_xlfn.SWITCH(L1871,2,_xlfn.XLOOKUP(C1871,[1]ModifierDes!$B:$B,[1]ModifierDes!$C:$C),3,_xlfn.XLOOKUP(C1871,[1]StuntDes!$B:$B,[1]StuntDes!$C:$C)),"")</f>
        <v>火焰伤害倍率增加{0}</v>
      </c>
      <c r="L1871">
        <f t="shared" si="78"/>
        <v>2</v>
      </c>
      <c r="M1871" s="10" t="str">
        <f>IFERROR(_xlfn.XLOOKUP(C1871,[1]StuntDes!$B:$B,[1]StuntDes!$A:$A),"")</f>
        <v/>
      </c>
      <c r="N1871" s="10">
        <f>IFERROR(_xlfn.XLOOKUP(C1871,[1]ModifierDes!$B:$B,[1]ModifierDes!$A:$A),"")</f>
        <v>10057</v>
      </c>
      <c r="O1871" s="10" t="str">
        <f>IFERROR(_xlfn.XLOOKUP(C1871,[1]AttributeName!$C:$C,[1]AttributeName!$B:$B),"")</f>
        <v/>
      </c>
      <c r="P1871" s="10"/>
      <c r="Q1871">
        <v>0.22</v>
      </c>
      <c r="R1871">
        <v>0.24</v>
      </c>
      <c r="S1871" cm="1">
        <f t="array" ref="S1871">IFERROR(_xlfn.SWITCH(L1871,1,_xlfn.XLOOKUP(O1871,[1]AttributeName!$B:$B,[1]AttributeName!$D:$D),2,_xlfn.XLOOKUP(C1871,#REF!,#REF!),3,_xlfn.XLOOKUP(C1871,#REF!,#REF!)),0)</f>
        <v>0</v>
      </c>
      <c r="T1871" cm="1">
        <f t="array" ref="T1871">IFERROR(_xlfn.SWITCH(L1871,1,_xlfn.XLOOKUP(O1871,[1]AttributeName!$B:$B,[1]AttributeName!$E:$E),2,_xlfn.XLOOKUP(C1871,#REF!,#REF!),3,_xlfn.XLOOKUP(C1871,#REF!,#REF!)),0)</f>
        <v>0</v>
      </c>
    </row>
    <row r="1872" customFormat="1" spans="1:20">
      <c r="A1872">
        <f t="shared" si="79"/>
        <v>802</v>
      </c>
      <c r="B1872">
        <v>3</v>
      </c>
      <c r="C1872" t="s">
        <v>379</v>
      </c>
      <c r="D1872" t="s">
        <v>31</v>
      </c>
      <c r="E1872" t="s">
        <v>378</v>
      </c>
      <c r="F1872"/>
      <c r="G1872">
        <v>1</v>
      </c>
      <c r="H1872">
        <v>200</v>
      </c>
      <c r="I1872">
        <v>1</v>
      </c>
      <c r="J1872" cm="1">
        <f t="array" ref="J1872">_xlfn.SWITCH(B1872,1,75,2,61,3,49,4,37,5,25,6,13,7,4,8,1)</f>
        <v>49</v>
      </c>
      <c r="K1872" t="str" cm="1">
        <f t="array" ref="K1872">IFERROR(_xlfn.SWITCH(L1872,2,_xlfn.XLOOKUP(C1872,[1]ModifierDes!$B:$B,[1]ModifierDes!$C:$C),3,_xlfn.XLOOKUP(C1872,[1]StuntDes!$B:$B,[1]StuntDes!$C:$C)),"")</f>
        <v>火焰伤害倍率增加{0}</v>
      </c>
      <c r="L1872">
        <f t="shared" si="78"/>
        <v>2</v>
      </c>
      <c r="M1872" s="10" t="str">
        <f>IFERROR(_xlfn.XLOOKUP(C1872,[1]StuntDes!$B:$B,[1]StuntDes!$A:$A),"")</f>
        <v/>
      </c>
      <c r="N1872" s="10">
        <f>IFERROR(_xlfn.XLOOKUP(C1872,[1]ModifierDes!$B:$B,[1]ModifierDes!$A:$A),"")</f>
        <v>10057</v>
      </c>
      <c r="O1872" s="10" t="str">
        <f>IFERROR(_xlfn.XLOOKUP(C1872,[1]AttributeName!$C:$C,[1]AttributeName!$B:$B),"")</f>
        <v/>
      </c>
      <c r="P1872" s="10"/>
      <c r="Q1872">
        <v>0.19</v>
      </c>
      <c r="R1872">
        <v>0.21</v>
      </c>
      <c r="S1872" cm="1">
        <f t="array" ref="S1872">IFERROR(_xlfn.SWITCH(L1872,1,_xlfn.XLOOKUP(O1872,[1]AttributeName!$B:$B,[1]AttributeName!$D:$D),2,_xlfn.XLOOKUP(C1872,#REF!,#REF!),3,_xlfn.XLOOKUP(C1872,#REF!,#REF!)),0)</f>
        <v>0</v>
      </c>
      <c r="T1872" cm="1">
        <f t="array" ref="T1872">IFERROR(_xlfn.SWITCH(L1872,1,_xlfn.XLOOKUP(O1872,[1]AttributeName!$B:$B,[1]AttributeName!$E:$E),2,_xlfn.XLOOKUP(C1872,#REF!,#REF!),3,_xlfn.XLOOKUP(C1872,#REF!,#REF!)),0)</f>
        <v>0</v>
      </c>
    </row>
    <row r="1873" customFormat="1" spans="1:20">
      <c r="A1873">
        <f t="shared" si="79"/>
        <v>802</v>
      </c>
      <c r="B1873">
        <v>4</v>
      </c>
      <c r="C1873" t="s">
        <v>379</v>
      </c>
      <c r="D1873" t="s">
        <v>31</v>
      </c>
      <c r="E1873" t="s">
        <v>378</v>
      </c>
      <c r="F1873"/>
      <c r="G1873">
        <v>1</v>
      </c>
      <c r="H1873">
        <v>500</v>
      </c>
      <c r="I1873">
        <v>1</v>
      </c>
      <c r="J1873" cm="1">
        <f t="array" ref="J1873">_xlfn.SWITCH(B1873,1,75,2,61,3,49,4,37,5,25,6,13,7,4,8,1)</f>
        <v>37</v>
      </c>
      <c r="K1873" t="str" cm="1">
        <f t="array" ref="K1873">IFERROR(_xlfn.SWITCH(L1873,2,_xlfn.XLOOKUP(C1873,[1]ModifierDes!$B:$B,[1]ModifierDes!$C:$C),3,_xlfn.XLOOKUP(C1873,[1]StuntDes!$B:$B,[1]StuntDes!$C:$C)),"")</f>
        <v>火焰伤害倍率增加{0}</v>
      </c>
      <c r="L1873">
        <f t="shared" si="78"/>
        <v>2</v>
      </c>
      <c r="M1873" s="10" t="str">
        <f>IFERROR(_xlfn.XLOOKUP(C1873,[1]StuntDes!$B:$B,[1]StuntDes!$A:$A),"")</f>
        <v/>
      </c>
      <c r="N1873" s="10">
        <f>IFERROR(_xlfn.XLOOKUP(C1873,[1]ModifierDes!$B:$B,[1]ModifierDes!$A:$A),"")</f>
        <v>10057</v>
      </c>
      <c r="O1873" s="10" t="str">
        <f>IFERROR(_xlfn.XLOOKUP(C1873,[1]AttributeName!$C:$C,[1]AttributeName!$B:$B),"")</f>
        <v/>
      </c>
      <c r="P1873" s="10"/>
      <c r="Q1873">
        <v>0.16</v>
      </c>
      <c r="R1873">
        <v>0.18</v>
      </c>
      <c r="S1873" cm="1">
        <f t="array" ref="S1873">IFERROR(_xlfn.SWITCH(L1873,1,_xlfn.XLOOKUP(O1873,[1]AttributeName!$B:$B,[1]AttributeName!$D:$D),2,_xlfn.XLOOKUP(C1873,#REF!,#REF!),3,_xlfn.XLOOKUP(C1873,#REF!,#REF!)),0)</f>
        <v>0</v>
      </c>
      <c r="T1873" cm="1">
        <f t="array" ref="T1873">IFERROR(_xlfn.SWITCH(L1873,1,_xlfn.XLOOKUP(O1873,[1]AttributeName!$B:$B,[1]AttributeName!$E:$E),2,_xlfn.XLOOKUP(C1873,#REF!,#REF!),3,_xlfn.XLOOKUP(C1873,#REF!,#REF!)),0)</f>
        <v>0</v>
      </c>
    </row>
    <row r="1874" customFormat="1" spans="1:20">
      <c r="A1874">
        <f t="shared" si="79"/>
        <v>802</v>
      </c>
      <c r="B1874">
        <v>5</v>
      </c>
      <c r="C1874" t="s">
        <v>379</v>
      </c>
      <c r="D1874" t="s">
        <v>31</v>
      </c>
      <c r="E1874" t="s">
        <v>378</v>
      </c>
      <c r="F1874"/>
      <c r="G1874">
        <v>1</v>
      </c>
      <c r="H1874">
        <v>1000</v>
      </c>
      <c r="I1874">
        <v>1</v>
      </c>
      <c r="J1874" cm="1">
        <f t="array" ref="J1874">_xlfn.SWITCH(B1874,1,75,2,61,3,49,4,37,5,25,6,13,7,4,8,1)</f>
        <v>25</v>
      </c>
      <c r="K1874" t="str" cm="1">
        <f t="array" ref="K1874">IFERROR(_xlfn.SWITCH(L1874,2,_xlfn.XLOOKUP(C1874,[1]ModifierDes!$B:$B,[1]ModifierDes!$C:$C),3,_xlfn.XLOOKUP(C1874,[1]StuntDes!$B:$B,[1]StuntDes!$C:$C)),"")</f>
        <v>火焰伤害倍率增加{0}</v>
      </c>
      <c r="L1874">
        <f t="shared" si="78"/>
        <v>2</v>
      </c>
      <c r="M1874" s="10" t="str">
        <f>IFERROR(_xlfn.XLOOKUP(C1874,[1]StuntDes!$B:$B,[1]StuntDes!$A:$A),"")</f>
        <v/>
      </c>
      <c r="N1874" s="10">
        <f>IFERROR(_xlfn.XLOOKUP(C1874,[1]ModifierDes!$B:$B,[1]ModifierDes!$A:$A),"")</f>
        <v>10057</v>
      </c>
      <c r="O1874" s="10" t="str">
        <f>IFERROR(_xlfn.XLOOKUP(C1874,[1]AttributeName!$C:$C,[1]AttributeName!$B:$B),"")</f>
        <v/>
      </c>
      <c r="P1874" s="10"/>
      <c r="Q1874">
        <v>0.13</v>
      </c>
      <c r="R1874">
        <v>0.15</v>
      </c>
      <c r="S1874" cm="1">
        <f t="array" ref="S1874">IFERROR(_xlfn.SWITCH(L1874,1,_xlfn.XLOOKUP(O1874,[1]AttributeName!$B:$B,[1]AttributeName!$D:$D),2,_xlfn.XLOOKUP(C1874,#REF!,#REF!),3,_xlfn.XLOOKUP(C1874,#REF!,#REF!)),0)</f>
        <v>0</v>
      </c>
      <c r="T1874" cm="1">
        <f t="array" ref="T1874">IFERROR(_xlfn.SWITCH(L1874,1,_xlfn.XLOOKUP(O1874,[1]AttributeName!$B:$B,[1]AttributeName!$E:$E),2,_xlfn.XLOOKUP(C1874,#REF!,#REF!),3,_xlfn.XLOOKUP(C1874,#REF!,#REF!)),0)</f>
        <v>0</v>
      </c>
    </row>
    <row r="1875" customFormat="1" spans="1:20">
      <c r="A1875">
        <f t="shared" si="79"/>
        <v>802</v>
      </c>
      <c r="B1875">
        <v>6</v>
      </c>
      <c r="C1875" t="s">
        <v>379</v>
      </c>
      <c r="D1875" t="s">
        <v>31</v>
      </c>
      <c r="E1875" t="s">
        <v>378</v>
      </c>
      <c r="F1875"/>
      <c r="G1875">
        <v>1</v>
      </c>
      <c r="H1875">
        <v>1000</v>
      </c>
      <c r="I1875">
        <v>1</v>
      </c>
      <c r="J1875" cm="1">
        <f t="array" ref="J1875">_xlfn.SWITCH(B1875,1,75,2,61,3,49,4,37,5,25,6,13,7,4,8,1)</f>
        <v>13</v>
      </c>
      <c r="K1875" t="str" cm="1">
        <f t="array" ref="K1875">IFERROR(_xlfn.SWITCH(L1875,2,_xlfn.XLOOKUP(C1875,[1]ModifierDes!$B:$B,[1]ModifierDes!$C:$C),3,_xlfn.XLOOKUP(C1875,[1]StuntDes!$B:$B,[1]StuntDes!$C:$C)),"")</f>
        <v>火焰伤害倍率增加{0}</v>
      </c>
      <c r="L1875">
        <f t="shared" si="78"/>
        <v>2</v>
      </c>
      <c r="M1875" s="10" t="str">
        <f>IFERROR(_xlfn.XLOOKUP(C1875,[1]StuntDes!$B:$B,[1]StuntDes!$A:$A),"")</f>
        <v/>
      </c>
      <c r="N1875" s="10">
        <f>IFERROR(_xlfn.XLOOKUP(C1875,[1]ModifierDes!$B:$B,[1]ModifierDes!$A:$A),"")</f>
        <v>10057</v>
      </c>
      <c r="O1875" s="10" t="str">
        <f>IFERROR(_xlfn.XLOOKUP(C1875,[1]AttributeName!$C:$C,[1]AttributeName!$B:$B),"")</f>
        <v/>
      </c>
      <c r="P1875" s="10"/>
      <c r="Q1875">
        <v>0.1</v>
      </c>
      <c r="R1875">
        <v>0.12</v>
      </c>
      <c r="S1875" cm="1">
        <f t="array" ref="S1875">IFERROR(_xlfn.SWITCH(L1875,1,_xlfn.XLOOKUP(O1875,[1]AttributeName!$B:$B,[1]AttributeName!$D:$D),2,_xlfn.XLOOKUP(C1875,#REF!,#REF!),3,_xlfn.XLOOKUP(C1875,#REF!,#REF!)),0)</f>
        <v>0</v>
      </c>
      <c r="T1875" cm="1">
        <f t="array" ref="T1875">IFERROR(_xlfn.SWITCH(L1875,1,_xlfn.XLOOKUP(O1875,[1]AttributeName!$B:$B,[1]AttributeName!$E:$E),2,_xlfn.XLOOKUP(C1875,#REF!,#REF!),3,_xlfn.XLOOKUP(C1875,#REF!,#REF!)),0)</f>
        <v>0</v>
      </c>
    </row>
    <row r="1876" customFormat="1" spans="1:20">
      <c r="A1876">
        <f t="shared" si="79"/>
        <v>802</v>
      </c>
      <c r="B1876">
        <v>7</v>
      </c>
      <c r="C1876" t="s">
        <v>379</v>
      </c>
      <c r="D1876" t="s">
        <v>31</v>
      </c>
      <c r="E1876" t="s">
        <v>378</v>
      </c>
      <c r="F1876"/>
      <c r="G1876">
        <v>1</v>
      </c>
      <c r="H1876">
        <v>1000</v>
      </c>
      <c r="I1876">
        <v>1</v>
      </c>
      <c r="J1876" cm="1">
        <f t="array" ref="J1876">_xlfn.SWITCH(B1876,1,75,2,61,3,49,4,37,5,25,6,13,7,4,8,1)</f>
        <v>4</v>
      </c>
      <c r="K1876" t="str" cm="1">
        <f t="array" ref="K1876">IFERROR(_xlfn.SWITCH(L1876,2,_xlfn.XLOOKUP(C1876,[1]ModifierDes!$B:$B,[1]ModifierDes!$C:$C),3,_xlfn.XLOOKUP(C1876,[1]StuntDes!$B:$B,[1]StuntDes!$C:$C)),"")</f>
        <v>火焰伤害倍率增加{0}</v>
      </c>
      <c r="L1876">
        <f t="shared" si="78"/>
        <v>2</v>
      </c>
      <c r="M1876" s="10" t="str">
        <f>IFERROR(_xlfn.XLOOKUP(C1876,[1]StuntDes!$B:$B,[1]StuntDes!$A:$A),"")</f>
        <v/>
      </c>
      <c r="N1876" s="10">
        <f>IFERROR(_xlfn.XLOOKUP(C1876,[1]ModifierDes!$B:$B,[1]ModifierDes!$A:$A),"")</f>
        <v>10057</v>
      </c>
      <c r="O1876" s="10" t="str">
        <f>IFERROR(_xlfn.XLOOKUP(C1876,[1]AttributeName!$C:$C,[1]AttributeName!$B:$B),"")</f>
        <v/>
      </c>
      <c r="P1876" s="10"/>
      <c r="Q1876">
        <v>0.07</v>
      </c>
      <c r="R1876">
        <v>0.09</v>
      </c>
      <c r="S1876" cm="1">
        <f t="array" ref="S1876">IFERROR(_xlfn.SWITCH(L1876,1,_xlfn.XLOOKUP(O1876,[1]AttributeName!$B:$B,[1]AttributeName!$D:$D),2,_xlfn.XLOOKUP(C1876,#REF!,#REF!),3,_xlfn.XLOOKUP(C1876,#REF!,#REF!)),0)</f>
        <v>0</v>
      </c>
      <c r="T1876" cm="1">
        <f t="array" ref="T1876">IFERROR(_xlfn.SWITCH(L1876,1,_xlfn.XLOOKUP(O1876,[1]AttributeName!$B:$B,[1]AttributeName!$E:$E),2,_xlfn.XLOOKUP(C1876,#REF!,#REF!),3,_xlfn.XLOOKUP(C1876,#REF!,#REF!)),0)</f>
        <v>0</v>
      </c>
    </row>
    <row r="1877" customFormat="1" spans="1:20">
      <c r="A1877">
        <f t="shared" si="79"/>
        <v>802</v>
      </c>
      <c r="B1877">
        <v>8</v>
      </c>
      <c r="C1877" t="s">
        <v>379</v>
      </c>
      <c r="D1877" t="s">
        <v>31</v>
      </c>
      <c r="E1877" t="s">
        <v>378</v>
      </c>
      <c r="F1877"/>
      <c r="G1877">
        <v>1</v>
      </c>
      <c r="H1877">
        <v>1000</v>
      </c>
      <c r="I1877">
        <v>1</v>
      </c>
      <c r="J1877" cm="1">
        <f t="array" ref="J1877">_xlfn.SWITCH(B1877,1,75,2,61,3,49,4,37,5,25,6,13,7,4,8,1)</f>
        <v>1</v>
      </c>
      <c r="K1877" t="str" cm="1">
        <f t="array" ref="K1877">IFERROR(_xlfn.SWITCH(L1877,2,_xlfn.XLOOKUP(C1877,[1]ModifierDes!$B:$B,[1]ModifierDes!$C:$C),3,_xlfn.XLOOKUP(C1877,[1]StuntDes!$B:$B,[1]StuntDes!$C:$C)),"")</f>
        <v>火焰伤害倍率增加{0}</v>
      </c>
      <c r="L1877">
        <f t="shared" si="78"/>
        <v>2</v>
      </c>
      <c r="M1877" s="10" t="str">
        <f>IFERROR(_xlfn.XLOOKUP(C1877,[1]StuntDes!$B:$B,[1]StuntDes!$A:$A),"")</f>
        <v/>
      </c>
      <c r="N1877" s="10">
        <f>IFERROR(_xlfn.XLOOKUP(C1877,[1]ModifierDes!$B:$B,[1]ModifierDes!$A:$A),"")</f>
        <v>10057</v>
      </c>
      <c r="O1877" s="10" t="str">
        <f>IFERROR(_xlfn.XLOOKUP(C1877,[1]AttributeName!$C:$C,[1]AttributeName!$B:$B),"")</f>
        <v/>
      </c>
      <c r="P1877" s="10"/>
      <c r="Q1877">
        <v>0.04</v>
      </c>
      <c r="R1877">
        <v>0.07</v>
      </c>
      <c r="S1877" cm="1">
        <f t="array" ref="S1877">IFERROR(_xlfn.SWITCH(L1877,1,_xlfn.XLOOKUP(O1877,[1]AttributeName!$B:$B,[1]AttributeName!$D:$D),2,_xlfn.XLOOKUP(C1877,#REF!,#REF!),3,_xlfn.XLOOKUP(C1877,#REF!,#REF!)),0)</f>
        <v>0</v>
      </c>
      <c r="T1877" cm="1">
        <f t="array" ref="T1877">IFERROR(_xlfn.SWITCH(L1877,1,_xlfn.XLOOKUP(O1877,[1]AttributeName!$B:$B,[1]AttributeName!$E:$E),2,_xlfn.XLOOKUP(C1877,#REF!,#REF!),3,_xlfn.XLOOKUP(C1877,#REF!,#REF!)),0)</f>
        <v>0</v>
      </c>
    </row>
    <row r="1878" customFormat="1" spans="1:20">
      <c r="A1878">
        <f t="shared" si="79"/>
        <v>803</v>
      </c>
      <c r="B1878">
        <v>1</v>
      </c>
      <c r="C1878" t="s">
        <v>380</v>
      </c>
      <c r="D1878" t="s">
        <v>31</v>
      </c>
      <c r="E1878" t="s">
        <v>378</v>
      </c>
      <c r="F1878"/>
      <c r="G1878">
        <v>1</v>
      </c>
      <c r="H1878">
        <v>50</v>
      </c>
      <c r="I1878">
        <v>1</v>
      </c>
      <c r="J1878" cm="1">
        <f t="array" ref="J1878">_xlfn.SWITCH(B1878,1,75,2,61,3,49,4,37,5,25,6,13,7,4,8,1)</f>
        <v>75</v>
      </c>
      <c r="K1878" t="str" cm="1">
        <f t="array" ref="K1878">IFERROR(_xlfn.SWITCH(L1878,2,_xlfn.XLOOKUP(C1878,[1]ModifierDes!$B:$B,[1]ModifierDes!$C:$C),3,_xlfn.XLOOKUP(C1878,[1]StuntDes!$B:$B,[1]StuntDes!$C:$C)),"")</f>
        <v>冰冷伤害倍率增加{0}</v>
      </c>
      <c r="L1878">
        <f t="shared" si="78"/>
        <v>2</v>
      </c>
      <c r="M1878" s="10" t="str">
        <f>IFERROR(_xlfn.XLOOKUP(C1878,[1]StuntDes!$B:$B,[1]StuntDes!$A:$A),"")</f>
        <v/>
      </c>
      <c r="N1878" s="10">
        <f>IFERROR(_xlfn.XLOOKUP(C1878,[1]ModifierDes!$B:$B,[1]ModifierDes!$A:$A),"")</f>
        <v>10058</v>
      </c>
      <c r="O1878" s="10" t="str">
        <f>IFERROR(_xlfn.XLOOKUP(C1878,[1]AttributeName!$C:$C,[1]AttributeName!$B:$B),"")</f>
        <v/>
      </c>
      <c r="P1878" s="10"/>
      <c r="Q1878">
        <v>0.25</v>
      </c>
      <c r="R1878">
        <v>0.35</v>
      </c>
      <c r="S1878" cm="1">
        <f t="array" ref="S1878">IFERROR(_xlfn.SWITCH(L1878,1,_xlfn.XLOOKUP(O1878,[1]AttributeName!$B:$B,[1]AttributeName!$D:$D),2,_xlfn.XLOOKUP(C1878,#REF!,#REF!),3,_xlfn.XLOOKUP(C1878,#REF!,#REF!)),0)</f>
        <v>0</v>
      </c>
      <c r="T1878" cm="1">
        <f t="array" ref="T1878">IFERROR(_xlfn.SWITCH(L1878,1,_xlfn.XLOOKUP(O1878,[1]AttributeName!$B:$B,[1]AttributeName!$E:$E),2,_xlfn.XLOOKUP(C1878,#REF!,#REF!),3,_xlfn.XLOOKUP(C1878,#REF!,#REF!)),0)</f>
        <v>0</v>
      </c>
    </row>
    <row r="1879" customFormat="1" spans="1:20">
      <c r="A1879">
        <f t="shared" si="79"/>
        <v>803</v>
      </c>
      <c r="B1879">
        <v>2</v>
      </c>
      <c r="C1879" t="s">
        <v>380</v>
      </c>
      <c r="D1879" t="s">
        <v>31</v>
      </c>
      <c r="E1879" t="s">
        <v>378</v>
      </c>
      <c r="F1879"/>
      <c r="G1879">
        <v>1</v>
      </c>
      <c r="H1879">
        <v>100</v>
      </c>
      <c r="I1879">
        <v>1</v>
      </c>
      <c r="J1879" cm="1">
        <f t="array" ref="J1879">_xlfn.SWITCH(B1879,1,75,2,61,3,49,4,37,5,25,6,13,7,4,8,1)</f>
        <v>61</v>
      </c>
      <c r="K1879" t="str" cm="1">
        <f t="array" ref="K1879">IFERROR(_xlfn.SWITCH(L1879,2,_xlfn.XLOOKUP(C1879,[1]ModifierDes!$B:$B,[1]ModifierDes!$C:$C),3,_xlfn.XLOOKUP(C1879,[1]StuntDes!$B:$B,[1]StuntDes!$C:$C)),"")</f>
        <v>冰冷伤害倍率增加{0}</v>
      </c>
      <c r="L1879">
        <f t="shared" si="78"/>
        <v>2</v>
      </c>
      <c r="M1879" s="10" t="str">
        <f>IFERROR(_xlfn.XLOOKUP(C1879,[1]StuntDes!$B:$B,[1]StuntDes!$A:$A),"")</f>
        <v/>
      </c>
      <c r="N1879" s="10">
        <f>IFERROR(_xlfn.XLOOKUP(C1879,[1]ModifierDes!$B:$B,[1]ModifierDes!$A:$A),"")</f>
        <v>10058</v>
      </c>
      <c r="O1879" s="10" t="str">
        <f>IFERROR(_xlfn.XLOOKUP(C1879,[1]AttributeName!$C:$C,[1]AttributeName!$B:$B),"")</f>
        <v/>
      </c>
      <c r="P1879" s="10"/>
      <c r="Q1879">
        <v>0.22</v>
      </c>
      <c r="R1879">
        <v>0.24</v>
      </c>
      <c r="S1879" cm="1">
        <f t="array" ref="S1879">IFERROR(_xlfn.SWITCH(L1879,1,_xlfn.XLOOKUP(O1879,[1]AttributeName!$B:$B,[1]AttributeName!$D:$D),2,_xlfn.XLOOKUP(C1879,#REF!,#REF!),3,_xlfn.XLOOKUP(C1879,#REF!,#REF!)),0)</f>
        <v>0</v>
      </c>
      <c r="T1879" cm="1">
        <f t="array" ref="T1879">IFERROR(_xlfn.SWITCH(L1879,1,_xlfn.XLOOKUP(O1879,[1]AttributeName!$B:$B,[1]AttributeName!$E:$E),2,_xlfn.XLOOKUP(C1879,#REF!,#REF!),3,_xlfn.XLOOKUP(C1879,#REF!,#REF!)),0)</f>
        <v>0</v>
      </c>
    </row>
    <row r="1880" customFormat="1" spans="1:20">
      <c r="A1880">
        <f t="shared" si="79"/>
        <v>803</v>
      </c>
      <c r="B1880">
        <v>3</v>
      </c>
      <c r="C1880" t="s">
        <v>380</v>
      </c>
      <c r="D1880" t="s">
        <v>31</v>
      </c>
      <c r="E1880" t="s">
        <v>378</v>
      </c>
      <c r="F1880"/>
      <c r="G1880">
        <v>1</v>
      </c>
      <c r="H1880">
        <v>200</v>
      </c>
      <c r="I1880">
        <v>1</v>
      </c>
      <c r="J1880" cm="1">
        <f t="array" ref="J1880">_xlfn.SWITCH(B1880,1,75,2,61,3,49,4,37,5,25,6,13,7,4,8,1)</f>
        <v>49</v>
      </c>
      <c r="K1880" t="str" cm="1">
        <f t="array" ref="K1880">IFERROR(_xlfn.SWITCH(L1880,2,_xlfn.XLOOKUP(C1880,[1]ModifierDes!$B:$B,[1]ModifierDes!$C:$C),3,_xlfn.XLOOKUP(C1880,[1]StuntDes!$B:$B,[1]StuntDes!$C:$C)),"")</f>
        <v>冰冷伤害倍率增加{0}</v>
      </c>
      <c r="L1880">
        <f t="shared" si="78"/>
        <v>2</v>
      </c>
      <c r="M1880" s="10" t="str">
        <f>IFERROR(_xlfn.XLOOKUP(C1880,[1]StuntDes!$B:$B,[1]StuntDes!$A:$A),"")</f>
        <v/>
      </c>
      <c r="N1880" s="10">
        <f>IFERROR(_xlfn.XLOOKUP(C1880,[1]ModifierDes!$B:$B,[1]ModifierDes!$A:$A),"")</f>
        <v>10058</v>
      </c>
      <c r="O1880" s="10" t="str">
        <f>IFERROR(_xlfn.XLOOKUP(C1880,[1]AttributeName!$C:$C,[1]AttributeName!$B:$B),"")</f>
        <v/>
      </c>
      <c r="P1880" s="10"/>
      <c r="Q1880">
        <v>0.19</v>
      </c>
      <c r="R1880">
        <v>0.21</v>
      </c>
      <c r="S1880" cm="1">
        <f t="array" ref="S1880">IFERROR(_xlfn.SWITCH(L1880,1,_xlfn.XLOOKUP(O1880,[1]AttributeName!$B:$B,[1]AttributeName!$D:$D),2,_xlfn.XLOOKUP(C1880,#REF!,#REF!),3,_xlfn.XLOOKUP(C1880,#REF!,#REF!)),0)</f>
        <v>0</v>
      </c>
      <c r="T1880" cm="1">
        <f t="array" ref="T1880">IFERROR(_xlfn.SWITCH(L1880,1,_xlfn.XLOOKUP(O1880,[1]AttributeName!$B:$B,[1]AttributeName!$E:$E),2,_xlfn.XLOOKUP(C1880,#REF!,#REF!),3,_xlfn.XLOOKUP(C1880,#REF!,#REF!)),0)</f>
        <v>0</v>
      </c>
    </row>
    <row r="1881" customFormat="1" spans="1:20">
      <c r="A1881">
        <f t="shared" si="79"/>
        <v>803</v>
      </c>
      <c r="B1881">
        <v>4</v>
      </c>
      <c r="C1881" t="s">
        <v>380</v>
      </c>
      <c r="D1881" t="s">
        <v>31</v>
      </c>
      <c r="E1881" t="s">
        <v>378</v>
      </c>
      <c r="F1881"/>
      <c r="G1881">
        <v>1</v>
      </c>
      <c r="H1881">
        <v>500</v>
      </c>
      <c r="I1881">
        <v>1</v>
      </c>
      <c r="J1881" cm="1">
        <f t="array" ref="J1881">_xlfn.SWITCH(B1881,1,75,2,61,3,49,4,37,5,25,6,13,7,4,8,1)</f>
        <v>37</v>
      </c>
      <c r="K1881" t="str" cm="1">
        <f t="array" ref="K1881">IFERROR(_xlfn.SWITCH(L1881,2,_xlfn.XLOOKUP(C1881,[1]ModifierDes!$B:$B,[1]ModifierDes!$C:$C),3,_xlfn.XLOOKUP(C1881,[1]StuntDes!$B:$B,[1]StuntDes!$C:$C)),"")</f>
        <v>冰冷伤害倍率增加{0}</v>
      </c>
      <c r="L1881">
        <f t="shared" si="78"/>
        <v>2</v>
      </c>
      <c r="M1881" s="10" t="str">
        <f>IFERROR(_xlfn.XLOOKUP(C1881,[1]StuntDes!$B:$B,[1]StuntDes!$A:$A),"")</f>
        <v/>
      </c>
      <c r="N1881" s="10">
        <f>IFERROR(_xlfn.XLOOKUP(C1881,[1]ModifierDes!$B:$B,[1]ModifierDes!$A:$A),"")</f>
        <v>10058</v>
      </c>
      <c r="O1881" s="10" t="str">
        <f>IFERROR(_xlfn.XLOOKUP(C1881,[1]AttributeName!$C:$C,[1]AttributeName!$B:$B),"")</f>
        <v/>
      </c>
      <c r="P1881" s="10"/>
      <c r="Q1881">
        <v>0.16</v>
      </c>
      <c r="R1881">
        <v>0.18</v>
      </c>
      <c r="S1881" cm="1">
        <f t="array" ref="S1881">IFERROR(_xlfn.SWITCH(L1881,1,_xlfn.XLOOKUP(O1881,[1]AttributeName!$B:$B,[1]AttributeName!$D:$D),2,_xlfn.XLOOKUP(C1881,#REF!,#REF!),3,_xlfn.XLOOKUP(C1881,#REF!,#REF!)),0)</f>
        <v>0</v>
      </c>
      <c r="T1881" cm="1">
        <f t="array" ref="T1881">IFERROR(_xlfn.SWITCH(L1881,1,_xlfn.XLOOKUP(O1881,[1]AttributeName!$B:$B,[1]AttributeName!$E:$E),2,_xlfn.XLOOKUP(C1881,#REF!,#REF!),3,_xlfn.XLOOKUP(C1881,#REF!,#REF!)),0)</f>
        <v>0</v>
      </c>
    </row>
    <row r="1882" customFormat="1" spans="1:20">
      <c r="A1882">
        <f t="shared" si="79"/>
        <v>803</v>
      </c>
      <c r="B1882">
        <v>5</v>
      </c>
      <c r="C1882" t="s">
        <v>380</v>
      </c>
      <c r="D1882" t="s">
        <v>31</v>
      </c>
      <c r="E1882" t="s">
        <v>378</v>
      </c>
      <c r="F1882"/>
      <c r="G1882">
        <v>1</v>
      </c>
      <c r="H1882">
        <v>1000</v>
      </c>
      <c r="I1882">
        <v>1</v>
      </c>
      <c r="J1882" cm="1">
        <f t="array" ref="J1882">_xlfn.SWITCH(B1882,1,75,2,61,3,49,4,37,5,25,6,13,7,4,8,1)</f>
        <v>25</v>
      </c>
      <c r="K1882" t="str" cm="1">
        <f t="array" ref="K1882">IFERROR(_xlfn.SWITCH(L1882,2,_xlfn.XLOOKUP(C1882,[1]ModifierDes!$B:$B,[1]ModifierDes!$C:$C),3,_xlfn.XLOOKUP(C1882,[1]StuntDes!$B:$B,[1]StuntDes!$C:$C)),"")</f>
        <v>冰冷伤害倍率增加{0}</v>
      </c>
      <c r="L1882">
        <f t="shared" si="78"/>
        <v>2</v>
      </c>
      <c r="M1882" s="10" t="str">
        <f>IFERROR(_xlfn.XLOOKUP(C1882,[1]StuntDes!$B:$B,[1]StuntDes!$A:$A),"")</f>
        <v/>
      </c>
      <c r="N1882" s="10">
        <f>IFERROR(_xlfn.XLOOKUP(C1882,[1]ModifierDes!$B:$B,[1]ModifierDes!$A:$A),"")</f>
        <v>10058</v>
      </c>
      <c r="O1882" s="10" t="str">
        <f>IFERROR(_xlfn.XLOOKUP(C1882,[1]AttributeName!$C:$C,[1]AttributeName!$B:$B),"")</f>
        <v/>
      </c>
      <c r="P1882" s="10"/>
      <c r="Q1882">
        <v>0.13</v>
      </c>
      <c r="R1882">
        <v>0.15</v>
      </c>
      <c r="S1882" cm="1">
        <f t="array" ref="S1882">IFERROR(_xlfn.SWITCH(L1882,1,_xlfn.XLOOKUP(O1882,[1]AttributeName!$B:$B,[1]AttributeName!$D:$D),2,_xlfn.XLOOKUP(C1882,#REF!,#REF!),3,_xlfn.XLOOKUP(C1882,#REF!,#REF!)),0)</f>
        <v>0</v>
      </c>
      <c r="T1882" cm="1">
        <f t="array" ref="T1882">IFERROR(_xlfn.SWITCH(L1882,1,_xlfn.XLOOKUP(O1882,[1]AttributeName!$B:$B,[1]AttributeName!$E:$E),2,_xlfn.XLOOKUP(C1882,#REF!,#REF!),3,_xlfn.XLOOKUP(C1882,#REF!,#REF!)),0)</f>
        <v>0</v>
      </c>
    </row>
    <row r="1883" customFormat="1" spans="1:20">
      <c r="A1883">
        <f t="shared" si="79"/>
        <v>803</v>
      </c>
      <c r="B1883">
        <v>6</v>
      </c>
      <c r="C1883" t="s">
        <v>380</v>
      </c>
      <c r="D1883" t="s">
        <v>31</v>
      </c>
      <c r="E1883" t="s">
        <v>378</v>
      </c>
      <c r="F1883"/>
      <c r="G1883">
        <v>1</v>
      </c>
      <c r="H1883">
        <v>1000</v>
      </c>
      <c r="I1883">
        <v>1</v>
      </c>
      <c r="J1883" cm="1">
        <f t="array" ref="J1883">_xlfn.SWITCH(B1883,1,75,2,61,3,49,4,37,5,25,6,13,7,4,8,1)</f>
        <v>13</v>
      </c>
      <c r="K1883" t="str" cm="1">
        <f t="array" ref="K1883">IFERROR(_xlfn.SWITCH(L1883,2,_xlfn.XLOOKUP(C1883,[1]ModifierDes!$B:$B,[1]ModifierDes!$C:$C),3,_xlfn.XLOOKUP(C1883,[1]StuntDes!$B:$B,[1]StuntDes!$C:$C)),"")</f>
        <v>冰冷伤害倍率增加{0}</v>
      </c>
      <c r="L1883">
        <f t="shared" si="78"/>
        <v>2</v>
      </c>
      <c r="M1883" s="10" t="str">
        <f>IFERROR(_xlfn.XLOOKUP(C1883,[1]StuntDes!$B:$B,[1]StuntDes!$A:$A),"")</f>
        <v/>
      </c>
      <c r="N1883" s="10">
        <f>IFERROR(_xlfn.XLOOKUP(C1883,[1]ModifierDes!$B:$B,[1]ModifierDes!$A:$A),"")</f>
        <v>10058</v>
      </c>
      <c r="O1883" s="10" t="str">
        <f>IFERROR(_xlfn.XLOOKUP(C1883,[1]AttributeName!$C:$C,[1]AttributeName!$B:$B),"")</f>
        <v/>
      </c>
      <c r="P1883" s="10"/>
      <c r="Q1883">
        <v>0.1</v>
      </c>
      <c r="R1883">
        <v>0.12</v>
      </c>
      <c r="S1883" cm="1">
        <f t="array" ref="S1883">IFERROR(_xlfn.SWITCH(L1883,1,_xlfn.XLOOKUP(O1883,[1]AttributeName!$B:$B,[1]AttributeName!$D:$D),2,_xlfn.XLOOKUP(C1883,#REF!,#REF!),3,_xlfn.XLOOKUP(C1883,#REF!,#REF!)),0)</f>
        <v>0</v>
      </c>
      <c r="T1883" cm="1">
        <f t="array" ref="T1883">IFERROR(_xlfn.SWITCH(L1883,1,_xlfn.XLOOKUP(O1883,[1]AttributeName!$B:$B,[1]AttributeName!$E:$E),2,_xlfn.XLOOKUP(C1883,#REF!,#REF!),3,_xlfn.XLOOKUP(C1883,#REF!,#REF!)),0)</f>
        <v>0</v>
      </c>
    </row>
    <row r="1884" customFormat="1" spans="1:20">
      <c r="A1884">
        <f t="shared" si="79"/>
        <v>803</v>
      </c>
      <c r="B1884">
        <v>7</v>
      </c>
      <c r="C1884" t="s">
        <v>380</v>
      </c>
      <c r="D1884" t="s">
        <v>31</v>
      </c>
      <c r="E1884" t="s">
        <v>378</v>
      </c>
      <c r="F1884"/>
      <c r="G1884">
        <v>1</v>
      </c>
      <c r="H1884">
        <v>1000</v>
      </c>
      <c r="I1884">
        <v>1</v>
      </c>
      <c r="J1884" cm="1">
        <f t="array" ref="J1884">_xlfn.SWITCH(B1884,1,75,2,61,3,49,4,37,5,25,6,13,7,4,8,1)</f>
        <v>4</v>
      </c>
      <c r="K1884" t="str" cm="1">
        <f t="array" ref="K1884">IFERROR(_xlfn.SWITCH(L1884,2,_xlfn.XLOOKUP(C1884,[1]ModifierDes!$B:$B,[1]ModifierDes!$C:$C),3,_xlfn.XLOOKUP(C1884,[1]StuntDes!$B:$B,[1]StuntDes!$C:$C)),"")</f>
        <v>冰冷伤害倍率增加{0}</v>
      </c>
      <c r="L1884">
        <f t="shared" si="78"/>
        <v>2</v>
      </c>
      <c r="M1884" s="10" t="str">
        <f>IFERROR(_xlfn.XLOOKUP(C1884,[1]StuntDes!$B:$B,[1]StuntDes!$A:$A),"")</f>
        <v/>
      </c>
      <c r="N1884" s="10">
        <f>IFERROR(_xlfn.XLOOKUP(C1884,[1]ModifierDes!$B:$B,[1]ModifierDes!$A:$A),"")</f>
        <v>10058</v>
      </c>
      <c r="O1884" s="10" t="str">
        <f>IFERROR(_xlfn.XLOOKUP(C1884,[1]AttributeName!$C:$C,[1]AttributeName!$B:$B),"")</f>
        <v/>
      </c>
      <c r="P1884" s="10"/>
      <c r="Q1884">
        <v>0.07</v>
      </c>
      <c r="R1884">
        <v>0.09</v>
      </c>
      <c r="S1884" cm="1">
        <f t="array" ref="S1884">IFERROR(_xlfn.SWITCH(L1884,1,_xlfn.XLOOKUP(O1884,[1]AttributeName!$B:$B,[1]AttributeName!$D:$D),2,_xlfn.XLOOKUP(C1884,#REF!,#REF!),3,_xlfn.XLOOKUP(C1884,#REF!,#REF!)),0)</f>
        <v>0</v>
      </c>
      <c r="T1884" cm="1">
        <f t="array" ref="T1884">IFERROR(_xlfn.SWITCH(L1884,1,_xlfn.XLOOKUP(O1884,[1]AttributeName!$B:$B,[1]AttributeName!$E:$E),2,_xlfn.XLOOKUP(C1884,#REF!,#REF!),3,_xlfn.XLOOKUP(C1884,#REF!,#REF!)),0)</f>
        <v>0</v>
      </c>
    </row>
    <row r="1885" customFormat="1" spans="1:20">
      <c r="A1885">
        <f t="shared" si="79"/>
        <v>803</v>
      </c>
      <c r="B1885">
        <v>8</v>
      </c>
      <c r="C1885" t="s">
        <v>380</v>
      </c>
      <c r="D1885" t="s">
        <v>31</v>
      </c>
      <c r="E1885" t="s">
        <v>378</v>
      </c>
      <c r="F1885"/>
      <c r="G1885">
        <v>1</v>
      </c>
      <c r="H1885">
        <v>1000</v>
      </c>
      <c r="I1885">
        <v>1</v>
      </c>
      <c r="J1885" cm="1">
        <f t="array" ref="J1885">_xlfn.SWITCH(B1885,1,75,2,61,3,49,4,37,5,25,6,13,7,4,8,1)</f>
        <v>1</v>
      </c>
      <c r="K1885" t="str" cm="1">
        <f t="array" ref="K1885">IFERROR(_xlfn.SWITCH(L1885,2,_xlfn.XLOOKUP(C1885,[1]ModifierDes!$B:$B,[1]ModifierDes!$C:$C),3,_xlfn.XLOOKUP(C1885,[1]StuntDes!$B:$B,[1]StuntDes!$C:$C)),"")</f>
        <v>冰冷伤害倍率增加{0}</v>
      </c>
      <c r="L1885">
        <f t="shared" si="78"/>
        <v>2</v>
      </c>
      <c r="M1885" s="10" t="str">
        <f>IFERROR(_xlfn.XLOOKUP(C1885,[1]StuntDes!$B:$B,[1]StuntDes!$A:$A),"")</f>
        <v/>
      </c>
      <c r="N1885" s="10">
        <f>IFERROR(_xlfn.XLOOKUP(C1885,[1]ModifierDes!$B:$B,[1]ModifierDes!$A:$A),"")</f>
        <v>10058</v>
      </c>
      <c r="O1885" s="10" t="str">
        <f>IFERROR(_xlfn.XLOOKUP(C1885,[1]AttributeName!$C:$C,[1]AttributeName!$B:$B),"")</f>
        <v/>
      </c>
      <c r="P1885" s="10"/>
      <c r="Q1885">
        <v>0.04</v>
      </c>
      <c r="R1885">
        <v>0.07</v>
      </c>
      <c r="S1885" cm="1">
        <f t="array" ref="S1885">IFERROR(_xlfn.SWITCH(L1885,1,_xlfn.XLOOKUP(O1885,[1]AttributeName!$B:$B,[1]AttributeName!$D:$D),2,_xlfn.XLOOKUP(C1885,#REF!,#REF!),3,_xlfn.XLOOKUP(C1885,#REF!,#REF!)),0)</f>
        <v>0</v>
      </c>
      <c r="T1885" cm="1">
        <f t="array" ref="T1885">IFERROR(_xlfn.SWITCH(L1885,1,_xlfn.XLOOKUP(O1885,[1]AttributeName!$B:$B,[1]AttributeName!$E:$E),2,_xlfn.XLOOKUP(C1885,#REF!,#REF!),3,_xlfn.XLOOKUP(C1885,#REF!,#REF!)),0)</f>
        <v>0</v>
      </c>
    </row>
    <row r="1886" customFormat="1" spans="1:20">
      <c r="A1886">
        <f t="shared" si="79"/>
        <v>804</v>
      </c>
      <c r="B1886">
        <v>1</v>
      </c>
      <c r="C1886" t="s">
        <v>381</v>
      </c>
      <c r="D1886" t="s">
        <v>31</v>
      </c>
      <c r="E1886" t="s">
        <v>378</v>
      </c>
      <c r="F1886"/>
      <c r="G1886">
        <v>1</v>
      </c>
      <c r="H1886">
        <v>50</v>
      </c>
      <c r="I1886">
        <v>1</v>
      </c>
      <c r="J1886" cm="1">
        <f t="array" ref="J1886">_xlfn.SWITCH(B1886,1,75,2,61,3,49,4,37,5,25,6,13,7,4,8,1)</f>
        <v>75</v>
      </c>
      <c r="K1886" t="str" cm="1">
        <f t="array" ref="K1886">IFERROR(_xlfn.SWITCH(L1886,2,_xlfn.XLOOKUP(C1886,[1]ModifierDes!$B:$B,[1]ModifierDes!$C:$C),3,_xlfn.XLOOKUP(C1886,[1]StuntDes!$B:$B,[1]StuntDes!$C:$C)),"")</f>
        <v>闪电伤害倍率增加{0}</v>
      </c>
      <c r="L1886">
        <f t="shared" si="78"/>
        <v>2</v>
      </c>
      <c r="M1886" s="10" t="str">
        <f>IFERROR(_xlfn.XLOOKUP(C1886,[1]StuntDes!$B:$B,[1]StuntDes!$A:$A),"")</f>
        <v/>
      </c>
      <c r="N1886" s="10">
        <f>IFERROR(_xlfn.XLOOKUP(C1886,[1]ModifierDes!$B:$B,[1]ModifierDes!$A:$A),"")</f>
        <v>10059</v>
      </c>
      <c r="O1886" s="10" t="str">
        <f>IFERROR(_xlfn.XLOOKUP(C1886,[1]AttributeName!$C:$C,[1]AttributeName!$B:$B),"")</f>
        <v/>
      </c>
      <c r="P1886" s="10"/>
      <c r="Q1886">
        <v>0.25</v>
      </c>
      <c r="R1886">
        <v>0.35</v>
      </c>
      <c r="S1886" cm="1">
        <f t="array" ref="S1886">IFERROR(_xlfn.SWITCH(L1886,1,_xlfn.XLOOKUP(O1886,[1]AttributeName!$B:$B,[1]AttributeName!$D:$D),2,_xlfn.XLOOKUP(C1886,#REF!,#REF!),3,_xlfn.XLOOKUP(C1886,#REF!,#REF!)),0)</f>
        <v>0</v>
      </c>
      <c r="T1886" cm="1">
        <f t="array" ref="T1886">IFERROR(_xlfn.SWITCH(L1886,1,_xlfn.XLOOKUP(O1886,[1]AttributeName!$B:$B,[1]AttributeName!$E:$E),2,_xlfn.XLOOKUP(C1886,#REF!,#REF!),3,_xlfn.XLOOKUP(C1886,#REF!,#REF!)),0)</f>
        <v>0</v>
      </c>
    </row>
    <row r="1887" customFormat="1" spans="1:20">
      <c r="A1887">
        <f t="shared" si="79"/>
        <v>804</v>
      </c>
      <c r="B1887">
        <v>2</v>
      </c>
      <c r="C1887" t="s">
        <v>381</v>
      </c>
      <c r="D1887" t="s">
        <v>31</v>
      </c>
      <c r="E1887" t="s">
        <v>378</v>
      </c>
      <c r="F1887"/>
      <c r="G1887">
        <v>1</v>
      </c>
      <c r="H1887">
        <v>100</v>
      </c>
      <c r="I1887">
        <v>1</v>
      </c>
      <c r="J1887" cm="1">
        <f t="array" ref="J1887">_xlfn.SWITCH(B1887,1,75,2,61,3,49,4,37,5,25,6,13,7,4,8,1)</f>
        <v>61</v>
      </c>
      <c r="K1887" t="str" cm="1">
        <f t="array" ref="K1887">IFERROR(_xlfn.SWITCH(L1887,2,_xlfn.XLOOKUP(C1887,[1]ModifierDes!$B:$B,[1]ModifierDes!$C:$C),3,_xlfn.XLOOKUP(C1887,[1]StuntDes!$B:$B,[1]StuntDes!$C:$C)),"")</f>
        <v>闪电伤害倍率增加{0}</v>
      </c>
      <c r="L1887">
        <f t="shared" si="78"/>
        <v>2</v>
      </c>
      <c r="M1887" s="10" t="str">
        <f>IFERROR(_xlfn.XLOOKUP(C1887,[1]StuntDes!$B:$B,[1]StuntDes!$A:$A),"")</f>
        <v/>
      </c>
      <c r="N1887" s="10">
        <f>IFERROR(_xlfn.XLOOKUP(C1887,[1]ModifierDes!$B:$B,[1]ModifierDes!$A:$A),"")</f>
        <v>10059</v>
      </c>
      <c r="O1887" s="10" t="str">
        <f>IFERROR(_xlfn.XLOOKUP(C1887,[1]AttributeName!$C:$C,[1]AttributeName!$B:$B),"")</f>
        <v/>
      </c>
      <c r="P1887" s="10"/>
      <c r="Q1887">
        <v>0.22</v>
      </c>
      <c r="R1887">
        <v>0.24</v>
      </c>
      <c r="S1887" cm="1">
        <f t="array" ref="S1887">IFERROR(_xlfn.SWITCH(L1887,1,_xlfn.XLOOKUP(O1887,[1]AttributeName!$B:$B,[1]AttributeName!$D:$D),2,_xlfn.XLOOKUP(C1887,#REF!,#REF!),3,_xlfn.XLOOKUP(C1887,#REF!,#REF!)),0)</f>
        <v>0</v>
      </c>
      <c r="T1887" cm="1">
        <f t="array" ref="T1887">IFERROR(_xlfn.SWITCH(L1887,1,_xlfn.XLOOKUP(O1887,[1]AttributeName!$B:$B,[1]AttributeName!$E:$E),2,_xlfn.XLOOKUP(C1887,#REF!,#REF!),3,_xlfn.XLOOKUP(C1887,#REF!,#REF!)),0)</f>
        <v>0</v>
      </c>
    </row>
    <row r="1888" customFormat="1" spans="1:20">
      <c r="A1888">
        <f t="shared" si="79"/>
        <v>804</v>
      </c>
      <c r="B1888">
        <v>3</v>
      </c>
      <c r="C1888" t="s">
        <v>381</v>
      </c>
      <c r="D1888" t="s">
        <v>31</v>
      </c>
      <c r="E1888" t="s">
        <v>378</v>
      </c>
      <c r="F1888"/>
      <c r="G1888">
        <v>1</v>
      </c>
      <c r="H1888">
        <v>200</v>
      </c>
      <c r="I1888">
        <v>1</v>
      </c>
      <c r="J1888" cm="1">
        <f t="array" ref="J1888">_xlfn.SWITCH(B1888,1,75,2,61,3,49,4,37,5,25,6,13,7,4,8,1)</f>
        <v>49</v>
      </c>
      <c r="K1888" t="str" cm="1">
        <f t="array" ref="K1888">IFERROR(_xlfn.SWITCH(L1888,2,_xlfn.XLOOKUP(C1888,[1]ModifierDes!$B:$B,[1]ModifierDes!$C:$C),3,_xlfn.XLOOKUP(C1888,[1]StuntDes!$B:$B,[1]StuntDes!$C:$C)),"")</f>
        <v>闪电伤害倍率增加{0}</v>
      </c>
      <c r="L1888">
        <f t="shared" si="78"/>
        <v>2</v>
      </c>
      <c r="M1888" s="10" t="str">
        <f>IFERROR(_xlfn.XLOOKUP(C1888,[1]StuntDes!$B:$B,[1]StuntDes!$A:$A),"")</f>
        <v/>
      </c>
      <c r="N1888" s="10">
        <f>IFERROR(_xlfn.XLOOKUP(C1888,[1]ModifierDes!$B:$B,[1]ModifierDes!$A:$A),"")</f>
        <v>10059</v>
      </c>
      <c r="O1888" s="10" t="str">
        <f>IFERROR(_xlfn.XLOOKUP(C1888,[1]AttributeName!$C:$C,[1]AttributeName!$B:$B),"")</f>
        <v/>
      </c>
      <c r="P1888" s="10"/>
      <c r="Q1888">
        <v>0.19</v>
      </c>
      <c r="R1888">
        <v>0.21</v>
      </c>
      <c r="S1888" cm="1">
        <f t="array" ref="S1888">IFERROR(_xlfn.SWITCH(L1888,1,_xlfn.XLOOKUP(O1888,[1]AttributeName!$B:$B,[1]AttributeName!$D:$D),2,_xlfn.XLOOKUP(C1888,#REF!,#REF!),3,_xlfn.XLOOKUP(C1888,#REF!,#REF!)),0)</f>
        <v>0</v>
      </c>
      <c r="T1888" cm="1">
        <f t="array" ref="T1888">IFERROR(_xlfn.SWITCH(L1888,1,_xlfn.XLOOKUP(O1888,[1]AttributeName!$B:$B,[1]AttributeName!$E:$E),2,_xlfn.XLOOKUP(C1888,#REF!,#REF!),3,_xlfn.XLOOKUP(C1888,#REF!,#REF!)),0)</f>
        <v>0</v>
      </c>
    </row>
    <row r="1889" customFormat="1" spans="1:20">
      <c r="A1889">
        <f t="shared" si="79"/>
        <v>804</v>
      </c>
      <c r="B1889">
        <v>4</v>
      </c>
      <c r="C1889" t="s">
        <v>381</v>
      </c>
      <c r="D1889" t="s">
        <v>31</v>
      </c>
      <c r="E1889" t="s">
        <v>378</v>
      </c>
      <c r="F1889"/>
      <c r="G1889">
        <v>1</v>
      </c>
      <c r="H1889">
        <v>500</v>
      </c>
      <c r="I1889">
        <v>1</v>
      </c>
      <c r="J1889" cm="1">
        <f t="array" ref="J1889">_xlfn.SWITCH(B1889,1,75,2,61,3,49,4,37,5,25,6,13,7,4,8,1)</f>
        <v>37</v>
      </c>
      <c r="K1889" t="str" cm="1">
        <f t="array" ref="K1889">IFERROR(_xlfn.SWITCH(L1889,2,_xlfn.XLOOKUP(C1889,[1]ModifierDes!$B:$B,[1]ModifierDes!$C:$C),3,_xlfn.XLOOKUP(C1889,[1]StuntDes!$B:$B,[1]StuntDes!$C:$C)),"")</f>
        <v>闪电伤害倍率增加{0}</v>
      </c>
      <c r="L1889">
        <f t="shared" si="78"/>
        <v>2</v>
      </c>
      <c r="M1889" s="10" t="str">
        <f>IFERROR(_xlfn.XLOOKUP(C1889,[1]StuntDes!$B:$B,[1]StuntDes!$A:$A),"")</f>
        <v/>
      </c>
      <c r="N1889" s="10">
        <f>IFERROR(_xlfn.XLOOKUP(C1889,[1]ModifierDes!$B:$B,[1]ModifierDes!$A:$A),"")</f>
        <v>10059</v>
      </c>
      <c r="O1889" s="10" t="str">
        <f>IFERROR(_xlfn.XLOOKUP(C1889,[1]AttributeName!$C:$C,[1]AttributeName!$B:$B),"")</f>
        <v/>
      </c>
      <c r="P1889" s="10"/>
      <c r="Q1889">
        <v>0.16</v>
      </c>
      <c r="R1889">
        <v>0.18</v>
      </c>
      <c r="S1889" cm="1">
        <f t="array" ref="S1889">IFERROR(_xlfn.SWITCH(L1889,1,_xlfn.XLOOKUP(O1889,[1]AttributeName!$B:$B,[1]AttributeName!$D:$D),2,_xlfn.XLOOKUP(C1889,#REF!,#REF!),3,_xlfn.XLOOKUP(C1889,#REF!,#REF!)),0)</f>
        <v>0</v>
      </c>
      <c r="T1889" cm="1">
        <f t="array" ref="T1889">IFERROR(_xlfn.SWITCH(L1889,1,_xlfn.XLOOKUP(O1889,[1]AttributeName!$B:$B,[1]AttributeName!$E:$E),2,_xlfn.XLOOKUP(C1889,#REF!,#REF!),3,_xlfn.XLOOKUP(C1889,#REF!,#REF!)),0)</f>
        <v>0</v>
      </c>
    </row>
    <row r="1890" customFormat="1" spans="1:20">
      <c r="A1890">
        <f t="shared" si="79"/>
        <v>804</v>
      </c>
      <c r="B1890">
        <v>5</v>
      </c>
      <c r="C1890" t="s">
        <v>381</v>
      </c>
      <c r="D1890" t="s">
        <v>31</v>
      </c>
      <c r="E1890" t="s">
        <v>378</v>
      </c>
      <c r="F1890"/>
      <c r="G1890">
        <v>1</v>
      </c>
      <c r="H1890">
        <v>1000</v>
      </c>
      <c r="I1890">
        <v>1</v>
      </c>
      <c r="J1890" cm="1">
        <f t="array" ref="J1890">_xlfn.SWITCH(B1890,1,75,2,61,3,49,4,37,5,25,6,13,7,4,8,1)</f>
        <v>25</v>
      </c>
      <c r="K1890" t="str" cm="1">
        <f t="array" ref="K1890">IFERROR(_xlfn.SWITCH(L1890,2,_xlfn.XLOOKUP(C1890,[1]ModifierDes!$B:$B,[1]ModifierDes!$C:$C),3,_xlfn.XLOOKUP(C1890,[1]StuntDes!$B:$B,[1]StuntDes!$C:$C)),"")</f>
        <v>闪电伤害倍率增加{0}</v>
      </c>
      <c r="L1890">
        <f t="shared" si="78"/>
        <v>2</v>
      </c>
      <c r="M1890" s="10" t="str">
        <f>IFERROR(_xlfn.XLOOKUP(C1890,[1]StuntDes!$B:$B,[1]StuntDes!$A:$A),"")</f>
        <v/>
      </c>
      <c r="N1890" s="10">
        <f>IFERROR(_xlfn.XLOOKUP(C1890,[1]ModifierDes!$B:$B,[1]ModifierDes!$A:$A),"")</f>
        <v>10059</v>
      </c>
      <c r="O1890" s="10" t="str">
        <f>IFERROR(_xlfn.XLOOKUP(C1890,[1]AttributeName!$C:$C,[1]AttributeName!$B:$B),"")</f>
        <v/>
      </c>
      <c r="P1890" s="10"/>
      <c r="Q1890">
        <v>0.13</v>
      </c>
      <c r="R1890">
        <v>0.15</v>
      </c>
      <c r="S1890" cm="1">
        <f t="array" ref="S1890">IFERROR(_xlfn.SWITCH(L1890,1,_xlfn.XLOOKUP(O1890,[1]AttributeName!$B:$B,[1]AttributeName!$D:$D),2,_xlfn.XLOOKUP(C1890,#REF!,#REF!),3,_xlfn.XLOOKUP(C1890,#REF!,#REF!)),0)</f>
        <v>0</v>
      </c>
      <c r="T1890" cm="1">
        <f t="array" ref="T1890">IFERROR(_xlfn.SWITCH(L1890,1,_xlfn.XLOOKUP(O1890,[1]AttributeName!$B:$B,[1]AttributeName!$E:$E),2,_xlfn.XLOOKUP(C1890,#REF!,#REF!),3,_xlfn.XLOOKUP(C1890,#REF!,#REF!)),0)</f>
        <v>0</v>
      </c>
    </row>
    <row r="1891" customFormat="1" spans="1:20">
      <c r="A1891">
        <f t="shared" si="79"/>
        <v>804</v>
      </c>
      <c r="B1891">
        <v>6</v>
      </c>
      <c r="C1891" t="s">
        <v>381</v>
      </c>
      <c r="D1891" t="s">
        <v>31</v>
      </c>
      <c r="E1891" t="s">
        <v>378</v>
      </c>
      <c r="F1891"/>
      <c r="G1891">
        <v>1</v>
      </c>
      <c r="H1891">
        <v>1000</v>
      </c>
      <c r="I1891">
        <v>1</v>
      </c>
      <c r="J1891" cm="1">
        <f t="array" ref="J1891">_xlfn.SWITCH(B1891,1,75,2,61,3,49,4,37,5,25,6,13,7,4,8,1)</f>
        <v>13</v>
      </c>
      <c r="K1891" t="str" cm="1">
        <f t="array" ref="K1891">IFERROR(_xlfn.SWITCH(L1891,2,_xlfn.XLOOKUP(C1891,[1]ModifierDes!$B:$B,[1]ModifierDes!$C:$C),3,_xlfn.XLOOKUP(C1891,[1]StuntDes!$B:$B,[1]StuntDes!$C:$C)),"")</f>
        <v>闪电伤害倍率增加{0}</v>
      </c>
      <c r="L1891">
        <f t="shared" si="78"/>
        <v>2</v>
      </c>
      <c r="M1891" s="10" t="str">
        <f>IFERROR(_xlfn.XLOOKUP(C1891,[1]StuntDes!$B:$B,[1]StuntDes!$A:$A),"")</f>
        <v/>
      </c>
      <c r="N1891" s="10">
        <f>IFERROR(_xlfn.XLOOKUP(C1891,[1]ModifierDes!$B:$B,[1]ModifierDes!$A:$A),"")</f>
        <v>10059</v>
      </c>
      <c r="O1891" s="10" t="str">
        <f>IFERROR(_xlfn.XLOOKUP(C1891,[1]AttributeName!$C:$C,[1]AttributeName!$B:$B),"")</f>
        <v/>
      </c>
      <c r="P1891" s="10"/>
      <c r="Q1891">
        <v>0.1</v>
      </c>
      <c r="R1891">
        <v>0.12</v>
      </c>
      <c r="S1891" cm="1">
        <f t="array" ref="S1891">IFERROR(_xlfn.SWITCH(L1891,1,_xlfn.XLOOKUP(O1891,[1]AttributeName!$B:$B,[1]AttributeName!$D:$D),2,_xlfn.XLOOKUP(C1891,#REF!,#REF!),3,_xlfn.XLOOKUP(C1891,#REF!,#REF!)),0)</f>
        <v>0</v>
      </c>
      <c r="T1891" cm="1">
        <f t="array" ref="T1891">IFERROR(_xlfn.SWITCH(L1891,1,_xlfn.XLOOKUP(O1891,[1]AttributeName!$B:$B,[1]AttributeName!$E:$E),2,_xlfn.XLOOKUP(C1891,#REF!,#REF!),3,_xlfn.XLOOKUP(C1891,#REF!,#REF!)),0)</f>
        <v>0</v>
      </c>
    </row>
    <row r="1892" customFormat="1" spans="1:20">
      <c r="A1892">
        <f t="shared" si="79"/>
        <v>804</v>
      </c>
      <c r="B1892">
        <v>7</v>
      </c>
      <c r="C1892" t="s">
        <v>381</v>
      </c>
      <c r="D1892" t="s">
        <v>31</v>
      </c>
      <c r="E1892" t="s">
        <v>378</v>
      </c>
      <c r="F1892"/>
      <c r="G1892">
        <v>1</v>
      </c>
      <c r="H1892">
        <v>1000</v>
      </c>
      <c r="I1892">
        <v>1</v>
      </c>
      <c r="J1892" cm="1">
        <f t="array" ref="J1892">_xlfn.SWITCH(B1892,1,75,2,61,3,49,4,37,5,25,6,13,7,4,8,1)</f>
        <v>4</v>
      </c>
      <c r="K1892" t="str" cm="1">
        <f t="array" ref="K1892">IFERROR(_xlfn.SWITCH(L1892,2,_xlfn.XLOOKUP(C1892,[1]ModifierDes!$B:$B,[1]ModifierDes!$C:$C),3,_xlfn.XLOOKUP(C1892,[1]StuntDes!$B:$B,[1]StuntDes!$C:$C)),"")</f>
        <v>闪电伤害倍率增加{0}</v>
      </c>
      <c r="L1892">
        <f t="shared" si="78"/>
        <v>2</v>
      </c>
      <c r="M1892" s="10" t="str">
        <f>IFERROR(_xlfn.XLOOKUP(C1892,[1]StuntDes!$B:$B,[1]StuntDes!$A:$A),"")</f>
        <v/>
      </c>
      <c r="N1892" s="10">
        <f>IFERROR(_xlfn.XLOOKUP(C1892,[1]ModifierDes!$B:$B,[1]ModifierDes!$A:$A),"")</f>
        <v>10059</v>
      </c>
      <c r="O1892" s="10" t="str">
        <f>IFERROR(_xlfn.XLOOKUP(C1892,[1]AttributeName!$C:$C,[1]AttributeName!$B:$B),"")</f>
        <v/>
      </c>
      <c r="P1892" s="10"/>
      <c r="Q1892">
        <v>0.07</v>
      </c>
      <c r="R1892">
        <v>0.09</v>
      </c>
      <c r="S1892" cm="1">
        <f t="array" ref="S1892">IFERROR(_xlfn.SWITCH(L1892,1,_xlfn.XLOOKUP(O1892,[1]AttributeName!$B:$B,[1]AttributeName!$D:$D),2,_xlfn.XLOOKUP(C1892,#REF!,#REF!),3,_xlfn.XLOOKUP(C1892,#REF!,#REF!)),0)</f>
        <v>0</v>
      </c>
      <c r="T1892" cm="1">
        <f t="array" ref="T1892">IFERROR(_xlfn.SWITCH(L1892,1,_xlfn.XLOOKUP(O1892,[1]AttributeName!$B:$B,[1]AttributeName!$E:$E),2,_xlfn.XLOOKUP(C1892,#REF!,#REF!),3,_xlfn.XLOOKUP(C1892,#REF!,#REF!)),0)</f>
        <v>0</v>
      </c>
    </row>
    <row r="1893" customFormat="1" spans="1:20">
      <c r="A1893">
        <f t="shared" si="79"/>
        <v>804</v>
      </c>
      <c r="B1893">
        <v>8</v>
      </c>
      <c r="C1893" t="s">
        <v>381</v>
      </c>
      <c r="D1893" t="s">
        <v>31</v>
      </c>
      <c r="E1893" t="s">
        <v>378</v>
      </c>
      <c r="F1893"/>
      <c r="G1893">
        <v>1</v>
      </c>
      <c r="H1893">
        <v>1000</v>
      </c>
      <c r="I1893">
        <v>1</v>
      </c>
      <c r="J1893" cm="1">
        <f t="array" ref="J1893">_xlfn.SWITCH(B1893,1,75,2,61,3,49,4,37,5,25,6,13,7,4,8,1)</f>
        <v>1</v>
      </c>
      <c r="K1893" t="str" cm="1">
        <f t="array" ref="K1893">IFERROR(_xlfn.SWITCH(L1893,2,_xlfn.XLOOKUP(C1893,[1]ModifierDes!$B:$B,[1]ModifierDes!$C:$C),3,_xlfn.XLOOKUP(C1893,[1]StuntDes!$B:$B,[1]StuntDes!$C:$C)),"")</f>
        <v>闪电伤害倍率增加{0}</v>
      </c>
      <c r="L1893">
        <f t="shared" si="78"/>
        <v>2</v>
      </c>
      <c r="M1893" s="10" t="str">
        <f>IFERROR(_xlfn.XLOOKUP(C1893,[1]StuntDes!$B:$B,[1]StuntDes!$A:$A),"")</f>
        <v/>
      </c>
      <c r="N1893" s="10">
        <f>IFERROR(_xlfn.XLOOKUP(C1893,[1]ModifierDes!$B:$B,[1]ModifierDes!$A:$A),"")</f>
        <v>10059</v>
      </c>
      <c r="O1893" s="10" t="str">
        <f>IFERROR(_xlfn.XLOOKUP(C1893,[1]AttributeName!$C:$C,[1]AttributeName!$B:$B),"")</f>
        <v/>
      </c>
      <c r="P1893" s="10"/>
      <c r="Q1893">
        <v>0.04</v>
      </c>
      <c r="R1893">
        <v>0.07</v>
      </c>
      <c r="S1893" cm="1">
        <f t="array" ref="S1893">IFERROR(_xlfn.SWITCH(L1893,1,_xlfn.XLOOKUP(O1893,[1]AttributeName!$B:$B,[1]AttributeName!$D:$D),2,_xlfn.XLOOKUP(C1893,#REF!,#REF!),3,_xlfn.XLOOKUP(C1893,#REF!,#REF!)),0)</f>
        <v>0</v>
      </c>
      <c r="T1893" cm="1">
        <f t="array" ref="T1893">IFERROR(_xlfn.SWITCH(L1893,1,_xlfn.XLOOKUP(O1893,[1]AttributeName!$B:$B,[1]AttributeName!$E:$E),2,_xlfn.XLOOKUP(C1893,#REF!,#REF!),3,_xlfn.XLOOKUP(C1893,#REF!,#REF!)),0)</f>
        <v>0</v>
      </c>
    </row>
    <row r="1894" customFormat="1" spans="1:20">
      <c r="A1894">
        <f t="shared" si="79"/>
        <v>805</v>
      </c>
      <c r="B1894">
        <v>1</v>
      </c>
      <c r="C1894" t="s">
        <v>382</v>
      </c>
      <c r="D1894" t="s">
        <v>31</v>
      </c>
      <c r="E1894" t="s">
        <v>378</v>
      </c>
      <c r="F1894"/>
      <c r="G1894">
        <v>1</v>
      </c>
      <c r="H1894">
        <v>50</v>
      </c>
      <c r="I1894">
        <v>1</v>
      </c>
      <c r="J1894" cm="1">
        <f t="array" ref="J1894">_xlfn.SWITCH(B1894,1,75,2,61,3,49,4,37,5,25,6,13,7,4,8,1)</f>
        <v>75</v>
      </c>
      <c r="K1894" t="str" cm="1">
        <f t="array" ref="K1894">IFERROR(_xlfn.SWITCH(L1894,2,_xlfn.XLOOKUP(C1894,[1]ModifierDes!$B:$B,[1]ModifierDes!$C:$C),3,_xlfn.XLOOKUP(C1894,[1]StuntDes!$B:$B,[1]StuntDes!$C:$C)),"")</f>
        <v>混沌伤害倍率增加{0}</v>
      </c>
      <c r="L1894">
        <f t="shared" si="78"/>
        <v>2</v>
      </c>
      <c r="M1894" s="10" t="str">
        <f>IFERROR(_xlfn.XLOOKUP(C1894,[1]StuntDes!$B:$B,[1]StuntDes!$A:$A),"")</f>
        <v/>
      </c>
      <c r="N1894" s="10">
        <f>IFERROR(_xlfn.XLOOKUP(C1894,[1]ModifierDes!$B:$B,[1]ModifierDes!$A:$A),"")</f>
        <v>10052</v>
      </c>
      <c r="O1894" s="10" t="str">
        <f>IFERROR(_xlfn.XLOOKUP(C1894,[1]AttributeName!$C:$C,[1]AttributeName!$B:$B),"")</f>
        <v/>
      </c>
      <c r="P1894" s="10"/>
      <c r="Q1894">
        <v>0.25</v>
      </c>
      <c r="R1894">
        <v>0.35</v>
      </c>
      <c r="S1894" cm="1">
        <f t="array" ref="S1894">IFERROR(_xlfn.SWITCH(L1894,1,_xlfn.XLOOKUP(O1894,[1]AttributeName!$B:$B,[1]AttributeName!$D:$D),2,_xlfn.XLOOKUP(C1894,#REF!,#REF!),3,_xlfn.XLOOKUP(C1894,#REF!,#REF!)),0)</f>
        <v>0</v>
      </c>
      <c r="T1894" cm="1">
        <f t="array" ref="T1894">IFERROR(_xlfn.SWITCH(L1894,1,_xlfn.XLOOKUP(O1894,[1]AttributeName!$B:$B,[1]AttributeName!$E:$E),2,_xlfn.XLOOKUP(C1894,#REF!,#REF!),3,_xlfn.XLOOKUP(C1894,#REF!,#REF!)),0)</f>
        <v>0</v>
      </c>
    </row>
    <row r="1895" customFormat="1" spans="1:20">
      <c r="A1895">
        <f t="shared" si="79"/>
        <v>805</v>
      </c>
      <c r="B1895">
        <v>2</v>
      </c>
      <c r="C1895" t="s">
        <v>382</v>
      </c>
      <c r="D1895" t="s">
        <v>31</v>
      </c>
      <c r="E1895" t="s">
        <v>378</v>
      </c>
      <c r="F1895"/>
      <c r="G1895">
        <v>1</v>
      </c>
      <c r="H1895">
        <v>100</v>
      </c>
      <c r="I1895">
        <v>1</v>
      </c>
      <c r="J1895" cm="1">
        <f t="array" ref="J1895">_xlfn.SWITCH(B1895,1,75,2,61,3,49,4,37,5,25,6,13,7,4,8,1)</f>
        <v>61</v>
      </c>
      <c r="K1895" t="str" cm="1">
        <f t="array" ref="K1895">IFERROR(_xlfn.SWITCH(L1895,2,_xlfn.XLOOKUP(C1895,[1]ModifierDes!$B:$B,[1]ModifierDes!$C:$C),3,_xlfn.XLOOKUP(C1895,[1]StuntDes!$B:$B,[1]StuntDes!$C:$C)),"")</f>
        <v>混沌伤害倍率增加{0}</v>
      </c>
      <c r="L1895">
        <f t="shared" si="78"/>
        <v>2</v>
      </c>
      <c r="M1895" s="10" t="str">
        <f>IFERROR(_xlfn.XLOOKUP(C1895,[1]StuntDes!$B:$B,[1]StuntDes!$A:$A),"")</f>
        <v/>
      </c>
      <c r="N1895" s="10">
        <f>IFERROR(_xlfn.XLOOKUP(C1895,[1]ModifierDes!$B:$B,[1]ModifierDes!$A:$A),"")</f>
        <v>10052</v>
      </c>
      <c r="O1895" s="10" t="str">
        <f>IFERROR(_xlfn.XLOOKUP(C1895,[1]AttributeName!$C:$C,[1]AttributeName!$B:$B),"")</f>
        <v/>
      </c>
      <c r="P1895" s="10"/>
      <c r="Q1895">
        <v>0.22</v>
      </c>
      <c r="R1895">
        <v>0.24</v>
      </c>
      <c r="S1895" cm="1">
        <f t="array" ref="S1895">IFERROR(_xlfn.SWITCH(L1895,1,_xlfn.XLOOKUP(O1895,[1]AttributeName!$B:$B,[1]AttributeName!$D:$D),2,_xlfn.XLOOKUP(C1895,#REF!,#REF!),3,_xlfn.XLOOKUP(C1895,#REF!,#REF!)),0)</f>
        <v>0</v>
      </c>
      <c r="T1895" cm="1">
        <f t="array" ref="T1895">IFERROR(_xlfn.SWITCH(L1895,1,_xlfn.XLOOKUP(O1895,[1]AttributeName!$B:$B,[1]AttributeName!$E:$E),2,_xlfn.XLOOKUP(C1895,#REF!,#REF!),3,_xlfn.XLOOKUP(C1895,#REF!,#REF!)),0)</f>
        <v>0</v>
      </c>
    </row>
    <row r="1896" customFormat="1" spans="1:20">
      <c r="A1896">
        <f t="shared" si="79"/>
        <v>805</v>
      </c>
      <c r="B1896">
        <v>3</v>
      </c>
      <c r="C1896" t="s">
        <v>382</v>
      </c>
      <c r="D1896" t="s">
        <v>31</v>
      </c>
      <c r="E1896" t="s">
        <v>378</v>
      </c>
      <c r="F1896"/>
      <c r="G1896">
        <v>1</v>
      </c>
      <c r="H1896">
        <v>200</v>
      </c>
      <c r="I1896">
        <v>1</v>
      </c>
      <c r="J1896" cm="1">
        <f t="array" ref="J1896">_xlfn.SWITCH(B1896,1,75,2,61,3,49,4,37,5,25,6,13,7,4,8,1)</f>
        <v>49</v>
      </c>
      <c r="K1896" t="str" cm="1">
        <f t="array" ref="K1896">IFERROR(_xlfn.SWITCH(L1896,2,_xlfn.XLOOKUP(C1896,[1]ModifierDes!$B:$B,[1]ModifierDes!$C:$C),3,_xlfn.XLOOKUP(C1896,[1]StuntDes!$B:$B,[1]StuntDes!$C:$C)),"")</f>
        <v>混沌伤害倍率增加{0}</v>
      </c>
      <c r="L1896">
        <f t="shared" si="78"/>
        <v>2</v>
      </c>
      <c r="M1896" s="10" t="str">
        <f>IFERROR(_xlfn.XLOOKUP(C1896,[1]StuntDes!$B:$B,[1]StuntDes!$A:$A),"")</f>
        <v/>
      </c>
      <c r="N1896" s="10">
        <f>IFERROR(_xlfn.XLOOKUP(C1896,[1]ModifierDes!$B:$B,[1]ModifierDes!$A:$A),"")</f>
        <v>10052</v>
      </c>
      <c r="O1896" s="10" t="str">
        <f>IFERROR(_xlfn.XLOOKUP(C1896,[1]AttributeName!$C:$C,[1]AttributeName!$B:$B),"")</f>
        <v/>
      </c>
      <c r="P1896" s="10"/>
      <c r="Q1896">
        <v>0.19</v>
      </c>
      <c r="R1896">
        <v>0.21</v>
      </c>
      <c r="S1896" cm="1">
        <f t="array" ref="S1896">IFERROR(_xlfn.SWITCH(L1896,1,_xlfn.XLOOKUP(O1896,[1]AttributeName!$B:$B,[1]AttributeName!$D:$D),2,_xlfn.XLOOKUP(C1896,#REF!,#REF!),3,_xlfn.XLOOKUP(C1896,#REF!,#REF!)),0)</f>
        <v>0</v>
      </c>
      <c r="T1896" cm="1">
        <f t="array" ref="T1896">IFERROR(_xlfn.SWITCH(L1896,1,_xlfn.XLOOKUP(O1896,[1]AttributeName!$B:$B,[1]AttributeName!$E:$E),2,_xlfn.XLOOKUP(C1896,#REF!,#REF!),3,_xlfn.XLOOKUP(C1896,#REF!,#REF!)),0)</f>
        <v>0</v>
      </c>
    </row>
    <row r="1897" customFormat="1" spans="1:20">
      <c r="A1897">
        <f t="shared" si="79"/>
        <v>805</v>
      </c>
      <c r="B1897">
        <v>4</v>
      </c>
      <c r="C1897" t="s">
        <v>382</v>
      </c>
      <c r="D1897" t="s">
        <v>31</v>
      </c>
      <c r="E1897" t="s">
        <v>378</v>
      </c>
      <c r="F1897"/>
      <c r="G1897">
        <v>1</v>
      </c>
      <c r="H1897">
        <v>500</v>
      </c>
      <c r="I1897">
        <v>1</v>
      </c>
      <c r="J1897" cm="1">
        <f t="array" ref="J1897">_xlfn.SWITCH(B1897,1,75,2,61,3,49,4,37,5,25,6,13,7,4,8,1)</f>
        <v>37</v>
      </c>
      <c r="K1897" t="str" cm="1">
        <f t="array" ref="K1897">IFERROR(_xlfn.SWITCH(L1897,2,_xlfn.XLOOKUP(C1897,[1]ModifierDes!$B:$B,[1]ModifierDes!$C:$C),3,_xlfn.XLOOKUP(C1897,[1]StuntDes!$B:$B,[1]StuntDes!$C:$C)),"")</f>
        <v>混沌伤害倍率增加{0}</v>
      </c>
      <c r="L1897">
        <f t="shared" si="78"/>
        <v>2</v>
      </c>
      <c r="M1897" s="10" t="str">
        <f>IFERROR(_xlfn.XLOOKUP(C1897,[1]StuntDes!$B:$B,[1]StuntDes!$A:$A),"")</f>
        <v/>
      </c>
      <c r="N1897" s="10">
        <f>IFERROR(_xlfn.XLOOKUP(C1897,[1]ModifierDes!$B:$B,[1]ModifierDes!$A:$A),"")</f>
        <v>10052</v>
      </c>
      <c r="O1897" s="10" t="str">
        <f>IFERROR(_xlfn.XLOOKUP(C1897,[1]AttributeName!$C:$C,[1]AttributeName!$B:$B),"")</f>
        <v/>
      </c>
      <c r="P1897" s="10"/>
      <c r="Q1897">
        <v>0.16</v>
      </c>
      <c r="R1897">
        <v>0.18</v>
      </c>
      <c r="S1897" cm="1">
        <f t="array" ref="S1897">IFERROR(_xlfn.SWITCH(L1897,1,_xlfn.XLOOKUP(O1897,[1]AttributeName!$B:$B,[1]AttributeName!$D:$D),2,_xlfn.XLOOKUP(C1897,#REF!,#REF!),3,_xlfn.XLOOKUP(C1897,#REF!,#REF!)),0)</f>
        <v>0</v>
      </c>
      <c r="T1897" cm="1">
        <f t="array" ref="T1897">IFERROR(_xlfn.SWITCH(L1897,1,_xlfn.XLOOKUP(O1897,[1]AttributeName!$B:$B,[1]AttributeName!$E:$E),2,_xlfn.XLOOKUP(C1897,#REF!,#REF!),3,_xlfn.XLOOKUP(C1897,#REF!,#REF!)),0)</f>
        <v>0</v>
      </c>
    </row>
    <row r="1898" customFormat="1" spans="1:20">
      <c r="A1898">
        <f t="shared" si="79"/>
        <v>805</v>
      </c>
      <c r="B1898">
        <v>5</v>
      </c>
      <c r="C1898" t="s">
        <v>382</v>
      </c>
      <c r="D1898" t="s">
        <v>31</v>
      </c>
      <c r="E1898" t="s">
        <v>378</v>
      </c>
      <c r="F1898"/>
      <c r="G1898">
        <v>1</v>
      </c>
      <c r="H1898">
        <v>1000</v>
      </c>
      <c r="I1898">
        <v>1</v>
      </c>
      <c r="J1898" cm="1">
        <f t="array" ref="J1898">_xlfn.SWITCH(B1898,1,75,2,61,3,49,4,37,5,25,6,13,7,4,8,1)</f>
        <v>25</v>
      </c>
      <c r="K1898" t="str" cm="1">
        <f t="array" ref="K1898">IFERROR(_xlfn.SWITCH(L1898,2,_xlfn.XLOOKUP(C1898,[1]ModifierDes!$B:$B,[1]ModifierDes!$C:$C),3,_xlfn.XLOOKUP(C1898,[1]StuntDes!$B:$B,[1]StuntDes!$C:$C)),"")</f>
        <v>混沌伤害倍率增加{0}</v>
      </c>
      <c r="L1898">
        <f t="shared" si="78"/>
        <v>2</v>
      </c>
      <c r="M1898" s="10" t="str">
        <f>IFERROR(_xlfn.XLOOKUP(C1898,[1]StuntDes!$B:$B,[1]StuntDes!$A:$A),"")</f>
        <v/>
      </c>
      <c r="N1898" s="10">
        <f>IFERROR(_xlfn.XLOOKUP(C1898,[1]ModifierDes!$B:$B,[1]ModifierDes!$A:$A),"")</f>
        <v>10052</v>
      </c>
      <c r="O1898" s="10" t="str">
        <f>IFERROR(_xlfn.XLOOKUP(C1898,[1]AttributeName!$C:$C,[1]AttributeName!$B:$B),"")</f>
        <v/>
      </c>
      <c r="P1898" s="10"/>
      <c r="Q1898">
        <v>0.13</v>
      </c>
      <c r="R1898">
        <v>0.15</v>
      </c>
      <c r="S1898" cm="1">
        <f t="array" ref="S1898">IFERROR(_xlfn.SWITCH(L1898,1,_xlfn.XLOOKUP(O1898,[1]AttributeName!$B:$B,[1]AttributeName!$D:$D),2,_xlfn.XLOOKUP(C1898,#REF!,#REF!),3,_xlfn.XLOOKUP(C1898,#REF!,#REF!)),0)</f>
        <v>0</v>
      </c>
      <c r="T1898" cm="1">
        <f t="array" ref="T1898">IFERROR(_xlfn.SWITCH(L1898,1,_xlfn.XLOOKUP(O1898,[1]AttributeName!$B:$B,[1]AttributeName!$E:$E),2,_xlfn.XLOOKUP(C1898,#REF!,#REF!),3,_xlfn.XLOOKUP(C1898,#REF!,#REF!)),0)</f>
        <v>0</v>
      </c>
    </row>
    <row r="1899" customFormat="1" spans="1:20">
      <c r="A1899">
        <f t="shared" si="79"/>
        <v>805</v>
      </c>
      <c r="B1899">
        <v>6</v>
      </c>
      <c r="C1899" t="s">
        <v>382</v>
      </c>
      <c r="D1899" t="s">
        <v>31</v>
      </c>
      <c r="E1899" t="s">
        <v>378</v>
      </c>
      <c r="F1899"/>
      <c r="G1899">
        <v>1</v>
      </c>
      <c r="H1899">
        <v>1000</v>
      </c>
      <c r="I1899">
        <v>1</v>
      </c>
      <c r="J1899" cm="1">
        <f t="array" ref="J1899">_xlfn.SWITCH(B1899,1,75,2,61,3,49,4,37,5,25,6,13,7,4,8,1)</f>
        <v>13</v>
      </c>
      <c r="K1899" t="str" cm="1">
        <f t="array" ref="K1899">IFERROR(_xlfn.SWITCH(L1899,2,_xlfn.XLOOKUP(C1899,[1]ModifierDes!$B:$B,[1]ModifierDes!$C:$C),3,_xlfn.XLOOKUP(C1899,[1]StuntDes!$B:$B,[1]StuntDes!$C:$C)),"")</f>
        <v>混沌伤害倍率增加{0}</v>
      </c>
      <c r="L1899">
        <f t="shared" si="78"/>
        <v>2</v>
      </c>
      <c r="M1899" s="10" t="str">
        <f>IFERROR(_xlfn.XLOOKUP(C1899,[1]StuntDes!$B:$B,[1]StuntDes!$A:$A),"")</f>
        <v/>
      </c>
      <c r="N1899" s="10">
        <f>IFERROR(_xlfn.XLOOKUP(C1899,[1]ModifierDes!$B:$B,[1]ModifierDes!$A:$A),"")</f>
        <v>10052</v>
      </c>
      <c r="O1899" s="10" t="str">
        <f>IFERROR(_xlfn.XLOOKUP(C1899,[1]AttributeName!$C:$C,[1]AttributeName!$B:$B),"")</f>
        <v/>
      </c>
      <c r="P1899" s="10"/>
      <c r="Q1899">
        <v>0.1</v>
      </c>
      <c r="R1899">
        <v>0.12</v>
      </c>
      <c r="S1899" cm="1">
        <f t="array" ref="S1899">IFERROR(_xlfn.SWITCH(L1899,1,_xlfn.XLOOKUP(O1899,[1]AttributeName!$B:$B,[1]AttributeName!$D:$D),2,_xlfn.XLOOKUP(C1899,#REF!,#REF!),3,_xlfn.XLOOKUP(C1899,#REF!,#REF!)),0)</f>
        <v>0</v>
      </c>
      <c r="T1899" cm="1">
        <f t="array" ref="T1899">IFERROR(_xlfn.SWITCH(L1899,1,_xlfn.XLOOKUP(O1899,[1]AttributeName!$B:$B,[1]AttributeName!$E:$E),2,_xlfn.XLOOKUP(C1899,#REF!,#REF!),3,_xlfn.XLOOKUP(C1899,#REF!,#REF!)),0)</f>
        <v>0</v>
      </c>
    </row>
    <row r="1900" customFormat="1" spans="1:20">
      <c r="A1900">
        <f t="shared" si="79"/>
        <v>805</v>
      </c>
      <c r="B1900">
        <v>7</v>
      </c>
      <c r="C1900" t="s">
        <v>382</v>
      </c>
      <c r="D1900" t="s">
        <v>31</v>
      </c>
      <c r="E1900" t="s">
        <v>378</v>
      </c>
      <c r="F1900"/>
      <c r="G1900">
        <v>1</v>
      </c>
      <c r="H1900">
        <v>1000</v>
      </c>
      <c r="I1900">
        <v>1</v>
      </c>
      <c r="J1900" cm="1">
        <f t="array" ref="J1900">_xlfn.SWITCH(B1900,1,75,2,61,3,49,4,37,5,25,6,13,7,4,8,1)</f>
        <v>4</v>
      </c>
      <c r="K1900" t="str" cm="1">
        <f t="array" ref="K1900">IFERROR(_xlfn.SWITCH(L1900,2,_xlfn.XLOOKUP(C1900,[1]ModifierDes!$B:$B,[1]ModifierDes!$C:$C),3,_xlfn.XLOOKUP(C1900,[1]StuntDes!$B:$B,[1]StuntDes!$C:$C)),"")</f>
        <v>混沌伤害倍率增加{0}</v>
      </c>
      <c r="L1900">
        <f t="shared" si="78"/>
        <v>2</v>
      </c>
      <c r="M1900" s="10" t="str">
        <f>IFERROR(_xlfn.XLOOKUP(C1900,[1]StuntDes!$B:$B,[1]StuntDes!$A:$A),"")</f>
        <v/>
      </c>
      <c r="N1900" s="10">
        <f>IFERROR(_xlfn.XLOOKUP(C1900,[1]ModifierDes!$B:$B,[1]ModifierDes!$A:$A),"")</f>
        <v>10052</v>
      </c>
      <c r="O1900" s="10" t="str">
        <f>IFERROR(_xlfn.XLOOKUP(C1900,[1]AttributeName!$C:$C,[1]AttributeName!$B:$B),"")</f>
        <v/>
      </c>
      <c r="P1900" s="10"/>
      <c r="Q1900">
        <v>0.07</v>
      </c>
      <c r="R1900">
        <v>0.09</v>
      </c>
      <c r="S1900" cm="1">
        <f t="array" ref="S1900">IFERROR(_xlfn.SWITCH(L1900,1,_xlfn.XLOOKUP(O1900,[1]AttributeName!$B:$B,[1]AttributeName!$D:$D),2,_xlfn.XLOOKUP(C1900,#REF!,#REF!),3,_xlfn.XLOOKUP(C1900,#REF!,#REF!)),0)</f>
        <v>0</v>
      </c>
      <c r="T1900" cm="1">
        <f t="array" ref="T1900">IFERROR(_xlfn.SWITCH(L1900,1,_xlfn.XLOOKUP(O1900,[1]AttributeName!$B:$B,[1]AttributeName!$E:$E),2,_xlfn.XLOOKUP(C1900,#REF!,#REF!),3,_xlfn.XLOOKUP(C1900,#REF!,#REF!)),0)</f>
        <v>0</v>
      </c>
    </row>
    <row r="1901" customFormat="1" spans="1:20">
      <c r="A1901">
        <f t="shared" si="79"/>
        <v>805</v>
      </c>
      <c r="B1901">
        <v>8</v>
      </c>
      <c r="C1901" t="s">
        <v>382</v>
      </c>
      <c r="D1901" t="s">
        <v>31</v>
      </c>
      <c r="E1901" t="s">
        <v>378</v>
      </c>
      <c r="F1901"/>
      <c r="G1901">
        <v>1</v>
      </c>
      <c r="H1901">
        <v>1000</v>
      </c>
      <c r="I1901">
        <v>1</v>
      </c>
      <c r="J1901" cm="1">
        <f t="array" ref="J1901">_xlfn.SWITCH(B1901,1,75,2,61,3,49,4,37,5,25,6,13,7,4,8,1)</f>
        <v>1</v>
      </c>
      <c r="K1901" t="str" cm="1">
        <f t="array" ref="K1901">IFERROR(_xlfn.SWITCH(L1901,2,_xlfn.XLOOKUP(C1901,[1]ModifierDes!$B:$B,[1]ModifierDes!$C:$C),3,_xlfn.XLOOKUP(C1901,[1]StuntDes!$B:$B,[1]StuntDes!$C:$C)),"")</f>
        <v>混沌伤害倍率增加{0}</v>
      </c>
      <c r="L1901">
        <f t="shared" si="78"/>
        <v>2</v>
      </c>
      <c r="M1901" s="10" t="str">
        <f>IFERROR(_xlfn.XLOOKUP(C1901,[1]StuntDes!$B:$B,[1]StuntDes!$A:$A),"")</f>
        <v/>
      </c>
      <c r="N1901" s="10">
        <f>IFERROR(_xlfn.XLOOKUP(C1901,[1]ModifierDes!$B:$B,[1]ModifierDes!$A:$A),"")</f>
        <v>10052</v>
      </c>
      <c r="O1901" s="10" t="str">
        <f>IFERROR(_xlfn.XLOOKUP(C1901,[1]AttributeName!$C:$C,[1]AttributeName!$B:$B),"")</f>
        <v/>
      </c>
      <c r="P1901" s="10"/>
      <c r="Q1901">
        <v>0.04</v>
      </c>
      <c r="R1901">
        <v>0.07</v>
      </c>
      <c r="S1901" cm="1">
        <f t="array" ref="S1901">IFERROR(_xlfn.SWITCH(L1901,1,_xlfn.XLOOKUP(O1901,[1]AttributeName!$B:$B,[1]AttributeName!$D:$D),2,_xlfn.XLOOKUP(C1901,#REF!,#REF!),3,_xlfn.XLOOKUP(C1901,#REF!,#REF!)),0)</f>
        <v>0</v>
      </c>
      <c r="T1901" cm="1">
        <f t="array" ref="T1901">IFERROR(_xlfn.SWITCH(L1901,1,_xlfn.XLOOKUP(O1901,[1]AttributeName!$B:$B,[1]AttributeName!$E:$E),2,_xlfn.XLOOKUP(C1901,#REF!,#REF!),3,_xlfn.XLOOKUP(C1901,#REF!,#REF!)),0)</f>
        <v>0</v>
      </c>
    </row>
    <row r="1902" customFormat="1" spans="1:20">
      <c r="A1902">
        <f t="shared" si="79"/>
        <v>806</v>
      </c>
      <c r="B1902">
        <v>1</v>
      </c>
      <c r="C1902" t="s">
        <v>384</v>
      </c>
      <c r="D1902" t="s">
        <v>31</v>
      </c>
      <c r="E1902" t="s">
        <v>378</v>
      </c>
      <c r="F1902"/>
      <c r="G1902">
        <v>1</v>
      </c>
      <c r="H1902">
        <v>100</v>
      </c>
      <c r="I1902">
        <v>3</v>
      </c>
      <c r="J1902" cm="1">
        <f t="array" ref="J1902">_xlfn.SWITCH(B1902,1,75,2,61,3,49,4,37,5,25,6,13,7,4,8,1)</f>
        <v>75</v>
      </c>
      <c r="K1902" t="str" cm="1">
        <f t="array" ref="K1902">IFERROR(_xlfn.SWITCH(L1902,2,_xlfn.XLOOKUP(C1902,[1]ModifierDes!$B:$B,[1]ModifierDes!$C:$C),3,_xlfn.XLOOKUP(C1902,[1]StuntDes!$B:$B,[1]StuntDes!$C:$C)),"")</f>
        <v/>
      </c>
      <c r="L1902">
        <f t="shared" si="78"/>
        <v>1</v>
      </c>
      <c r="M1902" s="10" t="str">
        <f>IFERROR(_xlfn.XLOOKUP(C1902,[1]StuntDes!$B:$B,[1]StuntDes!$A:$A),"")</f>
        <v/>
      </c>
      <c r="N1902" s="10" t="str">
        <f>IFERROR(_xlfn.XLOOKUP(C1902,[1]ModifierDes!$B:$B,[1]ModifierDes!$A:$A),"")</f>
        <v/>
      </c>
      <c r="O1902" s="10">
        <f>IFERROR(_xlfn.XLOOKUP(C1902,[1]AttributeName!$C:$C,[1]AttributeName!$B:$B),"")</f>
        <v>10303</v>
      </c>
      <c r="P1902" s="10"/>
      <c r="Q1902">
        <v>0.38</v>
      </c>
      <c r="R1902">
        <v>0.5</v>
      </c>
      <c r="S1902" cm="1">
        <f t="array" ref="S1902">IFERROR(_xlfn.SWITCH(L1902,1,_xlfn.XLOOKUP(O1902,[1]AttributeName!$B:$B,[1]AttributeName!$D:$D),2,_xlfn.XLOOKUP(C1902,#REF!,#REF!),3,_xlfn.XLOOKUP(C1902,#REF!,#REF!)),0)</f>
        <v>2</v>
      </c>
      <c r="T1902" cm="1">
        <f t="array" ref="T1902">IFERROR(_xlfn.SWITCH(L1902,1,_xlfn.XLOOKUP(O1902,[1]AttributeName!$B:$B,[1]AttributeName!$E:$E),2,_xlfn.XLOOKUP(C1902,#REF!,#REF!),3,_xlfn.XLOOKUP(C1902,#REF!,#REF!)),0)</f>
        <v>2</v>
      </c>
    </row>
    <row r="1903" customFormat="1" spans="1:20">
      <c r="A1903">
        <f t="shared" si="79"/>
        <v>806</v>
      </c>
      <c r="B1903">
        <v>2</v>
      </c>
      <c r="C1903" t="s">
        <v>384</v>
      </c>
      <c r="D1903" t="s">
        <v>31</v>
      </c>
      <c r="E1903" t="s">
        <v>378</v>
      </c>
      <c r="F1903"/>
      <c r="G1903">
        <v>1</v>
      </c>
      <c r="H1903">
        <v>200</v>
      </c>
      <c r="I1903">
        <v>3</v>
      </c>
      <c r="J1903" cm="1">
        <f t="array" ref="J1903">_xlfn.SWITCH(B1903,1,75,2,61,3,49,4,37,5,25,6,13,7,4,8,1)</f>
        <v>61</v>
      </c>
      <c r="K1903" t="str" cm="1">
        <f t="array" ref="K1903">IFERROR(_xlfn.SWITCH(L1903,2,_xlfn.XLOOKUP(C1903,[1]ModifierDes!$B:$B,[1]ModifierDes!$C:$C),3,_xlfn.XLOOKUP(C1903,[1]StuntDes!$B:$B,[1]StuntDes!$C:$C)),"")</f>
        <v/>
      </c>
      <c r="L1903">
        <f t="shared" si="78"/>
        <v>1</v>
      </c>
      <c r="M1903" s="10" t="str">
        <f>IFERROR(_xlfn.XLOOKUP(C1903,[1]StuntDes!$B:$B,[1]StuntDes!$A:$A),"")</f>
        <v/>
      </c>
      <c r="N1903" s="10" t="str">
        <f>IFERROR(_xlfn.XLOOKUP(C1903,[1]ModifierDes!$B:$B,[1]ModifierDes!$A:$A),"")</f>
        <v/>
      </c>
      <c r="O1903" s="10">
        <f>IFERROR(_xlfn.XLOOKUP(C1903,[1]AttributeName!$C:$C,[1]AttributeName!$B:$B),"")</f>
        <v>10303</v>
      </c>
      <c r="P1903" s="10"/>
      <c r="Q1903">
        <v>0.33</v>
      </c>
      <c r="R1903">
        <v>0.37</v>
      </c>
      <c r="S1903" cm="1">
        <f t="array" ref="S1903">IFERROR(_xlfn.SWITCH(L1903,1,_xlfn.XLOOKUP(O1903,[1]AttributeName!$B:$B,[1]AttributeName!$D:$D),2,_xlfn.XLOOKUP(C1903,#REF!,#REF!),3,_xlfn.XLOOKUP(C1903,#REF!,#REF!)),0)</f>
        <v>2</v>
      </c>
      <c r="T1903" cm="1">
        <f t="array" ref="T1903">IFERROR(_xlfn.SWITCH(L1903,1,_xlfn.XLOOKUP(O1903,[1]AttributeName!$B:$B,[1]AttributeName!$E:$E),2,_xlfn.XLOOKUP(C1903,#REF!,#REF!),3,_xlfn.XLOOKUP(C1903,#REF!,#REF!)),0)</f>
        <v>2</v>
      </c>
    </row>
    <row r="1904" customFormat="1" spans="1:20">
      <c r="A1904">
        <f t="shared" si="79"/>
        <v>806</v>
      </c>
      <c r="B1904">
        <v>3</v>
      </c>
      <c r="C1904" t="s">
        <v>384</v>
      </c>
      <c r="D1904" t="s">
        <v>31</v>
      </c>
      <c r="E1904" t="s">
        <v>378</v>
      </c>
      <c r="F1904"/>
      <c r="G1904">
        <v>1</v>
      </c>
      <c r="H1904">
        <v>500</v>
      </c>
      <c r="I1904">
        <v>3</v>
      </c>
      <c r="J1904" cm="1">
        <f t="array" ref="J1904">_xlfn.SWITCH(B1904,1,75,2,61,3,49,4,37,5,25,6,13,7,4,8,1)</f>
        <v>49</v>
      </c>
      <c r="K1904" t="str" cm="1">
        <f t="array" ref="K1904">IFERROR(_xlfn.SWITCH(L1904,2,_xlfn.XLOOKUP(C1904,[1]ModifierDes!$B:$B,[1]ModifierDes!$C:$C),3,_xlfn.XLOOKUP(C1904,[1]StuntDes!$B:$B,[1]StuntDes!$C:$C)),"")</f>
        <v/>
      </c>
      <c r="L1904">
        <f t="shared" si="78"/>
        <v>1</v>
      </c>
      <c r="M1904" s="10" t="str">
        <f>IFERROR(_xlfn.XLOOKUP(C1904,[1]StuntDes!$B:$B,[1]StuntDes!$A:$A),"")</f>
        <v/>
      </c>
      <c r="N1904" s="10" t="str">
        <f>IFERROR(_xlfn.XLOOKUP(C1904,[1]ModifierDes!$B:$B,[1]ModifierDes!$A:$A),"")</f>
        <v/>
      </c>
      <c r="O1904" s="10">
        <f>IFERROR(_xlfn.XLOOKUP(C1904,[1]AttributeName!$C:$C,[1]AttributeName!$B:$B),"")</f>
        <v>10303</v>
      </c>
      <c r="P1904" s="10"/>
      <c r="Q1904">
        <v>0.29</v>
      </c>
      <c r="R1904">
        <v>0.32</v>
      </c>
      <c r="S1904" cm="1">
        <f t="array" ref="S1904">IFERROR(_xlfn.SWITCH(L1904,1,_xlfn.XLOOKUP(O1904,[1]AttributeName!$B:$B,[1]AttributeName!$D:$D),2,_xlfn.XLOOKUP(C1904,#REF!,#REF!),3,_xlfn.XLOOKUP(C1904,#REF!,#REF!)),0)</f>
        <v>2</v>
      </c>
      <c r="T1904" cm="1">
        <f t="array" ref="T1904">IFERROR(_xlfn.SWITCH(L1904,1,_xlfn.XLOOKUP(O1904,[1]AttributeName!$B:$B,[1]AttributeName!$E:$E),2,_xlfn.XLOOKUP(C1904,#REF!,#REF!),3,_xlfn.XLOOKUP(C1904,#REF!,#REF!)),0)</f>
        <v>2</v>
      </c>
    </row>
    <row r="1905" customFormat="1" spans="1:20">
      <c r="A1905">
        <f t="shared" si="79"/>
        <v>806</v>
      </c>
      <c r="B1905">
        <v>4</v>
      </c>
      <c r="C1905" t="s">
        <v>384</v>
      </c>
      <c r="D1905" t="s">
        <v>31</v>
      </c>
      <c r="E1905" t="s">
        <v>378</v>
      </c>
      <c r="F1905"/>
      <c r="G1905">
        <v>1</v>
      </c>
      <c r="H1905">
        <v>1000</v>
      </c>
      <c r="I1905">
        <v>3</v>
      </c>
      <c r="J1905" cm="1">
        <f t="array" ref="J1905">_xlfn.SWITCH(B1905,1,75,2,61,3,49,4,37,5,25,6,13,7,4,8,1)</f>
        <v>37</v>
      </c>
      <c r="K1905" t="str" cm="1">
        <f t="array" ref="K1905">IFERROR(_xlfn.SWITCH(L1905,2,_xlfn.XLOOKUP(C1905,[1]ModifierDes!$B:$B,[1]ModifierDes!$C:$C),3,_xlfn.XLOOKUP(C1905,[1]StuntDes!$B:$B,[1]StuntDes!$C:$C)),"")</f>
        <v/>
      </c>
      <c r="L1905">
        <f t="shared" si="78"/>
        <v>1</v>
      </c>
      <c r="M1905" s="10" t="str">
        <f>IFERROR(_xlfn.XLOOKUP(C1905,[1]StuntDes!$B:$B,[1]StuntDes!$A:$A),"")</f>
        <v/>
      </c>
      <c r="N1905" s="10" t="str">
        <f>IFERROR(_xlfn.XLOOKUP(C1905,[1]ModifierDes!$B:$B,[1]ModifierDes!$A:$A),"")</f>
        <v/>
      </c>
      <c r="O1905" s="10">
        <f>IFERROR(_xlfn.XLOOKUP(C1905,[1]AttributeName!$C:$C,[1]AttributeName!$B:$B),"")</f>
        <v>10303</v>
      </c>
      <c r="P1905" s="10"/>
      <c r="Q1905">
        <v>0.24</v>
      </c>
      <c r="R1905">
        <v>0.28</v>
      </c>
      <c r="S1905" cm="1">
        <f t="array" ref="S1905">IFERROR(_xlfn.SWITCH(L1905,1,_xlfn.XLOOKUP(O1905,[1]AttributeName!$B:$B,[1]AttributeName!$D:$D),2,_xlfn.XLOOKUP(C1905,#REF!,#REF!),3,_xlfn.XLOOKUP(C1905,#REF!,#REF!)),0)</f>
        <v>2</v>
      </c>
      <c r="T1905" cm="1">
        <f t="array" ref="T1905">IFERROR(_xlfn.SWITCH(L1905,1,_xlfn.XLOOKUP(O1905,[1]AttributeName!$B:$B,[1]AttributeName!$E:$E),2,_xlfn.XLOOKUP(C1905,#REF!,#REF!),3,_xlfn.XLOOKUP(C1905,#REF!,#REF!)),0)</f>
        <v>2</v>
      </c>
    </row>
    <row r="1906" customFormat="1" spans="1:20">
      <c r="A1906">
        <f t="shared" si="79"/>
        <v>806</v>
      </c>
      <c r="B1906">
        <v>5</v>
      </c>
      <c r="C1906" t="s">
        <v>384</v>
      </c>
      <c r="D1906" t="s">
        <v>31</v>
      </c>
      <c r="E1906" t="s">
        <v>378</v>
      </c>
      <c r="F1906"/>
      <c r="G1906">
        <v>1</v>
      </c>
      <c r="H1906">
        <v>1000</v>
      </c>
      <c r="I1906">
        <v>3</v>
      </c>
      <c r="J1906" cm="1">
        <f t="array" ref="J1906">_xlfn.SWITCH(B1906,1,75,2,61,3,49,4,37,5,25,6,13,7,4,8,1)</f>
        <v>25</v>
      </c>
      <c r="K1906" t="str" cm="1">
        <f t="array" ref="K1906">IFERROR(_xlfn.SWITCH(L1906,2,_xlfn.XLOOKUP(C1906,[1]ModifierDes!$B:$B,[1]ModifierDes!$C:$C),3,_xlfn.XLOOKUP(C1906,[1]StuntDes!$B:$B,[1]StuntDes!$C:$C)),"")</f>
        <v/>
      </c>
      <c r="L1906">
        <f t="shared" si="78"/>
        <v>1</v>
      </c>
      <c r="M1906" s="10" t="str">
        <f>IFERROR(_xlfn.XLOOKUP(C1906,[1]StuntDes!$B:$B,[1]StuntDes!$A:$A),"")</f>
        <v/>
      </c>
      <c r="N1906" s="10" t="str">
        <f>IFERROR(_xlfn.XLOOKUP(C1906,[1]ModifierDes!$B:$B,[1]ModifierDes!$A:$A),"")</f>
        <v/>
      </c>
      <c r="O1906" s="10">
        <f>IFERROR(_xlfn.XLOOKUP(C1906,[1]AttributeName!$C:$C,[1]AttributeName!$B:$B),"")</f>
        <v>10303</v>
      </c>
      <c r="P1906" s="10"/>
      <c r="Q1906">
        <v>0.2</v>
      </c>
      <c r="R1906">
        <v>0.23</v>
      </c>
      <c r="S1906" cm="1">
        <f t="array" ref="S1906">IFERROR(_xlfn.SWITCH(L1906,1,_xlfn.XLOOKUP(O1906,[1]AttributeName!$B:$B,[1]AttributeName!$D:$D),2,_xlfn.XLOOKUP(C1906,#REF!,#REF!),3,_xlfn.XLOOKUP(C1906,#REF!,#REF!)),0)</f>
        <v>2</v>
      </c>
      <c r="T1906" cm="1">
        <f t="array" ref="T1906">IFERROR(_xlfn.SWITCH(L1906,1,_xlfn.XLOOKUP(O1906,[1]AttributeName!$B:$B,[1]AttributeName!$E:$E),2,_xlfn.XLOOKUP(C1906,#REF!,#REF!),3,_xlfn.XLOOKUP(C1906,#REF!,#REF!)),0)</f>
        <v>2</v>
      </c>
    </row>
    <row r="1907" customFormat="1" spans="1:20">
      <c r="A1907">
        <f t="shared" si="79"/>
        <v>806</v>
      </c>
      <c r="B1907">
        <v>6</v>
      </c>
      <c r="C1907" t="s">
        <v>384</v>
      </c>
      <c r="D1907" t="s">
        <v>31</v>
      </c>
      <c r="E1907" t="s">
        <v>378</v>
      </c>
      <c r="F1907"/>
      <c r="G1907">
        <v>1</v>
      </c>
      <c r="H1907">
        <v>1000</v>
      </c>
      <c r="I1907">
        <v>3</v>
      </c>
      <c r="J1907" cm="1">
        <f t="array" ref="J1907">_xlfn.SWITCH(B1907,1,75,2,61,3,49,4,37,5,25,6,13,7,4,8,1)</f>
        <v>13</v>
      </c>
      <c r="K1907" t="str" cm="1">
        <f t="array" ref="K1907">IFERROR(_xlfn.SWITCH(L1907,2,_xlfn.XLOOKUP(C1907,[1]ModifierDes!$B:$B,[1]ModifierDes!$C:$C),3,_xlfn.XLOOKUP(C1907,[1]StuntDes!$B:$B,[1]StuntDes!$C:$C)),"")</f>
        <v/>
      </c>
      <c r="L1907">
        <f t="shared" si="78"/>
        <v>1</v>
      </c>
      <c r="M1907" s="10" t="str">
        <f>IFERROR(_xlfn.XLOOKUP(C1907,[1]StuntDes!$B:$B,[1]StuntDes!$A:$A),"")</f>
        <v/>
      </c>
      <c r="N1907" s="10" t="str">
        <f>IFERROR(_xlfn.XLOOKUP(C1907,[1]ModifierDes!$B:$B,[1]ModifierDes!$A:$A),"")</f>
        <v/>
      </c>
      <c r="O1907" s="10">
        <f>IFERROR(_xlfn.XLOOKUP(C1907,[1]AttributeName!$C:$C,[1]AttributeName!$B:$B),"")</f>
        <v>10303</v>
      </c>
      <c r="P1907" s="10"/>
      <c r="Q1907">
        <v>0.15</v>
      </c>
      <c r="R1907">
        <v>0.19</v>
      </c>
      <c r="S1907" cm="1">
        <f t="array" ref="S1907">IFERROR(_xlfn.SWITCH(L1907,1,_xlfn.XLOOKUP(O1907,[1]AttributeName!$B:$B,[1]AttributeName!$D:$D),2,_xlfn.XLOOKUP(C1907,#REF!,#REF!),3,_xlfn.XLOOKUP(C1907,#REF!,#REF!)),0)</f>
        <v>2</v>
      </c>
      <c r="T1907" cm="1">
        <f t="array" ref="T1907">IFERROR(_xlfn.SWITCH(L1907,1,_xlfn.XLOOKUP(O1907,[1]AttributeName!$B:$B,[1]AttributeName!$E:$E),2,_xlfn.XLOOKUP(C1907,#REF!,#REF!),3,_xlfn.XLOOKUP(C1907,#REF!,#REF!)),0)</f>
        <v>2</v>
      </c>
    </row>
    <row r="1908" customFormat="1" spans="1:20">
      <c r="A1908">
        <f t="shared" si="79"/>
        <v>806</v>
      </c>
      <c r="B1908">
        <v>7</v>
      </c>
      <c r="C1908" t="s">
        <v>384</v>
      </c>
      <c r="D1908" t="s">
        <v>31</v>
      </c>
      <c r="E1908" t="s">
        <v>378</v>
      </c>
      <c r="F1908"/>
      <c r="G1908">
        <v>1</v>
      </c>
      <c r="H1908">
        <v>1000</v>
      </c>
      <c r="I1908">
        <v>3</v>
      </c>
      <c r="J1908" cm="1">
        <f t="array" ref="J1908">_xlfn.SWITCH(B1908,1,75,2,61,3,49,4,37,5,25,6,13,7,4,8,1)</f>
        <v>4</v>
      </c>
      <c r="K1908" t="str" cm="1">
        <f t="array" ref="K1908">IFERROR(_xlfn.SWITCH(L1908,2,_xlfn.XLOOKUP(C1908,[1]ModifierDes!$B:$B,[1]ModifierDes!$C:$C),3,_xlfn.XLOOKUP(C1908,[1]StuntDes!$B:$B,[1]StuntDes!$C:$C)),"")</f>
        <v/>
      </c>
      <c r="L1908">
        <f t="shared" si="78"/>
        <v>1</v>
      </c>
      <c r="M1908" s="10" t="str">
        <f>IFERROR(_xlfn.XLOOKUP(C1908,[1]StuntDes!$B:$B,[1]StuntDes!$A:$A),"")</f>
        <v/>
      </c>
      <c r="N1908" s="10" t="str">
        <f>IFERROR(_xlfn.XLOOKUP(C1908,[1]ModifierDes!$B:$B,[1]ModifierDes!$A:$A),"")</f>
        <v/>
      </c>
      <c r="O1908" s="10">
        <f>IFERROR(_xlfn.XLOOKUP(C1908,[1]AttributeName!$C:$C,[1]AttributeName!$B:$B),"")</f>
        <v>10303</v>
      </c>
      <c r="P1908" s="10"/>
      <c r="Q1908">
        <v>0.11</v>
      </c>
      <c r="R1908">
        <v>0.14</v>
      </c>
      <c r="S1908" cm="1">
        <f t="array" ref="S1908">IFERROR(_xlfn.SWITCH(L1908,1,_xlfn.XLOOKUP(O1908,[1]AttributeName!$B:$B,[1]AttributeName!$D:$D),2,_xlfn.XLOOKUP(C1908,#REF!,#REF!),3,_xlfn.XLOOKUP(C1908,#REF!,#REF!)),0)</f>
        <v>2</v>
      </c>
      <c r="T1908" cm="1">
        <f t="array" ref="T1908">IFERROR(_xlfn.SWITCH(L1908,1,_xlfn.XLOOKUP(O1908,[1]AttributeName!$B:$B,[1]AttributeName!$E:$E),2,_xlfn.XLOOKUP(C1908,#REF!,#REF!),3,_xlfn.XLOOKUP(C1908,#REF!,#REF!)),0)</f>
        <v>2</v>
      </c>
    </row>
    <row r="1909" customFormat="1" spans="1:20">
      <c r="A1909">
        <f t="shared" si="79"/>
        <v>806</v>
      </c>
      <c r="B1909">
        <v>8</v>
      </c>
      <c r="C1909" t="s">
        <v>384</v>
      </c>
      <c r="D1909" t="s">
        <v>31</v>
      </c>
      <c r="E1909" t="s">
        <v>378</v>
      </c>
      <c r="F1909"/>
      <c r="G1909">
        <v>1</v>
      </c>
      <c r="H1909">
        <v>1000</v>
      </c>
      <c r="I1909">
        <v>3</v>
      </c>
      <c r="J1909" cm="1">
        <f t="array" ref="J1909">_xlfn.SWITCH(B1909,1,75,2,61,3,49,4,37,5,25,6,13,7,4,8,1)</f>
        <v>1</v>
      </c>
      <c r="K1909" t="str" cm="1">
        <f t="array" ref="K1909">IFERROR(_xlfn.SWITCH(L1909,2,_xlfn.XLOOKUP(C1909,[1]ModifierDes!$B:$B,[1]ModifierDes!$C:$C),3,_xlfn.XLOOKUP(C1909,[1]StuntDes!$B:$B,[1]StuntDes!$C:$C)),"")</f>
        <v/>
      </c>
      <c r="L1909">
        <f t="shared" si="78"/>
        <v>1</v>
      </c>
      <c r="M1909" s="10" t="str">
        <f>IFERROR(_xlfn.XLOOKUP(C1909,[1]StuntDes!$B:$B,[1]StuntDes!$A:$A),"")</f>
        <v/>
      </c>
      <c r="N1909" s="10" t="str">
        <f>IFERROR(_xlfn.XLOOKUP(C1909,[1]ModifierDes!$B:$B,[1]ModifierDes!$A:$A),"")</f>
        <v/>
      </c>
      <c r="O1909" s="10">
        <f>IFERROR(_xlfn.XLOOKUP(C1909,[1]AttributeName!$C:$C,[1]AttributeName!$B:$B),"")</f>
        <v>10303</v>
      </c>
      <c r="P1909" s="10"/>
      <c r="Q1909">
        <v>0.06</v>
      </c>
      <c r="R1909">
        <v>0.1</v>
      </c>
      <c r="S1909" cm="1">
        <f t="array" ref="S1909">IFERROR(_xlfn.SWITCH(L1909,1,_xlfn.XLOOKUP(O1909,[1]AttributeName!$B:$B,[1]AttributeName!$D:$D),2,_xlfn.XLOOKUP(C1909,#REF!,#REF!),3,_xlfn.XLOOKUP(C1909,#REF!,#REF!)),0)</f>
        <v>2</v>
      </c>
      <c r="T1909" cm="1">
        <f t="array" ref="T1909">IFERROR(_xlfn.SWITCH(L1909,1,_xlfn.XLOOKUP(O1909,[1]AttributeName!$B:$B,[1]AttributeName!$E:$E),2,_xlfn.XLOOKUP(C1909,#REF!,#REF!),3,_xlfn.XLOOKUP(C1909,#REF!,#REF!)),0)</f>
        <v>2</v>
      </c>
    </row>
    <row r="1910" customFormat="1" spans="1:20">
      <c r="A1910">
        <f t="shared" si="79"/>
        <v>807</v>
      </c>
      <c r="B1910">
        <v>1</v>
      </c>
      <c r="C1910" t="s">
        <v>385</v>
      </c>
      <c r="D1910" t="s">
        <v>31</v>
      </c>
      <c r="E1910" t="s">
        <v>378</v>
      </c>
      <c r="F1910"/>
      <c r="G1910">
        <v>1</v>
      </c>
      <c r="H1910">
        <v>100</v>
      </c>
      <c r="I1910">
        <v>3</v>
      </c>
      <c r="J1910" cm="1">
        <f t="array" ref="J1910">_xlfn.SWITCH(B1910,1,75,2,61,3,49,4,37,5,25,6,13,7,4,8,1)</f>
        <v>75</v>
      </c>
      <c r="K1910" t="str" cm="1">
        <f t="array" ref="K1910">IFERROR(_xlfn.SWITCH(L1910,2,_xlfn.XLOOKUP(C1910,[1]ModifierDes!$B:$B,[1]ModifierDes!$C:$C),3,_xlfn.XLOOKUP(C1910,[1]StuntDes!$B:$B,[1]StuntDes!$C:$C)),"")</f>
        <v/>
      </c>
      <c r="L1910">
        <f t="shared" si="78"/>
        <v>1</v>
      </c>
      <c r="M1910" s="10" t="str">
        <f>IFERROR(_xlfn.XLOOKUP(C1910,[1]StuntDes!$B:$B,[1]StuntDes!$A:$A),"")</f>
        <v/>
      </c>
      <c r="N1910" s="10" t="str">
        <f>IFERROR(_xlfn.XLOOKUP(C1910,[1]ModifierDes!$B:$B,[1]ModifierDes!$A:$A),"")</f>
        <v/>
      </c>
      <c r="O1910" s="10">
        <f>IFERROR(_xlfn.XLOOKUP(C1910,[1]AttributeName!$C:$C,[1]AttributeName!$B:$B),"")</f>
        <v>10304</v>
      </c>
      <c r="P1910" s="10"/>
      <c r="Q1910">
        <v>0.38</v>
      </c>
      <c r="R1910">
        <v>0.5</v>
      </c>
      <c r="S1910" cm="1">
        <f t="array" ref="S1910">IFERROR(_xlfn.SWITCH(L1910,1,_xlfn.XLOOKUP(O1910,[1]AttributeName!$B:$B,[1]AttributeName!$D:$D),2,_xlfn.XLOOKUP(C1910,#REF!,#REF!),3,_xlfn.XLOOKUP(C1910,#REF!,#REF!)),0)</f>
        <v>2</v>
      </c>
      <c r="T1910" cm="1">
        <f t="array" ref="T1910">IFERROR(_xlfn.SWITCH(L1910,1,_xlfn.XLOOKUP(O1910,[1]AttributeName!$B:$B,[1]AttributeName!$E:$E),2,_xlfn.XLOOKUP(C1910,#REF!,#REF!),3,_xlfn.XLOOKUP(C1910,#REF!,#REF!)),0)</f>
        <v>2</v>
      </c>
    </row>
    <row r="1911" customFormat="1" spans="1:20">
      <c r="A1911">
        <f t="shared" si="79"/>
        <v>807</v>
      </c>
      <c r="B1911">
        <v>2</v>
      </c>
      <c r="C1911" t="s">
        <v>385</v>
      </c>
      <c r="D1911" t="s">
        <v>31</v>
      </c>
      <c r="E1911" t="s">
        <v>378</v>
      </c>
      <c r="F1911"/>
      <c r="G1911">
        <v>1</v>
      </c>
      <c r="H1911">
        <v>200</v>
      </c>
      <c r="I1911">
        <v>3</v>
      </c>
      <c r="J1911" cm="1">
        <f t="array" ref="J1911">_xlfn.SWITCH(B1911,1,75,2,61,3,49,4,37,5,25,6,13,7,4,8,1)</f>
        <v>61</v>
      </c>
      <c r="K1911" t="str" cm="1">
        <f t="array" ref="K1911">IFERROR(_xlfn.SWITCH(L1911,2,_xlfn.XLOOKUP(C1911,[1]ModifierDes!$B:$B,[1]ModifierDes!$C:$C),3,_xlfn.XLOOKUP(C1911,[1]StuntDes!$B:$B,[1]StuntDes!$C:$C)),"")</f>
        <v/>
      </c>
      <c r="L1911">
        <f t="shared" si="78"/>
        <v>1</v>
      </c>
      <c r="M1911" s="10" t="str">
        <f>IFERROR(_xlfn.XLOOKUP(C1911,[1]StuntDes!$B:$B,[1]StuntDes!$A:$A),"")</f>
        <v/>
      </c>
      <c r="N1911" s="10" t="str">
        <f>IFERROR(_xlfn.XLOOKUP(C1911,[1]ModifierDes!$B:$B,[1]ModifierDes!$A:$A),"")</f>
        <v/>
      </c>
      <c r="O1911" s="10">
        <f>IFERROR(_xlfn.XLOOKUP(C1911,[1]AttributeName!$C:$C,[1]AttributeName!$B:$B),"")</f>
        <v>10304</v>
      </c>
      <c r="P1911" s="10"/>
      <c r="Q1911">
        <v>0.33</v>
      </c>
      <c r="R1911">
        <v>0.37</v>
      </c>
      <c r="S1911" cm="1">
        <f t="array" ref="S1911">IFERROR(_xlfn.SWITCH(L1911,1,_xlfn.XLOOKUP(O1911,[1]AttributeName!$B:$B,[1]AttributeName!$D:$D),2,_xlfn.XLOOKUP(C1911,#REF!,#REF!),3,_xlfn.XLOOKUP(C1911,#REF!,#REF!)),0)</f>
        <v>2</v>
      </c>
      <c r="T1911" cm="1">
        <f t="array" ref="T1911">IFERROR(_xlfn.SWITCH(L1911,1,_xlfn.XLOOKUP(O1911,[1]AttributeName!$B:$B,[1]AttributeName!$E:$E),2,_xlfn.XLOOKUP(C1911,#REF!,#REF!),3,_xlfn.XLOOKUP(C1911,#REF!,#REF!)),0)</f>
        <v>2</v>
      </c>
    </row>
    <row r="1912" customFormat="1" spans="1:20">
      <c r="A1912">
        <f t="shared" si="79"/>
        <v>807</v>
      </c>
      <c r="B1912">
        <v>3</v>
      </c>
      <c r="C1912" t="s">
        <v>385</v>
      </c>
      <c r="D1912" t="s">
        <v>31</v>
      </c>
      <c r="E1912" t="s">
        <v>378</v>
      </c>
      <c r="F1912"/>
      <c r="G1912">
        <v>1</v>
      </c>
      <c r="H1912">
        <v>500</v>
      </c>
      <c r="I1912">
        <v>3</v>
      </c>
      <c r="J1912" cm="1">
        <f t="array" ref="J1912">_xlfn.SWITCH(B1912,1,75,2,61,3,49,4,37,5,25,6,13,7,4,8,1)</f>
        <v>49</v>
      </c>
      <c r="K1912" t="str" cm="1">
        <f t="array" ref="K1912">IFERROR(_xlfn.SWITCH(L1912,2,_xlfn.XLOOKUP(C1912,[1]ModifierDes!$B:$B,[1]ModifierDes!$C:$C),3,_xlfn.XLOOKUP(C1912,[1]StuntDes!$B:$B,[1]StuntDes!$C:$C)),"")</f>
        <v/>
      </c>
      <c r="L1912">
        <f t="shared" si="78"/>
        <v>1</v>
      </c>
      <c r="M1912" s="10" t="str">
        <f>IFERROR(_xlfn.XLOOKUP(C1912,[1]StuntDes!$B:$B,[1]StuntDes!$A:$A),"")</f>
        <v/>
      </c>
      <c r="N1912" s="10" t="str">
        <f>IFERROR(_xlfn.XLOOKUP(C1912,[1]ModifierDes!$B:$B,[1]ModifierDes!$A:$A),"")</f>
        <v/>
      </c>
      <c r="O1912" s="10">
        <f>IFERROR(_xlfn.XLOOKUP(C1912,[1]AttributeName!$C:$C,[1]AttributeName!$B:$B),"")</f>
        <v>10304</v>
      </c>
      <c r="P1912" s="10"/>
      <c r="Q1912">
        <v>0.29</v>
      </c>
      <c r="R1912">
        <v>0.32</v>
      </c>
      <c r="S1912" cm="1">
        <f t="array" ref="S1912">IFERROR(_xlfn.SWITCH(L1912,1,_xlfn.XLOOKUP(O1912,[1]AttributeName!$B:$B,[1]AttributeName!$D:$D),2,_xlfn.XLOOKUP(C1912,#REF!,#REF!),3,_xlfn.XLOOKUP(C1912,#REF!,#REF!)),0)</f>
        <v>2</v>
      </c>
      <c r="T1912" cm="1">
        <f t="array" ref="T1912">IFERROR(_xlfn.SWITCH(L1912,1,_xlfn.XLOOKUP(O1912,[1]AttributeName!$B:$B,[1]AttributeName!$E:$E),2,_xlfn.XLOOKUP(C1912,#REF!,#REF!),3,_xlfn.XLOOKUP(C1912,#REF!,#REF!)),0)</f>
        <v>2</v>
      </c>
    </row>
    <row r="1913" customFormat="1" spans="1:20">
      <c r="A1913">
        <f t="shared" si="79"/>
        <v>807</v>
      </c>
      <c r="B1913">
        <v>4</v>
      </c>
      <c r="C1913" t="s">
        <v>385</v>
      </c>
      <c r="D1913" t="s">
        <v>31</v>
      </c>
      <c r="E1913" t="s">
        <v>378</v>
      </c>
      <c r="F1913"/>
      <c r="G1913">
        <v>1</v>
      </c>
      <c r="H1913">
        <v>1000</v>
      </c>
      <c r="I1913">
        <v>3</v>
      </c>
      <c r="J1913" cm="1">
        <f t="array" ref="J1913">_xlfn.SWITCH(B1913,1,75,2,61,3,49,4,37,5,25,6,13,7,4,8,1)</f>
        <v>37</v>
      </c>
      <c r="K1913" t="str" cm="1">
        <f t="array" ref="K1913">IFERROR(_xlfn.SWITCH(L1913,2,_xlfn.XLOOKUP(C1913,[1]ModifierDes!$B:$B,[1]ModifierDes!$C:$C),3,_xlfn.XLOOKUP(C1913,[1]StuntDes!$B:$B,[1]StuntDes!$C:$C)),"")</f>
        <v/>
      </c>
      <c r="L1913">
        <f t="shared" si="78"/>
        <v>1</v>
      </c>
      <c r="M1913" s="10" t="str">
        <f>IFERROR(_xlfn.XLOOKUP(C1913,[1]StuntDes!$B:$B,[1]StuntDes!$A:$A),"")</f>
        <v/>
      </c>
      <c r="N1913" s="10" t="str">
        <f>IFERROR(_xlfn.XLOOKUP(C1913,[1]ModifierDes!$B:$B,[1]ModifierDes!$A:$A),"")</f>
        <v/>
      </c>
      <c r="O1913" s="10">
        <f>IFERROR(_xlfn.XLOOKUP(C1913,[1]AttributeName!$C:$C,[1]AttributeName!$B:$B),"")</f>
        <v>10304</v>
      </c>
      <c r="P1913" s="10"/>
      <c r="Q1913">
        <v>0.24</v>
      </c>
      <c r="R1913">
        <v>0.28</v>
      </c>
      <c r="S1913" cm="1">
        <f t="array" ref="S1913">IFERROR(_xlfn.SWITCH(L1913,1,_xlfn.XLOOKUP(O1913,[1]AttributeName!$B:$B,[1]AttributeName!$D:$D),2,_xlfn.XLOOKUP(C1913,#REF!,#REF!),3,_xlfn.XLOOKUP(C1913,#REF!,#REF!)),0)</f>
        <v>2</v>
      </c>
      <c r="T1913" cm="1">
        <f t="array" ref="T1913">IFERROR(_xlfn.SWITCH(L1913,1,_xlfn.XLOOKUP(O1913,[1]AttributeName!$B:$B,[1]AttributeName!$E:$E),2,_xlfn.XLOOKUP(C1913,#REF!,#REF!),3,_xlfn.XLOOKUP(C1913,#REF!,#REF!)),0)</f>
        <v>2</v>
      </c>
    </row>
    <row r="1914" customFormat="1" spans="1:20">
      <c r="A1914">
        <f t="shared" si="79"/>
        <v>807</v>
      </c>
      <c r="B1914">
        <v>5</v>
      </c>
      <c r="C1914" t="s">
        <v>385</v>
      </c>
      <c r="D1914" t="s">
        <v>31</v>
      </c>
      <c r="E1914" t="s">
        <v>378</v>
      </c>
      <c r="F1914"/>
      <c r="G1914">
        <v>1</v>
      </c>
      <c r="H1914">
        <v>1000</v>
      </c>
      <c r="I1914">
        <v>3</v>
      </c>
      <c r="J1914" cm="1">
        <f t="array" ref="J1914">_xlfn.SWITCH(B1914,1,75,2,61,3,49,4,37,5,25,6,13,7,4,8,1)</f>
        <v>25</v>
      </c>
      <c r="K1914" t="str" cm="1">
        <f t="array" ref="K1914">IFERROR(_xlfn.SWITCH(L1914,2,_xlfn.XLOOKUP(C1914,[1]ModifierDes!$B:$B,[1]ModifierDes!$C:$C),3,_xlfn.XLOOKUP(C1914,[1]StuntDes!$B:$B,[1]StuntDes!$C:$C)),"")</f>
        <v/>
      </c>
      <c r="L1914">
        <f t="shared" si="78"/>
        <v>1</v>
      </c>
      <c r="M1914" s="10" t="str">
        <f>IFERROR(_xlfn.XLOOKUP(C1914,[1]StuntDes!$B:$B,[1]StuntDes!$A:$A),"")</f>
        <v/>
      </c>
      <c r="N1914" s="10" t="str">
        <f>IFERROR(_xlfn.XLOOKUP(C1914,[1]ModifierDes!$B:$B,[1]ModifierDes!$A:$A),"")</f>
        <v/>
      </c>
      <c r="O1914" s="10">
        <f>IFERROR(_xlfn.XLOOKUP(C1914,[1]AttributeName!$C:$C,[1]AttributeName!$B:$B),"")</f>
        <v>10304</v>
      </c>
      <c r="P1914" s="10"/>
      <c r="Q1914">
        <v>0.2</v>
      </c>
      <c r="R1914">
        <v>0.23</v>
      </c>
      <c r="S1914" cm="1">
        <f t="array" ref="S1914">IFERROR(_xlfn.SWITCH(L1914,1,_xlfn.XLOOKUP(O1914,[1]AttributeName!$B:$B,[1]AttributeName!$D:$D),2,_xlfn.XLOOKUP(C1914,#REF!,#REF!),3,_xlfn.XLOOKUP(C1914,#REF!,#REF!)),0)</f>
        <v>2</v>
      </c>
      <c r="T1914" cm="1">
        <f t="array" ref="T1914">IFERROR(_xlfn.SWITCH(L1914,1,_xlfn.XLOOKUP(O1914,[1]AttributeName!$B:$B,[1]AttributeName!$E:$E),2,_xlfn.XLOOKUP(C1914,#REF!,#REF!),3,_xlfn.XLOOKUP(C1914,#REF!,#REF!)),0)</f>
        <v>2</v>
      </c>
    </row>
    <row r="1915" customFormat="1" spans="1:20">
      <c r="A1915">
        <f t="shared" si="79"/>
        <v>807</v>
      </c>
      <c r="B1915">
        <v>6</v>
      </c>
      <c r="C1915" t="s">
        <v>385</v>
      </c>
      <c r="D1915" t="s">
        <v>31</v>
      </c>
      <c r="E1915" t="s">
        <v>378</v>
      </c>
      <c r="F1915"/>
      <c r="G1915">
        <v>1</v>
      </c>
      <c r="H1915">
        <v>1000</v>
      </c>
      <c r="I1915">
        <v>3</v>
      </c>
      <c r="J1915" cm="1">
        <f t="array" ref="J1915">_xlfn.SWITCH(B1915,1,75,2,61,3,49,4,37,5,25,6,13,7,4,8,1)</f>
        <v>13</v>
      </c>
      <c r="K1915" t="str" cm="1">
        <f t="array" ref="K1915">IFERROR(_xlfn.SWITCH(L1915,2,_xlfn.XLOOKUP(C1915,[1]ModifierDes!$B:$B,[1]ModifierDes!$C:$C),3,_xlfn.XLOOKUP(C1915,[1]StuntDes!$B:$B,[1]StuntDes!$C:$C)),"")</f>
        <v/>
      </c>
      <c r="L1915">
        <f t="shared" si="78"/>
        <v>1</v>
      </c>
      <c r="M1915" s="10" t="str">
        <f>IFERROR(_xlfn.XLOOKUP(C1915,[1]StuntDes!$B:$B,[1]StuntDes!$A:$A),"")</f>
        <v/>
      </c>
      <c r="N1915" s="10" t="str">
        <f>IFERROR(_xlfn.XLOOKUP(C1915,[1]ModifierDes!$B:$B,[1]ModifierDes!$A:$A),"")</f>
        <v/>
      </c>
      <c r="O1915" s="10">
        <f>IFERROR(_xlfn.XLOOKUP(C1915,[1]AttributeName!$C:$C,[1]AttributeName!$B:$B),"")</f>
        <v>10304</v>
      </c>
      <c r="P1915" s="10"/>
      <c r="Q1915">
        <v>0.15</v>
      </c>
      <c r="R1915">
        <v>0.19</v>
      </c>
      <c r="S1915" cm="1">
        <f t="array" ref="S1915">IFERROR(_xlfn.SWITCH(L1915,1,_xlfn.XLOOKUP(O1915,[1]AttributeName!$B:$B,[1]AttributeName!$D:$D),2,_xlfn.XLOOKUP(C1915,#REF!,#REF!),3,_xlfn.XLOOKUP(C1915,#REF!,#REF!)),0)</f>
        <v>2</v>
      </c>
      <c r="T1915" cm="1">
        <f t="array" ref="T1915">IFERROR(_xlfn.SWITCH(L1915,1,_xlfn.XLOOKUP(O1915,[1]AttributeName!$B:$B,[1]AttributeName!$E:$E),2,_xlfn.XLOOKUP(C1915,#REF!,#REF!),3,_xlfn.XLOOKUP(C1915,#REF!,#REF!)),0)</f>
        <v>2</v>
      </c>
    </row>
    <row r="1916" customFormat="1" spans="1:20">
      <c r="A1916">
        <f t="shared" si="79"/>
        <v>807</v>
      </c>
      <c r="B1916">
        <v>7</v>
      </c>
      <c r="C1916" t="s">
        <v>385</v>
      </c>
      <c r="D1916" t="s">
        <v>31</v>
      </c>
      <c r="E1916" t="s">
        <v>378</v>
      </c>
      <c r="F1916"/>
      <c r="G1916">
        <v>1</v>
      </c>
      <c r="H1916">
        <v>1000</v>
      </c>
      <c r="I1916">
        <v>3</v>
      </c>
      <c r="J1916" cm="1">
        <f t="array" ref="J1916">_xlfn.SWITCH(B1916,1,75,2,61,3,49,4,37,5,25,6,13,7,4,8,1)</f>
        <v>4</v>
      </c>
      <c r="K1916" t="str" cm="1">
        <f t="array" ref="K1916">IFERROR(_xlfn.SWITCH(L1916,2,_xlfn.XLOOKUP(C1916,[1]ModifierDes!$B:$B,[1]ModifierDes!$C:$C),3,_xlfn.XLOOKUP(C1916,[1]StuntDes!$B:$B,[1]StuntDes!$C:$C)),"")</f>
        <v/>
      </c>
      <c r="L1916">
        <f t="shared" si="78"/>
        <v>1</v>
      </c>
      <c r="M1916" s="10" t="str">
        <f>IFERROR(_xlfn.XLOOKUP(C1916,[1]StuntDes!$B:$B,[1]StuntDes!$A:$A),"")</f>
        <v/>
      </c>
      <c r="N1916" s="10" t="str">
        <f>IFERROR(_xlfn.XLOOKUP(C1916,[1]ModifierDes!$B:$B,[1]ModifierDes!$A:$A),"")</f>
        <v/>
      </c>
      <c r="O1916" s="10">
        <f>IFERROR(_xlfn.XLOOKUP(C1916,[1]AttributeName!$C:$C,[1]AttributeName!$B:$B),"")</f>
        <v>10304</v>
      </c>
      <c r="P1916" s="10"/>
      <c r="Q1916">
        <v>0.11</v>
      </c>
      <c r="R1916">
        <v>0.14</v>
      </c>
      <c r="S1916" cm="1">
        <f t="array" ref="S1916">IFERROR(_xlfn.SWITCH(L1916,1,_xlfn.XLOOKUP(O1916,[1]AttributeName!$B:$B,[1]AttributeName!$D:$D),2,_xlfn.XLOOKUP(C1916,#REF!,#REF!),3,_xlfn.XLOOKUP(C1916,#REF!,#REF!)),0)</f>
        <v>2</v>
      </c>
      <c r="T1916" cm="1">
        <f t="array" ref="T1916">IFERROR(_xlfn.SWITCH(L1916,1,_xlfn.XLOOKUP(O1916,[1]AttributeName!$B:$B,[1]AttributeName!$E:$E),2,_xlfn.XLOOKUP(C1916,#REF!,#REF!),3,_xlfn.XLOOKUP(C1916,#REF!,#REF!)),0)</f>
        <v>2</v>
      </c>
    </row>
    <row r="1917" customFormat="1" spans="1:20">
      <c r="A1917">
        <f t="shared" si="79"/>
        <v>807</v>
      </c>
      <c r="B1917">
        <v>8</v>
      </c>
      <c r="C1917" t="s">
        <v>385</v>
      </c>
      <c r="D1917" t="s">
        <v>31</v>
      </c>
      <c r="E1917" t="s">
        <v>378</v>
      </c>
      <c r="F1917"/>
      <c r="G1917">
        <v>1</v>
      </c>
      <c r="H1917">
        <v>1000</v>
      </c>
      <c r="I1917">
        <v>3</v>
      </c>
      <c r="J1917" cm="1">
        <f t="array" ref="J1917">_xlfn.SWITCH(B1917,1,75,2,61,3,49,4,37,5,25,6,13,7,4,8,1)</f>
        <v>1</v>
      </c>
      <c r="K1917" t="str" cm="1">
        <f t="array" ref="K1917">IFERROR(_xlfn.SWITCH(L1917,2,_xlfn.XLOOKUP(C1917,[1]ModifierDes!$B:$B,[1]ModifierDes!$C:$C),3,_xlfn.XLOOKUP(C1917,[1]StuntDes!$B:$B,[1]StuntDes!$C:$C)),"")</f>
        <v/>
      </c>
      <c r="L1917">
        <f t="shared" si="78"/>
        <v>1</v>
      </c>
      <c r="M1917" s="10" t="str">
        <f>IFERROR(_xlfn.XLOOKUP(C1917,[1]StuntDes!$B:$B,[1]StuntDes!$A:$A),"")</f>
        <v/>
      </c>
      <c r="N1917" s="10" t="str">
        <f>IFERROR(_xlfn.XLOOKUP(C1917,[1]ModifierDes!$B:$B,[1]ModifierDes!$A:$A),"")</f>
        <v/>
      </c>
      <c r="O1917" s="10">
        <f>IFERROR(_xlfn.XLOOKUP(C1917,[1]AttributeName!$C:$C,[1]AttributeName!$B:$B),"")</f>
        <v>10304</v>
      </c>
      <c r="P1917" s="10"/>
      <c r="Q1917">
        <v>0.06</v>
      </c>
      <c r="R1917">
        <v>0.1</v>
      </c>
      <c r="S1917" cm="1">
        <f t="array" ref="S1917">IFERROR(_xlfn.SWITCH(L1917,1,_xlfn.XLOOKUP(O1917,[1]AttributeName!$B:$B,[1]AttributeName!$D:$D),2,_xlfn.XLOOKUP(C1917,#REF!,#REF!),3,_xlfn.XLOOKUP(C1917,#REF!,#REF!)),0)</f>
        <v>2</v>
      </c>
      <c r="T1917" cm="1">
        <f t="array" ref="T1917">IFERROR(_xlfn.SWITCH(L1917,1,_xlfn.XLOOKUP(O1917,[1]AttributeName!$B:$B,[1]AttributeName!$E:$E),2,_xlfn.XLOOKUP(C1917,#REF!,#REF!),3,_xlfn.XLOOKUP(C1917,#REF!,#REF!)),0)</f>
        <v>2</v>
      </c>
    </row>
    <row r="1918" customFormat="1" spans="1:20">
      <c r="A1918">
        <f t="shared" si="79"/>
        <v>808</v>
      </c>
      <c r="B1918">
        <v>1</v>
      </c>
      <c r="C1918" t="s">
        <v>386</v>
      </c>
      <c r="D1918" t="s">
        <v>31</v>
      </c>
      <c r="E1918" t="s">
        <v>378</v>
      </c>
      <c r="F1918"/>
      <c r="G1918">
        <v>1</v>
      </c>
      <c r="H1918">
        <v>100</v>
      </c>
      <c r="I1918">
        <v>3</v>
      </c>
      <c r="J1918" cm="1">
        <f t="array" ref="J1918">_xlfn.SWITCH(B1918,1,75,2,61,3,49,4,37,5,25,6,13,7,4,8,1)</f>
        <v>75</v>
      </c>
      <c r="K1918" t="str" cm="1">
        <f t="array" ref="K1918">IFERROR(_xlfn.SWITCH(L1918,2,_xlfn.XLOOKUP(C1918,[1]ModifierDes!$B:$B,[1]ModifierDes!$C:$C),3,_xlfn.XLOOKUP(C1918,[1]StuntDes!$B:$B,[1]StuntDes!$C:$C)),"")</f>
        <v/>
      </c>
      <c r="L1918">
        <f t="shared" si="78"/>
        <v>1</v>
      </c>
      <c r="M1918" s="10" t="str">
        <f>IFERROR(_xlfn.XLOOKUP(C1918,[1]StuntDes!$B:$B,[1]StuntDes!$A:$A),"")</f>
        <v/>
      </c>
      <c r="N1918" s="10" t="str">
        <f>IFERROR(_xlfn.XLOOKUP(C1918,[1]ModifierDes!$B:$B,[1]ModifierDes!$A:$A),"")</f>
        <v/>
      </c>
      <c r="O1918" s="10">
        <f>IFERROR(_xlfn.XLOOKUP(C1918,[1]AttributeName!$C:$C,[1]AttributeName!$B:$B),"")</f>
        <v>10305</v>
      </c>
      <c r="P1918" s="10"/>
      <c r="Q1918">
        <v>0.38</v>
      </c>
      <c r="R1918">
        <v>0.5</v>
      </c>
      <c r="S1918" cm="1">
        <f t="array" ref="S1918">IFERROR(_xlfn.SWITCH(L1918,1,_xlfn.XLOOKUP(O1918,[1]AttributeName!$B:$B,[1]AttributeName!$D:$D),2,_xlfn.XLOOKUP(C1918,#REF!,#REF!),3,_xlfn.XLOOKUP(C1918,#REF!,#REF!)),0)</f>
        <v>2</v>
      </c>
      <c r="T1918" cm="1">
        <f t="array" ref="T1918">IFERROR(_xlfn.SWITCH(L1918,1,_xlfn.XLOOKUP(O1918,[1]AttributeName!$B:$B,[1]AttributeName!$E:$E),2,_xlfn.XLOOKUP(C1918,#REF!,#REF!),3,_xlfn.XLOOKUP(C1918,#REF!,#REF!)),0)</f>
        <v>2</v>
      </c>
    </row>
    <row r="1919" customFormat="1" spans="1:20">
      <c r="A1919">
        <f t="shared" si="79"/>
        <v>808</v>
      </c>
      <c r="B1919">
        <v>2</v>
      </c>
      <c r="C1919" t="s">
        <v>386</v>
      </c>
      <c r="D1919" t="s">
        <v>31</v>
      </c>
      <c r="E1919" t="s">
        <v>378</v>
      </c>
      <c r="F1919"/>
      <c r="G1919">
        <v>1</v>
      </c>
      <c r="H1919">
        <v>200</v>
      </c>
      <c r="I1919">
        <v>3</v>
      </c>
      <c r="J1919" cm="1">
        <f t="array" ref="J1919">_xlfn.SWITCH(B1919,1,75,2,61,3,49,4,37,5,25,6,13,7,4,8,1)</f>
        <v>61</v>
      </c>
      <c r="K1919" t="str" cm="1">
        <f t="array" ref="K1919">IFERROR(_xlfn.SWITCH(L1919,2,_xlfn.XLOOKUP(C1919,[1]ModifierDes!$B:$B,[1]ModifierDes!$C:$C),3,_xlfn.XLOOKUP(C1919,[1]StuntDes!$B:$B,[1]StuntDes!$C:$C)),"")</f>
        <v/>
      </c>
      <c r="L1919">
        <f t="shared" si="78"/>
        <v>1</v>
      </c>
      <c r="M1919" s="10" t="str">
        <f>IFERROR(_xlfn.XLOOKUP(C1919,[1]StuntDes!$B:$B,[1]StuntDes!$A:$A),"")</f>
        <v/>
      </c>
      <c r="N1919" s="10" t="str">
        <f>IFERROR(_xlfn.XLOOKUP(C1919,[1]ModifierDes!$B:$B,[1]ModifierDes!$A:$A),"")</f>
        <v/>
      </c>
      <c r="O1919" s="10">
        <f>IFERROR(_xlfn.XLOOKUP(C1919,[1]AttributeName!$C:$C,[1]AttributeName!$B:$B),"")</f>
        <v>10305</v>
      </c>
      <c r="P1919" s="10"/>
      <c r="Q1919">
        <v>0.33</v>
      </c>
      <c r="R1919">
        <v>0.37</v>
      </c>
      <c r="S1919" cm="1">
        <f t="array" ref="S1919">IFERROR(_xlfn.SWITCH(L1919,1,_xlfn.XLOOKUP(O1919,[1]AttributeName!$B:$B,[1]AttributeName!$D:$D),2,_xlfn.XLOOKUP(C1919,#REF!,#REF!),3,_xlfn.XLOOKUP(C1919,#REF!,#REF!)),0)</f>
        <v>2</v>
      </c>
      <c r="T1919" cm="1">
        <f t="array" ref="T1919">IFERROR(_xlfn.SWITCH(L1919,1,_xlfn.XLOOKUP(O1919,[1]AttributeName!$B:$B,[1]AttributeName!$E:$E),2,_xlfn.XLOOKUP(C1919,#REF!,#REF!),3,_xlfn.XLOOKUP(C1919,#REF!,#REF!)),0)</f>
        <v>2</v>
      </c>
    </row>
    <row r="1920" customFormat="1" spans="1:20">
      <c r="A1920">
        <f t="shared" si="79"/>
        <v>808</v>
      </c>
      <c r="B1920">
        <v>3</v>
      </c>
      <c r="C1920" t="s">
        <v>386</v>
      </c>
      <c r="D1920" t="s">
        <v>31</v>
      </c>
      <c r="E1920" t="s">
        <v>378</v>
      </c>
      <c r="F1920"/>
      <c r="G1920">
        <v>1</v>
      </c>
      <c r="H1920">
        <v>500</v>
      </c>
      <c r="I1920">
        <v>3</v>
      </c>
      <c r="J1920" cm="1">
        <f t="array" ref="J1920">_xlfn.SWITCH(B1920,1,75,2,61,3,49,4,37,5,25,6,13,7,4,8,1)</f>
        <v>49</v>
      </c>
      <c r="K1920" t="str" cm="1">
        <f t="array" ref="K1920">IFERROR(_xlfn.SWITCH(L1920,2,_xlfn.XLOOKUP(C1920,[1]ModifierDes!$B:$B,[1]ModifierDes!$C:$C),3,_xlfn.XLOOKUP(C1920,[1]StuntDes!$B:$B,[1]StuntDes!$C:$C)),"")</f>
        <v/>
      </c>
      <c r="L1920">
        <f t="shared" si="78"/>
        <v>1</v>
      </c>
      <c r="M1920" s="10" t="str">
        <f>IFERROR(_xlfn.XLOOKUP(C1920,[1]StuntDes!$B:$B,[1]StuntDes!$A:$A),"")</f>
        <v/>
      </c>
      <c r="N1920" s="10" t="str">
        <f>IFERROR(_xlfn.XLOOKUP(C1920,[1]ModifierDes!$B:$B,[1]ModifierDes!$A:$A),"")</f>
        <v/>
      </c>
      <c r="O1920" s="10">
        <f>IFERROR(_xlfn.XLOOKUP(C1920,[1]AttributeName!$C:$C,[1]AttributeName!$B:$B),"")</f>
        <v>10305</v>
      </c>
      <c r="P1920" s="10"/>
      <c r="Q1920">
        <v>0.29</v>
      </c>
      <c r="R1920">
        <v>0.32</v>
      </c>
      <c r="S1920" cm="1">
        <f t="array" ref="S1920">IFERROR(_xlfn.SWITCH(L1920,1,_xlfn.XLOOKUP(O1920,[1]AttributeName!$B:$B,[1]AttributeName!$D:$D),2,_xlfn.XLOOKUP(C1920,#REF!,#REF!),3,_xlfn.XLOOKUP(C1920,#REF!,#REF!)),0)</f>
        <v>2</v>
      </c>
      <c r="T1920" cm="1">
        <f t="array" ref="T1920">IFERROR(_xlfn.SWITCH(L1920,1,_xlfn.XLOOKUP(O1920,[1]AttributeName!$B:$B,[1]AttributeName!$E:$E),2,_xlfn.XLOOKUP(C1920,#REF!,#REF!),3,_xlfn.XLOOKUP(C1920,#REF!,#REF!)),0)</f>
        <v>2</v>
      </c>
    </row>
    <row r="1921" customFormat="1" spans="1:20">
      <c r="A1921">
        <f t="shared" si="79"/>
        <v>808</v>
      </c>
      <c r="B1921">
        <v>4</v>
      </c>
      <c r="C1921" t="s">
        <v>386</v>
      </c>
      <c r="D1921" t="s">
        <v>31</v>
      </c>
      <c r="E1921" t="s">
        <v>378</v>
      </c>
      <c r="F1921"/>
      <c r="G1921">
        <v>1</v>
      </c>
      <c r="H1921">
        <v>1000</v>
      </c>
      <c r="I1921">
        <v>3</v>
      </c>
      <c r="J1921" cm="1">
        <f t="array" ref="J1921">_xlfn.SWITCH(B1921,1,75,2,61,3,49,4,37,5,25,6,13,7,4,8,1)</f>
        <v>37</v>
      </c>
      <c r="K1921" t="str" cm="1">
        <f t="array" ref="K1921">IFERROR(_xlfn.SWITCH(L1921,2,_xlfn.XLOOKUP(C1921,[1]ModifierDes!$B:$B,[1]ModifierDes!$C:$C),3,_xlfn.XLOOKUP(C1921,[1]StuntDes!$B:$B,[1]StuntDes!$C:$C)),"")</f>
        <v/>
      </c>
      <c r="L1921">
        <f t="shared" si="78"/>
        <v>1</v>
      </c>
      <c r="M1921" s="10" t="str">
        <f>IFERROR(_xlfn.XLOOKUP(C1921,[1]StuntDes!$B:$B,[1]StuntDes!$A:$A),"")</f>
        <v/>
      </c>
      <c r="N1921" s="10" t="str">
        <f>IFERROR(_xlfn.XLOOKUP(C1921,[1]ModifierDes!$B:$B,[1]ModifierDes!$A:$A),"")</f>
        <v/>
      </c>
      <c r="O1921" s="10">
        <f>IFERROR(_xlfn.XLOOKUP(C1921,[1]AttributeName!$C:$C,[1]AttributeName!$B:$B),"")</f>
        <v>10305</v>
      </c>
      <c r="P1921" s="10"/>
      <c r="Q1921">
        <v>0.24</v>
      </c>
      <c r="R1921">
        <v>0.28</v>
      </c>
      <c r="S1921" cm="1">
        <f t="array" ref="S1921">IFERROR(_xlfn.SWITCH(L1921,1,_xlfn.XLOOKUP(O1921,[1]AttributeName!$B:$B,[1]AttributeName!$D:$D),2,_xlfn.XLOOKUP(C1921,#REF!,#REF!),3,_xlfn.XLOOKUP(C1921,#REF!,#REF!)),0)</f>
        <v>2</v>
      </c>
      <c r="T1921" cm="1">
        <f t="array" ref="T1921">IFERROR(_xlfn.SWITCH(L1921,1,_xlfn.XLOOKUP(O1921,[1]AttributeName!$B:$B,[1]AttributeName!$E:$E),2,_xlfn.XLOOKUP(C1921,#REF!,#REF!),3,_xlfn.XLOOKUP(C1921,#REF!,#REF!)),0)</f>
        <v>2</v>
      </c>
    </row>
    <row r="1922" customFormat="1" spans="1:20">
      <c r="A1922">
        <f t="shared" si="79"/>
        <v>808</v>
      </c>
      <c r="B1922">
        <v>5</v>
      </c>
      <c r="C1922" t="s">
        <v>386</v>
      </c>
      <c r="D1922" t="s">
        <v>31</v>
      </c>
      <c r="E1922" t="s">
        <v>378</v>
      </c>
      <c r="F1922"/>
      <c r="G1922">
        <v>1</v>
      </c>
      <c r="H1922">
        <v>1000</v>
      </c>
      <c r="I1922">
        <v>3</v>
      </c>
      <c r="J1922" cm="1">
        <f t="array" ref="J1922">_xlfn.SWITCH(B1922,1,75,2,61,3,49,4,37,5,25,6,13,7,4,8,1)</f>
        <v>25</v>
      </c>
      <c r="K1922" t="str" cm="1">
        <f t="array" ref="K1922">IFERROR(_xlfn.SWITCH(L1922,2,_xlfn.XLOOKUP(C1922,[1]ModifierDes!$B:$B,[1]ModifierDes!$C:$C),3,_xlfn.XLOOKUP(C1922,[1]StuntDes!$B:$B,[1]StuntDes!$C:$C)),"")</f>
        <v/>
      </c>
      <c r="L1922">
        <f t="shared" si="78"/>
        <v>1</v>
      </c>
      <c r="M1922" s="10" t="str">
        <f>IFERROR(_xlfn.XLOOKUP(C1922,[1]StuntDes!$B:$B,[1]StuntDes!$A:$A),"")</f>
        <v/>
      </c>
      <c r="N1922" s="10" t="str">
        <f>IFERROR(_xlfn.XLOOKUP(C1922,[1]ModifierDes!$B:$B,[1]ModifierDes!$A:$A),"")</f>
        <v/>
      </c>
      <c r="O1922" s="10">
        <f>IFERROR(_xlfn.XLOOKUP(C1922,[1]AttributeName!$C:$C,[1]AttributeName!$B:$B),"")</f>
        <v>10305</v>
      </c>
      <c r="P1922" s="10"/>
      <c r="Q1922">
        <v>0.2</v>
      </c>
      <c r="R1922">
        <v>0.23</v>
      </c>
      <c r="S1922" cm="1">
        <f t="array" ref="S1922">IFERROR(_xlfn.SWITCH(L1922,1,_xlfn.XLOOKUP(O1922,[1]AttributeName!$B:$B,[1]AttributeName!$D:$D),2,_xlfn.XLOOKUP(C1922,#REF!,#REF!),3,_xlfn.XLOOKUP(C1922,#REF!,#REF!)),0)</f>
        <v>2</v>
      </c>
      <c r="T1922" cm="1">
        <f t="array" ref="T1922">IFERROR(_xlfn.SWITCH(L1922,1,_xlfn.XLOOKUP(O1922,[1]AttributeName!$B:$B,[1]AttributeName!$E:$E),2,_xlfn.XLOOKUP(C1922,#REF!,#REF!),3,_xlfn.XLOOKUP(C1922,#REF!,#REF!)),0)</f>
        <v>2</v>
      </c>
    </row>
    <row r="1923" customFormat="1" spans="1:20">
      <c r="A1923">
        <f t="shared" si="79"/>
        <v>808</v>
      </c>
      <c r="B1923">
        <v>6</v>
      </c>
      <c r="C1923" t="s">
        <v>386</v>
      </c>
      <c r="D1923" t="s">
        <v>31</v>
      </c>
      <c r="E1923" t="s">
        <v>378</v>
      </c>
      <c r="F1923"/>
      <c r="G1923">
        <v>1</v>
      </c>
      <c r="H1923">
        <v>1000</v>
      </c>
      <c r="I1923">
        <v>3</v>
      </c>
      <c r="J1923" cm="1">
        <f t="array" ref="J1923">_xlfn.SWITCH(B1923,1,75,2,61,3,49,4,37,5,25,6,13,7,4,8,1)</f>
        <v>13</v>
      </c>
      <c r="K1923" t="str" cm="1">
        <f t="array" ref="K1923">IFERROR(_xlfn.SWITCH(L1923,2,_xlfn.XLOOKUP(C1923,[1]ModifierDes!$B:$B,[1]ModifierDes!$C:$C),3,_xlfn.XLOOKUP(C1923,[1]StuntDes!$B:$B,[1]StuntDes!$C:$C)),"")</f>
        <v/>
      </c>
      <c r="L1923">
        <f t="shared" si="78"/>
        <v>1</v>
      </c>
      <c r="M1923" s="10" t="str">
        <f>IFERROR(_xlfn.XLOOKUP(C1923,[1]StuntDes!$B:$B,[1]StuntDes!$A:$A),"")</f>
        <v/>
      </c>
      <c r="N1923" s="10" t="str">
        <f>IFERROR(_xlfn.XLOOKUP(C1923,[1]ModifierDes!$B:$B,[1]ModifierDes!$A:$A),"")</f>
        <v/>
      </c>
      <c r="O1923" s="10">
        <f>IFERROR(_xlfn.XLOOKUP(C1923,[1]AttributeName!$C:$C,[1]AttributeName!$B:$B),"")</f>
        <v>10305</v>
      </c>
      <c r="P1923" s="10"/>
      <c r="Q1923">
        <v>0.15</v>
      </c>
      <c r="R1923">
        <v>0.19</v>
      </c>
      <c r="S1923" cm="1">
        <f t="array" ref="S1923">IFERROR(_xlfn.SWITCH(L1923,1,_xlfn.XLOOKUP(O1923,[1]AttributeName!$B:$B,[1]AttributeName!$D:$D),2,_xlfn.XLOOKUP(C1923,#REF!,#REF!),3,_xlfn.XLOOKUP(C1923,#REF!,#REF!)),0)</f>
        <v>2</v>
      </c>
      <c r="T1923" cm="1">
        <f t="array" ref="T1923">IFERROR(_xlfn.SWITCH(L1923,1,_xlfn.XLOOKUP(O1923,[1]AttributeName!$B:$B,[1]AttributeName!$E:$E),2,_xlfn.XLOOKUP(C1923,#REF!,#REF!),3,_xlfn.XLOOKUP(C1923,#REF!,#REF!)),0)</f>
        <v>2</v>
      </c>
    </row>
    <row r="1924" customFormat="1" spans="1:20">
      <c r="A1924">
        <f t="shared" si="79"/>
        <v>808</v>
      </c>
      <c r="B1924">
        <v>7</v>
      </c>
      <c r="C1924" t="s">
        <v>386</v>
      </c>
      <c r="D1924" t="s">
        <v>31</v>
      </c>
      <c r="E1924" t="s">
        <v>378</v>
      </c>
      <c r="F1924"/>
      <c r="G1924">
        <v>1</v>
      </c>
      <c r="H1924">
        <v>1000</v>
      </c>
      <c r="I1924">
        <v>3</v>
      </c>
      <c r="J1924" cm="1">
        <f t="array" ref="J1924">_xlfn.SWITCH(B1924,1,75,2,61,3,49,4,37,5,25,6,13,7,4,8,1)</f>
        <v>4</v>
      </c>
      <c r="K1924" t="str" cm="1">
        <f t="array" ref="K1924">IFERROR(_xlfn.SWITCH(L1924,2,_xlfn.XLOOKUP(C1924,[1]ModifierDes!$B:$B,[1]ModifierDes!$C:$C),3,_xlfn.XLOOKUP(C1924,[1]StuntDes!$B:$B,[1]StuntDes!$C:$C)),"")</f>
        <v/>
      </c>
      <c r="L1924">
        <f t="shared" ref="L1924:L1987" si="80">IF(M1924="",IF(N1924="",1,2),3)</f>
        <v>1</v>
      </c>
      <c r="M1924" s="10" t="str">
        <f>IFERROR(_xlfn.XLOOKUP(C1924,[1]StuntDes!$B:$B,[1]StuntDes!$A:$A),"")</f>
        <v/>
      </c>
      <c r="N1924" s="10" t="str">
        <f>IFERROR(_xlfn.XLOOKUP(C1924,[1]ModifierDes!$B:$B,[1]ModifierDes!$A:$A),"")</f>
        <v/>
      </c>
      <c r="O1924" s="10">
        <f>IFERROR(_xlfn.XLOOKUP(C1924,[1]AttributeName!$C:$C,[1]AttributeName!$B:$B),"")</f>
        <v>10305</v>
      </c>
      <c r="P1924" s="10"/>
      <c r="Q1924">
        <v>0.11</v>
      </c>
      <c r="R1924">
        <v>0.14</v>
      </c>
      <c r="S1924" cm="1">
        <f t="array" ref="S1924">IFERROR(_xlfn.SWITCH(L1924,1,_xlfn.XLOOKUP(O1924,[1]AttributeName!$B:$B,[1]AttributeName!$D:$D),2,_xlfn.XLOOKUP(C1924,#REF!,#REF!),3,_xlfn.XLOOKUP(C1924,#REF!,#REF!)),0)</f>
        <v>2</v>
      </c>
      <c r="T1924" cm="1">
        <f t="array" ref="T1924">IFERROR(_xlfn.SWITCH(L1924,1,_xlfn.XLOOKUP(O1924,[1]AttributeName!$B:$B,[1]AttributeName!$E:$E),2,_xlfn.XLOOKUP(C1924,#REF!,#REF!),3,_xlfn.XLOOKUP(C1924,#REF!,#REF!)),0)</f>
        <v>2</v>
      </c>
    </row>
    <row r="1925" customFormat="1" spans="1:20">
      <c r="A1925">
        <f t="shared" si="79"/>
        <v>808</v>
      </c>
      <c r="B1925">
        <v>8</v>
      </c>
      <c r="C1925" t="s">
        <v>386</v>
      </c>
      <c r="D1925" t="s">
        <v>31</v>
      </c>
      <c r="E1925" t="s">
        <v>378</v>
      </c>
      <c r="F1925"/>
      <c r="G1925">
        <v>1</v>
      </c>
      <c r="H1925">
        <v>1000</v>
      </c>
      <c r="I1925">
        <v>3</v>
      </c>
      <c r="J1925" cm="1">
        <f t="array" ref="J1925">_xlfn.SWITCH(B1925,1,75,2,61,3,49,4,37,5,25,6,13,7,4,8,1)</f>
        <v>1</v>
      </c>
      <c r="K1925" t="str" cm="1">
        <f t="array" ref="K1925">IFERROR(_xlfn.SWITCH(L1925,2,_xlfn.XLOOKUP(C1925,[1]ModifierDes!$B:$B,[1]ModifierDes!$C:$C),3,_xlfn.XLOOKUP(C1925,[1]StuntDes!$B:$B,[1]StuntDes!$C:$C)),"")</f>
        <v/>
      </c>
      <c r="L1925">
        <f t="shared" si="80"/>
        <v>1</v>
      </c>
      <c r="M1925" s="10" t="str">
        <f>IFERROR(_xlfn.XLOOKUP(C1925,[1]StuntDes!$B:$B,[1]StuntDes!$A:$A),"")</f>
        <v/>
      </c>
      <c r="N1925" s="10" t="str">
        <f>IFERROR(_xlfn.XLOOKUP(C1925,[1]ModifierDes!$B:$B,[1]ModifierDes!$A:$A),"")</f>
        <v/>
      </c>
      <c r="O1925" s="10">
        <f>IFERROR(_xlfn.XLOOKUP(C1925,[1]AttributeName!$C:$C,[1]AttributeName!$B:$B),"")</f>
        <v>10305</v>
      </c>
      <c r="P1925" s="10"/>
      <c r="Q1925">
        <v>0.06</v>
      </c>
      <c r="R1925">
        <v>0.1</v>
      </c>
      <c r="S1925" cm="1">
        <f t="array" ref="S1925">IFERROR(_xlfn.SWITCH(L1925,1,_xlfn.XLOOKUP(O1925,[1]AttributeName!$B:$B,[1]AttributeName!$D:$D),2,_xlfn.XLOOKUP(C1925,#REF!,#REF!),3,_xlfn.XLOOKUP(C1925,#REF!,#REF!)),0)</f>
        <v>2</v>
      </c>
      <c r="T1925" cm="1">
        <f t="array" ref="T1925">IFERROR(_xlfn.SWITCH(L1925,1,_xlfn.XLOOKUP(O1925,[1]AttributeName!$B:$B,[1]AttributeName!$E:$E),2,_xlfn.XLOOKUP(C1925,#REF!,#REF!),3,_xlfn.XLOOKUP(C1925,#REF!,#REF!)),0)</f>
        <v>2</v>
      </c>
    </row>
    <row r="1926" customFormat="1" spans="1:20">
      <c r="A1926">
        <f t="shared" si="79"/>
        <v>809</v>
      </c>
      <c r="B1926">
        <v>1</v>
      </c>
      <c r="C1926" t="s">
        <v>387</v>
      </c>
      <c r="D1926" t="s">
        <v>31</v>
      </c>
      <c r="E1926" t="s">
        <v>378</v>
      </c>
      <c r="F1926"/>
      <c r="G1926">
        <v>1</v>
      </c>
      <c r="H1926">
        <v>100</v>
      </c>
      <c r="I1926">
        <v>3</v>
      </c>
      <c r="J1926" cm="1">
        <f t="array" ref="J1926">_xlfn.SWITCH(B1926,1,75,2,61,3,49,4,37,5,25,6,13,7,4,8,1)</f>
        <v>75</v>
      </c>
      <c r="K1926" t="str" cm="1">
        <f t="array" ref="K1926">IFERROR(_xlfn.SWITCH(L1926,2,_xlfn.XLOOKUP(C1926,[1]ModifierDes!$B:$B,[1]ModifierDes!$C:$C),3,_xlfn.XLOOKUP(C1926,[1]StuntDes!$B:$B,[1]StuntDes!$C:$C)),"")</f>
        <v/>
      </c>
      <c r="L1926">
        <f t="shared" si="80"/>
        <v>1</v>
      </c>
      <c r="M1926" s="10" t="str">
        <f>IFERROR(_xlfn.XLOOKUP(C1926,[1]StuntDes!$B:$B,[1]StuntDes!$A:$A),"")</f>
        <v/>
      </c>
      <c r="N1926" s="10" t="str">
        <f>IFERROR(_xlfn.XLOOKUP(C1926,[1]ModifierDes!$B:$B,[1]ModifierDes!$A:$A),"")</f>
        <v/>
      </c>
      <c r="O1926" s="10">
        <f>IFERROR(_xlfn.XLOOKUP(C1926,[1]AttributeName!$C:$C,[1]AttributeName!$B:$B),"")</f>
        <v>10306</v>
      </c>
      <c r="P1926" s="10"/>
      <c r="Q1926">
        <v>0.38</v>
      </c>
      <c r="R1926">
        <v>0.5</v>
      </c>
      <c r="S1926" cm="1">
        <f t="array" ref="S1926">IFERROR(_xlfn.SWITCH(L1926,1,_xlfn.XLOOKUP(O1926,[1]AttributeName!$B:$B,[1]AttributeName!$D:$D),2,_xlfn.XLOOKUP(C1926,#REF!,#REF!),3,_xlfn.XLOOKUP(C1926,#REF!,#REF!)),0)</f>
        <v>2</v>
      </c>
      <c r="T1926" cm="1">
        <f t="array" ref="T1926">IFERROR(_xlfn.SWITCH(L1926,1,_xlfn.XLOOKUP(O1926,[1]AttributeName!$B:$B,[1]AttributeName!$E:$E),2,_xlfn.XLOOKUP(C1926,#REF!,#REF!),3,_xlfn.XLOOKUP(C1926,#REF!,#REF!)),0)</f>
        <v>2</v>
      </c>
    </row>
    <row r="1927" customFormat="1" spans="1:20">
      <c r="A1927">
        <f t="shared" si="79"/>
        <v>809</v>
      </c>
      <c r="B1927">
        <v>2</v>
      </c>
      <c r="C1927" t="s">
        <v>387</v>
      </c>
      <c r="D1927" t="s">
        <v>31</v>
      </c>
      <c r="E1927" t="s">
        <v>378</v>
      </c>
      <c r="F1927"/>
      <c r="G1927">
        <v>1</v>
      </c>
      <c r="H1927">
        <v>200</v>
      </c>
      <c r="I1927">
        <v>3</v>
      </c>
      <c r="J1927" cm="1">
        <f t="array" ref="J1927">_xlfn.SWITCH(B1927,1,75,2,61,3,49,4,37,5,25,6,13,7,4,8,1)</f>
        <v>61</v>
      </c>
      <c r="K1927" t="str" cm="1">
        <f t="array" ref="K1927">IFERROR(_xlfn.SWITCH(L1927,2,_xlfn.XLOOKUP(C1927,[1]ModifierDes!$B:$B,[1]ModifierDes!$C:$C),3,_xlfn.XLOOKUP(C1927,[1]StuntDes!$B:$B,[1]StuntDes!$C:$C)),"")</f>
        <v/>
      </c>
      <c r="L1927">
        <f t="shared" si="80"/>
        <v>1</v>
      </c>
      <c r="M1927" s="10" t="str">
        <f>IFERROR(_xlfn.XLOOKUP(C1927,[1]StuntDes!$B:$B,[1]StuntDes!$A:$A),"")</f>
        <v/>
      </c>
      <c r="N1927" s="10" t="str">
        <f>IFERROR(_xlfn.XLOOKUP(C1927,[1]ModifierDes!$B:$B,[1]ModifierDes!$A:$A),"")</f>
        <v/>
      </c>
      <c r="O1927" s="10">
        <f>IFERROR(_xlfn.XLOOKUP(C1927,[1]AttributeName!$C:$C,[1]AttributeName!$B:$B),"")</f>
        <v>10306</v>
      </c>
      <c r="P1927" s="10"/>
      <c r="Q1927">
        <v>0.33</v>
      </c>
      <c r="R1927">
        <v>0.37</v>
      </c>
      <c r="S1927" cm="1">
        <f t="array" ref="S1927">IFERROR(_xlfn.SWITCH(L1927,1,_xlfn.XLOOKUP(O1927,[1]AttributeName!$B:$B,[1]AttributeName!$D:$D),2,_xlfn.XLOOKUP(C1927,#REF!,#REF!),3,_xlfn.XLOOKUP(C1927,#REF!,#REF!)),0)</f>
        <v>2</v>
      </c>
      <c r="T1927" cm="1">
        <f t="array" ref="T1927">IFERROR(_xlfn.SWITCH(L1927,1,_xlfn.XLOOKUP(O1927,[1]AttributeName!$B:$B,[1]AttributeName!$E:$E),2,_xlfn.XLOOKUP(C1927,#REF!,#REF!),3,_xlfn.XLOOKUP(C1927,#REF!,#REF!)),0)</f>
        <v>2</v>
      </c>
    </row>
    <row r="1928" customFormat="1" spans="1:20">
      <c r="A1928">
        <f t="shared" si="79"/>
        <v>809</v>
      </c>
      <c r="B1928">
        <v>3</v>
      </c>
      <c r="C1928" t="s">
        <v>387</v>
      </c>
      <c r="D1928" t="s">
        <v>31</v>
      </c>
      <c r="E1928" t="s">
        <v>378</v>
      </c>
      <c r="F1928"/>
      <c r="G1928">
        <v>1</v>
      </c>
      <c r="H1928">
        <v>500</v>
      </c>
      <c r="I1928">
        <v>3</v>
      </c>
      <c r="J1928" cm="1">
        <f t="array" ref="J1928">_xlfn.SWITCH(B1928,1,75,2,61,3,49,4,37,5,25,6,13,7,4,8,1)</f>
        <v>49</v>
      </c>
      <c r="K1928" t="str" cm="1">
        <f t="array" ref="K1928">IFERROR(_xlfn.SWITCH(L1928,2,_xlfn.XLOOKUP(C1928,[1]ModifierDes!$B:$B,[1]ModifierDes!$C:$C),3,_xlfn.XLOOKUP(C1928,[1]StuntDes!$B:$B,[1]StuntDes!$C:$C)),"")</f>
        <v/>
      </c>
      <c r="L1928">
        <f t="shared" si="80"/>
        <v>1</v>
      </c>
      <c r="M1928" s="10" t="str">
        <f>IFERROR(_xlfn.XLOOKUP(C1928,[1]StuntDes!$B:$B,[1]StuntDes!$A:$A),"")</f>
        <v/>
      </c>
      <c r="N1928" s="10" t="str">
        <f>IFERROR(_xlfn.XLOOKUP(C1928,[1]ModifierDes!$B:$B,[1]ModifierDes!$A:$A),"")</f>
        <v/>
      </c>
      <c r="O1928" s="10">
        <f>IFERROR(_xlfn.XLOOKUP(C1928,[1]AttributeName!$C:$C,[1]AttributeName!$B:$B),"")</f>
        <v>10306</v>
      </c>
      <c r="P1928" s="10"/>
      <c r="Q1928">
        <v>0.29</v>
      </c>
      <c r="R1928">
        <v>0.32</v>
      </c>
      <c r="S1928" cm="1">
        <f t="array" ref="S1928">IFERROR(_xlfn.SWITCH(L1928,1,_xlfn.XLOOKUP(O1928,[1]AttributeName!$B:$B,[1]AttributeName!$D:$D),2,_xlfn.XLOOKUP(C1928,#REF!,#REF!),3,_xlfn.XLOOKUP(C1928,#REF!,#REF!)),0)</f>
        <v>2</v>
      </c>
      <c r="T1928" cm="1">
        <f t="array" ref="T1928">IFERROR(_xlfn.SWITCH(L1928,1,_xlfn.XLOOKUP(O1928,[1]AttributeName!$B:$B,[1]AttributeName!$E:$E),2,_xlfn.XLOOKUP(C1928,#REF!,#REF!),3,_xlfn.XLOOKUP(C1928,#REF!,#REF!)),0)</f>
        <v>2</v>
      </c>
    </row>
    <row r="1929" customFormat="1" spans="1:20">
      <c r="A1929">
        <f t="shared" si="79"/>
        <v>809</v>
      </c>
      <c r="B1929">
        <v>4</v>
      </c>
      <c r="C1929" t="s">
        <v>387</v>
      </c>
      <c r="D1929" t="s">
        <v>31</v>
      </c>
      <c r="E1929" t="s">
        <v>378</v>
      </c>
      <c r="F1929"/>
      <c r="G1929">
        <v>1</v>
      </c>
      <c r="H1929">
        <v>1000</v>
      </c>
      <c r="I1929">
        <v>3</v>
      </c>
      <c r="J1929" cm="1">
        <f t="array" ref="J1929">_xlfn.SWITCH(B1929,1,75,2,61,3,49,4,37,5,25,6,13,7,4,8,1)</f>
        <v>37</v>
      </c>
      <c r="K1929" t="str" cm="1">
        <f t="array" ref="K1929">IFERROR(_xlfn.SWITCH(L1929,2,_xlfn.XLOOKUP(C1929,[1]ModifierDes!$B:$B,[1]ModifierDes!$C:$C),3,_xlfn.XLOOKUP(C1929,[1]StuntDes!$B:$B,[1]StuntDes!$C:$C)),"")</f>
        <v/>
      </c>
      <c r="L1929">
        <f t="shared" si="80"/>
        <v>1</v>
      </c>
      <c r="M1929" s="10" t="str">
        <f>IFERROR(_xlfn.XLOOKUP(C1929,[1]StuntDes!$B:$B,[1]StuntDes!$A:$A),"")</f>
        <v/>
      </c>
      <c r="N1929" s="10" t="str">
        <f>IFERROR(_xlfn.XLOOKUP(C1929,[1]ModifierDes!$B:$B,[1]ModifierDes!$A:$A),"")</f>
        <v/>
      </c>
      <c r="O1929" s="10">
        <f>IFERROR(_xlfn.XLOOKUP(C1929,[1]AttributeName!$C:$C,[1]AttributeName!$B:$B),"")</f>
        <v>10306</v>
      </c>
      <c r="P1929" s="10"/>
      <c r="Q1929">
        <v>0.24</v>
      </c>
      <c r="R1929">
        <v>0.28</v>
      </c>
      <c r="S1929" cm="1">
        <f t="array" ref="S1929">IFERROR(_xlfn.SWITCH(L1929,1,_xlfn.XLOOKUP(O1929,[1]AttributeName!$B:$B,[1]AttributeName!$D:$D),2,_xlfn.XLOOKUP(C1929,#REF!,#REF!),3,_xlfn.XLOOKUP(C1929,#REF!,#REF!)),0)</f>
        <v>2</v>
      </c>
      <c r="T1929" cm="1">
        <f t="array" ref="T1929">IFERROR(_xlfn.SWITCH(L1929,1,_xlfn.XLOOKUP(O1929,[1]AttributeName!$B:$B,[1]AttributeName!$E:$E),2,_xlfn.XLOOKUP(C1929,#REF!,#REF!),3,_xlfn.XLOOKUP(C1929,#REF!,#REF!)),0)</f>
        <v>2</v>
      </c>
    </row>
    <row r="1930" customFormat="1" spans="1:20">
      <c r="A1930">
        <f t="shared" si="79"/>
        <v>809</v>
      </c>
      <c r="B1930">
        <v>5</v>
      </c>
      <c r="C1930" t="s">
        <v>387</v>
      </c>
      <c r="D1930" t="s">
        <v>31</v>
      </c>
      <c r="E1930" t="s">
        <v>378</v>
      </c>
      <c r="F1930"/>
      <c r="G1930">
        <v>1</v>
      </c>
      <c r="H1930">
        <v>1000</v>
      </c>
      <c r="I1930">
        <v>3</v>
      </c>
      <c r="J1930" cm="1">
        <f t="array" ref="J1930">_xlfn.SWITCH(B1930,1,75,2,61,3,49,4,37,5,25,6,13,7,4,8,1)</f>
        <v>25</v>
      </c>
      <c r="K1930" t="str" cm="1">
        <f t="array" ref="K1930">IFERROR(_xlfn.SWITCH(L1930,2,_xlfn.XLOOKUP(C1930,[1]ModifierDes!$B:$B,[1]ModifierDes!$C:$C),3,_xlfn.XLOOKUP(C1930,[1]StuntDes!$B:$B,[1]StuntDes!$C:$C)),"")</f>
        <v/>
      </c>
      <c r="L1930">
        <f t="shared" si="80"/>
        <v>1</v>
      </c>
      <c r="M1930" s="10" t="str">
        <f>IFERROR(_xlfn.XLOOKUP(C1930,[1]StuntDes!$B:$B,[1]StuntDes!$A:$A),"")</f>
        <v/>
      </c>
      <c r="N1930" s="10" t="str">
        <f>IFERROR(_xlfn.XLOOKUP(C1930,[1]ModifierDes!$B:$B,[1]ModifierDes!$A:$A),"")</f>
        <v/>
      </c>
      <c r="O1930" s="10">
        <f>IFERROR(_xlfn.XLOOKUP(C1930,[1]AttributeName!$C:$C,[1]AttributeName!$B:$B),"")</f>
        <v>10306</v>
      </c>
      <c r="P1930" s="10"/>
      <c r="Q1930">
        <v>0.2</v>
      </c>
      <c r="R1930">
        <v>0.23</v>
      </c>
      <c r="S1930" cm="1">
        <f t="array" ref="S1930">IFERROR(_xlfn.SWITCH(L1930,1,_xlfn.XLOOKUP(O1930,[1]AttributeName!$B:$B,[1]AttributeName!$D:$D),2,_xlfn.XLOOKUP(C1930,#REF!,#REF!),3,_xlfn.XLOOKUP(C1930,#REF!,#REF!)),0)</f>
        <v>2</v>
      </c>
      <c r="T1930" cm="1">
        <f t="array" ref="T1930">IFERROR(_xlfn.SWITCH(L1930,1,_xlfn.XLOOKUP(O1930,[1]AttributeName!$B:$B,[1]AttributeName!$E:$E),2,_xlfn.XLOOKUP(C1930,#REF!,#REF!),3,_xlfn.XLOOKUP(C1930,#REF!,#REF!)),0)</f>
        <v>2</v>
      </c>
    </row>
    <row r="1931" customFormat="1" spans="1:20">
      <c r="A1931">
        <f t="shared" si="79"/>
        <v>809</v>
      </c>
      <c r="B1931">
        <v>6</v>
      </c>
      <c r="C1931" t="s">
        <v>387</v>
      </c>
      <c r="D1931" t="s">
        <v>31</v>
      </c>
      <c r="E1931" t="s">
        <v>378</v>
      </c>
      <c r="F1931"/>
      <c r="G1931">
        <v>1</v>
      </c>
      <c r="H1931">
        <v>1000</v>
      </c>
      <c r="I1931">
        <v>3</v>
      </c>
      <c r="J1931" cm="1">
        <f t="array" ref="J1931">_xlfn.SWITCH(B1931,1,75,2,61,3,49,4,37,5,25,6,13,7,4,8,1)</f>
        <v>13</v>
      </c>
      <c r="K1931" t="str" cm="1">
        <f t="array" ref="K1931">IFERROR(_xlfn.SWITCH(L1931,2,_xlfn.XLOOKUP(C1931,[1]ModifierDes!$B:$B,[1]ModifierDes!$C:$C),3,_xlfn.XLOOKUP(C1931,[1]StuntDes!$B:$B,[1]StuntDes!$C:$C)),"")</f>
        <v/>
      </c>
      <c r="L1931">
        <f t="shared" si="80"/>
        <v>1</v>
      </c>
      <c r="M1931" s="10" t="str">
        <f>IFERROR(_xlfn.XLOOKUP(C1931,[1]StuntDes!$B:$B,[1]StuntDes!$A:$A),"")</f>
        <v/>
      </c>
      <c r="N1931" s="10" t="str">
        <f>IFERROR(_xlfn.XLOOKUP(C1931,[1]ModifierDes!$B:$B,[1]ModifierDes!$A:$A),"")</f>
        <v/>
      </c>
      <c r="O1931" s="10">
        <f>IFERROR(_xlfn.XLOOKUP(C1931,[1]AttributeName!$C:$C,[1]AttributeName!$B:$B),"")</f>
        <v>10306</v>
      </c>
      <c r="P1931" s="10"/>
      <c r="Q1931">
        <v>0.15</v>
      </c>
      <c r="R1931">
        <v>0.19</v>
      </c>
      <c r="S1931" cm="1">
        <f t="array" ref="S1931">IFERROR(_xlfn.SWITCH(L1931,1,_xlfn.XLOOKUP(O1931,[1]AttributeName!$B:$B,[1]AttributeName!$D:$D),2,_xlfn.XLOOKUP(C1931,#REF!,#REF!),3,_xlfn.XLOOKUP(C1931,#REF!,#REF!)),0)</f>
        <v>2</v>
      </c>
      <c r="T1931" cm="1">
        <f t="array" ref="T1931">IFERROR(_xlfn.SWITCH(L1931,1,_xlfn.XLOOKUP(O1931,[1]AttributeName!$B:$B,[1]AttributeName!$E:$E),2,_xlfn.XLOOKUP(C1931,#REF!,#REF!),3,_xlfn.XLOOKUP(C1931,#REF!,#REF!)),0)</f>
        <v>2</v>
      </c>
    </row>
    <row r="1932" customFormat="1" spans="1:20">
      <c r="A1932">
        <f t="shared" si="79"/>
        <v>809</v>
      </c>
      <c r="B1932">
        <v>7</v>
      </c>
      <c r="C1932" t="s">
        <v>387</v>
      </c>
      <c r="D1932" t="s">
        <v>31</v>
      </c>
      <c r="E1932" t="s">
        <v>378</v>
      </c>
      <c r="F1932"/>
      <c r="G1932">
        <v>1</v>
      </c>
      <c r="H1932">
        <v>1000</v>
      </c>
      <c r="I1932">
        <v>3</v>
      </c>
      <c r="J1932" cm="1">
        <f t="array" ref="J1932">_xlfn.SWITCH(B1932,1,75,2,61,3,49,4,37,5,25,6,13,7,4,8,1)</f>
        <v>4</v>
      </c>
      <c r="K1932" t="str" cm="1">
        <f t="array" ref="K1932">IFERROR(_xlfn.SWITCH(L1932,2,_xlfn.XLOOKUP(C1932,[1]ModifierDes!$B:$B,[1]ModifierDes!$C:$C),3,_xlfn.XLOOKUP(C1932,[1]StuntDes!$B:$B,[1]StuntDes!$C:$C)),"")</f>
        <v/>
      </c>
      <c r="L1932">
        <f t="shared" si="80"/>
        <v>1</v>
      </c>
      <c r="M1932" s="10" t="str">
        <f>IFERROR(_xlfn.XLOOKUP(C1932,[1]StuntDes!$B:$B,[1]StuntDes!$A:$A),"")</f>
        <v/>
      </c>
      <c r="N1932" s="10" t="str">
        <f>IFERROR(_xlfn.XLOOKUP(C1932,[1]ModifierDes!$B:$B,[1]ModifierDes!$A:$A),"")</f>
        <v/>
      </c>
      <c r="O1932" s="10">
        <f>IFERROR(_xlfn.XLOOKUP(C1932,[1]AttributeName!$C:$C,[1]AttributeName!$B:$B),"")</f>
        <v>10306</v>
      </c>
      <c r="P1932" s="10"/>
      <c r="Q1932">
        <v>0.11</v>
      </c>
      <c r="R1932">
        <v>0.14</v>
      </c>
      <c r="S1932" cm="1">
        <f t="array" ref="S1932">IFERROR(_xlfn.SWITCH(L1932,1,_xlfn.XLOOKUP(O1932,[1]AttributeName!$B:$B,[1]AttributeName!$D:$D),2,_xlfn.XLOOKUP(C1932,#REF!,#REF!),3,_xlfn.XLOOKUP(C1932,#REF!,#REF!)),0)</f>
        <v>2</v>
      </c>
      <c r="T1932" cm="1">
        <f t="array" ref="T1932">IFERROR(_xlfn.SWITCH(L1932,1,_xlfn.XLOOKUP(O1932,[1]AttributeName!$B:$B,[1]AttributeName!$E:$E),2,_xlfn.XLOOKUP(C1932,#REF!,#REF!),3,_xlfn.XLOOKUP(C1932,#REF!,#REF!)),0)</f>
        <v>2</v>
      </c>
    </row>
    <row r="1933" customFormat="1" spans="1:20">
      <c r="A1933">
        <f t="shared" si="79"/>
        <v>809</v>
      </c>
      <c r="B1933">
        <v>8</v>
      </c>
      <c r="C1933" t="s">
        <v>387</v>
      </c>
      <c r="D1933" t="s">
        <v>31</v>
      </c>
      <c r="E1933" t="s">
        <v>378</v>
      </c>
      <c r="F1933"/>
      <c r="G1933">
        <v>1</v>
      </c>
      <c r="H1933">
        <v>1000</v>
      </c>
      <c r="I1933">
        <v>3</v>
      </c>
      <c r="J1933" cm="1">
        <f t="array" ref="J1933">_xlfn.SWITCH(B1933,1,75,2,61,3,49,4,37,5,25,6,13,7,4,8,1)</f>
        <v>1</v>
      </c>
      <c r="K1933" t="str" cm="1">
        <f t="array" ref="K1933">IFERROR(_xlfn.SWITCH(L1933,2,_xlfn.XLOOKUP(C1933,[1]ModifierDes!$B:$B,[1]ModifierDes!$C:$C),3,_xlfn.XLOOKUP(C1933,[1]StuntDes!$B:$B,[1]StuntDes!$C:$C)),"")</f>
        <v/>
      </c>
      <c r="L1933">
        <f t="shared" si="80"/>
        <v>1</v>
      </c>
      <c r="M1933" s="10" t="str">
        <f>IFERROR(_xlfn.XLOOKUP(C1933,[1]StuntDes!$B:$B,[1]StuntDes!$A:$A),"")</f>
        <v/>
      </c>
      <c r="N1933" s="10" t="str">
        <f>IFERROR(_xlfn.XLOOKUP(C1933,[1]ModifierDes!$B:$B,[1]ModifierDes!$A:$A),"")</f>
        <v/>
      </c>
      <c r="O1933" s="10">
        <f>IFERROR(_xlfn.XLOOKUP(C1933,[1]AttributeName!$C:$C,[1]AttributeName!$B:$B),"")</f>
        <v>10306</v>
      </c>
      <c r="P1933" s="10"/>
      <c r="Q1933">
        <v>0.06</v>
      </c>
      <c r="R1933">
        <v>0.1</v>
      </c>
      <c r="S1933" cm="1">
        <f t="array" ref="S1933">IFERROR(_xlfn.SWITCH(L1933,1,_xlfn.XLOOKUP(O1933,[1]AttributeName!$B:$B,[1]AttributeName!$D:$D),2,_xlfn.XLOOKUP(C1933,#REF!,#REF!),3,_xlfn.XLOOKUP(C1933,#REF!,#REF!)),0)</f>
        <v>2</v>
      </c>
      <c r="T1933" cm="1">
        <f t="array" ref="T1933">IFERROR(_xlfn.SWITCH(L1933,1,_xlfn.XLOOKUP(O1933,[1]AttributeName!$B:$B,[1]AttributeName!$E:$E),2,_xlfn.XLOOKUP(C1933,#REF!,#REF!),3,_xlfn.XLOOKUP(C1933,#REF!,#REF!)),0)</f>
        <v>2</v>
      </c>
    </row>
    <row r="1934" customFormat="1" spans="1:20">
      <c r="A1934">
        <f t="shared" ref="A1934:A1965" si="81">A1926+1</f>
        <v>810</v>
      </c>
      <c r="B1934">
        <v>1</v>
      </c>
      <c r="C1934" t="s">
        <v>388</v>
      </c>
      <c r="D1934" t="s">
        <v>31</v>
      </c>
      <c r="E1934" t="s">
        <v>378</v>
      </c>
      <c r="F1934"/>
      <c r="G1934">
        <v>1</v>
      </c>
      <c r="H1934">
        <v>100</v>
      </c>
      <c r="I1934">
        <v>3</v>
      </c>
      <c r="J1934" cm="1">
        <f t="array" ref="J1934">_xlfn.SWITCH(B1934,1,75,2,61,3,49,4,37,5,25,6,13,7,4,8,1)</f>
        <v>75</v>
      </c>
      <c r="K1934" t="str" cm="1">
        <f t="array" ref="K1934">IFERROR(_xlfn.SWITCH(L1934,2,_xlfn.XLOOKUP(C1934,[1]ModifierDes!$B:$B,[1]ModifierDes!$C:$C),3,_xlfn.XLOOKUP(C1934,[1]StuntDes!$B:$B,[1]StuntDes!$C:$C)),"")</f>
        <v/>
      </c>
      <c r="L1934">
        <f t="shared" si="80"/>
        <v>1</v>
      </c>
      <c r="M1934" s="10" t="str">
        <f>IFERROR(_xlfn.XLOOKUP(C1934,[1]StuntDes!$B:$B,[1]StuntDes!$A:$A),"")</f>
        <v/>
      </c>
      <c r="N1934" s="10" t="str">
        <f>IFERROR(_xlfn.XLOOKUP(C1934,[1]ModifierDes!$B:$B,[1]ModifierDes!$A:$A),"")</f>
        <v/>
      </c>
      <c r="O1934" s="10">
        <f>IFERROR(_xlfn.XLOOKUP(C1934,[1]AttributeName!$C:$C,[1]AttributeName!$B:$B),"")</f>
        <v>10307</v>
      </c>
      <c r="P1934" s="10"/>
      <c r="Q1934">
        <v>0.38</v>
      </c>
      <c r="R1934">
        <v>0.5</v>
      </c>
      <c r="S1934" cm="1">
        <f t="array" ref="S1934">IFERROR(_xlfn.SWITCH(L1934,1,_xlfn.XLOOKUP(O1934,[1]AttributeName!$B:$B,[1]AttributeName!$D:$D),2,_xlfn.XLOOKUP(C1934,#REF!,#REF!),3,_xlfn.XLOOKUP(C1934,#REF!,#REF!)),0)</f>
        <v>2</v>
      </c>
      <c r="T1934" cm="1">
        <f t="array" ref="T1934">IFERROR(_xlfn.SWITCH(L1934,1,_xlfn.XLOOKUP(O1934,[1]AttributeName!$B:$B,[1]AttributeName!$E:$E),2,_xlfn.XLOOKUP(C1934,#REF!,#REF!),3,_xlfn.XLOOKUP(C1934,#REF!,#REF!)),0)</f>
        <v>2</v>
      </c>
    </row>
    <row r="1935" customFormat="1" spans="1:20">
      <c r="A1935">
        <f t="shared" si="81"/>
        <v>810</v>
      </c>
      <c r="B1935">
        <v>2</v>
      </c>
      <c r="C1935" t="s">
        <v>388</v>
      </c>
      <c r="D1935" t="s">
        <v>31</v>
      </c>
      <c r="E1935" t="s">
        <v>378</v>
      </c>
      <c r="F1935"/>
      <c r="G1935">
        <v>1</v>
      </c>
      <c r="H1935">
        <v>200</v>
      </c>
      <c r="I1935">
        <v>3</v>
      </c>
      <c r="J1935" cm="1">
        <f t="array" ref="J1935">_xlfn.SWITCH(B1935,1,75,2,61,3,49,4,37,5,25,6,13,7,4,8,1)</f>
        <v>61</v>
      </c>
      <c r="K1935" t="str" cm="1">
        <f t="array" ref="K1935">IFERROR(_xlfn.SWITCH(L1935,2,_xlfn.XLOOKUP(C1935,[1]ModifierDes!$B:$B,[1]ModifierDes!$C:$C),3,_xlfn.XLOOKUP(C1935,[1]StuntDes!$B:$B,[1]StuntDes!$C:$C)),"")</f>
        <v/>
      </c>
      <c r="L1935">
        <f t="shared" si="80"/>
        <v>1</v>
      </c>
      <c r="M1935" s="10" t="str">
        <f>IFERROR(_xlfn.XLOOKUP(C1935,[1]StuntDes!$B:$B,[1]StuntDes!$A:$A),"")</f>
        <v/>
      </c>
      <c r="N1935" s="10" t="str">
        <f>IFERROR(_xlfn.XLOOKUP(C1935,[1]ModifierDes!$B:$B,[1]ModifierDes!$A:$A),"")</f>
        <v/>
      </c>
      <c r="O1935" s="10">
        <f>IFERROR(_xlfn.XLOOKUP(C1935,[1]AttributeName!$C:$C,[1]AttributeName!$B:$B),"")</f>
        <v>10307</v>
      </c>
      <c r="P1935" s="10"/>
      <c r="Q1935">
        <v>0.33</v>
      </c>
      <c r="R1935">
        <v>0.37</v>
      </c>
      <c r="S1935" cm="1">
        <f t="array" ref="S1935">IFERROR(_xlfn.SWITCH(L1935,1,_xlfn.XLOOKUP(O1935,[1]AttributeName!$B:$B,[1]AttributeName!$D:$D),2,_xlfn.XLOOKUP(C1935,#REF!,#REF!),3,_xlfn.XLOOKUP(C1935,#REF!,#REF!)),0)</f>
        <v>2</v>
      </c>
      <c r="T1935" cm="1">
        <f t="array" ref="T1935">IFERROR(_xlfn.SWITCH(L1935,1,_xlfn.XLOOKUP(O1935,[1]AttributeName!$B:$B,[1]AttributeName!$E:$E),2,_xlfn.XLOOKUP(C1935,#REF!,#REF!),3,_xlfn.XLOOKUP(C1935,#REF!,#REF!)),0)</f>
        <v>2</v>
      </c>
    </row>
    <row r="1936" customFormat="1" spans="1:20">
      <c r="A1936">
        <f t="shared" si="81"/>
        <v>810</v>
      </c>
      <c r="B1936">
        <v>3</v>
      </c>
      <c r="C1936" t="s">
        <v>388</v>
      </c>
      <c r="D1936" t="s">
        <v>31</v>
      </c>
      <c r="E1936" t="s">
        <v>378</v>
      </c>
      <c r="F1936"/>
      <c r="G1936">
        <v>1</v>
      </c>
      <c r="H1936">
        <v>500</v>
      </c>
      <c r="I1936">
        <v>3</v>
      </c>
      <c r="J1936" cm="1">
        <f t="array" ref="J1936">_xlfn.SWITCH(B1936,1,75,2,61,3,49,4,37,5,25,6,13,7,4,8,1)</f>
        <v>49</v>
      </c>
      <c r="K1936" t="str" cm="1">
        <f t="array" ref="K1936">IFERROR(_xlfn.SWITCH(L1936,2,_xlfn.XLOOKUP(C1936,[1]ModifierDes!$B:$B,[1]ModifierDes!$C:$C),3,_xlfn.XLOOKUP(C1936,[1]StuntDes!$B:$B,[1]StuntDes!$C:$C)),"")</f>
        <v/>
      </c>
      <c r="L1936">
        <f t="shared" si="80"/>
        <v>1</v>
      </c>
      <c r="M1936" s="10" t="str">
        <f>IFERROR(_xlfn.XLOOKUP(C1936,[1]StuntDes!$B:$B,[1]StuntDes!$A:$A),"")</f>
        <v/>
      </c>
      <c r="N1936" s="10" t="str">
        <f>IFERROR(_xlfn.XLOOKUP(C1936,[1]ModifierDes!$B:$B,[1]ModifierDes!$A:$A),"")</f>
        <v/>
      </c>
      <c r="O1936" s="10">
        <f>IFERROR(_xlfn.XLOOKUP(C1936,[1]AttributeName!$C:$C,[1]AttributeName!$B:$B),"")</f>
        <v>10307</v>
      </c>
      <c r="P1936" s="10"/>
      <c r="Q1936">
        <v>0.29</v>
      </c>
      <c r="R1936">
        <v>0.32</v>
      </c>
      <c r="S1936" cm="1">
        <f t="array" ref="S1936">IFERROR(_xlfn.SWITCH(L1936,1,_xlfn.XLOOKUP(O1936,[1]AttributeName!$B:$B,[1]AttributeName!$D:$D),2,_xlfn.XLOOKUP(C1936,#REF!,#REF!),3,_xlfn.XLOOKUP(C1936,#REF!,#REF!)),0)</f>
        <v>2</v>
      </c>
      <c r="T1936" cm="1">
        <f t="array" ref="T1936">IFERROR(_xlfn.SWITCH(L1936,1,_xlfn.XLOOKUP(O1936,[1]AttributeName!$B:$B,[1]AttributeName!$E:$E),2,_xlfn.XLOOKUP(C1936,#REF!,#REF!),3,_xlfn.XLOOKUP(C1936,#REF!,#REF!)),0)</f>
        <v>2</v>
      </c>
    </row>
    <row r="1937" customFormat="1" spans="1:20">
      <c r="A1937">
        <f t="shared" si="81"/>
        <v>810</v>
      </c>
      <c r="B1937">
        <v>4</v>
      </c>
      <c r="C1937" t="s">
        <v>388</v>
      </c>
      <c r="D1937" t="s">
        <v>31</v>
      </c>
      <c r="E1937" t="s">
        <v>378</v>
      </c>
      <c r="F1937"/>
      <c r="G1937">
        <v>1</v>
      </c>
      <c r="H1937">
        <v>1000</v>
      </c>
      <c r="I1937">
        <v>3</v>
      </c>
      <c r="J1937" cm="1">
        <f t="array" ref="J1937">_xlfn.SWITCH(B1937,1,75,2,61,3,49,4,37,5,25,6,13,7,4,8,1)</f>
        <v>37</v>
      </c>
      <c r="K1937" t="str" cm="1">
        <f t="array" ref="K1937">IFERROR(_xlfn.SWITCH(L1937,2,_xlfn.XLOOKUP(C1937,[1]ModifierDes!$B:$B,[1]ModifierDes!$C:$C),3,_xlfn.XLOOKUP(C1937,[1]StuntDes!$B:$B,[1]StuntDes!$C:$C)),"")</f>
        <v/>
      </c>
      <c r="L1937">
        <f t="shared" si="80"/>
        <v>1</v>
      </c>
      <c r="M1937" s="10" t="str">
        <f>IFERROR(_xlfn.XLOOKUP(C1937,[1]StuntDes!$B:$B,[1]StuntDes!$A:$A),"")</f>
        <v/>
      </c>
      <c r="N1937" s="10" t="str">
        <f>IFERROR(_xlfn.XLOOKUP(C1937,[1]ModifierDes!$B:$B,[1]ModifierDes!$A:$A),"")</f>
        <v/>
      </c>
      <c r="O1937" s="10">
        <f>IFERROR(_xlfn.XLOOKUP(C1937,[1]AttributeName!$C:$C,[1]AttributeName!$B:$B),"")</f>
        <v>10307</v>
      </c>
      <c r="P1937" s="10"/>
      <c r="Q1937">
        <v>0.24</v>
      </c>
      <c r="R1937">
        <v>0.28</v>
      </c>
      <c r="S1937" cm="1">
        <f t="array" ref="S1937">IFERROR(_xlfn.SWITCH(L1937,1,_xlfn.XLOOKUP(O1937,[1]AttributeName!$B:$B,[1]AttributeName!$D:$D),2,_xlfn.XLOOKUP(C1937,#REF!,#REF!),3,_xlfn.XLOOKUP(C1937,#REF!,#REF!)),0)</f>
        <v>2</v>
      </c>
      <c r="T1937" cm="1">
        <f t="array" ref="T1937">IFERROR(_xlfn.SWITCH(L1937,1,_xlfn.XLOOKUP(O1937,[1]AttributeName!$B:$B,[1]AttributeName!$E:$E),2,_xlfn.XLOOKUP(C1937,#REF!,#REF!),3,_xlfn.XLOOKUP(C1937,#REF!,#REF!)),0)</f>
        <v>2</v>
      </c>
    </row>
    <row r="1938" customFormat="1" spans="1:20">
      <c r="A1938">
        <f t="shared" si="81"/>
        <v>810</v>
      </c>
      <c r="B1938">
        <v>5</v>
      </c>
      <c r="C1938" t="s">
        <v>388</v>
      </c>
      <c r="D1938" t="s">
        <v>31</v>
      </c>
      <c r="E1938" t="s">
        <v>378</v>
      </c>
      <c r="F1938"/>
      <c r="G1938">
        <v>1</v>
      </c>
      <c r="H1938">
        <v>1000</v>
      </c>
      <c r="I1938">
        <v>3</v>
      </c>
      <c r="J1938" cm="1">
        <f t="array" ref="J1938">_xlfn.SWITCH(B1938,1,75,2,61,3,49,4,37,5,25,6,13,7,4,8,1)</f>
        <v>25</v>
      </c>
      <c r="K1938" t="str" cm="1">
        <f t="array" ref="K1938">IFERROR(_xlfn.SWITCH(L1938,2,_xlfn.XLOOKUP(C1938,[1]ModifierDes!$B:$B,[1]ModifierDes!$C:$C),3,_xlfn.XLOOKUP(C1938,[1]StuntDes!$B:$B,[1]StuntDes!$C:$C)),"")</f>
        <v/>
      </c>
      <c r="L1938">
        <f t="shared" si="80"/>
        <v>1</v>
      </c>
      <c r="M1938" s="10" t="str">
        <f>IFERROR(_xlfn.XLOOKUP(C1938,[1]StuntDes!$B:$B,[1]StuntDes!$A:$A),"")</f>
        <v/>
      </c>
      <c r="N1938" s="10" t="str">
        <f>IFERROR(_xlfn.XLOOKUP(C1938,[1]ModifierDes!$B:$B,[1]ModifierDes!$A:$A),"")</f>
        <v/>
      </c>
      <c r="O1938" s="10">
        <f>IFERROR(_xlfn.XLOOKUP(C1938,[1]AttributeName!$C:$C,[1]AttributeName!$B:$B),"")</f>
        <v>10307</v>
      </c>
      <c r="P1938" s="10"/>
      <c r="Q1938">
        <v>0.2</v>
      </c>
      <c r="R1938">
        <v>0.23</v>
      </c>
      <c r="S1938" cm="1">
        <f t="array" ref="S1938">IFERROR(_xlfn.SWITCH(L1938,1,_xlfn.XLOOKUP(O1938,[1]AttributeName!$B:$B,[1]AttributeName!$D:$D),2,_xlfn.XLOOKUP(C1938,#REF!,#REF!),3,_xlfn.XLOOKUP(C1938,#REF!,#REF!)),0)</f>
        <v>2</v>
      </c>
      <c r="T1938" cm="1">
        <f t="array" ref="T1938">IFERROR(_xlfn.SWITCH(L1938,1,_xlfn.XLOOKUP(O1938,[1]AttributeName!$B:$B,[1]AttributeName!$E:$E),2,_xlfn.XLOOKUP(C1938,#REF!,#REF!),3,_xlfn.XLOOKUP(C1938,#REF!,#REF!)),0)</f>
        <v>2</v>
      </c>
    </row>
    <row r="1939" customFormat="1" spans="1:20">
      <c r="A1939">
        <f t="shared" si="81"/>
        <v>810</v>
      </c>
      <c r="B1939">
        <v>6</v>
      </c>
      <c r="C1939" t="s">
        <v>388</v>
      </c>
      <c r="D1939" t="s">
        <v>31</v>
      </c>
      <c r="E1939" t="s">
        <v>378</v>
      </c>
      <c r="F1939"/>
      <c r="G1939">
        <v>1</v>
      </c>
      <c r="H1939">
        <v>1000</v>
      </c>
      <c r="I1939">
        <v>3</v>
      </c>
      <c r="J1939" cm="1">
        <f t="array" ref="J1939">_xlfn.SWITCH(B1939,1,75,2,61,3,49,4,37,5,25,6,13,7,4,8,1)</f>
        <v>13</v>
      </c>
      <c r="K1939" t="str" cm="1">
        <f t="array" ref="K1939">IFERROR(_xlfn.SWITCH(L1939,2,_xlfn.XLOOKUP(C1939,[1]ModifierDes!$B:$B,[1]ModifierDes!$C:$C),3,_xlfn.XLOOKUP(C1939,[1]StuntDes!$B:$B,[1]StuntDes!$C:$C)),"")</f>
        <v/>
      </c>
      <c r="L1939">
        <f t="shared" si="80"/>
        <v>1</v>
      </c>
      <c r="M1939" s="10" t="str">
        <f>IFERROR(_xlfn.XLOOKUP(C1939,[1]StuntDes!$B:$B,[1]StuntDes!$A:$A),"")</f>
        <v/>
      </c>
      <c r="N1939" s="10" t="str">
        <f>IFERROR(_xlfn.XLOOKUP(C1939,[1]ModifierDes!$B:$B,[1]ModifierDes!$A:$A),"")</f>
        <v/>
      </c>
      <c r="O1939" s="10">
        <f>IFERROR(_xlfn.XLOOKUP(C1939,[1]AttributeName!$C:$C,[1]AttributeName!$B:$B),"")</f>
        <v>10307</v>
      </c>
      <c r="P1939" s="10"/>
      <c r="Q1939">
        <v>0.15</v>
      </c>
      <c r="R1939">
        <v>0.19</v>
      </c>
      <c r="S1939" cm="1">
        <f t="array" ref="S1939">IFERROR(_xlfn.SWITCH(L1939,1,_xlfn.XLOOKUP(O1939,[1]AttributeName!$B:$B,[1]AttributeName!$D:$D),2,_xlfn.XLOOKUP(C1939,#REF!,#REF!),3,_xlfn.XLOOKUP(C1939,#REF!,#REF!)),0)</f>
        <v>2</v>
      </c>
      <c r="T1939" cm="1">
        <f t="array" ref="T1939">IFERROR(_xlfn.SWITCH(L1939,1,_xlfn.XLOOKUP(O1939,[1]AttributeName!$B:$B,[1]AttributeName!$E:$E),2,_xlfn.XLOOKUP(C1939,#REF!,#REF!),3,_xlfn.XLOOKUP(C1939,#REF!,#REF!)),0)</f>
        <v>2</v>
      </c>
    </row>
    <row r="1940" customFormat="1" spans="1:20">
      <c r="A1940">
        <f t="shared" si="81"/>
        <v>810</v>
      </c>
      <c r="B1940">
        <v>7</v>
      </c>
      <c r="C1940" t="s">
        <v>388</v>
      </c>
      <c r="D1940" t="s">
        <v>31</v>
      </c>
      <c r="E1940" t="s">
        <v>378</v>
      </c>
      <c r="F1940"/>
      <c r="G1940">
        <v>1</v>
      </c>
      <c r="H1940">
        <v>1000</v>
      </c>
      <c r="I1940">
        <v>3</v>
      </c>
      <c r="J1940" cm="1">
        <f t="array" ref="J1940">_xlfn.SWITCH(B1940,1,75,2,61,3,49,4,37,5,25,6,13,7,4,8,1)</f>
        <v>4</v>
      </c>
      <c r="K1940" t="str" cm="1">
        <f t="array" ref="K1940">IFERROR(_xlfn.SWITCH(L1940,2,_xlfn.XLOOKUP(C1940,[1]ModifierDes!$B:$B,[1]ModifierDes!$C:$C),3,_xlfn.XLOOKUP(C1940,[1]StuntDes!$B:$B,[1]StuntDes!$C:$C)),"")</f>
        <v/>
      </c>
      <c r="L1940">
        <f t="shared" si="80"/>
        <v>1</v>
      </c>
      <c r="M1940" s="10" t="str">
        <f>IFERROR(_xlfn.XLOOKUP(C1940,[1]StuntDes!$B:$B,[1]StuntDes!$A:$A),"")</f>
        <v/>
      </c>
      <c r="N1940" s="10" t="str">
        <f>IFERROR(_xlfn.XLOOKUP(C1940,[1]ModifierDes!$B:$B,[1]ModifierDes!$A:$A),"")</f>
        <v/>
      </c>
      <c r="O1940" s="10">
        <f>IFERROR(_xlfn.XLOOKUP(C1940,[1]AttributeName!$C:$C,[1]AttributeName!$B:$B),"")</f>
        <v>10307</v>
      </c>
      <c r="P1940" s="10"/>
      <c r="Q1940">
        <v>0.11</v>
      </c>
      <c r="R1940">
        <v>0.14</v>
      </c>
      <c r="S1940" cm="1">
        <f t="array" ref="S1940">IFERROR(_xlfn.SWITCH(L1940,1,_xlfn.XLOOKUP(O1940,[1]AttributeName!$B:$B,[1]AttributeName!$D:$D),2,_xlfn.XLOOKUP(C1940,#REF!,#REF!),3,_xlfn.XLOOKUP(C1940,#REF!,#REF!)),0)</f>
        <v>2</v>
      </c>
      <c r="T1940" cm="1">
        <f t="array" ref="T1940">IFERROR(_xlfn.SWITCH(L1940,1,_xlfn.XLOOKUP(O1940,[1]AttributeName!$B:$B,[1]AttributeName!$E:$E),2,_xlfn.XLOOKUP(C1940,#REF!,#REF!),3,_xlfn.XLOOKUP(C1940,#REF!,#REF!)),0)</f>
        <v>2</v>
      </c>
    </row>
    <row r="1941" customFormat="1" spans="1:20">
      <c r="A1941">
        <f t="shared" si="81"/>
        <v>810</v>
      </c>
      <c r="B1941">
        <v>8</v>
      </c>
      <c r="C1941" t="s">
        <v>388</v>
      </c>
      <c r="D1941" t="s">
        <v>31</v>
      </c>
      <c r="E1941" t="s">
        <v>378</v>
      </c>
      <c r="F1941"/>
      <c r="G1941">
        <v>1</v>
      </c>
      <c r="H1941">
        <v>1000</v>
      </c>
      <c r="I1941">
        <v>3</v>
      </c>
      <c r="J1941" cm="1">
        <f t="array" ref="J1941">_xlfn.SWITCH(B1941,1,75,2,61,3,49,4,37,5,25,6,13,7,4,8,1)</f>
        <v>1</v>
      </c>
      <c r="K1941" t="str" cm="1">
        <f t="array" ref="K1941">IFERROR(_xlfn.SWITCH(L1941,2,_xlfn.XLOOKUP(C1941,[1]ModifierDes!$B:$B,[1]ModifierDes!$C:$C),3,_xlfn.XLOOKUP(C1941,[1]StuntDes!$B:$B,[1]StuntDes!$C:$C)),"")</f>
        <v/>
      </c>
      <c r="L1941">
        <f t="shared" si="80"/>
        <v>1</v>
      </c>
      <c r="M1941" s="10" t="str">
        <f>IFERROR(_xlfn.XLOOKUP(C1941,[1]StuntDes!$B:$B,[1]StuntDes!$A:$A),"")</f>
        <v/>
      </c>
      <c r="N1941" s="10" t="str">
        <f>IFERROR(_xlfn.XLOOKUP(C1941,[1]ModifierDes!$B:$B,[1]ModifierDes!$A:$A),"")</f>
        <v/>
      </c>
      <c r="O1941" s="10">
        <f>IFERROR(_xlfn.XLOOKUP(C1941,[1]AttributeName!$C:$C,[1]AttributeName!$B:$B),"")</f>
        <v>10307</v>
      </c>
      <c r="P1941" s="10"/>
      <c r="Q1941">
        <v>0.06</v>
      </c>
      <c r="R1941">
        <v>0.1</v>
      </c>
      <c r="S1941" cm="1">
        <f t="array" ref="S1941">IFERROR(_xlfn.SWITCH(L1941,1,_xlfn.XLOOKUP(O1941,[1]AttributeName!$B:$B,[1]AttributeName!$D:$D),2,_xlfn.XLOOKUP(C1941,#REF!,#REF!),3,_xlfn.XLOOKUP(C1941,#REF!,#REF!)),0)</f>
        <v>2</v>
      </c>
      <c r="T1941" cm="1">
        <f t="array" ref="T1941">IFERROR(_xlfn.SWITCH(L1941,1,_xlfn.XLOOKUP(O1941,[1]AttributeName!$B:$B,[1]AttributeName!$E:$E),2,_xlfn.XLOOKUP(C1941,#REF!,#REF!),3,_xlfn.XLOOKUP(C1941,#REF!,#REF!)),0)</f>
        <v>2</v>
      </c>
    </row>
    <row r="1942" customFormat="1" spans="1:20">
      <c r="A1942">
        <f t="shared" si="81"/>
        <v>811</v>
      </c>
      <c r="B1942">
        <v>1</v>
      </c>
      <c r="C1942" t="s">
        <v>389</v>
      </c>
      <c r="D1942" t="s">
        <v>31</v>
      </c>
      <c r="E1942" t="s">
        <v>378</v>
      </c>
      <c r="F1942"/>
      <c r="G1942">
        <v>1</v>
      </c>
      <c r="H1942">
        <v>1000</v>
      </c>
      <c r="J1942" cm="1">
        <f t="array" ref="J1942">_xlfn.SWITCH(B1942,1,75,2,61,3,49,4,37,5,25,6,13,7,4,8,1)</f>
        <v>75</v>
      </c>
      <c r="K1942" t="str" cm="1">
        <f t="array" ref="K1942">IFERROR(_xlfn.SWITCH(L1942,2,_xlfn.XLOOKUP(C1942,[1]ModifierDes!$B:$B,[1]ModifierDes!$C:$C),3,_xlfn.XLOOKUP(C1942,[1]StuntDes!$B:$B,[1]StuntDes!$C:$C)),"")</f>
        <v/>
      </c>
      <c r="L1942">
        <f t="shared" si="80"/>
        <v>1</v>
      </c>
      <c r="M1942" s="10" t="str">
        <f>IFERROR(_xlfn.XLOOKUP(C1942,[1]StuntDes!$B:$B,[1]StuntDes!$A:$A),"")</f>
        <v/>
      </c>
      <c r="N1942" s="10" t="str">
        <f>IFERROR(_xlfn.XLOOKUP(C1942,[1]ModifierDes!$B:$B,[1]ModifierDes!$A:$A),"")</f>
        <v/>
      </c>
      <c r="O1942" s="10">
        <f>IFERROR(_xlfn.XLOOKUP(C1942,[1]AttributeName!$C:$C,[1]AttributeName!$B:$B),"")</f>
        <v>10001</v>
      </c>
      <c r="P1942" s="10"/>
      <c r="Q1942">
        <v>950</v>
      </c>
      <c r="R1942">
        <v>1050</v>
      </c>
      <c r="S1942" cm="1">
        <f t="array" ref="S1942">IFERROR(_xlfn.SWITCH(L1942,1,_xlfn.XLOOKUP(O1942,[1]AttributeName!$B:$B,[1]AttributeName!$D:$D),2,_xlfn.XLOOKUP(C1942,#REF!,#REF!),3,_xlfn.XLOOKUP(C1942,#REF!,#REF!)),0)</f>
        <v>0</v>
      </c>
      <c r="T1942" cm="1">
        <f t="array" ref="T1942">IFERROR(_xlfn.SWITCH(L1942,1,_xlfn.XLOOKUP(O1942,[1]AttributeName!$B:$B,[1]AttributeName!$E:$E),2,_xlfn.XLOOKUP(C1942,#REF!,#REF!),3,_xlfn.XLOOKUP(C1942,#REF!,#REF!)),0)</f>
        <v>1</v>
      </c>
    </row>
    <row r="1943" customFormat="1" spans="1:20">
      <c r="A1943">
        <f t="shared" si="81"/>
        <v>811</v>
      </c>
      <c r="B1943">
        <v>2</v>
      </c>
      <c r="C1943" t="s">
        <v>389</v>
      </c>
      <c r="D1943" t="s">
        <v>31</v>
      </c>
      <c r="E1943" t="s">
        <v>378</v>
      </c>
      <c r="F1943"/>
      <c r="G1943">
        <v>1</v>
      </c>
      <c r="H1943">
        <v>1000</v>
      </c>
      <c r="J1943" cm="1">
        <f t="array" ref="J1943">_xlfn.SWITCH(B1943,1,75,2,61,3,49,4,37,5,25,6,13,7,4,8,1)</f>
        <v>61</v>
      </c>
      <c r="K1943" t="str" cm="1">
        <f t="array" ref="K1943">IFERROR(_xlfn.SWITCH(L1943,2,_xlfn.XLOOKUP(C1943,[1]ModifierDes!$B:$B,[1]ModifierDes!$C:$C),3,_xlfn.XLOOKUP(C1943,[1]StuntDes!$B:$B,[1]StuntDes!$C:$C)),"")</f>
        <v/>
      </c>
      <c r="L1943">
        <f t="shared" si="80"/>
        <v>1</v>
      </c>
      <c r="M1943" s="10" t="str">
        <f>IFERROR(_xlfn.XLOOKUP(C1943,[1]StuntDes!$B:$B,[1]StuntDes!$A:$A),"")</f>
        <v/>
      </c>
      <c r="N1943" s="10" t="str">
        <f>IFERROR(_xlfn.XLOOKUP(C1943,[1]ModifierDes!$B:$B,[1]ModifierDes!$A:$A),"")</f>
        <v/>
      </c>
      <c r="O1943" s="10">
        <f>IFERROR(_xlfn.XLOOKUP(C1943,[1]AttributeName!$C:$C,[1]AttributeName!$B:$B),"")</f>
        <v>10001</v>
      </c>
      <c r="P1943" s="10"/>
      <c r="Q1943">
        <v>520</v>
      </c>
      <c r="R1943">
        <v>600</v>
      </c>
      <c r="S1943" cm="1">
        <f t="array" ref="S1943">IFERROR(_xlfn.SWITCH(L1943,1,_xlfn.XLOOKUP(O1943,[1]AttributeName!$B:$B,[1]AttributeName!$D:$D),2,_xlfn.XLOOKUP(C1943,#REF!,#REF!),3,_xlfn.XLOOKUP(C1943,#REF!,#REF!)),0)</f>
        <v>0</v>
      </c>
      <c r="T1943" cm="1">
        <f t="array" ref="T1943">IFERROR(_xlfn.SWITCH(L1943,1,_xlfn.XLOOKUP(O1943,[1]AttributeName!$B:$B,[1]AttributeName!$E:$E),2,_xlfn.XLOOKUP(C1943,#REF!,#REF!),3,_xlfn.XLOOKUP(C1943,#REF!,#REF!)),0)</f>
        <v>1</v>
      </c>
    </row>
    <row r="1944" customFormat="1" spans="1:20">
      <c r="A1944">
        <f t="shared" si="81"/>
        <v>811</v>
      </c>
      <c r="B1944">
        <v>3</v>
      </c>
      <c r="C1944" t="s">
        <v>389</v>
      </c>
      <c r="D1944" t="s">
        <v>31</v>
      </c>
      <c r="E1944" t="s">
        <v>378</v>
      </c>
      <c r="F1944"/>
      <c r="G1944">
        <v>1</v>
      </c>
      <c r="H1944">
        <v>1000</v>
      </c>
      <c r="J1944" cm="1">
        <f t="array" ref="J1944">_xlfn.SWITCH(B1944,1,75,2,61,3,49,4,37,5,25,6,13,7,4,8,1)</f>
        <v>49</v>
      </c>
      <c r="K1944" t="str" cm="1">
        <f t="array" ref="K1944">IFERROR(_xlfn.SWITCH(L1944,2,_xlfn.XLOOKUP(C1944,[1]ModifierDes!$B:$B,[1]ModifierDes!$C:$C),3,_xlfn.XLOOKUP(C1944,[1]StuntDes!$B:$B,[1]StuntDes!$C:$C)),"")</f>
        <v/>
      </c>
      <c r="L1944">
        <f t="shared" si="80"/>
        <v>1</v>
      </c>
      <c r="M1944" s="10" t="str">
        <f>IFERROR(_xlfn.XLOOKUP(C1944,[1]StuntDes!$B:$B,[1]StuntDes!$A:$A),"")</f>
        <v/>
      </c>
      <c r="N1944" s="10" t="str">
        <f>IFERROR(_xlfn.XLOOKUP(C1944,[1]ModifierDes!$B:$B,[1]ModifierDes!$A:$A),"")</f>
        <v/>
      </c>
      <c r="O1944" s="10">
        <f>IFERROR(_xlfn.XLOOKUP(C1944,[1]AttributeName!$C:$C,[1]AttributeName!$B:$B),"")</f>
        <v>10001</v>
      </c>
      <c r="P1944" s="10"/>
      <c r="Q1944">
        <v>250</v>
      </c>
      <c r="R1944">
        <v>310</v>
      </c>
      <c r="S1944" cm="1">
        <f t="array" ref="S1944">IFERROR(_xlfn.SWITCH(L1944,1,_xlfn.XLOOKUP(O1944,[1]AttributeName!$B:$B,[1]AttributeName!$D:$D),2,_xlfn.XLOOKUP(C1944,#REF!,#REF!),3,_xlfn.XLOOKUP(C1944,#REF!,#REF!)),0)</f>
        <v>0</v>
      </c>
      <c r="T1944" cm="1">
        <f t="array" ref="T1944">IFERROR(_xlfn.SWITCH(L1944,1,_xlfn.XLOOKUP(O1944,[1]AttributeName!$B:$B,[1]AttributeName!$E:$E),2,_xlfn.XLOOKUP(C1944,#REF!,#REF!),3,_xlfn.XLOOKUP(C1944,#REF!,#REF!)),0)</f>
        <v>1</v>
      </c>
    </row>
    <row r="1945" customFormat="1" spans="1:20">
      <c r="A1945">
        <f t="shared" si="81"/>
        <v>811</v>
      </c>
      <c r="B1945">
        <v>4</v>
      </c>
      <c r="C1945" t="s">
        <v>389</v>
      </c>
      <c r="D1945" t="s">
        <v>31</v>
      </c>
      <c r="E1945" t="s">
        <v>378</v>
      </c>
      <c r="F1945"/>
      <c r="G1945">
        <v>1</v>
      </c>
      <c r="H1945">
        <v>1000</v>
      </c>
      <c r="J1945" cm="1">
        <f t="array" ref="J1945">_xlfn.SWITCH(B1945,1,75,2,61,3,49,4,37,5,25,6,13,7,4,8,1)</f>
        <v>37</v>
      </c>
      <c r="K1945" t="str" cm="1">
        <f t="array" ref="K1945">IFERROR(_xlfn.SWITCH(L1945,2,_xlfn.XLOOKUP(C1945,[1]ModifierDes!$B:$B,[1]ModifierDes!$C:$C),3,_xlfn.XLOOKUP(C1945,[1]StuntDes!$B:$B,[1]StuntDes!$C:$C)),"")</f>
        <v/>
      </c>
      <c r="L1945">
        <f t="shared" si="80"/>
        <v>1</v>
      </c>
      <c r="M1945" s="10" t="str">
        <f>IFERROR(_xlfn.XLOOKUP(C1945,[1]StuntDes!$B:$B,[1]StuntDes!$A:$A),"")</f>
        <v/>
      </c>
      <c r="N1945" s="10" t="str">
        <f>IFERROR(_xlfn.XLOOKUP(C1945,[1]ModifierDes!$B:$B,[1]ModifierDes!$A:$A),"")</f>
        <v/>
      </c>
      <c r="O1945" s="10">
        <f>IFERROR(_xlfn.XLOOKUP(C1945,[1]AttributeName!$C:$C,[1]AttributeName!$B:$B),"")</f>
        <v>10001</v>
      </c>
      <c r="P1945" s="10"/>
      <c r="Q1945">
        <v>120</v>
      </c>
      <c r="R1945">
        <v>160</v>
      </c>
      <c r="S1945" cm="1">
        <f t="array" ref="S1945">IFERROR(_xlfn.SWITCH(L1945,1,_xlfn.XLOOKUP(O1945,[1]AttributeName!$B:$B,[1]AttributeName!$D:$D),2,_xlfn.XLOOKUP(C1945,#REF!,#REF!),3,_xlfn.XLOOKUP(C1945,#REF!,#REF!)),0)</f>
        <v>0</v>
      </c>
      <c r="T1945" cm="1">
        <f t="array" ref="T1945">IFERROR(_xlfn.SWITCH(L1945,1,_xlfn.XLOOKUP(O1945,[1]AttributeName!$B:$B,[1]AttributeName!$E:$E),2,_xlfn.XLOOKUP(C1945,#REF!,#REF!),3,_xlfn.XLOOKUP(C1945,#REF!,#REF!)),0)</f>
        <v>1</v>
      </c>
    </row>
    <row r="1946" customFormat="1" spans="1:20">
      <c r="A1946">
        <f t="shared" si="81"/>
        <v>811</v>
      </c>
      <c r="B1946">
        <v>5</v>
      </c>
      <c r="C1946" t="s">
        <v>389</v>
      </c>
      <c r="D1946" t="s">
        <v>31</v>
      </c>
      <c r="E1946" t="s">
        <v>378</v>
      </c>
      <c r="F1946"/>
      <c r="G1946">
        <v>1</v>
      </c>
      <c r="H1946">
        <v>1000</v>
      </c>
      <c r="J1946" cm="1">
        <f t="array" ref="J1946">_xlfn.SWITCH(B1946,1,75,2,61,3,49,4,37,5,25,6,13,7,4,8,1)</f>
        <v>25</v>
      </c>
      <c r="K1946" t="str" cm="1">
        <f t="array" ref="K1946">IFERROR(_xlfn.SWITCH(L1946,2,_xlfn.XLOOKUP(C1946,[1]ModifierDes!$B:$B,[1]ModifierDes!$C:$C),3,_xlfn.XLOOKUP(C1946,[1]StuntDes!$B:$B,[1]StuntDes!$C:$C)),"")</f>
        <v/>
      </c>
      <c r="L1946">
        <f t="shared" si="80"/>
        <v>1</v>
      </c>
      <c r="M1946" s="10" t="str">
        <f>IFERROR(_xlfn.XLOOKUP(C1946,[1]StuntDes!$B:$B,[1]StuntDes!$A:$A),"")</f>
        <v/>
      </c>
      <c r="N1946" s="10" t="str">
        <f>IFERROR(_xlfn.XLOOKUP(C1946,[1]ModifierDes!$B:$B,[1]ModifierDes!$A:$A),"")</f>
        <v/>
      </c>
      <c r="O1946" s="10">
        <f>IFERROR(_xlfn.XLOOKUP(C1946,[1]AttributeName!$C:$C,[1]AttributeName!$B:$B),"")</f>
        <v>10001</v>
      </c>
      <c r="P1946" s="10"/>
      <c r="Q1946">
        <v>60</v>
      </c>
      <c r="R1946">
        <v>80</v>
      </c>
      <c r="S1946" cm="1">
        <f t="array" ref="S1946">IFERROR(_xlfn.SWITCH(L1946,1,_xlfn.XLOOKUP(O1946,[1]AttributeName!$B:$B,[1]AttributeName!$D:$D),2,_xlfn.XLOOKUP(C1946,#REF!,#REF!),3,_xlfn.XLOOKUP(C1946,#REF!,#REF!)),0)</f>
        <v>0</v>
      </c>
      <c r="T1946" cm="1">
        <f t="array" ref="T1946">IFERROR(_xlfn.SWITCH(L1946,1,_xlfn.XLOOKUP(O1946,[1]AttributeName!$B:$B,[1]AttributeName!$E:$E),2,_xlfn.XLOOKUP(C1946,#REF!,#REF!),3,_xlfn.XLOOKUP(C1946,#REF!,#REF!)),0)</f>
        <v>1</v>
      </c>
    </row>
    <row r="1947" customFormat="1" spans="1:20">
      <c r="A1947">
        <f t="shared" si="81"/>
        <v>811</v>
      </c>
      <c r="B1947">
        <v>6</v>
      </c>
      <c r="C1947" t="s">
        <v>389</v>
      </c>
      <c r="D1947" t="s">
        <v>31</v>
      </c>
      <c r="E1947" t="s">
        <v>378</v>
      </c>
      <c r="F1947"/>
      <c r="G1947">
        <v>1</v>
      </c>
      <c r="H1947">
        <v>1000</v>
      </c>
      <c r="J1947" cm="1">
        <f t="array" ref="J1947">_xlfn.SWITCH(B1947,1,75,2,61,3,49,4,37,5,25,6,13,7,4,8,1)</f>
        <v>13</v>
      </c>
      <c r="K1947" t="str" cm="1">
        <f t="array" ref="K1947">IFERROR(_xlfn.SWITCH(L1947,2,_xlfn.XLOOKUP(C1947,[1]ModifierDes!$B:$B,[1]ModifierDes!$C:$C),3,_xlfn.XLOOKUP(C1947,[1]StuntDes!$B:$B,[1]StuntDes!$C:$C)),"")</f>
        <v/>
      </c>
      <c r="L1947">
        <f t="shared" si="80"/>
        <v>1</v>
      </c>
      <c r="M1947" s="10" t="str">
        <f>IFERROR(_xlfn.XLOOKUP(C1947,[1]StuntDes!$B:$B,[1]StuntDes!$A:$A),"")</f>
        <v/>
      </c>
      <c r="N1947" s="10" t="str">
        <f>IFERROR(_xlfn.XLOOKUP(C1947,[1]ModifierDes!$B:$B,[1]ModifierDes!$A:$A),"")</f>
        <v/>
      </c>
      <c r="O1947" s="10">
        <f>IFERROR(_xlfn.XLOOKUP(C1947,[1]AttributeName!$C:$C,[1]AttributeName!$B:$B),"")</f>
        <v>10001</v>
      </c>
      <c r="P1947" s="10"/>
      <c r="Q1947">
        <v>30</v>
      </c>
      <c r="R1947">
        <v>40</v>
      </c>
      <c r="S1947" cm="1">
        <f t="array" ref="S1947">IFERROR(_xlfn.SWITCH(L1947,1,_xlfn.XLOOKUP(O1947,[1]AttributeName!$B:$B,[1]AttributeName!$D:$D),2,_xlfn.XLOOKUP(C1947,#REF!,#REF!),3,_xlfn.XLOOKUP(C1947,#REF!,#REF!)),0)</f>
        <v>0</v>
      </c>
      <c r="T1947" cm="1">
        <f t="array" ref="T1947">IFERROR(_xlfn.SWITCH(L1947,1,_xlfn.XLOOKUP(O1947,[1]AttributeName!$B:$B,[1]AttributeName!$E:$E),2,_xlfn.XLOOKUP(C1947,#REF!,#REF!),3,_xlfn.XLOOKUP(C1947,#REF!,#REF!)),0)</f>
        <v>1</v>
      </c>
    </row>
    <row r="1948" customFormat="1" spans="1:20">
      <c r="A1948">
        <f t="shared" si="81"/>
        <v>811</v>
      </c>
      <c r="B1948">
        <v>7</v>
      </c>
      <c r="C1948" t="s">
        <v>389</v>
      </c>
      <c r="D1948" t="s">
        <v>31</v>
      </c>
      <c r="E1948" t="s">
        <v>378</v>
      </c>
      <c r="F1948"/>
      <c r="G1948">
        <v>1</v>
      </c>
      <c r="H1948">
        <v>1000</v>
      </c>
      <c r="J1948" cm="1">
        <f t="array" ref="J1948">_xlfn.SWITCH(B1948,1,75,2,61,3,49,4,37,5,25,6,13,7,4,8,1)</f>
        <v>4</v>
      </c>
      <c r="K1948" t="str" cm="1">
        <f t="array" ref="K1948">IFERROR(_xlfn.SWITCH(L1948,2,_xlfn.XLOOKUP(C1948,[1]ModifierDes!$B:$B,[1]ModifierDes!$C:$C),3,_xlfn.XLOOKUP(C1948,[1]StuntDes!$B:$B,[1]StuntDes!$C:$C)),"")</f>
        <v/>
      </c>
      <c r="L1948">
        <f t="shared" si="80"/>
        <v>1</v>
      </c>
      <c r="M1948" s="10" t="str">
        <f>IFERROR(_xlfn.XLOOKUP(C1948,[1]StuntDes!$B:$B,[1]StuntDes!$A:$A),"")</f>
        <v/>
      </c>
      <c r="N1948" s="10" t="str">
        <f>IFERROR(_xlfn.XLOOKUP(C1948,[1]ModifierDes!$B:$B,[1]ModifierDes!$A:$A),"")</f>
        <v/>
      </c>
      <c r="O1948" s="10">
        <f>IFERROR(_xlfn.XLOOKUP(C1948,[1]AttributeName!$C:$C,[1]AttributeName!$B:$B),"")</f>
        <v>10001</v>
      </c>
      <c r="P1948" s="10"/>
      <c r="Q1948">
        <v>12</v>
      </c>
      <c r="R1948">
        <v>20</v>
      </c>
      <c r="S1948" cm="1">
        <f t="array" ref="S1948">IFERROR(_xlfn.SWITCH(L1948,1,_xlfn.XLOOKUP(O1948,[1]AttributeName!$B:$B,[1]AttributeName!$D:$D),2,_xlfn.XLOOKUP(C1948,#REF!,#REF!),3,_xlfn.XLOOKUP(C1948,#REF!,#REF!)),0)</f>
        <v>0</v>
      </c>
      <c r="T1948" cm="1">
        <f t="array" ref="T1948">IFERROR(_xlfn.SWITCH(L1948,1,_xlfn.XLOOKUP(O1948,[1]AttributeName!$B:$B,[1]AttributeName!$E:$E),2,_xlfn.XLOOKUP(C1948,#REF!,#REF!),3,_xlfn.XLOOKUP(C1948,#REF!,#REF!)),0)</f>
        <v>1</v>
      </c>
    </row>
    <row r="1949" customFormat="1" spans="1:20">
      <c r="A1949">
        <f t="shared" si="81"/>
        <v>811</v>
      </c>
      <c r="B1949">
        <v>8</v>
      </c>
      <c r="C1949" t="s">
        <v>389</v>
      </c>
      <c r="D1949" t="s">
        <v>31</v>
      </c>
      <c r="E1949" t="s">
        <v>378</v>
      </c>
      <c r="F1949"/>
      <c r="G1949">
        <v>1</v>
      </c>
      <c r="H1949">
        <v>1000</v>
      </c>
      <c r="J1949" cm="1">
        <f t="array" ref="J1949">_xlfn.SWITCH(B1949,1,75,2,61,3,49,4,37,5,25,6,13,7,4,8,1)</f>
        <v>1</v>
      </c>
      <c r="K1949" t="str" cm="1">
        <f t="array" ref="K1949">IFERROR(_xlfn.SWITCH(L1949,2,_xlfn.XLOOKUP(C1949,[1]ModifierDes!$B:$B,[1]ModifierDes!$C:$C),3,_xlfn.XLOOKUP(C1949,[1]StuntDes!$B:$B,[1]StuntDes!$C:$C)),"")</f>
        <v/>
      </c>
      <c r="L1949">
        <f t="shared" si="80"/>
        <v>1</v>
      </c>
      <c r="M1949" s="10" t="str">
        <f>IFERROR(_xlfn.XLOOKUP(C1949,[1]StuntDes!$B:$B,[1]StuntDes!$A:$A),"")</f>
        <v/>
      </c>
      <c r="N1949" s="10" t="str">
        <f>IFERROR(_xlfn.XLOOKUP(C1949,[1]ModifierDes!$B:$B,[1]ModifierDes!$A:$A),"")</f>
        <v/>
      </c>
      <c r="O1949" s="10">
        <f>IFERROR(_xlfn.XLOOKUP(C1949,[1]AttributeName!$C:$C,[1]AttributeName!$B:$B),"")</f>
        <v>10001</v>
      </c>
      <c r="P1949" s="10"/>
      <c r="Q1949">
        <v>6</v>
      </c>
      <c r="R1949">
        <v>10</v>
      </c>
      <c r="S1949" cm="1">
        <f t="array" ref="S1949">IFERROR(_xlfn.SWITCH(L1949,1,_xlfn.XLOOKUP(O1949,[1]AttributeName!$B:$B,[1]AttributeName!$D:$D),2,_xlfn.XLOOKUP(C1949,#REF!,#REF!),3,_xlfn.XLOOKUP(C1949,#REF!,#REF!)),0)</f>
        <v>0</v>
      </c>
      <c r="T1949" cm="1">
        <f t="array" ref="T1949">IFERROR(_xlfn.SWITCH(L1949,1,_xlfn.XLOOKUP(O1949,[1]AttributeName!$B:$B,[1]AttributeName!$E:$E),2,_xlfn.XLOOKUP(C1949,#REF!,#REF!),3,_xlfn.XLOOKUP(C1949,#REF!,#REF!)),0)</f>
        <v>1</v>
      </c>
    </row>
    <row r="1950" customFormat="1" spans="1:20">
      <c r="A1950">
        <f t="shared" si="81"/>
        <v>812</v>
      </c>
      <c r="B1950">
        <v>1</v>
      </c>
      <c r="C1950" t="s">
        <v>416</v>
      </c>
      <c r="D1950" t="s">
        <v>31</v>
      </c>
      <c r="E1950" t="s">
        <v>378</v>
      </c>
      <c r="F1950"/>
      <c r="G1950">
        <v>1</v>
      </c>
      <c r="H1950">
        <v>1000</v>
      </c>
      <c r="J1950" cm="1">
        <f t="array" ref="J1950">_xlfn.SWITCH(B1950,1,75,2,61,3,49,4,37,5,25,6,13,7,4,8,1)</f>
        <v>75</v>
      </c>
      <c r="K1950" t="str" cm="1">
        <f t="array" ref="K1950">IFERROR(_xlfn.SWITCH(L1950,2,_xlfn.XLOOKUP(C1950,[1]ModifierDes!$B:$B,[1]ModifierDes!$C:$C),3,_xlfn.XLOOKUP(C1950,[1]StuntDes!$B:$B,[1]StuntDes!$C:$C)),"")</f>
        <v/>
      </c>
      <c r="L1950">
        <f t="shared" si="80"/>
        <v>1</v>
      </c>
      <c r="M1950" s="10" t="str">
        <f>IFERROR(_xlfn.XLOOKUP(C1950,[1]StuntDes!$B:$B,[1]StuntDes!$A:$A),"")</f>
        <v/>
      </c>
      <c r="N1950" s="10" t="str">
        <f>IFERROR(_xlfn.XLOOKUP(C1950,[1]ModifierDes!$B:$B,[1]ModifierDes!$A:$A),"")</f>
        <v/>
      </c>
      <c r="O1950" s="10">
        <f>IFERROR(_xlfn.XLOOKUP(C1950,[1]AttributeName!$C:$C,[1]AttributeName!$B:$B),"")</f>
        <v>10002</v>
      </c>
      <c r="P1950" s="10"/>
      <c r="Q1950">
        <v>36</v>
      </c>
      <c r="R1950">
        <v>40</v>
      </c>
      <c r="S1950" cm="1">
        <f t="array" ref="S1950">IFERROR(_xlfn.SWITCH(L1950,1,_xlfn.XLOOKUP(O1950,[1]AttributeName!$B:$B,[1]AttributeName!$D:$D),2,_xlfn.XLOOKUP(C1950,#REF!,#REF!),3,_xlfn.XLOOKUP(C1950,#REF!,#REF!)),0)</f>
        <v>0</v>
      </c>
      <c r="T1950" cm="1">
        <f t="array" ref="T1950">IFERROR(_xlfn.SWITCH(L1950,1,_xlfn.XLOOKUP(O1950,[1]AttributeName!$B:$B,[1]AttributeName!$E:$E),2,_xlfn.XLOOKUP(C1950,#REF!,#REF!),3,_xlfn.XLOOKUP(C1950,#REF!,#REF!)),0)</f>
        <v>1</v>
      </c>
    </row>
    <row r="1951" customFormat="1" spans="1:20">
      <c r="A1951">
        <f t="shared" si="81"/>
        <v>812</v>
      </c>
      <c r="B1951">
        <v>2</v>
      </c>
      <c r="C1951" t="s">
        <v>416</v>
      </c>
      <c r="D1951" t="s">
        <v>31</v>
      </c>
      <c r="E1951" t="s">
        <v>378</v>
      </c>
      <c r="F1951"/>
      <c r="G1951">
        <v>1</v>
      </c>
      <c r="H1951">
        <v>1000</v>
      </c>
      <c r="J1951" cm="1">
        <f t="array" ref="J1951">_xlfn.SWITCH(B1951,1,75,2,61,3,49,4,37,5,25,6,13,7,4,8,1)</f>
        <v>61</v>
      </c>
      <c r="K1951" t="str" cm="1">
        <f t="array" ref="K1951">IFERROR(_xlfn.SWITCH(L1951,2,_xlfn.XLOOKUP(C1951,[1]ModifierDes!$B:$B,[1]ModifierDes!$C:$C),3,_xlfn.XLOOKUP(C1951,[1]StuntDes!$B:$B,[1]StuntDes!$C:$C)),"")</f>
        <v/>
      </c>
      <c r="L1951">
        <f t="shared" si="80"/>
        <v>1</v>
      </c>
      <c r="M1951" s="10" t="str">
        <f>IFERROR(_xlfn.XLOOKUP(C1951,[1]StuntDes!$B:$B,[1]StuntDes!$A:$A),"")</f>
        <v/>
      </c>
      <c r="N1951" s="10" t="str">
        <f>IFERROR(_xlfn.XLOOKUP(C1951,[1]ModifierDes!$B:$B,[1]ModifierDes!$A:$A),"")</f>
        <v/>
      </c>
      <c r="O1951" s="10">
        <f>IFERROR(_xlfn.XLOOKUP(C1951,[1]AttributeName!$C:$C,[1]AttributeName!$B:$B),"")</f>
        <v>10002</v>
      </c>
      <c r="P1951" s="10"/>
      <c r="Q1951">
        <v>31</v>
      </c>
      <c r="R1951">
        <v>35</v>
      </c>
      <c r="S1951" cm="1">
        <f t="array" ref="S1951">IFERROR(_xlfn.SWITCH(L1951,1,_xlfn.XLOOKUP(O1951,[1]AttributeName!$B:$B,[1]AttributeName!$D:$D),2,_xlfn.XLOOKUP(C1951,#REF!,#REF!),3,_xlfn.XLOOKUP(C1951,#REF!,#REF!)),0)</f>
        <v>0</v>
      </c>
      <c r="T1951" cm="1">
        <f t="array" ref="T1951">IFERROR(_xlfn.SWITCH(L1951,1,_xlfn.XLOOKUP(O1951,[1]AttributeName!$B:$B,[1]AttributeName!$E:$E),2,_xlfn.XLOOKUP(C1951,#REF!,#REF!),3,_xlfn.XLOOKUP(C1951,#REF!,#REF!)),0)</f>
        <v>1</v>
      </c>
    </row>
    <row r="1952" customFormat="1" spans="1:20">
      <c r="A1952">
        <f t="shared" si="81"/>
        <v>812</v>
      </c>
      <c r="B1952">
        <v>3</v>
      </c>
      <c r="C1952" t="s">
        <v>416</v>
      </c>
      <c r="D1952" t="s">
        <v>31</v>
      </c>
      <c r="E1952" t="s">
        <v>378</v>
      </c>
      <c r="F1952"/>
      <c r="G1952">
        <v>1</v>
      </c>
      <c r="H1952">
        <v>1000</v>
      </c>
      <c r="J1952" cm="1">
        <f t="array" ref="J1952">_xlfn.SWITCH(B1952,1,75,2,61,3,49,4,37,5,25,6,13,7,4,8,1)</f>
        <v>49</v>
      </c>
      <c r="K1952" t="str" cm="1">
        <f t="array" ref="K1952">IFERROR(_xlfn.SWITCH(L1952,2,_xlfn.XLOOKUP(C1952,[1]ModifierDes!$B:$B,[1]ModifierDes!$C:$C),3,_xlfn.XLOOKUP(C1952,[1]StuntDes!$B:$B,[1]StuntDes!$C:$C)),"")</f>
        <v/>
      </c>
      <c r="L1952">
        <f t="shared" si="80"/>
        <v>1</v>
      </c>
      <c r="M1952" s="10" t="str">
        <f>IFERROR(_xlfn.XLOOKUP(C1952,[1]StuntDes!$B:$B,[1]StuntDes!$A:$A),"")</f>
        <v/>
      </c>
      <c r="N1952" s="10" t="str">
        <f>IFERROR(_xlfn.XLOOKUP(C1952,[1]ModifierDes!$B:$B,[1]ModifierDes!$A:$A),"")</f>
        <v/>
      </c>
      <c r="O1952" s="10">
        <f>IFERROR(_xlfn.XLOOKUP(C1952,[1]AttributeName!$C:$C,[1]AttributeName!$B:$B),"")</f>
        <v>10002</v>
      </c>
      <c r="P1952" s="10"/>
      <c r="Q1952">
        <v>26</v>
      </c>
      <c r="R1952">
        <v>30</v>
      </c>
      <c r="S1952" cm="1">
        <f t="array" ref="S1952">IFERROR(_xlfn.SWITCH(L1952,1,_xlfn.XLOOKUP(O1952,[1]AttributeName!$B:$B,[1]AttributeName!$D:$D),2,_xlfn.XLOOKUP(C1952,#REF!,#REF!),3,_xlfn.XLOOKUP(C1952,#REF!,#REF!)),0)</f>
        <v>0</v>
      </c>
      <c r="T1952" cm="1">
        <f t="array" ref="T1952">IFERROR(_xlfn.SWITCH(L1952,1,_xlfn.XLOOKUP(O1952,[1]AttributeName!$B:$B,[1]AttributeName!$E:$E),2,_xlfn.XLOOKUP(C1952,#REF!,#REF!),3,_xlfn.XLOOKUP(C1952,#REF!,#REF!)),0)</f>
        <v>1</v>
      </c>
    </row>
    <row r="1953" customFormat="1" spans="1:20">
      <c r="A1953">
        <f t="shared" si="81"/>
        <v>812</v>
      </c>
      <c r="B1953">
        <v>4</v>
      </c>
      <c r="C1953" t="s">
        <v>416</v>
      </c>
      <c r="D1953" t="s">
        <v>31</v>
      </c>
      <c r="E1953" t="s">
        <v>378</v>
      </c>
      <c r="F1953"/>
      <c r="G1953">
        <v>1</v>
      </c>
      <c r="H1953">
        <v>1000</v>
      </c>
      <c r="J1953" cm="1">
        <f t="array" ref="J1953">_xlfn.SWITCH(B1953,1,75,2,61,3,49,4,37,5,25,6,13,7,4,8,1)</f>
        <v>37</v>
      </c>
      <c r="K1953" t="str" cm="1">
        <f t="array" ref="K1953">IFERROR(_xlfn.SWITCH(L1953,2,_xlfn.XLOOKUP(C1953,[1]ModifierDes!$B:$B,[1]ModifierDes!$C:$C),3,_xlfn.XLOOKUP(C1953,[1]StuntDes!$B:$B,[1]StuntDes!$C:$C)),"")</f>
        <v/>
      </c>
      <c r="L1953">
        <f t="shared" si="80"/>
        <v>1</v>
      </c>
      <c r="M1953" s="10" t="str">
        <f>IFERROR(_xlfn.XLOOKUP(C1953,[1]StuntDes!$B:$B,[1]StuntDes!$A:$A),"")</f>
        <v/>
      </c>
      <c r="N1953" s="10" t="str">
        <f>IFERROR(_xlfn.XLOOKUP(C1953,[1]ModifierDes!$B:$B,[1]ModifierDes!$A:$A),"")</f>
        <v/>
      </c>
      <c r="O1953" s="10">
        <f>IFERROR(_xlfn.XLOOKUP(C1953,[1]AttributeName!$C:$C,[1]AttributeName!$B:$B),"")</f>
        <v>10002</v>
      </c>
      <c r="P1953" s="10"/>
      <c r="Q1953">
        <v>21</v>
      </c>
      <c r="R1953">
        <v>25</v>
      </c>
      <c r="S1953" cm="1">
        <f t="array" ref="S1953">IFERROR(_xlfn.SWITCH(L1953,1,_xlfn.XLOOKUP(O1953,[1]AttributeName!$B:$B,[1]AttributeName!$D:$D),2,_xlfn.XLOOKUP(C1953,#REF!,#REF!),3,_xlfn.XLOOKUP(C1953,#REF!,#REF!)),0)</f>
        <v>0</v>
      </c>
      <c r="T1953" cm="1">
        <f t="array" ref="T1953">IFERROR(_xlfn.SWITCH(L1953,1,_xlfn.XLOOKUP(O1953,[1]AttributeName!$B:$B,[1]AttributeName!$E:$E),2,_xlfn.XLOOKUP(C1953,#REF!,#REF!),3,_xlfn.XLOOKUP(C1953,#REF!,#REF!)),0)</f>
        <v>1</v>
      </c>
    </row>
    <row r="1954" customFormat="1" spans="1:20">
      <c r="A1954">
        <f t="shared" si="81"/>
        <v>812</v>
      </c>
      <c r="B1954">
        <v>5</v>
      </c>
      <c r="C1954" t="s">
        <v>416</v>
      </c>
      <c r="D1954" t="s">
        <v>31</v>
      </c>
      <c r="E1954" t="s">
        <v>378</v>
      </c>
      <c r="F1954"/>
      <c r="G1954">
        <v>1</v>
      </c>
      <c r="H1954">
        <v>1000</v>
      </c>
      <c r="J1954" cm="1">
        <f t="array" ref="J1954">_xlfn.SWITCH(B1954,1,75,2,61,3,49,4,37,5,25,6,13,7,4,8,1)</f>
        <v>25</v>
      </c>
      <c r="K1954" t="str" cm="1">
        <f t="array" ref="K1954">IFERROR(_xlfn.SWITCH(L1954,2,_xlfn.XLOOKUP(C1954,[1]ModifierDes!$B:$B,[1]ModifierDes!$C:$C),3,_xlfn.XLOOKUP(C1954,[1]StuntDes!$B:$B,[1]StuntDes!$C:$C)),"")</f>
        <v/>
      </c>
      <c r="L1954">
        <f t="shared" si="80"/>
        <v>1</v>
      </c>
      <c r="M1954" s="10" t="str">
        <f>IFERROR(_xlfn.XLOOKUP(C1954,[1]StuntDes!$B:$B,[1]StuntDes!$A:$A),"")</f>
        <v/>
      </c>
      <c r="N1954" s="10" t="str">
        <f>IFERROR(_xlfn.XLOOKUP(C1954,[1]ModifierDes!$B:$B,[1]ModifierDes!$A:$A),"")</f>
        <v/>
      </c>
      <c r="O1954" s="10">
        <f>IFERROR(_xlfn.XLOOKUP(C1954,[1]AttributeName!$C:$C,[1]AttributeName!$B:$B),"")</f>
        <v>10002</v>
      </c>
      <c r="P1954" s="10"/>
      <c r="Q1954">
        <v>16</v>
      </c>
      <c r="R1954">
        <v>20</v>
      </c>
      <c r="S1954" cm="1">
        <f t="array" ref="S1954">IFERROR(_xlfn.SWITCH(L1954,1,_xlfn.XLOOKUP(O1954,[1]AttributeName!$B:$B,[1]AttributeName!$D:$D),2,_xlfn.XLOOKUP(C1954,#REF!,#REF!),3,_xlfn.XLOOKUP(C1954,#REF!,#REF!)),0)</f>
        <v>0</v>
      </c>
      <c r="T1954" cm="1">
        <f t="array" ref="T1954">IFERROR(_xlfn.SWITCH(L1954,1,_xlfn.XLOOKUP(O1954,[1]AttributeName!$B:$B,[1]AttributeName!$E:$E),2,_xlfn.XLOOKUP(C1954,#REF!,#REF!),3,_xlfn.XLOOKUP(C1954,#REF!,#REF!)),0)</f>
        <v>1</v>
      </c>
    </row>
    <row r="1955" customFormat="1" spans="1:20">
      <c r="A1955">
        <f t="shared" si="81"/>
        <v>812</v>
      </c>
      <c r="B1955">
        <v>6</v>
      </c>
      <c r="C1955" t="s">
        <v>416</v>
      </c>
      <c r="D1955" t="s">
        <v>31</v>
      </c>
      <c r="E1955" t="s">
        <v>378</v>
      </c>
      <c r="F1955"/>
      <c r="G1955">
        <v>1</v>
      </c>
      <c r="H1955">
        <v>1000</v>
      </c>
      <c r="J1955" cm="1">
        <f t="array" ref="J1955">_xlfn.SWITCH(B1955,1,75,2,61,3,49,4,37,5,25,6,13,7,4,8,1)</f>
        <v>13</v>
      </c>
      <c r="K1955" t="str" cm="1">
        <f t="array" ref="K1955">IFERROR(_xlfn.SWITCH(L1955,2,_xlfn.XLOOKUP(C1955,[1]ModifierDes!$B:$B,[1]ModifierDes!$C:$C),3,_xlfn.XLOOKUP(C1955,[1]StuntDes!$B:$B,[1]StuntDes!$C:$C)),"")</f>
        <v/>
      </c>
      <c r="L1955">
        <f t="shared" si="80"/>
        <v>1</v>
      </c>
      <c r="M1955" s="10" t="str">
        <f>IFERROR(_xlfn.XLOOKUP(C1955,[1]StuntDes!$B:$B,[1]StuntDes!$A:$A),"")</f>
        <v/>
      </c>
      <c r="N1955" s="10" t="str">
        <f>IFERROR(_xlfn.XLOOKUP(C1955,[1]ModifierDes!$B:$B,[1]ModifierDes!$A:$A),"")</f>
        <v/>
      </c>
      <c r="O1955" s="10">
        <f>IFERROR(_xlfn.XLOOKUP(C1955,[1]AttributeName!$C:$C,[1]AttributeName!$B:$B),"")</f>
        <v>10002</v>
      </c>
      <c r="P1955" s="10"/>
      <c r="Q1955">
        <v>11</v>
      </c>
      <c r="R1955">
        <v>15</v>
      </c>
      <c r="S1955" cm="1">
        <f t="array" ref="S1955">IFERROR(_xlfn.SWITCH(L1955,1,_xlfn.XLOOKUP(O1955,[1]AttributeName!$B:$B,[1]AttributeName!$D:$D),2,_xlfn.XLOOKUP(C1955,#REF!,#REF!),3,_xlfn.XLOOKUP(C1955,#REF!,#REF!)),0)</f>
        <v>0</v>
      </c>
      <c r="T1955" cm="1">
        <f t="array" ref="T1955">IFERROR(_xlfn.SWITCH(L1955,1,_xlfn.XLOOKUP(O1955,[1]AttributeName!$B:$B,[1]AttributeName!$E:$E),2,_xlfn.XLOOKUP(C1955,#REF!,#REF!),3,_xlfn.XLOOKUP(C1955,#REF!,#REF!)),0)</f>
        <v>1</v>
      </c>
    </row>
    <row r="1956" customFormat="1" spans="1:20">
      <c r="A1956">
        <f t="shared" si="81"/>
        <v>812</v>
      </c>
      <c r="B1956">
        <v>7</v>
      </c>
      <c r="C1956" t="s">
        <v>416</v>
      </c>
      <c r="D1956" t="s">
        <v>31</v>
      </c>
      <c r="E1956" t="s">
        <v>378</v>
      </c>
      <c r="F1956"/>
      <c r="G1956">
        <v>1</v>
      </c>
      <c r="H1956">
        <v>1000</v>
      </c>
      <c r="J1956" cm="1">
        <f t="array" ref="J1956">_xlfn.SWITCH(B1956,1,75,2,61,3,49,4,37,5,25,6,13,7,4,8,1)</f>
        <v>4</v>
      </c>
      <c r="K1956" t="str" cm="1">
        <f t="array" ref="K1956">IFERROR(_xlfn.SWITCH(L1956,2,_xlfn.XLOOKUP(C1956,[1]ModifierDes!$B:$B,[1]ModifierDes!$C:$C),3,_xlfn.XLOOKUP(C1956,[1]StuntDes!$B:$B,[1]StuntDes!$C:$C)),"")</f>
        <v/>
      </c>
      <c r="L1956">
        <f t="shared" si="80"/>
        <v>1</v>
      </c>
      <c r="M1956" s="10" t="str">
        <f>IFERROR(_xlfn.XLOOKUP(C1956,[1]StuntDes!$B:$B,[1]StuntDes!$A:$A),"")</f>
        <v/>
      </c>
      <c r="N1956" s="10" t="str">
        <f>IFERROR(_xlfn.XLOOKUP(C1956,[1]ModifierDes!$B:$B,[1]ModifierDes!$A:$A),"")</f>
        <v/>
      </c>
      <c r="O1956" s="10">
        <f>IFERROR(_xlfn.XLOOKUP(C1956,[1]AttributeName!$C:$C,[1]AttributeName!$B:$B),"")</f>
        <v>10002</v>
      </c>
      <c r="P1956" s="10"/>
      <c r="Q1956">
        <v>5</v>
      </c>
      <c r="R1956">
        <v>10</v>
      </c>
      <c r="S1956" cm="1">
        <f t="array" ref="S1956">IFERROR(_xlfn.SWITCH(L1956,1,_xlfn.XLOOKUP(O1956,[1]AttributeName!$B:$B,[1]AttributeName!$D:$D),2,_xlfn.XLOOKUP(C1956,#REF!,#REF!),3,_xlfn.XLOOKUP(C1956,#REF!,#REF!)),0)</f>
        <v>0</v>
      </c>
      <c r="T1956" cm="1">
        <f t="array" ref="T1956">IFERROR(_xlfn.SWITCH(L1956,1,_xlfn.XLOOKUP(O1956,[1]AttributeName!$B:$B,[1]AttributeName!$E:$E),2,_xlfn.XLOOKUP(C1956,#REF!,#REF!),3,_xlfn.XLOOKUP(C1956,#REF!,#REF!)),0)</f>
        <v>1</v>
      </c>
    </row>
    <row r="1957" customFormat="1" spans="1:20">
      <c r="A1957">
        <f t="shared" si="81"/>
        <v>812</v>
      </c>
      <c r="B1957">
        <v>8</v>
      </c>
      <c r="C1957" t="s">
        <v>416</v>
      </c>
      <c r="D1957" t="s">
        <v>31</v>
      </c>
      <c r="E1957" t="s">
        <v>378</v>
      </c>
      <c r="F1957"/>
      <c r="G1957">
        <v>1</v>
      </c>
      <c r="H1957">
        <v>1000</v>
      </c>
      <c r="J1957" cm="1">
        <f t="array" ref="J1957">_xlfn.SWITCH(B1957,1,75,2,61,3,49,4,37,5,25,6,13,7,4,8,1)</f>
        <v>1</v>
      </c>
      <c r="K1957" t="str" cm="1">
        <f t="array" ref="K1957">IFERROR(_xlfn.SWITCH(L1957,2,_xlfn.XLOOKUP(C1957,[1]ModifierDes!$B:$B,[1]ModifierDes!$C:$C),3,_xlfn.XLOOKUP(C1957,[1]StuntDes!$B:$B,[1]StuntDes!$C:$C)),"")</f>
        <v/>
      </c>
      <c r="L1957">
        <f t="shared" si="80"/>
        <v>1</v>
      </c>
      <c r="M1957" s="10" t="str">
        <f>IFERROR(_xlfn.XLOOKUP(C1957,[1]StuntDes!$B:$B,[1]StuntDes!$A:$A),"")</f>
        <v/>
      </c>
      <c r="N1957" s="10" t="str">
        <f>IFERROR(_xlfn.XLOOKUP(C1957,[1]ModifierDes!$B:$B,[1]ModifierDes!$A:$A),"")</f>
        <v/>
      </c>
      <c r="O1957" s="10">
        <f>IFERROR(_xlfn.XLOOKUP(C1957,[1]AttributeName!$C:$C,[1]AttributeName!$B:$B),"")</f>
        <v>10002</v>
      </c>
      <c r="P1957" s="10"/>
      <c r="Q1957">
        <v>3</v>
      </c>
      <c r="R1957">
        <v>5</v>
      </c>
      <c r="S1957" cm="1">
        <f t="array" ref="S1957">IFERROR(_xlfn.SWITCH(L1957,1,_xlfn.XLOOKUP(O1957,[1]AttributeName!$B:$B,[1]AttributeName!$D:$D),2,_xlfn.XLOOKUP(C1957,#REF!,#REF!),3,_xlfn.XLOOKUP(C1957,#REF!,#REF!)),0)</f>
        <v>0</v>
      </c>
      <c r="T1957" cm="1">
        <f t="array" ref="T1957">IFERROR(_xlfn.SWITCH(L1957,1,_xlfn.XLOOKUP(O1957,[1]AttributeName!$B:$B,[1]AttributeName!$E:$E),2,_xlfn.XLOOKUP(C1957,#REF!,#REF!),3,_xlfn.XLOOKUP(C1957,#REF!,#REF!)),0)</f>
        <v>1</v>
      </c>
    </row>
    <row r="1958" customFormat="1" spans="1:20">
      <c r="A1958">
        <f t="shared" si="81"/>
        <v>813</v>
      </c>
      <c r="B1958">
        <v>1</v>
      </c>
      <c r="C1958" t="s">
        <v>390</v>
      </c>
      <c r="D1958" t="s">
        <v>31</v>
      </c>
      <c r="E1958" t="s">
        <v>378</v>
      </c>
      <c r="F1958"/>
      <c r="G1958">
        <v>1</v>
      </c>
      <c r="H1958">
        <v>1000</v>
      </c>
      <c r="J1958" cm="1">
        <f t="array" ref="J1958">_xlfn.SWITCH(B1958,1,75,2,61,3,49,4,37,5,25,6,13,7,4,8,1)</f>
        <v>75</v>
      </c>
      <c r="K1958" t="str" cm="1">
        <f t="array" ref="K1958">IFERROR(_xlfn.SWITCH(L1958,2,_xlfn.XLOOKUP(C1958,[1]ModifierDes!$B:$B,[1]ModifierDes!$C:$C),3,_xlfn.XLOOKUP(C1958,[1]StuntDes!$B:$B,[1]StuntDes!$C:$C)),"")</f>
        <v/>
      </c>
      <c r="L1958">
        <f t="shared" si="80"/>
        <v>1</v>
      </c>
      <c r="M1958" s="10" t="str">
        <f>IFERROR(_xlfn.XLOOKUP(C1958,[1]StuntDes!$B:$B,[1]StuntDes!$A:$A),"")</f>
        <v/>
      </c>
      <c r="N1958" s="10" t="str">
        <f>IFERROR(_xlfn.XLOOKUP(C1958,[1]ModifierDes!$B:$B,[1]ModifierDes!$A:$A),"")</f>
        <v/>
      </c>
      <c r="O1958" s="10">
        <f>IFERROR(_xlfn.XLOOKUP(C1958,[1]AttributeName!$C:$C,[1]AttributeName!$B:$B),"")</f>
        <v>10009</v>
      </c>
      <c r="P1958" s="10"/>
      <c r="Q1958">
        <v>0.18</v>
      </c>
      <c r="R1958">
        <v>0.2</v>
      </c>
      <c r="S1958" cm="1">
        <f t="array" ref="S1958">IFERROR(_xlfn.SWITCH(L1958,1,_xlfn.XLOOKUP(O1958,[1]AttributeName!$B:$B,[1]AttributeName!$D:$D),2,_xlfn.XLOOKUP(C1958,#REF!,#REF!),3,_xlfn.XLOOKUP(C1958,#REF!,#REF!)),0)</f>
        <v>2</v>
      </c>
      <c r="T1958" cm="1">
        <f t="array" ref="T1958">IFERROR(_xlfn.SWITCH(L1958,1,_xlfn.XLOOKUP(O1958,[1]AttributeName!$B:$B,[1]AttributeName!$E:$E),2,_xlfn.XLOOKUP(C1958,#REF!,#REF!),3,_xlfn.XLOOKUP(C1958,#REF!,#REF!)),0)</f>
        <v>2</v>
      </c>
    </row>
    <row r="1959" customFormat="1" spans="1:20">
      <c r="A1959">
        <f t="shared" si="81"/>
        <v>813</v>
      </c>
      <c r="B1959">
        <v>2</v>
      </c>
      <c r="C1959" t="s">
        <v>390</v>
      </c>
      <c r="D1959" t="s">
        <v>31</v>
      </c>
      <c r="E1959" t="s">
        <v>378</v>
      </c>
      <c r="F1959"/>
      <c r="G1959">
        <v>1</v>
      </c>
      <c r="H1959">
        <v>1000</v>
      </c>
      <c r="J1959" cm="1">
        <f t="array" ref="J1959">_xlfn.SWITCH(B1959,1,75,2,61,3,49,4,37,5,25,6,13,7,4,8,1)</f>
        <v>61</v>
      </c>
      <c r="K1959" t="str" cm="1">
        <f t="array" ref="K1959">IFERROR(_xlfn.SWITCH(L1959,2,_xlfn.XLOOKUP(C1959,[1]ModifierDes!$B:$B,[1]ModifierDes!$C:$C),3,_xlfn.XLOOKUP(C1959,[1]StuntDes!$B:$B,[1]StuntDes!$C:$C)),"")</f>
        <v/>
      </c>
      <c r="L1959">
        <f t="shared" si="80"/>
        <v>1</v>
      </c>
      <c r="M1959" s="10" t="str">
        <f>IFERROR(_xlfn.XLOOKUP(C1959,[1]StuntDes!$B:$B,[1]StuntDes!$A:$A),"")</f>
        <v/>
      </c>
      <c r="N1959" s="10" t="str">
        <f>IFERROR(_xlfn.XLOOKUP(C1959,[1]ModifierDes!$B:$B,[1]ModifierDes!$A:$A),"")</f>
        <v/>
      </c>
      <c r="O1959" s="10">
        <f>IFERROR(_xlfn.XLOOKUP(C1959,[1]AttributeName!$C:$C,[1]AttributeName!$B:$B),"")</f>
        <v>10009</v>
      </c>
      <c r="P1959" s="10"/>
      <c r="Q1959">
        <v>0.16</v>
      </c>
      <c r="R1959">
        <v>0.17</v>
      </c>
      <c r="S1959" cm="1">
        <f t="array" ref="S1959">IFERROR(_xlfn.SWITCH(L1959,1,_xlfn.XLOOKUP(O1959,[1]AttributeName!$B:$B,[1]AttributeName!$D:$D),2,_xlfn.XLOOKUP(C1959,#REF!,#REF!),3,_xlfn.XLOOKUP(C1959,#REF!,#REF!)),0)</f>
        <v>2</v>
      </c>
      <c r="T1959" cm="1">
        <f t="array" ref="T1959">IFERROR(_xlfn.SWITCH(L1959,1,_xlfn.XLOOKUP(O1959,[1]AttributeName!$B:$B,[1]AttributeName!$E:$E),2,_xlfn.XLOOKUP(C1959,#REF!,#REF!),3,_xlfn.XLOOKUP(C1959,#REF!,#REF!)),0)</f>
        <v>2</v>
      </c>
    </row>
    <row r="1960" customFormat="1" spans="1:20">
      <c r="A1960">
        <f t="shared" si="81"/>
        <v>813</v>
      </c>
      <c r="B1960">
        <v>3</v>
      </c>
      <c r="C1960" t="s">
        <v>390</v>
      </c>
      <c r="D1960" t="s">
        <v>31</v>
      </c>
      <c r="E1960" t="s">
        <v>378</v>
      </c>
      <c r="F1960"/>
      <c r="G1960">
        <v>1</v>
      </c>
      <c r="H1960">
        <v>1000</v>
      </c>
      <c r="J1960" cm="1">
        <f t="array" ref="J1960">_xlfn.SWITCH(B1960,1,75,2,61,3,49,4,37,5,25,6,13,7,4,8,1)</f>
        <v>49</v>
      </c>
      <c r="K1960" t="str" cm="1">
        <f t="array" ref="K1960">IFERROR(_xlfn.SWITCH(L1960,2,_xlfn.XLOOKUP(C1960,[1]ModifierDes!$B:$B,[1]ModifierDes!$C:$C),3,_xlfn.XLOOKUP(C1960,[1]StuntDes!$B:$B,[1]StuntDes!$C:$C)),"")</f>
        <v/>
      </c>
      <c r="L1960">
        <f t="shared" si="80"/>
        <v>1</v>
      </c>
      <c r="M1960" s="10" t="str">
        <f>IFERROR(_xlfn.XLOOKUP(C1960,[1]StuntDes!$B:$B,[1]StuntDes!$A:$A),"")</f>
        <v/>
      </c>
      <c r="N1960" s="10" t="str">
        <f>IFERROR(_xlfn.XLOOKUP(C1960,[1]ModifierDes!$B:$B,[1]ModifierDes!$A:$A),"")</f>
        <v/>
      </c>
      <c r="O1960" s="10">
        <f>IFERROR(_xlfn.XLOOKUP(C1960,[1]AttributeName!$C:$C,[1]AttributeName!$B:$B),"")</f>
        <v>10009</v>
      </c>
      <c r="P1960" s="10"/>
      <c r="Q1960">
        <v>0.13</v>
      </c>
      <c r="R1960">
        <v>0.15</v>
      </c>
      <c r="S1960" cm="1">
        <f t="array" ref="S1960">IFERROR(_xlfn.SWITCH(L1960,1,_xlfn.XLOOKUP(O1960,[1]AttributeName!$B:$B,[1]AttributeName!$D:$D),2,_xlfn.XLOOKUP(C1960,#REF!,#REF!),3,_xlfn.XLOOKUP(C1960,#REF!,#REF!)),0)</f>
        <v>2</v>
      </c>
      <c r="T1960" cm="1">
        <f t="array" ref="T1960">IFERROR(_xlfn.SWITCH(L1960,1,_xlfn.XLOOKUP(O1960,[1]AttributeName!$B:$B,[1]AttributeName!$E:$E),2,_xlfn.XLOOKUP(C1960,#REF!,#REF!),3,_xlfn.XLOOKUP(C1960,#REF!,#REF!)),0)</f>
        <v>2</v>
      </c>
    </row>
    <row r="1961" customFormat="1" spans="1:20">
      <c r="A1961">
        <f t="shared" si="81"/>
        <v>813</v>
      </c>
      <c r="B1961">
        <v>4</v>
      </c>
      <c r="C1961" t="s">
        <v>390</v>
      </c>
      <c r="D1961" t="s">
        <v>31</v>
      </c>
      <c r="E1961" t="s">
        <v>378</v>
      </c>
      <c r="F1961"/>
      <c r="G1961">
        <v>1</v>
      </c>
      <c r="H1961">
        <v>1000</v>
      </c>
      <c r="J1961" cm="1">
        <f t="array" ref="J1961">_xlfn.SWITCH(B1961,1,75,2,61,3,49,4,37,5,25,6,13,7,4,8,1)</f>
        <v>37</v>
      </c>
      <c r="K1961" t="str" cm="1">
        <f t="array" ref="K1961">IFERROR(_xlfn.SWITCH(L1961,2,_xlfn.XLOOKUP(C1961,[1]ModifierDes!$B:$B,[1]ModifierDes!$C:$C),3,_xlfn.XLOOKUP(C1961,[1]StuntDes!$B:$B,[1]StuntDes!$C:$C)),"")</f>
        <v/>
      </c>
      <c r="L1961">
        <f t="shared" si="80"/>
        <v>1</v>
      </c>
      <c r="M1961" s="10" t="str">
        <f>IFERROR(_xlfn.XLOOKUP(C1961,[1]StuntDes!$B:$B,[1]StuntDes!$A:$A),"")</f>
        <v/>
      </c>
      <c r="N1961" s="10" t="str">
        <f>IFERROR(_xlfn.XLOOKUP(C1961,[1]ModifierDes!$B:$B,[1]ModifierDes!$A:$A),"")</f>
        <v/>
      </c>
      <c r="O1961" s="10">
        <f>IFERROR(_xlfn.XLOOKUP(C1961,[1]AttributeName!$C:$C,[1]AttributeName!$B:$B),"")</f>
        <v>10009</v>
      </c>
      <c r="P1961" s="10"/>
      <c r="Q1961">
        <v>0.11</v>
      </c>
      <c r="R1961">
        <v>0.12</v>
      </c>
      <c r="S1961" cm="1">
        <f t="array" ref="S1961">IFERROR(_xlfn.SWITCH(L1961,1,_xlfn.XLOOKUP(O1961,[1]AttributeName!$B:$B,[1]AttributeName!$D:$D),2,_xlfn.XLOOKUP(C1961,#REF!,#REF!),3,_xlfn.XLOOKUP(C1961,#REF!,#REF!)),0)</f>
        <v>2</v>
      </c>
      <c r="T1961" cm="1">
        <f t="array" ref="T1961">IFERROR(_xlfn.SWITCH(L1961,1,_xlfn.XLOOKUP(O1961,[1]AttributeName!$B:$B,[1]AttributeName!$E:$E),2,_xlfn.XLOOKUP(C1961,#REF!,#REF!),3,_xlfn.XLOOKUP(C1961,#REF!,#REF!)),0)</f>
        <v>2</v>
      </c>
    </row>
    <row r="1962" customFormat="1" spans="1:20">
      <c r="A1962">
        <f t="shared" si="81"/>
        <v>813</v>
      </c>
      <c r="B1962">
        <v>5</v>
      </c>
      <c r="C1962" t="s">
        <v>390</v>
      </c>
      <c r="D1962" t="s">
        <v>31</v>
      </c>
      <c r="E1962" t="s">
        <v>378</v>
      </c>
      <c r="F1962"/>
      <c r="G1962">
        <v>1</v>
      </c>
      <c r="H1962">
        <v>1000</v>
      </c>
      <c r="J1962" cm="1">
        <f t="array" ref="J1962">_xlfn.SWITCH(B1962,1,75,2,61,3,49,4,37,5,25,6,13,7,4,8,1)</f>
        <v>25</v>
      </c>
      <c r="K1962" t="str" cm="1">
        <f t="array" ref="K1962">IFERROR(_xlfn.SWITCH(L1962,2,_xlfn.XLOOKUP(C1962,[1]ModifierDes!$B:$B,[1]ModifierDes!$C:$C),3,_xlfn.XLOOKUP(C1962,[1]StuntDes!$B:$B,[1]StuntDes!$C:$C)),"")</f>
        <v/>
      </c>
      <c r="L1962">
        <f t="shared" si="80"/>
        <v>1</v>
      </c>
      <c r="M1962" s="10" t="str">
        <f>IFERROR(_xlfn.XLOOKUP(C1962,[1]StuntDes!$B:$B,[1]StuntDes!$A:$A),"")</f>
        <v/>
      </c>
      <c r="N1962" s="10" t="str">
        <f>IFERROR(_xlfn.XLOOKUP(C1962,[1]ModifierDes!$B:$B,[1]ModifierDes!$A:$A),"")</f>
        <v/>
      </c>
      <c r="O1962" s="10">
        <f>IFERROR(_xlfn.XLOOKUP(C1962,[1]AttributeName!$C:$C,[1]AttributeName!$B:$B),"")</f>
        <v>10009</v>
      </c>
      <c r="P1962" s="10"/>
      <c r="Q1962">
        <v>0.08</v>
      </c>
      <c r="R1962">
        <v>0.1</v>
      </c>
      <c r="S1962" cm="1">
        <f t="array" ref="S1962">IFERROR(_xlfn.SWITCH(L1962,1,_xlfn.XLOOKUP(O1962,[1]AttributeName!$B:$B,[1]AttributeName!$D:$D),2,_xlfn.XLOOKUP(C1962,#REF!,#REF!),3,_xlfn.XLOOKUP(C1962,#REF!,#REF!)),0)</f>
        <v>2</v>
      </c>
      <c r="T1962" cm="1">
        <f t="array" ref="T1962">IFERROR(_xlfn.SWITCH(L1962,1,_xlfn.XLOOKUP(O1962,[1]AttributeName!$B:$B,[1]AttributeName!$E:$E),2,_xlfn.XLOOKUP(C1962,#REF!,#REF!),3,_xlfn.XLOOKUP(C1962,#REF!,#REF!)),0)</f>
        <v>2</v>
      </c>
    </row>
    <row r="1963" customFormat="1" spans="1:20">
      <c r="A1963">
        <f t="shared" si="81"/>
        <v>813</v>
      </c>
      <c r="B1963">
        <v>6</v>
      </c>
      <c r="C1963" t="s">
        <v>390</v>
      </c>
      <c r="D1963" t="s">
        <v>31</v>
      </c>
      <c r="E1963" t="s">
        <v>378</v>
      </c>
      <c r="F1963"/>
      <c r="G1963">
        <v>1</v>
      </c>
      <c r="H1963">
        <v>1000</v>
      </c>
      <c r="J1963" cm="1">
        <f t="array" ref="J1963">_xlfn.SWITCH(B1963,1,75,2,61,3,49,4,37,5,25,6,13,7,4,8,1)</f>
        <v>13</v>
      </c>
      <c r="K1963" t="str" cm="1">
        <f t="array" ref="K1963">IFERROR(_xlfn.SWITCH(L1963,2,_xlfn.XLOOKUP(C1963,[1]ModifierDes!$B:$B,[1]ModifierDes!$C:$C),3,_xlfn.XLOOKUP(C1963,[1]StuntDes!$B:$B,[1]StuntDes!$C:$C)),"")</f>
        <v/>
      </c>
      <c r="L1963">
        <f t="shared" si="80"/>
        <v>1</v>
      </c>
      <c r="M1963" s="10" t="str">
        <f>IFERROR(_xlfn.XLOOKUP(C1963,[1]StuntDes!$B:$B,[1]StuntDes!$A:$A),"")</f>
        <v/>
      </c>
      <c r="N1963" s="10" t="str">
        <f>IFERROR(_xlfn.XLOOKUP(C1963,[1]ModifierDes!$B:$B,[1]ModifierDes!$A:$A),"")</f>
        <v/>
      </c>
      <c r="O1963" s="10">
        <f>IFERROR(_xlfn.XLOOKUP(C1963,[1]AttributeName!$C:$C,[1]AttributeName!$B:$B),"")</f>
        <v>10009</v>
      </c>
      <c r="P1963" s="10"/>
      <c r="Q1963">
        <v>0.06</v>
      </c>
      <c r="R1963">
        <v>0.07</v>
      </c>
      <c r="S1963" cm="1">
        <f t="array" ref="S1963">IFERROR(_xlfn.SWITCH(L1963,1,_xlfn.XLOOKUP(O1963,[1]AttributeName!$B:$B,[1]AttributeName!$D:$D),2,_xlfn.XLOOKUP(C1963,#REF!,#REF!),3,_xlfn.XLOOKUP(C1963,#REF!,#REF!)),0)</f>
        <v>2</v>
      </c>
      <c r="T1963" cm="1">
        <f t="array" ref="T1963">IFERROR(_xlfn.SWITCH(L1963,1,_xlfn.XLOOKUP(O1963,[1]AttributeName!$B:$B,[1]AttributeName!$E:$E),2,_xlfn.XLOOKUP(C1963,#REF!,#REF!),3,_xlfn.XLOOKUP(C1963,#REF!,#REF!)),0)</f>
        <v>2</v>
      </c>
    </row>
    <row r="1964" customFormat="1" spans="1:20">
      <c r="A1964">
        <f t="shared" si="81"/>
        <v>813</v>
      </c>
      <c r="B1964">
        <v>7</v>
      </c>
      <c r="C1964" t="s">
        <v>390</v>
      </c>
      <c r="D1964" t="s">
        <v>31</v>
      </c>
      <c r="E1964" t="s">
        <v>378</v>
      </c>
      <c r="F1964"/>
      <c r="G1964">
        <v>1</v>
      </c>
      <c r="H1964">
        <v>1000</v>
      </c>
      <c r="J1964" cm="1">
        <f t="array" ref="J1964">_xlfn.SWITCH(B1964,1,75,2,61,3,49,4,37,5,25,6,13,7,4,8,1)</f>
        <v>4</v>
      </c>
      <c r="K1964" t="str" cm="1">
        <f t="array" ref="K1964">IFERROR(_xlfn.SWITCH(L1964,2,_xlfn.XLOOKUP(C1964,[1]ModifierDes!$B:$B,[1]ModifierDes!$C:$C),3,_xlfn.XLOOKUP(C1964,[1]StuntDes!$B:$B,[1]StuntDes!$C:$C)),"")</f>
        <v/>
      </c>
      <c r="L1964">
        <f t="shared" si="80"/>
        <v>1</v>
      </c>
      <c r="M1964" s="10" t="str">
        <f>IFERROR(_xlfn.XLOOKUP(C1964,[1]StuntDes!$B:$B,[1]StuntDes!$A:$A),"")</f>
        <v/>
      </c>
      <c r="N1964" s="10" t="str">
        <f>IFERROR(_xlfn.XLOOKUP(C1964,[1]ModifierDes!$B:$B,[1]ModifierDes!$A:$A),"")</f>
        <v/>
      </c>
      <c r="O1964" s="10">
        <f>IFERROR(_xlfn.XLOOKUP(C1964,[1]AttributeName!$C:$C,[1]AttributeName!$B:$B),"")</f>
        <v>10009</v>
      </c>
      <c r="P1964" s="10"/>
      <c r="Q1964">
        <v>0.03</v>
      </c>
      <c r="R1964">
        <v>0.05</v>
      </c>
      <c r="S1964" cm="1">
        <f t="array" ref="S1964">IFERROR(_xlfn.SWITCH(L1964,1,_xlfn.XLOOKUP(O1964,[1]AttributeName!$B:$B,[1]AttributeName!$D:$D),2,_xlfn.XLOOKUP(C1964,#REF!,#REF!),3,_xlfn.XLOOKUP(C1964,#REF!,#REF!)),0)</f>
        <v>2</v>
      </c>
      <c r="T1964" cm="1">
        <f t="array" ref="T1964">IFERROR(_xlfn.SWITCH(L1964,1,_xlfn.XLOOKUP(O1964,[1]AttributeName!$B:$B,[1]AttributeName!$E:$E),2,_xlfn.XLOOKUP(C1964,#REF!,#REF!),3,_xlfn.XLOOKUP(C1964,#REF!,#REF!)),0)</f>
        <v>2</v>
      </c>
    </row>
    <row r="1965" customFormat="1" spans="1:20">
      <c r="A1965">
        <f t="shared" si="81"/>
        <v>813</v>
      </c>
      <c r="B1965">
        <v>8</v>
      </c>
      <c r="C1965" t="s">
        <v>390</v>
      </c>
      <c r="D1965" t="s">
        <v>31</v>
      </c>
      <c r="E1965" t="s">
        <v>378</v>
      </c>
      <c r="F1965"/>
      <c r="G1965">
        <v>1</v>
      </c>
      <c r="H1965">
        <v>1000</v>
      </c>
      <c r="J1965" cm="1">
        <f t="array" ref="J1965">_xlfn.SWITCH(B1965,1,75,2,61,3,49,4,37,5,25,6,13,7,4,8,1)</f>
        <v>1</v>
      </c>
      <c r="K1965" t="str" cm="1">
        <f t="array" ref="K1965">IFERROR(_xlfn.SWITCH(L1965,2,_xlfn.XLOOKUP(C1965,[1]ModifierDes!$B:$B,[1]ModifierDes!$C:$C),3,_xlfn.XLOOKUP(C1965,[1]StuntDes!$B:$B,[1]StuntDes!$C:$C)),"")</f>
        <v/>
      </c>
      <c r="L1965">
        <f t="shared" si="80"/>
        <v>1</v>
      </c>
      <c r="M1965" s="10" t="str">
        <f>IFERROR(_xlfn.XLOOKUP(C1965,[1]StuntDes!$B:$B,[1]StuntDes!$A:$A),"")</f>
        <v/>
      </c>
      <c r="N1965" s="10" t="str">
        <f>IFERROR(_xlfn.XLOOKUP(C1965,[1]ModifierDes!$B:$B,[1]ModifierDes!$A:$A),"")</f>
        <v/>
      </c>
      <c r="O1965" s="10">
        <f>IFERROR(_xlfn.XLOOKUP(C1965,[1]AttributeName!$C:$C,[1]AttributeName!$B:$B),"")</f>
        <v>10009</v>
      </c>
      <c r="P1965" s="10"/>
      <c r="Q1965">
        <v>0.02</v>
      </c>
      <c r="R1965">
        <v>0.02</v>
      </c>
      <c r="S1965" cm="1">
        <f t="array" ref="S1965">IFERROR(_xlfn.SWITCH(L1965,1,_xlfn.XLOOKUP(O1965,[1]AttributeName!$B:$B,[1]AttributeName!$D:$D),2,_xlfn.XLOOKUP(C1965,#REF!,#REF!),3,_xlfn.XLOOKUP(C1965,#REF!,#REF!)),0)</f>
        <v>2</v>
      </c>
      <c r="T1965" cm="1">
        <f t="array" ref="T1965">IFERROR(_xlfn.SWITCH(L1965,1,_xlfn.XLOOKUP(O1965,[1]AttributeName!$B:$B,[1]AttributeName!$E:$E),2,_xlfn.XLOOKUP(C1965,#REF!,#REF!),3,_xlfn.XLOOKUP(C1965,#REF!,#REF!)),0)</f>
        <v>2</v>
      </c>
    </row>
    <row r="1966" customFormat="1" spans="1:20">
      <c r="A1966">
        <v>851</v>
      </c>
      <c r="B1966">
        <v>1</v>
      </c>
      <c r="C1966" t="s">
        <v>391</v>
      </c>
      <c r="D1966" t="s">
        <v>31</v>
      </c>
      <c r="E1966" s="13" t="s">
        <v>392</v>
      </c>
      <c r="F1966"/>
      <c r="G1966">
        <v>2</v>
      </c>
      <c r="H1966">
        <v>1000</v>
      </c>
      <c r="J1966" cm="1">
        <f t="array" ref="J1966">_xlfn.SWITCH(B1966,1,75,2,61,3,49,4,37,5,25,6,13,7,4,8,1)</f>
        <v>75</v>
      </c>
      <c r="K1966" t="str" cm="1">
        <f t="array" ref="K1966">IFERROR(_xlfn.SWITCH(L1966,2,_xlfn.XLOOKUP(C1966,[1]ModifierDes!$B:$B,[1]ModifierDes!$C:$C),3,_xlfn.XLOOKUP(C1966,[1]StuntDes!$B:$B,[1]StuntDes!$C:$C)),"")</f>
        <v>魔力回复率提高{0}</v>
      </c>
      <c r="L1966">
        <f t="shared" si="80"/>
        <v>2</v>
      </c>
      <c r="M1966" s="10" t="str">
        <f>IFERROR(_xlfn.XLOOKUP(C1966,[1]StuntDes!$B:$B,[1]StuntDes!$A:$A),"")</f>
        <v/>
      </c>
      <c r="N1966" s="10">
        <f>IFERROR(_xlfn.XLOOKUP(C1966,[1]ModifierDes!$B:$B,[1]ModifierDes!$A:$A),"")</f>
        <v>10116</v>
      </c>
      <c r="O1966" s="10" t="str">
        <f>IFERROR(_xlfn.XLOOKUP(C1966,[1]AttributeName!$C:$C,[1]AttributeName!$B:$B),"")</f>
        <v/>
      </c>
      <c r="P1966" s="10"/>
      <c r="Q1966">
        <v>0.18</v>
      </c>
      <c r="R1966">
        <v>0.2</v>
      </c>
      <c r="S1966" cm="1">
        <f t="array" ref="S1966">IFERROR(_xlfn.SWITCH(L1966,1,_xlfn.XLOOKUP(O1966,[1]AttributeName!$B:$B,[1]AttributeName!$D:$D),2,_xlfn.XLOOKUP(C1966,#REF!,#REF!),3,_xlfn.XLOOKUP(C1966,#REF!,#REF!)),0)</f>
        <v>0</v>
      </c>
      <c r="T1966" cm="1">
        <f t="array" ref="T1966">IFERROR(_xlfn.SWITCH(L1966,1,_xlfn.XLOOKUP(O1966,[1]AttributeName!$B:$B,[1]AttributeName!$E:$E),2,_xlfn.XLOOKUP(C1966,#REF!,#REF!),3,_xlfn.XLOOKUP(C1966,#REF!,#REF!)),0)</f>
        <v>0</v>
      </c>
    </row>
    <row r="1967" customFormat="1" spans="1:20">
      <c r="A1967">
        <v>851</v>
      </c>
      <c r="B1967">
        <v>2</v>
      </c>
      <c r="C1967" t="s">
        <v>391</v>
      </c>
      <c r="D1967" t="s">
        <v>31</v>
      </c>
      <c r="E1967" s="13" t="s">
        <v>392</v>
      </c>
      <c r="F1967"/>
      <c r="G1967">
        <v>2</v>
      </c>
      <c r="H1967">
        <v>1000</v>
      </c>
      <c r="J1967" cm="1">
        <f t="array" ref="J1967">_xlfn.SWITCH(B1967,1,75,2,61,3,49,4,37,5,25,6,13,7,4,8,1)</f>
        <v>61</v>
      </c>
      <c r="K1967" t="str" cm="1">
        <f t="array" ref="K1967">IFERROR(_xlfn.SWITCH(L1967,2,_xlfn.XLOOKUP(C1967,[1]ModifierDes!$B:$B,[1]ModifierDes!$C:$C),3,_xlfn.XLOOKUP(C1967,[1]StuntDes!$B:$B,[1]StuntDes!$C:$C)),"")</f>
        <v>魔力回复率提高{0}</v>
      </c>
      <c r="L1967">
        <f t="shared" si="80"/>
        <v>2</v>
      </c>
      <c r="M1967" s="10" t="str">
        <f>IFERROR(_xlfn.XLOOKUP(C1967,[1]StuntDes!$B:$B,[1]StuntDes!$A:$A),"")</f>
        <v/>
      </c>
      <c r="N1967" s="10">
        <f>IFERROR(_xlfn.XLOOKUP(C1967,[1]ModifierDes!$B:$B,[1]ModifierDes!$A:$A),"")</f>
        <v>10116</v>
      </c>
      <c r="O1967" s="10" t="str">
        <f>IFERROR(_xlfn.XLOOKUP(C1967,[1]AttributeName!$C:$C,[1]AttributeName!$B:$B),"")</f>
        <v/>
      </c>
      <c r="P1967" s="10"/>
      <c r="Q1967">
        <v>0.16</v>
      </c>
      <c r="R1967">
        <v>0.17</v>
      </c>
      <c r="S1967" cm="1">
        <f t="array" ref="S1967">IFERROR(_xlfn.SWITCH(L1967,1,_xlfn.XLOOKUP(O1967,[1]AttributeName!$B:$B,[1]AttributeName!$D:$D),2,_xlfn.XLOOKUP(C1967,#REF!,#REF!),3,_xlfn.XLOOKUP(C1967,#REF!,#REF!)),0)</f>
        <v>0</v>
      </c>
      <c r="T1967" cm="1">
        <f t="array" ref="T1967">IFERROR(_xlfn.SWITCH(L1967,1,_xlfn.XLOOKUP(O1967,[1]AttributeName!$B:$B,[1]AttributeName!$E:$E),2,_xlfn.XLOOKUP(C1967,#REF!,#REF!),3,_xlfn.XLOOKUP(C1967,#REF!,#REF!)),0)</f>
        <v>0</v>
      </c>
    </row>
    <row r="1968" customFormat="1" spans="1:20">
      <c r="A1968">
        <v>851</v>
      </c>
      <c r="B1968">
        <v>3</v>
      </c>
      <c r="C1968" t="s">
        <v>391</v>
      </c>
      <c r="D1968" t="s">
        <v>31</v>
      </c>
      <c r="E1968" s="13" t="s">
        <v>392</v>
      </c>
      <c r="F1968"/>
      <c r="G1968">
        <v>2</v>
      </c>
      <c r="H1968">
        <v>1000</v>
      </c>
      <c r="J1968" cm="1">
        <f t="array" ref="J1968">_xlfn.SWITCH(B1968,1,75,2,61,3,49,4,37,5,25,6,13,7,4,8,1)</f>
        <v>49</v>
      </c>
      <c r="K1968" t="str" cm="1">
        <f t="array" ref="K1968">IFERROR(_xlfn.SWITCH(L1968,2,_xlfn.XLOOKUP(C1968,[1]ModifierDes!$B:$B,[1]ModifierDes!$C:$C),3,_xlfn.XLOOKUP(C1968,[1]StuntDes!$B:$B,[1]StuntDes!$C:$C)),"")</f>
        <v>魔力回复率提高{0}</v>
      </c>
      <c r="L1968">
        <f t="shared" si="80"/>
        <v>2</v>
      </c>
      <c r="M1968" s="10" t="str">
        <f>IFERROR(_xlfn.XLOOKUP(C1968,[1]StuntDes!$B:$B,[1]StuntDes!$A:$A),"")</f>
        <v/>
      </c>
      <c r="N1968" s="10">
        <f>IFERROR(_xlfn.XLOOKUP(C1968,[1]ModifierDes!$B:$B,[1]ModifierDes!$A:$A),"")</f>
        <v>10116</v>
      </c>
      <c r="O1968" s="10" t="str">
        <f>IFERROR(_xlfn.XLOOKUP(C1968,[1]AttributeName!$C:$C,[1]AttributeName!$B:$B),"")</f>
        <v/>
      </c>
      <c r="P1968" s="10"/>
      <c r="Q1968">
        <v>0.13</v>
      </c>
      <c r="R1968">
        <v>0.15</v>
      </c>
      <c r="S1968" cm="1">
        <f t="array" ref="S1968">IFERROR(_xlfn.SWITCH(L1968,1,_xlfn.XLOOKUP(O1968,[1]AttributeName!$B:$B,[1]AttributeName!$D:$D),2,_xlfn.XLOOKUP(C1968,#REF!,#REF!),3,_xlfn.XLOOKUP(C1968,#REF!,#REF!)),0)</f>
        <v>0</v>
      </c>
      <c r="T1968" cm="1">
        <f t="array" ref="T1968">IFERROR(_xlfn.SWITCH(L1968,1,_xlfn.XLOOKUP(O1968,[1]AttributeName!$B:$B,[1]AttributeName!$E:$E),2,_xlfn.XLOOKUP(C1968,#REF!,#REF!),3,_xlfn.XLOOKUP(C1968,#REF!,#REF!)),0)</f>
        <v>0</v>
      </c>
    </row>
    <row r="1969" customFormat="1" spans="1:20">
      <c r="A1969">
        <v>851</v>
      </c>
      <c r="B1969">
        <v>4</v>
      </c>
      <c r="C1969" t="s">
        <v>391</v>
      </c>
      <c r="D1969" t="s">
        <v>31</v>
      </c>
      <c r="E1969" s="13" t="s">
        <v>392</v>
      </c>
      <c r="F1969"/>
      <c r="G1969">
        <v>2</v>
      </c>
      <c r="H1969">
        <v>1000</v>
      </c>
      <c r="J1969" cm="1">
        <f t="array" ref="J1969">_xlfn.SWITCH(B1969,1,75,2,61,3,49,4,37,5,25,6,13,7,4,8,1)</f>
        <v>37</v>
      </c>
      <c r="K1969" t="str" cm="1">
        <f t="array" ref="K1969">IFERROR(_xlfn.SWITCH(L1969,2,_xlfn.XLOOKUP(C1969,[1]ModifierDes!$B:$B,[1]ModifierDes!$C:$C),3,_xlfn.XLOOKUP(C1969,[1]StuntDes!$B:$B,[1]StuntDes!$C:$C)),"")</f>
        <v>魔力回复率提高{0}</v>
      </c>
      <c r="L1969">
        <f t="shared" si="80"/>
        <v>2</v>
      </c>
      <c r="M1969" s="10" t="str">
        <f>IFERROR(_xlfn.XLOOKUP(C1969,[1]StuntDes!$B:$B,[1]StuntDes!$A:$A),"")</f>
        <v/>
      </c>
      <c r="N1969" s="10">
        <f>IFERROR(_xlfn.XLOOKUP(C1969,[1]ModifierDes!$B:$B,[1]ModifierDes!$A:$A),"")</f>
        <v>10116</v>
      </c>
      <c r="O1969" s="10" t="str">
        <f>IFERROR(_xlfn.XLOOKUP(C1969,[1]AttributeName!$C:$C,[1]AttributeName!$B:$B),"")</f>
        <v/>
      </c>
      <c r="P1969" s="10"/>
      <c r="Q1969">
        <v>0.11</v>
      </c>
      <c r="R1969">
        <v>0.12</v>
      </c>
      <c r="S1969" cm="1">
        <f t="array" ref="S1969">IFERROR(_xlfn.SWITCH(L1969,1,_xlfn.XLOOKUP(O1969,[1]AttributeName!$B:$B,[1]AttributeName!$D:$D),2,_xlfn.XLOOKUP(C1969,#REF!,#REF!),3,_xlfn.XLOOKUP(C1969,#REF!,#REF!)),0)</f>
        <v>0</v>
      </c>
      <c r="T1969" cm="1">
        <f t="array" ref="T1969">IFERROR(_xlfn.SWITCH(L1969,1,_xlfn.XLOOKUP(O1969,[1]AttributeName!$B:$B,[1]AttributeName!$E:$E),2,_xlfn.XLOOKUP(C1969,#REF!,#REF!),3,_xlfn.XLOOKUP(C1969,#REF!,#REF!)),0)</f>
        <v>0</v>
      </c>
    </row>
    <row r="1970" customFormat="1" spans="1:20">
      <c r="A1970">
        <v>851</v>
      </c>
      <c r="B1970">
        <v>5</v>
      </c>
      <c r="C1970" t="s">
        <v>391</v>
      </c>
      <c r="D1970" t="s">
        <v>31</v>
      </c>
      <c r="E1970" s="13" t="s">
        <v>392</v>
      </c>
      <c r="F1970"/>
      <c r="G1970">
        <v>2</v>
      </c>
      <c r="H1970">
        <v>1000</v>
      </c>
      <c r="J1970" cm="1">
        <f t="array" ref="J1970">_xlfn.SWITCH(B1970,1,75,2,61,3,49,4,37,5,25,6,13,7,4,8,1)</f>
        <v>25</v>
      </c>
      <c r="K1970" t="str" cm="1">
        <f t="array" ref="K1970">IFERROR(_xlfn.SWITCH(L1970,2,_xlfn.XLOOKUP(C1970,[1]ModifierDes!$B:$B,[1]ModifierDes!$C:$C),3,_xlfn.XLOOKUP(C1970,[1]StuntDes!$B:$B,[1]StuntDes!$C:$C)),"")</f>
        <v>魔力回复率提高{0}</v>
      </c>
      <c r="L1970">
        <f t="shared" si="80"/>
        <v>2</v>
      </c>
      <c r="M1970" s="10" t="str">
        <f>IFERROR(_xlfn.XLOOKUP(C1970,[1]StuntDes!$B:$B,[1]StuntDes!$A:$A),"")</f>
        <v/>
      </c>
      <c r="N1970" s="10">
        <f>IFERROR(_xlfn.XLOOKUP(C1970,[1]ModifierDes!$B:$B,[1]ModifierDes!$A:$A),"")</f>
        <v>10116</v>
      </c>
      <c r="O1970" s="10" t="str">
        <f>IFERROR(_xlfn.XLOOKUP(C1970,[1]AttributeName!$C:$C,[1]AttributeName!$B:$B),"")</f>
        <v/>
      </c>
      <c r="P1970" s="10"/>
      <c r="Q1970">
        <v>0.08</v>
      </c>
      <c r="R1970">
        <v>0.1</v>
      </c>
      <c r="S1970" cm="1">
        <f t="array" ref="S1970">IFERROR(_xlfn.SWITCH(L1970,1,_xlfn.XLOOKUP(O1970,[1]AttributeName!$B:$B,[1]AttributeName!$D:$D),2,_xlfn.XLOOKUP(C1970,#REF!,#REF!),3,_xlfn.XLOOKUP(C1970,#REF!,#REF!)),0)</f>
        <v>0</v>
      </c>
      <c r="T1970" cm="1">
        <f t="array" ref="T1970">IFERROR(_xlfn.SWITCH(L1970,1,_xlfn.XLOOKUP(O1970,[1]AttributeName!$B:$B,[1]AttributeName!$E:$E),2,_xlfn.XLOOKUP(C1970,#REF!,#REF!),3,_xlfn.XLOOKUP(C1970,#REF!,#REF!)),0)</f>
        <v>0</v>
      </c>
    </row>
    <row r="1971" customFormat="1" spans="1:20">
      <c r="A1971">
        <v>851</v>
      </c>
      <c r="B1971">
        <v>6</v>
      </c>
      <c r="C1971" t="s">
        <v>391</v>
      </c>
      <c r="D1971" t="s">
        <v>31</v>
      </c>
      <c r="E1971" s="13" t="s">
        <v>392</v>
      </c>
      <c r="F1971"/>
      <c r="G1971">
        <v>2</v>
      </c>
      <c r="H1971">
        <v>1000</v>
      </c>
      <c r="J1971" cm="1">
        <f t="array" ref="J1971">_xlfn.SWITCH(B1971,1,75,2,61,3,49,4,37,5,25,6,13,7,4,8,1)</f>
        <v>13</v>
      </c>
      <c r="K1971" t="str" cm="1">
        <f t="array" ref="K1971">IFERROR(_xlfn.SWITCH(L1971,2,_xlfn.XLOOKUP(C1971,[1]ModifierDes!$B:$B,[1]ModifierDes!$C:$C),3,_xlfn.XLOOKUP(C1971,[1]StuntDes!$B:$B,[1]StuntDes!$C:$C)),"")</f>
        <v>魔力回复率提高{0}</v>
      </c>
      <c r="L1971">
        <f t="shared" si="80"/>
        <v>2</v>
      </c>
      <c r="M1971" s="10" t="str">
        <f>IFERROR(_xlfn.XLOOKUP(C1971,[1]StuntDes!$B:$B,[1]StuntDes!$A:$A),"")</f>
        <v/>
      </c>
      <c r="N1971" s="10">
        <f>IFERROR(_xlfn.XLOOKUP(C1971,[1]ModifierDes!$B:$B,[1]ModifierDes!$A:$A),"")</f>
        <v>10116</v>
      </c>
      <c r="O1971" s="10" t="str">
        <f>IFERROR(_xlfn.XLOOKUP(C1971,[1]AttributeName!$C:$C,[1]AttributeName!$B:$B),"")</f>
        <v/>
      </c>
      <c r="P1971" s="10"/>
      <c r="Q1971">
        <v>0.06</v>
      </c>
      <c r="R1971">
        <v>0.07</v>
      </c>
      <c r="S1971" cm="1">
        <f t="array" ref="S1971">IFERROR(_xlfn.SWITCH(L1971,1,_xlfn.XLOOKUP(O1971,[1]AttributeName!$B:$B,[1]AttributeName!$D:$D),2,_xlfn.XLOOKUP(C1971,#REF!,#REF!),3,_xlfn.XLOOKUP(C1971,#REF!,#REF!)),0)</f>
        <v>0</v>
      </c>
      <c r="T1971" cm="1">
        <f t="array" ref="T1971">IFERROR(_xlfn.SWITCH(L1971,1,_xlfn.XLOOKUP(O1971,[1]AttributeName!$B:$B,[1]AttributeName!$E:$E),2,_xlfn.XLOOKUP(C1971,#REF!,#REF!),3,_xlfn.XLOOKUP(C1971,#REF!,#REF!)),0)</f>
        <v>0</v>
      </c>
    </row>
    <row r="1972" customFormat="1" spans="1:20">
      <c r="A1972">
        <v>851</v>
      </c>
      <c r="B1972">
        <v>7</v>
      </c>
      <c r="C1972" t="s">
        <v>391</v>
      </c>
      <c r="D1972" t="s">
        <v>31</v>
      </c>
      <c r="E1972" s="13" t="s">
        <v>392</v>
      </c>
      <c r="F1972"/>
      <c r="G1972">
        <v>2</v>
      </c>
      <c r="H1972">
        <v>1000</v>
      </c>
      <c r="J1972" cm="1">
        <f t="array" ref="J1972">_xlfn.SWITCH(B1972,1,75,2,61,3,49,4,37,5,25,6,13,7,4,8,1)</f>
        <v>4</v>
      </c>
      <c r="K1972" t="str" cm="1">
        <f t="array" ref="K1972">IFERROR(_xlfn.SWITCH(L1972,2,_xlfn.XLOOKUP(C1972,[1]ModifierDes!$B:$B,[1]ModifierDes!$C:$C),3,_xlfn.XLOOKUP(C1972,[1]StuntDes!$B:$B,[1]StuntDes!$C:$C)),"")</f>
        <v>魔力回复率提高{0}</v>
      </c>
      <c r="L1972">
        <f t="shared" si="80"/>
        <v>2</v>
      </c>
      <c r="M1972" s="10" t="str">
        <f>IFERROR(_xlfn.XLOOKUP(C1972,[1]StuntDes!$B:$B,[1]StuntDes!$A:$A),"")</f>
        <v/>
      </c>
      <c r="N1972" s="10">
        <f>IFERROR(_xlfn.XLOOKUP(C1972,[1]ModifierDes!$B:$B,[1]ModifierDes!$A:$A),"")</f>
        <v>10116</v>
      </c>
      <c r="O1972" s="10" t="str">
        <f>IFERROR(_xlfn.XLOOKUP(C1972,[1]AttributeName!$C:$C,[1]AttributeName!$B:$B),"")</f>
        <v/>
      </c>
      <c r="P1972" s="10"/>
      <c r="Q1972">
        <v>0.03</v>
      </c>
      <c r="R1972">
        <v>0.05</v>
      </c>
      <c r="S1972" cm="1">
        <f t="array" ref="S1972">IFERROR(_xlfn.SWITCH(L1972,1,_xlfn.XLOOKUP(O1972,[1]AttributeName!$B:$B,[1]AttributeName!$D:$D),2,_xlfn.XLOOKUP(C1972,#REF!,#REF!),3,_xlfn.XLOOKUP(C1972,#REF!,#REF!)),0)</f>
        <v>0</v>
      </c>
      <c r="T1972" cm="1">
        <f t="array" ref="T1972">IFERROR(_xlfn.SWITCH(L1972,1,_xlfn.XLOOKUP(O1972,[1]AttributeName!$B:$B,[1]AttributeName!$E:$E),2,_xlfn.XLOOKUP(C1972,#REF!,#REF!),3,_xlfn.XLOOKUP(C1972,#REF!,#REF!)),0)</f>
        <v>0</v>
      </c>
    </row>
    <row r="1973" customFormat="1" spans="1:20">
      <c r="A1973">
        <v>851</v>
      </c>
      <c r="B1973">
        <v>8</v>
      </c>
      <c r="C1973" t="s">
        <v>391</v>
      </c>
      <c r="D1973" t="s">
        <v>31</v>
      </c>
      <c r="E1973" s="13" t="s">
        <v>392</v>
      </c>
      <c r="F1973"/>
      <c r="G1973">
        <v>2</v>
      </c>
      <c r="H1973">
        <v>1000</v>
      </c>
      <c r="J1973" cm="1">
        <f t="array" ref="J1973">_xlfn.SWITCH(B1973,1,75,2,61,3,49,4,37,5,25,6,13,7,4,8,1)</f>
        <v>1</v>
      </c>
      <c r="K1973" t="str" cm="1">
        <f t="array" ref="K1973">IFERROR(_xlfn.SWITCH(L1973,2,_xlfn.XLOOKUP(C1973,[1]ModifierDes!$B:$B,[1]ModifierDes!$C:$C),3,_xlfn.XLOOKUP(C1973,[1]StuntDes!$B:$B,[1]StuntDes!$C:$C)),"")</f>
        <v>魔力回复率提高{0}</v>
      </c>
      <c r="L1973">
        <f t="shared" si="80"/>
        <v>2</v>
      </c>
      <c r="M1973" s="10" t="str">
        <f>IFERROR(_xlfn.XLOOKUP(C1973,[1]StuntDes!$B:$B,[1]StuntDes!$A:$A),"")</f>
        <v/>
      </c>
      <c r="N1973" s="10">
        <f>IFERROR(_xlfn.XLOOKUP(C1973,[1]ModifierDes!$B:$B,[1]ModifierDes!$A:$A),"")</f>
        <v>10116</v>
      </c>
      <c r="O1973" s="10" t="str">
        <f>IFERROR(_xlfn.XLOOKUP(C1973,[1]AttributeName!$C:$C,[1]AttributeName!$B:$B),"")</f>
        <v/>
      </c>
      <c r="P1973" s="10"/>
      <c r="Q1973">
        <v>0.02</v>
      </c>
      <c r="R1973">
        <v>0.02</v>
      </c>
      <c r="S1973" cm="1">
        <f t="array" ref="S1973">IFERROR(_xlfn.SWITCH(L1973,1,_xlfn.XLOOKUP(O1973,[1]AttributeName!$B:$B,[1]AttributeName!$D:$D),2,_xlfn.XLOOKUP(C1973,#REF!,#REF!),3,_xlfn.XLOOKUP(C1973,#REF!,#REF!)),0)</f>
        <v>0</v>
      </c>
      <c r="T1973" cm="1">
        <f t="array" ref="T1973">IFERROR(_xlfn.SWITCH(L1973,1,_xlfn.XLOOKUP(O1973,[1]AttributeName!$B:$B,[1]AttributeName!$E:$E),2,_xlfn.XLOOKUP(C1973,#REF!,#REF!),3,_xlfn.XLOOKUP(C1973,#REF!,#REF!)),0)</f>
        <v>0</v>
      </c>
    </row>
    <row r="1974" customFormat="1" spans="1:20">
      <c r="A1974">
        <v>852</v>
      </c>
      <c r="B1974">
        <v>1</v>
      </c>
      <c r="C1974" t="s">
        <v>399</v>
      </c>
      <c r="D1974" t="s">
        <v>31</v>
      </c>
      <c r="E1974" s="13" t="s">
        <v>392</v>
      </c>
      <c r="F1974"/>
      <c r="G1974">
        <v>2</v>
      </c>
      <c r="H1974">
        <v>100</v>
      </c>
      <c r="J1974" cm="1">
        <f t="array" ref="J1974">_xlfn.SWITCH(B1974,1,75,2,61,3,49,4,37,5,25,6,13,7,4,8,1)</f>
        <v>75</v>
      </c>
      <c r="K1974" t="str" cm="1">
        <f t="array" ref="K1974">IFERROR(_xlfn.SWITCH(L1974,2,_xlfn.XLOOKUP(C1974,[1]ModifierDes!$B:$B,[1]ModifierDes!$C:$C),3,_xlfn.XLOOKUP(C1974,[1]StuntDes!$B:$B,[1]StuntDes!$C:$C)),"")</f>
        <v/>
      </c>
      <c r="L1974">
        <f t="shared" si="80"/>
        <v>1</v>
      </c>
      <c r="M1974" s="10" t="str">
        <f>IFERROR(_xlfn.XLOOKUP(C1974,[1]StuntDes!$B:$B,[1]StuntDes!$A:$A),"")</f>
        <v/>
      </c>
      <c r="N1974" s="10" t="str">
        <f>IFERROR(_xlfn.XLOOKUP(C1974,[1]ModifierDes!$B:$B,[1]ModifierDes!$A:$A),"")</f>
        <v/>
      </c>
      <c r="O1974" s="10">
        <f>IFERROR(_xlfn.XLOOKUP(C1974,[1]AttributeName!$C:$C,[1]AttributeName!$B:$B),"")</f>
        <v>10102</v>
      </c>
      <c r="P1974" s="10"/>
      <c r="Q1974">
        <v>0.6</v>
      </c>
      <c r="R1974">
        <v>0.8</v>
      </c>
      <c r="S1974" cm="1">
        <f t="array" ref="S1974">IFERROR(_xlfn.SWITCH(L1974,1,_xlfn.XLOOKUP(O1974,[1]AttributeName!$B:$B,[1]AttributeName!$D:$D),2,_xlfn.XLOOKUP(C1974,#REF!,#REF!),3,_xlfn.XLOOKUP(C1974,#REF!,#REF!)),0)</f>
        <v>2</v>
      </c>
      <c r="T1974" cm="1">
        <f t="array" ref="T1974">IFERROR(_xlfn.SWITCH(L1974,1,_xlfn.XLOOKUP(O1974,[1]AttributeName!$B:$B,[1]AttributeName!$E:$E),2,_xlfn.XLOOKUP(C1974,#REF!,#REF!),3,_xlfn.XLOOKUP(C1974,#REF!,#REF!)),0)</f>
        <v>2</v>
      </c>
    </row>
    <row r="1975" customFormat="1" spans="1:20">
      <c r="A1975">
        <v>852</v>
      </c>
      <c r="B1975">
        <v>2</v>
      </c>
      <c r="C1975" t="s">
        <v>399</v>
      </c>
      <c r="D1975" t="s">
        <v>31</v>
      </c>
      <c r="E1975" s="13" t="s">
        <v>392</v>
      </c>
      <c r="F1975"/>
      <c r="G1975">
        <v>2</v>
      </c>
      <c r="H1975">
        <v>200</v>
      </c>
      <c r="J1975" cm="1">
        <f t="array" ref="J1975">_xlfn.SWITCH(B1975,1,75,2,61,3,49,4,37,5,25,6,13,7,4,8,1)</f>
        <v>61</v>
      </c>
      <c r="K1975" t="str" cm="1">
        <f t="array" ref="K1975">IFERROR(_xlfn.SWITCH(L1975,2,_xlfn.XLOOKUP(C1975,[1]ModifierDes!$B:$B,[1]ModifierDes!$C:$C),3,_xlfn.XLOOKUP(C1975,[1]StuntDes!$B:$B,[1]StuntDes!$C:$C)),"")</f>
        <v/>
      </c>
      <c r="L1975">
        <f t="shared" si="80"/>
        <v>1</v>
      </c>
      <c r="M1975" s="10" t="str">
        <f>IFERROR(_xlfn.XLOOKUP(C1975,[1]StuntDes!$B:$B,[1]StuntDes!$A:$A),"")</f>
        <v/>
      </c>
      <c r="N1975" s="10" t="str">
        <f>IFERROR(_xlfn.XLOOKUP(C1975,[1]ModifierDes!$B:$B,[1]ModifierDes!$A:$A),"")</f>
        <v/>
      </c>
      <c r="O1975" s="10">
        <f>IFERROR(_xlfn.XLOOKUP(C1975,[1]AttributeName!$C:$C,[1]AttributeName!$B:$B),"")</f>
        <v>10102</v>
      </c>
      <c r="P1975" s="10"/>
      <c r="Q1975">
        <v>0.52</v>
      </c>
      <c r="R1975">
        <v>0.58</v>
      </c>
      <c r="S1975" cm="1">
        <f t="array" ref="S1975">IFERROR(_xlfn.SWITCH(L1975,1,_xlfn.XLOOKUP(O1975,[1]AttributeName!$B:$B,[1]AttributeName!$D:$D),2,_xlfn.XLOOKUP(C1975,#REF!,#REF!),3,_xlfn.XLOOKUP(C1975,#REF!,#REF!)),0)</f>
        <v>2</v>
      </c>
      <c r="T1975" cm="1">
        <f t="array" ref="T1975">IFERROR(_xlfn.SWITCH(L1975,1,_xlfn.XLOOKUP(O1975,[1]AttributeName!$B:$B,[1]AttributeName!$E:$E),2,_xlfn.XLOOKUP(C1975,#REF!,#REF!),3,_xlfn.XLOOKUP(C1975,#REF!,#REF!)),0)</f>
        <v>2</v>
      </c>
    </row>
    <row r="1976" customFormat="1" spans="1:20">
      <c r="A1976">
        <v>852</v>
      </c>
      <c r="B1976">
        <v>3</v>
      </c>
      <c r="C1976" t="s">
        <v>399</v>
      </c>
      <c r="D1976" t="s">
        <v>31</v>
      </c>
      <c r="E1976" s="13" t="s">
        <v>392</v>
      </c>
      <c r="F1976"/>
      <c r="G1976">
        <v>2</v>
      </c>
      <c r="H1976">
        <v>500</v>
      </c>
      <c r="J1976" cm="1">
        <f t="array" ref="J1976">_xlfn.SWITCH(B1976,1,75,2,61,3,49,4,37,5,25,6,13,7,4,8,1)</f>
        <v>49</v>
      </c>
      <c r="K1976" t="str" cm="1">
        <f t="array" ref="K1976">IFERROR(_xlfn.SWITCH(L1976,2,_xlfn.XLOOKUP(C1976,[1]ModifierDes!$B:$B,[1]ModifierDes!$C:$C),3,_xlfn.XLOOKUP(C1976,[1]StuntDes!$B:$B,[1]StuntDes!$C:$C)),"")</f>
        <v/>
      </c>
      <c r="L1976">
        <f t="shared" si="80"/>
        <v>1</v>
      </c>
      <c r="M1976" s="10" t="str">
        <f>IFERROR(_xlfn.XLOOKUP(C1976,[1]StuntDes!$B:$B,[1]StuntDes!$A:$A),"")</f>
        <v/>
      </c>
      <c r="N1976" s="10" t="str">
        <f>IFERROR(_xlfn.XLOOKUP(C1976,[1]ModifierDes!$B:$B,[1]ModifierDes!$A:$A),"")</f>
        <v/>
      </c>
      <c r="O1976" s="10">
        <f>IFERROR(_xlfn.XLOOKUP(C1976,[1]AttributeName!$C:$C,[1]AttributeName!$B:$B),"")</f>
        <v>10102</v>
      </c>
      <c r="P1976" s="10"/>
      <c r="Q1976">
        <v>0.44</v>
      </c>
      <c r="R1976">
        <v>0.5</v>
      </c>
      <c r="S1976" cm="1">
        <f t="array" ref="S1976">IFERROR(_xlfn.SWITCH(L1976,1,_xlfn.XLOOKUP(O1976,[1]AttributeName!$B:$B,[1]AttributeName!$D:$D),2,_xlfn.XLOOKUP(C1976,#REF!,#REF!),3,_xlfn.XLOOKUP(C1976,#REF!,#REF!)),0)</f>
        <v>2</v>
      </c>
      <c r="T1976" cm="1">
        <f t="array" ref="T1976">IFERROR(_xlfn.SWITCH(L1976,1,_xlfn.XLOOKUP(O1976,[1]AttributeName!$B:$B,[1]AttributeName!$E:$E),2,_xlfn.XLOOKUP(C1976,#REF!,#REF!),3,_xlfn.XLOOKUP(C1976,#REF!,#REF!)),0)</f>
        <v>2</v>
      </c>
    </row>
    <row r="1977" customFormat="1" spans="1:20">
      <c r="A1977">
        <v>852</v>
      </c>
      <c r="B1977">
        <v>4</v>
      </c>
      <c r="C1977" t="s">
        <v>399</v>
      </c>
      <c r="D1977" t="s">
        <v>31</v>
      </c>
      <c r="E1977" s="13" t="s">
        <v>392</v>
      </c>
      <c r="F1977"/>
      <c r="G1977">
        <v>2</v>
      </c>
      <c r="H1977">
        <v>1000</v>
      </c>
      <c r="J1977" cm="1">
        <f t="array" ref="J1977">_xlfn.SWITCH(B1977,1,75,2,61,3,49,4,37,5,25,6,13,7,4,8,1)</f>
        <v>37</v>
      </c>
      <c r="K1977" t="str" cm="1">
        <f t="array" ref="K1977">IFERROR(_xlfn.SWITCH(L1977,2,_xlfn.XLOOKUP(C1977,[1]ModifierDes!$B:$B,[1]ModifierDes!$C:$C),3,_xlfn.XLOOKUP(C1977,[1]StuntDes!$B:$B,[1]StuntDes!$C:$C)),"")</f>
        <v/>
      </c>
      <c r="L1977">
        <f t="shared" si="80"/>
        <v>1</v>
      </c>
      <c r="M1977" s="10" t="str">
        <f>IFERROR(_xlfn.XLOOKUP(C1977,[1]StuntDes!$B:$B,[1]StuntDes!$A:$A),"")</f>
        <v/>
      </c>
      <c r="N1977" s="10" t="str">
        <f>IFERROR(_xlfn.XLOOKUP(C1977,[1]ModifierDes!$B:$B,[1]ModifierDes!$A:$A),"")</f>
        <v/>
      </c>
      <c r="O1977" s="10">
        <f>IFERROR(_xlfn.XLOOKUP(C1977,[1]AttributeName!$C:$C,[1]AttributeName!$B:$B),"")</f>
        <v>10102</v>
      </c>
      <c r="P1977" s="10"/>
      <c r="Q1977">
        <v>0.36</v>
      </c>
      <c r="R1977">
        <v>0.42</v>
      </c>
      <c r="S1977" cm="1">
        <f t="array" ref="S1977">IFERROR(_xlfn.SWITCH(L1977,1,_xlfn.XLOOKUP(O1977,[1]AttributeName!$B:$B,[1]AttributeName!$D:$D),2,_xlfn.XLOOKUP(C1977,#REF!,#REF!),3,_xlfn.XLOOKUP(C1977,#REF!,#REF!)),0)</f>
        <v>2</v>
      </c>
      <c r="T1977" cm="1">
        <f t="array" ref="T1977">IFERROR(_xlfn.SWITCH(L1977,1,_xlfn.XLOOKUP(O1977,[1]AttributeName!$B:$B,[1]AttributeName!$E:$E),2,_xlfn.XLOOKUP(C1977,#REF!,#REF!),3,_xlfn.XLOOKUP(C1977,#REF!,#REF!)),0)</f>
        <v>2</v>
      </c>
    </row>
    <row r="1978" customFormat="1" spans="1:20">
      <c r="A1978">
        <v>852</v>
      </c>
      <c r="B1978">
        <v>5</v>
      </c>
      <c r="C1978" t="s">
        <v>399</v>
      </c>
      <c r="D1978" t="s">
        <v>31</v>
      </c>
      <c r="E1978" s="13" t="s">
        <v>392</v>
      </c>
      <c r="F1978"/>
      <c r="G1978">
        <v>2</v>
      </c>
      <c r="H1978">
        <v>1000</v>
      </c>
      <c r="J1978" cm="1">
        <f t="array" ref="J1978">_xlfn.SWITCH(B1978,1,75,2,61,3,49,4,37,5,25,6,13,7,4,8,1)</f>
        <v>25</v>
      </c>
      <c r="K1978" t="str" cm="1">
        <f t="array" ref="K1978">IFERROR(_xlfn.SWITCH(L1978,2,_xlfn.XLOOKUP(C1978,[1]ModifierDes!$B:$B,[1]ModifierDes!$C:$C),3,_xlfn.XLOOKUP(C1978,[1]StuntDes!$B:$B,[1]StuntDes!$C:$C)),"")</f>
        <v/>
      </c>
      <c r="L1978">
        <f t="shared" si="80"/>
        <v>1</v>
      </c>
      <c r="M1978" s="10" t="str">
        <f>IFERROR(_xlfn.XLOOKUP(C1978,[1]StuntDes!$B:$B,[1]StuntDes!$A:$A),"")</f>
        <v/>
      </c>
      <c r="N1978" s="10" t="str">
        <f>IFERROR(_xlfn.XLOOKUP(C1978,[1]ModifierDes!$B:$B,[1]ModifierDes!$A:$A),"")</f>
        <v/>
      </c>
      <c r="O1978" s="10">
        <f>IFERROR(_xlfn.XLOOKUP(C1978,[1]AttributeName!$C:$C,[1]AttributeName!$B:$B),"")</f>
        <v>10102</v>
      </c>
      <c r="P1978" s="10"/>
      <c r="Q1978">
        <v>0.28</v>
      </c>
      <c r="R1978">
        <v>0.34</v>
      </c>
      <c r="S1978" cm="1">
        <f t="array" ref="S1978">IFERROR(_xlfn.SWITCH(L1978,1,_xlfn.XLOOKUP(O1978,[1]AttributeName!$B:$B,[1]AttributeName!$D:$D),2,_xlfn.XLOOKUP(C1978,#REF!,#REF!),3,_xlfn.XLOOKUP(C1978,#REF!,#REF!)),0)</f>
        <v>2</v>
      </c>
      <c r="T1978" cm="1">
        <f t="array" ref="T1978">IFERROR(_xlfn.SWITCH(L1978,1,_xlfn.XLOOKUP(O1978,[1]AttributeName!$B:$B,[1]AttributeName!$E:$E),2,_xlfn.XLOOKUP(C1978,#REF!,#REF!),3,_xlfn.XLOOKUP(C1978,#REF!,#REF!)),0)</f>
        <v>2</v>
      </c>
    </row>
    <row r="1979" customFormat="1" spans="1:20">
      <c r="A1979">
        <v>852</v>
      </c>
      <c r="B1979">
        <v>6</v>
      </c>
      <c r="C1979" t="s">
        <v>399</v>
      </c>
      <c r="D1979" t="s">
        <v>31</v>
      </c>
      <c r="E1979" s="13" t="s">
        <v>392</v>
      </c>
      <c r="F1979"/>
      <c r="G1979">
        <v>2</v>
      </c>
      <c r="H1979">
        <v>1000</v>
      </c>
      <c r="J1979" cm="1">
        <f t="array" ref="J1979">_xlfn.SWITCH(B1979,1,75,2,61,3,49,4,37,5,25,6,13,7,4,8,1)</f>
        <v>13</v>
      </c>
      <c r="K1979" t="str" cm="1">
        <f t="array" ref="K1979">IFERROR(_xlfn.SWITCH(L1979,2,_xlfn.XLOOKUP(C1979,[1]ModifierDes!$B:$B,[1]ModifierDes!$C:$C),3,_xlfn.XLOOKUP(C1979,[1]StuntDes!$B:$B,[1]StuntDes!$C:$C)),"")</f>
        <v/>
      </c>
      <c r="L1979">
        <f t="shared" si="80"/>
        <v>1</v>
      </c>
      <c r="M1979" s="10" t="str">
        <f>IFERROR(_xlfn.XLOOKUP(C1979,[1]StuntDes!$B:$B,[1]StuntDes!$A:$A),"")</f>
        <v/>
      </c>
      <c r="N1979" s="10" t="str">
        <f>IFERROR(_xlfn.XLOOKUP(C1979,[1]ModifierDes!$B:$B,[1]ModifierDes!$A:$A),"")</f>
        <v/>
      </c>
      <c r="O1979" s="10">
        <f>IFERROR(_xlfn.XLOOKUP(C1979,[1]AttributeName!$C:$C,[1]AttributeName!$B:$B),"")</f>
        <v>10102</v>
      </c>
      <c r="P1979" s="10"/>
      <c r="Q1979">
        <v>0.2</v>
      </c>
      <c r="R1979">
        <v>0.26</v>
      </c>
      <c r="S1979" cm="1">
        <f t="array" ref="S1979">IFERROR(_xlfn.SWITCH(L1979,1,_xlfn.XLOOKUP(O1979,[1]AttributeName!$B:$B,[1]AttributeName!$D:$D),2,_xlfn.XLOOKUP(C1979,#REF!,#REF!),3,_xlfn.XLOOKUP(C1979,#REF!,#REF!)),0)</f>
        <v>2</v>
      </c>
      <c r="T1979" cm="1">
        <f t="array" ref="T1979">IFERROR(_xlfn.SWITCH(L1979,1,_xlfn.XLOOKUP(O1979,[1]AttributeName!$B:$B,[1]AttributeName!$E:$E),2,_xlfn.XLOOKUP(C1979,#REF!,#REF!),3,_xlfn.XLOOKUP(C1979,#REF!,#REF!)),0)</f>
        <v>2</v>
      </c>
    </row>
    <row r="1980" customFormat="1" spans="1:20">
      <c r="A1980">
        <v>852</v>
      </c>
      <c r="B1980">
        <v>7</v>
      </c>
      <c r="C1980" t="s">
        <v>399</v>
      </c>
      <c r="D1980" t="s">
        <v>31</v>
      </c>
      <c r="E1980" s="13" t="s">
        <v>392</v>
      </c>
      <c r="F1980"/>
      <c r="G1980">
        <v>2</v>
      </c>
      <c r="H1980">
        <v>1000</v>
      </c>
      <c r="J1980" cm="1">
        <f t="array" ref="J1980">_xlfn.SWITCH(B1980,1,75,2,61,3,49,4,37,5,25,6,13,7,4,8,1)</f>
        <v>4</v>
      </c>
      <c r="K1980" t="str" cm="1">
        <f t="array" ref="K1980">IFERROR(_xlfn.SWITCH(L1980,2,_xlfn.XLOOKUP(C1980,[1]ModifierDes!$B:$B,[1]ModifierDes!$C:$C),3,_xlfn.XLOOKUP(C1980,[1]StuntDes!$B:$B,[1]StuntDes!$C:$C)),"")</f>
        <v/>
      </c>
      <c r="L1980">
        <f t="shared" si="80"/>
        <v>1</v>
      </c>
      <c r="M1980" s="10" t="str">
        <f>IFERROR(_xlfn.XLOOKUP(C1980,[1]StuntDes!$B:$B,[1]StuntDes!$A:$A),"")</f>
        <v/>
      </c>
      <c r="N1980" s="10" t="str">
        <f>IFERROR(_xlfn.XLOOKUP(C1980,[1]ModifierDes!$B:$B,[1]ModifierDes!$A:$A),"")</f>
        <v/>
      </c>
      <c r="O1980" s="10">
        <f>IFERROR(_xlfn.XLOOKUP(C1980,[1]AttributeName!$C:$C,[1]AttributeName!$B:$B),"")</f>
        <v>10102</v>
      </c>
      <c r="P1980" s="10"/>
      <c r="Q1980">
        <v>0.12</v>
      </c>
      <c r="R1980">
        <v>0.18</v>
      </c>
      <c r="S1980" cm="1">
        <f t="array" ref="S1980">IFERROR(_xlfn.SWITCH(L1980,1,_xlfn.XLOOKUP(O1980,[1]AttributeName!$B:$B,[1]AttributeName!$D:$D),2,_xlfn.XLOOKUP(C1980,#REF!,#REF!),3,_xlfn.XLOOKUP(C1980,#REF!,#REF!)),0)</f>
        <v>2</v>
      </c>
      <c r="T1980" cm="1">
        <f t="array" ref="T1980">IFERROR(_xlfn.SWITCH(L1980,1,_xlfn.XLOOKUP(O1980,[1]AttributeName!$B:$B,[1]AttributeName!$E:$E),2,_xlfn.XLOOKUP(C1980,#REF!,#REF!),3,_xlfn.XLOOKUP(C1980,#REF!,#REF!)),0)</f>
        <v>2</v>
      </c>
    </row>
    <row r="1981" customFormat="1" spans="1:20">
      <c r="A1981">
        <v>852</v>
      </c>
      <c r="B1981">
        <v>8</v>
      </c>
      <c r="C1981" t="s">
        <v>399</v>
      </c>
      <c r="D1981" t="s">
        <v>31</v>
      </c>
      <c r="E1981" s="13" t="s">
        <v>392</v>
      </c>
      <c r="F1981"/>
      <c r="G1981">
        <v>2</v>
      </c>
      <c r="H1981">
        <v>1000</v>
      </c>
      <c r="J1981" cm="1">
        <f t="array" ref="J1981">_xlfn.SWITCH(B1981,1,75,2,61,3,49,4,37,5,25,6,13,7,4,8,1)</f>
        <v>1</v>
      </c>
      <c r="K1981" t="str" cm="1">
        <f t="array" ref="K1981">IFERROR(_xlfn.SWITCH(L1981,2,_xlfn.XLOOKUP(C1981,[1]ModifierDes!$B:$B,[1]ModifierDes!$C:$C),3,_xlfn.XLOOKUP(C1981,[1]StuntDes!$B:$B,[1]StuntDes!$C:$C)),"")</f>
        <v/>
      </c>
      <c r="L1981">
        <f t="shared" si="80"/>
        <v>1</v>
      </c>
      <c r="M1981" s="10" t="str">
        <f>IFERROR(_xlfn.XLOOKUP(C1981,[1]StuntDes!$B:$B,[1]StuntDes!$A:$A),"")</f>
        <v/>
      </c>
      <c r="N1981" s="10" t="str">
        <f>IFERROR(_xlfn.XLOOKUP(C1981,[1]ModifierDes!$B:$B,[1]ModifierDes!$A:$A),"")</f>
        <v/>
      </c>
      <c r="O1981" s="10">
        <f>IFERROR(_xlfn.XLOOKUP(C1981,[1]AttributeName!$C:$C,[1]AttributeName!$B:$B),"")</f>
        <v>10102</v>
      </c>
      <c r="P1981" s="10"/>
      <c r="Q1981">
        <v>0.04</v>
      </c>
      <c r="R1981">
        <v>0.1</v>
      </c>
      <c r="S1981" cm="1">
        <f t="array" ref="S1981">IFERROR(_xlfn.SWITCH(L1981,1,_xlfn.XLOOKUP(O1981,[1]AttributeName!$B:$B,[1]AttributeName!$D:$D),2,_xlfn.XLOOKUP(C1981,#REF!,#REF!),3,_xlfn.XLOOKUP(C1981,#REF!,#REF!)),0)</f>
        <v>2</v>
      </c>
      <c r="T1981" cm="1">
        <f t="array" ref="T1981">IFERROR(_xlfn.SWITCH(L1981,1,_xlfn.XLOOKUP(O1981,[1]AttributeName!$B:$B,[1]AttributeName!$E:$E),2,_xlfn.XLOOKUP(C1981,#REF!,#REF!),3,_xlfn.XLOOKUP(C1981,#REF!,#REF!)),0)</f>
        <v>2</v>
      </c>
    </row>
    <row r="1982" customFormat="1" spans="1:20">
      <c r="A1982">
        <f t="shared" ref="A1982:A2045" si="82">A1974+1</f>
        <v>853</v>
      </c>
      <c r="B1982">
        <v>1</v>
      </c>
      <c r="C1982" t="s">
        <v>435</v>
      </c>
      <c r="D1982" t="s">
        <v>31</v>
      </c>
      <c r="E1982" s="13" t="s">
        <v>392</v>
      </c>
      <c r="F1982"/>
      <c r="G1982">
        <v>2</v>
      </c>
      <c r="H1982">
        <v>100</v>
      </c>
      <c r="J1982" cm="1">
        <f t="array" ref="J1982">_xlfn.SWITCH(B1982,1,75,2,61,3,49,4,37,5,25,6,13,7,4,8,1)</f>
        <v>75</v>
      </c>
      <c r="K1982" t="str" cm="1">
        <f t="array" ref="K1982">IFERROR(_xlfn.SWITCH(L1982,2,_xlfn.XLOOKUP(C1982,[1]ModifierDes!$B:$B,[1]ModifierDes!$C:$C),3,_xlfn.XLOOKUP(C1982,[1]StuntDes!$B:$B,[1]StuntDes!$C:$C)),"")</f>
        <v/>
      </c>
      <c r="L1982">
        <f t="shared" si="80"/>
        <v>1</v>
      </c>
      <c r="M1982" s="10" t="str">
        <f>IFERROR(_xlfn.XLOOKUP(C1982,[1]StuntDes!$B:$B,[1]StuntDes!$A:$A),"")</f>
        <v/>
      </c>
      <c r="N1982" s="10" t="str">
        <f>IFERROR(_xlfn.XLOOKUP(C1982,[1]ModifierDes!$B:$B,[1]ModifierDes!$A:$A),"")</f>
        <v/>
      </c>
      <c r="O1982" s="10">
        <f>IFERROR(_xlfn.XLOOKUP(C1982,[1]AttributeName!$C:$C,[1]AttributeName!$B:$B),"")</f>
        <v>10103</v>
      </c>
      <c r="P1982" s="10"/>
      <c r="Q1982">
        <v>0.6</v>
      </c>
      <c r="R1982">
        <v>0.8</v>
      </c>
      <c r="S1982" cm="1">
        <f t="array" ref="S1982">IFERROR(_xlfn.SWITCH(L1982,1,_xlfn.XLOOKUP(O1982,[1]AttributeName!$B:$B,[1]AttributeName!$D:$D),2,_xlfn.XLOOKUP(C1982,#REF!,#REF!),3,_xlfn.XLOOKUP(C1982,#REF!,#REF!)),0)</f>
        <v>2</v>
      </c>
      <c r="T1982" cm="1">
        <f t="array" ref="T1982">IFERROR(_xlfn.SWITCH(L1982,1,_xlfn.XLOOKUP(O1982,[1]AttributeName!$B:$B,[1]AttributeName!$E:$E),2,_xlfn.XLOOKUP(C1982,#REF!,#REF!),3,_xlfn.XLOOKUP(C1982,#REF!,#REF!)),0)</f>
        <v>2</v>
      </c>
    </row>
    <row r="1983" customFormat="1" spans="1:20">
      <c r="A1983">
        <f t="shared" si="82"/>
        <v>853</v>
      </c>
      <c r="B1983">
        <v>2</v>
      </c>
      <c r="C1983" t="s">
        <v>435</v>
      </c>
      <c r="D1983" t="s">
        <v>31</v>
      </c>
      <c r="E1983" s="13" t="s">
        <v>392</v>
      </c>
      <c r="F1983"/>
      <c r="G1983">
        <v>2</v>
      </c>
      <c r="H1983">
        <v>200</v>
      </c>
      <c r="J1983" cm="1">
        <f t="array" ref="J1983">_xlfn.SWITCH(B1983,1,75,2,61,3,49,4,37,5,25,6,13,7,4,8,1)</f>
        <v>61</v>
      </c>
      <c r="K1983" t="str" cm="1">
        <f t="array" ref="K1983">IFERROR(_xlfn.SWITCH(L1983,2,_xlfn.XLOOKUP(C1983,[1]ModifierDes!$B:$B,[1]ModifierDes!$C:$C),3,_xlfn.XLOOKUP(C1983,[1]StuntDes!$B:$B,[1]StuntDes!$C:$C)),"")</f>
        <v/>
      </c>
      <c r="L1983">
        <f t="shared" si="80"/>
        <v>1</v>
      </c>
      <c r="M1983" s="10" t="str">
        <f>IFERROR(_xlfn.XLOOKUP(C1983,[1]StuntDes!$B:$B,[1]StuntDes!$A:$A),"")</f>
        <v/>
      </c>
      <c r="N1983" s="10" t="str">
        <f>IFERROR(_xlfn.XLOOKUP(C1983,[1]ModifierDes!$B:$B,[1]ModifierDes!$A:$A),"")</f>
        <v/>
      </c>
      <c r="O1983" s="10">
        <f>IFERROR(_xlfn.XLOOKUP(C1983,[1]AttributeName!$C:$C,[1]AttributeName!$B:$B),"")</f>
        <v>10103</v>
      </c>
      <c r="P1983" s="10"/>
      <c r="Q1983">
        <v>0.52</v>
      </c>
      <c r="R1983">
        <v>0.58</v>
      </c>
      <c r="S1983" cm="1">
        <f t="array" ref="S1983">IFERROR(_xlfn.SWITCH(L1983,1,_xlfn.XLOOKUP(O1983,[1]AttributeName!$B:$B,[1]AttributeName!$D:$D),2,_xlfn.XLOOKUP(C1983,#REF!,#REF!),3,_xlfn.XLOOKUP(C1983,#REF!,#REF!)),0)</f>
        <v>2</v>
      </c>
      <c r="T1983" cm="1">
        <f t="array" ref="T1983">IFERROR(_xlfn.SWITCH(L1983,1,_xlfn.XLOOKUP(O1983,[1]AttributeName!$B:$B,[1]AttributeName!$E:$E),2,_xlfn.XLOOKUP(C1983,#REF!,#REF!),3,_xlfn.XLOOKUP(C1983,#REF!,#REF!)),0)</f>
        <v>2</v>
      </c>
    </row>
    <row r="1984" customFormat="1" spans="1:20">
      <c r="A1984">
        <f t="shared" si="82"/>
        <v>853</v>
      </c>
      <c r="B1984">
        <v>3</v>
      </c>
      <c r="C1984" t="s">
        <v>435</v>
      </c>
      <c r="D1984" t="s">
        <v>31</v>
      </c>
      <c r="E1984" s="13" t="s">
        <v>392</v>
      </c>
      <c r="F1984"/>
      <c r="G1984">
        <v>2</v>
      </c>
      <c r="H1984">
        <v>500</v>
      </c>
      <c r="J1984" cm="1">
        <f t="array" ref="J1984">_xlfn.SWITCH(B1984,1,75,2,61,3,49,4,37,5,25,6,13,7,4,8,1)</f>
        <v>49</v>
      </c>
      <c r="K1984" t="str" cm="1">
        <f t="array" ref="K1984">IFERROR(_xlfn.SWITCH(L1984,2,_xlfn.XLOOKUP(C1984,[1]ModifierDes!$B:$B,[1]ModifierDes!$C:$C),3,_xlfn.XLOOKUP(C1984,[1]StuntDes!$B:$B,[1]StuntDes!$C:$C)),"")</f>
        <v/>
      </c>
      <c r="L1984">
        <f t="shared" si="80"/>
        <v>1</v>
      </c>
      <c r="M1984" s="10" t="str">
        <f>IFERROR(_xlfn.XLOOKUP(C1984,[1]StuntDes!$B:$B,[1]StuntDes!$A:$A),"")</f>
        <v/>
      </c>
      <c r="N1984" s="10" t="str">
        <f>IFERROR(_xlfn.XLOOKUP(C1984,[1]ModifierDes!$B:$B,[1]ModifierDes!$A:$A),"")</f>
        <v/>
      </c>
      <c r="O1984" s="10">
        <f>IFERROR(_xlfn.XLOOKUP(C1984,[1]AttributeName!$C:$C,[1]AttributeName!$B:$B),"")</f>
        <v>10103</v>
      </c>
      <c r="P1984" s="10"/>
      <c r="Q1984">
        <v>0.44</v>
      </c>
      <c r="R1984">
        <v>0.5</v>
      </c>
      <c r="S1984" cm="1">
        <f t="array" ref="S1984">IFERROR(_xlfn.SWITCH(L1984,1,_xlfn.XLOOKUP(O1984,[1]AttributeName!$B:$B,[1]AttributeName!$D:$D),2,_xlfn.XLOOKUP(C1984,#REF!,#REF!),3,_xlfn.XLOOKUP(C1984,#REF!,#REF!)),0)</f>
        <v>2</v>
      </c>
      <c r="T1984" cm="1">
        <f t="array" ref="T1984">IFERROR(_xlfn.SWITCH(L1984,1,_xlfn.XLOOKUP(O1984,[1]AttributeName!$B:$B,[1]AttributeName!$E:$E),2,_xlfn.XLOOKUP(C1984,#REF!,#REF!),3,_xlfn.XLOOKUP(C1984,#REF!,#REF!)),0)</f>
        <v>2</v>
      </c>
    </row>
    <row r="1985" customFormat="1" spans="1:20">
      <c r="A1985">
        <f t="shared" si="82"/>
        <v>853</v>
      </c>
      <c r="B1985">
        <v>4</v>
      </c>
      <c r="C1985" t="s">
        <v>435</v>
      </c>
      <c r="D1985" t="s">
        <v>31</v>
      </c>
      <c r="E1985" s="13" t="s">
        <v>392</v>
      </c>
      <c r="F1985"/>
      <c r="G1985">
        <v>2</v>
      </c>
      <c r="H1985">
        <v>1000</v>
      </c>
      <c r="J1985" cm="1">
        <f t="array" ref="J1985">_xlfn.SWITCH(B1985,1,75,2,61,3,49,4,37,5,25,6,13,7,4,8,1)</f>
        <v>37</v>
      </c>
      <c r="K1985" t="str" cm="1">
        <f t="array" ref="K1985">IFERROR(_xlfn.SWITCH(L1985,2,_xlfn.XLOOKUP(C1985,[1]ModifierDes!$B:$B,[1]ModifierDes!$C:$C),3,_xlfn.XLOOKUP(C1985,[1]StuntDes!$B:$B,[1]StuntDes!$C:$C)),"")</f>
        <v/>
      </c>
      <c r="L1985">
        <f t="shared" si="80"/>
        <v>1</v>
      </c>
      <c r="M1985" s="10" t="str">
        <f>IFERROR(_xlfn.XLOOKUP(C1985,[1]StuntDes!$B:$B,[1]StuntDes!$A:$A),"")</f>
        <v/>
      </c>
      <c r="N1985" s="10" t="str">
        <f>IFERROR(_xlfn.XLOOKUP(C1985,[1]ModifierDes!$B:$B,[1]ModifierDes!$A:$A),"")</f>
        <v/>
      </c>
      <c r="O1985" s="10">
        <f>IFERROR(_xlfn.XLOOKUP(C1985,[1]AttributeName!$C:$C,[1]AttributeName!$B:$B),"")</f>
        <v>10103</v>
      </c>
      <c r="P1985" s="10"/>
      <c r="Q1985">
        <v>0.36</v>
      </c>
      <c r="R1985">
        <v>0.42</v>
      </c>
      <c r="S1985" cm="1">
        <f t="array" ref="S1985">IFERROR(_xlfn.SWITCH(L1985,1,_xlfn.XLOOKUP(O1985,[1]AttributeName!$B:$B,[1]AttributeName!$D:$D),2,_xlfn.XLOOKUP(C1985,#REF!,#REF!),3,_xlfn.XLOOKUP(C1985,#REF!,#REF!)),0)</f>
        <v>2</v>
      </c>
      <c r="T1985" cm="1">
        <f t="array" ref="T1985">IFERROR(_xlfn.SWITCH(L1985,1,_xlfn.XLOOKUP(O1985,[1]AttributeName!$B:$B,[1]AttributeName!$E:$E),2,_xlfn.XLOOKUP(C1985,#REF!,#REF!),3,_xlfn.XLOOKUP(C1985,#REF!,#REF!)),0)</f>
        <v>2</v>
      </c>
    </row>
    <row r="1986" customFormat="1" spans="1:20">
      <c r="A1986">
        <f t="shared" si="82"/>
        <v>853</v>
      </c>
      <c r="B1986">
        <v>5</v>
      </c>
      <c r="C1986" t="s">
        <v>435</v>
      </c>
      <c r="D1986" t="s">
        <v>31</v>
      </c>
      <c r="E1986" s="13" t="s">
        <v>392</v>
      </c>
      <c r="F1986"/>
      <c r="G1986">
        <v>2</v>
      </c>
      <c r="H1986">
        <v>1000</v>
      </c>
      <c r="J1986" cm="1">
        <f t="array" ref="J1986">_xlfn.SWITCH(B1986,1,75,2,61,3,49,4,37,5,25,6,13,7,4,8,1)</f>
        <v>25</v>
      </c>
      <c r="K1986" t="str" cm="1">
        <f t="array" ref="K1986">IFERROR(_xlfn.SWITCH(L1986,2,_xlfn.XLOOKUP(C1986,[1]ModifierDes!$B:$B,[1]ModifierDes!$C:$C),3,_xlfn.XLOOKUP(C1986,[1]StuntDes!$B:$B,[1]StuntDes!$C:$C)),"")</f>
        <v/>
      </c>
      <c r="L1986">
        <f t="shared" si="80"/>
        <v>1</v>
      </c>
      <c r="M1986" s="10" t="str">
        <f>IFERROR(_xlfn.XLOOKUP(C1986,[1]StuntDes!$B:$B,[1]StuntDes!$A:$A),"")</f>
        <v/>
      </c>
      <c r="N1986" s="10" t="str">
        <f>IFERROR(_xlfn.XLOOKUP(C1986,[1]ModifierDes!$B:$B,[1]ModifierDes!$A:$A),"")</f>
        <v/>
      </c>
      <c r="O1986" s="10">
        <f>IFERROR(_xlfn.XLOOKUP(C1986,[1]AttributeName!$C:$C,[1]AttributeName!$B:$B),"")</f>
        <v>10103</v>
      </c>
      <c r="P1986" s="10"/>
      <c r="Q1986">
        <v>0.28</v>
      </c>
      <c r="R1986">
        <v>0.34</v>
      </c>
      <c r="S1986" cm="1">
        <f t="array" ref="S1986">IFERROR(_xlfn.SWITCH(L1986,1,_xlfn.XLOOKUP(O1986,[1]AttributeName!$B:$B,[1]AttributeName!$D:$D),2,_xlfn.XLOOKUP(C1986,#REF!,#REF!),3,_xlfn.XLOOKUP(C1986,#REF!,#REF!)),0)</f>
        <v>2</v>
      </c>
      <c r="T1986" cm="1">
        <f t="array" ref="T1986">IFERROR(_xlfn.SWITCH(L1986,1,_xlfn.XLOOKUP(O1986,[1]AttributeName!$B:$B,[1]AttributeName!$E:$E),2,_xlfn.XLOOKUP(C1986,#REF!,#REF!),3,_xlfn.XLOOKUP(C1986,#REF!,#REF!)),0)</f>
        <v>2</v>
      </c>
    </row>
    <row r="1987" customFormat="1" spans="1:20">
      <c r="A1987">
        <f t="shared" si="82"/>
        <v>853</v>
      </c>
      <c r="B1987">
        <v>6</v>
      </c>
      <c r="C1987" t="s">
        <v>435</v>
      </c>
      <c r="D1987" t="s">
        <v>31</v>
      </c>
      <c r="E1987" s="13" t="s">
        <v>392</v>
      </c>
      <c r="F1987"/>
      <c r="G1987">
        <v>2</v>
      </c>
      <c r="H1987">
        <v>1000</v>
      </c>
      <c r="J1987" cm="1">
        <f t="array" ref="J1987">_xlfn.SWITCH(B1987,1,75,2,61,3,49,4,37,5,25,6,13,7,4,8,1)</f>
        <v>13</v>
      </c>
      <c r="K1987" t="str" cm="1">
        <f t="array" ref="K1987">IFERROR(_xlfn.SWITCH(L1987,2,_xlfn.XLOOKUP(C1987,[1]ModifierDes!$B:$B,[1]ModifierDes!$C:$C),3,_xlfn.XLOOKUP(C1987,[1]StuntDes!$B:$B,[1]StuntDes!$C:$C)),"")</f>
        <v/>
      </c>
      <c r="L1987">
        <f t="shared" si="80"/>
        <v>1</v>
      </c>
      <c r="M1987" s="10" t="str">
        <f>IFERROR(_xlfn.XLOOKUP(C1987,[1]StuntDes!$B:$B,[1]StuntDes!$A:$A),"")</f>
        <v/>
      </c>
      <c r="N1987" s="10" t="str">
        <f>IFERROR(_xlfn.XLOOKUP(C1987,[1]ModifierDes!$B:$B,[1]ModifierDes!$A:$A),"")</f>
        <v/>
      </c>
      <c r="O1987" s="10">
        <f>IFERROR(_xlfn.XLOOKUP(C1987,[1]AttributeName!$C:$C,[1]AttributeName!$B:$B),"")</f>
        <v>10103</v>
      </c>
      <c r="P1987" s="10"/>
      <c r="Q1987">
        <v>0.2</v>
      </c>
      <c r="R1987">
        <v>0.26</v>
      </c>
      <c r="S1987" cm="1">
        <f t="array" ref="S1987">IFERROR(_xlfn.SWITCH(L1987,1,_xlfn.XLOOKUP(O1987,[1]AttributeName!$B:$B,[1]AttributeName!$D:$D),2,_xlfn.XLOOKUP(C1987,#REF!,#REF!),3,_xlfn.XLOOKUP(C1987,#REF!,#REF!)),0)</f>
        <v>2</v>
      </c>
      <c r="T1987" cm="1">
        <f t="array" ref="T1987">IFERROR(_xlfn.SWITCH(L1987,1,_xlfn.XLOOKUP(O1987,[1]AttributeName!$B:$B,[1]AttributeName!$E:$E),2,_xlfn.XLOOKUP(C1987,#REF!,#REF!),3,_xlfn.XLOOKUP(C1987,#REF!,#REF!)),0)</f>
        <v>2</v>
      </c>
    </row>
    <row r="1988" customFormat="1" spans="1:20">
      <c r="A1988">
        <f t="shared" si="82"/>
        <v>853</v>
      </c>
      <c r="B1988">
        <v>7</v>
      </c>
      <c r="C1988" t="s">
        <v>435</v>
      </c>
      <c r="D1988" t="s">
        <v>31</v>
      </c>
      <c r="E1988" s="13" t="s">
        <v>392</v>
      </c>
      <c r="F1988"/>
      <c r="G1988">
        <v>2</v>
      </c>
      <c r="H1988">
        <v>1000</v>
      </c>
      <c r="J1988" cm="1">
        <f t="array" ref="J1988">_xlfn.SWITCH(B1988,1,75,2,61,3,49,4,37,5,25,6,13,7,4,8,1)</f>
        <v>4</v>
      </c>
      <c r="K1988" t="str" cm="1">
        <f t="array" ref="K1988">IFERROR(_xlfn.SWITCH(L1988,2,_xlfn.XLOOKUP(C1988,[1]ModifierDes!$B:$B,[1]ModifierDes!$C:$C),3,_xlfn.XLOOKUP(C1988,[1]StuntDes!$B:$B,[1]StuntDes!$C:$C)),"")</f>
        <v/>
      </c>
      <c r="L1988">
        <f t="shared" ref="L1988:L2051" si="83">IF(M1988="",IF(N1988="",1,2),3)</f>
        <v>1</v>
      </c>
      <c r="M1988" s="10" t="str">
        <f>IFERROR(_xlfn.XLOOKUP(C1988,[1]StuntDes!$B:$B,[1]StuntDes!$A:$A),"")</f>
        <v/>
      </c>
      <c r="N1988" s="10" t="str">
        <f>IFERROR(_xlfn.XLOOKUP(C1988,[1]ModifierDes!$B:$B,[1]ModifierDes!$A:$A),"")</f>
        <v/>
      </c>
      <c r="O1988" s="10">
        <f>IFERROR(_xlfn.XLOOKUP(C1988,[1]AttributeName!$C:$C,[1]AttributeName!$B:$B),"")</f>
        <v>10103</v>
      </c>
      <c r="P1988" s="10"/>
      <c r="Q1988">
        <v>0.12</v>
      </c>
      <c r="R1988">
        <v>0.18</v>
      </c>
      <c r="S1988" cm="1">
        <f t="array" ref="S1988">IFERROR(_xlfn.SWITCH(L1988,1,_xlfn.XLOOKUP(O1988,[1]AttributeName!$B:$B,[1]AttributeName!$D:$D),2,_xlfn.XLOOKUP(C1988,#REF!,#REF!),3,_xlfn.XLOOKUP(C1988,#REF!,#REF!)),0)</f>
        <v>2</v>
      </c>
      <c r="T1988" cm="1">
        <f t="array" ref="T1988">IFERROR(_xlfn.SWITCH(L1988,1,_xlfn.XLOOKUP(O1988,[1]AttributeName!$B:$B,[1]AttributeName!$E:$E),2,_xlfn.XLOOKUP(C1988,#REF!,#REF!),3,_xlfn.XLOOKUP(C1988,#REF!,#REF!)),0)</f>
        <v>2</v>
      </c>
    </row>
    <row r="1989" customFormat="1" spans="1:20">
      <c r="A1989">
        <f t="shared" si="82"/>
        <v>853</v>
      </c>
      <c r="B1989">
        <v>8</v>
      </c>
      <c r="C1989" t="s">
        <v>435</v>
      </c>
      <c r="D1989" t="s">
        <v>31</v>
      </c>
      <c r="E1989" s="13" t="s">
        <v>392</v>
      </c>
      <c r="F1989"/>
      <c r="G1989">
        <v>2</v>
      </c>
      <c r="H1989">
        <v>1000</v>
      </c>
      <c r="J1989" cm="1">
        <f t="array" ref="J1989">_xlfn.SWITCH(B1989,1,75,2,61,3,49,4,37,5,25,6,13,7,4,8,1)</f>
        <v>1</v>
      </c>
      <c r="K1989" t="str" cm="1">
        <f t="array" ref="K1989">IFERROR(_xlfn.SWITCH(L1989,2,_xlfn.XLOOKUP(C1989,[1]ModifierDes!$B:$B,[1]ModifierDes!$C:$C),3,_xlfn.XLOOKUP(C1989,[1]StuntDes!$B:$B,[1]StuntDes!$C:$C)),"")</f>
        <v/>
      </c>
      <c r="L1989">
        <f t="shared" si="83"/>
        <v>1</v>
      </c>
      <c r="M1989" s="10" t="str">
        <f>IFERROR(_xlfn.XLOOKUP(C1989,[1]StuntDes!$B:$B,[1]StuntDes!$A:$A),"")</f>
        <v/>
      </c>
      <c r="N1989" s="10" t="str">
        <f>IFERROR(_xlfn.XLOOKUP(C1989,[1]ModifierDes!$B:$B,[1]ModifierDes!$A:$A),"")</f>
        <v/>
      </c>
      <c r="O1989" s="10">
        <f>IFERROR(_xlfn.XLOOKUP(C1989,[1]AttributeName!$C:$C,[1]AttributeName!$B:$B),"")</f>
        <v>10103</v>
      </c>
      <c r="P1989" s="10"/>
      <c r="Q1989">
        <v>0.04</v>
      </c>
      <c r="R1989">
        <v>0.1</v>
      </c>
      <c r="S1989" cm="1">
        <f t="array" ref="S1989">IFERROR(_xlfn.SWITCH(L1989,1,_xlfn.XLOOKUP(O1989,[1]AttributeName!$B:$B,[1]AttributeName!$D:$D),2,_xlfn.XLOOKUP(C1989,#REF!,#REF!),3,_xlfn.XLOOKUP(C1989,#REF!,#REF!)),0)</f>
        <v>2</v>
      </c>
      <c r="T1989" cm="1">
        <f t="array" ref="T1989">IFERROR(_xlfn.SWITCH(L1989,1,_xlfn.XLOOKUP(O1989,[1]AttributeName!$B:$B,[1]AttributeName!$E:$E),2,_xlfn.XLOOKUP(C1989,#REF!,#REF!),3,_xlfn.XLOOKUP(C1989,#REF!,#REF!)),0)</f>
        <v>2</v>
      </c>
    </row>
    <row r="1990" customFormat="1" spans="1:20">
      <c r="A1990">
        <f t="shared" si="82"/>
        <v>854</v>
      </c>
      <c r="B1990">
        <v>1</v>
      </c>
      <c r="C1990" t="s">
        <v>400</v>
      </c>
      <c r="D1990" t="s">
        <v>31</v>
      </c>
      <c r="E1990" s="13" t="s">
        <v>392</v>
      </c>
      <c r="F1990"/>
      <c r="G1990">
        <v>2</v>
      </c>
      <c r="H1990">
        <v>100</v>
      </c>
      <c r="I1990">
        <v>4</v>
      </c>
      <c r="J1990" cm="1">
        <f t="array" ref="J1990">_xlfn.SWITCH(B1990,1,75,2,61,3,49,4,37,5,25,6,13,7,4,8,1)</f>
        <v>75</v>
      </c>
      <c r="K1990" t="str" cm="1">
        <f t="array" ref="K1990">IFERROR(_xlfn.SWITCH(L1990,2,_xlfn.XLOOKUP(C1990,[1]ModifierDes!$B:$B,[1]ModifierDes!$C:$C),3,_xlfn.XLOOKUP(C1990,[1]StuntDes!$B:$B,[1]StuntDes!$C:$C)),"")</f>
        <v>攻击暴击伤害增加{0}</v>
      </c>
      <c r="L1990">
        <f t="shared" si="83"/>
        <v>2</v>
      </c>
      <c r="M1990" s="10" t="str">
        <f>IFERROR(_xlfn.XLOOKUP(C1990,[1]StuntDes!$B:$B,[1]StuntDes!$A:$A),"")</f>
        <v/>
      </c>
      <c r="N1990" s="10">
        <f>IFERROR(_xlfn.XLOOKUP(C1990,[1]ModifierDes!$B:$B,[1]ModifierDes!$A:$A),"")</f>
        <v>10060</v>
      </c>
      <c r="O1990" s="10" t="str">
        <f>IFERROR(_xlfn.XLOOKUP(C1990,[1]AttributeName!$C:$C,[1]AttributeName!$B:$B),"")</f>
        <v/>
      </c>
      <c r="P1990" s="10"/>
      <c r="Q1990">
        <v>0.6</v>
      </c>
      <c r="R1990">
        <v>0.8</v>
      </c>
      <c r="S1990" cm="1">
        <f t="array" ref="S1990">IFERROR(_xlfn.SWITCH(L1990,1,_xlfn.XLOOKUP(O1990,[1]AttributeName!$B:$B,[1]AttributeName!$D:$D),2,_xlfn.XLOOKUP(C1990,#REF!,#REF!),3,_xlfn.XLOOKUP(C1990,#REF!,#REF!)),0)</f>
        <v>0</v>
      </c>
      <c r="T1990" cm="1">
        <f t="array" ref="T1990">IFERROR(_xlfn.SWITCH(L1990,1,_xlfn.XLOOKUP(O1990,[1]AttributeName!$B:$B,[1]AttributeName!$E:$E),2,_xlfn.XLOOKUP(C1990,#REF!,#REF!),3,_xlfn.XLOOKUP(C1990,#REF!,#REF!)),0)</f>
        <v>0</v>
      </c>
    </row>
    <row r="1991" customFormat="1" spans="1:20">
      <c r="A1991">
        <f t="shared" si="82"/>
        <v>854</v>
      </c>
      <c r="B1991">
        <v>2</v>
      </c>
      <c r="C1991" t="s">
        <v>400</v>
      </c>
      <c r="D1991" t="s">
        <v>31</v>
      </c>
      <c r="E1991" s="13" t="s">
        <v>392</v>
      </c>
      <c r="F1991"/>
      <c r="G1991">
        <v>2</v>
      </c>
      <c r="H1991">
        <v>200</v>
      </c>
      <c r="I1991">
        <v>4</v>
      </c>
      <c r="J1991" cm="1">
        <f t="array" ref="J1991">_xlfn.SWITCH(B1991,1,75,2,61,3,49,4,37,5,25,6,13,7,4,8,1)</f>
        <v>61</v>
      </c>
      <c r="K1991" t="str" cm="1">
        <f t="array" ref="K1991">IFERROR(_xlfn.SWITCH(L1991,2,_xlfn.XLOOKUP(C1991,[1]ModifierDes!$B:$B,[1]ModifierDes!$C:$C),3,_xlfn.XLOOKUP(C1991,[1]StuntDes!$B:$B,[1]StuntDes!$C:$C)),"")</f>
        <v>攻击暴击伤害增加{0}</v>
      </c>
      <c r="L1991">
        <f t="shared" si="83"/>
        <v>2</v>
      </c>
      <c r="M1991" s="10" t="str">
        <f>IFERROR(_xlfn.XLOOKUP(C1991,[1]StuntDes!$B:$B,[1]StuntDes!$A:$A),"")</f>
        <v/>
      </c>
      <c r="N1991" s="10">
        <f>IFERROR(_xlfn.XLOOKUP(C1991,[1]ModifierDes!$B:$B,[1]ModifierDes!$A:$A),"")</f>
        <v>10060</v>
      </c>
      <c r="O1991" s="10" t="str">
        <f>IFERROR(_xlfn.XLOOKUP(C1991,[1]AttributeName!$C:$C,[1]AttributeName!$B:$B),"")</f>
        <v/>
      </c>
      <c r="P1991" s="10"/>
      <c r="Q1991">
        <v>0.52</v>
      </c>
      <c r="R1991">
        <v>0.58</v>
      </c>
      <c r="S1991" cm="1">
        <f t="array" ref="S1991">IFERROR(_xlfn.SWITCH(L1991,1,_xlfn.XLOOKUP(O1991,[1]AttributeName!$B:$B,[1]AttributeName!$D:$D),2,_xlfn.XLOOKUP(C1991,#REF!,#REF!),3,_xlfn.XLOOKUP(C1991,#REF!,#REF!)),0)</f>
        <v>0</v>
      </c>
      <c r="T1991" cm="1">
        <f t="array" ref="T1991">IFERROR(_xlfn.SWITCH(L1991,1,_xlfn.XLOOKUP(O1991,[1]AttributeName!$B:$B,[1]AttributeName!$E:$E),2,_xlfn.XLOOKUP(C1991,#REF!,#REF!),3,_xlfn.XLOOKUP(C1991,#REF!,#REF!)),0)</f>
        <v>0</v>
      </c>
    </row>
    <row r="1992" customFormat="1" spans="1:20">
      <c r="A1992">
        <f t="shared" si="82"/>
        <v>854</v>
      </c>
      <c r="B1992">
        <v>3</v>
      </c>
      <c r="C1992" t="s">
        <v>400</v>
      </c>
      <c r="D1992" t="s">
        <v>31</v>
      </c>
      <c r="E1992" s="13" t="s">
        <v>392</v>
      </c>
      <c r="F1992"/>
      <c r="G1992">
        <v>2</v>
      </c>
      <c r="H1992">
        <v>500</v>
      </c>
      <c r="I1992">
        <v>4</v>
      </c>
      <c r="J1992" cm="1">
        <f t="array" ref="J1992">_xlfn.SWITCH(B1992,1,75,2,61,3,49,4,37,5,25,6,13,7,4,8,1)</f>
        <v>49</v>
      </c>
      <c r="K1992" t="str" cm="1">
        <f t="array" ref="K1992">IFERROR(_xlfn.SWITCH(L1992,2,_xlfn.XLOOKUP(C1992,[1]ModifierDes!$B:$B,[1]ModifierDes!$C:$C),3,_xlfn.XLOOKUP(C1992,[1]StuntDes!$B:$B,[1]StuntDes!$C:$C)),"")</f>
        <v>攻击暴击伤害增加{0}</v>
      </c>
      <c r="L1992">
        <f t="shared" si="83"/>
        <v>2</v>
      </c>
      <c r="M1992" s="10" t="str">
        <f>IFERROR(_xlfn.XLOOKUP(C1992,[1]StuntDes!$B:$B,[1]StuntDes!$A:$A),"")</f>
        <v/>
      </c>
      <c r="N1992" s="10">
        <f>IFERROR(_xlfn.XLOOKUP(C1992,[1]ModifierDes!$B:$B,[1]ModifierDes!$A:$A),"")</f>
        <v>10060</v>
      </c>
      <c r="O1992" s="10" t="str">
        <f>IFERROR(_xlfn.XLOOKUP(C1992,[1]AttributeName!$C:$C,[1]AttributeName!$B:$B),"")</f>
        <v/>
      </c>
      <c r="P1992" s="10"/>
      <c r="Q1992">
        <v>0.44</v>
      </c>
      <c r="R1992">
        <v>0.5</v>
      </c>
      <c r="S1992" cm="1">
        <f t="array" ref="S1992">IFERROR(_xlfn.SWITCH(L1992,1,_xlfn.XLOOKUP(O1992,[1]AttributeName!$B:$B,[1]AttributeName!$D:$D),2,_xlfn.XLOOKUP(C1992,#REF!,#REF!),3,_xlfn.XLOOKUP(C1992,#REF!,#REF!)),0)</f>
        <v>0</v>
      </c>
      <c r="T1992" cm="1">
        <f t="array" ref="T1992">IFERROR(_xlfn.SWITCH(L1992,1,_xlfn.XLOOKUP(O1992,[1]AttributeName!$B:$B,[1]AttributeName!$E:$E),2,_xlfn.XLOOKUP(C1992,#REF!,#REF!),3,_xlfn.XLOOKUP(C1992,#REF!,#REF!)),0)</f>
        <v>0</v>
      </c>
    </row>
    <row r="1993" customFormat="1" spans="1:20">
      <c r="A1993">
        <f t="shared" si="82"/>
        <v>854</v>
      </c>
      <c r="B1993">
        <v>4</v>
      </c>
      <c r="C1993" t="s">
        <v>400</v>
      </c>
      <c r="D1993" t="s">
        <v>31</v>
      </c>
      <c r="E1993" s="13" t="s">
        <v>392</v>
      </c>
      <c r="F1993"/>
      <c r="G1993">
        <v>2</v>
      </c>
      <c r="H1993">
        <v>1000</v>
      </c>
      <c r="I1993">
        <v>4</v>
      </c>
      <c r="J1993" cm="1">
        <f t="array" ref="J1993">_xlfn.SWITCH(B1993,1,75,2,61,3,49,4,37,5,25,6,13,7,4,8,1)</f>
        <v>37</v>
      </c>
      <c r="K1993" t="str" cm="1">
        <f t="array" ref="K1993">IFERROR(_xlfn.SWITCH(L1993,2,_xlfn.XLOOKUP(C1993,[1]ModifierDes!$B:$B,[1]ModifierDes!$C:$C),3,_xlfn.XLOOKUP(C1993,[1]StuntDes!$B:$B,[1]StuntDes!$C:$C)),"")</f>
        <v>攻击暴击伤害增加{0}</v>
      </c>
      <c r="L1993">
        <f t="shared" si="83"/>
        <v>2</v>
      </c>
      <c r="M1993" s="10" t="str">
        <f>IFERROR(_xlfn.XLOOKUP(C1993,[1]StuntDes!$B:$B,[1]StuntDes!$A:$A),"")</f>
        <v/>
      </c>
      <c r="N1993" s="10">
        <f>IFERROR(_xlfn.XLOOKUP(C1993,[1]ModifierDes!$B:$B,[1]ModifierDes!$A:$A),"")</f>
        <v>10060</v>
      </c>
      <c r="O1993" s="10" t="str">
        <f>IFERROR(_xlfn.XLOOKUP(C1993,[1]AttributeName!$C:$C,[1]AttributeName!$B:$B),"")</f>
        <v/>
      </c>
      <c r="P1993" s="10"/>
      <c r="Q1993">
        <v>0.36</v>
      </c>
      <c r="R1993">
        <v>0.42</v>
      </c>
      <c r="S1993" cm="1">
        <f t="array" ref="S1993">IFERROR(_xlfn.SWITCH(L1993,1,_xlfn.XLOOKUP(O1993,[1]AttributeName!$B:$B,[1]AttributeName!$D:$D),2,_xlfn.XLOOKUP(C1993,#REF!,#REF!),3,_xlfn.XLOOKUP(C1993,#REF!,#REF!)),0)</f>
        <v>0</v>
      </c>
      <c r="T1993" cm="1">
        <f t="array" ref="T1993">IFERROR(_xlfn.SWITCH(L1993,1,_xlfn.XLOOKUP(O1993,[1]AttributeName!$B:$B,[1]AttributeName!$E:$E),2,_xlfn.XLOOKUP(C1993,#REF!,#REF!),3,_xlfn.XLOOKUP(C1993,#REF!,#REF!)),0)</f>
        <v>0</v>
      </c>
    </row>
    <row r="1994" customFormat="1" spans="1:20">
      <c r="A1994">
        <f t="shared" si="82"/>
        <v>854</v>
      </c>
      <c r="B1994">
        <v>5</v>
      </c>
      <c r="C1994" t="s">
        <v>400</v>
      </c>
      <c r="D1994" t="s">
        <v>31</v>
      </c>
      <c r="E1994" s="13" t="s">
        <v>392</v>
      </c>
      <c r="F1994"/>
      <c r="G1994">
        <v>2</v>
      </c>
      <c r="H1994">
        <v>1000</v>
      </c>
      <c r="I1994">
        <v>4</v>
      </c>
      <c r="J1994" cm="1">
        <f t="array" ref="J1994">_xlfn.SWITCH(B1994,1,75,2,61,3,49,4,37,5,25,6,13,7,4,8,1)</f>
        <v>25</v>
      </c>
      <c r="K1994" t="str" cm="1">
        <f t="array" ref="K1994">IFERROR(_xlfn.SWITCH(L1994,2,_xlfn.XLOOKUP(C1994,[1]ModifierDes!$B:$B,[1]ModifierDes!$C:$C),3,_xlfn.XLOOKUP(C1994,[1]StuntDes!$B:$B,[1]StuntDes!$C:$C)),"")</f>
        <v>攻击暴击伤害增加{0}</v>
      </c>
      <c r="L1994">
        <f t="shared" si="83"/>
        <v>2</v>
      </c>
      <c r="M1994" s="10" t="str">
        <f>IFERROR(_xlfn.XLOOKUP(C1994,[1]StuntDes!$B:$B,[1]StuntDes!$A:$A),"")</f>
        <v/>
      </c>
      <c r="N1994" s="10">
        <f>IFERROR(_xlfn.XLOOKUP(C1994,[1]ModifierDes!$B:$B,[1]ModifierDes!$A:$A),"")</f>
        <v>10060</v>
      </c>
      <c r="O1994" s="10" t="str">
        <f>IFERROR(_xlfn.XLOOKUP(C1994,[1]AttributeName!$C:$C,[1]AttributeName!$B:$B),"")</f>
        <v/>
      </c>
      <c r="P1994" s="10"/>
      <c r="Q1994">
        <v>0.28</v>
      </c>
      <c r="R1994">
        <v>0.34</v>
      </c>
      <c r="S1994" cm="1">
        <f t="array" ref="S1994">IFERROR(_xlfn.SWITCH(L1994,1,_xlfn.XLOOKUP(O1994,[1]AttributeName!$B:$B,[1]AttributeName!$D:$D),2,_xlfn.XLOOKUP(C1994,#REF!,#REF!),3,_xlfn.XLOOKUP(C1994,#REF!,#REF!)),0)</f>
        <v>0</v>
      </c>
      <c r="T1994" cm="1">
        <f t="array" ref="T1994">IFERROR(_xlfn.SWITCH(L1994,1,_xlfn.XLOOKUP(O1994,[1]AttributeName!$B:$B,[1]AttributeName!$E:$E),2,_xlfn.XLOOKUP(C1994,#REF!,#REF!),3,_xlfn.XLOOKUP(C1994,#REF!,#REF!)),0)</f>
        <v>0</v>
      </c>
    </row>
    <row r="1995" customFormat="1" spans="1:20">
      <c r="A1995">
        <f t="shared" si="82"/>
        <v>854</v>
      </c>
      <c r="B1995">
        <v>6</v>
      </c>
      <c r="C1995" t="s">
        <v>400</v>
      </c>
      <c r="D1995" t="s">
        <v>31</v>
      </c>
      <c r="E1995" s="13" t="s">
        <v>392</v>
      </c>
      <c r="F1995"/>
      <c r="G1995">
        <v>2</v>
      </c>
      <c r="H1995">
        <v>1000</v>
      </c>
      <c r="I1995">
        <v>4</v>
      </c>
      <c r="J1995" cm="1">
        <f t="array" ref="J1995">_xlfn.SWITCH(B1995,1,75,2,61,3,49,4,37,5,25,6,13,7,4,8,1)</f>
        <v>13</v>
      </c>
      <c r="K1995" t="str" cm="1">
        <f t="array" ref="K1995">IFERROR(_xlfn.SWITCH(L1995,2,_xlfn.XLOOKUP(C1995,[1]ModifierDes!$B:$B,[1]ModifierDes!$C:$C),3,_xlfn.XLOOKUP(C1995,[1]StuntDes!$B:$B,[1]StuntDes!$C:$C)),"")</f>
        <v>攻击暴击伤害增加{0}</v>
      </c>
      <c r="L1995">
        <f t="shared" si="83"/>
        <v>2</v>
      </c>
      <c r="M1995" s="10" t="str">
        <f>IFERROR(_xlfn.XLOOKUP(C1995,[1]StuntDes!$B:$B,[1]StuntDes!$A:$A),"")</f>
        <v/>
      </c>
      <c r="N1995" s="10">
        <f>IFERROR(_xlfn.XLOOKUP(C1995,[1]ModifierDes!$B:$B,[1]ModifierDes!$A:$A),"")</f>
        <v>10060</v>
      </c>
      <c r="O1995" s="10" t="str">
        <f>IFERROR(_xlfn.XLOOKUP(C1995,[1]AttributeName!$C:$C,[1]AttributeName!$B:$B),"")</f>
        <v/>
      </c>
      <c r="P1995" s="10"/>
      <c r="Q1995">
        <v>0.2</v>
      </c>
      <c r="R1995">
        <v>0.26</v>
      </c>
      <c r="S1995" cm="1">
        <f t="array" ref="S1995">IFERROR(_xlfn.SWITCH(L1995,1,_xlfn.XLOOKUP(O1995,[1]AttributeName!$B:$B,[1]AttributeName!$D:$D),2,_xlfn.XLOOKUP(C1995,#REF!,#REF!),3,_xlfn.XLOOKUP(C1995,#REF!,#REF!)),0)</f>
        <v>0</v>
      </c>
      <c r="T1995" cm="1">
        <f t="array" ref="T1995">IFERROR(_xlfn.SWITCH(L1995,1,_xlfn.XLOOKUP(O1995,[1]AttributeName!$B:$B,[1]AttributeName!$E:$E),2,_xlfn.XLOOKUP(C1995,#REF!,#REF!),3,_xlfn.XLOOKUP(C1995,#REF!,#REF!)),0)</f>
        <v>0</v>
      </c>
    </row>
    <row r="1996" customFormat="1" spans="1:20">
      <c r="A1996">
        <f t="shared" si="82"/>
        <v>854</v>
      </c>
      <c r="B1996">
        <v>7</v>
      </c>
      <c r="C1996" t="s">
        <v>400</v>
      </c>
      <c r="D1996" t="s">
        <v>31</v>
      </c>
      <c r="E1996" s="13" t="s">
        <v>392</v>
      </c>
      <c r="F1996"/>
      <c r="G1996">
        <v>2</v>
      </c>
      <c r="H1996">
        <v>1000</v>
      </c>
      <c r="I1996">
        <v>4</v>
      </c>
      <c r="J1996" cm="1">
        <f t="array" ref="J1996">_xlfn.SWITCH(B1996,1,75,2,61,3,49,4,37,5,25,6,13,7,4,8,1)</f>
        <v>4</v>
      </c>
      <c r="K1996" t="str" cm="1">
        <f t="array" ref="K1996">IFERROR(_xlfn.SWITCH(L1996,2,_xlfn.XLOOKUP(C1996,[1]ModifierDes!$B:$B,[1]ModifierDes!$C:$C),3,_xlfn.XLOOKUP(C1996,[1]StuntDes!$B:$B,[1]StuntDes!$C:$C)),"")</f>
        <v>攻击暴击伤害增加{0}</v>
      </c>
      <c r="L1996">
        <f t="shared" si="83"/>
        <v>2</v>
      </c>
      <c r="M1996" s="10" t="str">
        <f>IFERROR(_xlfn.XLOOKUP(C1996,[1]StuntDes!$B:$B,[1]StuntDes!$A:$A),"")</f>
        <v/>
      </c>
      <c r="N1996" s="10">
        <f>IFERROR(_xlfn.XLOOKUP(C1996,[1]ModifierDes!$B:$B,[1]ModifierDes!$A:$A),"")</f>
        <v>10060</v>
      </c>
      <c r="O1996" s="10" t="str">
        <f>IFERROR(_xlfn.XLOOKUP(C1996,[1]AttributeName!$C:$C,[1]AttributeName!$B:$B),"")</f>
        <v/>
      </c>
      <c r="P1996" s="10"/>
      <c r="Q1996">
        <v>0.12</v>
      </c>
      <c r="R1996">
        <v>0.18</v>
      </c>
      <c r="S1996" cm="1">
        <f t="array" ref="S1996">IFERROR(_xlfn.SWITCH(L1996,1,_xlfn.XLOOKUP(O1996,[1]AttributeName!$B:$B,[1]AttributeName!$D:$D),2,_xlfn.XLOOKUP(C1996,#REF!,#REF!),3,_xlfn.XLOOKUP(C1996,#REF!,#REF!)),0)</f>
        <v>0</v>
      </c>
      <c r="T1996" cm="1">
        <f t="array" ref="T1996">IFERROR(_xlfn.SWITCH(L1996,1,_xlfn.XLOOKUP(O1996,[1]AttributeName!$B:$B,[1]AttributeName!$E:$E),2,_xlfn.XLOOKUP(C1996,#REF!,#REF!),3,_xlfn.XLOOKUP(C1996,#REF!,#REF!)),0)</f>
        <v>0</v>
      </c>
    </row>
    <row r="1997" customFormat="1" spans="1:20">
      <c r="A1997">
        <f t="shared" si="82"/>
        <v>854</v>
      </c>
      <c r="B1997">
        <v>8</v>
      </c>
      <c r="C1997" t="s">
        <v>400</v>
      </c>
      <c r="D1997" t="s">
        <v>31</v>
      </c>
      <c r="E1997" s="13" t="s">
        <v>392</v>
      </c>
      <c r="F1997"/>
      <c r="G1997">
        <v>2</v>
      </c>
      <c r="H1997">
        <v>1000</v>
      </c>
      <c r="I1997">
        <v>4</v>
      </c>
      <c r="J1997" cm="1">
        <f t="array" ref="J1997">_xlfn.SWITCH(B1997,1,75,2,61,3,49,4,37,5,25,6,13,7,4,8,1)</f>
        <v>1</v>
      </c>
      <c r="K1997" t="str" cm="1">
        <f t="array" ref="K1997">IFERROR(_xlfn.SWITCH(L1997,2,_xlfn.XLOOKUP(C1997,[1]ModifierDes!$B:$B,[1]ModifierDes!$C:$C),3,_xlfn.XLOOKUP(C1997,[1]StuntDes!$B:$B,[1]StuntDes!$C:$C)),"")</f>
        <v>攻击暴击伤害增加{0}</v>
      </c>
      <c r="L1997">
        <f t="shared" si="83"/>
        <v>2</v>
      </c>
      <c r="M1997" s="10" t="str">
        <f>IFERROR(_xlfn.XLOOKUP(C1997,[1]StuntDes!$B:$B,[1]StuntDes!$A:$A),"")</f>
        <v/>
      </c>
      <c r="N1997" s="10">
        <f>IFERROR(_xlfn.XLOOKUP(C1997,[1]ModifierDes!$B:$B,[1]ModifierDes!$A:$A),"")</f>
        <v>10060</v>
      </c>
      <c r="O1997" s="10" t="str">
        <f>IFERROR(_xlfn.XLOOKUP(C1997,[1]AttributeName!$C:$C,[1]AttributeName!$B:$B),"")</f>
        <v/>
      </c>
      <c r="P1997" s="10"/>
      <c r="Q1997">
        <v>0.04</v>
      </c>
      <c r="R1997">
        <v>0.1</v>
      </c>
      <c r="S1997" cm="1">
        <f t="array" ref="S1997">IFERROR(_xlfn.SWITCH(L1997,1,_xlfn.XLOOKUP(O1997,[1]AttributeName!$B:$B,[1]AttributeName!$D:$D),2,_xlfn.XLOOKUP(C1997,#REF!,#REF!),3,_xlfn.XLOOKUP(C1997,#REF!,#REF!)),0)</f>
        <v>0</v>
      </c>
      <c r="T1997" cm="1">
        <f t="array" ref="T1997">IFERROR(_xlfn.SWITCH(L1997,1,_xlfn.XLOOKUP(O1997,[1]AttributeName!$B:$B,[1]AttributeName!$E:$E),2,_xlfn.XLOOKUP(C1997,#REF!,#REF!),3,_xlfn.XLOOKUP(C1997,#REF!,#REF!)),0)</f>
        <v>0</v>
      </c>
    </row>
    <row r="1998" customFormat="1" spans="1:20">
      <c r="A1998">
        <f t="shared" si="82"/>
        <v>855</v>
      </c>
      <c r="B1998">
        <v>1</v>
      </c>
      <c r="C1998" t="s">
        <v>426</v>
      </c>
      <c r="D1998" t="s">
        <v>31</v>
      </c>
      <c r="E1998" s="13" t="s">
        <v>392</v>
      </c>
      <c r="F1998"/>
      <c r="G1998">
        <v>2</v>
      </c>
      <c r="H1998">
        <v>100</v>
      </c>
      <c r="I1998">
        <v>4</v>
      </c>
      <c r="J1998" cm="1">
        <f t="array" ref="J1998">_xlfn.SWITCH(B1998,1,75,2,61,3,49,4,37,5,25,6,13,7,4,8,1)</f>
        <v>75</v>
      </c>
      <c r="K1998" t="str" cm="1">
        <f t="array" ref="K1998">IFERROR(_xlfn.SWITCH(L1998,2,_xlfn.XLOOKUP(C1998,[1]ModifierDes!$B:$B,[1]ModifierDes!$C:$C),3,_xlfn.XLOOKUP(C1998,[1]StuntDes!$B:$B,[1]StuntDes!$C:$C)),"")</f>
        <v>法术暴击伤害增加{0}</v>
      </c>
      <c r="L1998">
        <f t="shared" si="83"/>
        <v>2</v>
      </c>
      <c r="M1998" s="10" t="str">
        <f>IFERROR(_xlfn.XLOOKUP(C1998,[1]StuntDes!$B:$B,[1]StuntDes!$A:$A),"")</f>
        <v/>
      </c>
      <c r="N1998" s="10">
        <f>IFERROR(_xlfn.XLOOKUP(C1998,[1]ModifierDes!$B:$B,[1]ModifierDes!$A:$A),"")</f>
        <v>10061</v>
      </c>
      <c r="O1998" s="10" t="str">
        <f>IFERROR(_xlfn.XLOOKUP(C1998,[1]AttributeName!$C:$C,[1]AttributeName!$B:$B),"")</f>
        <v/>
      </c>
      <c r="P1998" s="10"/>
      <c r="Q1998">
        <v>0.6</v>
      </c>
      <c r="R1998">
        <v>0.8</v>
      </c>
      <c r="S1998" cm="1">
        <f t="array" ref="S1998">IFERROR(_xlfn.SWITCH(L1998,1,_xlfn.XLOOKUP(O1998,[1]AttributeName!$B:$B,[1]AttributeName!$D:$D),2,_xlfn.XLOOKUP(C1998,#REF!,#REF!),3,_xlfn.XLOOKUP(C1998,#REF!,#REF!)),0)</f>
        <v>0</v>
      </c>
      <c r="T1998" cm="1">
        <f t="array" ref="T1998">IFERROR(_xlfn.SWITCH(L1998,1,_xlfn.XLOOKUP(O1998,[1]AttributeName!$B:$B,[1]AttributeName!$E:$E),2,_xlfn.XLOOKUP(C1998,#REF!,#REF!),3,_xlfn.XLOOKUP(C1998,#REF!,#REF!)),0)</f>
        <v>0</v>
      </c>
    </row>
    <row r="1999" customFormat="1" spans="1:20">
      <c r="A1999">
        <f t="shared" si="82"/>
        <v>855</v>
      </c>
      <c r="B1999">
        <v>2</v>
      </c>
      <c r="C1999" t="s">
        <v>426</v>
      </c>
      <c r="D1999" t="s">
        <v>31</v>
      </c>
      <c r="E1999" s="13" t="s">
        <v>392</v>
      </c>
      <c r="F1999"/>
      <c r="G1999">
        <v>2</v>
      </c>
      <c r="H1999">
        <v>200</v>
      </c>
      <c r="I1999">
        <v>4</v>
      </c>
      <c r="J1999" cm="1">
        <f t="array" ref="J1999">_xlfn.SWITCH(B1999,1,75,2,61,3,49,4,37,5,25,6,13,7,4,8,1)</f>
        <v>61</v>
      </c>
      <c r="K1999" t="str" cm="1">
        <f t="array" ref="K1999">IFERROR(_xlfn.SWITCH(L1999,2,_xlfn.XLOOKUP(C1999,[1]ModifierDes!$B:$B,[1]ModifierDes!$C:$C),3,_xlfn.XLOOKUP(C1999,[1]StuntDes!$B:$B,[1]StuntDes!$C:$C)),"")</f>
        <v>法术暴击伤害增加{0}</v>
      </c>
      <c r="L1999">
        <f t="shared" si="83"/>
        <v>2</v>
      </c>
      <c r="M1999" s="10" t="str">
        <f>IFERROR(_xlfn.XLOOKUP(C1999,[1]StuntDes!$B:$B,[1]StuntDes!$A:$A),"")</f>
        <v/>
      </c>
      <c r="N1999" s="10">
        <f>IFERROR(_xlfn.XLOOKUP(C1999,[1]ModifierDes!$B:$B,[1]ModifierDes!$A:$A),"")</f>
        <v>10061</v>
      </c>
      <c r="O1999" s="10" t="str">
        <f>IFERROR(_xlfn.XLOOKUP(C1999,[1]AttributeName!$C:$C,[1]AttributeName!$B:$B),"")</f>
        <v/>
      </c>
      <c r="P1999" s="10"/>
      <c r="Q1999">
        <v>0.52</v>
      </c>
      <c r="R1999">
        <v>0.58</v>
      </c>
      <c r="S1999" cm="1">
        <f t="array" ref="S1999">IFERROR(_xlfn.SWITCH(L1999,1,_xlfn.XLOOKUP(O1999,[1]AttributeName!$B:$B,[1]AttributeName!$D:$D),2,_xlfn.XLOOKUP(C1999,#REF!,#REF!),3,_xlfn.XLOOKUP(C1999,#REF!,#REF!)),0)</f>
        <v>0</v>
      </c>
      <c r="T1999" cm="1">
        <f t="array" ref="T1999">IFERROR(_xlfn.SWITCH(L1999,1,_xlfn.XLOOKUP(O1999,[1]AttributeName!$B:$B,[1]AttributeName!$E:$E),2,_xlfn.XLOOKUP(C1999,#REF!,#REF!),3,_xlfn.XLOOKUP(C1999,#REF!,#REF!)),0)</f>
        <v>0</v>
      </c>
    </row>
    <row r="2000" customFormat="1" spans="1:20">
      <c r="A2000">
        <f t="shared" si="82"/>
        <v>855</v>
      </c>
      <c r="B2000">
        <v>3</v>
      </c>
      <c r="C2000" t="s">
        <v>426</v>
      </c>
      <c r="D2000" t="s">
        <v>31</v>
      </c>
      <c r="E2000" s="13" t="s">
        <v>392</v>
      </c>
      <c r="F2000"/>
      <c r="G2000">
        <v>2</v>
      </c>
      <c r="H2000">
        <v>500</v>
      </c>
      <c r="I2000">
        <v>4</v>
      </c>
      <c r="J2000" cm="1">
        <f t="array" ref="J2000">_xlfn.SWITCH(B2000,1,75,2,61,3,49,4,37,5,25,6,13,7,4,8,1)</f>
        <v>49</v>
      </c>
      <c r="K2000" t="str" cm="1">
        <f t="array" ref="K2000">IFERROR(_xlfn.SWITCH(L2000,2,_xlfn.XLOOKUP(C2000,[1]ModifierDes!$B:$B,[1]ModifierDes!$C:$C),3,_xlfn.XLOOKUP(C2000,[1]StuntDes!$B:$B,[1]StuntDes!$C:$C)),"")</f>
        <v>法术暴击伤害增加{0}</v>
      </c>
      <c r="L2000">
        <f t="shared" si="83"/>
        <v>2</v>
      </c>
      <c r="M2000" s="10" t="str">
        <f>IFERROR(_xlfn.XLOOKUP(C2000,[1]StuntDes!$B:$B,[1]StuntDes!$A:$A),"")</f>
        <v/>
      </c>
      <c r="N2000" s="10">
        <f>IFERROR(_xlfn.XLOOKUP(C2000,[1]ModifierDes!$B:$B,[1]ModifierDes!$A:$A),"")</f>
        <v>10061</v>
      </c>
      <c r="O2000" s="10" t="str">
        <f>IFERROR(_xlfn.XLOOKUP(C2000,[1]AttributeName!$C:$C,[1]AttributeName!$B:$B),"")</f>
        <v/>
      </c>
      <c r="P2000" s="10"/>
      <c r="Q2000">
        <v>0.44</v>
      </c>
      <c r="R2000">
        <v>0.5</v>
      </c>
      <c r="S2000" cm="1">
        <f t="array" ref="S2000">IFERROR(_xlfn.SWITCH(L2000,1,_xlfn.XLOOKUP(O2000,[1]AttributeName!$B:$B,[1]AttributeName!$D:$D),2,_xlfn.XLOOKUP(C2000,#REF!,#REF!),3,_xlfn.XLOOKUP(C2000,#REF!,#REF!)),0)</f>
        <v>0</v>
      </c>
      <c r="T2000" cm="1">
        <f t="array" ref="T2000">IFERROR(_xlfn.SWITCH(L2000,1,_xlfn.XLOOKUP(O2000,[1]AttributeName!$B:$B,[1]AttributeName!$E:$E),2,_xlfn.XLOOKUP(C2000,#REF!,#REF!),3,_xlfn.XLOOKUP(C2000,#REF!,#REF!)),0)</f>
        <v>0</v>
      </c>
    </row>
    <row r="2001" customFormat="1" spans="1:20">
      <c r="A2001">
        <f t="shared" si="82"/>
        <v>855</v>
      </c>
      <c r="B2001">
        <v>4</v>
      </c>
      <c r="C2001" t="s">
        <v>426</v>
      </c>
      <c r="D2001" t="s">
        <v>31</v>
      </c>
      <c r="E2001" s="13" t="s">
        <v>392</v>
      </c>
      <c r="F2001"/>
      <c r="G2001">
        <v>2</v>
      </c>
      <c r="H2001">
        <v>1000</v>
      </c>
      <c r="I2001">
        <v>4</v>
      </c>
      <c r="J2001" cm="1">
        <f t="array" ref="J2001">_xlfn.SWITCH(B2001,1,75,2,61,3,49,4,37,5,25,6,13,7,4,8,1)</f>
        <v>37</v>
      </c>
      <c r="K2001" t="str" cm="1">
        <f t="array" ref="K2001">IFERROR(_xlfn.SWITCH(L2001,2,_xlfn.XLOOKUP(C2001,[1]ModifierDes!$B:$B,[1]ModifierDes!$C:$C),3,_xlfn.XLOOKUP(C2001,[1]StuntDes!$B:$B,[1]StuntDes!$C:$C)),"")</f>
        <v>法术暴击伤害增加{0}</v>
      </c>
      <c r="L2001">
        <f t="shared" si="83"/>
        <v>2</v>
      </c>
      <c r="M2001" s="10" t="str">
        <f>IFERROR(_xlfn.XLOOKUP(C2001,[1]StuntDes!$B:$B,[1]StuntDes!$A:$A),"")</f>
        <v/>
      </c>
      <c r="N2001" s="10">
        <f>IFERROR(_xlfn.XLOOKUP(C2001,[1]ModifierDes!$B:$B,[1]ModifierDes!$A:$A),"")</f>
        <v>10061</v>
      </c>
      <c r="O2001" s="10" t="str">
        <f>IFERROR(_xlfn.XLOOKUP(C2001,[1]AttributeName!$C:$C,[1]AttributeName!$B:$B),"")</f>
        <v/>
      </c>
      <c r="P2001" s="10"/>
      <c r="Q2001">
        <v>0.36</v>
      </c>
      <c r="R2001">
        <v>0.42</v>
      </c>
      <c r="S2001" cm="1">
        <f t="array" ref="S2001">IFERROR(_xlfn.SWITCH(L2001,1,_xlfn.XLOOKUP(O2001,[1]AttributeName!$B:$B,[1]AttributeName!$D:$D),2,_xlfn.XLOOKUP(C2001,#REF!,#REF!),3,_xlfn.XLOOKUP(C2001,#REF!,#REF!)),0)</f>
        <v>0</v>
      </c>
      <c r="T2001" cm="1">
        <f t="array" ref="T2001">IFERROR(_xlfn.SWITCH(L2001,1,_xlfn.XLOOKUP(O2001,[1]AttributeName!$B:$B,[1]AttributeName!$E:$E),2,_xlfn.XLOOKUP(C2001,#REF!,#REF!),3,_xlfn.XLOOKUP(C2001,#REF!,#REF!)),0)</f>
        <v>0</v>
      </c>
    </row>
    <row r="2002" customFormat="1" spans="1:20">
      <c r="A2002">
        <f t="shared" si="82"/>
        <v>855</v>
      </c>
      <c r="B2002">
        <v>5</v>
      </c>
      <c r="C2002" t="s">
        <v>426</v>
      </c>
      <c r="D2002" t="s">
        <v>31</v>
      </c>
      <c r="E2002" s="13" t="s">
        <v>392</v>
      </c>
      <c r="F2002"/>
      <c r="G2002">
        <v>2</v>
      </c>
      <c r="H2002">
        <v>1000</v>
      </c>
      <c r="I2002">
        <v>4</v>
      </c>
      <c r="J2002" cm="1">
        <f t="array" ref="J2002">_xlfn.SWITCH(B2002,1,75,2,61,3,49,4,37,5,25,6,13,7,4,8,1)</f>
        <v>25</v>
      </c>
      <c r="K2002" t="str" cm="1">
        <f t="array" ref="K2002">IFERROR(_xlfn.SWITCH(L2002,2,_xlfn.XLOOKUP(C2002,[1]ModifierDes!$B:$B,[1]ModifierDes!$C:$C),3,_xlfn.XLOOKUP(C2002,[1]StuntDes!$B:$B,[1]StuntDes!$C:$C)),"")</f>
        <v>法术暴击伤害增加{0}</v>
      </c>
      <c r="L2002">
        <f t="shared" si="83"/>
        <v>2</v>
      </c>
      <c r="M2002" s="10" t="str">
        <f>IFERROR(_xlfn.XLOOKUP(C2002,[1]StuntDes!$B:$B,[1]StuntDes!$A:$A),"")</f>
        <v/>
      </c>
      <c r="N2002" s="10">
        <f>IFERROR(_xlfn.XLOOKUP(C2002,[1]ModifierDes!$B:$B,[1]ModifierDes!$A:$A),"")</f>
        <v>10061</v>
      </c>
      <c r="O2002" s="10" t="str">
        <f>IFERROR(_xlfn.XLOOKUP(C2002,[1]AttributeName!$C:$C,[1]AttributeName!$B:$B),"")</f>
        <v/>
      </c>
      <c r="P2002" s="10"/>
      <c r="Q2002">
        <v>0.28</v>
      </c>
      <c r="R2002">
        <v>0.34</v>
      </c>
      <c r="S2002" cm="1">
        <f t="array" ref="S2002">IFERROR(_xlfn.SWITCH(L2002,1,_xlfn.XLOOKUP(O2002,[1]AttributeName!$B:$B,[1]AttributeName!$D:$D),2,_xlfn.XLOOKUP(C2002,#REF!,#REF!),3,_xlfn.XLOOKUP(C2002,#REF!,#REF!)),0)</f>
        <v>0</v>
      </c>
      <c r="T2002" cm="1">
        <f t="array" ref="T2002">IFERROR(_xlfn.SWITCH(L2002,1,_xlfn.XLOOKUP(O2002,[1]AttributeName!$B:$B,[1]AttributeName!$E:$E),2,_xlfn.XLOOKUP(C2002,#REF!,#REF!),3,_xlfn.XLOOKUP(C2002,#REF!,#REF!)),0)</f>
        <v>0</v>
      </c>
    </row>
    <row r="2003" customFormat="1" spans="1:20">
      <c r="A2003">
        <f t="shared" si="82"/>
        <v>855</v>
      </c>
      <c r="B2003">
        <v>6</v>
      </c>
      <c r="C2003" t="s">
        <v>426</v>
      </c>
      <c r="D2003" t="s">
        <v>31</v>
      </c>
      <c r="E2003" s="13" t="s">
        <v>392</v>
      </c>
      <c r="F2003"/>
      <c r="G2003">
        <v>2</v>
      </c>
      <c r="H2003">
        <v>1000</v>
      </c>
      <c r="I2003">
        <v>4</v>
      </c>
      <c r="J2003" cm="1">
        <f t="array" ref="J2003">_xlfn.SWITCH(B2003,1,75,2,61,3,49,4,37,5,25,6,13,7,4,8,1)</f>
        <v>13</v>
      </c>
      <c r="K2003" t="str" cm="1">
        <f t="array" ref="K2003">IFERROR(_xlfn.SWITCH(L2003,2,_xlfn.XLOOKUP(C2003,[1]ModifierDes!$B:$B,[1]ModifierDes!$C:$C),3,_xlfn.XLOOKUP(C2003,[1]StuntDes!$B:$B,[1]StuntDes!$C:$C)),"")</f>
        <v>法术暴击伤害增加{0}</v>
      </c>
      <c r="L2003">
        <f t="shared" si="83"/>
        <v>2</v>
      </c>
      <c r="M2003" s="10" t="str">
        <f>IFERROR(_xlfn.XLOOKUP(C2003,[1]StuntDes!$B:$B,[1]StuntDes!$A:$A),"")</f>
        <v/>
      </c>
      <c r="N2003" s="10">
        <f>IFERROR(_xlfn.XLOOKUP(C2003,[1]ModifierDes!$B:$B,[1]ModifierDes!$A:$A),"")</f>
        <v>10061</v>
      </c>
      <c r="O2003" s="10" t="str">
        <f>IFERROR(_xlfn.XLOOKUP(C2003,[1]AttributeName!$C:$C,[1]AttributeName!$B:$B),"")</f>
        <v/>
      </c>
      <c r="P2003" s="10"/>
      <c r="Q2003">
        <v>0.2</v>
      </c>
      <c r="R2003">
        <v>0.26</v>
      </c>
      <c r="S2003" cm="1">
        <f t="array" ref="S2003">IFERROR(_xlfn.SWITCH(L2003,1,_xlfn.XLOOKUP(O2003,[1]AttributeName!$B:$B,[1]AttributeName!$D:$D),2,_xlfn.XLOOKUP(C2003,#REF!,#REF!),3,_xlfn.XLOOKUP(C2003,#REF!,#REF!)),0)</f>
        <v>0</v>
      </c>
      <c r="T2003" cm="1">
        <f t="array" ref="T2003">IFERROR(_xlfn.SWITCH(L2003,1,_xlfn.XLOOKUP(O2003,[1]AttributeName!$B:$B,[1]AttributeName!$E:$E),2,_xlfn.XLOOKUP(C2003,#REF!,#REF!),3,_xlfn.XLOOKUP(C2003,#REF!,#REF!)),0)</f>
        <v>0</v>
      </c>
    </row>
    <row r="2004" customFormat="1" spans="1:20">
      <c r="A2004">
        <f t="shared" si="82"/>
        <v>855</v>
      </c>
      <c r="B2004">
        <v>7</v>
      </c>
      <c r="C2004" t="s">
        <v>426</v>
      </c>
      <c r="D2004" t="s">
        <v>31</v>
      </c>
      <c r="E2004" s="13" t="s">
        <v>392</v>
      </c>
      <c r="F2004"/>
      <c r="G2004">
        <v>2</v>
      </c>
      <c r="H2004">
        <v>1000</v>
      </c>
      <c r="I2004">
        <v>4</v>
      </c>
      <c r="J2004" cm="1">
        <f t="array" ref="J2004">_xlfn.SWITCH(B2004,1,75,2,61,3,49,4,37,5,25,6,13,7,4,8,1)</f>
        <v>4</v>
      </c>
      <c r="K2004" t="str" cm="1">
        <f t="array" ref="K2004">IFERROR(_xlfn.SWITCH(L2004,2,_xlfn.XLOOKUP(C2004,[1]ModifierDes!$B:$B,[1]ModifierDes!$C:$C),3,_xlfn.XLOOKUP(C2004,[1]StuntDes!$B:$B,[1]StuntDes!$C:$C)),"")</f>
        <v>法术暴击伤害增加{0}</v>
      </c>
      <c r="L2004">
        <f t="shared" si="83"/>
        <v>2</v>
      </c>
      <c r="M2004" s="10" t="str">
        <f>IFERROR(_xlfn.XLOOKUP(C2004,[1]StuntDes!$B:$B,[1]StuntDes!$A:$A),"")</f>
        <v/>
      </c>
      <c r="N2004" s="10">
        <f>IFERROR(_xlfn.XLOOKUP(C2004,[1]ModifierDes!$B:$B,[1]ModifierDes!$A:$A),"")</f>
        <v>10061</v>
      </c>
      <c r="O2004" s="10" t="str">
        <f>IFERROR(_xlfn.XLOOKUP(C2004,[1]AttributeName!$C:$C,[1]AttributeName!$B:$B),"")</f>
        <v/>
      </c>
      <c r="P2004" s="10"/>
      <c r="Q2004">
        <v>0.12</v>
      </c>
      <c r="R2004">
        <v>0.18</v>
      </c>
      <c r="S2004" cm="1">
        <f t="array" ref="S2004">IFERROR(_xlfn.SWITCH(L2004,1,_xlfn.XLOOKUP(O2004,[1]AttributeName!$B:$B,[1]AttributeName!$D:$D),2,_xlfn.XLOOKUP(C2004,#REF!,#REF!),3,_xlfn.XLOOKUP(C2004,#REF!,#REF!)),0)</f>
        <v>0</v>
      </c>
      <c r="T2004" cm="1">
        <f t="array" ref="T2004">IFERROR(_xlfn.SWITCH(L2004,1,_xlfn.XLOOKUP(O2004,[1]AttributeName!$B:$B,[1]AttributeName!$E:$E),2,_xlfn.XLOOKUP(C2004,#REF!,#REF!),3,_xlfn.XLOOKUP(C2004,#REF!,#REF!)),0)</f>
        <v>0</v>
      </c>
    </row>
    <row r="2005" customFormat="1" spans="1:20">
      <c r="A2005">
        <f t="shared" si="82"/>
        <v>855</v>
      </c>
      <c r="B2005">
        <v>8</v>
      </c>
      <c r="C2005" t="s">
        <v>426</v>
      </c>
      <c r="D2005" t="s">
        <v>31</v>
      </c>
      <c r="E2005" s="13" t="s">
        <v>392</v>
      </c>
      <c r="F2005"/>
      <c r="G2005">
        <v>2</v>
      </c>
      <c r="H2005">
        <v>1000</v>
      </c>
      <c r="I2005">
        <v>4</v>
      </c>
      <c r="J2005" cm="1">
        <f t="array" ref="J2005">_xlfn.SWITCH(B2005,1,75,2,61,3,49,4,37,5,25,6,13,7,4,8,1)</f>
        <v>1</v>
      </c>
      <c r="K2005" t="str" cm="1">
        <f t="array" ref="K2005">IFERROR(_xlfn.SWITCH(L2005,2,_xlfn.XLOOKUP(C2005,[1]ModifierDes!$B:$B,[1]ModifierDes!$C:$C),3,_xlfn.XLOOKUP(C2005,[1]StuntDes!$B:$B,[1]StuntDes!$C:$C)),"")</f>
        <v>法术暴击伤害增加{0}</v>
      </c>
      <c r="L2005">
        <f t="shared" si="83"/>
        <v>2</v>
      </c>
      <c r="M2005" s="10" t="str">
        <f>IFERROR(_xlfn.XLOOKUP(C2005,[1]StuntDes!$B:$B,[1]StuntDes!$A:$A),"")</f>
        <v/>
      </c>
      <c r="N2005" s="10">
        <f>IFERROR(_xlfn.XLOOKUP(C2005,[1]ModifierDes!$B:$B,[1]ModifierDes!$A:$A),"")</f>
        <v>10061</v>
      </c>
      <c r="O2005" s="10" t="str">
        <f>IFERROR(_xlfn.XLOOKUP(C2005,[1]AttributeName!$C:$C,[1]AttributeName!$B:$B),"")</f>
        <v/>
      </c>
      <c r="P2005" s="10"/>
      <c r="Q2005">
        <v>0.04</v>
      </c>
      <c r="R2005">
        <v>0.1</v>
      </c>
      <c r="S2005" cm="1">
        <f t="array" ref="S2005">IFERROR(_xlfn.SWITCH(L2005,1,_xlfn.XLOOKUP(O2005,[1]AttributeName!$B:$B,[1]AttributeName!$D:$D),2,_xlfn.XLOOKUP(C2005,#REF!,#REF!),3,_xlfn.XLOOKUP(C2005,#REF!,#REF!)),0)</f>
        <v>0</v>
      </c>
      <c r="T2005" cm="1">
        <f t="array" ref="T2005">IFERROR(_xlfn.SWITCH(L2005,1,_xlfn.XLOOKUP(O2005,[1]AttributeName!$B:$B,[1]AttributeName!$E:$E),2,_xlfn.XLOOKUP(C2005,#REF!,#REF!),3,_xlfn.XLOOKUP(C2005,#REF!,#REF!)),0)</f>
        <v>0</v>
      </c>
    </row>
    <row r="2006" customFormat="1" spans="1:20">
      <c r="A2006">
        <f t="shared" si="82"/>
        <v>856</v>
      </c>
      <c r="B2006">
        <v>1</v>
      </c>
      <c r="C2006" t="s">
        <v>401</v>
      </c>
      <c r="D2006" t="s">
        <v>31</v>
      </c>
      <c r="E2006" s="13" t="s">
        <v>392</v>
      </c>
      <c r="F2006"/>
      <c r="G2006">
        <v>2</v>
      </c>
      <c r="H2006">
        <v>100</v>
      </c>
      <c r="I2006">
        <v>4</v>
      </c>
      <c r="J2006" cm="1">
        <f t="array" ref="J2006">_xlfn.SWITCH(B2006,1,75,2,61,3,49,4,37,5,25,6,13,7,4,8,1)</f>
        <v>75</v>
      </c>
      <c r="K2006" t="str" cm="1">
        <f t="array" ref="K2006">IFERROR(_xlfn.SWITCH(L2006,2,_xlfn.XLOOKUP(C2006,[1]ModifierDes!$B:$B,[1]ModifierDes!$C:$C),3,_xlfn.XLOOKUP(C2006,[1]StuntDes!$B:$B,[1]StuntDes!$C:$C)),"")</f>
        <v/>
      </c>
      <c r="L2006">
        <f t="shared" si="83"/>
        <v>1</v>
      </c>
      <c r="M2006" s="10" t="str">
        <f>IFERROR(_xlfn.XLOOKUP(C2006,[1]StuntDes!$B:$B,[1]StuntDes!$A:$A),"")</f>
        <v/>
      </c>
      <c r="N2006" s="10" t="str">
        <f>IFERROR(_xlfn.XLOOKUP(C2006,[1]ModifierDes!$B:$B,[1]ModifierDes!$A:$A),"")</f>
        <v/>
      </c>
      <c r="O2006" s="10">
        <f>IFERROR(_xlfn.XLOOKUP(C2006,[1]AttributeName!$C:$C,[1]AttributeName!$B:$B),"")</f>
        <v>10500</v>
      </c>
      <c r="P2006" s="10"/>
      <c r="Q2006">
        <v>0.3</v>
      </c>
      <c r="R2006">
        <v>0.4</v>
      </c>
      <c r="S2006" cm="1">
        <f t="array" ref="S2006">IFERROR(_xlfn.SWITCH(L2006,1,_xlfn.XLOOKUP(O2006,[1]AttributeName!$B:$B,[1]AttributeName!$D:$D),2,_xlfn.XLOOKUP(C2006,#REF!,#REF!),3,_xlfn.XLOOKUP(C2006,#REF!,#REF!)),0)</f>
        <v>2</v>
      </c>
      <c r="T2006" cm="1">
        <f t="array" ref="T2006">IFERROR(_xlfn.SWITCH(L2006,1,_xlfn.XLOOKUP(O2006,[1]AttributeName!$B:$B,[1]AttributeName!$E:$E),2,_xlfn.XLOOKUP(C2006,#REF!,#REF!),3,_xlfn.XLOOKUP(C2006,#REF!,#REF!)),0)</f>
        <v>2</v>
      </c>
    </row>
    <row r="2007" customFormat="1" spans="1:20">
      <c r="A2007">
        <f t="shared" si="82"/>
        <v>856</v>
      </c>
      <c r="B2007">
        <v>2</v>
      </c>
      <c r="C2007" t="s">
        <v>401</v>
      </c>
      <c r="D2007" t="s">
        <v>31</v>
      </c>
      <c r="E2007" s="13" t="s">
        <v>392</v>
      </c>
      <c r="F2007"/>
      <c r="G2007">
        <v>2</v>
      </c>
      <c r="H2007">
        <v>200</v>
      </c>
      <c r="I2007">
        <v>4</v>
      </c>
      <c r="J2007" cm="1">
        <f t="array" ref="J2007">_xlfn.SWITCH(B2007,1,75,2,61,3,49,4,37,5,25,6,13,7,4,8,1)</f>
        <v>61</v>
      </c>
      <c r="K2007" t="str" cm="1">
        <f t="array" ref="K2007">IFERROR(_xlfn.SWITCH(L2007,2,_xlfn.XLOOKUP(C2007,[1]ModifierDes!$B:$B,[1]ModifierDes!$C:$C),3,_xlfn.XLOOKUP(C2007,[1]StuntDes!$B:$B,[1]StuntDes!$C:$C)),"")</f>
        <v/>
      </c>
      <c r="L2007">
        <f t="shared" si="83"/>
        <v>1</v>
      </c>
      <c r="M2007" s="10" t="str">
        <f>IFERROR(_xlfn.XLOOKUP(C2007,[1]StuntDes!$B:$B,[1]StuntDes!$A:$A),"")</f>
        <v/>
      </c>
      <c r="N2007" s="10" t="str">
        <f>IFERROR(_xlfn.XLOOKUP(C2007,[1]ModifierDes!$B:$B,[1]ModifierDes!$A:$A),"")</f>
        <v/>
      </c>
      <c r="O2007" s="10">
        <f>IFERROR(_xlfn.XLOOKUP(C2007,[1]AttributeName!$C:$C,[1]AttributeName!$B:$B),"")</f>
        <v>10500</v>
      </c>
      <c r="P2007" s="10"/>
      <c r="Q2007">
        <v>0.26</v>
      </c>
      <c r="R2007">
        <v>0.29</v>
      </c>
      <c r="S2007" cm="1">
        <f t="array" ref="S2007">IFERROR(_xlfn.SWITCH(L2007,1,_xlfn.XLOOKUP(O2007,[1]AttributeName!$B:$B,[1]AttributeName!$D:$D),2,_xlfn.XLOOKUP(C2007,#REF!,#REF!),3,_xlfn.XLOOKUP(C2007,#REF!,#REF!)),0)</f>
        <v>2</v>
      </c>
      <c r="T2007" cm="1">
        <f t="array" ref="T2007">IFERROR(_xlfn.SWITCH(L2007,1,_xlfn.XLOOKUP(O2007,[1]AttributeName!$B:$B,[1]AttributeName!$E:$E),2,_xlfn.XLOOKUP(C2007,#REF!,#REF!),3,_xlfn.XLOOKUP(C2007,#REF!,#REF!)),0)</f>
        <v>2</v>
      </c>
    </row>
    <row r="2008" customFormat="1" spans="1:20">
      <c r="A2008">
        <f t="shared" si="82"/>
        <v>856</v>
      </c>
      <c r="B2008">
        <v>3</v>
      </c>
      <c r="C2008" t="s">
        <v>401</v>
      </c>
      <c r="D2008" t="s">
        <v>31</v>
      </c>
      <c r="E2008" s="13" t="s">
        <v>392</v>
      </c>
      <c r="F2008"/>
      <c r="G2008">
        <v>2</v>
      </c>
      <c r="H2008">
        <v>500</v>
      </c>
      <c r="I2008">
        <v>4</v>
      </c>
      <c r="J2008" cm="1">
        <f t="array" ref="J2008">_xlfn.SWITCH(B2008,1,75,2,61,3,49,4,37,5,25,6,13,7,4,8,1)</f>
        <v>49</v>
      </c>
      <c r="K2008" t="str" cm="1">
        <f t="array" ref="K2008">IFERROR(_xlfn.SWITCH(L2008,2,_xlfn.XLOOKUP(C2008,[1]ModifierDes!$B:$B,[1]ModifierDes!$C:$C),3,_xlfn.XLOOKUP(C2008,[1]StuntDes!$B:$B,[1]StuntDes!$C:$C)),"")</f>
        <v/>
      </c>
      <c r="L2008">
        <f t="shared" si="83"/>
        <v>1</v>
      </c>
      <c r="M2008" s="10" t="str">
        <f>IFERROR(_xlfn.XLOOKUP(C2008,[1]StuntDes!$B:$B,[1]StuntDes!$A:$A),"")</f>
        <v/>
      </c>
      <c r="N2008" s="10" t="str">
        <f>IFERROR(_xlfn.XLOOKUP(C2008,[1]ModifierDes!$B:$B,[1]ModifierDes!$A:$A),"")</f>
        <v/>
      </c>
      <c r="O2008" s="10">
        <f>IFERROR(_xlfn.XLOOKUP(C2008,[1]AttributeName!$C:$C,[1]AttributeName!$B:$B),"")</f>
        <v>10500</v>
      </c>
      <c r="P2008" s="10"/>
      <c r="Q2008">
        <v>0.22</v>
      </c>
      <c r="R2008">
        <v>0.25</v>
      </c>
      <c r="S2008" cm="1">
        <f t="array" ref="S2008">IFERROR(_xlfn.SWITCH(L2008,1,_xlfn.XLOOKUP(O2008,[1]AttributeName!$B:$B,[1]AttributeName!$D:$D),2,_xlfn.XLOOKUP(C2008,#REF!,#REF!),3,_xlfn.XLOOKUP(C2008,#REF!,#REF!)),0)</f>
        <v>2</v>
      </c>
      <c r="T2008" cm="1">
        <f t="array" ref="T2008">IFERROR(_xlfn.SWITCH(L2008,1,_xlfn.XLOOKUP(O2008,[1]AttributeName!$B:$B,[1]AttributeName!$E:$E),2,_xlfn.XLOOKUP(C2008,#REF!,#REF!),3,_xlfn.XLOOKUP(C2008,#REF!,#REF!)),0)</f>
        <v>2</v>
      </c>
    </row>
    <row r="2009" customFormat="1" spans="1:20">
      <c r="A2009">
        <f t="shared" si="82"/>
        <v>856</v>
      </c>
      <c r="B2009">
        <v>4</v>
      </c>
      <c r="C2009" t="s">
        <v>401</v>
      </c>
      <c r="D2009" t="s">
        <v>31</v>
      </c>
      <c r="E2009" s="13" t="s">
        <v>392</v>
      </c>
      <c r="F2009"/>
      <c r="G2009">
        <v>2</v>
      </c>
      <c r="H2009">
        <v>1000</v>
      </c>
      <c r="I2009">
        <v>4</v>
      </c>
      <c r="J2009" cm="1">
        <f t="array" ref="J2009">_xlfn.SWITCH(B2009,1,75,2,61,3,49,4,37,5,25,6,13,7,4,8,1)</f>
        <v>37</v>
      </c>
      <c r="K2009" t="str" cm="1">
        <f t="array" ref="K2009">IFERROR(_xlfn.SWITCH(L2009,2,_xlfn.XLOOKUP(C2009,[1]ModifierDes!$B:$B,[1]ModifierDes!$C:$C),3,_xlfn.XLOOKUP(C2009,[1]StuntDes!$B:$B,[1]StuntDes!$C:$C)),"")</f>
        <v/>
      </c>
      <c r="L2009">
        <f t="shared" si="83"/>
        <v>1</v>
      </c>
      <c r="M2009" s="10" t="str">
        <f>IFERROR(_xlfn.XLOOKUP(C2009,[1]StuntDes!$B:$B,[1]StuntDes!$A:$A),"")</f>
        <v/>
      </c>
      <c r="N2009" s="10" t="str">
        <f>IFERROR(_xlfn.XLOOKUP(C2009,[1]ModifierDes!$B:$B,[1]ModifierDes!$A:$A),"")</f>
        <v/>
      </c>
      <c r="O2009" s="10">
        <f>IFERROR(_xlfn.XLOOKUP(C2009,[1]AttributeName!$C:$C,[1]AttributeName!$B:$B),"")</f>
        <v>10500</v>
      </c>
      <c r="P2009" s="10"/>
      <c r="Q2009">
        <v>0.18</v>
      </c>
      <c r="R2009">
        <v>0.21</v>
      </c>
      <c r="S2009" cm="1">
        <f t="array" ref="S2009">IFERROR(_xlfn.SWITCH(L2009,1,_xlfn.XLOOKUP(O2009,[1]AttributeName!$B:$B,[1]AttributeName!$D:$D),2,_xlfn.XLOOKUP(C2009,#REF!,#REF!),3,_xlfn.XLOOKUP(C2009,#REF!,#REF!)),0)</f>
        <v>2</v>
      </c>
      <c r="T2009" cm="1">
        <f t="array" ref="T2009">IFERROR(_xlfn.SWITCH(L2009,1,_xlfn.XLOOKUP(O2009,[1]AttributeName!$B:$B,[1]AttributeName!$E:$E),2,_xlfn.XLOOKUP(C2009,#REF!,#REF!),3,_xlfn.XLOOKUP(C2009,#REF!,#REF!)),0)</f>
        <v>2</v>
      </c>
    </row>
    <row r="2010" customFormat="1" spans="1:20">
      <c r="A2010">
        <f t="shared" si="82"/>
        <v>856</v>
      </c>
      <c r="B2010">
        <v>5</v>
      </c>
      <c r="C2010" t="s">
        <v>401</v>
      </c>
      <c r="D2010" t="s">
        <v>31</v>
      </c>
      <c r="E2010" s="13" t="s">
        <v>392</v>
      </c>
      <c r="F2010"/>
      <c r="G2010">
        <v>2</v>
      </c>
      <c r="H2010">
        <v>1000</v>
      </c>
      <c r="I2010">
        <v>4</v>
      </c>
      <c r="J2010" cm="1">
        <f t="array" ref="J2010">_xlfn.SWITCH(B2010,1,75,2,61,3,49,4,37,5,25,6,13,7,4,8,1)</f>
        <v>25</v>
      </c>
      <c r="K2010" t="str" cm="1">
        <f t="array" ref="K2010">IFERROR(_xlfn.SWITCH(L2010,2,_xlfn.XLOOKUP(C2010,[1]ModifierDes!$B:$B,[1]ModifierDes!$C:$C),3,_xlfn.XLOOKUP(C2010,[1]StuntDes!$B:$B,[1]StuntDes!$C:$C)),"")</f>
        <v/>
      </c>
      <c r="L2010">
        <f t="shared" si="83"/>
        <v>1</v>
      </c>
      <c r="M2010" s="10" t="str">
        <f>IFERROR(_xlfn.XLOOKUP(C2010,[1]StuntDes!$B:$B,[1]StuntDes!$A:$A),"")</f>
        <v/>
      </c>
      <c r="N2010" s="10" t="str">
        <f>IFERROR(_xlfn.XLOOKUP(C2010,[1]ModifierDes!$B:$B,[1]ModifierDes!$A:$A),"")</f>
        <v/>
      </c>
      <c r="O2010" s="10">
        <f>IFERROR(_xlfn.XLOOKUP(C2010,[1]AttributeName!$C:$C,[1]AttributeName!$B:$B),"")</f>
        <v>10500</v>
      </c>
      <c r="P2010" s="10"/>
      <c r="Q2010">
        <v>0.14</v>
      </c>
      <c r="R2010">
        <v>0.17</v>
      </c>
      <c r="S2010" cm="1">
        <f t="array" ref="S2010">IFERROR(_xlfn.SWITCH(L2010,1,_xlfn.XLOOKUP(O2010,[1]AttributeName!$B:$B,[1]AttributeName!$D:$D),2,_xlfn.XLOOKUP(C2010,#REF!,#REF!),3,_xlfn.XLOOKUP(C2010,#REF!,#REF!)),0)</f>
        <v>2</v>
      </c>
      <c r="T2010" cm="1">
        <f t="array" ref="T2010">IFERROR(_xlfn.SWITCH(L2010,1,_xlfn.XLOOKUP(O2010,[1]AttributeName!$B:$B,[1]AttributeName!$E:$E),2,_xlfn.XLOOKUP(C2010,#REF!,#REF!),3,_xlfn.XLOOKUP(C2010,#REF!,#REF!)),0)</f>
        <v>2</v>
      </c>
    </row>
    <row r="2011" customFormat="1" spans="1:20">
      <c r="A2011">
        <f t="shared" si="82"/>
        <v>856</v>
      </c>
      <c r="B2011">
        <v>6</v>
      </c>
      <c r="C2011" t="s">
        <v>401</v>
      </c>
      <c r="D2011" t="s">
        <v>31</v>
      </c>
      <c r="E2011" s="13" t="s">
        <v>392</v>
      </c>
      <c r="F2011"/>
      <c r="G2011">
        <v>2</v>
      </c>
      <c r="H2011">
        <v>1000</v>
      </c>
      <c r="I2011">
        <v>4</v>
      </c>
      <c r="J2011" cm="1">
        <f t="array" ref="J2011">_xlfn.SWITCH(B2011,1,75,2,61,3,49,4,37,5,25,6,13,7,4,8,1)</f>
        <v>13</v>
      </c>
      <c r="K2011" t="str" cm="1">
        <f t="array" ref="K2011">IFERROR(_xlfn.SWITCH(L2011,2,_xlfn.XLOOKUP(C2011,[1]ModifierDes!$B:$B,[1]ModifierDes!$C:$C),3,_xlfn.XLOOKUP(C2011,[1]StuntDes!$B:$B,[1]StuntDes!$C:$C)),"")</f>
        <v/>
      </c>
      <c r="L2011">
        <f t="shared" si="83"/>
        <v>1</v>
      </c>
      <c r="M2011" s="10" t="str">
        <f>IFERROR(_xlfn.XLOOKUP(C2011,[1]StuntDes!$B:$B,[1]StuntDes!$A:$A),"")</f>
        <v/>
      </c>
      <c r="N2011" s="10" t="str">
        <f>IFERROR(_xlfn.XLOOKUP(C2011,[1]ModifierDes!$B:$B,[1]ModifierDes!$A:$A),"")</f>
        <v/>
      </c>
      <c r="O2011" s="10">
        <f>IFERROR(_xlfn.XLOOKUP(C2011,[1]AttributeName!$C:$C,[1]AttributeName!$B:$B),"")</f>
        <v>10500</v>
      </c>
      <c r="P2011" s="10"/>
      <c r="Q2011">
        <v>0.1</v>
      </c>
      <c r="R2011">
        <v>0.13</v>
      </c>
      <c r="S2011" cm="1">
        <f t="array" ref="S2011">IFERROR(_xlfn.SWITCH(L2011,1,_xlfn.XLOOKUP(O2011,[1]AttributeName!$B:$B,[1]AttributeName!$D:$D),2,_xlfn.XLOOKUP(C2011,#REF!,#REF!),3,_xlfn.XLOOKUP(C2011,#REF!,#REF!)),0)</f>
        <v>2</v>
      </c>
      <c r="T2011" cm="1">
        <f t="array" ref="T2011">IFERROR(_xlfn.SWITCH(L2011,1,_xlfn.XLOOKUP(O2011,[1]AttributeName!$B:$B,[1]AttributeName!$E:$E),2,_xlfn.XLOOKUP(C2011,#REF!,#REF!),3,_xlfn.XLOOKUP(C2011,#REF!,#REF!)),0)</f>
        <v>2</v>
      </c>
    </row>
    <row r="2012" customFormat="1" spans="1:20">
      <c r="A2012">
        <f t="shared" si="82"/>
        <v>856</v>
      </c>
      <c r="B2012">
        <v>7</v>
      </c>
      <c r="C2012" t="s">
        <v>401</v>
      </c>
      <c r="D2012" t="s">
        <v>31</v>
      </c>
      <c r="E2012" s="13" t="s">
        <v>392</v>
      </c>
      <c r="F2012"/>
      <c r="G2012">
        <v>2</v>
      </c>
      <c r="H2012">
        <v>1000</v>
      </c>
      <c r="I2012">
        <v>4</v>
      </c>
      <c r="J2012" cm="1">
        <f t="array" ref="J2012">_xlfn.SWITCH(B2012,1,75,2,61,3,49,4,37,5,25,6,13,7,4,8,1)</f>
        <v>4</v>
      </c>
      <c r="K2012" t="str" cm="1">
        <f t="array" ref="K2012">IFERROR(_xlfn.SWITCH(L2012,2,_xlfn.XLOOKUP(C2012,[1]ModifierDes!$B:$B,[1]ModifierDes!$C:$C),3,_xlfn.XLOOKUP(C2012,[1]StuntDes!$B:$B,[1]StuntDes!$C:$C)),"")</f>
        <v/>
      </c>
      <c r="L2012">
        <f t="shared" si="83"/>
        <v>1</v>
      </c>
      <c r="M2012" s="10" t="str">
        <f>IFERROR(_xlfn.XLOOKUP(C2012,[1]StuntDes!$B:$B,[1]StuntDes!$A:$A),"")</f>
        <v/>
      </c>
      <c r="N2012" s="10" t="str">
        <f>IFERROR(_xlfn.XLOOKUP(C2012,[1]ModifierDes!$B:$B,[1]ModifierDes!$A:$A),"")</f>
        <v/>
      </c>
      <c r="O2012" s="10">
        <f>IFERROR(_xlfn.XLOOKUP(C2012,[1]AttributeName!$C:$C,[1]AttributeName!$B:$B),"")</f>
        <v>10500</v>
      </c>
      <c r="P2012" s="10"/>
      <c r="Q2012">
        <v>0.06</v>
      </c>
      <c r="R2012">
        <v>0.09</v>
      </c>
      <c r="S2012" cm="1">
        <f t="array" ref="S2012">IFERROR(_xlfn.SWITCH(L2012,1,_xlfn.XLOOKUP(O2012,[1]AttributeName!$B:$B,[1]AttributeName!$D:$D),2,_xlfn.XLOOKUP(C2012,#REF!,#REF!),3,_xlfn.XLOOKUP(C2012,#REF!,#REF!)),0)</f>
        <v>2</v>
      </c>
      <c r="T2012" cm="1">
        <f t="array" ref="T2012">IFERROR(_xlfn.SWITCH(L2012,1,_xlfn.XLOOKUP(O2012,[1]AttributeName!$B:$B,[1]AttributeName!$E:$E),2,_xlfn.XLOOKUP(C2012,#REF!,#REF!),3,_xlfn.XLOOKUP(C2012,#REF!,#REF!)),0)</f>
        <v>2</v>
      </c>
    </row>
    <row r="2013" customFormat="1" spans="1:20">
      <c r="A2013">
        <f t="shared" si="82"/>
        <v>856</v>
      </c>
      <c r="B2013">
        <v>8</v>
      </c>
      <c r="C2013" t="s">
        <v>401</v>
      </c>
      <c r="D2013" t="s">
        <v>31</v>
      </c>
      <c r="E2013" s="13" t="s">
        <v>392</v>
      </c>
      <c r="F2013"/>
      <c r="G2013">
        <v>2</v>
      </c>
      <c r="H2013">
        <v>1000</v>
      </c>
      <c r="I2013">
        <v>4</v>
      </c>
      <c r="J2013" cm="1">
        <f t="array" ref="J2013">_xlfn.SWITCH(B2013,1,75,2,61,3,49,4,37,5,25,6,13,7,4,8,1)</f>
        <v>1</v>
      </c>
      <c r="K2013" t="str" cm="1">
        <f t="array" ref="K2013">IFERROR(_xlfn.SWITCH(L2013,2,_xlfn.XLOOKUP(C2013,[1]ModifierDes!$B:$B,[1]ModifierDes!$C:$C),3,_xlfn.XLOOKUP(C2013,[1]StuntDes!$B:$B,[1]StuntDes!$C:$C)),"")</f>
        <v/>
      </c>
      <c r="L2013">
        <f t="shared" si="83"/>
        <v>1</v>
      </c>
      <c r="M2013" s="10" t="str">
        <f>IFERROR(_xlfn.XLOOKUP(C2013,[1]StuntDes!$B:$B,[1]StuntDes!$A:$A),"")</f>
        <v/>
      </c>
      <c r="N2013" s="10" t="str">
        <f>IFERROR(_xlfn.XLOOKUP(C2013,[1]ModifierDes!$B:$B,[1]ModifierDes!$A:$A),"")</f>
        <v/>
      </c>
      <c r="O2013" s="10">
        <f>IFERROR(_xlfn.XLOOKUP(C2013,[1]AttributeName!$C:$C,[1]AttributeName!$B:$B),"")</f>
        <v>10500</v>
      </c>
      <c r="P2013" s="10"/>
      <c r="Q2013">
        <v>0.02</v>
      </c>
      <c r="R2013">
        <v>0.05</v>
      </c>
      <c r="S2013" cm="1">
        <f t="array" ref="S2013">IFERROR(_xlfn.SWITCH(L2013,1,_xlfn.XLOOKUP(O2013,[1]AttributeName!$B:$B,[1]AttributeName!$D:$D),2,_xlfn.XLOOKUP(C2013,#REF!,#REF!),3,_xlfn.XLOOKUP(C2013,#REF!,#REF!)),0)</f>
        <v>2</v>
      </c>
      <c r="T2013" cm="1">
        <f t="array" ref="T2013">IFERROR(_xlfn.SWITCH(L2013,1,_xlfn.XLOOKUP(O2013,[1]AttributeName!$B:$B,[1]AttributeName!$E:$E),2,_xlfn.XLOOKUP(C2013,#REF!,#REF!),3,_xlfn.XLOOKUP(C2013,#REF!,#REF!)),0)</f>
        <v>2</v>
      </c>
    </row>
    <row r="2014" customFormat="1" spans="1:20">
      <c r="A2014">
        <f t="shared" si="82"/>
        <v>857</v>
      </c>
      <c r="B2014">
        <v>1</v>
      </c>
      <c r="C2014" s="14" t="s">
        <v>402</v>
      </c>
      <c r="D2014" t="s">
        <v>31</v>
      </c>
      <c r="E2014" s="13" t="s">
        <v>392</v>
      </c>
      <c r="F2014"/>
      <c r="G2014">
        <v>2</v>
      </c>
      <c r="H2014">
        <v>100</v>
      </c>
      <c r="I2014">
        <v>4</v>
      </c>
      <c r="J2014" cm="1">
        <f t="array" ref="J2014">_xlfn.SWITCH(B2014,1,75,2,61,3,49,4,37,5,25,6,13,7,4,8,1)</f>
        <v>75</v>
      </c>
      <c r="K2014" t="str" cm="1">
        <f t="array" ref="K2014">IFERROR(_xlfn.SWITCH(L2014,2,_xlfn.XLOOKUP(C2014,[1]ModifierDes!$B:$B,[1]ModifierDes!$C:$C),3,_xlfn.XLOOKUP(C2014,[1]StuntDes!$B:$B,[1]StuntDes!$C:$C)),"")</f>
        <v/>
      </c>
      <c r="L2014">
        <f t="shared" si="83"/>
        <v>1</v>
      </c>
      <c r="M2014" s="10" t="str">
        <f>IFERROR(_xlfn.XLOOKUP(C2014,[1]StuntDes!$B:$B,[1]StuntDes!$A:$A),"")</f>
        <v/>
      </c>
      <c r="N2014" s="10" t="str">
        <f>IFERROR(_xlfn.XLOOKUP(C2014,[1]ModifierDes!$B:$B,[1]ModifierDes!$A:$A),"")</f>
        <v/>
      </c>
      <c r="O2014" s="10">
        <f>IFERROR(_xlfn.XLOOKUP(C2014,[1]AttributeName!$C:$C,[1]AttributeName!$B:$B),"")</f>
        <v>10501</v>
      </c>
      <c r="P2014" s="10"/>
      <c r="Q2014">
        <v>0.3</v>
      </c>
      <c r="R2014">
        <v>0.4</v>
      </c>
      <c r="S2014" cm="1">
        <f t="array" ref="S2014">IFERROR(_xlfn.SWITCH(L2014,1,_xlfn.XLOOKUP(O2014,[1]AttributeName!$B:$B,[1]AttributeName!$D:$D),2,_xlfn.XLOOKUP(C2014,#REF!,#REF!),3,_xlfn.XLOOKUP(C2014,#REF!,#REF!)),0)</f>
        <v>2</v>
      </c>
      <c r="T2014" cm="1">
        <f t="array" ref="T2014">IFERROR(_xlfn.SWITCH(L2014,1,_xlfn.XLOOKUP(O2014,[1]AttributeName!$B:$B,[1]AttributeName!$E:$E),2,_xlfn.XLOOKUP(C2014,#REF!,#REF!),3,_xlfn.XLOOKUP(C2014,#REF!,#REF!)),0)</f>
        <v>2</v>
      </c>
    </row>
    <row r="2015" customFormat="1" spans="1:20">
      <c r="A2015">
        <f t="shared" si="82"/>
        <v>857</v>
      </c>
      <c r="B2015">
        <v>2</v>
      </c>
      <c r="C2015" s="14" t="s">
        <v>402</v>
      </c>
      <c r="D2015" t="s">
        <v>31</v>
      </c>
      <c r="E2015" s="13" t="s">
        <v>392</v>
      </c>
      <c r="F2015"/>
      <c r="G2015">
        <v>2</v>
      </c>
      <c r="H2015">
        <v>200</v>
      </c>
      <c r="I2015">
        <v>4</v>
      </c>
      <c r="J2015" cm="1">
        <f t="array" ref="J2015">_xlfn.SWITCH(B2015,1,75,2,61,3,49,4,37,5,25,6,13,7,4,8,1)</f>
        <v>61</v>
      </c>
      <c r="K2015" t="str" cm="1">
        <f t="array" ref="K2015">IFERROR(_xlfn.SWITCH(L2015,2,_xlfn.XLOOKUP(C2015,[1]ModifierDes!$B:$B,[1]ModifierDes!$C:$C),3,_xlfn.XLOOKUP(C2015,[1]StuntDes!$B:$B,[1]StuntDes!$C:$C)),"")</f>
        <v/>
      </c>
      <c r="L2015">
        <f t="shared" si="83"/>
        <v>1</v>
      </c>
      <c r="M2015" s="10" t="str">
        <f>IFERROR(_xlfn.XLOOKUP(C2015,[1]StuntDes!$B:$B,[1]StuntDes!$A:$A),"")</f>
        <v/>
      </c>
      <c r="N2015" s="10" t="str">
        <f>IFERROR(_xlfn.XLOOKUP(C2015,[1]ModifierDes!$B:$B,[1]ModifierDes!$A:$A),"")</f>
        <v/>
      </c>
      <c r="O2015" s="10">
        <f>IFERROR(_xlfn.XLOOKUP(C2015,[1]AttributeName!$C:$C,[1]AttributeName!$B:$B),"")</f>
        <v>10501</v>
      </c>
      <c r="P2015" s="10"/>
      <c r="Q2015">
        <v>0.26</v>
      </c>
      <c r="R2015">
        <v>0.29</v>
      </c>
      <c r="S2015" cm="1">
        <f t="array" ref="S2015">IFERROR(_xlfn.SWITCH(L2015,1,_xlfn.XLOOKUP(O2015,[1]AttributeName!$B:$B,[1]AttributeName!$D:$D),2,_xlfn.XLOOKUP(C2015,#REF!,#REF!),3,_xlfn.XLOOKUP(C2015,#REF!,#REF!)),0)</f>
        <v>2</v>
      </c>
      <c r="T2015" cm="1">
        <f t="array" ref="T2015">IFERROR(_xlfn.SWITCH(L2015,1,_xlfn.XLOOKUP(O2015,[1]AttributeName!$B:$B,[1]AttributeName!$E:$E),2,_xlfn.XLOOKUP(C2015,#REF!,#REF!),3,_xlfn.XLOOKUP(C2015,#REF!,#REF!)),0)</f>
        <v>2</v>
      </c>
    </row>
    <row r="2016" customFormat="1" spans="1:20">
      <c r="A2016">
        <f t="shared" si="82"/>
        <v>857</v>
      </c>
      <c r="B2016">
        <v>3</v>
      </c>
      <c r="C2016" s="14" t="s">
        <v>402</v>
      </c>
      <c r="D2016" t="s">
        <v>31</v>
      </c>
      <c r="E2016" s="13" t="s">
        <v>392</v>
      </c>
      <c r="F2016"/>
      <c r="G2016">
        <v>2</v>
      </c>
      <c r="H2016">
        <v>500</v>
      </c>
      <c r="I2016">
        <v>4</v>
      </c>
      <c r="J2016" cm="1">
        <f t="array" ref="J2016">_xlfn.SWITCH(B2016,1,75,2,61,3,49,4,37,5,25,6,13,7,4,8,1)</f>
        <v>49</v>
      </c>
      <c r="K2016" t="str" cm="1">
        <f t="array" ref="K2016">IFERROR(_xlfn.SWITCH(L2016,2,_xlfn.XLOOKUP(C2016,[1]ModifierDes!$B:$B,[1]ModifierDes!$C:$C),3,_xlfn.XLOOKUP(C2016,[1]StuntDes!$B:$B,[1]StuntDes!$C:$C)),"")</f>
        <v/>
      </c>
      <c r="L2016">
        <f t="shared" si="83"/>
        <v>1</v>
      </c>
      <c r="M2016" s="10" t="str">
        <f>IFERROR(_xlfn.XLOOKUP(C2016,[1]StuntDes!$B:$B,[1]StuntDes!$A:$A),"")</f>
        <v/>
      </c>
      <c r="N2016" s="10" t="str">
        <f>IFERROR(_xlfn.XLOOKUP(C2016,[1]ModifierDes!$B:$B,[1]ModifierDes!$A:$A),"")</f>
        <v/>
      </c>
      <c r="O2016" s="10">
        <f>IFERROR(_xlfn.XLOOKUP(C2016,[1]AttributeName!$C:$C,[1]AttributeName!$B:$B),"")</f>
        <v>10501</v>
      </c>
      <c r="P2016" s="10"/>
      <c r="Q2016">
        <v>0.22</v>
      </c>
      <c r="R2016">
        <v>0.25</v>
      </c>
      <c r="S2016" cm="1">
        <f t="array" ref="S2016">IFERROR(_xlfn.SWITCH(L2016,1,_xlfn.XLOOKUP(O2016,[1]AttributeName!$B:$B,[1]AttributeName!$D:$D),2,_xlfn.XLOOKUP(C2016,#REF!,#REF!),3,_xlfn.XLOOKUP(C2016,#REF!,#REF!)),0)</f>
        <v>2</v>
      </c>
      <c r="T2016" cm="1">
        <f t="array" ref="T2016">IFERROR(_xlfn.SWITCH(L2016,1,_xlfn.XLOOKUP(O2016,[1]AttributeName!$B:$B,[1]AttributeName!$E:$E),2,_xlfn.XLOOKUP(C2016,#REF!,#REF!),3,_xlfn.XLOOKUP(C2016,#REF!,#REF!)),0)</f>
        <v>2</v>
      </c>
    </row>
    <row r="2017" customFormat="1" spans="1:20">
      <c r="A2017">
        <f t="shared" si="82"/>
        <v>857</v>
      </c>
      <c r="B2017">
        <v>4</v>
      </c>
      <c r="C2017" s="14" t="s">
        <v>402</v>
      </c>
      <c r="D2017" t="s">
        <v>31</v>
      </c>
      <c r="E2017" s="13" t="s">
        <v>392</v>
      </c>
      <c r="F2017"/>
      <c r="G2017">
        <v>2</v>
      </c>
      <c r="H2017">
        <v>1000</v>
      </c>
      <c r="I2017">
        <v>4</v>
      </c>
      <c r="J2017" cm="1">
        <f t="array" ref="J2017">_xlfn.SWITCH(B2017,1,75,2,61,3,49,4,37,5,25,6,13,7,4,8,1)</f>
        <v>37</v>
      </c>
      <c r="K2017" t="str" cm="1">
        <f t="array" ref="K2017">IFERROR(_xlfn.SWITCH(L2017,2,_xlfn.XLOOKUP(C2017,[1]ModifierDes!$B:$B,[1]ModifierDes!$C:$C),3,_xlfn.XLOOKUP(C2017,[1]StuntDes!$B:$B,[1]StuntDes!$C:$C)),"")</f>
        <v/>
      </c>
      <c r="L2017">
        <f t="shared" si="83"/>
        <v>1</v>
      </c>
      <c r="M2017" s="10" t="str">
        <f>IFERROR(_xlfn.XLOOKUP(C2017,[1]StuntDes!$B:$B,[1]StuntDes!$A:$A),"")</f>
        <v/>
      </c>
      <c r="N2017" s="10" t="str">
        <f>IFERROR(_xlfn.XLOOKUP(C2017,[1]ModifierDes!$B:$B,[1]ModifierDes!$A:$A),"")</f>
        <v/>
      </c>
      <c r="O2017" s="10">
        <f>IFERROR(_xlfn.XLOOKUP(C2017,[1]AttributeName!$C:$C,[1]AttributeName!$B:$B),"")</f>
        <v>10501</v>
      </c>
      <c r="P2017" s="10"/>
      <c r="Q2017">
        <v>0.18</v>
      </c>
      <c r="R2017">
        <v>0.21</v>
      </c>
      <c r="S2017" cm="1">
        <f t="array" ref="S2017">IFERROR(_xlfn.SWITCH(L2017,1,_xlfn.XLOOKUP(O2017,[1]AttributeName!$B:$B,[1]AttributeName!$D:$D),2,_xlfn.XLOOKUP(C2017,#REF!,#REF!),3,_xlfn.XLOOKUP(C2017,#REF!,#REF!)),0)</f>
        <v>2</v>
      </c>
      <c r="T2017" cm="1">
        <f t="array" ref="T2017">IFERROR(_xlfn.SWITCH(L2017,1,_xlfn.XLOOKUP(O2017,[1]AttributeName!$B:$B,[1]AttributeName!$E:$E),2,_xlfn.XLOOKUP(C2017,#REF!,#REF!),3,_xlfn.XLOOKUP(C2017,#REF!,#REF!)),0)</f>
        <v>2</v>
      </c>
    </row>
    <row r="2018" customFormat="1" spans="1:20">
      <c r="A2018">
        <f t="shared" si="82"/>
        <v>857</v>
      </c>
      <c r="B2018">
        <v>5</v>
      </c>
      <c r="C2018" s="14" t="s">
        <v>402</v>
      </c>
      <c r="D2018" t="s">
        <v>31</v>
      </c>
      <c r="E2018" s="13" t="s">
        <v>392</v>
      </c>
      <c r="F2018"/>
      <c r="G2018">
        <v>2</v>
      </c>
      <c r="H2018">
        <v>1000</v>
      </c>
      <c r="I2018">
        <v>4</v>
      </c>
      <c r="J2018" cm="1">
        <f t="array" ref="J2018">_xlfn.SWITCH(B2018,1,75,2,61,3,49,4,37,5,25,6,13,7,4,8,1)</f>
        <v>25</v>
      </c>
      <c r="K2018" t="str" cm="1">
        <f t="array" ref="K2018">IFERROR(_xlfn.SWITCH(L2018,2,_xlfn.XLOOKUP(C2018,[1]ModifierDes!$B:$B,[1]ModifierDes!$C:$C),3,_xlfn.XLOOKUP(C2018,[1]StuntDes!$B:$B,[1]StuntDes!$C:$C)),"")</f>
        <v/>
      </c>
      <c r="L2018">
        <f t="shared" si="83"/>
        <v>1</v>
      </c>
      <c r="M2018" s="10" t="str">
        <f>IFERROR(_xlfn.XLOOKUP(C2018,[1]StuntDes!$B:$B,[1]StuntDes!$A:$A),"")</f>
        <v/>
      </c>
      <c r="N2018" s="10" t="str">
        <f>IFERROR(_xlfn.XLOOKUP(C2018,[1]ModifierDes!$B:$B,[1]ModifierDes!$A:$A),"")</f>
        <v/>
      </c>
      <c r="O2018" s="10">
        <f>IFERROR(_xlfn.XLOOKUP(C2018,[1]AttributeName!$C:$C,[1]AttributeName!$B:$B),"")</f>
        <v>10501</v>
      </c>
      <c r="P2018" s="10"/>
      <c r="Q2018">
        <v>0.14</v>
      </c>
      <c r="R2018">
        <v>0.17</v>
      </c>
      <c r="S2018" cm="1">
        <f t="array" ref="S2018">IFERROR(_xlfn.SWITCH(L2018,1,_xlfn.XLOOKUP(O2018,[1]AttributeName!$B:$B,[1]AttributeName!$D:$D),2,_xlfn.XLOOKUP(C2018,#REF!,#REF!),3,_xlfn.XLOOKUP(C2018,#REF!,#REF!)),0)</f>
        <v>2</v>
      </c>
      <c r="T2018" cm="1">
        <f t="array" ref="T2018">IFERROR(_xlfn.SWITCH(L2018,1,_xlfn.XLOOKUP(O2018,[1]AttributeName!$B:$B,[1]AttributeName!$E:$E),2,_xlfn.XLOOKUP(C2018,#REF!,#REF!),3,_xlfn.XLOOKUP(C2018,#REF!,#REF!)),0)</f>
        <v>2</v>
      </c>
    </row>
    <row r="2019" customFormat="1" spans="1:20">
      <c r="A2019">
        <f t="shared" si="82"/>
        <v>857</v>
      </c>
      <c r="B2019">
        <v>6</v>
      </c>
      <c r="C2019" s="14" t="s">
        <v>402</v>
      </c>
      <c r="D2019" t="s">
        <v>31</v>
      </c>
      <c r="E2019" s="13" t="s">
        <v>392</v>
      </c>
      <c r="F2019"/>
      <c r="G2019">
        <v>2</v>
      </c>
      <c r="H2019">
        <v>1000</v>
      </c>
      <c r="I2019">
        <v>4</v>
      </c>
      <c r="J2019" cm="1">
        <f t="array" ref="J2019">_xlfn.SWITCH(B2019,1,75,2,61,3,49,4,37,5,25,6,13,7,4,8,1)</f>
        <v>13</v>
      </c>
      <c r="K2019" t="str" cm="1">
        <f t="array" ref="K2019">IFERROR(_xlfn.SWITCH(L2019,2,_xlfn.XLOOKUP(C2019,[1]ModifierDes!$B:$B,[1]ModifierDes!$C:$C),3,_xlfn.XLOOKUP(C2019,[1]StuntDes!$B:$B,[1]StuntDes!$C:$C)),"")</f>
        <v/>
      </c>
      <c r="L2019">
        <f t="shared" si="83"/>
        <v>1</v>
      </c>
      <c r="M2019" s="10" t="str">
        <f>IFERROR(_xlfn.XLOOKUP(C2019,[1]StuntDes!$B:$B,[1]StuntDes!$A:$A),"")</f>
        <v/>
      </c>
      <c r="N2019" s="10" t="str">
        <f>IFERROR(_xlfn.XLOOKUP(C2019,[1]ModifierDes!$B:$B,[1]ModifierDes!$A:$A),"")</f>
        <v/>
      </c>
      <c r="O2019" s="10">
        <f>IFERROR(_xlfn.XLOOKUP(C2019,[1]AttributeName!$C:$C,[1]AttributeName!$B:$B),"")</f>
        <v>10501</v>
      </c>
      <c r="P2019" s="10"/>
      <c r="Q2019">
        <v>0.1</v>
      </c>
      <c r="R2019">
        <v>0.13</v>
      </c>
      <c r="S2019" cm="1">
        <f t="array" ref="S2019">IFERROR(_xlfn.SWITCH(L2019,1,_xlfn.XLOOKUP(O2019,[1]AttributeName!$B:$B,[1]AttributeName!$D:$D),2,_xlfn.XLOOKUP(C2019,#REF!,#REF!),3,_xlfn.XLOOKUP(C2019,#REF!,#REF!)),0)</f>
        <v>2</v>
      </c>
      <c r="T2019" cm="1">
        <f t="array" ref="T2019">IFERROR(_xlfn.SWITCH(L2019,1,_xlfn.XLOOKUP(O2019,[1]AttributeName!$B:$B,[1]AttributeName!$E:$E),2,_xlfn.XLOOKUP(C2019,#REF!,#REF!),3,_xlfn.XLOOKUP(C2019,#REF!,#REF!)),0)</f>
        <v>2</v>
      </c>
    </row>
    <row r="2020" customFormat="1" spans="1:20">
      <c r="A2020">
        <f t="shared" si="82"/>
        <v>857</v>
      </c>
      <c r="B2020">
        <v>7</v>
      </c>
      <c r="C2020" s="14" t="s">
        <v>402</v>
      </c>
      <c r="D2020" t="s">
        <v>31</v>
      </c>
      <c r="E2020" s="13" t="s">
        <v>392</v>
      </c>
      <c r="F2020"/>
      <c r="G2020">
        <v>2</v>
      </c>
      <c r="H2020">
        <v>1000</v>
      </c>
      <c r="I2020">
        <v>4</v>
      </c>
      <c r="J2020" cm="1">
        <f t="array" ref="J2020">_xlfn.SWITCH(B2020,1,75,2,61,3,49,4,37,5,25,6,13,7,4,8,1)</f>
        <v>4</v>
      </c>
      <c r="K2020" t="str" cm="1">
        <f t="array" ref="K2020">IFERROR(_xlfn.SWITCH(L2020,2,_xlfn.XLOOKUP(C2020,[1]ModifierDes!$B:$B,[1]ModifierDes!$C:$C),3,_xlfn.XLOOKUP(C2020,[1]StuntDes!$B:$B,[1]StuntDes!$C:$C)),"")</f>
        <v/>
      </c>
      <c r="L2020">
        <f t="shared" si="83"/>
        <v>1</v>
      </c>
      <c r="M2020" s="10" t="str">
        <f>IFERROR(_xlfn.XLOOKUP(C2020,[1]StuntDes!$B:$B,[1]StuntDes!$A:$A),"")</f>
        <v/>
      </c>
      <c r="N2020" s="10" t="str">
        <f>IFERROR(_xlfn.XLOOKUP(C2020,[1]ModifierDes!$B:$B,[1]ModifierDes!$A:$A),"")</f>
        <v/>
      </c>
      <c r="O2020" s="10">
        <f>IFERROR(_xlfn.XLOOKUP(C2020,[1]AttributeName!$C:$C,[1]AttributeName!$B:$B),"")</f>
        <v>10501</v>
      </c>
      <c r="P2020" s="10"/>
      <c r="Q2020">
        <v>0.06</v>
      </c>
      <c r="R2020">
        <v>0.09</v>
      </c>
      <c r="S2020" cm="1">
        <f t="array" ref="S2020">IFERROR(_xlfn.SWITCH(L2020,1,_xlfn.XLOOKUP(O2020,[1]AttributeName!$B:$B,[1]AttributeName!$D:$D),2,_xlfn.XLOOKUP(C2020,#REF!,#REF!),3,_xlfn.XLOOKUP(C2020,#REF!,#REF!)),0)</f>
        <v>2</v>
      </c>
      <c r="T2020" cm="1">
        <f t="array" ref="T2020">IFERROR(_xlfn.SWITCH(L2020,1,_xlfn.XLOOKUP(O2020,[1]AttributeName!$B:$B,[1]AttributeName!$E:$E),2,_xlfn.XLOOKUP(C2020,#REF!,#REF!),3,_xlfn.XLOOKUP(C2020,#REF!,#REF!)),0)</f>
        <v>2</v>
      </c>
    </row>
    <row r="2021" customFormat="1" spans="1:20">
      <c r="A2021">
        <f t="shared" si="82"/>
        <v>857</v>
      </c>
      <c r="B2021">
        <v>8</v>
      </c>
      <c r="C2021" s="14" t="s">
        <v>402</v>
      </c>
      <c r="D2021" t="s">
        <v>31</v>
      </c>
      <c r="E2021" s="13" t="s">
        <v>392</v>
      </c>
      <c r="F2021"/>
      <c r="G2021">
        <v>2</v>
      </c>
      <c r="H2021">
        <v>1000</v>
      </c>
      <c r="I2021">
        <v>4</v>
      </c>
      <c r="J2021" cm="1">
        <f t="array" ref="J2021">_xlfn.SWITCH(B2021,1,75,2,61,3,49,4,37,5,25,6,13,7,4,8,1)</f>
        <v>1</v>
      </c>
      <c r="K2021" t="str" cm="1">
        <f t="array" ref="K2021">IFERROR(_xlfn.SWITCH(L2021,2,_xlfn.XLOOKUP(C2021,[1]ModifierDes!$B:$B,[1]ModifierDes!$C:$C),3,_xlfn.XLOOKUP(C2021,[1]StuntDes!$B:$B,[1]StuntDes!$C:$C)),"")</f>
        <v/>
      </c>
      <c r="L2021">
        <f t="shared" si="83"/>
        <v>1</v>
      </c>
      <c r="M2021" s="10" t="str">
        <f>IFERROR(_xlfn.XLOOKUP(C2021,[1]StuntDes!$B:$B,[1]StuntDes!$A:$A),"")</f>
        <v/>
      </c>
      <c r="N2021" s="10" t="str">
        <f>IFERROR(_xlfn.XLOOKUP(C2021,[1]ModifierDes!$B:$B,[1]ModifierDes!$A:$A),"")</f>
        <v/>
      </c>
      <c r="O2021" s="10">
        <f>IFERROR(_xlfn.XLOOKUP(C2021,[1]AttributeName!$C:$C,[1]AttributeName!$B:$B),"")</f>
        <v>10501</v>
      </c>
      <c r="P2021" s="10"/>
      <c r="Q2021">
        <v>0.02</v>
      </c>
      <c r="R2021">
        <v>0.05</v>
      </c>
      <c r="S2021" cm="1">
        <f t="array" ref="S2021">IFERROR(_xlfn.SWITCH(L2021,1,_xlfn.XLOOKUP(O2021,[1]AttributeName!$B:$B,[1]AttributeName!$D:$D),2,_xlfn.XLOOKUP(C2021,#REF!,#REF!),3,_xlfn.XLOOKUP(C2021,#REF!,#REF!)),0)</f>
        <v>2</v>
      </c>
      <c r="T2021" cm="1">
        <f t="array" ref="T2021">IFERROR(_xlfn.SWITCH(L2021,1,_xlfn.XLOOKUP(O2021,[1]AttributeName!$B:$B,[1]AttributeName!$E:$E),2,_xlfn.XLOOKUP(C2021,#REF!,#REF!),3,_xlfn.XLOOKUP(C2021,#REF!,#REF!)),0)</f>
        <v>2</v>
      </c>
    </row>
    <row r="2022" customFormat="1" spans="1:20">
      <c r="A2022">
        <f t="shared" si="82"/>
        <v>858</v>
      </c>
      <c r="B2022">
        <v>1</v>
      </c>
      <c r="C2022" t="s">
        <v>403</v>
      </c>
      <c r="D2022" t="s">
        <v>31</v>
      </c>
      <c r="E2022" s="13" t="s">
        <v>392</v>
      </c>
      <c r="F2022"/>
      <c r="G2022">
        <v>2</v>
      </c>
      <c r="H2022">
        <v>100</v>
      </c>
      <c r="I2022">
        <v>4</v>
      </c>
      <c r="J2022" cm="1">
        <f t="array" ref="J2022">_xlfn.SWITCH(B2022,1,75,2,61,3,49,4,37,5,25,6,13,7,4,8,1)</f>
        <v>75</v>
      </c>
      <c r="K2022" t="str" cm="1">
        <f t="array" ref="K2022">IFERROR(_xlfn.SWITCH(L2022,2,_xlfn.XLOOKUP(C2022,[1]ModifierDes!$B:$B,[1]ModifierDes!$C:$C),3,_xlfn.XLOOKUP(C2022,[1]StuntDes!$B:$B,[1]StuntDes!$C:$C)),"")</f>
        <v/>
      </c>
      <c r="L2022">
        <f t="shared" si="83"/>
        <v>1</v>
      </c>
      <c r="M2022" s="10" t="str">
        <f>IFERROR(_xlfn.XLOOKUP(C2022,[1]StuntDes!$B:$B,[1]StuntDes!$A:$A),"")</f>
        <v/>
      </c>
      <c r="N2022" s="10" t="str">
        <f>IFERROR(_xlfn.XLOOKUP(C2022,[1]ModifierDes!$B:$B,[1]ModifierDes!$A:$A),"")</f>
        <v/>
      </c>
      <c r="O2022" s="10">
        <f>IFERROR(_xlfn.XLOOKUP(C2022,[1]AttributeName!$C:$C,[1]AttributeName!$B:$B),"")</f>
        <v>10502</v>
      </c>
      <c r="P2022" s="10"/>
      <c r="Q2022">
        <v>0.3</v>
      </c>
      <c r="R2022">
        <v>0.4</v>
      </c>
      <c r="S2022" cm="1">
        <f t="array" ref="S2022">IFERROR(_xlfn.SWITCH(L2022,1,_xlfn.XLOOKUP(O2022,[1]AttributeName!$B:$B,[1]AttributeName!$D:$D),2,_xlfn.XLOOKUP(C2022,#REF!,#REF!),3,_xlfn.XLOOKUP(C2022,#REF!,#REF!)),0)</f>
        <v>2</v>
      </c>
      <c r="T2022" cm="1">
        <f t="array" ref="T2022">IFERROR(_xlfn.SWITCH(L2022,1,_xlfn.XLOOKUP(O2022,[1]AttributeName!$B:$B,[1]AttributeName!$E:$E),2,_xlfn.XLOOKUP(C2022,#REF!,#REF!),3,_xlfn.XLOOKUP(C2022,#REF!,#REF!)),0)</f>
        <v>2</v>
      </c>
    </row>
    <row r="2023" customFormat="1" spans="1:20">
      <c r="A2023">
        <f t="shared" si="82"/>
        <v>858</v>
      </c>
      <c r="B2023">
        <v>2</v>
      </c>
      <c r="C2023" t="s">
        <v>403</v>
      </c>
      <c r="D2023" t="s">
        <v>31</v>
      </c>
      <c r="E2023" s="13" t="s">
        <v>392</v>
      </c>
      <c r="F2023"/>
      <c r="G2023">
        <v>2</v>
      </c>
      <c r="H2023">
        <v>200</v>
      </c>
      <c r="I2023">
        <v>4</v>
      </c>
      <c r="J2023" cm="1">
        <f t="array" ref="J2023">_xlfn.SWITCH(B2023,1,75,2,61,3,49,4,37,5,25,6,13,7,4,8,1)</f>
        <v>61</v>
      </c>
      <c r="K2023" t="str" cm="1">
        <f t="array" ref="K2023">IFERROR(_xlfn.SWITCH(L2023,2,_xlfn.XLOOKUP(C2023,[1]ModifierDes!$B:$B,[1]ModifierDes!$C:$C),3,_xlfn.XLOOKUP(C2023,[1]StuntDes!$B:$B,[1]StuntDes!$C:$C)),"")</f>
        <v/>
      </c>
      <c r="L2023">
        <f t="shared" si="83"/>
        <v>1</v>
      </c>
      <c r="M2023" s="10" t="str">
        <f>IFERROR(_xlfn.XLOOKUP(C2023,[1]StuntDes!$B:$B,[1]StuntDes!$A:$A),"")</f>
        <v/>
      </c>
      <c r="N2023" s="10" t="str">
        <f>IFERROR(_xlfn.XLOOKUP(C2023,[1]ModifierDes!$B:$B,[1]ModifierDes!$A:$A),"")</f>
        <v/>
      </c>
      <c r="O2023" s="10">
        <f>IFERROR(_xlfn.XLOOKUP(C2023,[1]AttributeName!$C:$C,[1]AttributeName!$B:$B),"")</f>
        <v>10502</v>
      </c>
      <c r="P2023" s="10"/>
      <c r="Q2023">
        <v>0.26</v>
      </c>
      <c r="R2023">
        <v>0.29</v>
      </c>
      <c r="S2023" cm="1">
        <f t="array" ref="S2023">IFERROR(_xlfn.SWITCH(L2023,1,_xlfn.XLOOKUP(O2023,[1]AttributeName!$B:$B,[1]AttributeName!$D:$D),2,_xlfn.XLOOKUP(C2023,#REF!,#REF!),3,_xlfn.XLOOKUP(C2023,#REF!,#REF!)),0)</f>
        <v>2</v>
      </c>
      <c r="T2023" cm="1">
        <f t="array" ref="T2023">IFERROR(_xlfn.SWITCH(L2023,1,_xlfn.XLOOKUP(O2023,[1]AttributeName!$B:$B,[1]AttributeName!$E:$E),2,_xlfn.XLOOKUP(C2023,#REF!,#REF!),3,_xlfn.XLOOKUP(C2023,#REF!,#REF!)),0)</f>
        <v>2</v>
      </c>
    </row>
    <row r="2024" customFormat="1" spans="1:20">
      <c r="A2024">
        <f t="shared" si="82"/>
        <v>858</v>
      </c>
      <c r="B2024">
        <v>3</v>
      </c>
      <c r="C2024" t="s">
        <v>403</v>
      </c>
      <c r="D2024" t="s">
        <v>31</v>
      </c>
      <c r="E2024" s="13" t="s">
        <v>392</v>
      </c>
      <c r="F2024"/>
      <c r="G2024">
        <v>2</v>
      </c>
      <c r="H2024">
        <v>500</v>
      </c>
      <c r="I2024">
        <v>4</v>
      </c>
      <c r="J2024" cm="1">
        <f t="array" ref="J2024">_xlfn.SWITCH(B2024,1,75,2,61,3,49,4,37,5,25,6,13,7,4,8,1)</f>
        <v>49</v>
      </c>
      <c r="K2024" t="str" cm="1">
        <f t="array" ref="K2024">IFERROR(_xlfn.SWITCH(L2024,2,_xlfn.XLOOKUP(C2024,[1]ModifierDes!$B:$B,[1]ModifierDes!$C:$C),3,_xlfn.XLOOKUP(C2024,[1]StuntDes!$B:$B,[1]StuntDes!$C:$C)),"")</f>
        <v/>
      </c>
      <c r="L2024">
        <f t="shared" si="83"/>
        <v>1</v>
      </c>
      <c r="M2024" s="10" t="str">
        <f>IFERROR(_xlfn.XLOOKUP(C2024,[1]StuntDes!$B:$B,[1]StuntDes!$A:$A),"")</f>
        <v/>
      </c>
      <c r="N2024" s="10" t="str">
        <f>IFERROR(_xlfn.XLOOKUP(C2024,[1]ModifierDes!$B:$B,[1]ModifierDes!$A:$A),"")</f>
        <v/>
      </c>
      <c r="O2024" s="10">
        <f>IFERROR(_xlfn.XLOOKUP(C2024,[1]AttributeName!$C:$C,[1]AttributeName!$B:$B),"")</f>
        <v>10502</v>
      </c>
      <c r="P2024" s="10"/>
      <c r="Q2024">
        <v>0.22</v>
      </c>
      <c r="R2024">
        <v>0.25</v>
      </c>
      <c r="S2024" cm="1">
        <f t="array" ref="S2024">IFERROR(_xlfn.SWITCH(L2024,1,_xlfn.XLOOKUP(O2024,[1]AttributeName!$B:$B,[1]AttributeName!$D:$D),2,_xlfn.XLOOKUP(C2024,#REF!,#REF!),3,_xlfn.XLOOKUP(C2024,#REF!,#REF!)),0)</f>
        <v>2</v>
      </c>
      <c r="T2024" cm="1">
        <f t="array" ref="T2024">IFERROR(_xlfn.SWITCH(L2024,1,_xlfn.XLOOKUP(O2024,[1]AttributeName!$B:$B,[1]AttributeName!$E:$E),2,_xlfn.XLOOKUP(C2024,#REF!,#REF!),3,_xlfn.XLOOKUP(C2024,#REF!,#REF!)),0)</f>
        <v>2</v>
      </c>
    </row>
    <row r="2025" customFormat="1" spans="1:20">
      <c r="A2025">
        <f t="shared" si="82"/>
        <v>858</v>
      </c>
      <c r="B2025">
        <v>4</v>
      </c>
      <c r="C2025" t="s">
        <v>403</v>
      </c>
      <c r="D2025" t="s">
        <v>31</v>
      </c>
      <c r="E2025" s="13" t="s">
        <v>392</v>
      </c>
      <c r="F2025"/>
      <c r="G2025">
        <v>2</v>
      </c>
      <c r="H2025">
        <v>1000</v>
      </c>
      <c r="I2025">
        <v>4</v>
      </c>
      <c r="J2025" cm="1">
        <f t="array" ref="J2025">_xlfn.SWITCH(B2025,1,75,2,61,3,49,4,37,5,25,6,13,7,4,8,1)</f>
        <v>37</v>
      </c>
      <c r="K2025" t="str" cm="1">
        <f t="array" ref="K2025">IFERROR(_xlfn.SWITCH(L2025,2,_xlfn.XLOOKUP(C2025,[1]ModifierDes!$B:$B,[1]ModifierDes!$C:$C),3,_xlfn.XLOOKUP(C2025,[1]StuntDes!$B:$B,[1]StuntDes!$C:$C)),"")</f>
        <v/>
      </c>
      <c r="L2025">
        <f t="shared" si="83"/>
        <v>1</v>
      </c>
      <c r="M2025" s="10" t="str">
        <f>IFERROR(_xlfn.XLOOKUP(C2025,[1]StuntDes!$B:$B,[1]StuntDes!$A:$A),"")</f>
        <v/>
      </c>
      <c r="N2025" s="10" t="str">
        <f>IFERROR(_xlfn.XLOOKUP(C2025,[1]ModifierDes!$B:$B,[1]ModifierDes!$A:$A),"")</f>
        <v/>
      </c>
      <c r="O2025" s="10">
        <f>IFERROR(_xlfn.XLOOKUP(C2025,[1]AttributeName!$C:$C,[1]AttributeName!$B:$B),"")</f>
        <v>10502</v>
      </c>
      <c r="P2025" s="10"/>
      <c r="Q2025">
        <v>0.18</v>
      </c>
      <c r="R2025">
        <v>0.21</v>
      </c>
      <c r="S2025" cm="1">
        <f t="array" ref="S2025">IFERROR(_xlfn.SWITCH(L2025,1,_xlfn.XLOOKUP(O2025,[1]AttributeName!$B:$B,[1]AttributeName!$D:$D),2,_xlfn.XLOOKUP(C2025,#REF!,#REF!),3,_xlfn.XLOOKUP(C2025,#REF!,#REF!)),0)</f>
        <v>2</v>
      </c>
      <c r="T2025" cm="1">
        <f t="array" ref="T2025">IFERROR(_xlfn.SWITCH(L2025,1,_xlfn.XLOOKUP(O2025,[1]AttributeName!$B:$B,[1]AttributeName!$E:$E),2,_xlfn.XLOOKUP(C2025,#REF!,#REF!),3,_xlfn.XLOOKUP(C2025,#REF!,#REF!)),0)</f>
        <v>2</v>
      </c>
    </row>
    <row r="2026" customFormat="1" spans="1:20">
      <c r="A2026">
        <f t="shared" si="82"/>
        <v>858</v>
      </c>
      <c r="B2026">
        <v>5</v>
      </c>
      <c r="C2026" t="s">
        <v>403</v>
      </c>
      <c r="D2026" t="s">
        <v>31</v>
      </c>
      <c r="E2026" s="13" t="s">
        <v>392</v>
      </c>
      <c r="F2026"/>
      <c r="G2026">
        <v>2</v>
      </c>
      <c r="H2026">
        <v>1000</v>
      </c>
      <c r="I2026">
        <v>4</v>
      </c>
      <c r="J2026" cm="1">
        <f t="array" ref="J2026">_xlfn.SWITCH(B2026,1,75,2,61,3,49,4,37,5,25,6,13,7,4,8,1)</f>
        <v>25</v>
      </c>
      <c r="K2026" t="str" cm="1">
        <f t="array" ref="K2026">IFERROR(_xlfn.SWITCH(L2026,2,_xlfn.XLOOKUP(C2026,[1]ModifierDes!$B:$B,[1]ModifierDes!$C:$C),3,_xlfn.XLOOKUP(C2026,[1]StuntDes!$B:$B,[1]StuntDes!$C:$C)),"")</f>
        <v/>
      </c>
      <c r="L2026">
        <f t="shared" si="83"/>
        <v>1</v>
      </c>
      <c r="M2026" s="10" t="str">
        <f>IFERROR(_xlfn.XLOOKUP(C2026,[1]StuntDes!$B:$B,[1]StuntDes!$A:$A),"")</f>
        <v/>
      </c>
      <c r="N2026" s="10" t="str">
        <f>IFERROR(_xlfn.XLOOKUP(C2026,[1]ModifierDes!$B:$B,[1]ModifierDes!$A:$A),"")</f>
        <v/>
      </c>
      <c r="O2026" s="10">
        <f>IFERROR(_xlfn.XLOOKUP(C2026,[1]AttributeName!$C:$C,[1]AttributeName!$B:$B),"")</f>
        <v>10502</v>
      </c>
      <c r="P2026" s="10"/>
      <c r="Q2026">
        <v>0.14</v>
      </c>
      <c r="R2026">
        <v>0.17</v>
      </c>
      <c r="S2026" cm="1">
        <f t="array" ref="S2026">IFERROR(_xlfn.SWITCH(L2026,1,_xlfn.XLOOKUP(O2026,[1]AttributeName!$B:$B,[1]AttributeName!$D:$D),2,_xlfn.XLOOKUP(C2026,#REF!,#REF!),3,_xlfn.XLOOKUP(C2026,#REF!,#REF!)),0)</f>
        <v>2</v>
      </c>
      <c r="T2026" cm="1">
        <f t="array" ref="T2026">IFERROR(_xlfn.SWITCH(L2026,1,_xlfn.XLOOKUP(O2026,[1]AttributeName!$B:$B,[1]AttributeName!$E:$E),2,_xlfn.XLOOKUP(C2026,#REF!,#REF!),3,_xlfn.XLOOKUP(C2026,#REF!,#REF!)),0)</f>
        <v>2</v>
      </c>
    </row>
    <row r="2027" customFormat="1" spans="1:20">
      <c r="A2027">
        <f t="shared" si="82"/>
        <v>858</v>
      </c>
      <c r="B2027">
        <v>6</v>
      </c>
      <c r="C2027" t="s">
        <v>403</v>
      </c>
      <c r="D2027" t="s">
        <v>31</v>
      </c>
      <c r="E2027" s="13" t="s">
        <v>392</v>
      </c>
      <c r="F2027"/>
      <c r="G2027">
        <v>2</v>
      </c>
      <c r="H2027">
        <v>1000</v>
      </c>
      <c r="I2027">
        <v>4</v>
      </c>
      <c r="J2027" cm="1">
        <f t="array" ref="J2027">_xlfn.SWITCH(B2027,1,75,2,61,3,49,4,37,5,25,6,13,7,4,8,1)</f>
        <v>13</v>
      </c>
      <c r="K2027" t="str" cm="1">
        <f t="array" ref="K2027">IFERROR(_xlfn.SWITCH(L2027,2,_xlfn.XLOOKUP(C2027,[1]ModifierDes!$B:$B,[1]ModifierDes!$C:$C),3,_xlfn.XLOOKUP(C2027,[1]StuntDes!$B:$B,[1]StuntDes!$C:$C)),"")</f>
        <v/>
      </c>
      <c r="L2027">
        <f t="shared" si="83"/>
        <v>1</v>
      </c>
      <c r="M2027" s="10" t="str">
        <f>IFERROR(_xlfn.XLOOKUP(C2027,[1]StuntDes!$B:$B,[1]StuntDes!$A:$A),"")</f>
        <v/>
      </c>
      <c r="N2027" s="10" t="str">
        <f>IFERROR(_xlfn.XLOOKUP(C2027,[1]ModifierDes!$B:$B,[1]ModifierDes!$A:$A),"")</f>
        <v/>
      </c>
      <c r="O2027" s="10">
        <f>IFERROR(_xlfn.XLOOKUP(C2027,[1]AttributeName!$C:$C,[1]AttributeName!$B:$B),"")</f>
        <v>10502</v>
      </c>
      <c r="P2027" s="10"/>
      <c r="Q2027">
        <v>0.1</v>
      </c>
      <c r="R2027">
        <v>0.13</v>
      </c>
      <c r="S2027" cm="1">
        <f t="array" ref="S2027">IFERROR(_xlfn.SWITCH(L2027,1,_xlfn.XLOOKUP(O2027,[1]AttributeName!$B:$B,[1]AttributeName!$D:$D),2,_xlfn.XLOOKUP(C2027,#REF!,#REF!),3,_xlfn.XLOOKUP(C2027,#REF!,#REF!)),0)</f>
        <v>2</v>
      </c>
      <c r="T2027" cm="1">
        <f t="array" ref="T2027">IFERROR(_xlfn.SWITCH(L2027,1,_xlfn.XLOOKUP(O2027,[1]AttributeName!$B:$B,[1]AttributeName!$E:$E),2,_xlfn.XLOOKUP(C2027,#REF!,#REF!),3,_xlfn.XLOOKUP(C2027,#REF!,#REF!)),0)</f>
        <v>2</v>
      </c>
    </row>
    <row r="2028" customFormat="1" spans="1:20">
      <c r="A2028">
        <f t="shared" si="82"/>
        <v>858</v>
      </c>
      <c r="B2028">
        <v>7</v>
      </c>
      <c r="C2028" t="s">
        <v>403</v>
      </c>
      <c r="D2028" t="s">
        <v>31</v>
      </c>
      <c r="E2028" s="13" t="s">
        <v>392</v>
      </c>
      <c r="F2028"/>
      <c r="G2028">
        <v>2</v>
      </c>
      <c r="H2028">
        <v>1000</v>
      </c>
      <c r="I2028">
        <v>4</v>
      </c>
      <c r="J2028" cm="1">
        <f t="array" ref="J2028">_xlfn.SWITCH(B2028,1,75,2,61,3,49,4,37,5,25,6,13,7,4,8,1)</f>
        <v>4</v>
      </c>
      <c r="K2028" t="str" cm="1">
        <f t="array" ref="K2028">IFERROR(_xlfn.SWITCH(L2028,2,_xlfn.XLOOKUP(C2028,[1]ModifierDes!$B:$B,[1]ModifierDes!$C:$C),3,_xlfn.XLOOKUP(C2028,[1]StuntDes!$B:$B,[1]StuntDes!$C:$C)),"")</f>
        <v/>
      </c>
      <c r="L2028">
        <f t="shared" si="83"/>
        <v>1</v>
      </c>
      <c r="M2028" s="10" t="str">
        <f>IFERROR(_xlfn.XLOOKUP(C2028,[1]StuntDes!$B:$B,[1]StuntDes!$A:$A),"")</f>
        <v/>
      </c>
      <c r="N2028" s="10" t="str">
        <f>IFERROR(_xlfn.XLOOKUP(C2028,[1]ModifierDes!$B:$B,[1]ModifierDes!$A:$A),"")</f>
        <v/>
      </c>
      <c r="O2028" s="10">
        <f>IFERROR(_xlfn.XLOOKUP(C2028,[1]AttributeName!$C:$C,[1]AttributeName!$B:$B),"")</f>
        <v>10502</v>
      </c>
      <c r="P2028" s="10"/>
      <c r="Q2028">
        <v>0.06</v>
      </c>
      <c r="R2028">
        <v>0.09</v>
      </c>
      <c r="S2028" cm="1">
        <f t="array" ref="S2028">IFERROR(_xlfn.SWITCH(L2028,1,_xlfn.XLOOKUP(O2028,[1]AttributeName!$B:$B,[1]AttributeName!$D:$D),2,_xlfn.XLOOKUP(C2028,#REF!,#REF!),3,_xlfn.XLOOKUP(C2028,#REF!,#REF!)),0)</f>
        <v>2</v>
      </c>
      <c r="T2028" cm="1">
        <f t="array" ref="T2028">IFERROR(_xlfn.SWITCH(L2028,1,_xlfn.XLOOKUP(O2028,[1]AttributeName!$B:$B,[1]AttributeName!$E:$E),2,_xlfn.XLOOKUP(C2028,#REF!,#REF!),3,_xlfn.XLOOKUP(C2028,#REF!,#REF!)),0)</f>
        <v>2</v>
      </c>
    </row>
    <row r="2029" customFormat="1" spans="1:20">
      <c r="A2029">
        <f t="shared" si="82"/>
        <v>858</v>
      </c>
      <c r="B2029">
        <v>8</v>
      </c>
      <c r="C2029" t="s">
        <v>403</v>
      </c>
      <c r="D2029" t="s">
        <v>31</v>
      </c>
      <c r="E2029" s="13" t="s">
        <v>392</v>
      </c>
      <c r="F2029"/>
      <c r="G2029">
        <v>2</v>
      </c>
      <c r="H2029">
        <v>1000</v>
      </c>
      <c r="I2029">
        <v>4</v>
      </c>
      <c r="J2029" cm="1">
        <f t="array" ref="J2029">_xlfn.SWITCH(B2029,1,75,2,61,3,49,4,37,5,25,6,13,7,4,8,1)</f>
        <v>1</v>
      </c>
      <c r="K2029" t="str" cm="1">
        <f t="array" ref="K2029">IFERROR(_xlfn.SWITCH(L2029,2,_xlfn.XLOOKUP(C2029,[1]ModifierDes!$B:$B,[1]ModifierDes!$C:$C),3,_xlfn.XLOOKUP(C2029,[1]StuntDes!$B:$B,[1]StuntDes!$C:$C)),"")</f>
        <v/>
      </c>
      <c r="L2029">
        <f t="shared" si="83"/>
        <v>1</v>
      </c>
      <c r="M2029" s="10" t="str">
        <f>IFERROR(_xlfn.XLOOKUP(C2029,[1]StuntDes!$B:$B,[1]StuntDes!$A:$A),"")</f>
        <v/>
      </c>
      <c r="N2029" s="10" t="str">
        <f>IFERROR(_xlfn.XLOOKUP(C2029,[1]ModifierDes!$B:$B,[1]ModifierDes!$A:$A),"")</f>
        <v/>
      </c>
      <c r="O2029" s="10">
        <f>IFERROR(_xlfn.XLOOKUP(C2029,[1]AttributeName!$C:$C,[1]AttributeName!$B:$B),"")</f>
        <v>10502</v>
      </c>
      <c r="P2029" s="10"/>
      <c r="Q2029">
        <v>0.02</v>
      </c>
      <c r="R2029">
        <v>0.05</v>
      </c>
      <c r="S2029" cm="1">
        <f t="array" ref="S2029">IFERROR(_xlfn.SWITCH(L2029,1,_xlfn.XLOOKUP(O2029,[1]AttributeName!$B:$B,[1]AttributeName!$D:$D),2,_xlfn.XLOOKUP(C2029,#REF!,#REF!),3,_xlfn.XLOOKUP(C2029,#REF!,#REF!)),0)</f>
        <v>2</v>
      </c>
      <c r="T2029" cm="1">
        <f t="array" ref="T2029">IFERROR(_xlfn.SWITCH(L2029,1,_xlfn.XLOOKUP(O2029,[1]AttributeName!$B:$B,[1]AttributeName!$E:$E),2,_xlfn.XLOOKUP(C2029,#REF!,#REF!),3,_xlfn.XLOOKUP(C2029,#REF!,#REF!)),0)</f>
        <v>2</v>
      </c>
    </row>
    <row r="2030" customFormat="1" spans="1:20">
      <c r="A2030">
        <f t="shared" si="82"/>
        <v>859</v>
      </c>
      <c r="B2030">
        <v>1</v>
      </c>
      <c r="C2030" s="14" t="s">
        <v>404</v>
      </c>
      <c r="D2030" t="s">
        <v>31</v>
      </c>
      <c r="E2030" s="13" t="s">
        <v>392</v>
      </c>
      <c r="F2030"/>
      <c r="G2030">
        <v>2</v>
      </c>
      <c r="H2030">
        <v>100</v>
      </c>
      <c r="I2030">
        <v>4</v>
      </c>
      <c r="J2030" cm="1">
        <f t="array" ref="J2030">_xlfn.SWITCH(B2030,1,75,2,61,3,49,4,37,5,25,6,13,7,4,8,1)</f>
        <v>75</v>
      </c>
      <c r="K2030" t="str" cm="1">
        <f t="array" ref="K2030">IFERROR(_xlfn.SWITCH(L2030,2,_xlfn.XLOOKUP(C2030,[1]ModifierDes!$B:$B,[1]ModifierDes!$C:$C),3,_xlfn.XLOOKUP(C2030,[1]StuntDes!$B:$B,[1]StuntDes!$C:$C)),"")</f>
        <v/>
      </c>
      <c r="L2030">
        <f t="shared" si="83"/>
        <v>1</v>
      </c>
      <c r="M2030" s="10" t="str">
        <f>IFERROR(_xlfn.XLOOKUP(C2030,[1]StuntDes!$B:$B,[1]StuntDes!$A:$A),"")</f>
        <v/>
      </c>
      <c r="N2030" s="10" t="str">
        <f>IFERROR(_xlfn.XLOOKUP(C2030,[1]ModifierDes!$B:$B,[1]ModifierDes!$A:$A),"")</f>
        <v/>
      </c>
      <c r="O2030" s="10">
        <f>IFERROR(_xlfn.XLOOKUP(C2030,[1]AttributeName!$C:$C,[1]AttributeName!$B:$B),"")</f>
        <v>10503</v>
      </c>
      <c r="P2030" s="10"/>
      <c r="Q2030">
        <v>0.3</v>
      </c>
      <c r="R2030">
        <v>0.4</v>
      </c>
      <c r="S2030" cm="1">
        <f t="array" ref="S2030">IFERROR(_xlfn.SWITCH(L2030,1,_xlfn.XLOOKUP(O2030,[1]AttributeName!$B:$B,[1]AttributeName!$D:$D),2,_xlfn.XLOOKUP(C2030,#REF!,#REF!),3,_xlfn.XLOOKUP(C2030,#REF!,#REF!)),0)</f>
        <v>2</v>
      </c>
      <c r="T2030" cm="1">
        <f t="array" ref="T2030">IFERROR(_xlfn.SWITCH(L2030,1,_xlfn.XLOOKUP(O2030,[1]AttributeName!$B:$B,[1]AttributeName!$E:$E),2,_xlfn.XLOOKUP(C2030,#REF!,#REF!),3,_xlfn.XLOOKUP(C2030,#REF!,#REF!)),0)</f>
        <v>2</v>
      </c>
    </row>
    <row r="2031" customFormat="1" spans="1:20">
      <c r="A2031">
        <f t="shared" si="82"/>
        <v>859</v>
      </c>
      <c r="B2031">
        <v>2</v>
      </c>
      <c r="C2031" s="14" t="s">
        <v>404</v>
      </c>
      <c r="D2031" t="s">
        <v>31</v>
      </c>
      <c r="E2031" s="13" t="s">
        <v>392</v>
      </c>
      <c r="F2031"/>
      <c r="G2031">
        <v>2</v>
      </c>
      <c r="H2031">
        <v>200</v>
      </c>
      <c r="I2031">
        <v>4</v>
      </c>
      <c r="J2031" cm="1">
        <f t="array" ref="J2031">_xlfn.SWITCH(B2031,1,75,2,61,3,49,4,37,5,25,6,13,7,4,8,1)</f>
        <v>61</v>
      </c>
      <c r="K2031" t="str" cm="1">
        <f t="array" ref="K2031">IFERROR(_xlfn.SWITCH(L2031,2,_xlfn.XLOOKUP(C2031,[1]ModifierDes!$B:$B,[1]ModifierDes!$C:$C),3,_xlfn.XLOOKUP(C2031,[1]StuntDes!$B:$B,[1]StuntDes!$C:$C)),"")</f>
        <v/>
      </c>
      <c r="L2031">
        <f t="shared" si="83"/>
        <v>1</v>
      </c>
      <c r="M2031" s="10" t="str">
        <f>IFERROR(_xlfn.XLOOKUP(C2031,[1]StuntDes!$B:$B,[1]StuntDes!$A:$A),"")</f>
        <v/>
      </c>
      <c r="N2031" s="10" t="str">
        <f>IFERROR(_xlfn.XLOOKUP(C2031,[1]ModifierDes!$B:$B,[1]ModifierDes!$A:$A),"")</f>
        <v/>
      </c>
      <c r="O2031" s="10">
        <f>IFERROR(_xlfn.XLOOKUP(C2031,[1]AttributeName!$C:$C,[1]AttributeName!$B:$B),"")</f>
        <v>10503</v>
      </c>
      <c r="P2031" s="10"/>
      <c r="Q2031">
        <v>0.26</v>
      </c>
      <c r="R2031">
        <v>0.29</v>
      </c>
      <c r="S2031" cm="1">
        <f t="array" ref="S2031">IFERROR(_xlfn.SWITCH(L2031,1,_xlfn.XLOOKUP(O2031,[1]AttributeName!$B:$B,[1]AttributeName!$D:$D),2,_xlfn.XLOOKUP(C2031,#REF!,#REF!),3,_xlfn.XLOOKUP(C2031,#REF!,#REF!)),0)</f>
        <v>2</v>
      </c>
      <c r="T2031" cm="1">
        <f t="array" ref="T2031">IFERROR(_xlfn.SWITCH(L2031,1,_xlfn.XLOOKUP(O2031,[1]AttributeName!$B:$B,[1]AttributeName!$E:$E),2,_xlfn.XLOOKUP(C2031,#REF!,#REF!),3,_xlfn.XLOOKUP(C2031,#REF!,#REF!)),0)</f>
        <v>2</v>
      </c>
    </row>
    <row r="2032" customFormat="1" spans="1:20">
      <c r="A2032">
        <f t="shared" si="82"/>
        <v>859</v>
      </c>
      <c r="B2032">
        <v>3</v>
      </c>
      <c r="C2032" s="14" t="s">
        <v>404</v>
      </c>
      <c r="D2032" t="s">
        <v>31</v>
      </c>
      <c r="E2032" s="13" t="s">
        <v>392</v>
      </c>
      <c r="F2032"/>
      <c r="G2032">
        <v>2</v>
      </c>
      <c r="H2032">
        <v>500</v>
      </c>
      <c r="I2032">
        <v>4</v>
      </c>
      <c r="J2032" cm="1">
        <f t="array" ref="J2032">_xlfn.SWITCH(B2032,1,75,2,61,3,49,4,37,5,25,6,13,7,4,8,1)</f>
        <v>49</v>
      </c>
      <c r="K2032" t="str" cm="1">
        <f t="array" ref="K2032">IFERROR(_xlfn.SWITCH(L2032,2,_xlfn.XLOOKUP(C2032,[1]ModifierDes!$B:$B,[1]ModifierDes!$C:$C),3,_xlfn.XLOOKUP(C2032,[1]StuntDes!$B:$B,[1]StuntDes!$C:$C)),"")</f>
        <v/>
      </c>
      <c r="L2032">
        <f t="shared" si="83"/>
        <v>1</v>
      </c>
      <c r="M2032" s="10" t="str">
        <f>IFERROR(_xlfn.XLOOKUP(C2032,[1]StuntDes!$B:$B,[1]StuntDes!$A:$A),"")</f>
        <v/>
      </c>
      <c r="N2032" s="10" t="str">
        <f>IFERROR(_xlfn.XLOOKUP(C2032,[1]ModifierDes!$B:$B,[1]ModifierDes!$A:$A),"")</f>
        <v/>
      </c>
      <c r="O2032" s="10">
        <f>IFERROR(_xlfn.XLOOKUP(C2032,[1]AttributeName!$C:$C,[1]AttributeName!$B:$B),"")</f>
        <v>10503</v>
      </c>
      <c r="P2032" s="10"/>
      <c r="Q2032">
        <v>0.22</v>
      </c>
      <c r="R2032">
        <v>0.25</v>
      </c>
      <c r="S2032" cm="1">
        <f t="array" ref="S2032">IFERROR(_xlfn.SWITCH(L2032,1,_xlfn.XLOOKUP(O2032,[1]AttributeName!$B:$B,[1]AttributeName!$D:$D),2,_xlfn.XLOOKUP(C2032,#REF!,#REF!),3,_xlfn.XLOOKUP(C2032,#REF!,#REF!)),0)</f>
        <v>2</v>
      </c>
      <c r="T2032" cm="1">
        <f t="array" ref="T2032">IFERROR(_xlfn.SWITCH(L2032,1,_xlfn.XLOOKUP(O2032,[1]AttributeName!$B:$B,[1]AttributeName!$E:$E),2,_xlfn.XLOOKUP(C2032,#REF!,#REF!),3,_xlfn.XLOOKUP(C2032,#REF!,#REF!)),0)</f>
        <v>2</v>
      </c>
    </row>
    <row r="2033" customFormat="1" spans="1:20">
      <c r="A2033">
        <f t="shared" si="82"/>
        <v>859</v>
      </c>
      <c r="B2033">
        <v>4</v>
      </c>
      <c r="C2033" s="14" t="s">
        <v>404</v>
      </c>
      <c r="D2033" t="s">
        <v>31</v>
      </c>
      <c r="E2033" s="13" t="s">
        <v>392</v>
      </c>
      <c r="F2033"/>
      <c r="G2033">
        <v>2</v>
      </c>
      <c r="H2033">
        <v>1000</v>
      </c>
      <c r="I2033">
        <v>4</v>
      </c>
      <c r="J2033" cm="1">
        <f t="array" ref="J2033">_xlfn.SWITCH(B2033,1,75,2,61,3,49,4,37,5,25,6,13,7,4,8,1)</f>
        <v>37</v>
      </c>
      <c r="K2033" t="str" cm="1">
        <f t="array" ref="K2033">IFERROR(_xlfn.SWITCH(L2033,2,_xlfn.XLOOKUP(C2033,[1]ModifierDes!$B:$B,[1]ModifierDes!$C:$C),3,_xlfn.XLOOKUP(C2033,[1]StuntDes!$B:$B,[1]StuntDes!$C:$C)),"")</f>
        <v/>
      </c>
      <c r="L2033">
        <f t="shared" si="83"/>
        <v>1</v>
      </c>
      <c r="M2033" s="10" t="str">
        <f>IFERROR(_xlfn.XLOOKUP(C2033,[1]StuntDes!$B:$B,[1]StuntDes!$A:$A),"")</f>
        <v/>
      </c>
      <c r="N2033" s="10" t="str">
        <f>IFERROR(_xlfn.XLOOKUP(C2033,[1]ModifierDes!$B:$B,[1]ModifierDes!$A:$A),"")</f>
        <v/>
      </c>
      <c r="O2033" s="10">
        <f>IFERROR(_xlfn.XLOOKUP(C2033,[1]AttributeName!$C:$C,[1]AttributeName!$B:$B),"")</f>
        <v>10503</v>
      </c>
      <c r="P2033" s="10"/>
      <c r="Q2033">
        <v>0.18</v>
      </c>
      <c r="R2033">
        <v>0.21</v>
      </c>
      <c r="S2033" cm="1">
        <f t="array" ref="S2033">IFERROR(_xlfn.SWITCH(L2033,1,_xlfn.XLOOKUP(O2033,[1]AttributeName!$B:$B,[1]AttributeName!$D:$D),2,_xlfn.XLOOKUP(C2033,#REF!,#REF!),3,_xlfn.XLOOKUP(C2033,#REF!,#REF!)),0)</f>
        <v>2</v>
      </c>
      <c r="T2033" cm="1">
        <f t="array" ref="T2033">IFERROR(_xlfn.SWITCH(L2033,1,_xlfn.XLOOKUP(O2033,[1]AttributeName!$B:$B,[1]AttributeName!$E:$E),2,_xlfn.XLOOKUP(C2033,#REF!,#REF!),3,_xlfn.XLOOKUP(C2033,#REF!,#REF!)),0)</f>
        <v>2</v>
      </c>
    </row>
    <row r="2034" customFormat="1" spans="1:20">
      <c r="A2034">
        <f t="shared" si="82"/>
        <v>859</v>
      </c>
      <c r="B2034">
        <v>5</v>
      </c>
      <c r="C2034" s="14" t="s">
        <v>404</v>
      </c>
      <c r="D2034" t="s">
        <v>31</v>
      </c>
      <c r="E2034" s="13" t="s">
        <v>392</v>
      </c>
      <c r="F2034"/>
      <c r="G2034">
        <v>2</v>
      </c>
      <c r="H2034">
        <v>1000</v>
      </c>
      <c r="I2034">
        <v>4</v>
      </c>
      <c r="J2034" cm="1">
        <f t="array" ref="J2034">_xlfn.SWITCH(B2034,1,75,2,61,3,49,4,37,5,25,6,13,7,4,8,1)</f>
        <v>25</v>
      </c>
      <c r="K2034" t="str" cm="1">
        <f t="array" ref="K2034">IFERROR(_xlfn.SWITCH(L2034,2,_xlfn.XLOOKUP(C2034,[1]ModifierDes!$B:$B,[1]ModifierDes!$C:$C),3,_xlfn.XLOOKUP(C2034,[1]StuntDes!$B:$B,[1]StuntDes!$C:$C)),"")</f>
        <v/>
      </c>
      <c r="L2034">
        <f t="shared" si="83"/>
        <v>1</v>
      </c>
      <c r="M2034" s="10" t="str">
        <f>IFERROR(_xlfn.XLOOKUP(C2034,[1]StuntDes!$B:$B,[1]StuntDes!$A:$A),"")</f>
        <v/>
      </c>
      <c r="N2034" s="10" t="str">
        <f>IFERROR(_xlfn.XLOOKUP(C2034,[1]ModifierDes!$B:$B,[1]ModifierDes!$A:$A),"")</f>
        <v/>
      </c>
      <c r="O2034" s="10">
        <f>IFERROR(_xlfn.XLOOKUP(C2034,[1]AttributeName!$C:$C,[1]AttributeName!$B:$B),"")</f>
        <v>10503</v>
      </c>
      <c r="P2034" s="10"/>
      <c r="Q2034">
        <v>0.14</v>
      </c>
      <c r="R2034">
        <v>0.17</v>
      </c>
      <c r="S2034" cm="1">
        <f t="array" ref="S2034">IFERROR(_xlfn.SWITCH(L2034,1,_xlfn.XLOOKUP(O2034,[1]AttributeName!$B:$B,[1]AttributeName!$D:$D),2,_xlfn.XLOOKUP(C2034,#REF!,#REF!),3,_xlfn.XLOOKUP(C2034,#REF!,#REF!)),0)</f>
        <v>2</v>
      </c>
      <c r="T2034" cm="1">
        <f t="array" ref="T2034">IFERROR(_xlfn.SWITCH(L2034,1,_xlfn.XLOOKUP(O2034,[1]AttributeName!$B:$B,[1]AttributeName!$E:$E),2,_xlfn.XLOOKUP(C2034,#REF!,#REF!),3,_xlfn.XLOOKUP(C2034,#REF!,#REF!)),0)</f>
        <v>2</v>
      </c>
    </row>
    <row r="2035" customFormat="1" spans="1:20">
      <c r="A2035">
        <f t="shared" si="82"/>
        <v>859</v>
      </c>
      <c r="B2035">
        <v>6</v>
      </c>
      <c r="C2035" s="14" t="s">
        <v>404</v>
      </c>
      <c r="D2035" t="s">
        <v>31</v>
      </c>
      <c r="E2035" s="13" t="s">
        <v>392</v>
      </c>
      <c r="F2035"/>
      <c r="G2035">
        <v>2</v>
      </c>
      <c r="H2035">
        <v>1000</v>
      </c>
      <c r="I2035">
        <v>4</v>
      </c>
      <c r="J2035" cm="1">
        <f t="array" ref="J2035">_xlfn.SWITCH(B2035,1,75,2,61,3,49,4,37,5,25,6,13,7,4,8,1)</f>
        <v>13</v>
      </c>
      <c r="K2035" t="str" cm="1">
        <f t="array" ref="K2035">IFERROR(_xlfn.SWITCH(L2035,2,_xlfn.XLOOKUP(C2035,[1]ModifierDes!$B:$B,[1]ModifierDes!$C:$C),3,_xlfn.XLOOKUP(C2035,[1]StuntDes!$B:$B,[1]StuntDes!$C:$C)),"")</f>
        <v/>
      </c>
      <c r="L2035">
        <f t="shared" si="83"/>
        <v>1</v>
      </c>
      <c r="M2035" s="10" t="str">
        <f>IFERROR(_xlfn.XLOOKUP(C2035,[1]StuntDes!$B:$B,[1]StuntDes!$A:$A),"")</f>
        <v/>
      </c>
      <c r="N2035" s="10" t="str">
        <f>IFERROR(_xlfn.XLOOKUP(C2035,[1]ModifierDes!$B:$B,[1]ModifierDes!$A:$A),"")</f>
        <v/>
      </c>
      <c r="O2035" s="10">
        <f>IFERROR(_xlfn.XLOOKUP(C2035,[1]AttributeName!$C:$C,[1]AttributeName!$B:$B),"")</f>
        <v>10503</v>
      </c>
      <c r="P2035" s="10"/>
      <c r="Q2035">
        <v>0.1</v>
      </c>
      <c r="R2035">
        <v>0.13</v>
      </c>
      <c r="S2035" cm="1">
        <f t="array" ref="S2035">IFERROR(_xlfn.SWITCH(L2035,1,_xlfn.XLOOKUP(O2035,[1]AttributeName!$B:$B,[1]AttributeName!$D:$D),2,_xlfn.XLOOKUP(C2035,#REF!,#REF!),3,_xlfn.XLOOKUP(C2035,#REF!,#REF!)),0)</f>
        <v>2</v>
      </c>
      <c r="T2035" cm="1">
        <f t="array" ref="T2035">IFERROR(_xlfn.SWITCH(L2035,1,_xlfn.XLOOKUP(O2035,[1]AttributeName!$B:$B,[1]AttributeName!$E:$E),2,_xlfn.XLOOKUP(C2035,#REF!,#REF!),3,_xlfn.XLOOKUP(C2035,#REF!,#REF!)),0)</f>
        <v>2</v>
      </c>
    </row>
    <row r="2036" customFormat="1" spans="1:20">
      <c r="A2036">
        <f t="shared" si="82"/>
        <v>859</v>
      </c>
      <c r="B2036">
        <v>7</v>
      </c>
      <c r="C2036" s="14" t="s">
        <v>404</v>
      </c>
      <c r="D2036" t="s">
        <v>31</v>
      </c>
      <c r="E2036" s="13" t="s">
        <v>392</v>
      </c>
      <c r="F2036"/>
      <c r="G2036">
        <v>2</v>
      </c>
      <c r="H2036">
        <v>1000</v>
      </c>
      <c r="I2036">
        <v>4</v>
      </c>
      <c r="J2036" cm="1">
        <f t="array" ref="J2036">_xlfn.SWITCH(B2036,1,75,2,61,3,49,4,37,5,25,6,13,7,4,8,1)</f>
        <v>4</v>
      </c>
      <c r="K2036" t="str" cm="1">
        <f t="array" ref="K2036">IFERROR(_xlfn.SWITCH(L2036,2,_xlfn.XLOOKUP(C2036,[1]ModifierDes!$B:$B,[1]ModifierDes!$C:$C),3,_xlfn.XLOOKUP(C2036,[1]StuntDes!$B:$B,[1]StuntDes!$C:$C)),"")</f>
        <v/>
      </c>
      <c r="L2036">
        <f t="shared" si="83"/>
        <v>1</v>
      </c>
      <c r="M2036" s="10" t="str">
        <f>IFERROR(_xlfn.XLOOKUP(C2036,[1]StuntDes!$B:$B,[1]StuntDes!$A:$A),"")</f>
        <v/>
      </c>
      <c r="N2036" s="10" t="str">
        <f>IFERROR(_xlfn.XLOOKUP(C2036,[1]ModifierDes!$B:$B,[1]ModifierDes!$A:$A),"")</f>
        <v/>
      </c>
      <c r="O2036" s="10">
        <f>IFERROR(_xlfn.XLOOKUP(C2036,[1]AttributeName!$C:$C,[1]AttributeName!$B:$B),"")</f>
        <v>10503</v>
      </c>
      <c r="P2036" s="10"/>
      <c r="Q2036">
        <v>0.06</v>
      </c>
      <c r="R2036">
        <v>0.09</v>
      </c>
      <c r="S2036" cm="1">
        <f t="array" ref="S2036">IFERROR(_xlfn.SWITCH(L2036,1,_xlfn.XLOOKUP(O2036,[1]AttributeName!$B:$B,[1]AttributeName!$D:$D),2,_xlfn.XLOOKUP(C2036,#REF!,#REF!),3,_xlfn.XLOOKUP(C2036,#REF!,#REF!)),0)</f>
        <v>2</v>
      </c>
      <c r="T2036" cm="1">
        <f t="array" ref="T2036">IFERROR(_xlfn.SWITCH(L2036,1,_xlfn.XLOOKUP(O2036,[1]AttributeName!$B:$B,[1]AttributeName!$E:$E),2,_xlfn.XLOOKUP(C2036,#REF!,#REF!),3,_xlfn.XLOOKUP(C2036,#REF!,#REF!)),0)</f>
        <v>2</v>
      </c>
    </row>
    <row r="2037" customFormat="1" spans="1:20">
      <c r="A2037">
        <f t="shared" si="82"/>
        <v>859</v>
      </c>
      <c r="B2037">
        <v>8</v>
      </c>
      <c r="C2037" s="14" t="s">
        <v>404</v>
      </c>
      <c r="D2037" t="s">
        <v>31</v>
      </c>
      <c r="E2037" s="13" t="s">
        <v>392</v>
      </c>
      <c r="F2037"/>
      <c r="G2037">
        <v>2</v>
      </c>
      <c r="H2037">
        <v>1000</v>
      </c>
      <c r="I2037">
        <v>4</v>
      </c>
      <c r="J2037" cm="1">
        <f t="array" ref="J2037">_xlfn.SWITCH(B2037,1,75,2,61,3,49,4,37,5,25,6,13,7,4,8,1)</f>
        <v>1</v>
      </c>
      <c r="K2037" t="str" cm="1">
        <f t="array" ref="K2037">IFERROR(_xlfn.SWITCH(L2037,2,_xlfn.XLOOKUP(C2037,[1]ModifierDes!$B:$B,[1]ModifierDes!$C:$C),3,_xlfn.XLOOKUP(C2037,[1]StuntDes!$B:$B,[1]StuntDes!$C:$C)),"")</f>
        <v/>
      </c>
      <c r="L2037">
        <f t="shared" si="83"/>
        <v>1</v>
      </c>
      <c r="M2037" s="10" t="str">
        <f>IFERROR(_xlfn.XLOOKUP(C2037,[1]StuntDes!$B:$B,[1]StuntDes!$A:$A),"")</f>
        <v/>
      </c>
      <c r="N2037" s="10" t="str">
        <f>IFERROR(_xlfn.XLOOKUP(C2037,[1]ModifierDes!$B:$B,[1]ModifierDes!$A:$A),"")</f>
        <v/>
      </c>
      <c r="O2037" s="10">
        <f>IFERROR(_xlfn.XLOOKUP(C2037,[1]AttributeName!$C:$C,[1]AttributeName!$B:$B),"")</f>
        <v>10503</v>
      </c>
      <c r="P2037" s="10"/>
      <c r="Q2037">
        <v>0.02</v>
      </c>
      <c r="R2037">
        <v>0.05</v>
      </c>
      <c r="S2037" cm="1">
        <f t="array" ref="S2037">IFERROR(_xlfn.SWITCH(L2037,1,_xlfn.XLOOKUP(O2037,[1]AttributeName!$B:$B,[1]AttributeName!$D:$D),2,_xlfn.XLOOKUP(C2037,#REF!,#REF!),3,_xlfn.XLOOKUP(C2037,#REF!,#REF!)),0)</f>
        <v>2</v>
      </c>
      <c r="T2037" cm="1">
        <f t="array" ref="T2037">IFERROR(_xlfn.SWITCH(L2037,1,_xlfn.XLOOKUP(O2037,[1]AttributeName!$B:$B,[1]AttributeName!$E:$E),2,_xlfn.XLOOKUP(C2037,#REF!,#REF!),3,_xlfn.XLOOKUP(C2037,#REF!,#REF!)),0)</f>
        <v>2</v>
      </c>
    </row>
    <row r="2038" customFormat="1" spans="1:20">
      <c r="A2038">
        <f t="shared" si="82"/>
        <v>860</v>
      </c>
      <c r="B2038">
        <v>1</v>
      </c>
      <c r="C2038" s="14" t="s">
        <v>405</v>
      </c>
      <c r="D2038" t="s">
        <v>31</v>
      </c>
      <c r="E2038" s="13" t="s">
        <v>392</v>
      </c>
      <c r="F2038"/>
      <c r="G2038">
        <v>2</v>
      </c>
      <c r="H2038">
        <v>100</v>
      </c>
      <c r="I2038">
        <v>4</v>
      </c>
      <c r="J2038" cm="1">
        <f t="array" ref="J2038">_xlfn.SWITCH(B2038,1,75,2,61,3,49,4,37,5,25,6,13,7,4,8,1)</f>
        <v>75</v>
      </c>
      <c r="K2038" t="str" cm="1">
        <f t="array" ref="K2038">IFERROR(_xlfn.SWITCH(L2038,2,_xlfn.XLOOKUP(C2038,[1]ModifierDes!$B:$B,[1]ModifierDes!$C:$C),3,_xlfn.XLOOKUP(C2038,[1]StuntDes!$B:$B,[1]StuntDes!$C:$C)),"")</f>
        <v/>
      </c>
      <c r="L2038">
        <f t="shared" si="83"/>
        <v>1</v>
      </c>
      <c r="M2038" s="10" t="str">
        <f>IFERROR(_xlfn.XLOOKUP(C2038,[1]StuntDes!$B:$B,[1]StuntDes!$A:$A),"")</f>
        <v/>
      </c>
      <c r="N2038" s="10" t="str">
        <f>IFERROR(_xlfn.XLOOKUP(C2038,[1]ModifierDes!$B:$B,[1]ModifierDes!$A:$A),"")</f>
        <v/>
      </c>
      <c r="O2038" s="10">
        <f>IFERROR(_xlfn.XLOOKUP(C2038,[1]AttributeName!$C:$C,[1]AttributeName!$B:$B),"")</f>
        <v>10504</v>
      </c>
      <c r="P2038" s="10"/>
      <c r="Q2038">
        <v>0.3</v>
      </c>
      <c r="R2038">
        <v>0.4</v>
      </c>
      <c r="S2038" cm="1">
        <f t="array" ref="S2038">IFERROR(_xlfn.SWITCH(L2038,1,_xlfn.XLOOKUP(O2038,[1]AttributeName!$B:$B,[1]AttributeName!$D:$D),2,_xlfn.XLOOKUP(C2038,#REF!,#REF!),3,_xlfn.XLOOKUP(C2038,#REF!,#REF!)),0)</f>
        <v>2</v>
      </c>
      <c r="T2038" cm="1">
        <f t="array" ref="T2038">IFERROR(_xlfn.SWITCH(L2038,1,_xlfn.XLOOKUP(O2038,[1]AttributeName!$B:$B,[1]AttributeName!$E:$E),2,_xlfn.XLOOKUP(C2038,#REF!,#REF!),3,_xlfn.XLOOKUP(C2038,#REF!,#REF!)),0)</f>
        <v>2</v>
      </c>
    </row>
    <row r="2039" customFormat="1" spans="1:20">
      <c r="A2039">
        <f t="shared" si="82"/>
        <v>860</v>
      </c>
      <c r="B2039">
        <v>2</v>
      </c>
      <c r="C2039" s="14" t="s">
        <v>405</v>
      </c>
      <c r="D2039" t="s">
        <v>31</v>
      </c>
      <c r="E2039" s="13" t="s">
        <v>392</v>
      </c>
      <c r="F2039"/>
      <c r="G2039">
        <v>2</v>
      </c>
      <c r="H2039">
        <v>200</v>
      </c>
      <c r="I2039">
        <v>4</v>
      </c>
      <c r="J2039" cm="1">
        <f t="array" ref="J2039">_xlfn.SWITCH(B2039,1,75,2,61,3,49,4,37,5,25,6,13,7,4,8,1)</f>
        <v>61</v>
      </c>
      <c r="K2039" t="str" cm="1">
        <f t="array" ref="K2039">IFERROR(_xlfn.SWITCH(L2039,2,_xlfn.XLOOKUP(C2039,[1]ModifierDes!$B:$B,[1]ModifierDes!$C:$C),3,_xlfn.XLOOKUP(C2039,[1]StuntDes!$B:$B,[1]StuntDes!$C:$C)),"")</f>
        <v/>
      </c>
      <c r="L2039">
        <f t="shared" si="83"/>
        <v>1</v>
      </c>
      <c r="M2039" s="10" t="str">
        <f>IFERROR(_xlfn.XLOOKUP(C2039,[1]StuntDes!$B:$B,[1]StuntDes!$A:$A),"")</f>
        <v/>
      </c>
      <c r="N2039" s="10" t="str">
        <f>IFERROR(_xlfn.XLOOKUP(C2039,[1]ModifierDes!$B:$B,[1]ModifierDes!$A:$A),"")</f>
        <v/>
      </c>
      <c r="O2039" s="10">
        <f>IFERROR(_xlfn.XLOOKUP(C2039,[1]AttributeName!$C:$C,[1]AttributeName!$B:$B),"")</f>
        <v>10504</v>
      </c>
      <c r="P2039" s="10"/>
      <c r="Q2039">
        <v>0.26</v>
      </c>
      <c r="R2039">
        <v>0.29</v>
      </c>
      <c r="S2039" cm="1">
        <f t="array" ref="S2039">IFERROR(_xlfn.SWITCH(L2039,1,_xlfn.XLOOKUP(O2039,[1]AttributeName!$B:$B,[1]AttributeName!$D:$D),2,_xlfn.XLOOKUP(C2039,#REF!,#REF!),3,_xlfn.XLOOKUP(C2039,#REF!,#REF!)),0)</f>
        <v>2</v>
      </c>
      <c r="T2039" cm="1">
        <f t="array" ref="T2039">IFERROR(_xlfn.SWITCH(L2039,1,_xlfn.XLOOKUP(O2039,[1]AttributeName!$B:$B,[1]AttributeName!$E:$E),2,_xlfn.XLOOKUP(C2039,#REF!,#REF!),3,_xlfn.XLOOKUP(C2039,#REF!,#REF!)),0)</f>
        <v>2</v>
      </c>
    </row>
    <row r="2040" customFormat="1" spans="1:20">
      <c r="A2040">
        <f t="shared" si="82"/>
        <v>860</v>
      </c>
      <c r="B2040">
        <v>3</v>
      </c>
      <c r="C2040" s="14" t="s">
        <v>405</v>
      </c>
      <c r="D2040" t="s">
        <v>31</v>
      </c>
      <c r="E2040" s="13" t="s">
        <v>392</v>
      </c>
      <c r="F2040"/>
      <c r="G2040">
        <v>2</v>
      </c>
      <c r="H2040">
        <v>500</v>
      </c>
      <c r="I2040">
        <v>4</v>
      </c>
      <c r="J2040" cm="1">
        <f t="array" ref="J2040">_xlfn.SWITCH(B2040,1,75,2,61,3,49,4,37,5,25,6,13,7,4,8,1)</f>
        <v>49</v>
      </c>
      <c r="K2040" t="str" cm="1">
        <f t="array" ref="K2040">IFERROR(_xlfn.SWITCH(L2040,2,_xlfn.XLOOKUP(C2040,[1]ModifierDes!$B:$B,[1]ModifierDes!$C:$C),3,_xlfn.XLOOKUP(C2040,[1]StuntDes!$B:$B,[1]StuntDes!$C:$C)),"")</f>
        <v/>
      </c>
      <c r="L2040">
        <f t="shared" si="83"/>
        <v>1</v>
      </c>
      <c r="M2040" s="10" t="str">
        <f>IFERROR(_xlfn.XLOOKUP(C2040,[1]StuntDes!$B:$B,[1]StuntDes!$A:$A),"")</f>
        <v/>
      </c>
      <c r="N2040" s="10" t="str">
        <f>IFERROR(_xlfn.XLOOKUP(C2040,[1]ModifierDes!$B:$B,[1]ModifierDes!$A:$A),"")</f>
        <v/>
      </c>
      <c r="O2040" s="10">
        <f>IFERROR(_xlfn.XLOOKUP(C2040,[1]AttributeName!$C:$C,[1]AttributeName!$B:$B),"")</f>
        <v>10504</v>
      </c>
      <c r="P2040" s="10"/>
      <c r="Q2040">
        <v>0.22</v>
      </c>
      <c r="R2040">
        <v>0.25</v>
      </c>
      <c r="S2040" cm="1">
        <f t="array" ref="S2040">IFERROR(_xlfn.SWITCH(L2040,1,_xlfn.XLOOKUP(O2040,[1]AttributeName!$B:$B,[1]AttributeName!$D:$D),2,_xlfn.XLOOKUP(C2040,#REF!,#REF!),3,_xlfn.XLOOKUP(C2040,#REF!,#REF!)),0)</f>
        <v>2</v>
      </c>
      <c r="T2040" cm="1">
        <f t="array" ref="T2040">IFERROR(_xlfn.SWITCH(L2040,1,_xlfn.XLOOKUP(O2040,[1]AttributeName!$B:$B,[1]AttributeName!$E:$E),2,_xlfn.XLOOKUP(C2040,#REF!,#REF!),3,_xlfn.XLOOKUP(C2040,#REF!,#REF!)),0)</f>
        <v>2</v>
      </c>
    </row>
    <row r="2041" customFormat="1" spans="1:20">
      <c r="A2041">
        <f t="shared" si="82"/>
        <v>860</v>
      </c>
      <c r="B2041">
        <v>4</v>
      </c>
      <c r="C2041" s="14" t="s">
        <v>405</v>
      </c>
      <c r="D2041" t="s">
        <v>31</v>
      </c>
      <c r="E2041" s="13" t="s">
        <v>392</v>
      </c>
      <c r="F2041"/>
      <c r="G2041">
        <v>2</v>
      </c>
      <c r="H2041">
        <v>1000</v>
      </c>
      <c r="I2041">
        <v>4</v>
      </c>
      <c r="J2041" cm="1">
        <f t="array" ref="J2041">_xlfn.SWITCH(B2041,1,75,2,61,3,49,4,37,5,25,6,13,7,4,8,1)</f>
        <v>37</v>
      </c>
      <c r="K2041" t="str" cm="1">
        <f t="array" ref="K2041">IFERROR(_xlfn.SWITCH(L2041,2,_xlfn.XLOOKUP(C2041,[1]ModifierDes!$B:$B,[1]ModifierDes!$C:$C),3,_xlfn.XLOOKUP(C2041,[1]StuntDes!$B:$B,[1]StuntDes!$C:$C)),"")</f>
        <v/>
      </c>
      <c r="L2041">
        <f t="shared" si="83"/>
        <v>1</v>
      </c>
      <c r="M2041" s="10" t="str">
        <f>IFERROR(_xlfn.XLOOKUP(C2041,[1]StuntDes!$B:$B,[1]StuntDes!$A:$A),"")</f>
        <v/>
      </c>
      <c r="N2041" s="10" t="str">
        <f>IFERROR(_xlfn.XLOOKUP(C2041,[1]ModifierDes!$B:$B,[1]ModifierDes!$A:$A),"")</f>
        <v/>
      </c>
      <c r="O2041" s="10">
        <f>IFERROR(_xlfn.XLOOKUP(C2041,[1]AttributeName!$C:$C,[1]AttributeName!$B:$B),"")</f>
        <v>10504</v>
      </c>
      <c r="P2041" s="10"/>
      <c r="Q2041">
        <v>0.18</v>
      </c>
      <c r="R2041">
        <v>0.21</v>
      </c>
      <c r="S2041" cm="1">
        <f t="array" ref="S2041">IFERROR(_xlfn.SWITCH(L2041,1,_xlfn.XLOOKUP(O2041,[1]AttributeName!$B:$B,[1]AttributeName!$D:$D),2,_xlfn.XLOOKUP(C2041,#REF!,#REF!),3,_xlfn.XLOOKUP(C2041,#REF!,#REF!)),0)</f>
        <v>2</v>
      </c>
      <c r="T2041" cm="1">
        <f t="array" ref="T2041">IFERROR(_xlfn.SWITCH(L2041,1,_xlfn.XLOOKUP(O2041,[1]AttributeName!$B:$B,[1]AttributeName!$E:$E),2,_xlfn.XLOOKUP(C2041,#REF!,#REF!),3,_xlfn.XLOOKUP(C2041,#REF!,#REF!)),0)</f>
        <v>2</v>
      </c>
    </row>
    <row r="2042" customFormat="1" spans="1:20">
      <c r="A2042">
        <f t="shared" si="82"/>
        <v>860</v>
      </c>
      <c r="B2042">
        <v>5</v>
      </c>
      <c r="C2042" s="14" t="s">
        <v>405</v>
      </c>
      <c r="D2042" t="s">
        <v>31</v>
      </c>
      <c r="E2042" s="13" t="s">
        <v>392</v>
      </c>
      <c r="F2042"/>
      <c r="G2042">
        <v>2</v>
      </c>
      <c r="H2042">
        <v>1000</v>
      </c>
      <c r="I2042">
        <v>4</v>
      </c>
      <c r="J2042" cm="1">
        <f t="array" ref="J2042">_xlfn.SWITCH(B2042,1,75,2,61,3,49,4,37,5,25,6,13,7,4,8,1)</f>
        <v>25</v>
      </c>
      <c r="K2042" t="str" cm="1">
        <f t="array" ref="K2042">IFERROR(_xlfn.SWITCH(L2042,2,_xlfn.XLOOKUP(C2042,[1]ModifierDes!$B:$B,[1]ModifierDes!$C:$C),3,_xlfn.XLOOKUP(C2042,[1]StuntDes!$B:$B,[1]StuntDes!$C:$C)),"")</f>
        <v/>
      </c>
      <c r="L2042">
        <f t="shared" si="83"/>
        <v>1</v>
      </c>
      <c r="M2042" s="10" t="str">
        <f>IFERROR(_xlfn.XLOOKUP(C2042,[1]StuntDes!$B:$B,[1]StuntDes!$A:$A),"")</f>
        <v/>
      </c>
      <c r="N2042" s="10" t="str">
        <f>IFERROR(_xlfn.XLOOKUP(C2042,[1]ModifierDes!$B:$B,[1]ModifierDes!$A:$A),"")</f>
        <v/>
      </c>
      <c r="O2042" s="10">
        <f>IFERROR(_xlfn.XLOOKUP(C2042,[1]AttributeName!$C:$C,[1]AttributeName!$B:$B),"")</f>
        <v>10504</v>
      </c>
      <c r="P2042" s="10"/>
      <c r="Q2042">
        <v>0.14</v>
      </c>
      <c r="R2042">
        <v>0.17</v>
      </c>
      <c r="S2042" cm="1">
        <f t="array" ref="S2042">IFERROR(_xlfn.SWITCH(L2042,1,_xlfn.XLOOKUP(O2042,[1]AttributeName!$B:$B,[1]AttributeName!$D:$D),2,_xlfn.XLOOKUP(C2042,#REF!,#REF!),3,_xlfn.XLOOKUP(C2042,#REF!,#REF!)),0)</f>
        <v>2</v>
      </c>
      <c r="T2042" cm="1">
        <f t="array" ref="T2042">IFERROR(_xlfn.SWITCH(L2042,1,_xlfn.XLOOKUP(O2042,[1]AttributeName!$B:$B,[1]AttributeName!$E:$E),2,_xlfn.XLOOKUP(C2042,#REF!,#REF!),3,_xlfn.XLOOKUP(C2042,#REF!,#REF!)),0)</f>
        <v>2</v>
      </c>
    </row>
    <row r="2043" customFormat="1" spans="1:20">
      <c r="A2043">
        <f t="shared" si="82"/>
        <v>860</v>
      </c>
      <c r="B2043">
        <v>6</v>
      </c>
      <c r="C2043" s="14" t="s">
        <v>405</v>
      </c>
      <c r="D2043" t="s">
        <v>31</v>
      </c>
      <c r="E2043" s="13" t="s">
        <v>392</v>
      </c>
      <c r="F2043"/>
      <c r="G2043">
        <v>2</v>
      </c>
      <c r="H2043">
        <v>1000</v>
      </c>
      <c r="I2043">
        <v>4</v>
      </c>
      <c r="J2043" cm="1">
        <f t="array" ref="J2043">_xlfn.SWITCH(B2043,1,75,2,61,3,49,4,37,5,25,6,13,7,4,8,1)</f>
        <v>13</v>
      </c>
      <c r="K2043" t="str" cm="1">
        <f t="array" ref="K2043">IFERROR(_xlfn.SWITCH(L2043,2,_xlfn.XLOOKUP(C2043,[1]ModifierDes!$B:$B,[1]ModifierDes!$C:$C),3,_xlfn.XLOOKUP(C2043,[1]StuntDes!$B:$B,[1]StuntDes!$C:$C)),"")</f>
        <v/>
      </c>
      <c r="L2043">
        <f t="shared" si="83"/>
        <v>1</v>
      </c>
      <c r="M2043" s="10" t="str">
        <f>IFERROR(_xlfn.XLOOKUP(C2043,[1]StuntDes!$B:$B,[1]StuntDes!$A:$A),"")</f>
        <v/>
      </c>
      <c r="N2043" s="10" t="str">
        <f>IFERROR(_xlfn.XLOOKUP(C2043,[1]ModifierDes!$B:$B,[1]ModifierDes!$A:$A),"")</f>
        <v/>
      </c>
      <c r="O2043" s="10">
        <f>IFERROR(_xlfn.XLOOKUP(C2043,[1]AttributeName!$C:$C,[1]AttributeName!$B:$B),"")</f>
        <v>10504</v>
      </c>
      <c r="P2043" s="10"/>
      <c r="Q2043">
        <v>0.1</v>
      </c>
      <c r="R2043">
        <v>0.13</v>
      </c>
      <c r="S2043" cm="1">
        <f t="array" ref="S2043">IFERROR(_xlfn.SWITCH(L2043,1,_xlfn.XLOOKUP(O2043,[1]AttributeName!$B:$B,[1]AttributeName!$D:$D),2,_xlfn.XLOOKUP(C2043,#REF!,#REF!),3,_xlfn.XLOOKUP(C2043,#REF!,#REF!)),0)</f>
        <v>2</v>
      </c>
      <c r="T2043" cm="1">
        <f t="array" ref="T2043">IFERROR(_xlfn.SWITCH(L2043,1,_xlfn.XLOOKUP(O2043,[1]AttributeName!$B:$B,[1]AttributeName!$E:$E),2,_xlfn.XLOOKUP(C2043,#REF!,#REF!),3,_xlfn.XLOOKUP(C2043,#REF!,#REF!)),0)</f>
        <v>2</v>
      </c>
    </row>
    <row r="2044" customFormat="1" spans="1:20">
      <c r="A2044">
        <f t="shared" si="82"/>
        <v>860</v>
      </c>
      <c r="B2044">
        <v>7</v>
      </c>
      <c r="C2044" s="14" t="s">
        <v>405</v>
      </c>
      <c r="D2044" t="s">
        <v>31</v>
      </c>
      <c r="E2044" s="13" t="s">
        <v>392</v>
      </c>
      <c r="F2044"/>
      <c r="G2044">
        <v>2</v>
      </c>
      <c r="H2044">
        <v>1000</v>
      </c>
      <c r="I2044">
        <v>4</v>
      </c>
      <c r="J2044" cm="1">
        <f t="array" ref="J2044">_xlfn.SWITCH(B2044,1,75,2,61,3,49,4,37,5,25,6,13,7,4,8,1)</f>
        <v>4</v>
      </c>
      <c r="K2044" t="str" cm="1">
        <f t="array" ref="K2044">IFERROR(_xlfn.SWITCH(L2044,2,_xlfn.XLOOKUP(C2044,[1]ModifierDes!$B:$B,[1]ModifierDes!$C:$C),3,_xlfn.XLOOKUP(C2044,[1]StuntDes!$B:$B,[1]StuntDes!$C:$C)),"")</f>
        <v/>
      </c>
      <c r="L2044">
        <f t="shared" si="83"/>
        <v>1</v>
      </c>
      <c r="M2044" s="10" t="str">
        <f>IFERROR(_xlfn.XLOOKUP(C2044,[1]StuntDes!$B:$B,[1]StuntDes!$A:$A),"")</f>
        <v/>
      </c>
      <c r="N2044" s="10" t="str">
        <f>IFERROR(_xlfn.XLOOKUP(C2044,[1]ModifierDes!$B:$B,[1]ModifierDes!$A:$A),"")</f>
        <v/>
      </c>
      <c r="O2044" s="10">
        <f>IFERROR(_xlfn.XLOOKUP(C2044,[1]AttributeName!$C:$C,[1]AttributeName!$B:$B),"")</f>
        <v>10504</v>
      </c>
      <c r="P2044" s="10"/>
      <c r="Q2044">
        <v>0.06</v>
      </c>
      <c r="R2044">
        <v>0.09</v>
      </c>
      <c r="S2044" cm="1">
        <f t="array" ref="S2044">IFERROR(_xlfn.SWITCH(L2044,1,_xlfn.XLOOKUP(O2044,[1]AttributeName!$B:$B,[1]AttributeName!$D:$D),2,_xlfn.XLOOKUP(C2044,#REF!,#REF!),3,_xlfn.XLOOKUP(C2044,#REF!,#REF!)),0)</f>
        <v>2</v>
      </c>
      <c r="T2044" cm="1">
        <f t="array" ref="T2044">IFERROR(_xlfn.SWITCH(L2044,1,_xlfn.XLOOKUP(O2044,[1]AttributeName!$B:$B,[1]AttributeName!$E:$E),2,_xlfn.XLOOKUP(C2044,#REF!,#REF!),3,_xlfn.XLOOKUP(C2044,#REF!,#REF!)),0)</f>
        <v>2</v>
      </c>
    </row>
    <row r="2045" customFormat="1" spans="1:20">
      <c r="A2045">
        <f t="shared" si="82"/>
        <v>860</v>
      </c>
      <c r="B2045">
        <v>8</v>
      </c>
      <c r="C2045" s="14" t="s">
        <v>405</v>
      </c>
      <c r="D2045" t="s">
        <v>31</v>
      </c>
      <c r="E2045" s="13" t="s">
        <v>392</v>
      </c>
      <c r="F2045"/>
      <c r="G2045">
        <v>2</v>
      </c>
      <c r="H2045">
        <v>1000</v>
      </c>
      <c r="I2045">
        <v>4</v>
      </c>
      <c r="J2045" cm="1">
        <f t="array" ref="J2045">_xlfn.SWITCH(B2045,1,75,2,61,3,49,4,37,5,25,6,13,7,4,8,1)</f>
        <v>1</v>
      </c>
      <c r="K2045" t="str" cm="1">
        <f t="array" ref="K2045">IFERROR(_xlfn.SWITCH(L2045,2,_xlfn.XLOOKUP(C2045,[1]ModifierDes!$B:$B,[1]ModifierDes!$C:$C),3,_xlfn.XLOOKUP(C2045,[1]StuntDes!$B:$B,[1]StuntDes!$C:$C)),"")</f>
        <v/>
      </c>
      <c r="L2045">
        <f t="shared" si="83"/>
        <v>1</v>
      </c>
      <c r="M2045" s="10" t="str">
        <f>IFERROR(_xlfn.XLOOKUP(C2045,[1]StuntDes!$B:$B,[1]StuntDes!$A:$A),"")</f>
        <v/>
      </c>
      <c r="N2045" s="10" t="str">
        <f>IFERROR(_xlfn.XLOOKUP(C2045,[1]ModifierDes!$B:$B,[1]ModifierDes!$A:$A),"")</f>
        <v/>
      </c>
      <c r="O2045" s="10">
        <f>IFERROR(_xlfn.XLOOKUP(C2045,[1]AttributeName!$C:$C,[1]AttributeName!$B:$B),"")</f>
        <v>10504</v>
      </c>
      <c r="P2045" s="10"/>
      <c r="Q2045">
        <v>0.02</v>
      </c>
      <c r="R2045">
        <v>0.05</v>
      </c>
      <c r="S2045" cm="1">
        <f t="array" ref="S2045">IFERROR(_xlfn.SWITCH(L2045,1,_xlfn.XLOOKUP(O2045,[1]AttributeName!$B:$B,[1]AttributeName!$D:$D),2,_xlfn.XLOOKUP(C2045,#REF!,#REF!),3,_xlfn.XLOOKUP(C2045,#REF!,#REF!)),0)</f>
        <v>2</v>
      </c>
      <c r="T2045" cm="1">
        <f t="array" ref="T2045">IFERROR(_xlfn.SWITCH(L2045,1,_xlfn.XLOOKUP(O2045,[1]AttributeName!$B:$B,[1]AttributeName!$E:$E),2,_xlfn.XLOOKUP(C2045,#REF!,#REF!),3,_xlfn.XLOOKUP(C2045,#REF!,#REF!)),0)</f>
        <v>2</v>
      </c>
    </row>
    <row r="2046" customFormat="1" spans="1:20">
      <c r="A2046">
        <f t="shared" ref="A2046:A2054" si="84">A2038+1</f>
        <v>861</v>
      </c>
      <c r="B2046">
        <v>1</v>
      </c>
      <c r="C2046" t="s">
        <v>438</v>
      </c>
      <c r="D2046" t="s">
        <v>31</v>
      </c>
      <c r="E2046" s="13" t="s">
        <v>392</v>
      </c>
      <c r="F2046"/>
      <c r="G2046">
        <v>2</v>
      </c>
      <c r="H2046">
        <v>250</v>
      </c>
      <c r="J2046" cm="1">
        <f t="array" ref="J2046">_xlfn.SWITCH(B2046,1,75,2,61,3,49,4,37,5,25,6,13,7,4,8,1)</f>
        <v>75</v>
      </c>
      <c r="K2046" t="str" cm="1">
        <f t="array" ref="K2046">IFERROR(_xlfn.SWITCH(L2046,2,_xlfn.XLOOKUP(C2046,[1]ModifierDes!$B:$B,[1]ModifierDes!$C:$C),3,_xlfn.XLOOKUP(C2046,[1]StuntDes!$B:$B,[1]StuntDes!$C:$C)),"")</f>
        <v/>
      </c>
      <c r="L2046">
        <f t="shared" si="83"/>
        <v>1</v>
      </c>
      <c r="M2046" s="10" t="str">
        <f>IFERROR(_xlfn.XLOOKUP(C2046,[1]StuntDes!$B:$B,[1]StuntDes!$A:$A),"")</f>
        <v/>
      </c>
      <c r="N2046" s="10" t="str">
        <f>IFERROR(_xlfn.XLOOKUP(C2046,[1]ModifierDes!$B:$B,[1]ModifierDes!$A:$A),"")</f>
        <v/>
      </c>
      <c r="O2046" s="10">
        <f>IFERROR(_xlfn.XLOOKUP(C2046,[1]AttributeName!$C:$C,[1]AttributeName!$B:$B),"")</f>
        <v>10015</v>
      </c>
      <c r="P2046" s="10"/>
      <c r="Q2046">
        <v>100</v>
      </c>
      <c r="R2046">
        <v>110</v>
      </c>
      <c r="S2046" cm="1">
        <f t="array" ref="S2046">IFERROR(_xlfn.SWITCH(L2046,1,_xlfn.XLOOKUP(O2046,[1]AttributeName!$B:$B,[1]AttributeName!$D:$D),2,_xlfn.XLOOKUP(C2046,#REF!,#REF!),3,_xlfn.XLOOKUP(C2046,#REF!,#REF!)),0)</f>
        <v>0</v>
      </c>
      <c r="T2046" cm="1">
        <f t="array" ref="T2046">IFERROR(_xlfn.SWITCH(L2046,1,_xlfn.XLOOKUP(O2046,[1]AttributeName!$B:$B,[1]AttributeName!$E:$E),2,_xlfn.XLOOKUP(C2046,#REF!,#REF!),3,_xlfn.XLOOKUP(C2046,#REF!,#REF!)),0)</f>
        <v>1</v>
      </c>
    </row>
    <row r="2047" customFormat="1" spans="1:20">
      <c r="A2047">
        <f t="shared" si="84"/>
        <v>861</v>
      </c>
      <c r="B2047">
        <v>2</v>
      </c>
      <c r="C2047" t="s">
        <v>438</v>
      </c>
      <c r="D2047" t="s">
        <v>31</v>
      </c>
      <c r="E2047" s="13" t="s">
        <v>392</v>
      </c>
      <c r="F2047"/>
      <c r="G2047">
        <v>2</v>
      </c>
      <c r="H2047">
        <v>500</v>
      </c>
      <c r="J2047" cm="1">
        <f t="array" ref="J2047">_xlfn.SWITCH(B2047,1,75,2,61,3,49,4,37,5,25,6,13,7,4,8,1)</f>
        <v>61</v>
      </c>
      <c r="K2047" t="str" cm="1">
        <f t="array" ref="K2047">IFERROR(_xlfn.SWITCH(L2047,2,_xlfn.XLOOKUP(C2047,[1]ModifierDes!$B:$B,[1]ModifierDes!$C:$C),3,_xlfn.XLOOKUP(C2047,[1]StuntDes!$B:$B,[1]StuntDes!$C:$C)),"")</f>
        <v/>
      </c>
      <c r="L2047">
        <f t="shared" si="83"/>
        <v>1</v>
      </c>
      <c r="M2047" s="10" t="str">
        <f>IFERROR(_xlfn.XLOOKUP(C2047,[1]StuntDes!$B:$B,[1]StuntDes!$A:$A),"")</f>
        <v/>
      </c>
      <c r="N2047" s="10" t="str">
        <f>IFERROR(_xlfn.XLOOKUP(C2047,[1]ModifierDes!$B:$B,[1]ModifierDes!$A:$A),"")</f>
        <v/>
      </c>
      <c r="O2047" s="10">
        <f>IFERROR(_xlfn.XLOOKUP(C2047,[1]AttributeName!$C:$C,[1]AttributeName!$B:$B),"")</f>
        <v>10015</v>
      </c>
      <c r="P2047" s="10"/>
      <c r="Q2047">
        <v>80</v>
      </c>
      <c r="R2047">
        <v>90</v>
      </c>
      <c r="S2047" cm="1">
        <f t="array" ref="S2047">IFERROR(_xlfn.SWITCH(L2047,1,_xlfn.XLOOKUP(O2047,[1]AttributeName!$B:$B,[1]AttributeName!$D:$D),2,_xlfn.XLOOKUP(C2047,#REF!,#REF!),3,_xlfn.XLOOKUP(C2047,#REF!,#REF!)),0)</f>
        <v>0</v>
      </c>
      <c r="T2047" cm="1">
        <f t="array" ref="T2047">IFERROR(_xlfn.SWITCH(L2047,1,_xlfn.XLOOKUP(O2047,[1]AttributeName!$B:$B,[1]AttributeName!$E:$E),2,_xlfn.XLOOKUP(C2047,#REF!,#REF!),3,_xlfn.XLOOKUP(C2047,#REF!,#REF!)),0)</f>
        <v>1</v>
      </c>
    </row>
    <row r="2048" customFormat="1" spans="1:20">
      <c r="A2048">
        <f t="shared" si="84"/>
        <v>861</v>
      </c>
      <c r="B2048">
        <v>3</v>
      </c>
      <c r="C2048" t="s">
        <v>438</v>
      </c>
      <c r="D2048" t="s">
        <v>31</v>
      </c>
      <c r="E2048" s="13" t="s">
        <v>392</v>
      </c>
      <c r="F2048"/>
      <c r="G2048">
        <v>2</v>
      </c>
      <c r="H2048">
        <v>750</v>
      </c>
      <c r="J2048" cm="1">
        <f t="array" ref="J2048">_xlfn.SWITCH(B2048,1,75,2,61,3,49,4,37,5,25,6,13,7,4,8,1)</f>
        <v>49</v>
      </c>
      <c r="K2048" t="str" cm="1">
        <f t="array" ref="K2048">IFERROR(_xlfn.SWITCH(L2048,2,_xlfn.XLOOKUP(C2048,[1]ModifierDes!$B:$B,[1]ModifierDes!$C:$C),3,_xlfn.XLOOKUP(C2048,[1]StuntDes!$B:$B,[1]StuntDes!$C:$C)),"")</f>
        <v/>
      </c>
      <c r="L2048">
        <f t="shared" si="83"/>
        <v>1</v>
      </c>
      <c r="M2048" s="10" t="str">
        <f>IFERROR(_xlfn.XLOOKUP(C2048,[1]StuntDes!$B:$B,[1]StuntDes!$A:$A),"")</f>
        <v/>
      </c>
      <c r="N2048" s="10" t="str">
        <f>IFERROR(_xlfn.XLOOKUP(C2048,[1]ModifierDes!$B:$B,[1]ModifierDes!$A:$A),"")</f>
        <v/>
      </c>
      <c r="O2048" s="10">
        <f>IFERROR(_xlfn.XLOOKUP(C2048,[1]AttributeName!$C:$C,[1]AttributeName!$B:$B),"")</f>
        <v>10015</v>
      </c>
      <c r="P2048" s="10"/>
      <c r="Q2048">
        <v>60</v>
      </c>
      <c r="R2048">
        <v>70</v>
      </c>
      <c r="S2048" cm="1">
        <f t="array" ref="S2048">IFERROR(_xlfn.SWITCH(L2048,1,_xlfn.XLOOKUP(O2048,[1]AttributeName!$B:$B,[1]AttributeName!$D:$D),2,_xlfn.XLOOKUP(C2048,#REF!,#REF!),3,_xlfn.XLOOKUP(C2048,#REF!,#REF!)),0)</f>
        <v>0</v>
      </c>
      <c r="T2048" cm="1">
        <f t="array" ref="T2048">IFERROR(_xlfn.SWITCH(L2048,1,_xlfn.XLOOKUP(O2048,[1]AttributeName!$B:$B,[1]AttributeName!$E:$E),2,_xlfn.XLOOKUP(C2048,#REF!,#REF!),3,_xlfn.XLOOKUP(C2048,#REF!,#REF!)),0)</f>
        <v>1</v>
      </c>
    </row>
    <row r="2049" customFormat="1" spans="1:20">
      <c r="A2049">
        <f t="shared" si="84"/>
        <v>861</v>
      </c>
      <c r="B2049">
        <v>4</v>
      </c>
      <c r="C2049" t="s">
        <v>438</v>
      </c>
      <c r="D2049" t="s">
        <v>31</v>
      </c>
      <c r="E2049" s="13" t="s">
        <v>392</v>
      </c>
      <c r="F2049"/>
      <c r="G2049">
        <v>2</v>
      </c>
      <c r="H2049">
        <v>1000</v>
      </c>
      <c r="J2049" cm="1">
        <f t="array" ref="J2049">_xlfn.SWITCH(B2049,1,75,2,61,3,49,4,37,5,25,6,13,7,4,8,1)</f>
        <v>37</v>
      </c>
      <c r="K2049" t="str" cm="1">
        <f t="array" ref="K2049">IFERROR(_xlfn.SWITCH(L2049,2,_xlfn.XLOOKUP(C2049,[1]ModifierDes!$B:$B,[1]ModifierDes!$C:$C),3,_xlfn.XLOOKUP(C2049,[1]StuntDes!$B:$B,[1]StuntDes!$C:$C)),"")</f>
        <v/>
      </c>
      <c r="L2049">
        <f t="shared" si="83"/>
        <v>1</v>
      </c>
      <c r="M2049" s="10" t="str">
        <f>IFERROR(_xlfn.XLOOKUP(C2049,[1]StuntDes!$B:$B,[1]StuntDes!$A:$A),"")</f>
        <v/>
      </c>
      <c r="N2049" s="10" t="str">
        <f>IFERROR(_xlfn.XLOOKUP(C2049,[1]ModifierDes!$B:$B,[1]ModifierDes!$A:$A),"")</f>
        <v/>
      </c>
      <c r="O2049" s="10">
        <f>IFERROR(_xlfn.XLOOKUP(C2049,[1]AttributeName!$C:$C,[1]AttributeName!$B:$B),"")</f>
        <v>10015</v>
      </c>
      <c r="P2049" s="10"/>
      <c r="Q2049">
        <v>50</v>
      </c>
      <c r="R2049">
        <v>59</v>
      </c>
      <c r="S2049" cm="1">
        <f t="array" ref="S2049">IFERROR(_xlfn.SWITCH(L2049,1,_xlfn.XLOOKUP(O2049,[1]AttributeName!$B:$B,[1]AttributeName!$D:$D),2,_xlfn.XLOOKUP(C2049,#REF!,#REF!),3,_xlfn.XLOOKUP(C2049,#REF!,#REF!)),0)</f>
        <v>0</v>
      </c>
      <c r="T2049" cm="1">
        <f t="array" ref="T2049">IFERROR(_xlfn.SWITCH(L2049,1,_xlfn.XLOOKUP(O2049,[1]AttributeName!$B:$B,[1]AttributeName!$E:$E),2,_xlfn.XLOOKUP(C2049,#REF!,#REF!),3,_xlfn.XLOOKUP(C2049,#REF!,#REF!)),0)</f>
        <v>1</v>
      </c>
    </row>
    <row r="2050" customFormat="1" spans="1:20">
      <c r="A2050">
        <f t="shared" si="84"/>
        <v>861</v>
      </c>
      <c r="B2050">
        <v>5</v>
      </c>
      <c r="C2050" t="s">
        <v>438</v>
      </c>
      <c r="D2050" t="s">
        <v>31</v>
      </c>
      <c r="E2050" s="13" t="s">
        <v>392</v>
      </c>
      <c r="F2050"/>
      <c r="G2050">
        <v>2</v>
      </c>
      <c r="H2050">
        <v>1000</v>
      </c>
      <c r="J2050" cm="1">
        <f t="array" ref="J2050">_xlfn.SWITCH(B2050,1,75,2,61,3,49,4,37,5,25,6,13,7,4,8,1)</f>
        <v>25</v>
      </c>
      <c r="K2050" t="str" cm="1">
        <f t="array" ref="K2050">IFERROR(_xlfn.SWITCH(L2050,2,_xlfn.XLOOKUP(C2050,[1]ModifierDes!$B:$B,[1]ModifierDes!$C:$C),3,_xlfn.XLOOKUP(C2050,[1]StuntDes!$B:$B,[1]StuntDes!$C:$C)),"")</f>
        <v/>
      </c>
      <c r="L2050">
        <f t="shared" si="83"/>
        <v>1</v>
      </c>
      <c r="M2050" s="10" t="str">
        <f>IFERROR(_xlfn.XLOOKUP(C2050,[1]StuntDes!$B:$B,[1]StuntDes!$A:$A),"")</f>
        <v/>
      </c>
      <c r="N2050" s="10" t="str">
        <f>IFERROR(_xlfn.XLOOKUP(C2050,[1]ModifierDes!$B:$B,[1]ModifierDes!$A:$A),"")</f>
        <v/>
      </c>
      <c r="O2050" s="10">
        <f>IFERROR(_xlfn.XLOOKUP(C2050,[1]AttributeName!$C:$C,[1]AttributeName!$B:$B),"")</f>
        <v>10015</v>
      </c>
      <c r="P2050" s="10"/>
      <c r="Q2050">
        <v>40</v>
      </c>
      <c r="R2050">
        <v>49</v>
      </c>
      <c r="S2050" cm="1">
        <f t="array" ref="S2050">IFERROR(_xlfn.SWITCH(L2050,1,_xlfn.XLOOKUP(O2050,[1]AttributeName!$B:$B,[1]AttributeName!$D:$D),2,_xlfn.XLOOKUP(C2050,#REF!,#REF!),3,_xlfn.XLOOKUP(C2050,#REF!,#REF!)),0)</f>
        <v>0</v>
      </c>
      <c r="T2050" cm="1">
        <f t="array" ref="T2050">IFERROR(_xlfn.SWITCH(L2050,1,_xlfn.XLOOKUP(O2050,[1]AttributeName!$B:$B,[1]AttributeName!$E:$E),2,_xlfn.XLOOKUP(C2050,#REF!,#REF!),3,_xlfn.XLOOKUP(C2050,#REF!,#REF!)),0)</f>
        <v>1</v>
      </c>
    </row>
    <row r="2051" customFormat="1" spans="1:20">
      <c r="A2051">
        <f t="shared" si="84"/>
        <v>861</v>
      </c>
      <c r="B2051">
        <v>6</v>
      </c>
      <c r="C2051" t="s">
        <v>438</v>
      </c>
      <c r="D2051" t="s">
        <v>31</v>
      </c>
      <c r="E2051" s="13" t="s">
        <v>392</v>
      </c>
      <c r="F2051"/>
      <c r="G2051">
        <v>2</v>
      </c>
      <c r="H2051">
        <v>1000</v>
      </c>
      <c r="J2051" cm="1">
        <f t="array" ref="J2051">_xlfn.SWITCH(B2051,1,75,2,61,3,49,4,37,5,25,6,13,7,4,8,1)</f>
        <v>13</v>
      </c>
      <c r="K2051" t="str" cm="1">
        <f t="array" ref="K2051">IFERROR(_xlfn.SWITCH(L2051,2,_xlfn.XLOOKUP(C2051,[1]ModifierDes!$B:$B,[1]ModifierDes!$C:$C),3,_xlfn.XLOOKUP(C2051,[1]StuntDes!$B:$B,[1]StuntDes!$C:$C)),"")</f>
        <v/>
      </c>
      <c r="L2051">
        <f t="shared" si="83"/>
        <v>1</v>
      </c>
      <c r="M2051" s="10" t="str">
        <f>IFERROR(_xlfn.XLOOKUP(C2051,[1]StuntDes!$B:$B,[1]StuntDes!$A:$A),"")</f>
        <v/>
      </c>
      <c r="N2051" s="10" t="str">
        <f>IFERROR(_xlfn.XLOOKUP(C2051,[1]ModifierDes!$B:$B,[1]ModifierDes!$A:$A),"")</f>
        <v/>
      </c>
      <c r="O2051" s="10">
        <f>IFERROR(_xlfn.XLOOKUP(C2051,[1]AttributeName!$C:$C,[1]AttributeName!$B:$B),"")</f>
        <v>10015</v>
      </c>
      <c r="P2051" s="10"/>
      <c r="Q2051">
        <v>30</v>
      </c>
      <c r="R2051">
        <v>39</v>
      </c>
      <c r="S2051" cm="1">
        <f t="array" ref="S2051">IFERROR(_xlfn.SWITCH(L2051,1,_xlfn.XLOOKUP(O2051,[1]AttributeName!$B:$B,[1]AttributeName!$D:$D),2,_xlfn.XLOOKUP(C2051,#REF!,#REF!),3,_xlfn.XLOOKUP(C2051,#REF!,#REF!)),0)</f>
        <v>0</v>
      </c>
      <c r="T2051" cm="1">
        <f t="array" ref="T2051">IFERROR(_xlfn.SWITCH(L2051,1,_xlfn.XLOOKUP(O2051,[1]AttributeName!$B:$B,[1]AttributeName!$E:$E),2,_xlfn.XLOOKUP(C2051,#REF!,#REF!),3,_xlfn.XLOOKUP(C2051,#REF!,#REF!)),0)</f>
        <v>1</v>
      </c>
    </row>
    <row r="2052" customFormat="1" spans="1:20">
      <c r="A2052">
        <f t="shared" si="84"/>
        <v>861</v>
      </c>
      <c r="B2052">
        <v>7</v>
      </c>
      <c r="C2052" t="s">
        <v>438</v>
      </c>
      <c r="D2052" t="s">
        <v>31</v>
      </c>
      <c r="E2052" s="13" t="s">
        <v>392</v>
      </c>
      <c r="F2052"/>
      <c r="G2052">
        <v>2</v>
      </c>
      <c r="H2052">
        <v>1000</v>
      </c>
      <c r="J2052" cm="1">
        <f t="array" ref="J2052">_xlfn.SWITCH(B2052,1,75,2,61,3,49,4,37,5,25,6,13,7,4,8,1)</f>
        <v>4</v>
      </c>
      <c r="K2052" t="str" cm="1">
        <f t="array" ref="K2052">IFERROR(_xlfn.SWITCH(L2052,2,_xlfn.XLOOKUP(C2052,[1]ModifierDes!$B:$B,[1]ModifierDes!$C:$C),3,_xlfn.XLOOKUP(C2052,[1]StuntDes!$B:$B,[1]StuntDes!$C:$C)),"")</f>
        <v/>
      </c>
      <c r="L2052">
        <f t="shared" ref="L2052:L2115" si="85">IF(M2052="",IF(N2052="",1,2),3)</f>
        <v>1</v>
      </c>
      <c r="M2052" s="10" t="str">
        <f>IFERROR(_xlfn.XLOOKUP(C2052,[1]StuntDes!$B:$B,[1]StuntDes!$A:$A),"")</f>
        <v/>
      </c>
      <c r="N2052" s="10" t="str">
        <f>IFERROR(_xlfn.XLOOKUP(C2052,[1]ModifierDes!$B:$B,[1]ModifierDes!$A:$A),"")</f>
        <v/>
      </c>
      <c r="O2052" s="10">
        <f>IFERROR(_xlfn.XLOOKUP(C2052,[1]AttributeName!$C:$C,[1]AttributeName!$B:$B),"")</f>
        <v>10015</v>
      </c>
      <c r="P2052" s="10"/>
      <c r="Q2052">
        <v>20</v>
      </c>
      <c r="R2052">
        <v>29</v>
      </c>
      <c r="S2052" cm="1">
        <f t="array" ref="S2052">IFERROR(_xlfn.SWITCH(L2052,1,_xlfn.XLOOKUP(O2052,[1]AttributeName!$B:$B,[1]AttributeName!$D:$D),2,_xlfn.XLOOKUP(C2052,#REF!,#REF!),3,_xlfn.XLOOKUP(C2052,#REF!,#REF!)),0)</f>
        <v>0</v>
      </c>
      <c r="T2052" cm="1">
        <f t="array" ref="T2052">IFERROR(_xlfn.SWITCH(L2052,1,_xlfn.XLOOKUP(O2052,[1]AttributeName!$B:$B,[1]AttributeName!$E:$E),2,_xlfn.XLOOKUP(C2052,#REF!,#REF!),3,_xlfn.XLOOKUP(C2052,#REF!,#REF!)),0)</f>
        <v>1</v>
      </c>
    </row>
    <row r="2053" customFormat="1" spans="1:20">
      <c r="A2053">
        <f t="shared" si="84"/>
        <v>861</v>
      </c>
      <c r="B2053">
        <v>8</v>
      </c>
      <c r="C2053" t="s">
        <v>438</v>
      </c>
      <c r="D2053" t="s">
        <v>31</v>
      </c>
      <c r="E2053" s="13" t="s">
        <v>392</v>
      </c>
      <c r="F2053"/>
      <c r="G2053">
        <v>2</v>
      </c>
      <c r="H2053">
        <v>1000</v>
      </c>
      <c r="J2053" cm="1">
        <f t="array" ref="J2053">_xlfn.SWITCH(B2053,1,75,2,61,3,49,4,37,5,25,6,13,7,4,8,1)</f>
        <v>1</v>
      </c>
      <c r="K2053" t="str" cm="1">
        <f t="array" ref="K2053">IFERROR(_xlfn.SWITCH(L2053,2,_xlfn.XLOOKUP(C2053,[1]ModifierDes!$B:$B,[1]ModifierDes!$C:$C),3,_xlfn.XLOOKUP(C2053,[1]StuntDes!$B:$B,[1]StuntDes!$C:$C)),"")</f>
        <v/>
      </c>
      <c r="L2053">
        <f t="shared" si="85"/>
        <v>1</v>
      </c>
      <c r="M2053" s="10" t="str">
        <f>IFERROR(_xlfn.XLOOKUP(C2053,[1]StuntDes!$B:$B,[1]StuntDes!$A:$A),"")</f>
        <v/>
      </c>
      <c r="N2053" s="10" t="str">
        <f>IFERROR(_xlfn.XLOOKUP(C2053,[1]ModifierDes!$B:$B,[1]ModifierDes!$A:$A),"")</f>
        <v/>
      </c>
      <c r="O2053" s="10">
        <f>IFERROR(_xlfn.XLOOKUP(C2053,[1]AttributeName!$C:$C,[1]AttributeName!$B:$B),"")</f>
        <v>10015</v>
      </c>
      <c r="P2053" s="10"/>
      <c r="Q2053">
        <v>10</v>
      </c>
      <c r="R2053">
        <v>19</v>
      </c>
      <c r="S2053" cm="1">
        <f t="array" ref="S2053">IFERROR(_xlfn.SWITCH(L2053,1,_xlfn.XLOOKUP(O2053,[1]AttributeName!$B:$B,[1]AttributeName!$D:$D),2,_xlfn.XLOOKUP(C2053,#REF!,#REF!),3,_xlfn.XLOOKUP(C2053,#REF!,#REF!)),0)</f>
        <v>0</v>
      </c>
      <c r="T2053" cm="1">
        <f t="array" ref="T2053">IFERROR(_xlfn.SWITCH(L2053,1,_xlfn.XLOOKUP(O2053,[1]AttributeName!$B:$B,[1]AttributeName!$E:$E),2,_xlfn.XLOOKUP(C2053,#REF!,#REF!),3,_xlfn.XLOOKUP(C2053,#REF!,#REF!)),0)</f>
        <v>1</v>
      </c>
    </row>
    <row r="2054" customFormat="1" spans="1:20">
      <c r="A2054">
        <f t="shared" si="84"/>
        <v>862</v>
      </c>
      <c r="B2054">
        <v>1</v>
      </c>
      <c r="C2054" t="s">
        <v>439</v>
      </c>
      <c r="D2054" t="s">
        <v>31</v>
      </c>
      <c r="E2054" s="13" t="s">
        <v>392</v>
      </c>
      <c r="F2054"/>
      <c r="G2054">
        <v>2</v>
      </c>
      <c r="H2054">
        <v>250</v>
      </c>
      <c r="J2054" cm="1">
        <f t="array" ref="J2054">_xlfn.SWITCH(B2054,1,75,2,61,3,49,4,37,5,25,6,13,7,4,8,1)</f>
        <v>75</v>
      </c>
      <c r="K2054" t="str" cm="1">
        <f t="array" ref="K2054">IFERROR(_xlfn.SWITCH(L2054,2,_xlfn.XLOOKUP(C2054,[1]ModifierDes!$B:$B,[1]ModifierDes!$C:$C),3,_xlfn.XLOOKUP(C2054,[1]StuntDes!$B:$B,[1]StuntDes!$C:$C)),"")</f>
        <v/>
      </c>
      <c r="L2054">
        <f t="shared" si="85"/>
        <v>1</v>
      </c>
      <c r="M2054" s="10" t="str">
        <f>IFERROR(_xlfn.XLOOKUP(C2054,[1]StuntDes!$B:$B,[1]StuntDes!$A:$A),"")</f>
        <v/>
      </c>
      <c r="N2054" s="10" t="str">
        <f>IFERROR(_xlfn.XLOOKUP(C2054,[1]ModifierDes!$B:$B,[1]ModifierDes!$A:$A),"")</f>
        <v/>
      </c>
      <c r="O2054" s="10">
        <f>IFERROR(_xlfn.XLOOKUP(C2054,[1]AttributeName!$C:$C,[1]AttributeName!$B:$B),"")</f>
        <v>10017</v>
      </c>
      <c r="P2054" s="10"/>
      <c r="Q2054">
        <v>100</v>
      </c>
      <c r="R2054">
        <v>110</v>
      </c>
      <c r="S2054" cm="1">
        <f t="array" ref="S2054">IFERROR(_xlfn.SWITCH(L2054,1,_xlfn.XLOOKUP(O2054,[1]AttributeName!$B:$B,[1]AttributeName!$D:$D),2,_xlfn.XLOOKUP(C2054,#REF!,#REF!),3,_xlfn.XLOOKUP(C2054,#REF!,#REF!)),0)</f>
        <v>0</v>
      </c>
      <c r="T2054" cm="1">
        <f t="array" ref="T2054">IFERROR(_xlfn.SWITCH(L2054,1,_xlfn.XLOOKUP(O2054,[1]AttributeName!$B:$B,[1]AttributeName!$E:$E),2,_xlfn.XLOOKUP(C2054,#REF!,#REF!),3,_xlfn.XLOOKUP(C2054,#REF!,#REF!)),0)</f>
        <v>1</v>
      </c>
    </row>
    <row r="2055" customFormat="1" spans="1:20">
      <c r="A2055">
        <f t="shared" ref="A2055:A2086" si="86">A2047+1</f>
        <v>862</v>
      </c>
      <c r="B2055">
        <v>2</v>
      </c>
      <c r="C2055" t="s">
        <v>439</v>
      </c>
      <c r="D2055" t="s">
        <v>31</v>
      </c>
      <c r="E2055" s="13" t="s">
        <v>392</v>
      </c>
      <c r="F2055"/>
      <c r="G2055">
        <v>2</v>
      </c>
      <c r="H2055">
        <v>500</v>
      </c>
      <c r="J2055" cm="1">
        <f t="array" ref="J2055">_xlfn.SWITCH(B2055,1,75,2,61,3,49,4,37,5,25,6,13,7,4,8,1)</f>
        <v>61</v>
      </c>
      <c r="K2055" t="str" cm="1">
        <f t="array" ref="K2055">IFERROR(_xlfn.SWITCH(L2055,2,_xlfn.XLOOKUP(C2055,[1]ModifierDes!$B:$B,[1]ModifierDes!$C:$C),3,_xlfn.XLOOKUP(C2055,[1]StuntDes!$B:$B,[1]StuntDes!$C:$C)),"")</f>
        <v/>
      </c>
      <c r="L2055">
        <f t="shared" si="85"/>
        <v>1</v>
      </c>
      <c r="M2055" s="10" t="str">
        <f>IFERROR(_xlfn.XLOOKUP(C2055,[1]StuntDes!$B:$B,[1]StuntDes!$A:$A),"")</f>
        <v/>
      </c>
      <c r="N2055" s="10" t="str">
        <f>IFERROR(_xlfn.XLOOKUP(C2055,[1]ModifierDes!$B:$B,[1]ModifierDes!$A:$A),"")</f>
        <v/>
      </c>
      <c r="O2055" s="10">
        <f>IFERROR(_xlfn.XLOOKUP(C2055,[1]AttributeName!$C:$C,[1]AttributeName!$B:$B),"")</f>
        <v>10017</v>
      </c>
      <c r="P2055" s="10"/>
      <c r="Q2055">
        <v>80</v>
      </c>
      <c r="R2055">
        <v>90</v>
      </c>
      <c r="S2055" cm="1">
        <f t="array" ref="S2055">IFERROR(_xlfn.SWITCH(L2055,1,_xlfn.XLOOKUP(O2055,[1]AttributeName!$B:$B,[1]AttributeName!$D:$D),2,_xlfn.XLOOKUP(C2055,#REF!,#REF!),3,_xlfn.XLOOKUP(C2055,#REF!,#REF!)),0)</f>
        <v>0</v>
      </c>
      <c r="T2055" cm="1">
        <f t="array" ref="T2055">IFERROR(_xlfn.SWITCH(L2055,1,_xlfn.XLOOKUP(O2055,[1]AttributeName!$B:$B,[1]AttributeName!$E:$E),2,_xlfn.XLOOKUP(C2055,#REF!,#REF!),3,_xlfn.XLOOKUP(C2055,#REF!,#REF!)),0)</f>
        <v>1</v>
      </c>
    </row>
    <row r="2056" customFormat="1" spans="1:20">
      <c r="A2056">
        <f t="shared" si="86"/>
        <v>862</v>
      </c>
      <c r="B2056">
        <v>3</v>
      </c>
      <c r="C2056" t="s">
        <v>439</v>
      </c>
      <c r="D2056" t="s">
        <v>31</v>
      </c>
      <c r="E2056" s="13" t="s">
        <v>392</v>
      </c>
      <c r="F2056"/>
      <c r="G2056">
        <v>2</v>
      </c>
      <c r="H2056">
        <v>750</v>
      </c>
      <c r="J2056" cm="1">
        <f t="array" ref="J2056">_xlfn.SWITCH(B2056,1,75,2,61,3,49,4,37,5,25,6,13,7,4,8,1)</f>
        <v>49</v>
      </c>
      <c r="K2056" t="str" cm="1">
        <f t="array" ref="K2056">IFERROR(_xlfn.SWITCH(L2056,2,_xlfn.XLOOKUP(C2056,[1]ModifierDes!$B:$B,[1]ModifierDes!$C:$C),3,_xlfn.XLOOKUP(C2056,[1]StuntDes!$B:$B,[1]StuntDes!$C:$C)),"")</f>
        <v/>
      </c>
      <c r="L2056">
        <f t="shared" si="85"/>
        <v>1</v>
      </c>
      <c r="M2056" s="10" t="str">
        <f>IFERROR(_xlfn.XLOOKUP(C2056,[1]StuntDes!$B:$B,[1]StuntDes!$A:$A),"")</f>
        <v/>
      </c>
      <c r="N2056" s="10" t="str">
        <f>IFERROR(_xlfn.XLOOKUP(C2056,[1]ModifierDes!$B:$B,[1]ModifierDes!$A:$A),"")</f>
        <v/>
      </c>
      <c r="O2056" s="10">
        <f>IFERROR(_xlfn.XLOOKUP(C2056,[1]AttributeName!$C:$C,[1]AttributeName!$B:$B),"")</f>
        <v>10017</v>
      </c>
      <c r="P2056" s="10"/>
      <c r="Q2056">
        <v>60</v>
      </c>
      <c r="R2056">
        <v>70</v>
      </c>
      <c r="S2056" cm="1">
        <f t="array" ref="S2056">IFERROR(_xlfn.SWITCH(L2056,1,_xlfn.XLOOKUP(O2056,[1]AttributeName!$B:$B,[1]AttributeName!$D:$D),2,_xlfn.XLOOKUP(C2056,#REF!,#REF!),3,_xlfn.XLOOKUP(C2056,#REF!,#REF!)),0)</f>
        <v>0</v>
      </c>
      <c r="T2056" cm="1">
        <f t="array" ref="T2056">IFERROR(_xlfn.SWITCH(L2056,1,_xlfn.XLOOKUP(O2056,[1]AttributeName!$B:$B,[1]AttributeName!$E:$E),2,_xlfn.XLOOKUP(C2056,#REF!,#REF!),3,_xlfn.XLOOKUP(C2056,#REF!,#REF!)),0)</f>
        <v>1</v>
      </c>
    </row>
    <row r="2057" customFormat="1" spans="1:20">
      <c r="A2057">
        <f t="shared" si="86"/>
        <v>862</v>
      </c>
      <c r="B2057">
        <v>4</v>
      </c>
      <c r="C2057" t="s">
        <v>439</v>
      </c>
      <c r="D2057" t="s">
        <v>31</v>
      </c>
      <c r="E2057" s="13" t="s">
        <v>392</v>
      </c>
      <c r="F2057"/>
      <c r="G2057">
        <v>2</v>
      </c>
      <c r="H2057">
        <v>1000</v>
      </c>
      <c r="J2057" cm="1">
        <f t="array" ref="J2057">_xlfn.SWITCH(B2057,1,75,2,61,3,49,4,37,5,25,6,13,7,4,8,1)</f>
        <v>37</v>
      </c>
      <c r="K2057" t="str" cm="1">
        <f t="array" ref="K2057">IFERROR(_xlfn.SWITCH(L2057,2,_xlfn.XLOOKUP(C2057,[1]ModifierDes!$B:$B,[1]ModifierDes!$C:$C),3,_xlfn.XLOOKUP(C2057,[1]StuntDes!$B:$B,[1]StuntDes!$C:$C)),"")</f>
        <v/>
      </c>
      <c r="L2057">
        <f t="shared" si="85"/>
        <v>1</v>
      </c>
      <c r="M2057" s="10" t="str">
        <f>IFERROR(_xlfn.XLOOKUP(C2057,[1]StuntDes!$B:$B,[1]StuntDes!$A:$A),"")</f>
        <v/>
      </c>
      <c r="N2057" s="10" t="str">
        <f>IFERROR(_xlfn.XLOOKUP(C2057,[1]ModifierDes!$B:$B,[1]ModifierDes!$A:$A),"")</f>
        <v/>
      </c>
      <c r="O2057" s="10">
        <f>IFERROR(_xlfn.XLOOKUP(C2057,[1]AttributeName!$C:$C,[1]AttributeName!$B:$B),"")</f>
        <v>10017</v>
      </c>
      <c r="P2057" s="10"/>
      <c r="Q2057">
        <v>50</v>
      </c>
      <c r="R2057">
        <v>59</v>
      </c>
      <c r="S2057" cm="1">
        <f t="array" ref="S2057">IFERROR(_xlfn.SWITCH(L2057,1,_xlfn.XLOOKUP(O2057,[1]AttributeName!$B:$B,[1]AttributeName!$D:$D),2,_xlfn.XLOOKUP(C2057,#REF!,#REF!),3,_xlfn.XLOOKUP(C2057,#REF!,#REF!)),0)</f>
        <v>0</v>
      </c>
      <c r="T2057" cm="1">
        <f t="array" ref="T2057">IFERROR(_xlfn.SWITCH(L2057,1,_xlfn.XLOOKUP(O2057,[1]AttributeName!$B:$B,[1]AttributeName!$E:$E),2,_xlfn.XLOOKUP(C2057,#REF!,#REF!),3,_xlfn.XLOOKUP(C2057,#REF!,#REF!)),0)</f>
        <v>1</v>
      </c>
    </row>
    <row r="2058" customFormat="1" spans="1:20">
      <c r="A2058">
        <f t="shared" si="86"/>
        <v>862</v>
      </c>
      <c r="B2058">
        <v>5</v>
      </c>
      <c r="C2058" t="s">
        <v>439</v>
      </c>
      <c r="D2058" t="s">
        <v>31</v>
      </c>
      <c r="E2058" s="13" t="s">
        <v>392</v>
      </c>
      <c r="F2058"/>
      <c r="G2058">
        <v>2</v>
      </c>
      <c r="H2058">
        <v>1000</v>
      </c>
      <c r="J2058" cm="1">
        <f t="array" ref="J2058">_xlfn.SWITCH(B2058,1,75,2,61,3,49,4,37,5,25,6,13,7,4,8,1)</f>
        <v>25</v>
      </c>
      <c r="K2058" t="str" cm="1">
        <f t="array" ref="K2058">IFERROR(_xlfn.SWITCH(L2058,2,_xlfn.XLOOKUP(C2058,[1]ModifierDes!$B:$B,[1]ModifierDes!$C:$C),3,_xlfn.XLOOKUP(C2058,[1]StuntDes!$B:$B,[1]StuntDes!$C:$C)),"")</f>
        <v/>
      </c>
      <c r="L2058">
        <f t="shared" si="85"/>
        <v>1</v>
      </c>
      <c r="M2058" s="10" t="str">
        <f>IFERROR(_xlfn.XLOOKUP(C2058,[1]StuntDes!$B:$B,[1]StuntDes!$A:$A),"")</f>
        <v/>
      </c>
      <c r="N2058" s="10" t="str">
        <f>IFERROR(_xlfn.XLOOKUP(C2058,[1]ModifierDes!$B:$B,[1]ModifierDes!$A:$A),"")</f>
        <v/>
      </c>
      <c r="O2058" s="10">
        <f>IFERROR(_xlfn.XLOOKUP(C2058,[1]AttributeName!$C:$C,[1]AttributeName!$B:$B),"")</f>
        <v>10017</v>
      </c>
      <c r="P2058" s="10"/>
      <c r="Q2058">
        <v>40</v>
      </c>
      <c r="R2058">
        <v>49</v>
      </c>
      <c r="S2058" cm="1">
        <f t="array" ref="S2058">IFERROR(_xlfn.SWITCH(L2058,1,_xlfn.XLOOKUP(O2058,[1]AttributeName!$B:$B,[1]AttributeName!$D:$D),2,_xlfn.XLOOKUP(C2058,#REF!,#REF!),3,_xlfn.XLOOKUP(C2058,#REF!,#REF!)),0)</f>
        <v>0</v>
      </c>
      <c r="T2058" cm="1">
        <f t="array" ref="T2058">IFERROR(_xlfn.SWITCH(L2058,1,_xlfn.XLOOKUP(O2058,[1]AttributeName!$B:$B,[1]AttributeName!$E:$E),2,_xlfn.XLOOKUP(C2058,#REF!,#REF!),3,_xlfn.XLOOKUP(C2058,#REF!,#REF!)),0)</f>
        <v>1</v>
      </c>
    </row>
    <row r="2059" customFormat="1" spans="1:20">
      <c r="A2059">
        <f t="shared" si="86"/>
        <v>862</v>
      </c>
      <c r="B2059">
        <v>6</v>
      </c>
      <c r="C2059" t="s">
        <v>439</v>
      </c>
      <c r="D2059" t="s">
        <v>31</v>
      </c>
      <c r="E2059" s="13" t="s">
        <v>392</v>
      </c>
      <c r="F2059"/>
      <c r="G2059">
        <v>2</v>
      </c>
      <c r="H2059">
        <v>1000</v>
      </c>
      <c r="J2059" cm="1">
        <f t="array" ref="J2059">_xlfn.SWITCH(B2059,1,75,2,61,3,49,4,37,5,25,6,13,7,4,8,1)</f>
        <v>13</v>
      </c>
      <c r="K2059" t="str" cm="1">
        <f t="array" ref="K2059">IFERROR(_xlfn.SWITCH(L2059,2,_xlfn.XLOOKUP(C2059,[1]ModifierDes!$B:$B,[1]ModifierDes!$C:$C),3,_xlfn.XLOOKUP(C2059,[1]StuntDes!$B:$B,[1]StuntDes!$C:$C)),"")</f>
        <v/>
      </c>
      <c r="L2059">
        <f t="shared" si="85"/>
        <v>1</v>
      </c>
      <c r="M2059" s="10" t="str">
        <f>IFERROR(_xlfn.XLOOKUP(C2059,[1]StuntDes!$B:$B,[1]StuntDes!$A:$A),"")</f>
        <v/>
      </c>
      <c r="N2059" s="10" t="str">
        <f>IFERROR(_xlfn.XLOOKUP(C2059,[1]ModifierDes!$B:$B,[1]ModifierDes!$A:$A),"")</f>
        <v/>
      </c>
      <c r="O2059" s="10">
        <f>IFERROR(_xlfn.XLOOKUP(C2059,[1]AttributeName!$C:$C,[1]AttributeName!$B:$B),"")</f>
        <v>10017</v>
      </c>
      <c r="P2059" s="10"/>
      <c r="Q2059">
        <v>30</v>
      </c>
      <c r="R2059">
        <v>39</v>
      </c>
      <c r="S2059" cm="1">
        <f t="array" ref="S2059">IFERROR(_xlfn.SWITCH(L2059,1,_xlfn.XLOOKUP(O2059,[1]AttributeName!$B:$B,[1]AttributeName!$D:$D),2,_xlfn.XLOOKUP(C2059,#REF!,#REF!),3,_xlfn.XLOOKUP(C2059,#REF!,#REF!)),0)</f>
        <v>0</v>
      </c>
      <c r="T2059" cm="1">
        <f t="array" ref="T2059">IFERROR(_xlfn.SWITCH(L2059,1,_xlfn.XLOOKUP(O2059,[1]AttributeName!$B:$B,[1]AttributeName!$E:$E),2,_xlfn.XLOOKUP(C2059,#REF!,#REF!),3,_xlfn.XLOOKUP(C2059,#REF!,#REF!)),0)</f>
        <v>1</v>
      </c>
    </row>
    <row r="2060" customFormat="1" spans="1:20">
      <c r="A2060">
        <f t="shared" si="86"/>
        <v>862</v>
      </c>
      <c r="B2060">
        <v>7</v>
      </c>
      <c r="C2060" t="s">
        <v>439</v>
      </c>
      <c r="D2060" t="s">
        <v>31</v>
      </c>
      <c r="E2060" s="13" t="s">
        <v>392</v>
      </c>
      <c r="F2060"/>
      <c r="G2060">
        <v>2</v>
      </c>
      <c r="H2060">
        <v>1000</v>
      </c>
      <c r="J2060" cm="1">
        <f t="array" ref="J2060">_xlfn.SWITCH(B2060,1,75,2,61,3,49,4,37,5,25,6,13,7,4,8,1)</f>
        <v>4</v>
      </c>
      <c r="K2060" t="str" cm="1">
        <f t="array" ref="K2060">IFERROR(_xlfn.SWITCH(L2060,2,_xlfn.XLOOKUP(C2060,[1]ModifierDes!$B:$B,[1]ModifierDes!$C:$C),3,_xlfn.XLOOKUP(C2060,[1]StuntDes!$B:$B,[1]StuntDes!$C:$C)),"")</f>
        <v/>
      </c>
      <c r="L2060">
        <f t="shared" si="85"/>
        <v>1</v>
      </c>
      <c r="M2060" s="10" t="str">
        <f>IFERROR(_xlfn.XLOOKUP(C2060,[1]StuntDes!$B:$B,[1]StuntDes!$A:$A),"")</f>
        <v/>
      </c>
      <c r="N2060" s="10" t="str">
        <f>IFERROR(_xlfn.XLOOKUP(C2060,[1]ModifierDes!$B:$B,[1]ModifierDes!$A:$A),"")</f>
        <v/>
      </c>
      <c r="O2060" s="10">
        <f>IFERROR(_xlfn.XLOOKUP(C2060,[1]AttributeName!$C:$C,[1]AttributeName!$B:$B),"")</f>
        <v>10017</v>
      </c>
      <c r="P2060" s="10"/>
      <c r="Q2060">
        <v>20</v>
      </c>
      <c r="R2060">
        <v>29</v>
      </c>
      <c r="S2060" cm="1">
        <f t="array" ref="S2060">IFERROR(_xlfn.SWITCH(L2060,1,_xlfn.XLOOKUP(O2060,[1]AttributeName!$B:$B,[1]AttributeName!$D:$D),2,_xlfn.XLOOKUP(C2060,#REF!,#REF!),3,_xlfn.XLOOKUP(C2060,#REF!,#REF!)),0)</f>
        <v>0</v>
      </c>
      <c r="T2060" cm="1">
        <f t="array" ref="T2060">IFERROR(_xlfn.SWITCH(L2060,1,_xlfn.XLOOKUP(O2060,[1]AttributeName!$B:$B,[1]AttributeName!$E:$E),2,_xlfn.XLOOKUP(C2060,#REF!,#REF!),3,_xlfn.XLOOKUP(C2060,#REF!,#REF!)),0)</f>
        <v>1</v>
      </c>
    </row>
    <row r="2061" customFormat="1" spans="1:20">
      <c r="A2061">
        <f t="shared" si="86"/>
        <v>862</v>
      </c>
      <c r="B2061">
        <v>8</v>
      </c>
      <c r="C2061" t="s">
        <v>439</v>
      </c>
      <c r="D2061" t="s">
        <v>31</v>
      </c>
      <c r="E2061" s="13" t="s">
        <v>392</v>
      </c>
      <c r="F2061"/>
      <c r="G2061">
        <v>2</v>
      </c>
      <c r="H2061">
        <v>1000</v>
      </c>
      <c r="J2061" cm="1">
        <f t="array" ref="J2061">_xlfn.SWITCH(B2061,1,75,2,61,3,49,4,37,5,25,6,13,7,4,8,1)</f>
        <v>1</v>
      </c>
      <c r="K2061" t="str" cm="1">
        <f t="array" ref="K2061">IFERROR(_xlfn.SWITCH(L2061,2,_xlfn.XLOOKUP(C2061,[1]ModifierDes!$B:$B,[1]ModifierDes!$C:$C),3,_xlfn.XLOOKUP(C2061,[1]StuntDes!$B:$B,[1]StuntDes!$C:$C)),"")</f>
        <v/>
      </c>
      <c r="L2061">
        <f t="shared" si="85"/>
        <v>1</v>
      </c>
      <c r="M2061" s="10" t="str">
        <f>IFERROR(_xlfn.XLOOKUP(C2061,[1]StuntDes!$B:$B,[1]StuntDes!$A:$A),"")</f>
        <v/>
      </c>
      <c r="N2061" s="10" t="str">
        <f>IFERROR(_xlfn.XLOOKUP(C2061,[1]ModifierDes!$B:$B,[1]ModifierDes!$A:$A),"")</f>
        <v/>
      </c>
      <c r="O2061" s="10">
        <f>IFERROR(_xlfn.XLOOKUP(C2061,[1]AttributeName!$C:$C,[1]AttributeName!$B:$B),"")</f>
        <v>10017</v>
      </c>
      <c r="P2061" s="10"/>
      <c r="Q2061">
        <v>10</v>
      </c>
      <c r="R2061">
        <v>19</v>
      </c>
      <c r="S2061" cm="1">
        <f t="array" ref="S2061">IFERROR(_xlfn.SWITCH(L2061,1,_xlfn.XLOOKUP(O2061,[1]AttributeName!$B:$B,[1]AttributeName!$D:$D),2,_xlfn.XLOOKUP(C2061,#REF!,#REF!),3,_xlfn.XLOOKUP(C2061,#REF!,#REF!)),0)</f>
        <v>0</v>
      </c>
      <c r="T2061" cm="1">
        <f t="array" ref="T2061">IFERROR(_xlfn.SWITCH(L2061,1,_xlfn.XLOOKUP(O2061,[1]AttributeName!$B:$B,[1]AttributeName!$E:$E),2,_xlfn.XLOOKUP(C2061,#REF!,#REF!),3,_xlfn.XLOOKUP(C2061,#REF!,#REF!)),0)</f>
        <v>1</v>
      </c>
    </row>
    <row r="2062" customFormat="1" spans="1:20">
      <c r="A2062">
        <f t="shared" si="86"/>
        <v>863</v>
      </c>
      <c r="B2062">
        <v>1</v>
      </c>
      <c r="C2062" t="s">
        <v>440</v>
      </c>
      <c r="D2062" t="s">
        <v>31</v>
      </c>
      <c r="E2062" s="13" t="s">
        <v>392</v>
      </c>
      <c r="F2062"/>
      <c r="G2062">
        <v>2</v>
      </c>
      <c r="H2062">
        <v>250</v>
      </c>
      <c r="J2062" cm="1">
        <f t="array" ref="J2062">_xlfn.SWITCH(B2062,1,75,2,61,3,49,4,37,5,25,6,13,7,4,8,1)</f>
        <v>75</v>
      </c>
      <c r="K2062" t="str" cm="1">
        <f t="array" ref="K2062">IFERROR(_xlfn.SWITCH(L2062,2,_xlfn.XLOOKUP(C2062,[1]ModifierDes!$B:$B,[1]ModifierDes!$C:$C),3,_xlfn.XLOOKUP(C2062,[1]StuntDes!$B:$B,[1]StuntDes!$C:$C)),"")</f>
        <v/>
      </c>
      <c r="L2062">
        <f t="shared" si="85"/>
        <v>1</v>
      </c>
      <c r="M2062" s="10" t="str">
        <f>IFERROR(_xlfn.XLOOKUP(C2062,[1]StuntDes!$B:$B,[1]StuntDes!$A:$A),"")</f>
        <v/>
      </c>
      <c r="N2062" s="10" t="str">
        <f>IFERROR(_xlfn.XLOOKUP(C2062,[1]ModifierDes!$B:$B,[1]ModifierDes!$A:$A),"")</f>
        <v/>
      </c>
      <c r="O2062" s="10">
        <f>IFERROR(_xlfn.XLOOKUP(C2062,[1]AttributeName!$C:$C,[1]AttributeName!$B:$B),"")</f>
        <v>10016</v>
      </c>
      <c r="P2062" s="10"/>
      <c r="Q2062">
        <v>22</v>
      </c>
      <c r="R2062">
        <v>24</v>
      </c>
      <c r="S2062" cm="1">
        <f t="array" ref="S2062">IFERROR(_xlfn.SWITCH(L2062,1,_xlfn.XLOOKUP(O2062,[1]AttributeName!$B:$B,[1]AttributeName!$D:$D),2,_xlfn.XLOOKUP(C2062,#REF!,#REF!),3,_xlfn.XLOOKUP(C2062,#REF!,#REF!)),0)</f>
        <v>0</v>
      </c>
      <c r="T2062" cm="1">
        <f t="array" ref="T2062">IFERROR(_xlfn.SWITCH(L2062,1,_xlfn.XLOOKUP(O2062,[1]AttributeName!$B:$B,[1]AttributeName!$E:$E),2,_xlfn.XLOOKUP(C2062,#REF!,#REF!),3,_xlfn.XLOOKUP(C2062,#REF!,#REF!)),0)</f>
        <v>1</v>
      </c>
    </row>
    <row r="2063" customFormat="1" spans="1:20">
      <c r="A2063">
        <f t="shared" si="86"/>
        <v>863</v>
      </c>
      <c r="B2063">
        <v>2</v>
      </c>
      <c r="C2063" t="s">
        <v>440</v>
      </c>
      <c r="D2063" t="s">
        <v>31</v>
      </c>
      <c r="E2063" s="13" t="s">
        <v>392</v>
      </c>
      <c r="F2063"/>
      <c r="G2063">
        <v>2</v>
      </c>
      <c r="H2063">
        <v>500</v>
      </c>
      <c r="J2063" cm="1">
        <f t="array" ref="J2063">_xlfn.SWITCH(B2063,1,75,2,61,3,49,4,37,5,25,6,13,7,4,8,1)</f>
        <v>61</v>
      </c>
      <c r="K2063" t="str" cm="1">
        <f t="array" ref="K2063">IFERROR(_xlfn.SWITCH(L2063,2,_xlfn.XLOOKUP(C2063,[1]ModifierDes!$B:$B,[1]ModifierDes!$C:$C),3,_xlfn.XLOOKUP(C2063,[1]StuntDes!$B:$B,[1]StuntDes!$C:$C)),"")</f>
        <v/>
      </c>
      <c r="L2063">
        <f t="shared" si="85"/>
        <v>1</v>
      </c>
      <c r="M2063" s="10" t="str">
        <f>IFERROR(_xlfn.XLOOKUP(C2063,[1]StuntDes!$B:$B,[1]StuntDes!$A:$A),"")</f>
        <v/>
      </c>
      <c r="N2063" s="10" t="str">
        <f>IFERROR(_xlfn.XLOOKUP(C2063,[1]ModifierDes!$B:$B,[1]ModifierDes!$A:$A),"")</f>
        <v/>
      </c>
      <c r="O2063" s="10">
        <f>IFERROR(_xlfn.XLOOKUP(C2063,[1]AttributeName!$C:$C,[1]AttributeName!$B:$B),"")</f>
        <v>10016</v>
      </c>
      <c r="P2063" s="10"/>
      <c r="Q2063">
        <v>19</v>
      </c>
      <c r="R2063">
        <v>21</v>
      </c>
      <c r="S2063" cm="1">
        <f t="array" ref="S2063">IFERROR(_xlfn.SWITCH(L2063,1,_xlfn.XLOOKUP(O2063,[1]AttributeName!$B:$B,[1]AttributeName!$D:$D),2,_xlfn.XLOOKUP(C2063,#REF!,#REF!),3,_xlfn.XLOOKUP(C2063,#REF!,#REF!)),0)</f>
        <v>0</v>
      </c>
      <c r="T2063" cm="1">
        <f t="array" ref="T2063">IFERROR(_xlfn.SWITCH(L2063,1,_xlfn.XLOOKUP(O2063,[1]AttributeName!$B:$B,[1]AttributeName!$E:$E),2,_xlfn.XLOOKUP(C2063,#REF!,#REF!),3,_xlfn.XLOOKUP(C2063,#REF!,#REF!)),0)</f>
        <v>1</v>
      </c>
    </row>
    <row r="2064" customFormat="1" spans="1:20">
      <c r="A2064">
        <f t="shared" si="86"/>
        <v>863</v>
      </c>
      <c r="B2064">
        <v>3</v>
      </c>
      <c r="C2064" t="s">
        <v>440</v>
      </c>
      <c r="D2064" t="s">
        <v>31</v>
      </c>
      <c r="E2064" s="13" t="s">
        <v>392</v>
      </c>
      <c r="F2064"/>
      <c r="G2064">
        <v>2</v>
      </c>
      <c r="H2064">
        <v>750</v>
      </c>
      <c r="J2064" cm="1">
        <f t="array" ref="J2064">_xlfn.SWITCH(B2064,1,75,2,61,3,49,4,37,5,25,6,13,7,4,8,1)</f>
        <v>49</v>
      </c>
      <c r="K2064" t="str" cm="1">
        <f t="array" ref="K2064">IFERROR(_xlfn.SWITCH(L2064,2,_xlfn.XLOOKUP(C2064,[1]ModifierDes!$B:$B,[1]ModifierDes!$C:$C),3,_xlfn.XLOOKUP(C2064,[1]StuntDes!$B:$B,[1]StuntDes!$C:$C)),"")</f>
        <v/>
      </c>
      <c r="L2064">
        <f t="shared" si="85"/>
        <v>1</v>
      </c>
      <c r="M2064" s="10" t="str">
        <f>IFERROR(_xlfn.XLOOKUP(C2064,[1]StuntDes!$B:$B,[1]StuntDes!$A:$A),"")</f>
        <v/>
      </c>
      <c r="N2064" s="10" t="str">
        <f>IFERROR(_xlfn.XLOOKUP(C2064,[1]ModifierDes!$B:$B,[1]ModifierDes!$A:$A),"")</f>
        <v/>
      </c>
      <c r="O2064" s="10">
        <f>IFERROR(_xlfn.XLOOKUP(C2064,[1]AttributeName!$C:$C,[1]AttributeName!$B:$B),"")</f>
        <v>10016</v>
      </c>
      <c r="P2064" s="10"/>
      <c r="Q2064">
        <v>16</v>
      </c>
      <c r="R2064">
        <v>18</v>
      </c>
      <c r="S2064" cm="1">
        <f t="array" ref="S2064">IFERROR(_xlfn.SWITCH(L2064,1,_xlfn.XLOOKUP(O2064,[1]AttributeName!$B:$B,[1]AttributeName!$D:$D),2,_xlfn.XLOOKUP(C2064,#REF!,#REF!),3,_xlfn.XLOOKUP(C2064,#REF!,#REF!)),0)</f>
        <v>0</v>
      </c>
      <c r="T2064" cm="1">
        <f t="array" ref="T2064">IFERROR(_xlfn.SWITCH(L2064,1,_xlfn.XLOOKUP(O2064,[1]AttributeName!$B:$B,[1]AttributeName!$E:$E),2,_xlfn.XLOOKUP(C2064,#REF!,#REF!),3,_xlfn.XLOOKUP(C2064,#REF!,#REF!)),0)</f>
        <v>1</v>
      </c>
    </row>
    <row r="2065" customFormat="1" spans="1:20">
      <c r="A2065">
        <f t="shared" si="86"/>
        <v>863</v>
      </c>
      <c r="B2065">
        <v>4</v>
      </c>
      <c r="C2065" t="s">
        <v>440</v>
      </c>
      <c r="D2065" t="s">
        <v>31</v>
      </c>
      <c r="E2065" s="13" t="s">
        <v>392</v>
      </c>
      <c r="F2065"/>
      <c r="G2065">
        <v>2</v>
      </c>
      <c r="H2065">
        <v>1000</v>
      </c>
      <c r="J2065" cm="1">
        <f t="array" ref="J2065">_xlfn.SWITCH(B2065,1,75,2,61,3,49,4,37,5,25,6,13,7,4,8,1)</f>
        <v>37</v>
      </c>
      <c r="K2065" t="str" cm="1">
        <f t="array" ref="K2065">IFERROR(_xlfn.SWITCH(L2065,2,_xlfn.XLOOKUP(C2065,[1]ModifierDes!$B:$B,[1]ModifierDes!$C:$C),3,_xlfn.XLOOKUP(C2065,[1]StuntDes!$B:$B,[1]StuntDes!$C:$C)),"")</f>
        <v/>
      </c>
      <c r="L2065">
        <f t="shared" si="85"/>
        <v>1</v>
      </c>
      <c r="M2065" s="10" t="str">
        <f>IFERROR(_xlfn.XLOOKUP(C2065,[1]StuntDes!$B:$B,[1]StuntDes!$A:$A),"")</f>
        <v/>
      </c>
      <c r="N2065" s="10" t="str">
        <f>IFERROR(_xlfn.XLOOKUP(C2065,[1]ModifierDes!$B:$B,[1]ModifierDes!$A:$A),"")</f>
        <v/>
      </c>
      <c r="O2065" s="10">
        <f>IFERROR(_xlfn.XLOOKUP(C2065,[1]AttributeName!$C:$C,[1]AttributeName!$B:$B),"")</f>
        <v>10016</v>
      </c>
      <c r="P2065" s="10"/>
      <c r="Q2065">
        <v>13</v>
      </c>
      <c r="R2065">
        <v>15</v>
      </c>
      <c r="S2065" cm="1">
        <f t="array" ref="S2065">IFERROR(_xlfn.SWITCH(L2065,1,_xlfn.XLOOKUP(O2065,[1]AttributeName!$B:$B,[1]AttributeName!$D:$D),2,_xlfn.XLOOKUP(C2065,#REF!,#REF!),3,_xlfn.XLOOKUP(C2065,#REF!,#REF!)),0)</f>
        <v>0</v>
      </c>
      <c r="T2065" cm="1">
        <f t="array" ref="T2065">IFERROR(_xlfn.SWITCH(L2065,1,_xlfn.XLOOKUP(O2065,[1]AttributeName!$B:$B,[1]AttributeName!$E:$E),2,_xlfn.XLOOKUP(C2065,#REF!,#REF!),3,_xlfn.XLOOKUP(C2065,#REF!,#REF!)),0)</f>
        <v>1</v>
      </c>
    </row>
    <row r="2066" customFormat="1" spans="1:20">
      <c r="A2066">
        <f t="shared" si="86"/>
        <v>863</v>
      </c>
      <c r="B2066">
        <v>5</v>
      </c>
      <c r="C2066" t="s">
        <v>440</v>
      </c>
      <c r="D2066" t="s">
        <v>31</v>
      </c>
      <c r="E2066" s="13" t="s">
        <v>392</v>
      </c>
      <c r="F2066"/>
      <c r="G2066">
        <v>2</v>
      </c>
      <c r="H2066">
        <v>1000</v>
      </c>
      <c r="J2066" cm="1">
        <f t="array" ref="J2066">_xlfn.SWITCH(B2066,1,75,2,61,3,49,4,37,5,25,6,13,7,4,8,1)</f>
        <v>25</v>
      </c>
      <c r="K2066" t="str" cm="1">
        <f t="array" ref="K2066">IFERROR(_xlfn.SWITCH(L2066,2,_xlfn.XLOOKUP(C2066,[1]ModifierDes!$B:$B,[1]ModifierDes!$C:$C),3,_xlfn.XLOOKUP(C2066,[1]StuntDes!$B:$B,[1]StuntDes!$C:$C)),"")</f>
        <v/>
      </c>
      <c r="L2066">
        <f t="shared" si="85"/>
        <v>1</v>
      </c>
      <c r="M2066" s="10" t="str">
        <f>IFERROR(_xlfn.XLOOKUP(C2066,[1]StuntDes!$B:$B,[1]StuntDes!$A:$A),"")</f>
        <v/>
      </c>
      <c r="N2066" s="10" t="str">
        <f>IFERROR(_xlfn.XLOOKUP(C2066,[1]ModifierDes!$B:$B,[1]ModifierDes!$A:$A),"")</f>
        <v/>
      </c>
      <c r="O2066" s="10">
        <f>IFERROR(_xlfn.XLOOKUP(C2066,[1]AttributeName!$C:$C,[1]AttributeName!$B:$B),"")</f>
        <v>10016</v>
      </c>
      <c r="P2066" s="10"/>
      <c r="Q2066">
        <v>10</v>
      </c>
      <c r="R2066">
        <v>12</v>
      </c>
      <c r="S2066" cm="1">
        <f t="array" ref="S2066">IFERROR(_xlfn.SWITCH(L2066,1,_xlfn.XLOOKUP(O2066,[1]AttributeName!$B:$B,[1]AttributeName!$D:$D),2,_xlfn.XLOOKUP(C2066,#REF!,#REF!),3,_xlfn.XLOOKUP(C2066,#REF!,#REF!)),0)</f>
        <v>0</v>
      </c>
      <c r="T2066" cm="1">
        <f t="array" ref="T2066">IFERROR(_xlfn.SWITCH(L2066,1,_xlfn.XLOOKUP(O2066,[1]AttributeName!$B:$B,[1]AttributeName!$E:$E),2,_xlfn.XLOOKUP(C2066,#REF!,#REF!),3,_xlfn.XLOOKUP(C2066,#REF!,#REF!)),0)</f>
        <v>1</v>
      </c>
    </row>
    <row r="2067" customFormat="1" spans="1:20">
      <c r="A2067">
        <f t="shared" si="86"/>
        <v>863</v>
      </c>
      <c r="B2067">
        <v>6</v>
      </c>
      <c r="C2067" t="s">
        <v>440</v>
      </c>
      <c r="D2067" t="s">
        <v>31</v>
      </c>
      <c r="E2067" s="13" t="s">
        <v>392</v>
      </c>
      <c r="F2067"/>
      <c r="G2067">
        <v>2</v>
      </c>
      <c r="H2067">
        <v>1000</v>
      </c>
      <c r="J2067" cm="1">
        <f t="array" ref="J2067">_xlfn.SWITCH(B2067,1,75,2,61,3,49,4,37,5,25,6,13,7,4,8,1)</f>
        <v>13</v>
      </c>
      <c r="K2067" t="str" cm="1">
        <f t="array" ref="K2067">IFERROR(_xlfn.SWITCH(L2067,2,_xlfn.XLOOKUP(C2067,[1]ModifierDes!$B:$B,[1]ModifierDes!$C:$C),3,_xlfn.XLOOKUP(C2067,[1]StuntDes!$B:$B,[1]StuntDes!$C:$C)),"")</f>
        <v/>
      </c>
      <c r="L2067">
        <f t="shared" si="85"/>
        <v>1</v>
      </c>
      <c r="M2067" s="10" t="str">
        <f>IFERROR(_xlfn.XLOOKUP(C2067,[1]StuntDes!$B:$B,[1]StuntDes!$A:$A),"")</f>
        <v/>
      </c>
      <c r="N2067" s="10" t="str">
        <f>IFERROR(_xlfn.XLOOKUP(C2067,[1]ModifierDes!$B:$B,[1]ModifierDes!$A:$A),"")</f>
        <v/>
      </c>
      <c r="O2067" s="10">
        <f>IFERROR(_xlfn.XLOOKUP(C2067,[1]AttributeName!$C:$C,[1]AttributeName!$B:$B),"")</f>
        <v>10016</v>
      </c>
      <c r="P2067" s="10"/>
      <c r="Q2067">
        <v>7</v>
      </c>
      <c r="R2067">
        <v>9</v>
      </c>
      <c r="S2067" cm="1">
        <f t="array" ref="S2067">IFERROR(_xlfn.SWITCH(L2067,1,_xlfn.XLOOKUP(O2067,[1]AttributeName!$B:$B,[1]AttributeName!$D:$D),2,_xlfn.XLOOKUP(C2067,#REF!,#REF!),3,_xlfn.XLOOKUP(C2067,#REF!,#REF!)),0)</f>
        <v>0</v>
      </c>
      <c r="T2067" cm="1">
        <f t="array" ref="T2067">IFERROR(_xlfn.SWITCH(L2067,1,_xlfn.XLOOKUP(O2067,[1]AttributeName!$B:$B,[1]AttributeName!$E:$E),2,_xlfn.XLOOKUP(C2067,#REF!,#REF!),3,_xlfn.XLOOKUP(C2067,#REF!,#REF!)),0)</f>
        <v>1</v>
      </c>
    </row>
    <row r="2068" customFormat="1" spans="1:20">
      <c r="A2068">
        <f t="shared" si="86"/>
        <v>863</v>
      </c>
      <c r="B2068">
        <v>7</v>
      </c>
      <c r="C2068" t="s">
        <v>440</v>
      </c>
      <c r="D2068" t="s">
        <v>31</v>
      </c>
      <c r="E2068" s="13" t="s">
        <v>392</v>
      </c>
      <c r="F2068"/>
      <c r="G2068">
        <v>2</v>
      </c>
      <c r="H2068">
        <v>1000</v>
      </c>
      <c r="J2068" cm="1">
        <f t="array" ref="J2068">_xlfn.SWITCH(B2068,1,75,2,61,3,49,4,37,5,25,6,13,7,4,8,1)</f>
        <v>4</v>
      </c>
      <c r="K2068" t="str" cm="1">
        <f t="array" ref="K2068">IFERROR(_xlfn.SWITCH(L2068,2,_xlfn.XLOOKUP(C2068,[1]ModifierDes!$B:$B,[1]ModifierDes!$C:$C),3,_xlfn.XLOOKUP(C2068,[1]StuntDes!$B:$B,[1]StuntDes!$C:$C)),"")</f>
        <v/>
      </c>
      <c r="L2068">
        <f t="shared" si="85"/>
        <v>1</v>
      </c>
      <c r="M2068" s="10" t="str">
        <f>IFERROR(_xlfn.XLOOKUP(C2068,[1]StuntDes!$B:$B,[1]StuntDes!$A:$A),"")</f>
        <v/>
      </c>
      <c r="N2068" s="10" t="str">
        <f>IFERROR(_xlfn.XLOOKUP(C2068,[1]ModifierDes!$B:$B,[1]ModifierDes!$A:$A),"")</f>
        <v/>
      </c>
      <c r="O2068" s="10">
        <f>IFERROR(_xlfn.XLOOKUP(C2068,[1]AttributeName!$C:$C,[1]AttributeName!$B:$B),"")</f>
        <v>10016</v>
      </c>
      <c r="P2068" s="10"/>
      <c r="Q2068">
        <v>4</v>
      </c>
      <c r="R2068">
        <v>6</v>
      </c>
      <c r="S2068" cm="1">
        <f t="array" ref="S2068">IFERROR(_xlfn.SWITCH(L2068,1,_xlfn.XLOOKUP(O2068,[1]AttributeName!$B:$B,[1]AttributeName!$D:$D),2,_xlfn.XLOOKUP(C2068,#REF!,#REF!),3,_xlfn.XLOOKUP(C2068,#REF!,#REF!)),0)</f>
        <v>0</v>
      </c>
      <c r="T2068" cm="1">
        <f t="array" ref="T2068">IFERROR(_xlfn.SWITCH(L2068,1,_xlfn.XLOOKUP(O2068,[1]AttributeName!$B:$B,[1]AttributeName!$E:$E),2,_xlfn.XLOOKUP(C2068,#REF!,#REF!),3,_xlfn.XLOOKUP(C2068,#REF!,#REF!)),0)</f>
        <v>1</v>
      </c>
    </row>
    <row r="2069" customFormat="1" spans="1:20">
      <c r="A2069">
        <f t="shared" si="86"/>
        <v>863</v>
      </c>
      <c r="B2069">
        <v>8</v>
      </c>
      <c r="C2069" t="s">
        <v>440</v>
      </c>
      <c r="D2069" t="s">
        <v>31</v>
      </c>
      <c r="E2069" s="13" t="s">
        <v>392</v>
      </c>
      <c r="F2069"/>
      <c r="G2069">
        <v>2</v>
      </c>
      <c r="H2069">
        <v>1000</v>
      </c>
      <c r="J2069" cm="1">
        <f t="array" ref="J2069">_xlfn.SWITCH(B2069,1,75,2,61,3,49,4,37,5,25,6,13,7,4,8,1)</f>
        <v>1</v>
      </c>
      <c r="K2069" t="str" cm="1">
        <f t="array" ref="K2069">IFERROR(_xlfn.SWITCH(L2069,2,_xlfn.XLOOKUP(C2069,[1]ModifierDes!$B:$B,[1]ModifierDes!$C:$C),3,_xlfn.XLOOKUP(C2069,[1]StuntDes!$B:$B,[1]StuntDes!$C:$C)),"")</f>
        <v/>
      </c>
      <c r="L2069">
        <f t="shared" si="85"/>
        <v>1</v>
      </c>
      <c r="M2069" s="10" t="str">
        <f>IFERROR(_xlfn.XLOOKUP(C2069,[1]StuntDes!$B:$B,[1]StuntDes!$A:$A),"")</f>
        <v/>
      </c>
      <c r="N2069" s="10" t="str">
        <f>IFERROR(_xlfn.XLOOKUP(C2069,[1]ModifierDes!$B:$B,[1]ModifierDes!$A:$A),"")</f>
        <v/>
      </c>
      <c r="O2069" s="10">
        <f>IFERROR(_xlfn.XLOOKUP(C2069,[1]AttributeName!$C:$C,[1]AttributeName!$B:$B),"")</f>
        <v>10016</v>
      </c>
      <c r="P2069" s="10"/>
      <c r="Q2069">
        <v>1</v>
      </c>
      <c r="R2069">
        <v>3</v>
      </c>
      <c r="S2069" cm="1">
        <f t="array" ref="S2069">IFERROR(_xlfn.SWITCH(L2069,1,_xlfn.XLOOKUP(O2069,[1]AttributeName!$B:$B,[1]AttributeName!$D:$D),2,_xlfn.XLOOKUP(C2069,#REF!,#REF!),3,_xlfn.XLOOKUP(C2069,#REF!,#REF!)),0)</f>
        <v>0</v>
      </c>
      <c r="T2069" cm="1">
        <f t="array" ref="T2069">IFERROR(_xlfn.SWITCH(L2069,1,_xlfn.XLOOKUP(O2069,[1]AttributeName!$B:$B,[1]AttributeName!$E:$E),2,_xlfn.XLOOKUP(C2069,#REF!,#REF!),3,_xlfn.XLOOKUP(C2069,#REF!,#REF!)),0)</f>
        <v>1</v>
      </c>
    </row>
    <row r="2070" customFormat="1" spans="1:20">
      <c r="A2070">
        <f t="shared" si="86"/>
        <v>864</v>
      </c>
      <c r="B2070">
        <v>1</v>
      </c>
      <c r="C2070" t="s">
        <v>441</v>
      </c>
      <c r="D2070" t="s">
        <v>31</v>
      </c>
      <c r="E2070" s="13" t="s">
        <v>392</v>
      </c>
      <c r="F2070"/>
      <c r="G2070">
        <v>2</v>
      </c>
      <c r="H2070">
        <v>250</v>
      </c>
      <c r="J2070" cm="1">
        <f t="array" ref="J2070">_xlfn.SWITCH(B2070,1,75,2,61,3,49,4,37,5,25,6,13,7,4,8,1)</f>
        <v>75</v>
      </c>
      <c r="K2070" t="str" cm="1">
        <f t="array" ref="K2070">IFERROR(_xlfn.SWITCH(L2070,2,_xlfn.XLOOKUP(C2070,[1]ModifierDes!$B:$B,[1]ModifierDes!$C:$C),3,_xlfn.XLOOKUP(C2070,[1]StuntDes!$B:$B,[1]StuntDes!$C:$C)),"")</f>
        <v/>
      </c>
      <c r="L2070">
        <f t="shared" si="85"/>
        <v>1</v>
      </c>
      <c r="M2070" s="10" t="str">
        <f>IFERROR(_xlfn.XLOOKUP(C2070,[1]StuntDes!$B:$B,[1]StuntDes!$A:$A),"")</f>
        <v/>
      </c>
      <c r="N2070" s="10" t="str">
        <f>IFERROR(_xlfn.XLOOKUP(C2070,[1]ModifierDes!$B:$B,[1]ModifierDes!$A:$A),"")</f>
        <v/>
      </c>
      <c r="O2070" s="10">
        <f>IFERROR(_xlfn.XLOOKUP(C2070,[1]AttributeName!$C:$C,[1]AttributeName!$B:$B),"")</f>
        <v>10018</v>
      </c>
      <c r="P2070" s="10"/>
      <c r="Q2070">
        <v>22</v>
      </c>
      <c r="R2070">
        <v>24</v>
      </c>
      <c r="S2070" cm="1">
        <f t="array" ref="S2070">IFERROR(_xlfn.SWITCH(L2070,1,_xlfn.XLOOKUP(O2070,[1]AttributeName!$B:$B,[1]AttributeName!$D:$D),2,_xlfn.XLOOKUP(C2070,#REF!,#REF!),3,_xlfn.XLOOKUP(C2070,#REF!,#REF!)),0)</f>
        <v>0</v>
      </c>
      <c r="T2070" cm="1">
        <f t="array" ref="T2070">IFERROR(_xlfn.SWITCH(L2070,1,_xlfn.XLOOKUP(O2070,[1]AttributeName!$B:$B,[1]AttributeName!$E:$E),2,_xlfn.XLOOKUP(C2070,#REF!,#REF!),3,_xlfn.XLOOKUP(C2070,#REF!,#REF!)),0)</f>
        <v>1</v>
      </c>
    </row>
    <row r="2071" customFormat="1" spans="1:20">
      <c r="A2071">
        <f t="shared" si="86"/>
        <v>864</v>
      </c>
      <c r="B2071">
        <v>2</v>
      </c>
      <c r="C2071" t="s">
        <v>441</v>
      </c>
      <c r="D2071" t="s">
        <v>31</v>
      </c>
      <c r="E2071" s="13" t="s">
        <v>392</v>
      </c>
      <c r="F2071"/>
      <c r="G2071">
        <v>2</v>
      </c>
      <c r="H2071">
        <v>500</v>
      </c>
      <c r="J2071" cm="1">
        <f t="array" ref="J2071">_xlfn.SWITCH(B2071,1,75,2,61,3,49,4,37,5,25,6,13,7,4,8,1)</f>
        <v>61</v>
      </c>
      <c r="K2071" t="str" cm="1">
        <f t="array" ref="K2071">IFERROR(_xlfn.SWITCH(L2071,2,_xlfn.XLOOKUP(C2071,[1]ModifierDes!$B:$B,[1]ModifierDes!$C:$C),3,_xlfn.XLOOKUP(C2071,[1]StuntDes!$B:$B,[1]StuntDes!$C:$C)),"")</f>
        <v/>
      </c>
      <c r="L2071">
        <f t="shared" si="85"/>
        <v>1</v>
      </c>
      <c r="M2071" s="10" t="str">
        <f>IFERROR(_xlfn.XLOOKUP(C2071,[1]StuntDes!$B:$B,[1]StuntDes!$A:$A),"")</f>
        <v/>
      </c>
      <c r="N2071" s="10" t="str">
        <f>IFERROR(_xlfn.XLOOKUP(C2071,[1]ModifierDes!$B:$B,[1]ModifierDes!$A:$A),"")</f>
        <v/>
      </c>
      <c r="O2071" s="10">
        <f>IFERROR(_xlfn.XLOOKUP(C2071,[1]AttributeName!$C:$C,[1]AttributeName!$B:$B),"")</f>
        <v>10018</v>
      </c>
      <c r="P2071" s="10"/>
      <c r="Q2071">
        <v>19</v>
      </c>
      <c r="R2071">
        <v>21</v>
      </c>
      <c r="S2071" cm="1">
        <f t="array" ref="S2071">IFERROR(_xlfn.SWITCH(L2071,1,_xlfn.XLOOKUP(O2071,[1]AttributeName!$B:$B,[1]AttributeName!$D:$D),2,_xlfn.XLOOKUP(C2071,#REF!,#REF!),3,_xlfn.XLOOKUP(C2071,#REF!,#REF!)),0)</f>
        <v>0</v>
      </c>
      <c r="T2071" cm="1">
        <f t="array" ref="T2071">IFERROR(_xlfn.SWITCH(L2071,1,_xlfn.XLOOKUP(O2071,[1]AttributeName!$B:$B,[1]AttributeName!$E:$E),2,_xlfn.XLOOKUP(C2071,#REF!,#REF!),3,_xlfn.XLOOKUP(C2071,#REF!,#REF!)),0)</f>
        <v>1</v>
      </c>
    </row>
    <row r="2072" customFormat="1" spans="1:20">
      <c r="A2072">
        <f t="shared" si="86"/>
        <v>864</v>
      </c>
      <c r="B2072">
        <v>3</v>
      </c>
      <c r="C2072" t="s">
        <v>441</v>
      </c>
      <c r="D2072" t="s">
        <v>31</v>
      </c>
      <c r="E2072" s="13" t="s">
        <v>392</v>
      </c>
      <c r="F2072"/>
      <c r="G2072">
        <v>2</v>
      </c>
      <c r="H2072">
        <v>750</v>
      </c>
      <c r="J2072" cm="1">
        <f t="array" ref="J2072">_xlfn.SWITCH(B2072,1,75,2,61,3,49,4,37,5,25,6,13,7,4,8,1)</f>
        <v>49</v>
      </c>
      <c r="K2072" t="str" cm="1">
        <f t="array" ref="K2072">IFERROR(_xlfn.SWITCH(L2072,2,_xlfn.XLOOKUP(C2072,[1]ModifierDes!$B:$B,[1]ModifierDes!$C:$C),3,_xlfn.XLOOKUP(C2072,[1]StuntDes!$B:$B,[1]StuntDes!$C:$C)),"")</f>
        <v/>
      </c>
      <c r="L2072">
        <f t="shared" si="85"/>
        <v>1</v>
      </c>
      <c r="M2072" s="10" t="str">
        <f>IFERROR(_xlfn.XLOOKUP(C2072,[1]StuntDes!$B:$B,[1]StuntDes!$A:$A),"")</f>
        <v/>
      </c>
      <c r="N2072" s="10" t="str">
        <f>IFERROR(_xlfn.XLOOKUP(C2072,[1]ModifierDes!$B:$B,[1]ModifierDes!$A:$A),"")</f>
        <v/>
      </c>
      <c r="O2072" s="10">
        <f>IFERROR(_xlfn.XLOOKUP(C2072,[1]AttributeName!$C:$C,[1]AttributeName!$B:$B),"")</f>
        <v>10018</v>
      </c>
      <c r="P2072" s="10"/>
      <c r="Q2072">
        <v>16</v>
      </c>
      <c r="R2072">
        <v>18</v>
      </c>
      <c r="S2072" cm="1">
        <f t="array" ref="S2072">IFERROR(_xlfn.SWITCH(L2072,1,_xlfn.XLOOKUP(O2072,[1]AttributeName!$B:$B,[1]AttributeName!$D:$D),2,_xlfn.XLOOKUP(C2072,#REF!,#REF!),3,_xlfn.XLOOKUP(C2072,#REF!,#REF!)),0)</f>
        <v>0</v>
      </c>
      <c r="T2072" cm="1">
        <f t="array" ref="T2072">IFERROR(_xlfn.SWITCH(L2072,1,_xlfn.XLOOKUP(O2072,[1]AttributeName!$B:$B,[1]AttributeName!$E:$E),2,_xlfn.XLOOKUP(C2072,#REF!,#REF!),3,_xlfn.XLOOKUP(C2072,#REF!,#REF!)),0)</f>
        <v>1</v>
      </c>
    </row>
    <row r="2073" customFormat="1" spans="1:20">
      <c r="A2073">
        <f t="shared" si="86"/>
        <v>864</v>
      </c>
      <c r="B2073">
        <v>4</v>
      </c>
      <c r="C2073" t="s">
        <v>441</v>
      </c>
      <c r="D2073" t="s">
        <v>31</v>
      </c>
      <c r="E2073" s="13" t="s">
        <v>392</v>
      </c>
      <c r="F2073"/>
      <c r="G2073">
        <v>2</v>
      </c>
      <c r="H2073">
        <v>1000</v>
      </c>
      <c r="J2073" cm="1">
        <f t="array" ref="J2073">_xlfn.SWITCH(B2073,1,75,2,61,3,49,4,37,5,25,6,13,7,4,8,1)</f>
        <v>37</v>
      </c>
      <c r="K2073" t="str" cm="1">
        <f t="array" ref="K2073">IFERROR(_xlfn.SWITCH(L2073,2,_xlfn.XLOOKUP(C2073,[1]ModifierDes!$B:$B,[1]ModifierDes!$C:$C),3,_xlfn.XLOOKUP(C2073,[1]StuntDes!$B:$B,[1]StuntDes!$C:$C)),"")</f>
        <v/>
      </c>
      <c r="L2073">
        <f t="shared" si="85"/>
        <v>1</v>
      </c>
      <c r="M2073" s="10" t="str">
        <f>IFERROR(_xlfn.XLOOKUP(C2073,[1]StuntDes!$B:$B,[1]StuntDes!$A:$A),"")</f>
        <v/>
      </c>
      <c r="N2073" s="10" t="str">
        <f>IFERROR(_xlfn.XLOOKUP(C2073,[1]ModifierDes!$B:$B,[1]ModifierDes!$A:$A),"")</f>
        <v/>
      </c>
      <c r="O2073" s="10">
        <f>IFERROR(_xlfn.XLOOKUP(C2073,[1]AttributeName!$C:$C,[1]AttributeName!$B:$B),"")</f>
        <v>10018</v>
      </c>
      <c r="P2073" s="10"/>
      <c r="Q2073">
        <v>13</v>
      </c>
      <c r="R2073">
        <v>15</v>
      </c>
      <c r="S2073" cm="1">
        <f t="array" ref="S2073">IFERROR(_xlfn.SWITCH(L2073,1,_xlfn.XLOOKUP(O2073,[1]AttributeName!$B:$B,[1]AttributeName!$D:$D),2,_xlfn.XLOOKUP(C2073,#REF!,#REF!),3,_xlfn.XLOOKUP(C2073,#REF!,#REF!)),0)</f>
        <v>0</v>
      </c>
      <c r="T2073" cm="1">
        <f t="array" ref="T2073">IFERROR(_xlfn.SWITCH(L2073,1,_xlfn.XLOOKUP(O2073,[1]AttributeName!$B:$B,[1]AttributeName!$E:$E),2,_xlfn.XLOOKUP(C2073,#REF!,#REF!),3,_xlfn.XLOOKUP(C2073,#REF!,#REF!)),0)</f>
        <v>1</v>
      </c>
    </row>
    <row r="2074" customFormat="1" spans="1:20">
      <c r="A2074">
        <f t="shared" si="86"/>
        <v>864</v>
      </c>
      <c r="B2074">
        <v>5</v>
      </c>
      <c r="C2074" t="s">
        <v>441</v>
      </c>
      <c r="D2074" t="s">
        <v>31</v>
      </c>
      <c r="E2074" s="13" t="s">
        <v>392</v>
      </c>
      <c r="F2074"/>
      <c r="G2074">
        <v>2</v>
      </c>
      <c r="H2074">
        <v>1000</v>
      </c>
      <c r="J2074" cm="1">
        <f t="array" ref="J2074">_xlfn.SWITCH(B2074,1,75,2,61,3,49,4,37,5,25,6,13,7,4,8,1)</f>
        <v>25</v>
      </c>
      <c r="K2074" t="str" cm="1">
        <f t="array" ref="K2074">IFERROR(_xlfn.SWITCH(L2074,2,_xlfn.XLOOKUP(C2074,[1]ModifierDes!$B:$B,[1]ModifierDes!$C:$C),3,_xlfn.XLOOKUP(C2074,[1]StuntDes!$B:$B,[1]StuntDes!$C:$C)),"")</f>
        <v/>
      </c>
      <c r="L2074">
        <f t="shared" si="85"/>
        <v>1</v>
      </c>
      <c r="M2074" s="10" t="str">
        <f>IFERROR(_xlfn.XLOOKUP(C2074,[1]StuntDes!$B:$B,[1]StuntDes!$A:$A),"")</f>
        <v/>
      </c>
      <c r="N2074" s="10" t="str">
        <f>IFERROR(_xlfn.XLOOKUP(C2074,[1]ModifierDes!$B:$B,[1]ModifierDes!$A:$A),"")</f>
        <v/>
      </c>
      <c r="O2074" s="10">
        <f>IFERROR(_xlfn.XLOOKUP(C2074,[1]AttributeName!$C:$C,[1]AttributeName!$B:$B),"")</f>
        <v>10018</v>
      </c>
      <c r="P2074" s="10"/>
      <c r="Q2074">
        <v>10</v>
      </c>
      <c r="R2074">
        <v>12</v>
      </c>
      <c r="S2074" cm="1">
        <f t="array" ref="S2074">IFERROR(_xlfn.SWITCH(L2074,1,_xlfn.XLOOKUP(O2074,[1]AttributeName!$B:$B,[1]AttributeName!$D:$D),2,_xlfn.XLOOKUP(C2074,#REF!,#REF!),3,_xlfn.XLOOKUP(C2074,#REF!,#REF!)),0)</f>
        <v>0</v>
      </c>
      <c r="T2074" cm="1">
        <f t="array" ref="T2074">IFERROR(_xlfn.SWITCH(L2074,1,_xlfn.XLOOKUP(O2074,[1]AttributeName!$B:$B,[1]AttributeName!$E:$E),2,_xlfn.XLOOKUP(C2074,#REF!,#REF!),3,_xlfn.XLOOKUP(C2074,#REF!,#REF!)),0)</f>
        <v>1</v>
      </c>
    </row>
    <row r="2075" customFormat="1" spans="1:20">
      <c r="A2075">
        <f t="shared" si="86"/>
        <v>864</v>
      </c>
      <c r="B2075">
        <v>6</v>
      </c>
      <c r="C2075" t="s">
        <v>441</v>
      </c>
      <c r="D2075" t="s">
        <v>31</v>
      </c>
      <c r="E2075" s="13" t="s">
        <v>392</v>
      </c>
      <c r="F2075"/>
      <c r="G2075">
        <v>2</v>
      </c>
      <c r="H2075">
        <v>1000</v>
      </c>
      <c r="J2075" cm="1">
        <f t="array" ref="J2075">_xlfn.SWITCH(B2075,1,75,2,61,3,49,4,37,5,25,6,13,7,4,8,1)</f>
        <v>13</v>
      </c>
      <c r="K2075" t="str" cm="1">
        <f t="array" ref="K2075">IFERROR(_xlfn.SWITCH(L2075,2,_xlfn.XLOOKUP(C2075,[1]ModifierDes!$B:$B,[1]ModifierDes!$C:$C),3,_xlfn.XLOOKUP(C2075,[1]StuntDes!$B:$B,[1]StuntDes!$C:$C)),"")</f>
        <v/>
      </c>
      <c r="L2075">
        <f t="shared" si="85"/>
        <v>1</v>
      </c>
      <c r="M2075" s="10" t="str">
        <f>IFERROR(_xlfn.XLOOKUP(C2075,[1]StuntDes!$B:$B,[1]StuntDes!$A:$A),"")</f>
        <v/>
      </c>
      <c r="N2075" s="10" t="str">
        <f>IFERROR(_xlfn.XLOOKUP(C2075,[1]ModifierDes!$B:$B,[1]ModifierDes!$A:$A),"")</f>
        <v/>
      </c>
      <c r="O2075" s="10">
        <f>IFERROR(_xlfn.XLOOKUP(C2075,[1]AttributeName!$C:$C,[1]AttributeName!$B:$B),"")</f>
        <v>10018</v>
      </c>
      <c r="P2075" s="10"/>
      <c r="Q2075">
        <v>7</v>
      </c>
      <c r="R2075">
        <v>9</v>
      </c>
      <c r="S2075" cm="1">
        <f t="array" ref="S2075">IFERROR(_xlfn.SWITCH(L2075,1,_xlfn.XLOOKUP(O2075,[1]AttributeName!$B:$B,[1]AttributeName!$D:$D),2,_xlfn.XLOOKUP(C2075,#REF!,#REF!),3,_xlfn.XLOOKUP(C2075,#REF!,#REF!)),0)</f>
        <v>0</v>
      </c>
      <c r="T2075" cm="1">
        <f t="array" ref="T2075">IFERROR(_xlfn.SWITCH(L2075,1,_xlfn.XLOOKUP(O2075,[1]AttributeName!$B:$B,[1]AttributeName!$E:$E),2,_xlfn.XLOOKUP(C2075,#REF!,#REF!),3,_xlfn.XLOOKUP(C2075,#REF!,#REF!)),0)</f>
        <v>1</v>
      </c>
    </row>
    <row r="2076" customFormat="1" spans="1:20">
      <c r="A2076">
        <f t="shared" si="86"/>
        <v>864</v>
      </c>
      <c r="B2076">
        <v>7</v>
      </c>
      <c r="C2076" t="s">
        <v>441</v>
      </c>
      <c r="D2076" t="s">
        <v>31</v>
      </c>
      <c r="E2076" s="13" t="s">
        <v>392</v>
      </c>
      <c r="F2076"/>
      <c r="G2076">
        <v>2</v>
      </c>
      <c r="H2076">
        <v>1000</v>
      </c>
      <c r="J2076" cm="1">
        <f t="array" ref="J2076">_xlfn.SWITCH(B2076,1,75,2,61,3,49,4,37,5,25,6,13,7,4,8,1)</f>
        <v>4</v>
      </c>
      <c r="K2076" t="str" cm="1">
        <f t="array" ref="K2076">IFERROR(_xlfn.SWITCH(L2076,2,_xlfn.XLOOKUP(C2076,[1]ModifierDes!$B:$B,[1]ModifierDes!$C:$C),3,_xlfn.XLOOKUP(C2076,[1]StuntDes!$B:$B,[1]StuntDes!$C:$C)),"")</f>
        <v/>
      </c>
      <c r="L2076">
        <f t="shared" si="85"/>
        <v>1</v>
      </c>
      <c r="M2076" s="10" t="str">
        <f>IFERROR(_xlfn.XLOOKUP(C2076,[1]StuntDes!$B:$B,[1]StuntDes!$A:$A),"")</f>
        <v/>
      </c>
      <c r="N2076" s="10" t="str">
        <f>IFERROR(_xlfn.XLOOKUP(C2076,[1]ModifierDes!$B:$B,[1]ModifierDes!$A:$A),"")</f>
        <v/>
      </c>
      <c r="O2076" s="10">
        <f>IFERROR(_xlfn.XLOOKUP(C2076,[1]AttributeName!$C:$C,[1]AttributeName!$B:$B),"")</f>
        <v>10018</v>
      </c>
      <c r="P2076" s="10"/>
      <c r="Q2076">
        <v>4</v>
      </c>
      <c r="R2076">
        <v>6</v>
      </c>
      <c r="S2076" cm="1">
        <f t="array" ref="S2076">IFERROR(_xlfn.SWITCH(L2076,1,_xlfn.XLOOKUP(O2076,[1]AttributeName!$B:$B,[1]AttributeName!$D:$D),2,_xlfn.XLOOKUP(C2076,#REF!,#REF!),3,_xlfn.XLOOKUP(C2076,#REF!,#REF!)),0)</f>
        <v>0</v>
      </c>
      <c r="T2076" cm="1">
        <f t="array" ref="T2076">IFERROR(_xlfn.SWITCH(L2076,1,_xlfn.XLOOKUP(O2076,[1]AttributeName!$B:$B,[1]AttributeName!$E:$E),2,_xlfn.XLOOKUP(C2076,#REF!,#REF!),3,_xlfn.XLOOKUP(C2076,#REF!,#REF!)),0)</f>
        <v>1</v>
      </c>
    </row>
    <row r="2077" customFormat="1" spans="1:20">
      <c r="A2077">
        <f t="shared" si="86"/>
        <v>864</v>
      </c>
      <c r="B2077">
        <v>8</v>
      </c>
      <c r="C2077" t="s">
        <v>441</v>
      </c>
      <c r="D2077" t="s">
        <v>31</v>
      </c>
      <c r="E2077" s="13" t="s">
        <v>392</v>
      </c>
      <c r="F2077"/>
      <c r="G2077">
        <v>2</v>
      </c>
      <c r="H2077">
        <v>1000</v>
      </c>
      <c r="J2077" cm="1">
        <f t="array" ref="J2077">_xlfn.SWITCH(B2077,1,75,2,61,3,49,4,37,5,25,6,13,7,4,8,1)</f>
        <v>1</v>
      </c>
      <c r="K2077" t="str" cm="1">
        <f t="array" ref="K2077">IFERROR(_xlfn.SWITCH(L2077,2,_xlfn.XLOOKUP(C2077,[1]ModifierDes!$B:$B,[1]ModifierDes!$C:$C),3,_xlfn.XLOOKUP(C2077,[1]StuntDes!$B:$B,[1]StuntDes!$C:$C)),"")</f>
        <v/>
      </c>
      <c r="L2077">
        <f t="shared" si="85"/>
        <v>1</v>
      </c>
      <c r="M2077" s="10" t="str">
        <f>IFERROR(_xlfn.XLOOKUP(C2077,[1]StuntDes!$B:$B,[1]StuntDes!$A:$A),"")</f>
        <v/>
      </c>
      <c r="N2077" s="10" t="str">
        <f>IFERROR(_xlfn.XLOOKUP(C2077,[1]ModifierDes!$B:$B,[1]ModifierDes!$A:$A),"")</f>
        <v/>
      </c>
      <c r="O2077" s="10">
        <f>IFERROR(_xlfn.XLOOKUP(C2077,[1]AttributeName!$C:$C,[1]AttributeName!$B:$B),"")</f>
        <v>10018</v>
      </c>
      <c r="P2077" s="10"/>
      <c r="Q2077">
        <v>1</v>
      </c>
      <c r="R2077">
        <v>3</v>
      </c>
      <c r="S2077" cm="1">
        <f t="array" ref="S2077">IFERROR(_xlfn.SWITCH(L2077,1,_xlfn.XLOOKUP(O2077,[1]AttributeName!$B:$B,[1]AttributeName!$D:$D),2,_xlfn.XLOOKUP(C2077,#REF!,#REF!),3,_xlfn.XLOOKUP(C2077,#REF!,#REF!)),0)</f>
        <v>0</v>
      </c>
      <c r="T2077" cm="1">
        <f t="array" ref="T2077">IFERROR(_xlfn.SWITCH(L2077,1,_xlfn.XLOOKUP(O2077,[1]AttributeName!$B:$B,[1]AttributeName!$E:$E),2,_xlfn.XLOOKUP(C2077,#REF!,#REF!),3,_xlfn.XLOOKUP(C2077,#REF!,#REF!)),0)</f>
        <v>1</v>
      </c>
    </row>
    <row r="2078" customFormat="1" spans="1:20">
      <c r="A2078">
        <f t="shared" si="86"/>
        <v>865</v>
      </c>
      <c r="B2078">
        <v>1</v>
      </c>
      <c r="C2078" t="s">
        <v>407</v>
      </c>
      <c r="D2078" t="s">
        <v>31</v>
      </c>
      <c r="E2078" s="13" t="s">
        <v>392</v>
      </c>
      <c r="F2078"/>
      <c r="G2078">
        <v>2</v>
      </c>
      <c r="H2078">
        <v>500</v>
      </c>
      <c r="J2078" cm="1">
        <f t="array" ref="J2078">_xlfn.SWITCH(B2078,1,75,2,61,3,49,4,37,5,25,6,13,7,4,8,1)</f>
        <v>75</v>
      </c>
      <c r="K2078" t="str" cm="1">
        <f t="array" ref="K2078">IFERROR(_xlfn.SWITCH(L2078,2,_xlfn.XLOOKUP(C2078,[1]ModifierDes!$B:$B,[1]ModifierDes!$C:$C),3,_xlfn.XLOOKUP(C2078,[1]StuntDes!$B:$B,[1]StuntDes!$C:$C)),"")</f>
        <v/>
      </c>
      <c r="L2078">
        <f t="shared" si="85"/>
        <v>1</v>
      </c>
      <c r="M2078" s="10" t="str">
        <f>IFERROR(_xlfn.XLOOKUP(C2078,[1]StuntDes!$B:$B,[1]StuntDes!$A:$A),"")</f>
        <v/>
      </c>
      <c r="N2078" s="10" t="str">
        <f>IFERROR(_xlfn.XLOOKUP(C2078,[1]ModifierDes!$B:$B,[1]ModifierDes!$A:$A),"")</f>
        <v/>
      </c>
      <c r="O2078" s="10">
        <f>IFERROR(_xlfn.XLOOKUP(C2078,[1]AttributeName!$C:$C,[1]AttributeName!$B:$B),"")</f>
        <v>11006</v>
      </c>
      <c r="P2078" s="10"/>
      <c r="Q2078">
        <v>0.36</v>
      </c>
      <c r="R2078">
        <v>0.4</v>
      </c>
      <c r="S2078" cm="1">
        <f t="array" ref="S2078">IFERROR(_xlfn.SWITCH(L2078,1,_xlfn.XLOOKUP(O2078,[1]AttributeName!$B:$B,[1]AttributeName!$D:$D),2,_xlfn.XLOOKUP(C2078,#REF!,#REF!),3,_xlfn.XLOOKUP(C2078,#REF!,#REF!)),0)</f>
        <v>2</v>
      </c>
      <c r="T2078" cm="1">
        <f t="array" ref="T2078">IFERROR(_xlfn.SWITCH(L2078,1,_xlfn.XLOOKUP(O2078,[1]AttributeName!$B:$B,[1]AttributeName!$E:$E),2,_xlfn.XLOOKUP(C2078,#REF!,#REF!),3,_xlfn.XLOOKUP(C2078,#REF!,#REF!)),0)</f>
        <v>2</v>
      </c>
    </row>
    <row r="2079" customFormat="1" spans="1:20">
      <c r="A2079">
        <f t="shared" ref="A2079:A2085" si="87">A2071+1</f>
        <v>865</v>
      </c>
      <c r="B2079">
        <v>2</v>
      </c>
      <c r="C2079" t="s">
        <v>407</v>
      </c>
      <c r="D2079" t="s">
        <v>31</v>
      </c>
      <c r="E2079" s="13" t="s">
        <v>392</v>
      </c>
      <c r="F2079"/>
      <c r="G2079">
        <v>2</v>
      </c>
      <c r="H2079">
        <v>500</v>
      </c>
      <c r="J2079" cm="1">
        <f t="array" ref="J2079">_xlfn.SWITCH(B2079,1,75,2,61,3,49,4,37,5,25,6,13,7,4,8,1)</f>
        <v>61</v>
      </c>
      <c r="K2079" t="str" cm="1">
        <f t="array" ref="K2079">IFERROR(_xlfn.SWITCH(L2079,2,_xlfn.XLOOKUP(C2079,[1]ModifierDes!$B:$B,[1]ModifierDes!$C:$C),3,_xlfn.XLOOKUP(C2079,[1]StuntDes!$B:$B,[1]StuntDes!$C:$C)),"")</f>
        <v/>
      </c>
      <c r="L2079">
        <f t="shared" si="85"/>
        <v>1</v>
      </c>
      <c r="M2079" s="10" t="str">
        <f>IFERROR(_xlfn.XLOOKUP(C2079,[1]StuntDes!$B:$B,[1]StuntDes!$A:$A),"")</f>
        <v/>
      </c>
      <c r="N2079" s="10" t="str">
        <f>IFERROR(_xlfn.XLOOKUP(C2079,[1]ModifierDes!$B:$B,[1]ModifierDes!$A:$A),"")</f>
        <v/>
      </c>
      <c r="O2079" s="10">
        <f>IFERROR(_xlfn.XLOOKUP(C2079,[1]AttributeName!$C:$C,[1]AttributeName!$B:$B),"")</f>
        <v>11006</v>
      </c>
      <c r="P2079" s="10"/>
      <c r="Q2079">
        <v>0.31</v>
      </c>
      <c r="R2079">
        <v>0.35</v>
      </c>
      <c r="S2079" cm="1">
        <f t="array" ref="S2079">IFERROR(_xlfn.SWITCH(L2079,1,_xlfn.XLOOKUP(O2079,[1]AttributeName!$B:$B,[1]AttributeName!$D:$D),2,_xlfn.XLOOKUP(C2079,#REF!,#REF!),3,_xlfn.XLOOKUP(C2079,#REF!,#REF!)),0)</f>
        <v>2</v>
      </c>
      <c r="T2079" cm="1">
        <f t="array" ref="T2079">IFERROR(_xlfn.SWITCH(L2079,1,_xlfn.XLOOKUP(O2079,[1]AttributeName!$B:$B,[1]AttributeName!$E:$E),2,_xlfn.XLOOKUP(C2079,#REF!,#REF!),3,_xlfn.XLOOKUP(C2079,#REF!,#REF!)),0)</f>
        <v>2</v>
      </c>
    </row>
    <row r="2080" customFormat="1" spans="1:20">
      <c r="A2080">
        <f t="shared" si="87"/>
        <v>865</v>
      </c>
      <c r="B2080">
        <v>3</v>
      </c>
      <c r="C2080" t="s">
        <v>407</v>
      </c>
      <c r="D2080" t="s">
        <v>31</v>
      </c>
      <c r="E2080" s="13" t="s">
        <v>392</v>
      </c>
      <c r="F2080"/>
      <c r="G2080">
        <v>2</v>
      </c>
      <c r="H2080">
        <v>1000</v>
      </c>
      <c r="J2080" cm="1">
        <f t="array" ref="J2080">_xlfn.SWITCH(B2080,1,75,2,61,3,49,4,37,5,25,6,13,7,4,8,1)</f>
        <v>49</v>
      </c>
      <c r="K2080" t="str" cm="1">
        <f t="array" ref="K2080">IFERROR(_xlfn.SWITCH(L2080,2,_xlfn.XLOOKUP(C2080,[1]ModifierDes!$B:$B,[1]ModifierDes!$C:$C),3,_xlfn.XLOOKUP(C2080,[1]StuntDes!$B:$B,[1]StuntDes!$C:$C)),"")</f>
        <v/>
      </c>
      <c r="L2080">
        <f t="shared" si="85"/>
        <v>1</v>
      </c>
      <c r="M2080" s="10" t="str">
        <f>IFERROR(_xlfn.XLOOKUP(C2080,[1]StuntDes!$B:$B,[1]StuntDes!$A:$A),"")</f>
        <v/>
      </c>
      <c r="N2080" s="10" t="str">
        <f>IFERROR(_xlfn.XLOOKUP(C2080,[1]ModifierDes!$B:$B,[1]ModifierDes!$A:$A),"")</f>
        <v/>
      </c>
      <c r="O2080" s="10">
        <f>IFERROR(_xlfn.XLOOKUP(C2080,[1]AttributeName!$C:$C,[1]AttributeName!$B:$B),"")</f>
        <v>11006</v>
      </c>
      <c r="P2080" s="10"/>
      <c r="Q2080">
        <v>0.26</v>
      </c>
      <c r="R2080">
        <v>0.3</v>
      </c>
      <c r="S2080" cm="1">
        <f t="array" ref="S2080">IFERROR(_xlfn.SWITCH(L2080,1,_xlfn.XLOOKUP(O2080,[1]AttributeName!$B:$B,[1]AttributeName!$D:$D),2,_xlfn.XLOOKUP(C2080,#REF!,#REF!),3,_xlfn.XLOOKUP(C2080,#REF!,#REF!)),0)</f>
        <v>2</v>
      </c>
      <c r="T2080" cm="1">
        <f t="array" ref="T2080">IFERROR(_xlfn.SWITCH(L2080,1,_xlfn.XLOOKUP(O2080,[1]AttributeName!$B:$B,[1]AttributeName!$E:$E),2,_xlfn.XLOOKUP(C2080,#REF!,#REF!),3,_xlfn.XLOOKUP(C2080,#REF!,#REF!)),0)</f>
        <v>2</v>
      </c>
    </row>
    <row r="2081" customFormat="1" spans="1:20">
      <c r="A2081">
        <f t="shared" si="87"/>
        <v>865</v>
      </c>
      <c r="B2081">
        <v>4</v>
      </c>
      <c r="C2081" t="s">
        <v>407</v>
      </c>
      <c r="D2081" t="s">
        <v>31</v>
      </c>
      <c r="E2081" s="13" t="s">
        <v>392</v>
      </c>
      <c r="F2081"/>
      <c r="G2081">
        <v>2</v>
      </c>
      <c r="H2081">
        <v>1000</v>
      </c>
      <c r="J2081" cm="1">
        <f t="array" ref="J2081">_xlfn.SWITCH(B2081,1,75,2,61,3,49,4,37,5,25,6,13,7,4,8,1)</f>
        <v>37</v>
      </c>
      <c r="K2081" t="str" cm="1">
        <f t="array" ref="K2081">IFERROR(_xlfn.SWITCH(L2081,2,_xlfn.XLOOKUP(C2081,[1]ModifierDes!$B:$B,[1]ModifierDes!$C:$C),3,_xlfn.XLOOKUP(C2081,[1]StuntDes!$B:$B,[1]StuntDes!$C:$C)),"")</f>
        <v/>
      </c>
      <c r="L2081">
        <f t="shared" si="85"/>
        <v>1</v>
      </c>
      <c r="M2081" s="10" t="str">
        <f>IFERROR(_xlfn.XLOOKUP(C2081,[1]StuntDes!$B:$B,[1]StuntDes!$A:$A),"")</f>
        <v/>
      </c>
      <c r="N2081" s="10" t="str">
        <f>IFERROR(_xlfn.XLOOKUP(C2081,[1]ModifierDes!$B:$B,[1]ModifierDes!$A:$A),"")</f>
        <v/>
      </c>
      <c r="O2081" s="10">
        <f>IFERROR(_xlfn.XLOOKUP(C2081,[1]AttributeName!$C:$C,[1]AttributeName!$B:$B),"")</f>
        <v>11006</v>
      </c>
      <c r="P2081" s="10"/>
      <c r="Q2081">
        <v>0.21</v>
      </c>
      <c r="R2081">
        <v>0.25</v>
      </c>
      <c r="S2081" cm="1">
        <f t="array" ref="S2081">IFERROR(_xlfn.SWITCH(L2081,1,_xlfn.XLOOKUP(O2081,[1]AttributeName!$B:$B,[1]AttributeName!$D:$D),2,_xlfn.XLOOKUP(C2081,#REF!,#REF!),3,_xlfn.XLOOKUP(C2081,#REF!,#REF!)),0)</f>
        <v>2</v>
      </c>
      <c r="T2081" cm="1">
        <f t="array" ref="T2081">IFERROR(_xlfn.SWITCH(L2081,1,_xlfn.XLOOKUP(O2081,[1]AttributeName!$B:$B,[1]AttributeName!$E:$E),2,_xlfn.XLOOKUP(C2081,#REF!,#REF!),3,_xlfn.XLOOKUP(C2081,#REF!,#REF!)),0)</f>
        <v>2</v>
      </c>
    </row>
    <row r="2082" customFormat="1" spans="1:20">
      <c r="A2082">
        <f t="shared" si="87"/>
        <v>865</v>
      </c>
      <c r="B2082">
        <v>5</v>
      </c>
      <c r="C2082" t="s">
        <v>407</v>
      </c>
      <c r="D2082" t="s">
        <v>31</v>
      </c>
      <c r="E2082" s="13" t="s">
        <v>392</v>
      </c>
      <c r="F2082"/>
      <c r="G2082">
        <v>2</v>
      </c>
      <c r="H2082">
        <v>1000</v>
      </c>
      <c r="J2082" cm="1">
        <f t="array" ref="J2082">_xlfn.SWITCH(B2082,1,75,2,61,3,49,4,37,5,25,6,13,7,4,8,1)</f>
        <v>25</v>
      </c>
      <c r="K2082" t="str" cm="1">
        <f t="array" ref="K2082">IFERROR(_xlfn.SWITCH(L2082,2,_xlfn.XLOOKUP(C2082,[1]ModifierDes!$B:$B,[1]ModifierDes!$C:$C),3,_xlfn.XLOOKUP(C2082,[1]StuntDes!$B:$B,[1]StuntDes!$C:$C)),"")</f>
        <v/>
      </c>
      <c r="L2082">
        <f t="shared" si="85"/>
        <v>1</v>
      </c>
      <c r="M2082" s="10" t="str">
        <f>IFERROR(_xlfn.XLOOKUP(C2082,[1]StuntDes!$B:$B,[1]StuntDes!$A:$A),"")</f>
        <v/>
      </c>
      <c r="N2082" s="10" t="str">
        <f>IFERROR(_xlfn.XLOOKUP(C2082,[1]ModifierDes!$B:$B,[1]ModifierDes!$A:$A),"")</f>
        <v/>
      </c>
      <c r="O2082" s="10">
        <f>IFERROR(_xlfn.XLOOKUP(C2082,[1]AttributeName!$C:$C,[1]AttributeName!$B:$B),"")</f>
        <v>11006</v>
      </c>
      <c r="P2082" s="10"/>
      <c r="Q2082">
        <v>0.16</v>
      </c>
      <c r="R2082">
        <v>0.2</v>
      </c>
      <c r="S2082" cm="1">
        <f t="array" ref="S2082">IFERROR(_xlfn.SWITCH(L2082,1,_xlfn.XLOOKUP(O2082,[1]AttributeName!$B:$B,[1]AttributeName!$D:$D),2,_xlfn.XLOOKUP(C2082,#REF!,#REF!),3,_xlfn.XLOOKUP(C2082,#REF!,#REF!)),0)</f>
        <v>2</v>
      </c>
      <c r="T2082" cm="1">
        <f t="array" ref="T2082">IFERROR(_xlfn.SWITCH(L2082,1,_xlfn.XLOOKUP(O2082,[1]AttributeName!$B:$B,[1]AttributeName!$E:$E),2,_xlfn.XLOOKUP(C2082,#REF!,#REF!),3,_xlfn.XLOOKUP(C2082,#REF!,#REF!)),0)</f>
        <v>2</v>
      </c>
    </row>
    <row r="2083" customFormat="1" spans="1:20">
      <c r="A2083">
        <f t="shared" si="87"/>
        <v>865</v>
      </c>
      <c r="B2083">
        <v>6</v>
      </c>
      <c r="C2083" t="s">
        <v>407</v>
      </c>
      <c r="D2083" t="s">
        <v>31</v>
      </c>
      <c r="E2083" s="13" t="s">
        <v>392</v>
      </c>
      <c r="F2083"/>
      <c r="G2083">
        <v>2</v>
      </c>
      <c r="H2083">
        <v>1000</v>
      </c>
      <c r="J2083" cm="1">
        <f t="array" ref="J2083">_xlfn.SWITCH(B2083,1,75,2,61,3,49,4,37,5,25,6,13,7,4,8,1)</f>
        <v>13</v>
      </c>
      <c r="K2083" t="str" cm="1">
        <f t="array" ref="K2083">IFERROR(_xlfn.SWITCH(L2083,2,_xlfn.XLOOKUP(C2083,[1]ModifierDes!$B:$B,[1]ModifierDes!$C:$C),3,_xlfn.XLOOKUP(C2083,[1]StuntDes!$B:$B,[1]StuntDes!$C:$C)),"")</f>
        <v/>
      </c>
      <c r="L2083">
        <f t="shared" si="85"/>
        <v>1</v>
      </c>
      <c r="M2083" s="10" t="str">
        <f>IFERROR(_xlfn.XLOOKUP(C2083,[1]StuntDes!$B:$B,[1]StuntDes!$A:$A),"")</f>
        <v/>
      </c>
      <c r="N2083" s="10" t="str">
        <f>IFERROR(_xlfn.XLOOKUP(C2083,[1]ModifierDes!$B:$B,[1]ModifierDes!$A:$A),"")</f>
        <v/>
      </c>
      <c r="O2083" s="10">
        <f>IFERROR(_xlfn.XLOOKUP(C2083,[1]AttributeName!$C:$C,[1]AttributeName!$B:$B),"")</f>
        <v>11006</v>
      </c>
      <c r="P2083" s="10"/>
      <c r="Q2083">
        <v>0.11</v>
      </c>
      <c r="R2083">
        <v>0.15</v>
      </c>
      <c r="S2083" cm="1">
        <f t="array" ref="S2083">IFERROR(_xlfn.SWITCH(L2083,1,_xlfn.XLOOKUP(O2083,[1]AttributeName!$B:$B,[1]AttributeName!$D:$D),2,_xlfn.XLOOKUP(C2083,#REF!,#REF!),3,_xlfn.XLOOKUP(C2083,#REF!,#REF!)),0)</f>
        <v>2</v>
      </c>
      <c r="T2083" cm="1">
        <f t="array" ref="T2083">IFERROR(_xlfn.SWITCH(L2083,1,_xlfn.XLOOKUP(O2083,[1]AttributeName!$B:$B,[1]AttributeName!$E:$E),2,_xlfn.XLOOKUP(C2083,#REF!,#REF!),3,_xlfn.XLOOKUP(C2083,#REF!,#REF!)),0)</f>
        <v>2</v>
      </c>
    </row>
    <row r="2084" customFormat="1" spans="1:20">
      <c r="A2084">
        <f t="shared" si="87"/>
        <v>865</v>
      </c>
      <c r="B2084">
        <v>7</v>
      </c>
      <c r="C2084" t="s">
        <v>407</v>
      </c>
      <c r="D2084" t="s">
        <v>31</v>
      </c>
      <c r="E2084" s="13" t="s">
        <v>392</v>
      </c>
      <c r="F2084"/>
      <c r="G2084">
        <v>2</v>
      </c>
      <c r="H2084">
        <v>1000</v>
      </c>
      <c r="J2084" cm="1">
        <f t="array" ref="J2084">_xlfn.SWITCH(B2084,1,75,2,61,3,49,4,37,5,25,6,13,7,4,8,1)</f>
        <v>4</v>
      </c>
      <c r="K2084" t="str" cm="1">
        <f t="array" ref="K2084">IFERROR(_xlfn.SWITCH(L2084,2,_xlfn.XLOOKUP(C2084,[1]ModifierDes!$B:$B,[1]ModifierDes!$C:$C),3,_xlfn.XLOOKUP(C2084,[1]StuntDes!$B:$B,[1]StuntDes!$C:$C)),"")</f>
        <v/>
      </c>
      <c r="L2084">
        <f t="shared" si="85"/>
        <v>1</v>
      </c>
      <c r="M2084" s="10" t="str">
        <f>IFERROR(_xlfn.XLOOKUP(C2084,[1]StuntDes!$B:$B,[1]StuntDes!$A:$A),"")</f>
        <v/>
      </c>
      <c r="N2084" s="10" t="str">
        <f>IFERROR(_xlfn.XLOOKUP(C2084,[1]ModifierDes!$B:$B,[1]ModifierDes!$A:$A),"")</f>
        <v/>
      </c>
      <c r="O2084" s="10">
        <f>IFERROR(_xlfn.XLOOKUP(C2084,[1]AttributeName!$C:$C,[1]AttributeName!$B:$B),"")</f>
        <v>11006</v>
      </c>
      <c r="P2084" s="10"/>
      <c r="Q2084">
        <v>0.06</v>
      </c>
      <c r="R2084">
        <v>0.1</v>
      </c>
      <c r="S2084" cm="1">
        <f t="array" ref="S2084">IFERROR(_xlfn.SWITCH(L2084,1,_xlfn.XLOOKUP(O2084,[1]AttributeName!$B:$B,[1]AttributeName!$D:$D),2,_xlfn.XLOOKUP(C2084,#REF!,#REF!),3,_xlfn.XLOOKUP(C2084,#REF!,#REF!)),0)</f>
        <v>2</v>
      </c>
      <c r="T2084" cm="1">
        <f t="array" ref="T2084">IFERROR(_xlfn.SWITCH(L2084,1,_xlfn.XLOOKUP(O2084,[1]AttributeName!$B:$B,[1]AttributeName!$E:$E),2,_xlfn.XLOOKUP(C2084,#REF!,#REF!),3,_xlfn.XLOOKUP(C2084,#REF!,#REF!)),0)</f>
        <v>2</v>
      </c>
    </row>
    <row r="2085" customFormat="1" spans="1:20">
      <c r="A2085">
        <f t="shared" si="87"/>
        <v>865</v>
      </c>
      <c r="B2085">
        <v>8</v>
      </c>
      <c r="C2085" t="s">
        <v>407</v>
      </c>
      <c r="D2085" t="s">
        <v>31</v>
      </c>
      <c r="E2085" s="13" t="s">
        <v>392</v>
      </c>
      <c r="F2085"/>
      <c r="G2085">
        <v>2</v>
      </c>
      <c r="H2085">
        <v>1000</v>
      </c>
      <c r="J2085" cm="1">
        <f t="array" ref="J2085">_xlfn.SWITCH(B2085,1,75,2,61,3,49,4,37,5,25,6,13,7,4,8,1)</f>
        <v>1</v>
      </c>
      <c r="K2085" t="str" cm="1">
        <f t="array" ref="K2085">IFERROR(_xlfn.SWITCH(L2085,2,_xlfn.XLOOKUP(C2085,[1]ModifierDes!$B:$B,[1]ModifierDes!$C:$C),3,_xlfn.XLOOKUP(C2085,[1]StuntDes!$B:$B,[1]StuntDes!$C:$C)),"")</f>
        <v/>
      </c>
      <c r="L2085">
        <f t="shared" si="85"/>
        <v>1</v>
      </c>
      <c r="M2085" s="10" t="str">
        <f>IFERROR(_xlfn.XLOOKUP(C2085,[1]StuntDes!$B:$B,[1]StuntDes!$A:$A),"")</f>
        <v/>
      </c>
      <c r="N2085" s="10" t="str">
        <f>IFERROR(_xlfn.XLOOKUP(C2085,[1]ModifierDes!$B:$B,[1]ModifierDes!$A:$A),"")</f>
        <v/>
      </c>
      <c r="O2085" s="10">
        <f>IFERROR(_xlfn.XLOOKUP(C2085,[1]AttributeName!$C:$C,[1]AttributeName!$B:$B),"")</f>
        <v>11006</v>
      </c>
      <c r="P2085" s="10"/>
      <c r="Q2085">
        <v>0.01</v>
      </c>
      <c r="R2085">
        <v>0.05</v>
      </c>
      <c r="S2085" cm="1">
        <f t="array" ref="S2085">IFERROR(_xlfn.SWITCH(L2085,1,_xlfn.XLOOKUP(O2085,[1]AttributeName!$B:$B,[1]AttributeName!$D:$D),2,_xlfn.XLOOKUP(C2085,#REF!,#REF!),3,_xlfn.XLOOKUP(C2085,#REF!,#REF!)),0)</f>
        <v>2</v>
      </c>
      <c r="T2085" cm="1">
        <f t="array" ref="T2085">IFERROR(_xlfn.SWITCH(L2085,1,_xlfn.XLOOKUP(O2085,[1]AttributeName!$B:$B,[1]AttributeName!$E:$E),2,_xlfn.XLOOKUP(C2085,#REF!,#REF!),3,_xlfn.XLOOKUP(C2085,#REF!,#REF!)),0)</f>
        <v>2</v>
      </c>
    </row>
    <row r="2086" customFormat="1" spans="1:20">
      <c r="A2086">
        <f t="shared" ref="A2078:A2102" si="88">A2078+1</f>
        <v>866</v>
      </c>
      <c r="B2086">
        <v>1</v>
      </c>
      <c r="C2086" t="s">
        <v>408</v>
      </c>
      <c r="D2086" t="s">
        <v>31</v>
      </c>
      <c r="E2086" s="13" t="s">
        <v>392</v>
      </c>
      <c r="F2086"/>
      <c r="G2086">
        <v>2</v>
      </c>
      <c r="H2086">
        <v>500</v>
      </c>
      <c r="J2086" cm="1">
        <f t="array" ref="J2086">_xlfn.SWITCH(B2086,1,75,2,61,3,49,4,37,5,25,6,13,7,4,8,1)</f>
        <v>75</v>
      </c>
      <c r="K2086" t="str" cm="1">
        <f t="array" ref="K2086">IFERROR(_xlfn.SWITCH(L2086,2,_xlfn.XLOOKUP(C2086,[1]ModifierDes!$B:$B,[1]ModifierDes!$C:$C),3,_xlfn.XLOOKUP(C2086,[1]StuntDes!$B:$B,[1]StuntDes!$C:$C)),"")</f>
        <v/>
      </c>
      <c r="L2086">
        <f t="shared" si="85"/>
        <v>1</v>
      </c>
      <c r="M2086" s="10" t="str">
        <f>IFERROR(_xlfn.XLOOKUP(C2086,[1]StuntDes!$B:$B,[1]StuntDes!$A:$A),"")</f>
        <v/>
      </c>
      <c r="N2086" s="10" t="str">
        <f>IFERROR(_xlfn.XLOOKUP(C2086,[1]ModifierDes!$B:$B,[1]ModifierDes!$A:$A),"")</f>
        <v/>
      </c>
      <c r="O2086" s="10">
        <f>IFERROR(_xlfn.XLOOKUP(C2086,[1]AttributeName!$C:$C,[1]AttributeName!$B:$B),"")</f>
        <v>10801</v>
      </c>
      <c r="P2086" s="10"/>
      <c r="Q2086">
        <v>0.36</v>
      </c>
      <c r="R2086">
        <v>0.4</v>
      </c>
      <c r="S2086" cm="1">
        <f t="array" ref="S2086">IFERROR(_xlfn.SWITCH(L2086,1,_xlfn.XLOOKUP(O2086,[1]AttributeName!$B:$B,[1]AttributeName!$D:$D),2,_xlfn.XLOOKUP(C2086,#REF!,#REF!),3,_xlfn.XLOOKUP(C2086,#REF!,#REF!)),0)</f>
        <v>2</v>
      </c>
      <c r="T2086" cm="1">
        <f t="array" ref="T2086">IFERROR(_xlfn.SWITCH(L2086,1,_xlfn.XLOOKUP(O2086,[1]AttributeName!$B:$B,[1]AttributeName!$E:$E),2,_xlfn.XLOOKUP(C2086,#REF!,#REF!),3,_xlfn.XLOOKUP(C2086,#REF!,#REF!)),0)</f>
        <v>2</v>
      </c>
    </row>
    <row r="2087" customFormat="1" spans="1:20">
      <c r="A2087">
        <f t="shared" si="88"/>
        <v>866</v>
      </c>
      <c r="B2087">
        <v>2</v>
      </c>
      <c r="C2087" t="s">
        <v>408</v>
      </c>
      <c r="D2087" t="s">
        <v>31</v>
      </c>
      <c r="E2087" s="13" t="s">
        <v>392</v>
      </c>
      <c r="F2087"/>
      <c r="G2087">
        <v>2</v>
      </c>
      <c r="H2087">
        <v>500</v>
      </c>
      <c r="J2087" cm="1">
        <f t="array" ref="J2087">_xlfn.SWITCH(B2087,1,75,2,61,3,49,4,37,5,25,6,13,7,4,8,1)</f>
        <v>61</v>
      </c>
      <c r="K2087" t="str" cm="1">
        <f t="array" ref="K2087">IFERROR(_xlfn.SWITCH(L2087,2,_xlfn.XLOOKUP(C2087,[1]ModifierDes!$B:$B,[1]ModifierDes!$C:$C),3,_xlfn.XLOOKUP(C2087,[1]StuntDes!$B:$B,[1]StuntDes!$C:$C)),"")</f>
        <v/>
      </c>
      <c r="L2087">
        <f t="shared" si="85"/>
        <v>1</v>
      </c>
      <c r="M2087" s="10" t="str">
        <f>IFERROR(_xlfn.XLOOKUP(C2087,[1]StuntDes!$B:$B,[1]StuntDes!$A:$A),"")</f>
        <v/>
      </c>
      <c r="N2087" s="10" t="str">
        <f>IFERROR(_xlfn.XLOOKUP(C2087,[1]ModifierDes!$B:$B,[1]ModifierDes!$A:$A),"")</f>
        <v/>
      </c>
      <c r="O2087" s="10">
        <f>IFERROR(_xlfn.XLOOKUP(C2087,[1]AttributeName!$C:$C,[1]AttributeName!$B:$B),"")</f>
        <v>10801</v>
      </c>
      <c r="P2087" s="10"/>
      <c r="Q2087">
        <v>0.31</v>
      </c>
      <c r="R2087">
        <v>0.35</v>
      </c>
      <c r="S2087" cm="1">
        <f t="array" ref="S2087">IFERROR(_xlfn.SWITCH(L2087,1,_xlfn.XLOOKUP(O2087,[1]AttributeName!$B:$B,[1]AttributeName!$D:$D),2,_xlfn.XLOOKUP(C2087,#REF!,#REF!),3,_xlfn.XLOOKUP(C2087,#REF!,#REF!)),0)</f>
        <v>2</v>
      </c>
      <c r="T2087" cm="1">
        <f t="array" ref="T2087">IFERROR(_xlfn.SWITCH(L2087,1,_xlfn.XLOOKUP(O2087,[1]AttributeName!$B:$B,[1]AttributeName!$E:$E),2,_xlfn.XLOOKUP(C2087,#REF!,#REF!),3,_xlfn.XLOOKUP(C2087,#REF!,#REF!)),0)</f>
        <v>2</v>
      </c>
    </row>
    <row r="2088" customFormat="1" spans="1:20">
      <c r="A2088">
        <f t="shared" si="88"/>
        <v>866</v>
      </c>
      <c r="B2088">
        <v>3</v>
      </c>
      <c r="C2088" t="s">
        <v>408</v>
      </c>
      <c r="D2088" t="s">
        <v>31</v>
      </c>
      <c r="E2088" s="13" t="s">
        <v>392</v>
      </c>
      <c r="F2088"/>
      <c r="G2088">
        <v>2</v>
      </c>
      <c r="H2088">
        <v>1000</v>
      </c>
      <c r="J2088" cm="1">
        <f t="array" ref="J2088">_xlfn.SWITCH(B2088,1,75,2,61,3,49,4,37,5,25,6,13,7,4,8,1)</f>
        <v>49</v>
      </c>
      <c r="K2088" t="str" cm="1">
        <f t="array" ref="K2088">IFERROR(_xlfn.SWITCH(L2088,2,_xlfn.XLOOKUP(C2088,[1]ModifierDes!$B:$B,[1]ModifierDes!$C:$C),3,_xlfn.XLOOKUP(C2088,[1]StuntDes!$B:$B,[1]StuntDes!$C:$C)),"")</f>
        <v/>
      </c>
      <c r="L2088">
        <f t="shared" si="85"/>
        <v>1</v>
      </c>
      <c r="M2088" s="10" t="str">
        <f>IFERROR(_xlfn.XLOOKUP(C2088,[1]StuntDes!$B:$B,[1]StuntDes!$A:$A),"")</f>
        <v/>
      </c>
      <c r="N2088" s="10" t="str">
        <f>IFERROR(_xlfn.XLOOKUP(C2088,[1]ModifierDes!$B:$B,[1]ModifierDes!$A:$A),"")</f>
        <v/>
      </c>
      <c r="O2088" s="10">
        <f>IFERROR(_xlfn.XLOOKUP(C2088,[1]AttributeName!$C:$C,[1]AttributeName!$B:$B),"")</f>
        <v>10801</v>
      </c>
      <c r="P2088" s="10"/>
      <c r="Q2088">
        <v>0.26</v>
      </c>
      <c r="R2088">
        <v>0.3</v>
      </c>
      <c r="S2088" cm="1">
        <f t="array" ref="S2088">IFERROR(_xlfn.SWITCH(L2088,1,_xlfn.XLOOKUP(O2088,[1]AttributeName!$B:$B,[1]AttributeName!$D:$D),2,_xlfn.XLOOKUP(C2088,#REF!,#REF!),3,_xlfn.XLOOKUP(C2088,#REF!,#REF!)),0)</f>
        <v>2</v>
      </c>
      <c r="T2088" cm="1">
        <f t="array" ref="T2088">IFERROR(_xlfn.SWITCH(L2088,1,_xlfn.XLOOKUP(O2088,[1]AttributeName!$B:$B,[1]AttributeName!$E:$E),2,_xlfn.XLOOKUP(C2088,#REF!,#REF!),3,_xlfn.XLOOKUP(C2088,#REF!,#REF!)),0)</f>
        <v>2</v>
      </c>
    </row>
    <row r="2089" customFormat="1" spans="1:20">
      <c r="A2089">
        <f t="shared" si="88"/>
        <v>866</v>
      </c>
      <c r="B2089">
        <v>4</v>
      </c>
      <c r="C2089" t="s">
        <v>408</v>
      </c>
      <c r="D2089" t="s">
        <v>31</v>
      </c>
      <c r="E2089" s="13" t="s">
        <v>392</v>
      </c>
      <c r="F2089"/>
      <c r="G2089">
        <v>2</v>
      </c>
      <c r="H2089">
        <v>1000</v>
      </c>
      <c r="J2089" cm="1">
        <f t="array" ref="J2089">_xlfn.SWITCH(B2089,1,75,2,61,3,49,4,37,5,25,6,13,7,4,8,1)</f>
        <v>37</v>
      </c>
      <c r="K2089" t="str" cm="1">
        <f t="array" ref="K2089">IFERROR(_xlfn.SWITCH(L2089,2,_xlfn.XLOOKUP(C2089,[1]ModifierDes!$B:$B,[1]ModifierDes!$C:$C),3,_xlfn.XLOOKUP(C2089,[1]StuntDes!$B:$B,[1]StuntDes!$C:$C)),"")</f>
        <v/>
      </c>
      <c r="L2089">
        <f t="shared" si="85"/>
        <v>1</v>
      </c>
      <c r="M2089" s="10" t="str">
        <f>IFERROR(_xlfn.XLOOKUP(C2089,[1]StuntDes!$B:$B,[1]StuntDes!$A:$A),"")</f>
        <v/>
      </c>
      <c r="N2089" s="10" t="str">
        <f>IFERROR(_xlfn.XLOOKUP(C2089,[1]ModifierDes!$B:$B,[1]ModifierDes!$A:$A),"")</f>
        <v/>
      </c>
      <c r="O2089" s="10">
        <f>IFERROR(_xlfn.XLOOKUP(C2089,[1]AttributeName!$C:$C,[1]AttributeName!$B:$B),"")</f>
        <v>10801</v>
      </c>
      <c r="P2089" s="10"/>
      <c r="Q2089">
        <v>0.21</v>
      </c>
      <c r="R2089">
        <v>0.25</v>
      </c>
      <c r="S2089" cm="1">
        <f t="array" ref="S2089">IFERROR(_xlfn.SWITCH(L2089,1,_xlfn.XLOOKUP(O2089,[1]AttributeName!$B:$B,[1]AttributeName!$D:$D),2,_xlfn.XLOOKUP(C2089,#REF!,#REF!),3,_xlfn.XLOOKUP(C2089,#REF!,#REF!)),0)</f>
        <v>2</v>
      </c>
      <c r="T2089" cm="1">
        <f t="array" ref="T2089">IFERROR(_xlfn.SWITCH(L2089,1,_xlfn.XLOOKUP(O2089,[1]AttributeName!$B:$B,[1]AttributeName!$E:$E),2,_xlfn.XLOOKUP(C2089,#REF!,#REF!),3,_xlfn.XLOOKUP(C2089,#REF!,#REF!)),0)</f>
        <v>2</v>
      </c>
    </row>
    <row r="2090" customFormat="1" spans="1:20">
      <c r="A2090">
        <f t="shared" si="88"/>
        <v>866</v>
      </c>
      <c r="B2090">
        <v>5</v>
      </c>
      <c r="C2090" t="s">
        <v>408</v>
      </c>
      <c r="D2090" t="s">
        <v>31</v>
      </c>
      <c r="E2090" s="13" t="s">
        <v>392</v>
      </c>
      <c r="F2090"/>
      <c r="G2090">
        <v>2</v>
      </c>
      <c r="H2090">
        <v>1000</v>
      </c>
      <c r="J2090" cm="1">
        <f t="array" ref="J2090">_xlfn.SWITCH(B2090,1,75,2,61,3,49,4,37,5,25,6,13,7,4,8,1)</f>
        <v>25</v>
      </c>
      <c r="K2090" t="str" cm="1">
        <f t="array" ref="K2090">IFERROR(_xlfn.SWITCH(L2090,2,_xlfn.XLOOKUP(C2090,[1]ModifierDes!$B:$B,[1]ModifierDes!$C:$C),3,_xlfn.XLOOKUP(C2090,[1]StuntDes!$B:$B,[1]StuntDes!$C:$C)),"")</f>
        <v/>
      </c>
      <c r="L2090">
        <f t="shared" si="85"/>
        <v>1</v>
      </c>
      <c r="M2090" s="10" t="str">
        <f>IFERROR(_xlfn.XLOOKUP(C2090,[1]StuntDes!$B:$B,[1]StuntDes!$A:$A),"")</f>
        <v/>
      </c>
      <c r="N2090" s="10" t="str">
        <f>IFERROR(_xlfn.XLOOKUP(C2090,[1]ModifierDes!$B:$B,[1]ModifierDes!$A:$A),"")</f>
        <v/>
      </c>
      <c r="O2090" s="10">
        <f>IFERROR(_xlfn.XLOOKUP(C2090,[1]AttributeName!$C:$C,[1]AttributeName!$B:$B),"")</f>
        <v>10801</v>
      </c>
      <c r="P2090" s="10"/>
      <c r="Q2090">
        <v>0.16</v>
      </c>
      <c r="R2090">
        <v>0.2</v>
      </c>
      <c r="S2090" cm="1">
        <f t="array" ref="S2090">IFERROR(_xlfn.SWITCH(L2090,1,_xlfn.XLOOKUP(O2090,[1]AttributeName!$B:$B,[1]AttributeName!$D:$D),2,_xlfn.XLOOKUP(C2090,#REF!,#REF!),3,_xlfn.XLOOKUP(C2090,#REF!,#REF!)),0)</f>
        <v>2</v>
      </c>
      <c r="T2090" cm="1">
        <f t="array" ref="T2090">IFERROR(_xlfn.SWITCH(L2090,1,_xlfn.XLOOKUP(O2090,[1]AttributeName!$B:$B,[1]AttributeName!$E:$E),2,_xlfn.XLOOKUP(C2090,#REF!,#REF!),3,_xlfn.XLOOKUP(C2090,#REF!,#REF!)),0)</f>
        <v>2</v>
      </c>
    </row>
    <row r="2091" customFormat="1" spans="1:20">
      <c r="A2091">
        <f t="shared" si="88"/>
        <v>866</v>
      </c>
      <c r="B2091">
        <v>6</v>
      </c>
      <c r="C2091" t="s">
        <v>408</v>
      </c>
      <c r="D2091" t="s">
        <v>31</v>
      </c>
      <c r="E2091" s="13" t="s">
        <v>392</v>
      </c>
      <c r="F2091"/>
      <c r="G2091">
        <v>2</v>
      </c>
      <c r="H2091">
        <v>1000</v>
      </c>
      <c r="J2091" cm="1">
        <f t="array" ref="J2091">_xlfn.SWITCH(B2091,1,75,2,61,3,49,4,37,5,25,6,13,7,4,8,1)</f>
        <v>13</v>
      </c>
      <c r="K2091" t="str" cm="1">
        <f t="array" ref="K2091">IFERROR(_xlfn.SWITCH(L2091,2,_xlfn.XLOOKUP(C2091,[1]ModifierDes!$B:$B,[1]ModifierDes!$C:$C),3,_xlfn.XLOOKUP(C2091,[1]StuntDes!$B:$B,[1]StuntDes!$C:$C)),"")</f>
        <v/>
      </c>
      <c r="L2091">
        <f t="shared" si="85"/>
        <v>1</v>
      </c>
      <c r="M2091" s="10" t="str">
        <f>IFERROR(_xlfn.XLOOKUP(C2091,[1]StuntDes!$B:$B,[1]StuntDes!$A:$A),"")</f>
        <v/>
      </c>
      <c r="N2091" s="10" t="str">
        <f>IFERROR(_xlfn.XLOOKUP(C2091,[1]ModifierDes!$B:$B,[1]ModifierDes!$A:$A),"")</f>
        <v/>
      </c>
      <c r="O2091" s="10">
        <f>IFERROR(_xlfn.XLOOKUP(C2091,[1]AttributeName!$C:$C,[1]AttributeName!$B:$B),"")</f>
        <v>10801</v>
      </c>
      <c r="P2091" s="10"/>
      <c r="Q2091">
        <v>0.11</v>
      </c>
      <c r="R2091">
        <v>0.15</v>
      </c>
      <c r="S2091" cm="1">
        <f t="array" ref="S2091">IFERROR(_xlfn.SWITCH(L2091,1,_xlfn.XLOOKUP(O2091,[1]AttributeName!$B:$B,[1]AttributeName!$D:$D),2,_xlfn.XLOOKUP(C2091,#REF!,#REF!),3,_xlfn.XLOOKUP(C2091,#REF!,#REF!)),0)</f>
        <v>2</v>
      </c>
      <c r="T2091" cm="1">
        <f t="array" ref="T2091">IFERROR(_xlfn.SWITCH(L2091,1,_xlfn.XLOOKUP(O2091,[1]AttributeName!$B:$B,[1]AttributeName!$E:$E),2,_xlfn.XLOOKUP(C2091,#REF!,#REF!),3,_xlfn.XLOOKUP(C2091,#REF!,#REF!)),0)</f>
        <v>2</v>
      </c>
    </row>
    <row r="2092" customFormat="1" spans="1:20">
      <c r="A2092">
        <f t="shared" si="88"/>
        <v>866</v>
      </c>
      <c r="B2092">
        <v>7</v>
      </c>
      <c r="C2092" t="s">
        <v>408</v>
      </c>
      <c r="D2092" t="s">
        <v>31</v>
      </c>
      <c r="E2092" s="13" t="s">
        <v>392</v>
      </c>
      <c r="F2092"/>
      <c r="G2092">
        <v>2</v>
      </c>
      <c r="H2092">
        <v>1000</v>
      </c>
      <c r="J2092" cm="1">
        <f t="array" ref="J2092">_xlfn.SWITCH(B2092,1,75,2,61,3,49,4,37,5,25,6,13,7,4,8,1)</f>
        <v>4</v>
      </c>
      <c r="K2092" t="str" cm="1">
        <f t="array" ref="K2092">IFERROR(_xlfn.SWITCH(L2092,2,_xlfn.XLOOKUP(C2092,[1]ModifierDes!$B:$B,[1]ModifierDes!$C:$C),3,_xlfn.XLOOKUP(C2092,[1]StuntDes!$B:$B,[1]StuntDes!$C:$C)),"")</f>
        <v/>
      </c>
      <c r="L2092">
        <f t="shared" si="85"/>
        <v>1</v>
      </c>
      <c r="M2092" s="10" t="str">
        <f>IFERROR(_xlfn.XLOOKUP(C2092,[1]StuntDes!$B:$B,[1]StuntDes!$A:$A),"")</f>
        <v/>
      </c>
      <c r="N2092" s="10" t="str">
        <f>IFERROR(_xlfn.XLOOKUP(C2092,[1]ModifierDes!$B:$B,[1]ModifierDes!$A:$A),"")</f>
        <v/>
      </c>
      <c r="O2092" s="10">
        <f>IFERROR(_xlfn.XLOOKUP(C2092,[1]AttributeName!$C:$C,[1]AttributeName!$B:$B),"")</f>
        <v>10801</v>
      </c>
      <c r="P2092" s="10"/>
      <c r="Q2092">
        <v>0.06</v>
      </c>
      <c r="R2092">
        <v>0.1</v>
      </c>
      <c r="S2092" cm="1">
        <f t="array" ref="S2092">IFERROR(_xlfn.SWITCH(L2092,1,_xlfn.XLOOKUP(O2092,[1]AttributeName!$B:$B,[1]AttributeName!$D:$D),2,_xlfn.XLOOKUP(C2092,#REF!,#REF!),3,_xlfn.XLOOKUP(C2092,#REF!,#REF!)),0)</f>
        <v>2</v>
      </c>
      <c r="T2092" cm="1">
        <f t="array" ref="T2092">IFERROR(_xlfn.SWITCH(L2092,1,_xlfn.XLOOKUP(O2092,[1]AttributeName!$B:$B,[1]AttributeName!$E:$E),2,_xlfn.XLOOKUP(C2092,#REF!,#REF!),3,_xlfn.XLOOKUP(C2092,#REF!,#REF!)),0)</f>
        <v>2</v>
      </c>
    </row>
    <row r="2093" customFormat="1" spans="1:20">
      <c r="A2093">
        <f t="shared" si="88"/>
        <v>866</v>
      </c>
      <c r="B2093">
        <v>8</v>
      </c>
      <c r="C2093" t="s">
        <v>408</v>
      </c>
      <c r="D2093" t="s">
        <v>31</v>
      </c>
      <c r="E2093" s="13" t="s">
        <v>392</v>
      </c>
      <c r="F2093"/>
      <c r="G2093">
        <v>2</v>
      </c>
      <c r="H2093">
        <v>1000</v>
      </c>
      <c r="J2093" cm="1">
        <f t="array" ref="J2093">_xlfn.SWITCH(B2093,1,75,2,61,3,49,4,37,5,25,6,13,7,4,8,1)</f>
        <v>1</v>
      </c>
      <c r="K2093" t="str" cm="1">
        <f t="array" ref="K2093">IFERROR(_xlfn.SWITCH(L2093,2,_xlfn.XLOOKUP(C2093,[1]ModifierDes!$B:$B,[1]ModifierDes!$C:$C),3,_xlfn.XLOOKUP(C2093,[1]StuntDes!$B:$B,[1]StuntDes!$C:$C)),"")</f>
        <v/>
      </c>
      <c r="L2093">
        <f t="shared" si="85"/>
        <v>1</v>
      </c>
      <c r="M2093" s="10" t="str">
        <f>IFERROR(_xlfn.XLOOKUP(C2093,[1]StuntDes!$B:$B,[1]StuntDes!$A:$A),"")</f>
        <v/>
      </c>
      <c r="N2093" s="10" t="str">
        <f>IFERROR(_xlfn.XLOOKUP(C2093,[1]ModifierDes!$B:$B,[1]ModifierDes!$A:$A),"")</f>
        <v/>
      </c>
      <c r="O2093" s="10">
        <f>IFERROR(_xlfn.XLOOKUP(C2093,[1]AttributeName!$C:$C,[1]AttributeName!$B:$B),"")</f>
        <v>10801</v>
      </c>
      <c r="P2093" s="10"/>
      <c r="Q2093">
        <v>0.01</v>
      </c>
      <c r="R2093">
        <v>0.05</v>
      </c>
      <c r="S2093" cm="1">
        <f t="array" ref="S2093">IFERROR(_xlfn.SWITCH(L2093,1,_xlfn.XLOOKUP(O2093,[1]AttributeName!$B:$B,[1]AttributeName!$D:$D),2,_xlfn.XLOOKUP(C2093,#REF!,#REF!),3,_xlfn.XLOOKUP(C2093,#REF!,#REF!)),0)</f>
        <v>2</v>
      </c>
      <c r="T2093" cm="1">
        <f t="array" ref="T2093">IFERROR(_xlfn.SWITCH(L2093,1,_xlfn.XLOOKUP(O2093,[1]AttributeName!$B:$B,[1]AttributeName!$E:$E),2,_xlfn.XLOOKUP(C2093,#REF!,#REF!),3,_xlfn.XLOOKUP(C2093,#REF!,#REF!)),0)</f>
        <v>2</v>
      </c>
    </row>
    <row r="2094" customFormat="1" spans="1:20">
      <c r="A2094">
        <f t="shared" si="88"/>
        <v>867</v>
      </c>
      <c r="B2094">
        <v>1</v>
      </c>
      <c r="C2094" t="s">
        <v>409</v>
      </c>
      <c r="D2094" t="s">
        <v>31</v>
      </c>
      <c r="E2094" s="13" t="s">
        <v>392</v>
      </c>
      <c r="F2094"/>
      <c r="G2094">
        <v>2</v>
      </c>
      <c r="H2094">
        <v>500</v>
      </c>
      <c r="J2094" cm="1">
        <f t="array" ref="J2094">_xlfn.SWITCH(B2094,1,75,2,61,3,49,4,37,5,25,6,13,7,4,8,1)</f>
        <v>75</v>
      </c>
      <c r="K2094" t="str" cm="1">
        <f t="array" ref="K2094">IFERROR(_xlfn.SWITCH(L2094,2,_xlfn.XLOOKUP(C2094,[1]ModifierDes!$B:$B,[1]ModifierDes!$C:$C),3,_xlfn.XLOOKUP(C2094,[1]StuntDes!$B:$B,[1]StuntDes!$C:$C)),"")</f>
        <v/>
      </c>
      <c r="L2094">
        <f t="shared" si="85"/>
        <v>1</v>
      </c>
      <c r="M2094" s="10" t="str">
        <f>IFERROR(_xlfn.XLOOKUP(C2094,[1]StuntDes!$B:$B,[1]StuntDes!$A:$A),"")</f>
        <v/>
      </c>
      <c r="N2094" s="10" t="str">
        <f>IFERROR(_xlfn.XLOOKUP(C2094,[1]ModifierDes!$B:$B,[1]ModifierDes!$A:$A),"")</f>
        <v/>
      </c>
      <c r="O2094" s="10">
        <f>IFERROR(_xlfn.XLOOKUP(C2094,[1]AttributeName!$C:$C,[1]AttributeName!$B:$B),"")</f>
        <v>11009</v>
      </c>
      <c r="P2094" s="10"/>
      <c r="Q2094">
        <v>0.36</v>
      </c>
      <c r="R2094">
        <v>0.4</v>
      </c>
      <c r="S2094" cm="1">
        <f t="array" ref="S2094">IFERROR(_xlfn.SWITCH(L2094,1,_xlfn.XLOOKUP(O2094,[1]AttributeName!$B:$B,[1]AttributeName!$D:$D),2,_xlfn.XLOOKUP(C2094,#REF!,#REF!),3,_xlfn.XLOOKUP(C2094,#REF!,#REF!)),0)</f>
        <v>2</v>
      </c>
      <c r="T2094" cm="1">
        <f t="array" ref="T2094">IFERROR(_xlfn.SWITCH(L2094,1,_xlfn.XLOOKUP(O2094,[1]AttributeName!$B:$B,[1]AttributeName!$E:$E),2,_xlfn.XLOOKUP(C2094,#REF!,#REF!),3,_xlfn.XLOOKUP(C2094,#REF!,#REF!)),0)</f>
        <v>2</v>
      </c>
    </row>
    <row r="2095" customFormat="1" spans="1:20">
      <c r="A2095">
        <f t="shared" si="88"/>
        <v>867</v>
      </c>
      <c r="B2095">
        <v>2</v>
      </c>
      <c r="C2095" t="s">
        <v>409</v>
      </c>
      <c r="D2095" t="s">
        <v>31</v>
      </c>
      <c r="E2095" s="13" t="s">
        <v>392</v>
      </c>
      <c r="F2095"/>
      <c r="G2095">
        <v>2</v>
      </c>
      <c r="H2095">
        <v>500</v>
      </c>
      <c r="J2095" cm="1">
        <f t="array" ref="J2095">_xlfn.SWITCH(B2095,1,75,2,61,3,49,4,37,5,25,6,13,7,4,8,1)</f>
        <v>61</v>
      </c>
      <c r="K2095" t="str" cm="1">
        <f t="array" ref="K2095">IFERROR(_xlfn.SWITCH(L2095,2,_xlfn.XLOOKUP(C2095,[1]ModifierDes!$B:$B,[1]ModifierDes!$C:$C),3,_xlfn.XLOOKUP(C2095,[1]StuntDes!$B:$B,[1]StuntDes!$C:$C)),"")</f>
        <v/>
      </c>
      <c r="L2095">
        <f t="shared" si="85"/>
        <v>1</v>
      </c>
      <c r="M2095" s="10" t="str">
        <f>IFERROR(_xlfn.XLOOKUP(C2095,[1]StuntDes!$B:$B,[1]StuntDes!$A:$A),"")</f>
        <v/>
      </c>
      <c r="N2095" s="10" t="str">
        <f>IFERROR(_xlfn.XLOOKUP(C2095,[1]ModifierDes!$B:$B,[1]ModifierDes!$A:$A),"")</f>
        <v/>
      </c>
      <c r="O2095" s="10">
        <f>IFERROR(_xlfn.XLOOKUP(C2095,[1]AttributeName!$C:$C,[1]AttributeName!$B:$B),"")</f>
        <v>11009</v>
      </c>
      <c r="P2095" s="10"/>
      <c r="Q2095">
        <v>0.31</v>
      </c>
      <c r="R2095">
        <v>0.35</v>
      </c>
      <c r="S2095" cm="1">
        <f t="array" ref="S2095">IFERROR(_xlfn.SWITCH(L2095,1,_xlfn.XLOOKUP(O2095,[1]AttributeName!$B:$B,[1]AttributeName!$D:$D),2,_xlfn.XLOOKUP(C2095,#REF!,#REF!),3,_xlfn.XLOOKUP(C2095,#REF!,#REF!)),0)</f>
        <v>2</v>
      </c>
      <c r="T2095" cm="1">
        <f t="array" ref="T2095">IFERROR(_xlfn.SWITCH(L2095,1,_xlfn.XLOOKUP(O2095,[1]AttributeName!$B:$B,[1]AttributeName!$E:$E),2,_xlfn.XLOOKUP(C2095,#REF!,#REF!),3,_xlfn.XLOOKUP(C2095,#REF!,#REF!)),0)</f>
        <v>2</v>
      </c>
    </row>
    <row r="2096" customFormat="1" spans="1:20">
      <c r="A2096">
        <f t="shared" si="88"/>
        <v>867</v>
      </c>
      <c r="B2096">
        <v>3</v>
      </c>
      <c r="C2096" t="s">
        <v>409</v>
      </c>
      <c r="D2096" t="s">
        <v>31</v>
      </c>
      <c r="E2096" s="13" t="s">
        <v>392</v>
      </c>
      <c r="F2096"/>
      <c r="G2096">
        <v>2</v>
      </c>
      <c r="H2096">
        <v>1000</v>
      </c>
      <c r="J2096" cm="1">
        <f t="array" ref="J2096">_xlfn.SWITCH(B2096,1,75,2,61,3,49,4,37,5,25,6,13,7,4,8,1)</f>
        <v>49</v>
      </c>
      <c r="K2096" t="str" cm="1">
        <f t="array" ref="K2096">IFERROR(_xlfn.SWITCH(L2096,2,_xlfn.XLOOKUP(C2096,[1]ModifierDes!$B:$B,[1]ModifierDes!$C:$C),3,_xlfn.XLOOKUP(C2096,[1]StuntDes!$B:$B,[1]StuntDes!$C:$C)),"")</f>
        <v/>
      </c>
      <c r="L2096">
        <f t="shared" si="85"/>
        <v>1</v>
      </c>
      <c r="M2096" s="10" t="str">
        <f>IFERROR(_xlfn.XLOOKUP(C2096,[1]StuntDes!$B:$B,[1]StuntDes!$A:$A),"")</f>
        <v/>
      </c>
      <c r="N2096" s="10" t="str">
        <f>IFERROR(_xlfn.XLOOKUP(C2096,[1]ModifierDes!$B:$B,[1]ModifierDes!$A:$A),"")</f>
        <v/>
      </c>
      <c r="O2096" s="10">
        <f>IFERROR(_xlfn.XLOOKUP(C2096,[1]AttributeName!$C:$C,[1]AttributeName!$B:$B),"")</f>
        <v>11009</v>
      </c>
      <c r="P2096" s="10"/>
      <c r="Q2096">
        <v>0.26</v>
      </c>
      <c r="R2096">
        <v>0.3</v>
      </c>
      <c r="S2096" cm="1">
        <f t="array" ref="S2096">IFERROR(_xlfn.SWITCH(L2096,1,_xlfn.XLOOKUP(O2096,[1]AttributeName!$B:$B,[1]AttributeName!$D:$D),2,_xlfn.XLOOKUP(C2096,#REF!,#REF!),3,_xlfn.XLOOKUP(C2096,#REF!,#REF!)),0)</f>
        <v>2</v>
      </c>
      <c r="T2096" cm="1">
        <f t="array" ref="T2096">IFERROR(_xlfn.SWITCH(L2096,1,_xlfn.XLOOKUP(O2096,[1]AttributeName!$B:$B,[1]AttributeName!$E:$E),2,_xlfn.XLOOKUP(C2096,#REF!,#REF!),3,_xlfn.XLOOKUP(C2096,#REF!,#REF!)),0)</f>
        <v>2</v>
      </c>
    </row>
    <row r="2097" customFormat="1" spans="1:20">
      <c r="A2097">
        <f t="shared" si="88"/>
        <v>867</v>
      </c>
      <c r="B2097">
        <v>4</v>
      </c>
      <c r="C2097" t="s">
        <v>409</v>
      </c>
      <c r="D2097" t="s">
        <v>31</v>
      </c>
      <c r="E2097" s="13" t="s">
        <v>392</v>
      </c>
      <c r="F2097"/>
      <c r="G2097">
        <v>2</v>
      </c>
      <c r="H2097">
        <v>1000</v>
      </c>
      <c r="J2097" cm="1">
        <f t="array" ref="J2097">_xlfn.SWITCH(B2097,1,75,2,61,3,49,4,37,5,25,6,13,7,4,8,1)</f>
        <v>37</v>
      </c>
      <c r="K2097" t="str" cm="1">
        <f t="array" ref="K2097">IFERROR(_xlfn.SWITCH(L2097,2,_xlfn.XLOOKUP(C2097,[1]ModifierDes!$B:$B,[1]ModifierDes!$C:$C),3,_xlfn.XLOOKUP(C2097,[1]StuntDes!$B:$B,[1]StuntDes!$C:$C)),"")</f>
        <v/>
      </c>
      <c r="L2097">
        <f t="shared" si="85"/>
        <v>1</v>
      </c>
      <c r="M2097" s="10" t="str">
        <f>IFERROR(_xlfn.XLOOKUP(C2097,[1]StuntDes!$B:$B,[1]StuntDes!$A:$A),"")</f>
        <v/>
      </c>
      <c r="N2097" s="10" t="str">
        <f>IFERROR(_xlfn.XLOOKUP(C2097,[1]ModifierDes!$B:$B,[1]ModifierDes!$A:$A),"")</f>
        <v/>
      </c>
      <c r="O2097" s="10">
        <f>IFERROR(_xlfn.XLOOKUP(C2097,[1]AttributeName!$C:$C,[1]AttributeName!$B:$B),"")</f>
        <v>11009</v>
      </c>
      <c r="P2097" s="10"/>
      <c r="Q2097">
        <v>0.21</v>
      </c>
      <c r="R2097">
        <v>0.25</v>
      </c>
      <c r="S2097" cm="1">
        <f t="array" ref="S2097">IFERROR(_xlfn.SWITCH(L2097,1,_xlfn.XLOOKUP(O2097,[1]AttributeName!$B:$B,[1]AttributeName!$D:$D),2,_xlfn.XLOOKUP(C2097,#REF!,#REF!),3,_xlfn.XLOOKUP(C2097,#REF!,#REF!)),0)</f>
        <v>2</v>
      </c>
      <c r="T2097" cm="1">
        <f t="array" ref="T2097">IFERROR(_xlfn.SWITCH(L2097,1,_xlfn.XLOOKUP(O2097,[1]AttributeName!$B:$B,[1]AttributeName!$E:$E),2,_xlfn.XLOOKUP(C2097,#REF!,#REF!),3,_xlfn.XLOOKUP(C2097,#REF!,#REF!)),0)</f>
        <v>2</v>
      </c>
    </row>
    <row r="2098" customFormat="1" spans="1:20">
      <c r="A2098">
        <f t="shared" si="88"/>
        <v>867</v>
      </c>
      <c r="B2098">
        <v>5</v>
      </c>
      <c r="C2098" t="s">
        <v>409</v>
      </c>
      <c r="D2098" t="s">
        <v>31</v>
      </c>
      <c r="E2098" s="13" t="s">
        <v>392</v>
      </c>
      <c r="F2098"/>
      <c r="G2098">
        <v>2</v>
      </c>
      <c r="H2098">
        <v>1000</v>
      </c>
      <c r="J2098" cm="1">
        <f t="array" ref="J2098">_xlfn.SWITCH(B2098,1,75,2,61,3,49,4,37,5,25,6,13,7,4,8,1)</f>
        <v>25</v>
      </c>
      <c r="K2098" t="str" cm="1">
        <f t="array" ref="K2098">IFERROR(_xlfn.SWITCH(L2098,2,_xlfn.XLOOKUP(C2098,[1]ModifierDes!$B:$B,[1]ModifierDes!$C:$C),3,_xlfn.XLOOKUP(C2098,[1]StuntDes!$B:$B,[1]StuntDes!$C:$C)),"")</f>
        <v/>
      </c>
      <c r="L2098">
        <f t="shared" si="85"/>
        <v>1</v>
      </c>
      <c r="M2098" s="10" t="str">
        <f>IFERROR(_xlfn.XLOOKUP(C2098,[1]StuntDes!$B:$B,[1]StuntDes!$A:$A),"")</f>
        <v/>
      </c>
      <c r="N2098" s="10" t="str">
        <f>IFERROR(_xlfn.XLOOKUP(C2098,[1]ModifierDes!$B:$B,[1]ModifierDes!$A:$A),"")</f>
        <v/>
      </c>
      <c r="O2098" s="10">
        <f>IFERROR(_xlfn.XLOOKUP(C2098,[1]AttributeName!$C:$C,[1]AttributeName!$B:$B),"")</f>
        <v>11009</v>
      </c>
      <c r="P2098" s="10"/>
      <c r="Q2098">
        <v>0.16</v>
      </c>
      <c r="R2098">
        <v>0.2</v>
      </c>
      <c r="S2098" cm="1">
        <f t="array" ref="S2098">IFERROR(_xlfn.SWITCH(L2098,1,_xlfn.XLOOKUP(O2098,[1]AttributeName!$B:$B,[1]AttributeName!$D:$D),2,_xlfn.XLOOKUP(C2098,#REF!,#REF!),3,_xlfn.XLOOKUP(C2098,#REF!,#REF!)),0)</f>
        <v>2</v>
      </c>
      <c r="T2098" cm="1">
        <f t="array" ref="T2098">IFERROR(_xlfn.SWITCH(L2098,1,_xlfn.XLOOKUP(O2098,[1]AttributeName!$B:$B,[1]AttributeName!$E:$E),2,_xlfn.XLOOKUP(C2098,#REF!,#REF!),3,_xlfn.XLOOKUP(C2098,#REF!,#REF!)),0)</f>
        <v>2</v>
      </c>
    </row>
    <row r="2099" customFormat="1" spans="1:20">
      <c r="A2099">
        <f t="shared" si="88"/>
        <v>867</v>
      </c>
      <c r="B2099">
        <v>6</v>
      </c>
      <c r="C2099" t="s">
        <v>409</v>
      </c>
      <c r="D2099" t="s">
        <v>31</v>
      </c>
      <c r="E2099" s="13" t="s">
        <v>392</v>
      </c>
      <c r="F2099"/>
      <c r="G2099">
        <v>2</v>
      </c>
      <c r="H2099">
        <v>1000</v>
      </c>
      <c r="J2099" cm="1">
        <f t="array" ref="J2099">_xlfn.SWITCH(B2099,1,75,2,61,3,49,4,37,5,25,6,13,7,4,8,1)</f>
        <v>13</v>
      </c>
      <c r="K2099" t="str" cm="1">
        <f t="array" ref="K2099">IFERROR(_xlfn.SWITCH(L2099,2,_xlfn.XLOOKUP(C2099,[1]ModifierDes!$B:$B,[1]ModifierDes!$C:$C),3,_xlfn.XLOOKUP(C2099,[1]StuntDes!$B:$B,[1]StuntDes!$C:$C)),"")</f>
        <v/>
      </c>
      <c r="L2099">
        <f t="shared" si="85"/>
        <v>1</v>
      </c>
      <c r="M2099" s="10" t="str">
        <f>IFERROR(_xlfn.XLOOKUP(C2099,[1]StuntDes!$B:$B,[1]StuntDes!$A:$A),"")</f>
        <v/>
      </c>
      <c r="N2099" s="10" t="str">
        <f>IFERROR(_xlfn.XLOOKUP(C2099,[1]ModifierDes!$B:$B,[1]ModifierDes!$A:$A),"")</f>
        <v/>
      </c>
      <c r="O2099" s="10">
        <f>IFERROR(_xlfn.XLOOKUP(C2099,[1]AttributeName!$C:$C,[1]AttributeName!$B:$B),"")</f>
        <v>11009</v>
      </c>
      <c r="P2099" s="10"/>
      <c r="Q2099">
        <v>0.11</v>
      </c>
      <c r="R2099">
        <v>0.15</v>
      </c>
      <c r="S2099" cm="1">
        <f t="array" ref="S2099">IFERROR(_xlfn.SWITCH(L2099,1,_xlfn.XLOOKUP(O2099,[1]AttributeName!$B:$B,[1]AttributeName!$D:$D),2,_xlfn.XLOOKUP(C2099,#REF!,#REF!),3,_xlfn.XLOOKUP(C2099,#REF!,#REF!)),0)</f>
        <v>2</v>
      </c>
      <c r="T2099" cm="1">
        <f t="array" ref="T2099">IFERROR(_xlfn.SWITCH(L2099,1,_xlfn.XLOOKUP(O2099,[1]AttributeName!$B:$B,[1]AttributeName!$E:$E),2,_xlfn.XLOOKUP(C2099,#REF!,#REF!),3,_xlfn.XLOOKUP(C2099,#REF!,#REF!)),0)</f>
        <v>2</v>
      </c>
    </row>
    <row r="2100" customFormat="1" spans="1:20">
      <c r="A2100">
        <f t="shared" si="88"/>
        <v>867</v>
      </c>
      <c r="B2100">
        <v>7</v>
      </c>
      <c r="C2100" t="s">
        <v>409</v>
      </c>
      <c r="D2100" t="s">
        <v>31</v>
      </c>
      <c r="E2100" s="13" t="s">
        <v>392</v>
      </c>
      <c r="F2100"/>
      <c r="G2100">
        <v>2</v>
      </c>
      <c r="H2100">
        <v>1000</v>
      </c>
      <c r="J2100" cm="1">
        <f t="array" ref="J2100">_xlfn.SWITCH(B2100,1,75,2,61,3,49,4,37,5,25,6,13,7,4,8,1)</f>
        <v>4</v>
      </c>
      <c r="K2100" t="str" cm="1">
        <f t="array" ref="K2100">IFERROR(_xlfn.SWITCH(L2100,2,_xlfn.XLOOKUP(C2100,[1]ModifierDes!$B:$B,[1]ModifierDes!$C:$C),3,_xlfn.XLOOKUP(C2100,[1]StuntDes!$B:$B,[1]StuntDes!$C:$C)),"")</f>
        <v/>
      </c>
      <c r="L2100">
        <f t="shared" si="85"/>
        <v>1</v>
      </c>
      <c r="M2100" s="10" t="str">
        <f>IFERROR(_xlfn.XLOOKUP(C2100,[1]StuntDes!$B:$B,[1]StuntDes!$A:$A),"")</f>
        <v/>
      </c>
      <c r="N2100" s="10" t="str">
        <f>IFERROR(_xlfn.XLOOKUP(C2100,[1]ModifierDes!$B:$B,[1]ModifierDes!$A:$A),"")</f>
        <v/>
      </c>
      <c r="O2100" s="10">
        <f>IFERROR(_xlfn.XLOOKUP(C2100,[1]AttributeName!$C:$C,[1]AttributeName!$B:$B),"")</f>
        <v>11009</v>
      </c>
      <c r="P2100" s="10"/>
      <c r="Q2100">
        <v>0.06</v>
      </c>
      <c r="R2100">
        <v>0.1</v>
      </c>
      <c r="S2100" cm="1">
        <f t="array" ref="S2100">IFERROR(_xlfn.SWITCH(L2100,1,_xlfn.XLOOKUP(O2100,[1]AttributeName!$B:$B,[1]AttributeName!$D:$D),2,_xlfn.XLOOKUP(C2100,#REF!,#REF!),3,_xlfn.XLOOKUP(C2100,#REF!,#REF!)),0)</f>
        <v>2</v>
      </c>
      <c r="T2100" cm="1">
        <f t="array" ref="T2100">IFERROR(_xlfn.SWITCH(L2100,1,_xlfn.XLOOKUP(O2100,[1]AttributeName!$B:$B,[1]AttributeName!$E:$E),2,_xlfn.XLOOKUP(C2100,#REF!,#REF!),3,_xlfn.XLOOKUP(C2100,#REF!,#REF!)),0)</f>
        <v>2</v>
      </c>
    </row>
    <row r="2101" customFormat="1" spans="1:20">
      <c r="A2101">
        <f t="shared" si="88"/>
        <v>867</v>
      </c>
      <c r="B2101">
        <v>8</v>
      </c>
      <c r="C2101" t="s">
        <v>409</v>
      </c>
      <c r="D2101" t="s">
        <v>31</v>
      </c>
      <c r="E2101" s="13" t="s">
        <v>392</v>
      </c>
      <c r="F2101"/>
      <c r="G2101">
        <v>2</v>
      </c>
      <c r="H2101">
        <v>1000</v>
      </c>
      <c r="J2101" cm="1">
        <f t="array" ref="J2101">_xlfn.SWITCH(B2101,1,75,2,61,3,49,4,37,5,25,6,13,7,4,8,1)</f>
        <v>1</v>
      </c>
      <c r="K2101" t="str" cm="1">
        <f t="array" ref="K2101">IFERROR(_xlfn.SWITCH(L2101,2,_xlfn.XLOOKUP(C2101,[1]ModifierDes!$B:$B,[1]ModifierDes!$C:$C),3,_xlfn.XLOOKUP(C2101,[1]StuntDes!$B:$B,[1]StuntDes!$C:$C)),"")</f>
        <v/>
      </c>
      <c r="L2101">
        <f t="shared" si="85"/>
        <v>1</v>
      </c>
      <c r="M2101" s="10" t="str">
        <f>IFERROR(_xlfn.XLOOKUP(C2101,[1]StuntDes!$B:$B,[1]StuntDes!$A:$A),"")</f>
        <v/>
      </c>
      <c r="N2101" s="10" t="str">
        <f>IFERROR(_xlfn.XLOOKUP(C2101,[1]ModifierDes!$B:$B,[1]ModifierDes!$A:$A),"")</f>
        <v/>
      </c>
      <c r="O2101" s="10">
        <f>IFERROR(_xlfn.XLOOKUP(C2101,[1]AttributeName!$C:$C,[1]AttributeName!$B:$B),"")</f>
        <v>11009</v>
      </c>
      <c r="P2101" s="10"/>
      <c r="Q2101">
        <v>0.01</v>
      </c>
      <c r="R2101">
        <v>0.05</v>
      </c>
      <c r="S2101" cm="1">
        <f t="array" ref="S2101">IFERROR(_xlfn.SWITCH(L2101,1,_xlfn.XLOOKUP(O2101,[1]AttributeName!$B:$B,[1]AttributeName!$D:$D),2,_xlfn.XLOOKUP(C2101,#REF!,#REF!),3,_xlfn.XLOOKUP(C2101,#REF!,#REF!)),0)</f>
        <v>2</v>
      </c>
      <c r="T2101" cm="1">
        <f t="array" ref="T2101">IFERROR(_xlfn.SWITCH(L2101,1,_xlfn.XLOOKUP(O2101,[1]AttributeName!$B:$B,[1]AttributeName!$E:$E),2,_xlfn.XLOOKUP(C2101,#REF!,#REF!),3,_xlfn.XLOOKUP(C2101,#REF!,#REF!)),0)</f>
        <v>2</v>
      </c>
    </row>
    <row r="2102" customFormat="1" spans="1:20">
      <c r="A2102">
        <f t="shared" si="88"/>
        <v>868</v>
      </c>
      <c r="B2102">
        <v>1</v>
      </c>
      <c r="C2102" t="s">
        <v>410</v>
      </c>
      <c r="D2102" t="s">
        <v>31</v>
      </c>
      <c r="E2102" s="13" t="s">
        <v>392</v>
      </c>
      <c r="F2102"/>
      <c r="G2102">
        <v>2</v>
      </c>
      <c r="H2102">
        <v>500</v>
      </c>
      <c r="J2102" cm="1">
        <f t="array" ref="J2102">_xlfn.SWITCH(B2102,1,75,2,61,3,49,4,37,5,25,6,13,7,4,8,1)</f>
        <v>75</v>
      </c>
      <c r="K2102" t="str" cm="1">
        <f t="array" ref="K2102">IFERROR(_xlfn.SWITCH(L2102,2,_xlfn.XLOOKUP(C2102,[1]ModifierDes!$B:$B,[1]ModifierDes!$C:$C),3,_xlfn.XLOOKUP(C2102,[1]StuntDes!$B:$B,[1]StuntDes!$C:$C)),"")</f>
        <v/>
      </c>
      <c r="L2102">
        <f t="shared" si="85"/>
        <v>1</v>
      </c>
      <c r="M2102" s="10" t="str">
        <f>IFERROR(_xlfn.XLOOKUP(C2102,[1]StuntDes!$B:$B,[1]StuntDes!$A:$A),"")</f>
        <v/>
      </c>
      <c r="N2102" s="10" t="str">
        <f>IFERROR(_xlfn.XLOOKUP(C2102,[1]ModifierDes!$B:$B,[1]ModifierDes!$A:$A),"")</f>
        <v/>
      </c>
      <c r="O2102" s="10">
        <f>IFERROR(_xlfn.XLOOKUP(C2102,[1]AttributeName!$C:$C,[1]AttributeName!$B:$B),"")</f>
        <v>10803</v>
      </c>
      <c r="P2102" s="10"/>
      <c r="Q2102">
        <v>0.36</v>
      </c>
      <c r="R2102">
        <v>0.4</v>
      </c>
      <c r="S2102" cm="1">
        <f t="array" ref="S2102">IFERROR(_xlfn.SWITCH(L2102,1,_xlfn.XLOOKUP(O2102,[1]AttributeName!$B:$B,[1]AttributeName!$D:$D),2,_xlfn.XLOOKUP(C2102,#REF!,#REF!),3,_xlfn.XLOOKUP(C2102,#REF!,#REF!)),0)</f>
        <v>2</v>
      </c>
      <c r="T2102" cm="1">
        <f t="array" ref="T2102">IFERROR(_xlfn.SWITCH(L2102,1,_xlfn.XLOOKUP(O2102,[1]AttributeName!$B:$B,[1]AttributeName!$E:$E),2,_xlfn.XLOOKUP(C2102,#REF!,#REF!),3,_xlfn.XLOOKUP(C2102,#REF!,#REF!)),0)</f>
        <v>2</v>
      </c>
    </row>
    <row r="2103" customFormat="1" spans="1:20">
      <c r="A2103">
        <f t="shared" ref="A2103:A2141" si="89">A2095+1</f>
        <v>868</v>
      </c>
      <c r="B2103">
        <v>2</v>
      </c>
      <c r="C2103" t="s">
        <v>410</v>
      </c>
      <c r="D2103" t="s">
        <v>31</v>
      </c>
      <c r="E2103" s="13" t="s">
        <v>392</v>
      </c>
      <c r="F2103"/>
      <c r="G2103">
        <v>2</v>
      </c>
      <c r="H2103">
        <v>500</v>
      </c>
      <c r="J2103" cm="1">
        <f t="array" ref="J2103">_xlfn.SWITCH(B2103,1,75,2,61,3,49,4,37,5,25,6,13,7,4,8,1)</f>
        <v>61</v>
      </c>
      <c r="K2103" t="str" cm="1">
        <f t="array" ref="K2103">IFERROR(_xlfn.SWITCH(L2103,2,_xlfn.XLOOKUP(C2103,[1]ModifierDes!$B:$B,[1]ModifierDes!$C:$C),3,_xlfn.XLOOKUP(C2103,[1]StuntDes!$B:$B,[1]StuntDes!$C:$C)),"")</f>
        <v/>
      </c>
      <c r="L2103">
        <f t="shared" si="85"/>
        <v>1</v>
      </c>
      <c r="M2103" s="10" t="str">
        <f>IFERROR(_xlfn.XLOOKUP(C2103,[1]StuntDes!$B:$B,[1]StuntDes!$A:$A),"")</f>
        <v/>
      </c>
      <c r="N2103" s="10" t="str">
        <f>IFERROR(_xlfn.XLOOKUP(C2103,[1]ModifierDes!$B:$B,[1]ModifierDes!$A:$A),"")</f>
        <v/>
      </c>
      <c r="O2103" s="10">
        <f>IFERROR(_xlfn.XLOOKUP(C2103,[1]AttributeName!$C:$C,[1]AttributeName!$B:$B),"")</f>
        <v>10803</v>
      </c>
      <c r="P2103" s="10"/>
      <c r="Q2103">
        <v>0.31</v>
      </c>
      <c r="R2103">
        <v>0.35</v>
      </c>
      <c r="S2103" cm="1">
        <f t="array" ref="S2103">IFERROR(_xlfn.SWITCH(L2103,1,_xlfn.XLOOKUP(O2103,[1]AttributeName!$B:$B,[1]AttributeName!$D:$D),2,_xlfn.XLOOKUP(C2103,#REF!,#REF!),3,_xlfn.XLOOKUP(C2103,#REF!,#REF!)),0)</f>
        <v>2</v>
      </c>
      <c r="T2103" cm="1">
        <f t="array" ref="T2103">IFERROR(_xlfn.SWITCH(L2103,1,_xlfn.XLOOKUP(O2103,[1]AttributeName!$B:$B,[1]AttributeName!$E:$E),2,_xlfn.XLOOKUP(C2103,#REF!,#REF!),3,_xlfn.XLOOKUP(C2103,#REF!,#REF!)),0)</f>
        <v>2</v>
      </c>
    </row>
    <row r="2104" customFormat="1" spans="1:20">
      <c r="A2104">
        <f t="shared" si="89"/>
        <v>868</v>
      </c>
      <c r="B2104">
        <v>3</v>
      </c>
      <c r="C2104" t="s">
        <v>410</v>
      </c>
      <c r="D2104" t="s">
        <v>31</v>
      </c>
      <c r="E2104" s="13" t="s">
        <v>392</v>
      </c>
      <c r="F2104"/>
      <c r="G2104">
        <v>2</v>
      </c>
      <c r="H2104">
        <v>1000</v>
      </c>
      <c r="J2104" cm="1">
        <f t="array" ref="J2104">_xlfn.SWITCH(B2104,1,75,2,61,3,49,4,37,5,25,6,13,7,4,8,1)</f>
        <v>49</v>
      </c>
      <c r="K2104" t="str" cm="1">
        <f t="array" ref="K2104">IFERROR(_xlfn.SWITCH(L2104,2,_xlfn.XLOOKUP(C2104,[1]ModifierDes!$B:$B,[1]ModifierDes!$C:$C),3,_xlfn.XLOOKUP(C2104,[1]StuntDes!$B:$B,[1]StuntDes!$C:$C)),"")</f>
        <v/>
      </c>
      <c r="L2104">
        <f t="shared" si="85"/>
        <v>1</v>
      </c>
      <c r="M2104" s="10" t="str">
        <f>IFERROR(_xlfn.XLOOKUP(C2104,[1]StuntDes!$B:$B,[1]StuntDes!$A:$A),"")</f>
        <v/>
      </c>
      <c r="N2104" s="10" t="str">
        <f>IFERROR(_xlfn.XLOOKUP(C2104,[1]ModifierDes!$B:$B,[1]ModifierDes!$A:$A),"")</f>
        <v/>
      </c>
      <c r="O2104" s="10">
        <f>IFERROR(_xlfn.XLOOKUP(C2104,[1]AttributeName!$C:$C,[1]AttributeName!$B:$B),"")</f>
        <v>10803</v>
      </c>
      <c r="P2104" s="10"/>
      <c r="Q2104">
        <v>0.26</v>
      </c>
      <c r="R2104">
        <v>0.3</v>
      </c>
      <c r="S2104" cm="1">
        <f t="array" ref="S2104">IFERROR(_xlfn.SWITCH(L2104,1,_xlfn.XLOOKUP(O2104,[1]AttributeName!$B:$B,[1]AttributeName!$D:$D),2,_xlfn.XLOOKUP(C2104,#REF!,#REF!),3,_xlfn.XLOOKUP(C2104,#REF!,#REF!)),0)</f>
        <v>2</v>
      </c>
      <c r="T2104" cm="1">
        <f t="array" ref="T2104">IFERROR(_xlfn.SWITCH(L2104,1,_xlfn.XLOOKUP(O2104,[1]AttributeName!$B:$B,[1]AttributeName!$E:$E),2,_xlfn.XLOOKUP(C2104,#REF!,#REF!),3,_xlfn.XLOOKUP(C2104,#REF!,#REF!)),0)</f>
        <v>2</v>
      </c>
    </row>
    <row r="2105" customFormat="1" spans="1:20">
      <c r="A2105">
        <f t="shared" si="89"/>
        <v>868</v>
      </c>
      <c r="B2105">
        <v>4</v>
      </c>
      <c r="C2105" t="s">
        <v>410</v>
      </c>
      <c r="D2105" t="s">
        <v>31</v>
      </c>
      <c r="E2105" s="13" t="s">
        <v>392</v>
      </c>
      <c r="F2105"/>
      <c r="G2105">
        <v>2</v>
      </c>
      <c r="H2105">
        <v>1000</v>
      </c>
      <c r="J2105" cm="1">
        <f t="array" ref="J2105">_xlfn.SWITCH(B2105,1,75,2,61,3,49,4,37,5,25,6,13,7,4,8,1)</f>
        <v>37</v>
      </c>
      <c r="K2105" t="str" cm="1">
        <f t="array" ref="K2105">IFERROR(_xlfn.SWITCH(L2105,2,_xlfn.XLOOKUP(C2105,[1]ModifierDes!$B:$B,[1]ModifierDes!$C:$C),3,_xlfn.XLOOKUP(C2105,[1]StuntDes!$B:$B,[1]StuntDes!$C:$C)),"")</f>
        <v/>
      </c>
      <c r="L2105">
        <f t="shared" si="85"/>
        <v>1</v>
      </c>
      <c r="M2105" s="10" t="str">
        <f>IFERROR(_xlfn.XLOOKUP(C2105,[1]StuntDes!$B:$B,[1]StuntDes!$A:$A),"")</f>
        <v/>
      </c>
      <c r="N2105" s="10" t="str">
        <f>IFERROR(_xlfn.XLOOKUP(C2105,[1]ModifierDes!$B:$B,[1]ModifierDes!$A:$A),"")</f>
        <v/>
      </c>
      <c r="O2105" s="10">
        <f>IFERROR(_xlfn.XLOOKUP(C2105,[1]AttributeName!$C:$C,[1]AttributeName!$B:$B),"")</f>
        <v>10803</v>
      </c>
      <c r="P2105" s="10"/>
      <c r="Q2105">
        <v>0.21</v>
      </c>
      <c r="R2105">
        <v>0.25</v>
      </c>
      <c r="S2105" cm="1">
        <f t="array" ref="S2105">IFERROR(_xlfn.SWITCH(L2105,1,_xlfn.XLOOKUP(O2105,[1]AttributeName!$B:$B,[1]AttributeName!$D:$D),2,_xlfn.XLOOKUP(C2105,#REF!,#REF!),3,_xlfn.XLOOKUP(C2105,#REF!,#REF!)),0)</f>
        <v>2</v>
      </c>
      <c r="T2105" cm="1">
        <f t="array" ref="T2105">IFERROR(_xlfn.SWITCH(L2105,1,_xlfn.XLOOKUP(O2105,[1]AttributeName!$B:$B,[1]AttributeName!$E:$E),2,_xlfn.XLOOKUP(C2105,#REF!,#REF!),3,_xlfn.XLOOKUP(C2105,#REF!,#REF!)),0)</f>
        <v>2</v>
      </c>
    </row>
    <row r="2106" customFormat="1" spans="1:20">
      <c r="A2106">
        <f t="shared" si="89"/>
        <v>868</v>
      </c>
      <c r="B2106">
        <v>5</v>
      </c>
      <c r="C2106" t="s">
        <v>410</v>
      </c>
      <c r="D2106" t="s">
        <v>31</v>
      </c>
      <c r="E2106" s="13" t="s">
        <v>392</v>
      </c>
      <c r="F2106"/>
      <c r="G2106">
        <v>2</v>
      </c>
      <c r="H2106">
        <v>1000</v>
      </c>
      <c r="J2106" cm="1">
        <f t="array" ref="J2106">_xlfn.SWITCH(B2106,1,75,2,61,3,49,4,37,5,25,6,13,7,4,8,1)</f>
        <v>25</v>
      </c>
      <c r="K2106" t="str" cm="1">
        <f t="array" ref="K2106">IFERROR(_xlfn.SWITCH(L2106,2,_xlfn.XLOOKUP(C2106,[1]ModifierDes!$B:$B,[1]ModifierDes!$C:$C),3,_xlfn.XLOOKUP(C2106,[1]StuntDes!$B:$B,[1]StuntDes!$C:$C)),"")</f>
        <v/>
      </c>
      <c r="L2106">
        <f t="shared" si="85"/>
        <v>1</v>
      </c>
      <c r="M2106" s="10" t="str">
        <f>IFERROR(_xlfn.XLOOKUP(C2106,[1]StuntDes!$B:$B,[1]StuntDes!$A:$A),"")</f>
        <v/>
      </c>
      <c r="N2106" s="10" t="str">
        <f>IFERROR(_xlfn.XLOOKUP(C2106,[1]ModifierDes!$B:$B,[1]ModifierDes!$A:$A),"")</f>
        <v/>
      </c>
      <c r="O2106" s="10">
        <f>IFERROR(_xlfn.XLOOKUP(C2106,[1]AttributeName!$C:$C,[1]AttributeName!$B:$B),"")</f>
        <v>10803</v>
      </c>
      <c r="P2106" s="10"/>
      <c r="Q2106">
        <v>0.16</v>
      </c>
      <c r="R2106">
        <v>0.2</v>
      </c>
      <c r="S2106" cm="1">
        <f t="array" ref="S2106">IFERROR(_xlfn.SWITCH(L2106,1,_xlfn.XLOOKUP(O2106,[1]AttributeName!$B:$B,[1]AttributeName!$D:$D),2,_xlfn.XLOOKUP(C2106,#REF!,#REF!),3,_xlfn.XLOOKUP(C2106,#REF!,#REF!)),0)</f>
        <v>2</v>
      </c>
      <c r="T2106" cm="1">
        <f t="array" ref="T2106">IFERROR(_xlfn.SWITCH(L2106,1,_xlfn.XLOOKUP(O2106,[1]AttributeName!$B:$B,[1]AttributeName!$E:$E),2,_xlfn.XLOOKUP(C2106,#REF!,#REF!),3,_xlfn.XLOOKUP(C2106,#REF!,#REF!)),0)</f>
        <v>2</v>
      </c>
    </row>
    <row r="2107" customFormat="1" spans="1:20">
      <c r="A2107">
        <f t="shared" si="89"/>
        <v>868</v>
      </c>
      <c r="B2107">
        <v>6</v>
      </c>
      <c r="C2107" t="s">
        <v>410</v>
      </c>
      <c r="D2107" t="s">
        <v>31</v>
      </c>
      <c r="E2107" s="13" t="s">
        <v>392</v>
      </c>
      <c r="F2107"/>
      <c r="G2107">
        <v>2</v>
      </c>
      <c r="H2107">
        <v>1000</v>
      </c>
      <c r="J2107" cm="1">
        <f t="array" ref="J2107">_xlfn.SWITCH(B2107,1,75,2,61,3,49,4,37,5,25,6,13,7,4,8,1)</f>
        <v>13</v>
      </c>
      <c r="K2107" t="str" cm="1">
        <f t="array" ref="K2107">IFERROR(_xlfn.SWITCH(L2107,2,_xlfn.XLOOKUP(C2107,[1]ModifierDes!$B:$B,[1]ModifierDes!$C:$C),3,_xlfn.XLOOKUP(C2107,[1]StuntDes!$B:$B,[1]StuntDes!$C:$C)),"")</f>
        <v/>
      </c>
      <c r="L2107">
        <f t="shared" si="85"/>
        <v>1</v>
      </c>
      <c r="M2107" s="10" t="str">
        <f>IFERROR(_xlfn.XLOOKUP(C2107,[1]StuntDes!$B:$B,[1]StuntDes!$A:$A),"")</f>
        <v/>
      </c>
      <c r="N2107" s="10" t="str">
        <f>IFERROR(_xlfn.XLOOKUP(C2107,[1]ModifierDes!$B:$B,[1]ModifierDes!$A:$A),"")</f>
        <v/>
      </c>
      <c r="O2107" s="10">
        <f>IFERROR(_xlfn.XLOOKUP(C2107,[1]AttributeName!$C:$C,[1]AttributeName!$B:$B),"")</f>
        <v>10803</v>
      </c>
      <c r="P2107" s="10"/>
      <c r="Q2107">
        <v>0.11</v>
      </c>
      <c r="R2107">
        <v>0.15</v>
      </c>
      <c r="S2107" cm="1">
        <f t="array" ref="S2107">IFERROR(_xlfn.SWITCH(L2107,1,_xlfn.XLOOKUP(O2107,[1]AttributeName!$B:$B,[1]AttributeName!$D:$D),2,_xlfn.XLOOKUP(C2107,#REF!,#REF!),3,_xlfn.XLOOKUP(C2107,#REF!,#REF!)),0)</f>
        <v>2</v>
      </c>
      <c r="T2107" cm="1">
        <f t="array" ref="T2107">IFERROR(_xlfn.SWITCH(L2107,1,_xlfn.XLOOKUP(O2107,[1]AttributeName!$B:$B,[1]AttributeName!$E:$E),2,_xlfn.XLOOKUP(C2107,#REF!,#REF!),3,_xlfn.XLOOKUP(C2107,#REF!,#REF!)),0)</f>
        <v>2</v>
      </c>
    </row>
    <row r="2108" customFormat="1" spans="1:20">
      <c r="A2108">
        <f t="shared" si="89"/>
        <v>868</v>
      </c>
      <c r="B2108">
        <v>7</v>
      </c>
      <c r="C2108" t="s">
        <v>410</v>
      </c>
      <c r="D2108" t="s">
        <v>31</v>
      </c>
      <c r="E2108" s="13" t="s">
        <v>392</v>
      </c>
      <c r="F2108"/>
      <c r="G2108">
        <v>2</v>
      </c>
      <c r="H2108">
        <v>1000</v>
      </c>
      <c r="J2108" cm="1">
        <f t="array" ref="J2108">_xlfn.SWITCH(B2108,1,75,2,61,3,49,4,37,5,25,6,13,7,4,8,1)</f>
        <v>4</v>
      </c>
      <c r="K2108" t="str" cm="1">
        <f t="array" ref="K2108">IFERROR(_xlfn.SWITCH(L2108,2,_xlfn.XLOOKUP(C2108,[1]ModifierDes!$B:$B,[1]ModifierDes!$C:$C),3,_xlfn.XLOOKUP(C2108,[1]StuntDes!$B:$B,[1]StuntDes!$C:$C)),"")</f>
        <v/>
      </c>
      <c r="L2108">
        <f t="shared" si="85"/>
        <v>1</v>
      </c>
      <c r="M2108" s="10" t="str">
        <f>IFERROR(_xlfn.XLOOKUP(C2108,[1]StuntDes!$B:$B,[1]StuntDes!$A:$A),"")</f>
        <v/>
      </c>
      <c r="N2108" s="10" t="str">
        <f>IFERROR(_xlfn.XLOOKUP(C2108,[1]ModifierDes!$B:$B,[1]ModifierDes!$A:$A),"")</f>
        <v/>
      </c>
      <c r="O2108" s="10">
        <f>IFERROR(_xlfn.XLOOKUP(C2108,[1]AttributeName!$C:$C,[1]AttributeName!$B:$B),"")</f>
        <v>10803</v>
      </c>
      <c r="P2108" s="10"/>
      <c r="Q2108">
        <v>0.06</v>
      </c>
      <c r="R2108">
        <v>0.1</v>
      </c>
      <c r="S2108" cm="1">
        <f t="array" ref="S2108">IFERROR(_xlfn.SWITCH(L2108,1,_xlfn.XLOOKUP(O2108,[1]AttributeName!$B:$B,[1]AttributeName!$D:$D),2,_xlfn.XLOOKUP(C2108,#REF!,#REF!),3,_xlfn.XLOOKUP(C2108,#REF!,#REF!)),0)</f>
        <v>2</v>
      </c>
      <c r="T2108" cm="1">
        <f t="array" ref="T2108">IFERROR(_xlfn.SWITCH(L2108,1,_xlfn.XLOOKUP(O2108,[1]AttributeName!$B:$B,[1]AttributeName!$E:$E),2,_xlfn.XLOOKUP(C2108,#REF!,#REF!),3,_xlfn.XLOOKUP(C2108,#REF!,#REF!)),0)</f>
        <v>2</v>
      </c>
    </row>
    <row r="2109" customFormat="1" spans="1:20">
      <c r="A2109">
        <f t="shared" si="89"/>
        <v>868</v>
      </c>
      <c r="B2109">
        <v>8</v>
      </c>
      <c r="C2109" t="s">
        <v>410</v>
      </c>
      <c r="D2109" t="s">
        <v>31</v>
      </c>
      <c r="E2109" s="13" t="s">
        <v>392</v>
      </c>
      <c r="F2109"/>
      <c r="G2109">
        <v>2</v>
      </c>
      <c r="H2109">
        <v>1000</v>
      </c>
      <c r="J2109" cm="1">
        <f t="array" ref="J2109">_xlfn.SWITCH(B2109,1,75,2,61,3,49,4,37,5,25,6,13,7,4,8,1)</f>
        <v>1</v>
      </c>
      <c r="K2109" t="str" cm="1">
        <f t="array" ref="K2109">IFERROR(_xlfn.SWITCH(L2109,2,_xlfn.XLOOKUP(C2109,[1]ModifierDes!$B:$B,[1]ModifierDes!$C:$C),3,_xlfn.XLOOKUP(C2109,[1]StuntDes!$B:$B,[1]StuntDes!$C:$C)),"")</f>
        <v/>
      </c>
      <c r="L2109">
        <f t="shared" si="85"/>
        <v>1</v>
      </c>
      <c r="M2109" s="10" t="str">
        <f>IFERROR(_xlfn.XLOOKUP(C2109,[1]StuntDes!$B:$B,[1]StuntDes!$A:$A),"")</f>
        <v/>
      </c>
      <c r="N2109" s="10" t="str">
        <f>IFERROR(_xlfn.XLOOKUP(C2109,[1]ModifierDes!$B:$B,[1]ModifierDes!$A:$A),"")</f>
        <v/>
      </c>
      <c r="O2109" s="10">
        <f>IFERROR(_xlfn.XLOOKUP(C2109,[1]AttributeName!$C:$C,[1]AttributeName!$B:$B),"")</f>
        <v>10803</v>
      </c>
      <c r="P2109" s="10"/>
      <c r="Q2109">
        <v>0.01</v>
      </c>
      <c r="R2109">
        <v>0.05</v>
      </c>
      <c r="S2109" cm="1">
        <f t="array" ref="S2109">IFERROR(_xlfn.SWITCH(L2109,1,_xlfn.XLOOKUP(O2109,[1]AttributeName!$B:$B,[1]AttributeName!$D:$D),2,_xlfn.XLOOKUP(C2109,#REF!,#REF!),3,_xlfn.XLOOKUP(C2109,#REF!,#REF!)),0)</f>
        <v>2</v>
      </c>
      <c r="T2109" cm="1">
        <f t="array" ref="T2109">IFERROR(_xlfn.SWITCH(L2109,1,_xlfn.XLOOKUP(O2109,[1]AttributeName!$B:$B,[1]AttributeName!$E:$E),2,_xlfn.XLOOKUP(C2109,#REF!,#REF!),3,_xlfn.XLOOKUP(C2109,#REF!,#REF!)),0)</f>
        <v>2</v>
      </c>
    </row>
    <row r="2110" customFormat="1" spans="1:20">
      <c r="A2110">
        <f t="shared" si="89"/>
        <v>869</v>
      </c>
      <c r="B2110">
        <v>1</v>
      </c>
      <c r="C2110" t="s">
        <v>411</v>
      </c>
      <c r="D2110" t="s">
        <v>31</v>
      </c>
      <c r="E2110" s="13" t="s">
        <v>392</v>
      </c>
      <c r="F2110"/>
      <c r="G2110">
        <v>2</v>
      </c>
      <c r="H2110">
        <v>500</v>
      </c>
      <c r="J2110" cm="1">
        <f t="array" ref="J2110">_xlfn.SWITCH(B2110,1,75,2,61,3,49,4,37,5,25,6,13,7,4,8,1)</f>
        <v>75</v>
      </c>
      <c r="K2110" t="str" cm="1">
        <f t="array" ref="K2110">IFERROR(_xlfn.SWITCH(L2110,2,_xlfn.XLOOKUP(C2110,[1]ModifierDes!$B:$B,[1]ModifierDes!$C:$C),3,_xlfn.XLOOKUP(C2110,[1]StuntDes!$B:$B,[1]StuntDes!$C:$C)),"")</f>
        <v/>
      </c>
      <c r="L2110">
        <f t="shared" si="85"/>
        <v>1</v>
      </c>
      <c r="M2110" s="10" t="str">
        <f>IFERROR(_xlfn.XLOOKUP(C2110,[1]StuntDes!$B:$B,[1]StuntDes!$A:$A),"")</f>
        <v/>
      </c>
      <c r="N2110" s="10" t="str">
        <f>IFERROR(_xlfn.XLOOKUP(C2110,[1]ModifierDes!$B:$B,[1]ModifierDes!$A:$A),"")</f>
        <v/>
      </c>
      <c r="O2110" s="10">
        <f>IFERROR(_xlfn.XLOOKUP(C2110,[1]AttributeName!$C:$C,[1]AttributeName!$B:$B),"")</f>
        <v>10804</v>
      </c>
      <c r="P2110" s="10"/>
      <c r="Q2110">
        <v>0.36</v>
      </c>
      <c r="R2110">
        <v>0.4</v>
      </c>
      <c r="S2110" cm="1">
        <f t="array" ref="S2110">IFERROR(_xlfn.SWITCH(L2110,1,_xlfn.XLOOKUP(O2110,[1]AttributeName!$B:$B,[1]AttributeName!$D:$D),2,_xlfn.XLOOKUP(C2110,#REF!,#REF!),3,_xlfn.XLOOKUP(C2110,#REF!,#REF!)),0)</f>
        <v>2</v>
      </c>
      <c r="T2110" cm="1">
        <f t="array" ref="T2110">IFERROR(_xlfn.SWITCH(L2110,1,_xlfn.XLOOKUP(O2110,[1]AttributeName!$B:$B,[1]AttributeName!$E:$E),2,_xlfn.XLOOKUP(C2110,#REF!,#REF!),3,_xlfn.XLOOKUP(C2110,#REF!,#REF!)),0)</f>
        <v>2</v>
      </c>
    </row>
    <row r="2111" customFormat="1" spans="1:20">
      <c r="A2111">
        <f t="shared" si="89"/>
        <v>869</v>
      </c>
      <c r="B2111">
        <v>2</v>
      </c>
      <c r="C2111" t="s">
        <v>411</v>
      </c>
      <c r="D2111" t="s">
        <v>31</v>
      </c>
      <c r="E2111" s="13" t="s">
        <v>392</v>
      </c>
      <c r="F2111"/>
      <c r="G2111">
        <v>2</v>
      </c>
      <c r="H2111">
        <v>500</v>
      </c>
      <c r="J2111" cm="1">
        <f t="array" ref="J2111">_xlfn.SWITCH(B2111,1,75,2,61,3,49,4,37,5,25,6,13,7,4,8,1)</f>
        <v>61</v>
      </c>
      <c r="K2111" t="str" cm="1">
        <f t="array" ref="K2111">IFERROR(_xlfn.SWITCH(L2111,2,_xlfn.XLOOKUP(C2111,[1]ModifierDes!$B:$B,[1]ModifierDes!$C:$C),3,_xlfn.XLOOKUP(C2111,[1]StuntDes!$B:$B,[1]StuntDes!$C:$C)),"")</f>
        <v/>
      </c>
      <c r="L2111">
        <f t="shared" si="85"/>
        <v>1</v>
      </c>
      <c r="M2111" s="10" t="str">
        <f>IFERROR(_xlfn.XLOOKUP(C2111,[1]StuntDes!$B:$B,[1]StuntDes!$A:$A),"")</f>
        <v/>
      </c>
      <c r="N2111" s="10" t="str">
        <f>IFERROR(_xlfn.XLOOKUP(C2111,[1]ModifierDes!$B:$B,[1]ModifierDes!$A:$A),"")</f>
        <v/>
      </c>
      <c r="O2111" s="10">
        <f>IFERROR(_xlfn.XLOOKUP(C2111,[1]AttributeName!$C:$C,[1]AttributeName!$B:$B),"")</f>
        <v>10804</v>
      </c>
      <c r="P2111" s="10"/>
      <c r="Q2111">
        <v>0.31</v>
      </c>
      <c r="R2111">
        <v>0.35</v>
      </c>
      <c r="S2111" cm="1">
        <f t="array" ref="S2111">IFERROR(_xlfn.SWITCH(L2111,1,_xlfn.XLOOKUP(O2111,[1]AttributeName!$B:$B,[1]AttributeName!$D:$D),2,_xlfn.XLOOKUP(C2111,#REF!,#REF!),3,_xlfn.XLOOKUP(C2111,#REF!,#REF!)),0)</f>
        <v>2</v>
      </c>
      <c r="T2111" cm="1">
        <f t="array" ref="T2111">IFERROR(_xlfn.SWITCH(L2111,1,_xlfn.XLOOKUP(O2111,[1]AttributeName!$B:$B,[1]AttributeName!$E:$E),2,_xlfn.XLOOKUP(C2111,#REF!,#REF!),3,_xlfn.XLOOKUP(C2111,#REF!,#REF!)),0)</f>
        <v>2</v>
      </c>
    </row>
    <row r="2112" customFormat="1" spans="1:20">
      <c r="A2112">
        <f t="shared" si="89"/>
        <v>869</v>
      </c>
      <c r="B2112">
        <v>3</v>
      </c>
      <c r="C2112" t="s">
        <v>411</v>
      </c>
      <c r="D2112" t="s">
        <v>31</v>
      </c>
      <c r="E2112" s="13" t="s">
        <v>392</v>
      </c>
      <c r="F2112"/>
      <c r="G2112">
        <v>2</v>
      </c>
      <c r="H2112">
        <v>1000</v>
      </c>
      <c r="J2112" cm="1">
        <f t="array" ref="J2112">_xlfn.SWITCH(B2112,1,75,2,61,3,49,4,37,5,25,6,13,7,4,8,1)</f>
        <v>49</v>
      </c>
      <c r="K2112" t="str" cm="1">
        <f t="array" ref="K2112">IFERROR(_xlfn.SWITCH(L2112,2,_xlfn.XLOOKUP(C2112,[1]ModifierDes!$B:$B,[1]ModifierDes!$C:$C),3,_xlfn.XLOOKUP(C2112,[1]StuntDes!$B:$B,[1]StuntDes!$C:$C)),"")</f>
        <v/>
      </c>
      <c r="L2112">
        <f t="shared" si="85"/>
        <v>1</v>
      </c>
      <c r="M2112" s="10" t="str">
        <f>IFERROR(_xlfn.XLOOKUP(C2112,[1]StuntDes!$B:$B,[1]StuntDes!$A:$A),"")</f>
        <v/>
      </c>
      <c r="N2112" s="10" t="str">
        <f>IFERROR(_xlfn.XLOOKUP(C2112,[1]ModifierDes!$B:$B,[1]ModifierDes!$A:$A),"")</f>
        <v/>
      </c>
      <c r="O2112" s="10">
        <f>IFERROR(_xlfn.XLOOKUP(C2112,[1]AttributeName!$C:$C,[1]AttributeName!$B:$B),"")</f>
        <v>10804</v>
      </c>
      <c r="P2112" s="10"/>
      <c r="Q2112">
        <v>0.26</v>
      </c>
      <c r="R2112">
        <v>0.3</v>
      </c>
      <c r="S2112" cm="1">
        <f t="array" ref="S2112">IFERROR(_xlfn.SWITCH(L2112,1,_xlfn.XLOOKUP(O2112,[1]AttributeName!$B:$B,[1]AttributeName!$D:$D),2,_xlfn.XLOOKUP(C2112,#REF!,#REF!),3,_xlfn.XLOOKUP(C2112,#REF!,#REF!)),0)</f>
        <v>2</v>
      </c>
      <c r="T2112" cm="1">
        <f t="array" ref="T2112">IFERROR(_xlfn.SWITCH(L2112,1,_xlfn.XLOOKUP(O2112,[1]AttributeName!$B:$B,[1]AttributeName!$E:$E),2,_xlfn.XLOOKUP(C2112,#REF!,#REF!),3,_xlfn.XLOOKUP(C2112,#REF!,#REF!)),0)</f>
        <v>2</v>
      </c>
    </row>
    <row r="2113" customFormat="1" spans="1:20">
      <c r="A2113">
        <f t="shared" si="89"/>
        <v>869</v>
      </c>
      <c r="B2113">
        <v>4</v>
      </c>
      <c r="C2113" t="s">
        <v>411</v>
      </c>
      <c r="D2113" t="s">
        <v>31</v>
      </c>
      <c r="E2113" s="13" t="s">
        <v>392</v>
      </c>
      <c r="F2113"/>
      <c r="G2113">
        <v>2</v>
      </c>
      <c r="H2113">
        <v>1000</v>
      </c>
      <c r="J2113" cm="1">
        <f t="array" ref="J2113">_xlfn.SWITCH(B2113,1,75,2,61,3,49,4,37,5,25,6,13,7,4,8,1)</f>
        <v>37</v>
      </c>
      <c r="K2113" t="str" cm="1">
        <f t="array" ref="K2113">IFERROR(_xlfn.SWITCH(L2113,2,_xlfn.XLOOKUP(C2113,[1]ModifierDes!$B:$B,[1]ModifierDes!$C:$C),3,_xlfn.XLOOKUP(C2113,[1]StuntDes!$B:$B,[1]StuntDes!$C:$C)),"")</f>
        <v/>
      </c>
      <c r="L2113">
        <f t="shared" si="85"/>
        <v>1</v>
      </c>
      <c r="M2113" s="10" t="str">
        <f>IFERROR(_xlfn.XLOOKUP(C2113,[1]StuntDes!$B:$B,[1]StuntDes!$A:$A),"")</f>
        <v/>
      </c>
      <c r="N2113" s="10" t="str">
        <f>IFERROR(_xlfn.XLOOKUP(C2113,[1]ModifierDes!$B:$B,[1]ModifierDes!$A:$A),"")</f>
        <v/>
      </c>
      <c r="O2113" s="10">
        <f>IFERROR(_xlfn.XLOOKUP(C2113,[1]AttributeName!$C:$C,[1]AttributeName!$B:$B),"")</f>
        <v>10804</v>
      </c>
      <c r="P2113" s="10"/>
      <c r="Q2113">
        <v>0.21</v>
      </c>
      <c r="R2113">
        <v>0.25</v>
      </c>
      <c r="S2113" cm="1">
        <f t="array" ref="S2113">IFERROR(_xlfn.SWITCH(L2113,1,_xlfn.XLOOKUP(O2113,[1]AttributeName!$B:$B,[1]AttributeName!$D:$D),2,_xlfn.XLOOKUP(C2113,#REF!,#REF!),3,_xlfn.XLOOKUP(C2113,#REF!,#REF!)),0)</f>
        <v>2</v>
      </c>
      <c r="T2113" cm="1">
        <f t="array" ref="T2113">IFERROR(_xlfn.SWITCH(L2113,1,_xlfn.XLOOKUP(O2113,[1]AttributeName!$B:$B,[1]AttributeName!$E:$E),2,_xlfn.XLOOKUP(C2113,#REF!,#REF!),3,_xlfn.XLOOKUP(C2113,#REF!,#REF!)),0)</f>
        <v>2</v>
      </c>
    </row>
    <row r="2114" customFormat="1" spans="1:20">
      <c r="A2114">
        <f t="shared" si="89"/>
        <v>869</v>
      </c>
      <c r="B2114">
        <v>5</v>
      </c>
      <c r="C2114" t="s">
        <v>411</v>
      </c>
      <c r="D2114" t="s">
        <v>31</v>
      </c>
      <c r="E2114" s="13" t="s">
        <v>392</v>
      </c>
      <c r="F2114"/>
      <c r="G2114">
        <v>2</v>
      </c>
      <c r="H2114">
        <v>1000</v>
      </c>
      <c r="J2114" cm="1">
        <f t="array" ref="J2114">_xlfn.SWITCH(B2114,1,75,2,61,3,49,4,37,5,25,6,13,7,4,8,1)</f>
        <v>25</v>
      </c>
      <c r="K2114" t="str" cm="1">
        <f t="array" ref="K2114">IFERROR(_xlfn.SWITCH(L2114,2,_xlfn.XLOOKUP(C2114,[1]ModifierDes!$B:$B,[1]ModifierDes!$C:$C),3,_xlfn.XLOOKUP(C2114,[1]StuntDes!$B:$B,[1]StuntDes!$C:$C)),"")</f>
        <v/>
      </c>
      <c r="L2114">
        <f t="shared" si="85"/>
        <v>1</v>
      </c>
      <c r="M2114" s="10" t="str">
        <f>IFERROR(_xlfn.XLOOKUP(C2114,[1]StuntDes!$B:$B,[1]StuntDes!$A:$A),"")</f>
        <v/>
      </c>
      <c r="N2114" s="10" t="str">
        <f>IFERROR(_xlfn.XLOOKUP(C2114,[1]ModifierDes!$B:$B,[1]ModifierDes!$A:$A),"")</f>
        <v/>
      </c>
      <c r="O2114" s="10">
        <f>IFERROR(_xlfn.XLOOKUP(C2114,[1]AttributeName!$C:$C,[1]AttributeName!$B:$B),"")</f>
        <v>10804</v>
      </c>
      <c r="P2114" s="10"/>
      <c r="Q2114">
        <v>0.16</v>
      </c>
      <c r="R2114">
        <v>0.2</v>
      </c>
      <c r="S2114" cm="1">
        <f t="array" ref="S2114">IFERROR(_xlfn.SWITCH(L2114,1,_xlfn.XLOOKUP(O2114,[1]AttributeName!$B:$B,[1]AttributeName!$D:$D),2,_xlfn.XLOOKUP(C2114,#REF!,#REF!),3,_xlfn.XLOOKUP(C2114,#REF!,#REF!)),0)</f>
        <v>2</v>
      </c>
      <c r="T2114" cm="1">
        <f t="array" ref="T2114">IFERROR(_xlfn.SWITCH(L2114,1,_xlfn.XLOOKUP(O2114,[1]AttributeName!$B:$B,[1]AttributeName!$E:$E),2,_xlfn.XLOOKUP(C2114,#REF!,#REF!),3,_xlfn.XLOOKUP(C2114,#REF!,#REF!)),0)</f>
        <v>2</v>
      </c>
    </row>
    <row r="2115" customFormat="1" spans="1:20">
      <c r="A2115">
        <f t="shared" si="89"/>
        <v>869</v>
      </c>
      <c r="B2115">
        <v>6</v>
      </c>
      <c r="C2115" t="s">
        <v>411</v>
      </c>
      <c r="D2115" t="s">
        <v>31</v>
      </c>
      <c r="E2115" s="13" t="s">
        <v>392</v>
      </c>
      <c r="F2115"/>
      <c r="G2115">
        <v>2</v>
      </c>
      <c r="H2115">
        <v>1000</v>
      </c>
      <c r="J2115" cm="1">
        <f t="array" ref="J2115">_xlfn.SWITCH(B2115,1,75,2,61,3,49,4,37,5,25,6,13,7,4,8,1)</f>
        <v>13</v>
      </c>
      <c r="K2115" t="str" cm="1">
        <f t="array" ref="K2115">IFERROR(_xlfn.SWITCH(L2115,2,_xlfn.XLOOKUP(C2115,[1]ModifierDes!$B:$B,[1]ModifierDes!$C:$C),3,_xlfn.XLOOKUP(C2115,[1]StuntDes!$B:$B,[1]StuntDes!$C:$C)),"")</f>
        <v/>
      </c>
      <c r="L2115">
        <f t="shared" si="85"/>
        <v>1</v>
      </c>
      <c r="M2115" s="10" t="str">
        <f>IFERROR(_xlfn.XLOOKUP(C2115,[1]StuntDes!$B:$B,[1]StuntDes!$A:$A),"")</f>
        <v/>
      </c>
      <c r="N2115" s="10" t="str">
        <f>IFERROR(_xlfn.XLOOKUP(C2115,[1]ModifierDes!$B:$B,[1]ModifierDes!$A:$A),"")</f>
        <v/>
      </c>
      <c r="O2115" s="10">
        <f>IFERROR(_xlfn.XLOOKUP(C2115,[1]AttributeName!$C:$C,[1]AttributeName!$B:$B),"")</f>
        <v>10804</v>
      </c>
      <c r="P2115" s="10"/>
      <c r="Q2115">
        <v>0.11</v>
      </c>
      <c r="R2115">
        <v>0.15</v>
      </c>
      <c r="S2115" cm="1">
        <f t="array" ref="S2115">IFERROR(_xlfn.SWITCH(L2115,1,_xlfn.XLOOKUP(O2115,[1]AttributeName!$B:$B,[1]AttributeName!$D:$D),2,_xlfn.XLOOKUP(C2115,#REF!,#REF!),3,_xlfn.XLOOKUP(C2115,#REF!,#REF!)),0)</f>
        <v>2</v>
      </c>
      <c r="T2115" cm="1">
        <f t="array" ref="T2115">IFERROR(_xlfn.SWITCH(L2115,1,_xlfn.XLOOKUP(O2115,[1]AttributeName!$B:$B,[1]AttributeName!$E:$E),2,_xlfn.XLOOKUP(C2115,#REF!,#REF!),3,_xlfn.XLOOKUP(C2115,#REF!,#REF!)),0)</f>
        <v>2</v>
      </c>
    </row>
    <row r="2116" customFormat="1" spans="1:20">
      <c r="A2116">
        <f t="shared" si="89"/>
        <v>869</v>
      </c>
      <c r="B2116">
        <v>7</v>
      </c>
      <c r="C2116" t="s">
        <v>411</v>
      </c>
      <c r="D2116" t="s">
        <v>31</v>
      </c>
      <c r="E2116" s="13" t="s">
        <v>392</v>
      </c>
      <c r="F2116"/>
      <c r="G2116">
        <v>2</v>
      </c>
      <c r="H2116">
        <v>1000</v>
      </c>
      <c r="J2116" cm="1">
        <f t="array" ref="J2116">_xlfn.SWITCH(B2116,1,75,2,61,3,49,4,37,5,25,6,13,7,4,8,1)</f>
        <v>4</v>
      </c>
      <c r="K2116" t="str" cm="1">
        <f t="array" ref="K2116">IFERROR(_xlfn.SWITCH(L2116,2,_xlfn.XLOOKUP(C2116,[1]ModifierDes!$B:$B,[1]ModifierDes!$C:$C),3,_xlfn.XLOOKUP(C2116,[1]StuntDes!$B:$B,[1]StuntDes!$C:$C)),"")</f>
        <v/>
      </c>
      <c r="L2116">
        <f t="shared" ref="L2116:L2179" si="90">IF(M2116="",IF(N2116="",1,2),3)</f>
        <v>1</v>
      </c>
      <c r="M2116" s="10" t="str">
        <f>IFERROR(_xlfn.XLOOKUP(C2116,[1]StuntDes!$B:$B,[1]StuntDes!$A:$A),"")</f>
        <v/>
      </c>
      <c r="N2116" s="10" t="str">
        <f>IFERROR(_xlfn.XLOOKUP(C2116,[1]ModifierDes!$B:$B,[1]ModifierDes!$A:$A),"")</f>
        <v/>
      </c>
      <c r="O2116" s="10">
        <f>IFERROR(_xlfn.XLOOKUP(C2116,[1]AttributeName!$C:$C,[1]AttributeName!$B:$B),"")</f>
        <v>10804</v>
      </c>
      <c r="P2116" s="10"/>
      <c r="Q2116">
        <v>0.06</v>
      </c>
      <c r="R2116">
        <v>0.1</v>
      </c>
      <c r="S2116" cm="1">
        <f t="array" ref="S2116">IFERROR(_xlfn.SWITCH(L2116,1,_xlfn.XLOOKUP(O2116,[1]AttributeName!$B:$B,[1]AttributeName!$D:$D),2,_xlfn.XLOOKUP(C2116,#REF!,#REF!),3,_xlfn.XLOOKUP(C2116,#REF!,#REF!)),0)</f>
        <v>2</v>
      </c>
      <c r="T2116" cm="1">
        <f t="array" ref="T2116">IFERROR(_xlfn.SWITCH(L2116,1,_xlfn.XLOOKUP(O2116,[1]AttributeName!$B:$B,[1]AttributeName!$E:$E),2,_xlfn.XLOOKUP(C2116,#REF!,#REF!),3,_xlfn.XLOOKUP(C2116,#REF!,#REF!)),0)</f>
        <v>2</v>
      </c>
    </row>
    <row r="2117" customFormat="1" spans="1:20">
      <c r="A2117">
        <f t="shared" si="89"/>
        <v>869</v>
      </c>
      <c r="B2117">
        <v>8</v>
      </c>
      <c r="C2117" t="s">
        <v>411</v>
      </c>
      <c r="D2117" t="s">
        <v>31</v>
      </c>
      <c r="E2117" s="13" t="s">
        <v>392</v>
      </c>
      <c r="F2117"/>
      <c r="G2117">
        <v>2</v>
      </c>
      <c r="H2117">
        <v>1000</v>
      </c>
      <c r="J2117" cm="1">
        <f t="array" ref="J2117">_xlfn.SWITCH(B2117,1,75,2,61,3,49,4,37,5,25,6,13,7,4,8,1)</f>
        <v>1</v>
      </c>
      <c r="K2117" t="str" cm="1">
        <f t="array" ref="K2117">IFERROR(_xlfn.SWITCH(L2117,2,_xlfn.XLOOKUP(C2117,[1]ModifierDes!$B:$B,[1]ModifierDes!$C:$C),3,_xlfn.XLOOKUP(C2117,[1]StuntDes!$B:$B,[1]StuntDes!$C:$C)),"")</f>
        <v/>
      </c>
      <c r="L2117">
        <f t="shared" si="90"/>
        <v>1</v>
      </c>
      <c r="M2117" s="10" t="str">
        <f>IFERROR(_xlfn.XLOOKUP(C2117,[1]StuntDes!$B:$B,[1]StuntDes!$A:$A),"")</f>
        <v/>
      </c>
      <c r="N2117" s="10" t="str">
        <f>IFERROR(_xlfn.XLOOKUP(C2117,[1]ModifierDes!$B:$B,[1]ModifierDes!$A:$A),"")</f>
        <v/>
      </c>
      <c r="O2117" s="10">
        <f>IFERROR(_xlfn.XLOOKUP(C2117,[1]AttributeName!$C:$C,[1]AttributeName!$B:$B),"")</f>
        <v>10804</v>
      </c>
      <c r="P2117" s="10"/>
      <c r="Q2117">
        <v>0.01</v>
      </c>
      <c r="R2117">
        <v>0.05</v>
      </c>
      <c r="S2117" cm="1">
        <f t="array" ref="S2117">IFERROR(_xlfn.SWITCH(L2117,1,_xlfn.XLOOKUP(O2117,[1]AttributeName!$B:$B,[1]AttributeName!$D:$D),2,_xlfn.XLOOKUP(C2117,#REF!,#REF!),3,_xlfn.XLOOKUP(C2117,#REF!,#REF!)),0)</f>
        <v>2</v>
      </c>
      <c r="T2117" cm="1">
        <f t="array" ref="T2117">IFERROR(_xlfn.SWITCH(L2117,1,_xlfn.XLOOKUP(O2117,[1]AttributeName!$B:$B,[1]AttributeName!$E:$E),2,_xlfn.XLOOKUP(C2117,#REF!,#REF!),3,_xlfn.XLOOKUP(C2117,#REF!,#REF!)),0)</f>
        <v>2</v>
      </c>
    </row>
    <row r="2118" customFormat="1" spans="1:20">
      <c r="A2118">
        <f t="shared" si="89"/>
        <v>870</v>
      </c>
      <c r="B2118">
        <v>1</v>
      </c>
      <c r="C2118" t="s">
        <v>412</v>
      </c>
      <c r="D2118" t="s">
        <v>31</v>
      </c>
      <c r="E2118" s="13" t="s">
        <v>392</v>
      </c>
      <c r="F2118"/>
      <c r="G2118">
        <v>2</v>
      </c>
      <c r="H2118">
        <v>1000</v>
      </c>
      <c r="J2118" cm="1">
        <f t="array" ref="J2118">_xlfn.SWITCH(B2118,1,75,2,61,3,49,4,37,5,25,6,13,7,4,8,1)</f>
        <v>75</v>
      </c>
      <c r="K2118" t="str" cm="1">
        <f t="array" ref="K2118">IFERROR(_xlfn.SWITCH(L2118,2,_xlfn.XLOOKUP(C2118,[1]ModifierDes!$B:$B,[1]ModifierDes!$C:$C),3,_xlfn.XLOOKUP(C2118,[1]StuntDes!$B:$B,[1]StuntDes!$C:$C)),"")</f>
        <v/>
      </c>
      <c r="L2118">
        <f t="shared" si="90"/>
        <v>1</v>
      </c>
      <c r="M2118" s="10" t="str">
        <f>IFERROR(_xlfn.XLOOKUP(C2118,[1]StuntDes!$B:$B,[1]StuntDes!$A:$A),"")</f>
        <v/>
      </c>
      <c r="N2118" s="10" t="str">
        <f>IFERROR(_xlfn.XLOOKUP(C2118,[1]ModifierDes!$B:$B,[1]ModifierDes!$A:$A),"")</f>
        <v/>
      </c>
      <c r="O2118" s="10">
        <f>IFERROR(_xlfn.XLOOKUP(C2118,[1]AttributeName!$C:$C,[1]AttributeName!$B:$B),"")</f>
        <v>10019</v>
      </c>
      <c r="P2118" s="10"/>
      <c r="Q2118">
        <v>12</v>
      </c>
      <c r="R2118">
        <v>14</v>
      </c>
      <c r="S2118" cm="1">
        <f t="array" ref="S2118">IFERROR(_xlfn.SWITCH(L2118,1,_xlfn.XLOOKUP(O2118,[1]AttributeName!$B:$B,[1]AttributeName!$D:$D),2,_xlfn.XLOOKUP(C2118,#REF!,#REF!),3,_xlfn.XLOOKUP(C2118,#REF!,#REF!)),0)</f>
        <v>0</v>
      </c>
      <c r="T2118" cm="1">
        <f t="array" ref="T2118">IFERROR(_xlfn.SWITCH(L2118,1,_xlfn.XLOOKUP(O2118,[1]AttributeName!$B:$B,[1]AttributeName!$E:$E),2,_xlfn.XLOOKUP(C2118,#REF!,#REF!),3,_xlfn.XLOOKUP(C2118,#REF!,#REF!)),0)</f>
        <v>1</v>
      </c>
    </row>
    <row r="2119" customFormat="1" spans="1:20">
      <c r="A2119">
        <f t="shared" si="89"/>
        <v>870</v>
      </c>
      <c r="B2119">
        <v>2</v>
      </c>
      <c r="C2119" t="s">
        <v>412</v>
      </c>
      <c r="D2119" t="s">
        <v>31</v>
      </c>
      <c r="E2119" s="13" t="s">
        <v>392</v>
      </c>
      <c r="F2119"/>
      <c r="G2119">
        <v>2</v>
      </c>
      <c r="H2119">
        <v>1000</v>
      </c>
      <c r="J2119" cm="1">
        <f t="array" ref="J2119">_xlfn.SWITCH(B2119,1,75,2,61,3,49,4,37,5,25,6,13,7,4,8,1)</f>
        <v>61</v>
      </c>
      <c r="K2119" t="str" cm="1">
        <f t="array" ref="K2119">IFERROR(_xlfn.SWITCH(L2119,2,_xlfn.XLOOKUP(C2119,[1]ModifierDes!$B:$B,[1]ModifierDes!$C:$C),3,_xlfn.XLOOKUP(C2119,[1]StuntDes!$B:$B,[1]StuntDes!$C:$C)),"")</f>
        <v/>
      </c>
      <c r="L2119">
        <f t="shared" si="90"/>
        <v>1</v>
      </c>
      <c r="M2119" s="10" t="str">
        <f>IFERROR(_xlfn.XLOOKUP(C2119,[1]StuntDes!$B:$B,[1]StuntDes!$A:$A),"")</f>
        <v/>
      </c>
      <c r="N2119" s="10" t="str">
        <f>IFERROR(_xlfn.XLOOKUP(C2119,[1]ModifierDes!$B:$B,[1]ModifierDes!$A:$A),"")</f>
        <v/>
      </c>
      <c r="O2119" s="10">
        <f>IFERROR(_xlfn.XLOOKUP(C2119,[1]AttributeName!$C:$C,[1]AttributeName!$B:$B),"")</f>
        <v>10019</v>
      </c>
      <c r="P2119" s="10"/>
      <c r="Q2119">
        <v>9</v>
      </c>
      <c r="R2119">
        <v>11</v>
      </c>
      <c r="S2119" cm="1">
        <f t="array" ref="S2119">IFERROR(_xlfn.SWITCH(L2119,1,_xlfn.XLOOKUP(O2119,[1]AttributeName!$B:$B,[1]AttributeName!$D:$D),2,_xlfn.XLOOKUP(C2119,#REF!,#REF!),3,_xlfn.XLOOKUP(C2119,#REF!,#REF!)),0)</f>
        <v>0</v>
      </c>
      <c r="T2119" cm="1">
        <f t="array" ref="T2119">IFERROR(_xlfn.SWITCH(L2119,1,_xlfn.XLOOKUP(O2119,[1]AttributeName!$B:$B,[1]AttributeName!$E:$E),2,_xlfn.XLOOKUP(C2119,#REF!,#REF!),3,_xlfn.XLOOKUP(C2119,#REF!,#REF!)),0)</f>
        <v>1</v>
      </c>
    </row>
    <row r="2120" customFormat="1" spans="1:20">
      <c r="A2120">
        <f t="shared" si="89"/>
        <v>870</v>
      </c>
      <c r="B2120">
        <v>3</v>
      </c>
      <c r="C2120" t="s">
        <v>412</v>
      </c>
      <c r="D2120" t="s">
        <v>31</v>
      </c>
      <c r="E2120" s="13" t="s">
        <v>392</v>
      </c>
      <c r="F2120"/>
      <c r="G2120">
        <v>2</v>
      </c>
      <c r="H2120">
        <v>1000</v>
      </c>
      <c r="J2120" cm="1">
        <f t="array" ref="J2120">_xlfn.SWITCH(B2120,1,75,2,61,3,49,4,37,5,25,6,13,7,4,8,1)</f>
        <v>49</v>
      </c>
      <c r="K2120" t="str" cm="1">
        <f t="array" ref="K2120">IFERROR(_xlfn.SWITCH(L2120,2,_xlfn.XLOOKUP(C2120,[1]ModifierDes!$B:$B,[1]ModifierDes!$C:$C),3,_xlfn.XLOOKUP(C2120,[1]StuntDes!$B:$B,[1]StuntDes!$C:$C)),"")</f>
        <v/>
      </c>
      <c r="L2120">
        <f t="shared" si="90"/>
        <v>1</v>
      </c>
      <c r="M2120" s="10" t="str">
        <f>IFERROR(_xlfn.XLOOKUP(C2120,[1]StuntDes!$B:$B,[1]StuntDes!$A:$A),"")</f>
        <v/>
      </c>
      <c r="N2120" s="10" t="str">
        <f>IFERROR(_xlfn.XLOOKUP(C2120,[1]ModifierDes!$B:$B,[1]ModifierDes!$A:$A),"")</f>
        <v/>
      </c>
      <c r="O2120" s="10">
        <f>IFERROR(_xlfn.XLOOKUP(C2120,[1]AttributeName!$C:$C,[1]AttributeName!$B:$B),"")</f>
        <v>10019</v>
      </c>
      <c r="P2120" s="10"/>
      <c r="Q2120">
        <v>6</v>
      </c>
      <c r="R2120">
        <v>8</v>
      </c>
      <c r="S2120" cm="1">
        <f t="array" ref="S2120">IFERROR(_xlfn.SWITCH(L2120,1,_xlfn.XLOOKUP(O2120,[1]AttributeName!$B:$B,[1]AttributeName!$D:$D),2,_xlfn.XLOOKUP(C2120,#REF!,#REF!),3,_xlfn.XLOOKUP(C2120,#REF!,#REF!)),0)</f>
        <v>0</v>
      </c>
      <c r="T2120" cm="1">
        <f t="array" ref="T2120">IFERROR(_xlfn.SWITCH(L2120,1,_xlfn.XLOOKUP(O2120,[1]AttributeName!$B:$B,[1]AttributeName!$E:$E),2,_xlfn.XLOOKUP(C2120,#REF!,#REF!),3,_xlfn.XLOOKUP(C2120,#REF!,#REF!)),0)</f>
        <v>1</v>
      </c>
    </row>
    <row r="2121" customFormat="1" spans="1:20">
      <c r="A2121">
        <f t="shared" si="89"/>
        <v>870</v>
      </c>
      <c r="B2121">
        <v>4</v>
      </c>
      <c r="C2121" t="s">
        <v>412</v>
      </c>
      <c r="D2121" t="s">
        <v>31</v>
      </c>
      <c r="E2121" s="13" t="s">
        <v>392</v>
      </c>
      <c r="F2121"/>
      <c r="G2121">
        <v>2</v>
      </c>
      <c r="H2121">
        <v>1000</v>
      </c>
      <c r="J2121" cm="1">
        <f t="array" ref="J2121">_xlfn.SWITCH(B2121,1,75,2,61,3,49,4,37,5,25,6,13,7,4,8,1)</f>
        <v>37</v>
      </c>
      <c r="K2121" t="str" cm="1">
        <f t="array" ref="K2121">IFERROR(_xlfn.SWITCH(L2121,2,_xlfn.XLOOKUP(C2121,[1]ModifierDes!$B:$B,[1]ModifierDes!$C:$C),3,_xlfn.XLOOKUP(C2121,[1]StuntDes!$B:$B,[1]StuntDes!$C:$C)),"")</f>
        <v/>
      </c>
      <c r="L2121">
        <f t="shared" si="90"/>
        <v>1</v>
      </c>
      <c r="M2121" s="10" t="str">
        <f>IFERROR(_xlfn.XLOOKUP(C2121,[1]StuntDes!$B:$B,[1]StuntDes!$A:$A),"")</f>
        <v/>
      </c>
      <c r="N2121" s="10" t="str">
        <f>IFERROR(_xlfn.XLOOKUP(C2121,[1]ModifierDes!$B:$B,[1]ModifierDes!$A:$A),"")</f>
        <v/>
      </c>
      <c r="O2121" s="10">
        <f>IFERROR(_xlfn.XLOOKUP(C2121,[1]AttributeName!$C:$C,[1]AttributeName!$B:$B),"")</f>
        <v>10019</v>
      </c>
      <c r="P2121" s="10"/>
      <c r="Q2121">
        <v>5</v>
      </c>
      <c r="R2121">
        <v>5</v>
      </c>
      <c r="S2121" cm="1">
        <f t="array" ref="S2121">IFERROR(_xlfn.SWITCH(L2121,1,_xlfn.XLOOKUP(O2121,[1]AttributeName!$B:$B,[1]AttributeName!$D:$D),2,_xlfn.XLOOKUP(C2121,#REF!,#REF!),3,_xlfn.XLOOKUP(C2121,#REF!,#REF!)),0)</f>
        <v>0</v>
      </c>
      <c r="T2121" cm="1">
        <f t="array" ref="T2121">IFERROR(_xlfn.SWITCH(L2121,1,_xlfn.XLOOKUP(O2121,[1]AttributeName!$B:$B,[1]AttributeName!$E:$E),2,_xlfn.XLOOKUP(C2121,#REF!,#REF!),3,_xlfn.XLOOKUP(C2121,#REF!,#REF!)),0)</f>
        <v>1</v>
      </c>
    </row>
    <row r="2122" customFormat="1" spans="1:20">
      <c r="A2122">
        <f t="shared" si="89"/>
        <v>870</v>
      </c>
      <c r="B2122">
        <v>5</v>
      </c>
      <c r="C2122" t="s">
        <v>412</v>
      </c>
      <c r="D2122" t="s">
        <v>31</v>
      </c>
      <c r="E2122" s="13" t="s">
        <v>392</v>
      </c>
      <c r="F2122"/>
      <c r="G2122">
        <v>2</v>
      </c>
      <c r="H2122">
        <v>1000</v>
      </c>
      <c r="J2122" cm="1">
        <f t="array" ref="J2122">_xlfn.SWITCH(B2122,1,75,2,61,3,49,4,37,5,25,6,13,7,4,8,1)</f>
        <v>25</v>
      </c>
      <c r="K2122" t="str" cm="1">
        <f t="array" ref="K2122">IFERROR(_xlfn.SWITCH(L2122,2,_xlfn.XLOOKUP(C2122,[1]ModifierDes!$B:$B,[1]ModifierDes!$C:$C),3,_xlfn.XLOOKUP(C2122,[1]StuntDes!$B:$B,[1]StuntDes!$C:$C)),"")</f>
        <v/>
      </c>
      <c r="L2122">
        <f t="shared" si="90"/>
        <v>1</v>
      </c>
      <c r="M2122" s="10" t="str">
        <f>IFERROR(_xlfn.XLOOKUP(C2122,[1]StuntDes!$B:$B,[1]StuntDes!$A:$A),"")</f>
        <v/>
      </c>
      <c r="N2122" s="10" t="str">
        <f>IFERROR(_xlfn.XLOOKUP(C2122,[1]ModifierDes!$B:$B,[1]ModifierDes!$A:$A),"")</f>
        <v/>
      </c>
      <c r="O2122" s="10">
        <f>IFERROR(_xlfn.XLOOKUP(C2122,[1]AttributeName!$C:$C,[1]AttributeName!$B:$B),"")</f>
        <v>10019</v>
      </c>
      <c r="P2122" s="10"/>
      <c r="Q2122">
        <v>4</v>
      </c>
      <c r="R2122">
        <v>4</v>
      </c>
      <c r="S2122" cm="1">
        <f t="array" ref="S2122">IFERROR(_xlfn.SWITCH(L2122,1,_xlfn.XLOOKUP(O2122,[1]AttributeName!$B:$B,[1]AttributeName!$D:$D),2,_xlfn.XLOOKUP(C2122,#REF!,#REF!),3,_xlfn.XLOOKUP(C2122,#REF!,#REF!)),0)</f>
        <v>0</v>
      </c>
      <c r="T2122" cm="1">
        <f t="array" ref="T2122">IFERROR(_xlfn.SWITCH(L2122,1,_xlfn.XLOOKUP(O2122,[1]AttributeName!$B:$B,[1]AttributeName!$E:$E),2,_xlfn.XLOOKUP(C2122,#REF!,#REF!),3,_xlfn.XLOOKUP(C2122,#REF!,#REF!)),0)</f>
        <v>1</v>
      </c>
    </row>
    <row r="2123" customFormat="1" spans="1:20">
      <c r="A2123">
        <f t="shared" si="89"/>
        <v>870</v>
      </c>
      <c r="B2123">
        <v>6</v>
      </c>
      <c r="C2123" t="s">
        <v>412</v>
      </c>
      <c r="D2123" t="s">
        <v>31</v>
      </c>
      <c r="E2123" s="13" t="s">
        <v>392</v>
      </c>
      <c r="F2123"/>
      <c r="G2123">
        <v>2</v>
      </c>
      <c r="H2123">
        <v>1000</v>
      </c>
      <c r="J2123" cm="1">
        <f t="array" ref="J2123">_xlfn.SWITCH(B2123,1,75,2,61,3,49,4,37,5,25,6,13,7,4,8,1)</f>
        <v>13</v>
      </c>
      <c r="K2123" t="str" cm="1">
        <f t="array" ref="K2123">IFERROR(_xlfn.SWITCH(L2123,2,_xlfn.XLOOKUP(C2123,[1]ModifierDes!$B:$B,[1]ModifierDes!$C:$C),3,_xlfn.XLOOKUP(C2123,[1]StuntDes!$B:$B,[1]StuntDes!$C:$C)),"")</f>
        <v/>
      </c>
      <c r="L2123">
        <f t="shared" si="90"/>
        <v>1</v>
      </c>
      <c r="M2123" s="10" t="str">
        <f>IFERROR(_xlfn.XLOOKUP(C2123,[1]StuntDes!$B:$B,[1]StuntDes!$A:$A),"")</f>
        <v/>
      </c>
      <c r="N2123" s="10" t="str">
        <f>IFERROR(_xlfn.XLOOKUP(C2123,[1]ModifierDes!$B:$B,[1]ModifierDes!$A:$A),"")</f>
        <v/>
      </c>
      <c r="O2123" s="10">
        <f>IFERROR(_xlfn.XLOOKUP(C2123,[1]AttributeName!$C:$C,[1]AttributeName!$B:$B),"")</f>
        <v>10019</v>
      </c>
      <c r="P2123" s="10"/>
      <c r="Q2123">
        <v>3</v>
      </c>
      <c r="R2123">
        <v>3</v>
      </c>
      <c r="S2123" cm="1">
        <f t="array" ref="S2123">IFERROR(_xlfn.SWITCH(L2123,1,_xlfn.XLOOKUP(O2123,[1]AttributeName!$B:$B,[1]AttributeName!$D:$D),2,_xlfn.XLOOKUP(C2123,#REF!,#REF!),3,_xlfn.XLOOKUP(C2123,#REF!,#REF!)),0)</f>
        <v>0</v>
      </c>
      <c r="T2123" cm="1">
        <f t="array" ref="T2123">IFERROR(_xlfn.SWITCH(L2123,1,_xlfn.XLOOKUP(O2123,[1]AttributeName!$B:$B,[1]AttributeName!$E:$E),2,_xlfn.XLOOKUP(C2123,#REF!,#REF!),3,_xlfn.XLOOKUP(C2123,#REF!,#REF!)),0)</f>
        <v>1</v>
      </c>
    </row>
    <row r="2124" customFormat="1" spans="1:20">
      <c r="A2124">
        <f t="shared" si="89"/>
        <v>870</v>
      </c>
      <c r="B2124">
        <v>7</v>
      </c>
      <c r="C2124" t="s">
        <v>412</v>
      </c>
      <c r="D2124" t="s">
        <v>31</v>
      </c>
      <c r="E2124" s="13" t="s">
        <v>392</v>
      </c>
      <c r="F2124"/>
      <c r="G2124">
        <v>2</v>
      </c>
      <c r="H2124">
        <v>1000</v>
      </c>
      <c r="J2124" cm="1">
        <f t="array" ref="J2124">_xlfn.SWITCH(B2124,1,75,2,61,3,49,4,37,5,25,6,13,7,4,8,1)</f>
        <v>4</v>
      </c>
      <c r="K2124" t="str" cm="1">
        <f t="array" ref="K2124">IFERROR(_xlfn.SWITCH(L2124,2,_xlfn.XLOOKUP(C2124,[1]ModifierDes!$B:$B,[1]ModifierDes!$C:$C),3,_xlfn.XLOOKUP(C2124,[1]StuntDes!$B:$B,[1]StuntDes!$C:$C)),"")</f>
        <v/>
      </c>
      <c r="L2124">
        <f t="shared" si="90"/>
        <v>1</v>
      </c>
      <c r="M2124" s="10" t="str">
        <f>IFERROR(_xlfn.XLOOKUP(C2124,[1]StuntDes!$B:$B,[1]StuntDes!$A:$A),"")</f>
        <v/>
      </c>
      <c r="N2124" s="10" t="str">
        <f>IFERROR(_xlfn.XLOOKUP(C2124,[1]ModifierDes!$B:$B,[1]ModifierDes!$A:$A),"")</f>
        <v/>
      </c>
      <c r="O2124" s="10">
        <f>IFERROR(_xlfn.XLOOKUP(C2124,[1]AttributeName!$C:$C,[1]AttributeName!$B:$B),"")</f>
        <v>10019</v>
      </c>
      <c r="P2124" s="10"/>
      <c r="Q2124">
        <v>2</v>
      </c>
      <c r="R2124">
        <v>2</v>
      </c>
      <c r="S2124" cm="1">
        <f t="array" ref="S2124">IFERROR(_xlfn.SWITCH(L2124,1,_xlfn.XLOOKUP(O2124,[1]AttributeName!$B:$B,[1]AttributeName!$D:$D),2,_xlfn.XLOOKUP(C2124,#REF!,#REF!),3,_xlfn.XLOOKUP(C2124,#REF!,#REF!)),0)</f>
        <v>0</v>
      </c>
      <c r="T2124" cm="1">
        <f t="array" ref="T2124">IFERROR(_xlfn.SWITCH(L2124,1,_xlfn.XLOOKUP(O2124,[1]AttributeName!$B:$B,[1]AttributeName!$E:$E),2,_xlfn.XLOOKUP(C2124,#REF!,#REF!),3,_xlfn.XLOOKUP(C2124,#REF!,#REF!)),0)</f>
        <v>1</v>
      </c>
    </row>
    <row r="2125" customFormat="1" spans="1:20">
      <c r="A2125">
        <f t="shared" si="89"/>
        <v>870</v>
      </c>
      <c r="B2125">
        <v>8</v>
      </c>
      <c r="C2125" t="s">
        <v>412</v>
      </c>
      <c r="D2125" t="s">
        <v>31</v>
      </c>
      <c r="E2125" s="13" t="s">
        <v>392</v>
      </c>
      <c r="F2125"/>
      <c r="G2125">
        <v>2</v>
      </c>
      <c r="H2125">
        <v>1000</v>
      </c>
      <c r="J2125" cm="1">
        <f t="array" ref="J2125">_xlfn.SWITCH(B2125,1,75,2,61,3,49,4,37,5,25,6,13,7,4,8,1)</f>
        <v>1</v>
      </c>
      <c r="K2125" t="str" cm="1">
        <f t="array" ref="K2125">IFERROR(_xlfn.SWITCH(L2125,2,_xlfn.XLOOKUP(C2125,[1]ModifierDes!$B:$B,[1]ModifierDes!$C:$C),3,_xlfn.XLOOKUP(C2125,[1]StuntDes!$B:$B,[1]StuntDes!$C:$C)),"")</f>
        <v/>
      </c>
      <c r="L2125">
        <f t="shared" si="90"/>
        <v>1</v>
      </c>
      <c r="M2125" s="10" t="str">
        <f>IFERROR(_xlfn.XLOOKUP(C2125,[1]StuntDes!$B:$B,[1]StuntDes!$A:$A),"")</f>
        <v/>
      </c>
      <c r="N2125" s="10" t="str">
        <f>IFERROR(_xlfn.XLOOKUP(C2125,[1]ModifierDes!$B:$B,[1]ModifierDes!$A:$A),"")</f>
        <v/>
      </c>
      <c r="O2125" s="10">
        <f>IFERROR(_xlfn.XLOOKUP(C2125,[1]AttributeName!$C:$C,[1]AttributeName!$B:$B),"")</f>
        <v>10019</v>
      </c>
      <c r="P2125" s="10"/>
      <c r="Q2125">
        <v>1</v>
      </c>
      <c r="R2125">
        <v>1</v>
      </c>
      <c r="S2125" cm="1">
        <f t="array" ref="S2125">IFERROR(_xlfn.SWITCH(L2125,1,_xlfn.XLOOKUP(O2125,[1]AttributeName!$B:$B,[1]AttributeName!$D:$D),2,_xlfn.XLOOKUP(C2125,#REF!,#REF!),3,_xlfn.XLOOKUP(C2125,#REF!,#REF!)),0)</f>
        <v>0</v>
      </c>
      <c r="T2125" cm="1">
        <f t="array" ref="T2125">IFERROR(_xlfn.SWITCH(L2125,1,_xlfn.XLOOKUP(O2125,[1]AttributeName!$B:$B,[1]AttributeName!$E:$E),2,_xlfn.XLOOKUP(C2125,#REF!,#REF!),3,_xlfn.XLOOKUP(C2125,#REF!,#REF!)),0)</f>
        <v>1</v>
      </c>
    </row>
    <row r="2126" customFormat="1" spans="1:20">
      <c r="A2126">
        <f t="shared" si="89"/>
        <v>871</v>
      </c>
      <c r="B2126">
        <v>1</v>
      </c>
      <c r="C2126" t="s">
        <v>413</v>
      </c>
      <c r="D2126" t="s">
        <v>31</v>
      </c>
      <c r="E2126" s="13" t="s">
        <v>392</v>
      </c>
      <c r="F2126"/>
      <c r="G2126">
        <v>2</v>
      </c>
      <c r="H2126">
        <v>1000</v>
      </c>
      <c r="J2126" cm="1">
        <f t="array" ref="J2126">_xlfn.SWITCH(B2126,1,75,2,61,3,49,4,37,5,25,6,13,7,4,8,1)</f>
        <v>75</v>
      </c>
      <c r="K2126" t="str" cm="1">
        <f t="array" ref="K2126">IFERROR(_xlfn.SWITCH(L2126,2,_xlfn.XLOOKUP(C2126,[1]ModifierDes!$B:$B,[1]ModifierDes!$C:$C),3,_xlfn.XLOOKUP(C2126,[1]StuntDes!$B:$B,[1]StuntDes!$C:$C)),"")</f>
        <v/>
      </c>
      <c r="L2126">
        <f t="shared" si="90"/>
        <v>1</v>
      </c>
      <c r="M2126" s="10" t="str">
        <f>IFERROR(_xlfn.XLOOKUP(C2126,[1]StuntDes!$B:$B,[1]StuntDes!$A:$A),"")</f>
        <v/>
      </c>
      <c r="N2126" s="10" t="str">
        <f>IFERROR(_xlfn.XLOOKUP(C2126,[1]ModifierDes!$B:$B,[1]ModifierDes!$A:$A),"")</f>
        <v/>
      </c>
      <c r="O2126" s="10">
        <f>IFERROR(_xlfn.XLOOKUP(C2126,[1]AttributeName!$C:$C,[1]AttributeName!$B:$B),"")</f>
        <v>10020</v>
      </c>
      <c r="P2126" s="10"/>
      <c r="Q2126">
        <v>12</v>
      </c>
      <c r="R2126">
        <v>14</v>
      </c>
      <c r="S2126" cm="1">
        <f t="array" ref="S2126">IFERROR(_xlfn.SWITCH(L2126,1,_xlfn.XLOOKUP(O2126,[1]AttributeName!$B:$B,[1]AttributeName!$D:$D),2,_xlfn.XLOOKUP(C2126,#REF!,#REF!),3,_xlfn.XLOOKUP(C2126,#REF!,#REF!)),0)</f>
        <v>0</v>
      </c>
      <c r="T2126" cm="1">
        <f t="array" ref="T2126">IFERROR(_xlfn.SWITCH(L2126,1,_xlfn.XLOOKUP(O2126,[1]AttributeName!$B:$B,[1]AttributeName!$E:$E),2,_xlfn.XLOOKUP(C2126,#REF!,#REF!),3,_xlfn.XLOOKUP(C2126,#REF!,#REF!)),0)</f>
        <v>1</v>
      </c>
    </row>
    <row r="2127" customFormat="1" spans="1:20">
      <c r="A2127">
        <f t="shared" si="89"/>
        <v>871</v>
      </c>
      <c r="B2127">
        <v>2</v>
      </c>
      <c r="C2127" t="s">
        <v>413</v>
      </c>
      <c r="D2127" t="s">
        <v>31</v>
      </c>
      <c r="E2127" s="13" t="s">
        <v>392</v>
      </c>
      <c r="F2127"/>
      <c r="G2127">
        <v>2</v>
      </c>
      <c r="H2127">
        <v>1000</v>
      </c>
      <c r="J2127" cm="1">
        <f t="array" ref="J2127">_xlfn.SWITCH(B2127,1,75,2,61,3,49,4,37,5,25,6,13,7,4,8,1)</f>
        <v>61</v>
      </c>
      <c r="K2127" t="str" cm="1">
        <f t="array" ref="K2127">IFERROR(_xlfn.SWITCH(L2127,2,_xlfn.XLOOKUP(C2127,[1]ModifierDes!$B:$B,[1]ModifierDes!$C:$C),3,_xlfn.XLOOKUP(C2127,[1]StuntDes!$B:$B,[1]StuntDes!$C:$C)),"")</f>
        <v/>
      </c>
      <c r="L2127">
        <f t="shared" si="90"/>
        <v>1</v>
      </c>
      <c r="M2127" s="10" t="str">
        <f>IFERROR(_xlfn.XLOOKUP(C2127,[1]StuntDes!$B:$B,[1]StuntDes!$A:$A),"")</f>
        <v/>
      </c>
      <c r="N2127" s="10" t="str">
        <f>IFERROR(_xlfn.XLOOKUP(C2127,[1]ModifierDes!$B:$B,[1]ModifierDes!$A:$A),"")</f>
        <v/>
      </c>
      <c r="O2127" s="10">
        <f>IFERROR(_xlfn.XLOOKUP(C2127,[1]AttributeName!$C:$C,[1]AttributeName!$B:$B),"")</f>
        <v>10020</v>
      </c>
      <c r="P2127" s="10"/>
      <c r="Q2127">
        <v>9</v>
      </c>
      <c r="R2127">
        <v>11</v>
      </c>
      <c r="S2127" cm="1">
        <f t="array" ref="S2127">IFERROR(_xlfn.SWITCH(L2127,1,_xlfn.XLOOKUP(O2127,[1]AttributeName!$B:$B,[1]AttributeName!$D:$D),2,_xlfn.XLOOKUP(C2127,#REF!,#REF!),3,_xlfn.XLOOKUP(C2127,#REF!,#REF!)),0)</f>
        <v>0</v>
      </c>
      <c r="T2127" cm="1">
        <f t="array" ref="T2127">IFERROR(_xlfn.SWITCH(L2127,1,_xlfn.XLOOKUP(O2127,[1]AttributeName!$B:$B,[1]AttributeName!$E:$E),2,_xlfn.XLOOKUP(C2127,#REF!,#REF!),3,_xlfn.XLOOKUP(C2127,#REF!,#REF!)),0)</f>
        <v>1</v>
      </c>
    </row>
    <row r="2128" customFormat="1" spans="1:20">
      <c r="A2128">
        <f t="shared" si="89"/>
        <v>871</v>
      </c>
      <c r="B2128">
        <v>3</v>
      </c>
      <c r="C2128" t="s">
        <v>413</v>
      </c>
      <c r="D2128" t="s">
        <v>31</v>
      </c>
      <c r="E2128" s="13" t="s">
        <v>392</v>
      </c>
      <c r="F2128"/>
      <c r="G2128">
        <v>2</v>
      </c>
      <c r="H2128">
        <v>1000</v>
      </c>
      <c r="J2128" cm="1">
        <f t="array" ref="J2128">_xlfn.SWITCH(B2128,1,75,2,61,3,49,4,37,5,25,6,13,7,4,8,1)</f>
        <v>49</v>
      </c>
      <c r="K2128" t="str" cm="1">
        <f t="array" ref="K2128">IFERROR(_xlfn.SWITCH(L2128,2,_xlfn.XLOOKUP(C2128,[1]ModifierDes!$B:$B,[1]ModifierDes!$C:$C),3,_xlfn.XLOOKUP(C2128,[1]StuntDes!$B:$B,[1]StuntDes!$C:$C)),"")</f>
        <v/>
      </c>
      <c r="L2128">
        <f t="shared" si="90"/>
        <v>1</v>
      </c>
      <c r="M2128" s="10" t="str">
        <f>IFERROR(_xlfn.XLOOKUP(C2128,[1]StuntDes!$B:$B,[1]StuntDes!$A:$A),"")</f>
        <v/>
      </c>
      <c r="N2128" s="10" t="str">
        <f>IFERROR(_xlfn.XLOOKUP(C2128,[1]ModifierDes!$B:$B,[1]ModifierDes!$A:$A),"")</f>
        <v/>
      </c>
      <c r="O2128" s="10">
        <f>IFERROR(_xlfn.XLOOKUP(C2128,[1]AttributeName!$C:$C,[1]AttributeName!$B:$B),"")</f>
        <v>10020</v>
      </c>
      <c r="P2128" s="10"/>
      <c r="Q2128">
        <v>6</v>
      </c>
      <c r="R2128">
        <v>8</v>
      </c>
      <c r="S2128" cm="1">
        <f t="array" ref="S2128">IFERROR(_xlfn.SWITCH(L2128,1,_xlfn.XLOOKUP(O2128,[1]AttributeName!$B:$B,[1]AttributeName!$D:$D),2,_xlfn.XLOOKUP(C2128,#REF!,#REF!),3,_xlfn.XLOOKUP(C2128,#REF!,#REF!)),0)</f>
        <v>0</v>
      </c>
      <c r="T2128" cm="1">
        <f t="array" ref="T2128">IFERROR(_xlfn.SWITCH(L2128,1,_xlfn.XLOOKUP(O2128,[1]AttributeName!$B:$B,[1]AttributeName!$E:$E),2,_xlfn.XLOOKUP(C2128,#REF!,#REF!),3,_xlfn.XLOOKUP(C2128,#REF!,#REF!)),0)</f>
        <v>1</v>
      </c>
    </row>
    <row r="2129" customFormat="1" spans="1:20">
      <c r="A2129">
        <f t="shared" si="89"/>
        <v>871</v>
      </c>
      <c r="B2129">
        <v>4</v>
      </c>
      <c r="C2129" t="s">
        <v>413</v>
      </c>
      <c r="D2129" t="s">
        <v>31</v>
      </c>
      <c r="E2129" s="13" t="s">
        <v>392</v>
      </c>
      <c r="F2129"/>
      <c r="G2129">
        <v>2</v>
      </c>
      <c r="H2129">
        <v>1000</v>
      </c>
      <c r="J2129" cm="1">
        <f t="array" ref="J2129">_xlfn.SWITCH(B2129,1,75,2,61,3,49,4,37,5,25,6,13,7,4,8,1)</f>
        <v>37</v>
      </c>
      <c r="K2129" t="str" cm="1">
        <f t="array" ref="K2129">IFERROR(_xlfn.SWITCH(L2129,2,_xlfn.XLOOKUP(C2129,[1]ModifierDes!$B:$B,[1]ModifierDes!$C:$C),3,_xlfn.XLOOKUP(C2129,[1]StuntDes!$B:$B,[1]StuntDes!$C:$C)),"")</f>
        <v/>
      </c>
      <c r="L2129">
        <f t="shared" si="90"/>
        <v>1</v>
      </c>
      <c r="M2129" s="10" t="str">
        <f>IFERROR(_xlfn.XLOOKUP(C2129,[1]StuntDes!$B:$B,[1]StuntDes!$A:$A),"")</f>
        <v/>
      </c>
      <c r="N2129" s="10" t="str">
        <f>IFERROR(_xlfn.XLOOKUP(C2129,[1]ModifierDes!$B:$B,[1]ModifierDes!$A:$A),"")</f>
        <v/>
      </c>
      <c r="O2129" s="10">
        <f>IFERROR(_xlfn.XLOOKUP(C2129,[1]AttributeName!$C:$C,[1]AttributeName!$B:$B),"")</f>
        <v>10020</v>
      </c>
      <c r="P2129" s="10"/>
      <c r="Q2129">
        <v>5</v>
      </c>
      <c r="R2129">
        <v>5</v>
      </c>
      <c r="S2129" cm="1">
        <f t="array" ref="S2129">IFERROR(_xlfn.SWITCH(L2129,1,_xlfn.XLOOKUP(O2129,[1]AttributeName!$B:$B,[1]AttributeName!$D:$D),2,_xlfn.XLOOKUP(C2129,#REF!,#REF!),3,_xlfn.XLOOKUP(C2129,#REF!,#REF!)),0)</f>
        <v>0</v>
      </c>
      <c r="T2129" cm="1">
        <f t="array" ref="T2129">IFERROR(_xlfn.SWITCH(L2129,1,_xlfn.XLOOKUP(O2129,[1]AttributeName!$B:$B,[1]AttributeName!$E:$E),2,_xlfn.XLOOKUP(C2129,#REF!,#REF!),3,_xlfn.XLOOKUP(C2129,#REF!,#REF!)),0)</f>
        <v>1</v>
      </c>
    </row>
    <row r="2130" customFormat="1" spans="1:20">
      <c r="A2130">
        <f t="shared" si="89"/>
        <v>871</v>
      </c>
      <c r="B2130">
        <v>5</v>
      </c>
      <c r="C2130" t="s">
        <v>413</v>
      </c>
      <c r="D2130" t="s">
        <v>31</v>
      </c>
      <c r="E2130" s="13" t="s">
        <v>392</v>
      </c>
      <c r="F2130"/>
      <c r="G2130">
        <v>2</v>
      </c>
      <c r="H2130">
        <v>1000</v>
      </c>
      <c r="J2130" cm="1">
        <f t="array" ref="J2130">_xlfn.SWITCH(B2130,1,75,2,61,3,49,4,37,5,25,6,13,7,4,8,1)</f>
        <v>25</v>
      </c>
      <c r="K2130" t="str" cm="1">
        <f t="array" ref="K2130">IFERROR(_xlfn.SWITCH(L2130,2,_xlfn.XLOOKUP(C2130,[1]ModifierDes!$B:$B,[1]ModifierDes!$C:$C),3,_xlfn.XLOOKUP(C2130,[1]StuntDes!$B:$B,[1]StuntDes!$C:$C)),"")</f>
        <v/>
      </c>
      <c r="L2130">
        <f t="shared" si="90"/>
        <v>1</v>
      </c>
      <c r="M2130" s="10" t="str">
        <f>IFERROR(_xlfn.XLOOKUP(C2130,[1]StuntDes!$B:$B,[1]StuntDes!$A:$A),"")</f>
        <v/>
      </c>
      <c r="N2130" s="10" t="str">
        <f>IFERROR(_xlfn.XLOOKUP(C2130,[1]ModifierDes!$B:$B,[1]ModifierDes!$A:$A),"")</f>
        <v/>
      </c>
      <c r="O2130" s="10">
        <f>IFERROR(_xlfn.XLOOKUP(C2130,[1]AttributeName!$C:$C,[1]AttributeName!$B:$B),"")</f>
        <v>10020</v>
      </c>
      <c r="P2130" s="10"/>
      <c r="Q2130">
        <v>4</v>
      </c>
      <c r="R2130">
        <v>4</v>
      </c>
      <c r="S2130" cm="1">
        <f t="array" ref="S2130">IFERROR(_xlfn.SWITCH(L2130,1,_xlfn.XLOOKUP(O2130,[1]AttributeName!$B:$B,[1]AttributeName!$D:$D),2,_xlfn.XLOOKUP(C2130,#REF!,#REF!),3,_xlfn.XLOOKUP(C2130,#REF!,#REF!)),0)</f>
        <v>0</v>
      </c>
      <c r="T2130" cm="1">
        <f t="array" ref="T2130">IFERROR(_xlfn.SWITCH(L2130,1,_xlfn.XLOOKUP(O2130,[1]AttributeName!$B:$B,[1]AttributeName!$E:$E),2,_xlfn.XLOOKUP(C2130,#REF!,#REF!),3,_xlfn.XLOOKUP(C2130,#REF!,#REF!)),0)</f>
        <v>1</v>
      </c>
    </row>
    <row r="2131" customFormat="1" spans="1:20">
      <c r="A2131">
        <f t="shared" si="89"/>
        <v>871</v>
      </c>
      <c r="B2131">
        <v>6</v>
      </c>
      <c r="C2131" t="s">
        <v>413</v>
      </c>
      <c r="D2131" t="s">
        <v>31</v>
      </c>
      <c r="E2131" s="13" t="s">
        <v>392</v>
      </c>
      <c r="F2131"/>
      <c r="G2131">
        <v>2</v>
      </c>
      <c r="H2131">
        <v>1000</v>
      </c>
      <c r="J2131" cm="1">
        <f t="array" ref="J2131">_xlfn.SWITCH(B2131,1,75,2,61,3,49,4,37,5,25,6,13,7,4,8,1)</f>
        <v>13</v>
      </c>
      <c r="K2131" t="str" cm="1">
        <f t="array" ref="K2131">IFERROR(_xlfn.SWITCH(L2131,2,_xlfn.XLOOKUP(C2131,[1]ModifierDes!$B:$B,[1]ModifierDes!$C:$C),3,_xlfn.XLOOKUP(C2131,[1]StuntDes!$B:$B,[1]StuntDes!$C:$C)),"")</f>
        <v/>
      </c>
      <c r="L2131">
        <f t="shared" si="90"/>
        <v>1</v>
      </c>
      <c r="M2131" s="10" t="str">
        <f>IFERROR(_xlfn.XLOOKUP(C2131,[1]StuntDes!$B:$B,[1]StuntDes!$A:$A),"")</f>
        <v/>
      </c>
      <c r="N2131" s="10" t="str">
        <f>IFERROR(_xlfn.XLOOKUP(C2131,[1]ModifierDes!$B:$B,[1]ModifierDes!$A:$A),"")</f>
        <v/>
      </c>
      <c r="O2131" s="10">
        <f>IFERROR(_xlfn.XLOOKUP(C2131,[1]AttributeName!$C:$C,[1]AttributeName!$B:$B),"")</f>
        <v>10020</v>
      </c>
      <c r="P2131" s="10"/>
      <c r="Q2131">
        <v>3</v>
      </c>
      <c r="R2131">
        <v>3</v>
      </c>
      <c r="S2131" cm="1">
        <f t="array" ref="S2131">IFERROR(_xlfn.SWITCH(L2131,1,_xlfn.XLOOKUP(O2131,[1]AttributeName!$B:$B,[1]AttributeName!$D:$D),2,_xlfn.XLOOKUP(C2131,#REF!,#REF!),3,_xlfn.XLOOKUP(C2131,#REF!,#REF!)),0)</f>
        <v>0</v>
      </c>
      <c r="T2131" cm="1">
        <f t="array" ref="T2131">IFERROR(_xlfn.SWITCH(L2131,1,_xlfn.XLOOKUP(O2131,[1]AttributeName!$B:$B,[1]AttributeName!$E:$E),2,_xlfn.XLOOKUP(C2131,#REF!,#REF!),3,_xlfn.XLOOKUP(C2131,#REF!,#REF!)),0)</f>
        <v>1</v>
      </c>
    </row>
    <row r="2132" customFormat="1" spans="1:20">
      <c r="A2132">
        <f t="shared" si="89"/>
        <v>871</v>
      </c>
      <c r="B2132">
        <v>7</v>
      </c>
      <c r="C2132" t="s">
        <v>413</v>
      </c>
      <c r="D2132" t="s">
        <v>31</v>
      </c>
      <c r="E2132" s="13" t="s">
        <v>392</v>
      </c>
      <c r="F2132"/>
      <c r="G2132">
        <v>2</v>
      </c>
      <c r="H2132">
        <v>1000</v>
      </c>
      <c r="J2132" cm="1">
        <f t="array" ref="J2132">_xlfn.SWITCH(B2132,1,75,2,61,3,49,4,37,5,25,6,13,7,4,8,1)</f>
        <v>4</v>
      </c>
      <c r="K2132" t="str" cm="1">
        <f t="array" ref="K2132">IFERROR(_xlfn.SWITCH(L2132,2,_xlfn.XLOOKUP(C2132,[1]ModifierDes!$B:$B,[1]ModifierDes!$C:$C),3,_xlfn.XLOOKUP(C2132,[1]StuntDes!$B:$B,[1]StuntDes!$C:$C)),"")</f>
        <v/>
      </c>
      <c r="L2132">
        <f t="shared" si="90"/>
        <v>1</v>
      </c>
      <c r="M2132" s="10" t="str">
        <f>IFERROR(_xlfn.XLOOKUP(C2132,[1]StuntDes!$B:$B,[1]StuntDes!$A:$A),"")</f>
        <v/>
      </c>
      <c r="N2132" s="10" t="str">
        <f>IFERROR(_xlfn.XLOOKUP(C2132,[1]ModifierDes!$B:$B,[1]ModifierDes!$A:$A),"")</f>
        <v/>
      </c>
      <c r="O2132" s="10">
        <f>IFERROR(_xlfn.XLOOKUP(C2132,[1]AttributeName!$C:$C,[1]AttributeName!$B:$B),"")</f>
        <v>10020</v>
      </c>
      <c r="P2132" s="10"/>
      <c r="Q2132">
        <v>2</v>
      </c>
      <c r="R2132">
        <v>2</v>
      </c>
      <c r="S2132" cm="1">
        <f t="array" ref="S2132">IFERROR(_xlfn.SWITCH(L2132,1,_xlfn.XLOOKUP(O2132,[1]AttributeName!$B:$B,[1]AttributeName!$D:$D),2,_xlfn.XLOOKUP(C2132,#REF!,#REF!),3,_xlfn.XLOOKUP(C2132,#REF!,#REF!)),0)</f>
        <v>0</v>
      </c>
      <c r="T2132" cm="1">
        <f t="array" ref="T2132">IFERROR(_xlfn.SWITCH(L2132,1,_xlfn.XLOOKUP(O2132,[1]AttributeName!$B:$B,[1]AttributeName!$E:$E),2,_xlfn.XLOOKUP(C2132,#REF!,#REF!),3,_xlfn.XLOOKUP(C2132,#REF!,#REF!)),0)</f>
        <v>1</v>
      </c>
    </row>
    <row r="2133" customFormat="1" spans="1:20">
      <c r="A2133">
        <f t="shared" si="89"/>
        <v>871</v>
      </c>
      <c r="B2133">
        <v>8</v>
      </c>
      <c r="C2133" t="s">
        <v>413</v>
      </c>
      <c r="D2133" t="s">
        <v>31</v>
      </c>
      <c r="E2133" s="13" t="s">
        <v>392</v>
      </c>
      <c r="F2133"/>
      <c r="G2133">
        <v>2</v>
      </c>
      <c r="H2133">
        <v>1000</v>
      </c>
      <c r="J2133" cm="1">
        <f t="array" ref="J2133">_xlfn.SWITCH(B2133,1,75,2,61,3,49,4,37,5,25,6,13,7,4,8,1)</f>
        <v>1</v>
      </c>
      <c r="K2133" t="str" cm="1">
        <f t="array" ref="K2133">IFERROR(_xlfn.SWITCH(L2133,2,_xlfn.XLOOKUP(C2133,[1]ModifierDes!$B:$B,[1]ModifierDes!$C:$C),3,_xlfn.XLOOKUP(C2133,[1]StuntDes!$B:$B,[1]StuntDes!$C:$C)),"")</f>
        <v/>
      </c>
      <c r="L2133">
        <f t="shared" si="90"/>
        <v>1</v>
      </c>
      <c r="M2133" s="10" t="str">
        <f>IFERROR(_xlfn.XLOOKUP(C2133,[1]StuntDes!$B:$B,[1]StuntDes!$A:$A),"")</f>
        <v/>
      </c>
      <c r="N2133" s="10" t="str">
        <f>IFERROR(_xlfn.XLOOKUP(C2133,[1]ModifierDes!$B:$B,[1]ModifierDes!$A:$A),"")</f>
        <v/>
      </c>
      <c r="O2133" s="10">
        <f>IFERROR(_xlfn.XLOOKUP(C2133,[1]AttributeName!$C:$C,[1]AttributeName!$B:$B),"")</f>
        <v>10020</v>
      </c>
      <c r="P2133" s="10"/>
      <c r="Q2133">
        <v>1</v>
      </c>
      <c r="R2133">
        <v>1</v>
      </c>
      <c r="S2133" cm="1">
        <f t="array" ref="S2133">IFERROR(_xlfn.SWITCH(L2133,1,_xlfn.XLOOKUP(O2133,[1]AttributeName!$B:$B,[1]AttributeName!$D:$D),2,_xlfn.XLOOKUP(C2133,#REF!,#REF!),3,_xlfn.XLOOKUP(C2133,#REF!,#REF!)),0)</f>
        <v>0</v>
      </c>
      <c r="T2133" cm="1">
        <f t="array" ref="T2133">IFERROR(_xlfn.SWITCH(L2133,1,_xlfn.XLOOKUP(O2133,[1]AttributeName!$B:$B,[1]AttributeName!$E:$E),2,_xlfn.XLOOKUP(C2133,#REF!,#REF!),3,_xlfn.XLOOKUP(C2133,#REF!,#REF!)),0)</f>
        <v>1</v>
      </c>
    </row>
    <row r="2134" customFormat="1" spans="1:20">
      <c r="A2134">
        <f t="shared" si="89"/>
        <v>872</v>
      </c>
      <c r="B2134">
        <v>1</v>
      </c>
      <c r="C2134" t="s">
        <v>414</v>
      </c>
      <c r="D2134" t="s">
        <v>31</v>
      </c>
      <c r="E2134" s="13" t="s">
        <v>392</v>
      </c>
      <c r="F2134"/>
      <c r="G2134">
        <v>2</v>
      </c>
      <c r="H2134">
        <v>1000</v>
      </c>
      <c r="J2134" cm="1">
        <f t="array" ref="J2134">_xlfn.SWITCH(B2134,1,75,2,61,3,49,4,37,5,25,6,13,7,4,8,1)</f>
        <v>75</v>
      </c>
      <c r="K2134" t="str" cm="1">
        <f t="array" ref="K2134">IFERROR(_xlfn.SWITCH(L2134,2,_xlfn.XLOOKUP(C2134,[1]ModifierDes!$B:$B,[1]ModifierDes!$C:$C),3,_xlfn.XLOOKUP(C2134,[1]StuntDes!$B:$B,[1]StuntDes!$C:$C)),"")</f>
        <v/>
      </c>
      <c r="L2134">
        <f t="shared" si="90"/>
        <v>1</v>
      </c>
      <c r="M2134" s="10" t="str">
        <f>IFERROR(_xlfn.XLOOKUP(C2134,[1]StuntDes!$B:$B,[1]StuntDes!$A:$A),"")</f>
        <v/>
      </c>
      <c r="N2134" s="10" t="str">
        <f>IFERROR(_xlfn.XLOOKUP(C2134,[1]ModifierDes!$B:$B,[1]ModifierDes!$A:$A),"")</f>
        <v/>
      </c>
      <c r="O2134" s="10">
        <f>IFERROR(_xlfn.XLOOKUP(C2134,[1]AttributeName!$C:$C,[1]AttributeName!$B:$B),"")</f>
        <v>10900</v>
      </c>
      <c r="P2134" s="10"/>
      <c r="Q2134">
        <v>15</v>
      </c>
      <c r="R2134">
        <v>16</v>
      </c>
      <c r="S2134" cm="1">
        <f t="array" ref="S2134">IFERROR(_xlfn.SWITCH(L2134,1,_xlfn.XLOOKUP(O2134,[1]AttributeName!$B:$B,[1]AttributeName!$D:$D),2,_xlfn.XLOOKUP(C2134,#REF!,#REF!),3,_xlfn.XLOOKUP(C2134,#REF!,#REF!)),0)</f>
        <v>0</v>
      </c>
      <c r="T2134" cm="1">
        <f t="array" ref="T2134">IFERROR(_xlfn.SWITCH(L2134,1,_xlfn.XLOOKUP(O2134,[1]AttributeName!$B:$B,[1]AttributeName!$E:$E),2,_xlfn.XLOOKUP(C2134,#REF!,#REF!),3,_xlfn.XLOOKUP(C2134,#REF!,#REF!)),0)</f>
        <v>1</v>
      </c>
    </row>
    <row r="2135" customFormat="1" spans="1:20">
      <c r="A2135">
        <f t="shared" si="89"/>
        <v>872</v>
      </c>
      <c r="B2135">
        <v>2</v>
      </c>
      <c r="C2135" t="s">
        <v>414</v>
      </c>
      <c r="D2135" t="s">
        <v>31</v>
      </c>
      <c r="E2135" s="13" t="s">
        <v>392</v>
      </c>
      <c r="F2135"/>
      <c r="G2135">
        <v>2</v>
      </c>
      <c r="H2135">
        <v>1000</v>
      </c>
      <c r="J2135" cm="1">
        <f t="array" ref="J2135">_xlfn.SWITCH(B2135,1,75,2,61,3,49,4,37,5,25,6,13,7,4,8,1)</f>
        <v>61</v>
      </c>
      <c r="K2135" t="str" cm="1">
        <f t="array" ref="K2135">IFERROR(_xlfn.SWITCH(L2135,2,_xlfn.XLOOKUP(C2135,[1]ModifierDes!$B:$B,[1]ModifierDes!$C:$C),3,_xlfn.XLOOKUP(C2135,[1]StuntDes!$B:$B,[1]StuntDes!$C:$C)),"")</f>
        <v/>
      </c>
      <c r="L2135">
        <f t="shared" si="90"/>
        <v>1</v>
      </c>
      <c r="M2135" s="10" t="str">
        <f>IFERROR(_xlfn.XLOOKUP(C2135,[1]StuntDes!$B:$B,[1]StuntDes!$A:$A),"")</f>
        <v/>
      </c>
      <c r="N2135" s="10" t="str">
        <f>IFERROR(_xlfn.XLOOKUP(C2135,[1]ModifierDes!$B:$B,[1]ModifierDes!$A:$A),"")</f>
        <v/>
      </c>
      <c r="O2135" s="10">
        <f>IFERROR(_xlfn.XLOOKUP(C2135,[1]AttributeName!$C:$C,[1]AttributeName!$B:$B),"")</f>
        <v>10900</v>
      </c>
      <c r="P2135" s="10"/>
      <c r="Q2135">
        <v>13</v>
      </c>
      <c r="R2135">
        <v>14</v>
      </c>
      <c r="S2135" cm="1">
        <f t="array" ref="S2135">IFERROR(_xlfn.SWITCH(L2135,1,_xlfn.XLOOKUP(O2135,[1]AttributeName!$B:$B,[1]AttributeName!$D:$D),2,_xlfn.XLOOKUP(C2135,#REF!,#REF!),3,_xlfn.XLOOKUP(C2135,#REF!,#REF!)),0)</f>
        <v>0</v>
      </c>
      <c r="T2135" cm="1">
        <f t="array" ref="T2135">IFERROR(_xlfn.SWITCH(L2135,1,_xlfn.XLOOKUP(O2135,[1]AttributeName!$B:$B,[1]AttributeName!$E:$E),2,_xlfn.XLOOKUP(C2135,#REF!,#REF!),3,_xlfn.XLOOKUP(C2135,#REF!,#REF!)),0)</f>
        <v>1</v>
      </c>
    </row>
    <row r="2136" customFormat="1" spans="1:20">
      <c r="A2136">
        <f t="shared" si="89"/>
        <v>872</v>
      </c>
      <c r="B2136">
        <v>3</v>
      </c>
      <c r="C2136" t="s">
        <v>414</v>
      </c>
      <c r="D2136" t="s">
        <v>31</v>
      </c>
      <c r="E2136" s="13" t="s">
        <v>392</v>
      </c>
      <c r="F2136"/>
      <c r="G2136">
        <v>2</v>
      </c>
      <c r="H2136">
        <v>1000</v>
      </c>
      <c r="J2136" cm="1">
        <f t="array" ref="J2136">_xlfn.SWITCH(B2136,1,75,2,61,3,49,4,37,5,25,6,13,7,4,8,1)</f>
        <v>49</v>
      </c>
      <c r="K2136" t="str" cm="1">
        <f t="array" ref="K2136">IFERROR(_xlfn.SWITCH(L2136,2,_xlfn.XLOOKUP(C2136,[1]ModifierDes!$B:$B,[1]ModifierDes!$C:$C),3,_xlfn.XLOOKUP(C2136,[1]StuntDes!$B:$B,[1]StuntDes!$C:$C)),"")</f>
        <v/>
      </c>
      <c r="L2136">
        <f t="shared" si="90"/>
        <v>1</v>
      </c>
      <c r="M2136" s="10" t="str">
        <f>IFERROR(_xlfn.XLOOKUP(C2136,[1]StuntDes!$B:$B,[1]StuntDes!$A:$A),"")</f>
        <v/>
      </c>
      <c r="N2136" s="10" t="str">
        <f>IFERROR(_xlfn.XLOOKUP(C2136,[1]ModifierDes!$B:$B,[1]ModifierDes!$A:$A),"")</f>
        <v/>
      </c>
      <c r="O2136" s="10">
        <f>IFERROR(_xlfn.XLOOKUP(C2136,[1]AttributeName!$C:$C,[1]AttributeName!$B:$B),"")</f>
        <v>10900</v>
      </c>
      <c r="P2136" s="10"/>
      <c r="Q2136">
        <v>11</v>
      </c>
      <c r="R2136">
        <v>12</v>
      </c>
      <c r="S2136" cm="1">
        <f t="array" ref="S2136">IFERROR(_xlfn.SWITCH(L2136,1,_xlfn.XLOOKUP(O2136,[1]AttributeName!$B:$B,[1]AttributeName!$D:$D),2,_xlfn.XLOOKUP(C2136,#REF!,#REF!),3,_xlfn.XLOOKUP(C2136,#REF!,#REF!)),0)</f>
        <v>0</v>
      </c>
      <c r="T2136" cm="1">
        <f t="array" ref="T2136">IFERROR(_xlfn.SWITCH(L2136,1,_xlfn.XLOOKUP(O2136,[1]AttributeName!$B:$B,[1]AttributeName!$E:$E),2,_xlfn.XLOOKUP(C2136,#REF!,#REF!),3,_xlfn.XLOOKUP(C2136,#REF!,#REF!)),0)</f>
        <v>1</v>
      </c>
    </row>
    <row r="2137" customFormat="1" spans="1:20">
      <c r="A2137">
        <f t="shared" si="89"/>
        <v>872</v>
      </c>
      <c r="B2137">
        <v>4</v>
      </c>
      <c r="C2137" t="s">
        <v>414</v>
      </c>
      <c r="D2137" t="s">
        <v>31</v>
      </c>
      <c r="E2137" s="13" t="s">
        <v>392</v>
      </c>
      <c r="F2137"/>
      <c r="G2137">
        <v>2</v>
      </c>
      <c r="H2137">
        <v>1000</v>
      </c>
      <c r="J2137" cm="1">
        <f t="array" ref="J2137">_xlfn.SWITCH(B2137,1,75,2,61,3,49,4,37,5,25,6,13,7,4,8,1)</f>
        <v>37</v>
      </c>
      <c r="K2137" t="str" cm="1">
        <f t="array" ref="K2137">IFERROR(_xlfn.SWITCH(L2137,2,_xlfn.XLOOKUP(C2137,[1]ModifierDes!$B:$B,[1]ModifierDes!$C:$C),3,_xlfn.XLOOKUP(C2137,[1]StuntDes!$B:$B,[1]StuntDes!$C:$C)),"")</f>
        <v/>
      </c>
      <c r="L2137">
        <f t="shared" si="90"/>
        <v>1</v>
      </c>
      <c r="M2137" s="10" t="str">
        <f>IFERROR(_xlfn.XLOOKUP(C2137,[1]StuntDes!$B:$B,[1]StuntDes!$A:$A),"")</f>
        <v/>
      </c>
      <c r="N2137" s="10" t="str">
        <f>IFERROR(_xlfn.XLOOKUP(C2137,[1]ModifierDes!$B:$B,[1]ModifierDes!$A:$A),"")</f>
        <v/>
      </c>
      <c r="O2137" s="10">
        <f>IFERROR(_xlfn.XLOOKUP(C2137,[1]AttributeName!$C:$C,[1]AttributeName!$B:$B),"")</f>
        <v>10900</v>
      </c>
      <c r="P2137" s="10"/>
      <c r="Q2137">
        <v>9</v>
      </c>
      <c r="R2137">
        <v>10</v>
      </c>
      <c r="S2137" cm="1">
        <f t="array" ref="S2137">IFERROR(_xlfn.SWITCH(L2137,1,_xlfn.XLOOKUP(O2137,[1]AttributeName!$B:$B,[1]AttributeName!$D:$D),2,_xlfn.XLOOKUP(C2137,#REF!,#REF!),3,_xlfn.XLOOKUP(C2137,#REF!,#REF!)),0)</f>
        <v>0</v>
      </c>
      <c r="T2137" cm="1">
        <f t="array" ref="T2137">IFERROR(_xlfn.SWITCH(L2137,1,_xlfn.XLOOKUP(O2137,[1]AttributeName!$B:$B,[1]AttributeName!$E:$E),2,_xlfn.XLOOKUP(C2137,#REF!,#REF!),3,_xlfn.XLOOKUP(C2137,#REF!,#REF!)),0)</f>
        <v>1</v>
      </c>
    </row>
    <row r="2138" customFormat="1" spans="1:20">
      <c r="A2138">
        <f t="shared" si="89"/>
        <v>872</v>
      </c>
      <c r="B2138">
        <v>5</v>
      </c>
      <c r="C2138" t="s">
        <v>414</v>
      </c>
      <c r="D2138" t="s">
        <v>31</v>
      </c>
      <c r="E2138" s="13" t="s">
        <v>392</v>
      </c>
      <c r="F2138"/>
      <c r="G2138">
        <v>2</v>
      </c>
      <c r="H2138">
        <v>1000</v>
      </c>
      <c r="J2138" cm="1">
        <f t="array" ref="J2138">_xlfn.SWITCH(B2138,1,75,2,61,3,49,4,37,5,25,6,13,7,4,8,1)</f>
        <v>25</v>
      </c>
      <c r="K2138" t="str" cm="1">
        <f t="array" ref="K2138">IFERROR(_xlfn.SWITCH(L2138,2,_xlfn.XLOOKUP(C2138,[1]ModifierDes!$B:$B,[1]ModifierDes!$C:$C),3,_xlfn.XLOOKUP(C2138,[1]StuntDes!$B:$B,[1]StuntDes!$C:$C)),"")</f>
        <v/>
      </c>
      <c r="L2138">
        <f t="shared" si="90"/>
        <v>1</v>
      </c>
      <c r="M2138" s="10" t="str">
        <f>IFERROR(_xlfn.XLOOKUP(C2138,[1]StuntDes!$B:$B,[1]StuntDes!$A:$A),"")</f>
        <v/>
      </c>
      <c r="N2138" s="10" t="str">
        <f>IFERROR(_xlfn.XLOOKUP(C2138,[1]ModifierDes!$B:$B,[1]ModifierDes!$A:$A),"")</f>
        <v/>
      </c>
      <c r="O2138" s="10">
        <f>IFERROR(_xlfn.XLOOKUP(C2138,[1]AttributeName!$C:$C,[1]AttributeName!$B:$B),"")</f>
        <v>10900</v>
      </c>
      <c r="P2138" s="10"/>
      <c r="Q2138">
        <v>7</v>
      </c>
      <c r="R2138">
        <v>8</v>
      </c>
      <c r="S2138" cm="1">
        <f t="array" ref="S2138">IFERROR(_xlfn.SWITCH(L2138,1,_xlfn.XLOOKUP(O2138,[1]AttributeName!$B:$B,[1]AttributeName!$D:$D),2,_xlfn.XLOOKUP(C2138,#REF!,#REF!),3,_xlfn.XLOOKUP(C2138,#REF!,#REF!)),0)</f>
        <v>0</v>
      </c>
      <c r="T2138" cm="1">
        <f t="array" ref="T2138">IFERROR(_xlfn.SWITCH(L2138,1,_xlfn.XLOOKUP(O2138,[1]AttributeName!$B:$B,[1]AttributeName!$E:$E),2,_xlfn.XLOOKUP(C2138,#REF!,#REF!),3,_xlfn.XLOOKUP(C2138,#REF!,#REF!)),0)</f>
        <v>1</v>
      </c>
    </row>
    <row r="2139" customFormat="1" spans="1:20">
      <c r="A2139">
        <f t="shared" si="89"/>
        <v>872</v>
      </c>
      <c r="B2139">
        <v>6</v>
      </c>
      <c r="C2139" t="s">
        <v>414</v>
      </c>
      <c r="D2139" t="s">
        <v>31</v>
      </c>
      <c r="E2139" s="13" t="s">
        <v>392</v>
      </c>
      <c r="F2139"/>
      <c r="G2139">
        <v>2</v>
      </c>
      <c r="H2139">
        <v>1000</v>
      </c>
      <c r="J2139" cm="1">
        <f t="array" ref="J2139">_xlfn.SWITCH(B2139,1,75,2,61,3,49,4,37,5,25,6,13,7,4,8,1)</f>
        <v>13</v>
      </c>
      <c r="K2139" t="str" cm="1">
        <f t="array" ref="K2139">IFERROR(_xlfn.SWITCH(L2139,2,_xlfn.XLOOKUP(C2139,[1]ModifierDes!$B:$B,[1]ModifierDes!$C:$C),3,_xlfn.XLOOKUP(C2139,[1]StuntDes!$B:$B,[1]StuntDes!$C:$C)),"")</f>
        <v/>
      </c>
      <c r="L2139">
        <f t="shared" si="90"/>
        <v>1</v>
      </c>
      <c r="M2139" s="10" t="str">
        <f>IFERROR(_xlfn.XLOOKUP(C2139,[1]StuntDes!$B:$B,[1]StuntDes!$A:$A),"")</f>
        <v/>
      </c>
      <c r="N2139" s="10" t="str">
        <f>IFERROR(_xlfn.XLOOKUP(C2139,[1]ModifierDes!$B:$B,[1]ModifierDes!$A:$A),"")</f>
        <v/>
      </c>
      <c r="O2139" s="10">
        <f>IFERROR(_xlfn.XLOOKUP(C2139,[1]AttributeName!$C:$C,[1]AttributeName!$B:$B),"")</f>
        <v>10900</v>
      </c>
      <c r="P2139" s="10"/>
      <c r="Q2139">
        <v>5</v>
      </c>
      <c r="R2139">
        <v>6</v>
      </c>
      <c r="S2139" cm="1">
        <f t="array" ref="S2139">IFERROR(_xlfn.SWITCH(L2139,1,_xlfn.XLOOKUP(O2139,[1]AttributeName!$B:$B,[1]AttributeName!$D:$D),2,_xlfn.XLOOKUP(C2139,#REF!,#REF!),3,_xlfn.XLOOKUP(C2139,#REF!,#REF!)),0)</f>
        <v>0</v>
      </c>
      <c r="T2139" cm="1">
        <f t="array" ref="T2139">IFERROR(_xlfn.SWITCH(L2139,1,_xlfn.XLOOKUP(O2139,[1]AttributeName!$B:$B,[1]AttributeName!$E:$E),2,_xlfn.XLOOKUP(C2139,#REF!,#REF!),3,_xlfn.XLOOKUP(C2139,#REF!,#REF!)),0)</f>
        <v>1</v>
      </c>
    </row>
    <row r="2140" customFormat="1" spans="1:20">
      <c r="A2140">
        <f t="shared" si="89"/>
        <v>872</v>
      </c>
      <c r="B2140">
        <v>7</v>
      </c>
      <c r="C2140" t="s">
        <v>414</v>
      </c>
      <c r="D2140" t="s">
        <v>31</v>
      </c>
      <c r="E2140" s="13" t="s">
        <v>392</v>
      </c>
      <c r="F2140"/>
      <c r="G2140">
        <v>2</v>
      </c>
      <c r="H2140">
        <v>1000</v>
      </c>
      <c r="J2140" cm="1">
        <f t="array" ref="J2140">_xlfn.SWITCH(B2140,1,75,2,61,3,49,4,37,5,25,6,13,7,4,8,1)</f>
        <v>4</v>
      </c>
      <c r="K2140" t="str" cm="1">
        <f t="array" ref="K2140">IFERROR(_xlfn.SWITCH(L2140,2,_xlfn.XLOOKUP(C2140,[1]ModifierDes!$B:$B,[1]ModifierDes!$C:$C),3,_xlfn.XLOOKUP(C2140,[1]StuntDes!$B:$B,[1]StuntDes!$C:$C)),"")</f>
        <v/>
      </c>
      <c r="L2140">
        <f t="shared" si="90"/>
        <v>1</v>
      </c>
      <c r="M2140" s="10" t="str">
        <f>IFERROR(_xlfn.XLOOKUP(C2140,[1]StuntDes!$B:$B,[1]StuntDes!$A:$A),"")</f>
        <v/>
      </c>
      <c r="N2140" s="10" t="str">
        <f>IFERROR(_xlfn.XLOOKUP(C2140,[1]ModifierDes!$B:$B,[1]ModifierDes!$A:$A),"")</f>
        <v/>
      </c>
      <c r="O2140" s="10">
        <f>IFERROR(_xlfn.XLOOKUP(C2140,[1]AttributeName!$C:$C,[1]AttributeName!$B:$B),"")</f>
        <v>10900</v>
      </c>
      <c r="P2140" s="10"/>
      <c r="Q2140">
        <v>3</v>
      </c>
      <c r="R2140">
        <v>4</v>
      </c>
      <c r="S2140" cm="1">
        <f t="array" ref="S2140">IFERROR(_xlfn.SWITCH(L2140,1,_xlfn.XLOOKUP(O2140,[1]AttributeName!$B:$B,[1]AttributeName!$D:$D),2,_xlfn.XLOOKUP(C2140,#REF!,#REF!),3,_xlfn.XLOOKUP(C2140,#REF!,#REF!)),0)</f>
        <v>0</v>
      </c>
      <c r="T2140" cm="1">
        <f t="array" ref="T2140">IFERROR(_xlfn.SWITCH(L2140,1,_xlfn.XLOOKUP(O2140,[1]AttributeName!$B:$B,[1]AttributeName!$E:$E),2,_xlfn.XLOOKUP(C2140,#REF!,#REF!),3,_xlfn.XLOOKUP(C2140,#REF!,#REF!)),0)</f>
        <v>1</v>
      </c>
    </row>
    <row r="2141" customFormat="1" spans="1:20">
      <c r="A2141">
        <f t="shared" si="89"/>
        <v>872</v>
      </c>
      <c r="B2141">
        <v>8</v>
      </c>
      <c r="C2141" t="s">
        <v>414</v>
      </c>
      <c r="D2141" t="s">
        <v>31</v>
      </c>
      <c r="E2141" s="13" t="s">
        <v>392</v>
      </c>
      <c r="F2141"/>
      <c r="G2141">
        <v>2</v>
      </c>
      <c r="H2141">
        <v>1000</v>
      </c>
      <c r="J2141" cm="1">
        <f t="array" ref="J2141">_xlfn.SWITCH(B2141,1,75,2,61,3,49,4,37,5,25,6,13,7,4,8,1)</f>
        <v>1</v>
      </c>
      <c r="K2141" t="str" cm="1">
        <f t="array" ref="K2141">IFERROR(_xlfn.SWITCH(L2141,2,_xlfn.XLOOKUP(C2141,[1]ModifierDes!$B:$B,[1]ModifierDes!$C:$C),3,_xlfn.XLOOKUP(C2141,[1]StuntDes!$B:$B,[1]StuntDes!$C:$C)),"")</f>
        <v/>
      </c>
      <c r="L2141">
        <f t="shared" si="90"/>
        <v>1</v>
      </c>
      <c r="M2141" s="10" t="str">
        <f>IFERROR(_xlfn.XLOOKUP(C2141,[1]StuntDes!$B:$B,[1]StuntDes!$A:$A),"")</f>
        <v/>
      </c>
      <c r="N2141" s="10" t="str">
        <f>IFERROR(_xlfn.XLOOKUP(C2141,[1]ModifierDes!$B:$B,[1]ModifierDes!$A:$A),"")</f>
        <v/>
      </c>
      <c r="O2141" s="10">
        <f>IFERROR(_xlfn.XLOOKUP(C2141,[1]AttributeName!$C:$C,[1]AttributeName!$B:$B),"")</f>
        <v>10900</v>
      </c>
      <c r="P2141" s="10"/>
      <c r="Q2141">
        <v>1</v>
      </c>
      <c r="R2141">
        <v>2</v>
      </c>
      <c r="S2141" cm="1">
        <f t="array" ref="S2141">IFERROR(_xlfn.SWITCH(L2141,1,_xlfn.XLOOKUP(O2141,[1]AttributeName!$B:$B,[1]AttributeName!$D:$D),2,_xlfn.XLOOKUP(C2141,#REF!,#REF!),3,_xlfn.XLOOKUP(C2141,#REF!,#REF!)),0)</f>
        <v>0</v>
      </c>
      <c r="T2141" cm="1">
        <f t="array" ref="T2141">IFERROR(_xlfn.SWITCH(L2141,1,_xlfn.XLOOKUP(O2141,[1]AttributeName!$B:$B,[1]AttributeName!$E:$E),2,_xlfn.XLOOKUP(C2141,#REF!,#REF!),3,_xlfn.XLOOKUP(C2141,#REF!,#REF!)),0)</f>
        <v>1</v>
      </c>
    </row>
    <row r="2142" customFormat="1" spans="1:20">
      <c r="A2142">
        <v>901</v>
      </c>
      <c r="B2142">
        <v>1</v>
      </c>
      <c r="C2142" t="s">
        <v>377</v>
      </c>
      <c r="D2142" t="s">
        <v>32</v>
      </c>
      <c r="E2142" t="s">
        <v>378</v>
      </c>
      <c r="F2142"/>
      <c r="G2142">
        <v>1</v>
      </c>
      <c r="H2142">
        <v>50</v>
      </c>
      <c r="I2142">
        <v>1</v>
      </c>
      <c r="J2142" cm="1">
        <f t="array" ref="J2142">_xlfn.SWITCH(B2142,1,75,2,61,3,49,4,37,5,25,6,13,7,4,8,1)</f>
        <v>75</v>
      </c>
      <c r="K2142" t="str" cm="1">
        <f t="array" ref="K2142">IFERROR(_xlfn.SWITCH(L2142,2,_xlfn.XLOOKUP(C2142,[1]ModifierDes!$B:$B,[1]ModifierDes!$C:$C),3,_xlfn.XLOOKUP(C2142,[1]StuntDes!$B:$B,[1]StuntDes!$C:$C)),"")</f>
        <v>物理伤害倍率增加{0}</v>
      </c>
      <c r="L2142">
        <f t="shared" si="90"/>
        <v>2</v>
      </c>
      <c r="M2142" s="10" t="str">
        <f>IFERROR(_xlfn.XLOOKUP(C2142,[1]StuntDes!$B:$B,[1]StuntDes!$A:$A),"")</f>
        <v/>
      </c>
      <c r="N2142" s="10">
        <f>IFERROR(_xlfn.XLOOKUP(C2142,[1]ModifierDes!$B:$B,[1]ModifierDes!$A:$A),"")</f>
        <v>10056</v>
      </c>
      <c r="O2142" s="10" t="str">
        <f>IFERROR(_xlfn.XLOOKUP(C2142,[1]AttributeName!$C:$C,[1]AttributeName!$B:$B),"")</f>
        <v/>
      </c>
      <c r="P2142" s="10"/>
      <c r="Q2142">
        <v>0.25</v>
      </c>
      <c r="R2142">
        <v>0.35</v>
      </c>
      <c r="S2142" cm="1">
        <f t="array" ref="S2142">IFERROR(_xlfn.SWITCH(L2142,1,_xlfn.XLOOKUP(O2142,[1]AttributeName!$B:$B,[1]AttributeName!$D:$D),2,_xlfn.XLOOKUP(C2142,#REF!,#REF!),3,_xlfn.XLOOKUP(C2142,#REF!,#REF!)),0)</f>
        <v>0</v>
      </c>
      <c r="T2142" cm="1">
        <f t="array" ref="T2142">IFERROR(_xlfn.SWITCH(L2142,1,_xlfn.XLOOKUP(O2142,[1]AttributeName!$B:$B,[1]AttributeName!$E:$E),2,_xlfn.XLOOKUP(C2142,#REF!,#REF!),3,_xlfn.XLOOKUP(C2142,#REF!,#REF!)),0)</f>
        <v>0</v>
      </c>
    </row>
    <row r="2143" customFormat="1" spans="1:20">
      <c r="A2143">
        <v>901</v>
      </c>
      <c r="B2143">
        <v>2</v>
      </c>
      <c r="C2143" t="s">
        <v>377</v>
      </c>
      <c r="D2143" t="s">
        <v>32</v>
      </c>
      <c r="E2143" t="s">
        <v>378</v>
      </c>
      <c r="F2143"/>
      <c r="G2143">
        <v>1</v>
      </c>
      <c r="H2143">
        <v>100</v>
      </c>
      <c r="I2143">
        <v>1</v>
      </c>
      <c r="J2143" cm="1">
        <f t="array" ref="J2143">_xlfn.SWITCH(B2143,1,75,2,61,3,49,4,37,5,25,6,13,7,4,8,1)</f>
        <v>61</v>
      </c>
      <c r="K2143" t="str" cm="1">
        <f t="array" ref="K2143">IFERROR(_xlfn.SWITCH(L2143,2,_xlfn.XLOOKUP(C2143,[1]ModifierDes!$B:$B,[1]ModifierDes!$C:$C),3,_xlfn.XLOOKUP(C2143,[1]StuntDes!$B:$B,[1]StuntDes!$C:$C)),"")</f>
        <v>物理伤害倍率增加{0}</v>
      </c>
      <c r="L2143">
        <f t="shared" si="90"/>
        <v>2</v>
      </c>
      <c r="M2143" s="10" t="str">
        <f>IFERROR(_xlfn.XLOOKUP(C2143,[1]StuntDes!$B:$B,[1]StuntDes!$A:$A),"")</f>
        <v/>
      </c>
      <c r="N2143" s="10">
        <f>IFERROR(_xlfn.XLOOKUP(C2143,[1]ModifierDes!$B:$B,[1]ModifierDes!$A:$A),"")</f>
        <v>10056</v>
      </c>
      <c r="O2143" s="10" t="str">
        <f>IFERROR(_xlfn.XLOOKUP(C2143,[1]AttributeName!$C:$C,[1]AttributeName!$B:$B),"")</f>
        <v/>
      </c>
      <c r="P2143" s="10"/>
      <c r="Q2143">
        <v>0.22</v>
      </c>
      <c r="R2143">
        <v>0.24</v>
      </c>
      <c r="S2143" cm="1">
        <f t="array" ref="S2143">IFERROR(_xlfn.SWITCH(L2143,1,_xlfn.XLOOKUP(O2143,[1]AttributeName!$B:$B,[1]AttributeName!$D:$D),2,_xlfn.XLOOKUP(C2143,#REF!,#REF!),3,_xlfn.XLOOKUP(C2143,#REF!,#REF!)),0)</f>
        <v>0</v>
      </c>
      <c r="T2143" cm="1">
        <f t="array" ref="T2143">IFERROR(_xlfn.SWITCH(L2143,1,_xlfn.XLOOKUP(O2143,[1]AttributeName!$B:$B,[1]AttributeName!$E:$E),2,_xlfn.XLOOKUP(C2143,#REF!,#REF!),3,_xlfn.XLOOKUP(C2143,#REF!,#REF!)),0)</f>
        <v>0</v>
      </c>
    </row>
    <row r="2144" customFormat="1" spans="1:20">
      <c r="A2144">
        <v>901</v>
      </c>
      <c r="B2144">
        <v>3</v>
      </c>
      <c r="C2144" t="s">
        <v>377</v>
      </c>
      <c r="D2144" t="s">
        <v>32</v>
      </c>
      <c r="E2144" t="s">
        <v>378</v>
      </c>
      <c r="F2144"/>
      <c r="G2144">
        <v>1</v>
      </c>
      <c r="H2144">
        <v>200</v>
      </c>
      <c r="I2144">
        <v>1</v>
      </c>
      <c r="J2144" cm="1">
        <f t="array" ref="J2144">_xlfn.SWITCH(B2144,1,75,2,61,3,49,4,37,5,25,6,13,7,4,8,1)</f>
        <v>49</v>
      </c>
      <c r="K2144" t="str" cm="1">
        <f t="array" ref="K2144">IFERROR(_xlfn.SWITCH(L2144,2,_xlfn.XLOOKUP(C2144,[1]ModifierDes!$B:$B,[1]ModifierDes!$C:$C),3,_xlfn.XLOOKUP(C2144,[1]StuntDes!$B:$B,[1]StuntDes!$C:$C)),"")</f>
        <v>物理伤害倍率增加{0}</v>
      </c>
      <c r="L2144">
        <f t="shared" si="90"/>
        <v>2</v>
      </c>
      <c r="M2144" s="10" t="str">
        <f>IFERROR(_xlfn.XLOOKUP(C2144,[1]StuntDes!$B:$B,[1]StuntDes!$A:$A),"")</f>
        <v/>
      </c>
      <c r="N2144" s="10">
        <f>IFERROR(_xlfn.XLOOKUP(C2144,[1]ModifierDes!$B:$B,[1]ModifierDes!$A:$A),"")</f>
        <v>10056</v>
      </c>
      <c r="O2144" s="10" t="str">
        <f>IFERROR(_xlfn.XLOOKUP(C2144,[1]AttributeName!$C:$C,[1]AttributeName!$B:$B),"")</f>
        <v/>
      </c>
      <c r="P2144" s="10"/>
      <c r="Q2144">
        <v>0.19</v>
      </c>
      <c r="R2144">
        <v>0.21</v>
      </c>
      <c r="S2144" cm="1">
        <f t="array" ref="S2144">IFERROR(_xlfn.SWITCH(L2144,1,_xlfn.XLOOKUP(O2144,[1]AttributeName!$B:$B,[1]AttributeName!$D:$D),2,_xlfn.XLOOKUP(C2144,#REF!,#REF!),3,_xlfn.XLOOKUP(C2144,#REF!,#REF!)),0)</f>
        <v>0</v>
      </c>
      <c r="T2144" cm="1">
        <f t="array" ref="T2144">IFERROR(_xlfn.SWITCH(L2144,1,_xlfn.XLOOKUP(O2144,[1]AttributeName!$B:$B,[1]AttributeName!$E:$E),2,_xlfn.XLOOKUP(C2144,#REF!,#REF!),3,_xlfn.XLOOKUP(C2144,#REF!,#REF!)),0)</f>
        <v>0</v>
      </c>
    </row>
    <row r="2145" customFormat="1" spans="1:20">
      <c r="A2145">
        <v>901</v>
      </c>
      <c r="B2145">
        <v>4</v>
      </c>
      <c r="C2145" t="s">
        <v>377</v>
      </c>
      <c r="D2145" t="s">
        <v>32</v>
      </c>
      <c r="E2145" t="s">
        <v>378</v>
      </c>
      <c r="F2145"/>
      <c r="G2145">
        <v>1</v>
      </c>
      <c r="H2145">
        <v>500</v>
      </c>
      <c r="I2145">
        <v>1</v>
      </c>
      <c r="J2145" cm="1">
        <f t="array" ref="J2145">_xlfn.SWITCH(B2145,1,75,2,61,3,49,4,37,5,25,6,13,7,4,8,1)</f>
        <v>37</v>
      </c>
      <c r="K2145" t="str" cm="1">
        <f t="array" ref="K2145">IFERROR(_xlfn.SWITCH(L2145,2,_xlfn.XLOOKUP(C2145,[1]ModifierDes!$B:$B,[1]ModifierDes!$C:$C),3,_xlfn.XLOOKUP(C2145,[1]StuntDes!$B:$B,[1]StuntDes!$C:$C)),"")</f>
        <v>物理伤害倍率增加{0}</v>
      </c>
      <c r="L2145">
        <f t="shared" si="90"/>
        <v>2</v>
      </c>
      <c r="M2145" s="10" t="str">
        <f>IFERROR(_xlfn.XLOOKUP(C2145,[1]StuntDes!$B:$B,[1]StuntDes!$A:$A),"")</f>
        <v/>
      </c>
      <c r="N2145" s="10">
        <f>IFERROR(_xlfn.XLOOKUP(C2145,[1]ModifierDes!$B:$B,[1]ModifierDes!$A:$A),"")</f>
        <v>10056</v>
      </c>
      <c r="O2145" s="10" t="str">
        <f>IFERROR(_xlfn.XLOOKUP(C2145,[1]AttributeName!$C:$C,[1]AttributeName!$B:$B),"")</f>
        <v/>
      </c>
      <c r="P2145" s="10"/>
      <c r="Q2145">
        <v>0.16</v>
      </c>
      <c r="R2145">
        <v>0.18</v>
      </c>
      <c r="S2145" cm="1">
        <f t="array" ref="S2145">IFERROR(_xlfn.SWITCH(L2145,1,_xlfn.XLOOKUP(O2145,[1]AttributeName!$B:$B,[1]AttributeName!$D:$D),2,_xlfn.XLOOKUP(C2145,#REF!,#REF!),3,_xlfn.XLOOKUP(C2145,#REF!,#REF!)),0)</f>
        <v>0</v>
      </c>
      <c r="T2145" cm="1">
        <f t="array" ref="T2145">IFERROR(_xlfn.SWITCH(L2145,1,_xlfn.XLOOKUP(O2145,[1]AttributeName!$B:$B,[1]AttributeName!$E:$E),2,_xlfn.XLOOKUP(C2145,#REF!,#REF!),3,_xlfn.XLOOKUP(C2145,#REF!,#REF!)),0)</f>
        <v>0</v>
      </c>
    </row>
    <row r="2146" customFormat="1" spans="1:20">
      <c r="A2146">
        <v>901</v>
      </c>
      <c r="B2146">
        <v>5</v>
      </c>
      <c r="C2146" t="s">
        <v>377</v>
      </c>
      <c r="D2146" t="s">
        <v>32</v>
      </c>
      <c r="E2146" t="s">
        <v>378</v>
      </c>
      <c r="F2146"/>
      <c r="G2146">
        <v>1</v>
      </c>
      <c r="H2146">
        <v>1000</v>
      </c>
      <c r="I2146">
        <v>1</v>
      </c>
      <c r="J2146" cm="1">
        <f t="array" ref="J2146">_xlfn.SWITCH(B2146,1,75,2,61,3,49,4,37,5,25,6,13,7,4,8,1)</f>
        <v>25</v>
      </c>
      <c r="K2146" t="str" cm="1">
        <f t="array" ref="K2146">IFERROR(_xlfn.SWITCH(L2146,2,_xlfn.XLOOKUP(C2146,[1]ModifierDes!$B:$B,[1]ModifierDes!$C:$C),3,_xlfn.XLOOKUP(C2146,[1]StuntDes!$B:$B,[1]StuntDes!$C:$C)),"")</f>
        <v>物理伤害倍率增加{0}</v>
      </c>
      <c r="L2146">
        <f t="shared" si="90"/>
        <v>2</v>
      </c>
      <c r="M2146" s="10" t="str">
        <f>IFERROR(_xlfn.XLOOKUP(C2146,[1]StuntDes!$B:$B,[1]StuntDes!$A:$A),"")</f>
        <v/>
      </c>
      <c r="N2146" s="10">
        <f>IFERROR(_xlfn.XLOOKUP(C2146,[1]ModifierDes!$B:$B,[1]ModifierDes!$A:$A),"")</f>
        <v>10056</v>
      </c>
      <c r="O2146" s="10" t="str">
        <f>IFERROR(_xlfn.XLOOKUP(C2146,[1]AttributeName!$C:$C,[1]AttributeName!$B:$B),"")</f>
        <v/>
      </c>
      <c r="P2146" s="10"/>
      <c r="Q2146">
        <v>0.13</v>
      </c>
      <c r="R2146">
        <v>0.15</v>
      </c>
      <c r="S2146" cm="1">
        <f t="array" ref="S2146">IFERROR(_xlfn.SWITCH(L2146,1,_xlfn.XLOOKUP(O2146,[1]AttributeName!$B:$B,[1]AttributeName!$D:$D),2,_xlfn.XLOOKUP(C2146,#REF!,#REF!),3,_xlfn.XLOOKUP(C2146,#REF!,#REF!)),0)</f>
        <v>0</v>
      </c>
      <c r="T2146" cm="1">
        <f t="array" ref="T2146">IFERROR(_xlfn.SWITCH(L2146,1,_xlfn.XLOOKUP(O2146,[1]AttributeName!$B:$B,[1]AttributeName!$E:$E),2,_xlfn.XLOOKUP(C2146,#REF!,#REF!),3,_xlfn.XLOOKUP(C2146,#REF!,#REF!)),0)</f>
        <v>0</v>
      </c>
    </row>
    <row r="2147" customFormat="1" spans="1:20">
      <c r="A2147">
        <v>901</v>
      </c>
      <c r="B2147">
        <v>6</v>
      </c>
      <c r="C2147" t="s">
        <v>377</v>
      </c>
      <c r="D2147" t="s">
        <v>32</v>
      </c>
      <c r="E2147" t="s">
        <v>378</v>
      </c>
      <c r="F2147"/>
      <c r="G2147">
        <v>1</v>
      </c>
      <c r="H2147">
        <v>1000</v>
      </c>
      <c r="I2147">
        <v>1</v>
      </c>
      <c r="J2147" cm="1">
        <f t="array" ref="J2147">_xlfn.SWITCH(B2147,1,75,2,61,3,49,4,37,5,25,6,13,7,4,8,1)</f>
        <v>13</v>
      </c>
      <c r="K2147" t="str" cm="1">
        <f t="array" ref="K2147">IFERROR(_xlfn.SWITCH(L2147,2,_xlfn.XLOOKUP(C2147,[1]ModifierDes!$B:$B,[1]ModifierDes!$C:$C),3,_xlfn.XLOOKUP(C2147,[1]StuntDes!$B:$B,[1]StuntDes!$C:$C)),"")</f>
        <v>物理伤害倍率增加{0}</v>
      </c>
      <c r="L2147">
        <f t="shared" si="90"/>
        <v>2</v>
      </c>
      <c r="M2147" s="10" t="str">
        <f>IFERROR(_xlfn.XLOOKUP(C2147,[1]StuntDes!$B:$B,[1]StuntDes!$A:$A),"")</f>
        <v/>
      </c>
      <c r="N2147" s="10">
        <f>IFERROR(_xlfn.XLOOKUP(C2147,[1]ModifierDes!$B:$B,[1]ModifierDes!$A:$A),"")</f>
        <v>10056</v>
      </c>
      <c r="O2147" s="10" t="str">
        <f>IFERROR(_xlfn.XLOOKUP(C2147,[1]AttributeName!$C:$C,[1]AttributeName!$B:$B),"")</f>
        <v/>
      </c>
      <c r="P2147" s="10"/>
      <c r="Q2147">
        <v>0.1</v>
      </c>
      <c r="R2147">
        <v>0.12</v>
      </c>
      <c r="S2147" cm="1">
        <f t="array" ref="S2147">IFERROR(_xlfn.SWITCH(L2147,1,_xlfn.XLOOKUP(O2147,[1]AttributeName!$B:$B,[1]AttributeName!$D:$D),2,_xlfn.XLOOKUP(C2147,#REF!,#REF!),3,_xlfn.XLOOKUP(C2147,#REF!,#REF!)),0)</f>
        <v>0</v>
      </c>
      <c r="T2147" cm="1">
        <f t="array" ref="T2147">IFERROR(_xlfn.SWITCH(L2147,1,_xlfn.XLOOKUP(O2147,[1]AttributeName!$B:$B,[1]AttributeName!$E:$E),2,_xlfn.XLOOKUP(C2147,#REF!,#REF!),3,_xlfn.XLOOKUP(C2147,#REF!,#REF!)),0)</f>
        <v>0</v>
      </c>
    </row>
    <row r="2148" customFormat="1" spans="1:20">
      <c r="A2148">
        <v>901</v>
      </c>
      <c r="B2148">
        <v>7</v>
      </c>
      <c r="C2148" t="s">
        <v>377</v>
      </c>
      <c r="D2148" t="s">
        <v>32</v>
      </c>
      <c r="E2148" t="s">
        <v>378</v>
      </c>
      <c r="F2148"/>
      <c r="G2148">
        <v>1</v>
      </c>
      <c r="H2148">
        <v>1000</v>
      </c>
      <c r="I2148">
        <v>1</v>
      </c>
      <c r="J2148" cm="1">
        <f t="array" ref="J2148">_xlfn.SWITCH(B2148,1,75,2,61,3,49,4,37,5,25,6,13,7,4,8,1)</f>
        <v>4</v>
      </c>
      <c r="K2148" t="str" cm="1">
        <f t="array" ref="K2148">IFERROR(_xlfn.SWITCH(L2148,2,_xlfn.XLOOKUP(C2148,[1]ModifierDes!$B:$B,[1]ModifierDes!$C:$C),3,_xlfn.XLOOKUP(C2148,[1]StuntDes!$B:$B,[1]StuntDes!$C:$C)),"")</f>
        <v>物理伤害倍率增加{0}</v>
      </c>
      <c r="L2148">
        <f t="shared" si="90"/>
        <v>2</v>
      </c>
      <c r="M2148" s="10" t="str">
        <f>IFERROR(_xlfn.XLOOKUP(C2148,[1]StuntDes!$B:$B,[1]StuntDes!$A:$A),"")</f>
        <v/>
      </c>
      <c r="N2148" s="10">
        <f>IFERROR(_xlfn.XLOOKUP(C2148,[1]ModifierDes!$B:$B,[1]ModifierDes!$A:$A),"")</f>
        <v>10056</v>
      </c>
      <c r="O2148" s="10" t="str">
        <f>IFERROR(_xlfn.XLOOKUP(C2148,[1]AttributeName!$C:$C,[1]AttributeName!$B:$B),"")</f>
        <v/>
      </c>
      <c r="P2148" s="10"/>
      <c r="Q2148">
        <v>0.07</v>
      </c>
      <c r="R2148">
        <v>0.09</v>
      </c>
      <c r="S2148" cm="1">
        <f t="array" ref="S2148">IFERROR(_xlfn.SWITCH(L2148,1,_xlfn.XLOOKUP(O2148,[1]AttributeName!$B:$B,[1]AttributeName!$D:$D),2,_xlfn.XLOOKUP(C2148,#REF!,#REF!),3,_xlfn.XLOOKUP(C2148,#REF!,#REF!)),0)</f>
        <v>0</v>
      </c>
      <c r="T2148" cm="1">
        <f t="array" ref="T2148">IFERROR(_xlfn.SWITCH(L2148,1,_xlfn.XLOOKUP(O2148,[1]AttributeName!$B:$B,[1]AttributeName!$E:$E),2,_xlfn.XLOOKUP(C2148,#REF!,#REF!),3,_xlfn.XLOOKUP(C2148,#REF!,#REF!)),0)</f>
        <v>0</v>
      </c>
    </row>
    <row r="2149" customFormat="1" spans="1:20">
      <c r="A2149">
        <v>901</v>
      </c>
      <c r="B2149">
        <v>8</v>
      </c>
      <c r="C2149" t="s">
        <v>377</v>
      </c>
      <c r="D2149" t="s">
        <v>32</v>
      </c>
      <c r="E2149" t="s">
        <v>378</v>
      </c>
      <c r="F2149"/>
      <c r="G2149">
        <v>1</v>
      </c>
      <c r="H2149">
        <v>1000</v>
      </c>
      <c r="I2149">
        <v>1</v>
      </c>
      <c r="J2149" cm="1">
        <f t="array" ref="J2149">_xlfn.SWITCH(B2149,1,75,2,61,3,49,4,37,5,25,6,13,7,4,8,1)</f>
        <v>1</v>
      </c>
      <c r="K2149" t="str" cm="1">
        <f t="array" ref="K2149">IFERROR(_xlfn.SWITCH(L2149,2,_xlfn.XLOOKUP(C2149,[1]ModifierDes!$B:$B,[1]ModifierDes!$C:$C),3,_xlfn.XLOOKUP(C2149,[1]StuntDes!$B:$B,[1]StuntDes!$C:$C)),"")</f>
        <v>物理伤害倍率增加{0}</v>
      </c>
      <c r="L2149">
        <f t="shared" si="90"/>
        <v>2</v>
      </c>
      <c r="M2149" s="10" t="str">
        <f>IFERROR(_xlfn.XLOOKUP(C2149,[1]StuntDes!$B:$B,[1]StuntDes!$A:$A),"")</f>
        <v/>
      </c>
      <c r="N2149" s="10">
        <f>IFERROR(_xlfn.XLOOKUP(C2149,[1]ModifierDes!$B:$B,[1]ModifierDes!$A:$A),"")</f>
        <v>10056</v>
      </c>
      <c r="O2149" s="10" t="str">
        <f>IFERROR(_xlfn.XLOOKUP(C2149,[1]AttributeName!$C:$C,[1]AttributeName!$B:$B),"")</f>
        <v/>
      </c>
      <c r="P2149" s="10"/>
      <c r="Q2149">
        <v>0.04</v>
      </c>
      <c r="R2149">
        <v>0.07</v>
      </c>
      <c r="S2149" cm="1">
        <f t="array" ref="S2149">IFERROR(_xlfn.SWITCH(L2149,1,_xlfn.XLOOKUP(O2149,[1]AttributeName!$B:$B,[1]AttributeName!$D:$D),2,_xlfn.XLOOKUP(C2149,#REF!,#REF!),3,_xlfn.XLOOKUP(C2149,#REF!,#REF!)),0)</f>
        <v>0</v>
      </c>
      <c r="T2149" cm="1">
        <f t="array" ref="T2149">IFERROR(_xlfn.SWITCH(L2149,1,_xlfn.XLOOKUP(O2149,[1]AttributeName!$B:$B,[1]AttributeName!$E:$E),2,_xlfn.XLOOKUP(C2149,#REF!,#REF!),3,_xlfn.XLOOKUP(C2149,#REF!,#REF!)),0)</f>
        <v>0</v>
      </c>
    </row>
    <row r="2150" customFormat="1" spans="1:20">
      <c r="A2150">
        <f t="shared" ref="A2150:A2213" si="91">A2142+1</f>
        <v>902</v>
      </c>
      <c r="B2150">
        <v>1</v>
      </c>
      <c r="C2150" t="s">
        <v>379</v>
      </c>
      <c r="D2150" t="s">
        <v>32</v>
      </c>
      <c r="E2150" t="s">
        <v>378</v>
      </c>
      <c r="F2150"/>
      <c r="G2150">
        <v>1</v>
      </c>
      <c r="H2150">
        <v>50</v>
      </c>
      <c r="I2150">
        <v>1</v>
      </c>
      <c r="J2150" cm="1">
        <f t="array" ref="J2150">_xlfn.SWITCH(B2150,1,75,2,61,3,49,4,37,5,25,6,13,7,4,8,1)</f>
        <v>75</v>
      </c>
      <c r="K2150" t="str" cm="1">
        <f t="array" ref="K2150">IFERROR(_xlfn.SWITCH(L2150,2,_xlfn.XLOOKUP(C2150,[1]ModifierDes!$B:$B,[1]ModifierDes!$C:$C),3,_xlfn.XLOOKUP(C2150,[1]StuntDes!$B:$B,[1]StuntDes!$C:$C)),"")</f>
        <v>火焰伤害倍率增加{0}</v>
      </c>
      <c r="L2150">
        <f t="shared" si="90"/>
        <v>2</v>
      </c>
      <c r="M2150" s="10" t="str">
        <f>IFERROR(_xlfn.XLOOKUP(C2150,[1]StuntDes!$B:$B,[1]StuntDes!$A:$A),"")</f>
        <v/>
      </c>
      <c r="N2150" s="10">
        <f>IFERROR(_xlfn.XLOOKUP(C2150,[1]ModifierDes!$B:$B,[1]ModifierDes!$A:$A),"")</f>
        <v>10057</v>
      </c>
      <c r="O2150" s="10" t="str">
        <f>IFERROR(_xlfn.XLOOKUP(C2150,[1]AttributeName!$C:$C,[1]AttributeName!$B:$B),"")</f>
        <v/>
      </c>
      <c r="P2150" s="10"/>
      <c r="Q2150">
        <v>0.25</v>
      </c>
      <c r="R2150">
        <v>0.35</v>
      </c>
      <c r="S2150" cm="1">
        <f t="array" ref="S2150">IFERROR(_xlfn.SWITCH(L2150,1,_xlfn.XLOOKUP(O2150,[1]AttributeName!$B:$B,[1]AttributeName!$D:$D),2,_xlfn.XLOOKUP(C2150,#REF!,#REF!),3,_xlfn.XLOOKUP(C2150,#REF!,#REF!)),0)</f>
        <v>0</v>
      </c>
      <c r="T2150" cm="1">
        <f t="array" ref="T2150">IFERROR(_xlfn.SWITCH(L2150,1,_xlfn.XLOOKUP(O2150,[1]AttributeName!$B:$B,[1]AttributeName!$E:$E),2,_xlfn.XLOOKUP(C2150,#REF!,#REF!),3,_xlfn.XLOOKUP(C2150,#REF!,#REF!)),0)</f>
        <v>0</v>
      </c>
    </row>
    <row r="2151" customFormat="1" spans="1:20">
      <c r="A2151">
        <f t="shared" si="91"/>
        <v>902</v>
      </c>
      <c r="B2151">
        <v>2</v>
      </c>
      <c r="C2151" t="s">
        <v>379</v>
      </c>
      <c r="D2151" t="s">
        <v>32</v>
      </c>
      <c r="E2151" t="s">
        <v>378</v>
      </c>
      <c r="F2151"/>
      <c r="G2151">
        <v>1</v>
      </c>
      <c r="H2151">
        <v>100</v>
      </c>
      <c r="I2151">
        <v>1</v>
      </c>
      <c r="J2151" cm="1">
        <f t="array" ref="J2151">_xlfn.SWITCH(B2151,1,75,2,61,3,49,4,37,5,25,6,13,7,4,8,1)</f>
        <v>61</v>
      </c>
      <c r="K2151" t="str" cm="1">
        <f t="array" ref="K2151">IFERROR(_xlfn.SWITCH(L2151,2,_xlfn.XLOOKUP(C2151,[1]ModifierDes!$B:$B,[1]ModifierDes!$C:$C),3,_xlfn.XLOOKUP(C2151,[1]StuntDes!$B:$B,[1]StuntDes!$C:$C)),"")</f>
        <v>火焰伤害倍率增加{0}</v>
      </c>
      <c r="L2151">
        <f t="shared" si="90"/>
        <v>2</v>
      </c>
      <c r="M2151" s="10" t="str">
        <f>IFERROR(_xlfn.XLOOKUP(C2151,[1]StuntDes!$B:$B,[1]StuntDes!$A:$A),"")</f>
        <v/>
      </c>
      <c r="N2151" s="10">
        <f>IFERROR(_xlfn.XLOOKUP(C2151,[1]ModifierDes!$B:$B,[1]ModifierDes!$A:$A),"")</f>
        <v>10057</v>
      </c>
      <c r="O2151" s="10" t="str">
        <f>IFERROR(_xlfn.XLOOKUP(C2151,[1]AttributeName!$C:$C,[1]AttributeName!$B:$B),"")</f>
        <v/>
      </c>
      <c r="P2151" s="10"/>
      <c r="Q2151">
        <v>0.22</v>
      </c>
      <c r="R2151">
        <v>0.24</v>
      </c>
      <c r="S2151" cm="1">
        <f t="array" ref="S2151">IFERROR(_xlfn.SWITCH(L2151,1,_xlfn.XLOOKUP(O2151,[1]AttributeName!$B:$B,[1]AttributeName!$D:$D),2,_xlfn.XLOOKUP(C2151,#REF!,#REF!),3,_xlfn.XLOOKUP(C2151,#REF!,#REF!)),0)</f>
        <v>0</v>
      </c>
      <c r="T2151" cm="1">
        <f t="array" ref="T2151">IFERROR(_xlfn.SWITCH(L2151,1,_xlfn.XLOOKUP(O2151,[1]AttributeName!$B:$B,[1]AttributeName!$E:$E),2,_xlfn.XLOOKUP(C2151,#REF!,#REF!),3,_xlfn.XLOOKUP(C2151,#REF!,#REF!)),0)</f>
        <v>0</v>
      </c>
    </row>
    <row r="2152" customFormat="1" spans="1:20">
      <c r="A2152">
        <f t="shared" si="91"/>
        <v>902</v>
      </c>
      <c r="B2152">
        <v>3</v>
      </c>
      <c r="C2152" t="s">
        <v>379</v>
      </c>
      <c r="D2152" t="s">
        <v>32</v>
      </c>
      <c r="E2152" t="s">
        <v>378</v>
      </c>
      <c r="F2152"/>
      <c r="G2152">
        <v>1</v>
      </c>
      <c r="H2152">
        <v>200</v>
      </c>
      <c r="I2152">
        <v>1</v>
      </c>
      <c r="J2152" cm="1">
        <f t="array" ref="J2152">_xlfn.SWITCH(B2152,1,75,2,61,3,49,4,37,5,25,6,13,7,4,8,1)</f>
        <v>49</v>
      </c>
      <c r="K2152" t="str" cm="1">
        <f t="array" ref="K2152">IFERROR(_xlfn.SWITCH(L2152,2,_xlfn.XLOOKUP(C2152,[1]ModifierDes!$B:$B,[1]ModifierDes!$C:$C),3,_xlfn.XLOOKUP(C2152,[1]StuntDes!$B:$B,[1]StuntDes!$C:$C)),"")</f>
        <v>火焰伤害倍率增加{0}</v>
      </c>
      <c r="L2152">
        <f t="shared" si="90"/>
        <v>2</v>
      </c>
      <c r="M2152" s="10" t="str">
        <f>IFERROR(_xlfn.XLOOKUP(C2152,[1]StuntDes!$B:$B,[1]StuntDes!$A:$A),"")</f>
        <v/>
      </c>
      <c r="N2152" s="10">
        <f>IFERROR(_xlfn.XLOOKUP(C2152,[1]ModifierDes!$B:$B,[1]ModifierDes!$A:$A),"")</f>
        <v>10057</v>
      </c>
      <c r="O2152" s="10" t="str">
        <f>IFERROR(_xlfn.XLOOKUP(C2152,[1]AttributeName!$C:$C,[1]AttributeName!$B:$B),"")</f>
        <v/>
      </c>
      <c r="P2152" s="10"/>
      <c r="Q2152">
        <v>0.19</v>
      </c>
      <c r="R2152">
        <v>0.21</v>
      </c>
      <c r="S2152" cm="1">
        <f t="array" ref="S2152">IFERROR(_xlfn.SWITCH(L2152,1,_xlfn.XLOOKUP(O2152,[1]AttributeName!$B:$B,[1]AttributeName!$D:$D),2,_xlfn.XLOOKUP(C2152,#REF!,#REF!),3,_xlfn.XLOOKUP(C2152,#REF!,#REF!)),0)</f>
        <v>0</v>
      </c>
      <c r="T2152" cm="1">
        <f t="array" ref="T2152">IFERROR(_xlfn.SWITCH(L2152,1,_xlfn.XLOOKUP(O2152,[1]AttributeName!$B:$B,[1]AttributeName!$E:$E),2,_xlfn.XLOOKUP(C2152,#REF!,#REF!),3,_xlfn.XLOOKUP(C2152,#REF!,#REF!)),0)</f>
        <v>0</v>
      </c>
    </row>
    <row r="2153" customFormat="1" spans="1:20">
      <c r="A2153">
        <f t="shared" si="91"/>
        <v>902</v>
      </c>
      <c r="B2153">
        <v>4</v>
      </c>
      <c r="C2153" t="s">
        <v>379</v>
      </c>
      <c r="D2153" t="s">
        <v>32</v>
      </c>
      <c r="E2153" t="s">
        <v>378</v>
      </c>
      <c r="F2153"/>
      <c r="G2153">
        <v>1</v>
      </c>
      <c r="H2153">
        <v>500</v>
      </c>
      <c r="I2153">
        <v>1</v>
      </c>
      <c r="J2153" cm="1">
        <f t="array" ref="J2153">_xlfn.SWITCH(B2153,1,75,2,61,3,49,4,37,5,25,6,13,7,4,8,1)</f>
        <v>37</v>
      </c>
      <c r="K2153" t="str" cm="1">
        <f t="array" ref="K2153">IFERROR(_xlfn.SWITCH(L2153,2,_xlfn.XLOOKUP(C2153,[1]ModifierDes!$B:$B,[1]ModifierDes!$C:$C),3,_xlfn.XLOOKUP(C2153,[1]StuntDes!$B:$B,[1]StuntDes!$C:$C)),"")</f>
        <v>火焰伤害倍率增加{0}</v>
      </c>
      <c r="L2153">
        <f t="shared" si="90"/>
        <v>2</v>
      </c>
      <c r="M2153" s="10" t="str">
        <f>IFERROR(_xlfn.XLOOKUP(C2153,[1]StuntDes!$B:$B,[1]StuntDes!$A:$A),"")</f>
        <v/>
      </c>
      <c r="N2153" s="10">
        <f>IFERROR(_xlfn.XLOOKUP(C2153,[1]ModifierDes!$B:$B,[1]ModifierDes!$A:$A),"")</f>
        <v>10057</v>
      </c>
      <c r="O2153" s="10" t="str">
        <f>IFERROR(_xlfn.XLOOKUP(C2153,[1]AttributeName!$C:$C,[1]AttributeName!$B:$B),"")</f>
        <v/>
      </c>
      <c r="P2153" s="10"/>
      <c r="Q2153">
        <v>0.16</v>
      </c>
      <c r="R2153">
        <v>0.18</v>
      </c>
      <c r="S2153" cm="1">
        <f t="array" ref="S2153">IFERROR(_xlfn.SWITCH(L2153,1,_xlfn.XLOOKUP(O2153,[1]AttributeName!$B:$B,[1]AttributeName!$D:$D),2,_xlfn.XLOOKUP(C2153,#REF!,#REF!),3,_xlfn.XLOOKUP(C2153,#REF!,#REF!)),0)</f>
        <v>0</v>
      </c>
      <c r="T2153" cm="1">
        <f t="array" ref="T2153">IFERROR(_xlfn.SWITCH(L2153,1,_xlfn.XLOOKUP(O2153,[1]AttributeName!$B:$B,[1]AttributeName!$E:$E),2,_xlfn.XLOOKUP(C2153,#REF!,#REF!),3,_xlfn.XLOOKUP(C2153,#REF!,#REF!)),0)</f>
        <v>0</v>
      </c>
    </row>
    <row r="2154" customFormat="1" spans="1:20">
      <c r="A2154">
        <f t="shared" si="91"/>
        <v>902</v>
      </c>
      <c r="B2154">
        <v>5</v>
      </c>
      <c r="C2154" t="s">
        <v>379</v>
      </c>
      <c r="D2154" t="s">
        <v>32</v>
      </c>
      <c r="E2154" t="s">
        <v>378</v>
      </c>
      <c r="F2154"/>
      <c r="G2154">
        <v>1</v>
      </c>
      <c r="H2154">
        <v>1000</v>
      </c>
      <c r="I2154">
        <v>1</v>
      </c>
      <c r="J2154" cm="1">
        <f t="array" ref="J2154">_xlfn.SWITCH(B2154,1,75,2,61,3,49,4,37,5,25,6,13,7,4,8,1)</f>
        <v>25</v>
      </c>
      <c r="K2154" t="str" cm="1">
        <f t="array" ref="K2154">IFERROR(_xlfn.SWITCH(L2154,2,_xlfn.XLOOKUP(C2154,[1]ModifierDes!$B:$B,[1]ModifierDes!$C:$C),3,_xlfn.XLOOKUP(C2154,[1]StuntDes!$B:$B,[1]StuntDes!$C:$C)),"")</f>
        <v>火焰伤害倍率增加{0}</v>
      </c>
      <c r="L2154">
        <f t="shared" si="90"/>
        <v>2</v>
      </c>
      <c r="M2154" s="10" t="str">
        <f>IFERROR(_xlfn.XLOOKUP(C2154,[1]StuntDes!$B:$B,[1]StuntDes!$A:$A),"")</f>
        <v/>
      </c>
      <c r="N2154" s="10">
        <f>IFERROR(_xlfn.XLOOKUP(C2154,[1]ModifierDes!$B:$B,[1]ModifierDes!$A:$A),"")</f>
        <v>10057</v>
      </c>
      <c r="O2154" s="10" t="str">
        <f>IFERROR(_xlfn.XLOOKUP(C2154,[1]AttributeName!$C:$C,[1]AttributeName!$B:$B),"")</f>
        <v/>
      </c>
      <c r="P2154" s="10"/>
      <c r="Q2154">
        <v>0.13</v>
      </c>
      <c r="R2154">
        <v>0.15</v>
      </c>
      <c r="S2154" cm="1">
        <f t="array" ref="S2154">IFERROR(_xlfn.SWITCH(L2154,1,_xlfn.XLOOKUP(O2154,[1]AttributeName!$B:$B,[1]AttributeName!$D:$D),2,_xlfn.XLOOKUP(C2154,#REF!,#REF!),3,_xlfn.XLOOKUP(C2154,#REF!,#REF!)),0)</f>
        <v>0</v>
      </c>
      <c r="T2154" cm="1">
        <f t="array" ref="T2154">IFERROR(_xlfn.SWITCH(L2154,1,_xlfn.XLOOKUP(O2154,[1]AttributeName!$B:$B,[1]AttributeName!$E:$E),2,_xlfn.XLOOKUP(C2154,#REF!,#REF!),3,_xlfn.XLOOKUP(C2154,#REF!,#REF!)),0)</f>
        <v>0</v>
      </c>
    </row>
    <row r="2155" customFormat="1" spans="1:20">
      <c r="A2155">
        <f t="shared" si="91"/>
        <v>902</v>
      </c>
      <c r="B2155">
        <v>6</v>
      </c>
      <c r="C2155" t="s">
        <v>379</v>
      </c>
      <c r="D2155" t="s">
        <v>32</v>
      </c>
      <c r="E2155" t="s">
        <v>378</v>
      </c>
      <c r="F2155"/>
      <c r="G2155">
        <v>1</v>
      </c>
      <c r="H2155">
        <v>1000</v>
      </c>
      <c r="I2155">
        <v>1</v>
      </c>
      <c r="J2155" cm="1">
        <f t="array" ref="J2155">_xlfn.SWITCH(B2155,1,75,2,61,3,49,4,37,5,25,6,13,7,4,8,1)</f>
        <v>13</v>
      </c>
      <c r="K2155" t="str" cm="1">
        <f t="array" ref="K2155">IFERROR(_xlfn.SWITCH(L2155,2,_xlfn.XLOOKUP(C2155,[1]ModifierDes!$B:$B,[1]ModifierDes!$C:$C),3,_xlfn.XLOOKUP(C2155,[1]StuntDes!$B:$B,[1]StuntDes!$C:$C)),"")</f>
        <v>火焰伤害倍率增加{0}</v>
      </c>
      <c r="L2155">
        <f t="shared" si="90"/>
        <v>2</v>
      </c>
      <c r="M2155" s="10" t="str">
        <f>IFERROR(_xlfn.XLOOKUP(C2155,[1]StuntDes!$B:$B,[1]StuntDes!$A:$A),"")</f>
        <v/>
      </c>
      <c r="N2155" s="10">
        <f>IFERROR(_xlfn.XLOOKUP(C2155,[1]ModifierDes!$B:$B,[1]ModifierDes!$A:$A),"")</f>
        <v>10057</v>
      </c>
      <c r="O2155" s="10" t="str">
        <f>IFERROR(_xlfn.XLOOKUP(C2155,[1]AttributeName!$C:$C,[1]AttributeName!$B:$B),"")</f>
        <v/>
      </c>
      <c r="P2155" s="10"/>
      <c r="Q2155">
        <v>0.1</v>
      </c>
      <c r="R2155">
        <v>0.12</v>
      </c>
      <c r="S2155" cm="1">
        <f t="array" ref="S2155">IFERROR(_xlfn.SWITCH(L2155,1,_xlfn.XLOOKUP(O2155,[1]AttributeName!$B:$B,[1]AttributeName!$D:$D),2,_xlfn.XLOOKUP(C2155,#REF!,#REF!),3,_xlfn.XLOOKUP(C2155,#REF!,#REF!)),0)</f>
        <v>0</v>
      </c>
      <c r="T2155" cm="1">
        <f t="array" ref="T2155">IFERROR(_xlfn.SWITCH(L2155,1,_xlfn.XLOOKUP(O2155,[1]AttributeName!$B:$B,[1]AttributeName!$E:$E),2,_xlfn.XLOOKUP(C2155,#REF!,#REF!),3,_xlfn.XLOOKUP(C2155,#REF!,#REF!)),0)</f>
        <v>0</v>
      </c>
    </row>
    <row r="2156" customFormat="1" spans="1:20">
      <c r="A2156">
        <f t="shared" si="91"/>
        <v>902</v>
      </c>
      <c r="B2156">
        <v>7</v>
      </c>
      <c r="C2156" t="s">
        <v>379</v>
      </c>
      <c r="D2156" t="s">
        <v>32</v>
      </c>
      <c r="E2156" t="s">
        <v>378</v>
      </c>
      <c r="F2156"/>
      <c r="G2156">
        <v>1</v>
      </c>
      <c r="H2156">
        <v>1000</v>
      </c>
      <c r="I2156">
        <v>1</v>
      </c>
      <c r="J2156" cm="1">
        <f t="array" ref="J2156">_xlfn.SWITCH(B2156,1,75,2,61,3,49,4,37,5,25,6,13,7,4,8,1)</f>
        <v>4</v>
      </c>
      <c r="K2156" t="str" cm="1">
        <f t="array" ref="K2156">IFERROR(_xlfn.SWITCH(L2156,2,_xlfn.XLOOKUP(C2156,[1]ModifierDes!$B:$B,[1]ModifierDes!$C:$C),3,_xlfn.XLOOKUP(C2156,[1]StuntDes!$B:$B,[1]StuntDes!$C:$C)),"")</f>
        <v>火焰伤害倍率增加{0}</v>
      </c>
      <c r="L2156">
        <f t="shared" si="90"/>
        <v>2</v>
      </c>
      <c r="M2156" s="10" t="str">
        <f>IFERROR(_xlfn.XLOOKUP(C2156,[1]StuntDes!$B:$B,[1]StuntDes!$A:$A),"")</f>
        <v/>
      </c>
      <c r="N2156" s="10">
        <f>IFERROR(_xlfn.XLOOKUP(C2156,[1]ModifierDes!$B:$B,[1]ModifierDes!$A:$A),"")</f>
        <v>10057</v>
      </c>
      <c r="O2156" s="10" t="str">
        <f>IFERROR(_xlfn.XLOOKUP(C2156,[1]AttributeName!$C:$C,[1]AttributeName!$B:$B),"")</f>
        <v/>
      </c>
      <c r="P2156" s="10"/>
      <c r="Q2156">
        <v>0.07</v>
      </c>
      <c r="R2156">
        <v>0.09</v>
      </c>
      <c r="S2156" cm="1">
        <f t="array" ref="S2156">IFERROR(_xlfn.SWITCH(L2156,1,_xlfn.XLOOKUP(O2156,[1]AttributeName!$B:$B,[1]AttributeName!$D:$D),2,_xlfn.XLOOKUP(C2156,#REF!,#REF!),3,_xlfn.XLOOKUP(C2156,#REF!,#REF!)),0)</f>
        <v>0</v>
      </c>
      <c r="T2156" cm="1">
        <f t="array" ref="T2156">IFERROR(_xlfn.SWITCH(L2156,1,_xlfn.XLOOKUP(O2156,[1]AttributeName!$B:$B,[1]AttributeName!$E:$E),2,_xlfn.XLOOKUP(C2156,#REF!,#REF!),3,_xlfn.XLOOKUP(C2156,#REF!,#REF!)),0)</f>
        <v>0</v>
      </c>
    </row>
    <row r="2157" customFormat="1" spans="1:20">
      <c r="A2157">
        <f t="shared" si="91"/>
        <v>902</v>
      </c>
      <c r="B2157">
        <v>8</v>
      </c>
      <c r="C2157" t="s">
        <v>379</v>
      </c>
      <c r="D2157" t="s">
        <v>32</v>
      </c>
      <c r="E2157" t="s">
        <v>378</v>
      </c>
      <c r="F2157"/>
      <c r="G2157">
        <v>1</v>
      </c>
      <c r="H2157">
        <v>1000</v>
      </c>
      <c r="I2157">
        <v>1</v>
      </c>
      <c r="J2157" cm="1">
        <f t="array" ref="J2157">_xlfn.SWITCH(B2157,1,75,2,61,3,49,4,37,5,25,6,13,7,4,8,1)</f>
        <v>1</v>
      </c>
      <c r="K2157" t="str" cm="1">
        <f t="array" ref="K2157">IFERROR(_xlfn.SWITCH(L2157,2,_xlfn.XLOOKUP(C2157,[1]ModifierDes!$B:$B,[1]ModifierDes!$C:$C),3,_xlfn.XLOOKUP(C2157,[1]StuntDes!$B:$B,[1]StuntDes!$C:$C)),"")</f>
        <v>火焰伤害倍率增加{0}</v>
      </c>
      <c r="L2157">
        <f t="shared" si="90"/>
        <v>2</v>
      </c>
      <c r="M2157" s="10" t="str">
        <f>IFERROR(_xlfn.XLOOKUP(C2157,[1]StuntDes!$B:$B,[1]StuntDes!$A:$A),"")</f>
        <v/>
      </c>
      <c r="N2157" s="10">
        <f>IFERROR(_xlfn.XLOOKUP(C2157,[1]ModifierDes!$B:$B,[1]ModifierDes!$A:$A),"")</f>
        <v>10057</v>
      </c>
      <c r="O2157" s="10" t="str">
        <f>IFERROR(_xlfn.XLOOKUP(C2157,[1]AttributeName!$C:$C,[1]AttributeName!$B:$B),"")</f>
        <v/>
      </c>
      <c r="P2157" s="10"/>
      <c r="Q2157">
        <v>0.04</v>
      </c>
      <c r="R2157">
        <v>0.07</v>
      </c>
      <c r="S2157" cm="1">
        <f t="array" ref="S2157">IFERROR(_xlfn.SWITCH(L2157,1,_xlfn.XLOOKUP(O2157,[1]AttributeName!$B:$B,[1]AttributeName!$D:$D),2,_xlfn.XLOOKUP(C2157,#REF!,#REF!),3,_xlfn.XLOOKUP(C2157,#REF!,#REF!)),0)</f>
        <v>0</v>
      </c>
      <c r="T2157" cm="1">
        <f t="array" ref="T2157">IFERROR(_xlfn.SWITCH(L2157,1,_xlfn.XLOOKUP(O2157,[1]AttributeName!$B:$B,[1]AttributeName!$E:$E),2,_xlfn.XLOOKUP(C2157,#REF!,#REF!),3,_xlfn.XLOOKUP(C2157,#REF!,#REF!)),0)</f>
        <v>0</v>
      </c>
    </row>
    <row r="2158" customFormat="1" spans="1:20">
      <c r="A2158">
        <f t="shared" si="91"/>
        <v>903</v>
      </c>
      <c r="B2158">
        <v>1</v>
      </c>
      <c r="C2158" t="s">
        <v>380</v>
      </c>
      <c r="D2158" t="s">
        <v>32</v>
      </c>
      <c r="E2158" t="s">
        <v>378</v>
      </c>
      <c r="F2158"/>
      <c r="G2158">
        <v>1</v>
      </c>
      <c r="H2158">
        <v>50</v>
      </c>
      <c r="I2158">
        <v>1</v>
      </c>
      <c r="J2158" cm="1">
        <f t="array" ref="J2158">_xlfn.SWITCH(B2158,1,75,2,61,3,49,4,37,5,25,6,13,7,4,8,1)</f>
        <v>75</v>
      </c>
      <c r="K2158" t="str" cm="1">
        <f t="array" ref="K2158">IFERROR(_xlfn.SWITCH(L2158,2,_xlfn.XLOOKUP(C2158,[1]ModifierDes!$B:$B,[1]ModifierDes!$C:$C),3,_xlfn.XLOOKUP(C2158,[1]StuntDes!$B:$B,[1]StuntDes!$C:$C)),"")</f>
        <v>冰冷伤害倍率增加{0}</v>
      </c>
      <c r="L2158">
        <f t="shared" si="90"/>
        <v>2</v>
      </c>
      <c r="M2158" s="10" t="str">
        <f>IFERROR(_xlfn.XLOOKUP(C2158,[1]StuntDes!$B:$B,[1]StuntDes!$A:$A),"")</f>
        <v/>
      </c>
      <c r="N2158" s="10">
        <f>IFERROR(_xlfn.XLOOKUP(C2158,[1]ModifierDes!$B:$B,[1]ModifierDes!$A:$A),"")</f>
        <v>10058</v>
      </c>
      <c r="O2158" s="10" t="str">
        <f>IFERROR(_xlfn.XLOOKUP(C2158,[1]AttributeName!$C:$C,[1]AttributeName!$B:$B),"")</f>
        <v/>
      </c>
      <c r="P2158" s="10"/>
      <c r="Q2158">
        <v>0.25</v>
      </c>
      <c r="R2158">
        <v>0.35</v>
      </c>
      <c r="S2158" cm="1">
        <f t="array" ref="S2158">IFERROR(_xlfn.SWITCH(L2158,1,_xlfn.XLOOKUP(O2158,[1]AttributeName!$B:$B,[1]AttributeName!$D:$D),2,_xlfn.XLOOKUP(C2158,#REF!,#REF!),3,_xlfn.XLOOKUP(C2158,#REF!,#REF!)),0)</f>
        <v>0</v>
      </c>
      <c r="T2158" cm="1">
        <f t="array" ref="T2158">IFERROR(_xlfn.SWITCH(L2158,1,_xlfn.XLOOKUP(O2158,[1]AttributeName!$B:$B,[1]AttributeName!$E:$E),2,_xlfn.XLOOKUP(C2158,#REF!,#REF!),3,_xlfn.XLOOKUP(C2158,#REF!,#REF!)),0)</f>
        <v>0</v>
      </c>
    </row>
    <row r="2159" customFormat="1" spans="1:20">
      <c r="A2159">
        <f t="shared" si="91"/>
        <v>903</v>
      </c>
      <c r="B2159">
        <v>2</v>
      </c>
      <c r="C2159" t="s">
        <v>380</v>
      </c>
      <c r="D2159" t="s">
        <v>32</v>
      </c>
      <c r="E2159" t="s">
        <v>378</v>
      </c>
      <c r="F2159"/>
      <c r="G2159">
        <v>1</v>
      </c>
      <c r="H2159">
        <v>100</v>
      </c>
      <c r="I2159">
        <v>1</v>
      </c>
      <c r="J2159" cm="1">
        <f t="array" ref="J2159">_xlfn.SWITCH(B2159,1,75,2,61,3,49,4,37,5,25,6,13,7,4,8,1)</f>
        <v>61</v>
      </c>
      <c r="K2159" t="str" cm="1">
        <f t="array" ref="K2159">IFERROR(_xlfn.SWITCH(L2159,2,_xlfn.XLOOKUP(C2159,[1]ModifierDes!$B:$B,[1]ModifierDes!$C:$C),3,_xlfn.XLOOKUP(C2159,[1]StuntDes!$B:$B,[1]StuntDes!$C:$C)),"")</f>
        <v>冰冷伤害倍率增加{0}</v>
      </c>
      <c r="L2159">
        <f t="shared" si="90"/>
        <v>2</v>
      </c>
      <c r="M2159" s="10" t="str">
        <f>IFERROR(_xlfn.XLOOKUP(C2159,[1]StuntDes!$B:$B,[1]StuntDes!$A:$A),"")</f>
        <v/>
      </c>
      <c r="N2159" s="10">
        <f>IFERROR(_xlfn.XLOOKUP(C2159,[1]ModifierDes!$B:$B,[1]ModifierDes!$A:$A),"")</f>
        <v>10058</v>
      </c>
      <c r="O2159" s="10" t="str">
        <f>IFERROR(_xlfn.XLOOKUP(C2159,[1]AttributeName!$C:$C,[1]AttributeName!$B:$B),"")</f>
        <v/>
      </c>
      <c r="P2159" s="10"/>
      <c r="Q2159">
        <v>0.22</v>
      </c>
      <c r="R2159">
        <v>0.24</v>
      </c>
      <c r="S2159" cm="1">
        <f t="array" ref="S2159">IFERROR(_xlfn.SWITCH(L2159,1,_xlfn.XLOOKUP(O2159,[1]AttributeName!$B:$B,[1]AttributeName!$D:$D),2,_xlfn.XLOOKUP(C2159,#REF!,#REF!),3,_xlfn.XLOOKUP(C2159,#REF!,#REF!)),0)</f>
        <v>0</v>
      </c>
      <c r="T2159" cm="1">
        <f t="array" ref="T2159">IFERROR(_xlfn.SWITCH(L2159,1,_xlfn.XLOOKUP(O2159,[1]AttributeName!$B:$B,[1]AttributeName!$E:$E),2,_xlfn.XLOOKUP(C2159,#REF!,#REF!),3,_xlfn.XLOOKUP(C2159,#REF!,#REF!)),0)</f>
        <v>0</v>
      </c>
    </row>
    <row r="2160" customFormat="1" spans="1:20">
      <c r="A2160">
        <f t="shared" si="91"/>
        <v>903</v>
      </c>
      <c r="B2160">
        <v>3</v>
      </c>
      <c r="C2160" t="s">
        <v>380</v>
      </c>
      <c r="D2160" t="s">
        <v>32</v>
      </c>
      <c r="E2160" t="s">
        <v>378</v>
      </c>
      <c r="F2160"/>
      <c r="G2160">
        <v>1</v>
      </c>
      <c r="H2160">
        <v>200</v>
      </c>
      <c r="I2160">
        <v>1</v>
      </c>
      <c r="J2160" cm="1">
        <f t="array" ref="J2160">_xlfn.SWITCH(B2160,1,75,2,61,3,49,4,37,5,25,6,13,7,4,8,1)</f>
        <v>49</v>
      </c>
      <c r="K2160" t="str" cm="1">
        <f t="array" ref="K2160">IFERROR(_xlfn.SWITCH(L2160,2,_xlfn.XLOOKUP(C2160,[1]ModifierDes!$B:$B,[1]ModifierDes!$C:$C),3,_xlfn.XLOOKUP(C2160,[1]StuntDes!$B:$B,[1]StuntDes!$C:$C)),"")</f>
        <v>冰冷伤害倍率增加{0}</v>
      </c>
      <c r="L2160">
        <f t="shared" si="90"/>
        <v>2</v>
      </c>
      <c r="M2160" s="10" t="str">
        <f>IFERROR(_xlfn.XLOOKUP(C2160,[1]StuntDes!$B:$B,[1]StuntDes!$A:$A),"")</f>
        <v/>
      </c>
      <c r="N2160" s="10">
        <f>IFERROR(_xlfn.XLOOKUP(C2160,[1]ModifierDes!$B:$B,[1]ModifierDes!$A:$A),"")</f>
        <v>10058</v>
      </c>
      <c r="O2160" s="10" t="str">
        <f>IFERROR(_xlfn.XLOOKUP(C2160,[1]AttributeName!$C:$C,[1]AttributeName!$B:$B),"")</f>
        <v/>
      </c>
      <c r="P2160" s="10"/>
      <c r="Q2160">
        <v>0.19</v>
      </c>
      <c r="R2160">
        <v>0.21</v>
      </c>
      <c r="S2160" cm="1">
        <f t="array" ref="S2160">IFERROR(_xlfn.SWITCH(L2160,1,_xlfn.XLOOKUP(O2160,[1]AttributeName!$B:$B,[1]AttributeName!$D:$D),2,_xlfn.XLOOKUP(C2160,#REF!,#REF!),3,_xlfn.XLOOKUP(C2160,#REF!,#REF!)),0)</f>
        <v>0</v>
      </c>
      <c r="T2160" cm="1">
        <f t="array" ref="T2160">IFERROR(_xlfn.SWITCH(L2160,1,_xlfn.XLOOKUP(O2160,[1]AttributeName!$B:$B,[1]AttributeName!$E:$E),2,_xlfn.XLOOKUP(C2160,#REF!,#REF!),3,_xlfn.XLOOKUP(C2160,#REF!,#REF!)),0)</f>
        <v>0</v>
      </c>
    </row>
    <row r="2161" customFormat="1" spans="1:20">
      <c r="A2161">
        <f t="shared" si="91"/>
        <v>903</v>
      </c>
      <c r="B2161">
        <v>4</v>
      </c>
      <c r="C2161" t="s">
        <v>380</v>
      </c>
      <c r="D2161" t="s">
        <v>32</v>
      </c>
      <c r="E2161" t="s">
        <v>378</v>
      </c>
      <c r="F2161"/>
      <c r="G2161">
        <v>1</v>
      </c>
      <c r="H2161">
        <v>500</v>
      </c>
      <c r="I2161">
        <v>1</v>
      </c>
      <c r="J2161" cm="1">
        <f t="array" ref="J2161">_xlfn.SWITCH(B2161,1,75,2,61,3,49,4,37,5,25,6,13,7,4,8,1)</f>
        <v>37</v>
      </c>
      <c r="K2161" t="str" cm="1">
        <f t="array" ref="K2161">IFERROR(_xlfn.SWITCH(L2161,2,_xlfn.XLOOKUP(C2161,[1]ModifierDes!$B:$B,[1]ModifierDes!$C:$C),3,_xlfn.XLOOKUP(C2161,[1]StuntDes!$B:$B,[1]StuntDes!$C:$C)),"")</f>
        <v>冰冷伤害倍率增加{0}</v>
      </c>
      <c r="L2161">
        <f t="shared" si="90"/>
        <v>2</v>
      </c>
      <c r="M2161" s="10" t="str">
        <f>IFERROR(_xlfn.XLOOKUP(C2161,[1]StuntDes!$B:$B,[1]StuntDes!$A:$A),"")</f>
        <v/>
      </c>
      <c r="N2161" s="10">
        <f>IFERROR(_xlfn.XLOOKUP(C2161,[1]ModifierDes!$B:$B,[1]ModifierDes!$A:$A),"")</f>
        <v>10058</v>
      </c>
      <c r="O2161" s="10" t="str">
        <f>IFERROR(_xlfn.XLOOKUP(C2161,[1]AttributeName!$C:$C,[1]AttributeName!$B:$B),"")</f>
        <v/>
      </c>
      <c r="P2161" s="10"/>
      <c r="Q2161">
        <v>0.16</v>
      </c>
      <c r="R2161">
        <v>0.18</v>
      </c>
      <c r="S2161" cm="1">
        <f t="array" ref="S2161">IFERROR(_xlfn.SWITCH(L2161,1,_xlfn.XLOOKUP(O2161,[1]AttributeName!$B:$B,[1]AttributeName!$D:$D),2,_xlfn.XLOOKUP(C2161,#REF!,#REF!),3,_xlfn.XLOOKUP(C2161,#REF!,#REF!)),0)</f>
        <v>0</v>
      </c>
      <c r="T2161" cm="1">
        <f t="array" ref="T2161">IFERROR(_xlfn.SWITCH(L2161,1,_xlfn.XLOOKUP(O2161,[1]AttributeName!$B:$B,[1]AttributeName!$E:$E),2,_xlfn.XLOOKUP(C2161,#REF!,#REF!),3,_xlfn.XLOOKUP(C2161,#REF!,#REF!)),0)</f>
        <v>0</v>
      </c>
    </row>
    <row r="2162" customFormat="1" spans="1:20">
      <c r="A2162">
        <f t="shared" si="91"/>
        <v>903</v>
      </c>
      <c r="B2162">
        <v>5</v>
      </c>
      <c r="C2162" t="s">
        <v>380</v>
      </c>
      <c r="D2162" t="s">
        <v>32</v>
      </c>
      <c r="E2162" t="s">
        <v>378</v>
      </c>
      <c r="F2162"/>
      <c r="G2162">
        <v>1</v>
      </c>
      <c r="H2162">
        <v>1000</v>
      </c>
      <c r="I2162">
        <v>1</v>
      </c>
      <c r="J2162" cm="1">
        <f t="array" ref="J2162">_xlfn.SWITCH(B2162,1,75,2,61,3,49,4,37,5,25,6,13,7,4,8,1)</f>
        <v>25</v>
      </c>
      <c r="K2162" t="str" cm="1">
        <f t="array" ref="K2162">IFERROR(_xlfn.SWITCH(L2162,2,_xlfn.XLOOKUP(C2162,[1]ModifierDes!$B:$B,[1]ModifierDes!$C:$C),3,_xlfn.XLOOKUP(C2162,[1]StuntDes!$B:$B,[1]StuntDes!$C:$C)),"")</f>
        <v>冰冷伤害倍率增加{0}</v>
      </c>
      <c r="L2162">
        <f t="shared" si="90"/>
        <v>2</v>
      </c>
      <c r="M2162" s="10" t="str">
        <f>IFERROR(_xlfn.XLOOKUP(C2162,[1]StuntDes!$B:$B,[1]StuntDes!$A:$A),"")</f>
        <v/>
      </c>
      <c r="N2162" s="10">
        <f>IFERROR(_xlfn.XLOOKUP(C2162,[1]ModifierDes!$B:$B,[1]ModifierDes!$A:$A),"")</f>
        <v>10058</v>
      </c>
      <c r="O2162" s="10" t="str">
        <f>IFERROR(_xlfn.XLOOKUP(C2162,[1]AttributeName!$C:$C,[1]AttributeName!$B:$B),"")</f>
        <v/>
      </c>
      <c r="P2162" s="10"/>
      <c r="Q2162">
        <v>0.13</v>
      </c>
      <c r="R2162">
        <v>0.15</v>
      </c>
      <c r="S2162" cm="1">
        <f t="array" ref="S2162">IFERROR(_xlfn.SWITCH(L2162,1,_xlfn.XLOOKUP(O2162,[1]AttributeName!$B:$B,[1]AttributeName!$D:$D),2,_xlfn.XLOOKUP(C2162,#REF!,#REF!),3,_xlfn.XLOOKUP(C2162,#REF!,#REF!)),0)</f>
        <v>0</v>
      </c>
      <c r="T2162" cm="1">
        <f t="array" ref="T2162">IFERROR(_xlfn.SWITCH(L2162,1,_xlfn.XLOOKUP(O2162,[1]AttributeName!$B:$B,[1]AttributeName!$E:$E),2,_xlfn.XLOOKUP(C2162,#REF!,#REF!),3,_xlfn.XLOOKUP(C2162,#REF!,#REF!)),0)</f>
        <v>0</v>
      </c>
    </row>
    <row r="2163" customFormat="1" spans="1:20">
      <c r="A2163">
        <f t="shared" si="91"/>
        <v>903</v>
      </c>
      <c r="B2163">
        <v>6</v>
      </c>
      <c r="C2163" t="s">
        <v>380</v>
      </c>
      <c r="D2163" t="s">
        <v>32</v>
      </c>
      <c r="E2163" t="s">
        <v>378</v>
      </c>
      <c r="F2163"/>
      <c r="G2163">
        <v>1</v>
      </c>
      <c r="H2163">
        <v>1000</v>
      </c>
      <c r="I2163">
        <v>1</v>
      </c>
      <c r="J2163" cm="1">
        <f t="array" ref="J2163">_xlfn.SWITCH(B2163,1,75,2,61,3,49,4,37,5,25,6,13,7,4,8,1)</f>
        <v>13</v>
      </c>
      <c r="K2163" t="str" cm="1">
        <f t="array" ref="K2163">IFERROR(_xlfn.SWITCH(L2163,2,_xlfn.XLOOKUP(C2163,[1]ModifierDes!$B:$B,[1]ModifierDes!$C:$C),3,_xlfn.XLOOKUP(C2163,[1]StuntDes!$B:$B,[1]StuntDes!$C:$C)),"")</f>
        <v>冰冷伤害倍率增加{0}</v>
      </c>
      <c r="L2163">
        <f t="shared" si="90"/>
        <v>2</v>
      </c>
      <c r="M2163" s="10" t="str">
        <f>IFERROR(_xlfn.XLOOKUP(C2163,[1]StuntDes!$B:$B,[1]StuntDes!$A:$A),"")</f>
        <v/>
      </c>
      <c r="N2163" s="10">
        <f>IFERROR(_xlfn.XLOOKUP(C2163,[1]ModifierDes!$B:$B,[1]ModifierDes!$A:$A),"")</f>
        <v>10058</v>
      </c>
      <c r="O2163" s="10" t="str">
        <f>IFERROR(_xlfn.XLOOKUP(C2163,[1]AttributeName!$C:$C,[1]AttributeName!$B:$B),"")</f>
        <v/>
      </c>
      <c r="P2163" s="10"/>
      <c r="Q2163">
        <v>0.1</v>
      </c>
      <c r="R2163">
        <v>0.12</v>
      </c>
      <c r="S2163" cm="1">
        <f t="array" ref="S2163">IFERROR(_xlfn.SWITCH(L2163,1,_xlfn.XLOOKUP(O2163,[1]AttributeName!$B:$B,[1]AttributeName!$D:$D),2,_xlfn.XLOOKUP(C2163,#REF!,#REF!),3,_xlfn.XLOOKUP(C2163,#REF!,#REF!)),0)</f>
        <v>0</v>
      </c>
      <c r="T2163" cm="1">
        <f t="array" ref="T2163">IFERROR(_xlfn.SWITCH(L2163,1,_xlfn.XLOOKUP(O2163,[1]AttributeName!$B:$B,[1]AttributeName!$E:$E),2,_xlfn.XLOOKUP(C2163,#REF!,#REF!),3,_xlfn.XLOOKUP(C2163,#REF!,#REF!)),0)</f>
        <v>0</v>
      </c>
    </row>
    <row r="2164" customFormat="1" spans="1:20">
      <c r="A2164">
        <f t="shared" si="91"/>
        <v>903</v>
      </c>
      <c r="B2164">
        <v>7</v>
      </c>
      <c r="C2164" t="s">
        <v>380</v>
      </c>
      <c r="D2164" t="s">
        <v>32</v>
      </c>
      <c r="E2164" t="s">
        <v>378</v>
      </c>
      <c r="F2164"/>
      <c r="G2164">
        <v>1</v>
      </c>
      <c r="H2164">
        <v>1000</v>
      </c>
      <c r="I2164">
        <v>1</v>
      </c>
      <c r="J2164" cm="1">
        <f t="array" ref="J2164">_xlfn.SWITCH(B2164,1,75,2,61,3,49,4,37,5,25,6,13,7,4,8,1)</f>
        <v>4</v>
      </c>
      <c r="K2164" t="str" cm="1">
        <f t="array" ref="K2164">IFERROR(_xlfn.SWITCH(L2164,2,_xlfn.XLOOKUP(C2164,[1]ModifierDes!$B:$B,[1]ModifierDes!$C:$C),3,_xlfn.XLOOKUP(C2164,[1]StuntDes!$B:$B,[1]StuntDes!$C:$C)),"")</f>
        <v>冰冷伤害倍率增加{0}</v>
      </c>
      <c r="L2164">
        <f t="shared" si="90"/>
        <v>2</v>
      </c>
      <c r="M2164" s="10" t="str">
        <f>IFERROR(_xlfn.XLOOKUP(C2164,[1]StuntDes!$B:$B,[1]StuntDes!$A:$A),"")</f>
        <v/>
      </c>
      <c r="N2164" s="10">
        <f>IFERROR(_xlfn.XLOOKUP(C2164,[1]ModifierDes!$B:$B,[1]ModifierDes!$A:$A),"")</f>
        <v>10058</v>
      </c>
      <c r="O2164" s="10" t="str">
        <f>IFERROR(_xlfn.XLOOKUP(C2164,[1]AttributeName!$C:$C,[1]AttributeName!$B:$B),"")</f>
        <v/>
      </c>
      <c r="P2164" s="10"/>
      <c r="Q2164">
        <v>0.07</v>
      </c>
      <c r="R2164">
        <v>0.09</v>
      </c>
      <c r="S2164" cm="1">
        <f t="array" ref="S2164">IFERROR(_xlfn.SWITCH(L2164,1,_xlfn.XLOOKUP(O2164,[1]AttributeName!$B:$B,[1]AttributeName!$D:$D),2,_xlfn.XLOOKUP(C2164,#REF!,#REF!),3,_xlfn.XLOOKUP(C2164,#REF!,#REF!)),0)</f>
        <v>0</v>
      </c>
      <c r="T2164" cm="1">
        <f t="array" ref="T2164">IFERROR(_xlfn.SWITCH(L2164,1,_xlfn.XLOOKUP(O2164,[1]AttributeName!$B:$B,[1]AttributeName!$E:$E),2,_xlfn.XLOOKUP(C2164,#REF!,#REF!),3,_xlfn.XLOOKUP(C2164,#REF!,#REF!)),0)</f>
        <v>0</v>
      </c>
    </row>
    <row r="2165" customFormat="1" spans="1:20">
      <c r="A2165">
        <f t="shared" si="91"/>
        <v>903</v>
      </c>
      <c r="B2165">
        <v>8</v>
      </c>
      <c r="C2165" t="s">
        <v>380</v>
      </c>
      <c r="D2165" t="s">
        <v>32</v>
      </c>
      <c r="E2165" t="s">
        <v>378</v>
      </c>
      <c r="F2165"/>
      <c r="G2165">
        <v>1</v>
      </c>
      <c r="H2165">
        <v>1000</v>
      </c>
      <c r="I2165">
        <v>1</v>
      </c>
      <c r="J2165" cm="1">
        <f t="array" ref="J2165">_xlfn.SWITCH(B2165,1,75,2,61,3,49,4,37,5,25,6,13,7,4,8,1)</f>
        <v>1</v>
      </c>
      <c r="K2165" t="str" cm="1">
        <f t="array" ref="K2165">IFERROR(_xlfn.SWITCH(L2165,2,_xlfn.XLOOKUP(C2165,[1]ModifierDes!$B:$B,[1]ModifierDes!$C:$C),3,_xlfn.XLOOKUP(C2165,[1]StuntDes!$B:$B,[1]StuntDes!$C:$C)),"")</f>
        <v>冰冷伤害倍率增加{0}</v>
      </c>
      <c r="L2165">
        <f t="shared" si="90"/>
        <v>2</v>
      </c>
      <c r="M2165" s="10" t="str">
        <f>IFERROR(_xlfn.XLOOKUP(C2165,[1]StuntDes!$B:$B,[1]StuntDes!$A:$A),"")</f>
        <v/>
      </c>
      <c r="N2165" s="10">
        <f>IFERROR(_xlfn.XLOOKUP(C2165,[1]ModifierDes!$B:$B,[1]ModifierDes!$A:$A),"")</f>
        <v>10058</v>
      </c>
      <c r="O2165" s="10" t="str">
        <f>IFERROR(_xlfn.XLOOKUP(C2165,[1]AttributeName!$C:$C,[1]AttributeName!$B:$B),"")</f>
        <v/>
      </c>
      <c r="P2165" s="10"/>
      <c r="Q2165">
        <v>0.04</v>
      </c>
      <c r="R2165">
        <v>0.07</v>
      </c>
      <c r="S2165" cm="1">
        <f t="array" ref="S2165">IFERROR(_xlfn.SWITCH(L2165,1,_xlfn.XLOOKUP(O2165,[1]AttributeName!$B:$B,[1]AttributeName!$D:$D),2,_xlfn.XLOOKUP(C2165,#REF!,#REF!),3,_xlfn.XLOOKUP(C2165,#REF!,#REF!)),0)</f>
        <v>0</v>
      </c>
      <c r="T2165" cm="1">
        <f t="array" ref="T2165">IFERROR(_xlfn.SWITCH(L2165,1,_xlfn.XLOOKUP(O2165,[1]AttributeName!$B:$B,[1]AttributeName!$E:$E),2,_xlfn.XLOOKUP(C2165,#REF!,#REF!),3,_xlfn.XLOOKUP(C2165,#REF!,#REF!)),0)</f>
        <v>0</v>
      </c>
    </row>
    <row r="2166" customFormat="1" spans="1:20">
      <c r="A2166">
        <f t="shared" si="91"/>
        <v>904</v>
      </c>
      <c r="B2166">
        <v>1</v>
      </c>
      <c r="C2166" t="s">
        <v>381</v>
      </c>
      <c r="D2166" t="s">
        <v>32</v>
      </c>
      <c r="E2166" t="s">
        <v>378</v>
      </c>
      <c r="F2166"/>
      <c r="G2166">
        <v>1</v>
      </c>
      <c r="H2166">
        <v>50</v>
      </c>
      <c r="I2166">
        <v>1</v>
      </c>
      <c r="J2166" cm="1">
        <f t="array" ref="J2166">_xlfn.SWITCH(B2166,1,75,2,61,3,49,4,37,5,25,6,13,7,4,8,1)</f>
        <v>75</v>
      </c>
      <c r="K2166" t="str" cm="1">
        <f t="array" ref="K2166">IFERROR(_xlfn.SWITCH(L2166,2,_xlfn.XLOOKUP(C2166,[1]ModifierDes!$B:$B,[1]ModifierDes!$C:$C),3,_xlfn.XLOOKUP(C2166,[1]StuntDes!$B:$B,[1]StuntDes!$C:$C)),"")</f>
        <v>闪电伤害倍率增加{0}</v>
      </c>
      <c r="L2166">
        <f t="shared" si="90"/>
        <v>2</v>
      </c>
      <c r="M2166" s="10" t="str">
        <f>IFERROR(_xlfn.XLOOKUP(C2166,[1]StuntDes!$B:$B,[1]StuntDes!$A:$A),"")</f>
        <v/>
      </c>
      <c r="N2166" s="10">
        <f>IFERROR(_xlfn.XLOOKUP(C2166,[1]ModifierDes!$B:$B,[1]ModifierDes!$A:$A),"")</f>
        <v>10059</v>
      </c>
      <c r="O2166" s="10" t="str">
        <f>IFERROR(_xlfn.XLOOKUP(C2166,[1]AttributeName!$C:$C,[1]AttributeName!$B:$B),"")</f>
        <v/>
      </c>
      <c r="P2166" s="10"/>
      <c r="Q2166">
        <v>0.25</v>
      </c>
      <c r="R2166">
        <v>0.35</v>
      </c>
      <c r="S2166" cm="1">
        <f t="array" ref="S2166">IFERROR(_xlfn.SWITCH(L2166,1,_xlfn.XLOOKUP(O2166,[1]AttributeName!$B:$B,[1]AttributeName!$D:$D),2,_xlfn.XLOOKUP(C2166,#REF!,#REF!),3,_xlfn.XLOOKUP(C2166,#REF!,#REF!)),0)</f>
        <v>0</v>
      </c>
      <c r="T2166" cm="1">
        <f t="array" ref="T2166">IFERROR(_xlfn.SWITCH(L2166,1,_xlfn.XLOOKUP(O2166,[1]AttributeName!$B:$B,[1]AttributeName!$E:$E),2,_xlfn.XLOOKUP(C2166,#REF!,#REF!),3,_xlfn.XLOOKUP(C2166,#REF!,#REF!)),0)</f>
        <v>0</v>
      </c>
    </row>
    <row r="2167" customFormat="1" spans="1:20">
      <c r="A2167">
        <f t="shared" si="91"/>
        <v>904</v>
      </c>
      <c r="B2167">
        <v>2</v>
      </c>
      <c r="C2167" t="s">
        <v>381</v>
      </c>
      <c r="D2167" t="s">
        <v>32</v>
      </c>
      <c r="E2167" t="s">
        <v>378</v>
      </c>
      <c r="F2167"/>
      <c r="G2167">
        <v>1</v>
      </c>
      <c r="H2167">
        <v>100</v>
      </c>
      <c r="I2167">
        <v>1</v>
      </c>
      <c r="J2167" cm="1">
        <f t="array" ref="J2167">_xlfn.SWITCH(B2167,1,75,2,61,3,49,4,37,5,25,6,13,7,4,8,1)</f>
        <v>61</v>
      </c>
      <c r="K2167" t="str" cm="1">
        <f t="array" ref="K2167">IFERROR(_xlfn.SWITCH(L2167,2,_xlfn.XLOOKUP(C2167,[1]ModifierDes!$B:$B,[1]ModifierDes!$C:$C),3,_xlfn.XLOOKUP(C2167,[1]StuntDes!$B:$B,[1]StuntDes!$C:$C)),"")</f>
        <v>闪电伤害倍率增加{0}</v>
      </c>
      <c r="L2167">
        <f t="shared" si="90"/>
        <v>2</v>
      </c>
      <c r="M2167" s="10" t="str">
        <f>IFERROR(_xlfn.XLOOKUP(C2167,[1]StuntDes!$B:$B,[1]StuntDes!$A:$A),"")</f>
        <v/>
      </c>
      <c r="N2167" s="10">
        <f>IFERROR(_xlfn.XLOOKUP(C2167,[1]ModifierDes!$B:$B,[1]ModifierDes!$A:$A),"")</f>
        <v>10059</v>
      </c>
      <c r="O2167" s="10" t="str">
        <f>IFERROR(_xlfn.XLOOKUP(C2167,[1]AttributeName!$C:$C,[1]AttributeName!$B:$B),"")</f>
        <v/>
      </c>
      <c r="P2167" s="10"/>
      <c r="Q2167">
        <v>0.22</v>
      </c>
      <c r="R2167">
        <v>0.24</v>
      </c>
      <c r="S2167" cm="1">
        <f t="array" ref="S2167">IFERROR(_xlfn.SWITCH(L2167,1,_xlfn.XLOOKUP(O2167,[1]AttributeName!$B:$B,[1]AttributeName!$D:$D),2,_xlfn.XLOOKUP(C2167,#REF!,#REF!),3,_xlfn.XLOOKUP(C2167,#REF!,#REF!)),0)</f>
        <v>0</v>
      </c>
      <c r="T2167" cm="1">
        <f t="array" ref="T2167">IFERROR(_xlfn.SWITCH(L2167,1,_xlfn.XLOOKUP(O2167,[1]AttributeName!$B:$B,[1]AttributeName!$E:$E),2,_xlfn.XLOOKUP(C2167,#REF!,#REF!),3,_xlfn.XLOOKUP(C2167,#REF!,#REF!)),0)</f>
        <v>0</v>
      </c>
    </row>
    <row r="2168" customFormat="1" spans="1:20">
      <c r="A2168">
        <f t="shared" si="91"/>
        <v>904</v>
      </c>
      <c r="B2168">
        <v>3</v>
      </c>
      <c r="C2168" t="s">
        <v>381</v>
      </c>
      <c r="D2168" t="s">
        <v>32</v>
      </c>
      <c r="E2168" t="s">
        <v>378</v>
      </c>
      <c r="F2168"/>
      <c r="G2168">
        <v>1</v>
      </c>
      <c r="H2168">
        <v>200</v>
      </c>
      <c r="I2168">
        <v>1</v>
      </c>
      <c r="J2168" cm="1">
        <f t="array" ref="J2168">_xlfn.SWITCH(B2168,1,75,2,61,3,49,4,37,5,25,6,13,7,4,8,1)</f>
        <v>49</v>
      </c>
      <c r="K2168" t="str" cm="1">
        <f t="array" ref="K2168">IFERROR(_xlfn.SWITCH(L2168,2,_xlfn.XLOOKUP(C2168,[1]ModifierDes!$B:$B,[1]ModifierDes!$C:$C),3,_xlfn.XLOOKUP(C2168,[1]StuntDes!$B:$B,[1]StuntDes!$C:$C)),"")</f>
        <v>闪电伤害倍率增加{0}</v>
      </c>
      <c r="L2168">
        <f t="shared" si="90"/>
        <v>2</v>
      </c>
      <c r="M2168" s="10" t="str">
        <f>IFERROR(_xlfn.XLOOKUP(C2168,[1]StuntDes!$B:$B,[1]StuntDes!$A:$A),"")</f>
        <v/>
      </c>
      <c r="N2168" s="10">
        <f>IFERROR(_xlfn.XLOOKUP(C2168,[1]ModifierDes!$B:$B,[1]ModifierDes!$A:$A),"")</f>
        <v>10059</v>
      </c>
      <c r="O2168" s="10" t="str">
        <f>IFERROR(_xlfn.XLOOKUP(C2168,[1]AttributeName!$C:$C,[1]AttributeName!$B:$B),"")</f>
        <v/>
      </c>
      <c r="P2168" s="10"/>
      <c r="Q2168">
        <v>0.19</v>
      </c>
      <c r="R2168">
        <v>0.21</v>
      </c>
      <c r="S2168" cm="1">
        <f t="array" ref="S2168">IFERROR(_xlfn.SWITCH(L2168,1,_xlfn.XLOOKUP(O2168,[1]AttributeName!$B:$B,[1]AttributeName!$D:$D),2,_xlfn.XLOOKUP(C2168,#REF!,#REF!),3,_xlfn.XLOOKUP(C2168,#REF!,#REF!)),0)</f>
        <v>0</v>
      </c>
      <c r="T2168" cm="1">
        <f t="array" ref="T2168">IFERROR(_xlfn.SWITCH(L2168,1,_xlfn.XLOOKUP(O2168,[1]AttributeName!$B:$B,[1]AttributeName!$E:$E),2,_xlfn.XLOOKUP(C2168,#REF!,#REF!),3,_xlfn.XLOOKUP(C2168,#REF!,#REF!)),0)</f>
        <v>0</v>
      </c>
    </row>
    <row r="2169" customFormat="1" spans="1:20">
      <c r="A2169">
        <f t="shared" si="91"/>
        <v>904</v>
      </c>
      <c r="B2169">
        <v>4</v>
      </c>
      <c r="C2169" t="s">
        <v>381</v>
      </c>
      <c r="D2169" t="s">
        <v>32</v>
      </c>
      <c r="E2169" t="s">
        <v>378</v>
      </c>
      <c r="F2169"/>
      <c r="G2169">
        <v>1</v>
      </c>
      <c r="H2169">
        <v>500</v>
      </c>
      <c r="I2169">
        <v>1</v>
      </c>
      <c r="J2169" cm="1">
        <f t="array" ref="J2169">_xlfn.SWITCH(B2169,1,75,2,61,3,49,4,37,5,25,6,13,7,4,8,1)</f>
        <v>37</v>
      </c>
      <c r="K2169" t="str" cm="1">
        <f t="array" ref="K2169">IFERROR(_xlfn.SWITCH(L2169,2,_xlfn.XLOOKUP(C2169,[1]ModifierDes!$B:$B,[1]ModifierDes!$C:$C),3,_xlfn.XLOOKUP(C2169,[1]StuntDes!$B:$B,[1]StuntDes!$C:$C)),"")</f>
        <v>闪电伤害倍率增加{0}</v>
      </c>
      <c r="L2169">
        <f t="shared" si="90"/>
        <v>2</v>
      </c>
      <c r="M2169" s="10" t="str">
        <f>IFERROR(_xlfn.XLOOKUP(C2169,[1]StuntDes!$B:$B,[1]StuntDes!$A:$A),"")</f>
        <v/>
      </c>
      <c r="N2169" s="10">
        <f>IFERROR(_xlfn.XLOOKUP(C2169,[1]ModifierDes!$B:$B,[1]ModifierDes!$A:$A),"")</f>
        <v>10059</v>
      </c>
      <c r="O2169" s="10" t="str">
        <f>IFERROR(_xlfn.XLOOKUP(C2169,[1]AttributeName!$C:$C,[1]AttributeName!$B:$B),"")</f>
        <v/>
      </c>
      <c r="P2169" s="10"/>
      <c r="Q2169">
        <v>0.16</v>
      </c>
      <c r="R2169">
        <v>0.18</v>
      </c>
      <c r="S2169" cm="1">
        <f t="array" ref="S2169">IFERROR(_xlfn.SWITCH(L2169,1,_xlfn.XLOOKUP(O2169,[1]AttributeName!$B:$B,[1]AttributeName!$D:$D),2,_xlfn.XLOOKUP(C2169,#REF!,#REF!),3,_xlfn.XLOOKUP(C2169,#REF!,#REF!)),0)</f>
        <v>0</v>
      </c>
      <c r="T2169" cm="1">
        <f t="array" ref="T2169">IFERROR(_xlfn.SWITCH(L2169,1,_xlfn.XLOOKUP(O2169,[1]AttributeName!$B:$B,[1]AttributeName!$E:$E),2,_xlfn.XLOOKUP(C2169,#REF!,#REF!),3,_xlfn.XLOOKUP(C2169,#REF!,#REF!)),0)</f>
        <v>0</v>
      </c>
    </row>
    <row r="2170" customFormat="1" spans="1:20">
      <c r="A2170">
        <f t="shared" si="91"/>
        <v>904</v>
      </c>
      <c r="B2170">
        <v>5</v>
      </c>
      <c r="C2170" t="s">
        <v>381</v>
      </c>
      <c r="D2170" t="s">
        <v>32</v>
      </c>
      <c r="E2170" t="s">
        <v>378</v>
      </c>
      <c r="F2170"/>
      <c r="G2170">
        <v>1</v>
      </c>
      <c r="H2170">
        <v>1000</v>
      </c>
      <c r="I2170">
        <v>1</v>
      </c>
      <c r="J2170" cm="1">
        <f t="array" ref="J2170">_xlfn.SWITCH(B2170,1,75,2,61,3,49,4,37,5,25,6,13,7,4,8,1)</f>
        <v>25</v>
      </c>
      <c r="K2170" t="str" cm="1">
        <f t="array" ref="K2170">IFERROR(_xlfn.SWITCH(L2170,2,_xlfn.XLOOKUP(C2170,[1]ModifierDes!$B:$B,[1]ModifierDes!$C:$C),3,_xlfn.XLOOKUP(C2170,[1]StuntDes!$B:$B,[1]StuntDes!$C:$C)),"")</f>
        <v>闪电伤害倍率增加{0}</v>
      </c>
      <c r="L2170">
        <f t="shared" si="90"/>
        <v>2</v>
      </c>
      <c r="M2170" s="10" t="str">
        <f>IFERROR(_xlfn.XLOOKUP(C2170,[1]StuntDes!$B:$B,[1]StuntDes!$A:$A),"")</f>
        <v/>
      </c>
      <c r="N2170" s="10">
        <f>IFERROR(_xlfn.XLOOKUP(C2170,[1]ModifierDes!$B:$B,[1]ModifierDes!$A:$A),"")</f>
        <v>10059</v>
      </c>
      <c r="O2170" s="10" t="str">
        <f>IFERROR(_xlfn.XLOOKUP(C2170,[1]AttributeName!$C:$C,[1]AttributeName!$B:$B),"")</f>
        <v/>
      </c>
      <c r="P2170" s="10"/>
      <c r="Q2170">
        <v>0.13</v>
      </c>
      <c r="R2170">
        <v>0.15</v>
      </c>
      <c r="S2170" cm="1">
        <f t="array" ref="S2170">IFERROR(_xlfn.SWITCH(L2170,1,_xlfn.XLOOKUP(O2170,[1]AttributeName!$B:$B,[1]AttributeName!$D:$D),2,_xlfn.XLOOKUP(C2170,#REF!,#REF!),3,_xlfn.XLOOKUP(C2170,#REF!,#REF!)),0)</f>
        <v>0</v>
      </c>
      <c r="T2170" cm="1">
        <f t="array" ref="T2170">IFERROR(_xlfn.SWITCH(L2170,1,_xlfn.XLOOKUP(O2170,[1]AttributeName!$B:$B,[1]AttributeName!$E:$E),2,_xlfn.XLOOKUP(C2170,#REF!,#REF!),3,_xlfn.XLOOKUP(C2170,#REF!,#REF!)),0)</f>
        <v>0</v>
      </c>
    </row>
    <row r="2171" customFormat="1" spans="1:20">
      <c r="A2171">
        <f t="shared" si="91"/>
        <v>904</v>
      </c>
      <c r="B2171">
        <v>6</v>
      </c>
      <c r="C2171" t="s">
        <v>381</v>
      </c>
      <c r="D2171" t="s">
        <v>32</v>
      </c>
      <c r="E2171" t="s">
        <v>378</v>
      </c>
      <c r="F2171"/>
      <c r="G2171">
        <v>1</v>
      </c>
      <c r="H2171">
        <v>1000</v>
      </c>
      <c r="I2171">
        <v>1</v>
      </c>
      <c r="J2171" cm="1">
        <f t="array" ref="J2171">_xlfn.SWITCH(B2171,1,75,2,61,3,49,4,37,5,25,6,13,7,4,8,1)</f>
        <v>13</v>
      </c>
      <c r="K2171" t="str" cm="1">
        <f t="array" ref="K2171">IFERROR(_xlfn.SWITCH(L2171,2,_xlfn.XLOOKUP(C2171,[1]ModifierDes!$B:$B,[1]ModifierDes!$C:$C),3,_xlfn.XLOOKUP(C2171,[1]StuntDes!$B:$B,[1]StuntDes!$C:$C)),"")</f>
        <v>闪电伤害倍率增加{0}</v>
      </c>
      <c r="L2171">
        <f t="shared" si="90"/>
        <v>2</v>
      </c>
      <c r="M2171" s="10" t="str">
        <f>IFERROR(_xlfn.XLOOKUP(C2171,[1]StuntDes!$B:$B,[1]StuntDes!$A:$A),"")</f>
        <v/>
      </c>
      <c r="N2171" s="10">
        <f>IFERROR(_xlfn.XLOOKUP(C2171,[1]ModifierDes!$B:$B,[1]ModifierDes!$A:$A),"")</f>
        <v>10059</v>
      </c>
      <c r="O2171" s="10" t="str">
        <f>IFERROR(_xlfn.XLOOKUP(C2171,[1]AttributeName!$C:$C,[1]AttributeName!$B:$B),"")</f>
        <v/>
      </c>
      <c r="P2171" s="10"/>
      <c r="Q2171">
        <v>0.1</v>
      </c>
      <c r="R2171">
        <v>0.12</v>
      </c>
      <c r="S2171" cm="1">
        <f t="array" ref="S2171">IFERROR(_xlfn.SWITCH(L2171,1,_xlfn.XLOOKUP(O2171,[1]AttributeName!$B:$B,[1]AttributeName!$D:$D),2,_xlfn.XLOOKUP(C2171,#REF!,#REF!),3,_xlfn.XLOOKUP(C2171,#REF!,#REF!)),0)</f>
        <v>0</v>
      </c>
      <c r="T2171" cm="1">
        <f t="array" ref="T2171">IFERROR(_xlfn.SWITCH(L2171,1,_xlfn.XLOOKUP(O2171,[1]AttributeName!$B:$B,[1]AttributeName!$E:$E),2,_xlfn.XLOOKUP(C2171,#REF!,#REF!),3,_xlfn.XLOOKUP(C2171,#REF!,#REF!)),0)</f>
        <v>0</v>
      </c>
    </row>
    <row r="2172" customFormat="1" spans="1:20">
      <c r="A2172">
        <f t="shared" si="91"/>
        <v>904</v>
      </c>
      <c r="B2172">
        <v>7</v>
      </c>
      <c r="C2172" t="s">
        <v>381</v>
      </c>
      <c r="D2172" t="s">
        <v>32</v>
      </c>
      <c r="E2172" t="s">
        <v>378</v>
      </c>
      <c r="F2172"/>
      <c r="G2172">
        <v>1</v>
      </c>
      <c r="H2172">
        <v>1000</v>
      </c>
      <c r="I2172">
        <v>1</v>
      </c>
      <c r="J2172" cm="1">
        <f t="array" ref="J2172">_xlfn.SWITCH(B2172,1,75,2,61,3,49,4,37,5,25,6,13,7,4,8,1)</f>
        <v>4</v>
      </c>
      <c r="K2172" t="str" cm="1">
        <f t="array" ref="K2172">IFERROR(_xlfn.SWITCH(L2172,2,_xlfn.XLOOKUP(C2172,[1]ModifierDes!$B:$B,[1]ModifierDes!$C:$C),3,_xlfn.XLOOKUP(C2172,[1]StuntDes!$B:$B,[1]StuntDes!$C:$C)),"")</f>
        <v>闪电伤害倍率增加{0}</v>
      </c>
      <c r="L2172">
        <f t="shared" si="90"/>
        <v>2</v>
      </c>
      <c r="M2172" s="10" t="str">
        <f>IFERROR(_xlfn.XLOOKUP(C2172,[1]StuntDes!$B:$B,[1]StuntDes!$A:$A),"")</f>
        <v/>
      </c>
      <c r="N2172" s="10">
        <f>IFERROR(_xlfn.XLOOKUP(C2172,[1]ModifierDes!$B:$B,[1]ModifierDes!$A:$A),"")</f>
        <v>10059</v>
      </c>
      <c r="O2172" s="10" t="str">
        <f>IFERROR(_xlfn.XLOOKUP(C2172,[1]AttributeName!$C:$C,[1]AttributeName!$B:$B),"")</f>
        <v/>
      </c>
      <c r="P2172" s="10"/>
      <c r="Q2172">
        <v>0.07</v>
      </c>
      <c r="R2172">
        <v>0.09</v>
      </c>
      <c r="S2172" cm="1">
        <f t="array" ref="S2172">IFERROR(_xlfn.SWITCH(L2172,1,_xlfn.XLOOKUP(O2172,[1]AttributeName!$B:$B,[1]AttributeName!$D:$D),2,_xlfn.XLOOKUP(C2172,#REF!,#REF!),3,_xlfn.XLOOKUP(C2172,#REF!,#REF!)),0)</f>
        <v>0</v>
      </c>
      <c r="T2172" cm="1">
        <f t="array" ref="T2172">IFERROR(_xlfn.SWITCH(L2172,1,_xlfn.XLOOKUP(O2172,[1]AttributeName!$B:$B,[1]AttributeName!$E:$E),2,_xlfn.XLOOKUP(C2172,#REF!,#REF!),3,_xlfn.XLOOKUP(C2172,#REF!,#REF!)),0)</f>
        <v>0</v>
      </c>
    </row>
    <row r="2173" customFormat="1" spans="1:20">
      <c r="A2173">
        <f t="shared" si="91"/>
        <v>904</v>
      </c>
      <c r="B2173">
        <v>8</v>
      </c>
      <c r="C2173" t="s">
        <v>381</v>
      </c>
      <c r="D2173" t="s">
        <v>32</v>
      </c>
      <c r="E2173" t="s">
        <v>378</v>
      </c>
      <c r="F2173"/>
      <c r="G2173">
        <v>1</v>
      </c>
      <c r="H2173">
        <v>1000</v>
      </c>
      <c r="I2173">
        <v>1</v>
      </c>
      <c r="J2173" cm="1">
        <f t="array" ref="J2173">_xlfn.SWITCH(B2173,1,75,2,61,3,49,4,37,5,25,6,13,7,4,8,1)</f>
        <v>1</v>
      </c>
      <c r="K2173" t="str" cm="1">
        <f t="array" ref="K2173">IFERROR(_xlfn.SWITCH(L2173,2,_xlfn.XLOOKUP(C2173,[1]ModifierDes!$B:$B,[1]ModifierDes!$C:$C),3,_xlfn.XLOOKUP(C2173,[1]StuntDes!$B:$B,[1]StuntDes!$C:$C)),"")</f>
        <v>闪电伤害倍率增加{0}</v>
      </c>
      <c r="L2173">
        <f t="shared" si="90"/>
        <v>2</v>
      </c>
      <c r="M2173" s="10" t="str">
        <f>IFERROR(_xlfn.XLOOKUP(C2173,[1]StuntDes!$B:$B,[1]StuntDes!$A:$A),"")</f>
        <v/>
      </c>
      <c r="N2173" s="10">
        <f>IFERROR(_xlfn.XLOOKUP(C2173,[1]ModifierDes!$B:$B,[1]ModifierDes!$A:$A),"")</f>
        <v>10059</v>
      </c>
      <c r="O2173" s="10" t="str">
        <f>IFERROR(_xlfn.XLOOKUP(C2173,[1]AttributeName!$C:$C,[1]AttributeName!$B:$B),"")</f>
        <v/>
      </c>
      <c r="P2173" s="10"/>
      <c r="Q2173">
        <v>0.04</v>
      </c>
      <c r="R2173">
        <v>0.07</v>
      </c>
      <c r="S2173" cm="1">
        <f t="array" ref="S2173">IFERROR(_xlfn.SWITCH(L2173,1,_xlfn.XLOOKUP(O2173,[1]AttributeName!$B:$B,[1]AttributeName!$D:$D),2,_xlfn.XLOOKUP(C2173,#REF!,#REF!),3,_xlfn.XLOOKUP(C2173,#REF!,#REF!)),0)</f>
        <v>0</v>
      </c>
      <c r="T2173" cm="1">
        <f t="array" ref="T2173">IFERROR(_xlfn.SWITCH(L2173,1,_xlfn.XLOOKUP(O2173,[1]AttributeName!$B:$B,[1]AttributeName!$E:$E),2,_xlfn.XLOOKUP(C2173,#REF!,#REF!),3,_xlfn.XLOOKUP(C2173,#REF!,#REF!)),0)</f>
        <v>0</v>
      </c>
    </row>
    <row r="2174" customFormat="1" spans="1:20">
      <c r="A2174">
        <f t="shared" si="91"/>
        <v>905</v>
      </c>
      <c r="B2174">
        <v>1</v>
      </c>
      <c r="C2174" t="s">
        <v>382</v>
      </c>
      <c r="D2174" t="s">
        <v>32</v>
      </c>
      <c r="E2174" t="s">
        <v>378</v>
      </c>
      <c r="F2174"/>
      <c r="G2174">
        <v>1</v>
      </c>
      <c r="H2174">
        <v>50</v>
      </c>
      <c r="I2174">
        <v>1</v>
      </c>
      <c r="J2174" cm="1">
        <f t="array" ref="J2174">_xlfn.SWITCH(B2174,1,75,2,61,3,49,4,37,5,25,6,13,7,4,8,1)</f>
        <v>75</v>
      </c>
      <c r="K2174" t="str" cm="1">
        <f t="array" ref="K2174">IFERROR(_xlfn.SWITCH(L2174,2,_xlfn.XLOOKUP(C2174,[1]ModifierDes!$B:$B,[1]ModifierDes!$C:$C),3,_xlfn.XLOOKUP(C2174,[1]StuntDes!$B:$B,[1]StuntDes!$C:$C)),"")</f>
        <v>混沌伤害倍率增加{0}</v>
      </c>
      <c r="L2174">
        <f t="shared" si="90"/>
        <v>2</v>
      </c>
      <c r="M2174" s="10" t="str">
        <f>IFERROR(_xlfn.XLOOKUP(C2174,[1]StuntDes!$B:$B,[1]StuntDes!$A:$A),"")</f>
        <v/>
      </c>
      <c r="N2174" s="10">
        <f>IFERROR(_xlfn.XLOOKUP(C2174,[1]ModifierDes!$B:$B,[1]ModifierDes!$A:$A),"")</f>
        <v>10052</v>
      </c>
      <c r="O2174" s="10" t="str">
        <f>IFERROR(_xlfn.XLOOKUP(C2174,[1]AttributeName!$C:$C,[1]AttributeName!$B:$B),"")</f>
        <v/>
      </c>
      <c r="P2174" s="10"/>
      <c r="Q2174">
        <v>0.25</v>
      </c>
      <c r="R2174">
        <v>0.35</v>
      </c>
      <c r="S2174" cm="1">
        <f t="array" ref="S2174">IFERROR(_xlfn.SWITCH(L2174,1,_xlfn.XLOOKUP(O2174,[1]AttributeName!$B:$B,[1]AttributeName!$D:$D),2,_xlfn.XLOOKUP(C2174,#REF!,#REF!),3,_xlfn.XLOOKUP(C2174,#REF!,#REF!)),0)</f>
        <v>0</v>
      </c>
      <c r="T2174" cm="1">
        <f t="array" ref="T2174">IFERROR(_xlfn.SWITCH(L2174,1,_xlfn.XLOOKUP(O2174,[1]AttributeName!$B:$B,[1]AttributeName!$E:$E),2,_xlfn.XLOOKUP(C2174,#REF!,#REF!),3,_xlfn.XLOOKUP(C2174,#REF!,#REF!)),0)</f>
        <v>0</v>
      </c>
    </row>
    <row r="2175" customFormat="1" spans="1:20">
      <c r="A2175">
        <f t="shared" si="91"/>
        <v>905</v>
      </c>
      <c r="B2175">
        <v>2</v>
      </c>
      <c r="C2175" t="s">
        <v>382</v>
      </c>
      <c r="D2175" t="s">
        <v>32</v>
      </c>
      <c r="E2175" t="s">
        <v>378</v>
      </c>
      <c r="F2175"/>
      <c r="G2175">
        <v>1</v>
      </c>
      <c r="H2175">
        <v>100</v>
      </c>
      <c r="I2175">
        <v>1</v>
      </c>
      <c r="J2175" cm="1">
        <f t="array" ref="J2175">_xlfn.SWITCH(B2175,1,75,2,61,3,49,4,37,5,25,6,13,7,4,8,1)</f>
        <v>61</v>
      </c>
      <c r="K2175" t="str" cm="1">
        <f t="array" ref="K2175">IFERROR(_xlfn.SWITCH(L2175,2,_xlfn.XLOOKUP(C2175,[1]ModifierDes!$B:$B,[1]ModifierDes!$C:$C),3,_xlfn.XLOOKUP(C2175,[1]StuntDes!$B:$B,[1]StuntDes!$C:$C)),"")</f>
        <v>混沌伤害倍率增加{0}</v>
      </c>
      <c r="L2175">
        <f t="shared" si="90"/>
        <v>2</v>
      </c>
      <c r="M2175" s="10" t="str">
        <f>IFERROR(_xlfn.XLOOKUP(C2175,[1]StuntDes!$B:$B,[1]StuntDes!$A:$A),"")</f>
        <v/>
      </c>
      <c r="N2175" s="10">
        <f>IFERROR(_xlfn.XLOOKUP(C2175,[1]ModifierDes!$B:$B,[1]ModifierDes!$A:$A),"")</f>
        <v>10052</v>
      </c>
      <c r="O2175" s="10" t="str">
        <f>IFERROR(_xlfn.XLOOKUP(C2175,[1]AttributeName!$C:$C,[1]AttributeName!$B:$B),"")</f>
        <v/>
      </c>
      <c r="P2175" s="10"/>
      <c r="Q2175">
        <v>0.22</v>
      </c>
      <c r="R2175">
        <v>0.24</v>
      </c>
      <c r="S2175" cm="1">
        <f t="array" ref="S2175">IFERROR(_xlfn.SWITCH(L2175,1,_xlfn.XLOOKUP(O2175,[1]AttributeName!$B:$B,[1]AttributeName!$D:$D),2,_xlfn.XLOOKUP(C2175,#REF!,#REF!),3,_xlfn.XLOOKUP(C2175,#REF!,#REF!)),0)</f>
        <v>0</v>
      </c>
      <c r="T2175" cm="1">
        <f t="array" ref="T2175">IFERROR(_xlfn.SWITCH(L2175,1,_xlfn.XLOOKUP(O2175,[1]AttributeName!$B:$B,[1]AttributeName!$E:$E),2,_xlfn.XLOOKUP(C2175,#REF!,#REF!),3,_xlfn.XLOOKUP(C2175,#REF!,#REF!)),0)</f>
        <v>0</v>
      </c>
    </row>
    <row r="2176" customFormat="1" spans="1:20">
      <c r="A2176">
        <f t="shared" si="91"/>
        <v>905</v>
      </c>
      <c r="B2176">
        <v>3</v>
      </c>
      <c r="C2176" t="s">
        <v>382</v>
      </c>
      <c r="D2176" t="s">
        <v>32</v>
      </c>
      <c r="E2176" t="s">
        <v>378</v>
      </c>
      <c r="F2176"/>
      <c r="G2176">
        <v>1</v>
      </c>
      <c r="H2176">
        <v>200</v>
      </c>
      <c r="I2176">
        <v>1</v>
      </c>
      <c r="J2176" cm="1">
        <f t="array" ref="J2176">_xlfn.SWITCH(B2176,1,75,2,61,3,49,4,37,5,25,6,13,7,4,8,1)</f>
        <v>49</v>
      </c>
      <c r="K2176" t="str" cm="1">
        <f t="array" ref="K2176">IFERROR(_xlfn.SWITCH(L2176,2,_xlfn.XLOOKUP(C2176,[1]ModifierDes!$B:$B,[1]ModifierDes!$C:$C),3,_xlfn.XLOOKUP(C2176,[1]StuntDes!$B:$B,[1]StuntDes!$C:$C)),"")</f>
        <v>混沌伤害倍率增加{0}</v>
      </c>
      <c r="L2176">
        <f t="shared" si="90"/>
        <v>2</v>
      </c>
      <c r="M2176" s="10" t="str">
        <f>IFERROR(_xlfn.XLOOKUP(C2176,[1]StuntDes!$B:$B,[1]StuntDes!$A:$A),"")</f>
        <v/>
      </c>
      <c r="N2176" s="10">
        <f>IFERROR(_xlfn.XLOOKUP(C2176,[1]ModifierDes!$B:$B,[1]ModifierDes!$A:$A),"")</f>
        <v>10052</v>
      </c>
      <c r="O2176" s="10" t="str">
        <f>IFERROR(_xlfn.XLOOKUP(C2176,[1]AttributeName!$C:$C,[1]AttributeName!$B:$B),"")</f>
        <v/>
      </c>
      <c r="P2176" s="10"/>
      <c r="Q2176">
        <v>0.19</v>
      </c>
      <c r="R2176">
        <v>0.21</v>
      </c>
      <c r="S2176" cm="1">
        <f t="array" ref="S2176">IFERROR(_xlfn.SWITCH(L2176,1,_xlfn.XLOOKUP(O2176,[1]AttributeName!$B:$B,[1]AttributeName!$D:$D),2,_xlfn.XLOOKUP(C2176,#REF!,#REF!),3,_xlfn.XLOOKUP(C2176,#REF!,#REF!)),0)</f>
        <v>0</v>
      </c>
      <c r="T2176" cm="1">
        <f t="array" ref="T2176">IFERROR(_xlfn.SWITCH(L2176,1,_xlfn.XLOOKUP(O2176,[1]AttributeName!$B:$B,[1]AttributeName!$E:$E),2,_xlfn.XLOOKUP(C2176,#REF!,#REF!),3,_xlfn.XLOOKUP(C2176,#REF!,#REF!)),0)</f>
        <v>0</v>
      </c>
    </row>
    <row r="2177" customFormat="1" spans="1:20">
      <c r="A2177">
        <f t="shared" si="91"/>
        <v>905</v>
      </c>
      <c r="B2177">
        <v>4</v>
      </c>
      <c r="C2177" t="s">
        <v>382</v>
      </c>
      <c r="D2177" t="s">
        <v>32</v>
      </c>
      <c r="E2177" t="s">
        <v>378</v>
      </c>
      <c r="F2177"/>
      <c r="G2177">
        <v>1</v>
      </c>
      <c r="H2177">
        <v>500</v>
      </c>
      <c r="I2177">
        <v>1</v>
      </c>
      <c r="J2177" cm="1">
        <f t="array" ref="J2177">_xlfn.SWITCH(B2177,1,75,2,61,3,49,4,37,5,25,6,13,7,4,8,1)</f>
        <v>37</v>
      </c>
      <c r="K2177" t="str" cm="1">
        <f t="array" ref="K2177">IFERROR(_xlfn.SWITCH(L2177,2,_xlfn.XLOOKUP(C2177,[1]ModifierDes!$B:$B,[1]ModifierDes!$C:$C),3,_xlfn.XLOOKUP(C2177,[1]StuntDes!$B:$B,[1]StuntDes!$C:$C)),"")</f>
        <v>混沌伤害倍率增加{0}</v>
      </c>
      <c r="L2177">
        <f t="shared" si="90"/>
        <v>2</v>
      </c>
      <c r="M2177" s="10" t="str">
        <f>IFERROR(_xlfn.XLOOKUP(C2177,[1]StuntDes!$B:$B,[1]StuntDes!$A:$A),"")</f>
        <v/>
      </c>
      <c r="N2177" s="10">
        <f>IFERROR(_xlfn.XLOOKUP(C2177,[1]ModifierDes!$B:$B,[1]ModifierDes!$A:$A),"")</f>
        <v>10052</v>
      </c>
      <c r="O2177" s="10" t="str">
        <f>IFERROR(_xlfn.XLOOKUP(C2177,[1]AttributeName!$C:$C,[1]AttributeName!$B:$B),"")</f>
        <v/>
      </c>
      <c r="P2177" s="10"/>
      <c r="Q2177">
        <v>0.16</v>
      </c>
      <c r="R2177">
        <v>0.18</v>
      </c>
      <c r="S2177" cm="1">
        <f t="array" ref="S2177">IFERROR(_xlfn.SWITCH(L2177,1,_xlfn.XLOOKUP(O2177,[1]AttributeName!$B:$B,[1]AttributeName!$D:$D),2,_xlfn.XLOOKUP(C2177,#REF!,#REF!),3,_xlfn.XLOOKUP(C2177,#REF!,#REF!)),0)</f>
        <v>0</v>
      </c>
      <c r="T2177" cm="1">
        <f t="array" ref="T2177">IFERROR(_xlfn.SWITCH(L2177,1,_xlfn.XLOOKUP(O2177,[1]AttributeName!$B:$B,[1]AttributeName!$E:$E),2,_xlfn.XLOOKUP(C2177,#REF!,#REF!),3,_xlfn.XLOOKUP(C2177,#REF!,#REF!)),0)</f>
        <v>0</v>
      </c>
    </row>
    <row r="2178" customFormat="1" spans="1:20">
      <c r="A2178">
        <f t="shared" si="91"/>
        <v>905</v>
      </c>
      <c r="B2178">
        <v>5</v>
      </c>
      <c r="C2178" t="s">
        <v>382</v>
      </c>
      <c r="D2178" t="s">
        <v>32</v>
      </c>
      <c r="E2178" t="s">
        <v>378</v>
      </c>
      <c r="F2178"/>
      <c r="G2178">
        <v>1</v>
      </c>
      <c r="H2178">
        <v>1000</v>
      </c>
      <c r="I2178">
        <v>1</v>
      </c>
      <c r="J2178" cm="1">
        <f t="array" ref="J2178">_xlfn.SWITCH(B2178,1,75,2,61,3,49,4,37,5,25,6,13,7,4,8,1)</f>
        <v>25</v>
      </c>
      <c r="K2178" t="str" cm="1">
        <f t="array" ref="K2178">IFERROR(_xlfn.SWITCH(L2178,2,_xlfn.XLOOKUP(C2178,[1]ModifierDes!$B:$B,[1]ModifierDes!$C:$C),3,_xlfn.XLOOKUP(C2178,[1]StuntDes!$B:$B,[1]StuntDes!$C:$C)),"")</f>
        <v>混沌伤害倍率增加{0}</v>
      </c>
      <c r="L2178">
        <f t="shared" si="90"/>
        <v>2</v>
      </c>
      <c r="M2178" s="10" t="str">
        <f>IFERROR(_xlfn.XLOOKUP(C2178,[1]StuntDes!$B:$B,[1]StuntDes!$A:$A),"")</f>
        <v/>
      </c>
      <c r="N2178" s="10">
        <f>IFERROR(_xlfn.XLOOKUP(C2178,[1]ModifierDes!$B:$B,[1]ModifierDes!$A:$A),"")</f>
        <v>10052</v>
      </c>
      <c r="O2178" s="10" t="str">
        <f>IFERROR(_xlfn.XLOOKUP(C2178,[1]AttributeName!$C:$C,[1]AttributeName!$B:$B),"")</f>
        <v/>
      </c>
      <c r="P2178" s="10"/>
      <c r="Q2178">
        <v>0.13</v>
      </c>
      <c r="R2178">
        <v>0.15</v>
      </c>
      <c r="S2178" cm="1">
        <f t="array" ref="S2178">IFERROR(_xlfn.SWITCH(L2178,1,_xlfn.XLOOKUP(O2178,[1]AttributeName!$B:$B,[1]AttributeName!$D:$D),2,_xlfn.XLOOKUP(C2178,#REF!,#REF!),3,_xlfn.XLOOKUP(C2178,#REF!,#REF!)),0)</f>
        <v>0</v>
      </c>
      <c r="T2178" cm="1">
        <f t="array" ref="T2178">IFERROR(_xlfn.SWITCH(L2178,1,_xlfn.XLOOKUP(O2178,[1]AttributeName!$B:$B,[1]AttributeName!$E:$E),2,_xlfn.XLOOKUP(C2178,#REF!,#REF!),3,_xlfn.XLOOKUP(C2178,#REF!,#REF!)),0)</f>
        <v>0</v>
      </c>
    </row>
    <row r="2179" customFormat="1" spans="1:20">
      <c r="A2179">
        <f t="shared" si="91"/>
        <v>905</v>
      </c>
      <c r="B2179">
        <v>6</v>
      </c>
      <c r="C2179" t="s">
        <v>382</v>
      </c>
      <c r="D2179" t="s">
        <v>32</v>
      </c>
      <c r="E2179" t="s">
        <v>378</v>
      </c>
      <c r="F2179"/>
      <c r="G2179">
        <v>1</v>
      </c>
      <c r="H2179">
        <v>1000</v>
      </c>
      <c r="I2179">
        <v>1</v>
      </c>
      <c r="J2179" cm="1">
        <f t="array" ref="J2179">_xlfn.SWITCH(B2179,1,75,2,61,3,49,4,37,5,25,6,13,7,4,8,1)</f>
        <v>13</v>
      </c>
      <c r="K2179" t="str" cm="1">
        <f t="array" ref="K2179">IFERROR(_xlfn.SWITCH(L2179,2,_xlfn.XLOOKUP(C2179,[1]ModifierDes!$B:$B,[1]ModifierDes!$C:$C),3,_xlfn.XLOOKUP(C2179,[1]StuntDes!$B:$B,[1]StuntDes!$C:$C)),"")</f>
        <v>混沌伤害倍率增加{0}</v>
      </c>
      <c r="L2179">
        <f t="shared" si="90"/>
        <v>2</v>
      </c>
      <c r="M2179" s="10" t="str">
        <f>IFERROR(_xlfn.XLOOKUP(C2179,[1]StuntDes!$B:$B,[1]StuntDes!$A:$A),"")</f>
        <v/>
      </c>
      <c r="N2179" s="10">
        <f>IFERROR(_xlfn.XLOOKUP(C2179,[1]ModifierDes!$B:$B,[1]ModifierDes!$A:$A),"")</f>
        <v>10052</v>
      </c>
      <c r="O2179" s="10" t="str">
        <f>IFERROR(_xlfn.XLOOKUP(C2179,[1]AttributeName!$C:$C,[1]AttributeName!$B:$B),"")</f>
        <v/>
      </c>
      <c r="P2179" s="10"/>
      <c r="Q2179">
        <v>0.1</v>
      </c>
      <c r="R2179">
        <v>0.12</v>
      </c>
      <c r="S2179" cm="1">
        <f t="array" ref="S2179">IFERROR(_xlfn.SWITCH(L2179,1,_xlfn.XLOOKUP(O2179,[1]AttributeName!$B:$B,[1]AttributeName!$D:$D),2,_xlfn.XLOOKUP(C2179,#REF!,#REF!),3,_xlfn.XLOOKUP(C2179,#REF!,#REF!)),0)</f>
        <v>0</v>
      </c>
      <c r="T2179" cm="1">
        <f t="array" ref="T2179">IFERROR(_xlfn.SWITCH(L2179,1,_xlfn.XLOOKUP(O2179,[1]AttributeName!$B:$B,[1]AttributeName!$E:$E),2,_xlfn.XLOOKUP(C2179,#REF!,#REF!),3,_xlfn.XLOOKUP(C2179,#REF!,#REF!)),0)</f>
        <v>0</v>
      </c>
    </row>
    <row r="2180" customFormat="1" spans="1:20">
      <c r="A2180">
        <f t="shared" si="91"/>
        <v>905</v>
      </c>
      <c r="B2180">
        <v>7</v>
      </c>
      <c r="C2180" t="s">
        <v>382</v>
      </c>
      <c r="D2180" t="s">
        <v>32</v>
      </c>
      <c r="E2180" t="s">
        <v>378</v>
      </c>
      <c r="F2180"/>
      <c r="G2180">
        <v>1</v>
      </c>
      <c r="H2180">
        <v>1000</v>
      </c>
      <c r="I2180">
        <v>1</v>
      </c>
      <c r="J2180" cm="1">
        <f t="array" ref="J2180">_xlfn.SWITCH(B2180,1,75,2,61,3,49,4,37,5,25,6,13,7,4,8,1)</f>
        <v>4</v>
      </c>
      <c r="K2180" t="str" cm="1">
        <f t="array" ref="K2180">IFERROR(_xlfn.SWITCH(L2180,2,_xlfn.XLOOKUP(C2180,[1]ModifierDes!$B:$B,[1]ModifierDes!$C:$C),3,_xlfn.XLOOKUP(C2180,[1]StuntDes!$B:$B,[1]StuntDes!$C:$C)),"")</f>
        <v>混沌伤害倍率增加{0}</v>
      </c>
      <c r="L2180">
        <f t="shared" ref="L2180:L2243" si="92">IF(M2180="",IF(N2180="",1,2),3)</f>
        <v>2</v>
      </c>
      <c r="M2180" s="10" t="str">
        <f>IFERROR(_xlfn.XLOOKUP(C2180,[1]StuntDes!$B:$B,[1]StuntDes!$A:$A),"")</f>
        <v/>
      </c>
      <c r="N2180" s="10">
        <f>IFERROR(_xlfn.XLOOKUP(C2180,[1]ModifierDes!$B:$B,[1]ModifierDes!$A:$A),"")</f>
        <v>10052</v>
      </c>
      <c r="O2180" s="10" t="str">
        <f>IFERROR(_xlfn.XLOOKUP(C2180,[1]AttributeName!$C:$C,[1]AttributeName!$B:$B),"")</f>
        <v/>
      </c>
      <c r="P2180" s="10"/>
      <c r="Q2180">
        <v>0.07</v>
      </c>
      <c r="R2180">
        <v>0.09</v>
      </c>
      <c r="S2180" cm="1">
        <f t="array" ref="S2180">IFERROR(_xlfn.SWITCH(L2180,1,_xlfn.XLOOKUP(O2180,[1]AttributeName!$B:$B,[1]AttributeName!$D:$D),2,_xlfn.XLOOKUP(C2180,#REF!,#REF!),3,_xlfn.XLOOKUP(C2180,#REF!,#REF!)),0)</f>
        <v>0</v>
      </c>
      <c r="T2180" cm="1">
        <f t="array" ref="T2180">IFERROR(_xlfn.SWITCH(L2180,1,_xlfn.XLOOKUP(O2180,[1]AttributeName!$B:$B,[1]AttributeName!$E:$E),2,_xlfn.XLOOKUP(C2180,#REF!,#REF!),3,_xlfn.XLOOKUP(C2180,#REF!,#REF!)),0)</f>
        <v>0</v>
      </c>
    </row>
    <row r="2181" customFormat="1" spans="1:20">
      <c r="A2181">
        <f t="shared" si="91"/>
        <v>905</v>
      </c>
      <c r="B2181">
        <v>8</v>
      </c>
      <c r="C2181" t="s">
        <v>382</v>
      </c>
      <c r="D2181" t="s">
        <v>32</v>
      </c>
      <c r="E2181" t="s">
        <v>378</v>
      </c>
      <c r="F2181"/>
      <c r="G2181">
        <v>1</v>
      </c>
      <c r="H2181">
        <v>1000</v>
      </c>
      <c r="I2181">
        <v>1</v>
      </c>
      <c r="J2181" cm="1">
        <f t="array" ref="J2181">_xlfn.SWITCH(B2181,1,75,2,61,3,49,4,37,5,25,6,13,7,4,8,1)</f>
        <v>1</v>
      </c>
      <c r="K2181" t="str" cm="1">
        <f t="array" ref="K2181">IFERROR(_xlfn.SWITCH(L2181,2,_xlfn.XLOOKUP(C2181,[1]ModifierDes!$B:$B,[1]ModifierDes!$C:$C),3,_xlfn.XLOOKUP(C2181,[1]StuntDes!$B:$B,[1]StuntDes!$C:$C)),"")</f>
        <v>混沌伤害倍率增加{0}</v>
      </c>
      <c r="L2181">
        <f t="shared" si="92"/>
        <v>2</v>
      </c>
      <c r="M2181" s="10" t="str">
        <f>IFERROR(_xlfn.XLOOKUP(C2181,[1]StuntDes!$B:$B,[1]StuntDes!$A:$A),"")</f>
        <v/>
      </c>
      <c r="N2181" s="10">
        <f>IFERROR(_xlfn.XLOOKUP(C2181,[1]ModifierDes!$B:$B,[1]ModifierDes!$A:$A),"")</f>
        <v>10052</v>
      </c>
      <c r="O2181" s="10" t="str">
        <f>IFERROR(_xlfn.XLOOKUP(C2181,[1]AttributeName!$C:$C,[1]AttributeName!$B:$B),"")</f>
        <v/>
      </c>
      <c r="P2181" s="10"/>
      <c r="Q2181">
        <v>0.04</v>
      </c>
      <c r="R2181">
        <v>0.07</v>
      </c>
      <c r="S2181" cm="1">
        <f t="array" ref="S2181">IFERROR(_xlfn.SWITCH(L2181,1,_xlfn.XLOOKUP(O2181,[1]AttributeName!$B:$B,[1]AttributeName!$D:$D),2,_xlfn.XLOOKUP(C2181,#REF!,#REF!),3,_xlfn.XLOOKUP(C2181,#REF!,#REF!)),0)</f>
        <v>0</v>
      </c>
      <c r="T2181" cm="1">
        <f t="array" ref="T2181">IFERROR(_xlfn.SWITCH(L2181,1,_xlfn.XLOOKUP(O2181,[1]AttributeName!$B:$B,[1]AttributeName!$E:$E),2,_xlfn.XLOOKUP(C2181,#REF!,#REF!),3,_xlfn.XLOOKUP(C2181,#REF!,#REF!)),0)</f>
        <v>0</v>
      </c>
    </row>
    <row r="2182" customFormat="1" spans="1:20">
      <c r="A2182">
        <f t="shared" si="91"/>
        <v>906</v>
      </c>
      <c r="B2182">
        <v>1</v>
      </c>
      <c r="C2182" t="s">
        <v>384</v>
      </c>
      <c r="D2182" t="s">
        <v>32</v>
      </c>
      <c r="E2182" t="s">
        <v>378</v>
      </c>
      <c r="F2182"/>
      <c r="G2182">
        <v>1</v>
      </c>
      <c r="H2182">
        <v>100</v>
      </c>
      <c r="I2182">
        <v>3</v>
      </c>
      <c r="J2182" cm="1">
        <f t="array" ref="J2182">_xlfn.SWITCH(B2182,1,75,2,61,3,49,4,37,5,25,6,13,7,4,8,1)</f>
        <v>75</v>
      </c>
      <c r="K2182" t="str" cm="1">
        <f t="array" ref="K2182">IFERROR(_xlfn.SWITCH(L2182,2,_xlfn.XLOOKUP(C2182,[1]ModifierDes!$B:$B,[1]ModifierDes!$C:$C),3,_xlfn.XLOOKUP(C2182,[1]StuntDes!$B:$B,[1]StuntDes!$C:$C)),"")</f>
        <v/>
      </c>
      <c r="L2182">
        <f t="shared" si="92"/>
        <v>1</v>
      </c>
      <c r="M2182" s="10" t="str">
        <f>IFERROR(_xlfn.XLOOKUP(C2182,[1]StuntDes!$B:$B,[1]StuntDes!$A:$A),"")</f>
        <v/>
      </c>
      <c r="N2182" s="10" t="str">
        <f>IFERROR(_xlfn.XLOOKUP(C2182,[1]ModifierDes!$B:$B,[1]ModifierDes!$A:$A),"")</f>
        <v/>
      </c>
      <c r="O2182" s="10">
        <f>IFERROR(_xlfn.XLOOKUP(C2182,[1]AttributeName!$C:$C,[1]AttributeName!$B:$B),"")</f>
        <v>10303</v>
      </c>
      <c r="P2182" s="10"/>
      <c r="Q2182">
        <v>0.38</v>
      </c>
      <c r="R2182">
        <v>0.5</v>
      </c>
      <c r="S2182" cm="1">
        <f t="array" ref="S2182">IFERROR(_xlfn.SWITCH(L2182,1,_xlfn.XLOOKUP(O2182,[1]AttributeName!$B:$B,[1]AttributeName!$D:$D),2,_xlfn.XLOOKUP(C2182,#REF!,#REF!),3,_xlfn.XLOOKUP(C2182,#REF!,#REF!)),0)</f>
        <v>2</v>
      </c>
      <c r="T2182" cm="1">
        <f t="array" ref="T2182">IFERROR(_xlfn.SWITCH(L2182,1,_xlfn.XLOOKUP(O2182,[1]AttributeName!$B:$B,[1]AttributeName!$E:$E),2,_xlfn.XLOOKUP(C2182,#REF!,#REF!),3,_xlfn.XLOOKUP(C2182,#REF!,#REF!)),0)</f>
        <v>2</v>
      </c>
    </row>
    <row r="2183" customFormat="1" spans="1:20">
      <c r="A2183">
        <f t="shared" si="91"/>
        <v>906</v>
      </c>
      <c r="B2183">
        <v>2</v>
      </c>
      <c r="C2183" t="s">
        <v>384</v>
      </c>
      <c r="D2183" t="s">
        <v>32</v>
      </c>
      <c r="E2183" t="s">
        <v>378</v>
      </c>
      <c r="F2183"/>
      <c r="G2183">
        <v>1</v>
      </c>
      <c r="H2183">
        <v>200</v>
      </c>
      <c r="I2183">
        <v>3</v>
      </c>
      <c r="J2183" cm="1">
        <f t="array" ref="J2183">_xlfn.SWITCH(B2183,1,75,2,61,3,49,4,37,5,25,6,13,7,4,8,1)</f>
        <v>61</v>
      </c>
      <c r="K2183" t="str" cm="1">
        <f t="array" ref="K2183">IFERROR(_xlfn.SWITCH(L2183,2,_xlfn.XLOOKUP(C2183,[1]ModifierDes!$B:$B,[1]ModifierDes!$C:$C),3,_xlfn.XLOOKUP(C2183,[1]StuntDes!$B:$B,[1]StuntDes!$C:$C)),"")</f>
        <v/>
      </c>
      <c r="L2183">
        <f t="shared" si="92"/>
        <v>1</v>
      </c>
      <c r="M2183" s="10" t="str">
        <f>IFERROR(_xlfn.XLOOKUP(C2183,[1]StuntDes!$B:$B,[1]StuntDes!$A:$A),"")</f>
        <v/>
      </c>
      <c r="N2183" s="10" t="str">
        <f>IFERROR(_xlfn.XLOOKUP(C2183,[1]ModifierDes!$B:$B,[1]ModifierDes!$A:$A),"")</f>
        <v/>
      </c>
      <c r="O2183" s="10">
        <f>IFERROR(_xlfn.XLOOKUP(C2183,[1]AttributeName!$C:$C,[1]AttributeName!$B:$B),"")</f>
        <v>10303</v>
      </c>
      <c r="P2183" s="10"/>
      <c r="Q2183">
        <v>0.33</v>
      </c>
      <c r="R2183">
        <v>0.37</v>
      </c>
      <c r="S2183" cm="1">
        <f t="array" ref="S2183">IFERROR(_xlfn.SWITCH(L2183,1,_xlfn.XLOOKUP(O2183,[1]AttributeName!$B:$B,[1]AttributeName!$D:$D),2,_xlfn.XLOOKUP(C2183,#REF!,#REF!),3,_xlfn.XLOOKUP(C2183,#REF!,#REF!)),0)</f>
        <v>2</v>
      </c>
      <c r="T2183" cm="1">
        <f t="array" ref="T2183">IFERROR(_xlfn.SWITCH(L2183,1,_xlfn.XLOOKUP(O2183,[1]AttributeName!$B:$B,[1]AttributeName!$E:$E),2,_xlfn.XLOOKUP(C2183,#REF!,#REF!),3,_xlfn.XLOOKUP(C2183,#REF!,#REF!)),0)</f>
        <v>2</v>
      </c>
    </row>
    <row r="2184" customFormat="1" spans="1:20">
      <c r="A2184">
        <f t="shared" si="91"/>
        <v>906</v>
      </c>
      <c r="B2184">
        <v>3</v>
      </c>
      <c r="C2184" t="s">
        <v>384</v>
      </c>
      <c r="D2184" t="s">
        <v>32</v>
      </c>
      <c r="E2184" t="s">
        <v>378</v>
      </c>
      <c r="F2184"/>
      <c r="G2184">
        <v>1</v>
      </c>
      <c r="H2184">
        <v>500</v>
      </c>
      <c r="I2184">
        <v>3</v>
      </c>
      <c r="J2184" cm="1">
        <f t="array" ref="J2184">_xlfn.SWITCH(B2184,1,75,2,61,3,49,4,37,5,25,6,13,7,4,8,1)</f>
        <v>49</v>
      </c>
      <c r="K2184" t="str" cm="1">
        <f t="array" ref="K2184">IFERROR(_xlfn.SWITCH(L2184,2,_xlfn.XLOOKUP(C2184,[1]ModifierDes!$B:$B,[1]ModifierDes!$C:$C),3,_xlfn.XLOOKUP(C2184,[1]StuntDes!$B:$B,[1]StuntDes!$C:$C)),"")</f>
        <v/>
      </c>
      <c r="L2184">
        <f t="shared" si="92"/>
        <v>1</v>
      </c>
      <c r="M2184" s="10" t="str">
        <f>IFERROR(_xlfn.XLOOKUP(C2184,[1]StuntDes!$B:$B,[1]StuntDes!$A:$A),"")</f>
        <v/>
      </c>
      <c r="N2184" s="10" t="str">
        <f>IFERROR(_xlfn.XLOOKUP(C2184,[1]ModifierDes!$B:$B,[1]ModifierDes!$A:$A),"")</f>
        <v/>
      </c>
      <c r="O2184" s="10">
        <f>IFERROR(_xlfn.XLOOKUP(C2184,[1]AttributeName!$C:$C,[1]AttributeName!$B:$B),"")</f>
        <v>10303</v>
      </c>
      <c r="P2184" s="10"/>
      <c r="Q2184">
        <v>0.29</v>
      </c>
      <c r="R2184">
        <v>0.32</v>
      </c>
      <c r="S2184" cm="1">
        <f t="array" ref="S2184">IFERROR(_xlfn.SWITCH(L2184,1,_xlfn.XLOOKUP(O2184,[1]AttributeName!$B:$B,[1]AttributeName!$D:$D),2,_xlfn.XLOOKUP(C2184,#REF!,#REF!),3,_xlfn.XLOOKUP(C2184,#REF!,#REF!)),0)</f>
        <v>2</v>
      </c>
      <c r="T2184" cm="1">
        <f t="array" ref="T2184">IFERROR(_xlfn.SWITCH(L2184,1,_xlfn.XLOOKUP(O2184,[1]AttributeName!$B:$B,[1]AttributeName!$E:$E),2,_xlfn.XLOOKUP(C2184,#REF!,#REF!),3,_xlfn.XLOOKUP(C2184,#REF!,#REF!)),0)</f>
        <v>2</v>
      </c>
    </row>
    <row r="2185" customFormat="1" spans="1:20">
      <c r="A2185">
        <f t="shared" si="91"/>
        <v>906</v>
      </c>
      <c r="B2185">
        <v>4</v>
      </c>
      <c r="C2185" t="s">
        <v>384</v>
      </c>
      <c r="D2185" t="s">
        <v>32</v>
      </c>
      <c r="E2185" t="s">
        <v>378</v>
      </c>
      <c r="F2185"/>
      <c r="G2185">
        <v>1</v>
      </c>
      <c r="H2185">
        <v>1000</v>
      </c>
      <c r="I2185">
        <v>3</v>
      </c>
      <c r="J2185" cm="1">
        <f t="array" ref="J2185">_xlfn.SWITCH(B2185,1,75,2,61,3,49,4,37,5,25,6,13,7,4,8,1)</f>
        <v>37</v>
      </c>
      <c r="K2185" t="str" cm="1">
        <f t="array" ref="K2185">IFERROR(_xlfn.SWITCH(L2185,2,_xlfn.XLOOKUP(C2185,[1]ModifierDes!$B:$B,[1]ModifierDes!$C:$C),3,_xlfn.XLOOKUP(C2185,[1]StuntDes!$B:$B,[1]StuntDes!$C:$C)),"")</f>
        <v/>
      </c>
      <c r="L2185">
        <f t="shared" si="92"/>
        <v>1</v>
      </c>
      <c r="M2185" s="10" t="str">
        <f>IFERROR(_xlfn.XLOOKUP(C2185,[1]StuntDes!$B:$B,[1]StuntDes!$A:$A),"")</f>
        <v/>
      </c>
      <c r="N2185" s="10" t="str">
        <f>IFERROR(_xlfn.XLOOKUP(C2185,[1]ModifierDes!$B:$B,[1]ModifierDes!$A:$A),"")</f>
        <v/>
      </c>
      <c r="O2185" s="10">
        <f>IFERROR(_xlfn.XLOOKUP(C2185,[1]AttributeName!$C:$C,[1]AttributeName!$B:$B),"")</f>
        <v>10303</v>
      </c>
      <c r="P2185" s="10"/>
      <c r="Q2185">
        <v>0.24</v>
      </c>
      <c r="R2185">
        <v>0.28</v>
      </c>
      <c r="S2185" cm="1">
        <f t="array" ref="S2185">IFERROR(_xlfn.SWITCH(L2185,1,_xlfn.XLOOKUP(O2185,[1]AttributeName!$B:$B,[1]AttributeName!$D:$D),2,_xlfn.XLOOKUP(C2185,#REF!,#REF!),3,_xlfn.XLOOKUP(C2185,#REF!,#REF!)),0)</f>
        <v>2</v>
      </c>
      <c r="T2185" cm="1">
        <f t="array" ref="T2185">IFERROR(_xlfn.SWITCH(L2185,1,_xlfn.XLOOKUP(O2185,[1]AttributeName!$B:$B,[1]AttributeName!$E:$E),2,_xlfn.XLOOKUP(C2185,#REF!,#REF!),3,_xlfn.XLOOKUP(C2185,#REF!,#REF!)),0)</f>
        <v>2</v>
      </c>
    </row>
    <row r="2186" customFormat="1" spans="1:20">
      <c r="A2186">
        <f t="shared" si="91"/>
        <v>906</v>
      </c>
      <c r="B2186">
        <v>5</v>
      </c>
      <c r="C2186" t="s">
        <v>384</v>
      </c>
      <c r="D2186" t="s">
        <v>32</v>
      </c>
      <c r="E2186" t="s">
        <v>378</v>
      </c>
      <c r="F2186"/>
      <c r="G2186">
        <v>1</v>
      </c>
      <c r="H2186">
        <v>1000</v>
      </c>
      <c r="I2186">
        <v>3</v>
      </c>
      <c r="J2186" cm="1">
        <f t="array" ref="J2186">_xlfn.SWITCH(B2186,1,75,2,61,3,49,4,37,5,25,6,13,7,4,8,1)</f>
        <v>25</v>
      </c>
      <c r="K2186" t="str" cm="1">
        <f t="array" ref="K2186">IFERROR(_xlfn.SWITCH(L2186,2,_xlfn.XLOOKUP(C2186,[1]ModifierDes!$B:$B,[1]ModifierDes!$C:$C),3,_xlfn.XLOOKUP(C2186,[1]StuntDes!$B:$B,[1]StuntDes!$C:$C)),"")</f>
        <v/>
      </c>
      <c r="L2186">
        <f t="shared" si="92"/>
        <v>1</v>
      </c>
      <c r="M2186" s="10" t="str">
        <f>IFERROR(_xlfn.XLOOKUP(C2186,[1]StuntDes!$B:$B,[1]StuntDes!$A:$A),"")</f>
        <v/>
      </c>
      <c r="N2186" s="10" t="str">
        <f>IFERROR(_xlfn.XLOOKUP(C2186,[1]ModifierDes!$B:$B,[1]ModifierDes!$A:$A),"")</f>
        <v/>
      </c>
      <c r="O2186" s="10">
        <f>IFERROR(_xlfn.XLOOKUP(C2186,[1]AttributeName!$C:$C,[1]AttributeName!$B:$B),"")</f>
        <v>10303</v>
      </c>
      <c r="P2186" s="10"/>
      <c r="Q2186">
        <v>0.2</v>
      </c>
      <c r="R2186">
        <v>0.23</v>
      </c>
      <c r="S2186" cm="1">
        <f t="array" ref="S2186">IFERROR(_xlfn.SWITCH(L2186,1,_xlfn.XLOOKUP(O2186,[1]AttributeName!$B:$B,[1]AttributeName!$D:$D),2,_xlfn.XLOOKUP(C2186,#REF!,#REF!),3,_xlfn.XLOOKUP(C2186,#REF!,#REF!)),0)</f>
        <v>2</v>
      </c>
      <c r="T2186" cm="1">
        <f t="array" ref="T2186">IFERROR(_xlfn.SWITCH(L2186,1,_xlfn.XLOOKUP(O2186,[1]AttributeName!$B:$B,[1]AttributeName!$E:$E),2,_xlfn.XLOOKUP(C2186,#REF!,#REF!),3,_xlfn.XLOOKUP(C2186,#REF!,#REF!)),0)</f>
        <v>2</v>
      </c>
    </row>
    <row r="2187" customFormat="1" spans="1:20">
      <c r="A2187">
        <f t="shared" si="91"/>
        <v>906</v>
      </c>
      <c r="B2187">
        <v>6</v>
      </c>
      <c r="C2187" t="s">
        <v>384</v>
      </c>
      <c r="D2187" t="s">
        <v>32</v>
      </c>
      <c r="E2187" t="s">
        <v>378</v>
      </c>
      <c r="F2187"/>
      <c r="G2187">
        <v>1</v>
      </c>
      <c r="H2187">
        <v>1000</v>
      </c>
      <c r="I2187">
        <v>3</v>
      </c>
      <c r="J2187" cm="1">
        <f t="array" ref="J2187">_xlfn.SWITCH(B2187,1,75,2,61,3,49,4,37,5,25,6,13,7,4,8,1)</f>
        <v>13</v>
      </c>
      <c r="K2187" t="str" cm="1">
        <f t="array" ref="K2187">IFERROR(_xlfn.SWITCH(L2187,2,_xlfn.XLOOKUP(C2187,[1]ModifierDes!$B:$B,[1]ModifierDes!$C:$C),3,_xlfn.XLOOKUP(C2187,[1]StuntDes!$B:$B,[1]StuntDes!$C:$C)),"")</f>
        <v/>
      </c>
      <c r="L2187">
        <f t="shared" si="92"/>
        <v>1</v>
      </c>
      <c r="M2187" s="10" t="str">
        <f>IFERROR(_xlfn.XLOOKUP(C2187,[1]StuntDes!$B:$B,[1]StuntDes!$A:$A),"")</f>
        <v/>
      </c>
      <c r="N2187" s="10" t="str">
        <f>IFERROR(_xlfn.XLOOKUP(C2187,[1]ModifierDes!$B:$B,[1]ModifierDes!$A:$A),"")</f>
        <v/>
      </c>
      <c r="O2187" s="10">
        <f>IFERROR(_xlfn.XLOOKUP(C2187,[1]AttributeName!$C:$C,[1]AttributeName!$B:$B),"")</f>
        <v>10303</v>
      </c>
      <c r="P2187" s="10"/>
      <c r="Q2187">
        <v>0.15</v>
      </c>
      <c r="R2187">
        <v>0.19</v>
      </c>
      <c r="S2187" cm="1">
        <f t="array" ref="S2187">IFERROR(_xlfn.SWITCH(L2187,1,_xlfn.XLOOKUP(O2187,[1]AttributeName!$B:$B,[1]AttributeName!$D:$D),2,_xlfn.XLOOKUP(C2187,#REF!,#REF!),3,_xlfn.XLOOKUP(C2187,#REF!,#REF!)),0)</f>
        <v>2</v>
      </c>
      <c r="T2187" cm="1">
        <f t="array" ref="T2187">IFERROR(_xlfn.SWITCH(L2187,1,_xlfn.XLOOKUP(O2187,[1]AttributeName!$B:$B,[1]AttributeName!$E:$E),2,_xlfn.XLOOKUP(C2187,#REF!,#REF!),3,_xlfn.XLOOKUP(C2187,#REF!,#REF!)),0)</f>
        <v>2</v>
      </c>
    </row>
    <row r="2188" customFormat="1" spans="1:20">
      <c r="A2188">
        <f t="shared" si="91"/>
        <v>906</v>
      </c>
      <c r="B2188">
        <v>7</v>
      </c>
      <c r="C2188" t="s">
        <v>384</v>
      </c>
      <c r="D2188" t="s">
        <v>32</v>
      </c>
      <c r="E2188" t="s">
        <v>378</v>
      </c>
      <c r="F2188"/>
      <c r="G2188">
        <v>1</v>
      </c>
      <c r="H2188">
        <v>1000</v>
      </c>
      <c r="I2188">
        <v>3</v>
      </c>
      <c r="J2188" cm="1">
        <f t="array" ref="J2188">_xlfn.SWITCH(B2188,1,75,2,61,3,49,4,37,5,25,6,13,7,4,8,1)</f>
        <v>4</v>
      </c>
      <c r="K2188" t="str" cm="1">
        <f t="array" ref="K2188">IFERROR(_xlfn.SWITCH(L2188,2,_xlfn.XLOOKUP(C2188,[1]ModifierDes!$B:$B,[1]ModifierDes!$C:$C),3,_xlfn.XLOOKUP(C2188,[1]StuntDes!$B:$B,[1]StuntDes!$C:$C)),"")</f>
        <v/>
      </c>
      <c r="L2188">
        <f t="shared" si="92"/>
        <v>1</v>
      </c>
      <c r="M2188" s="10" t="str">
        <f>IFERROR(_xlfn.XLOOKUP(C2188,[1]StuntDes!$B:$B,[1]StuntDes!$A:$A),"")</f>
        <v/>
      </c>
      <c r="N2188" s="10" t="str">
        <f>IFERROR(_xlfn.XLOOKUP(C2188,[1]ModifierDes!$B:$B,[1]ModifierDes!$A:$A),"")</f>
        <v/>
      </c>
      <c r="O2188" s="10">
        <f>IFERROR(_xlfn.XLOOKUP(C2188,[1]AttributeName!$C:$C,[1]AttributeName!$B:$B),"")</f>
        <v>10303</v>
      </c>
      <c r="P2188" s="10"/>
      <c r="Q2188">
        <v>0.11</v>
      </c>
      <c r="R2188">
        <v>0.14</v>
      </c>
      <c r="S2188" cm="1">
        <f t="array" ref="S2188">IFERROR(_xlfn.SWITCH(L2188,1,_xlfn.XLOOKUP(O2188,[1]AttributeName!$B:$B,[1]AttributeName!$D:$D),2,_xlfn.XLOOKUP(C2188,#REF!,#REF!),3,_xlfn.XLOOKUP(C2188,#REF!,#REF!)),0)</f>
        <v>2</v>
      </c>
      <c r="T2188" cm="1">
        <f t="array" ref="T2188">IFERROR(_xlfn.SWITCH(L2188,1,_xlfn.XLOOKUP(O2188,[1]AttributeName!$B:$B,[1]AttributeName!$E:$E),2,_xlfn.XLOOKUP(C2188,#REF!,#REF!),3,_xlfn.XLOOKUP(C2188,#REF!,#REF!)),0)</f>
        <v>2</v>
      </c>
    </row>
    <row r="2189" customFormat="1" spans="1:20">
      <c r="A2189">
        <f t="shared" si="91"/>
        <v>906</v>
      </c>
      <c r="B2189">
        <v>8</v>
      </c>
      <c r="C2189" t="s">
        <v>384</v>
      </c>
      <c r="D2189" t="s">
        <v>32</v>
      </c>
      <c r="E2189" t="s">
        <v>378</v>
      </c>
      <c r="F2189"/>
      <c r="G2189">
        <v>1</v>
      </c>
      <c r="H2189">
        <v>1000</v>
      </c>
      <c r="I2189">
        <v>3</v>
      </c>
      <c r="J2189" cm="1">
        <f t="array" ref="J2189">_xlfn.SWITCH(B2189,1,75,2,61,3,49,4,37,5,25,6,13,7,4,8,1)</f>
        <v>1</v>
      </c>
      <c r="K2189" t="str" cm="1">
        <f t="array" ref="K2189">IFERROR(_xlfn.SWITCH(L2189,2,_xlfn.XLOOKUP(C2189,[1]ModifierDes!$B:$B,[1]ModifierDes!$C:$C),3,_xlfn.XLOOKUP(C2189,[1]StuntDes!$B:$B,[1]StuntDes!$C:$C)),"")</f>
        <v/>
      </c>
      <c r="L2189">
        <f t="shared" si="92"/>
        <v>1</v>
      </c>
      <c r="M2189" s="10" t="str">
        <f>IFERROR(_xlfn.XLOOKUP(C2189,[1]StuntDes!$B:$B,[1]StuntDes!$A:$A),"")</f>
        <v/>
      </c>
      <c r="N2189" s="10" t="str">
        <f>IFERROR(_xlfn.XLOOKUP(C2189,[1]ModifierDes!$B:$B,[1]ModifierDes!$A:$A),"")</f>
        <v/>
      </c>
      <c r="O2189" s="10">
        <f>IFERROR(_xlfn.XLOOKUP(C2189,[1]AttributeName!$C:$C,[1]AttributeName!$B:$B),"")</f>
        <v>10303</v>
      </c>
      <c r="P2189" s="10"/>
      <c r="Q2189">
        <v>0.06</v>
      </c>
      <c r="R2189">
        <v>0.1</v>
      </c>
      <c r="S2189" cm="1">
        <f t="array" ref="S2189">IFERROR(_xlfn.SWITCH(L2189,1,_xlfn.XLOOKUP(O2189,[1]AttributeName!$B:$B,[1]AttributeName!$D:$D),2,_xlfn.XLOOKUP(C2189,#REF!,#REF!),3,_xlfn.XLOOKUP(C2189,#REF!,#REF!)),0)</f>
        <v>2</v>
      </c>
      <c r="T2189" cm="1">
        <f t="array" ref="T2189">IFERROR(_xlfn.SWITCH(L2189,1,_xlfn.XLOOKUP(O2189,[1]AttributeName!$B:$B,[1]AttributeName!$E:$E),2,_xlfn.XLOOKUP(C2189,#REF!,#REF!),3,_xlfn.XLOOKUP(C2189,#REF!,#REF!)),0)</f>
        <v>2</v>
      </c>
    </row>
    <row r="2190" customFormat="1" spans="1:20">
      <c r="A2190">
        <f t="shared" si="91"/>
        <v>907</v>
      </c>
      <c r="B2190">
        <v>1</v>
      </c>
      <c r="C2190" t="s">
        <v>385</v>
      </c>
      <c r="D2190" t="s">
        <v>32</v>
      </c>
      <c r="E2190" t="s">
        <v>378</v>
      </c>
      <c r="F2190"/>
      <c r="G2190">
        <v>1</v>
      </c>
      <c r="H2190">
        <v>100</v>
      </c>
      <c r="I2190">
        <v>3</v>
      </c>
      <c r="J2190" cm="1">
        <f t="array" ref="J2190">_xlfn.SWITCH(B2190,1,75,2,61,3,49,4,37,5,25,6,13,7,4,8,1)</f>
        <v>75</v>
      </c>
      <c r="K2190" t="str" cm="1">
        <f t="array" ref="K2190">IFERROR(_xlfn.SWITCH(L2190,2,_xlfn.XLOOKUP(C2190,[1]ModifierDes!$B:$B,[1]ModifierDes!$C:$C),3,_xlfn.XLOOKUP(C2190,[1]StuntDes!$B:$B,[1]StuntDes!$C:$C)),"")</f>
        <v/>
      </c>
      <c r="L2190">
        <f t="shared" si="92"/>
        <v>1</v>
      </c>
      <c r="M2190" s="10" t="str">
        <f>IFERROR(_xlfn.XLOOKUP(C2190,[1]StuntDes!$B:$B,[1]StuntDes!$A:$A),"")</f>
        <v/>
      </c>
      <c r="N2190" s="10" t="str">
        <f>IFERROR(_xlfn.XLOOKUP(C2190,[1]ModifierDes!$B:$B,[1]ModifierDes!$A:$A),"")</f>
        <v/>
      </c>
      <c r="O2190" s="10">
        <f>IFERROR(_xlfn.XLOOKUP(C2190,[1]AttributeName!$C:$C,[1]AttributeName!$B:$B),"")</f>
        <v>10304</v>
      </c>
      <c r="P2190" s="10"/>
      <c r="Q2190">
        <v>0.38</v>
      </c>
      <c r="R2190">
        <v>0.5</v>
      </c>
      <c r="S2190" cm="1">
        <f t="array" ref="S2190">IFERROR(_xlfn.SWITCH(L2190,1,_xlfn.XLOOKUP(O2190,[1]AttributeName!$B:$B,[1]AttributeName!$D:$D),2,_xlfn.XLOOKUP(C2190,#REF!,#REF!),3,_xlfn.XLOOKUP(C2190,#REF!,#REF!)),0)</f>
        <v>2</v>
      </c>
      <c r="T2190" cm="1">
        <f t="array" ref="T2190">IFERROR(_xlfn.SWITCH(L2190,1,_xlfn.XLOOKUP(O2190,[1]AttributeName!$B:$B,[1]AttributeName!$E:$E),2,_xlfn.XLOOKUP(C2190,#REF!,#REF!),3,_xlfn.XLOOKUP(C2190,#REF!,#REF!)),0)</f>
        <v>2</v>
      </c>
    </row>
    <row r="2191" customFormat="1" spans="1:20">
      <c r="A2191">
        <f t="shared" si="91"/>
        <v>907</v>
      </c>
      <c r="B2191">
        <v>2</v>
      </c>
      <c r="C2191" t="s">
        <v>385</v>
      </c>
      <c r="D2191" t="s">
        <v>32</v>
      </c>
      <c r="E2191" t="s">
        <v>378</v>
      </c>
      <c r="F2191"/>
      <c r="G2191">
        <v>1</v>
      </c>
      <c r="H2191">
        <v>200</v>
      </c>
      <c r="I2191">
        <v>3</v>
      </c>
      <c r="J2191" cm="1">
        <f t="array" ref="J2191">_xlfn.SWITCH(B2191,1,75,2,61,3,49,4,37,5,25,6,13,7,4,8,1)</f>
        <v>61</v>
      </c>
      <c r="K2191" t="str" cm="1">
        <f t="array" ref="K2191">IFERROR(_xlfn.SWITCH(L2191,2,_xlfn.XLOOKUP(C2191,[1]ModifierDes!$B:$B,[1]ModifierDes!$C:$C),3,_xlfn.XLOOKUP(C2191,[1]StuntDes!$B:$B,[1]StuntDes!$C:$C)),"")</f>
        <v/>
      </c>
      <c r="L2191">
        <f t="shared" si="92"/>
        <v>1</v>
      </c>
      <c r="M2191" s="10" t="str">
        <f>IFERROR(_xlfn.XLOOKUP(C2191,[1]StuntDes!$B:$B,[1]StuntDes!$A:$A),"")</f>
        <v/>
      </c>
      <c r="N2191" s="10" t="str">
        <f>IFERROR(_xlfn.XLOOKUP(C2191,[1]ModifierDes!$B:$B,[1]ModifierDes!$A:$A),"")</f>
        <v/>
      </c>
      <c r="O2191" s="10">
        <f>IFERROR(_xlfn.XLOOKUP(C2191,[1]AttributeName!$C:$C,[1]AttributeName!$B:$B),"")</f>
        <v>10304</v>
      </c>
      <c r="P2191" s="10"/>
      <c r="Q2191">
        <v>0.33</v>
      </c>
      <c r="R2191">
        <v>0.37</v>
      </c>
      <c r="S2191" cm="1">
        <f t="array" ref="S2191">IFERROR(_xlfn.SWITCH(L2191,1,_xlfn.XLOOKUP(O2191,[1]AttributeName!$B:$B,[1]AttributeName!$D:$D),2,_xlfn.XLOOKUP(C2191,#REF!,#REF!),3,_xlfn.XLOOKUP(C2191,#REF!,#REF!)),0)</f>
        <v>2</v>
      </c>
      <c r="T2191" cm="1">
        <f t="array" ref="T2191">IFERROR(_xlfn.SWITCH(L2191,1,_xlfn.XLOOKUP(O2191,[1]AttributeName!$B:$B,[1]AttributeName!$E:$E),2,_xlfn.XLOOKUP(C2191,#REF!,#REF!),3,_xlfn.XLOOKUP(C2191,#REF!,#REF!)),0)</f>
        <v>2</v>
      </c>
    </row>
    <row r="2192" customFormat="1" spans="1:20">
      <c r="A2192">
        <f t="shared" si="91"/>
        <v>907</v>
      </c>
      <c r="B2192">
        <v>3</v>
      </c>
      <c r="C2192" t="s">
        <v>385</v>
      </c>
      <c r="D2192" t="s">
        <v>32</v>
      </c>
      <c r="E2192" t="s">
        <v>378</v>
      </c>
      <c r="F2192"/>
      <c r="G2192">
        <v>1</v>
      </c>
      <c r="H2192">
        <v>500</v>
      </c>
      <c r="I2192">
        <v>3</v>
      </c>
      <c r="J2192" cm="1">
        <f t="array" ref="J2192">_xlfn.SWITCH(B2192,1,75,2,61,3,49,4,37,5,25,6,13,7,4,8,1)</f>
        <v>49</v>
      </c>
      <c r="K2192" t="str" cm="1">
        <f t="array" ref="K2192">IFERROR(_xlfn.SWITCH(L2192,2,_xlfn.XLOOKUP(C2192,[1]ModifierDes!$B:$B,[1]ModifierDes!$C:$C),3,_xlfn.XLOOKUP(C2192,[1]StuntDes!$B:$B,[1]StuntDes!$C:$C)),"")</f>
        <v/>
      </c>
      <c r="L2192">
        <f t="shared" si="92"/>
        <v>1</v>
      </c>
      <c r="M2192" s="10" t="str">
        <f>IFERROR(_xlfn.XLOOKUP(C2192,[1]StuntDes!$B:$B,[1]StuntDes!$A:$A),"")</f>
        <v/>
      </c>
      <c r="N2192" s="10" t="str">
        <f>IFERROR(_xlfn.XLOOKUP(C2192,[1]ModifierDes!$B:$B,[1]ModifierDes!$A:$A),"")</f>
        <v/>
      </c>
      <c r="O2192" s="10">
        <f>IFERROR(_xlfn.XLOOKUP(C2192,[1]AttributeName!$C:$C,[1]AttributeName!$B:$B),"")</f>
        <v>10304</v>
      </c>
      <c r="P2192" s="10"/>
      <c r="Q2192">
        <v>0.29</v>
      </c>
      <c r="R2192">
        <v>0.32</v>
      </c>
      <c r="S2192" cm="1">
        <f t="array" ref="S2192">IFERROR(_xlfn.SWITCH(L2192,1,_xlfn.XLOOKUP(O2192,[1]AttributeName!$B:$B,[1]AttributeName!$D:$D),2,_xlfn.XLOOKUP(C2192,#REF!,#REF!),3,_xlfn.XLOOKUP(C2192,#REF!,#REF!)),0)</f>
        <v>2</v>
      </c>
      <c r="T2192" cm="1">
        <f t="array" ref="T2192">IFERROR(_xlfn.SWITCH(L2192,1,_xlfn.XLOOKUP(O2192,[1]AttributeName!$B:$B,[1]AttributeName!$E:$E),2,_xlfn.XLOOKUP(C2192,#REF!,#REF!),3,_xlfn.XLOOKUP(C2192,#REF!,#REF!)),0)</f>
        <v>2</v>
      </c>
    </row>
    <row r="2193" customFormat="1" spans="1:20">
      <c r="A2193">
        <f t="shared" si="91"/>
        <v>907</v>
      </c>
      <c r="B2193">
        <v>4</v>
      </c>
      <c r="C2193" t="s">
        <v>385</v>
      </c>
      <c r="D2193" t="s">
        <v>32</v>
      </c>
      <c r="E2193" t="s">
        <v>378</v>
      </c>
      <c r="F2193"/>
      <c r="G2193">
        <v>1</v>
      </c>
      <c r="H2193">
        <v>1000</v>
      </c>
      <c r="I2193">
        <v>3</v>
      </c>
      <c r="J2193" cm="1">
        <f t="array" ref="J2193">_xlfn.SWITCH(B2193,1,75,2,61,3,49,4,37,5,25,6,13,7,4,8,1)</f>
        <v>37</v>
      </c>
      <c r="K2193" t="str" cm="1">
        <f t="array" ref="K2193">IFERROR(_xlfn.SWITCH(L2193,2,_xlfn.XLOOKUP(C2193,[1]ModifierDes!$B:$B,[1]ModifierDes!$C:$C),3,_xlfn.XLOOKUP(C2193,[1]StuntDes!$B:$B,[1]StuntDes!$C:$C)),"")</f>
        <v/>
      </c>
      <c r="L2193">
        <f t="shared" si="92"/>
        <v>1</v>
      </c>
      <c r="M2193" s="10" t="str">
        <f>IFERROR(_xlfn.XLOOKUP(C2193,[1]StuntDes!$B:$B,[1]StuntDes!$A:$A),"")</f>
        <v/>
      </c>
      <c r="N2193" s="10" t="str">
        <f>IFERROR(_xlfn.XLOOKUP(C2193,[1]ModifierDes!$B:$B,[1]ModifierDes!$A:$A),"")</f>
        <v/>
      </c>
      <c r="O2193" s="10">
        <f>IFERROR(_xlfn.XLOOKUP(C2193,[1]AttributeName!$C:$C,[1]AttributeName!$B:$B),"")</f>
        <v>10304</v>
      </c>
      <c r="P2193" s="10"/>
      <c r="Q2193">
        <v>0.24</v>
      </c>
      <c r="R2193">
        <v>0.28</v>
      </c>
      <c r="S2193" cm="1">
        <f t="array" ref="S2193">IFERROR(_xlfn.SWITCH(L2193,1,_xlfn.XLOOKUP(O2193,[1]AttributeName!$B:$B,[1]AttributeName!$D:$D),2,_xlfn.XLOOKUP(C2193,#REF!,#REF!),3,_xlfn.XLOOKUP(C2193,#REF!,#REF!)),0)</f>
        <v>2</v>
      </c>
      <c r="T2193" cm="1">
        <f t="array" ref="T2193">IFERROR(_xlfn.SWITCH(L2193,1,_xlfn.XLOOKUP(O2193,[1]AttributeName!$B:$B,[1]AttributeName!$E:$E),2,_xlfn.XLOOKUP(C2193,#REF!,#REF!),3,_xlfn.XLOOKUP(C2193,#REF!,#REF!)),0)</f>
        <v>2</v>
      </c>
    </row>
    <row r="2194" customFormat="1" spans="1:20">
      <c r="A2194">
        <f t="shared" si="91"/>
        <v>907</v>
      </c>
      <c r="B2194">
        <v>5</v>
      </c>
      <c r="C2194" t="s">
        <v>385</v>
      </c>
      <c r="D2194" t="s">
        <v>32</v>
      </c>
      <c r="E2194" t="s">
        <v>378</v>
      </c>
      <c r="F2194"/>
      <c r="G2194">
        <v>1</v>
      </c>
      <c r="H2194">
        <v>1000</v>
      </c>
      <c r="I2194">
        <v>3</v>
      </c>
      <c r="J2194" cm="1">
        <f t="array" ref="J2194">_xlfn.SWITCH(B2194,1,75,2,61,3,49,4,37,5,25,6,13,7,4,8,1)</f>
        <v>25</v>
      </c>
      <c r="K2194" t="str" cm="1">
        <f t="array" ref="K2194">IFERROR(_xlfn.SWITCH(L2194,2,_xlfn.XLOOKUP(C2194,[1]ModifierDes!$B:$B,[1]ModifierDes!$C:$C),3,_xlfn.XLOOKUP(C2194,[1]StuntDes!$B:$B,[1]StuntDes!$C:$C)),"")</f>
        <v/>
      </c>
      <c r="L2194">
        <f t="shared" si="92"/>
        <v>1</v>
      </c>
      <c r="M2194" s="10" t="str">
        <f>IFERROR(_xlfn.XLOOKUP(C2194,[1]StuntDes!$B:$B,[1]StuntDes!$A:$A),"")</f>
        <v/>
      </c>
      <c r="N2194" s="10" t="str">
        <f>IFERROR(_xlfn.XLOOKUP(C2194,[1]ModifierDes!$B:$B,[1]ModifierDes!$A:$A),"")</f>
        <v/>
      </c>
      <c r="O2194" s="10">
        <f>IFERROR(_xlfn.XLOOKUP(C2194,[1]AttributeName!$C:$C,[1]AttributeName!$B:$B),"")</f>
        <v>10304</v>
      </c>
      <c r="P2194" s="10"/>
      <c r="Q2194">
        <v>0.2</v>
      </c>
      <c r="R2194">
        <v>0.23</v>
      </c>
      <c r="S2194" cm="1">
        <f t="array" ref="S2194">IFERROR(_xlfn.SWITCH(L2194,1,_xlfn.XLOOKUP(O2194,[1]AttributeName!$B:$B,[1]AttributeName!$D:$D),2,_xlfn.XLOOKUP(C2194,#REF!,#REF!),3,_xlfn.XLOOKUP(C2194,#REF!,#REF!)),0)</f>
        <v>2</v>
      </c>
      <c r="T2194" cm="1">
        <f t="array" ref="T2194">IFERROR(_xlfn.SWITCH(L2194,1,_xlfn.XLOOKUP(O2194,[1]AttributeName!$B:$B,[1]AttributeName!$E:$E),2,_xlfn.XLOOKUP(C2194,#REF!,#REF!),3,_xlfn.XLOOKUP(C2194,#REF!,#REF!)),0)</f>
        <v>2</v>
      </c>
    </row>
    <row r="2195" customFormat="1" spans="1:20">
      <c r="A2195">
        <f t="shared" si="91"/>
        <v>907</v>
      </c>
      <c r="B2195">
        <v>6</v>
      </c>
      <c r="C2195" t="s">
        <v>385</v>
      </c>
      <c r="D2195" t="s">
        <v>32</v>
      </c>
      <c r="E2195" t="s">
        <v>378</v>
      </c>
      <c r="F2195"/>
      <c r="G2195">
        <v>1</v>
      </c>
      <c r="H2195">
        <v>1000</v>
      </c>
      <c r="I2195">
        <v>3</v>
      </c>
      <c r="J2195" cm="1">
        <f t="array" ref="J2195">_xlfn.SWITCH(B2195,1,75,2,61,3,49,4,37,5,25,6,13,7,4,8,1)</f>
        <v>13</v>
      </c>
      <c r="K2195" t="str" cm="1">
        <f t="array" ref="K2195">IFERROR(_xlfn.SWITCH(L2195,2,_xlfn.XLOOKUP(C2195,[1]ModifierDes!$B:$B,[1]ModifierDes!$C:$C),3,_xlfn.XLOOKUP(C2195,[1]StuntDes!$B:$B,[1]StuntDes!$C:$C)),"")</f>
        <v/>
      </c>
      <c r="L2195">
        <f t="shared" si="92"/>
        <v>1</v>
      </c>
      <c r="M2195" s="10" t="str">
        <f>IFERROR(_xlfn.XLOOKUP(C2195,[1]StuntDes!$B:$B,[1]StuntDes!$A:$A),"")</f>
        <v/>
      </c>
      <c r="N2195" s="10" t="str">
        <f>IFERROR(_xlfn.XLOOKUP(C2195,[1]ModifierDes!$B:$B,[1]ModifierDes!$A:$A),"")</f>
        <v/>
      </c>
      <c r="O2195" s="10">
        <f>IFERROR(_xlfn.XLOOKUP(C2195,[1]AttributeName!$C:$C,[1]AttributeName!$B:$B),"")</f>
        <v>10304</v>
      </c>
      <c r="P2195" s="10"/>
      <c r="Q2195">
        <v>0.15</v>
      </c>
      <c r="R2195">
        <v>0.19</v>
      </c>
      <c r="S2195" cm="1">
        <f t="array" ref="S2195">IFERROR(_xlfn.SWITCH(L2195,1,_xlfn.XLOOKUP(O2195,[1]AttributeName!$B:$B,[1]AttributeName!$D:$D),2,_xlfn.XLOOKUP(C2195,#REF!,#REF!),3,_xlfn.XLOOKUP(C2195,#REF!,#REF!)),0)</f>
        <v>2</v>
      </c>
      <c r="T2195" cm="1">
        <f t="array" ref="T2195">IFERROR(_xlfn.SWITCH(L2195,1,_xlfn.XLOOKUP(O2195,[1]AttributeName!$B:$B,[1]AttributeName!$E:$E),2,_xlfn.XLOOKUP(C2195,#REF!,#REF!),3,_xlfn.XLOOKUP(C2195,#REF!,#REF!)),0)</f>
        <v>2</v>
      </c>
    </row>
    <row r="2196" customFormat="1" spans="1:20">
      <c r="A2196">
        <f t="shared" si="91"/>
        <v>907</v>
      </c>
      <c r="B2196">
        <v>7</v>
      </c>
      <c r="C2196" t="s">
        <v>385</v>
      </c>
      <c r="D2196" t="s">
        <v>32</v>
      </c>
      <c r="E2196" t="s">
        <v>378</v>
      </c>
      <c r="F2196"/>
      <c r="G2196">
        <v>1</v>
      </c>
      <c r="H2196">
        <v>1000</v>
      </c>
      <c r="I2196">
        <v>3</v>
      </c>
      <c r="J2196" cm="1">
        <f t="array" ref="J2196">_xlfn.SWITCH(B2196,1,75,2,61,3,49,4,37,5,25,6,13,7,4,8,1)</f>
        <v>4</v>
      </c>
      <c r="K2196" t="str" cm="1">
        <f t="array" ref="K2196">IFERROR(_xlfn.SWITCH(L2196,2,_xlfn.XLOOKUP(C2196,[1]ModifierDes!$B:$B,[1]ModifierDes!$C:$C),3,_xlfn.XLOOKUP(C2196,[1]StuntDes!$B:$B,[1]StuntDes!$C:$C)),"")</f>
        <v/>
      </c>
      <c r="L2196">
        <f t="shared" si="92"/>
        <v>1</v>
      </c>
      <c r="M2196" s="10" t="str">
        <f>IFERROR(_xlfn.XLOOKUP(C2196,[1]StuntDes!$B:$B,[1]StuntDes!$A:$A),"")</f>
        <v/>
      </c>
      <c r="N2196" s="10" t="str">
        <f>IFERROR(_xlfn.XLOOKUP(C2196,[1]ModifierDes!$B:$B,[1]ModifierDes!$A:$A),"")</f>
        <v/>
      </c>
      <c r="O2196" s="10">
        <f>IFERROR(_xlfn.XLOOKUP(C2196,[1]AttributeName!$C:$C,[1]AttributeName!$B:$B),"")</f>
        <v>10304</v>
      </c>
      <c r="P2196" s="10"/>
      <c r="Q2196">
        <v>0.11</v>
      </c>
      <c r="R2196">
        <v>0.14</v>
      </c>
      <c r="S2196" cm="1">
        <f t="array" ref="S2196">IFERROR(_xlfn.SWITCH(L2196,1,_xlfn.XLOOKUP(O2196,[1]AttributeName!$B:$B,[1]AttributeName!$D:$D),2,_xlfn.XLOOKUP(C2196,#REF!,#REF!),3,_xlfn.XLOOKUP(C2196,#REF!,#REF!)),0)</f>
        <v>2</v>
      </c>
      <c r="T2196" cm="1">
        <f t="array" ref="T2196">IFERROR(_xlfn.SWITCH(L2196,1,_xlfn.XLOOKUP(O2196,[1]AttributeName!$B:$B,[1]AttributeName!$E:$E),2,_xlfn.XLOOKUP(C2196,#REF!,#REF!),3,_xlfn.XLOOKUP(C2196,#REF!,#REF!)),0)</f>
        <v>2</v>
      </c>
    </row>
    <row r="2197" customFormat="1" spans="1:20">
      <c r="A2197">
        <f t="shared" si="91"/>
        <v>907</v>
      </c>
      <c r="B2197">
        <v>8</v>
      </c>
      <c r="C2197" t="s">
        <v>385</v>
      </c>
      <c r="D2197" t="s">
        <v>32</v>
      </c>
      <c r="E2197" t="s">
        <v>378</v>
      </c>
      <c r="F2197"/>
      <c r="G2197">
        <v>1</v>
      </c>
      <c r="H2197">
        <v>1000</v>
      </c>
      <c r="I2197">
        <v>3</v>
      </c>
      <c r="J2197" cm="1">
        <f t="array" ref="J2197">_xlfn.SWITCH(B2197,1,75,2,61,3,49,4,37,5,25,6,13,7,4,8,1)</f>
        <v>1</v>
      </c>
      <c r="K2197" t="str" cm="1">
        <f t="array" ref="K2197">IFERROR(_xlfn.SWITCH(L2197,2,_xlfn.XLOOKUP(C2197,[1]ModifierDes!$B:$B,[1]ModifierDes!$C:$C),3,_xlfn.XLOOKUP(C2197,[1]StuntDes!$B:$B,[1]StuntDes!$C:$C)),"")</f>
        <v/>
      </c>
      <c r="L2197">
        <f t="shared" si="92"/>
        <v>1</v>
      </c>
      <c r="M2197" s="10" t="str">
        <f>IFERROR(_xlfn.XLOOKUP(C2197,[1]StuntDes!$B:$B,[1]StuntDes!$A:$A),"")</f>
        <v/>
      </c>
      <c r="N2197" s="10" t="str">
        <f>IFERROR(_xlfn.XLOOKUP(C2197,[1]ModifierDes!$B:$B,[1]ModifierDes!$A:$A),"")</f>
        <v/>
      </c>
      <c r="O2197" s="10">
        <f>IFERROR(_xlfn.XLOOKUP(C2197,[1]AttributeName!$C:$C,[1]AttributeName!$B:$B),"")</f>
        <v>10304</v>
      </c>
      <c r="P2197" s="10"/>
      <c r="Q2197">
        <v>0.06</v>
      </c>
      <c r="R2197">
        <v>0.1</v>
      </c>
      <c r="S2197" cm="1">
        <f t="array" ref="S2197">IFERROR(_xlfn.SWITCH(L2197,1,_xlfn.XLOOKUP(O2197,[1]AttributeName!$B:$B,[1]AttributeName!$D:$D),2,_xlfn.XLOOKUP(C2197,#REF!,#REF!),3,_xlfn.XLOOKUP(C2197,#REF!,#REF!)),0)</f>
        <v>2</v>
      </c>
      <c r="T2197" cm="1">
        <f t="array" ref="T2197">IFERROR(_xlfn.SWITCH(L2197,1,_xlfn.XLOOKUP(O2197,[1]AttributeName!$B:$B,[1]AttributeName!$E:$E),2,_xlfn.XLOOKUP(C2197,#REF!,#REF!),3,_xlfn.XLOOKUP(C2197,#REF!,#REF!)),0)</f>
        <v>2</v>
      </c>
    </row>
    <row r="2198" customFormat="1" spans="1:20">
      <c r="A2198">
        <f t="shared" si="91"/>
        <v>908</v>
      </c>
      <c r="B2198">
        <v>1</v>
      </c>
      <c r="C2198" t="s">
        <v>386</v>
      </c>
      <c r="D2198" t="s">
        <v>32</v>
      </c>
      <c r="E2198" t="s">
        <v>378</v>
      </c>
      <c r="F2198"/>
      <c r="G2198">
        <v>1</v>
      </c>
      <c r="H2198">
        <v>100</v>
      </c>
      <c r="I2198">
        <v>3</v>
      </c>
      <c r="J2198" cm="1">
        <f t="array" ref="J2198">_xlfn.SWITCH(B2198,1,75,2,61,3,49,4,37,5,25,6,13,7,4,8,1)</f>
        <v>75</v>
      </c>
      <c r="K2198" t="str" cm="1">
        <f t="array" ref="K2198">IFERROR(_xlfn.SWITCH(L2198,2,_xlfn.XLOOKUP(C2198,[1]ModifierDes!$B:$B,[1]ModifierDes!$C:$C),3,_xlfn.XLOOKUP(C2198,[1]StuntDes!$B:$B,[1]StuntDes!$C:$C)),"")</f>
        <v/>
      </c>
      <c r="L2198">
        <f t="shared" si="92"/>
        <v>1</v>
      </c>
      <c r="M2198" s="10" t="str">
        <f>IFERROR(_xlfn.XLOOKUP(C2198,[1]StuntDes!$B:$B,[1]StuntDes!$A:$A),"")</f>
        <v/>
      </c>
      <c r="N2198" s="10" t="str">
        <f>IFERROR(_xlfn.XLOOKUP(C2198,[1]ModifierDes!$B:$B,[1]ModifierDes!$A:$A),"")</f>
        <v/>
      </c>
      <c r="O2198" s="10">
        <f>IFERROR(_xlfn.XLOOKUP(C2198,[1]AttributeName!$C:$C,[1]AttributeName!$B:$B),"")</f>
        <v>10305</v>
      </c>
      <c r="P2198" s="10"/>
      <c r="Q2198">
        <v>0.38</v>
      </c>
      <c r="R2198">
        <v>0.5</v>
      </c>
      <c r="S2198" cm="1">
        <f t="array" ref="S2198">IFERROR(_xlfn.SWITCH(L2198,1,_xlfn.XLOOKUP(O2198,[1]AttributeName!$B:$B,[1]AttributeName!$D:$D),2,_xlfn.XLOOKUP(C2198,#REF!,#REF!),3,_xlfn.XLOOKUP(C2198,#REF!,#REF!)),0)</f>
        <v>2</v>
      </c>
      <c r="T2198" cm="1">
        <f t="array" ref="T2198">IFERROR(_xlfn.SWITCH(L2198,1,_xlfn.XLOOKUP(O2198,[1]AttributeName!$B:$B,[1]AttributeName!$E:$E),2,_xlfn.XLOOKUP(C2198,#REF!,#REF!),3,_xlfn.XLOOKUP(C2198,#REF!,#REF!)),0)</f>
        <v>2</v>
      </c>
    </row>
    <row r="2199" customFormat="1" spans="1:20">
      <c r="A2199">
        <f t="shared" si="91"/>
        <v>908</v>
      </c>
      <c r="B2199">
        <v>2</v>
      </c>
      <c r="C2199" t="s">
        <v>386</v>
      </c>
      <c r="D2199" t="s">
        <v>32</v>
      </c>
      <c r="E2199" t="s">
        <v>378</v>
      </c>
      <c r="F2199"/>
      <c r="G2199">
        <v>1</v>
      </c>
      <c r="H2199">
        <v>200</v>
      </c>
      <c r="I2199">
        <v>3</v>
      </c>
      <c r="J2199" cm="1">
        <f t="array" ref="J2199">_xlfn.SWITCH(B2199,1,75,2,61,3,49,4,37,5,25,6,13,7,4,8,1)</f>
        <v>61</v>
      </c>
      <c r="K2199" t="str" cm="1">
        <f t="array" ref="K2199">IFERROR(_xlfn.SWITCH(L2199,2,_xlfn.XLOOKUP(C2199,[1]ModifierDes!$B:$B,[1]ModifierDes!$C:$C),3,_xlfn.XLOOKUP(C2199,[1]StuntDes!$B:$B,[1]StuntDes!$C:$C)),"")</f>
        <v/>
      </c>
      <c r="L2199">
        <f t="shared" si="92"/>
        <v>1</v>
      </c>
      <c r="M2199" s="10" t="str">
        <f>IFERROR(_xlfn.XLOOKUP(C2199,[1]StuntDes!$B:$B,[1]StuntDes!$A:$A),"")</f>
        <v/>
      </c>
      <c r="N2199" s="10" t="str">
        <f>IFERROR(_xlfn.XLOOKUP(C2199,[1]ModifierDes!$B:$B,[1]ModifierDes!$A:$A),"")</f>
        <v/>
      </c>
      <c r="O2199" s="10">
        <f>IFERROR(_xlfn.XLOOKUP(C2199,[1]AttributeName!$C:$C,[1]AttributeName!$B:$B),"")</f>
        <v>10305</v>
      </c>
      <c r="P2199" s="10"/>
      <c r="Q2199">
        <v>0.33</v>
      </c>
      <c r="R2199">
        <v>0.37</v>
      </c>
      <c r="S2199" cm="1">
        <f t="array" ref="S2199">IFERROR(_xlfn.SWITCH(L2199,1,_xlfn.XLOOKUP(O2199,[1]AttributeName!$B:$B,[1]AttributeName!$D:$D),2,_xlfn.XLOOKUP(C2199,#REF!,#REF!),3,_xlfn.XLOOKUP(C2199,#REF!,#REF!)),0)</f>
        <v>2</v>
      </c>
      <c r="T2199" cm="1">
        <f t="array" ref="T2199">IFERROR(_xlfn.SWITCH(L2199,1,_xlfn.XLOOKUP(O2199,[1]AttributeName!$B:$B,[1]AttributeName!$E:$E),2,_xlfn.XLOOKUP(C2199,#REF!,#REF!),3,_xlfn.XLOOKUP(C2199,#REF!,#REF!)),0)</f>
        <v>2</v>
      </c>
    </row>
    <row r="2200" customFormat="1" spans="1:20">
      <c r="A2200">
        <f t="shared" si="91"/>
        <v>908</v>
      </c>
      <c r="B2200">
        <v>3</v>
      </c>
      <c r="C2200" t="s">
        <v>386</v>
      </c>
      <c r="D2200" t="s">
        <v>32</v>
      </c>
      <c r="E2200" t="s">
        <v>378</v>
      </c>
      <c r="F2200"/>
      <c r="G2200">
        <v>1</v>
      </c>
      <c r="H2200">
        <v>500</v>
      </c>
      <c r="I2200">
        <v>3</v>
      </c>
      <c r="J2200" cm="1">
        <f t="array" ref="J2200">_xlfn.SWITCH(B2200,1,75,2,61,3,49,4,37,5,25,6,13,7,4,8,1)</f>
        <v>49</v>
      </c>
      <c r="K2200" t="str" cm="1">
        <f t="array" ref="K2200">IFERROR(_xlfn.SWITCH(L2200,2,_xlfn.XLOOKUP(C2200,[1]ModifierDes!$B:$B,[1]ModifierDes!$C:$C),3,_xlfn.XLOOKUP(C2200,[1]StuntDes!$B:$B,[1]StuntDes!$C:$C)),"")</f>
        <v/>
      </c>
      <c r="L2200">
        <f t="shared" si="92"/>
        <v>1</v>
      </c>
      <c r="M2200" s="10" t="str">
        <f>IFERROR(_xlfn.XLOOKUP(C2200,[1]StuntDes!$B:$B,[1]StuntDes!$A:$A),"")</f>
        <v/>
      </c>
      <c r="N2200" s="10" t="str">
        <f>IFERROR(_xlfn.XLOOKUP(C2200,[1]ModifierDes!$B:$B,[1]ModifierDes!$A:$A),"")</f>
        <v/>
      </c>
      <c r="O2200" s="10">
        <f>IFERROR(_xlfn.XLOOKUP(C2200,[1]AttributeName!$C:$C,[1]AttributeName!$B:$B),"")</f>
        <v>10305</v>
      </c>
      <c r="P2200" s="10"/>
      <c r="Q2200">
        <v>0.29</v>
      </c>
      <c r="R2200">
        <v>0.32</v>
      </c>
      <c r="S2200" cm="1">
        <f t="array" ref="S2200">IFERROR(_xlfn.SWITCH(L2200,1,_xlfn.XLOOKUP(O2200,[1]AttributeName!$B:$B,[1]AttributeName!$D:$D),2,_xlfn.XLOOKUP(C2200,#REF!,#REF!),3,_xlfn.XLOOKUP(C2200,#REF!,#REF!)),0)</f>
        <v>2</v>
      </c>
      <c r="T2200" cm="1">
        <f t="array" ref="T2200">IFERROR(_xlfn.SWITCH(L2200,1,_xlfn.XLOOKUP(O2200,[1]AttributeName!$B:$B,[1]AttributeName!$E:$E),2,_xlfn.XLOOKUP(C2200,#REF!,#REF!),3,_xlfn.XLOOKUP(C2200,#REF!,#REF!)),0)</f>
        <v>2</v>
      </c>
    </row>
    <row r="2201" customFormat="1" spans="1:20">
      <c r="A2201">
        <f t="shared" si="91"/>
        <v>908</v>
      </c>
      <c r="B2201">
        <v>4</v>
      </c>
      <c r="C2201" t="s">
        <v>386</v>
      </c>
      <c r="D2201" t="s">
        <v>32</v>
      </c>
      <c r="E2201" t="s">
        <v>378</v>
      </c>
      <c r="F2201"/>
      <c r="G2201">
        <v>1</v>
      </c>
      <c r="H2201">
        <v>1000</v>
      </c>
      <c r="I2201">
        <v>3</v>
      </c>
      <c r="J2201" cm="1">
        <f t="array" ref="J2201">_xlfn.SWITCH(B2201,1,75,2,61,3,49,4,37,5,25,6,13,7,4,8,1)</f>
        <v>37</v>
      </c>
      <c r="K2201" t="str" cm="1">
        <f t="array" ref="K2201">IFERROR(_xlfn.SWITCH(L2201,2,_xlfn.XLOOKUP(C2201,[1]ModifierDes!$B:$B,[1]ModifierDes!$C:$C),3,_xlfn.XLOOKUP(C2201,[1]StuntDes!$B:$B,[1]StuntDes!$C:$C)),"")</f>
        <v/>
      </c>
      <c r="L2201">
        <f t="shared" si="92"/>
        <v>1</v>
      </c>
      <c r="M2201" s="10" t="str">
        <f>IFERROR(_xlfn.XLOOKUP(C2201,[1]StuntDes!$B:$B,[1]StuntDes!$A:$A),"")</f>
        <v/>
      </c>
      <c r="N2201" s="10" t="str">
        <f>IFERROR(_xlfn.XLOOKUP(C2201,[1]ModifierDes!$B:$B,[1]ModifierDes!$A:$A),"")</f>
        <v/>
      </c>
      <c r="O2201" s="10">
        <f>IFERROR(_xlfn.XLOOKUP(C2201,[1]AttributeName!$C:$C,[1]AttributeName!$B:$B),"")</f>
        <v>10305</v>
      </c>
      <c r="P2201" s="10"/>
      <c r="Q2201">
        <v>0.24</v>
      </c>
      <c r="R2201">
        <v>0.28</v>
      </c>
      <c r="S2201" cm="1">
        <f t="array" ref="S2201">IFERROR(_xlfn.SWITCH(L2201,1,_xlfn.XLOOKUP(O2201,[1]AttributeName!$B:$B,[1]AttributeName!$D:$D),2,_xlfn.XLOOKUP(C2201,#REF!,#REF!),3,_xlfn.XLOOKUP(C2201,#REF!,#REF!)),0)</f>
        <v>2</v>
      </c>
      <c r="T2201" cm="1">
        <f t="array" ref="T2201">IFERROR(_xlfn.SWITCH(L2201,1,_xlfn.XLOOKUP(O2201,[1]AttributeName!$B:$B,[1]AttributeName!$E:$E),2,_xlfn.XLOOKUP(C2201,#REF!,#REF!),3,_xlfn.XLOOKUP(C2201,#REF!,#REF!)),0)</f>
        <v>2</v>
      </c>
    </row>
    <row r="2202" customFormat="1" spans="1:20">
      <c r="A2202">
        <f t="shared" si="91"/>
        <v>908</v>
      </c>
      <c r="B2202">
        <v>5</v>
      </c>
      <c r="C2202" t="s">
        <v>386</v>
      </c>
      <c r="D2202" t="s">
        <v>32</v>
      </c>
      <c r="E2202" t="s">
        <v>378</v>
      </c>
      <c r="F2202"/>
      <c r="G2202">
        <v>1</v>
      </c>
      <c r="H2202">
        <v>1000</v>
      </c>
      <c r="I2202">
        <v>3</v>
      </c>
      <c r="J2202" cm="1">
        <f t="array" ref="J2202">_xlfn.SWITCH(B2202,1,75,2,61,3,49,4,37,5,25,6,13,7,4,8,1)</f>
        <v>25</v>
      </c>
      <c r="K2202" t="str" cm="1">
        <f t="array" ref="K2202">IFERROR(_xlfn.SWITCH(L2202,2,_xlfn.XLOOKUP(C2202,[1]ModifierDes!$B:$B,[1]ModifierDes!$C:$C),3,_xlfn.XLOOKUP(C2202,[1]StuntDes!$B:$B,[1]StuntDes!$C:$C)),"")</f>
        <v/>
      </c>
      <c r="L2202">
        <f t="shared" si="92"/>
        <v>1</v>
      </c>
      <c r="M2202" s="10" t="str">
        <f>IFERROR(_xlfn.XLOOKUP(C2202,[1]StuntDes!$B:$B,[1]StuntDes!$A:$A),"")</f>
        <v/>
      </c>
      <c r="N2202" s="10" t="str">
        <f>IFERROR(_xlfn.XLOOKUP(C2202,[1]ModifierDes!$B:$B,[1]ModifierDes!$A:$A),"")</f>
        <v/>
      </c>
      <c r="O2202" s="10">
        <f>IFERROR(_xlfn.XLOOKUP(C2202,[1]AttributeName!$C:$C,[1]AttributeName!$B:$B),"")</f>
        <v>10305</v>
      </c>
      <c r="P2202" s="10"/>
      <c r="Q2202">
        <v>0.2</v>
      </c>
      <c r="R2202">
        <v>0.23</v>
      </c>
      <c r="S2202" cm="1">
        <f t="array" ref="S2202">IFERROR(_xlfn.SWITCH(L2202,1,_xlfn.XLOOKUP(O2202,[1]AttributeName!$B:$B,[1]AttributeName!$D:$D),2,_xlfn.XLOOKUP(C2202,#REF!,#REF!),3,_xlfn.XLOOKUP(C2202,#REF!,#REF!)),0)</f>
        <v>2</v>
      </c>
      <c r="T2202" cm="1">
        <f t="array" ref="T2202">IFERROR(_xlfn.SWITCH(L2202,1,_xlfn.XLOOKUP(O2202,[1]AttributeName!$B:$B,[1]AttributeName!$E:$E),2,_xlfn.XLOOKUP(C2202,#REF!,#REF!),3,_xlfn.XLOOKUP(C2202,#REF!,#REF!)),0)</f>
        <v>2</v>
      </c>
    </row>
    <row r="2203" customFormat="1" spans="1:20">
      <c r="A2203">
        <f t="shared" si="91"/>
        <v>908</v>
      </c>
      <c r="B2203">
        <v>6</v>
      </c>
      <c r="C2203" t="s">
        <v>386</v>
      </c>
      <c r="D2203" t="s">
        <v>32</v>
      </c>
      <c r="E2203" t="s">
        <v>378</v>
      </c>
      <c r="F2203"/>
      <c r="G2203">
        <v>1</v>
      </c>
      <c r="H2203">
        <v>1000</v>
      </c>
      <c r="I2203">
        <v>3</v>
      </c>
      <c r="J2203" cm="1">
        <f t="array" ref="J2203">_xlfn.SWITCH(B2203,1,75,2,61,3,49,4,37,5,25,6,13,7,4,8,1)</f>
        <v>13</v>
      </c>
      <c r="K2203" t="str" cm="1">
        <f t="array" ref="K2203">IFERROR(_xlfn.SWITCH(L2203,2,_xlfn.XLOOKUP(C2203,[1]ModifierDes!$B:$B,[1]ModifierDes!$C:$C),3,_xlfn.XLOOKUP(C2203,[1]StuntDes!$B:$B,[1]StuntDes!$C:$C)),"")</f>
        <v/>
      </c>
      <c r="L2203">
        <f t="shared" si="92"/>
        <v>1</v>
      </c>
      <c r="M2203" s="10" t="str">
        <f>IFERROR(_xlfn.XLOOKUP(C2203,[1]StuntDes!$B:$B,[1]StuntDes!$A:$A),"")</f>
        <v/>
      </c>
      <c r="N2203" s="10" t="str">
        <f>IFERROR(_xlfn.XLOOKUP(C2203,[1]ModifierDes!$B:$B,[1]ModifierDes!$A:$A),"")</f>
        <v/>
      </c>
      <c r="O2203" s="10">
        <f>IFERROR(_xlfn.XLOOKUP(C2203,[1]AttributeName!$C:$C,[1]AttributeName!$B:$B),"")</f>
        <v>10305</v>
      </c>
      <c r="P2203" s="10"/>
      <c r="Q2203">
        <v>0.15</v>
      </c>
      <c r="R2203">
        <v>0.19</v>
      </c>
      <c r="S2203" cm="1">
        <f t="array" ref="S2203">IFERROR(_xlfn.SWITCH(L2203,1,_xlfn.XLOOKUP(O2203,[1]AttributeName!$B:$B,[1]AttributeName!$D:$D),2,_xlfn.XLOOKUP(C2203,#REF!,#REF!),3,_xlfn.XLOOKUP(C2203,#REF!,#REF!)),0)</f>
        <v>2</v>
      </c>
      <c r="T2203" cm="1">
        <f t="array" ref="T2203">IFERROR(_xlfn.SWITCH(L2203,1,_xlfn.XLOOKUP(O2203,[1]AttributeName!$B:$B,[1]AttributeName!$E:$E),2,_xlfn.XLOOKUP(C2203,#REF!,#REF!),3,_xlfn.XLOOKUP(C2203,#REF!,#REF!)),0)</f>
        <v>2</v>
      </c>
    </row>
    <row r="2204" customFormat="1" spans="1:20">
      <c r="A2204">
        <f t="shared" si="91"/>
        <v>908</v>
      </c>
      <c r="B2204">
        <v>7</v>
      </c>
      <c r="C2204" t="s">
        <v>386</v>
      </c>
      <c r="D2204" t="s">
        <v>32</v>
      </c>
      <c r="E2204" t="s">
        <v>378</v>
      </c>
      <c r="F2204"/>
      <c r="G2204">
        <v>1</v>
      </c>
      <c r="H2204">
        <v>1000</v>
      </c>
      <c r="I2204">
        <v>3</v>
      </c>
      <c r="J2204" cm="1">
        <f t="array" ref="J2204">_xlfn.SWITCH(B2204,1,75,2,61,3,49,4,37,5,25,6,13,7,4,8,1)</f>
        <v>4</v>
      </c>
      <c r="K2204" t="str" cm="1">
        <f t="array" ref="K2204">IFERROR(_xlfn.SWITCH(L2204,2,_xlfn.XLOOKUP(C2204,[1]ModifierDes!$B:$B,[1]ModifierDes!$C:$C),3,_xlfn.XLOOKUP(C2204,[1]StuntDes!$B:$B,[1]StuntDes!$C:$C)),"")</f>
        <v/>
      </c>
      <c r="L2204">
        <f t="shared" si="92"/>
        <v>1</v>
      </c>
      <c r="M2204" s="10" t="str">
        <f>IFERROR(_xlfn.XLOOKUP(C2204,[1]StuntDes!$B:$B,[1]StuntDes!$A:$A),"")</f>
        <v/>
      </c>
      <c r="N2204" s="10" t="str">
        <f>IFERROR(_xlfn.XLOOKUP(C2204,[1]ModifierDes!$B:$B,[1]ModifierDes!$A:$A),"")</f>
        <v/>
      </c>
      <c r="O2204" s="10">
        <f>IFERROR(_xlfn.XLOOKUP(C2204,[1]AttributeName!$C:$C,[1]AttributeName!$B:$B),"")</f>
        <v>10305</v>
      </c>
      <c r="P2204" s="10"/>
      <c r="Q2204">
        <v>0.11</v>
      </c>
      <c r="R2204">
        <v>0.14</v>
      </c>
      <c r="S2204" cm="1">
        <f t="array" ref="S2204">IFERROR(_xlfn.SWITCH(L2204,1,_xlfn.XLOOKUP(O2204,[1]AttributeName!$B:$B,[1]AttributeName!$D:$D),2,_xlfn.XLOOKUP(C2204,#REF!,#REF!),3,_xlfn.XLOOKUP(C2204,#REF!,#REF!)),0)</f>
        <v>2</v>
      </c>
      <c r="T2204" cm="1">
        <f t="array" ref="T2204">IFERROR(_xlfn.SWITCH(L2204,1,_xlfn.XLOOKUP(O2204,[1]AttributeName!$B:$B,[1]AttributeName!$E:$E),2,_xlfn.XLOOKUP(C2204,#REF!,#REF!),3,_xlfn.XLOOKUP(C2204,#REF!,#REF!)),0)</f>
        <v>2</v>
      </c>
    </row>
    <row r="2205" customFormat="1" spans="1:20">
      <c r="A2205">
        <f t="shared" si="91"/>
        <v>908</v>
      </c>
      <c r="B2205">
        <v>8</v>
      </c>
      <c r="C2205" t="s">
        <v>386</v>
      </c>
      <c r="D2205" t="s">
        <v>32</v>
      </c>
      <c r="E2205" t="s">
        <v>378</v>
      </c>
      <c r="F2205"/>
      <c r="G2205">
        <v>1</v>
      </c>
      <c r="H2205">
        <v>1000</v>
      </c>
      <c r="I2205">
        <v>3</v>
      </c>
      <c r="J2205" cm="1">
        <f t="array" ref="J2205">_xlfn.SWITCH(B2205,1,75,2,61,3,49,4,37,5,25,6,13,7,4,8,1)</f>
        <v>1</v>
      </c>
      <c r="K2205" t="str" cm="1">
        <f t="array" ref="K2205">IFERROR(_xlfn.SWITCH(L2205,2,_xlfn.XLOOKUP(C2205,[1]ModifierDes!$B:$B,[1]ModifierDes!$C:$C),3,_xlfn.XLOOKUP(C2205,[1]StuntDes!$B:$B,[1]StuntDes!$C:$C)),"")</f>
        <v/>
      </c>
      <c r="L2205">
        <f t="shared" si="92"/>
        <v>1</v>
      </c>
      <c r="M2205" s="10" t="str">
        <f>IFERROR(_xlfn.XLOOKUP(C2205,[1]StuntDes!$B:$B,[1]StuntDes!$A:$A),"")</f>
        <v/>
      </c>
      <c r="N2205" s="10" t="str">
        <f>IFERROR(_xlfn.XLOOKUP(C2205,[1]ModifierDes!$B:$B,[1]ModifierDes!$A:$A),"")</f>
        <v/>
      </c>
      <c r="O2205" s="10">
        <f>IFERROR(_xlfn.XLOOKUP(C2205,[1]AttributeName!$C:$C,[1]AttributeName!$B:$B),"")</f>
        <v>10305</v>
      </c>
      <c r="P2205" s="10"/>
      <c r="Q2205">
        <v>0.06</v>
      </c>
      <c r="R2205">
        <v>0.1</v>
      </c>
      <c r="S2205" cm="1">
        <f t="array" ref="S2205">IFERROR(_xlfn.SWITCH(L2205,1,_xlfn.XLOOKUP(O2205,[1]AttributeName!$B:$B,[1]AttributeName!$D:$D),2,_xlfn.XLOOKUP(C2205,#REF!,#REF!),3,_xlfn.XLOOKUP(C2205,#REF!,#REF!)),0)</f>
        <v>2</v>
      </c>
      <c r="T2205" cm="1">
        <f t="array" ref="T2205">IFERROR(_xlfn.SWITCH(L2205,1,_xlfn.XLOOKUP(O2205,[1]AttributeName!$B:$B,[1]AttributeName!$E:$E),2,_xlfn.XLOOKUP(C2205,#REF!,#REF!),3,_xlfn.XLOOKUP(C2205,#REF!,#REF!)),0)</f>
        <v>2</v>
      </c>
    </row>
    <row r="2206" customFormat="1" spans="1:20">
      <c r="A2206">
        <f t="shared" si="91"/>
        <v>909</v>
      </c>
      <c r="B2206">
        <v>1</v>
      </c>
      <c r="C2206" t="s">
        <v>387</v>
      </c>
      <c r="D2206" t="s">
        <v>32</v>
      </c>
      <c r="E2206" t="s">
        <v>378</v>
      </c>
      <c r="F2206"/>
      <c r="G2206">
        <v>1</v>
      </c>
      <c r="H2206">
        <v>100</v>
      </c>
      <c r="I2206">
        <v>3</v>
      </c>
      <c r="J2206" cm="1">
        <f t="array" ref="J2206">_xlfn.SWITCH(B2206,1,75,2,61,3,49,4,37,5,25,6,13,7,4,8,1)</f>
        <v>75</v>
      </c>
      <c r="K2206" t="str" cm="1">
        <f t="array" ref="K2206">IFERROR(_xlfn.SWITCH(L2206,2,_xlfn.XLOOKUP(C2206,[1]ModifierDes!$B:$B,[1]ModifierDes!$C:$C),3,_xlfn.XLOOKUP(C2206,[1]StuntDes!$B:$B,[1]StuntDes!$C:$C)),"")</f>
        <v/>
      </c>
      <c r="L2206">
        <f t="shared" si="92"/>
        <v>1</v>
      </c>
      <c r="M2206" s="10" t="str">
        <f>IFERROR(_xlfn.XLOOKUP(C2206,[1]StuntDes!$B:$B,[1]StuntDes!$A:$A),"")</f>
        <v/>
      </c>
      <c r="N2206" s="10" t="str">
        <f>IFERROR(_xlfn.XLOOKUP(C2206,[1]ModifierDes!$B:$B,[1]ModifierDes!$A:$A),"")</f>
        <v/>
      </c>
      <c r="O2206" s="10">
        <f>IFERROR(_xlfn.XLOOKUP(C2206,[1]AttributeName!$C:$C,[1]AttributeName!$B:$B),"")</f>
        <v>10306</v>
      </c>
      <c r="P2206" s="10"/>
      <c r="Q2206">
        <v>0.38</v>
      </c>
      <c r="R2206">
        <v>0.5</v>
      </c>
      <c r="S2206" cm="1">
        <f t="array" ref="S2206">IFERROR(_xlfn.SWITCH(L2206,1,_xlfn.XLOOKUP(O2206,[1]AttributeName!$B:$B,[1]AttributeName!$D:$D),2,_xlfn.XLOOKUP(C2206,#REF!,#REF!),3,_xlfn.XLOOKUP(C2206,#REF!,#REF!)),0)</f>
        <v>2</v>
      </c>
      <c r="T2206" cm="1">
        <f t="array" ref="T2206">IFERROR(_xlfn.SWITCH(L2206,1,_xlfn.XLOOKUP(O2206,[1]AttributeName!$B:$B,[1]AttributeName!$E:$E),2,_xlfn.XLOOKUP(C2206,#REF!,#REF!),3,_xlfn.XLOOKUP(C2206,#REF!,#REF!)),0)</f>
        <v>2</v>
      </c>
    </row>
    <row r="2207" customFormat="1" spans="1:20">
      <c r="A2207">
        <f t="shared" si="91"/>
        <v>909</v>
      </c>
      <c r="B2207">
        <v>2</v>
      </c>
      <c r="C2207" t="s">
        <v>387</v>
      </c>
      <c r="D2207" t="s">
        <v>32</v>
      </c>
      <c r="E2207" t="s">
        <v>378</v>
      </c>
      <c r="F2207"/>
      <c r="G2207">
        <v>1</v>
      </c>
      <c r="H2207">
        <v>200</v>
      </c>
      <c r="I2207">
        <v>3</v>
      </c>
      <c r="J2207" cm="1">
        <f t="array" ref="J2207">_xlfn.SWITCH(B2207,1,75,2,61,3,49,4,37,5,25,6,13,7,4,8,1)</f>
        <v>61</v>
      </c>
      <c r="K2207" t="str" cm="1">
        <f t="array" ref="K2207">IFERROR(_xlfn.SWITCH(L2207,2,_xlfn.XLOOKUP(C2207,[1]ModifierDes!$B:$B,[1]ModifierDes!$C:$C),3,_xlfn.XLOOKUP(C2207,[1]StuntDes!$B:$B,[1]StuntDes!$C:$C)),"")</f>
        <v/>
      </c>
      <c r="L2207">
        <f t="shared" si="92"/>
        <v>1</v>
      </c>
      <c r="M2207" s="10" t="str">
        <f>IFERROR(_xlfn.XLOOKUP(C2207,[1]StuntDes!$B:$B,[1]StuntDes!$A:$A),"")</f>
        <v/>
      </c>
      <c r="N2207" s="10" t="str">
        <f>IFERROR(_xlfn.XLOOKUP(C2207,[1]ModifierDes!$B:$B,[1]ModifierDes!$A:$A),"")</f>
        <v/>
      </c>
      <c r="O2207" s="10">
        <f>IFERROR(_xlfn.XLOOKUP(C2207,[1]AttributeName!$C:$C,[1]AttributeName!$B:$B),"")</f>
        <v>10306</v>
      </c>
      <c r="P2207" s="10"/>
      <c r="Q2207">
        <v>0.33</v>
      </c>
      <c r="R2207">
        <v>0.37</v>
      </c>
      <c r="S2207" cm="1">
        <f t="array" ref="S2207">IFERROR(_xlfn.SWITCH(L2207,1,_xlfn.XLOOKUP(O2207,[1]AttributeName!$B:$B,[1]AttributeName!$D:$D),2,_xlfn.XLOOKUP(C2207,#REF!,#REF!),3,_xlfn.XLOOKUP(C2207,#REF!,#REF!)),0)</f>
        <v>2</v>
      </c>
      <c r="T2207" cm="1">
        <f t="array" ref="T2207">IFERROR(_xlfn.SWITCH(L2207,1,_xlfn.XLOOKUP(O2207,[1]AttributeName!$B:$B,[1]AttributeName!$E:$E),2,_xlfn.XLOOKUP(C2207,#REF!,#REF!),3,_xlfn.XLOOKUP(C2207,#REF!,#REF!)),0)</f>
        <v>2</v>
      </c>
    </row>
    <row r="2208" customFormat="1" spans="1:20">
      <c r="A2208">
        <f t="shared" si="91"/>
        <v>909</v>
      </c>
      <c r="B2208">
        <v>3</v>
      </c>
      <c r="C2208" t="s">
        <v>387</v>
      </c>
      <c r="D2208" t="s">
        <v>32</v>
      </c>
      <c r="E2208" t="s">
        <v>378</v>
      </c>
      <c r="F2208"/>
      <c r="G2208">
        <v>1</v>
      </c>
      <c r="H2208">
        <v>500</v>
      </c>
      <c r="I2208">
        <v>3</v>
      </c>
      <c r="J2208" cm="1">
        <f t="array" ref="J2208">_xlfn.SWITCH(B2208,1,75,2,61,3,49,4,37,5,25,6,13,7,4,8,1)</f>
        <v>49</v>
      </c>
      <c r="K2208" t="str" cm="1">
        <f t="array" ref="K2208">IFERROR(_xlfn.SWITCH(L2208,2,_xlfn.XLOOKUP(C2208,[1]ModifierDes!$B:$B,[1]ModifierDes!$C:$C),3,_xlfn.XLOOKUP(C2208,[1]StuntDes!$B:$B,[1]StuntDes!$C:$C)),"")</f>
        <v/>
      </c>
      <c r="L2208">
        <f t="shared" si="92"/>
        <v>1</v>
      </c>
      <c r="M2208" s="10" t="str">
        <f>IFERROR(_xlfn.XLOOKUP(C2208,[1]StuntDes!$B:$B,[1]StuntDes!$A:$A),"")</f>
        <v/>
      </c>
      <c r="N2208" s="10" t="str">
        <f>IFERROR(_xlfn.XLOOKUP(C2208,[1]ModifierDes!$B:$B,[1]ModifierDes!$A:$A),"")</f>
        <v/>
      </c>
      <c r="O2208" s="10">
        <f>IFERROR(_xlfn.XLOOKUP(C2208,[1]AttributeName!$C:$C,[1]AttributeName!$B:$B),"")</f>
        <v>10306</v>
      </c>
      <c r="P2208" s="10"/>
      <c r="Q2208">
        <v>0.29</v>
      </c>
      <c r="R2208">
        <v>0.32</v>
      </c>
      <c r="S2208" cm="1">
        <f t="array" ref="S2208">IFERROR(_xlfn.SWITCH(L2208,1,_xlfn.XLOOKUP(O2208,[1]AttributeName!$B:$B,[1]AttributeName!$D:$D),2,_xlfn.XLOOKUP(C2208,#REF!,#REF!),3,_xlfn.XLOOKUP(C2208,#REF!,#REF!)),0)</f>
        <v>2</v>
      </c>
      <c r="T2208" cm="1">
        <f t="array" ref="T2208">IFERROR(_xlfn.SWITCH(L2208,1,_xlfn.XLOOKUP(O2208,[1]AttributeName!$B:$B,[1]AttributeName!$E:$E),2,_xlfn.XLOOKUP(C2208,#REF!,#REF!),3,_xlfn.XLOOKUP(C2208,#REF!,#REF!)),0)</f>
        <v>2</v>
      </c>
    </row>
    <row r="2209" customFormat="1" spans="1:20">
      <c r="A2209">
        <f t="shared" si="91"/>
        <v>909</v>
      </c>
      <c r="B2209">
        <v>4</v>
      </c>
      <c r="C2209" t="s">
        <v>387</v>
      </c>
      <c r="D2209" t="s">
        <v>32</v>
      </c>
      <c r="E2209" t="s">
        <v>378</v>
      </c>
      <c r="F2209"/>
      <c r="G2209">
        <v>1</v>
      </c>
      <c r="H2209">
        <v>1000</v>
      </c>
      <c r="I2209">
        <v>3</v>
      </c>
      <c r="J2209" cm="1">
        <f t="array" ref="J2209">_xlfn.SWITCH(B2209,1,75,2,61,3,49,4,37,5,25,6,13,7,4,8,1)</f>
        <v>37</v>
      </c>
      <c r="K2209" t="str" cm="1">
        <f t="array" ref="K2209">IFERROR(_xlfn.SWITCH(L2209,2,_xlfn.XLOOKUP(C2209,[1]ModifierDes!$B:$B,[1]ModifierDes!$C:$C),3,_xlfn.XLOOKUP(C2209,[1]StuntDes!$B:$B,[1]StuntDes!$C:$C)),"")</f>
        <v/>
      </c>
      <c r="L2209">
        <f t="shared" si="92"/>
        <v>1</v>
      </c>
      <c r="M2209" s="10" t="str">
        <f>IFERROR(_xlfn.XLOOKUP(C2209,[1]StuntDes!$B:$B,[1]StuntDes!$A:$A),"")</f>
        <v/>
      </c>
      <c r="N2209" s="10" t="str">
        <f>IFERROR(_xlfn.XLOOKUP(C2209,[1]ModifierDes!$B:$B,[1]ModifierDes!$A:$A),"")</f>
        <v/>
      </c>
      <c r="O2209" s="10">
        <f>IFERROR(_xlfn.XLOOKUP(C2209,[1]AttributeName!$C:$C,[1]AttributeName!$B:$B),"")</f>
        <v>10306</v>
      </c>
      <c r="P2209" s="10"/>
      <c r="Q2209">
        <v>0.24</v>
      </c>
      <c r="R2209">
        <v>0.28</v>
      </c>
      <c r="S2209" cm="1">
        <f t="array" ref="S2209">IFERROR(_xlfn.SWITCH(L2209,1,_xlfn.XLOOKUP(O2209,[1]AttributeName!$B:$B,[1]AttributeName!$D:$D),2,_xlfn.XLOOKUP(C2209,#REF!,#REF!),3,_xlfn.XLOOKUP(C2209,#REF!,#REF!)),0)</f>
        <v>2</v>
      </c>
      <c r="T2209" cm="1">
        <f t="array" ref="T2209">IFERROR(_xlfn.SWITCH(L2209,1,_xlfn.XLOOKUP(O2209,[1]AttributeName!$B:$B,[1]AttributeName!$E:$E),2,_xlfn.XLOOKUP(C2209,#REF!,#REF!),3,_xlfn.XLOOKUP(C2209,#REF!,#REF!)),0)</f>
        <v>2</v>
      </c>
    </row>
    <row r="2210" customFormat="1" spans="1:20">
      <c r="A2210">
        <f t="shared" si="91"/>
        <v>909</v>
      </c>
      <c r="B2210">
        <v>5</v>
      </c>
      <c r="C2210" t="s">
        <v>387</v>
      </c>
      <c r="D2210" t="s">
        <v>32</v>
      </c>
      <c r="E2210" t="s">
        <v>378</v>
      </c>
      <c r="F2210"/>
      <c r="G2210">
        <v>1</v>
      </c>
      <c r="H2210">
        <v>1000</v>
      </c>
      <c r="I2210">
        <v>3</v>
      </c>
      <c r="J2210" cm="1">
        <f t="array" ref="J2210">_xlfn.SWITCH(B2210,1,75,2,61,3,49,4,37,5,25,6,13,7,4,8,1)</f>
        <v>25</v>
      </c>
      <c r="K2210" t="str" cm="1">
        <f t="array" ref="K2210">IFERROR(_xlfn.SWITCH(L2210,2,_xlfn.XLOOKUP(C2210,[1]ModifierDes!$B:$B,[1]ModifierDes!$C:$C),3,_xlfn.XLOOKUP(C2210,[1]StuntDes!$B:$B,[1]StuntDes!$C:$C)),"")</f>
        <v/>
      </c>
      <c r="L2210">
        <f t="shared" si="92"/>
        <v>1</v>
      </c>
      <c r="M2210" s="10" t="str">
        <f>IFERROR(_xlfn.XLOOKUP(C2210,[1]StuntDes!$B:$B,[1]StuntDes!$A:$A),"")</f>
        <v/>
      </c>
      <c r="N2210" s="10" t="str">
        <f>IFERROR(_xlfn.XLOOKUP(C2210,[1]ModifierDes!$B:$B,[1]ModifierDes!$A:$A),"")</f>
        <v/>
      </c>
      <c r="O2210" s="10">
        <f>IFERROR(_xlfn.XLOOKUP(C2210,[1]AttributeName!$C:$C,[1]AttributeName!$B:$B),"")</f>
        <v>10306</v>
      </c>
      <c r="P2210" s="10"/>
      <c r="Q2210">
        <v>0.2</v>
      </c>
      <c r="R2210">
        <v>0.23</v>
      </c>
      <c r="S2210" cm="1">
        <f t="array" ref="S2210">IFERROR(_xlfn.SWITCH(L2210,1,_xlfn.XLOOKUP(O2210,[1]AttributeName!$B:$B,[1]AttributeName!$D:$D),2,_xlfn.XLOOKUP(C2210,#REF!,#REF!),3,_xlfn.XLOOKUP(C2210,#REF!,#REF!)),0)</f>
        <v>2</v>
      </c>
      <c r="T2210" cm="1">
        <f t="array" ref="T2210">IFERROR(_xlfn.SWITCH(L2210,1,_xlfn.XLOOKUP(O2210,[1]AttributeName!$B:$B,[1]AttributeName!$E:$E),2,_xlfn.XLOOKUP(C2210,#REF!,#REF!),3,_xlfn.XLOOKUP(C2210,#REF!,#REF!)),0)</f>
        <v>2</v>
      </c>
    </row>
    <row r="2211" customFormat="1" spans="1:20">
      <c r="A2211">
        <f t="shared" si="91"/>
        <v>909</v>
      </c>
      <c r="B2211">
        <v>6</v>
      </c>
      <c r="C2211" t="s">
        <v>387</v>
      </c>
      <c r="D2211" t="s">
        <v>32</v>
      </c>
      <c r="E2211" t="s">
        <v>378</v>
      </c>
      <c r="F2211"/>
      <c r="G2211">
        <v>1</v>
      </c>
      <c r="H2211">
        <v>1000</v>
      </c>
      <c r="I2211">
        <v>3</v>
      </c>
      <c r="J2211" cm="1">
        <f t="array" ref="J2211">_xlfn.SWITCH(B2211,1,75,2,61,3,49,4,37,5,25,6,13,7,4,8,1)</f>
        <v>13</v>
      </c>
      <c r="K2211" t="str" cm="1">
        <f t="array" ref="K2211">IFERROR(_xlfn.SWITCH(L2211,2,_xlfn.XLOOKUP(C2211,[1]ModifierDes!$B:$B,[1]ModifierDes!$C:$C),3,_xlfn.XLOOKUP(C2211,[1]StuntDes!$B:$B,[1]StuntDes!$C:$C)),"")</f>
        <v/>
      </c>
      <c r="L2211">
        <f t="shared" si="92"/>
        <v>1</v>
      </c>
      <c r="M2211" s="10" t="str">
        <f>IFERROR(_xlfn.XLOOKUP(C2211,[1]StuntDes!$B:$B,[1]StuntDes!$A:$A),"")</f>
        <v/>
      </c>
      <c r="N2211" s="10" t="str">
        <f>IFERROR(_xlfn.XLOOKUP(C2211,[1]ModifierDes!$B:$B,[1]ModifierDes!$A:$A),"")</f>
        <v/>
      </c>
      <c r="O2211" s="10">
        <f>IFERROR(_xlfn.XLOOKUP(C2211,[1]AttributeName!$C:$C,[1]AttributeName!$B:$B),"")</f>
        <v>10306</v>
      </c>
      <c r="P2211" s="10"/>
      <c r="Q2211">
        <v>0.15</v>
      </c>
      <c r="R2211">
        <v>0.19</v>
      </c>
      <c r="S2211" cm="1">
        <f t="array" ref="S2211">IFERROR(_xlfn.SWITCH(L2211,1,_xlfn.XLOOKUP(O2211,[1]AttributeName!$B:$B,[1]AttributeName!$D:$D),2,_xlfn.XLOOKUP(C2211,#REF!,#REF!),3,_xlfn.XLOOKUP(C2211,#REF!,#REF!)),0)</f>
        <v>2</v>
      </c>
      <c r="T2211" cm="1">
        <f t="array" ref="T2211">IFERROR(_xlfn.SWITCH(L2211,1,_xlfn.XLOOKUP(O2211,[1]AttributeName!$B:$B,[1]AttributeName!$E:$E),2,_xlfn.XLOOKUP(C2211,#REF!,#REF!),3,_xlfn.XLOOKUP(C2211,#REF!,#REF!)),0)</f>
        <v>2</v>
      </c>
    </row>
    <row r="2212" customFormat="1" spans="1:20">
      <c r="A2212">
        <f t="shared" si="91"/>
        <v>909</v>
      </c>
      <c r="B2212">
        <v>7</v>
      </c>
      <c r="C2212" t="s">
        <v>387</v>
      </c>
      <c r="D2212" t="s">
        <v>32</v>
      </c>
      <c r="E2212" t="s">
        <v>378</v>
      </c>
      <c r="F2212"/>
      <c r="G2212">
        <v>1</v>
      </c>
      <c r="H2212">
        <v>1000</v>
      </c>
      <c r="I2212">
        <v>3</v>
      </c>
      <c r="J2212" cm="1">
        <f t="array" ref="J2212">_xlfn.SWITCH(B2212,1,75,2,61,3,49,4,37,5,25,6,13,7,4,8,1)</f>
        <v>4</v>
      </c>
      <c r="K2212" t="str" cm="1">
        <f t="array" ref="K2212">IFERROR(_xlfn.SWITCH(L2212,2,_xlfn.XLOOKUP(C2212,[1]ModifierDes!$B:$B,[1]ModifierDes!$C:$C),3,_xlfn.XLOOKUP(C2212,[1]StuntDes!$B:$B,[1]StuntDes!$C:$C)),"")</f>
        <v/>
      </c>
      <c r="L2212">
        <f t="shared" si="92"/>
        <v>1</v>
      </c>
      <c r="M2212" s="10" t="str">
        <f>IFERROR(_xlfn.XLOOKUP(C2212,[1]StuntDes!$B:$B,[1]StuntDes!$A:$A),"")</f>
        <v/>
      </c>
      <c r="N2212" s="10" t="str">
        <f>IFERROR(_xlfn.XLOOKUP(C2212,[1]ModifierDes!$B:$B,[1]ModifierDes!$A:$A),"")</f>
        <v/>
      </c>
      <c r="O2212" s="10">
        <f>IFERROR(_xlfn.XLOOKUP(C2212,[1]AttributeName!$C:$C,[1]AttributeName!$B:$B),"")</f>
        <v>10306</v>
      </c>
      <c r="P2212" s="10"/>
      <c r="Q2212">
        <v>0.11</v>
      </c>
      <c r="R2212">
        <v>0.14</v>
      </c>
      <c r="S2212" cm="1">
        <f t="array" ref="S2212">IFERROR(_xlfn.SWITCH(L2212,1,_xlfn.XLOOKUP(O2212,[1]AttributeName!$B:$B,[1]AttributeName!$D:$D),2,_xlfn.XLOOKUP(C2212,#REF!,#REF!),3,_xlfn.XLOOKUP(C2212,#REF!,#REF!)),0)</f>
        <v>2</v>
      </c>
      <c r="T2212" cm="1">
        <f t="array" ref="T2212">IFERROR(_xlfn.SWITCH(L2212,1,_xlfn.XLOOKUP(O2212,[1]AttributeName!$B:$B,[1]AttributeName!$E:$E),2,_xlfn.XLOOKUP(C2212,#REF!,#REF!),3,_xlfn.XLOOKUP(C2212,#REF!,#REF!)),0)</f>
        <v>2</v>
      </c>
    </row>
    <row r="2213" customFormat="1" spans="1:20">
      <c r="A2213">
        <f t="shared" si="91"/>
        <v>909</v>
      </c>
      <c r="B2213">
        <v>8</v>
      </c>
      <c r="C2213" t="s">
        <v>387</v>
      </c>
      <c r="D2213" t="s">
        <v>32</v>
      </c>
      <c r="E2213" t="s">
        <v>378</v>
      </c>
      <c r="F2213"/>
      <c r="G2213">
        <v>1</v>
      </c>
      <c r="H2213">
        <v>1000</v>
      </c>
      <c r="I2213">
        <v>3</v>
      </c>
      <c r="J2213" cm="1">
        <f t="array" ref="J2213">_xlfn.SWITCH(B2213,1,75,2,61,3,49,4,37,5,25,6,13,7,4,8,1)</f>
        <v>1</v>
      </c>
      <c r="K2213" t="str" cm="1">
        <f t="array" ref="K2213">IFERROR(_xlfn.SWITCH(L2213,2,_xlfn.XLOOKUP(C2213,[1]ModifierDes!$B:$B,[1]ModifierDes!$C:$C),3,_xlfn.XLOOKUP(C2213,[1]StuntDes!$B:$B,[1]StuntDes!$C:$C)),"")</f>
        <v/>
      </c>
      <c r="L2213">
        <f t="shared" si="92"/>
        <v>1</v>
      </c>
      <c r="M2213" s="10" t="str">
        <f>IFERROR(_xlfn.XLOOKUP(C2213,[1]StuntDes!$B:$B,[1]StuntDes!$A:$A),"")</f>
        <v/>
      </c>
      <c r="N2213" s="10" t="str">
        <f>IFERROR(_xlfn.XLOOKUP(C2213,[1]ModifierDes!$B:$B,[1]ModifierDes!$A:$A),"")</f>
        <v/>
      </c>
      <c r="O2213" s="10">
        <f>IFERROR(_xlfn.XLOOKUP(C2213,[1]AttributeName!$C:$C,[1]AttributeName!$B:$B),"")</f>
        <v>10306</v>
      </c>
      <c r="P2213" s="10"/>
      <c r="Q2213">
        <v>0.06</v>
      </c>
      <c r="R2213">
        <v>0.1</v>
      </c>
      <c r="S2213" cm="1">
        <f t="array" ref="S2213">IFERROR(_xlfn.SWITCH(L2213,1,_xlfn.XLOOKUP(O2213,[1]AttributeName!$B:$B,[1]AttributeName!$D:$D),2,_xlfn.XLOOKUP(C2213,#REF!,#REF!),3,_xlfn.XLOOKUP(C2213,#REF!,#REF!)),0)</f>
        <v>2</v>
      </c>
      <c r="T2213" cm="1">
        <f t="array" ref="T2213">IFERROR(_xlfn.SWITCH(L2213,1,_xlfn.XLOOKUP(O2213,[1]AttributeName!$B:$B,[1]AttributeName!$E:$E),2,_xlfn.XLOOKUP(C2213,#REF!,#REF!),3,_xlfn.XLOOKUP(C2213,#REF!,#REF!)),0)</f>
        <v>2</v>
      </c>
    </row>
    <row r="2214" customFormat="1" spans="1:20">
      <c r="A2214">
        <f t="shared" ref="A2214:A2245" si="93">A2206+1</f>
        <v>910</v>
      </c>
      <c r="B2214">
        <v>1</v>
      </c>
      <c r="C2214" t="s">
        <v>388</v>
      </c>
      <c r="D2214" t="s">
        <v>32</v>
      </c>
      <c r="E2214" t="s">
        <v>378</v>
      </c>
      <c r="F2214"/>
      <c r="G2214">
        <v>1</v>
      </c>
      <c r="H2214">
        <v>100</v>
      </c>
      <c r="I2214">
        <v>3</v>
      </c>
      <c r="J2214" cm="1">
        <f t="array" ref="J2214">_xlfn.SWITCH(B2214,1,75,2,61,3,49,4,37,5,25,6,13,7,4,8,1)</f>
        <v>75</v>
      </c>
      <c r="K2214" t="str" cm="1">
        <f t="array" ref="K2214">IFERROR(_xlfn.SWITCH(L2214,2,_xlfn.XLOOKUP(C2214,[1]ModifierDes!$B:$B,[1]ModifierDes!$C:$C),3,_xlfn.XLOOKUP(C2214,[1]StuntDes!$B:$B,[1]StuntDes!$C:$C)),"")</f>
        <v/>
      </c>
      <c r="L2214">
        <f t="shared" si="92"/>
        <v>1</v>
      </c>
      <c r="M2214" s="10" t="str">
        <f>IFERROR(_xlfn.XLOOKUP(C2214,[1]StuntDes!$B:$B,[1]StuntDes!$A:$A),"")</f>
        <v/>
      </c>
      <c r="N2214" s="10" t="str">
        <f>IFERROR(_xlfn.XLOOKUP(C2214,[1]ModifierDes!$B:$B,[1]ModifierDes!$A:$A),"")</f>
        <v/>
      </c>
      <c r="O2214" s="10">
        <f>IFERROR(_xlfn.XLOOKUP(C2214,[1]AttributeName!$C:$C,[1]AttributeName!$B:$B),"")</f>
        <v>10307</v>
      </c>
      <c r="P2214" s="10"/>
      <c r="Q2214">
        <v>0.38</v>
      </c>
      <c r="R2214">
        <v>0.5</v>
      </c>
      <c r="S2214" cm="1">
        <f t="array" ref="S2214">IFERROR(_xlfn.SWITCH(L2214,1,_xlfn.XLOOKUP(O2214,[1]AttributeName!$B:$B,[1]AttributeName!$D:$D),2,_xlfn.XLOOKUP(C2214,#REF!,#REF!),3,_xlfn.XLOOKUP(C2214,#REF!,#REF!)),0)</f>
        <v>2</v>
      </c>
      <c r="T2214" cm="1">
        <f t="array" ref="T2214">IFERROR(_xlfn.SWITCH(L2214,1,_xlfn.XLOOKUP(O2214,[1]AttributeName!$B:$B,[1]AttributeName!$E:$E),2,_xlfn.XLOOKUP(C2214,#REF!,#REF!),3,_xlfn.XLOOKUP(C2214,#REF!,#REF!)),0)</f>
        <v>2</v>
      </c>
    </row>
    <row r="2215" customFormat="1" spans="1:20">
      <c r="A2215">
        <f t="shared" si="93"/>
        <v>910</v>
      </c>
      <c r="B2215">
        <v>2</v>
      </c>
      <c r="C2215" t="s">
        <v>388</v>
      </c>
      <c r="D2215" t="s">
        <v>32</v>
      </c>
      <c r="E2215" t="s">
        <v>378</v>
      </c>
      <c r="F2215"/>
      <c r="G2215">
        <v>1</v>
      </c>
      <c r="H2215">
        <v>200</v>
      </c>
      <c r="I2215">
        <v>3</v>
      </c>
      <c r="J2215" cm="1">
        <f t="array" ref="J2215">_xlfn.SWITCH(B2215,1,75,2,61,3,49,4,37,5,25,6,13,7,4,8,1)</f>
        <v>61</v>
      </c>
      <c r="K2215" t="str" cm="1">
        <f t="array" ref="K2215">IFERROR(_xlfn.SWITCH(L2215,2,_xlfn.XLOOKUP(C2215,[1]ModifierDes!$B:$B,[1]ModifierDes!$C:$C),3,_xlfn.XLOOKUP(C2215,[1]StuntDes!$B:$B,[1]StuntDes!$C:$C)),"")</f>
        <v/>
      </c>
      <c r="L2215">
        <f t="shared" si="92"/>
        <v>1</v>
      </c>
      <c r="M2215" s="10" t="str">
        <f>IFERROR(_xlfn.XLOOKUP(C2215,[1]StuntDes!$B:$B,[1]StuntDes!$A:$A),"")</f>
        <v/>
      </c>
      <c r="N2215" s="10" t="str">
        <f>IFERROR(_xlfn.XLOOKUP(C2215,[1]ModifierDes!$B:$B,[1]ModifierDes!$A:$A),"")</f>
        <v/>
      </c>
      <c r="O2215" s="10">
        <f>IFERROR(_xlfn.XLOOKUP(C2215,[1]AttributeName!$C:$C,[1]AttributeName!$B:$B),"")</f>
        <v>10307</v>
      </c>
      <c r="P2215" s="10"/>
      <c r="Q2215">
        <v>0.33</v>
      </c>
      <c r="R2215">
        <v>0.37</v>
      </c>
      <c r="S2215" cm="1">
        <f t="array" ref="S2215">IFERROR(_xlfn.SWITCH(L2215,1,_xlfn.XLOOKUP(O2215,[1]AttributeName!$B:$B,[1]AttributeName!$D:$D),2,_xlfn.XLOOKUP(C2215,#REF!,#REF!),3,_xlfn.XLOOKUP(C2215,#REF!,#REF!)),0)</f>
        <v>2</v>
      </c>
      <c r="T2215" cm="1">
        <f t="array" ref="T2215">IFERROR(_xlfn.SWITCH(L2215,1,_xlfn.XLOOKUP(O2215,[1]AttributeName!$B:$B,[1]AttributeName!$E:$E),2,_xlfn.XLOOKUP(C2215,#REF!,#REF!),3,_xlfn.XLOOKUP(C2215,#REF!,#REF!)),0)</f>
        <v>2</v>
      </c>
    </row>
    <row r="2216" customFormat="1" spans="1:20">
      <c r="A2216">
        <f t="shared" si="93"/>
        <v>910</v>
      </c>
      <c r="B2216">
        <v>3</v>
      </c>
      <c r="C2216" t="s">
        <v>388</v>
      </c>
      <c r="D2216" t="s">
        <v>32</v>
      </c>
      <c r="E2216" t="s">
        <v>378</v>
      </c>
      <c r="F2216"/>
      <c r="G2216">
        <v>1</v>
      </c>
      <c r="H2216">
        <v>500</v>
      </c>
      <c r="I2216">
        <v>3</v>
      </c>
      <c r="J2216" cm="1">
        <f t="array" ref="J2216">_xlfn.SWITCH(B2216,1,75,2,61,3,49,4,37,5,25,6,13,7,4,8,1)</f>
        <v>49</v>
      </c>
      <c r="K2216" t="str" cm="1">
        <f t="array" ref="K2216">IFERROR(_xlfn.SWITCH(L2216,2,_xlfn.XLOOKUP(C2216,[1]ModifierDes!$B:$B,[1]ModifierDes!$C:$C),3,_xlfn.XLOOKUP(C2216,[1]StuntDes!$B:$B,[1]StuntDes!$C:$C)),"")</f>
        <v/>
      </c>
      <c r="L2216">
        <f t="shared" si="92"/>
        <v>1</v>
      </c>
      <c r="M2216" s="10" t="str">
        <f>IFERROR(_xlfn.XLOOKUP(C2216,[1]StuntDes!$B:$B,[1]StuntDes!$A:$A),"")</f>
        <v/>
      </c>
      <c r="N2216" s="10" t="str">
        <f>IFERROR(_xlfn.XLOOKUP(C2216,[1]ModifierDes!$B:$B,[1]ModifierDes!$A:$A),"")</f>
        <v/>
      </c>
      <c r="O2216" s="10">
        <f>IFERROR(_xlfn.XLOOKUP(C2216,[1]AttributeName!$C:$C,[1]AttributeName!$B:$B),"")</f>
        <v>10307</v>
      </c>
      <c r="P2216" s="10"/>
      <c r="Q2216">
        <v>0.29</v>
      </c>
      <c r="R2216">
        <v>0.32</v>
      </c>
      <c r="S2216" cm="1">
        <f t="array" ref="S2216">IFERROR(_xlfn.SWITCH(L2216,1,_xlfn.XLOOKUP(O2216,[1]AttributeName!$B:$B,[1]AttributeName!$D:$D),2,_xlfn.XLOOKUP(C2216,#REF!,#REF!),3,_xlfn.XLOOKUP(C2216,#REF!,#REF!)),0)</f>
        <v>2</v>
      </c>
      <c r="T2216" cm="1">
        <f t="array" ref="T2216">IFERROR(_xlfn.SWITCH(L2216,1,_xlfn.XLOOKUP(O2216,[1]AttributeName!$B:$B,[1]AttributeName!$E:$E),2,_xlfn.XLOOKUP(C2216,#REF!,#REF!),3,_xlfn.XLOOKUP(C2216,#REF!,#REF!)),0)</f>
        <v>2</v>
      </c>
    </row>
    <row r="2217" customFormat="1" spans="1:20">
      <c r="A2217">
        <f t="shared" si="93"/>
        <v>910</v>
      </c>
      <c r="B2217">
        <v>4</v>
      </c>
      <c r="C2217" t="s">
        <v>388</v>
      </c>
      <c r="D2217" t="s">
        <v>32</v>
      </c>
      <c r="E2217" t="s">
        <v>378</v>
      </c>
      <c r="F2217"/>
      <c r="G2217">
        <v>1</v>
      </c>
      <c r="H2217">
        <v>1000</v>
      </c>
      <c r="I2217">
        <v>3</v>
      </c>
      <c r="J2217" cm="1">
        <f t="array" ref="J2217">_xlfn.SWITCH(B2217,1,75,2,61,3,49,4,37,5,25,6,13,7,4,8,1)</f>
        <v>37</v>
      </c>
      <c r="K2217" t="str" cm="1">
        <f t="array" ref="K2217">IFERROR(_xlfn.SWITCH(L2217,2,_xlfn.XLOOKUP(C2217,[1]ModifierDes!$B:$B,[1]ModifierDes!$C:$C),3,_xlfn.XLOOKUP(C2217,[1]StuntDes!$B:$B,[1]StuntDes!$C:$C)),"")</f>
        <v/>
      </c>
      <c r="L2217">
        <f t="shared" si="92"/>
        <v>1</v>
      </c>
      <c r="M2217" s="10" t="str">
        <f>IFERROR(_xlfn.XLOOKUP(C2217,[1]StuntDes!$B:$B,[1]StuntDes!$A:$A),"")</f>
        <v/>
      </c>
      <c r="N2217" s="10" t="str">
        <f>IFERROR(_xlfn.XLOOKUP(C2217,[1]ModifierDes!$B:$B,[1]ModifierDes!$A:$A),"")</f>
        <v/>
      </c>
      <c r="O2217" s="10">
        <f>IFERROR(_xlfn.XLOOKUP(C2217,[1]AttributeName!$C:$C,[1]AttributeName!$B:$B),"")</f>
        <v>10307</v>
      </c>
      <c r="P2217" s="10"/>
      <c r="Q2217">
        <v>0.24</v>
      </c>
      <c r="R2217">
        <v>0.28</v>
      </c>
      <c r="S2217" cm="1">
        <f t="array" ref="S2217">IFERROR(_xlfn.SWITCH(L2217,1,_xlfn.XLOOKUP(O2217,[1]AttributeName!$B:$B,[1]AttributeName!$D:$D),2,_xlfn.XLOOKUP(C2217,#REF!,#REF!),3,_xlfn.XLOOKUP(C2217,#REF!,#REF!)),0)</f>
        <v>2</v>
      </c>
      <c r="T2217" cm="1">
        <f t="array" ref="T2217">IFERROR(_xlfn.SWITCH(L2217,1,_xlfn.XLOOKUP(O2217,[1]AttributeName!$B:$B,[1]AttributeName!$E:$E),2,_xlfn.XLOOKUP(C2217,#REF!,#REF!),3,_xlfn.XLOOKUP(C2217,#REF!,#REF!)),0)</f>
        <v>2</v>
      </c>
    </row>
    <row r="2218" customFormat="1" spans="1:20">
      <c r="A2218">
        <f t="shared" si="93"/>
        <v>910</v>
      </c>
      <c r="B2218">
        <v>5</v>
      </c>
      <c r="C2218" t="s">
        <v>388</v>
      </c>
      <c r="D2218" t="s">
        <v>32</v>
      </c>
      <c r="E2218" t="s">
        <v>378</v>
      </c>
      <c r="F2218"/>
      <c r="G2218">
        <v>1</v>
      </c>
      <c r="H2218">
        <v>1000</v>
      </c>
      <c r="I2218">
        <v>3</v>
      </c>
      <c r="J2218" cm="1">
        <f t="array" ref="J2218">_xlfn.SWITCH(B2218,1,75,2,61,3,49,4,37,5,25,6,13,7,4,8,1)</f>
        <v>25</v>
      </c>
      <c r="K2218" t="str" cm="1">
        <f t="array" ref="K2218">IFERROR(_xlfn.SWITCH(L2218,2,_xlfn.XLOOKUP(C2218,[1]ModifierDes!$B:$B,[1]ModifierDes!$C:$C),3,_xlfn.XLOOKUP(C2218,[1]StuntDes!$B:$B,[1]StuntDes!$C:$C)),"")</f>
        <v/>
      </c>
      <c r="L2218">
        <f t="shared" si="92"/>
        <v>1</v>
      </c>
      <c r="M2218" s="10" t="str">
        <f>IFERROR(_xlfn.XLOOKUP(C2218,[1]StuntDes!$B:$B,[1]StuntDes!$A:$A),"")</f>
        <v/>
      </c>
      <c r="N2218" s="10" t="str">
        <f>IFERROR(_xlfn.XLOOKUP(C2218,[1]ModifierDes!$B:$B,[1]ModifierDes!$A:$A),"")</f>
        <v/>
      </c>
      <c r="O2218" s="10">
        <f>IFERROR(_xlfn.XLOOKUP(C2218,[1]AttributeName!$C:$C,[1]AttributeName!$B:$B),"")</f>
        <v>10307</v>
      </c>
      <c r="P2218" s="10"/>
      <c r="Q2218">
        <v>0.2</v>
      </c>
      <c r="R2218">
        <v>0.23</v>
      </c>
      <c r="S2218" cm="1">
        <f t="array" ref="S2218">IFERROR(_xlfn.SWITCH(L2218,1,_xlfn.XLOOKUP(O2218,[1]AttributeName!$B:$B,[1]AttributeName!$D:$D),2,_xlfn.XLOOKUP(C2218,#REF!,#REF!),3,_xlfn.XLOOKUP(C2218,#REF!,#REF!)),0)</f>
        <v>2</v>
      </c>
      <c r="T2218" cm="1">
        <f t="array" ref="T2218">IFERROR(_xlfn.SWITCH(L2218,1,_xlfn.XLOOKUP(O2218,[1]AttributeName!$B:$B,[1]AttributeName!$E:$E),2,_xlfn.XLOOKUP(C2218,#REF!,#REF!),3,_xlfn.XLOOKUP(C2218,#REF!,#REF!)),0)</f>
        <v>2</v>
      </c>
    </row>
    <row r="2219" customFormat="1" spans="1:20">
      <c r="A2219">
        <f t="shared" si="93"/>
        <v>910</v>
      </c>
      <c r="B2219">
        <v>6</v>
      </c>
      <c r="C2219" t="s">
        <v>388</v>
      </c>
      <c r="D2219" t="s">
        <v>32</v>
      </c>
      <c r="E2219" t="s">
        <v>378</v>
      </c>
      <c r="F2219"/>
      <c r="G2219">
        <v>1</v>
      </c>
      <c r="H2219">
        <v>1000</v>
      </c>
      <c r="I2219">
        <v>3</v>
      </c>
      <c r="J2219" cm="1">
        <f t="array" ref="J2219">_xlfn.SWITCH(B2219,1,75,2,61,3,49,4,37,5,25,6,13,7,4,8,1)</f>
        <v>13</v>
      </c>
      <c r="K2219" t="str" cm="1">
        <f t="array" ref="K2219">IFERROR(_xlfn.SWITCH(L2219,2,_xlfn.XLOOKUP(C2219,[1]ModifierDes!$B:$B,[1]ModifierDes!$C:$C),3,_xlfn.XLOOKUP(C2219,[1]StuntDes!$B:$B,[1]StuntDes!$C:$C)),"")</f>
        <v/>
      </c>
      <c r="L2219">
        <f t="shared" si="92"/>
        <v>1</v>
      </c>
      <c r="M2219" s="10" t="str">
        <f>IFERROR(_xlfn.XLOOKUP(C2219,[1]StuntDes!$B:$B,[1]StuntDes!$A:$A),"")</f>
        <v/>
      </c>
      <c r="N2219" s="10" t="str">
        <f>IFERROR(_xlfn.XLOOKUP(C2219,[1]ModifierDes!$B:$B,[1]ModifierDes!$A:$A),"")</f>
        <v/>
      </c>
      <c r="O2219" s="10">
        <f>IFERROR(_xlfn.XLOOKUP(C2219,[1]AttributeName!$C:$C,[1]AttributeName!$B:$B),"")</f>
        <v>10307</v>
      </c>
      <c r="P2219" s="10"/>
      <c r="Q2219">
        <v>0.15</v>
      </c>
      <c r="R2219">
        <v>0.19</v>
      </c>
      <c r="S2219" cm="1">
        <f t="array" ref="S2219">IFERROR(_xlfn.SWITCH(L2219,1,_xlfn.XLOOKUP(O2219,[1]AttributeName!$B:$B,[1]AttributeName!$D:$D),2,_xlfn.XLOOKUP(C2219,#REF!,#REF!),3,_xlfn.XLOOKUP(C2219,#REF!,#REF!)),0)</f>
        <v>2</v>
      </c>
      <c r="T2219" cm="1">
        <f t="array" ref="T2219">IFERROR(_xlfn.SWITCH(L2219,1,_xlfn.XLOOKUP(O2219,[1]AttributeName!$B:$B,[1]AttributeName!$E:$E),2,_xlfn.XLOOKUP(C2219,#REF!,#REF!),3,_xlfn.XLOOKUP(C2219,#REF!,#REF!)),0)</f>
        <v>2</v>
      </c>
    </row>
    <row r="2220" customFormat="1" spans="1:20">
      <c r="A2220">
        <f t="shared" si="93"/>
        <v>910</v>
      </c>
      <c r="B2220">
        <v>7</v>
      </c>
      <c r="C2220" t="s">
        <v>388</v>
      </c>
      <c r="D2220" t="s">
        <v>32</v>
      </c>
      <c r="E2220" t="s">
        <v>378</v>
      </c>
      <c r="F2220"/>
      <c r="G2220">
        <v>1</v>
      </c>
      <c r="H2220">
        <v>1000</v>
      </c>
      <c r="I2220">
        <v>3</v>
      </c>
      <c r="J2220" cm="1">
        <f t="array" ref="J2220">_xlfn.SWITCH(B2220,1,75,2,61,3,49,4,37,5,25,6,13,7,4,8,1)</f>
        <v>4</v>
      </c>
      <c r="K2220" t="str" cm="1">
        <f t="array" ref="K2220">IFERROR(_xlfn.SWITCH(L2220,2,_xlfn.XLOOKUP(C2220,[1]ModifierDes!$B:$B,[1]ModifierDes!$C:$C),3,_xlfn.XLOOKUP(C2220,[1]StuntDes!$B:$B,[1]StuntDes!$C:$C)),"")</f>
        <v/>
      </c>
      <c r="L2220">
        <f t="shared" si="92"/>
        <v>1</v>
      </c>
      <c r="M2220" s="10" t="str">
        <f>IFERROR(_xlfn.XLOOKUP(C2220,[1]StuntDes!$B:$B,[1]StuntDes!$A:$A),"")</f>
        <v/>
      </c>
      <c r="N2220" s="10" t="str">
        <f>IFERROR(_xlfn.XLOOKUP(C2220,[1]ModifierDes!$B:$B,[1]ModifierDes!$A:$A),"")</f>
        <v/>
      </c>
      <c r="O2220" s="10">
        <f>IFERROR(_xlfn.XLOOKUP(C2220,[1]AttributeName!$C:$C,[1]AttributeName!$B:$B),"")</f>
        <v>10307</v>
      </c>
      <c r="P2220" s="10"/>
      <c r="Q2220">
        <v>0.11</v>
      </c>
      <c r="R2220">
        <v>0.14</v>
      </c>
      <c r="S2220" cm="1">
        <f t="array" ref="S2220">IFERROR(_xlfn.SWITCH(L2220,1,_xlfn.XLOOKUP(O2220,[1]AttributeName!$B:$B,[1]AttributeName!$D:$D),2,_xlfn.XLOOKUP(C2220,#REF!,#REF!),3,_xlfn.XLOOKUP(C2220,#REF!,#REF!)),0)</f>
        <v>2</v>
      </c>
      <c r="T2220" cm="1">
        <f t="array" ref="T2220">IFERROR(_xlfn.SWITCH(L2220,1,_xlfn.XLOOKUP(O2220,[1]AttributeName!$B:$B,[1]AttributeName!$E:$E),2,_xlfn.XLOOKUP(C2220,#REF!,#REF!),3,_xlfn.XLOOKUP(C2220,#REF!,#REF!)),0)</f>
        <v>2</v>
      </c>
    </row>
    <row r="2221" customFormat="1" spans="1:20">
      <c r="A2221">
        <f t="shared" si="93"/>
        <v>910</v>
      </c>
      <c r="B2221">
        <v>8</v>
      </c>
      <c r="C2221" t="s">
        <v>388</v>
      </c>
      <c r="D2221" t="s">
        <v>32</v>
      </c>
      <c r="E2221" t="s">
        <v>378</v>
      </c>
      <c r="F2221"/>
      <c r="G2221">
        <v>1</v>
      </c>
      <c r="H2221">
        <v>1000</v>
      </c>
      <c r="I2221">
        <v>3</v>
      </c>
      <c r="J2221" cm="1">
        <f t="array" ref="J2221">_xlfn.SWITCH(B2221,1,75,2,61,3,49,4,37,5,25,6,13,7,4,8,1)</f>
        <v>1</v>
      </c>
      <c r="K2221" t="str" cm="1">
        <f t="array" ref="K2221">IFERROR(_xlfn.SWITCH(L2221,2,_xlfn.XLOOKUP(C2221,[1]ModifierDes!$B:$B,[1]ModifierDes!$C:$C),3,_xlfn.XLOOKUP(C2221,[1]StuntDes!$B:$B,[1]StuntDes!$C:$C)),"")</f>
        <v/>
      </c>
      <c r="L2221">
        <f t="shared" si="92"/>
        <v>1</v>
      </c>
      <c r="M2221" s="10" t="str">
        <f>IFERROR(_xlfn.XLOOKUP(C2221,[1]StuntDes!$B:$B,[1]StuntDes!$A:$A),"")</f>
        <v/>
      </c>
      <c r="N2221" s="10" t="str">
        <f>IFERROR(_xlfn.XLOOKUP(C2221,[1]ModifierDes!$B:$B,[1]ModifierDes!$A:$A),"")</f>
        <v/>
      </c>
      <c r="O2221" s="10">
        <f>IFERROR(_xlfn.XLOOKUP(C2221,[1]AttributeName!$C:$C,[1]AttributeName!$B:$B),"")</f>
        <v>10307</v>
      </c>
      <c r="P2221" s="10"/>
      <c r="Q2221">
        <v>0.06</v>
      </c>
      <c r="R2221">
        <v>0.1</v>
      </c>
      <c r="S2221" cm="1">
        <f t="array" ref="S2221">IFERROR(_xlfn.SWITCH(L2221,1,_xlfn.XLOOKUP(O2221,[1]AttributeName!$B:$B,[1]AttributeName!$D:$D),2,_xlfn.XLOOKUP(C2221,#REF!,#REF!),3,_xlfn.XLOOKUP(C2221,#REF!,#REF!)),0)</f>
        <v>2</v>
      </c>
      <c r="T2221" cm="1">
        <f t="array" ref="T2221">IFERROR(_xlfn.SWITCH(L2221,1,_xlfn.XLOOKUP(O2221,[1]AttributeName!$B:$B,[1]AttributeName!$E:$E),2,_xlfn.XLOOKUP(C2221,#REF!,#REF!),3,_xlfn.XLOOKUP(C2221,#REF!,#REF!)),0)</f>
        <v>2</v>
      </c>
    </row>
    <row r="2222" customFormat="1" spans="1:20">
      <c r="A2222">
        <f t="shared" si="93"/>
        <v>911</v>
      </c>
      <c r="B2222">
        <v>1</v>
      </c>
      <c r="C2222" t="s">
        <v>389</v>
      </c>
      <c r="D2222" t="s">
        <v>32</v>
      </c>
      <c r="E2222" t="s">
        <v>378</v>
      </c>
      <c r="F2222"/>
      <c r="G2222">
        <v>1</v>
      </c>
      <c r="H2222">
        <v>1000</v>
      </c>
      <c r="J2222" cm="1">
        <f t="array" ref="J2222">_xlfn.SWITCH(B2222,1,75,2,61,3,49,4,37,5,25,6,13,7,4,8,1)</f>
        <v>75</v>
      </c>
      <c r="K2222" t="str" cm="1">
        <f t="array" ref="K2222">IFERROR(_xlfn.SWITCH(L2222,2,_xlfn.XLOOKUP(C2222,[1]ModifierDes!$B:$B,[1]ModifierDes!$C:$C),3,_xlfn.XLOOKUP(C2222,[1]StuntDes!$B:$B,[1]StuntDes!$C:$C)),"")</f>
        <v/>
      </c>
      <c r="L2222">
        <f t="shared" si="92"/>
        <v>1</v>
      </c>
      <c r="M2222" s="10" t="str">
        <f>IFERROR(_xlfn.XLOOKUP(C2222,[1]StuntDes!$B:$B,[1]StuntDes!$A:$A),"")</f>
        <v/>
      </c>
      <c r="N2222" s="10" t="str">
        <f>IFERROR(_xlfn.XLOOKUP(C2222,[1]ModifierDes!$B:$B,[1]ModifierDes!$A:$A),"")</f>
        <v/>
      </c>
      <c r="O2222" s="10">
        <f>IFERROR(_xlfn.XLOOKUP(C2222,[1]AttributeName!$C:$C,[1]AttributeName!$B:$B),"")</f>
        <v>10001</v>
      </c>
      <c r="P2222" s="10"/>
      <c r="Q2222">
        <v>950</v>
      </c>
      <c r="R2222">
        <v>1050</v>
      </c>
      <c r="S2222" cm="1">
        <f t="array" ref="S2222">IFERROR(_xlfn.SWITCH(L2222,1,_xlfn.XLOOKUP(O2222,[1]AttributeName!$B:$B,[1]AttributeName!$D:$D),2,_xlfn.XLOOKUP(C2222,#REF!,#REF!),3,_xlfn.XLOOKUP(C2222,#REF!,#REF!)),0)</f>
        <v>0</v>
      </c>
      <c r="T2222" cm="1">
        <f t="array" ref="T2222">IFERROR(_xlfn.SWITCH(L2222,1,_xlfn.XLOOKUP(O2222,[1]AttributeName!$B:$B,[1]AttributeName!$E:$E),2,_xlfn.XLOOKUP(C2222,#REF!,#REF!),3,_xlfn.XLOOKUP(C2222,#REF!,#REF!)),0)</f>
        <v>1</v>
      </c>
    </row>
    <row r="2223" customFormat="1" spans="1:20">
      <c r="A2223">
        <f t="shared" si="93"/>
        <v>911</v>
      </c>
      <c r="B2223">
        <v>2</v>
      </c>
      <c r="C2223" t="s">
        <v>389</v>
      </c>
      <c r="D2223" t="s">
        <v>32</v>
      </c>
      <c r="E2223" t="s">
        <v>378</v>
      </c>
      <c r="F2223"/>
      <c r="G2223">
        <v>1</v>
      </c>
      <c r="H2223">
        <v>1000</v>
      </c>
      <c r="J2223" cm="1">
        <f t="array" ref="J2223">_xlfn.SWITCH(B2223,1,75,2,61,3,49,4,37,5,25,6,13,7,4,8,1)</f>
        <v>61</v>
      </c>
      <c r="K2223" t="str" cm="1">
        <f t="array" ref="K2223">IFERROR(_xlfn.SWITCH(L2223,2,_xlfn.XLOOKUP(C2223,[1]ModifierDes!$B:$B,[1]ModifierDes!$C:$C),3,_xlfn.XLOOKUP(C2223,[1]StuntDes!$B:$B,[1]StuntDes!$C:$C)),"")</f>
        <v/>
      </c>
      <c r="L2223">
        <f t="shared" si="92"/>
        <v>1</v>
      </c>
      <c r="M2223" s="10" t="str">
        <f>IFERROR(_xlfn.XLOOKUP(C2223,[1]StuntDes!$B:$B,[1]StuntDes!$A:$A),"")</f>
        <v/>
      </c>
      <c r="N2223" s="10" t="str">
        <f>IFERROR(_xlfn.XLOOKUP(C2223,[1]ModifierDes!$B:$B,[1]ModifierDes!$A:$A),"")</f>
        <v/>
      </c>
      <c r="O2223" s="10">
        <f>IFERROR(_xlfn.XLOOKUP(C2223,[1]AttributeName!$C:$C,[1]AttributeName!$B:$B),"")</f>
        <v>10001</v>
      </c>
      <c r="P2223" s="10"/>
      <c r="Q2223">
        <v>520</v>
      </c>
      <c r="R2223">
        <v>600</v>
      </c>
      <c r="S2223" cm="1">
        <f t="array" ref="S2223">IFERROR(_xlfn.SWITCH(L2223,1,_xlfn.XLOOKUP(O2223,[1]AttributeName!$B:$B,[1]AttributeName!$D:$D),2,_xlfn.XLOOKUP(C2223,#REF!,#REF!),3,_xlfn.XLOOKUP(C2223,#REF!,#REF!)),0)</f>
        <v>0</v>
      </c>
      <c r="T2223" cm="1">
        <f t="array" ref="T2223">IFERROR(_xlfn.SWITCH(L2223,1,_xlfn.XLOOKUP(O2223,[1]AttributeName!$B:$B,[1]AttributeName!$E:$E),2,_xlfn.XLOOKUP(C2223,#REF!,#REF!),3,_xlfn.XLOOKUP(C2223,#REF!,#REF!)),0)</f>
        <v>1</v>
      </c>
    </row>
    <row r="2224" customFormat="1" spans="1:20">
      <c r="A2224">
        <f t="shared" si="93"/>
        <v>911</v>
      </c>
      <c r="B2224">
        <v>3</v>
      </c>
      <c r="C2224" t="s">
        <v>389</v>
      </c>
      <c r="D2224" t="s">
        <v>32</v>
      </c>
      <c r="E2224" t="s">
        <v>378</v>
      </c>
      <c r="F2224"/>
      <c r="G2224">
        <v>1</v>
      </c>
      <c r="H2224">
        <v>1000</v>
      </c>
      <c r="J2224" cm="1">
        <f t="array" ref="J2224">_xlfn.SWITCH(B2224,1,75,2,61,3,49,4,37,5,25,6,13,7,4,8,1)</f>
        <v>49</v>
      </c>
      <c r="K2224" t="str" cm="1">
        <f t="array" ref="K2224">IFERROR(_xlfn.SWITCH(L2224,2,_xlfn.XLOOKUP(C2224,[1]ModifierDes!$B:$B,[1]ModifierDes!$C:$C),3,_xlfn.XLOOKUP(C2224,[1]StuntDes!$B:$B,[1]StuntDes!$C:$C)),"")</f>
        <v/>
      </c>
      <c r="L2224">
        <f t="shared" si="92"/>
        <v>1</v>
      </c>
      <c r="M2224" s="10" t="str">
        <f>IFERROR(_xlfn.XLOOKUP(C2224,[1]StuntDes!$B:$B,[1]StuntDes!$A:$A),"")</f>
        <v/>
      </c>
      <c r="N2224" s="10" t="str">
        <f>IFERROR(_xlfn.XLOOKUP(C2224,[1]ModifierDes!$B:$B,[1]ModifierDes!$A:$A),"")</f>
        <v/>
      </c>
      <c r="O2224" s="10">
        <f>IFERROR(_xlfn.XLOOKUP(C2224,[1]AttributeName!$C:$C,[1]AttributeName!$B:$B),"")</f>
        <v>10001</v>
      </c>
      <c r="P2224" s="10"/>
      <c r="Q2224">
        <v>250</v>
      </c>
      <c r="R2224">
        <v>310</v>
      </c>
      <c r="S2224" cm="1">
        <f t="array" ref="S2224">IFERROR(_xlfn.SWITCH(L2224,1,_xlfn.XLOOKUP(O2224,[1]AttributeName!$B:$B,[1]AttributeName!$D:$D),2,_xlfn.XLOOKUP(C2224,#REF!,#REF!),3,_xlfn.XLOOKUP(C2224,#REF!,#REF!)),0)</f>
        <v>0</v>
      </c>
      <c r="T2224" cm="1">
        <f t="array" ref="T2224">IFERROR(_xlfn.SWITCH(L2224,1,_xlfn.XLOOKUP(O2224,[1]AttributeName!$B:$B,[1]AttributeName!$E:$E),2,_xlfn.XLOOKUP(C2224,#REF!,#REF!),3,_xlfn.XLOOKUP(C2224,#REF!,#REF!)),0)</f>
        <v>1</v>
      </c>
    </row>
    <row r="2225" customFormat="1" spans="1:20">
      <c r="A2225">
        <f t="shared" si="93"/>
        <v>911</v>
      </c>
      <c r="B2225">
        <v>4</v>
      </c>
      <c r="C2225" t="s">
        <v>389</v>
      </c>
      <c r="D2225" t="s">
        <v>32</v>
      </c>
      <c r="E2225" t="s">
        <v>378</v>
      </c>
      <c r="F2225"/>
      <c r="G2225">
        <v>1</v>
      </c>
      <c r="H2225">
        <v>1000</v>
      </c>
      <c r="J2225" cm="1">
        <f t="array" ref="J2225">_xlfn.SWITCH(B2225,1,75,2,61,3,49,4,37,5,25,6,13,7,4,8,1)</f>
        <v>37</v>
      </c>
      <c r="K2225" t="str" cm="1">
        <f t="array" ref="K2225">IFERROR(_xlfn.SWITCH(L2225,2,_xlfn.XLOOKUP(C2225,[1]ModifierDes!$B:$B,[1]ModifierDes!$C:$C),3,_xlfn.XLOOKUP(C2225,[1]StuntDes!$B:$B,[1]StuntDes!$C:$C)),"")</f>
        <v/>
      </c>
      <c r="L2225">
        <f t="shared" si="92"/>
        <v>1</v>
      </c>
      <c r="M2225" s="10" t="str">
        <f>IFERROR(_xlfn.XLOOKUP(C2225,[1]StuntDes!$B:$B,[1]StuntDes!$A:$A),"")</f>
        <v/>
      </c>
      <c r="N2225" s="10" t="str">
        <f>IFERROR(_xlfn.XLOOKUP(C2225,[1]ModifierDes!$B:$B,[1]ModifierDes!$A:$A),"")</f>
        <v/>
      </c>
      <c r="O2225" s="10">
        <f>IFERROR(_xlfn.XLOOKUP(C2225,[1]AttributeName!$C:$C,[1]AttributeName!$B:$B),"")</f>
        <v>10001</v>
      </c>
      <c r="P2225" s="10"/>
      <c r="Q2225">
        <v>120</v>
      </c>
      <c r="R2225">
        <v>160</v>
      </c>
      <c r="S2225" cm="1">
        <f t="array" ref="S2225">IFERROR(_xlfn.SWITCH(L2225,1,_xlfn.XLOOKUP(O2225,[1]AttributeName!$B:$B,[1]AttributeName!$D:$D),2,_xlfn.XLOOKUP(C2225,#REF!,#REF!),3,_xlfn.XLOOKUP(C2225,#REF!,#REF!)),0)</f>
        <v>0</v>
      </c>
      <c r="T2225" cm="1">
        <f t="array" ref="T2225">IFERROR(_xlfn.SWITCH(L2225,1,_xlfn.XLOOKUP(O2225,[1]AttributeName!$B:$B,[1]AttributeName!$E:$E),2,_xlfn.XLOOKUP(C2225,#REF!,#REF!),3,_xlfn.XLOOKUP(C2225,#REF!,#REF!)),0)</f>
        <v>1</v>
      </c>
    </row>
    <row r="2226" customFormat="1" spans="1:20">
      <c r="A2226">
        <f t="shared" si="93"/>
        <v>911</v>
      </c>
      <c r="B2226">
        <v>5</v>
      </c>
      <c r="C2226" t="s">
        <v>389</v>
      </c>
      <c r="D2226" t="s">
        <v>32</v>
      </c>
      <c r="E2226" t="s">
        <v>378</v>
      </c>
      <c r="F2226"/>
      <c r="G2226">
        <v>1</v>
      </c>
      <c r="H2226">
        <v>1000</v>
      </c>
      <c r="J2226" cm="1">
        <f t="array" ref="J2226">_xlfn.SWITCH(B2226,1,75,2,61,3,49,4,37,5,25,6,13,7,4,8,1)</f>
        <v>25</v>
      </c>
      <c r="K2226" t="str" cm="1">
        <f t="array" ref="K2226">IFERROR(_xlfn.SWITCH(L2226,2,_xlfn.XLOOKUP(C2226,[1]ModifierDes!$B:$B,[1]ModifierDes!$C:$C),3,_xlfn.XLOOKUP(C2226,[1]StuntDes!$B:$B,[1]StuntDes!$C:$C)),"")</f>
        <v/>
      </c>
      <c r="L2226">
        <f t="shared" si="92"/>
        <v>1</v>
      </c>
      <c r="M2226" s="10" t="str">
        <f>IFERROR(_xlfn.XLOOKUP(C2226,[1]StuntDes!$B:$B,[1]StuntDes!$A:$A),"")</f>
        <v/>
      </c>
      <c r="N2226" s="10" t="str">
        <f>IFERROR(_xlfn.XLOOKUP(C2226,[1]ModifierDes!$B:$B,[1]ModifierDes!$A:$A),"")</f>
        <v/>
      </c>
      <c r="O2226" s="10">
        <f>IFERROR(_xlfn.XLOOKUP(C2226,[1]AttributeName!$C:$C,[1]AttributeName!$B:$B),"")</f>
        <v>10001</v>
      </c>
      <c r="P2226" s="10"/>
      <c r="Q2226">
        <v>60</v>
      </c>
      <c r="R2226">
        <v>80</v>
      </c>
      <c r="S2226" cm="1">
        <f t="array" ref="S2226">IFERROR(_xlfn.SWITCH(L2226,1,_xlfn.XLOOKUP(O2226,[1]AttributeName!$B:$B,[1]AttributeName!$D:$D),2,_xlfn.XLOOKUP(C2226,#REF!,#REF!),3,_xlfn.XLOOKUP(C2226,#REF!,#REF!)),0)</f>
        <v>0</v>
      </c>
      <c r="T2226" cm="1">
        <f t="array" ref="T2226">IFERROR(_xlfn.SWITCH(L2226,1,_xlfn.XLOOKUP(O2226,[1]AttributeName!$B:$B,[1]AttributeName!$E:$E),2,_xlfn.XLOOKUP(C2226,#REF!,#REF!),3,_xlfn.XLOOKUP(C2226,#REF!,#REF!)),0)</f>
        <v>1</v>
      </c>
    </row>
    <row r="2227" customFormat="1" spans="1:20">
      <c r="A2227">
        <f t="shared" si="93"/>
        <v>911</v>
      </c>
      <c r="B2227">
        <v>6</v>
      </c>
      <c r="C2227" t="s">
        <v>389</v>
      </c>
      <c r="D2227" t="s">
        <v>32</v>
      </c>
      <c r="E2227" t="s">
        <v>378</v>
      </c>
      <c r="F2227"/>
      <c r="G2227">
        <v>1</v>
      </c>
      <c r="H2227">
        <v>1000</v>
      </c>
      <c r="J2227" cm="1">
        <f t="array" ref="J2227">_xlfn.SWITCH(B2227,1,75,2,61,3,49,4,37,5,25,6,13,7,4,8,1)</f>
        <v>13</v>
      </c>
      <c r="K2227" t="str" cm="1">
        <f t="array" ref="K2227">IFERROR(_xlfn.SWITCH(L2227,2,_xlfn.XLOOKUP(C2227,[1]ModifierDes!$B:$B,[1]ModifierDes!$C:$C),3,_xlfn.XLOOKUP(C2227,[1]StuntDes!$B:$B,[1]StuntDes!$C:$C)),"")</f>
        <v/>
      </c>
      <c r="L2227">
        <f t="shared" si="92"/>
        <v>1</v>
      </c>
      <c r="M2227" s="10" t="str">
        <f>IFERROR(_xlfn.XLOOKUP(C2227,[1]StuntDes!$B:$B,[1]StuntDes!$A:$A),"")</f>
        <v/>
      </c>
      <c r="N2227" s="10" t="str">
        <f>IFERROR(_xlfn.XLOOKUP(C2227,[1]ModifierDes!$B:$B,[1]ModifierDes!$A:$A),"")</f>
        <v/>
      </c>
      <c r="O2227" s="10">
        <f>IFERROR(_xlfn.XLOOKUP(C2227,[1]AttributeName!$C:$C,[1]AttributeName!$B:$B),"")</f>
        <v>10001</v>
      </c>
      <c r="P2227" s="10"/>
      <c r="Q2227">
        <v>30</v>
      </c>
      <c r="R2227">
        <v>40</v>
      </c>
      <c r="S2227" cm="1">
        <f t="array" ref="S2227">IFERROR(_xlfn.SWITCH(L2227,1,_xlfn.XLOOKUP(O2227,[1]AttributeName!$B:$B,[1]AttributeName!$D:$D),2,_xlfn.XLOOKUP(C2227,#REF!,#REF!),3,_xlfn.XLOOKUP(C2227,#REF!,#REF!)),0)</f>
        <v>0</v>
      </c>
      <c r="T2227" cm="1">
        <f t="array" ref="T2227">IFERROR(_xlfn.SWITCH(L2227,1,_xlfn.XLOOKUP(O2227,[1]AttributeName!$B:$B,[1]AttributeName!$E:$E),2,_xlfn.XLOOKUP(C2227,#REF!,#REF!),3,_xlfn.XLOOKUP(C2227,#REF!,#REF!)),0)</f>
        <v>1</v>
      </c>
    </row>
    <row r="2228" customFormat="1" spans="1:20">
      <c r="A2228">
        <f t="shared" si="93"/>
        <v>911</v>
      </c>
      <c r="B2228">
        <v>7</v>
      </c>
      <c r="C2228" t="s">
        <v>389</v>
      </c>
      <c r="D2228" t="s">
        <v>32</v>
      </c>
      <c r="E2228" t="s">
        <v>378</v>
      </c>
      <c r="F2228"/>
      <c r="G2228">
        <v>1</v>
      </c>
      <c r="H2228">
        <v>1000</v>
      </c>
      <c r="J2228" cm="1">
        <f t="array" ref="J2228">_xlfn.SWITCH(B2228,1,75,2,61,3,49,4,37,5,25,6,13,7,4,8,1)</f>
        <v>4</v>
      </c>
      <c r="K2228" t="str" cm="1">
        <f t="array" ref="K2228">IFERROR(_xlfn.SWITCH(L2228,2,_xlfn.XLOOKUP(C2228,[1]ModifierDes!$B:$B,[1]ModifierDes!$C:$C),3,_xlfn.XLOOKUP(C2228,[1]StuntDes!$B:$B,[1]StuntDes!$C:$C)),"")</f>
        <v/>
      </c>
      <c r="L2228">
        <f t="shared" si="92"/>
        <v>1</v>
      </c>
      <c r="M2228" s="10" t="str">
        <f>IFERROR(_xlfn.XLOOKUP(C2228,[1]StuntDes!$B:$B,[1]StuntDes!$A:$A),"")</f>
        <v/>
      </c>
      <c r="N2228" s="10" t="str">
        <f>IFERROR(_xlfn.XLOOKUP(C2228,[1]ModifierDes!$B:$B,[1]ModifierDes!$A:$A),"")</f>
        <v/>
      </c>
      <c r="O2228" s="10">
        <f>IFERROR(_xlfn.XLOOKUP(C2228,[1]AttributeName!$C:$C,[1]AttributeName!$B:$B),"")</f>
        <v>10001</v>
      </c>
      <c r="P2228" s="10"/>
      <c r="Q2228">
        <v>12</v>
      </c>
      <c r="R2228">
        <v>20</v>
      </c>
      <c r="S2228" cm="1">
        <f t="array" ref="S2228">IFERROR(_xlfn.SWITCH(L2228,1,_xlfn.XLOOKUP(O2228,[1]AttributeName!$B:$B,[1]AttributeName!$D:$D),2,_xlfn.XLOOKUP(C2228,#REF!,#REF!),3,_xlfn.XLOOKUP(C2228,#REF!,#REF!)),0)</f>
        <v>0</v>
      </c>
      <c r="T2228" cm="1">
        <f t="array" ref="T2228">IFERROR(_xlfn.SWITCH(L2228,1,_xlfn.XLOOKUP(O2228,[1]AttributeName!$B:$B,[1]AttributeName!$E:$E),2,_xlfn.XLOOKUP(C2228,#REF!,#REF!),3,_xlfn.XLOOKUP(C2228,#REF!,#REF!)),0)</f>
        <v>1</v>
      </c>
    </row>
    <row r="2229" customFormat="1" spans="1:20">
      <c r="A2229">
        <f t="shared" si="93"/>
        <v>911</v>
      </c>
      <c r="B2229">
        <v>8</v>
      </c>
      <c r="C2229" t="s">
        <v>389</v>
      </c>
      <c r="D2229" t="s">
        <v>32</v>
      </c>
      <c r="E2229" t="s">
        <v>378</v>
      </c>
      <c r="F2229"/>
      <c r="G2229">
        <v>1</v>
      </c>
      <c r="H2229">
        <v>1000</v>
      </c>
      <c r="J2229" cm="1">
        <f t="array" ref="J2229">_xlfn.SWITCH(B2229,1,75,2,61,3,49,4,37,5,25,6,13,7,4,8,1)</f>
        <v>1</v>
      </c>
      <c r="K2229" t="str" cm="1">
        <f t="array" ref="K2229">IFERROR(_xlfn.SWITCH(L2229,2,_xlfn.XLOOKUP(C2229,[1]ModifierDes!$B:$B,[1]ModifierDes!$C:$C),3,_xlfn.XLOOKUP(C2229,[1]StuntDes!$B:$B,[1]StuntDes!$C:$C)),"")</f>
        <v/>
      </c>
      <c r="L2229">
        <f t="shared" si="92"/>
        <v>1</v>
      </c>
      <c r="M2229" s="10" t="str">
        <f>IFERROR(_xlfn.XLOOKUP(C2229,[1]StuntDes!$B:$B,[1]StuntDes!$A:$A),"")</f>
        <v/>
      </c>
      <c r="N2229" s="10" t="str">
        <f>IFERROR(_xlfn.XLOOKUP(C2229,[1]ModifierDes!$B:$B,[1]ModifierDes!$A:$A),"")</f>
        <v/>
      </c>
      <c r="O2229" s="10">
        <f>IFERROR(_xlfn.XLOOKUP(C2229,[1]AttributeName!$C:$C,[1]AttributeName!$B:$B),"")</f>
        <v>10001</v>
      </c>
      <c r="P2229" s="10"/>
      <c r="Q2229">
        <v>6</v>
      </c>
      <c r="R2229">
        <v>10</v>
      </c>
      <c r="S2229" cm="1">
        <f t="array" ref="S2229">IFERROR(_xlfn.SWITCH(L2229,1,_xlfn.XLOOKUP(O2229,[1]AttributeName!$B:$B,[1]AttributeName!$D:$D),2,_xlfn.XLOOKUP(C2229,#REF!,#REF!),3,_xlfn.XLOOKUP(C2229,#REF!,#REF!)),0)</f>
        <v>0</v>
      </c>
      <c r="T2229" cm="1">
        <f t="array" ref="T2229">IFERROR(_xlfn.SWITCH(L2229,1,_xlfn.XLOOKUP(O2229,[1]AttributeName!$B:$B,[1]AttributeName!$E:$E),2,_xlfn.XLOOKUP(C2229,#REF!,#REF!),3,_xlfn.XLOOKUP(C2229,#REF!,#REF!)),0)</f>
        <v>1</v>
      </c>
    </row>
    <row r="2230" customFormat="1" spans="1:20">
      <c r="A2230">
        <f t="shared" si="93"/>
        <v>912</v>
      </c>
      <c r="B2230">
        <v>1</v>
      </c>
      <c r="C2230" t="s">
        <v>416</v>
      </c>
      <c r="D2230" t="s">
        <v>32</v>
      </c>
      <c r="E2230" t="s">
        <v>378</v>
      </c>
      <c r="F2230"/>
      <c r="G2230">
        <v>1</v>
      </c>
      <c r="H2230">
        <v>1000</v>
      </c>
      <c r="J2230" cm="1">
        <f t="array" ref="J2230">_xlfn.SWITCH(B2230,1,75,2,61,3,49,4,37,5,25,6,13,7,4,8,1)</f>
        <v>75</v>
      </c>
      <c r="K2230" t="str" cm="1">
        <f t="array" ref="K2230">IFERROR(_xlfn.SWITCH(L2230,2,_xlfn.XLOOKUP(C2230,[1]ModifierDes!$B:$B,[1]ModifierDes!$C:$C),3,_xlfn.XLOOKUP(C2230,[1]StuntDes!$B:$B,[1]StuntDes!$C:$C)),"")</f>
        <v/>
      </c>
      <c r="L2230">
        <f t="shared" si="92"/>
        <v>1</v>
      </c>
      <c r="M2230" s="10" t="str">
        <f>IFERROR(_xlfn.XLOOKUP(C2230,[1]StuntDes!$B:$B,[1]StuntDes!$A:$A),"")</f>
        <v/>
      </c>
      <c r="N2230" s="10" t="str">
        <f>IFERROR(_xlfn.XLOOKUP(C2230,[1]ModifierDes!$B:$B,[1]ModifierDes!$A:$A),"")</f>
        <v/>
      </c>
      <c r="O2230" s="10">
        <f>IFERROR(_xlfn.XLOOKUP(C2230,[1]AttributeName!$C:$C,[1]AttributeName!$B:$B),"")</f>
        <v>10002</v>
      </c>
      <c r="P2230" s="10"/>
      <c r="Q2230">
        <v>36</v>
      </c>
      <c r="R2230">
        <v>40</v>
      </c>
      <c r="S2230" cm="1">
        <f t="array" ref="S2230">IFERROR(_xlfn.SWITCH(L2230,1,_xlfn.XLOOKUP(O2230,[1]AttributeName!$B:$B,[1]AttributeName!$D:$D),2,_xlfn.XLOOKUP(C2230,#REF!,#REF!),3,_xlfn.XLOOKUP(C2230,#REF!,#REF!)),0)</f>
        <v>0</v>
      </c>
      <c r="T2230" cm="1">
        <f t="array" ref="T2230">IFERROR(_xlfn.SWITCH(L2230,1,_xlfn.XLOOKUP(O2230,[1]AttributeName!$B:$B,[1]AttributeName!$E:$E),2,_xlfn.XLOOKUP(C2230,#REF!,#REF!),3,_xlfn.XLOOKUP(C2230,#REF!,#REF!)),0)</f>
        <v>1</v>
      </c>
    </row>
    <row r="2231" customFormat="1" spans="1:20">
      <c r="A2231">
        <f t="shared" si="93"/>
        <v>912</v>
      </c>
      <c r="B2231">
        <v>2</v>
      </c>
      <c r="C2231" t="s">
        <v>416</v>
      </c>
      <c r="D2231" t="s">
        <v>32</v>
      </c>
      <c r="E2231" t="s">
        <v>378</v>
      </c>
      <c r="F2231"/>
      <c r="G2231">
        <v>1</v>
      </c>
      <c r="H2231">
        <v>1000</v>
      </c>
      <c r="J2231" cm="1">
        <f t="array" ref="J2231">_xlfn.SWITCH(B2231,1,75,2,61,3,49,4,37,5,25,6,13,7,4,8,1)</f>
        <v>61</v>
      </c>
      <c r="K2231" t="str" cm="1">
        <f t="array" ref="K2231">IFERROR(_xlfn.SWITCH(L2231,2,_xlfn.XLOOKUP(C2231,[1]ModifierDes!$B:$B,[1]ModifierDes!$C:$C),3,_xlfn.XLOOKUP(C2231,[1]StuntDes!$B:$B,[1]StuntDes!$C:$C)),"")</f>
        <v/>
      </c>
      <c r="L2231">
        <f t="shared" si="92"/>
        <v>1</v>
      </c>
      <c r="M2231" s="10" t="str">
        <f>IFERROR(_xlfn.XLOOKUP(C2231,[1]StuntDes!$B:$B,[1]StuntDes!$A:$A),"")</f>
        <v/>
      </c>
      <c r="N2231" s="10" t="str">
        <f>IFERROR(_xlfn.XLOOKUP(C2231,[1]ModifierDes!$B:$B,[1]ModifierDes!$A:$A),"")</f>
        <v/>
      </c>
      <c r="O2231" s="10">
        <f>IFERROR(_xlfn.XLOOKUP(C2231,[1]AttributeName!$C:$C,[1]AttributeName!$B:$B),"")</f>
        <v>10002</v>
      </c>
      <c r="P2231" s="10"/>
      <c r="Q2231">
        <v>31</v>
      </c>
      <c r="R2231">
        <v>35</v>
      </c>
      <c r="S2231" cm="1">
        <f t="array" ref="S2231">IFERROR(_xlfn.SWITCH(L2231,1,_xlfn.XLOOKUP(O2231,[1]AttributeName!$B:$B,[1]AttributeName!$D:$D),2,_xlfn.XLOOKUP(C2231,#REF!,#REF!),3,_xlfn.XLOOKUP(C2231,#REF!,#REF!)),0)</f>
        <v>0</v>
      </c>
      <c r="T2231" cm="1">
        <f t="array" ref="T2231">IFERROR(_xlfn.SWITCH(L2231,1,_xlfn.XLOOKUP(O2231,[1]AttributeName!$B:$B,[1]AttributeName!$E:$E),2,_xlfn.XLOOKUP(C2231,#REF!,#REF!),3,_xlfn.XLOOKUP(C2231,#REF!,#REF!)),0)</f>
        <v>1</v>
      </c>
    </row>
    <row r="2232" customFormat="1" spans="1:20">
      <c r="A2232">
        <f t="shared" si="93"/>
        <v>912</v>
      </c>
      <c r="B2232">
        <v>3</v>
      </c>
      <c r="C2232" t="s">
        <v>416</v>
      </c>
      <c r="D2232" t="s">
        <v>32</v>
      </c>
      <c r="E2232" t="s">
        <v>378</v>
      </c>
      <c r="F2232"/>
      <c r="G2232">
        <v>1</v>
      </c>
      <c r="H2232">
        <v>1000</v>
      </c>
      <c r="J2232" cm="1">
        <f t="array" ref="J2232">_xlfn.SWITCH(B2232,1,75,2,61,3,49,4,37,5,25,6,13,7,4,8,1)</f>
        <v>49</v>
      </c>
      <c r="K2232" t="str" cm="1">
        <f t="array" ref="K2232">IFERROR(_xlfn.SWITCH(L2232,2,_xlfn.XLOOKUP(C2232,[1]ModifierDes!$B:$B,[1]ModifierDes!$C:$C),3,_xlfn.XLOOKUP(C2232,[1]StuntDes!$B:$B,[1]StuntDes!$C:$C)),"")</f>
        <v/>
      </c>
      <c r="L2232">
        <f t="shared" si="92"/>
        <v>1</v>
      </c>
      <c r="M2232" s="10" t="str">
        <f>IFERROR(_xlfn.XLOOKUP(C2232,[1]StuntDes!$B:$B,[1]StuntDes!$A:$A),"")</f>
        <v/>
      </c>
      <c r="N2232" s="10" t="str">
        <f>IFERROR(_xlfn.XLOOKUP(C2232,[1]ModifierDes!$B:$B,[1]ModifierDes!$A:$A),"")</f>
        <v/>
      </c>
      <c r="O2232" s="10">
        <f>IFERROR(_xlfn.XLOOKUP(C2232,[1]AttributeName!$C:$C,[1]AttributeName!$B:$B),"")</f>
        <v>10002</v>
      </c>
      <c r="P2232" s="10"/>
      <c r="Q2232">
        <v>26</v>
      </c>
      <c r="R2232">
        <v>30</v>
      </c>
      <c r="S2232" cm="1">
        <f t="array" ref="S2232">IFERROR(_xlfn.SWITCH(L2232,1,_xlfn.XLOOKUP(O2232,[1]AttributeName!$B:$B,[1]AttributeName!$D:$D),2,_xlfn.XLOOKUP(C2232,#REF!,#REF!),3,_xlfn.XLOOKUP(C2232,#REF!,#REF!)),0)</f>
        <v>0</v>
      </c>
      <c r="T2232" cm="1">
        <f t="array" ref="T2232">IFERROR(_xlfn.SWITCH(L2232,1,_xlfn.XLOOKUP(O2232,[1]AttributeName!$B:$B,[1]AttributeName!$E:$E),2,_xlfn.XLOOKUP(C2232,#REF!,#REF!),3,_xlfn.XLOOKUP(C2232,#REF!,#REF!)),0)</f>
        <v>1</v>
      </c>
    </row>
    <row r="2233" customFormat="1" spans="1:20">
      <c r="A2233">
        <f t="shared" si="93"/>
        <v>912</v>
      </c>
      <c r="B2233">
        <v>4</v>
      </c>
      <c r="C2233" t="s">
        <v>416</v>
      </c>
      <c r="D2233" t="s">
        <v>32</v>
      </c>
      <c r="E2233" t="s">
        <v>378</v>
      </c>
      <c r="F2233"/>
      <c r="G2233">
        <v>1</v>
      </c>
      <c r="H2233">
        <v>1000</v>
      </c>
      <c r="J2233" cm="1">
        <f t="array" ref="J2233">_xlfn.SWITCH(B2233,1,75,2,61,3,49,4,37,5,25,6,13,7,4,8,1)</f>
        <v>37</v>
      </c>
      <c r="K2233" t="str" cm="1">
        <f t="array" ref="K2233">IFERROR(_xlfn.SWITCH(L2233,2,_xlfn.XLOOKUP(C2233,[1]ModifierDes!$B:$B,[1]ModifierDes!$C:$C),3,_xlfn.XLOOKUP(C2233,[1]StuntDes!$B:$B,[1]StuntDes!$C:$C)),"")</f>
        <v/>
      </c>
      <c r="L2233">
        <f t="shared" si="92"/>
        <v>1</v>
      </c>
      <c r="M2233" s="10" t="str">
        <f>IFERROR(_xlfn.XLOOKUP(C2233,[1]StuntDes!$B:$B,[1]StuntDes!$A:$A),"")</f>
        <v/>
      </c>
      <c r="N2233" s="10" t="str">
        <f>IFERROR(_xlfn.XLOOKUP(C2233,[1]ModifierDes!$B:$B,[1]ModifierDes!$A:$A),"")</f>
        <v/>
      </c>
      <c r="O2233" s="10">
        <f>IFERROR(_xlfn.XLOOKUP(C2233,[1]AttributeName!$C:$C,[1]AttributeName!$B:$B),"")</f>
        <v>10002</v>
      </c>
      <c r="P2233" s="10"/>
      <c r="Q2233">
        <v>21</v>
      </c>
      <c r="R2233">
        <v>25</v>
      </c>
      <c r="S2233" cm="1">
        <f t="array" ref="S2233">IFERROR(_xlfn.SWITCH(L2233,1,_xlfn.XLOOKUP(O2233,[1]AttributeName!$B:$B,[1]AttributeName!$D:$D),2,_xlfn.XLOOKUP(C2233,#REF!,#REF!),3,_xlfn.XLOOKUP(C2233,#REF!,#REF!)),0)</f>
        <v>0</v>
      </c>
      <c r="T2233" cm="1">
        <f t="array" ref="T2233">IFERROR(_xlfn.SWITCH(L2233,1,_xlfn.XLOOKUP(O2233,[1]AttributeName!$B:$B,[1]AttributeName!$E:$E),2,_xlfn.XLOOKUP(C2233,#REF!,#REF!),3,_xlfn.XLOOKUP(C2233,#REF!,#REF!)),0)</f>
        <v>1</v>
      </c>
    </row>
    <row r="2234" customFormat="1" spans="1:20">
      <c r="A2234">
        <f t="shared" si="93"/>
        <v>912</v>
      </c>
      <c r="B2234">
        <v>5</v>
      </c>
      <c r="C2234" t="s">
        <v>416</v>
      </c>
      <c r="D2234" t="s">
        <v>32</v>
      </c>
      <c r="E2234" t="s">
        <v>378</v>
      </c>
      <c r="F2234"/>
      <c r="G2234">
        <v>1</v>
      </c>
      <c r="H2234">
        <v>1000</v>
      </c>
      <c r="J2234" cm="1">
        <f t="array" ref="J2234">_xlfn.SWITCH(B2234,1,75,2,61,3,49,4,37,5,25,6,13,7,4,8,1)</f>
        <v>25</v>
      </c>
      <c r="K2234" t="str" cm="1">
        <f t="array" ref="K2234">IFERROR(_xlfn.SWITCH(L2234,2,_xlfn.XLOOKUP(C2234,[1]ModifierDes!$B:$B,[1]ModifierDes!$C:$C),3,_xlfn.XLOOKUP(C2234,[1]StuntDes!$B:$B,[1]StuntDes!$C:$C)),"")</f>
        <v/>
      </c>
      <c r="L2234">
        <f t="shared" si="92"/>
        <v>1</v>
      </c>
      <c r="M2234" s="10" t="str">
        <f>IFERROR(_xlfn.XLOOKUP(C2234,[1]StuntDes!$B:$B,[1]StuntDes!$A:$A),"")</f>
        <v/>
      </c>
      <c r="N2234" s="10" t="str">
        <f>IFERROR(_xlfn.XLOOKUP(C2234,[1]ModifierDes!$B:$B,[1]ModifierDes!$A:$A),"")</f>
        <v/>
      </c>
      <c r="O2234" s="10">
        <f>IFERROR(_xlfn.XLOOKUP(C2234,[1]AttributeName!$C:$C,[1]AttributeName!$B:$B),"")</f>
        <v>10002</v>
      </c>
      <c r="P2234" s="10"/>
      <c r="Q2234">
        <v>16</v>
      </c>
      <c r="R2234">
        <v>20</v>
      </c>
      <c r="S2234" cm="1">
        <f t="array" ref="S2234">IFERROR(_xlfn.SWITCH(L2234,1,_xlfn.XLOOKUP(O2234,[1]AttributeName!$B:$B,[1]AttributeName!$D:$D),2,_xlfn.XLOOKUP(C2234,#REF!,#REF!),3,_xlfn.XLOOKUP(C2234,#REF!,#REF!)),0)</f>
        <v>0</v>
      </c>
      <c r="T2234" cm="1">
        <f t="array" ref="T2234">IFERROR(_xlfn.SWITCH(L2234,1,_xlfn.XLOOKUP(O2234,[1]AttributeName!$B:$B,[1]AttributeName!$E:$E),2,_xlfn.XLOOKUP(C2234,#REF!,#REF!),3,_xlfn.XLOOKUP(C2234,#REF!,#REF!)),0)</f>
        <v>1</v>
      </c>
    </row>
    <row r="2235" customFormat="1" spans="1:20">
      <c r="A2235">
        <f t="shared" si="93"/>
        <v>912</v>
      </c>
      <c r="B2235">
        <v>6</v>
      </c>
      <c r="C2235" t="s">
        <v>416</v>
      </c>
      <c r="D2235" t="s">
        <v>32</v>
      </c>
      <c r="E2235" t="s">
        <v>378</v>
      </c>
      <c r="F2235"/>
      <c r="G2235">
        <v>1</v>
      </c>
      <c r="H2235">
        <v>1000</v>
      </c>
      <c r="J2235" cm="1">
        <f t="array" ref="J2235">_xlfn.SWITCH(B2235,1,75,2,61,3,49,4,37,5,25,6,13,7,4,8,1)</f>
        <v>13</v>
      </c>
      <c r="K2235" t="str" cm="1">
        <f t="array" ref="K2235">IFERROR(_xlfn.SWITCH(L2235,2,_xlfn.XLOOKUP(C2235,[1]ModifierDes!$B:$B,[1]ModifierDes!$C:$C),3,_xlfn.XLOOKUP(C2235,[1]StuntDes!$B:$B,[1]StuntDes!$C:$C)),"")</f>
        <v/>
      </c>
      <c r="L2235">
        <f t="shared" si="92"/>
        <v>1</v>
      </c>
      <c r="M2235" s="10" t="str">
        <f>IFERROR(_xlfn.XLOOKUP(C2235,[1]StuntDes!$B:$B,[1]StuntDes!$A:$A),"")</f>
        <v/>
      </c>
      <c r="N2235" s="10" t="str">
        <f>IFERROR(_xlfn.XLOOKUP(C2235,[1]ModifierDes!$B:$B,[1]ModifierDes!$A:$A),"")</f>
        <v/>
      </c>
      <c r="O2235" s="10">
        <f>IFERROR(_xlfn.XLOOKUP(C2235,[1]AttributeName!$C:$C,[1]AttributeName!$B:$B),"")</f>
        <v>10002</v>
      </c>
      <c r="P2235" s="10"/>
      <c r="Q2235">
        <v>11</v>
      </c>
      <c r="R2235">
        <v>15</v>
      </c>
      <c r="S2235" cm="1">
        <f t="array" ref="S2235">IFERROR(_xlfn.SWITCH(L2235,1,_xlfn.XLOOKUP(O2235,[1]AttributeName!$B:$B,[1]AttributeName!$D:$D),2,_xlfn.XLOOKUP(C2235,#REF!,#REF!),3,_xlfn.XLOOKUP(C2235,#REF!,#REF!)),0)</f>
        <v>0</v>
      </c>
      <c r="T2235" cm="1">
        <f t="array" ref="T2235">IFERROR(_xlfn.SWITCH(L2235,1,_xlfn.XLOOKUP(O2235,[1]AttributeName!$B:$B,[1]AttributeName!$E:$E),2,_xlfn.XLOOKUP(C2235,#REF!,#REF!),3,_xlfn.XLOOKUP(C2235,#REF!,#REF!)),0)</f>
        <v>1</v>
      </c>
    </row>
    <row r="2236" customFormat="1" spans="1:20">
      <c r="A2236">
        <f t="shared" si="93"/>
        <v>912</v>
      </c>
      <c r="B2236">
        <v>7</v>
      </c>
      <c r="C2236" t="s">
        <v>416</v>
      </c>
      <c r="D2236" t="s">
        <v>32</v>
      </c>
      <c r="E2236" t="s">
        <v>378</v>
      </c>
      <c r="F2236"/>
      <c r="G2236">
        <v>1</v>
      </c>
      <c r="H2236">
        <v>1000</v>
      </c>
      <c r="J2236" cm="1">
        <f t="array" ref="J2236">_xlfn.SWITCH(B2236,1,75,2,61,3,49,4,37,5,25,6,13,7,4,8,1)</f>
        <v>4</v>
      </c>
      <c r="K2236" t="str" cm="1">
        <f t="array" ref="K2236">IFERROR(_xlfn.SWITCH(L2236,2,_xlfn.XLOOKUP(C2236,[1]ModifierDes!$B:$B,[1]ModifierDes!$C:$C),3,_xlfn.XLOOKUP(C2236,[1]StuntDes!$B:$B,[1]StuntDes!$C:$C)),"")</f>
        <v/>
      </c>
      <c r="L2236">
        <f t="shared" si="92"/>
        <v>1</v>
      </c>
      <c r="M2236" s="10" t="str">
        <f>IFERROR(_xlfn.XLOOKUP(C2236,[1]StuntDes!$B:$B,[1]StuntDes!$A:$A),"")</f>
        <v/>
      </c>
      <c r="N2236" s="10" t="str">
        <f>IFERROR(_xlfn.XLOOKUP(C2236,[1]ModifierDes!$B:$B,[1]ModifierDes!$A:$A),"")</f>
        <v/>
      </c>
      <c r="O2236" s="10">
        <f>IFERROR(_xlfn.XLOOKUP(C2236,[1]AttributeName!$C:$C,[1]AttributeName!$B:$B),"")</f>
        <v>10002</v>
      </c>
      <c r="P2236" s="10"/>
      <c r="Q2236">
        <v>5</v>
      </c>
      <c r="R2236">
        <v>10</v>
      </c>
      <c r="S2236" cm="1">
        <f t="array" ref="S2236">IFERROR(_xlfn.SWITCH(L2236,1,_xlfn.XLOOKUP(O2236,[1]AttributeName!$B:$B,[1]AttributeName!$D:$D),2,_xlfn.XLOOKUP(C2236,#REF!,#REF!),3,_xlfn.XLOOKUP(C2236,#REF!,#REF!)),0)</f>
        <v>0</v>
      </c>
      <c r="T2236" cm="1">
        <f t="array" ref="T2236">IFERROR(_xlfn.SWITCH(L2236,1,_xlfn.XLOOKUP(O2236,[1]AttributeName!$B:$B,[1]AttributeName!$E:$E),2,_xlfn.XLOOKUP(C2236,#REF!,#REF!),3,_xlfn.XLOOKUP(C2236,#REF!,#REF!)),0)</f>
        <v>1</v>
      </c>
    </row>
    <row r="2237" customFormat="1" spans="1:20">
      <c r="A2237">
        <f t="shared" si="93"/>
        <v>912</v>
      </c>
      <c r="B2237">
        <v>8</v>
      </c>
      <c r="C2237" t="s">
        <v>416</v>
      </c>
      <c r="D2237" t="s">
        <v>32</v>
      </c>
      <c r="E2237" t="s">
        <v>378</v>
      </c>
      <c r="F2237"/>
      <c r="G2237">
        <v>1</v>
      </c>
      <c r="H2237">
        <v>1000</v>
      </c>
      <c r="J2237" cm="1">
        <f t="array" ref="J2237">_xlfn.SWITCH(B2237,1,75,2,61,3,49,4,37,5,25,6,13,7,4,8,1)</f>
        <v>1</v>
      </c>
      <c r="K2237" t="str" cm="1">
        <f t="array" ref="K2237">IFERROR(_xlfn.SWITCH(L2237,2,_xlfn.XLOOKUP(C2237,[1]ModifierDes!$B:$B,[1]ModifierDes!$C:$C),3,_xlfn.XLOOKUP(C2237,[1]StuntDes!$B:$B,[1]StuntDes!$C:$C)),"")</f>
        <v/>
      </c>
      <c r="L2237">
        <f t="shared" si="92"/>
        <v>1</v>
      </c>
      <c r="M2237" s="10" t="str">
        <f>IFERROR(_xlfn.XLOOKUP(C2237,[1]StuntDes!$B:$B,[1]StuntDes!$A:$A),"")</f>
        <v/>
      </c>
      <c r="N2237" s="10" t="str">
        <f>IFERROR(_xlfn.XLOOKUP(C2237,[1]ModifierDes!$B:$B,[1]ModifierDes!$A:$A),"")</f>
        <v/>
      </c>
      <c r="O2237" s="10">
        <f>IFERROR(_xlfn.XLOOKUP(C2237,[1]AttributeName!$C:$C,[1]AttributeName!$B:$B),"")</f>
        <v>10002</v>
      </c>
      <c r="P2237" s="10"/>
      <c r="Q2237">
        <v>3</v>
      </c>
      <c r="R2237">
        <v>5</v>
      </c>
      <c r="S2237" cm="1">
        <f t="array" ref="S2237">IFERROR(_xlfn.SWITCH(L2237,1,_xlfn.XLOOKUP(O2237,[1]AttributeName!$B:$B,[1]AttributeName!$D:$D),2,_xlfn.XLOOKUP(C2237,#REF!,#REF!),3,_xlfn.XLOOKUP(C2237,#REF!,#REF!)),0)</f>
        <v>0</v>
      </c>
      <c r="T2237" cm="1">
        <f t="array" ref="T2237">IFERROR(_xlfn.SWITCH(L2237,1,_xlfn.XLOOKUP(O2237,[1]AttributeName!$B:$B,[1]AttributeName!$E:$E),2,_xlfn.XLOOKUP(C2237,#REF!,#REF!),3,_xlfn.XLOOKUP(C2237,#REF!,#REF!)),0)</f>
        <v>1</v>
      </c>
    </row>
    <row r="2238" customFormat="1" spans="1:20">
      <c r="A2238">
        <f t="shared" si="93"/>
        <v>913</v>
      </c>
      <c r="B2238">
        <v>1</v>
      </c>
      <c r="C2238" t="s">
        <v>390</v>
      </c>
      <c r="D2238" t="s">
        <v>32</v>
      </c>
      <c r="E2238" t="s">
        <v>378</v>
      </c>
      <c r="F2238"/>
      <c r="G2238">
        <v>1</v>
      </c>
      <c r="H2238">
        <v>1000</v>
      </c>
      <c r="J2238" cm="1">
        <f t="array" ref="J2238">_xlfn.SWITCH(B2238,1,75,2,61,3,49,4,37,5,25,6,13,7,4,8,1)</f>
        <v>75</v>
      </c>
      <c r="K2238" t="str" cm="1">
        <f t="array" ref="K2238">IFERROR(_xlfn.SWITCH(L2238,2,_xlfn.XLOOKUP(C2238,[1]ModifierDes!$B:$B,[1]ModifierDes!$C:$C),3,_xlfn.XLOOKUP(C2238,[1]StuntDes!$B:$B,[1]StuntDes!$C:$C)),"")</f>
        <v/>
      </c>
      <c r="L2238">
        <f t="shared" si="92"/>
        <v>1</v>
      </c>
      <c r="M2238" s="10" t="str">
        <f>IFERROR(_xlfn.XLOOKUP(C2238,[1]StuntDes!$B:$B,[1]StuntDes!$A:$A),"")</f>
        <v/>
      </c>
      <c r="N2238" s="10" t="str">
        <f>IFERROR(_xlfn.XLOOKUP(C2238,[1]ModifierDes!$B:$B,[1]ModifierDes!$A:$A),"")</f>
        <v/>
      </c>
      <c r="O2238" s="10">
        <f>IFERROR(_xlfn.XLOOKUP(C2238,[1]AttributeName!$C:$C,[1]AttributeName!$B:$B),"")</f>
        <v>10009</v>
      </c>
      <c r="P2238" s="10"/>
      <c r="Q2238">
        <v>0.18</v>
      </c>
      <c r="R2238">
        <v>0.2</v>
      </c>
      <c r="S2238" cm="1">
        <f t="array" ref="S2238">IFERROR(_xlfn.SWITCH(L2238,1,_xlfn.XLOOKUP(O2238,[1]AttributeName!$B:$B,[1]AttributeName!$D:$D),2,_xlfn.XLOOKUP(C2238,#REF!,#REF!),3,_xlfn.XLOOKUP(C2238,#REF!,#REF!)),0)</f>
        <v>2</v>
      </c>
      <c r="T2238" cm="1">
        <f t="array" ref="T2238">IFERROR(_xlfn.SWITCH(L2238,1,_xlfn.XLOOKUP(O2238,[1]AttributeName!$B:$B,[1]AttributeName!$E:$E),2,_xlfn.XLOOKUP(C2238,#REF!,#REF!),3,_xlfn.XLOOKUP(C2238,#REF!,#REF!)),0)</f>
        <v>2</v>
      </c>
    </row>
    <row r="2239" customFormat="1" spans="1:20">
      <c r="A2239">
        <f t="shared" si="93"/>
        <v>913</v>
      </c>
      <c r="B2239">
        <v>2</v>
      </c>
      <c r="C2239" t="s">
        <v>390</v>
      </c>
      <c r="D2239" t="s">
        <v>32</v>
      </c>
      <c r="E2239" t="s">
        <v>378</v>
      </c>
      <c r="F2239"/>
      <c r="G2239">
        <v>1</v>
      </c>
      <c r="H2239">
        <v>1000</v>
      </c>
      <c r="J2239" cm="1">
        <f t="array" ref="J2239">_xlfn.SWITCH(B2239,1,75,2,61,3,49,4,37,5,25,6,13,7,4,8,1)</f>
        <v>61</v>
      </c>
      <c r="K2239" t="str" cm="1">
        <f t="array" ref="K2239">IFERROR(_xlfn.SWITCH(L2239,2,_xlfn.XLOOKUP(C2239,[1]ModifierDes!$B:$B,[1]ModifierDes!$C:$C),3,_xlfn.XLOOKUP(C2239,[1]StuntDes!$B:$B,[1]StuntDes!$C:$C)),"")</f>
        <v/>
      </c>
      <c r="L2239">
        <f t="shared" si="92"/>
        <v>1</v>
      </c>
      <c r="M2239" s="10" t="str">
        <f>IFERROR(_xlfn.XLOOKUP(C2239,[1]StuntDes!$B:$B,[1]StuntDes!$A:$A),"")</f>
        <v/>
      </c>
      <c r="N2239" s="10" t="str">
        <f>IFERROR(_xlfn.XLOOKUP(C2239,[1]ModifierDes!$B:$B,[1]ModifierDes!$A:$A),"")</f>
        <v/>
      </c>
      <c r="O2239" s="10">
        <f>IFERROR(_xlfn.XLOOKUP(C2239,[1]AttributeName!$C:$C,[1]AttributeName!$B:$B),"")</f>
        <v>10009</v>
      </c>
      <c r="P2239" s="10"/>
      <c r="Q2239">
        <v>0.16</v>
      </c>
      <c r="R2239">
        <v>0.17</v>
      </c>
      <c r="S2239" cm="1">
        <f t="array" ref="S2239">IFERROR(_xlfn.SWITCH(L2239,1,_xlfn.XLOOKUP(O2239,[1]AttributeName!$B:$B,[1]AttributeName!$D:$D),2,_xlfn.XLOOKUP(C2239,#REF!,#REF!),3,_xlfn.XLOOKUP(C2239,#REF!,#REF!)),0)</f>
        <v>2</v>
      </c>
      <c r="T2239" cm="1">
        <f t="array" ref="T2239">IFERROR(_xlfn.SWITCH(L2239,1,_xlfn.XLOOKUP(O2239,[1]AttributeName!$B:$B,[1]AttributeName!$E:$E),2,_xlfn.XLOOKUP(C2239,#REF!,#REF!),3,_xlfn.XLOOKUP(C2239,#REF!,#REF!)),0)</f>
        <v>2</v>
      </c>
    </row>
    <row r="2240" customFormat="1" spans="1:20">
      <c r="A2240">
        <f t="shared" si="93"/>
        <v>913</v>
      </c>
      <c r="B2240">
        <v>3</v>
      </c>
      <c r="C2240" t="s">
        <v>390</v>
      </c>
      <c r="D2240" t="s">
        <v>32</v>
      </c>
      <c r="E2240" t="s">
        <v>378</v>
      </c>
      <c r="F2240"/>
      <c r="G2240">
        <v>1</v>
      </c>
      <c r="H2240">
        <v>1000</v>
      </c>
      <c r="J2240" cm="1">
        <f t="array" ref="J2240">_xlfn.SWITCH(B2240,1,75,2,61,3,49,4,37,5,25,6,13,7,4,8,1)</f>
        <v>49</v>
      </c>
      <c r="K2240" t="str" cm="1">
        <f t="array" ref="K2240">IFERROR(_xlfn.SWITCH(L2240,2,_xlfn.XLOOKUP(C2240,[1]ModifierDes!$B:$B,[1]ModifierDes!$C:$C),3,_xlfn.XLOOKUP(C2240,[1]StuntDes!$B:$B,[1]StuntDes!$C:$C)),"")</f>
        <v/>
      </c>
      <c r="L2240">
        <f t="shared" si="92"/>
        <v>1</v>
      </c>
      <c r="M2240" s="10" t="str">
        <f>IFERROR(_xlfn.XLOOKUP(C2240,[1]StuntDes!$B:$B,[1]StuntDes!$A:$A),"")</f>
        <v/>
      </c>
      <c r="N2240" s="10" t="str">
        <f>IFERROR(_xlfn.XLOOKUP(C2240,[1]ModifierDes!$B:$B,[1]ModifierDes!$A:$A),"")</f>
        <v/>
      </c>
      <c r="O2240" s="10">
        <f>IFERROR(_xlfn.XLOOKUP(C2240,[1]AttributeName!$C:$C,[1]AttributeName!$B:$B),"")</f>
        <v>10009</v>
      </c>
      <c r="P2240" s="10"/>
      <c r="Q2240">
        <v>0.13</v>
      </c>
      <c r="R2240">
        <v>0.15</v>
      </c>
      <c r="S2240" cm="1">
        <f t="array" ref="S2240">IFERROR(_xlfn.SWITCH(L2240,1,_xlfn.XLOOKUP(O2240,[1]AttributeName!$B:$B,[1]AttributeName!$D:$D),2,_xlfn.XLOOKUP(C2240,#REF!,#REF!),3,_xlfn.XLOOKUP(C2240,#REF!,#REF!)),0)</f>
        <v>2</v>
      </c>
      <c r="T2240" cm="1">
        <f t="array" ref="T2240">IFERROR(_xlfn.SWITCH(L2240,1,_xlfn.XLOOKUP(O2240,[1]AttributeName!$B:$B,[1]AttributeName!$E:$E),2,_xlfn.XLOOKUP(C2240,#REF!,#REF!),3,_xlfn.XLOOKUP(C2240,#REF!,#REF!)),0)</f>
        <v>2</v>
      </c>
    </row>
    <row r="2241" customFormat="1" spans="1:20">
      <c r="A2241">
        <f t="shared" si="93"/>
        <v>913</v>
      </c>
      <c r="B2241">
        <v>4</v>
      </c>
      <c r="C2241" t="s">
        <v>390</v>
      </c>
      <c r="D2241" t="s">
        <v>32</v>
      </c>
      <c r="E2241" t="s">
        <v>378</v>
      </c>
      <c r="F2241"/>
      <c r="G2241">
        <v>1</v>
      </c>
      <c r="H2241">
        <v>1000</v>
      </c>
      <c r="J2241" cm="1">
        <f t="array" ref="J2241">_xlfn.SWITCH(B2241,1,75,2,61,3,49,4,37,5,25,6,13,7,4,8,1)</f>
        <v>37</v>
      </c>
      <c r="K2241" t="str" cm="1">
        <f t="array" ref="K2241">IFERROR(_xlfn.SWITCH(L2241,2,_xlfn.XLOOKUP(C2241,[1]ModifierDes!$B:$B,[1]ModifierDes!$C:$C),3,_xlfn.XLOOKUP(C2241,[1]StuntDes!$B:$B,[1]StuntDes!$C:$C)),"")</f>
        <v/>
      </c>
      <c r="L2241">
        <f t="shared" si="92"/>
        <v>1</v>
      </c>
      <c r="M2241" s="10" t="str">
        <f>IFERROR(_xlfn.XLOOKUP(C2241,[1]StuntDes!$B:$B,[1]StuntDes!$A:$A),"")</f>
        <v/>
      </c>
      <c r="N2241" s="10" t="str">
        <f>IFERROR(_xlfn.XLOOKUP(C2241,[1]ModifierDes!$B:$B,[1]ModifierDes!$A:$A),"")</f>
        <v/>
      </c>
      <c r="O2241" s="10">
        <f>IFERROR(_xlfn.XLOOKUP(C2241,[1]AttributeName!$C:$C,[1]AttributeName!$B:$B),"")</f>
        <v>10009</v>
      </c>
      <c r="P2241" s="10"/>
      <c r="Q2241">
        <v>0.11</v>
      </c>
      <c r="R2241">
        <v>0.12</v>
      </c>
      <c r="S2241" cm="1">
        <f t="array" ref="S2241">IFERROR(_xlfn.SWITCH(L2241,1,_xlfn.XLOOKUP(O2241,[1]AttributeName!$B:$B,[1]AttributeName!$D:$D),2,_xlfn.XLOOKUP(C2241,#REF!,#REF!),3,_xlfn.XLOOKUP(C2241,#REF!,#REF!)),0)</f>
        <v>2</v>
      </c>
      <c r="T2241" cm="1">
        <f t="array" ref="T2241">IFERROR(_xlfn.SWITCH(L2241,1,_xlfn.XLOOKUP(O2241,[1]AttributeName!$B:$B,[1]AttributeName!$E:$E),2,_xlfn.XLOOKUP(C2241,#REF!,#REF!),3,_xlfn.XLOOKUP(C2241,#REF!,#REF!)),0)</f>
        <v>2</v>
      </c>
    </row>
    <row r="2242" customFormat="1" spans="1:20">
      <c r="A2242">
        <f t="shared" si="93"/>
        <v>913</v>
      </c>
      <c r="B2242">
        <v>5</v>
      </c>
      <c r="C2242" t="s">
        <v>390</v>
      </c>
      <c r="D2242" t="s">
        <v>32</v>
      </c>
      <c r="E2242" t="s">
        <v>378</v>
      </c>
      <c r="F2242"/>
      <c r="G2242">
        <v>1</v>
      </c>
      <c r="H2242">
        <v>1000</v>
      </c>
      <c r="J2242" cm="1">
        <f t="array" ref="J2242">_xlfn.SWITCH(B2242,1,75,2,61,3,49,4,37,5,25,6,13,7,4,8,1)</f>
        <v>25</v>
      </c>
      <c r="K2242" t="str" cm="1">
        <f t="array" ref="K2242">IFERROR(_xlfn.SWITCH(L2242,2,_xlfn.XLOOKUP(C2242,[1]ModifierDes!$B:$B,[1]ModifierDes!$C:$C),3,_xlfn.XLOOKUP(C2242,[1]StuntDes!$B:$B,[1]StuntDes!$C:$C)),"")</f>
        <v/>
      </c>
      <c r="L2242">
        <f t="shared" si="92"/>
        <v>1</v>
      </c>
      <c r="M2242" s="10" t="str">
        <f>IFERROR(_xlfn.XLOOKUP(C2242,[1]StuntDes!$B:$B,[1]StuntDes!$A:$A),"")</f>
        <v/>
      </c>
      <c r="N2242" s="10" t="str">
        <f>IFERROR(_xlfn.XLOOKUP(C2242,[1]ModifierDes!$B:$B,[1]ModifierDes!$A:$A),"")</f>
        <v/>
      </c>
      <c r="O2242" s="10">
        <f>IFERROR(_xlfn.XLOOKUP(C2242,[1]AttributeName!$C:$C,[1]AttributeName!$B:$B),"")</f>
        <v>10009</v>
      </c>
      <c r="P2242" s="10"/>
      <c r="Q2242">
        <v>0.08</v>
      </c>
      <c r="R2242">
        <v>0.1</v>
      </c>
      <c r="S2242" cm="1">
        <f t="array" ref="S2242">IFERROR(_xlfn.SWITCH(L2242,1,_xlfn.XLOOKUP(O2242,[1]AttributeName!$B:$B,[1]AttributeName!$D:$D),2,_xlfn.XLOOKUP(C2242,#REF!,#REF!),3,_xlfn.XLOOKUP(C2242,#REF!,#REF!)),0)</f>
        <v>2</v>
      </c>
      <c r="T2242" cm="1">
        <f t="array" ref="T2242">IFERROR(_xlfn.SWITCH(L2242,1,_xlfn.XLOOKUP(O2242,[1]AttributeName!$B:$B,[1]AttributeName!$E:$E),2,_xlfn.XLOOKUP(C2242,#REF!,#REF!),3,_xlfn.XLOOKUP(C2242,#REF!,#REF!)),0)</f>
        <v>2</v>
      </c>
    </row>
    <row r="2243" customFormat="1" spans="1:20">
      <c r="A2243">
        <f t="shared" si="93"/>
        <v>913</v>
      </c>
      <c r="B2243">
        <v>6</v>
      </c>
      <c r="C2243" t="s">
        <v>390</v>
      </c>
      <c r="D2243" t="s">
        <v>32</v>
      </c>
      <c r="E2243" t="s">
        <v>378</v>
      </c>
      <c r="F2243"/>
      <c r="G2243">
        <v>1</v>
      </c>
      <c r="H2243">
        <v>1000</v>
      </c>
      <c r="J2243" cm="1">
        <f t="array" ref="J2243">_xlfn.SWITCH(B2243,1,75,2,61,3,49,4,37,5,25,6,13,7,4,8,1)</f>
        <v>13</v>
      </c>
      <c r="K2243" t="str" cm="1">
        <f t="array" ref="K2243">IFERROR(_xlfn.SWITCH(L2243,2,_xlfn.XLOOKUP(C2243,[1]ModifierDes!$B:$B,[1]ModifierDes!$C:$C),3,_xlfn.XLOOKUP(C2243,[1]StuntDes!$B:$B,[1]StuntDes!$C:$C)),"")</f>
        <v/>
      </c>
      <c r="L2243">
        <f t="shared" si="92"/>
        <v>1</v>
      </c>
      <c r="M2243" s="10" t="str">
        <f>IFERROR(_xlfn.XLOOKUP(C2243,[1]StuntDes!$B:$B,[1]StuntDes!$A:$A),"")</f>
        <v/>
      </c>
      <c r="N2243" s="10" t="str">
        <f>IFERROR(_xlfn.XLOOKUP(C2243,[1]ModifierDes!$B:$B,[1]ModifierDes!$A:$A),"")</f>
        <v/>
      </c>
      <c r="O2243" s="10">
        <f>IFERROR(_xlfn.XLOOKUP(C2243,[1]AttributeName!$C:$C,[1]AttributeName!$B:$B),"")</f>
        <v>10009</v>
      </c>
      <c r="P2243" s="10"/>
      <c r="Q2243">
        <v>0.06</v>
      </c>
      <c r="R2243">
        <v>0.07</v>
      </c>
      <c r="S2243" cm="1">
        <f t="array" ref="S2243">IFERROR(_xlfn.SWITCH(L2243,1,_xlfn.XLOOKUP(O2243,[1]AttributeName!$B:$B,[1]AttributeName!$D:$D),2,_xlfn.XLOOKUP(C2243,#REF!,#REF!),3,_xlfn.XLOOKUP(C2243,#REF!,#REF!)),0)</f>
        <v>2</v>
      </c>
      <c r="T2243" cm="1">
        <f t="array" ref="T2243">IFERROR(_xlfn.SWITCH(L2243,1,_xlfn.XLOOKUP(O2243,[1]AttributeName!$B:$B,[1]AttributeName!$E:$E),2,_xlfn.XLOOKUP(C2243,#REF!,#REF!),3,_xlfn.XLOOKUP(C2243,#REF!,#REF!)),0)</f>
        <v>2</v>
      </c>
    </row>
    <row r="2244" customFormat="1" spans="1:20">
      <c r="A2244">
        <f t="shared" si="93"/>
        <v>913</v>
      </c>
      <c r="B2244">
        <v>7</v>
      </c>
      <c r="C2244" t="s">
        <v>390</v>
      </c>
      <c r="D2244" t="s">
        <v>32</v>
      </c>
      <c r="E2244" t="s">
        <v>378</v>
      </c>
      <c r="F2244"/>
      <c r="G2244">
        <v>1</v>
      </c>
      <c r="H2244">
        <v>1000</v>
      </c>
      <c r="J2244" cm="1">
        <f t="array" ref="J2244">_xlfn.SWITCH(B2244,1,75,2,61,3,49,4,37,5,25,6,13,7,4,8,1)</f>
        <v>4</v>
      </c>
      <c r="K2244" t="str" cm="1">
        <f t="array" ref="K2244">IFERROR(_xlfn.SWITCH(L2244,2,_xlfn.XLOOKUP(C2244,[1]ModifierDes!$B:$B,[1]ModifierDes!$C:$C),3,_xlfn.XLOOKUP(C2244,[1]StuntDes!$B:$B,[1]StuntDes!$C:$C)),"")</f>
        <v/>
      </c>
      <c r="L2244">
        <f t="shared" ref="L2244:L2307" si="94">IF(M2244="",IF(N2244="",1,2),3)</f>
        <v>1</v>
      </c>
      <c r="M2244" s="10" t="str">
        <f>IFERROR(_xlfn.XLOOKUP(C2244,[1]StuntDes!$B:$B,[1]StuntDes!$A:$A),"")</f>
        <v/>
      </c>
      <c r="N2244" s="10" t="str">
        <f>IFERROR(_xlfn.XLOOKUP(C2244,[1]ModifierDes!$B:$B,[1]ModifierDes!$A:$A),"")</f>
        <v/>
      </c>
      <c r="O2244" s="10">
        <f>IFERROR(_xlfn.XLOOKUP(C2244,[1]AttributeName!$C:$C,[1]AttributeName!$B:$B),"")</f>
        <v>10009</v>
      </c>
      <c r="P2244" s="10"/>
      <c r="Q2244">
        <v>0.03</v>
      </c>
      <c r="R2244">
        <v>0.05</v>
      </c>
      <c r="S2244" cm="1">
        <f t="array" ref="S2244">IFERROR(_xlfn.SWITCH(L2244,1,_xlfn.XLOOKUP(O2244,[1]AttributeName!$B:$B,[1]AttributeName!$D:$D),2,_xlfn.XLOOKUP(C2244,#REF!,#REF!),3,_xlfn.XLOOKUP(C2244,#REF!,#REF!)),0)</f>
        <v>2</v>
      </c>
      <c r="T2244" cm="1">
        <f t="array" ref="T2244">IFERROR(_xlfn.SWITCH(L2244,1,_xlfn.XLOOKUP(O2244,[1]AttributeName!$B:$B,[1]AttributeName!$E:$E),2,_xlfn.XLOOKUP(C2244,#REF!,#REF!),3,_xlfn.XLOOKUP(C2244,#REF!,#REF!)),0)</f>
        <v>2</v>
      </c>
    </row>
    <row r="2245" customFormat="1" spans="1:20">
      <c r="A2245">
        <f t="shared" si="93"/>
        <v>913</v>
      </c>
      <c r="B2245">
        <v>8</v>
      </c>
      <c r="C2245" t="s">
        <v>390</v>
      </c>
      <c r="D2245" t="s">
        <v>32</v>
      </c>
      <c r="E2245" t="s">
        <v>378</v>
      </c>
      <c r="F2245"/>
      <c r="G2245">
        <v>1</v>
      </c>
      <c r="H2245">
        <v>1000</v>
      </c>
      <c r="J2245" cm="1">
        <f t="array" ref="J2245">_xlfn.SWITCH(B2245,1,75,2,61,3,49,4,37,5,25,6,13,7,4,8,1)</f>
        <v>1</v>
      </c>
      <c r="K2245" t="str" cm="1">
        <f t="array" ref="K2245">IFERROR(_xlfn.SWITCH(L2245,2,_xlfn.XLOOKUP(C2245,[1]ModifierDes!$B:$B,[1]ModifierDes!$C:$C),3,_xlfn.XLOOKUP(C2245,[1]StuntDes!$B:$B,[1]StuntDes!$C:$C)),"")</f>
        <v/>
      </c>
      <c r="L2245">
        <f t="shared" si="94"/>
        <v>1</v>
      </c>
      <c r="M2245" s="10" t="str">
        <f>IFERROR(_xlfn.XLOOKUP(C2245,[1]StuntDes!$B:$B,[1]StuntDes!$A:$A),"")</f>
        <v/>
      </c>
      <c r="N2245" s="10" t="str">
        <f>IFERROR(_xlfn.XLOOKUP(C2245,[1]ModifierDes!$B:$B,[1]ModifierDes!$A:$A),"")</f>
        <v/>
      </c>
      <c r="O2245" s="10">
        <f>IFERROR(_xlfn.XLOOKUP(C2245,[1]AttributeName!$C:$C,[1]AttributeName!$B:$B),"")</f>
        <v>10009</v>
      </c>
      <c r="P2245" s="10"/>
      <c r="Q2245">
        <v>0.02</v>
      </c>
      <c r="R2245">
        <v>0.02</v>
      </c>
      <c r="S2245" cm="1">
        <f t="array" ref="S2245">IFERROR(_xlfn.SWITCH(L2245,1,_xlfn.XLOOKUP(O2245,[1]AttributeName!$B:$B,[1]AttributeName!$D:$D),2,_xlfn.XLOOKUP(C2245,#REF!,#REF!),3,_xlfn.XLOOKUP(C2245,#REF!,#REF!)),0)</f>
        <v>2</v>
      </c>
      <c r="T2245" cm="1">
        <f t="array" ref="T2245">IFERROR(_xlfn.SWITCH(L2245,1,_xlfn.XLOOKUP(O2245,[1]AttributeName!$B:$B,[1]AttributeName!$E:$E),2,_xlfn.XLOOKUP(C2245,#REF!,#REF!),3,_xlfn.XLOOKUP(C2245,#REF!,#REF!)),0)</f>
        <v>2</v>
      </c>
    </row>
    <row r="2246" customFormat="1" spans="1:20">
      <c r="A2246">
        <v>951</v>
      </c>
      <c r="B2246">
        <v>1</v>
      </c>
      <c r="C2246" t="s">
        <v>391</v>
      </c>
      <c r="D2246" t="s">
        <v>32</v>
      </c>
      <c r="E2246" s="13" t="s">
        <v>392</v>
      </c>
      <c r="F2246"/>
      <c r="G2246">
        <v>2</v>
      </c>
      <c r="H2246">
        <v>1000</v>
      </c>
      <c r="J2246" cm="1">
        <f t="array" ref="J2246">_xlfn.SWITCH(B2246,1,75,2,61,3,49,4,37,5,25,6,13,7,4,8,1)</f>
        <v>75</v>
      </c>
      <c r="K2246" t="str" cm="1">
        <f t="array" ref="K2246">IFERROR(_xlfn.SWITCH(L2246,2,_xlfn.XLOOKUP(C2246,[1]ModifierDes!$B:$B,[1]ModifierDes!$C:$C),3,_xlfn.XLOOKUP(C2246,[1]StuntDes!$B:$B,[1]StuntDes!$C:$C)),"")</f>
        <v>魔力回复率提高{0}</v>
      </c>
      <c r="L2246">
        <f t="shared" si="94"/>
        <v>2</v>
      </c>
      <c r="M2246" s="10" t="str">
        <f>IFERROR(_xlfn.XLOOKUP(C2246,[1]StuntDes!$B:$B,[1]StuntDes!$A:$A),"")</f>
        <v/>
      </c>
      <c r="N2246" s="10">
        <f>IFERROR(_xlfn.XLOOKUP(C2246,[1]ModifierDes!$B:$B,[1]ModifierDes!$A:$A),"")</f>
        <v>10116</v>
      </c>
      <c r="O2246" s="10" t="str">
        <f>IFERROR(_xlfn.XLOOKUP(C2246,[1]AttributeName!$C:$C,[1]AttributeName!$B:$B),"")</f>
        <v/>
      </c>
      <c r="P2246" s="10"/>
      <c r="Q2246">
        <v>0.18</v>
      </c>
      <c r="R2246">
        <v>0.2</v>
      </c>
      <c r="S2246" cm="1">
        <f t="array" ref="S2246">IFERROR(_xlfn.SWITCH(L2246,1,_xlfn.XLOOKUP(O2246,[1]AttributeName!$B:$B,[1]AttributeName!$D:$D),2,_xlfn.XLOOKUP(C2246,#REF!,#REF!),3,_xlfn.XLOOKUP(C2246,#REF!,#REF!)),0)</f>
        <v>0</v>
      </c>
      <c r="T2246" cm="1">
        <f t="array" ref="T2246">IFERROR(_xlfn.SWITCH(L2246,1,_xlfn.XLOOKUP(O2246,[1]AttributeName!$B:$B,[1]AttributeName!$E:$E),2,_xlfn.XLOOKUP(C2246,#REF!,#REF!),3,_xlfn.XLOOKUP(C2246,#REF!,#REF!)),0)</f>
        <v>0</v>
      </c>
    </row>
    <row r="2247" customFormat="1" spans="1:20">
      <c r="A2247">
        <v>951</v>
      </c>
      <c r="B2247">
        <v>2</v>
      </c>
      <c r="C2247" t="s">
        <v>391</v>
      </c>
      <c r="D2247" t="s">
        <v>32</v>
      </c>
      <c r="E2247" s="13" t="s">
        <v>392</v>
      </c>
      <c r="F2247"/>
      <c r="G2247">
        <v>2</v>
      </c>
      <c r="H2247">
        <v>1000</v>
      </c>
      <c r="J2247" cm="1">
        <f t="array" ref="J2247">_xlfn.SWITCH(B2247,1,75,2,61,3,49,4,37,5,25,6,13,7,4,8,1)</f>
        <v>61</v>
      </c>
      <c r="K2247" t="str" cm="1">
        <f t="array" ref="K2247">IFERROR(_xlfn.SWITCH(L2247,2,_xlfn.XLOOKUP(C2247,[1]ModifierDes!$B:$B,[1]ModifierDes!$C:$C),3,_xlfn.XLOOKUP(C2247,[1]StuntDes!$B:$B,[1]StuntDes!$C:$C)),"")</f>
        <v>魔力回复率提高{0}</v>
      </c>
      <c r="L2247">
        <f t="shared" si="94"/>
        <v>2</v>
      </c>
      <c r="M2247" s="10" t="str">
        <f>IFERROR(_xlfn.XLOOKUP(C2247,[1]StuntDes!$B:$B,[1]StuntDes!$A:$A),"")</f>
        <v/>
      </c>
      <c r="N2247" s="10">
        <f>IFERROR(_xlfn.XLOOKUP(C2247,[1]ModifierDes!$B:$B,[1]ModifierDes!$A:$A),"")</f>
        <v>10116</v>
      </c>
      <c r="O2247" s="10" t="str">
        <f>IFERROR(_xlfn.XLOOKUP(C2247,[1]AttributeName!$C:$C,[1]AttributeName!$B:$B),"")</f>
        <v/>
      </c>
      <c r="P2247" s="10"/>
      <c r="Q2247">
        <v>0.16</v>
      </c>
      <c r="R2247">
        <v>0.17</v>
      </c>
      <c r="S2247" cm="1">
        <f t="array" ref="S2247">IFERROR(_xlfn.SWITCH(L2247,1,_xlfn.XLOOKUP(O2247,[1]AttributeName!$B:$B,[1]AttributeName!$D:$D),2,_xlfn.XLOOKUP(C2247,#REF!,#REF!),3,_xlfn.XLOOKUP(C2247,#REF!,#REF!)),0)</f>
        <v>0</v>
      </c>
      <c r="T2247" cm="1">
        <f t="array" ref="T2247">IFERROR(_xlfn.SWITCH(L2247,1,_xlfn.XLOOKUP(O2247,[1]AttributeName!$B:$B,[1]AttributeName!$E:$E),2,_xlfn.XLOOKUP(C2247,#REF!,#REF!),3,_xlfn.XLOOKUP(C2247,#REF!,#REF!)),0)</f>
        <v>0</v>
      </c>
    </row>
    <row r="2248" customFormat="1" spans="1:20">
      <c r="A2248">
        <v>951</v>
      </c>
      <c r="B2248">
        <v>3</v>
      </c>
      <c r="C2248" t="s">
        <v>391</v>
      </c>
      <c r="D2248" t="s">
        <v>32</v>
      </c>
      <c r="E2248" s="13" t="s">
        <v>392</v>
      </c>
      <c r="F2248"/>
      <c r="G2248">
        <v>2</v>
      </c>
      <c r="H2248">
        <v>1000</v>
      </c>
      <c r="J2248" cm="1">
        <f t="array" ref="J2248">_xlfn.SWITCH(B2248,1,75,2,61,3,49,4,37,5,25,6,13,7,4,8,1)</f>
        <v>49</v>
      </c>
      <c r="K2248" t="str" cm="1">
        <f t="array" ref="K2248">IFERROR(_xlfn.SWITCH(L2248,2,_xlfn.XLOOKUP(C2248,[1]ModifierDes!$B:$B,[1]ModifierDes!$C:$C),3,_xlfn.XLOOKUP(C2248,[1]StuntDes!$B:$B,[1]StuntDes!$C:$C)),"")</f>
        <v>魔力回复率提高{0}</v>
      </c>
      <c r="L2248">
        <f t="shared" si="94"/>
        <v>2</v>
      </c>
      <c r="M2248" s="10" t="str">
        <f>IFERROR(_xlfn.XLOOKUP(C2248,[1]StuntDes!$B:$B,[1]StuntDes!$A:$A),"")</f>
        <v/>
      </c>
      <c r="N2248" s="10">
        <f>IFERROR(_xlfn.XLOOKUP(C2248,[1]ModifierDes!$B:$B,[1]ModifierDes!$A:$A),"")</f>
        <v>10116</v>
      </c>
      <c r="O2248" s="10" t="str">
        <f>IFERROR(_xlfn.XLOOKUP(C2248,[1]AttributeName!$C:$C,[1]AttributeName!$B:$B),"")</f>
        <v/>
      </c>
      <c r="P2248" s="10"/>
      <c r="Q2248">
        <v>0.13</v>
      </c>
      <c r="R2248">
        <v>0.15</v>
      </c>
      <c r="S2248" cm="1">
        <f t="array" ref="S2248">IFERROR(_xlfn.SWITCH(L2248,1,_xlfn.XLOOKUP(O2248,[1]AttributeName!$B:$B,[1]AttributeName!$D:$D),2,_xlfn.XLOOKUP(C2248,#REF!,#REF!),3,_xlfn.XLOOKUP(C2248,#REF!,#REF!)),0)</f>
        <v>0</v>
      </c>
      <c r="T2248" cm="1">
        <f t="array" ref="T2248">IFERROR(_xlfn.SWITCH(L2248,1,_xlfn.XLOOKUP(O2248,[1]AttributeName!$B:$B,[1]AttributeName!$E:$E),2,_xlfn.XLOOKUP(C2248,#REF!,#REF!),3,_xlfn.XLOOKUP(C2248,#REF!,#REF!)),0)</f>
        <v>0</v>
      </c>
    </row>
    <row r="2249" customFormat="1" spans="1:20">
      <c r="A2249">
        <v>951</v>
      </c>
      <c r="B2249">
        <v>4</v>
      </c>
      <c r="C2249" t="s">
        <v>391</v>
      </c>
      <c r="D2249" t="s">
        <v>32</v>
      </c>
      <c r="E2249" s="13" t="s">
        <v>392</v>
      </c>
      <c r="F2249"/>
      <c r="G2249">
        <v>2</v>
      </c>
      <c r="H2249">
        <v>1000</v>
      </c>
      <c r="J2249" cm="1">
        <f t="array" ref="J2249">_xlfn.SWITCH(B2249,1,75,2,61,3,49,4,37,5,25,6,13,7,4,8,1)</f>
        <v>37</v>
      </c>
      <c r="K2249" t="str" cm="1">
        <f t="array" ref="K2249">IFERROR(_xlfn.SWITCH(L2249,2,_xlfn.XLOOKUP(C2249,[1]ModifierDes!$B:$B,[1]ModifierDes!$C:$C),3,_xlfn.XLOOKUP(C2249,[1]StuntDes!$B:$B,[1]StuntDes!$C:$C)),"")</f>
        <v>魔力回复率提高{0}</v>
      </c>
      <c r="L2249">
        <f t="shared" si="94"/>
        <v>2</v>
      </c>
      <c r="M2249" s="10" t="str">
        <f>IFERROR(_xlfn.XLOOKUP(C2249,[1]StuntDes!$B:$B,[1]StuntDes!$A:$A),"")</f>
        <v/>
      </c>
      <c r="N2249" s="10">
        <f>IFERROR(_xlfn.XLOOKUP(C2249,[1]ModifierDes!$B:$B,[1]ModifierDes!$A:$A),"")</f>
        <v>10116</v>
      </c>
      <c r="O2249" s="10" t="str">
        <f>IFERROR(_xlfn.XLOOKUP(C2249,[1]AttributeName!$C:$C,[1]AttributeName!$B:$B),"")</f>
        <v/>
      </c>
      <c r="P2249" s="10"/>
      <c r="Q2249">
        <v>0.11</v>
      </c>
      <c r="R2249">
        <v>0.12</v>
      </c>
      <c r="S2249" cm="1">
        <f t="array" ref="S2249">IFERROR(_xlfn.SWITCH(L2249,1,_xlfn.XLOOKUP(O2249,[1]AttributeName!$B:$B,[1]AttributeName!$D:$D),2,_xlfn.XLOOKUP(C2249,#REF!,#REF!),3,_xlfn.XLOOKUP(C2249,#REF!,#REF!)),0)</f>
        <v>0</v>
      </c>
      <c r="T2249" cm="1">
        <f t="array" ref="T2249">IFERROR(_xlfn.SWITCH(L2249,1,_xlfn.XLOOKUP(O2249,[1]AttributeName!$B:$B,[1]AttributeName!$E:$E),2,_xlfn.XLOOKUP(C2249,#REF!,#REF!),3,_xlfn.XLOOKUP(C2249,#REF!,#REF!)),0)</f>
        <v>0</v>
      </c>
    </row>
    <row r="2250" customFormat="1" spans="1:20">
      <c r="A2250">
        <v>951</v>
      </c>
      <c r="B2250">
        <v>5</v>
      </c>
      <c r="C2250" t="s">
        <v>391</v>
      </c>
      <c r="D2250" t="s">
        <v>32</v>
      </c>
      <c r="E2250" s="13" t="s">
        <v>392</v>
      </c>
      <c r="F2250"/>
      <c r="G2250">
        <v>2</v>
      </c>
      <c r="H2250">
        <v>1000</v>
      </c>
      <c r="J2250" cm="1">
        <f t="array" ref="J2250">_xlfn.SWITCH(B2250,1,75,2,61,3,49,4,37,5,25,6,13,7,4,8,1)</f>
        <v>25</v>
      </c>
      <c r="K2250" t="str" cm="1">
        <f t="array" ref="K2250">IFERROR(_xlfn.SWITCH(L2250,2,_xlfn.XLOOKUP(C2250,[1]ModifierDes!$B:$B,[1]ModifierDes!$C:$C),3,_xlfn.XLOOKUP(C2250,[1]StuntDes!$B:$B,[1]StuntDes!$C:$C)),"")</f>
        <v>魔力回复率提高{0}</v>
      </c>
      <c r="L2250">
        <f t="shared" si="94"/>
        <v>2</v>
      </c>
      <c r="M2250" s="10" t="str">
        <f>IFERROR(_xlfn.XLOOKUP(C2250,[1]StuntDes!$B:$B,[1]StuntDes!$A:$A),"")</f>
        <v/>
      </c>
      <c r="N2250" s="10">
        <f>IFERROR(_xlfn.XLOOKUP(C2250,[1]ModifierDes!$B:$B,[1]ModifierDes!$A:$A),"")</f>
        <v>10116</v>
      </c>
      <c r="O2250" s="10" t="str">
        <f>IFERROR(_xlfn.XLOOKUP(C2250,[1]AttributeName!$C:$C,[1]AttributeName!$B:$B),"")</f>
        <v/>
      </c>
      <c r="P2250" s="10"/>
      <c r="Q2250">
        <v>0.08</v>
      </c>
      <c r="R2250">
        <v>0.1</v>
      </c>
      <c r="S2250" cm="1">
        <f t="array" ref="S2250">IFERROR(_xlfn.SWITCH(L2250,1,_xlfn.XLOOKUP(O2250,[1]AttributeName!$B:$B,[1]AttributeName!$D:$D),2,_xlfn.XLOOKUP(C2250,#REF!,#REF!),3,_xlfn.XLOOKUP(C2250,#REF!,#REF!)),0)</f>
        <v>0</v>
      </c>
      <c r="T2250" cm="1">
        <f t="array" ref="T2250">IFERROR(_xlfn.SWITCH(L2250,1,_xlfn.XLOOKUP(O2250,[1]AttributeName!$B:$B,[1]AttributeName!$E:$E),2,_xlfn.XLOOKUP(C2250,#REF!,#REF!),3,_xlfn.XLOOKUP(C2250,#REF!,#REF!)),0)</f>
        <v>0</v>
      </c>
    </row>
    <row r="2251" customFormat="1" spans="1:20">
      <c r="A2251">
        <v>951</v>
      </c>
      <c r="B2251">
        <v>6</v>
      </c>
      <c r="C2251" t="s">
        <v>391</v>
      </c>
      <c r="D2251" t="s">
        <v>32</v>
      </c>
      <c r="E2251" s="13" t="s">
        <v>392</v>
      </c>
      <c r="F2251"/>
      <c r="G2251">
        <v>2</v>
      </c>
      <c r="H2251">
        <v>1000</v>
      </c>
      <c r="J2251" cm="1">
        <f t="array" ref="J2251">_xlfn.SWITCH(B2251,1,75,2,61,3,49,4,37,5,25,6,13,7,4,8,1)</f>
        <v>13</v>
      </c>
      <c r="K2251" t="str" cm="1">
        <f t="array" ref="K2251">IFERROR(_xlfn.SWITCH(L2251,2,_xlfn.XLOOKUP(C2251,[1]ModifierDes!$B:$B,[1]ModifierDes!$C:$C),3,_xlfn.XLOOKUP(C2251,[1]StuntDes!$B:$B,[1]StuntDes!$C:$C)),"")</f>
        <v>魔力回复率提高{0}</v>
      </c>
      <c r="L2251">
        <f t="shared" si="94"/>
        <v>2</v>
      </c>
      <c r="M2251" s="10" t="str">
        <f>IFERROR(_xlfn.XLOOKUP(C2251,[1]StuntDes!$B:$B,[1]StuntDes!$A:$A),"")</f>
        <v/>
      </c>
      <c r="N2251" s="10">
        <f>IFERROR(_xlfn.XLOOKUP(C2251,[1]ModifierDes!$B:$B,[1]ModifierDes!$A:$A),"")</f>
        <v>10116</v>
      </c>
      <c r="O2251" s="10" t="str">
        <f>IFERROR(_xlfn.XLOOKUP(C2251,[1]AttributeName!$C:$C,[1]AttributeName!$B:$B),"")</f>
        <v/>
      </c>
      <c r="P2251" s="10"/>
      <c r="Q2251">
        <v>0.06</v>
      </c>
      <c r="R2251">
        <v>0.07</v>
      </c>
      <c r="S2251" cm="1">
        <f t="array" ref="S2251">IFERROR(_xlfn.SWITCH(L2251,1,_xlfn.XLOOKUP(O2251,[1]AttributeName!$B:$B,[1]AttributeName!$D:$D),2,_xlfn.XLOOKUP(C2251,#REF!,#REF!),3,_xlfn.XLOOKUP(C2251,#REF!,#REF!)),0)</f>
        <v>0</v>
      </c>
      <c r="T2251" cm="1">
        <f t="array" ref="T2251">IFERROR(_xlfn.SWITCH(L2251,1,_xlfn.XLOOKUP(O2251,[1]AttributeName!$B:$B,[1]AttributeName!$E:$E),2,_xlfn.XLOOKUP(C2251,#REF!,#REF!),3,_xlfn.XLOOKUP(C2251,#REF!,#REF!)),0)</f>
        <v>0</v>
      </c>
    </row>
    <row r="2252" customFormat="1" spans="1:20">
      <c r="A2252">
        <v>951</v>
      </c>
      <c r="B2252">
        <v>7</v>
      </c>
      <c r="C2252" t="s">
        <v>391</v>
      </c>
      <c r="D2252" t="s">
        <v>32</v>
      </c>
      <c r="E2252" s="13" t="s">
        <v>392</v>
      </c>
      <c r="F2252"/>
      <c r="G2252">
        <v>2</v>
      </c>
      <c r="H2252">
        <v>1000</v>
      </c>
      <c r="J2252" cm="1">
        <f t="array" ref="J2252">_xlfn.SWITCH(B2252,1,75,2,61,3,49,4,37,5,25,6,13,7,4,8,1)</f>
        <v>4</v>
      </c>
      <c r="K2252" t="str" cm="1">
        <f t="array" ref="K2252">IFERROR(_xlfn.SWITCH(L2252,2,_xlfn.XLOOKUP(C2252,[1]ModifierDes!$B:$B,[1]ModifierDes!$C:$C),3,_xlfn.XLOOKUP(C2252,[1]StuntDes!$B:$B,[1]StuntDes!$C:$C)),"")</f>
        <v>魔力回复率提高{0}</v>
      </c>
      <c r="L2252">
        <f t="shared" si="94"/>
        <v>2</v>
      </c>
      <c r="M2252" s="10" t="str">
        <f>IFERROR(_xlfn.XLOOKUP(C2252,[1]StuntDes!$B:$B,[1]StuntDes!$A:$A),"")</f>
        <v/>
      </c>
      <c r="N2252" s="10">
        <f>IFERROR(_xlfn.XLOOKUP(C2252,[1]ModifierDes!$B:$B,[1]ModifierDes!$A:$A),"")</f>
        <v>10116</v>
      </c>
      <c r="O2252" s="10" t="str">
        <f>IFERROR(_xlfn.XLOOKUP(C2252,[1]AttributeName!$C:$C,[1]AttributeName!$B:$B),"")</f>
        <v/>
      </c>
      <c r="P2252" s="10"/>
      <c r="Q2252">
        <v>0.03</v>
      </c>
      <c r="R2252">
        <v>0.05</v>
      </c>
      <c r="S2252" cm="1">
        <f t="array" ref="S2252">IFERROR(_xlfn.SWITCH(L2252,1,_xlfn.XLOOKUP(O2252,[1]AttributeName!$B:$B,[1]AttributeName!$D:$D),2,_xlfn.XLOOKUP(C2252,#REF!,#REF!),3,_xlfn.XLOOKUP(C2252,#REF!,#REF!)),0)</f>
        <v>0</v>
      </c>
      <c r="T2252" cm="1">
        <f t="array" ref="T2252">IFERROR(_xlfn.SWITCH(L2252,1,_xlfn.XLOOKUP(O2252,[1]AttributeName!$B:$B,[1]AttributeName!$E:$E),2,_xlfn.XLOOKUP(C2252,#REF!,#REF!),3,_xlfn.XLOOKUP(C2252,#REF!,#REF!)),0)</f>
        <v>0</v>
      </c>
    </row>
    <row r="2253" customFormat="1" spans="1:20">
      <c r="A2253">
        <v>951</v>
      </c>
      <c r="B2253">
        <v>8</v>
      </c>
      <c r="C2253" t="s">
        <v>391</v>
      </c>
      <c r="D2253" t="s">
        <v>32</v>
      </c>
      <c r="E2253" s="13" t="s">
        <v>392</v>
      </c>
      <c r="F2253"/>
      <c r="G2253">
        <v>2</v>
      </c>
      <c r="H2253">
        <v>1000</v>
      </c>
      <c r="J2253" cm="1">
        <f t="array" ref="J2253">_xlfn.SWITCH(B2253,1,75,2,61,3,49,4,37,5,25,6,13,7,4,8,1)</f>
        <v>1</v>
      </c>
      <c r="K2253" t="str" cm="1">
        <f t="array" ref="K2253">IFERROR(_xlfn.SWITCH(L2253,2,_xlfn.XLOOKUP(C2253,[1]ModifierDes!$B:$B,[1]ModifierDes!$C:$C),3,_xlfn.XLOOKUP(C2253,[1]StuntDes!$B:$B,[1]StuntDes!$C:$C)),"")</f>
        <v>魔力回复率提高{0}</v>
      </c>
      <c r="L2253">
        <f t="shared" si="94"/>
        <v>2</v>
      </c>
      <c r="M2253" s="10" t="str">
        <f>IFERROR(_xlfn.XLOOKUP(C2253,[1]StuntDes!$B:$B,[1]StuntDes!$A:$A),"")</f>
        <v/>
      </c>
      <c r="N2253" s="10">
        <f>IFERROR(_xlfn.XLOOKUP(C2253,[1]ModifierDes!$B:$B,[1]ModifierDes!$A:$A),"")</f>
        <v>10116</v>
      </c>
      <c r="O2253" s="10" t="str">
        <f>IFERROR(_xlfn.XLOOKUP(C2253,[1]AttributeName!$C:$C,[1]AttributeName!$B:$B),"")</f>
        <v/>
      </c>
      <c r="P2253" s="10"/>
      <c r="Q2253">
        <v>0.02</v>
      </c>
      <c r="R2253">
        <v>0.02</v>
      </c>
      <c r="S2253" cm="1">
        <f t="array" ref="S2253">IFERROR(_xlfn.SWITCH(L2253,1,_xlfn.XLOOKUP(O2253,[1]AttributeName!$B:$B,[1]AttributeName!$D:$D),2,_xlfn.XLOOKUP(C2253,#REF!,#REF!),3,_xlfn.XLOOKUP(C2253,#REF!,#REF!)),0)</f>
        <v>0</v>
      </c>
      <c r="T2253" cm="1">
        <f t="array" ref="T2253">IFERROR(_xlfn.SWITCH(L2253,1,_xlfn.XLOOKUP(O2253,[1]AttributeName!$B:$B,[1]AttributeName!$E:$E),2,_xlfn.XLOOKUP(C2253,#REF!,#REF!),3,_xlfn.XLOOKUP(C2253,#REF!,#REF!)),0)</f>
        <v>0</v>
      </c>
    </row>
    <row r="2254" customFormat="1" spans="1:20">
      <c r="A2254">
        <v>952</v>
      </c>
      <c r="B2254">
        <v>1</v>
      </c>
      <c r="C2254" t="s">
        <v>399</v>
      </c>
      <c r="D2254" t="s">
        <v>32</v>
      </c>
      <c r="E2254" s="13" t="s">
        <v>392</v>
      </c>
      <c r="F2254"/>
      <c r="G2254">
        <v>2</v>
      </c>
      <c r="H2254">
        <v>100</v>
      </c>
      <c r="J2254" cm="1">
        <f t="array" ref="J2254">_xlfn.SWITCH(B2254,1,75,2,61,3,49,4,37,5,25,6,13,7,4,8,1)</f>
        <v>75</v>
      </c>
      <c r="K2254" t="str" cm="1">
        <f t="array" ref="K2254">IFERROR(_xlfn.SWITCH(L2254,2,_xlfn.XLOOKUP(C2254,[1]ModifierDes!$B:$B,[1]ModifierDes!$C:$C),3,_xlfn.XLOOKUP(C2254,[1]StuntDes!$B:$B,[1]StuntDes!$C:$C)),"")</f>
        <v/>
      </c>
      <c r="L2254">
        <f t="shared" si="94"/>
        <v>1</v>
      </c>
      <c r="M2254" s="10" t="str">
        <f>IFERROR(_xlfn.XLOOKUP(C2254,[1]StuntDes!$B:$B,[1]StuntDes!$A:$A),"")</f>
        <v/>
      </c>
      <c r="N2254" s="10" t="str">
        <f>IFERROR(_xlfn.XLOOKUP(C2254,[1]ModifierDes!$B:$B,[1]ModifierDes!$A:$A),"")</f>
        <v/>
      </c>
      <c r="O2254" s="10">
        <f>IFERROR(_xlfn.XLOOKUP(C2254,[1]AttributeName!$C:$C,[1]AttributeName!$B:$B),"")</f>
        <v>10102</v>
      </c>
      <c r="P2254" s="10"/>
      <c r="Q2254">
        <v>0.6</v>
      </c>
      <c r="R2254">
        <v>0.8</v>
      </c>
      <c r="S2254" cm="1">
        <f t="array" ref="S2254">IFERROR(_xlfn.SWITCH(L2254,1,_xlfn.XLOOKUP(O2254,[1]AttributeName!$B:$B,[1]AttributeName!$D:$D),2,_xlfn.XLOOKUP(C2254,#REF!,#REF!),3,_xlfn.XLOOKUP(C2254,#REF!,#REF!)),0)</f>
        <v>2</v>
      </c>
      <c r="T2254" cm="1">
        <f t="array" ref="T2254">IFERROR(_xlfn.SWITCH(L2254,1,_xlfn.XLOOKUP(O2254,[1]AttributeName!$B:$B,[1]AttributeName!$E:$E),2,_xlfn.XLOOKUP(C2254,#REF!,#REF!),3,_xlfn.XLOOKUP(C2254,#REF!,#REF!)),0)</f>
        <v>2</v>
      </c>
    </row>
    <row r="2255" customFormat="1" spans="1:20">
      <c r="A2255">
        <v>952</v>
      </c>
      <c r="B2255">
        <v>2</v>
      </c>
      <c r="C2255" t="s">
        <v>399</v>
      </c>
      <c r="D2255" t="s">
        <v>32</v>
      </c>
      <c r="E2255" s="13" t="s">
        <v>392</v>
      </c>
      <c r="F2255"/>
      <c r="G2255">
        <v>2</v>
      </c>
      <c r="H2255">
        <v>200</v>
      </c>
      <c r="J2255" cm="1">
        <f t="array" ref="J2255">_xlfn.SWITCH(B2255,1,75,2,61,3,49,4,37,5,25,6,13,7,4,8,1)</f>
        <v>61</v>
      </c>
      <c r="K2255" t="str" cm="1">
        <f t="array" ref="K2255">IFERROR(_xlfn.SWITCH(L2255,2,_xlfn.XLOOKUP(C2255,[1]ModifierDes!$B:$B,[1]ModifierDes!$C:$C),3,_xlfn.XLOOKUP(C2255,[1]StuntDes!$B:$B,[1]StuntDes!$C:$C)),"")</f>
        <v/>
      </c>
      <c r="L2255">
        <f t="shared" si="94"/>
        <v>1</v>
      </c>
      <c r="M2255" s="10" t="str">
        <f>IFERROR(_xlfn.XLOOKUP(C2255,[1]StuntDes!$B:$B,[1]StuntDes!$A:$A),"")</f>
        <v/>
      </c>
      <c r="N2255" s="10" t="str">
        <f>IFERROR(_xlfn.XLOOKUP(C2255,[1]ModifierDes!$B:$B,[1]ModifierDes!$A:$A),"")</f>
        <v/>
      </c>
      <c r="O2255" s="10">
        <f>IFERROR(_xlfn.XLOOKUP(C2255,[1]AttributeName!$C:$C,[1]AttributeName!$B:$B),"")</f>
        <v>10102</v>
      </c>
      <c r="P2255" s="10"/>
      <c r="Q2255">
        <v>0.52</v>
      </c>
      <c r="R2255">
        <v>0.58</v>
      </c>
      <c r="S2255" cm="1">
        <f t="array" ref="S2255">IFERROR(_xlfn.SWITCH(L2255,1,_xlfn.XLOOKUP(O2255,[1]AttributeName!$B:$B,[1]AttributeName!$D:$D),2,_xlfn.XLOOKUP(C2255,#REF!,#REF!),3,_xlfn.XLOOKUP(C2255,#REF!,#REF!)),0)</f>
        <v>2</v>
      </c>
      <c r="T2255" cm="1">
        <f t="array" ref="T2255">IFERROR(_xlfn.SWITCH(L2255,1,_xlfn.XLOOKUP(O2255,[1]AttributeName!$B:$B,[1]AttributeName!$E:$E),2,_xlfn.XLOOKUP(C2255,#REF!,#REF!),3,_xlfn.XLOOKUP(C2255,#REF!,#REF!)),0)</f>
        <v>2</v>
      </c>
    </row>
    <row r="2256" customFormat="1" spans="1:20">
      <c r="A2256">
        <v>952</v>
      </c>
      <c r="B2256">
        <v>3</v>
      </c>
      <c r="C2256" t="s">
        <v>399</v>
      </c>
      <c r="D2256" t="s">
        <v>32</v>
      </c>
      <c r="E2256" s="13" t="s">
        <v>392</v>
      </c>
      <c r="F2256"/>
      <c r="G2256">
        <v>2</v>
      </c>
      <c r="H2256">
        <v>500</v>
      </c>
      <c r="J2256" cm="1">
        <f t="array" ref="J2256">_xlfn.SWITCH(B2256,1,75,2,61,3,49,4,37,5,25,6,13,7,4,8,1)</f>
        <v>49</v>
      </c>
      <c r="K2256" t="str" cm="1">
        <f t="array" ref="K2256">IFERROR(_xlfn.SWITCH(L2256,2,_xlfn.XLOOKUP(C2256,[1]ModifierDes!$B:$B,[1]ModifierDes!$C:$C),3,_xlfn.XLOOKUP(C2256,[1]StuntDes!$B:$B,[1]StuntDes!$C:$C)),"")</f>
        <v/>
      </c>
      <c r="L2256">
        <f t="shared" si="94"/>
        <v>1</v>
      </c>
      <c r="M2256" s="10" t="str">
        <f>IFERROR(_xlfn.XLOOKUP(C2256,[1]StuntDes!$B:$B,[1]StuntDes!$A:$A),"")</f>
        <v/>
      </c>
      <c r="N2256" s="10" t="str">
        <f>IFERROR(_xlfn.XLOOKUP(C2256,[1]ModifierDes!$B:$B,[1]ModifierDes!$A:$A),"")</f>
        <v/>
      </c>
      <c r="O2256" s="10">
        <f>IFERROR(_xlfn.XLOOKUP(C2256,[1]AttributeName!$C:$C,[1]AttributeName!$B:$B),"")</f>
        <v>10102</v>
      </c>
      <c r="P2256" s="10"/>
      <c r="Q2256">
        <v>0.44</v>
      </c>
      <c r="R2256">
        <v>0.5</v>
      </c>
      <c r="S2256" cm="1">
        <f t="array" ref="S2256">IFERROR(_xlfn.SWITCH(L2256,1,_xlfn.XLOOKUP(O2256,[1]AttributeName!$B:$B,[1]AttributeName!$D:$D),2,_xlfn.XLOOKUP(C2256,#REF!,#REF!),3,_xlfn.XLOOKUP(C2256,#REF!,#REF!)),0)</f>
        <v>2</v>
      </c>
      <c r="T2256" cm="1">
        <f t="array" ref="T2256">IFERROR(_xlfn.SWITCH(L2256,1,_xlfn.XLOOKUP(O2256,[1]AttributeName!$B:$B,[1]AttributeName!$E:$E),2,_xlfn.XLOOKUP(C2256,#REF!,#REF!),3,_xlfn.XLOOKUP(C2256,#REF!,#REF!)),0)</f>
        <v>2</v>
      </c>
    </row>
    <row r="2257" customFormat="1" spans="1:20">
      <c r="A2257">
        <v>952</v>
      </c>
      <c r="B2257">
        <v>4</v>
      </c>
      <c r="C2257" t="s">
        <v>399</v>
      </c>
      <c r="D2257" t="s">
        <v>32</v>
      </c>
      <c r="E2257" s="13" t="s">
        <v>392</v>
      </c>
      <c r="F2257"/>
      <c r="G2257">
        <v>2</v>
      </c>
      <c r="H2257">
        <v>1000</v>
      </c>
      <c r="J2257" cm="1">
        <f t="array" ref="J2257">_xlfn.SWITCH(B2257,1,75,2,61,3,49,4,37,5,25,6,13,7,4,8,1)</f>
        <v>37</v>
      </c>
      <c r="K2257" t="str" cm="1">
        <f t="array" ref="K2257">IFERROR(_xlfn.SWITCH(L2257,2,_xlfn.XLOOKUP(C2257,[1]ModifierDes!$B:$B,[1]ModifierDes!$C:$C),3,_xlfn.XLOOKUP(C2257,[1]StuntDes!$B:$B,[1]StuntDes!$C:$C)),"")</f>
        <v/>
      </c>
      <c r="L2257">
        <f t="shared" si="94"/>
        <v>1</v>
      </c>
      <c r="M2257" s="10" t="str">
        <f>IFERROR(_xlfn.XLOOKUP(C2257,[1]StuntDes!$B:$B,[1]StuntDes!$A:$A),"")</f>
        <v/>
      </c>
      <c r="N2257" s="10" t="str">
        <f>IFERROR(_xlfn.XLOOKUP(C2257,[1]ModifierDes!$B:$B,[1]ModifierDes!$A:$A),"")</f>
        <v/>
      </c>
      <c r="O2257" s="10">
        <f>IFERROR(_xlfn.XLOOKUP(C2257,[1]AttributeName!$C:$C,[1]AttributeName!$B:$B),"")</f>
        <v>10102</v>
      </c>
      <c r="P2257" s="10"/>
      <c r="Q2257">
        <v>0.36</v>
      </c>
      <c r="R2257">
        <v>0.42</v>
      </c>
      <c r="S2257" cm="1">
        <f t="array" ref="S2257">IFERROR(_xlfn.SWITCH(L2257,1,_xlfn.XLOOKUP(O2257,[1]AttributeName!$B:$B,[1]AttributeName!$D:$D),2,_xlfn.XLOOKUP(C2257,#REF!,#REF!),3,_xlfn.XLOOKUP(C2257,#REF!,#REF!)),0)</f>
        <v>2</v>
      </c>
      <c r="T2257" cm="1">
        <f t="array" ref="T2257">IFERROR(_xlfn.SWITCH(L2257,1,_xlfn.XLOOKUP(O2257,[1]AttributeName!$B:$B,[1]AttributeName!$E:$E),2,_xlfn.XLOOKUP(C2257,#REF!,#REF!),3,_xlfn.XLOOKUP(C2257,#REF!,#REF!)),0)</f>
        <v>2</v>
      </c>
    </row>
    <row r="2258" customFormat="1" spans="1:20">
      <c r="A2258">
        <v>952</v>
      </c>
      <c r="B2258">
        <v>5</v>
      </c>
      <c r="C2258" t="s">
        <v>399</v>
      </c>
      <c r="D2258" t="s">
        <v>32</v>
      </c>
      <c r="E2258" s="13" t="s">
        <v>392</v>
      </c>
      <c r="F2258"/>
      <c r="G2258">
        <v>2</v>
      </c>
      <c r="H2258">
        <v>1000</v>
      </c>
      <c r="J2258" cm="1">
        <f t="array" ref="J2258">_xlfn.SWITCH(B2258,1,75,2,61,3,49,4,37,5,25,6,13,7,4,8,1)</f>
        <v>25</v>
      </c>
      <c r="K2258" t="str" cm="1">
        <f t="array" ref="K2258">IFERROR(_xlfn.SWITCH(L2258,2,_xlfn.XLOOKUP(C2258,[1]ModifierDes!$B:$B,[1]ModifierDes!$C:$C),3,_xlfn.XLOOKUP(C2258,[1]StuntDes!$B:$B,[1]StuntDes!$C:$C)),"")</f>
        <v/>
      </c>
      <c r="L2258">
        <f t="shared" si="94"/>
        <v>1</v>
      </c>
      <c r="M2258" s="10" t="str">
        <f>IFERROR(_xlfn.XLOOKUP(C2258,[1]StuntDes!$B:$B,[1]StuntDes!$A:$A),"")</f>
        <v/>
      </c>
      <c r="N2258" s="10" t="str">
        <f>IFERROR(_xlfn.XLOOKUP(C2258,[1]ModifierDes!$B:$B,[1]ModifierDes!$A:$A),"")</f>
        <v/>
      </c>
      <c r="O2258" s="10">
        <f>IFERROR(_xlfn.XLOOKUP(C2258,[1]AttributeName!$C:$C,[1]AttributeName!$B:$B),"")</f>
        <v>10102</v>
      </c>
      <c r="P2258" s="10"/>
      <c r="Q2258">
        <v>0.28</v>
      </c>
      <c r="R2258">
        <v>0.34</v>
      </c>
      <c r="S2258" cm="1">
        <f t="array" ref="S2258">IFERROR(_xlfn.SWITCH(L2258,1,_xlfn.XLOOKUP(O2258,[1]AttributeName!$B:$B,[1]AttributeName!$D:$D),2,_xlfn.XLOOKUP(C2258,#REF!,#REF!),3,_xlfn.XLOOKUP(C2258,#REF!,#REF!)),0)</f>
        <v>2</v>
      </c>
      <c r="T2258" cm="1">
        <f t="array" ref="T2258">IFERROR(_xlfn.SWITCH(L2258,1,_xlfn.XLOOKUP(O2258,[1]AttributeName!$B:$B,[1]AttributeName!$E:$E),2,_xlfn.XLOOKUP(C2258,#REF!,#REF!),3,_xlfn.XLOOKUP(C2258,#REF!,#REF!)),0)</f>
        <v>2</v>
      </c>
    </row>
    <row r="2259" customFormat="1" spans="1:20">
      <c r="A2259">
        <v>952</v>
      </c>
      <c r="B2259">
        <v>6</v>
      </c>
      <c r="C2259" t="s">
        <v>399</v>
      </c>
      <c r="D2259" t="s">
        <v>32</v>
      </c>
      <c r="E2259" s="13" t="s">
        <v>392</v>
      </c>
      <c r="F2259"/>
      <c r="G2259">
        <v>2</v>
      </c>
      <c r="H2259">
        <v>1000</v>
      </c>
      <c r="J2259" cm="1">
        <f t="array" ref="J2259">_xlfn.SWITCH(B2259,1,75,2,61,3,49,4,37,5,25,6,13,7,4,8,1)</f>
        <v>13</v>
      </c>
      <c r="K2259" t="str" cm="1">
        <f t="array" ref="K2259">IFERROR(_xlfn.SWITCH(L2259,2,_xlfn.XLOOKUP(C2259,[1]ModifierDes!$B:$B,[1]ModifierDes!$C:$C),3,_xlfn.XLOOKUP(C2259,[1]StuntDes!$B:$B,[1]StuntDes!$C:$C)),"")</f>
        <v/>
      </c>
      <c r="L2259">
        <f t="shared" si="94"/>
        <v>1</v>
      </c>
      <c r="M2259" s="10" t="str">
        <f>IFERROR(_xlfn.XLOOKUP(C2259,[1]StuntDes!$B:$B,[1]StuntDes!$A:$A),"")</f>
        <v/>
      </c>
      <c r="N2259" s="10" t="str">
        <f>IFERROR(_xlfn.XLOOKUP(C2259,[1]ModifierDes!$B:$B,[1]ModifierDes!$A:$A),"")</f>
        <v/>
      </c>
      <c r="O2259" s="10">
        <f>IFERROR(_xlfn.XLOOKUP(C2259,[1]AttributeName!$C:$C,[1]AttributeName!$B:$B),"")</f>
        <v>10102</v>
      </c>
      <c r="P2259" s="10"/>
      <c r="Q2259">
        <v>0.2</v>
      </c>
      <c r="R2259">
        <v>0.26</v>
      </c>
      <c r="S2259" cm="1">
        <f t="array" ref="S2259">IFERROR(_xlfn.SWITCH(L2259,1,_xlfn.XLOOKUP(O2259,[1]AttributeName!$B:$B,[1]AttributeName!$D:$D),2,_xlfn.XLOOKUP(C2259,#REF!,#REF!),3,_xlfn.XLOOKUP(C2259,#REF!,#REF!)),0)</f>
        <v>2</v>
      </c>
      <c r="T2259" cm="1">
        <f t="array" ref="T2259">IFERROR(_xlfn.SWITCH(L2259,1,_xlfn.XLOOKUP(O2259,[1]AttributeName!$B:$B,[1]AttributeName!$E:$E),2,_xlfn.XLOOKUP(C2259,#REF!,#REF!),3,_xlfn.XLOOKUP(C2259,#REF!,#REF!)),0)</f>
        <v>2</v>
      </c>
    </row>
    <row r="2260" customFormat="1" spans="1:20">
      <c r="A2260">
        <v>952</v>
      </c>
      <c r="B2260">
        <v>7</v>
      </c>
      <c r="C2260" t="s">
        <v>399</v>
      </c>
      <c r="D2260" t="s">
        <v>32</v>
      </c>
      <c r="E2260" s="13" t="s">
        <v>392</v>
      </c>
      <c r="F2260"/>
      <c r="G2260">
        <v>2</v>
      </c>
      <c r="H2260">
        <v>1000</v>
      </c>
      <c r="J2260" cm="1">
        <f t="array" ref="J2260">_xlfn.SWITCH(B2260,1,75,2,61,3,49,4,37,5,25,6,13,7,4,8,1)</f>
        <v>4</v>
      </c>
      <c r="K2260" t="str" cm="1">
        <f t="array" ref="K2260">IFERROR(_xlfn.SWITCH(L2260,2,_xlfn.XLOOKUP(C2260,[1]ModifierDes!$B:$B,[1]ModifierDes!$C:$C),3,_xlfn.XLOOKUP(C2260,[1]StuntDes!$B:$B,[1]StuntDes!$C:$C)),"")</f>
        <v/>
      </c>
      <c r="L2260">
        <f t="shared" si="94"/>
        <v>1</v>
      </c>
      <c r="M2260" s="10" t="str">
        <f>IFERROR(_xlfn.XLOOKUP(C2260,[1]StuntDes!$B:$B,[1]StuntDes!$A:$A),"")</f>
        <v/>
      </c>
      <c r="N2260" s="10" t="str">
        <f>IFERROR(_xlfn.XLOOKUP(C2260,[1]ModifierDes!$B:$B,[1]ModifierDes!$A:$A),"")</f>
        <v/>
      </c>
      <c r="O2260" s="10">
        <f>IFERROR(_xlfn.XLOOKUP(C2260,[1]AttributeName!$C:$C,[1]AttributeName!$B:$B),"")</f>
        <v>10102</v>
      </c>
      <c r="P2260" s="10"/>
      <c r="Q2260">
        <v>0.12</v>
      </c>
      <c r="R2260">
        <v>0.18</v>
      </c>
      <c r="S2260" cm="1">
        <f t="array" ref="S2260">IFERROR(_xlfn.SWITCH(L2260,1,_xlfn.XLOOKUP(O2260,[1]AttributeName!$B:$B,[1]AttributeName!$D:$D),2,_xlfn.XLOOKUP(C2260,#REF!,#REF!),3,_xlfn.XLOOKUP(C2260,#REF!,#REF!)),0)</f>
        <v>2</v>
      </c>
      <c r="T2260" cm="1">
        <f t="array" ref="T2260">IFERROR(_xlfn.SWITCH(L2260,1,_xlfn.XLOOKUP(O2260,[1]AttributeName!$B:$B,[1]AttributeName!$E:$E),2,_xlfn.XLOOKUP(C2260,#REF!,#REF!),3,_xlfn.XLOOKUP(C2260,#REF!,#REF!)),0)</f>
        <v>2</v>
      </c>
    </row>
    <row r="2261" customFormat="1" spans="1:20">
      <c r="A2261">
        <v>952</v>
      </c>
      <c r="B2261">
        <v>8</v>
      </c>
      <c r="C2261" t="s">
        <v>399</v>
      </c>
      <c r="D2261" t="s">
        <v>32</v>
      </c>
      <c r="E2261" s="13" t="s">
        <v>392</v>
      </c>
      <c r="F2261"/>
      <c r="G2261">
        <v>2</v>
      </c>
      <c r="H2261">
        <v>1000</v>
      </c>
      <c r="J2261" cm="1">
        <f t="array" ref="J2261">_xlfn.SWITCH(B2261,1,75,2,61,3,49,4,37,5,25,6,13,7,4,8,1)</f>
        <v>1</v>
      </c>
      <c r="K2261" t="str" cm="1">
        <f t="array" ref="K2261">IFERROR(_xlfn.SWITCH(L2261,2,_xlfn.XLOOKUP(C2261,[1]ModifierDes!$B:$B,[1]ModifierDes!$C:$C),3,_xlfn.XLOOKUP(C2261,[1]StuntDes!$B:$B,[1]StuntDes!$C:$C)),"")</f>
        <v/>
      </c>
      <c r="L2261">
        <f t="shared" si="94"/>
        <v>1</v>
      </c>
      <c r="M2261" s="10" t="str">
        <f>IFERROR(_xlfn.XLOOKUP(C2261,[1]StuntDes!$B:$B,[1]StuntDes!$A:$A),"")</f>
        <v/>
      </c>
      <c r="N2261" s="10" t="str">
        <f>IFERROR(_xlfn.XLOOKUP(C2261,[1]ModifierDes!$B:$B,[1]ModifierDes!$A:$A),"")</f>
        <v/>
      </c>
      <c r="O2261" s="10">
        <f>IFERROR(_xlfn.XLOOKUP(C2261,[1]AttributeName!$C:$C,[1]AttributeName!$B:$B),"")</f>
        <v>10102</v>
      </c>
      <c r="P2261" s="10"/>
      <c r="Q2261">
        <v>0.04</v>
      </c>
      <c r="R2261">
        <v>0.1</v>
      </c>
      <c r="S2261" cm="1">
        <f t="array" ref="S2261">IFERROR(_xlfn.SWITCH(L2261,1,_xlfn.XLOOKUP(O2261,[1]AttributeName!$B:$B,[1]AttributeName!$D:$D),2,_xlfn.XLOOKUP(C2261,#REF!,#REF!),3,_xlfn.XLOOKUP(C2261,#REF!,#REF!)),0)</f>
        <v>2</v>
      </c>
      <c r="T2261" cm="1">
        <f t="array" ref="T2261">IFERROR(_xlfn.SWITCH(L2261,1,_xlfn.XLOOKUP(O2261,[1]AttributeName!$B:$B,[1]AttributeName!$E:$E),2,_xlfn.XLOOKUP(C2261,#REF!,#REF!),3,_xlfn.XLOOKUP(C2261,#REF!,#REF!)),0)</f>
        <v>2</v>
      </c>
    </row>
    <row r="2262" customFormat="1" spans="1:20">
      <c r="A2262">
        <f t="shared" ref="A2262:A2325" si="95">A2254+1</f>
        <v>953</v>
      </c>
      <c r="B2262">
        <v>1</v>
      </c>
      <c r="C2262" t="s">
        <v>435</v>
      </c>
      <c r="D2262" t="s">
        <v>32</v>
      </c>
      <c r="E2262" s="13" t="s">
        <v>392</v>
      </c>
      <c r="F2262"/>
      <c r="G2262">
        <v>2</v>
      </c>
      <c r="H2262">
        <v>100</v>
      </c>
      <c r="J2262" cm="1">
        <f t="array" ref="J2262">_xlfn.SWITCH(B2262,1,75,2,61,3,49,4,37,5,25,6,13,7,4,8,1)</f>
        <v>75</v>
      </c>
      <c r="K2262" t="str" cm="1">
        <f t="array" ref="K2262">IFERROR(_xlfn.SWITCH(L2262,2,_xlfn.XLOOKUP(C2262,[1]ModifierDes!$B:$B,[1]ModifierDes!$C:$C),3,_xlfn.XLOOKUP(C2262,[1]StuntDes!$B:$B,[1]StuntDes!$C:$C)),"")</f>
        <v/>
      </c>
      <c r="L2262">
        <f t="shared" si="94"/>
        <v>1</v>
      </c>
      <c r="M2262" s="10" t="str">
        <f>IFERROR(_xlfn.XLOOKUP(C2262,[1]StuntDes!$B:$B,[1]StuntDes!$A:$A),"")</f>
        <v/>
      </c>
      <c r="N2262" s="10" t="str">
        <f>IFERROR(_xlfn.XLOOKUP(C2262,[1]ModifierDes!$B:$B,[1]ModifierDes!$A:$A),"")</f>
        <v/>
      </c>
      <c r="O2262" s="10">
        <f>IFERROR(_xlfn.XLOOKUP(C2262,[1]AttributeName!$C:$C,[1]AttributeName!$B:$B),"")</f>
        <v>10103</v>
      </c>
      <c r="P2262" s="10"/>
      <c r="Q2262">
        <v>0.6</v>
      </c>
      <c r="R2262">
        <v>0.8</v>
      </c>
      <c r="S2262" cm="1">
        <f t="array" ref="S2262">IFERROR(_xlfn.SWITCH(L2262,1,_xlfn.XLOOKUP(O2262,[1]AttributeName!$B:$B,[1]AttributeName!$D:$D),2,_xlfn.XLOOKUP(C2262,#REF!,#REF!),3,_xlfn.XLOOKUP(C2262,#REF!,#REF!)),0)</f>
        <v>2</v>
      </c>
      <c r="T2262" cm="1">
        <f t="array" ref="T2262">IFERROR(_xlfn.SWITCH(L2262,1,_xlfn.XLOOKUP(O2262,[1]AttributeName!$B:$B,[1]AttributeName!$E:$E),2,_xlfn.XLOOKUP(C2262,#REF!,#REF!),3,_xlfn.XLOOKUP(C2262,#REF!,#REF!)),0)</f>
        <v>2</v>
      </c>
    </row>
    <row r="2263" customFormat="1" spans="1:20">
      <c r="A2263">
        <f t="shared" si="95"/>
        <v>953</v>
      </c>
      <c r="B2263">
        <v>2</v>
      </c>
      <c r="C2263" t="s">
        <v>435</v>
      </c>
      <c r="D2263" t="s">
        <v>32</v>
      </c>
      <c r="E2263" s="13" t="s">
        <v>392</v>
      </c>
      <c r="F2263"/>
      <c r="G2263">
        <v>2</v>
      </c>
      <c r="H2263">
        <v>200</v>
      </c>
      <c r="J2263" cm="1">
        <f t="array" ref="J2263">_xlfn.SWITCH(B2263,1,75,2,61,3,49,4,37,5,25,6,13,7,4,8,1)</f>
        <v>61</v>
      </c>
      <c r="K2263" t="str" cm="1">
        <f t="array" ref="K2263">IFERROR(_xlfn.SWITCH(L2263,2,_xlfn.XLOOKUP(C2263,[1]ModifierDes!$B:$B,[1]ModifierDes!$C:$C),3,_xlfn.XLOOKUP(C2263,[1]StuntDes!$B:$B,[1]StuntDes!$C:$C)),"")</f>
        <v/>
      </c>
      <c r="L2263">
        <f t="shared" si="94"/>
        <v>1</v>
      </c>
      <c r="M2263" s="10" t="str">
        <f>IFERROR(_xlfn.XLOOKUP(C2263,[1]StuntDes!$B:$B,[1]StuntDes!$A:$A),"")</f>
        <v/>
      </c>
      <c r="N2263" s="10" t="str">
        <f>IFERROR(_xlfn.XLOOKUP(C2263,[1]ModifierDes!$B:$B,[1]ModifierDes!$A:$A),"")</f>
        <v/>
      </c>
      <c r="O2263" s="10">
        <f>IFERROR(_xlfn.XLOOKUP(C2263,[1]AttributeName!$C:$C,[1]AttributeName!$B:$B),"")</f>
        <v>10103</v>
      </c>
      <c r="P2263" s="10"/>
      <c r="Q2263">
        <v>0.52</v>
      </c>
      <c r="R2263">
        <v>0.58</v>
      </c>
      <c r="S2263" cm="1">
        <f t="array" ref="S2263">IFERROR(_xlfn.SWITCH(L2263,1,_xlfn.XLOOKUP(O2263,[1]AttributeName!$B:$B,[1]AttributeName!$D:$D),2,_xlfn.XLOOKUP(C2263,#REF!,#REF!),3,_xlfn.XLOOKUP(C2263,#REF!,#REF!)),0)</f>
        <v>2</v>
      </c>
      <c r="T2263" cm="1">
        <f t="array" ref="T2263">IFERROR(_xlfn.SWITCH(L2263,1,_xlfn.XLOOKUP(O2263,[1]AttributeName!$B:$B,[1]AttributeName!$E:$E),2,_xlfn.XLOOKUP(C2263,#REF!,#REF!),3,_xlfn.XLOOKUP(C2263,#REF!,#REF!)),0)</f>
        <v>2</v>
      </c>
    </row>
    <row r="2264" customFormat="1" spans="1:20">
      <c r="A2264">
        <f t="shared" si="95"/>
        <v>953</v>
      </c>
      <c r="B2264">
        <v>3</v>
      </c>
      <c r="C2264" t="s">
        <v>435</v>
      </c>
      <c r="D2264" t="s">
        <v>32</v>
      </c>
      <c r="E2264" s="13" t="s">
        <v>392</v>
      </c>
      <c r="F2264"/>
      <c r="G2264">
        <v>2</v>
      </c>
      <c r="H2264">
        <v>500</v>
      </c>
      <c r="J2264" cm="1">
        <f t="array" ref="J2264">_xlfn.SWITCH(B2264,1,75,2,61,3,49,4,37,5,25,6,13,7,4,8,1)</f>
        <v>49</v>
      </c>
      <c r="K2264" t="str" cm="1">
        <f t="array" ref="K2264">IFERROR(_xlfn.SWITCH(L2264,2,_xlfn.XLOOKUP(C2264,[1]ModifierDes!$B:$B,[1]ModifierDes!$C:$C),3,_xlfn.XLOOKUP(C2264,[1]StuntDes!$B:$B,[1]StuntDes!$C:$C)),"")</f>
        <v/>
      </c>
      <c r="L2264">
        <f t="shared" si="94"/>
        <v>1</v>
      </c>
      <c r="M2264" s="10" t="str">
        <f>IFERROR(_xlfn.XLOOKUP(C2264,[1]StuntDes!$B:$B,[1]StuntDes!$A:$A),"")</f>
        <v/>
      </c>
      <c r="N2264" s="10" t="str">
        <f>IFERROR(_xlfn.XLOOKUP(C2264,[1]ModifierDes!$B:$B,[1]ModifierDes!$A:$A),"")</f>
        <v/>
      </c>
      <c r="O2264" s="10">
        <f>IFERROR(_xlfn.XLOOKUP(C2264,[1]AttributeName!$C:$C,[1]AttributeName!$B:$B),"")</f>
        <v>10103</v>
      </c>
      <c r="P2264" s="10"/>
      <c r="Q2264">
        <v>0.44</v>
      </c>
      <c r="R2264">
        <v>0.5</v>
      </c>
      <c r="S2264" cm="1">
        <f t="array" ref="S2264">IFERROR(_xlfn.SWITCH(L2264,1,_xlfn.XLOOKUP(O2264,[1]AttributeName!$B:$B,[1]AttributeName!$D:$D),2,_xlfn.XLOOKUP(C2264,#REF!,#REF!),3,_xlfn.XLOOKUP(C2264,#REF!,#REF!)),0)</f>
        <v>2</v>
      </c>
      <c r="T2264" cm="1">
        <f t="array" ref="T2264">IFERROR(_xlfn.SWITCH(L2264,1,_xlfn.XLOOKUP(O2264,[1]AttributeName!$B:$B,[1]AttributeName!$E:$E),2,_xlfn.XLOOKUP(C2264,#REF!,#REF!),3,_xlfn.XLOOKUP(C2264,#REF!,#REF!)),0)</f>
        <v>2</v>
      </c>
    </row>
    <row r="2265" customFormat="1" spans="1:20">
      <c r="A2265">
        <f t="shared" si="95"/>
        <v>953</v>
      </c>
      <c r="B2265">
        <v>4</v>
      </c>
      <c r="C2265" t="s">
        <v>435</v>
      </c>
      <c r="D2265" t="s">
        <v>32</v>
      </c>
      <c r="E2265" s="13" t="s">
        <v>392</v>
      </c>
      <c r="F2265"/>
      <c r="G2265">
        <v>2</v>
      </c>
      <c r="H2265">
        <v>1000</v>
      </c>
      <c r="J2265" cm="1">
        <f t="array" ref="J2265">_xlfn.SWITCH(B2265,1,75,2,61,3,49,4,37,5,25,6,13,7,4,8,1)</f>
        <v>37</v>
      </c>
      <c r="K2265" t="str" cm="1">
        <f t="array" ref="K2265">IFERROR(_xlfn.SWITCH(L2265,2,_xlfn.XLOOKUP(C2265,[1]ModifierDes!$B:$B,[1]ModifierDes!$C:$C),3,_xlfn.XLOOKUP(C2265,[1]StuntDes!$B:$B,[1]StuntDes!$C:$C)),"")</f>
        <v/>
      </c>
      <c r="L2265">
        <f t="shared" si="94"/>
        <v>1</v>
      </c>
      <c r="M2265" s="10" t="str">
        <f>IFERROR(_xlfn.XLOOKUP(C2265,[1]StuntDes!$B:$B,[1]StuntDes!$A:$A),"")</f>
        <v/>
      </c>
      <c r="N2265" s="10" t="str">
        <f>IFERROR(_xlfn.XLOOKUP(C2265,[1]ModifierDes!$B:$B,[1]ModifierDes!$A:$A),"")</f>
        <v/>
      </c>
      <c r="O2265" s="10">
        <f>IFERROR(_xlfn.XLOOKUP(C2265,[1]AttributeName!$C:$C,[1]AttributeName!$B:$B),"")</f>
        <v>10103</v>
      </c>
      <c r="P2265" s="10"/>
      <c r="Q2265">
        <v>0.36</v>
      </c>
      <c r="R2265">
        <v>0.42</v>
      </c>
      <c r="S2265" cm="1">
        <f t="array" ref="S2265">IFERROR(_xlfn.SWITCH(L2265,1,_xlfn.XLOOKUP(O2265,[1]AttributeName!$B:$B,[1]AttributeName!$D:$D),2,_xlfn.XLOOKUP(C2265,#REF!,#REF!),3,_xlfn.XLOOKUP(C2265,#REF!,#REF!)),0)</f>
        <v>2</v>
      </c>
      <c r="T2265" cm="1">
        <f t="array" ref="T2265">IFERROR(_xlfn.SWITCH(L2265,1,_xlfn.XLOOKUP(O2265,[1]AttributeName!$B:$B,[1]AttributeName!$E:$E),2,_xlfn.XLOOKUP(C2265,#REF!,#REF!),3,_xlfn.XLOOKUP(C2265,#REF!,#REF!)),0)</f>
        <v>2</v>
      </c>
    </row>
    <row r="2266" customFormat="1" spans="1:20">
      <c r="A2266">
        <f t="shared" si="95"/>
        <v>953</v>
      </c>
      <c r="B2266">
        <v>5</v>
      </c>
      <c r="C2266" t="s">
        <v>435</v>
      </c>
      <c r="D2266" t="s">
        <v>32</v>
      </c>
      <c r="E2266" s="13" t="s">
        <v>392</v>
      </c>
      <c r="F2266"/>
      <c r="G2266">
        <v>2</v>
      </c>
      <c r="H2266">
        <v>1000</v>
      </c>
      <c r="J2266" cm="1">
        <f t="array" ref="J2266">_xlfn.SWITCH(B2266,1,75,2,61,3,49,4,37,5,25,6,13,7,4,8,1)</f>
        <v>25</v>
      </c>
      <c r="K2266" t="str" cm="1">
        <f t="array" ref="K2266">IFERROR(_xlfn.SWITCH(L2266,2,_xlfn.XLOOKUP(C2266,[1]ModifierDes!$B:$B,[1]ModifierDes!$C:$C),3,_xlfn.XLOOKUP(C2266,[1]StuntDes!$B:$B,[1]StuntDes!$C:$C)),"")</f>
        <v/>
      </c>
      <c r="L2266">
        <f t="shared" si="94"/>
        <v>1</v>
      </c>
      <c r="M2266" s="10" t="str">
        <f>IFERROR(_xlfn.XLOOKUP(C2266,[1]StuntDes!$B:$B,[1]StuntDes!$A:$A),"")</f>
        <v/>
      </c>
      <c r="N2266" s="10" t="str">
        <f>IFERROR(_xlfn.XLOOKUP(C2266,[1]ModifierDes!$B:$B,[1]ModifierDes!$A:$A),"")</f>
        <v/>
      </c>
      <c r="O2266" s="10">
        <f>IFERROR(_xlfn.XLOOKUP(C2266,[1]AttributeName!$C:$C,[1]AttributeName!$B:$B),"")</f>
        <v>10103</v>
      </c>
      <c r="P2266" s="10"/>
      <c r="Q2266">
        <v>0.28</v>
      </c>
      <c r="R2266">
        <v>0.34</v>
      </c>
      <c r="S2266" cm="1">
        <f t="array" ref="S2266">IFERROR(_xlfn.SWITCH(L2266,1,_xlfn.XLOOKUP(O2266,[1]AttributeName!$B:$B,[1]AttributeName!$D:$D),2,_xlfn.XLOOKUP(C2266,#REF!,#REF!),3,_xlfn.XLOOKUP(C2266,#REF!,#REF!)),0)</f>
        <v>2</v>
      </c>
      <c r="T2266" cm="1">
        <f t="array" ref="T2266">IFERROR(_xlfn.SWITCH(L2266,1,_xlfn.XLOOKUP(O2266,[1]AttributeName!$B:$B,[1]AttributeName!$E:$E),2,_xlfn.XLOOKUP(C2266,#REF!,#REF!),3,_xlfn.XLOOKUP(C2266,#REF!,#REF!)),0)</f>
        <v>2</v>
      </c>
    </row>
    <row r="2267" customFormat="1" spans="1:20">
      <c r="A2267">
        <f t="shared" si="95"/>
        <v>953</v>
      </c>
      <c r="B2267">
        <v>6</v>
      </c>
      <c r="C2267" t="s">
        <v>435</v>
      </c>
      <c r="D2267" t="s">
        <v>32</v>
      </c>
      <c r="E2267" s="13" t="s">
        <v>392</v>
      </c>
      <c r="F2267"/>
      <c r="G2267">
        <v>2</v>
      </c>
      <c r="H2267">
        <v>1000</v>
      </c>
      <c r="J2267" cm="1">
        <f t="array" ref="J2267">_xlfn.SWITCH(B2267,1,75,2,61,3,49,4,37,5,25,6,13,7,4,8,1)</f>
        <v>13</v>
      </c>
      <c r="K2267" t="str" cm="1">
        <f t="array" ref="K2267">IFERROR(_xlfn.SWITCH(L2267,2,_xlfn.XLOOKUP(C2267,[1]ModifierDes!$B:$B,[1]ModifierDes!$C:$C),3,_xlfn.XLOOKUP(C2267,[1]StuntDes!$B:$B,[1]StuntDes!$C:$C)),"")</f>
        <v/>
      </c>
      <c r="L2267">
        <f t="shared" si="94"/>
        <v>1</v>
      </c>
      <c r="M2267" s="10" t="str">
        <f>IFERROR(_xlfn.XLOOKUP(C2267,[1]StuntDes!$B:$B,[1]StuntDes!$A:$A),"")</f>
        <v/>
      </c>
      <c r="N2267" s="10" t="str">
        <f>IFERROR(_xlfn.XLOOKUP(C2267,[1]ModifierDes!$B:$B,[1]ModifierDes!$A:$A),"")</f>
        <v/>
      </c>
      <c r="O2267" s="10">
        <f>IFERROR(_xlfn.XLOOKUP(C2267,[1]AttributeName!$C:$C,[1]AttributeName!$B:$B),"")</f>
        <v>10103</v>
      </c>
      <c r="P2267" s="10"/>
      <c r="Q2267">
        <v>0.2</v>
      </c>
      <c r="R2267">
        <v>0.26</v>
      </c>
      <c r="S2267" cm="1">
        <f t="array" ref="S2267">IFERROR(_xlfn.SWITCH(L2267,1,_xlfn.XLOOKUP(O2267,[1]AttributeName!$B:$B,[1]AttributeName!$D:$D),2,_xlfn.XLOOKUP(C2267,#REF!,#REF!),3,_xlfn.XLOOKUP(C2267,#REF!,#REF!)),0)</f>
        <v>2</v>
      </c>
      <c r="T2267" cm="1">
        <f t="array" ref="T2267">IFERROR(_xlfn.SWITCH(L2267,1,_xlfn.XLOOKUP(O2267,[1]AttributeName!$B:$B,[1]AttributeName!$E:$E),2,_xlfn.XLOOKUP(C2267,#REF!,#REF!),3,_xlfn.XLOOKUP(C2267,#REF!,#REF!)),0)</f>
        <v>2</v>
      </c>
    </row>
    <row r="2268" customFormat="1" spans="1:20">
      <c r="A2268">
        <f t="shared" si="95"/>
        <v>953</v>
      </c>
      <c r="B2268">
        <v>7</v>
      </c>
      <c r="C2268" t="s">
        <v>435</v>
      </c>
      <c r="D2268" t="s">
        <v>32</v>
      </c>
      <c r="E2268" s="13" t="s">
        <v>392</v>
      </c>
      <c r="F2268"/>
      <c r="G2268">
        <v>2</v>
      </c>
      <c r="H2268">
        <v>1000</v>
      </c>
      <c r="J2268" cm="1">
        <f t="array" ref="J2268">_xlfn.SWITCH(B2268,1,75,2,61,3,49,4,37,5,25,6,13,7,4,8,1)</f>
        <v>4</v>
      </c>
      <c r="K2268" t="str" cm="1">
        <f t="array" ref="K2268">IFERROR(_xlfn.SWITCH(L2268,2,_xlfn.XLOOKUP(C2268,[1]ModifierDes!$B:$B,[1]ModifierDes!$C:$C),3,_xlfn.XLOOKUP(C2268,[1]StuntDes!$B:$B,[1]StuntDes!$C:$C)),"")</f>
        <v/>
      </c>
      <c r="L2268">
        <f t="shared" si="94"/>
        <v>1</v>
      </c>
      <c r="M2268" s="10" t="str">
        <f>IFERROR(_xlfn.XLOOKUP(C2268,[1]StuntDes!$B:$B,[1]StuntDes!$A:$A),"")</f>
        <v/>
      </c>
      <c r="N2268" s="10" t="str">
        <f>IFERROR(_xlfn.XLOOKUP(C2268,[1]ModifierDes!$B:$B,[1]ModifierDes!$A:$A),"")</f>
        <v/>
      </c>
      <c r="O2268" s="10">
        <f>IFERROR(_xlfn.XLOOKUP(C2268,[1]AttributeName!$C:$C,[1]AttributeName!$B:$B),"")</f>
        <v>10103</v>
      </c>
      <c r="P2268" s="10"/>
      <c r="Q2268">
        <v>0.12</v>
      </c>
      <c r="R2268">
        <v>0.18</v>
      </c>
      <c r="S2268" cm="1">
        <f t="array" ref="S2268">IFERROR(_xlfn.SWITCH(L2268,1,_xlfn.XLOOKUP(O2268,[1]AttributeName!$B:$B,[1]AttributeName!$D:$D),2,_xlfn.XLOOKUP(C2268,#REF!,#REF!),3,_xlfn.XLOOKUP(C2268,#REF!,#REF!)),0)</f>
        <v>2</v>
      </c>
      <c r="T2268" cm="1">
        <f t="array" ref="T2268">IFERROR(_xlfn.SWITCH(L2268,1,_xlfn.XLOOKUP(O2268,[1]AttributeName!$B:$B,[1]AttributeName!$E:$E),2,_xlfn.XLOOKUP(C2268,#REF!,#REF!),3,_xlfn.XLOOKUP(C2268,#REF!,#REF!)),0)</f>
        <v>2</v>
      </c>
    </row>
    <row r="2269" customFormat="1" spans="1:20">
      <c r="A2269">
        <f t="shared" si="95"/>
        <v>953</v>
      </c>
      <c r="B2269">
        <v>8</v>
      </c>
      <c r="C2269" t="s">
        <v>435</v>
      </c>
      <c r="D2269" t="s">
        <v>32</v>
      </c>
      <c r="E2269" s="13" t="s">
        <v>392</v>
      </c>
      <c r="F2269"/>
      <c r="G2269">
        <v>2</v>
      </c>
      <c r="H2269">
        <v>1000</v>
      </c>
      <c r="J2269" cm="1">
        <f t="array" ref="J2269">_xlfn.SWITCH(B2269,1,75,2,61,3,49,4,37,5,25,6,13,7,4,8,1)</f>
        <v>1</v>
      </c>
      <c r="K2269" t="str" cm="1">
        <f t="array" ref="K2269">IFERROR(_xlfn.SWITCH(L2269,2,_xlfn.XLOOKUP(C2269,[1]ModifierDes!$B:$B,[1]ModifierDes!$C:$C),3,_xlfn.XLOOKUP(C2269,[1]StuntDes!$B:$B,[1]StuntDes!$C:$C)),"")</f>
        <v/>
      </c>
      <c r="L2269">
        <f t="shared" si="94"/>
        <v>1</v>
      </c>
      <c r="M2269" s="10" t="str">
        <f>IFERROR(_xlfn.XLOOKUP(C2269,[1]StuntDes!$B:$B,[1]StuntDes!$A:$A),"")</f>
        <v/>
      </c>
      <c r="N2269" s="10" t="str">
        <f>IFERROR(_xlfn.XLOOKUP(C2269,[1]ModifierDes!$B:$B,[1]ModifierDes!$A:$A),"")</f>
        <v/>
      </c>
      <c r="O2269" s="10">
        <f>IFERROR(_xlfn.XLOOKUP(C2269,[1]AttributeName!$C:$C,[1]AttributeName!$B:$B),"")</f>
        <v>10103</v>
      </c>
      <c r="P2269" s="10"/>
      <c r="Q2269">
        <v>0.04</v>
      </c>
      <c r="R2269">
        <v>0.1</v>
      </c>
      <c r="S2269" cm="1">
        <f t="array" ref="S2269">IFERROR(_xlfn.SWITCH(L2269,1,_xlfn.XLOOKUP(O2269,[1]AttributeName!$B:$B,[1]AttributeName!$D:$D),2,_xlfn.XLOOKUP(C2269,#REF!,#REF!),3,_xlfn.XLOOKUP(C2269,#REF!,#REF!)),0)</f>
        <v>2</v>
      </c>
      <c r="T2269" cm="1">
        <f t="array" ref="T2269">IFERROR(_xlfn.SWITCH(L2269,1,_xlfn.XLOOKUP(O2269,[1]AttributeName!$B:$B,[1]AttributeName!$E:$E),2,_xlfn.XLOOKUP(C2269,#REF!,#REF!),3,_xlfn.XLOOKUP(C2269,#REF!,#REF!)),0)</f>
        <v>2</v>
      </c>
    </row>
    <row r="2270" customFormat="1" spans="1:20">
      <c r="A2270">
        <f t="shared" si="95"/>
        <v>954</v>
      </c>
      <c r="B2270">
        <v>1</v>
      </c>
      <c r="C2270" t="s">
        <v>400</v>
      </c>
      <c r="D2270" t="s">
        <v>32</v>
      </c>
      <c r="E2270" s="13" t="s">
        <v>392</v>
      </c>
      <c r="F2270"/>
      <c r="G2270">
        <v>2</v>
      </c>
      <c r="H2270">
        <v>100</v>
      </c>
      <c r="I2270">
        <v>4</v>
      </c>
      <c r="J2270" cm="1">
        <f t="array" ref="J2270">_xlfn.SWITCH(B2270,1,75,2,61,3,49,4,37,5,25,6,13,7,4,8,1)</f>
        <v>75</v>
      </c>
      <c r="K2270" t="str" cm="1">
        <f t="array" ref="K2270">IFERROR(_xlfn.SWITCH(L2270,2,_xlfn.XLOOKUP(C2270,[1]ModifierDes!$B:$B,[1]ModifierDes!$C:$C),3,_xlfn.XLOOKUP(C2270,[1]StuntDes!$B:$B,[1]StuntDes!$C:$C)),"")</f>
        <v>攻击暴击伤害增加{0}</v>
      </c>
      <c r="L2270">
        <f t="shared" si="94"/>
        <v>2</v>
      </c>
      <c r="M2270" s="10" t="str">
        <f>IFERROR(_xlfn.XLOOKUP(C2270,[1]StuntDes!$B:$B,[1]StuntDes!$A:$A),"")</f>
        <v/>
      </c>
      <c r="N2270" s="10">
        <f>IFERROR(_xlfn.XLOOKUP(C2270,[1]ModifierDes!$B:$B,[1]ModifierDes!$A:$A),"")</f>
        <v>10060</v>
      </c>
      <c r="O2270" s="10" t="str">
        <f>IFERROR(_xlfn.XLOOKUP(C2270,[1]AttributeName!$C:$C,[1]AttributeName!$B:$B),"")</f>
        <v/>
      </c>
      <c r="P2270" s="10"/>
      <c r="Q2270">
        <v>0.6</v>
      </c>
      <c r="R2270">
        <v>0.8</v>
      </c>
      <c r="S2270" cm="1">
        <f t="array" ref="S2270">IFERROR(_xlfn.SWITCH(L2270,1,_xlfn.XLOOKUP(O2270,[1]AttributeName!$B:$B,[1]AttributeName!$D:$D),2,_xlfn.XLOOKUP(C2270,#REF!,#REF!),3,_xlfn.XLOOKUP(C2270,#REF!,#REF!)),0)</f>
        <v>0</v>
      </c>
      <c r="T2270" cm="1">
        <f t="array" ref="T2270">IFERROR(_xlfn.SWITCH(L2270,1,_xlfn.XLOOKUP(O2270,[1]AttributeName!$B:$B,[1]AttributeName!$E:$E),2,_xlfn.XLOOKUP(C2270,#REF!,#REF!),3,_xlfn.XLOOKUP(C2270,#REF!,#REF!)),0)</f>
        <v>0</v>
      </c>
    </row>
    <row r="2271" customFormat="1" spans="1:20">
      <c r="A2271">
        <f t="shared" si="95"/>
        <v>954</v>
      </c>
      <c r="B2271">
        <v>2</v>
      </c>
      <c r="C2271" t="s">
        <v>400</v>
      </c>
      <c r="D2271" t="s">
        <v>32</v>
      </c>
      <c r="E2271" s="13" t="s">
        <v>392</v>
      </c>
      <c r="F2271"/>
      <c r="G2271">
        <v>2</v>
      </c>
      <c r="H2271">
        <v>200</v>
      </c>
      <c r="I2271">
        <v>4</v>
      </c>
      <c r="J2271" cm="1">
        <f t="array" ref="J2271">_xlfn.SWITCH(B2271,1,75,2,61,3,49,4,37,5,25,6,13,7,4,8,1)</f>
        <v>61</v>
      </c>
      <c r="K2271" t="str" cm="1">
        <f t="array" ref="K2271">IFERROR(_xlfn.SWITCH(L2271,2,_xlfn.XLOOKUP(C2271,[1]ModifierDes!$B:$B,[1]ModifierDes!$C:$C),3,_xlfn.XLOOKUP(C2271,[1]StuntDes!$B:$B,[1]StuntDes!$C:$C)),"")</f>
        <v>攻击暴击伤害增加{0}</v>
      </c>
      <c r="L2271">
        <f t="shared" si="94"/>
        <v>2</v>
      </c>
      <c r="M2271" s="10" t="str">
        <f>IFERROR(_xlfn.XLOOKUP(C2271,[1]StuntDes!$B:$B,[1]StuntDes!$A:$A),"")</f>
        <v/>
      </c>
      <c r="N2271" s="10">
        <f>IFERROR(_xlfn.XLOOKUP(C2271,[1]ModifierDes!$B:$B,[1]ModifierDes!$A:$A),"")</f>
        <v>10060</v>
      </c>
      <c r="O2271" s="10" t="str">
        <f>IFERROR(_xlfn.XLOOKUP(C2271,[1]AttributeName!$C:$C,[1]AttributeName!$B:$B),"")</f>
        <v/>
      </c>
      <c r="P2271" s="10"/>
      <c r="Q2271">
        <v>0.52</v>
      </c>
      <c r="R2271">
        <v>0.58</v>
      </c>
      <c r="S2271" cm="1">
        <f t="array" ref="S2271">IFERROR(_xlfn.SWITCH(L2271,1,_xlfn.XLOOKUP(O2271,[1]AttributeName!$B:$B,[1]AttributeName!$D:$D),2,_xlfn.XLOOKUP(C2271,#REF!,#REF!),3,_xlfn.XLOOKUP(C2271,#REF!,#REF!)),0)</f>
        <v>0</v>
      </c>
      <c r="T2271" cm="1">
        <f t="array" ref="T2271">IFERROR(_xlfn.SWITCH(L2271,1,_xlfn.XLOOKUP(O2271,[1]AttributeName!$B:$B,[1]AttributeName!$E:$E),2,_xlfn.XLOOKUP(C2271,#REF!,#REF!),3,_xlfn.XLOOKUP(C2271,#REF!,#REF!)),0)</f>
        <v>0</v>
      </c>
    </row>
    <row r="2272" customFormat="1" spans="1:20">
      <c r="A2272">
        <f t="shared" si="95"/>
        <v>954</v>
      </c>
      <c r="B2272">
        <v>3</v>
      </c>
      <c r="C2272" t="s">
        <v>400</v>
      </c>
      <c r="D2272" t="s">
        <v>32</v>
      </c>
      <c r="E2272" s="13" t="s">
        <v>392</v>
      </c>
      <c r="F2272"/>
      <c r="G2272">
        <v>2</v>
      </c>
      <c r="H2272">
        <v>500</v>
      </c>
      <c r="I2272">
        <v>4</v>
      </c>
      <c r="J2272" cm="1">
        <f t="array" ref="J2272">_xlfn.SWITCH(B2272,1,75,2,61,3,49,4,37,5,25,6,13,7,4,8,1)</f>
        <v>49</v>
      </c>
      <c r="K2272" t="str" cm="1">
        <f t="array" ref="K2272">IFERROR(_xlfn.SWITCH(L2272,2,_xlfn.XLOOKUP(C2272,[1]ModifierDes!$B:$B,[1]ModifierDes!$C:$C),3,_xlfn.XLOOKUP(C2272,[1]StuntDes!$B:$B,[1]StuntDes!$C:$C)),"")</f>
        <v>攻击暴击伤害增加{0}</v>
      </c>
      <c r="L2272">
        <f t="shared" si="94"/>
        <v>2</v>
      </c>
      <c r="M2272" s="10" t="str">
        <f>IFERROR(_xlfn.XLOOKUP(C2272,[1]StuntDes!$B:$B,[1]StuntDes!$A:$A),"")</f>
        <v/>
      </c>
      <c r="N2272" s="10">
        <f>IFERROR(_xlfn.XLOOKUP(C2272,[1]ModifierDes!$B:$B,[1]ModifierDes!$A:$A),"")</f>
        <v>10060</v>
      </c>
      <c r="O2272" s="10" t="str">
        <f>IFERROR(_xlfn.XLOOKUP(C2272,[1]AttributeName!$C:$C,[1]AttributeName!$B:$B),"")</f>
        <v/>
      </c>
      <c r="P2272" s="10"/>
      <c r="Q2272">
        <v>0.44</v>
      </c>
      <c r="R2272">
        <v>0.5</v>
      </c>
      <c r="S2272" cm="1">
        <f t="array" ref="S2272">IFERROR(_xlfn.SWITCH(L2272,1,_xlfn.XLOOKUP(O2272,[1]AttributeName!$B:$B,[1]AttributeName!$D:$D),2,_xlfn.XLOOKUP(C2272,#REF!,#REF!),3,_xlfn.XLOOKUP(C2272,#REF!,#REF!)),0)</f>
        <v>0</v>
      </c>
      <c r="T2272" cm="1">
        <f t="array" ref="T2272">IFERROR(_xlfn.SWITCH(L2272,1,_xlfn.XLOOKUP(O2272,[1]AttributeName!$B:$B,[1]AttributeName!$E:$E),2,_xlfn.XLOOKUP(C2272,#REF!,#REF!),3,_xlfn.XLOOKUP(C2272,#REF!,#REF!)),0)</f>
        <v>0</v>
      </c>
    </row>
    <row r="2273" customFormat="1" spans="1:20">
      <c r="A2273">
        <f t="shared" si="95"/>
        <v>954</v>
      </c>
      <c r="B2273">
        <v>4</v>
      </c>
      <c r="C2273" t="s">
        <v>400</v>
      </c>
      <c r="D2273" t="s">
        <v>32</v>
      </c>
      <c r="E2273" s="13" t="s">
        <v>392</v>
      </c>
      <c r="F2273"/>
      <c r="G2273">
        <v>2</v>
      </c>
      <c r="H2273">
        <v>1000</v>
      </c>
      <c r="I2273">
        <v>4</v>
      </c>
      <c r="J2273" cm="1">
        <f t="array" ref="J2273">_xlfn.SWITCH(B2273,1,75,2,61,3,49,4,37,5,25,6,13,7,4,8,1)</f>
        <v>37</v>
      </c>
      <c r="K2273" t="str" cm="1">
        <f t="array" ref="K2273">IFERROR(_xlfn.SWITCH(L2273,2,_xlfn.XLOOKUP(C2273,[1]ModifierDes!$B:$B,[1]ModifierDes!$C:$C),3,_xlfn.XLOOKUP(C2273,[1]StuntDes!$B:$B,[1]StuntDes!$C:$C)),"")</f>
        <v>攻击暴击伤害增加{0}</v>
      </c>
      <c r="L2273">
        <f t="shared" si="94"/>
        <v>2</v>
      </c>
      <c r="M2273" s="10" t="str">
        <f>IFERROR(_xlfn.XLOOKUP(C2273,[1]StuntDes!$B:$B,[1]StuntDes!$A:$A),"")</f>
        <v/>
      </c>
      <c r="N2273" s="10">
        <f>IFERROR(_xlfn.XLOOKUP(C2273,[1]ModifierDes!$B:$B,[1]ModifierDes!$A:$A),"")</f>
        <v>10060</v>
      </c>
      <c r="O2273" s="10" t="str">
        <f>IFERROR(_xlfn.XLOOKUP(C2273,[1]AttributeName!$C:$C,[1]AttributeName!$B:$B),"")</f>
        <v/>
      </c>
      <c r="P2273" s="10"/>
      <c r="Q2273">
        <v>0.36</v>
      </c>
      <c r="R2273">
        <v>0.42</v>
      </c>
      <c r="S2273" cm="1">
        <f t="array" ref="S2273">IFERROR(_xlfn.SWITCH(L2273,1,_xlfn.XLOOKUP(O2273,[1]AttributeName!$B:$B,[1]AttributeName!$D:$D),2,_xlfn.XLOOKUP(C2273,#REF!,#REF!),3,_xlfn.XLOOKUP(C2273,#REF!,#REF!)),0)</f>
        <v>0</v>
      </c>
      <c r="T2273" cm="1">
        <f t="array" ref="T2273">IFERROR(_xlfn.SWITCH(L2273,1,_xlfn.XLOOKUP(O2273,[1]AttributeName!$B:$B,[1]AttributeName!$E:$E),2,_xlfn.XLOOKUP(C2273,#REF!,#REF!),3,_xlfn.XLOOKUP(C2273,#REF!,#REF!)),0)</f>
        <v>0</v>
      </c>
    </row>
    <row r="2274" customFormat="1" spans="1:20">
      <c r="A2274">
        <f t="shared" si="95"/>
        <v>954</v>
      </c>
      <c r="B2274">
        <v>5</v>
      </c>
      <c r="C2274" t="s">
        <v>400</v>
      </c>
      <c r="D2274" t="s">
        <v>32</v>
      </c>
      <c r="E2274" s="13" t="s">
        <v>392</v>
      </c>
      <c r="F2274"/>
      <c r="G2274">
        <v>2</v>
      </c>
      <c r="H2274">
        <v>1000</v>
      </c>
      <c r="I2274">
        <v>4</v>
      </c>
      <c r="J2274" cm="1">
        <f t="array" ref="J2274">_xlfn.SWITCH(B2274,1,75,2,61,3,49,4,37,5,25,6,13,7,4,8,1)</f>
        <v>25</v>
      </c>
      <c r="K2274" t="str" cm="1">
        <f t="array" ref="K2274">IFERROR(_xlfn.SWITCH(L2274,2,_xlfn.XLOOKUP(C2274,[1]ModifierDes!$B:$B,[1]ModifierDes!$C:$C),3,_xlfn.XLOOKUP(C2274,[1]StuntDes!$B:$B,[1]StuntDes!$C:$C)),"")</f>
        <v>攻击暴击伤害增加{0}</v>
      </c>
      <c r="L2274">
        <f t="shared" si="94"/>
        <v>2</v>
      </c>
      <c r="M2274" s="10" t="str">
        <f>IFERROR(_xlfn.XLOOKUP(C2274,[1]StuntDes!$B:$B,[1]StuntDes!$A:$A),"")</f>
        <v/>
      </c>
      <c r="N2274" s="10">
        <f>IFERROR(_xlfn.XLOOKUP(C2274,[1]ModifierDes!$B:$B,[1]ModifierDes!$A:$A),"")</f>
        <v>10060</v>
      </c>
      <c r="O2274" s="10" t="str">
        <f>IFERROR(_xlfn.XLOOKUP(C2274,[1]AttributeName!$C:$C,[1]AttributeName!$B:$B),"")</f>
        <v/>
      </c>
      <c r="P2274" s="10"/>
      <c r="Q2274">
        <v>0.28</v>
      </c>
      <c r="R2274">
        <v>0.34</v>
      </c>
      <c r="S2274" cm="1">
        <f t="array" ref="S2274">IFERROR(_xlfn.SWITCH(L2274,1,_xlfn.XLOOKUP(O2274,[1]AttributeName!$B:$B,[1]AttributeName!$D:$D),2,_xlfn.XLOOKUP(C2274,#REF!,#REF!),3,_xlfn.XLOOKUP(C2274,#REF!,#REF!)),0)</f>
        <v>0</v>
      </c>
      <c r="T2274" cm="1">
        <f t="array" ref="T2274">IFERROR(_xlfn.SWITCH(L2274,1,_xlfn.XLOOKUP(O2274,[1]AttributeName!$B:$B,[1]AttributeName!$E:$E),2,_xlfn.XLOOKUP(C2274,#REF!,#REF!),3,_xlfn.XLOOKUP(C2274,#REF!,#REF!)),0)</f>
        <v>0</v>
      </c>
    </row>
    <row r="2275" customFormat="1" spans="1:20">
      <c r="A2275">
        <f t="shared" si="95"/>
        <v>954</v>
      </c>
      <c r="B2275">
        <v>6</v>
      </c>
      <c r="C2275" t="s">
        <v>400</v>
      </c>
      <c r="D2275" t="s">
        <v>32</v>
      </c>
      <c r="E2275" s="13" t="s">
        <v>392</v>
      </c>
      <c r="F2275"/>
      <c r="G2275">
        <v>2</v>
      </c>
      <c r="H2275">
        <v>1000</v>
      </c>
      <c r="I2275">
        <v>4</v>
      </c>
      <c r="J2275" cm="1">
        <f t="array" ref="J2275">_xlfn.SWITCH(B2275,1,75,2,61,3,49,4,37,5,25,6,13,7,4,8,1)</f>
        <v>13</v>
      </c>
      <c r="K2275" t="str" cm="1">
        <f t="array" ref="K2275">IFERROR(_xlfn.SWITCH(L2275,2,_xlfn.XLOOKUP(C2275,[1]ModifierDes!$B:$B,[1]ModifierDes!$C:$C),3,_xlfn.XLOOKUP(C2275,[1]StuntDes!$B:$B,[1]StuntDes!$C:$C)),"")</f>
        <v>攻击暴击伤害增加{0}</v>
      </c>
      <c r="L2275">
        <f t="shared" si="94"/>
        <v>2</v>
      </c>
      <c r="M2275" s="10" t="str">
        <f>IFERROR(_xlfn.XLOOKUP(C2275,[1]StuntDes!$B:$B,[1]StuntDes!$A:$A),"")</f>
        <v/>
      </c>
      <c r="N2275" s="10">
        <f>IFERROR(_xlfn.XLOOKUP(C2275,[1]ModifierDes!$B:$B,[1]ModifierDes!$A:$A),"")</f>
        <v>10060</v>
      </c>
      <c r="O2275" s="10" t="str">
        <f>IFERROR(_xlfn.XLOOKUP(C2275,[1]AttributeName!$C:$C,[1]AttributeName!$B:$B),"")</f>
        <v/>
      </c>
      <c r="P2275" s="10"/>
      <c r="Q2275">
        <v>0.2</v>
      </c>
      <c r="R2275">
        <v>0.26</v>
      </c>
      <c r="S2275" cm="1">
        <f t="array" ref="S2275">IFERROR(_xlfn.SWITCH(L2275,1,_xlfn.XLOOKUP(O2275,[1]AttributeName!$B:$B,[1]AttributeName!$D:$D),2,_xlfn.XLOOKUP(C2275,#REF!,#REF!),3,_xlfn.XLOOKUP(C2275,#REF!,#REF!)),0)</f>
        <v>0</v>
      </c>
      <c r="T2275" cm="1">
        <f t="array" ref="T2275">IFERROR(_xlfn.SWITCH(L2275,1,_xlfn.XLOOKUP(O2275,[1]AttributeName!$B:$B,[1]AttributeName!$E:$E),2,_xlfn.XLOOKUP(C2275,#REF!,#REF!),3,_xlfn.XLOOKUP(C2275,#REF!,#REF!)),0)</f>
        <v>0</v>
      </c>
    </row>
    <row r="2276" customFormat="1" spans="1:20">
      <c r="A2276">
        <f t="shared" si="95"/>
        <v>954</v>
      </c>
      <c r="B2276">
        <v>7</v>
      </c>
      <c r="C2276" t="s">
        <v>400</v>
      </c>
      <c r="D2276" t="s">
        <v>32</v>
      </c>
      <c r="E2276" s="13" t="s">
        <v>392</v>
      </c>
      <c r="F2276"/>
      <c r="G2276">
        <v>2</v>
      </c>
      <c r="H2276">
        <v>1000</v>
      </c>
      <c r="I2276">
        <v>4</v>
      </c>
      <c r="J2276" cm="1">
        <f t="array" ref="J2276">_xlfn.SWITCH(B2276,1,75,2,61,3,49,4,37,5,25,6,13,7,4,8,1)</f>
        <v>4</v>
      </c>
      <c r="K2276" t="str" cm="1">
        <f t="array" ref="K2276">IFERROR(_xlfn.SWITCH(L2276,2,_xlfn.XLOOKUP(C2276,[1]ModifierDes!$B:$B,[1]ModifierDes!$C:$C),3,_xlfn.XLOOKUP(C2276,[1]StuntDes!$B:$B,[1]StuntDes!$C:$C)),"")</f>
        <v>攻击暴击伤害增加{0}</v>
      </c>
      <c r="L2276">
        <f t="shared" si="94"/>
        <v>2</v>
      </c>
      <c r="M2276" s="10" t="str">
        <f>IFERROR(_xlfn.XLOOKUP(C2276,[1]StuntDes!$B:$B,[1]StuntDes!$A:$A),"")</f>
        <v/>
      </c>
      <c r="N2276" s="10">
        <f>IFERROR(_xlfn.XLOOKUP(C2276,[1]ModifierDes!$B:$B,[1]ModifierDes!$A:$A),"")</f>
        <v>10060</v>
      </c>
      <c r="O2276" s="10" t="str">
        <f>IFERROR(_xlfn.XLOOKUP(C2276,[1]AttributeName!$C:$C,[1]AttributeName!$B:$B),"")</f>
        <v/>
      </c>
      <c r="P2276" s="10"/>
      <c r="Q2276">
        <v>0.12</v>
      </c>
      <c r="R2276">
        <v>0.18</v>
      </c>
      <c r="S2276" cm="1">
        <f t="array" ref="S2276">IFERROR(_xlfn.SWITCH(L2276,1,_xlfn.XLOOKUP(O2276,[1]AttributeName!$B:$B,[1]AttributeName!$D:$D),2,_xlfn.XLOOKUP(C2276,#REF!,#REF!),3,_xlfn.XLOOKUP(C2276,#REF!,#REF!)),0)</f>
        <v>0</v>
      </c>
      <c r="T2276" cm="1">
        <f t="array" ref="T2276">IFERROR(_xlfn.SWITCH(L2276,1,_xlfn.XLOOKUP(O2276,[1]AttributeName!$B:$B,[1]AttributeName!$E:$E),2,_xlfn.XLOOKUP(C2276,#REF!,#REF!),3,_xlfn.XLOOKUP(C2276,#REF!,#REF!)),0)</f>
        <v>0</v>
      </c>
    </row>
    <row r="2277" customFormat="1" spans="1:20">
      <c r="A2277">
        <f t="shared" si="95"/>
        <v>954</v>
      </c>
      <c r="B2277">
        <v>8</v>
      </c>
      <c r="C2277" t="s">
        <v>400</v>
      </c>
      <c r="D2277" t="s">
        <v>32</v>
      </c>
      <c r="E2277" s="13" t="s">
        <v>392</v>
      </c>
      <c r="F2277"/>
      <c r="G2277">
        <v>2</v>
      </c>
      <c r="H2277">
        <v>1000</v>
      </c>
      <c r="I2277">
        <v>4</v>
      </c>
      <c r="J2277" cm="1">
        <f t="array" ref="J2277">_xlfn.SWITCH(B2277,1,75,2,61,3,49,4,37,5,25,6,13,7,4,8,1)</f>
        <v>1</v>
      </c>
      <c r="K2277" t="str" cm="1">
        <f t="array" ref="K2277">IFERROR(_xlfn.SWITCH(L2277,2,_xlfn.XLOOKUP(C2277,[1]ModifierDes!$B:$B,[1]ModifierDes!$C:$C),3,_xlfn.XLOOKUP(C2277,[1]StuntDes!$B:$B,[1]StuntDes!$C:$C)),"")</f>
        <v>攻击暴击伤害增加{0}</v>
      </c>
      <c r="L2277">
        <f t="shared" si="94"/>
        <v>2</v>
      </c>
      <c r="M2277" s="10" t="str">
        <f>IFERROR(_xlfn.XLOOKUP(C2277,[1]StuntDes!$B:$B,[1]StuntDes!$A:$A),"")</f>
        <v/>
      </c>
      <c r="N2277" s="10">
        <f>IFERROR(_xlfn.XLOOKUP(C2277,[1]ModifierDes!$B:$B,[1]ModifierDes!$A:$A),"")</f>
        <v>10060</v>
      </c>
      <c r="O2277" s="10" t="str">
        <f>IFERROR(_xlfn.XLOOKUP(C2277,[1]AttributeName!$C:$C,[1]AttributeName!$B:$B),"")</f>
        <v/>
      </c>
      <c r="P2277" s="10"/>
      <c r="Q2277">
        <v>0.04</v>
      </c>
      <c r="R2277">
        <v>0.1</v>
      </c>
      <c r="S2277" cm="1">
        <f t="array" ref="S2277">IFERROR(_xlfn.SWITCH(L2277,1,_xlfn.XLOOKUP(O2277,[1]AttributeName!$B:$B,[1]AttributeName!$D:$D),2,_xlfn.XLOOKUP(C2277,#REF!,#REF!),3,_xlfn.XLOOKUP(C2277,#REF!,#REF!)),0)</f>
        <v>0</v>
      </c>
      <c r="T2277" cm="1">
        <f t="array" ref="T2277">IFERROR(_xlfn.SWITCH(L2277,1,_xlfn.XLOOKUP(O2277,[1]AttributeName!$B:$B,[1]AttributeName!$E:$E),2,_xlfn.XLOOKUP(C2277,#REF!,#REF!),3,_xlfn.XLOOKUP(C2277,#REF!,#REF!)),0)</f>
        <v>0</v>
      </c>
    </row>
    <row r="2278" customFormat="1" spans="1:20">
      <c r="A2278">
        <f t="shared" si="95"/>
        <v>955</v>
      </c>
      <c r="B2278">
        <v>1</v>
      </c>
      <c r="C2278" t="s">
        <v>426</v>
      </c>
      <c r="D2278" t="s">
        <v>32</v>
      </c>
      <c r="E2278" s="13" t="s">
        <v>392</v>
      </c>
      <c r="F2278"/>
      <c r="G2278">
        <v>2</v>
      </c>
      <c r="H2278">
        <v>100</v>
      </c>
      <c r="I2278">
        <v>4</v>
      </c>
      <c r="J2278" cm="1">
        <f t="array" ref="J2278">_xlfn.SWITCH(B2278,1,75,2,61,3,49,4,37,5,25,6,13,7,4,8,1)</f>
        <v>75</v>
      </c>
      <c r="K2278" t="str" cm="1">
        <f t="array" ref="K2278">IFERROR(_xlfn.SWITCH(L2278,2,_xlfn.XLOOKUP(C2278,[1]ModifierDes!$B:$B,[1]ModifierDes!$C:$C),3,_xlfn.XLOOKUP(C2278,[1]StuntDes!$B:$B,[1]StuntDes!$C:$C)),"")</f>
        <v>法术暴击伤害增加{0}</v>
      </c>
      <c r="L2278">
        <f t="shared" si="94"/>
        <v>2</v>
      </c>
      <c r="M2278" s="10" t="str">
        <f>IFERROR(_xlfn.XLOOKUP(C2278,[1]StuntDes!$B:$B,[1]StuntDes!$A:$A),"")</f>
        <v/>
      </c>
      <c r="N2278" s="10">
        <f>IFERROR(_xlfn.XLOOKUP(C2278,[1]ModifierDes!$B:$B,[1]ModifierDes!$A:$A),"")</f>
        <v>10061</v>
      </c>
      <c r="O2278" s="10" t="str">
        <f>IFERROR(_xlfn.XLOOKUP(C2278,[1]AttributeName!$C:$C,[1]AttributeName!$B:$B),"")</f>
        <v/>
      </c>
      <c r="P2278" s="10"/>
      <c r="Q2278">
        <v>0.6</v>
      </c>
      <c r="R2278">
        <v>0.8</v>
      </c>
      <c r="S2278" cm="1">
        <f t="array" ref="S2278">IFERROR(_xlfn.SWITCH(L2278,1,_xlfn.XLOOKUP(O2278,[1]AttributeName!$B:$B,[1]AttributeName!$D:$D),2,_xlfn.XLOOKUP(C2278,#REF!,#REF!),3,_xlfn.XLOOKUP(C2278,#REF!,#REF!)),0)</f>
        <v>0</v>
      </c>
      <c r="T2278" cm="1">
        <f t="array" ref="T2278">IFERROR(_xlfn.SWITCH(L2278,1,_xlfn.XLOOKUP(O2278,[1]AttributeName!$B:$B,[1]AttributeName!$E:$E),2,_xlfn.XLOOKUP(C2278,#REF!,#REF!),3,_xlfn.XLOOKUP(C2278,#REF!,#REF!)),0)</f>
        <v>0</v>
      </c>
    </row>
    <row r="2279" customFormat="1" spans="1:20">
      <c r="A2279">
        <f t="shared" si="95"/>
        <v>955</v>
      </c>
      <c r="B2279">
        <v>2</v>
      </c>
      <c r="C2279" t="s">
        <v>426</v>
      </c>
      <c r="D2279" t="s">
        <v>32</v>
      </c>
      <c r="E2279" s="13" t="s">
        <v>392</v>
      </c>
      <c r="F2279"/>
      <c r="G2279">
        <v>2</v>
      </c>
      <c r="H2279">
        <v>200</v>
      </c>
      <c r="I2279">
        <v>4</v>
      </c>
      <c r="J2279" cm="1">
        <f t="array" ref="J2279">_xlfn.SWITCH(B2279,1,75,2,61,3,49,4,37,5,25,6,13,7,4,8,1)</f>
        <v>61</v>
      </c>
      <c r="K2279" t="str" cm="1">
        <f t="array" ref="K2279">IFERROR(_xlfn.SWITCH(L2279,2,_xlfn.XLOOKUP(C2279,[1]ModifierDes!$B:$B,[1]ModifierDes!$C:$C),3,_xlfn.XLOOKUP(C2279,[1]StuntDes!$B:$B,[1]StuntDes!$C:$C)),"")</f>
        <v>法术暴击伤害增加{0}</v>
      </c>
      <c r="L2279">
        <f t="shared" si="94"/>
        <v>2</v>
      </c>
      <c r="M2279" s="10" t="str">
        <f>IFERROR(_xlfn.XLOOKUP(C2279,[1]StuntDes!$B:$B,[1]StuntDes!$A:$A),"")</f>
        <v/>
      </c>
      <c r="N2279" s="10">
        <f>IFERROR(_xlfn.XLOOKUP(C2279,[1]ModifierDes!$B:$B,[1]ModifierDes!$A:$A),"")</f>
        <v>10061</v>
      </c>
      <c r="O2279" s="10" t="str">
        <f>IFERROR(_xlfn.XLOOKUP(C2279,[1]AttributeName!$C:$C,[1]AttributeName!$B:$B),"")</f>
        <v/>
      </c>
      <c r="P2279" s="10"/>
      <c r="Q2279">
        <v>0.52</v>
      </c>
      <c r="R2279">
        <v>0.58</v>
      </c>
      <c r="S2279" cm="1">
        <f t="array" ref="S2279">IFERROR(_xlfn.SWITCH(L2279,1,_xlfn.XLOOKUP(O2279,[1]AttributeName!$B:$B,[1]AttributeName!$D:$D),2,_xlfn.XLOOKUP(C2279,#REF!,#REF!),3,_xlfn.XLOOKUP(C2279,#REF!,#REF!)),0)</f>
        <v>0</v>
      </c>
      <c r="T2279" cm="1">
        <f t="array" ref="T2279">IFERROR(_xlfn.SWITCH(L2279,1,_xlfn.XLOOKUP(O2279,[1]AttributeName!$B:$B,[1]AttributeName!$E:$E),2,_xlfn.XLOOKUP(C2279,#REF!,#REF!),3,_xlfn.XLOOKUP(C2279,#REF!,#REF!)),0)</f>
        <v>0</v>
      </c>
    </row>
    <row r="2280" customFormat="1" spans="1:20">
      <c r="A2280">
        <f t="shared" si="95"/>
        <v>955</v>
      </c>
      <c r="B2280">
        <v>3</v>
      </c>
      <c r="C2280" t="s">
        <v>426</v>
      </c>
      <c r="D2280" t="s">
        <v>32</v>
      </c>
      <c r="E2280" s="13" t="s">
        <v>392</v>
      </c>
      <c r="F2280"/>
      <c r="G2280">
        <v>2</v>
      </c>
      <c r="H2280">
        <v>500</v>
      </c>
      <c r="I2280">
        <v>4</v>
      </c>
      <c r="J2280" cm="1">
        <f t="array" ref="J2280">_xlfn.SWITCH(B2280,1,75,2,61,3,49,4,37,5,25,6,13,7,4,8,1)</f>
        <v>49</v>
      </c>
      <c r="K2280" t="str" cm="1">
        <f t="array" ref="K2280">IFERROR(_xlfn.SWITCH(L2280,2,_xlfn.XLOOKUP(C2280,[1]ModifierDes!$B:$B,[1]ModifierDes!$C:$C),3,_xlfn.XLOOKUP(C2280,[1]StuntDes!$B:$B,[1]StuntDes!$C:$C)),"")</f>
        <v>法术暴击伤害增加{0}</v>
      </c>
      <c r="L2280">
        <f t="shared" si="94"/>
        <v>2</v>
      </c>
      <c r="M2280" s="10" t="str">
        <f>IFERROR(_xlfn.XLOOKUP(C2280,[1]StuntDes!$B:$B,[1]StuntDes!$A:$A),"")</f>
        <v/>
      </c>
      <c r="N2280" s="10">
        <f>IFERROR(_xlfn.XLOOKUP(C2280,[1]ModifierDes!$B:$B,[1]ModifierDes!$A:$A),"")</f>
        <v>10061</v>
      </c>
      <c r="O2280" s="10" t="str">
        <f>IFERROR(_xlfn.XLOOKUP(C2280,[1]AttributeName!$C:$C,[1]AttributeName!$B:$B),"")</f>
        <v/>
      </c>
      <c r="P2280" s="10"/>
      <c r="Q2280">
        <v>0.44</v>
      </c>
      <c r="R2280">
        <v>0.5</v>
      </c>
      <c r="S2280" cm="1">
        <f t="array" ref="S2280">IFERROR(_xlfn.SWITCH(L2280,1,_xlfn.XLOOKUP(O2280,[1]AttributeName!$B:$B,[1]AttributeName!$D:$D),2,_xlfn.XLOOKUP(C2280,#REF!,#REF!),3,_xlfn.XLOOKUP(C2280,#REF!,#REF!)),0)</f>
        <v>0</v>
      </c>
      <c r="T2280" cm="1">
        <f t="array" ref="T2280">IFERROR(_xlfn.SWITCH(L2280,1,_xlfn.XLOOKUP(O2280,[1]AttributeName!$B:$B,[1]AttributeName!$E:$E),2,_xlfn.XLOOKUP(C2280,#REF!,#REF!),3,_xlfn.XLOOKUP(C2280,#REF!,#REF!)),0)</f>
        <v>0</v>
      </c>
    </row>
    <row r="2281" customFormat="1" spans="1:20">
      <c r="A2281">
        <f t="shared" si="95"/>
        <v>955</v>
      </c>
      <c r="B2281">
        <v>4</v>
      </c>
      <c r="C2281" t="s">
        <v>426</v>
      </c>
      <c r="D2281" t="s">
        <v>32</v>
      </c>
      <c r="E2281" s="13" t="s">
        <v>392</v>
      </c>
      <c r="F2281"/>
      <c r="G2281">
        <v>2</v>
      </c>
      <c r="H2281">
        <v>1000</v>
      </c>
      <c r="I2281">
        <v>4</v>
      </c>
      <c r="J2281" cm="1">
        <f t="array" ref="J2281">_xlfn.SWITCH(B2281,1,75,2,61,3,49,4,37,5,25,6,13,7,4,8,1)</f>
        <v>37</v>
      </c>
      <c r="K2281" t="str" cm="1">
        <f t="array" ref="K2281">IFERROR(_xlfn.SWITCH(L2281,2,_xlfn.XLOOKUP(C2281,[1]ModifierDes!$B:$B,[1]ModifierDes!$C:$C),3,_xlfn.XLOOKUP(C2281,[1]StuntDes!$B:$B,[1]StuntDes!$C:$C)),"")</f>
        <v>法术暴击伤害增加{0}</v>
      </c>
      <c r="L2281">
        <f t="shared" si="94"/>
        <v>2</v>
      </c>
      <c r="M2281" s="10" t="str">
        <f>IFERROR(_xlfn.XLOOKUP(C2281,[1]StuntDes!$B:$B,[1]StuntDes!$A:$A),"")</f>
        <v/>
      </c>
      <c r="N2281" s="10">
        <f>IFERROR(_xlfn.XLOOKUP(C2281,[1]ModifierDes!$B:$B,[1]ModifierDes!$A:$A),"")</f>
        <v>10061</v>
      </c>
      <c r="O2281" s="10" t="str">
        <f>IFERROR(_xlfn.XLOOKUP(C2281,[1]AttributeName!$C:$C,[1]AttributeName!$B:$B),"")</f>
        <v/>
      </c>
      <c r="P2281" s="10"/>
      <c r="Q2281">
        <v>0.36</v>
      </c>
      <c r="R2281">
        <v>0.42</v>
      </c>
      <c r="S2281" cm="1">
        <f t="array" ref="S2281">IFERROR(_xlfn.SWITCH(L2281,1,_xlfn.XLOOKUP(O2281,[1]AttributeName!$B:$B,[1]AttributeName!$D:$D),2,_xlfn.XLOOKUP(C2281,#REF!,#REF!),3,_xlfn.XLOOKUP(C2281,#REF!,#REF!)),0)</f>
        <v>0</v>
      </c>
      <c r="T2281" cm="1">
        <f t="array" ref="T2281">IFERROR(_xlfn.SWITCH(L2281,1,_xlfn.XLOOKUP(O2281,[1]AttributeName!$B:$B,[1]AttributeName!$E:$E),2,_xlfn.XLOOKUP(C2281,#REF!,#REF!),3,_xlfn.XLOOKUP(C2281,#REF!,#REF!)),0)</f>
        <v>0</v>
      </c>
    </row>
    <row r="2282" customFormat="1" spans="1:20">
      <c r="A2282">
        <f t="shared" si="95"/>
        <v>955</v>
      </c>
      <c r="B2282">
        <v>5</v>
      </c>
      <c r="C2282" t="s">
        <v>426</v>
      </c>
      <c r="D2282" t="s">
        <v>32</v>
      </c>
      <c r="E2282" s="13" t="s">
        <v>392</v>
      </c>
      <c r="F2282"/>
      <c r="G2282">
        <v>2</v>
      </c>
      <c r="H2282">
        <v>1000</v>
      </c>
      <c r="I2282">
        <v>4</v>
      </c>
      <c r="J2282" cm="1">
        <f t="array" ref="J2282">_xlfn.SWITCH(B2282,1,75,2,61,3,49,4,37,5,25,6,13,7,4,8,1)</f>
        <v>25</v>
      </c>
      <c r="K2282" t="str" cm="1">
        <f t="array" ref="K2282">IFERROR(_xlfn.SWITCH(L2282,2,_xlfn.XLOOKUP(C2282,[1]ModifierDes!$B:$B,[1]ModifierDes!$C:$C),3,_xlfn.XLOOKUP(C2282,[1]StuntDes!$B:$B,[1]StuntDes!$C:$C)),"")</f>
        <v>法术暴击伤害增加{0}</v>
      </c>
      <c r="L2282">
        <f t="shared" si="94"/>
        <v>2</v>
      </c>
      <c r="M2282" s="10" t="str">
        <f>IFERROR(_xlfn.XLOOKUP(C2282,[1]StuntDes!$B:$B,[1]StuntDes!$A:$A),"")</f>
        <v/>
      </c>
      <c r="N2282" s="10">
        <f>IFERROR(_xlfn.XLOOKUP(C2282,[1]ModifierDes!$B:$B,[1]ModifierDes!$A:$A),"")</f>
        <v>10061</v>
      </c>
      <c r="O2282" s="10" t="str">
        <f>IFERROR(_xlfn.XLOOKUP(C2282,[1]AttributeName!$C:$C,[1]AttributeName!$B:$B),"")</f>
        <v/>
      </c>
      <c r="P2282" s="10"/>
      <c r="Q2282">
        <v>0.28</v>
      </c>
      <c r="R2282">
        <v>0.34</v>
      </c>
      <c r="S2282" cm="1">
        <f t="array" ref="S2282">IFERROR(_xlfn.SWITCH(L2282,1,_xlfn.XLOOKUP(O2282,[1]AttributeName!$B:$B,[1]AttributeName!$D:$D),2,_xlfn.XLOOKUP(C2282,#REF!,#REF!),3,_xlfn.XLOOKUP(C2282,#REF!,#REF!)),0)</f>
        <v>0</v>
      </c>
      <c r="T2282" cm="1">
        <f t="array" ref="T2282">IFERROR(_xlfn.SWITCH(L2282,1,_xlfn.XLOOKUP(O2282,[1]AttributeName!$B:$B,[1]AttributeName!$E:$E),2,_xlfn.XLOOKUP(C2282,#REF!,#REF!),3,_xlfn.XLOOKUP(C2282,#REF!,#REF!)),0)</f>
        <v>0</v>
      </c>
    </row>
    <row r="2283" customFormat="1" spans="1:20">
      <c r="A2283">
        <f t="shared" si="95"/>
        <v>955</v>
      </c>
      <c r="B2283">
        <v>6</v>
      </c>
      <c r="C2283" t="s">
        <v>426</v>
      </c>
      <c r="D2283" t="s">
        <v>32</v>
      </c>
      <c r="E2283" s="13" t="s">
        <v>392</v>
      </c>
      <c r="F2283"/>
      <c r="G2283">
        <v>2</v>
      </c>
      <c r="H2283">
        <v>1000</v>
      </c>
      <c r="I2283">
        <v>4</v>
      </c>
      <c r="J2283" cm="1">
        <f t="array" ref="J2283">_xlfn.SWITCH(B2283,1,75,2,61,3,49,4,37,5,25,6,13,7,4,8,1)</f>
        <v>13</v>
      </c>
      <c r="K2283" t="str" cm="1">
        <f t="array" ref="K2283">IFERROR(_xlfn.SWITCH(L2283,2,_xlfn.XLOOKUP(C2283,[1]ModifierDes!$B:$B,[1]ModifierDes!$C:$C),3,_xlfn.XLOOKUP(C2283,[1]StuntDes!$B:$B,[1]StuntDes!$C:$C)),"")</f>
        <v>法术暴击伤害增加{0}</v>
      </c>
      <c r="L2283">
        <f t="shared" si="94"/>
        <v>2</v>
      </c>
      <c r="M2283" s="10" t="str">
        <f>IFERROR(_xlfn.XLOOKUP(C2283,[1]StuntDes!$B:$B,[1]StuntDes!$A:$A),"")</f>
        <v/>
      </c>
      <c r="N2283" s="10">
        <f>IFERROR(_xlfn.XLOOKUP(C2283,[1]ModifierDes!$B:$B,[1]ModifierDes!$A:$A),"")</f>
        <v>10061</v>
      </c>
      <c r="O2283" s="10" t="str">
        <f>IFERROR(_xlfn.XLOOKUP(C2283,[1]AttributeName!$C:$C,[1]AttributeName!$B:$B),"")</f>
        <v/>
      </c>
      <c r="P2283" s="10"/>
      <c r="Q2283">
        <v>0.2</v>
      </c>
      <c r="R2283">
        <v>0.26</v>
      </c>
      <c r="S2283" cm="1">
        <f t="array" ref="S2283">IFERROR(_xlfn.SWITCH(L2283,1,_xlfn.XLOOKUP(O2283,[1]AttributeName!$B:$B,[1]AttributeName!$D:$D),2,_xlfn.XLOOKUP(C2283,#REF!,#REF!),3,_xlfn.XLOOKUP(C2283,#REF!,#REF!)),0)</f>
        <v>0</v>
      </c>
      <c r="T2283" cm="1">
        <f t="array" ref="T2283">IFERROR(_xlfn.SWITCH(L2283,1,_xlfn.XLOOKUP(O2283,[1]AttributeName!$B:$B,[1]AttributeName!$E:$E),2,_xlfn.XLOOKUP(C2283,#REF!,#REF!),3,_xlfn.XLOOKUP(C2283,#REF!,#REF!)),0)</f>
        <v>0</v>
      </c>
    </row>
    <row r="2284" customFormat="1" spans="1:20">
      <c r="A2284">
        <f t="shared" si="95"/>
        <v>955</v>
      </c>
      <c r="B2284">
        <v>7</v>
      </c>
      <c r="C2284" t="s">
        <v>426</v>
      </c>
      <c r="D2284" t="s">
        <v>32</v>
      </c>
      <c r="E2284" s="13" t="s">
        <v>392</v>
      </c>
      <c r="F2284"/>
      <c r="G2284">
        <v>2</v>
      </c>
      <c r="H2284">
        <v>1000</v>
      </c>
      <c r="I2284">
        <v>4</v>
      </c>
      <c r="J2284" cm="1">
        <f t="array" ref="J2284">_xlfn.SWITCH(B2284,1,75,2,61,3,49,4,37,5,25,6,13,7,4,8,1)</f>
        <v>4</v>
      </c>
      <c r="K2284" t="str" cm="1">
        <f t="array" ref="K2284">IFERROR(_xlfn.SWITCH(L2284,2,_xlfn.XLOOKUP(C2284,[1]ModifierDes!$B:$B,[1]ModifierDes!$C:$C),3,_xlfn.XLOOKUP(C2284,[1]StuntDes!$B:$B,[1]StuntDes!$C:$C)),"")</f>
        <v>法术暴击伤害增加{0}</v>
      </c>
      <c r="L2284">
        <f t="shared" si="94"/>
        <v>2</v>
      </c>
      <c r="M2284" s="10" t="str">
        <f>IFERROR(_xlfn.XLOOKUP(C2284,[1]StuntDes!$B:$B,[1]StuntDes!$A:$A),"")</f>
        <v/>
      </c>
      <c r="N2284" s="10">
        <f>IFERROR(_xlfn.XLOOKUP(C2284,[1]ModifierDes!$B:$B,[1]ModifierDes!$A:$A),"")</f>
        <v>10061</v>
      </c>
      <c r="O2284" s="10" t="str">
        <f>IFERROR(_xlfn.XLOOKUP(C2284,[1]AttributeName!$C:$C,[1]AttributeName!$B:$B),"")</f>
        <v/>
      </c>
      <c r="P2284" s="10"/>
      <c r="Q2284">
        <v>0.12</v>
      </c>
      <c r="R2284">
        <v>0.18</v>
      </c>
      <c r="S2284" cm="1">
        <f t="array" ref="S2284">IFERROR(_xlfn.SWITCH(L2284,1,_xlfn.XLOOKUP(O2284,[1]AttributeName!$B:$B,[1]AttributeName!$D:$D),2,_xlfn.XLOOKUP(C2284,#REF!,#REF!),3,_xlfn.XLOOKUP(C2284,#REF!,#REF!)),0)</f>
        <v>0</v>
      </c>
      <c r="T2284" cm="1">
        <f t="array" ref="T2284">IFERROR(_xlfn.SWITCH(L2284,1,_xlfn.XLOOKUP(O2284,[1]AttributeName!$B:$B,[1]AttributeName!$E:$E),2,_xlfn.XLOOKUP(C2284,#REF!,#REF!),3,_xlfn.XLOOKUP(C2284,#REF!,#REF!)),0)</f>
        <v>0</v>
      </c>
    </row>
    <row r="2285" customFormat="1" spans="1:20">
      <c r="A2285">
        <f t="shared" si="95"/>
        <v>955</v>
      </c>
      <c r="B2285">
        <v>8</v>
      </c>
      <c r="C2285" t="s">
        <v>426</v>
      </c>
      <c r="D2285" t="s">
        <v>32</v>
      </c>
      <c r="E2285" s="13" t="s">
        <v>392</v>
      </c>
      <c r="F2285"/>
      <c r="G2285">
        <v>2</v>
      </c>
      <c r="H2285">
        <v>1000</v>
      </c>
      <c r="I2285">
        <v>4</v>
      </c>
      <c r="J2285" cm="1">
        <f t="array" ref="J2285">_xlfn.SWITCH(B2285,1,75,2,61,3,49,4,37,5,25,6,13,7,4,8,1)</f>
        <v>1</v>
      </c>
      <c r="K2285" t="str" cm="1">
        <f t="array" ref="K2285">IFERROR(_xlfn.SWITCH(L2285,2,_xlfn.XLOOKUP(C2285,[1]ModifierDes!$B:$B,[1]ModifierDes!$C:$C),3,_xlfn.XLOOKUP(C2285,[1]StuntDes!$B:$B,[1]StuntDes!$C:$C)),"")</f>
        <v>法术暴击伤害增加{0}</v>
      </c>
      <c r="L2285">
        <f t="shared" si="94"/>
        <v>2</v>
      </c>
      <c r="M2285" s="10" t="str">
        <f>IFERROR(_xlfn.XLOOKUP(C2285,[1]StuntDes!$B:$B,[1]StuntDes!$A:$A),"")</f>
        <v/>
      </c>
      <c r="N2285" s="10">
        <f>IFERROR(_xlfn.XLOOKUP(C2285,[1]ModifierDes!$B:$B,[1]ModifierDes!$A:$A),"")</f>
        <v>10061</v>
      </c>
      <c r="O2285" s="10" t="str">
        <f>IFERROR(_xlfn.XLOOKUP(C2285,[1]AttributeName!$C:$C,[1]AttributeName!$B:$B),"")</f>
        <v/>
      </c>
      <c r="P2285" s="10"/>
      <c r="Q2285">
        <v>0.04</v>
      </c>
      <c r="R2285">
        <v>0.1</v>
      </c>
      <c r="S2285" cm="1">
        <f t="array" ref="S2285">IFERROR(_xlfn.SWITCH(L2285,1,_xlfn.XLOOKUP(O2285,[1]AttributeName!$B:$B,[1]AttributeName!$D:$D),2,_xlfn.XLOOKUP(C2285,#REF!,#REF!),3,_xlfn.XLOOKUP(C2285,#REF!,#REF!)),0)</f>
        <v>0</v>
      </c>
      <c r="T2285" cm="1">
        <f t="array" ref="T2285">IFERROR(_xlfn.SWITCH(L2285,1,_xlfn.XLOOKUP(O2285,[1]AttributeName!$B:$B,[1]AttributeName!$E:$E),2,_xlfn.XLOOKUP(C2285,#REF!,#REF!),3,_xlfn.XLOOKUP(C2285,#REF!,#REF!)),0)</f>
        <v>0</v>
      </c>
    </row>
    <row r="2286" customFormat="1" spans="1:20">
      <c r="A2286">
        <f t="shared" si="95"/>
        <v>956</v>
      </c>
      <c r="B2286">
        <v>1</v>
      </c>
      <c r="C2286" t="s">
        <v>401</v>
      </c>
      <c r="D2286" t="s">
        <v>32</v>
      </c>
      <c r="E2286" s="13" t="s">
        <v>392</v>
      </c>
      <c r="F2286"/>
      <c r="G2286">
        <v>2</v>
      </c>
      <c r="H2286">
        <v>100</v>
      </c>
      <c r="I2286">
        <v>4</v>
      </c>
      <c r="J2286" cm="1">
        <f t="array" ref="J2286">_xlfn.SWITCH(B2286,1,75,2,61,3,49,4,37,5,25,6,13,7,4,8,1)</f>
        <v>75</v>
      </c>
      <c r="K2286" t="str" cm="1">
        <f t="array" ref="K2286">IFERROR(_xlfn.SWITCH(L2286,2,_xlfn.XLOOKUP(C2286,[1]ModifierDes!$B:$B,[1]ModifierDes!$C:$C),3,_xlfn.XLOOKUP(C2286,[1]StuntDes!$B:$B,[1]StuntDes!$C:$C)),"")</f>
        <v/>
      </c>
      <c r="L2286">
        <f t="shared" si="94"/>
        <v>1</v>
      </c>
      <c r="M2286" s="10" t="str">
        <f>IFERROR(_xlfn.XLOOKUP(C2286,[1]StuntDes!$B:$B,[1]StuntDes!$A:$A),"")</f>
        <v/>
      </c>
      <c r="N2286" s="10" t="str">
        <f>IFERROR(_xlfn.XLOOKUP(C2286,[1]ModifierDes!$B:$B,[1]ModifierDes!$A:$A),"")</f>
        <v/>
      </c>
      <c r="O2286" s="10">
        <f>IFERROR(_xlfn.XLOOKUP(C2286,[1]AttributeName!$C:$C,[1]AttributeName!$B:$B),"")</f>
        <v>10500</v>
      </c>
      <c r="P2286" s="10"/>
      <c r="Q2286">
        <v>0.3</v>
      </c>
      <c r="R2286">
        <v>0.4</v>
      </c>
      <c r="S2286" cm="1">
        <f t="array" ref="S2286">IFERROR(_xlfn.SWITCH(L2286,1,_xlfn.XLOOKUP(O2286,[1]AttributeName!$B:$B,[1]AttributeName!$D:$D),2,_xlfn.XLOOKUP(C2286,#REF!,#REF!),3,_xlfn.XLOOKUP(C2286,#REF!,#REF!)),0)</f>
        <v>2</v>
      </c>
      <c r="T2286" cm="1">
        <f t="array" ref="T2286">IFERROR(_xlfn.SWITCH(L2286,1,_xlfn.XLOOKUP(O2286,[1]AttributeName!$B:$B,[1]AttributeName!$E:$E),2,_xlfn.XLOOKUP(C2286,#REF!,#REF!),3,_xlfn.XLOOKUP(C2286,#REF!,#REF!)),0)</f>
        <v>2</v>
      </c>
    </row>
    <row r="2287" customFormat="1" spans="1:20">
      <c r="A2287">
        <f t="shared" si="95"/>
        <v>956</v>
      </c>
      <c r="B2287">
        <v>2</v>
      </c>
      <c r="C2287" t="s">
        <v>401</v>
      </c>
      <c r="D2287" t="s">
        <v>32</v>
      </c>
      <c r="E2287" s="13" t="s">
        <v>392</v>
      </c>
      <c r="F2287"/>
      <c r="G2287">
        <v>2</v>
      </c>
      <c r="H2287">
        <v>200</v>
      </c>
      <c r="I2287">
        <v>4</v>
      </c>
      <c r="J2287" cm="1">
        <f t="array" ref="J2287">_xlfn.SWITCH(B2287,1,75,2,61,3,49,4,37,5,25,6,13,7,4,8,1)</f>
        <v>61</v>
      </c>
      <c r="K2287" t="str" cm="1">
        <f t="array" ref="K2287">IFERROR(_xlfn.SWITCH(L2287,2,_xlfn.XLOOKUP(C2287,[1]ModifierDes!$B:$B,[1]ModifierDes!$C:$C),3,_xlfn.XLOOKUP(C2287,[1]StuntDes!$B:$B,[1]StuntDes!$C:$C)),"")</f>
        <v/>
      </c>
      <c r="L2287">
        <f t="shared" si="94"/>
        <v>1</v>
      </c>
      <c r="M2287" s="10" t="str">
        <f>IFERROR(_xlfn.XLOOKUP(C2287,[1]StuntDes!$B:$B,[1]StuntDes!$A:$A),"")</f>
        <v/>
      </c>
      <c r="N2287" s="10" t="str">
        <f>IFERROR(_xlfn.XLOOKUP(C2287,[1]ModifierDes!$B:$B,[1]ModifierDes!$A:$A),"")</f>
        <v/>
      </c>
      <c r="O2287" s="10">
        <f>IFERROR(_xlfn.XLOOKUP(C2287,[1]AttributeName!$C:$C,[1]AttributeName!$B:$B),"")</f>
        <v>10500</v>
      </c>
      <c r="P2287" s="10"/>
      <c r="Q2287">
        <v>0.26</v>
      </c>
      <c r="R2287">
        <v>0.29</v>
      </c>
      <c r="S2287" cm="1">
        <f t="array" ref="S2287">IFERROR(_xlfn.SWITCH(L2287,1,_xlfn.XLOOKUP(O2287,[1]AttributeName!$B:$B,[1]AttributeName!$D:$D),2,_xlfn.XLOOKUP(C2287,#REF!,#REF!),3,_xlfn.XLOOKUP(C2287,#REF!,#REF!)),0)</f>
        <v>2</v>
      </c>
      <c r="T2287" cm="1">
        <f t="array" ref="T2287">IFERROR(_xlfn.SWITCH(L2287,1,_xlfn.XLOOKUP(O2287,[1]AttributeName!$B:$B,[1]AttributeName!$E:$E),2,_xlfn.XLOOKUP(C2287,#REF!,#REF!),3,_xlfn.XLOOKUP(C2287,#REF!,#REF!)),0)</f>
        <v>2</v>
      </c>
    </row>
    <row r="2288" customFormat="1" spans="1:20">
      <c r="A2288">
        <f t="shared" si="95"/>
        <v>956</v>
      </c>
      <c r="B2288">
        <v>3</v>
      </c>
      <c r="C2288" t="s">
        <v>401</v>
      </c>
      <c r="D2288" t="s">
        <v>32</v>
      </c>
      <c r="E2288" s="13" t="s">
        <v>392</v>
      </c>
      <c r="F2288"/>
      <c r="G2288">
        <v>2</v>
      </c>
      <c r="H2288">
        <v>500</v>
      </c>
      <c r="I2288">
        <v>4</v>
      </c>
      <c r="J2288" cm="1">
        <f t="array" ref="J2288">_xlfn.SWITCH(B2288,1,75,2,61,3,49,4,37,5,25,6,13,7,4,8,1)</f>
        <v>49</v>
      </c>
      <c r="K2288" t="str" cm="1">
        <f t="array" ref="K2288">IFERROR(_xlfn.SWITCH(L2288,2,_xlfn.XLOOKUP(C2288,[1]ModifierDes!$B:$B,[1]ModifierDes!$C:$C),3,_xlfn.XLOOKUP(C2288,[1]StuntDes!$B:$B,[1]StuntDes!$C:$C)),"")</f>
        <v/>
      </c>
      <c r="L2288">
        <f t="shared" si="94"/>
        <v>1</v>
      </c>
      <c r="M2288" s="10" t="str">
        <f>IFERROR(_xlfn.XLOOKUP(C2288,[1]StuntDes!$B:$B,[1]StuntDes!$A:$A),"")</f>
        <v/>
      </c>
      <c r="N2288" s="10" t="str">
        <f>IFERROR(_xlfn.XLOOKUP(C2288,[1]ModifierDes!$B:$B,[1]ModifierDes!$A:$A),"")</f>
        <v/>
      </c>
      <c r="O2288" s="10">
        <f>IFERROR(_xlfn.XLOOKUP(C2288,[1]AttributeName!$C:$C,[1]AttributeName!$B:$B),"")</f>
        <v>10500</v>
      </c>
      <c r="P2288" s="10"/>
      <c r="Q2288">
        <v>0.22</v>
      </c>
      <c r="R2288">
        <v>0.25</v>
      </c>
      <c r="S2288" cm="1">
        <f t="array" ref="S2288">IFERROR(_xlfn.SWITCH(L2288,1,_xlfn.XLOOKUP(O2288,[1]AttributeName!$B:$B,[1]AttributeName!$D:$D),2,_xlfn.XLOOKUP(C2288,#REF!,#REF!),3,_xlfn.XLOOKUP(C2288,#REF!,#REF!)),0)</f>
        <v>2</v>
      </c>
      <c r="T2288" cm="1">
        <f t="array" ref="T2288">IFERROR(_xlfn.SWITCH(L2288,1,_xlfn.XLOOKUP(O2288,[1]AttributeName!$B:$B,[1]AttributeName!$E:$E),2,_xlfn.XLOOKUP(C2288,#REF!,#REF!),3,_xlfn.XLOOKUP(C2288,#REF!,#REF!)),0)</f>
        <v>2</v>
      </c>
    </row>
    <row r="2289" customFormat="1" spans="1:20">
      <c r="A2289">
        <f t="shared" si="95"/>
        <v>956</v>
      </c>
      <c r="B2289">
        <v>4</v>
      </c>
      <c r="C2289" t="s">
        <v>401</v>
      </c>
      <c r="D2289" t="s">
        <v>32</v>
      </c>
      <c r="E2289" s="13" t="s">
        <v>392</v>
      </c>
      <c r="F2289"/>
      <c r="G2289">
        <v>2</v>
      </c>
      <c r="H2289">
        <v>1000</v>
      </c>
      <c r="I2289">
        <v>4</v>
      </c>
      <c r="J2289" cm="1">
        <f t="array" ref="J2289">_xlfn.SWITCH(B2289,1,75,2,61,3,49,4,37,5,25,6,13,7,4,8,1)</f>
        <v>37</v>
      </c>
      <c r="K2289" t="str" cm="1">
        <f t="array" ref="K2289">IFERROR(_xlfn.SWITCH(L2289,2,_xlfn.XLOOKUP(C2289,[1]ModifierDes!$B:$B,[1]ModifierDes!$C:$C),3,_xlfn.XLOOKUP(C2289,[1]StuntDes!$B:$B,[1]StuntDes!$C:$C)),"")</f>
        <v/>
      </c>
      <c r="L2289">
        <f t="shared" si="94"/>
        <v>1</v>
      </c>
      <c r="M2289" s="10" t="str">
        <f>IFERROR(_xlfn.XLOOKUP(C2289,[1]StuntDes!$B:$B,[1]StuntDes!$A:$A),"")</f>
        <v/>
      </c>
      <c r="N2289" s="10" t="str">
        <f>IFERROR(_xlfn.XLOOKUP(C2289,[1]ModifierDes!$B:$B,[1]ModifierDes!$A:$A),"")</f>
        <v/>
      </c>
      <c r="O2289" s="10">
        <f>IFERROR(_xlfn.XLOOKUP(C2289,[1]AttributeName!$C:$C,[1]AttributeName!$B:$B),"")</f>
        <v>10500</v>
      </c>
      <c r="P2289" s="10"/>
      <c r="Q2289">
        <v>0.18</v>
      </c>
      <c r="R2289">
        <v>0.21</v>
      </c>
      <c r="S2289" cm="1">
        <f t="array" ref="S2289">IFERROR(_xlfn.SWITCH(L2289,1,_xlfn.XLOOKUP(O2289,[1]AttributeName!$B:$B,[1]AttributeName!$D:$D),2,_xlfn.XLOOKUP(C2289,#REF!,#REF!),3,_xlfn.XLOOKUP(C2289,#REF!,#REF!)),0)</f>
        <v>2</v>
      </c>
      <c r="T2289" cm="1">
        <f t="array" ref="T2289">IFERROR(_xlfn.SWITCH(L2289,1,_xlfn.XLOOKUP(O2289,[1]AttributeName!$B:$B,[1]AttributeName!$E:$E),2,_xlfn.XLOOKUP(C2289,#REF!,#REF!),3,_xlfn.XLOOKUP(C2289,#REF!,#REF!)),0)</f>
        <v>2</v>
      </c>
    </row>
    <row r="2290" customFormat="1" spans="1:20">
      <c r="A2290">
        <f t="shared" si="95"/>
        <v>956</v>
      </c>
      <c r="B2290">
        <v>5</v>
      </c>
      <c r="C2290" t="s">
        <v>401</v>
      </c>
      <c r="D2290" t="s">
        <v>32</v>
      </c>
      <c r="E2290" s="13" t="s">
        <v>392</v>
      </c>
      <c r="F2290"/>
      <c r="G2290">
        <v>2</v>
      </c>
      <c r="H2290">
        <v>1000</v>
      </c>
      <c r="I2290">
        <v>4</v>
      </c>
      <c r="J2290" cm="1">
        <f t="array" ref="J2290">_xlfn.SWITCH(B2290,1,75,2,61,3,49,4,37,5,25,6,13,7,4,8,1)</f>
        <v>25</v>
      </c>
      <c r="K2290" t="str" cm="1">
        <f t="array" ref="K2290">IFERROR(_xlfn.SWITCH(L2290,2,_xlfn.XLOOKUP(C2290,[1]ModifierDes!$B:$B,[1]ModifierDes!$C:$C),3,_xlfn.XLOOKUP(C2290,[1]StuntDes!$B:$B,[1]StuntDes!$C:$C)),"")</f>
        <v/>
      </c>
      <c r="L2290">
        <f t="shared" si="94"/>
        <v>1</v>
      </c>
      <c r="M2290" s="10" t="str">
        <f>IFERROR(_xlfn.XLOOKUP(C2290,[1]StuntDes!$B:$B,[1]StuntDes!$A:$A),"")</f>
        <v/>
      </c>
      <c r="N2290" s="10" t="str">
        <f>IFERROR(_xlfn.XLOOKUP(C2290,[1]ModifierDes!$B:$B,[1]ModifierDes!$A:$A),"")</f>
        <v/>
      </c>
      <c r="O2290" s="10">
        <f>IFERROR(_xlfn.XLOOKUP(C2290,[1]AttributeName!$C:$C,[1]AttributeName!$B:$B),"")</f>
        <v>10500</v>
      </c>
      <c r="P2290" s="10"/>
      <c r="Q2290">
        <v>0.14</v>
      </c>
      <c r="R2290">
        <v>0.17</v>
      </c>
      <c r="S2290" cm="1">
        <f t="array" ref="S2290">IFERROR(_xlfn.SWITCH(L2290,1,_xlfn.XLOOKUP(O2290,[1]AttributeName!$B:$B,[1]AttributeName!$D:$D),2,_xlfn.XLOOKUP(C2290,#REF!,#REF!),3,_xlfn.XLOOKUP(C2290,#REF!,#REF!)),0)</f>
        <v>2</v>
      </c>
      <c r="T2290" cm="1">
        <f t="array" ref="T2290">IFERROR(_xlfn.SWITCH(L2290,1,_xlfn.XLOOKUP(O2290,[1]AttributeName!$B:$B,[1]AttributeName!$E:$E),2,_xlfn.XLOOKUP(C2290,#REF!,#REF!),3,_xlfn.XLOOKUP(C2290,#REF!,#REF!)),0)</f>
        <v>2</v>
      </c>
    </row>
    <row r="2291" customFormat="1" spans="1:20">
      <c r="A2291">
        <f t="shared" si="95"/>
        <v>956</v>
      </c>
      <c r="B2291">
        <v>6</v>
      </c>
      <c r="C2291" t="s">
        <v>401</v>
      </c>
      <c r="D2291" t="s">
        <v>32</v>
      </c>
      <c r="E2291" s="13" t="s">
        <v>392</v>
      </c>
      <c r="F2291"/>
      <c r="G2291">
        <v>2</v>
      </c>
      <c r="H2291">
        <v>1000</v>
      </c>
      <c r="I2291">
        <v>4</v>
      </c>
      <c r="J2291" cm="1">
        <f t="array" ref="J2291">_xlfn.SWITCH(B2291,1,75,2,61,3,49,4,37,5,25,6,13,7,4,8,1)</f>
        <v>13</v>
      </c>
      <c r="K2291" t="str" cm="1">
        <f t="array" ref="K2291">IFERROR(_xlfn.SWITCH(L2291,2,_xlfn.XLOOKUP(C2291,[1]ModifierDes!$B:$B,[1]ModifierDes!$C:$C),3,_xlfn.XLOOKUP(C2291,[1]StuntDes!$B:$B,[1]StuntDes!$C:$C)),"")</f>
        <v/>
      </c>
      <c r="L2291">
        <f t="shared" si="94"/>
        <v>1</v>
      </c>
      <c r="M2291" s="10" t="str">
        <f>IFERROR(_xlfn.XLOOKUP(C2291,[1]StuntDes!$B:$B,[1]StuntDes!$A:$A),"")</f>
        <v/>
      </c>
      <c r="N2291" s="10" t="str">
        <f>IFERROR(_xlfn.XLOOKUP(C2291,[1]ModifierDes!$B:$B,[1]ModifierDes!$A:$A),"")</f>
        <v/>
      </c>
      <c r="O2291" s="10">
        <f>IFERROR(_xlfn.XLOOKUP(C2291,[1]AttributeName!$C:$C,[1]AttributeName!$B:$B),"")</f>
        <v>10500</v>
      </c>
      <c r="P2291" s="10"/>
      <c r="Q2291">
        <v>0.1</v>
      </c>
      <c r="R2291">
        <v>0.13</v>
      </c>
      <c r="S2291" cm="1">
        <f t="array" ref="S2291">IFERROR(_xlfn.SWITCH(L2291,1,_xlfn.XLOOKUP(O2291,[1]AttributeName!$B:$B,[1]AttributeName!$D:$D),2,_xlfn.XLOOKUP(C2291,#REF!,#REF!),3,_xlfn.XLOOKUP(C2291,#REF!,#REF!)),0)</f>
        <v>2</v>
      </c>
      <c r="T2291" cm="1">
        <f t="array" ref="T2291">IFERROR(_xlfn.SWITCH(L2291,1,_xlfn.XLOOKUP(O2291,[1]AttributeName!$B:$B,[1]AttributeName!$E:$E),2,_xlfn.XLOOKUP(C2291,#REF!,#REF!),3,_xlfn.XLOOKUP(C2291,#REF!,#REF!)),0)</f>
        <v>2</v>
      </c>
    </row>
    <row r="2292" customFormat="1" spans="1:20">
      <c r="A2292">
        <f t="shared" si="95"/>
        <v>956</v>
      </c>
      <c r="B2292">
        <v>7</v>
      </c>
      <c r="C2292" t="s">
        <v>401</v>
      </c>
      <c r="D2292" t="s">
        <v>32</v>
      </c>
      <c r="E2292" s="13" t="s">
        <v>392</v>
      </c>
      <c r="F2292"/>
      <c r="G2292">
        <v>2</v>
      </c>
      <c r="H2292">
        <v>1000</v>
      </c>
      <c r="I2292">
        <v>4</v>
      </c>
      <c r="J2292" cm="1">
        <f t="array" ref="J2292">_xlfn.SWITCH(B2292,1,75,2,61,3,49,4,37,5,25,6,13,7,4,8,1)</f>
        <v>4</v>
      </c>
      <c r="K2292" t="str" cm="1">
        <f t="array" ref="K2292">IFERROR(_xlfn.SWITCH(L2292,2,_xlfn.XLOOKUP(C2292,[1]ModifierDes!$B:$B,[1]ModifierDes!$C:$C),3,_xlfn.XLOOKUP(C2292,[1]StuntDes!$B:$B,[1]StuntDes!$C:$C)),"")</f>
        <v/>
      </c>
      <c r="L2292">
        <f t="shared" si="94"/>
        <v>1</v>
      </c>
      <c r="M2292" s="10" t="str">
        <f>IFERROR(_xlfn.XLOOKUP(C2292,[1]StuntDes!$B:$B,[1]StuntDes!$A:$A),"")</f>
        <v/>
      </c>
      <c r="N2292" s="10" t="str">
        <f>IFERROR(_xlfn.XLOOKUP(C2292,[1]ModifierDes!$B:$B,[1]ModifierDes!$A:$A),"")</f>
        <v/>
      </c>
      <c r="O2292" s="10">
        <f>IFERROR(_xlfn.XLOOKUP(C2292,[1]AttributeName!$C:$C,[1]AttributeName!$B:$B),"")</f>
        <v>10500</v>
      </c>
      <c r="P2292" s="10"/>
      <c r="Q2292">
        <v>0.06</v>
      </c>
      <c r="R2292">
        <v>0.09</v>
      </c>
      <c r="S2292" cm="1">
        <f t="array" ref="S2292">IFERROR(_xlfn.SWITCH(L2292,1,_xlfn.XLOOKUP(O2292,[1]AttributeName!$B:$B,[1]AttributeName!$D:$D),2,_xlfn.XLOOKUP(C2292,#REF!,#REF!),3,_xlfn.XLOOKUP(C2292,#REF!,#REF!)),0)</f>
        <v>2</v>
      </c>
      <c r="T2292" cm="1">
        <f t="array" ref="T2292">IFERROR(_xlfn.SWITCH(L2292,1,_xlfn.XLOOKUP(O2292,[1]AttributeName!$B:$B,[1]AttributeName!$E:$E),2,_xlfn.XLOOKUP(C2292,#REF!,#REF!),3,_xlfn.XLOOKUP(C2292,#REF!,#REF!)),0)</f>
        <v>2</v>
      </c>
    </row>
    <row r="2293" customFormat="1" spans="1:20">
      <c r="A2293">
        <f t="shared" si="95"/>
        <v>956</v>
      </c>
      <c r="B2293">
        <v>8</v>
      </c>
      <c r="C2293" t="s">
        <v>401</v>
      </c>
      <c r="D2293" t="s">
        <v>32</v>
      </c>
      <c r="E2293" s="13" t="s">
        <v>392</v>
      </c>
      <c r="F2293"/>
      <c r="G2293">
        <v>2</v>
      </c>
      <c r="H2293">
        <v>1000</v>
      </c>
      <c r="I2293">
        <v>4</v>
      </c>
      <c r="J2293" cm="1">
        <f t="array" ref="J2293">_xlfn.SWITCH(B2293,1,75,2,61,3,49,4,37,5,25,6,13,7,4,8,1)</f>
        <v>1</v>
      </c>
      <c r="K2293" t="str" cm="1">
        <f t="array" ref="K2293">IFERROR(_xlfn.SWITCH(L2293,2,_xlfn.XLOOKUP(C2293,[1]ModifierDes!$B:$B,[1]ModifierDes!$C:$C),3,_xlfn.XLOOKUP(C2293,[1]StuntDes!$B:$B,[1]StuntDes!$C:$C)),"")</f>
        <v/>
      </c>
      <c r="L2293">
        <f t="shared" si="94"/>
        <v>1</v>
      </c>
      <c r="M2293" s="10" t="str">
        <f>IFERROR(_xlfn.XLOOKUP(C2293,[1]StuntDes!$B:$B,[1]StuntDes!$A:$A),"")</f>
        <v/>
      </c>
      <c r="N2293" s="10" t="str">
        <f>IFERROR(_xlfn.XLOOKUP(C2293,[1]ModifierDes!$B:$B,[1]ModifierDes!$A:$A),"")</f>
        <v/>
      </c>
      <c r="O2293" s="10">
        <f>IFERROR(_xlfn.XLOOKUP(C2293,[1]AttributeName!$C:$C,[1]AttributeName!$B:$B),"")</f>
        <v>10500</v>
      </c>
      <c r="P2293" s="10"/>
      <c r="Q2293">
        <v>0.02</v>
      </c>
      <c r="R2293">
        <v>0.05</v>
      </c>
      <c r="S2293" cm="1">
        <f t="array" ref="S2293">IFERROR(_xlfn.SWITCH(L2293,1,_xlfn.XLOOKUP(O2293,[1]AttributeName!$B:$B,[1]AttributeName!$D:$D),2,_xlfn.XLOOKUP(C2293,#REF!,#REF!),3,_xlfn.XLOOKUP(C2293,#REF!,#REF!)),0)</f>
        <v>2</v>
      </c>
      <c r="T2293" cm="1">
        <f t="array" ref="T2293">IFERROR(_xlfn.SWITCH(L2293,1,_xlfn.XLOOKUP(O2293,[1]AttributeName!$B:$B,[1]AttributeName!$E:$E),2,_xlfn.XLOOKUP(C2293,#REF!,#REF!),3,_xlfn.XLOOKUP(C2293,#REF!,#REF!)),0)</f>
        <v>2</v>
      </c>
    </row>
    <row r="2294" customFormat="1" spans="1:20">
      <c r="A2294">
        <f t="shared" si="95"/>
        <v>957</v>
      </c>
      <c r="B2294">
        <v>1</v>
      </c>
      <c r="C2294" s="14" t="s">
        <v>402</v>
      </c>
      <c r="D2294" t="s">
        <v>32</v>
      </c>
      <c r="E2294" s="13" t="s">
        <v>392</v>
      </c>
      <c r="F2294"/>
      <c r="G2294">
        <v>2</v>
      </c>
      <c r="H2294">
        <v>100</v>
      </c>
      <c r="I2294">
        <v>4</v>
      </c>
      <c r="J2294" cm="1">
        <f t="array" ref="J2294">_xlfn.SWITCH(B2294,1,75,2,61,3,49,4,37,5,25,6,13,7,4,8,1)</f>
        <v>75</v>
      </c>
      <c r="K2294" t="str" cm="1">
        <f t="array" ref="K2294">IFERROR(_xlfn.SWITCH(L2294,2,_xlfn.XLOOKUP(C2294,[1]ModifierDes!$B:$B,[1]ModifierDes!$C:$C),3,_xlfn.XLOOKUP(C2294,[1]StuntDes!$B:$B,[1]StuntDes!$C:$C)),"")</f>
        <v/>
      </c>
      <c r="L2294">
        <f t="shared" si="94"/>
        <v>1</v>
      </c>
      <c r="M2294" s="10" t="str">
        <f>IFERROR(_xlfn.XLOOKUP(C2294,[1]StuntDes!$B:$B,[1]StuntDes!$A:$A),"")</f>
        <v/>
      </c>
      <c r="N2294" s="10" t="str">
        <f>IFERROR(_xlfn.XLOOKUP(C2294,[1]ModifierDes!$B:$B,[1]ModifierDes!$A:$A),"")</f>
        <v/>
      </c>
      <c r="O2294" s="10">
        <f>IFERROR(_xlfn.XLOOKUP(C2294,[1]AttributeName!$C:$C,[1]AttributeName!$B:$B),"")</f>
        <v>10501</v>
      </c>
      <c r="P2294" s="10"/>
      <c r="Q2294">
        <v>0.3</v>
      </c>
      <c r="R2294">
        <v>0.4</v>
      </c>
      <c r="S2294" cm="1">
        <f t="array" ref="S2294">IFERROR(_xlfn.SWITCH(L2294,1,_xlfn.XLOOKUP(O2294,[1]AttributeName!$B:$B,[1]AttributeName!$D:$D),2,_xlfn.XLOOKUP(C2294,#REF!,#REF!),3,_xlfn.XLOOKUP(C2294,#REF!,#REF!)),0)</f>
        <v>2</v>
      </c>
      <c r="T2294" cm="1">
        <f t="array" ref="T2294">IFERROR(_xlfn.SWITCH(L2294,1,_xlfn.XLOOKUP(O2294,[1]AttributeName!$B:$B,[1]AttributeName!$E:$E),2,_xlfn.XLOOKUP(C2294,#REF!,#REF!),3,_xlfn.XLOOKUP(C2294,#REF!,#REF!)),0)</f>
        <v>2</v>
      </c>
    </row>
    <row r="2295" customFormat="1" spans="1:20">
      <c r="A2295">
        <f t="shared" si="95"/>
        <v>957</v>
      </c>
      <c r="B2295">
        <v>2</v>
      </c>
      <c r="C2295" s="14" t="s">
        <v>402</v>
      </c>
      <c r="D2295" t="s">
        <v>32</v>
      </c>
      <c r="E2295" s="13" t="s">
        <v>392</v>
      </c>
      <c r="F2295"/>
      <c r="G2295">
        <v>2</v>
      </c>
      <c r="H2295">
        <v>200</v>
      </c>
      <c r="I2295">
        <v>4</v>
      </c>
      <c r="J2295" cm="1">
        <f t="array" ref="J2295">_xlfn.SWITCH(B2295,1,75,2,61,3,49,4,37,5,25,6,13,7,4,8,1)</f>
        <v>61</v>
      </c>
      <c r="K2295" t="str" cm="1">
        <f t="array" ref="K2295">IFERROR(_xlfn.SWITCH(L2295,2,_xlfn.XLOOKUP(C2295,[1]ModifierDes!$B:$B,[1]ModifierDes!$C:$C),3,_xlfn.XLOOKUP(C2295,[1]StuntDes!$B:$B,[1]StuntDes!$C:$C)),"")</f>
        <v/>
      </c>
      <c r="L2295">
        <f t="shared" si="94"/>
        <v>1</v>
      </c>
      <c r="M2295" s="10" t="str">
        <f>IFERROR(_xlfn.XLOOKUP(C2295,[1]StuntDes!$B:$B,[1]StuntDes!$A:$A),"")</f>
        <v/>
      </c>
      <c r="N2295" s="10" t="str">
        <f>IFERROR(_xlfn.XLOOKUP(C2295,[1]ModifierDes!$B:$B,[1]ModifierDes!$A:$A),"")</f>
        <v/>
      </c>
      <c r="O2295" s="10">
        <f>IFERROR(_xlfn.XLOOKUP(C2295,[1]AttributeName!$C:$C,[1]AttributeName!$B:$B),"")</f>
        <v>10501</v>
      </c>
      <c r="P2295" s="10"/>
      <c r="Q2295">
        <v>0.26</v>
      </c>
      <c r="R2295">
        <v>0.29</v>
      </c>
      <c r="S2295" cm="1">
        <f t="array" ref="S2295">IFERROR(_xlfn.SWITCH(L2295,1,_xlfn.XLOOKUP(O2295,[1]AttributeName!$B:$B,[1]AttributeName!$D:$D),2,_xlfn.XLOOKUP(C2295,#REF!,#REF!),3,_xlfn.XLOOKUP(C2295,#REF!,#REF!)),0)</f>
        <v>2</v>
      </c>
      <c r="T2295" cm="1">
        <f t="array" ref="T2295">IFERROR(_xlfn.SWITCH(L2295,1,_xlfn.XLOOKUP(O2295,[1]AttributeName!$B:$B,[1]AttributeName!$E:$E),2,_xlfn.XLOOKUP(C2295,#REF!,#REF!),3,_xlfn.XLOOKUP(C2295,#REF!,#REF!)),0)</f>
        <v>2</v>
      </c>
    </row>
    <row r="2296" customFormat="1" spans="1:20">
      <c r="A2296">
        <f t="shared" si="95"/>
        <v>957</v>
      </c>
      <c r="B2296">
        <v>3</v>
      </c>
      <c r="C2296" s="14" t="s">
        <v>402</v>
      </c>
      <c r="D2296" t="s">
        <v>32</v>
      </c>
      <c r="E2296" s="13" t="s">
        <v>392</v>
      </c>
      <c r="F2296"/>
      <c r="G2296">
        <v>2</v>
      </c>
      <c r="H2296">
        <v>500</v>
      </c>
      <c r="I2296">
        <v>4</v>
      </c>
      <c r="J2296" cm="1">
        <f t="array" ref="J2296">_xlfn.SWITCH(B2296,1,75,2,61,3,49,4,37,5,25,6,13,7,4,8,1)</f>
        <v>49</v>
      </c>
      <c r="K2296" t="str" cm="1">
        <f t="array" ref="K2296">IFERROR(_xlfn.SWITCH(L2296,2,_xlfn.XLOOKUP(C2296,[1]ModifierDes!$B:$B,[1]ModifierDes!$C:$C),3,_xlfn.XLOOKUP(C2296,[1]StuntDes!$B:$B,[1]StuntDes!$C:$C)),"")</f>
        <v/>
      </c>
      <c r="L2296">
        <f t="shared" si="94"/>
        <v>1</v>
      </c>
      <c r="M2296" s="10" t="str">
        <f>IFERROR(_xlfn.XLOOKUP(C2296,[1]StuntDes!$B:$B,[1]StuntDes!$A:$A),"")</f>
        <v/>
      </c>
      <c r="N2296" s="10" t="str">
        <f>IFERROR(_xlfn.XLOOKUP(C2296,[1]ModifierDes!$B:$B,[1]ModifierDes!$A:$A),"")</f>
        <v/>
      </c>
      <c r="O2296" s="10">
        <f>IFERROR(_xlfn.XLOOKUP(C2296,[1]AttributeName!$C:$C,[1]AttributeName!$B:$B),"")</f>
        <v>10501</v>
      </c>
      <c r="P2296" s="10"/>
      <c r="Q2296">
        <v>0.22</v>
      </c>
      <c r="R2296">
        <v>0.25</v>
      </c>
      <c r="S2296" cm="1">
        <f t="array" ref="S2296">IFERROR(_xlfn.SWITCH(L2296,1,_xlfn.XLOOKUP(O2296,[1]AttributeName!$B:$B,[1]AttributeName!$D:$D),2,_xlfn.XLOOKUP(C2296,#REF!,#REF!),3,_xlfn.XLOOKUP(C2296,#REF!,#REF!)),0)</f>
        <v>2</v>
      </c>
      <c r="T2296" cm="1">
        <f t="array" ref="T2296">IFERROR(_xlfn.SWITCH(L2296,1,_xlfn.XLOOKUP(O2296,[1]AttributeName!$B:$B,[1]AttributeName!$E:$E),2,_xlfn.XLOOKUP(C2296,#REF!,#REF!),3,_xlfn.XLOOKUP(C2296,#REF!,#REF!)),0)</f>
        <v>2</v>
      </c>
    </row>
    <row r="2297" customFormat="1" spans="1:20">
      <c r="A2297">
        <f t="shared" si="95"/>
        <v>957</v>
      </c>
      <c r="B2297">
        <v>4</v>
      </c>
      <c r="C2297" s="14" t="s">
        <v>402</v>
      </c>
      <c r="D2297" t="s">
        <v>32</v>
      </c>
      <c r="E2297" s="13" t="s">
        <v>392</v>
      </c>
      <c r="F2297"/>
      <c r="G2297">
        <v>2</v>
      </c>
      <c r="H2297">
        <v>1000</v>
      </c>
      <c r="I2297">
        <v>4</v>
      </c>
      <c r="J2297" cm="1">
        <f t="array" ref="J2297">_xlfn.SWITCH(B2297,1,75,2,61,3,49,4,37,5,25,6,13,7,4,8,1)</f>
        <v>37</v>
      </c>
      <c r="K2297" t="str" cm="1">
        <f t="array" ref="K2297">IFERROR(_xlfn.SWITCH(L2297,2,_xlfn.XLOOKUP(C2297,[1]ModifierDes!$B:$B,[1]ModifierDes!$C:$C),3,_xlfn.XLOOKUP(C2297,[1]StuntDes!$B:$B,[1]StuntDes!$C:$C)),"")</f>
        <v/>
      </c>
      <c r="L2297">
        <f t="shared" si="94"/>
        <v>1</v>
      </c>
      <c r="M2297" s="10" t="str">
        <f>IFERROR(_xlfn.XLOOKUP(C2297,[1]StuntDes!$B:$B,[1]StuntDes!$A:$A),"")</f>
        <v/>
      </c>
      <c r="N2297" s="10" t="str">
        <f>IFERROR(_xlfn.XLOOKUP(C2297,[1]ModifierDes!$B:$B,[1]ModifierDes!$A:$A),"")</f>
        <v/>
      </c>
      <c r="O2297" s="10">
        <f>IFERROR(_xlfn.XLOOKUP(C2297,[1]AttributeName!$C:$C,[1]AttributeName!$B:$B),"")</f>
        <v>10501</v>
      </c>
      <c r="P2297" s="10"/>
      <c r="Q2297">
        <v>0.18</v>
      </c>
      <c r="R2297">
        <v>0.21</v>
      </c>
      <c r="S2297" cm="1">
        <f t="array" ref="S2297">IFERROR(_xlfn.SWITCH(L2297,1,_xlfn.XLOOKUP(O2297,[1]AttributeName!$B:$B,[1]AttributeName!$D:$D),2,_xlfn.XLOOKUP(C2297,#REF!,#REF!),3,_xlfn.XLOOKUP(C2297,#REF!,#REF!)),0)</f>
        <v>2</v>
      </c>
      <c r="T2297" cm="1">
        <f t="array" ref="T2297">IFERROR(_xlfn.SWITCH(L2297,1,_xlfn.XLOOKUP(O2297,[1]AttributeName!$B:$B,[1]AttributeName!$E:$E),2,_xlfn.XLOOKUP(C2297,#REF!,#REF!),3,_xlfn.XLOOKUP(C2297,#REF!,#REF!)),0)</f>
        <v>2</v>
      </c>
    </row>
    <row r="2298" customFormat="1" spans="1:20">
      <c r="A2298">
        <f t="shared" si="95"/>
        <v>957</v>
      </c>
      <c r="B2298">
        <v>5</v>
      </c>
      <c r="C2298" s="14" t="s">
        <v>402</v>
      </c>
      <c r="D2298" t="s">
        <v>32</v>
      </c>
      <c r="E2298" s="13" t="s">
        <v>392</v>
      </c>
      <c r="F2298"/>
      <c r="G2298">
        <v>2</v>
      </c>
      <c r="H2298">
        <v>1000</v>
      </c>
      <c r="I2298">
        <v>4</v>
      </c>
      <c r="J2298" cm="1">
        <f t="array" ref="J2298">_xlfn.SWITCH(B2298,1,75,2,61,3,49,4,37,5,25,6,13,7,4,8,1)</f>
        <v>25</v>
      </c>
      <c r="K2298" t="str" cm="1">
        <f t="array" ref="K2298">IFERROR(_xlfn.SWITCH(L2298,2,_xlfn.XLOOKUP(C2298,[1]ModifierDes!$B:$B,[1]ModifierDes!$C:$C),3,_xlfn.XLOOKUP(C2298,[1]StuntDes!$B:$B,[1]StuntDes!$C:$C)),"")</f>
        <v/>
      </c>
      <c r="L2298">
        <f t="shared" si="94"/>
        <v>1</v>
      </c>
      <c r="M2298" s="10" t="str">
        <f>IFERROR(_xlfn.XLOOKUP(C2298,[1]StuntDes!$B:$B,[1]StuntDes!$A:$A),"")</f>
        <v/>
      </c>
      <c r="N2298" s="10" t="str">
        <f>IFERROR(_xlfn.XLOOKUP(C2298,[1]ModifierDes!$B:$B,[1]ModifierDes!$A:$A),"")</f>
        <v/>
      </c>
      <c r="O2298" s="10">
        <f>IFERROR(_xlfn.XLOOKUP(C2298,[1]AttributeName!$C:$C,[1]AttributeName!$B:$B),"")</f>
        <v>10501</v>
      </c>
      <c r="P2298" s="10"/>
      <c r="Q2298">
        <v>0.14</v>
      </c>
      <c r="R2298">
        <v>0.17</v>
      </c>
      <c r="S2298" cm="1">
        <f t="array" ref="S2298">IFERROR(_xlfn.SWITCH(L2298,1,_xlfn.XLOOKUP(O2298,[1]AttributeName!$B:$B,[1]AttributeName!$D:$D),2,_xlfn.XLOOKUP(C2298,#REF!,#REF!),3,_xlfn.XLOOKUP(C2298,#REF!,#REF!)),0)</f>
        <v>2</v>
      </c>
      <c r="T2298" cm="1">
        <f t="array" ref="T2298">IFERROR(_xlfn.SWITCH(L2298,1,_xlfn.XLOOKUP(O2298,[1]AttributeName!$B:$B,[1]AttributeName!$E:$E),2,_xlfn.XLOOKUP(C2298,#REF!,#REF!),3,_xlfn.XLOOKUP(C2298,#REF!,#REF!)),0)</f>
        <v>2</v>
      </c>
    </row>
    <row r="2299" customFormat="1" spans="1:20">
      <c r="A2299">
        <f t="shared" si="95"/>
        <v>957</v>
      </c>
      <c r="B2299">
        <v>6</v>
      </c>
      <c r="C2299" s="14" t="s">
        <v>402</v>
      </c>
      <c r="D2299" t="s">
        <v>32</v>
      </c>
      <c r="E2299" s="13" t="s">
        <v>392</v>
      </c>
      <c r="F2299"/>
      <c r="G2299">
        <v>2</v>
      </c>
      <c r="H2299">
        <v>1000</v>
      </c>
      <c r="I2299">
        <v>4</v>
      </c>
      <c r="J2299" cm="1">
        <f t="array" ref="J2299">_xlfn.SWITCH(B2299,1,75,2,61,3,49,4,37,5,25,6,13,7,4,8,1)</f>
        <v>13</v>
      </c>
      <c r="K2299" t="str" cm="1">
        <f t="array" ref="K2299">IFERROR(_xlfn.SWITCH(L2299,2,_xlfn.XLOOKUP(C2299,[1]ModifierDes!$B:$B,[1]ModifierDes!$C:$C),3,_xlfn.XLOOKUP(C2299,[1]StuntDes!$B:$B,[1]StuntDes!$C:$C)),"")</f>
        <v/>
      </c>
      <c r="L2299">
        <f t="shared" si="94"/>
        <v>1</v>
      </c>
      <c r="M2299" s="10" t="str">
        <f>IFERROR(_xlfn.XLOOKUP(C2299,[1]StuntDes!$B:$B,[1]StuntDes!$A:$A),"")</f>
        <v/>
      </c>
      <c r="N2299" s="10" t="str">
        <f>IFERROR(_xlfn.XLOOKUP(C2299,[1]ModifierDes!$B:$B,[1]ModifierDes!$A:$A),"")</f>
        <v/>
      </c>
      <c r="O2299" s="10">
        <f>IFERROR(_xlfn.XLOOKUP(C2299,[1]AttributeName!$C:$C,[1]AttributeName!$B:$B),"")</f>
        <v>10501</v>
      </c>
      <c r="P2299" s="10"/>
      <c r="Q2299">
        <v>0.1</v>
      </c>
      <c r="R2299">
        <v>0.13</v>
      </c>
      <c r="S2299" cm="1">
        <f t="array" ref="S2299">IFERROR(_xlfn.SWITCH(L2299,1,_xlfn.XLOOKUP(O2299,[1]AttributeName!$B:$B,[1]AttributeName!$D:$D),2,_xlfn.XLOOKUP(C2299,#REF!,#REF!),3,_xlfn.XLOOKUP(C2299,#REF!,#REF!)),0)</f>
        <v>2</v>
      </c>
      <c r="T2299" cm="1">
        <f t="array" ref="T2299">IFERROR(_xlfn.SWITCH(L2299,1,_xlfn.XLOOKUP(O2299,[1]AttributeName!$B:$B,[1]AttributeName!$E:$E),2,_xlfn.XLOOKUP(C2299,#REF!,#REF!),3,_xlfn.XLOOKUP(C2299,#REF!,#REF!)),0)</f>
        <v>2</v>
      </c>
    </row>
    <row r="2300" customFormat="1" spans="1:20">
      <c r="A2300">
        <f t="shared" si="95"/>
        <v>957</v>
      </c>
      <c r="B2300">
        <v>7</v>
      </c>
      <c r="C2300" s="14" t="s">
        <v>402</v>
      </c>
      <c r="D2300" t="s">
        <v>32</v>
      </c>
      <c r="E2300" s="13" t="s">
        <v>392</v>
      </c>
      <c r="F2300"/>
      <c r="G2300">
        <v>2</v>
      </c>
      <c r="H2300">
        <v>1000</v>
      </c>
      <c r="I2300">
        <v>4</v>
      </c>
      <c r="J2300" cm="1">
        <f t="array" ref="J2300">_xlfn.SWITCH(B2300,1,75,2,61,3,49,4,37,5,25,6,13,7,4,8,1)</f>
        <v>4</v>
      </c>
      <c r="K2300" t="str" cm="1">
        <f t="array" ref="K2300">IFERROR(_xlfn.SWITCH(L2300,2,_xlfn.XLOOKUP(C2300,[1]ModifierDes!$B:$B,[1]ModifierDes!$C:$C),3,_xlfn.XLOOKUP(C2300,[1]StuntDes!$B:$B,[1]StuntDes!$C:$C)),"")</f>
        <v/>
      </c>
      <c r="L2300">
        <f t="shared" si="94"/>
        <v>1</v>
      </c>
      <c r="M2300" s="10" t="str">
        <f>IFERROR(_xlfn.XLOOKUP(C2300,[1]StuntDes!$B:$B,[1]StuntDes!$A:$A),"")</f>
        <v/>
      </c>
      <c r="N2300" s="10" t="str">
        <f>IFERROR(_xlfn.XLOOKUP(C2300,[1]ModifierDes!$B:$B,[1]ModifierDes!$A:$A),"")</f>
        <v/>
      </c>
      <c r="O2300" s="10">
        <f>IFERROR(_xlfn.XLOOKUP(C2300,[1]AttributeName!$C:$C,[1]AttributeName!$B:$B),"")</f>
        <v>10501</v>
      </c>
      <c r="P2300" s="10"/>
      <c r="Q2300">
        <v>0.06</v>
      </c>
      <c r="R2300">
        <v>0.09</v>
      </c>
      <c r="S2300" cm="1">
        <f t="array" ref="S2300">IFERROR(_xlfn.SWITCH(L2300,1,_xlfn.XLOOKUP(O2300,[1]AttributeName!$B:$B,[1]AttributeName!$D:$D),2,_xlfn.XLOOKUP(C2300,#REF!,#REF!),3,_xlfn.XLOOKUP(C2300,#REF!,#REF!)),0)</f>
        <v>2</v>
      </c>
      <c r="T2300" cm="1">
        <f t="array" ref="T2300">IFERROR(_xlfn.SWITCH(L2300,1,_xlfn.XLOOKUP(O2300,[1]AttributeName!$B:$B,[1]AttributeName!$E:$E),2,_xlfn.XLOOKUP(C2300,#REF!,#REF!),3,_xlfn.XLOOKUP(C2300,#REF!,#REF!)),0)</f>
        <v>2</v>
      </c>
    </row>
    <row r="2301" customFormat="1" spans="1:20">
      <c r="A2301">
        <f t="shared" si="95"/>
        <v>957</v>
      </c>
      <c r="B2301">
        <v>8</v>
      </c>
      <c r="C2301" s="14" t="s">
        <v>402</v>
      </c>
      <c r="D2301" t="s">
        <v>32</v>
      </c>
      <c r="E2301" s="13" t="s">
        <v>392</v>
      </c>
      <c r="F2301"/>
      <c r="G2301">
        <v>2</v>
      </c>
      <c r="H2301">
        <v>1000</v>
      </c>
      <c r="I2301">
        <v>4</v>
      </c>
      <c r="J2301" cm="1">
        <f t="array" ref="J2301">_xlfn.SWITCH(B2301,1,75,2,61,3,49,4,37,5,25,6,13,7,4,8,1)</f>
        <v>1</v>
      </c>
      <c r="K2301" t="str" cm="1">
        <f t="array" ref="K2301">IFERROR(_xlfn.SWITCH(L2301,2,_xlfn.XLOOKUP(C2301,[1]ModifierDes!$B:$B,[1]ModifierDes!$C:$C),3,_xlfn.XLOOKUP(C2301,[1]StuntDes!$B:$B,[1]StuntDes!$C:$C)),"")</f>
        <v/>
      </c>
      <c r="L2301">
        <f t="shared" si="94"/>
        <v>1</v>
      </c>
      <c r="M2301" s="10" t="str">
        <f>IFERROR(_xlfn.XLOOKUP(C2301,[1]StuntDes!$B:$B,[1]StuntDes!$A:$A),"")</f>
        <v/>
      </c>
      <c r="N2301" s="10" t="str">
        <f>IFERROR(_xlfn.XLOOKUP(C2301,[1]ModifierDes!$B:$B,[1]ModifierDes!$A:$A),"")</f>
        <v/>
      </c>
      <c r="O2301" s="10">
        <f>IFERROR(_xlfn.XLOOKUP(C2301,[1]AttributeName!$C:$C,[1]AttributeName!$B:$B),"")</f>
        <v>10501</v>
      </c>
      <c r="P2301" s="10"/>
      <c r="Q2301">
        <v>0.02</v>
      </c>
      <c r="R2301">
        <v>0.05</v>
      </c>
      <c r="S2301" cm="1">
        <f t="array" ref="S2301">IFERROR(_xlfn.SWITCH(L2301,1,_xlfn.XLOOKUP(O2301,[1]AttributeName!$B:$B,[1]AttributeName!$D:$D),2,_xlfn.XLOOKUP(C2301,#REF!,#REF!),3,_xlfn.XLOOKUP(C2301,#REF!,#REF!)),0)</f>
        <v>2</v>
      </c>
      <c r="T2301" cm="1">
        <f t="array" ref="T2301">IFERROR(_xlfn.SWITCH(L2301,1,_xlfn.XLOOKUP(O2301,[1]AttributeName!$B:$B,[1]AttributeName!$E:$E),2,_xlfn.XLOOKUP(C2301,#REF!,#REF!),3,_xlfn.XLOOKUP(C2301,#REF!,#REF!)),0)</f>
        <v>2</v>
      </c>
    </row>
    <row r="2302" customFormat="1" spans="1:20">
      <c r="A2302">
        <f t="shared" si="95"/>
        <v>958</v>
      </c>
      <c r="B2302">
        <v>1</v>
      </c>
      <c r="C2302" t="s">
        <v>403</v>
      </c>
      <c r="D2302" t="s">
        <v>32</v>
      </c>
      <c r="E2302" s="13" t="s">
        <v>392</v>
      </c>
      <c r="F2302"/>
      <c r="G2302">
        <v>2</v>
      </c>
      <c r="H2302">
        <v>100</v>
      </c>
      <c r="I2302">
        <v>4</v>
      </c>
      <c r="J2302" cm="1">
        <f t="array" ref="J2302">_xlfn.SWITCH(B2302,1,75,2,61,3,49,4,37,5,25,6,13,7,4,8,1)</f>
        <v>75</v>
      </c>
      <c r="K2302" t="str" cm="1">
        <f t="array" ref="K2302">IFERROR(_xlfn.SWITCH(L2302,2,_xlfn.XLOOKUP(C2302,[1]ModifierDes!$B:$B,[1]ModifierDes!$C:$C),3,_xlfn.XLOOKUP(C2302,[1]StuntDes!$B:$B,[1]StuntDes!$C:$C)),"")</f>
        <v/>
      </c>
      <c r="L2302">
        <f t="shared" si="94"/>
        <v>1</v>
      </c>
      <c r="M2302" s="10" t="str">
        <f>IFERROR(_xlfn.XLOOKUP(C2302,[1]StuntDes!$B:$B,[1]StuntDes!$A:$A),"")</f>
        <v/>
      </c>
      <c r="N2302" s="10" t="str">
        <f>IFERROR(_xlfn.XLOOKUP(C2302,[1]ModifierDes!$B:$B,[1]ModifierDes!$A:$A),"")</f>
        <v/>
      </c>
      <c r="O2302" s="10">
        <f>IFERROR(_xlfn.XLOOKUP(C2302,[1]AttributeName!$C:$C,[1]AttributeName!$B:$B),"")</f>
        <v>10502</v>
      </c>
      <c r="P2302" s="10"/>
      <c r="Q2302">
        <v>0.3</v>
      </c>
      <c r="R2302">
        <v>0.4</v>
      </c>
      <c r="S2302" cm="1">
        <f t="array" ref="S2302">IFERROR(_xlfn.SWITCH(L2302,1,_xlfn.XLOOKUP(O2302,[1]AttributeName!$B:$B,[1]AttributeName!$D:$D),2,_xlfn.XLOOKUP(C2302,#REF!,#REF!),3,_xlfn.XLOOKUP(C2302,#REF!,#REF!)),0)</f>
        <v>2</v>
      </c>
      <c r="T2302" cm="1">
        <f t="array" ref="T2302">IFERROR(_xlfn.SWITCH(L2302,1,_xlfn.XLOOKUP(O2302,[1]AttributeName!$B:$B,[1]AttributeName!$E:$E),2,_xlfn.XLOOKUP(C2302,#REF!,#REF!),3,_xlfn.XLOOKUP(C2302,#REF!,#REF!)),0)</f>
        <v>2</v>
      </c>
    </row>
    <row r="2303" customFormat="1" spans="1:20">
      <c r="A2303">
        <f t="shared" si="95"/>
        <v>958</v>
      </c>
      <c r="B2303">
        <v>2</v>
      </c>
      <c r="C2303" t="s">
        <v>403</v>
      </c>
      <c r="D2303" t="s">
        <v>32</v>
      </c>
      <c r="E2303" s="13" t="s">
        <v>392</v>
      </c>
      <c r="F2303"/>
      <c r="G2303">
        <v>2</v>
      </c>
      <c r="H2303">
        <v>200</v>
      </c>
      <c r="I2303">
        <v>4</v>
      </c>
      <c r="J2303" cm="1">
        <f t="array" ref="J2303">_xlfn.SWITCH(B2303,1,75,2,61,3,49,4,37,5,25,6,13,7,4,8,1)</f>
        <v>61</v>
      </c>
      <c r="K2303" t="str" cm="1">
        <f t="array" ref="K2303">IFERROR(_xlfn.SWITCH(L2303,2,_xlfn.XLOOKUP(C2303,[1]ModifierDes!$B:$B,[1]ModifierDes!$C:$C),3,_xlfn.XLOOKUP(C2303,[1]StuntDes!$B:$B,[1]StuntDes!$C:$C)),"")</f>
        <v/>
      </c>
      <c r="L2303">
        <f t="shared" si="94"/>
        <v>1</v>
      </c>
      <c r="M2303" s="10" t="str">
        <f>IFERROR(_xlfn.XLOOKUP(C2303,[1]StuntDes!$B:$B,[1]StuntDes!$A:$A),"")</f>
        <v/>
      </c>
      <c r="N2303" s="10" t="str">
        <f>IFERROR(_xlfn.XLOOKUP(C2303,[1]ModifierDes!$B:$B,[1]ModifierDes!$A:$A),"")</f>
        <v/>
      </c>
      <c r="O2303" s="10">
        <f>IFERROR(_xlfn.XLOOKUP(C2303,[1]AttributeName!$C:$C,[1]AttributeName!$B:$B),"")</f>
        <v>10502</v>
      </c>
      <c r="P2303" s="10"/>
      <c r="Q2303">
        <v>0.26</v>
      </c>
      <c r="R2303">
        <v>0.29</v>
      </c>
      <c r="S2303" cm="1">
        <f t="array" ref="S2303">IFERROR(_xlfn.SWITCH(L2303,1,_xlfn.XLOOKUP(O2303,[1]AttributeName!$B:$B,[1]AttributeName!$D:$D),2,_xlfn.XLOOKUP(C2303,#REF!,#REF!),3,_xlfn.XLOOKUP(C2303,#REF!,#REF!)),0)</f>
        <v>2</v>
      </c>
      <c r="T2303" cm="1">
        <f t="array" ref="T2303">IFERROR(_xlfn.SWITCH(L2303,1,_xlfn.XLOOKUP(O2303,[1]AttributeName!$B:$B,[1]AttributeName!$E:$E),2,_xlfn.XLOOKUP(C2303,#REF!,#REF!),3,_xlfn.XLOOKUP(C2303,#REF!,#REF!)),0)</f>
        <v>2</v>
      </c>
    </row>
    <row r="2304" customFormat="1" spans="1:20">
      <c r="A2304">
        <f t="shared" si="95"/>
        <v>958</v>
      </c>
      <c r="B2304">
        <v>3</v>
      </c>
      <c r="C2304" t="s">
        <v>403</v>
      </c>
      <c r="D2304" t="s">
        <v>32</v>
      </c>
      <c r="E2304" s="13" t="s">
        <v>392</v>
      </c>
      <c r="F2304"/>
      <c r="G2304">
        <v>2</v>
      </c>
      <c r="H2304">
        <v>500</v>
      </c>
      <c r="I2304">
        <v>4</v>
      </c>
      <c r="J2304" cm="1">
        <f t="array" ref="J2304">_xlfn.SWITCH(B2304,1,75,2,61,3,49,4,37,5,25,6,13,7,4,8,1)</f>
        <v>49</v>
      </c>
      <c r="K2304" t="str" cm="1">
        <f t="array" ref="K2304">IFERROR(_xlfn.SWITCH(L2304,2,_xlfn.XLOOKUP(C2304,[1]ModifierDes!$B:$B,[1]ModifierDes!$C:$C),3,_xlfn.XLOOKUP(C2304,[1]StuntDes!$B:$B,[1]StuntDes!$C:$C)),"")</f>
        <v/>
      </c>
      <c r="L2304">
        <f t="shared" si="94"/>
        <v>1</v>
      </c>
      <c r="M2304" s="10" t="str">
        <f>IFERROR(_xlfn.XLOOKUP(C2304,[1]StuntDes!$B:$B,[1]StuntDes!$A:$A),"")</f>
        <v/>
      </c>
      <c r="N2304" s="10" t="str">
        <f>IFERROR(_xlfn.XLOOKUP(C2304,[1]ModifierDes!$B:$B,[1]ModifierDes!$A:$A),"")</f>
        <v/>
      </c>
      <c r="O2304" s="10">
        <f>IFERROR(_xlfn.XLOOKUP(C2304,[1]AttributeName!$C:$C,[1]AttributeName!$B:$B),"")</f>
        <v>10502</v>
      </c>
      <c r="P2304" s="10"/>
      <c r="Q2304">
        <v>0.22</v>
      </c>
      <c r="R2304">
        <v>0.25</v>
      </c>
      <c r="S2304" cm="1">
        <f t="array" ref="S2304">IFERROR(_xlfn.SWITCH(L2304,1,_xlfn.XLOOKUP(O2304,[1]AttributeName!$B:$B,[1]AttributeName!$D:$D),2,_xlfn.XLOOKUP(C2304,#REF!,#REF!),3,_xlfn.XLOOKUP(C2304,#REF!,#REF!)),0)</f>
        <v>2</v>
      </c>
      <c r="T2304" cm="1">
        <f t="array" ref="T2304">IFERROR(_xlfn.SWITCH(L2304,1,_xlfn.XLOOKUP(O2304,[1]AttributeName!$B:$B,[1]AttributeName!$E:$E),2,_xlfn.XLOOKUP(C2304,#REF!,#REF!),3,_xlfn.XLOOKUP(C2304,#REF!,#REF!)),0)</f>
        <v>2</v>
      </c>
    </row>
    <row r="2305" customFormat="1" spans="1:20">
      <c r="A2305">
        <f t="shared" si="95"/>
        <v>958</v>
      </c>
      <c r="B2305">
        <v>4</v>
      </c>
      <c r="C2305" t="s">
        <v>403</v>
      </c>
      <c r="D2305" t="s">
        <v>32</v>
      </c>
      <c r="E2305" s="13" t="s">
        <v>392</v>
      </c>
      <c r="F2305"/>
      <c r="G2305">
        <v>2</v>
      </c>
      <c r="H2305">
        <v>1000</v>
      </c>
      <c r="I2305">
        <v>4</v>
      </c>
      <c r="J2305" cm="1">
        <f t="array" ref="J2305">_xlfn.SWITCH(B2305,1,75,2,61,3,49,4,37,5,25,6,13,7,4,8,1)</f>
        <v>37</v>
      </c>
      <c r="K2305" t="str" cm="1">
        <f t="array" ref="K2305">IFERROR(_xlfn.SWITCH(L2305,2,_xlfn.XLOOKUP(C2305,[1]ModifierDes!$B:$B,[1]ModifierDes!$C:$C),3,_xlfn.XLOOKUP(C2305,[1]StuntDes!$B:$B,[1]StuntDes!$C:$C)),"")</f>
        <v/>
      </c>
      <c r="L2305">
        <f t="shared" si="94"/>
        <v>1</v>
      </c>
      <c r="M2305" s="10" t="str">
        <f>IFERROR(_xlfn.XLOOKUP(C2305,[1]StuntDes!$B:$B,[1]StuntDes!$A:$A),"")</f>
        <v/>
      </c>
      <c r="N2305" s="10" t="str">
        <f>IFERROR(_xlfn.XLOOKUP(C2305,[1]ModifierDes!$B:$B,[1]ModifierDes!$A:$A),"")</f>
        <v/>
      </c>
      <c r="O2305" s="10">
        <f>IFERROR(_xlfn.XLOOKUP(C2305,[1]AttributeName!$C:$C,[1]AttributeName!$B:$B),"")</f>
        <v>10502</v>
      </c>
      <c r="P2305" s="10"/>
      <c r="Q2305">
        <v>0.18</v>
      </c>
      <c r="R2305">
        <v>0.21</v>
      </c>
      <c r="S2305" cm="1">
        <f t="array" ref="S2305">IFERROR(_xlfn.SWITCH(L2305,1,_xlfn.XLOOKUP(O2305,[1]AttributeName!$B:$B,[1]AttributeName!$D:$D),2,_xlfn.XLOOKUP(C2305,#REF!,#REF!),3,_xlfn.XLOOKUP(C2305,#REF!,#REF!)),0)</f>
        <v>2</v>
      </c>
      <c r="T2305" cm="1">
        <f t="array" ref="T2305">IFERROR(_xlfn.SWITCH(L2305,1,_xlfn.XLOOKUP(O2305,[1]AttributeName!$B:$B,[1]AttributeName!$E:$E),2,_xlfn.XLOOKUP(C2305,#REF!,#REF!),3,_xlfn.XLOOKUP(C2305,#REF!,#REF!)),0)</f>
        <v>2</v>
      </c>
    </row>
    <row r="2306" customFormat="1" spans="1:20">
      <c r="A2306">
        <f t="shared" si="95"/>
        <v>958</v>
      </c>
      <c r="B2306">
        <v>5</v>
      </c>
      <c r="C2306" t="s">
        <v>403</v>
      </c>
      <c r="D2306" t="s">
        <v>32</v>
      </c>
      <c r="E2306" s="13" t="s">
        <v>392</v>
      </c>
      <c r="F2306"/>
      <c r="G2306">
        <v>2</v>
      </c>
      <c r="H2306">
        <v>1000</v>
      </c>
      <c r="I2306">
        <v>4</v>
      </c>
      <c r="J2306" cm="1">
        <f t="array" ref="J2306">_xlfn.SWITCH(B2306,1,75,2,61,3,49,4,37,5,25,6,13,7,4,8,1)</f>
        <v>25</v>
      </c>
      <c r="K2306" t="str" cm="1">
        <f t="array" ref="K2306">IFERROR(_xlfn.SWITCH(L2306,2,_xlfn.XLOOKUP(C2306,[1]ModifierDes!$B:$B,[1]ModifierDes!$C:$C),3,_xlfn.XLOOKUP(C2306,[1]StuntDes!$B:$B,[1]StuntDes!$C:$C)),"")</f>
        <v/>
      </c>
      <c r="L2306">
        <f t="shared" si="94"/>
        <v>1</v>
      </c>
      <c r="M2306" s="10" t="str">
        <f>IFERROR(_xlfn.XLOOKUP(C2306,[1]StuntDes!$B:$B,[1]StuntDes!$A:$A),"")</f>
        <v/>
      </c>
      <c r="N2306" s="10" t="str">
        <f>IFERROR(_xlfn.XLOOKUP(C2306,[1]ModifierDes!$B:$B,[1]ModifierDes!$A:$A),"")</f>
        <v/>
      </c>
      <c r="O2306" s="10">
        <f>IFERROR(_xlfn.XLOOKUP(C2306,[1]AttributeName!$C:$C,[1]AttributeName!$B:$B),"")</f>
        <v>10502</v>
      </c>
      <c r="P2306" s="10"/>
      <c r="Q2306">
        <v>0.14</v>
      </c>
      <c r="R2306">
        <v>0.17</v>
      </c>
      <c r="S2306" cm="1">
        <f t="array" ref="S2306">IFERROR(_xlfn.SWITCH(L2306,1,_xlfn.XLOOKUP(O2306,[1]AttributeName!$B:$B,[1]AttributeName!$D:$D),2,_xlfn.XLOOKUP(C2306,#REF!,#REF!),3,_xlfn.XLOOKUP(C2306,#REF!,#REF!)),0)</f>
        <v>2</v>
      </c>
      <c r="T2306" cm="1">
        <f t="array" ref="T2306">IFERROR(_xlfn.SWITCH(L2306,1,_xlfn.XLOOKUP(O2306,[1]AttributeName!$B:$B,[1]AttributeName!$E:$E),2,_xlfn.XLOOKUP(C2306,#REF!,#REF!),3,_xlfn.XLOOKUP(C2306,#REF!,#REF!)),0)</f>
        <v>2</v>
      </c>
    </row>
    <row r="2307" customFormat="1" spans="1:20">
      <c r="A2307">
        <f t="shared" si="95"/>
        <v>958</v>
      </c>
      <c r="B2307">
        <v>6</v>
      </c>
      <c r="C2307" t="s">
        <v>403</v>
      </c>
      <c r="D2307" t="s">
        <v>32</v>
      </c>
      <c r="E2307" s="13" t="s">
        <v>392</v>
      </c>
      <c r="F2307"/>
      <c r="G2307">
        <v>2</v>
      </c>
      <c r="H2307">
        <v>1000</v>
      </c>
      <c r="I2307">
        <v>4</v>
      </c>
      <c r="J2307" cm="1">
        <f t="array" ref="J2307">_xlfn.SWITCH(B2307,1,75,2,61,3,49,4,37,5,25,6,13,7,4,8,1)</f>
        <v>13</v>
      </c>
      <c r="K2307" t="str" cm="1">
        <f t="array" ref="K2307">IFERROR(_xlfn.SWITCH(L2307,2,_xlfn.XLOOKUP(C2307,[1]ModifierDes!$B:$B,[1]ModifierDes!$C:$C),3,_xlfn.XLOOKUP(C2307,[1]StuntDes!$B:$B,[1]StuntDes!$C:$C)),"")</f>
        <v/>
      </c>
      <c r="L2307">
        <f t="shared" si="94"/>
        <v>1</v>
      </c>
      <c r="M2307" s="10" t="str">
        <f>IFERROR(_xlfn.XLOOKUP(C2307,[1]StuntDes!$B:$B,[1]StuntDes!$A:$A),"")</f>
        <v/>
      </c>
      <c r="N2307" s="10" t="str">
        <f>IFERROR(_xlfn.XLOOKUP(C2307,[1]ModifierDes!$B:$B,[1]ModifierDes!$A:$A),"")</f>
        <v/>
      </c>
      <c r="O2307" s="10">
        <f>IFERROR(_xlfn.XLOOKUP(C2307,[1]AttributeName!$C:$C,[1]AttributeName!$B:$B),"")</f>
        <v>10502</v>
      </c>
      <c r="P2307" s="10"/>
      <c r="Q2307">
        <v>0.1</v>
      </c>
      <c r="R2307">
        <v>0.13</v>
      </c>
      <c r="S2307" cm="1">
        <f t="array" ref="S2307">IFERROR(_xlfn.SWITCH(L2307,1,_xlfn.XLOOKUP(O2307,[1]AttributeName!$B:$B,[1]AttributeName!$D:$D),2,_xlfn.XLOOKUP(C2307,#REF!,#REF!),3,_xlfn.XLOOKUP(C2307,#REF!,#REF!)),0)</f>
        <v>2</v>
      </c>
      <c r="T2307" cm="1">
        <f t="array" ref="T2307">IFERROR(_xlfn.SWITCH(L2307,1,_xlfn.XLOOKUP(O2307,[1]AttributeName!$B:$B,[1]AttributeName!$E:$E),2,_xlfn.XLOOKUP(C2307,#REF!,#REF!),3,_xlfn.XLOOKUP(C2307,#REF!,#REF!)),0)</f>
        <v>2</v>
      </c>
    </row>
    <row r="2308" customFormat="1" spans="1:20">
      <c r="A2308">
        <f t="shared" si="95"/>
        <v>958</v>
      </c>
      <c r="B2308">
        <v>7</v>
      </c>
      <c r="C2308" t="s">
        <v>403</v>
      </c>
      <c r="D2308" t="s">
        <v>32</v>
      </c>
      <c r="E2308" s="13" t="s">
        <v>392</v>
      </c>
      <c r="F2308"/>
      <c r="G2308">
        <v>2</v>
      </c>
      <c r="H2308">
        <v>1000</v>
      </c>
      <c r="I2308">
        <v>4</v>
      </c>
      <c r="J2308" cm="1">
        <f t="array" ref="J2308">_xlfn.SWITCH(B2308,1,75,2,61,3,49,4,37,5,25,6,13,7,4,8,1)</f>
        <v>4</v>
      </c>
      <c r="K2308" t="str" cm="1">
        <f t="array" ref="K2308">IFERROR(_xlfn.SWITCH(L2308,2,_xlfn.XLOOKUP(C2308,[1]ModifierDes!$B:$B,[1]ModifierDes!$C:$C),3,_xlfn.XLOOKUP(C2308,[1]StuntDes!$B:$B,[1]StuntDes!$C:$C)),"")</f>
        <v/>
      </c>
      <c r="L2308">
        <f t="shared" ref="L2308:L2371" si="96">IF(M2308="",IF(N2308="",1,2),3)</f>
        <v>1</v>
      </c>
      <c r="M2308" s="10" t="str">
        <f>IFERROR(_xlfn.XLOOKUP(C2308,[1]StuntDes!$B:$B,[1]StuntDes!$A:$A),"")</f>
        <v/>
      </c>
      <c r="N2308" s="10" t="str">
        <f>IFERROR(_xlfn.XLOOKUP(C2308,[1]ModifierDes!$B:$B,[1]ModifierDes!$A:$A),"")</f>
        <v/>
      </c>
      <c r="O2308" s="10">
        <f>IFERROR(_xlfn.XLOOKUP(C2308,[1]AttributeName!$C:$C,[1]AttributeName!$B:$B),"")</f>
        <v>10502</v>
      </c>
      <c r="P2308" s="10"/>
      <c r="Q2308">
        <v>0.06</v>
      </c>
      <c r="R2308">
        <v>0.09</v>
      </c>
      <c r="S2308" cm="1">
        <f t="array" ref="S2308">IFERROR(_xlfn.SWITCH(L2308,1,_xlfn.XLOOKUP(O2308,[1]AttributeName!$B:$B,[1]AttributeName!$D:$D),2,_xlfn.XLOOKUP(C2308,#REF!,#REF!),3,_xlfn.XLOOKUP(C2308,#REF!,#REF!)),0)</f>
        <v>2</v>
      </c>
      <c r="T2308" cm="1">
        <f t="array" ref="T2308">IFERROR(_xlfn.SWITCH(L2308,1,_xlfn.XLOOKUP(O2308,[1]AttributeName!$B:$B,[1]AttributeName!$E:$E),2,_xlfn.XLOOKUP(C2308,#REF!,#REF!),3,_xlfn.XLOOKUP(C2308,#REF!,#REF!)),0)</f>
        <v>2</v>
      </c>
    </row>
    <row r="2309" customFormat="1" spans="1:20">
      <c r="A2309">
        <f t="shared" si="95"/>
        <v>958</v>
      </c>
      <c r="B2309">
        <v>8</v>
      </c>
      <c r="C2309" t="s">
        <v>403</v>
      </c>
      <c r="D2309" t="s">
        <v>32</v>
      </c>
      <c r="E2309" s="13" t="s">
        <v>392</v>
      </c>
      <c r="F2309"/>
      <c r="G2309">
        <v>2</v>
      </c>
      <c r="H2309">
        <v>1000</v>
      </c>
      <c r="I2309">
        <v>4</v>
      </c>
      <c r="J2309" cm="1">
        <f t="array" ref="J2309">_xlfn.SWITCH(B2309,1,75,2,61,3,49,4,37,5,25,6,13,7,4,8,1)</f>
        <v>1</v>
      </c>
      <c r="K2309" t="str" cm="1">
        <f t="array" ref="K2309">IFERROR(_xlfn.SWITCH(L2309,2,_xlfn.XLOOKUP(C2309,[1]ModifierDes!$B:$B,[1]ModifierDes!$C:$C),3,_xlfn.XLOOKUP(C2309,[1]StuntDes!$B:$B,[1]StuntDes!$C:$C)),"")</f>
        <v/>
      </c>
      <c r="L2309">
        <f t="shared" si="96"/>
        <v>1</v>
      </c>
      <c r="M2309" s="10" t="str">
        <f>IFERROR(_xlfn.XLOOKUP(C2309,[1]StuntDes!$B:$B,[1]StuntDes!$A:$A),"")</f>
        <v/>
      </c>
      <c r="N2309" s="10" t="str">
        <f>IFERROR(_xlfn.XLOOKUP(C2309,[1]ModifierDes!$B:$B,[1]ModifierDes!$A:$A),"")</f>
        <v/>
      </c>
      <c r="O2309" s="10">
        <f>IFERROR(_xlfn.XLOOKUP(C2309,[1]AttributeName!$C:$C,[1]AttributeName!$B:$B),"")</f>
        <v>10502</v>
      </c>
      <c r="P2309" s="10"/>
      <c r="Q2309">
        <v>0.02</v>
      </c>
      <c r="R2309">
        <v>0.05</v>
      </c>
      <c r="S2309" cm="1">
        <f t="array" ref="S2309">IFERROR(_xlfn.SWITCH(L2309,1,_xlfn.XLOOKUP(O2309,[1]AttributeName!$B:$B,[1]AttributeName!$D:$D),2,_xlfn.XLOOKUP(C2309,#REF!,#REF!),3,_xlfn.XLOOKUP(C2309,#REF!,#REF!)),0)</f>
        <v>2</v>
      </c>
      <c r="T2309" cm="1">
        <f t="array" ref="T2309">IFERROR(_xlfn.SWITCH(L2309,1,_xlfn.XLOOKUP(O2309,[1]AttributeName!$B:$B,[1]AttributeName!$E:$E),2,_xlfn.XLOOKUP(C2309,#REF!,#REF!),3,_xlfn.XLOOKUP(C2309,#REF!,#REF!)),0)</f>
        <v>2</v>
      </c>
    </row>
    <row r="2310" customFormat="1" spans="1:20">
      <c r="A2310">
        <f t="shared" si="95"/>
        <v>959</v>
      </c>
      <c r="B2310">
        <v>1</v>
      </c>
      <c r="C2310" s="14" t="s">
        <v>404</v>
      </c>
      <c r="D2310" t="s">
        <v>32</v>
      </c>
      <c r="E2310" s="13" t="s">
        <v>392</v>
      </c>
      <c r="F2310"/>
      <c r="G2310">
        <v>2</v>
      </c>
      <c r="H2310">
        <v>100</v>
      </c>
      <c r="I2310">
        <v>4</v>
      </c>
      <c r="J2310" cm="1">
        <f t="array" ref="J2310">_xlfn.SWITCH(B2310,1,75,2,61,3,49,4,37,5,25,6,13,7,4,8,1)</f>
        <v>75</v>
      </c>
      <c r="K2310" t="str" cm="1">
        <f t="array" ref="K2310">IFERROR(_xlfn.SWITCH(L2310,2,_xlfn.XLOOKUP(C2310,[1]ModifierDes!$B:$B,[1]ModifierDes!$C:$C),3,_xlfn.XLOOKUP(C2310,[1]StuntDes!$B:$B,[1]StuntDes!$C:$C)),"")</f>
        <v/>
      </c>
      <c r="L2310">
        <f t="shared" si="96"/>
        <v>1</v>
      </c>
      <c r="M2310" s="10" t="str">
        <f>IFERROR(_xlfn.XLOOKUP(C2310,[1]StuntDes!$B:$B,[1]StuntDes!$A:$A),"")</f>
        <v/>
      </c>
      <c r="N2310" s="10" t="str">
        <f>IFERROR(_xlfn.XLOOKUP(C2310,[1]ModifierDes!$B:$B,[1]ModifierDes!$A:$A),"")</f>
        <v/>
      </c>
      <c r="O2310" s="10">
        <f>IFERROR(_xlfn.XLOOKUP(C2310,[1]AttributeName!$C:$C,[1]AttributeName!$B:$B),"")</f>
        <v>10503</v>
      </c>
      <c r="P2310" s="10"/>
      <c r="Q2310">
        <v>0.3</v>
      </c>
      <c r="R2310">
        <v>0.4</v>
      </c>
      <c r="S2310" cm="1">
        <f t="array" ref="S2310">IFERROR(_xlfn.SWITCH(L2310,1,_xlfn.XLOOKUP(O2310,[1]AttributeName!$B:$B,[1]AttributeName!$D:$D),2,_xlfn.XLOOKUP(C2310,#REF!,#REF!),3,_xlfn.XLOOKUP(C2310,#REF!,#REF!)),0)</f>
        <v>2</v>
      </c>
      <c r="T2310" cm="1">
        <f t="array" ref="T2310">IFERROR(_xlfn.SWITCH(L2310,1,_xlfn.XLOOKUP(O2310,[1]AttributeName!$B:$B,[1]AttributeName!$E:$E),2,_xlfn.XLOOKUP(C2310,#REF!,#REF!),3,_xlfn.XLOOKUP(C2310,#REF!,#REF!)),0)</f>
        <v>2</v>
      </c>
    </row>
    <row r="2311" customFormat="1" spans="1:20">
      <c r="A2311">
        <f t="shared" si="95"/>
        <v>959</v>
      </c>
      <c r="B2311">
        <v>2</v>
      </c>
      <c r="C2311" s="14" t="s">
        <v>404</v>
      </c>
      <c r="D2311" t="s">
        <v>32</v>
      </c>
      <c r="E2311" s="13" t="s">
        <v>392</v>
      </c>
      <c r="F2311"/>
      <c r="G2311">
        <v>2</v>
      </c>
      <c r="H2311">
        <v>200</v>
      </c>
      <c r="I2311">
        <v>4</v>
      </c>
      <c r="J2311" cm="1">
        <f t="array" ref="J2311">_xlfn.SWITCH(B2311,1,75,2,61,3,49,4,37,5,25,6,13,7,4,8,1)</f>
        <v>61</v>
      </c>
      <c r="K2311" t="str" cm="1">
        <f t="array" ref="K2311">IFERROR(_xlfn.SWITCH(L2311,2,_xlfn.XLOOKUP(C2311,[1]ModifierDes!$B:$B,[1]ModifierDes!$C:$C),3,_xlfn.XLOOKUP(C2311,[1]StuntDes!$B:$B,[1]StuntDes!$C:$C)),"")</f>
        <v/>
      </c>
      <c r="L2311">
        <f t="shared" si="96"/>
        <v>1</v>
      </c>
      <c r="M2311" s="10" t="str">
        <f>IFERROR(_xlfn.XLOOKUP(C2311,[1]StuntDes!$B:$B,[1]StuntDes!$A:$A),"")</f>
        <v/>
      </c>
      <c r="N2311" s="10" t="str">
        <f>IFERROR(_xlfn.XLOOKUP(C2311,[1]ModifierDes!$B:$B,[1]ModifierDes!$A:$A),"")</f>
        <v/>
      </c>
      <c r="O2311" s="10">
        <f>IFERROR(_xlfn.XLOOKUP(C2311,[1]AttributeName!$C:$C,[1]AttributeName!$B:$B),"")</f>
        <v>10503</v>
      </c>
      <c r="P2311" s="10"/>
      <c r="Q2311">
        <v>0.26</v>
      </c>
      <c r="R2311">
        <v>0.29</v>
      </c>
      <c r="S2311" cm="1">
        <f t="array" ref="S2311">IFERROR(_xlfn.SWITCH(L2311,1,_xlfn.XLOOKUP(O2311,[1]AttributeName!$B:$B,[1]AttributeName!$D:$D),2,_xlfn.XLOOKUP(C2311,#REF!,#REF!),3,_xlfn.XLOOKUP(C2311,#REF!,#REF!)),0)</f>
        <v>2</v>
      </c>
      <c r="T2311" cm="1">
        <f t="array" ref="T2311">IFERROR(_xlfn.SWITCH(L2311,1,_xlfn.XLOOKUP(O2311,[1]AttributeName!$B:$B,[1]AttributeName!$E:$E),2,_xlfn.XLOOKUP(C2311,#REF!,#REF!),3,_xlfn.XLOOKUP(C2311,#REF!,#REF!)),0)</f>
        <v>2</v>
      </c>
    </row>
    <row r="2312" customFormat="1" spans="1:20">
      <c r="A2312">
        <f t="shared" si="95"/>
        <v>959</v>
      </c>
      <c r="B2312">
        <v>3</v>
      </c>
      <c r="C2312" s="14" t="s">
        <v>404</v>
      </c>
      <c r="D2312" t="s">
        <v>32</v>
      </c>
      <c r="E2312" s="13" t="s">
        <v>392</v>
      </c>
      <c r="F2312"/>
      <c r="G2312">
        <v>2</v>
      </c>
      <c r="H2312">
        <v>500</v>
      </c>
      <c r="I2312">
        <v>4</v>
      </c>
      <c r="J2312" cm="1">
        <f t="array" ref="J2312">_xlfn.SWITCH(B2312,1,75,2,61,3,49,4,37,5,25,6,13,7,4,8,1)</f>
        <v>49</v>
      </c>
      <c r="K2312" t="str" cm="1">
        <f t="array" ref="K2312">IFERROR(_xlfn.SWITCH(L2312,2,_xlfn.XLOOKUP(C2312,[1]ModifierDes!$B:$B,[1]ModifierDes!$C:$C),3,_xlfn.XLOOKUP(C2312,[1]StuntDes!$B:$B,[1]StuntDes!$C:$C)),"")</f>
        <v/>
      </c>
      <c r="L2312">
        <f t="shared" si="96"/>
        <v>1</v>
      </c>
      <c r="M2312" s="10" t="str">
        <f>IFERROR(_xlfn.XLOOKUP(C2312,[1]StuntDes!$B:$B,[1]StuntDes!$A:$A),"")</f>
        <v/>
      </c>
      <c r="N2312" s="10" t="str">
        <f>IFERROR(_xlfn.XLOOKUP(C2312,[1]ModifierDes!$B:$B,[1]ModifierDes!$A:$A),"")</f>
        <v/>
      </c>
      <c r="O2312" s="10">
        <f>IFERROR(_xlfn.XLOOKUP(C2312,[1]AttributeName!$C:$C,[1]AttributeName!$B:$B),"")</f>
        <v>10503</v>
      </c>
      <c r="P2312" s="10"/>
      <c r="Q2312">
        <v>0.22</v>
      </c>
      <c r="R2312">
        <v>0.25</v>
      </c>
      <c r="S2312" cm="1">
        <f t="array" ref="S2312">IFERROR(_xlfn.SWITCH(L2312,1,_xlfn.XLOOKUP(O2312,[1]AttributeName!$B:$B,[1]AttributeName!$D:$D),2,_xlfn.XLOOKUP(C2312,#REF!,#REF!),3,_xlfn.XLOOKUP(C2312,#REF!,#REF!)),0)</f>
        <v>2</v>
      </c>
      <c r="T2312" cm="1">
        <f t="array" ref="T2312">IFERROR(_xlfn.SWITCH(L2312,1,_xlfn.XLOOKUP(O2312,[1]AttributeName!$B:$B,[1]AttributeName!$E:$E),2,_xlfn.XLOOKUP(C2312,#REF!,#REF!),3,_xlfn.XLOOKUP(C2312,#REF!,#REF!)),0)</f>
        <v>2</v>
      </c>
    </row>
    <row r="2313" customFormat="1" spans="1:20">
      <c r="A2313">
        <f t="shared" si="95"/>
        <v>959</v>
      </c>
      <c r="B2313">
        <v>4</v>
      </c>
      <c r="C2313" s="14" t="s">
        <v>404</v>
      </c>
      <c r="D2313" t="s">
        <v>32</v>
      </c>
      <c r="E2313" s="13" t="s">
        <v>392</v>
      </c>
      <c r="F2313"/>
      <c r="G2313">
        <v>2</v>
      </c>
      <c r="H2313">
        <v>1000</v>
      </c>
      <c r="I2313">
        <v>4</v>
      </c>
      <c r="J2313" cm="1">
        <f t="array" ref="J2313">_xlfn.SWITCH(B2313,1,75,2,61,3,49,4,37,5,25,6,13,7,4,8,1)</f>
        <v>37</v>
      </c>
      <c r="K2313" t="str" cm="1">
        <f t="array" ref="K2313">IFERROR(_xlfn.SWITCH(L2313,2,_xlfn.XLOOKUP(C2313,[1]ModifierDes!$B:$B,[1]ModifierDes!$C:$C),3,_xlfn.XLOOKUP(C2313,[1]StuntDes!$B:$B,[1]StuntDes!$C:$C)),"")</f>
        <v/>
      </c>
      <c r="L2313">
        <f t="shared" si="96"/>
        <v>1</v>
      </c>
      <c r="M2313" s="10" t="str">
        <f>IFERROR(_xlfn.XLOOKUP(C2313,[1]StuntDes!$B:$B,[1]StuntDes!$A:$A),"")</f>
        <v/>
      </c>
      <c r="N2313" s="10" t="str">
        <f>IFERROR(_xlfn.XLOOKUP(C2313,[1]ModifierDes!$B:$B,[1]ModifierDes!$A:$A),"")</f>
        <v/>
      </c>
      <c r="O2313" s="10">
        <f>IFERROR(_xlfn.XLOOKUP(C2313,[1]AttributeName!$C:$C,[1]AttributeName!$B:$B),"")</f>
        <v>10503</v>
      </c>
      <c r="P2313" s="10"/>
      <c r="Q2313">
        <v>0.18</v>
      </c>
      <c r="R2313">
        <v>0.21</v>
      </c>
      <c r="S2313" cm="1">
        <f t="array" ref="S2313">IFERROR(_xlfn.SWITCH(L2313,1,_xlfn.XLOOKUP(O2313,[1]AttributeName!$B:$B,[1]AttributeName!$D:$D),2,_xlfn.XLOOKUP(C2313,#REF!,#REF!),3,_xlfn.XLOOKUP(C2313,#REF!,#REF!)),0)</f>
        <v>2</v>
      </c>
      <c r="T2313" cm="1">
        <f t="array" ref="T2313">IFERROR(_xlfn.SWITCH(L2313,1,_xlfn.XLOOKUP(O2313,[1]AttributeName!$B:$B,[1]AttributeName!$E:$E),2,_xlfn.XLOOKUP(C2313,#REF!,#REF!),3,_xlfn.XLOOKUP(C2313,#REF!,#REF!)),0)</f>
        <v>2</v>
      </c>
    </row>
    <row r="2314" customFormat="1" spans="1:20">
      <c r="A2314">
        <f t="shared" si="95"/>
        <v>959</v>
      </c>
      <c r="B2314">
        <v>5</v>
      </c>
      <c r="C2314" s="14" t="s">
        <v>404</v>
      </c>
      <c r="D2314" t="s">
        <v>32</v>
      </c>
      <c r="E2314" s="13" t="s">
        <v>392</v>
      </c>
      <c r="F2314"/>
      <c r="G2314">
        <v>2</v>
      </c>
      <c r="H2314">
        <v>1000</v>
      </c>
      <c r="I2314">
        <v>4</v>
      </c>
      <c r="J2314" cm="1">
        <f t="array" ref="J2314">_xlfn.SWITCH(B2314,1,75,2,61,3,49,4,37,5,25,6,13,7,4,8,1)</f>
        <v>25</v>
      </c>
      <c r="K2314" t="str" cm="1">
        <f t="array" ref="K2314">IFERROR(_xlfn.SWITCH(L2314,2,_xlfn.XLOOKUP(C2314,[1]ModifierDes!$B:$B,[1]ModifierDes!$C:$C),3,_xlfn.XLOOKUP(C2314,[1]StuntDes!$B:$B,[1]StuntDes!$C:$C)),"")</f>
        <v/>
      </c>
      <c r="L2314">
        <f t="shared" si="96"/>
        <v>1</v>
      </c>
      <c r="M2314" s="10" t="str">
        <f>IFERROR(_xlfn.XLOOKUP(C2314,[1]StuntDes!$B:$B,[1]StuntDes!$A:$A),"")</f>
        <v/>
      </c>
      <c r="N2314" s="10" t="str">
        <f>IFERROR(_xlfn.XLOOKUP(C2314,[1]ModifierDes!$B:$B,[1]ModifierDes!$A:$A),"")</f>
        <v/>
      </c>
      <c r="O2314" s="10">
        <f>IFERROR(_xlfn.XLOOKUP(C2314,[1]AttributeName!$C:$C,[1]AttributeName!$B:$B),"")</f>
        <v>10503</v>
      </c>
      <c r="P2314" s="10"/>
      <c r="Q2314">
        <v>0.14</v>
      </c>
      <c r="R2314">
        <v>0.17</v>
      </c>
      <c r="S2314" cm="1">
        <f t="array" ref="S2314">IFERROR(_xlfn.SWITCH(L2314,1,_xlfn.XLOOKUP(O2314,[1]AttributeName!$B:$B,[1]AttributeName!$D:$D),2,_xlfn.XLOOKUP(C2314,#REF!,#REF!),3,_xlfn.XLOOKUP(C2314,#REF!,#REF!)),0)</f>
        <v>2</v>
      </c>
      <c r="T2314" cm="1">
        <f t="array" ref="T2314">IFERROR(_xlfn.SWITCH(L2314,1,_xlfn.XLOOKUP(O2314,[1]AttributeName!$B:$B,[1]AttributeName!$E:$E),2,_xlfn.XLOOKUP(C2314,#REF!,#REF!),3,_xlfn.XLOOKUP(C2314,#REF!,#REF!)),0)</f>
        <v>2</v>
      </c>
    </row>
    <row r="2315" customFormat="1" spans="1:20">
      <c r="A2315">
        <f t="shared" si="95"/>
        <v>959</v>
      </c>
      <c r="B2315">
        <v>6</v>
      </c>
      <c r="C2315" s="14" t="s">
        <v>404</v>
      </c>
      <c r="D2315" t="s">
        <v>32</v>
      </c>
      <c r="E2315" s="13" t="s">
        <v>392</v>
      </c>
      <c r="F2315"/>
      <c r="G2315">
        <v>2</v>
      </c>
      <c r="H2315">
        <v>1000</v>
      </c>
      <c r="I2315">
        <v>4</v>
      </c>
      <c r="J2315" cm="1">
        <f t="array" ref="J2315">_xlfn.SWITCH(B2315,1,75,2,61,3,49,4,37,5,25,6,13,7,4,8,1)</f>
        <v>13</v>
      </c>
      <c r="K2315" t="str" cm="1">
        <f t="array" ref="K2315">IFERROR(_xlfn.SWITCH(L2315,2,_xlfn.XLOOKUP(C2315,[1]ModifierDes!$B:$B,[1]ModifierDes!$C:$C),3,_xlfn.XLOOKUP(C2315,[1]StuntDes!$B:$B,[1]StuntDes!$C:$C)),"")</f>
        <v/>
      </c>
      <c r="L2315">
        <f t="shared" si="96"/>
        <v>1</v>
      </c>
      <c r="M2315" s="10" t="str">
        <f>IFERROR(_xlfn.XLOOKUP(C2315,[1]StuntDes!$B:$B,[1]StuntDes!$A:$A),"")</f>
        <v/>
      </c>
      <c r="N2315" s="10" t="str">
        <f>IFERROR(_xlfn.XLOOKUP(C2315,[1]ModifierDes!$B:$B,[1]ModifierDes!$A:$A),"")</f>
        <v/>
      </c>
      <c r="O2315" s="10">
        <f>IFERROR(_xlfn.XLOOKUP(C2315,[1]AttributeName!$C:$C,[1]AttributeName!$B:$B),"")</f>
        <v>10503</v>
      </c>
      <c r="P2315" s="10"/>
      <c r="Q2315">
        <v>0.1</v>
      </c>
      <c r="R2315">
        <v>0.13</v>
      </c>
      <c r="S2315" cm="1">
        <f t="array" ref="S2315">IFERROR(_xlfn.SWITCH(L2315,1,_xlfn.XLOOKUP(O2315,[1]AttributeName!$B:$B,[1]AttributeName!$D:$D),2,_xlfn.XLOOKUP(C2315,#REF!,#REF!),3,_xlfn.XLOOKUP(C2315,#REF!,#REF!)),0)</f>
        <v>2</v>
      </c>
      <c r="T2315" cm="1">
        <f t="array" ref="T2315">IFERROR(_xlfn.SWITCH(L2315,1,_xlfn.XLOOKUP(O2315,[1]AttributeName!$B:$B,[1]AttributeName!$E:$E),2,_xlfn.XLOOKUP(C2315,#REF!,#REF!),3,_xlfn.XLOOKUP(C2315,#REF!,#REF!)),0)</f>
        <v>2</v>
      </c>
    </row>
    <row r="2316" customFormat="1" spans="1:20">
      <c r="A2316">
        <f t="shared" si="95"/>
        <v>959</v>
      </c>
      <c r="B2316">
        <v>7</v>
      </c>
      <c r="C2316" s="14" t="s">
        <v>404</v>
      </c>
      <c r="D2316" t="s">
        <v>32</v>
      </c>
      <c r="E2316" s="13" t="s">
        <v>392</v>
      </c>
      <c r="F2316"/>
      <c r="G2316">
        <v>2</v>
      </c>
      <c r="H2316">
        <v>1000</v>
      </c>
      <c r="I2316">
        <v>4</v>
      </c>
      <c r="J2316" cm="1">
        <f t="array" ref="J2316">_xlfn.SWITCH(B2316,1,75,2,61,3,49,4,37,5,25,6,13,7,4,8,1)</f>
        <v>4</v>
      </c>
      <c r="K2316" t="str" cm="1">
        <f t="array" ref="K2316">IFERROR(_xlfn.SWITCH(L2316,2,_xlfn.XLOOKUP(C2316,[1]ModifierDes!$B:$B,[1]ModifierDes!$C:$C),3,_xlfn.XLOOKUP(C2316,[1]StuntDes!$B:$B,[1]StuntDes!$C:$C)),"")</f>
        <v/>
      </c>
      <c r="L2316">
        <f t="shared" si="96"/>
        <v>1</v>
      </c>
      <c r="M2316" s="10" t="str">
        <f>IFERROR(_xlfn.XLOOKUP(C2316,[1]StuntDes!$B:$B,[1]StuntDes!$A:$A),"")</f>
        <v/>
      </c>
      <c r="N2316" s="10" t="str">
        <f>IFERROR(_xlfn.XLOOKUP(C2316,[1]ModifierDes!$B:$B,[1]ModifierDes!$A:$A),"")</f>
        <v/>
      </c>
      <c r="O2316" s="10">
        <f>IFERROR(_xlfn.XLOOKUP(C2316,[1]AttributeName!$C:$C,[1]AttributeName!$B:$B),"")</f>
        <v>10503</v>
      </c>
      <c r="P2316" s="10"/>
      <c r="Q2316">
        <v>0.06</v>
      </c>
      <c r="R2316">
        <v>0.09</v>
      </c>
      <c r="S2316" cm="1">
        <f t="array" ref="S2316">IFERROR(_xlfn.SWITCH(L2316,1,_xlfn.XLOOKUP(O2316,[1]AttributeName!$B:$B,[1]AttributeName!$D:$D),2,_xlfn.XLOOKUP(C2316,#REF!,#REF!),3,_xlfn.XLOOKUP(C2316,#REF!,#REF!)),0)</f>
        <v>2</v>
      </c>
      <c r="T2316" cm="1">
        <f t="array" ref="T2316">IFERROR(_xlfn.SWITCH(L2316,1,_xlfn.XLOOKUP(O2316,[1]AttributeName!$B:$B,[1]AttributeName!$E:$E),2,_xlfn.XLOOKUP(C2316,#REF!,#REF!),3,_xlfn.XLOOKUP(C2316,#REF!,#REF!)),0)</f>
        <v>2</v>
      </c>
    </row>
    <row r="2317" customFormat="1" spans="1:20">
      <c r="A2317">
        <f t="shared" si="95"/>
        <v>959</v>
      </c>
      <c r="B2317">
        <v>8</v>
      </c>
      <c r="C2317" s="14" t="s">
        <v>404</v>
      </c>
      <c r="D2317" t="s">
        <v>32</v>
      </c>
      <c r="E2317" s="13" t="s">
        <v>392</v>
      </c>
      <c r="F2317"/>
      <c r="G2317">
        <v>2</v>
      </c>
      <c r="H2317">
        <v>1000</v>
      </c>
      <c r="I2317">
        <v>4</v>
      </c>
      <c r="J2317" cm="1">
        <f t="array" ref="J2317">_xlfn.SWITCH(B2317,1,75,2,61,3,49,4,37,5,25,6,13,7,4,8,1)</f>
        <v>1</v>
      </c>
      <c r="K2317" t="str" cm="1">
        <f t="array" ref="K2317">IFERROR(_xlfn.SWITCH(L2317,2,_xlfn.XLOOKUP(C2317,[1]ModifierDes!$B:$B,[1]ModifierDes!$C:$C),3,_xlfn.XLOOKUP(C2317,[1]StuntDes!$B:$B,[1]StuntDes!$C:$C)),"")</f>
        <v/>
      </c>
      <c r="L2317">
        <f t="shared" si="96"/>
        <v>1</v>
      </c>
      <c r="M2317" s="10" t="str">
        <f>IFERROR(_xlfn.XLOOKUP(C2317,[1]StuntDes!$B:$B,[1]StuntDes!$A:$A),"")</f>
        <v/>
      </c>
      <c r="N2317" s="10" t="str">
        <f>IFERROR(_xlfn.XLOOKUP(C2317,[1]ModifierDes!$B:$B,[1]ModifierDes!$A:$A),"")</f>
        <v/>
      </c>
      <c r="O2317" s="10">
        <f>IFERROR(_xlfn.XLOOKUP(C2317,[1]AttributeName!$C:$C,[1]AttributeName!$B:$B),"")</f>
        <v>10503</v>
      </c>
      <c r="P2317" s="10"/>
      <c r="Q2317">
        <v>0.02</v>
      </c>
      <c r="R2317">
        <v>0.05</v>
      </c>
      <c r="S2317" cm="1">
        <f t="array" ref="S2317">IFERROR(_xlfn.SWITCH(L2317,1,_xlfn.XLOOKUP(O2317,[1]AttributeName!$B:$B,[1]AttributeName!$D:$D),2,_xlfn.XLOOKUP(C2317,#REF!,#REF!),3,_xlfn.XLOOKUP(C2317,#REF!,#REF!)),0)</f>
        <v>2</v>
      </c>
      <c r="T2317" cm="1">
        <f t="array" ref="T2317">IFERROR(_xlfn.SWITCH(L2317,1,_xlfn.XLOOKUP(O2317,[1]AttributeName!$B:$B,[1]AttributeName!$E:$E),2,_xlfn.XLOOKUP(C2317,#REF!,#REF!),3,_xlfn.XLOOKUP(C2317,#REF!,#REF!)),0)</f>
        <v>2</v>
      </c>
    </row>
    <row r="2318" customFormat="1" spans="1:20">
      <c r="A2318">
        <f t="shared" si="95"/>
        <v>960</v>
      </c>
      <c r="B2318">
        <v>1</v>
      </c>
      <c r="C2318" s="14" t="s">
        <v>405</v>
      </c>
      <c r="D2318" t="s">
        <v>32</v>
      </c>
      <c r="E2318" s="13" t="s">
        <v>392</v>
      </c>
      <c r="F2318"/>
      <c r="G2318">
        <v>2</v>
      </c>
      <c r="H2318">
        <v>100</v>
      </c>
      <c r="I2318">
        <v>4</v>
      </c>
      <c r="J2318" cm="1">
        <f t="array" ref="J2318">_xlfn.SWITCH(B2318,1,75,2,61,3,49,4,37,5,25,6,13,7,4,8,1)</f>
        <v>75</v>
      </c>
      <c r="K2318" t="str" cm="1">
        <f t="array" ref="K2318">IFERROR(_xlfn.SWITCH(L2318,2,_xlfn.XLOOKUP(C2318,[1]ModifierDes!$B:$B,[1]ModifierDes!$C:$C),3,_xlfn.XLOOKUP(C2318,[1]StuntDes!$B:$B,[1]StuntDes!$C:$C)),"")</f>
        <v/>
      </c>
      <c r="L2318">
        <f t="shared" si="96"/>
        <v>1</v>
      </c>
      <c r="M2318" s="10" t="str">
        <f>IFERROR(_xlfn.XLOOKUP(C2318,[1]StuntDes!$B:$B,[1]StuntDes!$A:$A),"")</f>
        <v/>
      </c>
      <c r="N2318" s="10" t="str">
        <f>IFERROR(_xlfn.XLOOKUP(C2318,[1]ModifierDes!$B:$B,[1]ModifierDes!$A:$A),"")</f>
        <v/>
      </c>
      <c r="O2318" s="10">
        <f>IFERROR(_xlfn.XLOOKUP(C2318,[1]AttributeName!$C:$C,[1]AttributeName!$B:$B),"")</f>
        <v>10504</v>
      </c>
      <c r="P2318" s="10"/>
      <c r="Q2318">
        <v>0.3</v>
      </c>
      <c r="R2318">
        <v>0.4</v>
      </c>
      <c r="S2318" cm="1">
        <f t="array" ref="S2318">IFERROR(_xlfn.SWITCH(L2318,1,_xlfn.XLOOKUP(O2318,[1]AttributeName!$B:$B,[1]AttributeName!$D:$D),2,_xlfn.XLOOKUP(C2318,#REF!,#REF!),3,_xlfn.XLOOKUP(C2318,#REF!,#REF!)),0)</f>
        <v>2</v>
      </c>
      <c r="T2318" cm="1">
        <f t="array" ref="T2318">IFERROR(_xlfn.SWITCH(L2318,1,_xlfn.XLOOKUP(O2318,[1]AttributeName!$B:$B,[1]AttributeName!$E:$E),2,_xlfn.XLOOKUP(C2318,#REF!,#REF!),3,_xlfn.XLOOKUP(C2318,#REF!,#REF!)),0)</f>
        <v>2</v>
      </c>
    </row>
    <row r="2319" customFormat="1" spans="1:20">
      <c r="A2319">
        <f t="shared" si="95"/>
        <v>960</v>
      </c>
      <c r="B2319">
        <v>2</v>
      </c>
      <c r="C2319" s="14" t="s">
        <v>405</v>
      </c>
      <c r="D2319" t="s">
        <v>32</v>
      </c>
      <c r="E2319" s="13" t="s">
        <v>392</v>
      </c>
      <c r="F2319"/>
      <c r="G2319">
        <v>2</v>
      </c>
      <c r="H2319">
        <v>200</v>
      </c>
      <c r="I2319">
        <v>4</v>
      </c>
      <c r="J2319" cm="1">
        <f t="array" ref="J2319">_xlfn.SWITCH(B2319,1,75,2,61,3,49,4,37,5,25,6,13,7,4,8,1)</f>
        <v>61</v>
      </c>
      <c r="K2319" t="str" cm="1">
        <f t="array" ref="K2319">IFERROR(_xlfn.SWITCH(L2319,2,_xlfn.XLOOKUP(C2319,[1]ModifierDes!$B:$B,[1]ModifierDes!$C:$C),3,_xlfn.XLOOKUP(C2319,[1]StuntDes!$B:$B,[1]StuntDes!$C:$C)),"")</f>
        <v/>
      </c>
      <c r="L2319">
        <f t="shared" si="96"/>
        <v>1</v>
      </c>
      <c r="M2319" s="10" t="str">
        <f>IFERROR(_xlfn.XLOOKUP(C2319,[1]StuntDes!$B:$B,[1]StuntDes!$A:$A),"")</f>
        <v/>
      </c>
      <c r="N2319" s="10" t="str">
        <f>IFERROR(_xlfn.XLOOKUP(C2319,[1]ModifierDes!$B:$B,[1]ModifierDes!$A:$A),"")</f>
        <v/>
      </c>
      <c r="O2319" s="10">
        <f>IFERROR(_xlfn.XLOOKUP(C2319,[1]AttributeName!$C:$C,[1]AttributeName!$B:$B),"")</f>
        <v>10504</v>
      </c>
      <c r="P2319" s="10"/>
      <c r="Q2319">
        <v>0.26</v>
      </c>
      <c r="R2319">
        <v>0.29</v>
      </c>
      <c r="S2319" cm="1">
        <f t="array" ref="S2319">IFERROR(_xlfn.SWITCH(L2319,1,_xlfn.XLOOKUP(O2319,[1]AttributeName!$B:$B,[1]AttributeName!$D:$D),2,_xlfn.XLOOKUP(C2319,#REF!,#REF!),3,_xlfn.XLOOKUP(C2319,#REF!,#REF!)),0)</f>
        <v>2</v>
      </c>
      <c r="T2319" cm="1">
        <f t="array" ref="T2319">IFERROR(_xlfn.SWITCH(L2319,1,_xlfn.XLOOKUP(O2319,[1]AttributeName!$B:$B,[1]AttributeName!$E:$E),2,_xlfn.XLOOKUP(C2319,#REF!,#REF!),3,_xlfn.XLOOKUP(C2319,#REF!,#REF!)),0)</f>
        <v>2</v>
      </c>
    </row>
    <row r="2320" customFormat="1" spans="1:20">
      <c r="A2320">
        <f t="shared" si="95"/>
        <v>960</v>
      </c>
      <c r="B2320">
        <v>3</v>
      </c>
      <c r="C2320" s="14" t="s">
        <v>405</v>
      </c>
      <c r="D2320" t="s">
        <v>32</v>
      </c>
      <c r="E2320" s="13" t="s">
        <v>392</v>
      </c>
      <c r="F2320"/>
      <c r="G2320">
        <v>2</v>
      </c>
      <c r="H2320">
        <v>500</v>
      </c>
      <c r="I2320">
        <v>4</v>
      </c>
      <c r="J2320" cm="1">
        <f t="array" ref="J2320">_xlfn.SWITCH(B2320,1,75,2,61,3,49,4,37,5,25,6,13,7,4,8,1)</f>
        <v>49</v>
      </c>
      <c r="K2320" t="str" cm="1">
        <f t="array" ref="K2320">IFERROR(_xlfn.SWITCH(L2320,2,_xlfn.XLOOKUP(C2320,[1]ModifierDes!$B:$B,[1]ModifierDes!$C:$C),3,_xlfn.XLOOKUP(C2320,[1]StuntDes!$B:$B,[1]StuntDes!$C:$C)),"")</f>
        <v/>
      </c>
      <c r="L2320">
        <f t="shared" si="96"/>
        <v>1</v>
      </c>
      <c r="M2320" s="10" t="str">
        <f>IFERROR(_xlfn.XLOOKUP(C2320,[1]StuntDes!$B:$B,[1]StuntDes!$A:$A),"")</f>
        <v/>
      </c>
      <c r="N2320" s="10" t="str">
        <f>IFERROR(_xlfn.XLOOKUP(C2320,[1]ModifierDes!$B:$B,[1]ModifierDes!$A:$A),"")</f>
        <v/>
      </c>
      <c r="O2320" s="10">
        <f>IFERROR(_xlfn.XLOOKUP(C2320,[1]AttributeName!$C:$C,[1]AttributeName!$B:$B),"")</f>
        <v>10504</v>
      </c>
      <c r="P2320" s="10"/>
      <c r="Q2320">
        <v>0.22</v>
      </c>
      <c r="R2320">
        <v>0.25</v>
      </c>
      <c r="S2320" cm="1">
        <f t="array" ref="S2320">IFERROR(_xlfn.SWITCH(L2320,1,_xlfn.XLOOKUP(O2320,[1]AttributeName!$B:$B,[1]AttributeName!$D:$D),2,_xlfn.XLOOKUP(C2320,#REF!,#REF!),3,_xlfn.XLOOKUP(C2320,#REF!,#REF!)),0)</f>
        <v>2</v>
      </c>
      <c r="T2320" cm="1">
        <f t="array" ref="T2320">IFERROR(_xlfn.SWITCH(L2320,1,_xlfn.XLOOKUP(O2320,[1]AttributeName!$B:$B,[1]AttributeName!$E:$E),2,_xlfn.XLOOKUP(C2320,#REF!,#REF!),3,_xlfn.XLOOKUP(C2320,#REF!,#REF!)),0)</f>
        <v>2</v>
      </c>
    </row>
    <row r="2321" customFormat="1" spans="1:20">
      <c r="A2321">
        <f t="shared" si="95"/>
        <v>960</v>
      </c>
      <c r="B2321">
        <v>4</v>
      </c>
      <c r="C2321" s="14" t="s">
        <v>405</v>
      </c>
      <c r="D2321" t="s">
        <v>32</v>
      </c>
      <c r="E2321" s="13" t="s">
        <v>392</v>
      </c>
      <c r="F2321"/>
      <c r="G2321">
        <v>2</v>
      </c>
      <c r="H2321">
        <v>1000</v>
      </c>
      <c r="I2321">
        <v>4</v>
      </c>
      <c r="J2321" cm="1">
        <f t="array" ref="J2321">_xlfn.SWITCH(B2321,1,75,2,61,3,49,4,37,5,25,6,13,7,4,8,1)</f>
        <v>37</v>
      </c>
      <c r="K2321" t="str" cm="1">
        <f t="array" ref="K2321">IFERROR(_xlfn.SWITCH(L2321,2,_xlfn.XLOOKUP(C2321,[1]ModifierDes!$B:$B,[1]ModifierDes!$C:$C),3,_xlfn.XLOOKUP(C2321,[1]StuntDes!$B:$B,[1]StuntDes!$C:$C)),"")</f>
        <v/>
      </c>
      <c r="L2321">
        <f t="shared" si="96"/>
        <v>1</v>
      </c>
      <c r="M2321" s="10" t="str">
        <f>IFERROR(_xlfn.XLOOKUP(C2321,[1]StuntDes!$B:$B,[1]StuntDes!$A:$A),"")</f>
        <v/>
      </c>
      <c r="N2321" s="10" t="str">
        <f>IFERROR(_xlfn.XLOOKUP(C2321,[1]ModifierDes!$B:$B,[1]ModifierDes!$A:$A),"")</f>
        <v/>
      </c>
      <c r="O2321" s="10">
        <f>IFERROR(_xlfn.XLOOKUP(C2321,[1]AttributeName!$C:$C,[1]AttributeName!$B:$B),"")</f>
        <v>10504</v>
      </c>
      <c r="P2321" s="10"/>
      <c r="Q2321">
        <v>0.18</v>
      </c>
      <c r="R2321">
        <v>0.21</v>
      </c>
      <c r="S2321" cm="1">
        <f t="array" ref="S2321">IFERROR(_xlfn.SWITCH(L2321,1,_xlfn.XLOOKUP(O2321,[1]AttributeName!$B:$B,[1]AttributeName!$D:$D),2,_xlfn.XLOOKUP(C2321,#REF!,#REF!),3,_xlfn.XLOOKUP(C2321,#REF!,#REF!)),0)</f>
        <v>2</v>
      </c>
      <c r="T2321" cm="1">
        <f t="array" ref="T2321">IFERROR(_xlfn.SWITCH(L2321,1,_xlfn.XLOOKUP(O2321,[1]AttributeName!$B:$B,[1]AttributeName!$E:$E),2,_xlfn.XLOOKUP(C2321,#REF!,#REF!),3,_xlfn.XLOOKUP(C2321,#REF!,#REF!)),0)</f>
        <v>2</v>
      </c>
    </row>
    <row r="2322" customFormat="1" spans="1:20">
      <c r="A2322">
        <f t="shared" si="95"/>
        <v>960</v>
      </c>
      <c r="B2322">
        <v>5</v>
      </c>
      <c r="C2322" s="14" t="s">
        <v>405</v>
      </c>
      <c r="D2322" t="s">
        <v>32</v>
      </c>
      <c r="E2322" s="13" t="s">
        <v>392</v>
      </c>
      <c r="F2322"/>
      <c r="G2322">
        <v>2</v>
      </c>
      <c r="H2322">
        <v>1000</v>
      </c>
      <c r="I2322">
        <v>4</v>
      </c>
      <c r="J2322" cm="1">
        <f t="array" ref="J2322">_xlfn.SWITCH(B2322,1,75,2,61,3,49,4,37,5,25,6,13,7,4,8,1)</f>
        <v>25</v>
      </c>
      <c r="K2322" t="str" cm="1">
        <f t="array" ref="K2322">IFERROR(_xlfn.SWITCH(L2322,2,_xlfn.XLOOKUP(C2322,[1]ModifierDes!$B:$B,[1]ModifierDes!$C:$C),3,_xlfn.XLOOKUP(C2322,[1]StuntDes!$B:$B,[1]StuntDes!$C:$C)),"")</f>
        <v/>
      </c>
      <c r="L2322">
        <f t="shared" si="96"/>
        <v>1</v>
      </c>
      <c r="M2322" s="10" t="str">
        <f>IFERROR(_xlfn.XLOOKUP(C2322,[1]StuntDes!$B:$B,[1]StuntDes!$A:$A),"")</f>
        <v/>
      </c>
      <c r="N2322" s="10" t="str">
        <f>IFERROR(_xlfn.XLOOKUP(C2322,[1]ModifierDes!$B:$B,[1]ModifierDes!$A:$A),"")</f>
        <v/>
      </c>
      <c r="O2322" s="10">
        <f>IFERROR(_xlfn.XLOOKUP(C2322,[1]AttributeName!$C:$C,[1]AttributeName!$B:$B),"")</f>
        <v>10504</v>
      </c>
      <c r="P2322" s="10"/>
      <c r="Q2322">
        <v>0.14</v>
      </c>
      <c r="R2322">
        <v>0.17</v>
      </c>
      <c r="S2322" cm="1">
        <f t="array" ref="S2322">IFERROR(_xlfn.SWITCH(L2322,1,_xlfn.XLOOKUP(O2322,[1]AttributeName!$B:$B,[1]AttributeName!$D:$D),2,_xlfn.XLOOKUP(C2322,#REF!,#REF!),3,_xlfn.XLOOKUP(C2322,#REF!,#REF!)),0)</f>
        <v>2</v>
      </c>
      <c r="T2322" cm="1">
        <f t="array" ref="T2322">IFERROR(_xlfn.SWITCH(L2322,1,_xlfn.XLOOKUP(O2322,[1]AttributeName!$B:$B,[1]AttributeName!$E:$E),2,_xlfn.XLOOKUP(C2322,#REF!,#REF!),3,_xlfn.XLOOKUP(C2322,#REF!,#REF!)),0)</f>
        <v>2</v>
      </c>
    </row>
    <row r="2323" customFormat="1" spans="1:20">
      <c r="A2323">
        <f t="shared" si="95"/>
        <v>960</v>
      </c>
      <c r="B2323">
        <v>6</v>
      </c>
      <c r="C2323" s="14" t="s">
        <v>405</v>
      </c>
      <c r="D2323" t="s">
        <v>32</v>
      </c>
      <c r="E2323" s="13" t="s">
        <v>392</v>
      </c>
      <c r="F2323"/>
      <c r="G2323">
        <v>2</v>
      </c>
      <c r="H2323">
        <v>1000</v>
      </c>
      <c r="I2323">
        <v>4</v>
      </c>
      <c r="J2323" cm="1">
        <f t="array" ref="J2323">_xlfn.SWITCH(B2323,1,75,2,61,3,49,4,37,5,25,6,13,7,4,8,1)</f>
        <v>13</v>
      </c>
      <c r="K2323" t="str" cm="1">
        <f t="array" ref="K2323">IFERROR(_xlfn.SWITCH(L2323,2,_xlfn.XLOOKUP(C2323,[1]ModifierDes!$B:$B,[1]ModifierDes!$C:$C),3,_xlfn.XLOOKUP(C2323,[1]StuntDes!$B:$B,[1]StuntDes!$C:$C)),"")</f>
        <v/>
      </c>
      <c r="L2323">
        <f t="shared" si="96"/>
        <v>1</v>
      </c>
      <c r="M2323" s="10" t="str">
        <f>IFERROR(_xlfn.XLOOKUP(C2323,[1]StuntDes!$B:$B,[1]StuntDes!$A:$A),"")</f>
        <v/>
      </c>
      <c r="N2323" s="10" t="str">
        <f>IFERROR(_xlfn.XLOOKUP(C2323,[1]ModifierDes!$B:$B,[1]ModifierDes!$A:$A),"")</f>
        <v/>
      </c>
      <c r="O2323" s="10">
        <f>IFERROR(_xlfn.XLOOKUP(C2323,[1]AttributeName!$C:$C,[1]AttributeName!$B:$B),"")</f>
        <v>10504</v>
      </c>
      <c r="P2323" s="10"/>
      <c r="Q2323">
        <v>0.1</v>
      </c>
      <c r="R2323">
        <v>0.13</v>
      </c>
      <c r="S2323" cm="1">
        <f t="array" ref="S2323">IFERROR(_xlfn.SWITCH(L2323,1,_xlfn.XLOOKUP(O2323,[1]AttributeName!$B:$B,[1]AttributeName!$D:$D),2,_xlfn.XLOOKUP(C2323,#REF!,#REF!),3,_xlfn.XLOOKUP(C2323,#REF!,#REF!)),0)</f>
        <v>2</v>
      </c>
      <c r="T2323" cm="1">
        <f t="array" ref="T2323">IFERROR(_xlfn.SWITCH(L2323,1,_xlfn.XLOOKUP(O2323,[1]AttributeName!$B:$B,[1]AttributeName!$E:$E),2,_xlfn.XLOOKUP(C2323,#REF!,#REF!),3,_xlfn.XLOOKUP(C2323,#REF!,#REF!)),0)</f>
        <v>2</v>
      </c>
    </row>
    <row r="2324" customFormat="1" spans="1:20">
      <c r="A2324">
        <f t="shared" si="95"/>
        <v>960</v>
      </c>
      <c r="B2324">
        <v>7</v>
      </c>
      <c r="C2324" s="14" t="s">
        <v>405</v>
      </c>
      <c r="D2324" t="s">
        <v>32</v>
      </c>
      <c r="E2324" s="13" t="s">
        <v>392</v>
      </c>
      <c r="F2324"/>
      <c r="G2324">
        <v>2</v>
      </c>
      <c r="H2324">
        <v>1000</v>
      </c>
      <c r="I2324">
        <v>4</v>
      </c>
      <c r="J2324" cm="1">
        <f t="array" ref="J2324">_xlfn.SWITCH(B2324,1,75,2,61,3,49,4,37,5,25,6,13,7,4,8,1)</f>
        <v>4</v>
      </c>
      <c r="K2324" t="str" cm="1">
        <f t="array" ref="K2324">IFERROR(_xlfn.SWITCH(L2324,2,_xlfn.XLOOKUP(C2324,[1]ModifierDes!$B:$B,[1]ModifierDes!$C:$C),3,_xlfn.XLOOKUP(C2324,[1]StuntDes!$B:$B,[1]StuntDes!$C:$C)),"")</f>
        <v/>
      </c>
      <c r="L2324">
        <f t="shared" si="96"/>
        <v>1</v>
      </c>
      <c r="M2324" s="10" t="str">
        <f>IFERROR(_xlfn.XLOOKUP(C2324,[1]StuntDes!$B:$B,[1]StuntDes!$A:$A),"")</f>
        <v/>
      </c>
      <c r="N2324" s="10" t="str">
        <f>IFERROR(_xlfn.XLOOKUP(C2324,[1]ModifierDes!$B:$B,[1]ModifierDes!$A:$A),"")</f>
        <v/>
      </c>
      <c r="O2324" s="10">
        <f>IFERROR(_xlfn.XLOOKUP(C2324,[1]AttributeName!$C:$C,[1]AttributeName!$B:$B),"")</f>
        <v>10504</v>
      </c>
      <c r="P2324" s="10"/>
      <c r="Q2324">
        <v>0.06</v>
      </c>
      <c r="R2324">
        <v>0.09</v>
      </c>
      <c r="S2324" cm="1">
        <f t="array" ref="S2324">IFERROR(_xlfn.SWITCH(L2324,1,_xlfn.XLOOKUP(O2324,[1]AttributeName!$B:$B,[1]AttributeName!$D:$D),2,_xlfn.XLOOKUP(C2324,#REF!,#REF!),3,_xlfn.XLOOKUP(C2324,#REF!,#REF!)),0)</f>
        <v>2</v>
      </c>
      <c r="T2324" cm="1">
        <f t="array" ref="T2324">IFERROR(_xlfn.SWITCH(L2324,1,_xlfn.XLOOKUP(O2324,[1]AttributeName!$B:$B,[1]AttributeName!$E:$E),2,_xlfn.XLOOKUP(C2324,#REF!,#REF!),3,_xlfn.XLOOKUP(C2324,#REF!,#REF!)),0)</f>
        <v>2</v>
      </c>
    </row>
    <row r="2325" customFormat="1" spans="1:20">
      <c r="A2325">
        <f t="shared" si="95"/>
        <v>960</v>
      </c>
      <c r="B2325">
        <v>8</v>
      </c>
      <c r="C2325" s="14" t="s">
        <v>405</v>
      </c>
      <c r="D2325" t="s">
        <v>32</v>
      </c>
      <c r="E2325" s="13" t="s">
        <v>392</v>
      </c>
      <c r="F2325"/>
      <c r="G2325">
        <v>2</v>
      </c>
      <c r="H2325">
        <v>1000</v>
      </c>
      <c r="I2325">
        <v>4</v>
      </c>
      <c r="J2325" cm="1">
        <f t="array" ref="J2325">_xlfn.SWITCH(B2325,1,75,2,61,3,49,4,37,5,25,6,13,7,4,8,1)</f>
        <v>1</v>
      </c>
      <c r="K2325" t="str" cm="1">
        <f t="array" ref="K2325">IFERROR(_xlfn.SWITCH(L2325,2,_xlfn.XLOOKUP(C2325,[1]ModifierDes!$B:$B,[1]ModifierDes!$C:$C),3,_xlfn.XLOOKUP(C2325,[1]StuntDes!$B:$B,[1]StuntDes!$C:$C)),"")</f>
        <v/>
      </c>
      <c r="L2325">
        <f t="shared" si="96"/>
        <v>1</v>
      </c>
      <c r="M2325" s="10" t="str">
        <f>IFERROR(_xlfn.XLOOKUP(C2325,[1]StuntDes!$B:$B,[1]StuntDes!$A:$A),"")</f>
        <v/>
      </c>
      <c r="N2325" s="10" t="str">
        <f>IFERROR(_xlfn.XLOOKUP(C2325,[1]ModifierDes!$B:$B,[1]ModifierDes!$A:$A),"")</f>
        <v/>
      </c>
      <c r="O2325" s="10">
        <f>IFERROR(_xlfn.XLOOKUP(C2325,[1]AttributeName!$C:$C,[1]AttributeName!$B:$B),"")</f>
        <v>10504</v>
      </c>
      <c r="P2325" s="10"/>
      <c r="Q2325">
        <v>0.02</v>
      </c>
      <c r="R2325">
        <v>0.05</v>
      </c>
      <c r="S2325" cm="1">
        <f t="array" ref="S2325">IFERROR(_xlfn.SWITCH(L2325,1,_xlfn.XLOOKUP(O2325,[1]AttributeName!$B:$B,[1]AttributeName!$D:$D),2,_xlfn.XLOOKUP(C2325,#REF!,#REF!),3,_xlfn.XLOOKUP(C2325,#REF!,#REF!)),0)</f>
        <v>2</v>
      </c>
      <c r="T2325" cm="1">
        <f t="array" ref="T2325">IFERROR(_xlfn.SWITCH(L2325,1,_xlfn.XLOOKUP(O2325,[1]AttributeName!$B:$B,[1]AttributeName!$E:$E),2,_xlfn.XLOOKUP(C2325,#REF!,#REF!),3,_xlfn.XLOOKUP(C2325,#REF!,#REF!)),0)</f>
        <v>2</v>
      </c>
    </row>
    <row r="2326" customFormat="1" spans="1:20">
      <c r="A2326">
        <f t="shared" ref="A2326:A2389" si="97">A2318+1</f>
        <v>961</v>
      </c>
      <c r="B2326">
        <v>1</v>
      </c>
      <c r="C2326" t="s">
        <v>438</v>
      </c>
      <c r="D2326" t="s">
        <v>32</v>
      </c>
      <c r="E2326" s="13" t="s">
        <v>392</v>
      </c>
      <c r="F2326"/>
      <c r="G2326">
        <v>2</v>
      </c>
      <c r="H2326">
        <v>250</v>
      </c>
      <c r="J2326" cm="1">
        <f t="array" ref="J2326">_xlfn.SWITCH(B2326,1,75,2,61,3,49,4,37,5,25,6,13,7,4,8,1)</f>
        <v>75</v>
      </c>
      <c r="K2326" t="str" cm="1">
        <f t="array" ref="K2326">IFERROR(_xlfn.SWITCH(L2326,2,_xlfn.XLOOKUP(C2326,[1]ModifierDes!$B:$B,[1]ModifierDes!$C:$C),3,_xlfn.XLOOKUP(C2326,[1]StuntDes!$B:$B,[1]StuntDes!$C:$C)),"")</f>
        <v/>
      </c>
      <c r="L2326">
        <f t="shared" si="96"/>
        <v>1</v>
      </c>
      <c r="M2326" s="10" t="str">
        <f>IFERROR(_xlfn.XLOOKUP(C2326,[1]StuntDes!$B:$B,[1]StuntDes!$A:$A),"")</f>
        <v/>
      </c>
      <c r="N2326" s="10" t="str">
        <f>IFERROR(_xlfn.XLOOKUP(C2326,[1]ModifierDes!$B:$B,[1]ModifierDes!$A:$A),"")</f>
        <v/>
      </c>
      <c r="O2326" s="10">
        <f>IFERROR(_xlfn.XLOOKUP(C2326,[1]AttributeName!$C:$C,[1]AttributeName!$B:$B),"")</f>
        <v>10015</v>
      </c>
      <c r="P2326" s="10"/>
      <c r="Q2326">
        <v>100</v>
      </c>
      <c r="R2326">
        <v>110</v>
      </c>
      <c r="S2326" cm="1">
        <f t="array" ref="S2326">IFERROR(_xlfn.SWITCH(L2326,1,_xlfn.XLOOKUP(O2326,[1]AttributeName!$B:$B,[1]AttributeName!$D:$D),2,_xlfn.XLOOKUP(C2326,#REF!,#REF!),3,_xlfn.XLOOKUP(C2326,#REF!,#REF!)),0)</f>
        <v>0</v>
      </c>
      <c r="T2326" cm="1">
        <f t="array" ref="T2326">IFERROR(_xlfn.SWITCH(L2326,1,_xlfn.XLOOKUP(O2326,[1]AttributeName!$B:$B,[1]AttributeName!$E:$E),2,_xlfn.XLOOKUP(C2326,#REF!,#REF!),3,_xlfn.XLOOKUP(C2326,#REF!,#REF!)),0)</f>
        <v>1</v>
      </c>
    </row>
    <row r="2327" customFormat="1" spans="1:20">
      <c r="A2327">
        <f t="shared" si="97"/>
        <v>961</v>
      </c>
      <c r="B2327">
        <v>2</v>
      </c>
      <c r="C2327" t="s">
        <v>438</v>
      </c>
      <c r="D2327" t="s">
        <v>32</v>
      </c>
      <c r="E2327" s="13" t="s">
        <v>392</v>
      </c>
      <c r="F2327"/>
      <c r="G2327">
        <v>2</v>
      </c>
      <c r="H2327">
        <v>500</v>
      </c>
      <c r="J2327" cm="1">
        <f t="array" ref="J2327">_xlfn.SWITCH(B2327,1,75,2,61,3,49,4,37,5,25,6,13,7,4,8,1)</f>
        <v>61</v>
      </c>
      <c r="K2327" t="str" cm="1">
        <f t="array" ref="K2327">IFERROR(_xlfn.SWITCH(L2327,2,_xlfn.XLOOKUP(C2327,[1]ModifierDes!$B:$B,[1]ModifierDes!$C:$C),3,_xlfn.XLOOKUP(C2327,[1]StuntDes!$B:$B,[1]StuntDes!$C:$C)),"")</f>
        <v/>
      </c>
      <c r="L2327">
        <f t="shared" si="96"/>
        <v>1</v>
      </c>
      <c r="M2327" s="10" t="str">
        <f>IFERROR(_xlfn.XLOOKUP(C2327,[1]StuntDes!$B:$B,[1]StuntDes!$A:$A),"")</f>
        <v/>
      </c>
      <c r="N2327" s="10" t="str">
        <f>IFERROR(_xlfn.XLOOKUP(C2327,[1]ModifierDes!$B:$B,[1]ModifierDes!$A:$A),"")</f>
        <v/>
      </c>
      <c r="O2327" s="10">
        <f>IFERROR(_xlfn.XLOOKUP(C2327,[1]AttributeName!$C:$C,[1]AttributeName!$B:$B),"")</f>
        <v>10015</v>
      </c>
      <c r="P2327" s="10"/>
      <c r="Q2327">
        <v>80</v>
      </c>
      <c r="R2327">
        <v>90</v>
      </c>
      <c r="S2327" cm="1">
        <f t="array" ref="S2327">IFERROR(_xlfn.SWITCH(L2327,1,_xlfn.XLOOKUP(O2327,[1]AttributeName!$B:$B,[1]AttributeName!$D:$D),2,_xlfn.XLOOKUP(C2327,#REF!,#REF!),3,_xlfn.XLOOKUP(C2327,#REF!,#REF!)),0)</f>
        <v>0</v>
      </c>
      <c r="T2327" cm="1">
        <f t="array" ref="T2327">IFERROR(_xlfn.SWITCH(L2327,1,_xlfn.XLOOKUP(O2327,[1]AttributeName!$B:$B,[1]AttributeName!$E:$E),2,_xlfn.XLOOKUP(C2327,#REF!,#REF!),3,_xlfn.XLOOKUP(C2327,#REF!,#REF!)),0)</f>
        <v>1</v>
      </c>
    </row>
    <row r="2328" customFormat="1" spans="1:20">
      <c r="A2328">
        <f t="shared" si="97"/>
        <v>961</v>
      </c>
      <c r="B2328">
        <v>3</v>
      </c>
      <c r="C2328" t="s">
        <v>438</v>
      </c>
      <c r="D2328" t="s">
        <v>32</v>
      </c>
      <c r="E2328" s="13" t="s">
        <v>392</v>
      </c>
      <c r="F2328"/>
      <c r="G2328">
        <v>2</v>
      </c>
      <c r="H2328">
        <v>750</v>
      </c>
      <c r="J2328" cm="1">
        <f t="array" ref="J2328">_xlfn.SWITCH(B2328,1,75,2,61,3,49,4,37,5,25,6,13,7,4,8,1)</f>
        <v>49</v>
      </c>
      <c r="K2328" t="str" cm="1">
        <f t="array" ref="K2328">IFERROR(_xlfn.SWITCH(L2328,2,_xlfn.XLOOKUP(C2328,[1]ModifierDes!$B:$B,[1]ModifierDes!$C:$C),3,_xlfn.XLOOKUP(C2328,[1]StuntDes!$B:$B,[1]StuntDes!$C:$C)),"")</f>
        <v/>
      </c>
      <c r="L2328">
        <f t="shared" si="96"/>
        <v>1</v>
      </c>
      <c r="M2328" s="10" t="str">
        <f>IFERROR(_xlfn.XLOOKUP(C2328,[1]StuntDes!$B:$B,[1]StuntDes!$A:$A),"")</f>
        <v/>
      </c>
      <c r="N2328" s="10" t="str">
        <f>IFERROR(_xlfn.XLOOKUP(C2328,[1]ModifierDes!$B:$B,[1]ModifierDes!$A:$A),"")</f>
        <v/>
      </c>
      <c r="O2328" s="10">
        <f>IFERROR(_xlfn.XLOOKUP(C2328,[1]AttributeName!$C:$C,[1]AttributeName!$B:$B),"")</f>
        <v>10015</v>
      </c>
      <c r="P2328" s="10"/>
      <c r="Q2328">
        <v>60</v>
      </c>
      <c r="R2328">
        <v>70</v>
      </c>
      <c r="S2328" cm="1">
        <f t="array" ref="S2328">IFERROR(_xlfn.SWITCH(L2328,1,_xlfn.XLOOKUP(O2328,[1]AttributeName!$B:$B,[1]AttributeName!$D:$D),2,_xlfn.XLOOKUP(C2328,#REF!,#REF!),3,_xlfn.XLOOKUP(C2328,#REF!,#REF!)),0)</f>
        <v>0</v>
      </c>
      <c r="T2328" cm="1">
        <f t="array" ref="T2328">IFERROR(_xlfn.SWITCH(L2328,1,_xlfn.XLOOKUP(O2328,[1]AttributeName!$B:$B,[1]AttributeName!$E:$E),2,_xlfn.XLOOKUP(C2328,#REF!,#REF!),3,_xlfn.XLOOKUP(C2328,#REF!,#REF!)),0)</f>
        <v>1</v>
      </c>
    </row>
    <row r="2329" customFormat="1" spans="1:20">
      <c r="A2329">
        <f t="shared" si="97"/>
        <v>961</v>
      </c>
      <c r="B2329">
        <v>4</v>
      </c>
      <c r="C2329" t="s">
        <v>438</v>
      </c>
      <c r="D2329" t="s">
        <v>32</v>
      </c>
      <c r="E2329" s="13" t="s">
        <v>392</v>
      </c>
      <c r="F2329"/>
      <c r="G2329">
        <v>2</v>
      </c>
      <c r="H2329">
        <v>1000</v>
      </c>
      <c r="J2329" cm="1">
        <f t="array" ref="J2329">_xlfn.SWITCH(B2329,1,75,2,61,3,49,4,37,5,25,6,13,7,4,8,1)</f>
        <v>37</v>
      </c>
      <c r="K2329" t="str" cm="1">
        <f t="array" ref="K2329">IFERROR(_xlfn.SWITCH(L2329,2,_xlfn.XLOOKUP(C2329,[1]ModifierDes!$B:$B,[1]ModifierDes!$C:$C),3,_xlfn.XLOOKUP(C2329,[1]StuntDes!$B:$B,[1]StuntDes!$C:$C)),"")</f>
        <v/>
      </c>
      <c r="L2329">
        <f t="shared" si="96"/>
        <v>1</v>
      </c>
      <c r="M2329" s="10" t="str">
        <f>IFERROR(_xlfn.XLOOKUP(C2329,[1]StuntDes!$B:$B,[1]StuntDes!$A:$A),"")</f>
        <v/>
      </c>
      <c r="N2329" s="10" t="str">
        <f>IFERROR(_xlfn.XLOOKUP(C2329,[1]ModifierDes!$B:$B,[1]ModifierDes!$A:$A),"")</f>
        <v/>
      </c>
      <c r="O2329" s="10">
        <f>IFERROR(_xlfn.XLOOKUP(C2329,[1]AttributeName!$C:$C,[1]AttributeName!$B:$B),"")</f>
        <v>10015</v>
      </c>
      <c r="P2329" s="10"/>
      <c r="Q2329">
        <v>50</v>
      </c>
      <c r="R2329">
        <v>59</v>
      </c>
      <c r="S2329" cm="1">
        <f t="array" ref="S2329">IFERROR(_xlfn.SWITCH(L2329,1,_xlfn.XLOOKUP(O2329,[1]AttributeName!$B:$B,[1]AttributeName!$D:$D),2,_xlfn.XLOOKUP(C2329,#REF!,#REF!),3,_xlfn.XLOOKUP(C2329,#REF!,#REF!)),0)</f>
        <v>0</v>
      </c>
      <c r="T2329" cm="1">
        <f t="array" ref="T2329">IFERROR(_xlfn.SWITCH(L2329,1,_xlfn.XLOOKUP(O2329,[1]AttributeName!$B:$B,[1]AttributeName!$E:$E),2,_xlfn.XLOOKUP(C2329,#REF!,#REF!),3,_xlfn.XLOOKUP(C2329,#REF!,#REF!)),0)</f>
        <v>1</v>
      </c>
    </row>
    <row r="2330" customFormat="1" spans="1:20">
      <c r="A2330">
        <f t="shared" si="97"/>
        <v>961</v>
      </c>
      <c r="B2330">
        <v>5</v>
      </c>
      <c r="C2330" t="s">
        <v>438</v>
      </c>
      <c r="D2330" t="s">
        <v>32</v>
      </c>
      <c r="E2330" s="13" t="s">
        <v>392</v>
      </c>
      <c r="F2330"/>
      <c r="G2330">
        <v>2</v>
      </c>
      <c r="H2330">
        <v>1000</v>
      </c>
      <c r="J2330" cm="1">
        <f t="array" ref="J2330">_xlfn.SWITCH(B2330,1,75,2,61,3,49,4,37,5,25,6,13,7,4,8,1)</f>
        <v>25</v>
      </c>
      <c r="K2330" t="str" cm="1">
        <f t="array" ref="K2330">IFERROR(_xlfn.SWITCH(L2330,2,_xlfn.XLOOKUP(C2330,[1]ModifierDes!$B:$B,[1]ModifierDes!$C:$C),3,_xlfn.XLOOKUP(C2330,[1]StuntDes!$B:$B,[1]StuntDes!$C:$C)),"")</f>
        <v/>
      </c>
      <c r="L2330">
        <f t="shared" si="96"/>
        <v>1</v>
      </c>
      <c r="M2330" s="10" t="str">
        <f>IFERROR(_xlfn.XLOOKUP(C2330,[1]StuntDes!$B:$B,[1]StuntDes!$A:$A),"")</f>
        <v/>
      </c>
      <c r="N2330" s="10" t="str">
        <f>IFERROR(_xlfn.XLOOKUP(C2330,[1]ModifierDes!$B:$B,[1]ModifierDes!$A:$A),"")</f>
        <v/>
      </c>
      <c r="O2330" s="10">
        <f>IFERROR(_xlfn.XLOOKUP(C2330,[1]AttributeName!$C:$C,[1]AttributeName!$B:$B),"")</f>
        <v>10015</v>
      </c>
      <c r="P2330" s="10"/>
      <c r="Q2330">
        <v>40</v>
      </c>
      <c r="R2330">
        <v>49</v>
      </c>
      <c r="S2330" cm="1">
        <f t="array" ref="S2330">IFERROR(_xlfn.SWITCH(L2330,1,_xlfn.XLOOKUP(O2330,[1]AttributeName!$B:$B,[1]AttributeName!$D:$D),2,_xlfn.XLOOKUP(C2330,#REF!,#REF!),3,_xlfn.XLOOKUP(C2330,#REF!,#REF!)),0)</f>
        <v>0</v>
      </c>
      <c r="T2330" cm="1">
        <f t="array" ref="T2330">IFERROR(_xlfn.SWITCH(L2330,1,_xlfn.XLOOKUP(O2330,[1]AttributeName!$B:$B,[1]AttributeName!$E:$E),2,_xlfn.XLOOKUP(C2330,#REF!,#REF!),3,_xlfn.XLOOKUP(C2330,#REF!,#REF!)),0)</f>
        <v>1</v>
      </c>
    </row>
    <row r="2331" customFormat="1" spans="1:20">
      <c r="A2331">
        <f t="shared" si="97"/>
        <v>961</v>
      </c>
      <c r="B2331">
        <v>6</v>
      </c>
      <c r="C2331" t="s">
        <v>438</v>
      </c>
      <c r="D2331" t="s">
        <v>32</v>
      </c>
      <c r="E2331" s="13" t="s">
        <v>392</v>
      </c>
      <c r="F2331"/>
      <c r="G2331">
        <v>2</v>
      </c>
      <c r="H2331">
        <v>1000</v>
      </c>
      <c r="J2331" cm="1">
        <f t="array" ref="J2331">_xlfn.SWITCH(B2331,1,75,2,61,3,49,4,37,5,25,6,13,7,4,8,1)</f>
        <v>13</v>
      </c>
      <c r="K2331" t="str" cm="1">
        <f t="array" ref="K2331">IFERROR(_xlfn.SWITCH(L2331,2,_xlfn.XLOOKUP(C2331,[1]ModifierDes!$B:$B,[1]ModifierDes!$C:$C),3,_xlfn.XLOOKUP(C2331,[1]StuntDes!$B:$B,[1]StuntDes!$C:$C)),"")</f>
        <v/>
      </c>
      <c r="L2331">
        <f t="shared" si="96"/>
        <v>1</v>
      </c>
      <c r="M2331" s="10" t="str">
        <f>IFERROR(_xlfn.XLOOKUP(C2331,[1]StuntDes!$B:$B,[1]StuntDes!$A:$A),"")</f>
        <v/>
      </c>
      <c r="N2331" s="10" t="str">
        <f>IFERROR(_xlfn.XLOOKUP(C2331,[1]ModifierDes!$B:$B,[1]ModifierDes!$A:$A),"")</f>
        <v/>
      </c>
      <c r="O2331" s="10">
        <f>IFERROR(_xlfn.XLOOKUP(C2331,[1]AttributeName!$C:$C,[1]AttributeName!$B:$B),"")</f>
        <v>10015</v>
      </c>
      <c r="P2331" s="10"/>
      <c r="Q2331">
        <v>30</v>
      </c>
      <c r="R2331">
        <v>39</v>
      </c>
      <c r="S2331" cm="1">
        <f t="array" ref="S2331">IFERROR(_xlfn.SWITCH(L2331,1,_xlfn.XLOOKUP(O2331,[1]AttributeName!$B:$B,[1]AttributeName!$D:$D),2,_xlfn.XLOOKUP(C2331,#REF!,#REF!),3,_xlfn.XLOOKUP(C2331,#REF!,#REF!)),0)</f>
        <v>0</v>
      </c>
      <c r="T2331" cm="1">
        <f t="array" ref="T2331">IFERROR(_xlfn.SWITCH(L2331,1,_xlfn.XLOOKUP(O2331,[1]AttributeName!$B:$B,[1]AttributeName!$E:$E),2,_xlfn.XLOOKUP(C2331,#REF!,#REF!),3,_xlfn.XLOOKUP(C2331,#REF!,#REF!)),0)</f>
        <v>1</v>
      </c>
    </row>
    <row r="2332" customFormat="1" spans="1:20">
      <c r="A2332">
        <f t="shared" si="97"/>
        <v>961</v>
      </c>
      <c r="B2332">
        <v>7</v>
      </c>
      <c r="C2332" t="s">
        <v>438</v>
      </c>
      <c r="D2332" t="s">
        <v>32</v>
      </c>
      <c r="E2332" s="13" t="s">
        <v>392</v>
      </c>
      <c r="F2332"/>
      <c r="G2332">
        <v>2</v>
      </c>
      <c r="H2332">
        <v>1000</v>
      </c>
      <c r="J2332" cm="1">
        <f t="array" ref="J2332">_xlfn.SWITCH(B2332,1,75,2,61,3,49,4,37,5,25,6,13,7,4,8,1)</f>
        <v>4</v>
      </c>
      <c r="K2332" t="str" cm="1">
        <f t="array" ref="K2332">IFERROR(_xlfn.SWITCH(L2332,2,_xlfn.XLOOKUP(C2332,[1]ModifierDes!$B:$B,[1]ModifierDes!$C:$C),3,_xlfn.XLOOKUP(C2332,[1]StuntDes!$B:$B,[1]StuntDes!$C:$C)),"")</f>
        <v/>
      </c>
      <c r="L2332">
        <f t="shared" si="96"/>
        <v>1</v>
      </c>
      <c r="M2332" s="10" t="str">
        <f>IFERROR(_xlfn.XLOOKUP(C2332,[1]StuntDes!$B:$B,[1]StuntDes!$A:$A),"")</f>
        <v/>
      </c>
      <c r="N2332" s="10" t="str">
        <f>IFERROR(_xlfn.XLOOKUP(C2332,[1]ModifierDes!$B:$B,[1]ModifierDes!$A:$A),"")</f>
        <v/>
      </c>
      <c r="O2332" s="10">
        <f>IFERROR(_xlfn.XLOOKUP(C2332,[1]AttributeName!$C:$C,[1]AttributeName!$B:$B),"")</f>
        <v>10015</v>
      </c>
      <c r="P2332" s="10"/>
      <c r="Q2332">
        <v>20</v>
      </c>
      <c r="R2332">
        <v>29</v>
      </c>
      <c r="S2332" cm="1">
        <f t="array" ref="S2332">IFERROR(_xlfn.SWITCH(L2332,1,_xlfn.XLOOKUP(O2332,[1]AttributeName!$B:$B,[1]AttributeName!$D:$D),2,_xlfn.XLOOKUP(C2332,#REF!,#REF!),3,_xlfn.XLOOKUP(C2332,#REF!,#REF!)),0)</f>
        <v>0</v>
      </c>
      <c r="T2332" cm="1">
        <f t="array" ref="T2332">IFERROR(_xlfn.SWITCH(L2332,1,_xlfn.XLOOKUP(O2332,[1]AttributeName!$B:$B,[1]AttributeName!$E:$E),2,_xlfn.XLOOKUP(C2332,#REF!,#REF!),3,_xlfn.XLOOKUP(C2332,#REF!,#REF!)),0)</f>
        <v>1</v>
      </c>
    </row>
    <row r="2333" customFormat="1" spans="1:20">
      <c r="A2333">
        <f t="shared" si="97"/>
        <v>961</v>
      </c>
      <c r="B2333">
        <v>8</v>
      </c>
      <c r="C2333" t="s">
        <v>438</v>
      </c>
      <c r="D2333" t="s">
        <v>32</v>
      </c>
      <c r="E2333" s="13" t="s">
        <v>392</v>
      </c>
      <c r="F2333"/>
      <c r="G2333">
        <v>2</v>
      </c>
      <c r="H2333">
        <v>1000</v>
      </c>
      <c r="J2333" cm="1">
        <f t="array" ref="J2333">_xlfn.SWITCH(B2333,1,75,2,61,3,49,4,37,5,25,6,13,7,4,8,1)</f>
        <v>1</v>
      </c>
      <c r="K2333" t="str" cm="1">
        <f t="array" ref="K2333">IFERROR(_xlfn.SWITCH(L2333,2,_xlfn.XLOOKUP(C2333,[1]ModifierDes!$B:$B,[1]ModifierDes!$C:$C),3,_xlfn.XLOOKUP(C2333,[1]StuntDes!$B:$B,[1]StuntDes!$C:$C)),"")</f>
        <v/>
      </c>
      <c r="L2333">
        <f t="shared" si="96"/>
        <v>1</v>
      </c>
      <c r="M2333" s="10" t="str">
        <f>IFERROR(_xlfn.XLOOKUP(C2333,[1]StuntDes!$B:$B,[1]StuntDes!$A:$A),"")</f>
        <v/>
      </c>
      <c r="N2333" s="10" t="str">
        <f>IFERROR(_xlfn.XLOOKUP(C2333,[1]ModifierDes!$B:$B,[1]ModifierDes!$A:$A),"")</f>
        <v/>
      </c>
      <c r="O2333" s="10">
        <f>IFERROR(_xlfn.XLOOKUP(C2333,[1]AttributeName!$C:$C,[1]AttributeName!$B:$B),"")</f>
        <v>10015</v>
      </c>
      <c r="P2333" s="10"/>
      <c r="Q2333">
        <v>10</v>
      </c>
      <c r="R2333">
        <v>19</v>
      </c>
      <c r="S2333" cm="1">
        <f t="array" ref="S2333">IFERROR(_xlfn.SWITCH(L2333,1,_xlfn.XLOOKUP(O2333,[1]AttributeName!$B:$B,[1]AttributeName!$D:$D),2,_xlfn.XLOOKUP(C2333,#REF!,#REF!),3,_xlfn.XLOOKUP(C2333,#REF!,#REF!)),0)</f>
        <v>0</v>
      </c>
      <c r="T2333" cm="1">
        <f t="array" ref="T2333">IFERROR(_xlfn.SWITCH(L2333,1,_xlfn.XLOOKUP(O2333,[1]AttributeName!$B:$B,[1]AttributeName!$E:$E),2,_xlfn.XLOOKUP(C2333,#REF!,#REF!),3,_xlfn.XLOOKUP(C2333,#REF!,#REF!)),0)</f>
        <v>1</v>
      </c>
    </row>
    <row r="2334" customFormat="1" spans="1:20">
      <c r="A2334">
        <f t="shared" si="97"/>
        <v>962</v>
      </c>
      <c r="B2334">
        <v>1</v>
      </c>
      <c r="C2334" t="s">
        <v>439</v>
      </c>
      <c r="D2334" t="s">
        <v>32</v>
      </c>
      <c r="E2334" s="13" t="s">
        <v>392</v>
      </c>
      <c r="F2334"/>
      <c r="G2334">
        <v>2</v>
      </c>
      <c r="H2334">
        <v>250</v>
      </c>
      <c r="J2334" cm="1">
        <f t="array" ref="J2334">_xlfn.SWITCH(B2334,1,75,2,61,3,49,4,37,5,25,6,13,7,4,8,1)</f>
        <v>75</v>
      </c>
      <c r="K2334" t="str" cm="1">
        <f t="array" ref="K2334">IFERROR(_xlfn.SWITCH(L2334,2,_xlfn.XLOOKUP(C2334,[1]ModifierDes!$B:$B,[1]ModifierDes!$C:$C),3,_xlfn.XLOOKUP(C2334,[1]StuntDes!$B:$B,[1]StuntDes!$C:$C)),"")</f>
        <v/>
      </c>
      <c r="L2334">
        <f t="shared" si="96"/>
        <v>1</v>
      </c>
      <c r="M2334" s="10" t="str">
        <f>IFERROR(_xlfn.XLOOKUP(C2334,[1]StuntDes!$B:$B,[1]StuntDes!$A:$A),"")</f>
        <v/>
      </c>
      <c r="N2334" s="10" t="str">
        <f>IFERROR(_xlfn.XLOOKUP(C2334,[1]ModifierDes!$B:$B,[1]ModifierDes!$A:$A),"")</f>
        <v/>
      </c>
      <c r="O2334" s="10">
        <f>IFERROR(_xlfn.XLOOKUP(C2334,[1]AttributeName!$C:$C,[1]AttributeName!$B:$B),"")</f>
        <v>10017</v>
      </c>
      <c r="P2334" s="10"/>
      <c r="Q2334">
        <v>100</v>
      </c>
      <c r="R2334">
        <v>110</v>
      </c>
      <c r="S2334" cm="1">
        <f t="array" ref="S2334">IFERROR(_xlfn.SWITCH(L2334,1,_xlfn.XLOOKUP(O2334,[1]AttributeName!$B:$B,[1]AttributeName!$D:$D),2,_xlfn.XLOOKUP(C2334,#REF!,#REF!),3,_xlfn.XLOOKUP(C2334,#REF!,#REF!)),0)</f>
        <v>0</v>
      </c>
      <c r="T2334" cm="1">
        <f t="array" ref="T2334">IFERROR(_xlfn.SWITCH(L2334,1,_xlfn.XLOOKUP(O2334,[1]AttributeName!$B:$B,[1]AttributeName!$E:$E),2,_xlfn.XLOOKUP(C2334,#REF!,#REF!),3,_xlfn.XLOOKUP(C2334,#REF!,#REF!)),0)</f>
        <v>1</v>
      </c>
    </row>
    <row r="2335" customFormat="1" spans="1:20">
      <c r="A2335">
        <f t="shared" si="97"/>
        <v>962</v>
      </c>
      <c r="B2335">
        <v>2</v>
      </c>
      <c r="C2335" t="s">
        <v>439</v>
      </c>
      <c r="D2335" t="s">
        <v>32</v>
      </c>
      <c r="E2335" s="13" t="s">
        <v>392</v>
      </c>
      <c r="F2335"/>
      <c r="G2335">
        <v>2</v>
      </c>
      <c r="H2335">
        <v>500</v>
      </c>
      <c r="J2335" cm="1">
        <f t="array" ref="J2335">_xlfn.SWITCH(B2335,1,75,2,61,3,49,4,37,5,25,6,13,7,4,8,1)</f>
        <v>61</v>
      </c>
      <c r="K2335" t="str" cm="1">
        <f t="array" ref="K2335">IFERROR(_xlfn.SWITCH(L2335,2,_xlfn.XLOOKUP(C2335,[1]ModifierDes!$B:$B,[1]ModifierDes!$C:$C),3,_xlfn.XLOOKUP(C2335,[1]StuntDes!$B:$B,[1]StuntDes!$C:$C)),"")</f>
        <v/>
      </c>
      <c r="L2335">
        <f t="shared" si="96"/>
        <v>1</v>
      </c>
      <c r="M2335" s="10" t="str">
        <f>IFERROR(_xlfn.XLOOKUP(C2335,[1]StuntDes!$B:$B,[1]StuntDes!$A:$A),"")</f>
        <v/>
      </c>
      <c r="N2335" s="10" t="str">
        <f>IFERROR(_xlfn.XLOOKUP(C2335,[1]ModifierDes!$B:$B,[1]ModifierDes!$A:$A),"")</f>
        <v/>
      </c>
      <c r="O2335" s="10">
        <f>IFERROR(_xlfn.XLOOKUP(C2335,[1]AttributeName!$C:$C,[1]AttributeName!$B:$B),"")</f>
        <v>10017</v>
      </c>
      <c r="P2335" s="10"/>
      <c r="Q2335">
        <v>80</v>
      </c>
      <c r="R2335">
        <v>90</v>
      </c>
      <c r="S2335" cm="1">
        <f t="array" ref="S2335">IFERROR(_xlfn.SWITCH(L2335,1,_xlfn.XLOOKUP(O2335,[1]AttributeName!$B:$B,[1]AttributeName!$D:$D),2,_xlfn.XLOOKUP(C2335,#REF!,#REF!),3,_xlfn.XLOOKUP(C2335,#REF!,#REF!)),0)</f>
        <v>0</v>
      </c>
      <c r="T2335" cm="1">
        <f t="array" ref="T2335">IFERROR(_xlfn.SWITCH(L2335,1,_xlfn.XLOOKUP(O2335,[1]AttributeName!$B:$B,[1]AttributeName!$E:$E),2,_xlfn.XLOOKUP(C2335,#REF!,#REF!),3,_xlfn.XLOOKUP(C2335,#REF!,#REF!)),0)</f>
        <v>1</v>
      </c>
    </row>
    <row r="2336" customFormat="1" spans="1:20">
      <c r="A2336">
        <f t="shared" si="97"/>
        <v>962</v>
      </c>
      <c r="B2336">
        <v>3</v>
      </c>
      <c r="C2336" t="s">
        <v>439</v>
      </c>
      <c r="D2336" t="s">
        <v>32</v>
      </c>
      <c r="E2336" s="13" t="s">
        <v>392</v>
      </c>
      <c r="F2336"/>
      <c r="G2336">
        <v>2</v>
      </c>
      <c r="H2336">
        <v>750</v>
      </c>
      <c r="J2336" cm="1">
        <f t="array" ref="J2336">_xlfn.SWITCH(B2336,1,75,2,61,3,49,4,37,5,25,6,13,7,4,8,1)</f>
        <v>49</v>
      </c>
      <c r="K2336" t="str" cm="1">
        <f t="array" ref="K2336">IFERROR(_xlfn.SWITCH(L2336,2,_xlfn.XLOOKUP(C2336,[1]ModifierDes!$B:$B,[1]ModifierDes!$C:$C),3,_xlfn.XLOOKUP(C2336,[1]StuntDes!$B:$B,[1]StuntDes!$C:$C)),"")</f>
        <v/>
      </c>
      <c r="L2336">
        <f t="shared" si="96"/>
        <v>1</v>
      </c>
      <c r="M2336" s="10" t="str">
        <f>IFERROR(_xlfn.XLOOKUP(C2336,[1]StuntDes!$B:$B,[1]StuntDes!$A:$A),"")</f>
        <v/>
      </c>
      <c r="N2336" s="10" t="str">
        <f>IFERROR(_xlfn.XLOOKUP(C2336,[1]ModifierDes!$B:$B,[1]ModifierDes!$A:$A),"")</f>
        <v/>
      </c>
      <c r="O2336" s="10">
        <f>IFERROR(_xlfn.XLOOKUP(C2336,[1]AttributeName!$C:$C,[1]AttributeName!$B:$B),"")</f>
        <v>10017</v>
      </c>
      <c r="P2336" s="10"/>
      <c r="Q2336">
        <v>60</v>
      </c>
      <c r="R2336">
        <v>70</v>
      </c>
      <c r="S2336" cm="1">
        <f t="array" ref="S2336">IFERROR(_xlfn.SWITCH(L2336,1,_xlfn.XLOOKUP(O2336,[1]AttributeName!$B:$B,[1]AttributeName!$D:$D),2,_xlfn.XLOOKUP(C2336,#REF!,#REF!),3,_xlfn.XLOOKUP(C2336,#REF!,#REF!)),0)</f>
        <v>0</v>
      </c>
      <c r="T2336" cm="1">
        <f t="array" ref="T2336">IFERROR(_xlfn.SWITCH(L2336,1,_xlfn.XLOOKUP(O2336,[1]AttributeName!$B:$B,[1]AttributeName!$E:$E),2,_xlfn.XLOOKUP(C2336,#REF!,#REF!),3,_xlfn.XLOOKUP(C2336,#REF!,#REF!)),0)</f>
        <v>1</v>
      </c>
    </row>
    <row r="2337" customFormat="1" spans="1:20">
      <c r="A2337">
        <f t="shared" si="97"/>
        <v>962</v>
      </c>
      <c r="B2337">
        <v>4</v>
      </c>
      <c r="C2337" t="s">
        <v>439</v>
      </c>
      <c r="D2337" t="s">
        <v>32</v>
      </c>
      <c r="E2337" s="13" t="s">
        <v>392</v>
      </c>
      <c r="F2337"/>
      <c r="G2337">
        <v>2</v>
      </c>
      <c r="H2337">
        <v>1000</v>
      </c>
      <c r="J2337" cm="1">
        <f t="array" ref="J2337">_xlfn.SWITCH(B2337,1,75,2,61,3,49,4,37,5,25,6,13,7,4,8,1)</f>
        <v>37</v>
      </c>
      <c r="K2337" t="str" cm="1">
        <f t="array" ref="K2337">IFERROR(_xlfn.SWITCH(L2337,2,_xlfn.XLOOKUP(C2337,[1]ModifierDes!$B:$B,[1]ModifierDes!$C:$C),3,_xlfn.XLOOKUP(C2337,[1]StuntDes!$B:$B,[1]StuntDes!$C:$C)),"")</f>
        <v/>
      </c>
      <c r="L2337">
        <f t="shared" si="96"/>
        <v>1</v>
      </c>
      <c r="M2337" s="10" t="str">
        <f>IFERROR(_xlfn.XLOOKUP(C2337,[1]StuntDes!$B:$B,[1]StuntDes!$A:$A),"")</f>
        <v/>
      </c>
      <c r="N2337" s="10" t="str">
        <f>IFERROR(_xlfn.XLOOKUP(C2337,[1]ModifierDes!$B:$B,[1]ModifierDes!$A:$A),"")</f>
        <v/>
      </c>
      <c r="O2337" s="10">
        <f>IFERROR(_xlfn.XLOOKUP(C2337,[1]AttributeName!$C:$C,[1]AttributeName!$B:$B),"")</f>
        <v>10017</v>
      </c>
      <c r="P2337" s="10"/>
      <c r="Q2337">
        <v>50</v>
      </c>
      <c r="R2337">
        <v>59</v>
      </c>
      <c r="S2337" cm="1">
        <f t="array" ref="S2337">IFERROR(_xlfn.SWITCH(L2337,1,_xlfn.XLOOKUP(O2337,[1]AttributeName!$B:$B,[1]AttributeName!$D:$D),2,_xlfn.XLOOKUP(C2337,#REF!,#REF!),3,_xlfn.XLOOKUP(C2337,#REF!,#REF!)),0)</f>
        <v>0</v>
      </c>
      <c r="T2337" cm="1">
        <f t="array" ref="T2337">IFERROR(_xlfn.SWITCH(L2337,1,_xlfn.XLOOKUP(O2337,[1]AttributeName!$B:$B,[1]AttributeName!$E:$E),2,_xlfn.XLOOKUP(C2337,#REF!,#REF!),3,_xlfn.XLOOKUP(C2337,#REF!,#REF!)),0)</f>
        <v>1</v>
      </c>
    </row>
    <row r="2338" customFormat="1" spans="1:20">
      <c r="A2338">
        <f t="shared" si="97"/>
        <v>962</v>
      </c>
      <c r="B2338">
        <v>5</v>
      </c>
      <c r="C2338" t="s">
        <v>439</v>
      </c>
      <c r="D2338" t="s">
        <v>32</v>
      </c>
      <c r="E2338" s="13" t="s">
        <v>392</v>
      </c>
      <c r="F2338"/>
      <c r="G2338">
        <v>2</v>
      </c>
      <c r="H2338">
        <v>1000</v>
      </c>
      <c r="J2338" cm="1">
        <f t="array" ref="J2338">_xlfn.SWITCH(B2338,1,75,2,61,3,49,4,37,5,25,6,13,7,4,8,1)</f>
        <v>25</v>
      </c>
      <c r="K2338" t="str" cm="1">
        <f t="array" ref="K2338">IFERROR(_xlfn.SWITCH(L2338,2,_xlfn.XLOOKUP(C2338,[1]ModifierDes!$B:$B,[1]ModifierDes!$C:$C),3,_xlfn.XLOOKUP(C2338,[1]StuntDes!$B:$B,[1]StuntDes!$C:$C)),"")</f>
        <v/>
      </c>
      <c r="L2338">
        <f t="shared" si="96"/>
        <v>1</v>
      </c>
      <c r="M2338" s="10" t="str">
        <f>IFERROR(_xlfn.XLOOKUP(C2338,[1]StuntDes!$B:$B,[1]StuntDes!$A:$A),"")</f>
        <v/>
      </c>
      <c r="N2338" s="10" t="str">
        <f>IFERROR(_xlfn.XLOOKUP(C2338,[1]ModifierDes!$B:$B,[1]ModifierDes!$A:$A),"")</f>
        <v/>
      </c>
      <c r="O2338" s="10">
        <f>IFERROR(_xlfn.XLOOKUP(C2338,[1]AttributeName!$C:$C,[1]AttributeName!$B:$B),"")</f>
        <v>10017</v>
      </c>
      <c r="P2338" s="10"/>
      <c r="Q2338">
        <v>40</v>
      </c>
      <c r="R2338">
        <v>49</v>
      </c>
      <c r="S2338" cm="1">
        <f t="array" ref="S2338">IFERROR(_xlfn.SWITCH(L2338,1,_xlfn.XLOOKUP(O2338,[1]AttributeName!$B:$B,[1]AttributeName!$D:$D),2,_xlfn.XLOOKUP(C2338,#REF!,#REF!),3,_xlfn.XLOOKUP(C2338,#REF!,#REF!)),0)</f>
        <v>0</v>
      </c>
      <c r="T2338" cm="1">
        <f t="array" ref="T2338">IFERROR(_xlfn.SWITCH(L2338,1,_xlfn.XLOOKUP(O2338,[1]AttributeName!$B:$B,[1]AttributeName!$E:$E),2,_xlfn.XLOOKUP(C2338,#REF!,#REF!),3,_xlfn.XLOOKUP(C2338,#REF!,#REF!)),0)</f>
        <v>1</v>
      </c>
    </row>
    <row r="2339" customFormat="1" spans="1:20">
      <c r="A2339">
        <f t="shared" si="97"/>
        <v>962</v>
      </c>
      <c r="B2339">
        <v>6</v>
      </c>
      <c r="C2339" t="s">
        <v>439</v>
      </c>
      <c r="D2339" t="s">
        <v>32</v>
      </c>
      <c r="E2339" s="13" t="s">
        <v>392</v>
      </c>
      <c r="F2339"/>
      <c r="G2339">
        <v>2</v>
      </c>
      <c r="H2339">
        <v>1000</v>
      </c>
      <c r="J2339" cm="1">
        <f t="array" ref="J2339">_xlfn.SWITCH(B2339,1,75,2,61,3,49,4,37,5,25,6,13,7,4,8,1)</f>
        <v>13</v>
      </c>
      <c r="K2339" t="str" cm="1">
        <f t="array" ref="K2339">IFERROR(_xlfn.SWITCH(L2339,2,_xlfn.XLOOKUP(C2339,[1]ModifierDes!$B:$B,[1]ModifierDes!$C:$C),3,_xlfn.XLOOKUP(C2339,[1]StuntDes!$B:$B,[1]StuntDes!$C:$C)),"")</f>
        <v/>
      </c>
      <c r="L2339">
        <f t="shared" si="96"/>
        <v>1</v>
      </c>
      <c r="M2339" s="10" t="str">
        <f>IFERROR(_xlfn.XLOOKUP(C2339,[1]StuntDes!$B:$B,[1]StuntDes!$A:$A),"")</f>
        <v/>
      </c>
      <c r="N2339" s="10" t="str">
        <f>IFERROR(_xlfn.XLOOKUP(C2339,[1]ModifierDes!$B:$B,[1]ModifierDes!$A:$A),"")</f>
        <v/>
      </c>
      <c r="O2339" s="10">
        <f>IFERROR(_xlfn.XLOOKUP(C2339,[1]AttributeName!$C:$C,[1]AttributeName!$B:$B),"")</f>
        <v>10017</v>
      </c>
      <c r="P2339" s="10"/>
      <c r="Q2339">
        <v>30</v>
      </c>
      <c r="R2339">
        <v>39</v>
      </c>
      <c r="S2339" cm="1">
        <f t="array" ref="S2339">IFERROR(_xlfn.SWITCH(L2339,1,_xlfn.XLOOKUP(O2339,[1]AttributeName!$B:$B,[1]AttributeName!$D:$D),2,_xlfn.XLOOKUP(C2339,#REF!,#REF!),3,_xlfn.XLOOKUP(C2339,#REF!,#REF!)),0)</f>
        <v>0</v>
      </c>
      <c r="T2339" cm="1">
        <f t="array" ref="T2339">IFERROR(_xlfn.SWITCH(L2339,1,_xlfn.XLOOKUP(O2339,[1]AttributeName!$B:$B,[1]AttributeName!$E:$E),2,_xlfn.XLOOKUP(C2339,#REF!,#REF!),3,_xlfn.XLOOKUP(C2339,#REF!,#REF!)),0)</f>
        <v>1</v>
      </c>
    </row>
    <row r="2340" customFormat="1" spans="1:20">
      <c r="A2340">
        <f t="shared" si="97"/>
        <v>962</v>
      </c>
      <c r="B2340">
        <v>7</v>
      </c>
      <c r="C2340" t="s">
        <v>439</v>
      </c>
      <c r="D2340" t="s">
        <v>32</v>
      </c>
      <c r="E2340" s="13" t="s">
        <v>392</v>
      </c>
      <c r="F2340"/>
      <c r="G2340">
        <v>2</v>
      </c>
      <c r="H2340">
        <v>1000</v>
      </c>
      <c r="J2340" cm="1">
        <f t="array" ref="J2340">_xlfn.SWITCH(B2340,1,75,2,61,3,49,4,37,5,25,6,13,7,4,8,1)</f>
        <v>4</v>
      </c>
      <c r="K2340" t="str" cm="1">
        <f t="array" ref="K2340">IFERROR(_xlfn.SWITCH(L2340,2,_xlfn.XLOOKUP(C2340,[1]ModifierDes!$B:$B,[1]ModifierDes!$C:$C),3,_xlfn.XLOOKUP(C2340,[1]StuntDes!$B:$B,[1]StuntDes!$C:$C)),"")</f>
        <v/>
      </c>
      <c r="L2340">
        <f t="shared" si="96"/>
        <v>1</v>
      </c>
      <c r="M2340" s="10" t="str">
        <f>IFERROR(_xlfn.XLOOKUP(C2340,[1]StuntDes!$B:$B,[1]StuntDes!$A:$A),"")</f>
        <v/>
      </c>
      <c r="N2340" s="10" t="str">
        <f>IFERROR(_xlfn.XLOOKUP(C2340,[1]ModifierDes!$B:$B,[1]ModifierDes!$A:$A),"")</f>
        <v/>
      </c>
      <c r="O2340" s="10">
        <f>IFERROR(_xlfn.XLOOKUP(C2340,[1]AttributeName!$C:$C,[1]AttributeName!$B:$B),"")</f>
        <v>10017</v>
      </c>
      <c r="P2340" s="10"/>
      <c r="Q2340">
        <v>20</v>
      </c>
      <c r="R2340">
        <v>29</v>
      </c>
      <c r="S2340" cm="1">
        <f t="array" ref="S2340">IFERROR(_xlfn.SWITCH(L2340,1,_xlfn.XLOOKUP(O2340,[1]AttributeName!$B:$B,[1]AttributeName!$D:$D),2,_xlfn.XLOOKUP(C2340,#REF!,#REF!),3,_xlfn.XLOOKUP(C2340,#REF!,#REF!)),0)</f>
        <v>0</v>
      </c>
      <c r="T2340" cm="1">
        <f t="array" ref="T2340">IFERROR(_xlfn.SWITCH(L2340,1,_xlfn.XLOOKUP(O2340,[1]AttributeName!$B:$B,[1]AttributeName!$E:$E),2,_xlfn.XLOOKUP(C2340,#REF!,#REF!),3,_xlfn.XLOOKUP(C2340,#REF!,#REF!)),0)</f>
        <v>1</v>
      </c>
    </row>
    <row r="2341" customFormat="1" spans="1:20">
      <c r="A2341">
        <f t="shared" si="97"/>
        <v>962</v>
      </c>
      <c r="B2341">
        <v>8</v>
      </c>
      <c r="C2341" t="s">
        <v>439</v>
      </c>
      <c r="D2341" t="s">
        <v>32</v>
      </c>
      <c r="E2341" s="13" t="s">
        <v>392</v>
      </c>
      <c r="F2341"/>
      <c r="G2341">
        <v>2</v>
      </c>
      <c r="H2341">
        <v>1000</v>
      </c>
      <c r="J2341" cm="1">
        <f t="array" ref="J2341">_xlfn.SWITCH(B2341,1,75,2,61,3,49,4,37,5,25,6,13,7,4,8,1)</f>
        <v>1</v>
      </c>
      <c r="K2341" t="str" cm="1">
        <f t="array" ref="K2341">IFERROR(_xlfn.SWITCH(L2341,2,_xlfn.XLOOKUP(C2341,[1]ModifierDes!$B:$B,[1]ModifierDes!$C:$C),3,_xlfn.XLOOKUP(C2341,[1]StuntDes!$B:$B,[1]StuntDes!$C:$C)),"")</f>
        <v/>
      </c>
      <c r="L2341">
        <f t="shared" si="96"/>
        <v>1</v>
      </c>
      <c r="M2341" s="10" t="str">
        <f>IFERROR(_xlfn.XLOOKUP(C2341,[1]StuntDes!$B:$B,[1]StuntDes!$A:$A),"")</f>
        <v/>
      </c>
      <c r="N2341" s="10" t="str">
        <f>IFERROR(_xlfn.XLOOKUP(C2341,[1]ModifierDes!$B:$B,[1]ModifierDes!$A:$A),"")</f>
        <v/>
      </c>
      <c r="O2341" s="10">
        <f>IFERROR(_xlfn.XLOOKUP(C2341,[1]AttributeName!$C:$C,[1]AttributeName!$B:$B),"")</f>
        <v>10017</v>
      </c>
      <c r="P2341" s="10"/>
      <c r="Q2341">
        <v>10</v>
      </c>
      <c r="R2341">
        <v>19</v>
      </c>
      <c r="S2341" cm="1">
        <f t="array" ref="S2341">IFERROR(_xlfn.SWITCH(L2341,1,_xlfn.XLOOKUP(O2341,[1]AttributeName!$B:$B,[1]AttributeName!$D:$D),2,_xlfn.XLOOKUP(C2341,#REF!,#REF!),3,_xlfn.XLOOKUP(C2341,#REF!,#REF!)),0)</f>
        <v>0</v>
      </c>
      <c r="T2341" cm="1">
        <f t="array" ref="T2341">IFERROR(_xlfn.SWITCH(L2341,1,_xlfn.XLOOKUP(O2341,[1]AttributeName!$B:$B,[1]AttributeName!$E:$E),2,_xlfn.XLOOKUP(C2341,#REF!,#REF!),3,_xlfn.XLOOKUP(C2341,#REF!,#REF!)),0)</f>
        <v>1</v>
      </c>
    </row>
    <row r="2342" customFormat="1" spans="1:20">
      <c r="A2342">
        <f t="shared" si="97"/>
        <v>963</v>
      </c>
      <c r="B2342">
        <v>1</v>
      </c>
      <c r="C2342" t="s">
        <v>440</v>
      </c>
      <c r="D2342" t="s">
        <v>32</v>
      </c>
      <c r="E2342" s="13" t="s">
        <v>392</v>
      </c>
      <c r="F2342"/>
      <c r="G2342">
        <v>2</v>
      </c>
      <c r="H2342">
        <v>250</v>
      </c>
      <c r="J2342" cm="1">
        <f t="array" ref="J2342">_xlfn.SWITCH(B2342,1,75,2,61,3,49,4,37,5,25,6,13,7,4,8,1)</f>
        <v>75</v>
      </c>
      <c r="K2342" t="str" cm="1">
        <f t="array" ref="K2342">IFERROR(_xlfn.SWITCH(L2342,2,_xlfn.XLOOKUP(C2342,[1]ModifierDes!$B:$B,[1]ModifierDes!$C:$C),3,_xlfn.XLOOKUP(C2342,[1]StuntDes!$B:$B,[1]StuntDes!$C:$C)),"")</f>
        <v/>
      </c>
      <c r="L2342">
        <f t="shared" si="96"/>
        <v>1</v>
      </c>
      <c r="M2342" s="10" t="str">
        <f>IFERROR(_xlfn.XLOOKUP(C2342,[1]StuntDes!$B:$B,[1]StuntDes!$A:$A),"")</f>
        <v/>
      </c>
      <c r="N2342" s="10" t="str">
        <f>IFERROR(_xlfn.XLOOKUP(C2342,[1]ModifierDes!$B:$B,[1]ModifierDes!$A:$A),"")</f>
        <v/>
      </c>
      <c r="O2342" s="10">
        <f>IFERROR(_xlfn.XLOOKUP(C2342,[1]AttributeName!$C:$C,[1]AttributeName!$B:$B),"")</f>
        <v>10016</v>
      </c>
      <c r="P2342" s="10"/>
      <c r="Q2342">
        <v>22</v>
      </c>
      <c r="R2342">
        <v>24</v>
      </c>
      <c r="S2342" cm="1">
        <f t="array" ref="S2342">IFERROR(_xlfn.SWITCH(L2342,1,_xlfn.XLOOKUP(O2342,[1]AttributeName!$B:$B,[1]AttributeName!$D:$D),2,_xlfn.XLOOKUP(C2342,#REF!,#REF!),3,_xlfn.XLOOKUP(C2342,#REF!,#REF!)),0)</f>
        <v>0</v>
      </c>
      <c r="T2342" cm="1">
        <f t="array" ref="T2342">IFERROR(_xlfn.SWITCH(L2342,1,_xlfn.XLOOKUP(O2342,[1]AttributeName!$B:$B,[1]AttributeName!$E:$E),2,_xlfn.XLOOKUP(C2342,#REF!,#REF!),3,_xlfn.XLOOKUP(C2342,#REF!,#REF!)),0)</f>
        <v>1</v>
      </c>
    </row>
    <row r="2343" customFormat="1" spans="1:20">
      <c r="A2343">
        <f t="shared" si="97"/>
        <v>963</v>
      </c>
      <c r="B2343">
        <v>2</v>
      </c>
      <c r="C2343" t="s">
        <v>440</v>
      </c>
      <c r="D2343" t="s">
        <v>32</v>
      </c>
      <c r="E2343" s="13" t="s">
        <v>392</v>
      </c>
      <c r="F2343"/>
      <c r="G2343">
        <v>2</v>
      </c>
      <c r="H2343">
        <v>500</v>
      </c>
      <c r="J2343" cm="1">
        <f t="array" ref="J2343">_xlfn.SWITCH(B2343,1,75,2,61,3,49,4,37,5,25,6,13,7,4,8,1)</f>
        <v>61</v>
      </c>
      <c r="K2343" t="str" cm="1">
        <f t="array" ref="K2343">IFERROR(_xlfn.SWITCH(L2343,2,_xlfn.XLOOKUP(C2343,[1]ModifierDes!$B:$B,[1]ModifierDes!$C:$C),3,_xlfn.XLOOKUP(C2343,[1]StuntDes!$B:$B,[1]StuntDes!$C:$C)),"")</f>
        <v/>
      </c>
      <c r="L2343">
        <f t="shared" si="96"/>
        <v>1</v>
      </c>
      <c r="M2343" s="10" t="str">
        <f>IFERROR(_xlfn.XLOOKUP(C2343,[1]StuntDes!$B:$B,[1]StuntDes!$A:$A),"")</f>
        <v/>
      </c>
      <c r="N2343" s="10" t="str">
        <f>IFERROR(_xlfn.XLOOKUP(C2343,[1]ModifierDes!$B:$B,[1]ModifierDes!$A:$A),"")</f>
        <v/>
      </c>
      <c r="O2343" s="10">
        <f>IFERROR(_xlfn.XLOOKUP(C2343,[1]AttributeName!$C:$C,[1]AttributeName!$B:$B),"")</f>
        <v>10016</v>
      </c>
      <c r="P2343" s="10"/>
      <c r="Q2343">
        <v>19</v>
      </c>
      <c r="R2343">
        <v>21</v>
      </c>
      <c r="S2343" cm="1">
        <f t="array" ref="S2343">IFERROR(_xlfn.SWITCH(L2343,1,_xlfn.XLOOKUP(O2343,[1]AttributeName!$B:$B,[1]AttributeName!$D:$D),2,_xlfn.XLOOKUP(C2343,#REF!,#REF!),3,_xlfn.XLOOKUP(C2343,#REF!,#REF!)),0)</f>
        <v>0</v>
      </c>
      <c r="T2343" cm="1">
        <f t="array" ref="T2343">IFERROR(_xlfn.SWITCH(L2343,1,_xlfn.XLOOKUP(O2343,[1]AttributeName!$B:$B,[1]AttributeName!$E:$E),2,_xlfn.XLOOKUP(C2343,#REF!,#REF!),3,_xlfn.XLOOKUP(C2343,#REF!,#REF!)),0)</f>
        <v>1</v>
      </c>
    </row>
    <row r="2344" customFormat="1" spans="1:20">
      <c r="A2344">
        <f t="shared" si="97"/>
        <v>963</v>
      </c>
      <c r="B2344">
        <v>3</v>
      </c>
      <c r="C2344" t="s">
        <v>440</v>
      </c>
      <c r="D2344" t="s">
        <v>32</v>
      </c>
      <c r="E2344" s="13" t="s">
        <v>392</v>
      </c>
      <c r="F2344"/>
      <c r="G2344">
        <v>2</v>
      </c>
      <c r="H2344">
        <v>750</v>
      </c>
      <c r="J2344" cm="1">
        <f t="array" ref="J2344">_xlfn.SWITCH(B2344,1,75,2,61,3,49,4,37,5,25,6,13,7,4,8,1)</f>
        <v>49</v>
      </c>
      <c r="K2344" t="str" cm="1">
        <f t="array" ref="K2344">IFERROR(_xlfn.SWITCH(L2344,2,_xlfn.XLOOKUP(C2344,[1]ModifierDes!$B:$B,[1]ModifierDes!$C:$C),3,_xlfn.XLOOKUP(C2344,[1]StuntDes!$B:$B,[1]StuntDes!$C:$C)),"")</f>
        <v/>
      </c>
      <c r="L2344">
        <f t="shared" si="96"/>
        <v>1</v>
      </c>
      <c r="M2344" s="10" t="str">
        <f>IFERROR(_xlfn.XLOOKUP(C2344,[1]StuntDes!$B:$B,[1]StuntDes!$A:$A),"")</f>
        <v/>
      </c>
      <c r="N2344" s="10" t="str">
        <f>IFERROR(_xlfn.XLOOKUP(C2344,[1]ModifierDes!$B:$B,[1]ModifierDes!$A:$A),"")</f>
        <v/>
      </c>
      <c r="O2344" s="10">
        <f>IFERROR(_xlfn.XLOOKUP(C2344,[1]AttributeName!$C:$C,[1]AttributeName!$B:$B),"")</f>
        <v>10016</v>
      </c>
      <c r="P2344" s="10"/>
      <c r="Q2344">
        <v>16</v>
      </c>
      <c r="R2344">
        <v>18</v>
      </c>
      <c r="S2344" cm="1">
        <f t="array" ref="S2344">IFERROR(_xlfn.SWITCH(L2344,1,_xlfn.XLOOKUP(O2344,[1]AttributeName!$B:$B,[1]AttributeName!$D:$D),2,_xlfn.XLOOKUP(C2344,#REF!,#REF!),3,_xlfn.XLOOKUP(C2344,#REF!,#REF!)),0)</f>
        <v>0</v>
      </c>
      <c r="T2344" cm="1">
        <f t="array" ref="T2344">IFERROR(_xlfn.SWITCH(L2344,1,_xlfn.XLOOKUP(O2344,[1]AttributeName!$B:$B,[1]AttributeName!$E:$E),2,_xlfn.XLOOKUP(C2344,#REF!,#REF!),3,_xlfn.XLOOKUP(C2344,#REF!,#REF!)),0)</f>
        <v>1</v>
      </c>
    </row>
    <row r="2345" customFormat="1" spans="1:20">
      <c r="A2345">
        <f t="shared" si="97"/>
        <v>963</v>
      </c>
      <c r="B2345">
        <v>4</v>
      </c>
      <c r="C2345" t="s">
        <v>440</v>
      </c>
      <c r="D2345" t="s">
        <v>32</v>
      </c>
      <c r="E2345" s="13" t="s">
        <v>392</v>
      </c>
      <c r="F2345"/>
      <c r="G2345">
        <v>2</v>
      </c>
      <c r="H2345">
        <v>1000</v>
      </c>
      <c r="J2345" cm="1">
        <f t="array" ref="J2345">_xlfn.SWITCH(B2345,1,75,2,61,3,49,4,37,5,25,6,13,7,4,8,1)</f>
        <v>37</v>
      </c>
      <c r="K2345" t="str" cm="1">
        <f t="array" ref="K2345">IFERROR(_xlfn.SWITCH(L2345,2,_xlfn.XLOOKUP(C2345,[1]ModifierDes!$B:$B,[1]ModifierDes!$C:$C),3,_xlfn.XLOOKUP(C2345,[1]StuntDes!$B:$B,[1]StuntDes!$C:$C)),"")</f>
        <v/>
      </c>
      <c r="L2345">
        <f t="shared" si="96"/>
        <v>1</v>
      </c>
      <c r="M2345" s="10" t="str">
        <f>IFERROR(_xlfn.XLOOKUP(C2345,[1]StuntDes!$B:$B,[1]StuntDes!$A:$A),"")</f>
        <v/>
      </c>
      <c r="N2345" s="10" t="str">
        <f>IFERROR(_xlfn.XLOOKUP(C2345,[1]ModifierDes!$B:$B,[1]ModifierDes!$A:$A),"")</f>
        <v/>
      </c>
      <c r="O2345" s="10">
        <f>IFERROR(_xlfn.XLOOKUP(C2345,[1]AttributeName!$C:$C,[1]AttributeName!$B:$B),"")</f>
        <v>10016</v>
      </c>
      <c r="P2345" s="10"/>
      <c r="Q2345">
        <v>13</v>
      </c>
      <c r="R2345">
        <v>15</v>
      </c>
      <c r="S2345" cm="1">
        <f t="array" ref="S2345">IFERROR(_xlfn.SWITCH(L2345,1,_xlfn.XLOOKUP(O2345,[1]AttributeName!$B:$B,[1]AttributeName!$D:$D),2,_xlfn.XLOOKUP(C2345,#REF!,#REF!),3,_xlfn.XLOOKUP(C2345,#REF!,#REF!)),0)</f>
        <v>0</v>
      </c>
      <c r="T2345" cm="1">
        <f t="array" ref="T2345">IFERROR(_xlfn.SWITCH(L2345,1,_xlfn.XLOOKUP(O2345,[1]AttributeName!$B:$B,[1]AttributeName!$E:$E),2,_xlfn.XLOOKUP(C2345,#REF!,#REF!),3,_xlfn.XLOOKUP(C2345,#REF!,#REF!)),0)</f>
        <v>1</v>
      </c>
    </row>
    <row r="2346" customFormat="1" spans="1:20">
      <c r="A2346">
        <f t="shared" si="97"/>
        <v>963</v>
      </c>
      <c r="B2346">
        <v>5</v>
      </c>
      <c r="C2346" t="s">
        <v>440</v>
      </c>
      <c r="D2346" t="s">
        <v>32</v>
      </c>
      <c r="E2346" s="13" t="s">
        <v>392</v>
      </c>
      <c r="F2346"/>
      <c r="G2346">
        <v>2</v>
      </c>
      <c r="H2346">
        <v>1000</v>
      </c>
      <c r="J2346" cm="1">
        <f t="array" ref="J2346">_xlfn.SWITCH(B2346,1,75,2,61,3,49,4,37,5,25,6,13,7,4,8,1)</f>
        <v>25</v>
      </c>
      <c r="K2346" t="str" cm="1">
        <f t="array" ref="K2346">IFERROR(_xlfn.SWITCH(L2346,2,_xlfn.XLOOKUP(C2346,[1]ModifierDes!$B:$B,[1]ModifierDes!$C:$C),3,_xlfn.XLOOKUP(C2346,[1]StuntDes!$B:$B,[1]StuntDes!$C:$C)),"")</f>
        <v/>
      </c>
      <c r="L2346">
        <f t="shared" si="96"/>
        <v>1</v>
      </c>
      <c r="M2346" s="10" t="str">
        <f>IFERROR(_xlfn.XLOOKUP(C2346,[1]StuntDes!$B:$B,[1]StuntDes!$A:$A),"")</f>
        <v/>
      </c>
      <c r="N2346" s="10" t="str">
        <f>IFERROR(_xlfn.XLOOKUP(C2346,[1]ModifierDes!$B:$B,[1]ModifierDes!$A:$A),"")</f>
        <v/>
      </c>
      <c r="O2346" s="10">
        <f>IFERROR(_xlfn.XLOOKUP(C2346,[1]AttributeName!$C:$C,[1]AttributeName!$B:$B),"")</f>
        <v>10016</v>
      </c>
      <c r="P2346" s="10"/>
      <c r="Q2346">
        <v>10</v>
      </c>
      <c r="R2346">
        <v>12</v>
      </c>
      <c r="S2346" cm="1">
        <f t="array" ref="S2346">IFERROR(_xlfn.SWITCH(L2346,1,_xlfn.XLOOKUP(O2346,[1]AttributeName!$B:$B,[1]AttributeName!$D:$D),2,_xlfn.XLOOKUP(C2346,#REF!,#REF!),3,_xlfn.XLOOKUP(C2346,#REF!,#REF!)),0)</f>
        <v>0</v>
      </c>
      <c r="T2346" cm="1">
        <f t="array" ref="T2346">IFERROR(_xlfn.SWITCH(L2346,1,_xlfn.XLOOKUP(O2346,[1]AttributeName!$B:$B,[1]AttributeName!$E:$E),2,_xlfn.XLOOKUP(C2346,#REF!,#REF!),3,_xlfn.XLOOKUP(C2346,#REF!,#REF!)),0)</f>
        <v>1</v>
      </c>
    </row>
    <row r="2347" customFormat="1" spans="1:20">
      <c r="A2347">
        <f t="shared" si="97"/>
        <v>963</v>
      </c>
      <c r="B2347">
        <v>6</v>
      </c>
      <c r="C2347" t="s">
        <v>440</v>
      </c>
      <c r="D2347" t="s">
        <v>32</v>
      </c>
      <c r="E2347" s="13" t="s">
        <v>392</v>
      </c>
      <c r="F2347"/>
      <c r="G2347">
        <v>2</v>
      </c>
      <c r="H2347">
        <v>1000</v>
      </c>
      <c r="J2347" cm="1">
        <f t="array" ref="J2347">_xlfn.SWITCH(B2347,1,75,2,61,3,49,4,37,5,25,6,13,7,4,8,1)</f>
        <v>13</v>
      </c>
      <c r="K2347" t="str" cm="1">
        <f t="array" ref="K2347">IFERROR(_xlfn.SWITCH(L2347,2,_xlfn.XLOOKUP(C2347,[1]ModifierDes!$B:$B,[1]ModifierDes!$C:$C),3,_xlfn.XLOOKUP(C2347,[1]StuntDes!$B:$B,[1]StuntDes!$C:$C)),"")</f>
        <v/>
      </c>
      <c r="L2347">
        <f t="shared" si="96"/>
        <v>1</v>
      </c>
      <c r="M2347" s="10" t="str">
        <f>IFERROR(_xlfn.XLOOKUP(C2347,[1]StuntDes!$B:$B,[1]StuntDes!$A:$A),"")</f>
        <v/>
      </c>
      <c r="N2347" s="10" t="str">
        <f>IFERROR(_xlfn.XLOOKUP(C2347,[1]ModifierDes!$B:$B,[1]ModifierDes!$A:$A),"")</f>
        <v/>
      </c>
      <c r="O2347" s="10">
        <f>IFERROR(_xlfn.XLOOKUP(C2347,[1]AttributeName!$C:$C,[1]AttributeName!$B:$B),"")</f>
        <v>10016</v>
      </c>
      <c r="P2347" s="10"/>
      <c r="Q2347">
        <v>7</v>
      </c>
      <c r="R2347">
        <v>9</v>
      </c>
      <c r="S2347" cm="1">
        <f t="array" ref="S2347">IFERROR(_xlfn.SWITCH(L2347,1,_xlfn.XLOOKUP(O2347,[1]AttributeName!$B:$B,[1]AttributeName!$D:$D),2,_xlfn.XLOOKUP(C2347,#REF!,#REF!),3,_xlfn.XLOOKUP(C2347,#REF!,#REF!)),0)</f>
        <v>0</v>
      </c>
      <c r="T2347" cm="1">
        <f t="array" ref="T2347">IFERROR(_xlfn.SWITCH(L2347,1,_xlfn.XLOOKUP(O2347,[1]AttributeName!$B:$B,[1]AttributeName!$E:$E),2,_xlfn.XLOOKUP(C2347,#REF!,#REF!),3,_xlfn.XLOOKUP(C2347,#REF!,#REF!)),0)</f>
        <v>1</v>
      </c>
    </row>
    <row r="2348" customFormat="1" spans="1:20">
      <c r="A2348">
        <f t="shared" si="97"/>
        <v>963</v>
      </c>
      <c r="B2348">
        <v>7</v>
      </c>
      <c r="C2348" t="s">
        <v>440</v>
      </c>
      <c r="D2348" t="s">
        <v>32</v>
      </c>
      <c r="E2348" s="13" t="s">
        <v>392</v>
      </c>
      <c r="F2348"/>
      <c r="G2348">
        <v>2</v>
      </c>
      <c r="H2348">
        <v>1000</v>
      </c>
      <c r="J2348" cm="1">
        <f t="array" ref="J2348">_xlfn.SWITCH(B2348,1,75,2,61,3,49,4,37,5,25,6,13,7,4,8,1)</f>
        <v>4</v>
      </c>
      <c r="K2348" t="str" cm="1">
        <f t="array" ref="K2348">IFERROR(_xlfn.SWITCH(L2348,2,_xlfn.XLOOKUP(C2348,[1]ModifierDes!$B:$B,[1]ModifierDes!$C:$C),3,_xlfn.XLOOKUP(C2348,[1]StuntDes!$B:$B,[1]StuntDes!$C:$C)),"")</f>
        <v/>
      </c>
      <c r="L2348">
        <f t="shared" si="96"/>
        <v>1</v>
      </c>
      <c r="M2348" s="10" t="str">
        <f>IFERROR(_xlfn.XLOOKUP(C2348,[1]StuntDes!$B:$B,[1]StuntDes!$A:$A),"")</f>
        <v/>
      </c>
      <c r="N2348" s="10" t="str">
        <f>IFERROR(_xlfn.XLOOKUP(C2348,[1]ModifierDes!$B:$B,[1]ModifierDes!$A:$A),"")</f>
        <v/>
      </c>
      <c r="O2348" s="10">
        <f>IFERROR(_xlfn.XLOOKUP(C2348,[1]AttributeName!$C:$C,[1]AttributeName!$B:$B),"")</f>
        <v>10016</v>
      </c>
      <c r="P2348" s="10"/>
      <c r="Q2348">
        <v>4</v>
      </c>
      <c r="R2348">
        <v>6</v>
      </c>
      <c r="S2348" cm="1">
        <f t="array" ref="S2348">IFERROR(_xlfn.SWITCH(L2348,1,_xlfn.XLOOKUP(O2348,[1]AttributeName!$B:$B,[1]AttributeName!$D:$D),2,_xlfn.XLOOKUP(C2348,#REF!,#REF!),3,_xlfn.XLOOKUP(C2348,#REF!,#REF!)),0)</f>
        <v>0</v>
      </c>
      <c r="T2348" cm="1">
        <f t="array" ref="T2348">IFERROR(_xlfn.SWITCH(L2348,1,_xlfn.XLOOKUP(O2348,[1]AttributeName!$B:$B,[1]AttributeName!$E:$E),2,_xlfn.XLOOKUP(C2348,#REF!,#REF!),3,_xlfn.XLOOKUP(C2348,#REF!,#REF!)),0)</f>
        <v>1</v>
      </c>
    </row>
    <row r="2349" customFormat="1" spans="1:20">
      <c r="A2349">
        <f t="shared" si="97"/>
        <v>963</v>
      </c>
      <c r="B2349">
        <v>8</v>
      </c>
      <c r="C2349" t="s">
        <v>440</v>
      </c>
      <c r="D2349" t="s">
        <v>32</v>
      </c>
      <c r="E2349" s="13" t="s">
        <v>392</v>
      </c>
      <c r="F2349"/>
      <c r="G2349">
        <v>2</v>
      </c>
      <c r="H2349">
        <v>1000</v>
      </c>
      <c r="J2349" cm="1">
        <f t="array" ref="J2349">_xlfn.SWITCH(B2349,1,75,2,61,3,49,4,37,5,25,6,13,7,4,8,1)</f>
        <v>1</v>
      </c>
      <c r="K2349" t="str" cm="1">
        <f t="array" ref="K2349">IFERROR(_xlfn.SWITCH(L2349,2,_xlfn.XLOOKUP(C2349,[1]ModifierDes!$B:$B,[1]ModifierDes!$C:$C),3,_xlfn.XLOOKUP(C2349,[1]StuntDes!$B:$B,[1]StuntDes!$C:$C)),"")</f>
        <v/>
      </c>
      <c r="L2349">
        <f t="shared" si="96"/>
        <v>1</v>
      </c>
      <c r="M2349" s="10" t="str">
        <f>IFERROR(_xlfn.XLOOKUP(C2349,[1]StuntDes!$B:$B,[1]StuntDes!$A:$A),"")</f>
        <v/>
      </c>
      <c r="N2349" s="10" t="str">
        <f>IFERROR(_xlfn.XLOOKUP(C2349,[1]ModifierDes!$B:$B,[1]ModifierDes!$A:$A),"")</f>
        <v/>
      </c>
      <c r="O2349" s="10">
        <f>IFERROR(_xlfn.XLOOKUP(C2349,[1]AttributeName!$C:$C,[1]AttributeName!$B:$B),"")</f>
        <v>10016</v>
      </c>
      <c r="P2349" s="10"/>
      <c r="Q2349">
        <v>1</v>
      </c>
      <c r="R2349">
        <v>3</v>
      </c>
      <c r="S2349" cm="1">
        <f t="array" ref="S2349">IFERROR(_xlfn.SWITCH(L2349,1,_xlfn.XLOOKUP(O2349,[1]AttributeName!$B:$B,[1]AttributeName!$D:$D),2,_xlfn.XLOOKUP(C2349,#REF!,#REF!),3,_xlfn.XLOOKUP(C2349,#REF!,#REF!)),0)</f>
        <v>0</v>
      </c>
      <c r="T2349" cm="1">
        <f t="array" ref="T2349">IFERROR(_xlfn.SWITCH(L2349,1,_xlfn.XLOOKUP(O2349,[1]AttributeName!$B:$B,[1]AttributeName!$E:$E),2,_xlfn.XLOOKUP(C2349,#REF!,#REF!),3,_xlfn.XLOOKUP(C2349,#REF!,#REF!)),0)</f>
        <v>1</v>
      </c>
    </row>
    <row r="2350" customFormat="1" spans="1:20">
      <c r="A2350">
        <f t="shared" si="97"/>
        <v>964</v>
      </c>
      <c r="B2350">
        <v>1</v>
      </c>
      <c r="C2350" t="s">
        <v>441</v>
      </c>
      <c r="D2350" t="s">
        <v>32</v>
      </c>
      <c r="E2350" s="13" t="s">
        <v>392</v>
      </c>
      <c r="F2350"/>
      <c r="G2350">
        <v>2</v>
      </c>
      <c r="H2350">
        <v>250</v>
      </c>
      <c r="J2350" cm="1">
        <f t="array" ref="J2350">_xlfn.SWITCH(B2350,1,75,2,61,3,49,4,37,5,25,6,13,7,4,8,1)</f>
        <v>75</v>
      </c>
      <c r="K2350" t="str" cm="1">
        <f t="array" ref="K2350">IFERROR(_xlfn.SWITCH(L2350,2,_xlfn.XLOOKUP(C2350,[1]ModifierDes!$B:$B,[1]ModifierDes!$C:$C),3,_xlfn.XLOOKUP(C2350,[1]StuntDes!$B:$B,[1]StuntDes!$C:$C)),"")</f>
        <v/>
      </c>
      <c r="L2350">
        <f t="shared" si="96"/>
        <v>1</v>
      </c>
      <c r="M2350" s="10" t="str">
        <f>IFERROR(_xlfn.XLOOKUP(C2350,[1]StuntDes!$B:$B,[1]StuntDes!$A:$A),"")</f>
        <v/>
      </c>
      <c r="N2350" s="10" t="str">
        <f>IFERROR(_xlfn.XLOOKUP(C2350,[1]ModifierDes!$B:$B,[1]ModifierDes!$A:$A),"")</f>
        <v/>
      </c>
      <c r="O2350" s="10">
        <f>IFERROR(_xlfn.XLOOKUP(C2350,[1]AttributeName!$C:$C,[1]AttributeName!$B:$B),"")</f>
        <v>10018</v>
      </c>
      <c r="P2350" s="10"/>
      <c r="Q2350">
        <v>22</v>
      </c>
      <c r="R2350">
        <v>24</v>
      </c>
      <c r="S2350" cm="1">
        <f t="array" ref="S2350">IFERROR(_xlfn.SWITCH(L2350,1,_xlfn.XLOOKUP(O2350,[1]AttributeName!$B:$B,[1]AttributeName!$D:$D),2,_xlfn.XLOOKUP(C2350,#REF!,#REF!),3,_xlfn.XLOOKUP(C2350,#REF!,#REF!)),0)</f>
        <v>0</v>
      </c>
      <c r="T2350" cm="1">
        <f t="array" ref="T2350">IFERROR(_xlfn.SWITCH(L2350,1,_xlfn.XLOOKUP(O2350,[1]AttributeName!$B:$B,[1]AttributeName!$E:$E),2,_xlfn.XLOOKUP(C2350,#REF!,#REF!),3,_xlfn.XLOOKUP(C2350,#REF!,#REF!)),0)</f>
        <v>1</v>
      </c>
    </row>
    <row r="2351" customFormat="1" spans="1:20">
      <c r="A2351">
        <f t="shared" si="97"/>
        <v>964</v>
      </c>
      <c r="B2351">
        <v>2</v>
      </c>
      <c r="C2351" t="s">
        <v>441</v>
      </c>
      <c r="D2351" t="s">
        <v>32</v>
      </c>
      <c r="E2351" s="13" t="s">
        <v>392</v>
      </c>
      <c r="F2351"/>
      <c r="G2351">
        <v>2</v>
      </c>
      <c r="H2351">
        <v>500</v>
      </c>
      <c r="J2351" cm="1">
        <f t="array" ref="J2351">_xlfn.SWITCH(B2351,1,75,2,61,3,49,4,37,5,25,6,13,7,4,8,1)</f>
        <v>61</v>
      </c>
      <c r="K2351" t="str" cm="1">
        <f t="array" ref="K2351">IFERROR(_xlfn.SWITCH(L2351,2,_xlfn.XLOOKUP(C2351,[1]ModifierDes!$B:$B,[1]ModifierDes!$C:$C),3,_xlfn.XLOOKUP(C2351,[1]StuntDes!$B:$B,[1]StuntDes!$C:$C)),"")</f>
        <v/>
      </c>
      <c r="L2351">
        <f t="shared" si="96"/>
        <v>1</v>
      </c>
      <c r="M2351" s="10" t="str">
        <f>IFERROR(_xlfn.XLOOKUP(C2351,[1]StuntDes!$B:$B,[1]StuntDes!$A:$A),"")</f>
        <v/>
      </c>
      <c r="N2351" s="10" t="str">
        <f>IFERROR(_xlfn.XLOOKUP(C2351,[1]ModifierDes!$B:$B,[1]ModifierDes!$A:$A),"")</f>
        <v/>
      </c>
      <c r="O2351" s="10">
        <f>IFERROR(_xlfn.XLOOKUP(C2351,[1]AttributeName!$C:$C,[1]AttributeName!$B:$B),"")</f>
        <v>10018</v>
      </c>
      <c r="P2351" s="10"/>
      <c r="Q2351">
        <v>19</v>
      </c>
      <c r="R2351">
        <v>21</v>
      </c>
      <c r="S2351" cm="1">
        <f t="array" ref="S2351">IFERROR(_xlfn.SWITCH(L2351,1,_xlfn.XLOOKUP(O2351,[1]AttributeName!$B:$B,[1]AttributeName!$D:$D),2,_xlfn.XLOOKUP(C2351,#REF!,#REF!),3,_xlfn.XLOOKUP(C2351,#REF!,#REF!)),0)</f>
        <v>0</v>
      </c>
      <c r="T2351" cm="1">
        <f t="array" ref="T2351">IFERROR(_xlfn.SWITCH(L2351,1,_xlfn.XLOOKUP(O2351,[1]AttributeName!$B:$B,[1]AttributeName!$E:$E),2,_xlfn.XLOOKUP(C2351,#REF!,#REF!),3,_xlfn.XLOOKUP(C2351,#REF!,#REF!)),0)</f>
        <v>1</v>
      </c>
    </row>
    <row r="2352" customFormat="1" spans="1:20">
      <c r="A2352">
        <f t="shared" si="97"/>
        <v>964</v>
      </c>
      <c r="B2352">
        <v>3</v>
      </c>
      <c r="C2352" t="s">
        <v>441</v>
      </c>
      <c r="D2352" t="s">
        <v>32</v>
      </c>
      <c r="E2352" s="13" t="s">
        <v>392</v>
      </c>
      <c r="F2352"/>
      <c r="G2352">
        <v>2</v>
      </c>
      <c r="H2352">
        <v>750</v>
      </c>
      <c r="J2352" cm="1">
        <f t="array" ref="J2352">_xlfn.SWITCH(B2352,1,75,2,61,3,49,4,37,5,25,6,13,7,4,8,1)</f>
        <v>49</v>
      </c>
      <c r="K2352" t="str" cm="1">
        <f t="array" ref="K2352">IFERROR(_xlfn.SWITCH(L2352,2,_xlfn.XLOOKUP(C2352,[1]ModifierDes!$B:$B,[1]ModifierDes!$C:$C),3,_xlfn.XLOOKUP(C2352,[1]StuntDes!$B:$B,[1]StuntDes!$C:$C)),"")</f>
        <v/>
      </c>
      <c r="L2352">
        <f t="shared" si="96"/>
        <v>1</v>
      </c>
      <c r="M2352" s="10" t="str">
        <f>IFERROR(_xlfn.XLOOKUP(C2352,[1]StuntDes!$B:$B,[1]StuntDes!$A:$A),"")</f>
        <v/>
      </c>
      <c r="N2352" s="10" t="str">
        <f>IFERROR(_xlfn.XLOOKUP(C2352,[1]ModifierDes!$B:$B,[1]ModifierDes!$A:$A),"")</f>
        <v/>
      </c>
      <c r="O2352" s="10">
        <f>IFERROR(_xlfn.XLOOKUP(C2352,[1]AttributeName!$C:$C,[1]AttributeName!$B:$B),"")</f>
        <v>10018</v>
      </c>
      <c r="P2352" s="10"/>
      <c r="Q2352">
        <v>16</v>
      </c>
      <c r="R2352">
        <v>18</v>
      </c>
      <c r="S2352" cm="1">
        <f t="array" ref="S2352">IFERROR(_xlfn.SWITCH(L2352,1,_xlfn.XLOOKUP(O2352,[1]AttributeName!$B:$B,[1]AttributeName!$D:$D),2,_xlfn.XLOOKUP(C2352,#REF!,#REF!),3,_xlfn.XLOOKUP(C2352,#REF!,#REF!)),0)</f>
        <v>0</v>
      </c>
      <c r="T2352" cm="1">
        <f t="array" ref="T2352">IFERROR(_xlfn.SWITCH(L2352,1,_xlfn.XLOOKUP(O2352,[1]AttributeName!$B:$B,[1]AttributeName!$E:$E),2,_xlfn.XLOOKUP(C2352,#REF!,#REF!),3,_xlfn.XLOOKUP(C2352,#REF!,#REF!)),0)</f>
        <v>1</v>
      </c>
    </row>
    <row r="2353" customFormat="1" spans="1:20">
      <c r="A2353">
        <f t="shared" si="97"/>
        <v>964</v>
      </c>
      <c r="B2353">
        <v>4</v>
      </c>
      <c r="C2353" t="s">
        <v>441</v>
      </c>
      <c r="D2353" t="s">
        <v>32</v>
      </c>
      <c r="E2353" s="13" t="s">
        <v>392</v>
      </c>
      <c r="F2353"/>
      <c r="G2353">
        <v>2</v>
      </c>
      <c r="H2353">
        <v>1000</v>
      </c>
      <c r="J2353" cm="1">
        <f t="array" ref="J2353">_xlfn.SWITCH(B2353,1,75,2,61,3,49,4,37,5,25,6,13,7,4,8,1)</f>
        <v>37</v>
      </c>
      <c r="K2353" t="str" cm="1">
        <f t="array" ref="K2353">IFERROR(_xlfn.SWITCH(L2353,2,_xlfn.XLOOKUP(C2353,[1]ModifierDes!$B:$B,[1]ModifierDes!$C:$C),3,_xlfn.XLOOKUP(C2353,[1]StuntDes!$B:$B,[1]StuntDes!$C:$C)),"")</f>
        <v/>
      </c>
      <c r="L2353">
        <f t="shared" si="96"/>
        <v>1</v>
      </c>
      <c r="M2353" s="10" t="str">
        <f>IFERROR(_xlfn.XLOOKUP(C2353,[1]StuntDes!$B:$B,[1]StuntDes!$A:$A),"")</f>
        <v/>
      </c>
      <c r="N2353" s="10" t="str">
        <f>IFERROR(_xlfn.XLOOKUP(C2353,[1]ModifierDes!$B:$B,[1]ModifierDes!$A:$A),"")</f>
        <v/>
      </c>
      <c r="O2353" s="10">
        <f>IFERROR(_xlfn.XLOOKUP(C2353,[1]AttributeName!$C:$C,[1]AttributeName!$B:$B),"")</f>
        <v>10018</v>
      </c>
      <c r="P2353" s="10"/>
      <c r="Q2353">
        <v>13</v>
      </c>
      <c r="R2353">
        <v>15</v>
      </c>
      <c r="S2353" cm="1">
        <f t="array" ref="S2353">IFERROR(_xlfn.SWITCH(L2353,1,_xlfn.XLOOKUP(O2353,[1]AttributeName!$B:$B,[1]AttributeName!$D:$D),2,_xlfn.XLOOKUP(C2353,#REF!,#REF!),3,_xlfn.XLOOKUP(C2353,#REF!,#REF!)),0)</f>
        <v>0</v>
      </c>
      <c r="T2353" cm="1">
        <f t="array" ref="T2353">IFERROR(_xlfn.SWITCH(L2353,1,_xlfn.XLOOKUP(O2353,[1]AttributeName!$B:$B,[1]AttributeName!$E:$E),2,_xlfn.XLOOKUP(C2353,#REF!,#REF!),3,_xlfn.XLOOKUP(C2353,#REF!,#REF!)),0)</f>
        <v>1</v>
      </c>
    </row>
    <row r="2354" customFormat="1" spans="1:20">
      <c r="A2354">
        <f t="shared" si="97"/>
        <v>964</v>
      </c>
      <c r="B2354">
        <v>5</v>
      </c>
      <c r="C2354" t="s">
        <v>441</v>
      </c>
      <c r="D2354" t="s">
        <v>32</v>
      </c>
      <c r="E2354" s="13" t="s">
        <v>392</v>
      </c>
      <c r="F2354"/>
      <c r="G2354">
        <v>2</v>
      </c>
      <c r="H2354">
        <v>1000</v>
      </c>
      <c r="J2354" cm="1">
        <f t="array" ref="J2354">_xlfn.SWITCH(B2354,1,75,2,61,3,49,4,37,5,25,6,13,7,4,8,1)</f>
        <v>25</v>
      </c>
      <c r="K2354" t="str" cm="1">
        <f t="array" ref="K2354">IFERROR(_xlfn.SWITCH(L2354,2,_xlfn.XLOOKUP(C2354,[1]ModifierDes!$B:$B,[1]ModifierDes!$C:$C),3,_xlfn.XLOOKUP(C2354,[1]StuntDes!$B:$B,[1]StuntDes!$C:$C)),"")</f>
        <v/>
      </c>
      <c r="L2354">
        <f t="shared" si="96"/>
        <v>1</v>
      </c>
      <c r="M2354" s="10" t="str">
        <f>IFERROR(_xlfn.XLOOKUP(C2354,[1]StuntDes!$B:$B,[1]StuntDes!$A:$A),"")</f>
        <v/>
      </c>
      <c r="N2354" s="10" t="str">
        <f>IFERROR(_xlfn.XLOOKUP(C2354,[1]ModifierDes!$B:$B,[1]ModifierDes!$A:$A),"")</f>
        <v/>
      </c>
      <c r="O2354" s="10">
        <f>IFERROR(_xlfn.XLOOKUP(C2354,[1]AttributeName!$C:$C,[1]AttributeName!$B:$B),"")</f>
        <v>10018</v>
      </c>
      <c r="P2354" s="10"/>
      <c r="Q2354">
        <v>10</v>
      </c>
      <c r="R2354">
        <v>12</v>
      </c>
      <c r="S2354" cm="1">
        <f t="array" ref="S2354">IFERROR(_xlfn.SWITCH(L2354,1,_xlfn.XLOOKUP(O2354,[1]AttributeName!$B:$B,[1]AttributeName!$D:$D),2,_xlfn.XLOOKUP(C2354,#REF!,#REF!),3,_xlfn.XLOOKUP(C2354,#REF!,#REF!)),0)</f>
        <v>0</v>
      </c>
      <c r="T2354" cm="1">
        <f t="array" ref="T2354">IFERROR(_xlfn.SWITCH(L2354,1,_xlfn.XLOOKUP(O2354,[1]AttributeName!$B:$B,[1]AttributeName!$E:$E),2,_xlfn.XLOOKUP(C2354,#REF!,#REF!),3,_xlfn.XLOOKUP(C2354,#REF!,#REF!)),0)</f>
        <v>1</v>
      </c>
    </row>
    <row r="2355" customFormat="1" spans="1:20">
      <c r="A2355">
        <f t="shared" si="97"/>
        <v>964</v>
      </c>
      <c r="B2355">
        <v>6</v>
      </c>
      <c r="C2355" t="s">
        <v>441</v>
      </c>
      <c r="D2355" t="s">
        <v>32</v>
      </c>
      <c r="E2355" s="13" t="s">
        <v>392</v>
      </c>
      <c r="F2355"/>
      <c r="G2355">
        <v>2</v>
      </c>
      <c r="H2355">
        <v>1000</v>
      </c>
      <c r="J2355" cm="1">
        <f t="array" ref="J2355">_xlfn.SWITCH(B2355,1,75,2,61,3,49,4,37,5,25,6,13,7,4,8,1)</f>
        <v>13</v>
      </c>
      <c r="K2355" t="str" cm="1">
        <f t="array" ref="K2355">IFERROR(_xlfn.SWITCH(L2355,2,_xlfn.XLOOKUP(C2355,[1]ModifierDes!$B:$B,[1]ModifierDes!$C:$C),3,_xlfn.XLOOKUP(C2355,[1]StuntDes!$B:$B,[1]StuntDes!$C:$C)),"")</f>
        <v/>
      </c>
      <c r="L2355">
        <f t="shared" si="96"/>
        <v>1</v>
      </c>
      <c r="M2355" s="10" t="str">
        <f>IFERROR(_xlfn.XLOOKUP(C2355,[1]StuntDes!$B:$B,[1]StuntDes!$A:$A),"")</f>
        <v/>
      </c>
      <c r="N2355" s="10" t="str">
        <f>IFERROR(_xlfn.XLOOKUP(C2355,[1]ModifierDes!$B:$B,[1]ModifierDes!$A:$A),"")</f>
        <v/>
      </c>
      <c r="O2355" s="10">
        <f>IFERROR(_xlfn.XLOOKUP(C2355,[1]AttributeName!$C:$C,[1]AttributeName!$B:$B),"")</f>
        <v>10018</v>
      </c>
      <c r="P2355" s="10"/>
      <c r="Q2355">
        <v>7</v>
      </c>
      <c r="R2355">
        <v>9</v>
      </c>
      <c r="S2355" cm="1">
        <f t="array" ref="S2355">IFERROR(_xlfn.SWITCH(L2355,1,_xlfn.XLOOKUP(O2355,[1]AttributeName!$B:$B,[1]AttributeName!$D:$D),2,_xlfn.XLOOKUP(C2355,#REF!,#REF!),3,_xlfn.XLOOKUP(C2355,#REF!,#REF!)),0)</f>
        <v>0</v>
      </c>
      <c r="T2355" cm="1">
        <f t="array" ref="T2355">IFERROR(_xlfn.SWITCH(L2355,1,_xlfn.XLOOKUP(O2355,[1]AttributeName!$B:$B,[1]AttributeName!$E:$E),2,_xlfn.XLOOKUP(C2355,#REF!,#REF!),3,_xlfn.XLOOKUP(C2355,#REF!,#REF!)),0)</f>
        <v>1</v>
      </c>
    </row>
    <row r="2356" customFormat="1" spans="1:20">
      <c r="A2356">
        <f t="shared" si="97"/>
        <v>964</v>
      </c>
      <c r="B2356">
        <v>7</v>
      </c>
      <c r="C2356" t="s">
        <v>441</v>
      </c>
      <c r="D2356" t="s">
        <v>32</v>
      </c>
      <c r="E2356" s="13" t="s">
        <v>392</v>
      </c>
      <c r="F2356"/>
      <c r="G2356">
        <v>2</v>
      </c>
      <c r="H2356">
        <v>1000</v>
      </c>
      <c r="J2356" cm="1">
        <f t="array" ref="J2356">_xlfn.SWITCH(B2356,1,75,2,61,3,49,4,37,5,25,6,13,7,4,8,1)</f>
        <v>4</v>
      </c>
      <c r="K2356" t="str" cm="1">
        <f t="array" ref="K2356">IFERROR(_xlfn.SWITCH(L2356,2,_xlfn.XLOOKUP(C2356,[1]ModifierDes!$B:$B,[1]ModifierDes!$C:$C),3,_xlfn.XLOOKUP(C2356,[1]StuntDes!$B:$B,[1]StuntDes!$C:$C)),"")</f>
        <v/>
      </c>
      <c r="L2356">
        <f t="shared" si="96"/>
        <v>1</v>
      </c>
      <c r="M2356" s="10" t="str">
        <f>IFERROR(_xlfn.XLOOKUP(C2356,[1]StuntDes!$B:$B,[1]StuntDes!$A:$A),"")</f>
        <v/>
      </c>
      <c r="N2356" s="10" t="str">
        <f>IFERROR(_xlfn.XLOOKUP(C2356,[1]ModifierDes!$B:$B,[1]ModifierDes!$A:$A),"")</f>
        <v/>
      </c>
      <c r="O2356" s="10">
        <f>IFERROR(_xlfn.XLOOKUP(C2356,[1]AttributeName!$C:$C,[1]AttributeName!$B:$B),"")</f>
        <v>10018</v>
      </c>
      <c r="P2356" s="10"/>
      <c r="Q2356">
        <v>4</v>
      </c>
      <c r="R2356">
        <v>6</v>
      </c>
      <c r="S2356" cm="1">
        <f t="array" ref="S2356">IFERROR(_xlfn.SWITCH(L2356,1,_xlfn.XLOOKUP(O2356,[1]AttributeName!$B:$B,[1]AttributeName!$D:$D),2,_xlfn.XLOOKUP(C2356,#REF!,#REF!),3,_xlfn.XLOOKUP(C2356,#REF!,#REF!)),0)</f>
        <v>0</v>
      </c>
      <c r="T2356" cm="1">
        <f t="array" ref="T2356">IFERROR(_xlfn.SWITCH(L2356,1,_xlfn.XLOOKUP(O2356,[1]AttributeName!$B:$B,[1]AttributeName!$E:$E),2,_xlfn.XLOOKUP(C2356,#REF!,#REF!),3,_xlfn.XLOOKUP(C2356,#REF!,#REF!)),0)</f>
        <v>1</v>
      </c>
    </row>
    <row r="2357" customFormat="1" spans="1:20">
      <c r="A2357">
        <f t="shared" si="97"/>
        <v>964</v>
      </c>
      <c r="B2357">
        <v>8</v>
      </c>
      <c r="C2357" t="s">
        <v>441</v>
      </c>
      <c r="D2357" t="s">
        <v>32</v>
      </c>
      <c r="E2357" s="13" t="s">
        <v>392</v>
      </c>
      <c r="F2357"/>
      <c r="G2357">
        <v>2</v>
      </c>
      <c r="H2357">
        <v>1000</v>
      </c>
      <c r="J2357" cm="1">
        <f t="array" ref="J2357">_xlfn.SWITCH(B2357,1,75,2,61,3,49,4,37,5,25,6,13,7,4,8,1)</f>
        <v>1</v>
      </c>
      <c r="K2357" t="str" cm="1">
        <f t="array" ref="K2357">IFERROR(_xlfn.SWITCH(L2357,2,_xlfn.XLOOKUP(C2357,[1]ModifierDes!$B:$B,[1]ModifierDes!$C:$C),3,_xlfn.XLOOKUP(C2357,[1]StuntDes!$B:$B,[1]StuntDes!$C:$C)),"")</f>
        <v/>
      </c>
      <c r="L2357">
        <f t="shared" si="96"/>
        <v>1</v>
      </c>
      <c r="M2357" s="10" t="str">
        <f>IFERROR(_xlfn.XLOOKUP(C2357,[1]StuntDes!$B:$B,[1]StuntDes!$A:$A),"")</f>
        <v/>
      </c>
      <c r="N2357" s="10" t="str">
        <f>IFERROR(_xlfn.XLOOKUP(C2357,[1]ModifierDes!$B:$B,[1]ModifierDes!$A:$A),"")</f>
        <v/>
      </c>
      <c r="O2357" s="10">
        <f>IFERROR(_xlfn.XLOOKUP(C2357,[1]AttributeName!$C:$C,[1]AttributeName!$B:$B),"")</f>
        <v>10018</v>
      </c>
      <c r="P2357" s="10"/>
      <c r="Q2357">
        <v>1</v>
      </c>
      <c r="R2357">
        <v>3</v>
      </c>
      <c r="S2357" cm="1">
        <f t="array" ref="S2357">IFERROR(_xlfn.SWITCH(L2357,1,_xlfn.XLOOKUP(O2357,[1]AttributeName!$B:$B,[1]AttributeName!$D:$D),2,_xlfn.XLOOKUP(C2357,#REF!,#REF!),3,_xlfn.XLOOKUP(C2357,#REF!,#REF!)),0)</f>
        <v>0</v>
      </c>
      <c r="T2357" cm="1">
        <f t="array" ref="T2357">IFERROR(_xlfn.SWITCH(L2357,1,_xlfn.XLOOKUP(O2357,[1]AttributeName!$B:$B,[1]AttributeName!$E:$E),2,_xlfn.XLOOKUP(C2357,#REF!,#REF!),3,_xlfn.XLOOKUP(C2357,#REF!,#REF!)),0)</f>
        <v>1</v>
      </c>
    </row>
    <row r="2358" customFormat="1" spans="1:20">
      <c r="A2358">
        <f t="shared" si="97"/>
        <v>965</v>
      </c>
      <c r="B2358">
        <v>1</v>
      </c>
      <c r="C2358" t="s">
        <v>407</v>
      </c>
      <c r="D2358" t="s">
        <v>32</v>
      </c>
      <c r="E2358" s="13" t="s">
        <v>392</v>
      </c>
      <c r="F2358"/>
      <c r="G2358">
        <v>2</v>
      </c>
      <c r="H2358">
        <v>500</v>
      </c>
      <c r="J2358" cm="1">
        <f t="array" ref="J2358">_xlfn.SWITCH(B2358,1,75,2,61,3,49,4,37,5,25,6,13,7,4,8,1)</f>
        <v>75</v>
      </c>
      <c r="K2358" t="str" cm="1">
        <f t="array" ref="K2358">IFERROR(_xlfn.SWITCH(L2358,2,_xlfn.XLOOKUP(C2358,[1]ModifierDes!$B:$B,[1]ModifierDes!$C:$C),3,_xlfn.XLOOKUP(C2358,[1]StuntDes!$B:$B,[1]StuntDes!$C:$C)),"")</f>
        <v/>
      </c>
      <c r="L2358">
        <f t="shared" si="96"/>
        <v>1</v>
      </c>
      <c r="M2358" s="10" t="str">
        <f>IFERROR(_xlfn.XLOOKUP(C2358,[1]StuntDes!$B:$B,[1]StuntDes!$A:$A),"")</f>
        <v/>
      </c>
      <c r="N2358" s="10" t="str">
        <f>IFERROR(_xlfn.XLOOKUP(C2358,[1]ModifierDes!$B:$B,[1]ModifierDes!$A:$A),"")</f>
        <v/>
      </c>
      <c r="O2358" s="10">
        <f>IFERROR(_xlfn.XLOOKUP(C2358,[1]AttributeName!$C:$C,[1]AttributeName!$B:$B),"")</f>
        <v>11006</v>
      </c>
      <c r="P2358" s="10"/>
      <c r="Q2358">
        <v>0.36</v>
      </c>
      <c r="R2358">
        <v>0.4</v>
      </c>
      <c r="S2358" cm="1">
        <f t="array" ref="S2358">IFERROR(_xlfn.SWITCH(L2358,1,_xlfn.XLOOKUP(O2358,[1]AttributeName!$B:$B,[1]AttributeName!$D:$D),2,_xlfn.XLOOKUP(C2358,#REF!,#REF!),3,_xlfn.XLOOKUP(C2358,#REF!,#REF!)),0)</f>
        <v>2</v>
      </c>
      <c r="T2358" cm="1">
        <f t="array" ref="T2358">IFERROR(_xlfn.SWITCH(L2358,1,_xlfn.XLOOKUP(O2358,[1]AttributeName!$B:$B,[1]AttributeName!$E:$E),2,_xlfn.XLOOKUP(C2358,#REF!,#REF!),3,_xlfn.XLOOKUP(C2358,#REF!,#REF!)),0)</f>
        <v>2</v>
      </c>
    </row>
    <row r="2359" customFormat="1" spans="1:20">
      <c r="A2359">
        <f t="shared" ref="A2359:A2373" si="98">A2351+1</f>
        <v>965</v>
      </c>
      <c r="B2359">
        <v>2</v>
      </c>
      <c r="C2359" t="s">
        <v>407</v>
      </c>
      <c r="D2359" t="s">
        <v>32</v>
      </c>
      <c r="E2359" s="13" t="s">
        <v>392</v>
      </c>
      <c r="F2359"/>
      <c r="G2359">
        <v>2</v>
      </c>
      <c r="H2359">
        <v>500</v>
      </c>
      <c r="J2359" cm="1">
        <f t="array" ref="J2359">_xlfn.SWITCH(B2359,1,75,2,61,3,49,4,37,5,25,6,13,7,4,8,1)</f>
        <v>61</v>
      </c>
      <c r="K2359" t="str" cm="1">
        <f t="array" ref="K2359">IFERROR(_xlfn.SWITCH(L2359,2,_xlfn.XLOOKUP(C2359,[1]ModifierDes!$B:$B,[1]ModifierDes!$C:$C),3,_xlfn.XLOOKUP(C2359,[1]StuntDes!$B:$B,[1]StuntDes!$C:$C)),"")</f>
        <v/>
      </c>
      <c r="L2359">
        <f t="shared" si="96"/>
        <v>1</v>
      </c>
      <c r="M2359" s="10" t="str">
        <f>IFERROR(_xlfn.XLOOKUP(C2359,[1]StuntDes!$B:$B,[1]StuntDes!$A:$A),"")</f>
        <v/>
      </c>
      <c r="N2359" s="10" t="str">
        <f>IFERROR(_xlfn.XLOOKUP(C2359,[1]ModifierDes!$B:$B,[1]ModifierDes!$A:$A),"")</f>
        <v/>
      </c>
      <c r="O2359" s="10">
        <f>IFERROR(_xlfn.XLOOKUP(C2359,[1]AttributeName!$C:$C,[1]AttributeName!$B:$B),"")</f>
        <v>11006</v>
      </c>
      <c r="P2359" s="10"/>
      <c r="Q2359">
        <v>0.31</v>
      </c>
      <c r="R2359">
        <v>0.35</v>
      </c>
      <c r="S2359" cm="1">
        <f t="array" ref="S2359">IFERROR(_xlfn.SWITCH(L2359,1,_xlfn.XLOOKUP(O2359,[1]AttributeName!$B:$B,[1]AttributeName!$D:$D),2,_xlfn.XLOOKUP(C2359,#REF!,#REF!),3,_xlfn.XLOOKUP(C2359,#REF!,#REF!)),0)</f>
        <v>2</v>
      </c>
      <c r="T2359" cm="1">
        <f t="array" ref="T2359">IFERROR(_xlfn.SWITCH(L2359,1,_xlfn.XLOOKUP(O2359,[1]AttributeName!$B:$B,[1]AttributeName!$E:$E),2,_xlfn.XLOOKUP(C2359,#REF!,#REF!),3,_xlfn.XLOOKUP(C2359,#REF!,#REF!)),0)</f>
        <v>2</v>
      </c>
    </row>
    <row r="2360" customFormat="1" spans="1:20">
      <c r="A2360">
        <f t="shared" si="98"/>
        <v>965</v>
      </c>
      <c r="B2360">
        <v>3</v>
      </c>
      <c r="C2360" t="s">
        <v>407</v>
      </c>
      <c r="D2360" t="s">
        <v>32</v>
      </c>
      <c r="E2360" s="13" t="s">
        <v>392</v>
      </c>
      <c r="F2360"/>
      <c r="G2360">
        <v>2</v>
      </c>
      <c r="H2360">
        <v>1000</v>
      </c>
      <c r="J2360" cm="1">
        <f t="array" ref="J2360">_xlfn.SWITCH(B2360,1,75,2,61,3,49,4,37,5,25,6,13,7,4,8,1)</f>
        <v>49</v>
      </c>
      <c r="K2360" t="str" cm="1">
        <f t="array" ref="K2360">IFERROR(_xlfn.SWITCH(L2360,2,_xlfn.XLOOKUP(C2360,[1]ModifierDes!$B:$B,[1]ModifierDes!$C:$C),3,_xlfn.XLOOKUP(C2360,[1]StuntDes!$B:$B,[1]StuntDes!$C:$C)),"")</f>
        <v/>
      </c>
      <c r="L2360">
        <f t="shared" si="96"/>
        <v>1</v>
      </c>
      <c r="M2360" s="10" t="str">
        <f>IFERROR(_xlfn.XLOOKUP(C2360,[1]StuntDes!$B:$B,[1]StuntDes!$A:$A),"")</f>
        <v/>
      </c>
      <c r="N2360" s="10" t="str">
        <f>IFERROR(_xlfn.XLOOKUP(C2360,[1]ModifierDes!$B:$B,[1]ModifierDes!$A:$A),"")</f>
        <v/>
      </c>
      <c r="O2360" s="10">
        <f>IFERROR(_xlfn.XLOOKUP(C2360,[1]AttributeName!$C:$C,[1]AttributeName!$B:$B),"")</f>
        <v>11006</v>
      </c>
      <c r="P2360" s="10"/>
      <c r="Q2360">
        <v>0.26</v>
      </c>
      <c r="R2360">
        <v>0.3</v>
      </c>
      <c r="S2360" cm="1">
        <f t="array" ref="S2360">IFERROR(_xlfn.SWITCH(L2360,1,_xlfn.XLOOKUP(O2360,[1]AttributeName!$B:$B,[1]AttributeName!$D:$D),2,_xlfn.XLOOKUP(C2360,#REF!,#REF!),3,_xlfn.XLOOKUP(C2360,#REF!,#REF!)),0)</f>
        <v>2</v>
      </c>
      <c r="T2360" cm="1">
        <f t="array" ref="T2360">IFERROR(_xlfn.SWITCH(L2360,1,_xlfn.XLOOKUP(O2360,[1]AttributeName!$B:$B,[1]AttributeName!$E:$E),2,_xlfn.XLOOKUP(C2360,#REF!,#REF!),3,_xlfn.XLOOKUP(C2360,#REF!,#REF!)),0)</f>
        <v>2</v>
      </c>
    </row>
    <row r="2361" customFormat="1" spans="1:20">
      <c r="A2361">
        <f t="shared" si="98"/>
        <v>965</v>
      </c>
      <c r="B2361">
        <v>4</v>
      </c>
      <c r="C2361" t="s">
        <v>407</v>
      </c>
      <c r="D2361" t="s">
        <v>32</v>
      </c>
      <c r="E2361" s="13" t="s">
        <v>392</v>
      </c>
      <c r="F2361"/>
      <c r="G2361">
        <v>2</v>
      </c>
      <c r="H2361">
        <v>1000</v>
      </c>
      <c r="J2361" cm="1">
        <f t="array" ref="J2361">_xlfn.SWITCH(B2361,1,75,2,61,3,49,4,37,5,25,6,13,7,4,8,1)</f>
        <v>37</v>
      </c>
      <c r="K2361" t="str" cm="1">
        <f t="array" ref="K2361">IFERROR(_xlfn.SWITCH(L2361,2,_xlfn.XLOOKUP(C2361,[1]ModifierDes!$B:$B,[1]ModifierDes!$C:$C),3,_xlfn.XLOOKUP(C2361,[1]StuntDes!$B:$B,[1]StuntDes!$C:$C)),"")</f>
        <v/>
      </c>
      <c r="L2361">
        <f t="shared" si="96"/>
        <v>1</v>
      </c>
      <c r="M2361" s="10" t="str">
        <f>IFERROR(_xlfn.XLOOKUP(C2361,[1]StuntDes!$B:$B,[1]StuntDes!$A:$A),"")</f>
        <v/>
      </c>
      <c r="N2361" s="10" t="str">
        <f>IFERROR(_xlfn.XLOOKUP(C2361,[1]ModifierDes!$B:$B,[1]ModifierDes!$A:$A),"")</f>
        <v/>
      </c>
      <c r="O2361" s="10">
        <f>IFERROR(_xlfn.XLOOKUP(C2361,[1]AttributeName!$C:$C,[1]AttributeName!$B:$B),"")</f>
        <v>11006</v>
      </c>
      <c r="P2361" s="10"/>
      <c r="Q2361">
        <v>0.21</v>
      </c>
      <c r="R2361">
        <v>0.25</v>
      </c>
      <c r="S2361" cm="1">
        <f t="array" ref="S2361">IFERROR(_xlfn.SWITCH(L2361,1,_xlfn.XLOOKUP(O2361,[1]AttributeName!$B:$B,[1]AttributeName!$D:$D),2,_xlfn.XLOOKUP(C2361,#REF!,#REF!),3,_xlfn.XLOOKUP(C2361,#REF!,#REF!)),0)</f>
        <v>2</v>
      </c>
      <c r="T2361" cm="1">
        <f t="array" ref="T2361">IFERROR(_xlfn.SWITCH(L2361,1,_xlfn.XLOOKUP(O2361,[1]AttributeName!$B:$B,[1]AttributeName!$E:$E),2,_xlfn.XLOOKUP(C2361,#REF!,#REF!),3,_xlfn.XLOOKUP(C2361,#REF!,#REF!)),0)</f>
        <v>2</v>
      </c>
    </row>
    <row r="2362" customFormat="1" spans="1:20">
      <c r="A2362">
        <f t="shared" si="98"/>
        <v>965</v>
      </c>
      <c r="B2362">
        <v>5</v>
      </c>
      <c r="C2362" t="s">
        <v>407</v>
      </c>
      <c r="D2362" t="s">
        <v>32</v>
      </c>
      <c r="E2362" s="13" t="s">
        <v>392</v>
      </c>
      <c r="F2362"/>
      <c r="G2362">
        <v>2</v>
      </c>
      <c r="H2362">
        <v>1000</v>
      </c>
      <c r="J2362" cm="1">
        <f t="array" ref="J2362">_xlfn.SWITCH(B2362,1,75,2,61,3,49,4,37,5,25,6,13,7,4,8,1)</f>
        <v>25</v>
      </c>
      <c r="K2362" t="str" cm="1">
        <f t="array" ref="K2362">IFERROR(_xlfn.SWITCH(L2362,2,_xlfn.XLOOKUP(C2362,[1]ModifierDes!$B:$B,[1]ModifierDes!$C:$C),3,_xlfn.XLOOKUP(C2362,[1]StuntDes!$B:$B,[1]StuntDes!$C:$C)),"")</f>
        <v/>
      </c>
      <c r="L2362">
        <f t="shared" si="96"/>
        <v>1</v>
      </c>
      <c r="M2362" s="10" t="str">
        <f>IFERROR(_xlfn.XLOOKUP(C2362,[1]StuntDes!$B:$B,[1]StuntDes!$A:$A),"")</f>
        <v/>
      </c>
      <c r="N2362" s="10" t="str">
        <f>IFERROR(_xlfn.XLOOKUP(C2362,[1]ModifierDes!$B:$B,[1]ModifierDes!$A:$A),"")</f>
        <v/>
      </c>
      <c r="O2362" s="10">
        <f>IFERROR(_xlfn.XLOOKUP(C2362,[1]AttributeName!$C:$C,[1]AttributeName!$B:$B),"")</f>
        <v>11006</v>
      </c>
      <c r="P2362" s="10"/>
      <c r="Q2362">
        <v>0.16</v>
      </c>
      <c r="R2362">
        <v>0.2</v>
      </c>
      <c r="S2362" cm="1">
        <f t="array" ref="S2362">IFERROR(_xlfn.SWITCH(L2362,1,_xlfn.XLOOKUP(O2362,[1]AttributeName!$B:$B,[1]AttributeName!$D:$D),2,_xlfn.XLOOKUP(C2362,#REF!,#REF!),3,_xlfn.XLOOKUP(C2362,#REF!,#REF!)),0)</f>
        <v>2</v>
      </c>
      <c r="T2362" cm="1">
        <f t="array" ref="T2362">IFERROR(_xlfn.SWITCH(L2362,1,_xlfn.XLOOKUP(O2362,[1]AttributeName!$B:$B,[1]AttributeName!$E:$E),2,_xlfn.XLOOKUP(C2362,#REF!,#REF!),3,_xlfn.XLOOKUP(C2362,#REF!,#REF!)),0)</f>
        <v>2</v>
      </c>
    </row>
    <row r="2363" customFormat="1" spans="1:20">
      <c r="A2363">
        <f t="shared" si="98"/>
        <v>965</v>
      </c>
      <c r="B2363">
        <v>6</v>
      </c>
      <c r="C2363" t="s">
        <v>407</v>
      </c>
      <c r="D2363" t="s">
        <v>32</v>
      </c>
      <c r="E2363" s="13" t="s">
        <v>392</v>
      </c>
      <c r="F2363"/>
      <c r="G2363">
        <v>2</v>
      </c>
      <c r="H2363">
        <v>1000</v>
      </c>
      <c r="J2363" cm="1">
        <f t="array" ref="J2363">_xlfn.SWITCH(B2363,1,75,2,61,3,49,4,37,5,25,6,13,7,4,8,1)</f>
        <v>13</v>
      </c>
      <c r="K2363" t="str" cm="1">
        <f t="array" ref="K2363">IFERROR(_xlfn.SWITCH(L2363,2,_xlfn.XLOOKUP(C2363,[1]ModifierDes!$B:$B,[1]ModifierDes!$C:$C),3,_xlfn.XLOOKUP(C2363,[1]StuntDes!$B:$B,[1]StuntDes!$C:$C)),"")</f>
        <v/>
      </c>
      <c r="L2363">
        <f t="shared" si="96"/>
        <v>1</v>
      </c>
      <c r="M2363" s="10" t="str">
        <f>IFERROR(_xlfn.XLOOKUP(C2363,[1]StuntDes!$B:$B,[1]StuntDes!$A:$A),"")</f>
        <v/>
      </c>
      <c r="N2363" s="10" t="str">
        <f>IFERROR(_xlfn.XLOOKUP(C2363,[1]ModifierDes!$B:$B,[1]ModifierDes!$A:$A),"")</f>
        <v/>
      </c>
      <c r="O2363" s="10">
        <f>IFERROR(_xlfn.XLOOKUP(C2363,[1]AttributeName!$C:$C,[1]AttributeName!$B:$B),"")</f>
        <v>11006</v>
      </c>
      <c r="P2363" s="10"/>
      <c r="Q2363">
        <v>0.11</v>
      </c>
      <c r="R2363">
        <v>0.15</v>
      </c>
      <c r="S2363" cm="1">
        <f t="array" ref="S2363">IFERROR(_xlfn.SWITCH(L2363,1,_xlfn.XLOOKUP(O2363,[1]AttributeName!$B:$B,[1]AttributeName!$D:$D),2,_xlfn.XLOOKUP(C2363,#REF!,#REF!),3,_xlfn.XLOOKUP(C2363,#REF!,#REF!)),0)</f>
        <v>2</v>
      </c>
      <c r="T2363" cm="1">
        <f t="array" ref="T2363">IFERROR(_xlfn.SWITCH(L2363,1,_xlfn.XLOOKUP(O2363,[1]AttributeName!$B:$B,[1]AttributeName!$E:$E),2,_xlfn.XLOOKUP(C2363,#REF!,#REF!),3,_xlfn.XLOOKUP(C2363,#REF!,#REF!)),0)</f>
        <v>2</v>
      </c>
    </row>
    <row r="2364" customFormat="1" spans="1:20">
      <c r="A2364">
        <f t="shared" si="98"/>
        <v>965</v>
      </c>
      <c r="B2364">
        <v>7</v>
      </c>
      <c r="C2364" t="s">
        <v>407</v>
      </c>
      <c r="D2364" t="s">
        <v>32</v>
      </c>
      <c r="E2364" s="13" t="s">
        <v>392</v>
      </c>
      <c r="F2364"/>
      <c r="G2364">
        <v>2</v>
      </c>
      <c r="H2364">
        <v>1000</v>
      </c>
      <c r="J2364" cm="1">
        <f t="array" ref="J2364">_xlfn.SWITCH(B2364,1,75,2,61,3,49,4,37,5,25,6,13,7,4,8,1)</f>
        <v>4</v>
      </c>
      <c r="K2364" t="str" cm="1">
        <f t="array" ref="K2364">IFERROR(_xlfn.SWITCH(L2364,2,_xlfn.XLOOKUP(C2364,[1]ModifierDes!$B:$B,[1]ModifierDes!$C:$C),3,_xlfn.XLOOKUP(C2364,[1]StuntDes!$B:$B,[1]StuntDes!$C:$C)),"")</f>
        <v/>
      </c>
      <c r="L2364">
        <f t="shared" si="96"/>
        <v>1</v>
      </c>
      <c r="M2364" s="10" t="str">
        <f>IFERROR(_xlfn.XLOOKUP(C2364,[1]StuntDes!$B:$B,[1]StuntDes!$A:$A),"")</f>
        <v/>
      </c>
      <c r="N2364" s="10" t="str">
        <f>IFERROR(_xlfn.XLOOKUP(C2364,[1]ModifierDes!$B:$B,[1]ModifierDes!$A:$A),"")</f>
        <v/>
      </c>
      <c r="O2364" s="10">
        <f>IFERROR(_xlfn.XLOOKUP(C2364,[1]AttributeName!$C:$C,[1]AttributeName!$B:$B),"")</f>
        <v>11006</v>
      </c>
      <c r="P2364" s="10"/>
      <c r="Q2364">
        <v>0.06</v>
      </c>
      <c r="R2364">
        <v>0.1</v>
      </c>
      <c r="S2364" cm="1">
        <f t="array" ref="S2364">IFERROR(_xlfn.SWITCH(L2364,1,_xlfn.XLOOKUP(O2364,[1]AttributeName!$B:$B,[1]AttributeName!$D:$D),2,_xlfn.XLOOKUP(C2364,#REF!,#REF!),3,_xlfn.XLOOKUP(C2364,#REF!,#REF!)),0)</f>
        <v>2</v>
      </c>
      <c r="T2364" cm="1">
        <f t="array" ref="T2364">IFERROR(_xlfn.SWITCH(L2364,1,_xlfn.XLOOKUP(O2364,[1]AttributeName!$B:$B,[1]AttributeName!$E:$E),2,_xlfn.XLOOKUP(C2364,#REF!,#REF!),3,_xlfn.XLOOKUP(C2364,#REF!,#REF!)),0)</f>
        <v>2</v>
      </c>
    </row>
    <row r="2365" customFormat="1" spans="1:20">
      <c r="A2365">
        <f t="shared" si="98"/>
        <v>965</v>
      </c>
      <c r="B2365">
        <v>8</v>
      </c>
      <c r="C2365" t="s">
        <v>407</v>
      </c>
      <c r="D2365" t="s">
        <v>32</v>
      </c>
      <c r="E2365" s="13" t="s">
        <v>392</v>
      </c>
      <c r="F2365"/>
      <c r="G2365">
        <v>2</v>
      </c>
      <c r="H2365">
        <v>1000</v>
      </c>
      <c r="J2365" cm="1">
        <f t="array" ref="J2365">_xlfn.SWITCH(B2365,1,75,2,61,3,49,4,37,5,25,6,13,7,4,8,1)</f>
        <v>1</v>
      </c>
      <c r="K2365" t="str" cm="1">
        <f t="array" ref="K2365">IFERROR(_xlfn.SWITCH(L2365,2,_xlfn.XLOOKUP(C2365,[1]ModifierDes!$B:$B,[1]ModifierDes!$C:$C),3,_xlfn.XLOOKUP(C2365,[1]StuntDes!$B:$B,[1]StuntDes!$C:$C)),"")</f>
        <v/>
      </c>
      <c r="L2365">
        <f t="shared" si="96"/>
        <v>1</v>
      </c>
      <c r="M2365" s="10" t="str">
        <f>IFERROR(_xlfn.XLOOKUP(C2365,[1]StuntDes!$B:$B,[1]StuntDes!$A:$A),"")</f>
        <v/>
      </c>
      <c r="N2365" s="10" t="str">
        <f>IFERROR(_xlfn.XLOOKUP(C2365,[1]ModifierDes!$B:$B,[1]ModifierDes!$A:$A),"")</f>
        <v/>
      </c>
      <c r="O2365" s="10">
        <f>IFERROR(_xlfn.XLOOKUP(C2365,[1]AttributeName!$C:$C,[1]AttributeName!$B:$B),"")</f>
        <v>11006</v>
      </c>
      <c r="P2365" s="10"/>
      <c r="Q2365">
        <v>0.01</v>
      </c>
      <c r="R2365">
        <v>0.05</v>
      </c>
      <c r="S2365" cm="1">
        <f t="array" ref="S2365">IFERROR(_xlfn.SWITCH(L2365,1,_xlfn.XLOOKUP(O2365,[1]AttributeName!$B:$B,[1]AttributeName!$D:$D),2,_xlfn.XLOOKUP(C2365,#REF!,#REF!),3,_xlfn.XLOOKUP(C2365,#REF!,#REF!)),0)</f>
        <v>2</v>
      </c>
      <c r="T2365" cm="1">
        <f t="array" ref="T2365">IFERROR(_xlfn.SWITCH(L2365,1,_xlfn.XLOOKUP(O2365,[1]AttributeName!$B:$B,[1]AttributeName!$E:$E),2,_xlfn.XLOOKUP(C2365,#REF!,#REF!),3,_xlfn.XLOOKUP(C2365,#REF!,#REF!)),0)</f>
        <v>2</v>
      </c>
    </row>
    <row r="2366" customFormat="1" spans="1:20">
      <c r="A2366">
        <f t="shared" si="98"/>
        <v>966</v>
      </c>
      <c r="B2366">
        <v>1</v>
      </c>
      <c r="C2366" t="s">
        <v>408</v>
      </c>
      <c r="D2366" t="s">
        <v>32</v>
      </c>
      <c r="E2366" s="13" t="s">
        <v>392</v>
      </c>
      <c r="F2366"/>
      <c r="G2366">
        <v>2</v>
      </c>
      <c r="H2366">
        <v>500</v>
      </c>
      <c r="J2366" cm="1">
        <f t="array" ref="J2366">_xlfn.SWITCH(B2366,1,75,2,61,3,49,4,37,5,25,6,13,7,4,8,1)</f>
        <v>75</v>
      </c>
      <c r="K2366" t="str" cm="1">
        <f t="array" ref="K2366">IFERROR(_xlfn.SWITCH(L2366,2,_xlfn.XLOOKUP(C2366,[1]ModifierDes!$B:$B,[1]ModifierDes!$C:$C),3,_xlfn.XLOOKUP(C2366,[1]StuntDes!$B:$B,[1]StuntDes!$C:$C)),"")</f>
        <v/>
      </c>
      <c r="L2366">
        <f t="shared" si="96"/>
        <v>1</v>
      </c>
      <c r="M2366" s="10" t="str">
        <f>IFERROR(_xlfn.XLOOKUP(C2366,[1]StuntDes!$B:$B,[1]StuntDes!$A:$A),"")</f>
        <v/>
      </c>
      <c r="N2366" s="10" t="str">
        <f>IFERROR(_xlfn.XLOOKUP(C2366,[1]ModifierDes!$B:$B,[1]ModifierDes!$A:$A),"")</f>
        <v/>
      </c>
      <c r="O2366" s="10">
        <f>IFERROR(_xlfn.XLOOKUP(C2366,[1]AttributeName!$C:$C,[1]AttributeName!$B:$B),"")</f>
        <v>10801</v>
      </c>
      <c r="P2366" s="10"/>
      <c r="Q2366">
        <v>0.36</v>
      </c>
      <c r="R2366">
        <v>0.4</v>
      </c>
      <c r="S2366" cm="1">
        <f t="array" ref="S2366">IFERROR(_xlfn.SWITCH(L2366,1,_xlfn.XLOOKUP(O2366,[1]AttributeName!$B:$B,[1]AttributeName!$D:$D),2,_xlfn.XLOOKUP(C2366,#REF!,#REF!),3,_xlfn.XLOOKUP(C2366,#REF!,#REF!)),0)</f>
        <v>2</v>
      </c>
      <c r="T2366" cm="1">
        <f t="array" ref="T2366">IFERROR(_xlfn.SWITCH(L2366,1,_xlfn.XLOOKUP(O2366,[1]AttributeName!$B:$B,[1]AttributeName!$E:$E),2,_xlfn.XLOOKUP(C2366,#REF!,#REF!),3,_xlfn.XLOOKUP(C2366,#REF!,#REF!)),0)</f>
        <v>2</v>
      </c>
    </row>
    <row r="2367" customFormat="1" spans="1:20">
      <c r="A2367">
        <f t="shared" si="98"/>
        <v>966</v>
      </c>
      <c r="B2367">
        <v>2</v>
      </c>
      <c r="C2367" t="s">
        <v>408</v>
      </c>
      <c r="D2367" t="s">
        <v>32</v>
      </c>
      <c r="E2367" s="13" t="s">
        <v>392</v>
      </c>
      <c r="F2367"/>
      <c r="G2367">
        <v>2</v>
      </c>
      <c r="H2367">
        <v>500</v>
      </c>
      <c r="J2367" cm="1">
        <f t="array" ref="J2367">_xlfn.SWITCH(B2367,1,75,2,61,3,49,4,37,5,25,6,13,7,4,8,1)</f>
        <v>61</v>
      </c>
      <c r="K2367" t="str" cm="1">
        <f t="array" ref="K2367">IFERROR(_xlfn.SWITCH(L2367,2,_xlfn.XLOOKUP(C2367,[1]ModifierDes!$B:$B,[1]ModifierDes!$C:$C),3,_xlfn.XLOOKUP(C2367,[1]StuntDes!$B:$B,[1]StuntDes!$C:$C)),"")</f>
        <v/>
      </c>
      <c r="L2367">
        <f t="shared" si="96"/>
        <v>1</v>
      </c>
      <c r="M2367" s="10" t="str">
        <f>IFERROR(_xlfn.XLOOKUP(C2367,[1]StuntDes!$B:$B,[1]StuntDes!$A:$A),"")</f>
        <v/>
      </c>
      <c r="N2367" s="10" t="str">
        <f>IFERROR(_xlfn.XLOOKUP(C2367,[1]ModifierDes!$B:$B,[1]ModifierDes!$A:$A),"")</f>
        <v/>
      </c>
      <c r="O2367" s="10">
        <f>IFERROR(_xlfn.XLOOKUP(C2367,[1]AttributeName!$C:$C,[1]AttributeName!$B:$B),"")</f>
        <v>10801</v>
      </c>
      <c r="P2367" s="10"/>
      <c r="Q2367">
        <v>0.31</v>
      </c>
      <c r="R2367">
        <v>0.35</v>
      </c>
      <c r="S2367" cm="1">
        <f t="array" ref="S2367">IFERROR(_xlfn.SWITCH(L2367,1,_xlfn.XLOOKUP(O2367,[1]AttributeName!$B:$B,[1]AttributeName!$D:$D),2,_xlfn.XLOOKUP(C2367,#REF!,#REF!),3,_xlfn.XLOOKUP(C2367,#REF!,#REF!)),0)</f>
        <v>2</v>
      </c>
      <c r="T2367" cm="1">
        <f t="array" ref="T2367">IFERROR(_xlfn.SWITCH(L2367,1,_xlfn.XLOOKUP(O2367,[1]AttributeName!$B:$B,[1]AttributeName!$E:$E),2,_xlfn.XLOOKUP(C2367,#REF!,#REF!),3,_xlfn.XLOOKUP(C2367,#REF!,#REF!)),0)</f>
        <v>2</v>
      </c>
    </row>
    <row r="2368" customFormat="1" spans="1:20">
      <c r="A2368">
        <f t="shared" si="98"/>
        <v>966</v>
      </c>
      <c r="B2368">
        <v>3</v>
      </c>
      <c r="C2368" t="s">
        <v>408</v>
      </c>
      <c r="D2368" t="s">
        <v>32</v>
      </c>
      <c r="E2368" s="13" t="s">
        <v>392</v>
      </c>
      <c r="F2368"/>
      <c r="G2368">
        <v>2</v>
      </c>
      <c r="H2368">
        <v>1000</v>
      </c>
      <c r="J2368" cm="1">
        <f t="array" ref="J2368">_xlfn.SWITCH(B2368,1,75,2,61,3,49,4,37,5,25,6,13,7,4,8,1)</f>
        <v>49</v>
      </c>
      <c r="K2368" t="str" cm="1">
        <f t="array" ref="K2368">IFERROR(_xlfn.SWITCH(L2368,2,_xlfn.XLOOKUP(C2368,[1]ModifierDes!$B:$B,[1]ModifierDes!$C:$C),3,_xlfn.XLOOKUP(C2368,[1]StuntDes!$B:$B,[1]StuntDes!$C:$C)),"")</f>
        <v/>
      </c>
      <c r="L2368">
        <f t="shared" si="96"/>
        <v>1</v>
      </c>
      <c r="M2368" s="10" t="str">
        <f>IFERROR(_xlfn.XLOOKUP(C2368,[1]StuntDes!$B:$B,[1]StuntDes!$A:$A),"")</f>
        <v/>
      </c>
      <c r="N2368" s="10" t="str">
        <f>IFERROR(_xlfn.XLOOKUP(C2368,[1]ModifierDes!$B:$B,[1]ModifierDes!$A:$A),"")</f>
        <v/>
      </c>
      <c r="O2368" s="10">
        <f>IFERROR(_xlfn.XLOOKUP(C2368,[1]AttributeName!$C:$C,[1]AttributeName!$B:$B),"")</f>
        <v>10801</v>
      </c>
      <c r="P2368" s="10"/>
      <c r="Q2368">
        <v>0.26</v>
      </c>
      <c r="R2368">
        <v>0.3</v>
      </c>
      <c r="S2368" cm="1">
        <f t="array" ref="S2368">IFERROR(_xlfn.SWITCH(L2368,1,_xlfn.XLOOKUP(O2368,[1]AttributeName!$B:$B,[1]AttributeName!$D:$D),2,_xlfn.XLOOKUP(C2368,#REF!,#REF!),3,_xlfn.XLOOKUP(C2368,#REF!,#REF!)),0)</f>
        <v>2</v>
      </c>
      <c r="T2368" cm="1">
        <f t="array" ref="T2368">IFERROR(_xlfn.SWITCH(L2368,1,_xlfn.XLOOKUP(O2368,[1]AttributeName!$B:$B,[1]AttributeName!$E:$E),2,_xlfn.XLOOKUP(C2368,#REF!,#REF!),3,_xlfn.XLOOKUP(C2368,#REF!,#REF!)),0)</f>
        <v>2</v>
      </c>
    </row>
    <row r="2369" customFormat="1" spans="1:20">
      <c r="A2369">
        <f t="shared" si="98"/>
        <v>966</v>
      </c>
      <c r="B2369">
        <v>4</v>
      </c>
      <c r="C2369" t="s">
        <v>408</v>
      </c>
      <c r="D2369" t="s">
        <v>32</v>
      </c>
      <c r="E2369" s="13" t="s">
        <v>392</v>
      </c>
      <c r="F2369"/>
      <c r="G2369">
        <v>2</v>
      </c>
      <c r="H2369">
        <v>1000</v>
      </c>
      <c r="J2369" cm="1">
        <f t="array" ref="J2369">_xlfn.SWITCH(B2369,1,75,2,61,3,49,4,37,5,25,6,13,7,4,8,1)</f>
        <v>37</v>
      </c>
      <c r="K2369" t="str" cm="1">
        <f t="array" ref="K2369">IFERROR(_xlfn.SWITCH(L2369,2,_xlfn.XLOOKUP(C2369,[1]ModifierDes!$B:$B,[1]ModifierDes!$C:$C),3,_xlfn.XLOOKUP(C2369,[1]StuntDes!$B:$B,[1]StuntDes!$C:$C)),"")</f>
        <v/>
      </c>
      <c r="L2369">
        <f t="shared" si="96"/>
        <v>1</v>
      </c>
      <c r="M2369" s="10" t="str">
        <f>IFERROR(_xlfn.XLOOKUP(C2369,[1]StuntDes!$B:$B,[1]StuntDes!$A:$A),"")</f>
        <v/>
      </c>
      <c r="N2369" s="10" t="str">
        <f>IFERROR(_xlfn.XLOOKUP(C2369,[1]ModifierDes!$B:$B,[1]ModifierDes!$A:$A),"")</f>
        <v/>
      </c>
      <c r="O2369" s="10">
        <f>IFERROR(_xlfn.XLOOKUP(C2369,[1]AttributeName!$C:$C,[1]AttributeName!$B:$B),"")</f>
        <v>10801</v>
      </c>
      <c r="P2369" s="10"/>
      <c r="Q2369">
        <v>0.21</v>
      </c>
      <c r="R2369">
        <v>0.25</v>
      </c>
      <c r="S2369" cm="1">
        <f t="array" ref="S2369">IFERROR(_xlfn.SWITCH(L2369,1,_xlfn.XLOOKUP(O2369,[1]AttributeName!$B:$B,[1]AttributeName!$D:$D),2,_xlfn.XLOOKUP(C2369,#REF!,#REF!),3,_xlfn.XLOOKUP(C2369,#REF!,#REF!)),0)</f>
        <v>2</v>
      </c>
      <c r="T2369" cm="1">
        <f t="array" ref="T2369">IFERROR(_xlfn.SWITCH(L2369,1,_xlfn.XLOOKUP(O2369,[1]AttributeName!$B:$B,[1]AttributeName!$E:$E),2,_xlfn.XLOOKUP(C2369,#REF!,#REF!),3,_xlfn.XLOOKUP(C2369,#REF!,#REF!)),0)</f>
        <v>2</v>
      </c>
    </row>
    <row r="2370" customFormat="1" spans="1:20">
      <c r="A2370">
        <f t="shared" si="98"/>
        <v>966</v>
      </c>
      <c r="B2370">
        <v>5</v>
      </c>
      <c r="C2370" t="s">
        <v>408</v>
      </c>
      <c r="D2370" t="s">
        <v>32</v>
      </c>
      <c r="E2370" s="13" t="s">
        <v>392</v>
      </c>
      <c r="F2370"/>
      <c r="G2370">
        <v>2</v>
      </c>
      <c r="H2370">
        <v>1000</v>
      </c>
      <c r="J2370" cm="1">
        <f t="array" ref="J2370">_xlfn.SWITCH(B2370,1,75,2,61,3,49,4,37,5,25,6,13,7,4,8,1)</f>
        <v>25</v>
      </c>
      <c r="K2370" t="str" cm="1">
        <f t="array" ref="K2370">IFERROR(_xlfn.SWITCH(L2370,2,_xlfn.XLOOKUP(C2370,[1]ModifierDes!$B:$B,[1]ModifierDes!$C:$C),3,_xlfn.XLOOKUP(C2370,[1]StuntDes!$B:$B,[1]StuntDes!$C:$C)),"")</f>
        <v/>
      </c>
      <c r="L2370">
        <f t="shared" si="96"/>
        <v>1</v>
      </c>
      <c r="M2370" s="10" t="str">
        <f>IFERROR(_xlfn.XLOOKUP(C2370,[1]StuntDes!$B:$B,[1]StuntDes!$A:$A),"")</f>
        <v/>
      </c>
      <c r="N2370" s="10" t="str">
        <f>IFERROR(_xlfn.XLOOKUP(C2370,[1]ModifierDes!$B:$B,[1]ModifierDes!$A:$A),"")</f>
        <v/>
      </c>
      <c r="O2370" s="10">
        <f>IFERROR(_xlfn.XLOOKUP(C2370,[1]AttributeName!$C:$C,[1]AttributeName!$B:$B),"")</f>
        <v>10801</v>
      </c>
      <c r="P2370" s="10"/>
      <c r="Q2370">
        <v>0.16</v>
      </c>
      <c r="R2370">
        <v>0.2</v>
      </c>
      <c r="S2370" cm="1">
        <f t="array" ref="S2370">IFERROR(_xlfn.SWITCH(L2370,1,_xlfn.XLOOKUP(O2370,[1]AttributeName!$B:$B,[1]AttributeName!$D:$D),2,_xlfn.XLOOKUP(C2370,#REF!,#REF!),3,_xlfn.XLOOKUP(C2370,#REF!,#REF!)),0)</f>
        <v>2</v>
      </c>
      <c r="T2370" cm="1">
        <f t="array" ref="T2370">IFERROR(_xlfn.SWITCH(L2370,1,_xlfn.XLOOKUP(O2370,[1]AttributeName!$B:$B,[1]AttributeName!$E:$E),2,_xlfn.XLOOKUP(C2370,#REF!,#REF!),3,_xlfn.XLOOKUP(C2370,#REF!,#REF!)),0)</f>
        <v>2</v>
      </c>
    </row>
    <row r="2371" customFormat="1" spans="1:20">
      <c r="A2371">
        <f t="shared" si="98"/>
        <v>966</v>
      </c>
      <c r="B2371">
        <v>6</v>
      </c>
      <c r="C2371" t="s">
        <v>408</v>
      </c>
      <c r="D2371" t="s">
        <v>32</v>
      </c>
      <c r="E2371" s="13" t="s">
        <v>392</v>
      </c>
      <c r="F2371"/>
      <c r="G2371">
        <v>2</v>
      </c>
      <c r="H2371">
        <v>1000</v>
      </c>
      <c r="J2371" cm="1">
        <f t="array" ref="J2371">_xlfn.SWITCH(B2371,1,75,2,61,3,49,4,37,5,25,6,13,7,4,8,1)</f>
        <v>13</v>
      </c>
      <c r="K2371" t="str" cm="1">
        <f t="array" ref="K2371">IFERROR(_xlfn.SWITCH(L2371,2,_xlfn.XLOOKUP(C2371,[1]ModifierDes!$B:$B,[1]ModifierDes!$C:$C),3,_xlfn.XLOOKUP(C2371,[1]StuntDes!$B:$B,[1]StuntDes!$C:$C)),"")</f>
        <v/>
      </c>
      <c r="L2371">
        <f t="shared" si="96"/>
        <v>1</v>
      </c>
      <c r="M2371" s="10" t="str">
        <f>IFERROR(_xlfn.XLOOKUP(C2371,[1]StuntDes!$B:$B,[1]StuntDes!$A:$A),"")</f>
        <v/>
      </c>
      <c r="N2371" s="10" t="str">
        <f>IFERROR(_xlfn.XLOOKUP(C2371,[1]ModifierDes!$B:$B,[1]ModifierDes!$A:$A),"")</f>
        <v/>
      </c>
      <c r="O2371" s="10">
        <f>IFERROR(_xlfn.XLOOKUP(C2371,[1]AttributeName!$C:$C,[1]AttributeName!$B:$B),"")</f>
        <v>10801</v>
      </c>
      <c r="P2371" s="10"/>
      <c r="Q2371">
        <v>0.11</v>
      </c>
      <c r="R2371">
        <v>0.15</v>
      </c>
      <c r="S2371" cm="1">
        <f t="array" ref="S2371">IFERROR(_xlfn.SWITCH(L2371,1,_xlfn.XLOOKUP(O2371,[1]AttributeName!$B:$B,[1]AttributeName!$D:$D),2,_xlfn.XLOOKUP(C2371,#REF!,#REF!),3,_xlfn.XLOOKUP(C2371,#REF!,#REF!)),0)</f>
        <v>2</v>
      </c>
      <c r="T2371" cm="1">
        <f t="array" ref="T2371">IFERROR(_xlfn.SWITCH(L2371,1,_xlfn.XLOOKUP(O2371,[1]AttributeName!$B:$B,[1]AttributeName!$E:$E),2,_xlfn.XLOOKUP(C2371,#REF!,#REF!),3,_xlfn.XLOOKUP(C2371,#REF!,#REF!)),0)</f>
        <v>2</v>
      </c>
    </row>
    <row r="2372" customFormat="1" spans="1:20">
      <c r="A2372">
        <f t="shared" si="98"/>
        <v>966</v>
      </c>
      <c r="B2372">
        <v>7</v>
      </c>
      <c r="C2372" t="s">
        <v>408</v>
      </c>
      <c r="D2372" t="s">
        <v>32</v>
      </c>
      <c r="E2372" s="13" t="s">
        <v>392</v>
      </c>
      <c r="F2372"/>
      <c r="G2372">
        <v>2</v>
      </c>
      <c r="H2372">
        <v>1000</v>
      </c>
      <c r="J2372" cm="1">
        <f t="array" ref="J2372">_xlfn.SWITCH(B2372,1,75,2,61,3,49,4,37,5,25,6,13,7,4,8,1)</f>
        <v>4</v>
      </c>
      <c r="K2372" t="str" cm="1">
        <f t="array" ref="K2372">IFERROR(_xlfn.SWITCH(L2372,2,_xlfn.XLOOKUP(C2372,[1]ModifierDes!$B:$B,[1]ModifierDes!$C:$C),3,_xlfn.XLOOKUP(C2372,[1]StuntDes!$B:$B,[1]StuntDes!$C:$C)),"")</f>
        <v/>
      </c>
      <c r="L2372">
        <f t="shared" ref="L2372:L2435" si="99">IF(M2372="",IF(N2372="",1,2),3)</f>
        <v>1</v>
      </c>
      <c r="M2372" s="10" t="str">
        <f>IFERROR(_xlfn.XLOOKUP(C2372,[1]StuntDes!$B:$B,[1]StuntDes!$A:$A),"")</f>
        <v/>
      </c>
      <c r="N2372" s="10" t="str">
        <f>IFERROR(_xlfn.XLOOKUP(C2372,[1]ModifierDes!$B:$B,[1]ModifierDes!$A:$A),"")</f>
        <v/>
      </c>
      <c r="O2372" s="10">
        <f>IFERROR(_xlfn.XLOOKUP(C2372,[1]AttributeName!$C:$C,[1]AttributeName!$B:$B),"")</f>
        <v>10801</v>
      </c>
      <c r="P2372" s="10"/>
      <c r="Q2372">
        <v>0.06</v>
      </c>
      <c r="R2372">
        <v>0.1</v>
      </c>
      <c r="S2372" cm="1">
        <f t="array" ref="S2372">IFERROR(_xlfn.SWITCH(L2372,1,_xlfn.XLOOKUP(O2372,[1]AttributeName!$B:$B,[1]AttributeName!$D:$D),2,_xlfn.XLOOKUP(C2372,#REF!,#REF!),3,_xlfn.XLOOKUP(C2372,#REF!,#REF!)),0)</f>
        <v>2</v>
      </c>
      <c r="T2372" cm="1">
        <f t="array" ref="T2372">IFERROR(_xlfn.SWITCH(L2372,1,_xlfn.XLOOKUP(O2372,[1]AttributeName!$B:$B,[1]AttributeName!$E:$E),2,_xlfn.XLOOKUP(C2372,#REF!,#REF!),3,_xlfn.XLOOKUP(C2372,#REF!,#REF!)),0)</f>
        <v>2</v>
      </c>
    </row>
    <row r="2373" customFormat="1" spans="1:20">
      <c r="A2373">
        <f t="shared" si="98"/>
        <v>966</v>
      </c>
      <c r="B2373">
        <v>8</v>
      </c>
      <c r="C2373" t="s">
        <v>408</v>
      </c>
      <c r="D2373" t="s">
        <v>32</v>
      </c>
      <c r="E2373" s="13" t="s">
        <v>392</v>
      </c>
      <c r="F2373"/>
      <c r="G2373">
        <v>2</v>
      </c>
      <c r="H2373">
        <v>1000</v>
      </c>
      <c r="J2373" cm="1">
        <f t="array" ref="J2373">_xlfn.SWITCH(B2373,1,75,2,61,3,49,4,37,5,25,6,13,7,4,8,1)</f>
        <v>1</v>
      </c>
      <c r="K2373" t="str" cm="1">
        <f t="array" ref="K2373">IFERROR(_xlfn.SWITCH(L2373,2,_xlfn.XLOOKUP(C2373,[1]ModifierDes!$B:$B,[1]ModifierDes!$C:$C),3,_xlfn.XLOOKUP(C2373,[1]StuntDes!$B:$B,[1]StuntDes!$C:$C)),"")</f>
        <v/>
      </c>
      <c r="L2373">
        <f t="shared" si="99"/>
        <v>1</v>
      </c>
      <c r="M2373" s="10" t="str">
        <f>IFERROR(_xlfn.XLOOKUP(C2373,[1]StuntDes!$B:$B,[1]StuntDes!$A:$A),"")</f>
        <v/>
      </c>
      <c r="N2373" s="10" t="str">
        <f>IFERROR(_xlfn.XLOOKUP(C2373,[1]ModifierDes!$B:$B,[1]ModifierDes!$A:$A),"")</f>
        <v/>
      </c>
      <c r="O2373" s="10">
        <f>IFERROR(_xlfn.XLOOKUP(C2373,[1]AttributeName!$C:$C,[1]AttributeName!$B:$B),"")</f>
        <v>10801</v>
      </c>
      <c r="P2373" s="10"/>
      <c r="Q2373">
        <v>0.01</v>
      </c>
      <c r="R2373">
        <v>0.05</v>
      </c>
      <c r="S2373" cm="1">
        <f t="array" ref="S2373">IFERROR(_xlfn.SWITCH(L2373,1,_xlfn.XLOOKUP(O2373,[1]AttributeName!$B:$B,[1]AttributeName!$D:$D),2,_xlfn.XLOOKUP(C2373,#REF!,#REF!),3,_xlfn.XLOOKUP(C2373,#REF!,#REF!)),0)</f>
        <v>2</v>
      </c>
      <c r="T2373" cm="1">
        <f t="array" ref="T2373">IFERROR(_xlfn.SWITCH(L2373,1,_xlfn.XLOOKUP(O2373,[1]AttributeName!$B:$B,[1]AttributeName!$E:$E),2,_xlfn.XLOOKUP(C2373,#REF!,#REF!),3,_xlfn.XLOOKUP(C2373,#REF!,#REF!)),0)</f>
        <v>2</v>
      </c>
    </row>
    <row r="2374" customFormat="1" spans="1:20">
      <c r="A2374">
        <f t="shared" ref="A2374:A2421" si="100">A2366+1</f>
        <v>967</v>
      </c>
      <c r="B2374">
        <v>1</v>
      </c>
      <c r="C2374" t="s">
        <v>409</v>
      </c>
      <c r="D2374" t="s">
        <v>32</v>
      </c>
      <c r="E2374" s="13" t="s">
        <v>392</v>
      </c>
      <c r="F2374"/>
      <c r="G2374">
        <v>2</v>
      </c>
      <c r="H2374">
        <v>500</v>
      </c>
      <c r="J2374" cm="1">
        <f t="array" ref="J2374">_xlfn.SWITCH(B2374,1,75,2,61,3,49,4,37,5,25,6,13,7,4,8,1)</f>
        <v>75</v>
      </c>
      <c r="K2374" t="str" cm="1">
        <f t="array" ref="K2374">IFERROR(_xlfn.SWITCH(L2374,2,_xlfn.XLOOKUP(C2374,[1]ModifierDes!$B:$B,[1]ModifierDes!$C:$C),3,_xlfn.XLOOKUP(C2374,[1]StuntDes!$B:$B,[1]StuntDes!$C:$C)),"")</f>
        <v/>
      </c>
      <c r="L2374">
        <f t="shared" si="99"/>
        <v>1</v>
      </c>
      <c r="M2374" s="10" t="str">
        <f>IFERROR(_xlfn.XLOOKUP(C2374,[1]StuntDes!$B:$B,[1]StuntDes!$A:$A),"")</f>
        <v/>
      </c>
      <c r="N2374" s="10" t="str">
        <f>IFERROR(_xlfn.XLOOKUP(C2374,[1]ModifierDes!$B:$B,[1]ModifierDes!$A:$A),"")</f>
        <v/>
      </c>
      <c r="O2374" s="10">
        <f>IFERROR(_xlfn.XLOOKUP(C2374,[1]AttributeName!$C:$C,[1]AttributeName!$B:$B),"")</f>
        <v>11009</v>
      </c>
      <c r="P2374" s="10"/>
      <c r="Q2374">
        <v>0.36</v>
      </c>
      <c r="R2374">
        <v>0.4</v>
      </c>
      <c r="S2374" cm="1">
        <f t="array" ref="S2374">IFERROR(_xlfn.SWITCH(L2374,1,_xlfn.XLOOKUP(O2374,[1]AttributeName!$B:$B,[1]AttributeName!$D:$D),2,_xlfn.XLOOKUP(C2374,#REF!,#REF!),3,_xlfn.XLOOKUP(C2374,#REF!,#REF!)),0)</f>
        <v>2</v>
      </c>
      <c r="T2374" cm="1">
        <f t="array" ref="T2374">IFERROR(_xlfn.SWITCH(L2374,1,_xlfn.XLOOKUP(O2374,[1]AttributeName!$B:$B,[1]AttributeName!$E:$E),2,_xlfn.XLOOKUP(C2374,#REF!,#REF!),3,_xlfn.XLOOKUP(C2374,#REF!,#REF!)),0)</f>
        <v>2</v>
      </c>
    </row>
    <row r="2375" customFormat="1" spans="1:20">
      <c r="A2375">
        <f t="shared" si="100"/>
        <v>967</v>
      </c>
      <c r="B2375">
        <v>2</v>
      </c>
      <c r="C2375" t="s">
        <v>409</v>
      </c>
      <c r="D2375" t="s">
        <v>32</v>
      </c>
      <c r="E2375" s="13" t="s">
        <v>392</v>
      </c>
      <c r="F2375"/>
      <c r="G2375">
        <v>2</v>
      </c>
      <c r="H2375">
        <v>500</v>
      </c>
      <c r="J2375" cm="1">
        <f t="array" ref="J2375">_xlfn.SWITCH(B2375,1,75,2,61,3,49,4,37,5,25,6,13,7,4,8,1)</f>
        <v>61</v>
      </c>
      <c r="K2375" t="str" cm="1">
        <f t="array" ref="K2375">IFERROR(_xlfn.SWITCH(L2375,2,_xlfn.XLOOKUP(C2375,[1]ModifierDes!$B:$B,[1]ModifierDes!$C:$C),3,_xlfn.XLOOKUP(C2375,[1]StuntDes!$B:$B,[1]StuntDes!$C:$C)),"")</f>
        <v/>
      </c>
      <c r="L2375">
        <f t="shared" si="99"/>
        <v>1</v>
      </c>
      <c r="M2375" s="10" t="str">
        <f>IFERROR(_xlfn.XLOOKUP(C2375,[1]StuntDes!$B:$B,[1]StuntDes!$A:$A),"")</f>
        <v/>
      </c>
      <c r="N2375" s="10" t="str">
        <f>IFERROR(_xlfn.XLOOKUP(C2375,[1]ModifierDes!$B:$B,[1]ModifierDes!$A:$A),"")</f>
        <v/>
      </c>
      <c r="O2375" s="10">
        <f>IFERROR(_xlfn.XLOOKUP(C2375,[1]AttributeName!$C:$C,[1]AttributeName!$B:$B),"")</f>
        <v>11009</v>
      </c>
      <c r="P2375" s="10"/>
      <c r="Q2375">
        <v>0.31</v>
      </c>
      <c r="R2375">
        <v>0.35</v>
      </c>
      <c r="S2375" cm="1">
        <f t="array" ref="S2375">IFERROR(_xlfn.SWITCH(L2375,1,_xlfn.XLOOKUP(O2375,[1]AttributeName!$B:$B,[1]AttributeName!$D:$D),2,_xlfn.XLOOKUP(C2375,#REF!,#REF!),3,_xlfn.XLOOKUP(C2375,#REF!,#REF!)),0)</f>
        <v>2</v>
      </c>
      <c r="T2375" cm="1">
        <f t="array" ref="T2375">IFERROR(_xlfn.SWITCH(L2375,1,_xlfn.XLOOKUP(O2375,[1]AttributeName!$B:$B,[1]AttributeName!$E:$E),2,_xlfn.XLOOKUP(C2375,#REF!,#REF!),3,_xlfn.XLOOKUP(C2375,#REF!,#REF!)),0)</f>
        <v>2</v>
      </c>
    </row>
    <row r="2376" customFormat="1" spans="1:20">
      <c r="A2376">
        <f t="shared" si="100"/>
        <v>967</v>
      </c>
      <c r="B2376">
        <v>3</v>
      </c>
      <c r="C2376" t="s">
        <v>409</v>
      </c>
      <c r="D2376" t="s">
        <v>32</v>
      </c>
      <c r="E2376" s="13" t="s">
        <v>392</v>
      </c>
      <c r="F2376"/>
      <c r="G2376">
        <v>2</v>
      </c>
      <c r="H2376">
        <v>1000</v>
      </c>
      <c r="J2376" cm="1">
        <f t="array" ref="J2376">_xlfn.SWITCH(B2376,1,75,2,61,3,49,4,37,5,25,6,13,7,4,8,1)</f>
        <v>49</v>
      </c>
      <c r="K2376" t="str" cm="1">
        <f t="array" ref="K2376">IFERROR(_xlfn.SWITCH(L2376,2,_xlfn.XLOOKUP(C2376,[1]ModifierDes!$B:$B,[1]ModifierDes!$C:$C),3,_xlfn.XLOOKUP(C2376,[1]StuntDes!$B:$B,[1]StuntDes!$C:$C)),"")</f>
        <v/>
      </c>
      <c r="L2376">
        <f t="shared" si="99"/>
        <v>1</v>
      </c>
      <c r="M2376" s="10" t="str">
        <f>IFERROR(_xlfn.XLOOKUP(C2376,[1]StuntDes!$B:$B,[1]StuntDes!$A:$A),"")</f>
        <v/>
      </c>
      <c r="N2376" s="10" t="str">
        <f>IFERROR(_xlfn.XLOOKUP(C2376,[1]ModifierDes!$B:$B,[1]ModifierDes!$A:$A),"")</f>
        <v/>
      </c>
      <c r="O2376" s="10">
        <f>IFERROR(_xlfn.XLOOKUP(C2376,[1]AttributeName!$C:$C,[1]AttributeName!$B:$B),"")</f>
        <v>11009</v>
      </c>
      <c r="P2376" s="10"/>
      <c r="Q2376">
        <v>0.26</v>
      </c>
      <c r="R2376">
        <v>0.3</v>
      </c>
      <c r="S2376" cm="1">
        <f t="array" ref="S2376">IFERROR(_xlfn.SWITCH(L2376,1,_xlfn.XLOOKUP(O2376,[1]AttributeName!$B:$B,[1]AttributeName!$D:$D),2,_xlfn.XLOOKUP(C2376,#REF!,#REF!),3,_xlfn.XLOOKUP(C2376,#REF!,#REF!)),0)</f>
        <v>2</v>
      </c>
      <c r="T2376" cm="1">
        <f t="array" ref="T2376">IFERROR(_xlfn.SWITCH(L2376,1,_xlfn.XLOOKUP(O2376,[1]AttributeName!$B:$B,[1]AttributeName!$E:$E),2,_xlfn.XLOOKUP(C2376,#REF!,#REF!),3,_xlfn.XLOOKUP(C2376,#REF!,#REF!)),0)</f>
        <v>2</v>
      </c>
    </row>
    <row r="2377" customFormat="1" spans="1:20">
      <c r="A2377">
        <f t="shared" si="100"/>
        <v>967</v>
      </c>
      <c r="B2377">
        <v>4</v>
      </c>
      <c r="C2377" t="s">
        <v>409</v>
      </c>
      <c r="D2377" t="s">
        <v>32</v>
      </c>
      <c r="E2377" s="13" t="s">
        <v>392</v>
      </c>
      <c r="F2377"/>
      <c r="G2377">
        <v>2</v>
      </c>
      <c r="H2377">
        <v>1000</v>
      </c>
      <c r="J2377" cm="1">
        <f t="array" ref="J2377">_xlfn.SWITCH(B2377,1,75,2,61,3,49,4,37,5,25,6,13,7,4,8,1)</f>
        <v>37</v>
      </c>
      <c r="K2377" t="str" cm="1">
        <f t="array" ref="K2377">IFERROR(_xlfn.SWITCH(L2377,2,_xlfn.XLOOKUP(C2377,[1]ModifierDes!$B:$B,[1]ModifierDes!$C:$C),3,_xlfn.XLOOKUP(C2377,[1]StuntDes!$B:$B,[1]StuntDes!$C:$C)),"")</f>
        <v/>
      </c>
      <c r="L2377">
        <f t="shared" si="99"/>
        <v>1</v>
      </c>
      <c r="M2377" s="10" t="str">
        <f>IFERROR(_xlfn.XLOOKUP(C2377,[1]StuntDes!$B:$B,[1]StuntDes!$A:$A),"")</f>
        <v/>
      </c>
      <c r="N2377" s="10" t="str">
        <f>IFERROR(_xlfn.XLOOKUP(C2377,[1]ModifierDes!$B:$B,[1]ModifierDes!$A:$A),"")</f>
        <v/>
      </c>
      <c r="O2377" s="10">
        <f>IFERROR(_xlfn.XLOOKUP(C2377,[1]AttributeName!$C:$C,[1]AttributeName!$B:$B),"")</f>
        <v>11009</v>
      </c>
      <c r="P2377" s="10"/>
      <c r="Q2377">
        <v>0.21</v>
      </c>
      <c r="R2377">
        <v>0.25</v>
      </c>
      <c r="S2377" cm="1">
        <f t="array" ref="S2377">IFERROR(_xlfn.SWITCH(L2377,1,_xlfn.XLOOKUP(O2377,[1]AttributeName!$B:$B,[1]AttributeName!$D:$D),2,_xlfn.XLOOKUP(C2377,#REF!,#REF!),3,_xlfn.XLOOKUP(C2377,#REF!,#REF!)),0)</f>
        <v>2</v>
      </c>
      <c r="T2377" cm="1">
        <f t="array" ref="T2377">IFERROR(_xlfn.SWITCH(L2377,1,_xlfn.XLOOKUP(O2377,[1]AttributeName!$B:$B,[1]AttributeName!$E:$E),2,_xlfn.XLOOKUP(C2377,#REF!,#REF!),3,_xlfn.XLOOKUP(C2377,#REF!,#REF!)),0)</f>
        <v>2</v>
      </c>
    </row>
    <row r="2378" customFormat="1" spans="1:20">
      <c r="A2378">
        <f t="shared" si="100"/>
        <v>967</v>
      </c>
      <c r="B2378">
        <v>5</v>
      </c>
      <c r="C2378" t="s">
        <v>409</v>
      </c>
      <c r="D2378" t="s">
        <v>32</v>
      </c>
      <c r="E2378" s="13" t="s">
        <v>392</v>
      </c>
      <c r="F2378"/>
      <c r="G2378">
        <v>2</v>
      </c>
      <c r="H2378">
        <v>1000</v>
      </c>
      <c r="J2378" cm="1">
        <f t="array" ref="J2378">_xlfn.SWITCH(B2378,1,75,2,61,3,49,4,37,5,25,6,13,7,4,8,1)</f>
        <v>25</v>
      </c>
      <c r="K2378" t="str" cm="1">
        <f t="array" ref="K2378">IFERROR(_xlfn.SWITCH(L2378,2,_xlfn.XLOOKUP(C2378,[1]ModifierDes!$B:$B,[1]ModifierDes!$C:$C),3,_xlfn.XLOOKUP(C2378,[1]StuntDes!$B:$B,[1]StuntDes!$C:$C)),"")</f>
        <v/>
      </c>
      <c r="L2378">
        <f t="shared" si="99"/>
        <v>1</v>
      </c>
      <c r="M2378" s="10" t="str">
        <f>IFERROR(_xlfn.XLOOKUP(C2378,[1]StuntDes!$B:$B,[1]StuntDes!$A:$A),"")</f>
        <v/>
      </c>
      <c r="N2378" s="10" t="str">
        <f>IFERROR(_xlfn.XLOOKUP(C2378,[1]ModifierDes!$B:$B,[1]ModifierDes!$A:$A),"")</f>
        <v/>
      </c>
      <c r="O2378" s="10">
        <f>IFERROR(_xlfn.XLOOKUP(C2378,[1]AttributeName!$C:$C,[1]AttributeName!$B:$B),"")</f>
        <v>11009</v>
      </c>
      <c r="P2378" s="10"/>
      <c r="Q2378">
        <v>0.16</v>
      </c>
      <c r="R2378">
        <v>0.2</v>
      </c>
      <c r="S2378" cm="1">
        <f t="array" ref="S2378">IFERROR(_xlfn.SWITCH(L2378,1,_xlfn.XLOOKUP(O2378,[1]AttributeName!$B:$B,[1]AttributeName!$D:$D),2,_xlfn.XLOOKUP(C2378,#REF!,#REF!),3,_xlfn.XLOOKUP(C2378,#REF!,#REF!)),0)</f>
        <v>2</v>
      </c>
      <c r="T2378" cm="1">
        <f t="array" ref="T2378">IFERROR(_xlfn.SWITCH(L2378,1,_xlfn.XLOOKUP(O2378,[1]AttributeName!$B:$B,[1]AttributeName!$E:$E),2,_xlfn.XLOOKUP(C2378,#REF!,#REF!),3,_xlfn.XLOOKUP(C2378,#REF!,#REF!)),0)</f>
        <v>2</v>
      </c>
    </row>
    <row r="2379" customFormat="1" spans="1:20">
      <c r="A2379">
        <f t="shared" si="100"/>
        <v>967</v>
      </c>
      <c r="B2379">
        <v>6</v>
      </c>
      <c r="C2379" t="s">
        <v>409</v>
      </c>
      <c r="D2379" t="s">
        <v>32</v>
      </c>
      <c r="E2379" s="13" t="s">
        <v>392</v>
      </c>
      <c r="F2379"/>
      <c r="G2379">
        <v>2</v>
      </c>
      <c r="H2379">
        <v>1000</v>
      </c>
      <c r="J2379" cm="1">
        <f t="array" ref="J2379">_xlfn.SWITCH(B2379,1,75,2,61,3,49,4,37,5,25,6,13,7,4,8,1)</f>
        <v>13</v>
      </c>
      <c r="K2379" t="str" cm="1">
        <f t="array" ref="K2379">IFERROR(_xlfn.SWITCH(L2379,2,_xlfn.XLOOKUP(C2379,[1]ModifierDes!$B:$B,[1]ModifierDes!$C:$C),3,_xlfn.XLOOKUP(C2379,[1]StuntDes!$B:$B,[1]StuntDes!$C:$C)),"")</f>
        <v/>
      </c>
      <c r="L2379">
        <f t="shared" si="99"/>
        <v>1</v>
      </c>
      <c r="M2379" s="10" t="str">
        <f>IFERROR(_xlfn.XLOOKUP(C2379,[1]StuntDes!$B:$B,[1]StuntDes!$A:$A),"")</f>
        <v/>
      </c>
      <c r="N2379" s="10" t="str">
        <f>IFERROR(_xlfn.XLOOKUP(C2379,[1]ModifierDes!$B:$B,[1]ModifierDes!$A:$A),"")</f>
        <v/>
      </c>
      <c r="O2379" s="10">
        <f>IFERROR(_xlfn.XLOOKUP(C2379,[1]AttributeName!$C:$C,[1]AttributeName!$B:$B),"")</f>
        <v>11009</v>
      </c>
      <c r="P2379" s="10"/>
      <c r="Q2379">
        <v>0.11</v>
      </c>
      <c r="R2379">
        <v>0.15</v>
      </c>
      <c r="S2379" cm="1">
        <f t="array" ref="S2379">IFERROR(_xlfn.SWITCH(L2379,1,_xlfn.XLOOKUP(O2379,[1]AttributeName!$B:$B,[1]AttributeName!$D:$D),2,_xlfn.XLOOKUP(C2379,#REF!,#REF!),3,_xlfn.XLOOKUP(C2379,#REF!,#REF!)),0)</f>
        <v>2</v>
      </c>
      <c r="T2379" cm="1">
        <f t="array" ref="T2379">IFERROR(_xlfn.SWITCH(L2379,1,_xlfn.XLOOKUP(O2379,[1]AttributeName!$B:$B,[1]AttributeName!$E:$E),2,_xlfn.XLOOKUP(C2379,#REF!,#REF!),3,_xlfn.XLOOKUP(C2379,#REF!,#REF!)),0)</f>
        <v>2</v>
      </c>
    </row>
    <row r="2380" customFormat="1" spans="1:20">
      <c r="A2380">
        <f t="shared" si="100"/>
        <v>967</v>
      </c>
      <c r="B2380">
        <v>7</v>
      </c>
      <c r="C2380" t="s">
        <v>409</v>
      </c>
      <c r="D2380" t="s">
        <v>32</v>
      </c>
      <c r="E2380" s="13" t="s">
        <v>392</v>
      </c>
      <c r="F2380"/>
      <c r="G2380">
        <v>2</v>
      </c>
      <c r="H2380">
        <v>1000</v>
      </c>
      <c r="J2380" cm="1">
        <f t="array" ref="J2380">_xlfn.SWITCH(B2380,1,75,2,61,3,49,4,37,5,25,6,13,7,4,8,1)</f>
        <v>4</v>
      </c>
      <c r="K2380" t="str" cm="1">
        <f t="array" ref="K2380">IFERROR(_xlfn.SWITCH(L2380,2,_xlfn.XLOOKUP(C2380,[1]ModifierDes!$B:$B,[1]ModifierDes!$C:$C),3,_xlfn.XLOOKUP(C2380,[1]StuntDes!$B:$B,[1]StuntDes!$C:$C)),"")</f>
        <v/>
      </c>
      <c r="L2380">
        <f t="shared" si="99"/>
        <v>1</v>
      </c>
      <c r="M2380" s="10" t="str">
        <f>IFERROR(_xlfn.XLOOKUP(C2380,[1]StuntDes!$B:$B,[1]StuntDes!$A:$A),"")</f>
        <v/>
      </c>
      <c r="N2380" s="10" t="str">
        <f>IFERROR(_xlfn.XLOOKUP(C2380,[1]ModifierDes!$B:$B,[1]ModifierDes!$A:$A),"")</f>
        <v/>
      </c>
      <c r="O2380" s="10">
        <f>IFERROR(_xlfn.XLOOKUP(C2380,[1]AttributeName!$C:$C,[1]AttributeName!$B:$B),"")</f>
        <v>11009</v>
      </c>
      <c r="P2380" s="10"/>
      <c r="Q2380">
        <v>0.06</v>
      </c>
      <c r="R2380">
        <v>0.1</v>
      </c>
      <c r="S2380" cm="1">
        <f t="array" ref="S2380">IFERROR(_xlfn.SWITCH(L2380,1,_xlfn.XLOOKUP(O2380,[1]AttributeName!$B:$B,[1]AttributeName!$D:$D),2,_xlfn.XLOOKUP(C2380,#REF!,#REF!),3,_xlfn.XLOOKUP(C2380,#REF!,#REF!)),0)</f>
        <v>2</v>
      </c>
      <c r="T2380" cm="1">
        <f t="array" ref="T2380">IFERROR(_xlfn.SWITCH(L2380,1,_xlfn.XLOOKUP(O2380,[1]AttributeName!$B:$B,[1]AttributeName!$E:$E),2,_xlfn.XLOOKUP(C2380,#REF!,#REF!),3,_xlfn.XLOOKUP(C2380,#REF!,#REF!)),0)</f>
        <v>2</v>
      </c>
    </row>
    <row r="2381" customFormat="1" spans="1:20">
      <c r="A2381">
        <f t="shared" si="100"/>
        <v>967</v>
      </c>
      <c r="B2381">
        <v>8</v>
      </c>
      <c r="C2381" t="s">
        <v>409</v>
      </c>
      <c r="D2381" t="s">
        <v>32</v>
      </c>
      <c r="E2381" s="13" t="s">
        <v>392</v>
      </c>
      <c r="F2381"/>
      <c r="G2381">
        <v>2</v>
      </c>
      <c r="H2381">
        <v>1000</v>
      </c>
      <c r="J2381" cm="1">
        <f t="array" ref="J2381">_xlfn.SWITCH(B2381,1,75,2,61,3,49,4,37,5,25,6,13,7,4,8,1)</f>
        <v>1</v>
      </c>
      <c r="K2381" t="str" cm="1">
        <f t="array" ref="K2381">IFERROR(_xlfn.SWITCH(L2381,2,_xlfn.XLOOKUP(C2381,[1]ModifierDes!$B:$B,[1]ModifierDes!$C:$C),3,_xlfn.XLOOKUP(C2381,[1]StuntDes!$B:$B,[1]StuntDes!$C:$C)),"")</f>
        <v/>
      </c>
      <c r="L2381">
        <f t="shared" si="99"/>
        <v>1</v>
      </c>
      <c r="M2381" s="10" t="str">
        <f>IFERROR(_xlfn.XLOOKUP(C2381,[1]StuntDes!$B:$B,[1]StuntDes!$A:$A),"")</f>
        <v/>
      </c>
      <c r="N2381" s="10" t="str">
        <f>IFERROR(_xlfn.XLOOKUP(C2381,[1]ModifierDes!$B:$B,[1]ModifierDes!$A:$A),"")</f>
        <v/>
      </c>
      <c r="O2381" s="10">
        <f>IFERROR(_xlfn.XLOOKUP(C2381,[1]AttributeName!$C:$C,[1]AttributeName!$B:$B),"")</f>
        <v>11009</v>
      </c>
      <c r="P2381" s="10"/>
      <c r="Q2381">
        <v>0.01</v>
      </c>
      <c r="R2381">
        <v>0.05</v>
      </c>
      <c r="S2381" cm="1">
        <f t="array" ref="S2381">IFERROR(_xlfn.SWITCH(L2381,1,_xlfn.XLOOKUP(O2381,[1]AttributeName!$B:$B,[1]AttributeName!$D:$D),2,_xlfn.XLOOKUP(C2381,#REF!,#REF!),3,_xlfn.XLOOKUP(C2381,#REF!,#REF!)),0)</f>
        <v>2</v>
      </c>
      <c r="T2381" cm="1">
        <f t="array" ref="T2381">IFERROR(_xlfn.SWITCH(L2381,1,_xlfn.XLOOKUP(O2381,[1]AttributeName!$B:$B,[1]AttributeName!$E:$E),2,_xlfn.XLOOKUP(C2381,#REF!,#REF!),3,_xlfn.XLOOKUP(C2381,#REF!,#REF!)),0)</f>
        <v>2</v>
      </c>
    </row>
    <row r="2382" customFormat="1" spans="1:20">
      <c r="A2382">
        <f t="shared" si="100"/>
        <v>968</v>
      </c>
      <c r="B2382">
        <v>1</v>
      </c>
      <c r="C2382" t="s">
        <v>410</v>
      </c>
      <c r="D2382" t="s">
        <v>32</v>
      </c>
      <c r="E2382" s="13" t="s">
        <v>392</v>
      </c>
      <c r="F2382"/>
      <c r="G2382">
        <v>2</v>
      </c>
      <c r="H2382">
        <v>500</v>
      </c>
      <c r="J2382" cm="1">
        <f t="array" ref="J2382">_xlfn.SWITCH(B2382,1,75,2,61,3,49,4,37,5,25,6,13,7,4,8,1)</f>
        <v>75</v>
      </c>
      <c r="K2382" t="str" cm="1">
        <f t="array" ref="K2382">IFERROR(_xlfn.SWITCH(L2382,2,_xlfn.XLOOKUP(C2382,[1]ModifierDes!$B:$B,[1]ModifierDes!$C:$C),3,_xlfn.XLOOKUP(C2382,[1]StuntDes!$B:$B,[1]StuntDes!$C:$C)),"")</f>
        <v/>
      </c>
      <c r="L2382">
        <f t="shared" si="99"/>
        <v>1</v>
      </c>
      <c r="M2382" s="10" t="str">
        <f>IFERROR(_xlfn.XLOOKUP(C2382,[1]StuntDes!$B:$B,[1]StuntDes!$A:$A),"")</f>
        <v/>
      </c>
      <c r="N2382" s="10" t="str">
        <f>IFERROR(_xlfn.XLOOKUP(C2382,[1]ModifierDes!$B:$B,[1]ModifierDes!$A:$A),"")</f>
        <v/>
      </c>
      <c r="O2382" s="10">
        <f>IFERROR(_xlfn.XLOOKUP(C2382,[1]AttributeName!$C:$C,[1]AttributeName!$B:$B),"")</f>
        <v>10803</v>
      </c>
      <c r="P2382" s="10"/>
      <c r="Q2382">
        <v>0.36</v>
      </c>
      <c r="R2382">
        <v>0.4</v>
      </c>
      <c r="S2382" cm="1">
        <f t="array" ref="S2382">IFERROR(_xlfn.SWITCH(L2382,1,_xlfn.XLOOKUP(O2382,[1]AttributeName!$B:$B,[1]AttributeName!$D:$D),2,_xlfn.XLOOKUP(C2382,#REF!,#REF!),3,_xlfn.XLOOKUP(C2382,#REF!,#REF!)),0)</f>
        <v>2</v>
      </c>
      <c r="T2382" cm="1">
        <f t="array" ref="T2382">IFERROR(_xlfn.SWITCH(L2382,1,_xlfn.XLOOKUP(O2382,[1]AttributeName!$B:$B,[1]AttributeName!$E:$E),2,_xlfn.XLOOKUP(C2382,#REF!,#REF!),3,_xlfn.XLOOKUP(C2382,#REF!,#REF!)),0)</f>
        <v>2</v>
      </c>
    </row>
    <row r="2383" customFormat="1" spans="1:20">
      <c r="A2383">
        <f t="shared" si="100"/>
        <v>968</v>
      </c>
      <c r="B2383">
        <v>2</v>
      </c>
      <c r="C2383" t="s">
        <v>410</v>
      </c>
      <c r="D2383" t="s">
        <v>32</v>
      </c>
      <c r="E2383" s="13" t="s">
        <v>392</v>
      </c>
      <c r="F2383"/>
      <c r="G2383">
        <v>2</v>
      </c>
      <c r="H2383">
        <v>500</v>
      </c>
      <c r="J2383" cm="1">
        <f t="array" ref="J2383">_xlfn.SWITCH(B2383,1,75,2,61,3,49,4,37,5,25,6,13,7,4,8,1)</f>
        <v>61</v>
      </c>
      <c r="K2383" t="str" cm="1">
        <f t="array" ref="K2383">IFERROR(_xlfn.SWITCH(L2383,2,_xlfn.XLOOKUP(C2383,[1]ModifierDes!$B:$B,[1]ModifierDes!$C:$C),3,_xlfn.XLOOKUP(C2383,[1]StuntDes!$B:$B,[1]StuntDes!$C:$C)),"")</f>
        <v/>
      </c>
      <c r="L2383">
        <f t="shared" si="99"/>
        <v>1</v>
      </c>
      <c r="M2383" s="10" t="str">
        <f>IFERROR(_xlfn.XLOOKUP(C2383,[1]StuntDes!$B:$B,[1]StuntDes!$A:$A),"")</f>
        <v/>
      </c>
      <c r="N2383" s="10" t="str">
        <f>IFERROR(_xlfn.XLOOKUP(C2383,[1]ModifierDes!$B:$B,[1]ModifierDes!$A:$A),"")</f>
        <v/>
      </c>
      <c r="O2383" s="10">
        <f>IFERROR(_xlfn.XLOOKUP(C2383,[1]AttributeName!$C:$C,[1]AttributeName!$B:$B),"")</f>
        <v>10803</v>
      </c>
      <c r="P2383" s="10"/>
      <c r="Q2383">
        <v>0.31</v>
      </c>
      <c r="R2383">
        <v>0.35</v>
      </c>
      <c r="S2383" cm="1">
        <f t="array" ref="S2383">IFERROR(_xlfn.SWITCH(L2383,1,_xlfn.XLOOKUP(O2383,[1]AttributeName!$B:$B,[1]AttributeName!$D:$D),2,_xlfn.XLOOKUP(C2383,#REF!,#REF!),3,_xlfn.XLOOKUP(C2383,#REF!,#REF!)),0)</f>
        <v>2</v>
      </c>
      <c r="T2383" cm="1">
        <f t="array" ref="T2383">IFERROR(_xlfn.SWITCH(L2383,1,_xlfn.XLOOKUP(O2383,[1]AttributeName!$B:$B,[1]AttributeName!$E:$E),2,_xlfn.XLOOKUP(C2383,#REF!,#REF!),3,_xlfn.XLOOKUP(C2383,#REF!,#REF!)),0)</f>
        <v>2</v>
      </c>
    </row>
    <row r="2384" customFormat="1" spans="1:20">
      <c r="A2384">
        <f t="shared" si="100"/>
        <v>968</v>
      </c>
      <c r="B2384">
        <v>3</v>
      </c>
      <c r="C2384" t="s">
        <v>410</v>
      </c>
      <c r="D2384" t="s">
        <v>32</v>
      </c>
      <c r="E2384" s="13" t="s">
        <v>392</v>
      </c>
      <c r="F2384"/>
      <c r="G2384">
        <v>2</v>
      </c>
      <c r="H2384">
        <v>1000</v>
      </c>
      <c r="J2384" cm="1">
        <f t="array" ref="J2384">_xlfn.SWITCH(B2384,1,75,2,61,3,49,4,37,5,25,6,13,7,4,8,1)</f>
        <v>49</v>
      </c>
      <c r="K2384" t="str" cm="1">
        <f t="array" ref="K2384">IFERROR(_xlfn.SWITCH(L2384,2,_xlfn.XLOOKUP(C2384,[1]ModifierDes!$B:$B,[1]ModifierDes!$C:$C),3,_xlfn.XLOOKUP(C2384,[1]StuntDes!$B:$B,[1]StuntDes!$C:$C)),"")</f>
        <v/>
      </c>
      <c r="L2384">
        <f t="shared" si="99"/>
        <v>1</v>
      </c>
      <c r="M2384" s="10" t="str">
        <f>IFERROR(_xlfn.XLOOKUP(C2384,[1]StuntDes!$B:$B,[1]StuntDes!$A:$A),"")</f>
        <v/>
      </c>
      <c r="N2384" s="10" t="str">
        <f>IFERROR(_xlfn.XLOOKUP(C2384,[1]ModifierDes!$B:$B,[1]ModifierDes!$A:$A),"")</f>
        <v/>
      </c>
      <c r="O2384" s="10">
        <f>IFERROR(_xlfn.XLOOKUP(C2384,[1]AttributeName!$C:$C,[1]AttributeName!$B:$B),"")</f>
        <v>10803</v>
      </c>
      <c r="P2384" s="10"/>
      <c r="Q2384">
        <v>0.26</v>
      </c>
      <c r="R2384">
        <v>0.3</v>
      </c>
      <c r="S2384" cm="1">
        <f t="array" ref="S2384">IFERROR(_xlfn.SWITCH(L2384,1,_xlfn.XLOOKUP(O2384,[1]AttributeName!$B:$B,[1]AttributeName!$D:$D),2,_xlfn.XLOOKUP(C2384,#REF!,#REF!),3,_xlfn.XLOOKUP(C2384,#REF!,#REF!)),0)</f>
        <v>2</v>
      </c>
      <c r="T2384" cm="1">
        <f t="array" ref="T2384">IFERROR(_xlfn.SWITCH(L2384,1,_xlfn.XLOOKUP(O2384,[1]AttributeName!$B:$B,[1]AttributeName!$E:$E),2,_xlfn.XLOOKUP(C2384,#REF!,#REF!),3,_xlfn.XLOOKUP(C2384,#REF!,#REF!)),0)</f>
        <v>2</v>
      </c>
    </row>
    <row r="2385" customFormat="1" spans="1:20">
      <c r="A2385">
        <f t="shared" si="100"/>
        <v>968</v>
      </c>
      <c r="B2385">
        <v>4</v>
      </c>
      <c r="C2385" t="s">
        <v>410</v>
      </c>
      <c r="D2385" t="s">
        <v>32</v>
      </c>
      <c r="E2385" s="13" t="s">
        <v>392</v>
      </c>
      <c r="F2385"/>
      <c r="G2385">
        <v>2</v>
      </c>
      <c r="H2385">
        <v>1000</v>
      </c>
      <c r="J2385" cm="1">
        <f t="array" ref="J2385">_xlfn.SWITCH(B2385,1,75,2,61,3,49,4,37,5,25,6,13,7,4,8,1)</f>
        <v>37</v>
      </c>
      <c r="K2385" t="str" cm="1">
        <f t="array" ref="K2385">IFERROR(_xlfn.SWITCH(L2385,2,_xlfn.XLOOKUP(C2385,[1]ModifierDes!$B:$B,[1]ModifierDes!$C:$C),3,_xlfn.XLOOKUP(C2385,[1]StuntDes!$B:$B,[1]StuntDes!$C:$C)),"")</f>
        <v/>
      </c>
      <c r="L2385">
        <f t="shared" si="99"/>
        <v>1</v>
      </c>
      <c r="M2385" s="10" t="str">
        <f>IFERROR(_xlfn.XLOOKUP(C2385,[1]StuntDes!$B:$B,[1]StuntDes!$A:$A),"")</f>
        <v/>
      </c>
      <c r="N2385" s="10" t="str">
        <f>IFERROR(_xlfn.XLOOKUP(C2385,[1]ModifierDes!$B:$B,[1]ModifierDes!$A:$A),"")</f>
        <v/>
      </c>
      <c r="O2385" s="10">
        <f>IFERROR(_xlfn.XLOOKUP(C2385,[1]AttributeName!$C:$C,[1]AttributeName!$B:$B),"")</f>
        <v>10803</v>
      </c>
      <c r="P2385" s="10"/>
      <c r="Q2385">
        <v>0.21</v>
      </c>
      <c r="R2385">
        <v>0.25</v>
      </c>
      <c r="S2385" cm="1">
        <f t="array" ref="S2385">IFERROR(_xlfn.SWITCH(L2385,1,_xlfn.XLOOKUP(O2385,[1]AttributeName!$B:$B,[1]AttributeName!$D:$D),2,_xlfn.XLOOKUP(C2385,#REF!,#REF!),3,_xlfn.XLOOKUP(C2385,#REF!,#REF!)),0)</f>
        <v>2</v>
      </c>
      <c r="T2385" cm="1">
        <f t="array" ref="T2385">IFERROR(_xlfn.SWITCH(L2385,1,_xlfn.XLOOKUP(O2385,[1]AttributeName!$B:$B,[1]AttributeName!$E:$E),2,_xlfn.XLOOKUP(C2385,#REF!,#REF!),3,_xlfn.XLOOKUP(C2385,#REF!,#REF!)),0)</f>
        <v>2</v>
      </c>
    </row>
    <row r="2386" customFormat="1" spans="1:20">
      <c r="A2386">
        <f t="shared" si="100"/>
        <v>968</v>
      </c>
      <c r="B2386">
        <v>5</v>
      </c>
      <c r="C2386" t="s">
        <v>410</v>
      </c>
      <c r="D2386" t="s">
        <v>32</v>
      </c>
      <c r="E2386" s="13" t="s">
        <v>392</v>
      </c>
      <c r="F2386"/>
      <c r="G2386">
        <v>2</v>
      </c>
      <c r="H2386">
        <v>1000</v>
      </c>
      <c r="J2386" cm="1">
        <f t="array" ref="J2386">_xlfn.SWITCH(B2386,1,75,2,61,3,49,4,37,5,25,6,13,7,4,8,1)</f>
        <v>25</v>
      </c>
      <c r="K2386" t="str" cm="1">
        <f t="array" ref="K2386">IFERROR(_xlfn.SWITCH(L2386,2,_xlfn.XLOOKUP(C2386,[1]ModifierDes!$B:$B,[1]ModifierDes!$C:$C),3,_xlfn.XLOOKUP(C2386,[1]StuntDes!$B:$B,[1]StuntDes!$C:$C)),"")</f>
        <v/>
      </c>
      <c r="L2386">
        <f t="shared" si="99"/>
        <v>1</v>
      </c>
      <c r="M2386" s="10" t="str">
        <f>IFERROR(_xlfn.XLOOKUP(C2386,[1]StuntDes!$B:$B,[1]StuntDes!$A:$A),"")</f>
        <v/>
      </c>
      <c r="N2386" s="10" t="str">
        <f>IFERROR(_xlfn.XLOOKUP(C2386,[1]ModifierDes!$B:$B,[1]ModifierDes!$A:$A),"")</f>
        <v/>
      </c>
      <c r="O2386" s="10">
        <f>IFERROR(_xlfn.XLOOKUP(C2386,[1]AttributeName!$C:$C,[1]AttributeName!$B:$B),"")</f>
        <v>10803</v>
      </c>
      <c r="P2386" s="10"/>
      <c r="Q2386">
        <v>0.16</v>
      </c>
      <c r="R2386">
        <v>0.2</v>
      </c>
      <c r="S2386" cm="1">
        <f t="array" ref="S2386">IFERROR(_xlfn.SWITCH(L2386,1,_xlfn.XLOOKUP(O2386,[1]AttributeName!$B:$B,[1]AttributeName!$D:$D),2,_xlfn.XLOOKUP(C2386,#REF!,#REF!),3,_xlfn.XLOOKUP(C2386,#REF!,#REF!)),0)</f>
        <v>2</v>
      </c>
      <c r="T2386" cm="1">
        <f t="array" ref="T2386">IFERROR(_xlfn.SWITCH(L2386,1,_xlfn.XLOOKUP(O2386,[1]AttributeName!$B:$B,[1]AttributeName!$E:$E),2,_xlfn.XLOOKUP(C2386,#REF!,#REF!),3,_xlfn.XLOOKUP(C2386,#REF!,#REF!)),0)</f>
        <v>2</v>
      </c>
    </row>
    <row r="2387" customFormat="1" spans="1:20">
      <c r="A2387">
        <f t="shared" si="100"/>
        <v>968</v>
      </c>
      <c r="B2387">
        <v>6</v>
      </c>
      <c r="C2387" t="s">
        <v>410</v>
      </c>
      <c r="D2387" t="s">
        <v>32</v>
      </c>
      <c r="E2387" s="13" t="s">
        <v>392</v>
      </c>
      <c r="F2387"/>
      <c r="G2387">
        <v>2</v>
      </c>
      <c r="H2387">
        <v>1000</v>
      </c>
      <c r="J2387" cm="1">
        <f t="array" ref="J2387">_xlfn.SWITCH(B2387,1,75,2,61,3,49,4,37,5,25,6,13,7,4,8,1)</f>
        <v>13</v>
      </c>
      <c r="K2387" t="str" cm="1">
        <f t="array" ref="K2387">IFERROR(_xlfn.SWITCH(L2387,2,_xlfn.XLOOKUP(C2387,[1]ModifierDes!$B:$B,[1]ModifierDes!$C:$C),3,_xlfn.XLOOKUP(C2387,[1]StuntDes!$B:$B,[1]StuntDes!$C:$C)),"")</f>
        <v/>
      </c>
      <c r="L2387">
        <f t="shared" si="99"/>
        <v>1</v>
      </c>
      <c r="M2387" s="10" t="str">
        <f>IFERROR(_xlfn.XLOOKUP(C2387,[1]StuntDes!$B:$B,[1]StuntDes!$A:$A),"")</f>
        <v/>
      </c>
      <c r="N2387" s="10" t="str">
        <f>IFERROR(_xlfn.XLOOKUP(C2387,[1]ModifierDes!$B:$B,[1]ModifierDes!$A:$A),"")</f>
        <v/>
      </c>
      <c r="O2387" s="10">
        <f>IFERROR(_xlfn.XLOOKUP(C2387,[1]AttributeName!$C:$C,[1]AttributeName!$B:$B),"")</f>
        <v>10803</v>
      </c>
      <c r="P2387" s="10"/>
      <c r="Q2387">
        <v>0.11</v>
      </c>
      <c r="R2387">
        <v>0.15</v>
      </c>
      <c r="S2387" cm="1">
        <f t="array" ref="S2387">IFERROR(_xlfn.SWITCH(L2387,1,_xlfn.XLOOKUP(O2387,[1]AttributeName!$B:$B,[1]AttributeName!$D:$D),2,_xlfn.XLOOKUP(C2387,#REF!,#REF!),3,_xlfn.XLOOKUP(C2387,#REF!,#REF!)),0)</f>
        <v>2</v>
      </c>
      <c r="T2387" cm="1">
        <f t="array" ref="T2387">IFERROR(_xlfn.SWITCH(L2387,1,_xlfn.XLOOKUP(O2387,[1]AttributeName!$B:$B,[1]AttributeName!$E:$E),2,_xlfn.XLOOKUP(C2387,#REF!,#REF!),3,_xlfn.XLOOKUP(C2387,#REF!,#REF!)),0)</f>
        <v>2</v>
      </c>
    </row>
    <row r="2388" customFormat="1" spans="1:20">
      <c r="A2388">
        <f t="shared" si="100"/>
        <v>968</v>
      </c>
      <c r="B2388">
        <v>7</v>
      </c>
      <c r="C2388" t="s">
        <v>410</v>
      </c>
      <c r="D2388" t="s">
        <v>32</v>
      </c>
      <c r="E2388" s="13" t="s">
        <v>392</v>
      </c>
      <c r="F2388"/>
      <c r="G2388">
        <v>2</v>
      </c>
      <c r="H2388">
        <v>1000</v>
      </c>
      <c r="J2388" cm="1">
        <f t="array" ref="J2388">_xlfn.SWITCH(B2388,1,75,2,61,3,49,4,37,5,25,6,13,7,4,8,1)</f>
        <v>4</v>
      </c>
      <c r="K2388" t="str" cm="1">
        <f t="array" ref="K2388">IFERROR(_xlfn.SWITCH(L2388,2,_xlfn.XLOOKUP(C2388,[1]ModifierDes!$B:$B,[1]ModifierDes!$C:$C),3,_xlfn.XLOOKUP(C2388,[1]StuntDes!$B:$B,[1]StuntDes!$C:$C)),"")</f>
        <v/>
      </c>
      <c r="L2388">
        <f t="shared" si="99"/>
        <v>1</v>
      </c>
      <c r="M2388" s="10" t="str">
        <f>IFERROR(_xlfn.XLOOKUP(C2388,[1]StuntDes!$B:$B,[1]StuntDes!$A:$A),"")</f>
        <v/>
      </c>
      <c r="N2388" s="10" t="str">
        <f>IFERROR(_xlfn.XLOOKUP(C2388,[1]ModifierDes!$B:$B,[1]ModifierDes!$A:$A),"")</f>
        <v/>
      </c>
      <c r="O2388" s="10">
        <f>IFERROR(_xlfn.XLOOKUP(C2388,[1]AttributeName!$C:$C,[1]AttributeName!$B:$B),"")</f>
        <v>10803</v>
      </c>
      <c r="P2388" s="10"/>
      <c r="Q2388">
        <v>0.06</v>
      </c>
      <c r="R2388">
        <v>0.1</v>
      </c>
      <c r="S2388" cm="1">
        <f t="array" ref="S2388">IFERROR(_xlfn.SWITCH(L2388,1,_xlfn.XLOOKUP(O2388,[1]AttributeName!$B:$B,[1]AttributeName!$D:$D),2,_xlfn.XLOOKUP(C2388,#REF!,#REF!),3,_xlfn.XLOOKUP(C2388,#REF!,#REF!)),0)</f>
        <v>2</v>
      </c>
      <c r="T2388" cm="1">
        <f t="array" ref="T2388">IFERROR(_xlfn.SWITCH(L2388,1,_xlfn.XLOOKUP(O2388,[1]AttributeName!$B:$B,[1]AttributeName!$E:$E),2,_xlfn.XLOOKUP(C2388,#REF!,#REF!),3,_xlfn.XLOOKUP(C2388,#REF!,#REF!)),0)</f>
        <v>2</v>
      </c>
    </row>
    <row r="2389" customFormat="1" spans="1:20">
      <c r="A2389">
        <f t="shared" si="100"/>
        <v>968</v>
      </c>
      <c r="B2389">
        <v>8</v>
      </c>
      <c r="C2389" t="s">
        <v>410</v>
      </c>
      <c r="D2389" t="s">
        <v>32</v>
      </c>
      <c r="E2389" s="13" t="s">
        <v>392</v>
      </c>
      <c r="F2389"/>
      <c r="G2389">
        <v>2</v>
      </c>
      <c r="H2389">
        <v>1000</v>
      </c>
      <c r="J2389" cm="1">
        <f t="array" ref="J2389">_xlfn.SWITCH(B2389,1,75,2,61,3,49,4,37,5,25,6,13,7,4,8,1)</f>
        <v>1</v>
      </c>
      <c r="K2389" t="str" cm="1">
        <f t="array" ref="K2389">IFERROR(_xlfn.SWITCH(L2389,2,_xlfn.XLOOKUP(C2389,[1]ModifierDes!$B:$B,[1]ModifierDes!$C:$C),3,_xlfn.XLOOKUP(C2389,[1]StuntDes!$B:$B,[1]StuntDes!$C:$C)),"")</f>
        <v/>
      </c>
      <c r="L2389">
        <f t="shared" si="99"/>
        <v>1</v>
      </c>
      <c r="M2389" s="10" t="str">
        <f>IFERROR(_xlfn.XLOOKUP(C2389,[1]StuntDes!$B:$B,[1]StuntDes!$A:$A),"")</f>
        <v/>
      </c>
      <c r="N2389" s="10" t="str">
        <f>IFERROR(_xlfn.XLOOKUP(C2389,[1]ModifierDes!$B:$B,[1]ModifierDes!$A:$A),"")</f>
        <v/>
      </c>
      <c r="O2389" s="10">
        <f>IFERROR(_xlfn.XLOOKUP(C2389,[1]AttributeName!$C:$C,[1]AttributeName!$B:$B),"")</f>
        <v>10803</v>
      </c>
      <c r="P2389" s="10"/>
      <c r="Q2389">
        <v>0.01</v>
      </c>
      <c r="R2389">
        <v>0.05</v>
      </c>
      <c r="S2389" cm="1">
        <f t="array" ref="S2389">IFERROR(_xlfn.SWITCH(L2389,1,_xlfn.XLOOKUP(O2389,[1]AttributeName!$B:$B,[1]AttributeName!$D:$D),2,_xlfn.XLOOKUP(C2389,#REF!,#REF!),3,_xlfn.XLOOKUP(C2389,#REF!,#REF!)),0)</f>
        <v>2</v>
      </c>
      <c r="T2389" cm="1">
        <f t="array" ref="T2389">IFERROR(_xlfn.SWITCH(L2389,1,_xlfn.XLOOKUP(O2389,[1]AttributeName!$B:$B,[1]AttributeName!$E:$E),2,_xlfn.XLOOKUP(C2389,#REF!,#REF!),3,_xlfn.XLOOKUP(C2389,#REF!,#REF!)),0)</f>
        <v>2</v>
      </c>
    </row>
    <row r="2390" customFormat="1" spans="1:20">
      <c r="A2390">
        <f t="shared" si="100"/>
        <v>969</v>
      </c>
      <c r="B2390">
        <v>1</v>
      </c>
      <c r="C2390" t="s">
        <v>411</v>
      </c>
      <c r="D2390" t="s">
        <v>32</v>
      </c>
      <c r="E2390" s="13" t="s">
        <v>392</v>
      </c>
      <c r="F2390"/>
      <c r="G2390">
        <v>2</v>
      </c>
      <c r="H2390">
        <v>500</v>
      </c>
      <c r="J2390" cm="1">
        <f t="array" ref="J2390">_xlfn.SWITCH(B2390,1,75,2,61,3,49,4,37,5,25,6,13,7,4,8,1)</f>
        <v>75</v>
      </c>
      <c r="K2390" t="str" cm="1">
        <f t="array" ref="K2390">IFERROR(_xlfn.SWITCH(L2390,2,_xlfn.XLOOKUP(C2390,[1]ModifierDes!$B:$B,[1]ModifierDes!$C:$C),3,_xlfn.XLOOKUP(C2390,[1]StuntDes!$B:$B,[1]StuntDes!$C:$C)),"")</f>
        <v/>
      </c>
      <c r="L2390">
        <f t="shared" si="99"/>
        <v>1</v>
      </c>
      <c r="M2390" s="10" t="str">
        <f>IFERROR(_xlfn.XLOOKUP(C2390,[1]StuntDes!$B:$B,[1]StuntDes!$A:$A),"")</f>
        <v/>
      </c>
      <c r="N2390" s="10" t="str">
        <f>IFERROR(_xlfn.XLOOKUP(C2390,[1]ModifierDes!$B:$B,[1]ModifierDes!$A:$A),"")</f>
        <v/>
      </c>
      <c r="O2390" s="10">
        <f>IFERROR(_xlfn.XLOOKUP(C2390,[1]AttributeName!$C:$C,[1]AttributeName!$B:$B),"")</f>
        <v>10804</v>
      </c>
      <c r="P2390" s="10"/>
      <c r="Q2390">
        <v>0.36</v>
      </c>
      <c r="R2390">
        <v>0.4</v>
      </c>
      <c r="S2390" cm="1">
        <f t="array" ref="S2390">IFERROR(_xlfn.SWITCH(L2390,1,_xlfn.XLOOKUP(O2390,[1]AttributeName!$B:$B,[1]AttributeName!$D:$D),2,_xlfn.XLOOKUP(C2390,#REF!,#REF!),3,_xlfn.XLOOKUP(C2390,#REF!,#REF!)),0)</f>
        <v>2</v>
      </c>
      <c r="T2390" cm="1">
        <f t="array" ref="T2390">IFERROR(_xlfn.SWITCH(L2390,1,_xlfn.XLOOKUP(O2390,[1]AttributeName!$B:$B,[1]AttributeName!$E:$E),2,_xlfn.XLOOKUP(C2390,#REF!,#REF!),3,_xlfn.XLOOKUP(C2390,#REF!,#REF!)),0)</f>
        <v>2</v>
      </c>
    </row>
    <row r="2391" customFormat="1" spans="1:20">
      <c r="A2391">
        <f t="shared" si="100"/>
        <v>969</v>
      </c>
      <c r="B2391">
        <v>2</v>
      </c>
      <c r="C2391" t="s">
        <v>411</v>
      </c>
      <c r="D2391" t="s">
        <v>32</v>
      </c>
      <c r="E2391" s="13" t="s">
        <v>392</v>
      </c>
      <c r="F2391"/>
      <c r="G2391">
        <v>2</v>
      </c>
      <c r="H2391">
        <v>500</v>
      </c>
      <c r="J2391" cm="1">
        <f t="array" ref="J2391">_xlfn.SWITCH(B2391,1,75,2,61,3,49,4,37,5,25,6,13,7,4,8,1)</f>
        <v>61</v>
      </c>
      <c r="K2391" t="str" cm="1">
        <f t="array" ref="K2391">IFERROR(_xlfn.SWITCH(L2391,2,_xlfn.XLOOKUP(C2391,[1]ModifierDes!$B:$B,[1]ModifierDes!$C:$C),3,_xlfn.XLOOKUP(C2391,[1]StuntDes!$B:$B,[1]StuntDes!$C:$C)),"")</f>
        <v/>
      </c>
      <c r="L2391">
        <f t="shared" si="99"/>
        <v>1</v>
      </c>
      <c r="M2391" s="10" t="str">
        <f>IFERROR(_xlfn.XLOOKUP(C2391,[1]StuntDes!$B:$B,[1]StuntDes!$A:$A),"")</f>
        <v/>
      </c>
      <c r="N2391" s="10" t="str">
        <f>IFERROR(_xlfn.XLOOKUP(C2391,[1]ModifierDes!$B:$B,[1]ModifierDes!$A:$A),"")</f>
        <v/>
      </c>
      <c r="O2391" s="10">
        <f>IFERROR(_xlfn.XLOOKUP(C2391,[1]AttributeName!$C:$C,[1]AttributeName!$B:$B),"")</f>
        <v>10804</v>
      </c>
      <c r="P2391" s="10"/>
      <c r="Q2391">
        <v>0.31</v>
      </c>
      <c r="R2391">
        <v>0.35</v>
      </c>
      <c r="S2391" cm="1">
        <f t="array" ref="S2391">IFERROR(_xlfn.SWITCH(L2391,1,_xlfn.XLOOKUP(O2391,[1]AttributeName!$B:$B,[1]AttributeName!$D:$D),2,_xlfn.XLOOKUP(C2391,#REF!,#REF!),3,_xlfn.XLOOKUP(C2391,#REF!,#REF!)),0)</f>
        <v>2</v>
      </c>
      <c r="T2391" cm="1">
        <f t="array" ref="T2391">IFERROR(_xlfn.SWITCH(L2391,1,_xlfn.XLOOKUP(O2391,[1]AttributeName!$B:$B,[1]AttributeName!$E:$E),2,_xlfn.XLOOKUP(C2391,#REF!,#REF!),3,_xlfn.XLOOKUP(C2391,#REF!,#REF!)),0)</f>
        <v>2</v>
      </c>
    </row>
    <row r="2392" customFormat="1" spans="1:20">
      <c r="A2392">
        <f t="shared" si="100"/>
        <v>969</v>
      </c>
      <c r="B2392">
        <v>3</v>
      </c>
      <c r="C2392" t="s">
        <v>411</v>
      </c>
      <c r="D2392" t="s">
        <v>32</v>
      </c>
      <c r="E2392" s="13" t="s">
        <v>392</v>
      </c>
      <c r="F2392"/>
      <c r="G2392">
        <v>2</v>
      </c>
      <c r="H2392">
        <v>1000</v>
      </c>
      <c r="J2392" cm="1">
        <f t="array" ref="J2392">_xlfn.SWITCH(B2392,1,75,2,61,3,49,4,37,5,25,6,13,7,4,8,1)</f>
        <v>49</v>
      </c>
      <c r="K2392" t="str" cm="1">
        <f t="array" ref="K2392">IFERROR(_xlfn.SWITCH(L2392,2,_xlfn.XLOOKUP(C2392,[1]ModifierDes!$B:$B,[1]ModifierDes!$C:$C),3,_xlfn.XLOOKUP(C2392,[1]StuntDes!$B:$B,[1]StuntDes!$C:$C)),"")</f>
        <v/>
      </c>
      <c r="L2392">
        <f t="shared" si="99"/>
        <v>1</v>
      </c>
      <c r="M2392" s="10" t="str">
        <f>IFERROR(_xlfn.XLOOKUP(C2392,[1]StuntDes!$B:$B,[1]StuntDes!$A:$A),"")</f>
        <v/>
      </c>
      <c r="N2392" s="10" t="str">
        <f>IFERROR(_xlfn.XLOOKUP(C2392,[1]ModifierDes!$B:$B,[1]ModifierDes!$A:$A),"")</f>
        <v/>
      </c>
      <c r="O2392" s="10">
        <f>IFERROR(_xlfn.XLOOKUP(C2392,[1]AttributeName!$C:$C,[1]AttributeName!$B:$B),"")</f>
        <v>10804</v>
      </c>
      <c r="P2392" s="10"/>
      <c r="Q2392">
        <v>0.26</v>
      </c>
      <c r="R2392">
        <v>0.3</v>
      </c>
      <c r="S2392" cm="1">
        <f t="array" ref="S2392">IFERROR(_xlfn.SWITCH(L2392,1,_xlfn.XLOOKUP(O2392,[1]AttributeName!$B:$B,[1]AttributeName!$D:$D),2,_xlfn.XLOOKUP(C2392,#REF!,#REF!),3,_xlfn.XLOOKUP(C2392,#REF!,#REF!)),0)</f>
        <v>2</v>
      </c>
      <c r="T2392" cm="1">
        <f t="array" ref="T2392">IFERROR(_xlfn.SWITCH(L2392,1,_xlfn.XLOOKUP(O2392,[1]AttributeName!$B:$B,[1]AttributeName!$E:$E),2,_xlfn.XLOOKUP(C2392,#REF!,#REF!),3,_xlfn.XLOOKUP(C2392,#REF!,#REF!)),0)</f>
        <v>2</v>
      </c>
    </row>
    <row r="2393" customFormat="1" spans="1:20">
      <c r="A2393">
        <f t="shared" si="100"/>
        <v>969</v>
      </c>
      <c r="B2393">
        <v>4</v>
      </c>
      <c r="C2393" t="s">
        <v>411</v>
      </c>
      <c r="D2393" t="s">
        <v>32</v>
      </c>
      <c r="E2393" s="13" t="s">
        <v>392</v>
      </c>
      <c r="F2393"/>
      <c r="G2393">
        <v>2</v>
      </c>
      <c r="H2393">
        <v>1000</v>
      </c>
      <c r="J2393" cm="1">
        <f t="array" ref="J2393">_xlfn.SWITCH(B2393,1,75,2,61,3,49,4,37,5,25,6,13,7,4,8,1)</f>
        <v>37</v>
      </c>
      <c r="K2393" t="str" cm="1">
        <f t="array" ref="K2393">IFERROR(_xlfn.SWITCH(L2393,2,_xlfn.XLOOKUP(C2393,[1]ModifierDes!$B:$B,[1]ModifierDes!$C:$C),3,_xlfn.XLOOKUP(C2393,[1]StuntDes!$B:$B,[1]StuntDes!$C:$C)),"")</f>
        <v/>
      </c>
      <c r="L2393">
        <f t="shared" si="99"/>
        <v>1</v>
      </c>
      <c r="M2393" s="10" t="str">
        <f>IFERROR(_xlfn.XLOOKUP(C2393,[1]StuntDes!$B:$B,[1]StuntDes!$A:$A),"")</f>
        <v/>
      </c>
      <c r="N2393" s="10" t="str">
        <f>IFERROR(_xlfn.XLOOKUP(C2393,[1]ModifierDes!$B:$B,[1]ModifierDes!$A:$A),"")</f>
        <v/>
      </c>
      <c r="O2393" s="10">
        <f>IFERROR(_xlfn.XLOOKUP(C2393,[1]AttributeName!$C:$C,[1]AttributeName!$B:$B),"")</f>
        <v>10804</v>
      </c>
      <c r="P2393" s="10"/>
      <c r="Q2393">
        <v>0.21</v>
      </c>
      <c r="R2393">
        <v>0.25</v>
      </c>
      <c r="S2393" cm="1">
        <f t="array" ref="S2393">IFERROR(_xlfn.SWITCH(L2393,1,_xlfn.XLOOKUP(O2393,[1]AttributeName!$B:$B,[1]AttributeName!$D:$D),2,_xlfn.XLOOKUP(C2393,#REF!,#REF!),3,_xlfn.XLOOKUP(C2393,#REF!,#REF!)),0)</f>
        <v>2</v>
      </c>
      <c r="T2393" cm="1">
        <f t="array" ref="T2393">IFERROR(_xlfn.SWITCH(L2393,1,_xlfn.XLOOKUP(O2393,[1]AttributeName!$B:$B,[1]AttributeName!$E:$E),2,_xlfn.XLOOKUP(C2393,#REF!,#REF!),3,_xlfn.XLOOKUP(C2393,#REF!,#REF!)),0)</f>
        <v>2</v>
      </c>
    </row>
    <row r="2394" customFormat="1" spans="1:20">
      <c r="A2394">
        <f t="shared" si="100"/>
        <v>969</v>
      </c>
      <c r="B2394">
        <v>5</v>
      </c>
      <c r="C2394" t="s">
        <v>411</v>
      </c>
      <c r="D2394" t="s">
        <v>32</v>
      </c>
      <c r="E2394" s="13" t="s">
        <v>392</v>
      </c>
      <c r="F2394"/>
      <c r="G2394">
        <v>2</v>
      </c>
      <c r="H2394">
        <v>1000</v>
      </c>
      <c r="J2394" cm="1">
        <f t="array" ref="J2394">_xlfn.SWITCH(B2394,1,75,2,61,3,49,4,37,5,25,6,13,7,4,8,1)</f>
        <v>25</v>
      </c>
      <c r="K2394" t="str" cm="1">
        <f t="array" ref="K2394">IFERROR(_xlfn.SWITCH(L2394,2,_xlfn.XLOOKUP(C2394,[1]ModifierDes!$B:$B,[1]ModifierDes!$C:$C),3,_xlfn.XLOOKUP(C2394,[1]StuntDes!$B:$B,[1]StuntDes!$C:$C)),"")</f>
        <v/>
      </c>
      <c r="L2394">
        <f t="shared" si="99"/>
        <v>1</v>
      </c>
      <c r="M2394" s="10" t="str">
        <f>IFERROR(_xlfn.XLOOKUP(C2394,[1]StuntDes!$B:$B,[1]StuntDes!$A:$A),"")</f>
        <v/>
      </c>
      <c r="N2394" s="10" t="str">
        <f>IFERROR(_xlfn.XLOOKUP(C2394,[1]ModifierDes!$B:$B,[1]ModifierDes!$A:$A),"")</f>
        <v/>
      </c>
      <c r="O2394" s="10">
        <f>IFERROR(_xlfn.XLOOKUP(C2394,[1]AttributeName!$C:$C,[1]AttributeName!$B:$B),"")</f>
        <v>10804</v>
      </c>
      <c r="P2394" s="10"/>
      <c r="Q2394">
        <v>0.16</v>
      </c>
      <c r="R2394">
        <v>0.2</v>
      </c>
      <c r="S2394" cm="1">
        <f t="array" ref="S2394">IFERROR(_xlfn.SWITCH(L2394,1,_xlfn.XLOOKUP(O2394,[1]AttributeName!$B:$B,[1]AttributeName!$D:$D),2,_xlfn.XLOOKUP(C2394,#REF!,#REF!),3,_xlfn.XLOOKUP(C2394,#REF!,#REF!)),0)</f>
        <v>2</v>
      </c>
      <c r="T2394" cm="1">
        <f t="array" ref="T2394">IFERROR(_xlfn.SWITCH(L2394,1,_xlfn.XLOOKUP(O2394,[1]AttributeName!$B:$B,[1]AttributeName!$E:$E),2,_xlfn.XLOOKUP(C2394,#REF!,#REF!),3,_xlfn.XLOOKUP(C2394,#REF!,#REF!)),0)</f>
        <v>2</v>
      </c>
    </row>
    <row r="2395" customFormat="1" spans="1:20">
      <c r="A2395">
        <f t="shared" si="100"/>
        <v>969</v>
      </c>
      <c r="B2395">
        <v>6</v>
      </c>
      <c r="C2395" t="s">
        <v>411</v>
      </c>
      <c r="D2395" t="s">
        <v>32</v>
      </c>
      <c r="E2395" s="13" t="s">
        <v>392</v>
      </c>
      <c r="F2395"/>
      <c r="G2395">
        <v>2</v>
      </c>
      <c r="H2395">
        <v>1000</v>
      </c>
      <c r="J2395" cm="1">
        <f t="array" ref="J2395">_xlfn.SWITCH(B2395,1,75,2,61,3,49,4,37,5,25,6,13,7,4,8,1)</f>
        <v>13</v>
      </c>
      <c r="K2395" t="str" cm="1">
        <f t="array" ref="K2395">IFERROR(_xlfn.SWITCH(L2395,2,_xlfn.XLOOKUP(C2395,[1]ModifierDes!$B:$B,[1]ModifierDes!$C:$C),3,_xlfn.XLOOKUP(C2395,[1]StuntDes!$B:$B,[1]StuntDes!$C:$C)),"")</f>
        <v/>
      </c>
      <c r="L2395">
        <f t="shared" si="99"/>
        <v>1</v>
      </c>
      <c r="M2395" s="10" t="str">
        <f>IFERROR(_xlfn.XLOOKUP(C2395,[1]StuntDes!$B:$B,[1]StuntDes!$A:$A),"")</f>
        <v/>
      </c>
      <c r="N2395" s="10" t="str">
        <f>IFERROR(_xlfn.XLOOKUP(C2395,[1]ModifierDes!$B:$B,[1]ModifierDes!$A:$A),"")</f>
        <v/>
      </c>
      <c r="O2395" s="10">
        <f>IFERROR(_xlfn.XLOOKUP(C2395,[1]AttributeName!$C:$C,[1]AttributeName!$B:$B),"")</f>
        <v>10804</v>
      </c>
      <c r="P2395" s="10"/>
      <c r="Q2395">
        <v>0.11</v>
      </c>
      <c r="R2395">
        <v>0.15</v>
      </c>
      <c r="S2395" cm="1">
        <f t="array" ref="S2395">IFERROR(_xlfn.SWITCH(L2395,1,_xlfn.XLOOKUP(O2395,[1]AttributeName!$B:$B,[1]AttributeName!$D:$D),2,_xlfn.XLOOKUP(C2395,#REF!,#REF!),3,_xlfn.XLOOKUP(C2395,#REF!,#REF!)),0)</f>
        <v>2</v>
      </c>
      <c r="T2395" cm="1">
        <f t="array" ref="T2395">IFERROR(_xlfn.SWITCH(L2395,1,_xlfn.XLOOKUP(O2395,[1]AttributeName!$B:$B,[1]AttributeName!$E:$E),2,_xlfn.XLOOKUP(C2395,#REF!,#REF!),3,_xlfn.XLOOKUP(C2395,#REF!,#REF!)),0)</f>
        <v>2</v>
      </c>
    </row>
    <row r="2396" customFormat="1" spans="1:20">
      <c r="A2396">
        <f t="shared" si="100"/>
        <v>969</v>
      </c>
      <c r="B2396">
        <v>7</v>
      </c>
      <c r="C2396" t="s">
        <v>411</v>
      </c>
      <c r="D2396" t="s">
        <v>32</v>
      </c>
      <c r="E2396" s="13" t="s">
        <v>392</v>
      </c>
      <c r="F2396"/>
      <c r="G2396">
        <v>2</v>
      </c>
      <c r="H2396">
        <v>1000</v>
      </c>
      <c r="J2396" cm="1">
        <f t="array" ref="J2396">_xlfn.SWITCH(B2396,1,75,2,61,3,49,4,37,5,25,6,13,7,4,8,1)</f>
        <v>4</v>
      </c>
      <c r="K2396" t="str" cm="1">
        <f t="array" ref="K2396">IFERROR(_xlfn.SWITCH(L2396,2,_xlfn.XLOOKUP(C2396,[1]ModifierDes!$B:$B,[1]ModifierDes!$C:$C),3,_xlfn.XLOOKUP(C2396,[1]StuntDes!$B:$B,[1]StuntDes!$C:$C)),"")</f>
        <v/>
      </c>
      <c r="L2396">
        <f t="shared" si="99"/>
        <v>1</v>
      </c>
      <c r="M2396" s="10" t="str">
        <f>IFERROR(_xlfn.XLOOKUP(C2396,[1]StuntDes!$B:$B,[1]StuntDes!$A:$A),"")</f>
        <v/>
      </c>
      <c r="N2396" s="10" t="str">
        <f>IFERROR(_xlfn.XLOOKUP(C2396,[1]ModifierDes!$B:$B,[1]ModifierDes!$A:$A),"")</f>
        <v/>
      </c>
      <c r="O2396" s="10">
        <f>IFERROR(_xlfn.XLOOKUP(C2396,[1]AttributeName!$C:$C,[1]AttributeName!$B:$B),"")</f>
        <v>10804</v>
      </c>
      <c r="P2396" s="10"/>
      <c r="Q2396">
        <v>0.06</v>
      </c>
      <c r="R2396">
        <v>0.1</v>
      </c>
      <c r="S2396" cm="1">
        <f t="array" ref="S2396">IFERROR(_xlfn.SWITCH(L2396,1,_xlfn.XLOOKUP(O2396,[1]AttributeName!$B:$B,[1]AttributeName!$D:$D),2,_xlfn.XLOOKUP(C2396,#REF!,#REF!),3,_xlfn.XLOOKUP(C2396,#REF!,#REF!)),0)</f>
        <v>2</v>
      </c>
      <c r="T2396" cm="1">
        <f t="array" ref="T2396">IFERROR(_xlfn.SWITCH(L2396,1,_xlfn.XLOOKUP(O2396,[1]AttributeName!$B:$B,[1]AttributeName!$E:$E),2,_xlfn.XLOOKUP(C2396,#REF!,#REF!),3,_xlfn.XLOOKUP(C2396,#REF!,#REF!)),0)</f>
        <v>2</v>
      </c>
    </row>
    <row r="2397" customFormat="1" spans="1:20">
      <c r="A2397">
        <f t="shared" si="100"/>
        <v>969</v>
      </c>
      <c r="B2397">
        <v>8</v>
      </c>
      <c r="C2397" t="s">
        <v>411</v>
      </c>
      <c r="D2397" t="s">
        <v>32</v>
      </c>
      <c r="E2397" s="13" t="s">
        <v>392</v>
      </c>
      <c r="F2397"/>
      <c r="G2397">
        <v>2</v>
      </c>
      <c r="H2397">
        <v>1000</v>
      </c>
      <c r="J2397" cm="1">
        <f t="array" ref="J2397">_xlfn.SWITCH(B2397,1,75,2,61,3,49,4,37,5,25,6,13,7,4,8,1)</f>
        <v>1</v>
      </c>
      <c r="K2397" t="str" cm="1">
        <f t="array" ref="K2397">IFERROR(_xlfn.SWITCH(L2397,2,_xlfn.XLOOKUP(C2397,[1]ModifierDes!$B:$B,[1]ModifierDes!$C:$C),3,_xlfn.XLOOKUP(C2397,[1]StuntDes!$B:$B,[1]StuntDes!$C:$C)),"")</f>
        <v/>
      </c>
      <c r="L2397">
        <f t="shared" si="99"/>
        <v>1</v>
      </c>
      <c r="M2397" s="10" t="str">
        <f>IFERROR(_xlfn.XLOOKUP(C2397,[1]StuntDes!$B:$B,[1]StuntDes!$A:$A),"")</f>
        <v/>
      </c>
      <c r="N2397" s="10" t="str">
        <f>IFERROR(_xlfn.XLOOKUP(C2397,[1]ModifierDes!$B:$B,[1]ModifierDes!$A:$A),"")</f>
        <v/>
      </c>
      <c r="O2397" s="10">
        <f>IFERROR(_xlfn.XLOOKUP(C2397,[1]AttributeName!$C:$C,[1]AttributeName!$B:$B),"")</f>
        <v>10804</v>
      </c>
      <c r="P2397" s="10"/>
      <c r="Q2397">
        <v>0.01</v>
      </c>
      <c r="R2397">
        <v>0.05</v>
      </c>
      <c r="S2397" cm="1">
        <f t="array" ref="S2397">IFERROR(_xlfn.SWITCH(L2397,1,_xlfn.XLOOKUP(O2397,[1]AttributeName!$B:$B,[1]AttributeName!$D:$D),2,_xlfn.XLOOKUP(C2397,#REF!,#REF!),3,_xlfn.XLOOKUP(C2397,#REF!,#REF!)),0)</f>
        <v>2</v>
      </c>
      <c r="T2397" cm="1">
        <f t="array" ref="T2397">IFERROR(_xlfn.SWITCH(L2397,1,_xlfn.XLOOKUP(O2397,[1]AttributeName!$B:$B,[1]AttributeName!$E:$E),2,_xlfn.XLOOKUP(C2397,#REF!,#REF!),3,_xlfn.XLOOKUP(C2397,#REF!,#REF!)),0)</f>
        <v>2</v>
      </c>
    </row>
    <row r="2398" customFormat="1" spans="1:20">
      <c r="A2398">
        <f t="shared" si="100"/>
        <v>970</v>
      </c>
      <c r="B2398">
        <v>1</v>
      </c>
      <c r="C2398" t="s">
        <v>412</v>
      </c>
      <c r="D2398" t="s">
        <v>32</v>
      </c>
      <c r="E2398" s="13" t="s">
        <v>392</v>
      </c>
      <c r="F2398"/>
      <c r="G2398">
        <v>2</v>
      </c>
      <c r="H2398">
        <v>1000</v>
      </c>
      <c r="J2398" cm="1">
        <f t="array" ref="J2398">_xlfn.SWITCH(B2398,1,75,2,61,3,49,4,37,5,25,6,13,7,4,8,1)</f>
        <v>75</v>
      </c>
      <c r="K2398" t="str" cm="1">
        <f t="array" ref="K2398">IFERROR(_xlfn.SWITCH(L2398,2,_xlfn.XLOOKUP(C2398,[1]ModifierDes!$B:$B,[1]ModifierDes!$C:$C),3,_xlfn.XLOOKUP(C2398,[1]StuntDes!$B:$B,[1]StuntDes!$C:$C)),"")</f>
        <v/>
      </c>
      <c r="L2398">
        <f t="shared" si="99"/>
        <v>1</v>
      </c>
      <c r="M2398" s="10" t="str">
        <f>IFERROR(_xlfn.XLOOKUP(C2398,[1]StuntDes!$B:$B,[1]StuntDes!$A:$A),"")</f>
        <v/>
      </c>
      <c r="N2398" s="10" t="str">
        <f>IFERROR(_xlfn.XLOOKUP(C2398,[1]ModifierDes!$B:$B,[1]ModifierDes!$A:$A),"")</f>
        <v/>
      </c>
      <c r="O2398" s="10">
        <f>IFERROR(_xlfn.XLOOKUP(C2398,[1]AttributeName!$C:$C,[1]AttributeName!$B:$B),"")</f>
        <v>10019</v>
      </c>
      <c r="P2398" s="10"/>
      <c r="Q2398">
        <v>12</v>
      </c>
      <c r="R2398">
        <v>14</v>
      </c>
      <c r="S2398" cm="1">
        <f t="array" ref="S2398">IFERROR(_xlfn.SWITCH(L2398,1,_xlfn.XLOOKUP(O2398,[1]AttributeName!$B:$B,[1]AttributeName!$D:$D),2,_xlfn.XLOOKUP(C2398,#REF!,#REF!),3,_xlfn.XLOOKUP(C2398,#REF!,#REF!)),0)</f>
        <v>0</v>
      </c>
      <c r="T2398" cm="1">
        <f t="array" ref="T2398">IFERROR(_xlfn.SWITCH(L2398,1,_xlfn.XLOOKUP(O2398,[1]AttributeName!$B:$B,[1]AttributeName!$E:$E),2,_xlfn.XLOOKUP(C2398,#REF!,#REF!),3,_xlfn.XLOOKUP(C2398,#REF!,#REF!)),0)</f>
        <v>1</v>
      </c>
    </row>
    <row r="2399" customFormat="1" spans="1:20">
      <c r="A2399">
        <f t="shared" si="100"/>
        <v>970</v>
      </c>
      <c r="B2399">
        <v>2</v>
      </c>
      <c r="C2399" t="s">
        <v>412</v>
      </c>
      <c r="D2399" t="s">
        <v>32</v>
      </c>
      <c r="E2399" s="13" t="s">
        <v>392</v>
      </c>
      <c r="F2399"/>
      <c r="G2399">
        <v>2</v>
      </c>
      <c r="H2399">
        <v>1000</v>
      </c>
      <c r="J2399" cm="1">
        <f t="array" ref="J2399">_xlfn.SWITCH(B2399,1,75,2,61,3,49,4,37,5,25,6,13,7,4,8,1)</f>
        <v>61</v>
      </c>
      <c r="K2399" t="str" cm="1">
        <f t="array" ref="K2399">IFERROR(_xlfn.SWITCH(L2399,2,_xlfn.XLOOKUP(C2399,[1]ModifierDes!$B:$B,[1]ModifierDes!$C:$C),3,_xlfn.XLOOKUP(C2399,[1]StuntDes!$B:$B,[1]StuntDes!$C:$C)),"")</f>
        <v/>
      </c>
      <c r="L2399">
        <f t="shared" si="99"/>
        <v>1</v>
      </c>
      <c r="M2399" s="10" t="str">
        <f>IFERROR(_xlfn.XLOOKUP(C2399,[1]StuntDes!$B:$B,[1]StuntDes!$A:$A),"")</f>
        <v/>
      </c>
      <c r="N2399" s="10" t="str">
        <f>IFERROR(_xlfn.XLOOKUP(C2399,[1]ModifierDes!$B:$B,[1]ModifierDes!$A:$A),"")</f>
        <v/>
      </c>
      <c r="O2399" s="10">
        <f>IFERROR(_xlfn.XLOOKUP(C2399,[1]AttributeName!$C:$C,[1]AttributeName!$B:$B),"")</f>
        <v>10019</v>
      </c>
      <c r="P2399" s="10"/>
      <c r="Q2399">
        <v>9</v>
      </c>
      <c r="R2399">
        <v>11</v>
      </c>
      <c r="S2399" cm="1">
        <f t="array" ref="S2399">IFERROR(_xlfn.SWITCH(L2399,1,_xlfn.XLOOKUP(O2399,[1]AttributeName!$B:$B,[1]AttributeName!$D:$D),2,_xlfn.XLOOKUP(C2399,#REF!,#REF!),3,_xlfn.XLOOKUP(C2399,#REF!,#REF!)),0)</f>
        <v>0</v>
      </c>
      <c r="T2399" cm="1">
        <f t="array" ref="T2399">IFERROR(_xlfn.SWITCH(L2399,1,_xlfn.XLOOKUP(O2399,[1]AttributeName!$B:$B,[1]AttributeName!$E:$E),2,_xlfn.XLOOKUP(C2399,#REF!,#REF!),3,_xlfn.XLOOKUP(C2399,#REF!,#REF!)),0)</f>
        <v>1</v>
      </c>
    </row>
    <row r="2400" customFormat="1" spans="1:20">
      <c r="A2400">
        <f t="shared" si="100"/>
        <v>970</v>
      </c>
      <c r="B2400">
        <v>3</v>
      </c>
      <c r="C2400" t="s">
        <v>412</v>
      </c>
      <c r="D2400" t="s">
        <v>32</v>
      </c>
      <c r="E2400" s="13" t="s">
        <v>392</v>
      </c>
      <c r="F2400"/>
      <c r="G2400">
        <v>2</v>
      </c>
      <c r="H2400">
        <v>1000</v>
      </c>
      <c r="J2400" cm="1">
        <f t="array" ref="J2400">_xlfn.SWITCH(B2400,1,75,2,61,3,49,4,37,5,25,6,13,7,4,8,1)</f>
        <v>49</v>
      </c>
      <c r="K2400" t="str" cm="1">
        <f t="array" ref="K2400">IFERROR(_xlfn.SWITCH(L2400,2,_xlfn.XLOOKUP(C2400,[1]ModifierDes!$B:$B,[1]ModifierDes!$C:$C),3,_xlfn.XLOOKUP(C2400,[1]StuntDes!$B:$B,[1]StuntDes!$C:$C)),"")</f>
        <v/>
      </c>
      <c r="L2400">
        <f t="shared" si="99"/>
        <v>1</v>
      </c>
      <c r="M2400" s="10" t="str">
        <f>IFERROR(_xlfn.XLOOKUP(C2400,[1]StuntDes!$B:$B,[1]StuntDes!$A:$A),"")</f>
        <v/>
      </c>
      <c r="N2400" s="10" t="str">
        <f>IFERROR(_xlfn.XLOOKUP(C2400,[1]ModifierDes!$B:$B,[1]ModifierDes!$A:$A),"")</f>
        <v/>
      </c>
      <c r="O2400" s="10">
        <f>IFERROR(_xlfn.XLOOKUP(C2400,[1]AttributeName!$C:$C,[1]AttributeName!$B:$B),"")</f>
        <v>10019</v>
      </c>
      <c r="P2400" s="10"/>
      <c r="Q2400">
        <v>6</v>
      </c>
      <c r="R2400">
        <v>8</v>
      </c>
      <c r="S2400" cm="1">
        <f t="array" ref="S2400">IFERROR(_xlfn.SWITCH(L2400,1,_xlfn.XLOOKUP(O2400,[1]AttributeName!$B:$B,[1]AttributeName!$D:$D),2,_xlfn.XLOOKUP(C2400,#REF!,#REF!),3,_xlfn.XLOOKUP(C2400,#REF!,#REF!)),0)</f>
        <v>0</v>
      </c>
      <c r="T2400" cm="1">
        <f t="array" ref="T2400">IFERROR(_xlfn.SWITCH(L2400,1,_xlfn.XLOOKUP(O2400,[1]AttributeName!$B:$B,[1]AttributeName!$E:$E),2,_xlfn.XLOOKUP(C2400,#REF!,#REF!),3,_xlfn.XLOOKUP(C2400,#REF!,#REF!)),0)</f>
        <v>1</v>
      </c>
    </row>
    <row r="2401" customFormat="1" spans="1:20">
      <c r="A2401">
        <f t="shared" si="100"/>
        <v>970</v>
      </c>
      <c r="B2401">
        <v>4</v>
      </c>
      <c r="C2401" t="s">
        <v>412</v>
      </c>
      <c r="D2401" t="s">
        <v>32</v>
      </c>
      <c r="E2401" s="13" t="s">
        <v>392</v>
      </c>
      <c r="F2401"/>
      <c r="G2401">
        <v>2</v>
      </c>
      <c r="H2401">
        <v>1000</v>
      </c>
      <c r="J2401" cm="1">
        <f t="array" ref="J2401">_xlfn.SWITCH(B2401,1,75,2,61,3,49,4,37,5,25,6,13,7,4,8,1)</f>
        <v>37</v>
      </c>
      <c r="K2401" t="str" cm="1">
        <f t="array" ref="K2401">IFERROR(_xlfn.SWITCH(L2401,2,_xlfn.XLOOKUP(C2401,[1]ModifierDes!$B:$B,[1]ModifierDes!$C:$C),3,_xlfn.XLOOKUP(C2401,[1]StuntDes!$B:$B,[1]StuntDes!$C:$C)),"")</f>
        <v/>
      </c>
      <c r="L2401">
        <f t="shared" si="99"/>
        <v>1</v>
      </c>
      <c r="M2401" s="10" t="str">
        <f>IFERROR(_xlfn.XLOOKUP(C2401,[1]StuntDes!$B:$B,[1]StuntDes!$A:$A),"")</f>
        <v/>
      </c>
      <c r="N2401" s="10" t="str">
        <f>IFERROR(_xlfn.XLOOKUP(C2401,[1]ModifierDes!$B:$B,[1]ModifierDes!$A:$A),"")</f>
        <v/>
      </c>
      <c r="O2401" s="10">
        <f>IFERROR(_xlfn.XLOOKUP(C2401,[1]AttributeName!$C:$C,[1]AttributeName!$B:$B),"")</f>
        <v>10019</v>
      </c>
      <c r="P2401" s="10"/>
      <c r="Q2401">
        <v>5</v>
      </c>
      <c r="R2401">
        <v>5</v>
      </c>
      <c r="S2401" cm="1">
        <f t="array" ref="S2401">IFERROR(_xlfn.SWITCH(L2401,1,_xlfn.XLOOKUP(O2401,[1]AttributeName!$B:$B,[1]AttributeName!$D:$D),2,_xlfn.XLOOKUP(C2401,#REF!,#REF!),3,_xlfn.XLOOKUP(C2401,#REF!,#REF!)),0)</f>
        <v>0</v>
      </c>
      <c r="T2401" cm="1">
        <f t="array" ref="T2401">IFERROR(_xlfn.SWITCH(L2401,1,_xlfn.XLOOKUP(O2401,[1]AttributeName!$B:$B,[1]AttributeName!$E:$E),2,_xlfn.XLOOKUP(C2401,#REF!,#REF!),3,_xlfn.XLOOKUP(C2401,#REF!,#REF!)),0)</f>
        <v>1</v>
      </c>
    </row>
    <row r="2402" customFormat="1" spans="1:20">
      <c r="A2402">
        <f t="shared" si="100"/>
        <v>970</v>
      </c>
      <c r="B2402">
        <v>5</v>
      </c>
      <c r="C2402" t="s">
        <v>412</v>
      </c>
      <c r="D2402" t="s">
        <v>32</v>
      </c>
      <c r="E2402" s="13" t="s">
        <v>392</v>
      </c>
      <c r="F2402"/>
      <c r="G2402">
        <v>2</v>
      </c>
      <c r="H2402">
        <v>1000</v>
      </c>
      <c r="J2402" cm="1">
        <f t="array" ref="J2402">_xlfn.SWITCH(B2402,1,75,2,61,3,49,4,37,5,25,6,13,7,4,8,1)</f>
        <v>25</v>
      </c>
      <c r="K2402" t="str" cm="1">
        <f t="array" ref="K2402">IFERROR(_xlfn.SWITCH(L2402,2,_xlfn.XLOOKUP(C2402,[1]ModifierDes!$B:$B,[1]ModifierDes!$C:$C),3,_xlfn.XLOOKUP(C2402,[1]StuntDes!$B:$B,[1]StuntDes!$C:$C)),"")</f>
        <v/>
      </c>
      <c r="L2402">
        <f t="shared" si="99"/>
        <v>1</v>
      </c>
      <c r="M2402" s="10" t="str">
        <f>IFERROR(_xlfn.XLOOKUP(C2402,[1]StuntDes!$B:$B,[1]StuntDes!$A:$A),"")</f>
        <v/>
      </c>
      <c r="N2402" s="10" t="str">
        <f>IFERROR(_xlfn.XLOOKUP(C2402,[1]ModifierDes!$B:$B,[1]ModifierDes!$A:$A),"")</f>
        <v/>
      </c>
      <c r="O2402" s="10">
        <f>IFERROR(_xlfn.XLOOKUP(C2402,[1]AttributeName!$C:$C,[1]AttributeName!$B:$B),"")</f>
        <v>10019</v>
      </c>
      <c r="P2402" s="10"/>
      <c r="Q2402">
        <v>4</v>
      </c>
      <c r="R2402">
        <v>4</v>
      </c>
      <c r="S2402" cm="1">
        <f t="array" ref="S2402">IFERROR(_xlfn.SWITCH(L2402,1,_xlfn.XLOOKUP(O2402,[1]AttributeName!$B:$B,[1]AttributeName!$D:$D),2,_xlfn.XLOOKUP(C2402,#REF!,#REF!),3,_xlfn.XLOOKUP(C2402,#REF!,#REF!)),0)</f>
        <v>0</v>
      </c>
      <c r="T2402" cm="1">
        <f t="array" ref="T2402">IFERROR(_xlfn.SWITCH(L2402,1,_xlfn.XLOOKUP(O2402,[1]AttributeName!$B:$B,[1]AttributeName!$E:$E),2,_xlfn.XLOOKUP(C2402,#REF!,#REF!),3,_xlfn.XLOOKUP(C2402,#REF!,#REF!)),0)</f>
        <v>1</v>
      </c>
    </row>
    <row r="2403" customFormat="1" spans="1:20">
      <c r="A2403">
        <f t="shared" si="100"/>
        <v>970</v>
      </c>
      <c r="B2403">
        <v>6</v>
      </c>
      <c r="C2403" t="s">
        <v>412</v>
      </c>
      <c r="D2403" t="s">
        <v>32</v>
      </c>
      <c r="E2403" s="13" t="s">
        <v>392</v>
      </c>
      <c r="F2403"/>
      <c r="G2403">
        <v>2</v>
      </c>
      <c r="H2403">
        <v>1000</v>
      </c>
      <c r="J2403" cm="1">
        <f t="array" ref="J2403">_xlfn.SWITCH(B2403,1,75,2,61,3,49,4,37,5,25,6,13,7,4,8,1)</f>
        <v>13</v>
      </c>
      <c r="K2403" t="str" cm="1">
        <f t="array" ref="K2403">IFERROR(_xlfn.SWITCH(L2403,2,_xlfn.XLOOKUP(C2403,[1]ModifierDes!$B:$B,[1]ModifierDes!$C:$C),3,_xlfn.XLOOKUP(C2403,[1]StuntDes!$B:$B,[1]StuntDes!$C:$C)),"")</f>
        <v/>
      </c>
      <c r="L2403">
        <f t="shared" si="99"/>
        <v>1</v>
      </c>
      <c r="M2403" s="10" t="str">
        <f>IFERROR(_xlfn.XLOOKUP(C2403,[1]StuntDes!$B:$B,[1]StuntDes!$A:$A),"")</f>
        <v/>
      </c>
      <c r="N2403" s="10" t="str">
        <f>IFERROR(_xlfn.XLOOKUP(C2403,[1]ModifierDes!$B:$B,[1]ModifierDes!$A:$A),"")</f>
        <v/>
      </c>
      <c r="O2403" s="10">
        <f>IFERROR(_xlfn.XLOOKUP(C2403,[1]AttributeName!$C:$C,[1]AttributeName!$B:$B),"")</f>
        <v>10019</v>
      </c>
      <c r="P2403" s="10"/>
      <c r="Q2403">
        <v>3</v>
      </c>
      <c r="R2403">
        <v>3</v>
      </c>
      <c r="S2403" cm="1">
        <f t="array" ref="S2403">IFERROR(_xlfn.SWITCH(L2403,1,_xlfn.XLOOKUP(O2403,[1]AttributeName!$B:$B,[1]AttributeName!$D:$D),2,_xlfn.XLOOKUP(C2403,#REF!,#REF!),3,_xlfn.XLOOKUP(C2403,#REF!,#REF!)),0)</f>
        <v>0</v>
      </c>
      <c r="T2403" cm="1">
        <f t="array" ref="T2403">IFERROR(_xlfn.SWITCH(L2403,1,_xlfn.XLOOKUP(O2403,[1]AttributeName!$B:$B,[1]AttributeName!$E:$E),2,_xlfn.XLOOKUP(C2403,#REF!,#REF!),3,_xlfn.XLOOKUP(C2403,#REF!,#REF!)),0)</f>
        <v>1</v>
      </c>
    </row>
    <row r="2404" customFormat="1" spans="1:20">
      <c r="A2404">
        <f t="shared" si="100"/>
        <v>970</v>
      </c>
      <c r="B2404">
        <v>7</v>
      </c>
      <c r="C2404" t="s">
        <v>412</v>
      </c>
      <c r="D2404" t="s">
        <v>32</v>
      </c>
      <c r="E2404" s="13" t="s">
        <v>392</v>
      </c>
      <c r="F2404"/>
      <c r="G2404">
        <v>2</v>
      </c>
      <c r="H2404">
        <v>1000</v>
      </c>
      <c r="J2404" cm="1">
        <f t="array" ref="J2404">_xlfn.SWITCH(B2404,1,75,2,61,3,49,4,37,5,25,6,13,7,4,8,1)</f>
        <v>4</v>
      </c>
      <c r="K2404" t="str" cm="1">
        <f t="array" ref="K2404">IFERROR(_xlfn.SWITCH(L2404,2,_xlfn.XLOOKUP(C2404,[1]ModifierDes!$B:$B,[1]ModifierDes!$C:$C),3,_xlfn.XLOOKUP(C2404,[1]StuntDes!$B:$B,[1]StuntDes!$C:$C)),"")</f>
        <v/>
      </c>
      <c r="L2404">
        <f t="shared" si="99"/>
        <v>1</v>
      </c>
      <c r="M2404" s="10" t="str">
        <f>IFERROR(_xlfn.XLOOKUP(C2404,[1]StuntDes!$B:$B,[1]StuntDes!$A:$A),"")</f>
        <v/>
      </c>
      <c r="N2404" s="10" t="str">
        <f>IFERROR(_xlfn.XLOOKUP(C2404,[1]ModifierDes!$B:$B,[1]ModifierDes!$A:$A),"")</f>
        <v/>
      </c>
      <c r="O2404" s="10">
        <f>IFERROR(_xlfn.XLOOKUP(C2404,[1]AttributeName!$C:$C,[1]AttributeName!$B:$B),"")</f>
        <v>10019</v>
      </c>
      <c r="P2404" s="10"/>
      <c r="Q2404">
        <v>2</v>
      </c>
      <c r="R2404">
        <v>2</v>
      </c>
      <c r="S2404" cm="1">
        <f t="array" ref="S2404">IFERROR(_xlfn.SWITCH(L2404,1,_xlfn.XLOOKUP(O2404,[1]AttributeName!$B:$B,[1]AttributeName!$D:$D),2,_xlfn.XLOOKUP(C2404,#REF!,#REF!),3,_xlfn.XLOOKUP(C2404,#REF!,#REF!)),0)</f>
        <v>0</v>
      </c>
      <c r="T2404" cm="1">
        <f t="array" ref="T2404">IFERROR(_xlfn.SWITCH(L2404,1,_xlfn.XLOOKUP(O2404,[1]AttributeName!$B:$B,[1]AttributeName!$E:$E),2,_xlfn.XLOOKUP(C2404,#REF!,#REF!),3,_xlfn.XLOOKUP(C2404,#REF!,#REF!)),0)</f>
        <v>1</v>
      </c>
    </row>
    <row r="2405" customFormat="1" spans="1:20">
      <c r="A2405">
        <f t="shared" si="100"/>
        <v>970</v>
      </c>
      <c r="B2405">
        <v>8</v>
      </c>
      <c r="C2405" t="s">
        <v>412</v>
      </c>
      <c r="D2405" t="s">
        <v>32</v>
      </c>
      <c r="E2405" s="13" t="s">
        <v>392</v>
      </c>
      <c r="F2405"/>
      <c r="G2405">
        <v>2</v>
      </c>
      <c r="H2405">
        <v>1000</v>
      </c>
      <c r="J2405" cm="1">
        <f t="array" ref="J2405">_xlfn.SWITCH(B2405,1,75,2,61,3,49,4,37,5,25,6,13,7,4,8,1)</f>
        <v>1</v>
      </c>
      <c r="K2405" t="str" cm="1">
        <f t="array" ref="K2405">IFERROR(_xlfn.SWITCH(L2405,2,_xlfn.XLOOKUP(C2405,[1]ModifierDes!$B:$B,[1]ModifierDes!$C:$C),3,_xlfn.XLOOKUP(C2405,[1]StuntDes!$B:$B,[1]StuntDes!$C:$C)),"")</f>
        <v/>
      </c>
      <c r="L2405">
        <f t="shared" si="99"/>
        <v>1</v>
      </c>
      <c r="M2405" s="10" t="str">
        <f>IFERROR(_xlfn.XLOOKUP(C2405,[1]StuntDes!$B:$B,[1]StuntDes!$A:$A),"")</f>
        <v/>
      </c>
      <c r="N2405" s="10" t="str">
        <f>IFERROR(_xlfn.XLOOKUP(C2405,[1]ModifierDes!$B:$B,[1]ModifierDes!$A:$A),"")</f>
        <v/>
      </c>
      <c r="O2405" s="10">
        <f>IFERROR(_xlfn.XLOOKUP(C2405,[1]AttributeName!$C:$C,[1]AttributeName!$B:$B),"")</f>
        <v>10019</v>
      </c>
      <c r="P2405" s="10"/>
      <c r="Q2405">
        <v>1</v>
      </c>
      <c r="R2405">
        <v>1</v>
      </c>
      <c r="S2405" cm="1">
        <f t="array" ref="S2405">IFERROR(_xlfn.SWITCH(L2405,1,_xlfn.XLOOKUP(O2405,[1]AttributeName!$B:$B,[1]AttributeName!$D:$D),2,_xlfn.XLOOKUP(C2405,#REF!,#REF!),3,_xlfn.XLOOKUP(C2405,#REF!,#REF!)),0)</f>
        <v>0</v>
      </c>
      <c r="T2405" cm="1">
        <f t="array" ref="T2405">IFERROR(_xlfn.SWITCH(L2405,1,_xlfn.XLOOKUP(O2405,[1]AttributeName!$B:$B,[1]AttributeName!$E:$E),2,_xlfn.XLOOKUP(C2405,#REF!,#REF!),3,_xlfn.XLOOKUP(C2405,#REF!,#REF!)),0)</f>
        <v>1</v>
      </c>
    </row>
    <row r="2406" customFormat="1" spans="1:20">
      <c r="A2406">
        <f t="shared" si="100"/>
        <v>971</v>
      </c>
      <c r="B2406">
        <v>1</v>
      </c>
      <c r="C2406" t="s">
        <v>413</v>
      </c>
      <c r="D2406" t="s">
        <v>32</v>
      </c>
      <c r="E2406" s="13" t="s">
        <v>392</v>
      </c>
      <c r="F2406"/>
      <c r="G2406">
        <v>2</v>
      </c>
      <c r="H2406">
        <v>1000</v>
      </c>
      <c r="J2406" cm="1">
        <f t="array" ref="J2406">_xlfn.SWITCH(B2406,1,75,2,61,3,49,4,37,5,25,6,13,7,4,8,1)</f>
        <v>75</v>
      </c>
      <c r="K2406" t="str" cm="1">
        <f t="array" ref="K2406">IFERROR(_xlfn.SWITCH(L2406,2,_xlfn.XLOOKUP(C2406,[1]ModifierDes!$B:$B,[1]ModifierDes!$C:$C),3,_xlfn.XLOOKUP(C2406,[1]StuntDes!$B:$B,[1]StuntDes!$C:$C)),"")</f>
        <v/>
      </c>
      <c r="L2406">
        <f t="shared" si="99"/>
        <v>1</v>
      </c>
      <c r="M2406" s="10" t="str">
        <f>IFERROR(_xlfn.XLOOKUP(C2406,[1]StuntDes!$B:$B,[1]StuntDes!$A:$A),"")</f>
        <v/>
      </c>
      <c r="N2406" s="10" t="str">
        <f>IFERROR(_xlfn.XLOOKUP(C2406,[1]ModifierDes!$B:$B,[1]ModifierDes!$A:$A),"")</f>
        <v/>
      </c>
      <c r="O2406" s="10">
        <f>IFERROR(_xlfn.XLOOKUP(C2406,[1]AttributeName!$C:$C,[1]AttributeName!$B:$B),"")</f>
        <v>10020</v>
      </c>
      <c r="P2406" s="10"/>
      <c r="Q2406">
        <v>12</v>
      </c>
      <c r="R2406">
        <v>14</v>
      </c>
      <c r="S2406" cm="1">
        <f t="array" ref="S2406">IFERROR(_xlfn.SWITCH(L2406,1,_xlfn.XLOOKUP(O2406,[1]AttributeName!$B:$B,[1]AttributeName!$D:$D),2,_xlfn.XLOOKUP(C2406,#REF!,#REF!),3,_xlfn.XLOOKUP(C2406,#REF!,#REF!)),0)</f>
        <v>0</v>
      </c>
      <c r="T2406" cm="1">
        <f t="array" ref="T2406">IFERROR(_xlfn.SWITCH(L2406,1,_xlfn.XLOOKUP(O2406,[1]AttributeName!$B:$B,[1]AttributeName!$E:$E),2,_xlfn.XLOOKUP(C2406,#REF!,#REF!),3,_xlfn.XLOOKUP(C2406,#REF!,#REF!)),0)</f>
        <v>1</v>
      </c>
    </row>
    <row r="2407" customFormat="1" spans="1:20">
      <c r="A2407">
        <f t="shared" si="100"/>
        <v>971</v>
      </c>
      <c r="B2407">
        <v>2</v>
      </c>
      <c r="C2407" t="s">
        <v>413</v>
      </c>
      <c r="D2407" t="s">
        <v>32</v>
      </c>
      <c r="E2407" s="13" t="s">
        <v>392</v>
      </c>
      <c r="F2407"/>
      <c r="G2407">
        <v>2</v>
      </c>
      <c r="H2407">
        <v>1000</v>
      </c>
      <c r="J2407" cm="1">
        <f t="array" ref="J2407">_xlfn.SWITCH(B2407,1,75,2,61,3,49,4,37,5,25,6,13,7,4,8,1)</f>
        <v>61</v>
      </c>
      <c r="K2407" t="str" cm="1">
        <f t="array" ref="K2407">IFERROR(_xlfn.SWITCH(L2407,2,_xlfn.XLOOKUP(C2407,[1]ModifierDes!$B:$B,[1]ModifierDes!$C:$C),3,_xlfn.XLOOKUP(C2407,[1]StuntDes!$B:$B,[1]StuntDes!$C:$C)),"")</f>
        <v/>
      </c>
      <c r="L2407">
        <f t="shared" si="99"/>
        <v>1</v>
      </c>
      <c r="M2407" s="10" t="str">
        <f>IFERROR(_xlfn.XLOOKUP(C2407,[1]StuntDes!$B:$B,[1]StuntDes!$A:$A),"")</f>
        <v/>
      </c>
      <c r="N2407" s="10" t="str">
        <f>IFERROR(_xlfn.XLOOKUP(C2407,[1]ModifierDes!$B:$B,[1]ModifierDes!$A:$A),"")</f>
        <v/>
      </c>
      <c r="O2407" s="10">
        <f>IFERROR(_xlfn.XLOOKUP(C2407,[1]AttributeName!$C:$C,[1]AttributeName!$B:$B),"")</f>
        <v>10020</v>
      </c>
      <c r="P2407" s="10"/>
      <c r="Q2407">
        <v>9</v>
      </c>
      <c r="R2407">
        <v>11</v>
      </c>
      <c r="S2407" cm="1">
        <f t="array" ref="S2407">IFERROR(_xlfn.SWITCH(L2407,1,_xlfn.XLOOKUP(O2407,[1]AttributeName!$B:$B,[1]AttributeName!$D:$D),2,_xlfn.XLOOKUP(C2407,#REF!,#REF!),3,_xlfn.XLOOKUP(C2407,#REF!,#REF!)),0)</f>
        <v>0</v>
      </c>
      <c r="T2407" cm="1">
        <f t="array" ref="T2407">IFERROR(_xlfn.SWITCH(L2407,1,_xlfn.XLOOKUP(O2407,[1]AttributeName!$B:$B,[1]AttributeName!$E:$E),2,_xlfn.XLOOKUP(C2407,#REF!,#REF!),3,_xlfn.XLOOKUP(C2407,#REF!,#REF!)),0)</f>
        <v>1</v>
      </c>
    </row>
    <row r="2408" customFormat="1" spans="1:20">
      <c r="A2408">
        <f t="shared" si="100"/>
        <v>971</v>
      </c>
      <c r="B2408">
        <v>3</v>
      </c>
      <c r="C2408" t="s">
        <v>413</v>
      </c>
      <c r="D2408" t="s">
        <v>32</v>
      </c>
      <c r="E2408" s="13" t="s">
        <v>392</v>
      </c>
      <c r="F2408"/>
      <c r="G2408">
        <v>2</v>
      </c>
      <c r="H2408">
        <v>1000</v>
      </c>
      <c r="J2408" cm="1">
        <f t="array" ref="J2408">_xlfn.SWITCH(B2408,1,75,2,61,3,49,4,37,5,25,6,13,7,4,8,1)</f>
        <v>49</v>
      </c>
      <c r="K2408" t="str" cm="1">
        <f t="array" ref="K2408">IFERROR(_xlfn.SWITCH(L2408,2,_xlfn.XLOOKUP(C2408,[1]ModifierDes!$B:$B,[1]ModifierDes!$C:$C),3,_xlfn.XLOOKUP(C2408,[1]StuntDes!$B:$B,[1]StuntDes!$C:$C)),"")</f>
        <v/>
      </c>
      <c r="L2408">
        <f t="shared" si="99"/>
        <v>1</v>
      </c>
      <c r="M2408" s="10" t="str">
        <f>IFERROR(_xlfn.XLOOKUP(C2408,[1]StuntDes!$B:$B,[1]StuntDes!$A:$A),"")</f>
        <v/>
      </c>
      <c r="N2408" s="10" t="str">
        <f>IFERROR(_xlfn.XLOOKUP(C2408,[1]ModifierDes!$B:$B,[1]ModifierDes!$A:$A),"")</f>
        <v/>
      </c>
      <c r="O2408" s="10">
        <f>IFERROR(_xlfn.XLOOKUP(C2408,[1]AttributeName!$C:$C,[1]AttributeName!$B:$B),"")</f>
        <v>10020</v>
      </c>
      <c r="P2408" s="10"/>
      <c r="Q2408">
        <v>6</v>
      </c>
      <c r="R2408">
        <v>8</v>
      </c>
      <c r="S2408" cm="1">
        <f t="array" ref="S2408">IFERROR(_xlfn.SWITCH(L2408,1,_xlfn.XLOOKUP(O2408,[1]AttributeName!$B:$B,[1]AttributeName!$D:$D),2,_xlfn.XLOOKUP(C2408,#REF!,#REF!),3,_xlfn.XLOOKUP(C2408,#REF!,#REF!)),0)</f>
        <v>0</v>
      </c>
      <c r="T2408" cm="1">
        <f t="array" ref="T2408">IFERROR(_xlfn.SWITCH(L2408,1,_xlfn.XLOOKUP(O2408,[1]AttributeName!$B:$B,[1]AttributeName!$E:$E),2,_xlfn.XLOOKUP(C2408,#REF!,#REF!),3,_xlfn.XLOOKUP(C2408,#REF!,#REF!)),0)</f>
        <v>1</v>
      </c>
    </row>
    <row r="2409" customFormat="1" spans="1:20">
      <c r="A2409">
        <f t="shared" si="100"/>
        <v>971</v>
      </c>
      <c r="B2409">
        <v>4</v>
      </c>
      <c r="C2409" t="s">
        <v>413</v>
      </c>
      <c r="D2409" t="s">
        <v>32</v>
      </c>
      <c r="E2409" s="13" t="s">
        <v>392</v>
      </c>
      <c r="F2409"/>
      <c r="G2409">
        <v>2</v>
      </c>
      <c r="H2409">
        <v>1000</v>
      </c>
      <c r="J2409" cm="1">
        <f t="array" ref="J2409">_xlfn.SWITCH(B2409,1,75,2,61,3,49,4,37,5,25,6,13,7,4,8,1)</f>
        <v>37</v>
      </c>
      <c r="K2409" t="str" cm="1">
        <f t="array" ref="K2409">IFERROR(_xlfn.SWITCH(L2409,2,_xlfn.XLOOKUP(C2409,[1]ModifierDes!$B:$B,[1]ModifierDes!$C:$C),3,_xlfn.XLOOKUP(C2409,[1]StuntDes!$B:$B,[1]StuntDes!$C:$C)),"")</f>
        <v/>
      </c>
      <c r="L2409">
        <f t="shared" si="99"/>
        <v>1</v>
      </c>
      <c r="M2409" s="10" t="str">
        <f>IFERROR(_xlfn.XLOOKUP(C2409,[1]StuntDes!$B:$B,[1]StuntDes!$A:$A),"")</f>
        <v/>
      </c>
      <c r="N2409" s="10" t="str">
        <f>IFERROR(_xlfn.XLOOKUP(C2409,[1]ModifierDes!$B:$B,[1]ModifierDes!$A:$A),"")</f>
        <v/>
      </c>
      <c r="O2409" s="10">
        <f>IFERROR(_xlfn.XLOOKUP(C2409,[1]AttributeName!$C:$C,[1]AttributeName!$B:$B),"")</f>
        <v>10020</v>
      </c>
      <c r="P2409" s="10"/>
      <c r="Q2409">
        <v>5</v>
      </c>
      <c r="R2409">
        <v>5</v>
      </c>
      <c r="S2409" cm="1">
        <f t="array" ref="S2409">IFERROR(_xlfn.SWITCH(L2409,1,_xlfn.XLOOKUP(O2409,[1]AttributeName!$B:$B,[1]AttributeName!$D:$D),2,_xlfn.XLOOKUP(C2409,#REF!,#REF!),3,_xlfn.XLOOKUP(C2409,#REF!,#REF!)),0)</f>
        <v>0</v>
      </c>
      <c r="T2409" cm="1">
        <f t="array" ref="T2409">IFERROR(_xlfn.SWITCH(L2409,1,_xlfn.XLOOKUP(O2409,[1]AttributeName!$B:$B,[1]AttributeName!$E:$E),2,_xlfn.XLOOKUP(C2409,#REF!,#REF!),3,_xlfn.XLOOKUP(C2409,#REF!,#REF!)),0)</f>
        <v>1</v>
      </c>
    </row>
    <row r="2410" customFormat="1" spans="1:20">
      <c r="A2410">
        <f t="shared" si="100"/>
        <v>971</v>
      </c>
      <c r="B2410">
        <v>5</v>
      </c>
      <c r="C2410" t="s">
        <v>413</v>
      </c>
      <c r="D2410" t="s">
        <v>32</v>
      </c>
      <c r="E2410" s="13" t="s">
        <v>392</v>
      </c>
      <c r="F2410"/>
      <c r="G2410">
        <v>2</v>
      </c>
      <c r="H2410">
        <v>1000</v>
      </c>
      <c r="J2410" cm="1">
        <f t="array" ref="J2410">_xlfn.SWITCH(B2410,1,75,2,61,3,49,4,37,5,25,6,13,7,4,8,1)</f>
        <v>25</v>
      </c>
      <c r="K2410" t="str" cm="1">
        <f t="array" ref="K2410">IFERROR(_xlfn.SWITCH(L2410,2,_xlfn.XLOOKUP(C2410,[1]ModifierDes!$B:$B,[1]ModifierDes!$C:$C),3,_xlfn.XLOOKUP(C2410,[1]StuntDes!$B:$B,[1]StuntDes!$C:$C)),"")</f>
        <v/>
      </c>
      <c r="L2410">
        <f t="shared" si="99"/>
        <v>1</v>
      </c>
      <c r="M2410" s="10" t="str">
        <f>IFERROR(_xlfn.XLOOKUP(C2410,[1]StuntDes!$B:$B,[1]StuntDes!$A:$A),"")</f>
        <v/>
      </c>
      <c r="N2410" s="10" t="str">
        <f>IFERROR(_xlfn.XLOOKUP(C2410,[1]ModifierDes!$B:$B,[1]ModifierDes!$A:$A),"")</f>
        <v/>
      </c>
      <c r="O2410" s="10">
        <f>IFERROR(_xlfn.XLOOKUP(C2410,[1]AttributeName!$C:$C,[1]AttributeName!$B:$B),"")</f>
        <v>10020</v>
      </c>
      <c r="P2410" s="10"/>
      <c r="Q2410">
        <v>4</v>
      </c>
      <c r="R2410">
        <v>4</v>
      </c>
      <c r="S2410" cm="1">
        <f t="array" ref="S2410">IFERROR(_xlfn.SWITCH(L2410,1,_xlfn.XLOOKUP(O2410,[1]AttributeName!$B:$B,[1]AttributeName!$D:$D),2,_xlfn.XLOOKUP(C2410,#REF!,#REF!),3,_xlfn.XLOOKUP(C2410,#REF!,#REF!)),0)</f>
        <v>0</v>
      </c>
      <c r="T2410" cm="1">
        <f t="array" ref="T2410">IFERROR(_xlfn.SWITCH(L2410,1,_xlfn.XLOOKUP(O2410,[1]AttributeName!$B:$B,[1]AttributeName!$E:$E),2,_xlfn.XLOOKUP(C2410,#REF!,#REF!),3,_xlfn.XLOOKUP(C2410,#REF!,#REF!)),0)</f>
        <v>1</v>
      </c>
    </row>
    <row r="2411" customFormat="1" spans="1:20">
      <c r="A2411">
        <f t="shared" si="100"/>
        <v>971</v>
      </c>
      <c r="B2411">
        <v>6</v>
      </c>
      <c r="C2411" t="s">
        <v>413</v>
      </c>
      <c r="D2411" t="s">
        <v>32</v>
      </c>
      <c r="E2411" s="13" t="s">
        <v>392</v>
      </c>
      <c r="F2411"/>
      <c r="G2411">
        <v>2</v>
      </c>
      <c r="H2411">
        <v>1000</v>
      </c>
      <c r="J2411" cm="1">
        <f t="array" ref="J2411">_xlfn.SWITCH(B2411,1,75,2,61,3,49,4,37,5,25,6,13,7,4,8,1)</f>
        <v>13</v>
      </c>
      <c r="K2411" t="str" cm="1">
        <f t="array" ref="K2411">IFERROR(_xlfn.SWITCH(L2411,2,_xlfn.XLOOKUP(C2411,[1]ModifierDes!$B:$B,[1]ModifierDes!$C:$C),3,_xlfn.XLOOKUP(C2411,[1]StuntDes!$B:$B,[1]StuntDes!$C:$C)),"")</f>
        <v/>
      </c>
      <c r="L2411">
        <f t="shared" si="99"/>
        <v>1</v>
      </c>
      <c r="M2411" s="10" t="str">
        <f>IFERROR(_xlfn.XLOOKUP(C2411,[1]StuntDes!$B:$B,[1]StuntDes!$A:$A),"")</f>
        <v/>
      </c>
      <c r="N2411" s="10" t="str">
        <f>IFERROR(_xlfn.XLOOKUP(C2411,[1]ModifierDes!$B:$B,[1]ModifierDes!$A:$A),"")</f>
        <v/>
      </c>
      <c r="O2411" s="10">
        <f>IFERROR(_xlfn.XLOOKUP(C2411,[1]AttributeName!$C:$C,[1]AttributeName!$B:$B),"")</f>
        <v>10020</v>
      </c>
      <c r="P2411" s="10"/>
      <c r="Q2411">
        <v>3</v>
      </c>
      <c r="R2411">
        <v>3</v>
      </c>
      <c r="S2411" cm="1">
        <f t="array" ref="S2411">IFERROR(_xlfn.SWITCH(L2411,1,_xlfn.XLOOKUP(O2411,[1]AttributeName!$B:$B,[1]AttributeName!$D:$D),2,_xlfn.XLOOKUP(C2411,#REF!,#REF!),3,_xlfn.XLOOKUP(C2411,#REF!,#REF!)),0)</f>
        <v>0</v>
      </c>
      <c r="T2411" cm="1">
        <f t="array" ref="T2411">IFERROR(_xlfn.SWITCH(L2411,1,_xlfn.XLOOKUP(O2411,[1]AttributeName!$B:$B,[1]AttributeName!$E:$E),2,_xlfn.XLOOKUP(C2411,#REF!,#REF!),3,_xlfn.XLOOKUP(C2411,#REF!,#REF!)),0)</f>
        <v>1</v>
      </c>
    </row>
    <row r="2412" customFormat="1" spans="1:20">
      <c r="A2412">
        <f t="shared" si="100"/>
        <v>971</v>
      </c>
      <c r="B2412">
        <v>7</v>
      </c>
      <c r="C2412" t="s">
        <v>413</v>
      </c>
      <c r="D2412" t="s">
        <v>32</v>
      </c>
      <c r="E2412" s="13" t="s">
        <v>392</v>
      </c>
      <c r="F2412"/>
      <c r="G2412">
        <v>2</v>
      </c>
      <c r="H2412">
        <v>1000</v>
      </c>
      <c r="J2412" cm="1">
        <f t="array" ref="J2412">_xlfn.SWITCH(B2412,1,75,2,61,3,49,4,37,5,25,6,13,7,4,8,1)</f>
        <v>4</v>
      </c>
      <c r="K2412" t="str" cm="1">
        <f t="array" ref="K2412">IFERROR(_xlfn.SWITCH(L2412,2,_xlfn.XLOOKUP(C2412,[1]ModifierDes!$B:$B,[1]ModifierDes!$C:$C),3,_xlfn.XLOOKUP(C2412,[1]StuntDes!$B:$B,[1]StuntDes!$C:$C)),"")</f>
        <v/>
      </c>
      <c r="L2412">
        <f t="shared" si="99"/>
        <v>1</v>
      </c>
      <c r="M2412" s="10" t="str">
        <f>IFERROR(_xlfn.XLOOKUP(C2412,[1]StuntDes!$B:$B,[1]StuntDes!$A:$A),"")</f>
        <v/>
      </c>
      <c r="N2412" s="10" t="str">
        <f>IFERROR(_xlfn.XLOOKUP(C2412,[1]ModifierDes!$B:$B,[1]ModifierDes!$A:$A),"")</f>
        <v/>
      </c>
      <c r="O2412" s="10">
        <f>IFERROR(_xlfn.XLOOKUP(C2412,[1]AttributeName!$C:$C,[1]AttributeName!$B:$B),"")</f>
        <v>10020</v>
      </c>
      <c r="P2412" s="10"/>
      <c r="Q2412">
        <v>2</v>
      </c>
      <c r="R2412">
        <v>2</v>
      </c>
      <c r="S2412" cm="1">
        <f t="array" ref="S2412">IFERROR(_xlfn.SWITCH(L2412,1,_xlfn.XLOOKUP(O2412,[1]AttributeName!$B:$B,[1]AttributeName!$D:$D),2,_xlfn.XLOOKUP(C2412,#REF!,#REF!),3,_xlfn.XLOOKUP(C2412,#REF!,#REF!)),0)</f>
        <v>0</v>
      </c>
      <c r="T2412" cm="1">
        <f t="array" ref="T2412">IFERROR(_xlfn.SWITCH(L2412,1,_xlfn.XLOOKUP(O2412,[1]AttributeName!$B:$B,[1]AttributeName!$E:$E),2,_xlfn.XLOOKUP(C2412,#REF!,#REF!),3,_xlfn.XLOOKUP(C2412,#REF!,#REF!)),0)</f>
        <v>1</v>
      </c>
    </row>
    <row r="2413" customFormat="1" spans="1:20">
      <c r="A2413">
        <f t="shared" si="100"/>
        <v>971</v>
      </c>
      <c r="B2413">
        <v>8</v>
      </c>
      <c r="C2413" t="s">
        <v>413</v>
      </c>
      <c r="D2413" t="s">
        <v>32</v>
      </c>
      <c r="E2413" s="13" t="s">
        <v>392</v>
      </c>
      <c r="F2413"/>
      <c r="G2413">
        <v>2</v>
      </c>
      <c r="H2413">
        <v>1000</v>
      </c>
      <c r="J2413" cm="1">
        <f t="array" ref="J2413">_xlfn.SWITCH(B2413,1,75,2,61,3,49,4,37,5,25,6,13,7,4,8,1)</f>
        <v>1</v>
      </c>
      <c r="K2413" t="str" cm="1">
        <f t="array" ref="K2413">IFERROR(_xlfn.SWITCH(L2413,2,_xlfn.XLOOKUP(C2413,[1]ModifierDes!$B:$B,[1]ModifierDes!$C:$C),3,_xlfn.XLOOKUP(C2413,[1]StuntDes!$B:$B,[1]StuntDes!$C:$C)),"")</f>
        <v/>
      </c>
      <c r="L2413">
        <f t="shared" si="99"/>
        <v>1</v>
      </c>
      <c r="M2413" s="10" t="str">
        <f>IFERROR(_xlfn.XLOOKUP(C2413,[1]StuntDes!$B:$B,[1]StuntDes!$A:$A),"")</f>
        <v/>
      </c>
      <c r="N2413" s="10" t="str">
        <f>IFERROR(_xlfn.XLOOKUP(C2413,[1]ModifierDes!$B:$B,[1]ModifierDes!$A:$A),"")</f>
        <v/>
      </c>
      <c r="O2413" s="10">
        <f>IFERROR(_xlfn.XLOOKUP(C2413,[1]AttributeName!$C:$C,[1]AttributeName!$B:$B),"")</f>
        <v>10020</v>
      </c>
      <c r="P2413" s="10"/>
      <c r="Q2413">
        <v>1</v>
      </c>
      <c r="R2413">
        <v>1</v>
      </c>
      <c r="S2413" cm="1">
        <f t="array" ref="S2413">IFERROR(_xlfn.SWITCH(L2413,1,_xlfn.XLOOKUP(O2413,[1]AttributeName!$B:$B,[1]AttributeName!$D:$D),2,_xlfn.XLOOKUP(C2413,#REF!,#REF!),3,_xlfn.XLOOKUP(C2413,#REF!,#REF!)),0)</f>
        <v>0</v>
      </c>
      <c r="T2413" cm="1">
        <f t="array" ref="T2413">IFERROR(_xlfn.SWITCH(L2413,1,_xlfn.XLOOKUP(O2413,[1]AttributeName!$B:$B,[1]AttributeName!$E:$E),2,_xlfn.XLOOKUP(C2413,#REF!,#REF!),3,_xlfn.XLOOKUP(C2413,#REF!,#REF!)),0)</f>
        <v>1</v>
      </c>
    </row>
    <row r="2414" customFormat="1" spans="1:20">
      <c r="A2414">
        <f t="shared" si="100"/>
        <v>972</v>
      </c>
      <c r="B2414">
        <v>1</v>
      </c>
      <c r="C2414" t="s">
        <v>414</v>
      </c>
      <c r="D2414" t="s">
        <v>32</v>
      </c>
      <c r="E2414" s="13" t="s">
        <v>392</v>
      </c>
      <c r="F2414"/>
      <c r="G2414">
        <v>2</v>
      </c>
      <c r="H2414">
        <v>1000</v>
      </c>
      <c r="J2414" cm="1">
        <f t="array" ref="J2414">_xlfn.SWITCH(B2414,1,75,2,61,3,49,4,37,5,25,6,13,7,4,8,1)</f>
        <v>75</v>
      </c>
      <c r="K2414" t="str" cm="1">
        <f t="array" ref="K2414">IFERROR(_xlfn.SWITCH(L2414,2,_xlfn.XLOOKUP(C2414,[1]ModifierDes!$B:$B,[1]ModifierDes!$C:$C),3,_xlfn.XLOOKUP(C2414,[1]StuntDes!$B:$B,[1]StuntDes!$C:$C)),"")</f>
        <v/>
      </c>
      <c r="L2414">
        <f t="shared" si="99"/>
        <v>1</v>
      </c>
      <c r="M2414" s="10" t="str">
        <f>IFERROR(_xlfn.XLOOKUP(C2414,[1]StuntDes!$B:$B,[1]StuntDes!$A:$A),"")</f>
        <v/>
      </c>
      <c r="N2414" s="10" t="str">
        <f>IFERROR(_xlfn.XLOOKUP(C2414,[1]ModifierDes!$B:$B,[1]ModifierDes!$A:$A),"")</f>
        <v/>
      </c>
      <c r="O2414" s="10">
        <f>IFERROR(_xlfn.XLOOKUP(C2414,[1]AttributeName!$C:$C,[1]AttributeName!$B:$B),"")</f>
        <v>10900</v>
      </c>
      <c r="P2414" s="10"/>
      <c r="Q2414">
        <v>15</v>
      </c>
      <c r="R2414">
        <v>16</v>
      </c>
      <c r="S2414" cm="1">
        <f t="array" ref="S2414">IFERROR(_xlfn.SWITCH(L2414,1,_xlfn.XLOOKUP(O2414,[1]AttributeName!$B:$B,[1]AttributeName!$D:$D),2,_xlfn.XLOOKUP(C2414,#REF!,#REF!),3,_xlfn.XLOOKUP(C2414,#REF!,#REF!)),0)</f>
        <v>0</v>
      </c>
      <c r="T2414" cm="1">
        <f t="array" ref="T2414">IFERROR(_xlfn.SWITCH(L2414,1,_xlfn.XLOOKUP(O2414,[1]AttributeName!$B:$B,[1]AttributeName!$E:$E),2,_xlfn.XLOOKUP(C2414,#REF!,#REF!),3,_xlfn.XLOOKUP(C2414,#REF!,#REF!)),0)</f>
        <v>1</v>
      </c>
    </row>
    <row r="2415" customFormat="1" spans="1:20">
      <c r="A2415">
        <f t="shared" si="100"/>
        <v>972</v>
      </c>
      <c r="B2415">
        <v>2</v>
      </c>
      <c r="C2415" t="s">
        <v>414</v>
      </c>
      <c r="D2415" t="s">
        <v>32</v>
      </c>
      <c r="E2415" s="13" t="s">
        <v>392</v>
      </c>
      <c r="F2415"/>
      <c r="G2415">
        <v>2</v>
      </c>
      <c r="H2415">
        <v>1000</v>
      </c>
      <c r="J2415" cm="1">
        <f t="array" ref="J2415">_xlfn.SWITCH(B2415,1,75,2,61,3,49,4,37,5,25,6,13,7,4,8,1)</f>
        <v>61</v>
      </c>
      <c r="K2415" t="str" cm="1">
        <f t="array" ref="K2415">IFERROR(_xlfn.SWITCH(L2415,2,_xlfn.XLOOKUP(C2415,[1]ModifierDes!$B:$B,[1]ModifierDes!$C:$C),3,_xlfn.XLOOKUP(C2415,[1]StuntDes!$B:$B,[1]StuntDes!$C:$C)),"")</f>
        <v/>
      </c>
      <c r="L2415">
        <f t="shared" si="99"/>
        <v>1</v>
      </c>
      <c r="M2415" s="10" t="str">
        <f>IFERROR(_xlfn.XLOOKUP(C2415,[1]StuntDes!$B:$B,[1]StuntDes!$A:$A),"")</f>
        <v/>
      </c>
      <c r="N2415" s="10" t="str">
        <f>IFERROR(_xlfn.XLOOKUP(C2415,[1]ModifierDes!$B:$B,[1]ModifierDes!$A:$A),"")</f>
        <v/>
      </c>
      <c r="O2415" s="10">
        <f>IFERROR(_xlfn.XLOOKUP(C2415,[1]AttributeName!$C:$C,[1]AttributeName!$B:$B),"")</f>
        <v>10900</v>
      </c>
      <c r="P2415" s="10"/>
      <c r="Q2415">
        <v>13</v>
      </c>
      <c r="R2415">
        <v>14</v>
      </c>
      <c r="S2415" cm="1">
        <f t="array" ref="S2415">IFERROR(_xlfn.SWITCH(L2415,1,_xlfn.XLOOKUP(O2415,[1]AttributeName!$B:$B,[1]AttributeName!$D:$D),2,_xlfn.XLOOKUP(C2415,#REF!,#REF!),3,_xlfn.XLOOKUP(C2415,#REF!,#REF!)),0)</f>
        <v>0</v>
      </c>
      <c r="T2415" cm="1">
        <f t="array" ref="T2415">IFERROR(_xlfn.SWITCH(L2415,1,_xlfn.XLOOKUP(O2415,[1]AttributeName!$B:$B,[1]AttributeName!$E:$E),2,_xlfn.XLOOKUP(C2415,#REF!,#REF!),3,_xlfn.XLOOKUP(C2415,#REF!,#REF!)),0)</f>
        <v>1</v>
      </c>
    </row>
    <row r="2416" customFormat="1" spans="1:20">
      <c r="A2416">
        <f t="shared" si="100"/>
        <v>972</v>
      </c>
      <c r="B2416">
        <v>3</v>
      </c>
      <c r="C2416" t="s">
        <v>414</v>
      </c>
      <c r="D2416" t="s">
        <v>32</v>
      </c>
      <c r="E2416" s="13" t="s">
        <v>392</v>
      </c>
      <c r="F2416"/>
      <c r="G2416">
        <v>2</v>
      </c>
      <c r="H2416">
        <v>1000</v>
      </c>
      <c r="J2416" cm="1">
        <f t="array" ref="J2416">_xlfn.SWITCH(B2416,1,75,2,61,3,49,4,37,5,25,6,13,7,4,8,1)</f>
        <v>49</v>
      </c>
      <c r="K2416" t="str" cm="1">
        <f t="array" ref="K2416">IFERROR(_xlfn.SWITCH(L2416,2,_xlfn.XLOOKUP(C2416,[1]ModifierDes!$B:$B,[1]ModifierDes!$C:$C),3,_xlfn.XLOOKUP(C2416,[1]StuntDes!$B:$B,[1]StuntDes!$C:$C)),"")</f>
        <v/>
      </c>
      <c r="L2416">
        <f t="shared" si="99"/>
        <v>1</v>
      </c>
      <c r="M2416" s="10" t="str">
        <f>IFERROR(_xlfn.XLOOKUP(C2416,[1]StuntDes!$B:$B,[1]StuntDes!$A:$A),"")</f>
        <v/>
      </c>
      <c r="N2416" s="10" t="str">
        <f>IFERROR(_xlfn.XLOOKUP(C2416,[1]ModifierDes!$B:$B,[1]ModifierDes!$A:$A),"")</f>
        <v/>
      </c>
      <c r="O2416" s="10">
        <f>IFERROR(_xlfn.XLOOKUP(C2416,[1]AttributeName!$C:$C,[1]AttributeName!$B:$B),"")</f>
        <v>10900</v>
      </c>
      <c r="P2416" s="10"/>
      <c r="Q2416">
        <v>11</v>
      </c>
      <c r="R2416">
        <v>12</v>
      </c>
      <c r="S2416" cm="1">
        <f t="array" ref="S2416">IFERROR(_xlfn.SWITCH(L2416,1,_xlfn.XLOOKUP(O2416,[1]AttributeName!$B:$B,[1]AttributeName!$D:$D),2,_xlfn.XLOOKUP(C2416,#REF!,#REF!),3,_xlfn.XLOOKUP(C2416,#REF!,#REF!)),0)</f>
        <v>0</v>
      </c>
      <c r="T2416" cm="1">
        <f t="array" ref="T2416">IFERROR(_xlfn.SWITCH(L2416,1,_xlfn.XLOOKUP(O2416,[1]AttributeName!$B:$B,[1]AttributeName!$E:$E),2,_xlfn.XLOOKUP(C2416,#REF!,#REF!),3,_xlfn.XLOOKUP(C2416,#REF!,#REF!)),0)</f>
        <v>1</v>
      </c>
    </row>
    <row r="2417" customFormat="1" spans="1:20">
      <c r="A2417">
        <f t="shared" si="100"/>
        <v>972</v>
      </c>
      <c r="B2417">
        <v>4</v>
      </c>
      <c r="C2417" t="s">
        <v>414</v>
      </c>
      <c r="D2417" t="s">
        <v>32</v>
      </c>
      <c r="E2417" s="13" t="s">
        <v>392</v>
      </c>
      <c r="F2417"/>
      <c r="G2417">
        <v>2</v>
      </c>
      <c r="H2417">
        <v>1000</v>
      </c>
      <c r="J2417" cm="1">
        <f t="array" ref="J2417">_xlfn.SWITCH(B2417,1,75,2,61,3,49,4,37,5,25,6,13,7,4,8,1)</f>
        <v>37</v>
      </c>
      <c r="K2417" t="str" cm="1">
        <f t="array" ref="K2417">IFERROR(_xlfn.SWITCH(L2417,2,_xlfn.XLOOKUP(C2417,[1]ModifierDes!$B:$B,[1]ModifierDes!$C:$C),3,_xlfn.XLOOKUP(C2417,[1]StuntDes!$B:$B,[1]StuntDes!$C:$C)),"")</f>
        <v/>
      </c>
      <c r="L2417">
        <f t="shared" si="99"/>
        <v>1</v>
      </c>
      <c r="M2417" s="10" t="str">
        <f>IFERROR(_xlfn.XLOOKUP(C2417,[1]StuntDes!$B:$B,[1]StuntDes!$A:$A),"")</f>
        <v/>
      </c>
      <c r="N2417" s="10" t="str">
        <f>IFERROR(_xlfn.XLOOKUP(C2417,[1]ModifierDes!$B:$B,[1]ModifierDes!$A:$A),"")</f>
        <v/>
      </c>
      <c r="O2417" s="10">
        <f>IFERROR(_xlfn.XLOOKUP(C2417,[1]AttributeName!$C:$C,[1]AttributeName!$B:$B),"")</f>
        <v>10900</v>
      </c>
      <c r="P2417" s="10"/>
      <c r="Q2417">
        <v>9</v>
      </c>
      <c r="R2417">
        <v>10</v>
      </c>
      <c r="S2417" cm="1">
        <f t="array" ref="S2417">IFERROR(_xlfn.SWITCH(L2417,1,_xlfn.XLOOKUP(O2417,[1]AttributeName!$B:$B,[1]AttributeName!$D:$D),2,_xlfn.XLOOKUP(C2417,#REF!,#REF!),3,_xlfn.XLOOKUP(C2417,#REF!,#REF!)),0)</f>
        <v>0</v>
      </c>
      <c r="T2417" cm="1">
        <f t="array" ref="T2417">IFERROR(_xlfn.SWITCH(L2417,1,_xlfn.XLOOKUP(O2417,[1]AttributeName!$B:$B,[1]AttributeName!$E:$E),2,_xlfn.XLOOKUP(C2417,#REF!,#REF!),3,_xlfn.XLOOKUP(C2417,#REF!,#REF!)),0)</f>
        <v>1</v>
      </c>
    </row>
    <row r="2418" customFormat="1" spans="1:20">
      <c r="A2418">
        <f t="shared" si="100"/>
        <v>972</v>
      </c>
      <c r="B2418">
        <v>5</v>
      </c>
      <c r="C2418" t="s">
        <v>414</v>
      </c>
      <c r="D2418" t="s">
        <v>32</v>
      </c>
      <c r="E2418" s="13" t="s">
        <v>392</v>
      </c>
      <c r="F2418"/>
      <c r="G2418">
        <v>2</v>
      </c>
      <c r="H2418">
        <v>1000</v>
      </c>
      <c r="J2418" cm="1">
        <f t="array" ref="J2418">_xlfn.SWITCH(B2418,1,75,2,61,3,49,4,37,5,25,6,13,7,4,8,1)</f>
        <v>25</v>
      </c>
      <c r="K2418" t="str" cm="1">
        <f t="array" ref="K2418">IFERROR(_xlfn.SWITCH(L2418,2,_xlfn.XLOOKUP(C2418,[1]ModifierDes!$B:$B,[1]ModifierDes!$C:$C),3,_xlfn.XLOOKUP(C2418,[1]StuntDes!$B:$B,[1]StuntDes!$C:$C)),"")</f>
        <v/>
      </c>
      <c r="L2418">
        <f t="shared" si="99"/>
        <v>1</v>
      </c>
      <c r="M2418" s="10" t="str">
        <f>IFERROR(_xlfn.XLOOKUP(C2418,[1]StuntDes!$B:$B,[1]StuntDes!$A:$A),"")</f>
        <v/>
      </c>
      <c r="N2418" s="10" t="str">
        <f>IFERROR(_xlfn.XLOOKUP(C2418,[1]ModifierDes!$B:$B,[1]ModifierDes!$A:$A),"")</f>
        <v/>
      </c>
      <c r="O2418" s="10">
        <f>IFERROR(_xlfn.XLOOKUP(C2418,[1]AttributeName!$C:$C,[1]AttributeName!$B:$B),"")</f>
        <v>10900</v>
      </c>
      <c r="P2418" s="10"/>
      <c r="Q2418">
        <v>7</v>
      </c>
      <c r="R2418">
        <v>8</v>
      </c>
      <c r="S2418" cm="1">
        <f t="array" ref="S2418">IFERROR(_xlfn.SWITCH(L2418,1,_xlfn.XLOOKUP(O2418,[1]AttributeName!$B:$B,[1]AttributeName!$D:$D),2,_xlfn.XLOOKUP(C2418,#REF!,#REF!),3,_xlfn.XLOOKUP(C2418,#REF!,#REF!)),0)</f>
        <v>0</v>
      </c>
      <c r="T2418" cm="1">
        <f t="array" ref="T2418">IFERROR(_xlfn.SWITCH(L2418,1,_xlfn.XLOOKUP(O2418,[1]AttributeName!$B:$B,[1]AttributeName!$E:$E),2,_xlfn.XLOOKUP(C2418,#REF!,#REF!),3,_xlfn.XLOOKUP(C2418,#REF!,#REF!)),0)</f>
        <v>1</v>
      </c>
    </row>
    <row r="2419" customFormat="1" spans="1:20">
      <c r="A2419">
        <f t="shared" si="100"/>
        <v>972</v>
      </c>
      <c r="B2419">
        <v>6</v>
      </c>
      <c r="C2419" t="s">
        <v>414</v>
      </c>
      <c r="D2419" t="s">
        <v>32</v>
      </c>
      <c r="E2419" s="13" t="s">
        <v>392</v>
      </c>
      <c r="F2419"/>
      <c r="G2419">
        <v>2</v>
      </c>
      <c r="H2419">
        <v>1000</v>
      </c>
      <c r="J2419" cm="1">
        <f t="array" ref="J2419">_xlfn.SWITCH(B2419,1,75,2,61,3,49,4,37,5,25,6,13,7,4,8,1)</f>
        <v>13</v>
      </c>
      <c r="K2419" t="str" cm="1">
        <f t="array" ref="K2419">IFERROR(_xlfn.SWITCH(L2419,2,_xlfn.XLOOKUP(C2419,[1]ModifierDes!$B:$B,[1]ModifierDes!$C:$C),3,_xlfn.XLOOKUP(C2419,[1]StuntDes!$B:$B,[1]StuntDes!$C:$C)),"")</f>
        <v/>
      </c>
      <c r="L2419">
        <f t="shared" si="99"/>
        <v>1</v>
      </c>
      <c r="M2419" s="10" t="str">
        <f>IFERROR(_xlfn.XLOOKUP(C2419,[1]StuntDes!$B:$B,[1]StuntDes!$A:$A),"")</f>
        <v/>
      </c>
      <c r="N2419" s="10" t="str">
        <f>IFERROR(_xlfn.XLOOKUP(C2419,[1]ModifierDes!$B:$B,[1]ModifierDes!$A:$A),"")</f>
        <v/>
      </c>
      <c r="O2419" s="10">
        <f>IFERROR(_xlfn.XLOOKUP(C2419,[1]AttributeName!$C:$C,[1]AttributeName!$B:$B),"")</f>
        <v>10900</v>
      </c>
      <c r="P2419" s="10"/>
      <c r="Q2419">
        <v>5</v>
      </c>
      <c r="R2419">
        <v>6</v>
      </c>
      <c r="S2419" cm="1">
        <f t="array" ref="S2419">IFERROR(_xlfn.SWITCH(L2419,1,_xlfn.XLOOKUP(O2419,[1]AttributeName!$B:$B,[1]AttributeName!$D:$D),2,_xlfn.XLOOKUP(C2419,#REF!,#REF!),3,_xlfn.XLOOKUP(C2419,#REF!,#REF!)),0)</f>
        <v>0</v>
      </c>
      <c r="T2419" cm="1">
        <f t="array" ref="T2419">IFERROR(_xlfn.SWITCH(L2419,1,_xlfn.XLOOKUP(O2419,[1]AttributeName!$B:$B,[1]AttributeName!$E:$E),2,_xlfn.XLOOKUP(C2419,#REF!,#REF!),3,_xlfn.XLOOKUP(C2419,#REF!,#REF!)),0)</f>
        <v>1</v>
      </c>
    </row>
    <row r="2420" customFormat="1" spans="1:20">
      <c r="A2420">
        <f t="shared" si="100"/>
        <v>972</v>
      </c>
      <c r="B2420">
        <v>7</v>
      </c>
      <c r="C2420" t="s">
        <v>414</v>
      </c>
      <c r="D2420" t="s">
        <v>32</v>
      </c>
      <c r="E2420" s="13" t="s">
        <v>392</v>
      </c>
      <c r="F2420"/>
      <c r="G2420">
        <v>2</v>
      </c>
      <c r="H2420">
        <v>1000</v>
      </c>
      <c r="J2420" cm="1">
        <f t="array" ref="J2420">_xlfn.SWITCH(B2420,1,75,2,61,3,49,4,37,5,25,6,13,7,4,8,1)</f>
        <v>4</v>
      </c>
      <c r="K2420" t="str" cm="1">
        <f t="array" ref="K2420">IFERROR(_xlfn.SWITCH(L2420,2,_xlfn.XLOOKUP(C2420,[1]ModifierDes!$B:$B,[1]ModifierDes!$C:$C),3,_xlfn.XLOOKUP(C2420,[1]StuntDes!$B:$B,[1]StuntDes!$C:$C)),"")</f>
        <v/>
      </c>
      <c r="L2420">
        <f t="shared" si="99"/>
        <v>1</v>
      </c>
      <c r="M2420" s="10" t="str">
        <f>IFERROR(_xlfn.XLOOKUP(C2420,[1]StuntDes!$B:$B,[1]StuntDes!$A:$A),"")</f>
        <v/>
      </c>
      <c r="N2420" s="10" t="str">
        <f>IFERROR(_xlfn.XLOOKUP(C2420,[1]ModifierDes!$B:$B,[1]ModifierDes!$A:$A),"")</f>
        <v/>
      </c>
      <c r="O2420" s="10">
        <f>IFERROR(_xlfn.XLOOKUP(C2420,[1]AttributeName!$C:$C,[1]AttributeName!$B:$B),"")</f>
        <v>10900</v>
      </c>
      <c r="P2420" s="10"/>
      <c r="Q2420">
        <v>3</v>
      </c>
      <c r="R2420">
        <v>4</v>
      </c>
      <c r="S2420" cm="1">
        <f t="array" ref="S2420">IFERROR(_xlfn.SWITCH(L2420,1,_xlfn.XLOOKUP(O2420,[1]AttributeName!$B:$B,[1]AttributeName!$D:$D),2,_xlfn.XLOOKUP(C2420,#REF!,#REF!),3,_xlfn.XLOOKUP(C2420,#REF!,#REF!)),0)</f>
        <v>0</v>
      </c>
      <c r="T2420" cm="1">
        <f t="array" ref="T2420">IFERROR(_xlfn.SWITCH(L2420,1,_xlfn.XLOOKUP(O2420,[1]AttributeName!$B:$B,[1]AttributeName!$E:$E),2,_xlfn.XLOOKUP(C2420,#REF!,#REF!),3,_xlfn.XLOOKUP(C2420,#REF!,#REF!)),0)</f>
        <v>1</v>
      </c>
    </row>
    <row r="2421" customFormat="1" spans="1:20">
      <c r="A2421">
        <f t="shared" si="100"/>
        <v>972</v>
      </c>
      <c r="B2421">
        <v>8</v>
      </c>
      <c r="C2421" t="s">
        <v>414</v>
      </c>
      <c r="D2421" t="s">
        <v>32</v>
      </c>
      <c r="E2421" s="13" t="s">
        <v>392</v>
      </c>
      <c r="F2421"/>
      <c r="G2421">
        <v>2</v>
      </c>
      <c r="H2421">
        <v>1000</v>
      </c>
      <c r="J2421" cm="1">
        <f t="array" ref="J2421">_xlfn.SWITCH(B2421,1,75,2,61,3,49,4,37,5,25,6,13,7,4,8,1)</f>
        <v>1</v>
      </c>
      <c r="K2421" t="str" cm="1">
        <f t="array" ref="K2421">IFERROR(_xlfn.SWITCH(L2421,2,_xlfn.XLOOKUP(C2421,[1]ModifierDes!$B:$B,[1]ModifierDes!$C:$C),3,_xlfn.XLOOKUP(C2421,[1]StuntDes!$B:$B,[1]StuntDes!$C:$C)),"")</f>
        <v/>
      </c>
      <c r="L2421">
        <f t="shared" si="99"/>
        <v>1</v>
      </c>
      <c r="M2421" s="10" t="str">
        <f>IFERROR(_xlfn.XLOOKUP(C2421,[1]StuntDes!$B:$B,[1]StuntDes!$A:$A),"")</f>
        <v/>
      </c>
      <c r="N2421" s="10" t="str">
        <f>IFERROR(_xlfn.XLOOKUP(C2421,[1]ModifierDes!$B:$B,[1]ModifierDes!$A:$A),"")</f>
        <v/>
      </c>
      <c r="O2421" s="10">
        <f>IFERROR(_xlfn.XLOOKUP(C2421,[1]AttributeName!$C:$C,[1]AttributeName!$B:$B),"")</f>
        <v>10900</v>
      </c>
      <c r="P2421" s="10"/>
      <c r="Q2421">
        <v>1</v>
      </c>
      <c r="R2421">
        <v>2</v>
      </c>
      <c r="S2421" cm="1">
        <f t="array" ref="S2421">IFERROR(_xlfn.SWITCH(L2421,1,_xlfn.XLOOKUP(O2421,[1]AttributeName!$B:$B,[1]AttributeName!$D:$D),2,_xlfn.XLOOKUP(C2421,#REF!,#REF!),3,_xlfn.XLOOKUP(C2421,#REF!,#REF!)),0)</f>
        <v>0</v>
      </c>
      <c r="T2421" cm="1">
        <f t="array" ref="T2421">IFERROR(_xlfn.SWITCH(L2421,1,_xlfn.XLOOKUP(O2421,[1]AttributeName!$B:$B,[1]AttributeName!$E:$E),2,_xlfn.XLOOKUP(C2421,#REF!,#REF!),3,_xlfn.XLOOKUP(C2421,#REF!,#REF!)),0)</f>
        <v>1</v>
      </c>
    </row>
    <row r="2422" customFormat="1" spans="1:20">
      <c r="A2422">
        <v>1001</v>
      </c>
      <c r="B2422">
        <v>1</v>
      </c>
      <c r="C2422" t="s">
        <v>389</v>
      </c>
      <c r="D2422" t="s">
        <v>442</v>
      </c>
      <c r="E2422" t="s">
        <v>378</v>
      </c>
      <c r="F2422"/>
      <c r="G2422">
        <v>1</v>
      </c>
      <c r="H2422">
        <v>1000</v>
      </c>
      <c r="J2422" cm="1">
        <f t="array" ref="J2422">_xlfn.SWITCH(B2422,1,75,2,61,3,49,4,37,5,25,6,13,7,4,8,1)</f>
        <v>75</v>
      </c>
      <c r="K2422" t="str" cm="1">
        <f t="array" ref="K2422">IFERROR(_xlfn.SWITCH(L2422,2,_xlfn.XLOOKUP(C2422,[1]ModifierDes!$B:$B,[1]ModifierDes!$C:$C),3,_xlfn.XLOOKUP(C2422,[1]StuntDes!$B:$B,[1]StuntDes!$C:$C)),"")</f>
        <v/>
      </c>
      <c r="L2422">
        <f t="shared" si="99"/>
        <v>1</v>
      </c>
      <c r="M2422" s="10" t="str">
        <f>IFERROR(_xlfn.XLOOKUP(C2422,[1]StuntDes!$B:$B,[1]StuntDes!$A:$A),"")</f>
        <v/>
      </c>
      <c r="N2422" s="10" t="str">
        <f>IFERROR(_xlfn.XLOOKUP(C2422,[1]ModifierDes!$B:$B,[1]ModifierDes!$A:$A),"")</f>
        <v/>
      </c>
      <c r="O2422" s="10">
        <f>IFERROR(_xlfn.XLOOKUP(C2422,[1]AttributeName!$C:$C,[1]AttributeName!$B:$B),"")</f>
        <v>10001</v>
      </c>
      <c r="P2422" s="10"/>
      <c r="Q2422">
        <v>950</v>
      </c>
      <c r="R2422">
        <v>1050</v>
      </c>
      <c r="S2422" cm="1">
        <f t="array" ref="S2422">IFERROR(_xlfn.SWITCH(L2422,1,_xlfn.XLOOKUP(O2422,[1]AttributeName!$B:$B,[1]AttributeName!$D:$D),2,_xlfn.XLOOKUP(C2422,#REF!,#REF!),3,_xlfn.XLOOKUP(C2422,#REF!,#REF!)),0)</f>
        <v>0</v>
      </c>
      <c r="T2422" cm="1">
        <f t="array" ref="T2422">IFERROR(_xlfn.SWITCH(L2422,1,_xlfn.XLOOKUP(O2422,[1]AttributeName!$B:$B,[1]AttributeName!$E:$E),2,_xlfn.XLOOKUP(C2422,#REF!,#REF!),3,_xlfn.XLOOKUP(C2422,#REF!,#REF!)),0)</f>
        <v>1</v>
      </c>
    </row>
    <row r="2423" customFormat="1" spans="1:20">
      <c r="A2423">
        <v>1001</v>
      </c>
      <c r="B2423">
        <v>2</v>
      </c>
      <c r="C2423" t="s">
        <v>389</v>
      </c>
      <c r="D2423" t="s">
        <v>442</v>
      </c>
      <c r="E2423" t="s">
        <v>378</v>
      </c>
      <c r="F2423"/>
      <c r="G2423">
        <v>1</v>
      </c>
      <c r="H2423">
        <v>1000</v>
      </c>
      <c r="J2423" cm="1">
        <f t="array" ref="J2423">_xlfn.SWITCH(B2423,1,75,2,61,3,49,4,37,5,25,6,13,7,4,8,1)</f>
        <v>61</v>
      </c>
      <c r="K2423" t="str" cm="1">
        <f t="array" ref="K2423">IFERROR(_xlfn.SWITCH(L2423,2,_xlfn.XLOOKUP(C2423,[1]ModifierDes!$B:$B,[1]ModifierDes!$C:$C),3,_xlfn.XLOOKUP(C2423,[1]StuntDes!$B:$B,[1]StuntDes!$C:$C)),"")</f>
        <v/>
      </c>
      <c r="L2423">
        <f t="shared" si="99"/>
        <v>1</v>
      </c>
      <c r="M2423" s="10" t="str">
        <f>IFERROR(_xlfn.XLOOKUP(C2423,[1]StuntDes!$B:$B,[1]StuntDes!$A:$A),"")</f>
        <v/>
      </c>
      <c r="N2423" s="10" t="str">
        <f>IFERROR(_xlfn.XLOOKUP(C2423,[1]ModifierDes!$B:$B,[1]ModifierDes!$A:$A),"")</f>
        <v/>
      </c>
      <c r="O2423" s="10">
        <f>IFERROR(_xlfn.XLOOKUP(C2423,[1]AttributeName!$C:$C,[1]AttributeName!$B:$B),"")</f>
        <v>10001</v>
      </c>
      <c r="P2423" s="10"/>
      <c r="Q2423">
        <v>520</v>
      </c>
      <c r="R2423">
        <v>600</v>
      </c>
      <c r="S2423" cm="1">
        <f t="array" ref="S2423">IFERROR(_xlfn.SWITCH(L2423,1,_xlfn.XLOOKUP(O2423,[1]AttributeName!$B:$B,[1]AttributeName!$D:$D),2,_xlfn.XLOOKUP(C2423,#REF!,#REF!),3,_xlfn.XLOOKUP(C2423,#REF!,#REF!)),0)</f>
        <v>0</v>
      </c>
      <c r="T2423" cm="1">
        <f t="array" ref="T2423">IFERROR(_xlfn.SWITCH(L2423,1,_xlfn.XLOOKUP(O2423,[1]AttributeName!$B:$B,[1]AttributeName!$E:$E),2,_xlfn.XLOOKUP(C2423,#REF!,#REF!),3,_xlfn.XLOOKUP(C2423,#REF!,#REF!)),0)</f>
        <v>1</v>
      </c>
    </row>
    <row r="2424" customFormat="1" spans="1:20">
      <c r="A2424">
        <v>1001</v>
      </c>
      <c r="B2424">
        <v>3</v>
      </c>
      <c r="C2424" t="s">
        <v>389</v>
      </c>
      <c r="D2424" t="s">
        <v>442</v>
      </c>
      <c r="E2424" t="s">
        <v>378</v>
      </c>
      <c r="F2424"/>
      <c r="G2424">
        <v>1</v>
      </c>
      <c r="H2424">
        <v>1000</v>
      </c>
      <c r="J2424" cm="1">
        <f t="array" ref="J2424">_xlfn.SWITCH(B2424,1,75,2,61,3,49,4,37,5,25,6,13,7,4,8,1)</f>
        <v>49</v>
      </c>
      <c r="K2424" t="str" cm="1">
        <f t="array" ref="K2424">IFERROR(_xlfn.SWITCH(L2424,2,_xlfn.XLOOKUP(C2424,[1]ModifierDes!$B:$B,[1]ModifierDes!$C:$C),3,_xlfn.XLOOKUP(C2424,[1]StuntDes!$B:$B,[1]StuntDes!$C:$C)),"")</f>
        <v/>
      </c>
      <c r="L2424">
        <f t="shared" si="99"/>
        <v>1</v>
      </c>
      <c r="M2424" s="10" t="str">
        <f>IFERROR(_xlfn.XLOOKUP(C2424,[1]StuntDes!$B:$B,[1]StuntDes!$A:$A),"")</f>
        <v/>
      </c>
      <c r="N2424" s="10" t="str">
        <f>IFERROR(_xlfn.XLOOKUP(C2424,[1]ModifierDes!$B:$B,[1]ModifierDes!$A:$A),"")</f>
        <v/>
      </c>
      <c r="O2424" s="10">
        <f>IFERROR(_xlfn.XLOOKUP(C2424,[1]AttributeName!$C:$C,[1]AttributeName!$B:$B),"")</f>
        <v>10001</v>
      </c>
      <c r="P2424" s="10"/>
      <c r="Q2424">
        <v>250</v>
      </c>
      <c r="R2424">
        <v>310</v>
      </c>
      <c r="S2424" cm="1">
        <f t="array" ref="S2424">IFERROR(_xlfn.SWITCH(L2424,1,_xlfn.XLOOKUP(O2424,[1]AttributeName!$B:$B,[1]AttributeName!$D:$D),2,_xlfn.XLOOKUP(C2424,#REF!,#REF!),3,_xlfn.XLOOKUP(C2424,#REF!,#REF!)),0)</f>
        <v>0</v>
      </c>
      <c r="T2424" cm="1">
        <f t="array" ref="T2424">IFERROR(_xlfn.SWITCH(L2424,1,_xlfn.XLOOKUP(O2424,[1]AttributeName!$B:$B,[1]AttributeName!$E:$E),2,_xlfn.XLOOKUP(C2424,#REF!,#REF!),3,_xlfn.XLOOKUP(C2424,#REF!,#REF!)),0)</f>
        <v>1</v>
      </c>
    </row>
    <row r="2425" customFormat="1" spans="1:20">
      <c r="A2425">
        <v>1001</v>
      </c>
      <c r="B2425">
        <v>4</v>
      </c>
      <c r="C2425" t="s">
        <v>389</v>
      </c>
      <c r="D2425" t="s">
        <v>442</v>
      </c>
      <c r="E2425" t="s">
        <v>378</v>
      </c>
      <c r="F2425"/>
      <c r="G2425">
        <v>1</v>
      </c>
      <c r="H2425">
        <v>1000</v>
      </c>
      <c r="J2425" cm="1">
        <f t="array" ref="J2425">_xlfn.SWITCH(B2425,1,75,2,61,3,49,4,37,5,25,6,13,7,4,8,1)</f>
        <v>37</v>
      </c>
      <c r="K2425" t="str" cm="1">
        <f t="array" ref="K2425">IFERROR(_xlfn.SWITCH(L2425,2,_xlfn.XLOOKUP(C2425,[1]ModifierDes!$B:$B,[1]ModifierDes!$C:$C),3,_xlfn.XLOOKUP(C2425,[1]StuntDes!$B:$B,[1]StuntDes!$C:$C)),"")</f>
        <v/>
      </c>
      <c r="L2425">
        <f t="shared" si="99"/>
        <v>1</v>
      </c>
      <c r="M2425" s="10" t="str">
        <f>IFERROR(_xlfn.XLOOKUP(C2425,[1]StuntDes!$B:$B,[1]StuntDes!$A:$A),"")</f>
        <v/>
      </c>
      <c r="N2425" s="10" t="str">
        <f>IFERROR(_xlfn.XLOOKUP(C2425,[1]ModifierDes!$B:$B,[1]ModifierDes!$A:$A),"")</f>
        <v/>
      </c>
      <c r="O2425" s="10">
        <f>IFERROR(_xlfn.XLOOKUP(C2425,[1]AttributeName!$C:$C,[1]AttributeName!$B:$B),"")</f>
        <v>10001</v>
      </c>
      <c r="P2425" s="10"/>
      <c r="Q2425">
        <v>120</v>
      </c>
      <c r="R2425">
        <v>160</v>
      </c>
      <c r="S2425" cm="1">
        <f t="array" ref="S2425">IFERROR(_xlfn.SWITCH(L2425,1,_xlfn.XLOOKUP(O2425,[1]AttributeName!$B:$B,[1]AttributeName!$D:$D),2,_xlfn.XLOOKUP(C2425,#REF!,#REF!),3,_xlfn.XLOOKUP(C2425,#REF!,#REF!)),0)</f>
        <v>0</v>
      </c>
      <c r="T2425" cm="1">
        <f t="array" ref="T2425">IFERROR(_xlfn.SWITCH(L2425,1,_xlfn.XLOOKUP(O2425,[1]AttributeName!$B:$B,[1]AttributeName!$E:$E),2,_xlfn.XLOOKUP(C2425,#REF!,#REF!),3,_xlfn.XLOOKUP(C2425,#REF!,#REF!)),0)</f>
        <v>1</v>
      </c>
    </row>
    <row r="2426" customFormat="1" spans="1:20">
      <c r="A2426">
        <v>1001</v>
      </c>
      <c r="B2426">
        <v>5</v>
      </c>
      <c r="C2426" t="s">
        <v>389</v>
      </c>
      <c r="D2426" t="s">
        <v>442</v>
      </c>
      <c r="E2426" t="s">
        <v>378</v>
      </c>
      <c r="F2426"/>
      <c r="G2426">
        <v>1</v>
      </c>
      <c r="H2426">
        <v>1000</v>
      </c>
      <c r="J2426" cm="1">
        <f t="array" ref="J2426">_xlfn.SWITCH(B2426,1,75,2,61,3,49,4,37,5,25,6,13,7,4,8,1)</f>
        <v>25</v>
      </c>
      <c r="K2426" t="str" cm="1">
        <f t="array" ref="K2426">IFERROR(_xlfn.SWITCH(L2426,2,_xlfn.XLOOKUP(C2426,[1]ModifierDes!$B:$B,[1]ModifierDes!$C:$C),3,_xlfn.XLOOKUP(C2426,[1]StuntDes!$B:$B,[1]StuntDes!$C:$C)),"")</f>
        <v/>
      </c>
      <c r="L2426">
        <f t="shared" si="99"/>
        <v>1</v>
      </c>
      <c r="M2426" s="10" t="str">
        <f>IFERROR(_xlfn.XLOOKUP(C2426,[1]StuntDes!$B:$B,[1]StuntDes!$A:$A),"")</f>
        <v/>
      </c>
      <c r="N2426" s="10" t="str">
        <f>IFERROR(_xlfn.XLOOKUP(C2426,[1]ModifierDes!$B:$B,[1]ModifierDes!$A:$A),"")</f>
        <v/>
      </c>
      <c r="O2426" s="10">
        <f>IFERROR(_xlfn.XLOOKUP(C2426,[1]AttributeName!$C:$C,[1]AttributeName!$B:$B),"")</f>
        <v>10001</v>
      </c>
      <c r="P2426" s="10"/>
      <c r="Q2426">
        <v>60</v>
      </c>
      <c r="R2426">
        <v>80</v>
      </c>
      <c r="S2426" cm="1">
        <f t="array" ref="S2426">IFERROR(_xlfn.SWITCH(L2426,1,_xlfn.XLOOKUP(O2426,[1]AttributeName!$B:$B,[1]AttributeName!$D:$D),2,_xlfn.XLOOKUP(C2426,#REF!,#REF!),3,_xlfn.XLOOKUP(C2426,#REF!,#REF!)),0)</f>
        <v>0</v>
      </c>
      <c r="T2426" cm="1">
        <f t="array" ref="T2426">IFERROR(_xlfn.SWITCH(L2426,1,_xlfn.XLOOKUP(O2426,[1]AttributeName!$B:$B,[1]AttributeName!$E:$E),2,_xlfn.XLOOKUP(C2426,#REF!,#REF!),3,_xlfn.XLOOKUP(C2426,#REF!,#REF!)),0)</f>
        <v>1</v>
      </c>
    </row>
    <row r="2427" customFormat="1" spans="1:20">
      <c r="A2427">
        <v>1001</v>
      </c>
      <c r="B2427">
        <v>6</v>
      </c>
      <c r="C2427" t="s">
        <v>389</v>
      </c>
      <c r="D2427" t="s">
        <v>442</v>
      </c>
      <c r="E2427" t="s">
        <v>378</v>
      </c>
      <c r="F2427"/>
      <c r="G2427">
        <v>1</v>
      </c>
      <c r="H2427">
        <v>1000</v>
      </c>
      <c r="J2427" cm="1">
        <f t="array" ref="J2427">_xlfn.SWITCH(B2427,1,75,2,61,3,49,4,37,5,25,6,13,7,4,8,1)</f>
        <v>13</v>
      </c>
      <c r="K2427" t="str" cm="1">
        <f t="array" ref="K2427">IFERROR(_xlfn.SWITCH(L2427,2,_xlfn.XLOOKUP(C2427,[1]ModifierDes!$B:$B,[1]ModifierDes!$C:$C),3,_xlfn.XLOOKUP(C2427,[1]StuntDes!$B:$B,[1]StuntDes!$C:$C)),"")</f>
        <v/>
      </c>
      <c r="L2427">
        <f t="shared" si="99"/>
        <v>1</v>
      </c>
      <c r="M2427" s="10" t="str">
        <f>IFERROR(_xlfn.XLOOKUP(C2427,[1]StuntDes!$B:$B,[1]StuntDes!$A:$A),"")</f>
        <v/>
      </c>
      <c r="N2427" s="10" t="str">
        <f>IFERROR(_xlfn.XLOOKUP(C2427,[1]ModifierDes!$B:$B,[1]ModifierDes!$A:$A),"")</f>
        <v/>
      </c>
      <c r="O2427" s="10">
        <f>IFERROR(_xlfn.XLOOKUP(C2427,[1]AttributeName!$C:$C,[1]AttributeName!$B:$B),"")</f>
        <v>10001</v>
      </c>
      <c r="P2427" s="10"/>
      <c r="Q2427">
        <v>30</v>
      </c>
      <c r="R2427">
        <v>40</v>
      </c>
      <c r="S2427" cm="1">
        <f t="array" ref="S2427">IFERROR(_xlfn.SWITCH(L2427,1,_xlfn.XLOOKUP(O2427,[1]AttributeName!$B:$B,[1]AttributeName!$D:$D),2,_xlfn.XLOOKUP(C2427,#REF!,#REF!),3,_xlfn.XLOOKUP(C2427,#REF!,#REF!)),0)</f>
        <v>0</v>
      </c>
      <c r="T2427" cm="1">
        <f t="array" ref="T2427">IFERROR(_xlfn.SWITCH(L2427,1,_xlfn.XLOOKUP(O2427,[1]AttributeName!$B:$B,[1]AttributeName!$E:$E),2,_xlfn.XLOOKUP(C2427,#REF!,#REF!),3,_xlfn.XLOOKUP(C2427,#REF!,#REF!)),0)</f>
        <v>1</v>
      </c>
    </row>
    <row r="2428" customFormat="1" spans="1:20">
      <c r="A2428">
        <v>1001</v>
      </c>
      <c r="B2428">
        <v>7</v>
      </c>
      <c r="C2428" t="s">
        <v>389</v>
      </c>
      <c r="D2428" t="s">
        <v>442</v>
      </c>
      <c r="E2428" t="s">
        <v>378</v>
      </c>
      <c r="F2428"/>
      <c r="G2428">
        <v>1</v>
      </c>
      <c r="H2428">
        <v>1000</v>
      </c>
      <c r="J2428" cm="1">
        <f t="array" ref="J2428">_xlfn.SWITCH(B2428,1,75,2,61,3,49,4,37,5,25,6,13,7,4,8,1)</f>
        <v>4</v>
      </c>
      <c r="K2428" t="str" cm="1">
        <f t="array" ref="K2428">IFERROR(_xlfn.SWITCH(L2428,2,_xlfn.XLOOKUP(C2428,[1]ModifierDes!$B:$B,[1]ModifierDes!$C:$C),3,_xlfn.XLOOKUP(C2428,[1]StuntDes!$B:$B,[1]StuntDes!$C:$C)),"")</f>
        <v/>
      </c>
      <c r="L2428">
        <f t="shared" si="99"/>
        <v>1</v>
      </c>
      <c r="M2428" s="10" t="str">
        <f>IFERROR(_xlfn.XLOOKUP(C2428,[1]StuntDes!$B:$B,[1]StuntDes!$A:$A),"")</f>
        <v/>
      </c>
      <c r="N2428" s="10" t="str">
        <f>IFERROR(_xlfn.XLOOKUP(C2428,[1]ModifierDes!$B:$B,[1]ModifierDes!$A:$A),"")</f>
        <v/>
      </c>
      <c r="O2428" s="10">
        <f>IFERROR(_xlfn.XLOOKUP(C2428,[1]AttributeName!$C:$C,[1]AttributeName!$B:$B),"")</f>
        <v>10001</v>
      </c>
      <c r="P2428" s="10"/>
      <c r="Q2428">
        <v>12</v>
      </c>
      <c r="R2428">
        <v>20</v>
      </c>
      <c r="S2428" cm="1">
        <f t="array" ref="S2428">IFERROR(_xlfn.SWITCH(L2428,1,_xlfn.XLOOKUP(O2428,[1]AttributeName!$B:$B,[1]AttributeName!$D:$D),2,_xlfn.XLOOKUP(C2428,#REF!,#REF!),3,_xlfn.XLOOKUP(C2428,#REF!,#REF!)),0)</f>
        <v>0</v>
      </c>
      <c r="T2428" cm="1">
        <f t="array" ref="T2428">IFERROR(_xlfn.SWITCH(L2428,1,_xlfn.XLOOKUP(O2428,[1]AttributeName!$B:$B,[1]AttributeName!$E:$E),2,_xlfn.XLOOKUP(C2428,#REF!,#REF!),3,_xlfn.XLOOKUP(C2428,#REF!,#REF!)),0)</f>
        <v>1</v>
      </c>
    </row>
    <row r="2429" customFormat="1" spans="1:20">
      <c r="A2429">
        <v>1001</v>
      </c>
      <c r="B2429">
        <v>8</v>
      </c>
      <c r="C2429" t="s">
        <v>389</v>
      </c>
      <c r="D2429" t="s">
        <v>442</v>
      </c>
      <c r="E2429" t="s">
        <v>378</v>
      </c>
      <c r="F2429"/>
      <c r="G2429">
        <v>1</v>
      </c>
      <c r="H2429">
        <v>1000</v>
      </c>
      <c r="J2429" cm="1">
        <f t="array" ref="J2429">_xlfn.SWITCH(B2429,1,75,2,61,3,49,4,37,5,25,6,13,7,4,8,1)</f>
        <v>1</v>
      </c>
      <c r="K2429" t="str" cm="1">
        <f t="array" ref="K2429">IFERROR(_xlfn.SWITCH(L2429,2,_xlfn.XLOOKUP(C2429,[1]ModifierDes!$B:$B,[1]ModifierDes!$C:$C),3,_xlfn.XLOOKUP(C2429,[1]StuntDes!$B:$B,[1]StuntDes!$C:$C)),"")</f>
        <v/>
      </c>
      <c r="L2429">
        <f t="shared" si="99"/>
        <v>1</v>
      </c>
      <c r="M2429" s="10" t="str">
        <f>IFERROR(_xlfn.XLOOKUP(C2429,[1]StuntDes!$B:$B,[1]StuntDes!$A:$A),"")</f>
        <v/>
      </c>
      <c r="N2429" s="10" t="str">
        <f>IFERROR(_xlfn.XLOOKUP(C2429,[1]ModifierDes!$B:$B,[1]ModifierDes!$A:$A),"")</f>
        <v/>
      </c>
      <c r="O2429" s="10">
        <f>IFERROR(_xlfn.XLOOKUP(C2429,[1]AttributeName!$C:$C,[1]AttributeName!$B:$B),"")</f>
        <v>10001</v>
      </c>
      <c r="P2429" s="10"/>
      <c r="Q2429">
        <v>6</v>
      </c>
      <c r="R2429">
        <v>10</v>
      </c>
      <c r="S2429" cm="1">
        <f t="array" ref="S2429">IFERROR(_xlfn.SWITCH(L2429,1,_xlfn.XLOOKUP(O2429,[1]AttributeName!$B:$B,[1]AttributeName!$D:$D),2,_xlfn.XLOOKUP(C2429,#REF!,#REF!),3,_xlfn.XLOOKUP(C2429,#REF!,#REF!)),0)</f>
        <v>0</v>
      </c>
      <c r="T2429" cm="1">
        <f t="array" ref="T2429">IFERROR(_xlfn.SWITCH(L2429,1,_xlfn.XLOOKUP(O2429,[1]AttributeName!$B:$B,[1]AttributeName!$E:$E),2,_xlfn.XLOOKUP(C2429,#REF!,#REF!),3,_xlfn.XLOOKUP(C2429,#REF!,#REF!)),0)</f>
        <v>1</v>
      </c>
    </row>
    <row r="2430" customFormat="1" spans="1:20">
      <c r="A2430">
        <f t="shared" ref="A2430:A2493" si="101">A2422+1</f>
        <v>1002</v>
      </c>
      <c r="B2430">
        <v>1</v>
      </c>
      <c r="C2430" t="s">
        <v>416</v>
      </c>
      <c r="D2430" t="s">
        <v>442</v>
      </c>
      <c r="E2430" t="s">
        <v>378</v>
      </c>
      <c r="F2430"/>
      <c r="G2430">
        <v>1</v>
      </c>
      <c r="H2430">
        <v>1000</v>
      </c>
      <c r="J2430" cm="1">
        <f t="array" ref="J2430">_xlfn.SWITCH(B2430,1,75,2,61,3,49,4,37,5,25,6,13,7,4,8,1)</f>
        <v>75</v>
      </c>
      <c r="K2430" t="str" cm="1">
        <f t="array" ref="K2430">IFERROR(_xlfn.SWITCH(L2430,2,_xlfn.XLOOKUP(C2430,[1]ModifierDes!$B:$B,[1]ModifierDes!$C:$C),3,_xlfn.XLOOKUP(C2430,[1]StuntDes!$B:$B,[1]StuntDes!$C:$C)),"")</f>
        <v/>
      </c>
      <c r="L2430">
        <f t="shared" si="99"/>
        <v>1</v>
      </c>
      <c r="M2430" s="10" t="str">
        <f>IFERROR(_xlfn.XLOOKUP(C2430,[1]StuntDes!$B:$B,[1]StuntDes!$A:$A),"")</f>
        <v/>
      </c>
      <c r="N2430" s="10" t="str">
        <f>IFERROR(_xlfn.XLOOKUP(C2430,[1]ModifierDes!$B:$B,[1]ModifierDes!$A:$A),"")</f>
        <v/>
      </c>
      <c r="O2430" s="10">
        <f>IFERROR(_xlfn.XLOOKUP(C2430,[1]AttributeName!$C:$C,[1]AttributeName!$B:$B),"")</f>
        <v>10002</v>
      </c>
      <c r="P2430" s="10"/>
      <c r="Q2430">
        <v>71</v>
      </c>
      <c r="R2430">
        <v>80</v>
      </c>
      <c r="S2430" cm="1">
        <f t="array" ref="S2430">IFERROR(_xlfn.SWITCH(L2430,1,_xlfn.XLOOKUP(O2430,[1]AttributeName!$B:$B,[1]AttributeName!$D:$D),2,_xlfn.XLOOKUP(C2430,#REF!,#REF!),3,_xlfn.XLOOKUP(C2430,#REF!,#REF!)),0)</f>
        <v>0</v>
      </c>
      <c r="T2430" cm="1">
        <f t="array" ref="T2430">IFERROR(_xlfn.SWITCH(L2430,1,_xlfn.XLOOKUP(O2430,[1]AttributeName!$B:$B,[1]AttributeName!$E:$E),2,_xlfn.XLOOKUP(C2430,#REF!,#REF!),3,_xlfn.XLOOKUP(C2430,#REF!,#REF!)),0)</f>
        <v>1</v>
      </c>
    </row>
    <row r="2431" customFormat="1" spans="1:20">
      <c r="A2431">
        <f t="shared" si="101"/>
        <v>1002</v>
      </c>
      <c r="B2431">
        <v>2</v>
      </c>
      <c r="C2431" t="s">
        <v>416</v>
      </c>
      <c r="D2431" t="s">
        <v>442</v>
      </c>
      <c r="E2431" t="s">
        <v>378</v>
      </c>
      <c r="F2431"/>
      <c r="G2431">
        <v>1</v>
      </c>
      <c r="H2431">
        <v>1000</v>
      </c>
      <c r="J2431" cm="1">
        <f t="array" ref="J2431">_xlfn.SWITCH(B2431,1,75,2,61,3,49,4,37,5,25,6,13,7,4,8,1)</f>
        <v>61</v>
      </c>
      <c r="K2431" t="str" cm="1">
        <f t="array" ref="K2431">IFERROR(_xlfn.SWITCH(L2431,2,_xlfn.XLOOKUP(C2431,[1]ModifierDes!$B:$B,[1]ModifierDes!$C:$C),3,_xlfn.XLOOKUP(C2431,[1]StuntDes!$B:$B,[1]StuntDes!$C:$C)),"")</f>
        <v/>
      </c>
      <c r="L2431">
        <f t="shared" si="99"/>
        <v>1</v>
      </c>
      <c r="M2431" s="10" t="str">
        <f>IFERROR(_xlfn.XLOOKUP(C2431,[1]StuntDes!$B:$B,[1]StuntDes!$A:$A),"")</f>
        <v/>
      </c>
      <c r="N2431" s="10" t="str">
        <f>IFERROR(_xlfn.XLOOKUP(C2431,[1]ModifierDes!$B:$B,[1]ModifierDes!$A:$A),"")</f>
        <v/>
      </c>
      <c r="O2431" s="10">
        <f>IFERROR(_xlfn.XLOOKUP(C2431,[1]AttributeName!$C:$C,[1]AttributeName!$B:$B),"")</f>
        <v>10002</v>
      </c>
      <c r="P2431" s="10"/>
      <c r="Q2431">
        <v>61</v>
      </c>
      <c r="R2431">
        <v>70</v>
      </c>
      <c r="S2431" cm="1">
        <f t="array" ref="S2431">IFERROR(_xlfn.SWITCH(L2431,1,_xlfn.XLOOKUP(O2431,[1]AttributeName!$B:$B,[1]AttributeName!$D:$D),2,_xlfn.XLOOKUP(C2431,#REF!,#REF!),3,_xlfn.XLOOKUP(C2431,#REF!,#REF!)),0)</f>
        <v>0</v>
      </c>
      <c r="T2431" cm="1">
        <f t="array" ref="T2431">IFERROR(_xlfn.SWITCH(L2431,1,_xlfn.XLOOKUP(O2431,[1]AttributeName!$B:$B,[1]AttributeName!$E:$E),2,_xlfn.XLOOKUP(C2431,#REF!,#REF!),3,_xlfn.XLOOKUP(C2431,#REF!,#REF!)),0)</f>
        <v>1</v>
      </c>
    </row>
    <row r="2432" customFormat="1" spans="1:20">
      <c r="A2432">
        <f t="shared" si="101"/>
        <v>1002</v>
      </c>
      <c r="B2432">
        <v>3</v>
      </c>
      <c r="C2432" t="s">
        <v>416</v>
      </c>
      <c r="D2432" t="s">
        <v>442</v>
      </c>
      <c r="E2432" t="s">
        <v>378</v>
      </c>
      <c r="F2432"/>
      <c r="G2432">
        <v>1</v>
      </c>
      <c r="H2432">
        <v>1000</v>
      </c>
      <c r="J2432" cm="1">
        <f t="array" ref="J2432">_xlfn.SWITCH(B2432,1,75,2,61,3,49,4,37,5,25,6,13,7,4,8,1)</f>
        <v>49</v>
      </c>
      <c r="K2432" t="str" cm="1">
        <f t="array" ref="K2432">IFERROR(_xlfn.SWITCH(L2432,2,_xlfn.XLOOKUP(C2432,[1]ModifierDes!$B:$B,[1]ModifierDes!$C:$C),3,_xlfn.XLOOKUP(C2432,[1]StuntDes!$B:$B,[1]StuntDes!$C:$C)),"")</f>
        <v/>
      </c>
      <c r="L2432">
        <f t="shared" si="99"/>
        <v>1</v>
      </c>
      <c r="M2432" s="10" t="str">
        <f>IFERROR(_xlfn.XLOOKUP(C2432,[1]StuntDes!$B:$B,[1]StuntDes!$A:$A),"")</f>
        <v/>
      </c>
      <c r="N2432" s="10" t="str">
        <f>IFERROR(_xlfn.XLOOKUP(C2432,[1]ModifierDes!$B:$B,[1]ModifierDes!$A:$A),"")</f>
        <v/>
      </c>
      <c r="O2432" s="10">
        <f>IFERROR(_xlfn.XLOOKUP(C2432,[1]AttributeName!$C:$C,[1]AttributeName!$B:$B),"")</f>
        <v>10002</v>
      </c>
      <c r="P2432" s="10"/>
      <c r="Q2432">
        <v>51</v>
      </c>
      <c r="R2432">
        <v>60</v>
      </c>
      <c r="S2432" cm="1">
        <f t="array" ref="S2432">IFERROR(_xlfn.SWITCH(L2432,1,_xlfn.XLOOKUP(O2432,[1]AttributeName!$B:$B,[1]AttributeName!$D:$D),2,_xlfn.XLOOKUP(C2432,#REF!,#REF!),3,_xlfn.XLOOKUP(C2432,#REF!,#REF!)),0)</f>
        <v>0</v>
      </c>
      <c r="T2432" cm="1">
        <f t="array" ref="T2432">IFERROR(_xlfn.SWITCH(L2432,1,_xlfn.XLOOKUP(O2432,[1]AttributeName!$B:$B,[1]AttributeName!$E:$E),2,_xlfn.XLOOKUP(C2432,#REF!,#REF!),3,_xlfn.XLOOKUP(C2432,#REF!,#REF!)),0)</f>
        <v>1</v>
      </c>
    </row>
    <row r="2433" customFormat="1" spans="1:20">
      <c r="A2433">
        <f t="shared" si="101"/>
        <v>1002</v>
      </c>
      <c r="B2433">
        <v>4</v>
      </c>
      <c r="C2433" t="s">
        <v>416</v>
      </c>
      <c r="D2433" t="s">
        <v>442</v>
      </c>
      <c r="E2433" t="s">
        <v>378</v>
      </c>
      <c r="F2433"/>
      <c r="G2433">
        <v>1</v>
      </c>
      <c r="H2433">
        <v>1000</v>
      </c>
      <c r="J2433" cm="1">
        <f t="array" ref="J2433">_xlfn.SWITCH(B2433,1,75,2,61,3,49,4,37,5,25,6,13,7,4,8,1)</f>
        <v>37</v>
      </c>
      <c r="K2433" t="str" cm="1">
        <f t="array" ref="K2433">IFERROR(_xlfn.SWITCH(L2433,2,_xlfn.XLOOKUP(C2433,[1]ModifierDes!$B:$B,[1]ModifierDes!$C:$C),3,_xlfn.XLOOKUP(C2433,[1]StuntDes!$B:$B,[1]StuntDes!$C:$C)),"")</f>
        <v/>
      </c>
      <c r="L2433">
        <f t="shared" si="99"/>
        <v>1</v>
      </c>
      <c r="M2433" s="10" t="str">
        <f>IFERROR(_xlfn.XLOOKUP(C2433,[1]StuntDes!$B:$B,[1]StuntDes!$A:$A),"")</f>
        <v/>
      </c>
      <c r="N2433" s="10" t="str">
        <f>IFERROR(_xlfn.XLOOKUP(C2433,[1]ModifierDes!$B:$B,[1]ModifierDes!$A:$A),"")</f>
        <v/>
      </c>
      <c r="O2433" s="10">
        <f>IFERROR(_xlfn.XLOOKUP(C2433,[1]AttributeName!$C:$C,[1]AttributeName!$B:$B),"")</f>
        <v>10002</v>
      </c>
      <c r="P2433" s="10"/>
      <c r="Q2433">
        <v>41</v>
      </c>
      <c r="R2433">
        <v>50</v>
      </c>
      <c r="S2433" cm="1">
        <f t="array" ref="S2433">IFERROR(_xlfn.SWITCH(L2433,1,_xlfn.XLOOKUP(O2433,[1]AttributeName!$B:$B,[1]AttributeName!$D:$D),2,_xlfn.XLOOKUP(C2433,#REF!,#REF!),3,_xlfn.XLOOKUP(C2433,#REF!,#REF!)),0)</f>
        <v>0</v>
      </c>
      <c r="T2433" cm="1">
        <f t="array" ref="T2433">IFERROR(_xlfn.SWITCH(L2433,1,_xlfn.XLOOKUP(O2433,[1]AttributeName!$B:$B,[1]AttributeName!$E:$E),2,_xlfn.XLOOKUP(C2433,#REF!,#REF!),3,_xlfn.XLOOKUP(C2433,#REF!,#REF!)),0)</f>
        <v>1</v>
      </c>
    </row>
    <row r="2434" customFormat="1" spans="1:20">
      <c r="A2434">
        <f t="shared" si="101"/>
        <v>1002</v>
      </c>
      <c r="B2434">
        <v>5</v>
      </c>
      <c r="C2434" t="s">
        <v>416</v>
      </c>
      <c r="D2434" t="s">
        <v>442</v>
      </c>
      <c r="E2434" t="s">
        <v>378</v>
      </c>
      <c r="F2434"/>
      <c r="G2434">
        <v>1</v>
      </c>
      <c r="H2434">
        <v>1000</v>
      </c>
      <c r="J2434" cm="1">
        <f t="array" ref="J2434">_xlfn.SWITCH(B2434,1,75,2,61,3,49,4,37,5,25,6,13,7,4,8,1)</f>
        <v>25</v>
      </c>
      <c r="K2434" t="str" cm="1">
        <f t="array" ref="K2434">IFERROR(_xlfn.SWITCH(L2434,2,_xlfn.XLOOKUP(C2434,[1]ModifierDes!$B:$B,[1]ModifierDes!$C:$C),3,_xlfn.XLOOKUP(C2434,[1]StuntDes!$B:$B,[1]StuntDes!$C:$C)),"")</f>
        <v/>
      </c>
      <c r="L2434">
        <f t="shared" si="99"/>
        <v>1</v>
      </c>
      <c r="M2434" s="10" t="str">
        <f>IFERROR(_xlfn.XLOOKUP(C2434,[1]StuntDes!$B:$B,[1]StuntDes!$A:$A),"")</f>
        <v/>
      </c>
      <c r="N2434" s="10" t="str">
        <f>IFERROR(_xlfn.XLOOKUP(C2434,[1]ModifierDes!$B:$B,[1]ModifierDes!$A:$A),"")</f>
        <v/>
      </c>
      <c r="O2434" s="10">
        <f>IFERROR(_xlfn.XLOOKUP(C2434,[1]AttributeName!$C:$C,[1]AttributeName!$B:$B),"")</f>
        <v>10002</v>
      </c>
      <c r="P2434" s="10"/>
      <c r="Q2434">
        <v>31</v>
      </c>
      <c r="R2434">
        <v>40</v>
      </c>
      <c r="S2434" cm="1">
        <f t="array" ref="S2434">IFERROR(_xlfn.SWITCH(L2434,1,_xlfn.XLOOKUP(O2434,[1]AttributeName!$B:$B,[1]AttributeName!$D:$D),2,_xlfn.XLOOKUP(C2434,#REF!,#REF!),3,_xlfn.XLOOKUP(C2434,#REF!,#REF!)),0)</f>
        <v>0</v>
      </c>
      <c r="T2434" cm="1">
        <f t="array" ref="T2434">IFERROR(_xlfn.SWITCH(L2434,1,_xlfn.XLOOKUP(O2434,[1]AttributeName!$B:$B,[1]AttributeName!$E:$E),2,_xlfn.XLOOKUP(C2434,#REF!,#REF!),3,_xlfn.XLOOKUP(C2434,#REF!,#REF!)),0)</f>
        <v>1</v>
      </c>
    </row>
    <row r="2435" customFormat="1" spans="1:20">
      <c r="A2435">
        <f t="shared" si="101"/>
        <v>1002</v>
      </c>
      <c r="B2435">
        <v>6</v>
      </c>
      <c r="C2435" t="s">
        <v>416</v>
      </c>
      <c r="D2435" t="s">
        <v>442</v>
      </c>
      <c r="E2435" t="s">
        <v>378</v>
      </c>
      <c r="F2435"/>
      <c r="G2435">
        <v>1</v>
      </c>
      <c r="H2435">
        <v>1000</v>
      </c>
      <c r="J2435" cm="1">
        <f t="array" ref="J2435">_xlfn.SWITCH(B2435,1,75,2,61,3,49,4,37,5,25,6,13,7,4,8,1)</f>
        <v>13</v>
      </c>
      <c r="K2435" t="str" cm="1">
        <f t="array" ref="K2435">IFERROR(_xlfn.SWITCH(L2435,2,_xlfn.XLOOKUP(C2435,[1]ModifierDes!$B:$B,[1]ModifierDes!$C:$C),3,_xlfn.XLOOKUP(C2435,[1]StuntDes!$B:$B,[1]StuntDes!$C:$C)),"")</f>
        <v/>
      </c>
      <c r="L2435">
        <f t="shared" si="99"/>
        <v>1</v>
      </c>
      <c r="M2435" s="10" t="str">
        <f>IFERROR(_xlfn.XLOOKUP(C2435,[1]StuntDes!$B:$B,[1]StuntDes!$A:$A),"")</f>
        <v/>
      </c>
      <c r="N2435" s="10" t="str">
        <f>IFERROR(_xlfn.XLOOKUP(C2435,[1]ModifierDes!$B:$B,[1]ModifierDes!$A:$A),"")</f>
        <v/>
      </c>
      <c r="O2435" s="10">
        <f>IFERROR(_xlfn.XLOOKUP(C2435,[1]AttributeName!$C:$C,[1]AttributeName!$B:$B),"")</f>
        <v>10002</v>
      </c>
      <c r="P2435" s="10"/>
      <c r="Q2435">
        <v>21</v>
      </c>
      <c r="R2435">
        <v>30</v>
      </c>
      <c r="S2435" cm="1">
        <f t="array" ref="S2435">IFERROR(_xlfn.SWITCH(L2435,1,_xlfn.XLOOKUP(O2435,[1]AttributeName!$B:$B,[1]AttributeName!$D:$D),2,_xlfn.XLOOKUP(C2435,#REF!,#REF!),3,_xlfn.XLOOKUP(C2435,#REF!,#REF!)),0)</f>
        <v>0</v>
      </c>
      <c r="T2435" cm="1">
        <f t="array" ref="T2435">IFERROR(_xlfn.SWITCH(L2435,1,_xlfn.XLOOKUP(O2435,[1]AttributeName!$B:$B,[1]AttributeName!$E:$E),2,_xlfn.XLOOKUP(C2435,#REF!,#REF!),3,_xlfn.XLOOKUP(C2435,#REF!,#REF!)),0)</f>
        <v>1</v>
      </c>
    </row>
    <row r="2436" customFormat="1" spans="1:20">
      <c r="A2436">
        <f t="shared" si="101"/>
        <v>1002</v>
      </c>
      <c r="B2436">
        <v>7</v>
      </c>
      <c r="C2436" t="s">
        <v>416</v>
      </c>
      <c r="D2436" t="s">
        <v>442</v>
      </c>
      <c r="E2436" t="s">
        <v>378</v>
      </c>
      <c r="F2436"/>
      <c r="G2436">
        <v>1</v>
      </c>
      <c r="H2436">
        <v>1000</v>
      </c>
      <c r="J2436" cm="1">
        <f t="array" ref="J2436">_xlfn.SWITCH(B2436,1,75,2,61,3,49,4,37,5,25,6,13,7,4,8,1)</f>
        <v>4</v>
      </c>
      <c r="K2436" t="str" cm="1">
        <f t="array" ref="K2436">IFERROR(_xlfn.SWITCH(L2436,2,_xlfn.XLOOKUP(C2436,[1]ModifierDes!$B:$B,[1]ModifierDes!$C:$C),3,_xlfn.XLOOKUP(C2436,[1]StuntDes!$B:$B,[1]StuntDes!$C:$C)),"")</f>
        <v/>
      </c>
      <c r="L2436">
        <f t="shared" ref="L2436:L2499" si="102">IF(M2436="",IF(N2436="",1,2),3)</f>
        <v>1</v>
      </c>
      <c r="M2436" s="10" t="str">
        <f>IFERROR(_xlfn.XLOOKUP(C2436,[1]StuntDes!$B:$B,[1]StuntDes!$A:$A),"")</f>
        <v/>
      </c>
      <c r="N2436" s="10" t="str">
        <f>IFERROR(_xlfn.XLOOKUP(C2436,[1]ModifierDes!$B:$B,[1]ModifierDes!$A:$A),"")</f>
        <v/>
      </c>
      <c r="O2436" s="10">
        <f>IFERROR(_xlfn.XLOOKUP(C2436,[1]AttributeName!$C:$C,[1]AttributeName!$B:$B),"")</f>
        <v>10002</v>
      </c>
      <c r="P2436" s="10"/>
      <c r="Q2436">
        <v>10</v>
      </c>
      <c r="R2436">
        <v>20</v>
      </c>
      <c r="S2436" cm="1">
        <f t="array" ref="S2436">IFERROR(_xlfn.SWITCH(L2436,1,_xlfn.XLOOKUP(O2436,[1]AttributeName!$B:$B,[1]AttributeName!$D:$D),2,_xlfn.XLOOKUP(C2436,#REF!,#REF!),3,_xlfn.XLOOKUP(C2436,#REF!,#REF!)),0)</f>
        <v>0</v>
      </c>
      <c r="T2436" cm="1">
        <f t="array" ref="T2436">IFERROR(_xlfn.SWITCH(L2436,1,_xlfn.XLOOKUP(O2436,[1]AttributeName!$B:$B,[1]AttributeName!$E:$E),2,_xlfn.XLOOKUP(C2436,#REF!,#REF!),3,_xlfn.XLOOKUP(C2436,#REF!,#REF!)),0)</f>
        <v>1</v>
      </c>
    </row>
    <row r="2437" customFormat="1" spans="1:20">
      <c r="A2437">
        <f t="shared" si="101"/>
        <v>1002</v>
      </c>
      <c r="B2437">
        <v>8</v>
      </c>
      <c r="C2437" t="s">
        <v>416</v>
      </c>
      <c r="D2437" t="s">
        <v>442</v>
      </c>
      <c r="E2437" t="s">
        <v>378</v>
      </c>
      <c r="F2437"/>
      <c r="G2437">
        <v>1</v>
      </c>
      <c r="H2437">
        <v>1000</v>
      </c>
      <c r="J2437" cm="1">
        <f t="array" ref="J2437">_xlfn.SWITCH(B2437,1,75,2,61,3,49,4,37,5,25,6,13,7,4,8,1)</f>
        <v>1</v>
      </c>
      <c r="K2437" t="str" cm="1">
        <f t="array" ref="K2437">IFERROR(_xlfn.SWITCH(L2437,2,_xlfn.XLOOKUP(C2437,[1]ModifierDes!$B:$B,[1]ModifierDes!$C:$C),3,_xlfn.XLOOKUP(C2437,[1]StuntDes!$B:$B,[1]StuntDes!$C:$C)),"")</f>
        <v/>
      </c>
      <c r="L2437">
        <f t="shared" si="102"/>
        <v>1</v>
      </c>
      <c r="M2437" s="10" t="str">
        <f>IFERROR(_xlfn.XLOOKUP(C2437,[1]StuntDes!$B:$B,[1]StuntDes!$A:$A),"")</f>
        <v/>
      </c>
      <c r="N2437" s="10" t="str">
        <f>IFERROR(_xlfn.XLOOKUP(C2437,[1]ModifierDes!$B:$B,[1]ModifierDes!$A:$A),"")</f>
        <v/>
      </c>
      <c r="O2437" s="10">
        <f>IFERROR(_xlfn.XLOOKUP(C2437,[1]AttributeName!$C:$C,[1]AttributeName!$B:$B),"")</f>
        <v>10002</v>
      </c>
      <c r="P2437" s="10"/>
      <c r="Q2437">
        <v>5</v>
      </c>
      <c r="R2437">
        <v>9</v>
      </c>
      <c r="S2437" cm="1">
        <f t="array" ref="S2437">IFERROR(_xlfn.SWITCH(L2437,1,_xlfn.XLOOKUP(O2437,[1]AttributeName!$B:$B,[1]AttributeName!$D:$D),2,_xlfn.XLOOKUP(C2437,#REF!,#REF!),3,_xlfn.XLOOKUP(C2437,#REF!,#REF!)),0)</f>
        <v>0</v>
      </c>
      <c r="T2437" cm="1">
        <f t="array" ref="T2437">IFERROR(_xlfn.SWITCH(L2437,1,_xlfn.XLOOKUP(O2437,[1]AttributeName!$B:$B,[1]AttributeName!$E:$E),2,_xlfn.XLOOKUP(C2437,#REF!,#REF!),3,_xlfn.XLOOKUP(C2437,#REF!,#REF!)),0)</f>
        <v>1</v>
      </c>
    </row>
    <row r="2438" customFormat="1" spans="1:20">
      <c r="A2438">
        <f t="shared" si="101"/>
        <v>1003</v>
      </c>
      <c r="B2438">
        <v>1</v>
      </c>
      <c r="C2438" t="s">
        <v>417</v>
      </c>
      <c r="D2438" t="s">
        <v>442</v>
      </c>
      <c r="E2438" t="s">
        <v>378</v>
      </c>
      <c r="F2438"/>
      <c r="G2438">
        <v>1</v>
      </c>
      <c r="H2438">
        <v>1000</v>
      </c>
      <c r="J2438" cm="1">
        <f t="array" ref="J2438">_xlfn.SWITCH(B2438,1,75,2,61,3,49,4,37,5,25,6,13,7,4,8,1)</f>
        <v>75</v>
      </c>
      <c r="K2438" t="str" cm="1">
        <f t="array" ref="K2438">IFERROR(_xlfn.SWITCH(L2438,2,_xlfn.XLOOKUP(C2438,[1]ModifierDes!$B:$B,[1]ModifierDes!$C:$C),3,_xlfn.XLOOKUP(C2438,[1]StuntDes!$B:$B,[1]StuntDes!$C:$C)),"")</f>
        <v/>
      </c>
      <c r="L2438">
        <f t="shared" si="102"/>
        <v>1</v>
      </c>
      <c r="M2438" s="10" t="str">
        <f>IFERROR(_xlfn.XLOOKUP(C2438,[1]StuntDes!$B:$B,[1]StuntDes!$A:$A),"")</f>
        <v/>
      </c>
      <c r="N2438" s="10" t="str">
        <f>IFERROR(_xlfn.XLOOKUP(C2438,[1]ModifierDes!$B:$B,[1]ModifierDes!$A:$A),"")</f>
        <v/>
      </c>
      <c r="O2438" s="10">
        <f>IFERROR(_xlfn.XLOOKUP(C2438,[1]AttributeName!$C:$C,[1]AttributeName!$B:$B),"")</f>
        <v>10700</v>
      </c>
      <c r="P2438" s="10"/>
      <c r="Q2438">
        <v>0.08</v>
      </c>
      <c r="R2438">
        <v>0.1</v>
      </c>
      <c r="S2438" cm="1">
        <f t="array" ref="S2438">IFERROR(_xlfn.SWITCH(L2438,1,_xlfn.XLOOKUP(O2438,[1]AttributeName!$B:$B,[1]AttributeName!$D:$D),2,_xlfn.XLOOKUP(C2438,#REF!,#REF!),3,_xlfn.XLOOKUP(C2438,#REF!,#REF!)),0)</f>
        <v>2</v>
      </c>
      <c r="T2438" cm="1">
        <f t="array" ref="T2438">IFERROR(_xlfn.SWITCH(L2438,1,_xlfn.XLOOKUP(O2438,[1]AttributeName!$B:$B,[1]AttributeName!$E:$E),2,_xlfn.XLOOKUP(C2438,#REF!,#REF!),3,_xlfn.XLOOKUP(C2438,#REF!,#REF!)),0)</f>
        <v>2</v>
      </c>
    </row>
    <row r="2439" customFormat="1" spans="1:20">
      <c r="A2439">
        <f t="shared" si="101"/>
        <v>1003</v>
      </c>
      <c r="B2439">
        <v>2</v>
      </c>
      <c r="C2439" t="s">
        <v>417</v>
      </c>
      <c r="D2439" t="s">
        <v>442</v>
      </c>
      <c r="E2439" t="s">
        <v>378</v>
      </c>
      <c r="F2439"/>
      <c r="G2439">
        <v>1</v>
      </c>
      <c r="H2439">
        <v>1000</v>
      </c>
      <c r="J2439" cm="1">
        <f t="array" ref="J2439">_xlfn.SWITCH(B2439,1,75,2,61,3,49,4,37,5,25,6,13,7,4,8,1)</f>
        <v>61</v>
      </c>
      <c r="K2439" t="str" cm="1">
        <f t="array" ref="K2439">IFERROR(_xlfn.SWITCH(L2439,2,_xlfn.XLOOKUP(C2439,[1]ModifierDes!$B:$B,[1]ModifierDes!$C:$C),3,_xlfn.XLOOKUP(C2439,[1]StuntDes!$B:$B,[1]StuntDes!$C:$C)),"")</f>
        <v/>
      </c>
      <c r="L2439">
        <f t="shared" si="102"/>
        <v>1</v>
      </c>
      <c r="M2439" s="10" t="str">
        <f>IFERROR(_xlfn.XLOOKUP(C2439,[1]StuntDes!$B:$B,[1]StuntDes!$A:$A),"")</f>
        <v/>
      </c>
      <c r="N2439" s="10" t="str">
        <f>IFERROR(_xlfn.XLOOKUP(C2439,[1]ModifierDes!$B:$B,[1]ModifierDes!$A:$A),"")</f>
        <v/>
      </c>
      <c r="O2439" s="10">
        <f>IFERROR(_xlfn.XLOOKUP(C2439,[1]AttributeName!$C:$C,[1]AttributeName!$B:$B),"")</f>
        <v>10700</v>
      </c>
      <c r="P2439" s="10"/>
      <c r="Q2439">
        <v>0.07</v>
      </c>
      <c r="R2439">
        <v>0.07</v>
      </c>
      <c r="S2439" cm="1">
        <f t="array" ref="S2439">IFERROR(_xlfn.SWITCH(L2439,1,_xlfn.XLOOKUP(O2439,[1]AttributeName!$B:$B,[1]AttributeName!$D:$D),2,_xlfn.XLOOKUP(C2439,#REF!,#REF!),3,_xlfn.XLOOKUP(C2439,#REF!,#REF!)),0)</f>
        <v>2</v>
      </c>
      <c r="T2439" cm="1">
        <f t="array" ref="T2439">IFERROR(_xlfn.SWITCH(L2439,1,_xlfn.XLOOKUP(O2439,[1]AttributeName!$B:$B,[1]AttributeName!$E:$E),2,_xlfn.XLOOKUP(C2439,#REF!,#REF!),3,_xlfn.XLOOKUP(C2439,#REF!,#REF!)),0)</f>
        <v>2</v>
      </c>
    </row>
    <row r="2440" customFormat="1" spans="1:20">
      <c r="A2440">
        <f t="shared" si="101"/>
        <v>1003</v>
      </c>
      <c r="B2440">
        <v>3</v>
      </c>
      <c r="C2440" t="s">
        <v>417</v>
      </c>
      <c r="D2440" t="s">
        <v>442</v>
      </c>
      <c r="E2440" t="s">
        <v>378</v>
      </c>
      <c r="F2440"/>
      <c r="G2440">
        <v>1</v>
      </c>
      <c r="H2440">
        <v>1000</v>
      </c>
      <c r="J2440" cm="1">
        <f t="array" ref="J2440">_xlfn.SWITCH(B2440,1,75,2,61,3,49,4,37,5,25,6,13,7,4,8,1)</f>
        <v>49</v>
      </c>
      <c r="K2440" t="str" cm="1">
        <f t="array" ref="K2440">IFERROR(_xlfn.SWITCH(L2440,2,_xlfn.XLOOKUP(C2440,[1]ModifierDes!$B:$B,[1]ModifierDes!$C:$C),3,_xlfn.XLOOKUP(C2440,[1]StuntDes!$B:$B,[1]StuntDes!$C:$C)),"")</f>
        <v/>
      </c>
      <c r="L2440">
        <f t="shared" si="102"/>
        <v>1</v>
      </c>
      <c r="M2440" s="10" t="str">
        <f>IFERROR(_xlfn.XLOOKUP(C2440,[1]StuntDes!$B:$B,[1]StuntDes!$A:$A),"")</f>
        <v/>
      </c>
      <c r="N2440" s="10" t="str">
        <f>IFERROR(_xlfn.XLOOKUP(C2440,[1]ModifierDes!$B:$B,[1]ModifierDes!$A:$A),"")</f>
        <v/>
      </c>
      <c r="O2440" s="10">
        <f>IFERROR(_xlfn.XLOOKUP(C2440,[1]AttributeName!$C:$C,[1]AttributeName!$B:$B),"")</f>
        <v>10700</v>
      </c>
      <c r="P2440" s="10"/>
      <c r="Q2440">
        <v>0.06</v>
      </c>
      <c r="R2440">
        <v>0.06</v>
      </c>
      <c r="S2440" cm="1">
        <f t="array" ref="S2440">IFERROR(_xlfn.SWITCH(L2440,1,_xlfn.XLOOKUP(O2440,[1]AttributeName!$B:$B,[1]AttributeName!$D:$D),2,_xlfn.XLOOKUP(C2440,#REF!,#REF!),3,_xlfn.XLOOKUP(C2440,#REF!,#REF!)),0)</f>
        <v>2</v>
      </c>
      <c r="T2440" cm="1">
        <f t="array" ref="T2440">IFERROR(_xlfn.SWITCH(L2440,1,_xlfn.XLOOKUP(O2440,[1]AttributeName!$B:$B,[1]AttributeName!$E:$E),2,_xlfn.XLOOKUP(C2440,#REF!,#REF!),3,_xlfn.XLOOKUP(C2440,#REF!,#REF!)),0)</f>
        <v>2</v>
      </c>
    </row>
    <row r="2441" customFormat="1" spans="1:20">
      <c r="A2441">
        <f t="shared" si="101"/>
        <v>1003</v>
      </c>
      <c r="B2441">
        <v>4</v>
      </c>
      <c r="C2441" t="s">
        <v>417</v>
      </c>
      <c r="D2441" t="s">
        <v>442</v>
      </c>
      <c r="E2441" t="s">
        <v>378</v>
      </c>
      <c r="F2441"/>
      <c r="G2441">
        <v>1</v>
      </c>
      <c r="H2441">
        <v>1000</v>
      </c>
      <c r="J2441" cm="1">
        <f t="array" ref="J2441">_xlfn.SWITCH(B2441,1,75,2,61,3,49,4,37,5,25,6,13,7,4,8,1)</f>
        <v>37</v>
      </c>
      <c r="K2441" t="str" cm="1">
        <f t="array" ref="K2441">IFERROR(_xlfn.SWITCH(L2441,2,_xlfn.XLOOKUP(C2441,[1]ModifierDes!$B:$B,[1]ModifierDes!$C:$C),3,_xlfn.XLOOKUP(C2441,[1]StuntDes!$B:$B,[1]StuntDes!$C:$C)),"")</f>
        <v/>
      </c>
      <c r="L2441">
        <f t="shared" si="102"/>
        <v>1</v>
      </c>
      <c r="M2441" s="10" t="str">
        <f>IFERROR(_xlfn.XLOOKUP(C2441,[1]StuntDes!$B:$B,[1]StuntDes!$A:$A),"")</f>
        <v/>
      </c>
      <c r="N2441" s="10" t="str">
        <f>IFERROR(_xlfn.XLOOKUP(C2441,[1]ModifierDes!$B:$B,[1]ModifierDes!$A:$A),"")</f>
        <v/>
      </c>
      <c r="O2441" s="10">
        <f>IFERROR(_xlfn.XLOOKUP(C2441,[1]AttributeName!$C:$C,[1]AttributeName!$B:$B),"")</f>
        <v>10700</v>
      </c>
      <c r="P2441" s="10"/>
      <c r="Q2441">
        <v>0.05</v>
      </c>
      <c r="R2441">
        <v>0.05</v>
      </c>
      <c r="S2441" cm="1">
        <f t="array" ref="S2441">IFERROR(_xlfn.SWITCH(L2441,1,_xlfn.XLOOKUP(O2441,[1]AttributeName!$B:$B,[1]AttributeName!$D:$D),2,_xlfn.XLOOKUP(C2441,#REF!,#REF!),3,_xlfn.XLOOKUP(C2441,#REF!,#REF!)),0)</f>
        <v>2</v>
      </c>
      <c r="T2441" cm="1">
        <f t="array" ref="T2441">IFERROR(_xlfn.SWITCH(L2441,1,_xlfn.XLOOKUP(O2441,[1]AttributeName!$B:$B,[1]AttributeName!$E:$E),2,_xlfn.XLOOKUP(C2441,#REF!,#REF!),3,_xlfn.XLOOKUP(C2441,#REF!,#REF!)),0)</f>
        <v>2</v>
      </c>
    </row>
    <row r="2442" customFormat="1" spans="1:20">
      <c r="A2442">
        <f t="shared" si="101"/>
        <v>1003</v>
      </c>
      <c r="B2442">
        <v>5</v>
      </c>
      <c r="C2442" t="s">
        <v>417</v>
      </c>
      <c r="D2442" t="s">
        <v>442</v>
      </c>
      <c r="E2442" t="s">
        <v>378</v>
      </c>
      <c r="F2442"/>
      <c r="G2442">
        <v>1</v>
      </c>
      <c r="H2442">
        <v>1000</v>
      </c>
      <c r="J2442" cm="1">
        <f t="array" ref="J2442">_xlfn.SWITCH(B2442,1,75,2,61,3,49,4,37,5,25,6,13,7,4,8,1)</f>
        <v>25</v>
      </c>
      <c r="K2442" t="str" cm="1">
        <f t="array" ref="K2442">IFERROR(_xlfn.SWITCH(L2442,2,_xlfn.XLOOKUP(C2442,[1]ModifierDes!$B:$B,[1]ModifierDes!$C:$C),3,_xlfn.XLOOKUP(C2442,[1]StuntDes!$B:$B,[1]StuntDes!$C:$C)),"")</f>
        <v/>
      </c>
      <c r="L2442">
        <f t="shared" si="102"/>
        <v>1</v>
      </c>
      <c r="M2442" s="10" t="str">
        <f>IFERROR(_xlfn.XLOOKUP(C2442,[1]StuntDes!$B:$B,[1]StuntDes!$A:$A),"")</f>
        <v/>
      </c>
      <c r="N2442" s="10" t="str">
        <f>IFERROR(_xlfn.XLOOKUP(C2442,[1]ModifierDes!$B:$B,[1]ModifierDes!$A:$A),"")</f>
        <v/>
      </c>
      <c r="O2442" s="10">
        <f>IFERROR(_xlfn.XLOOKUP(C2442,[1]AttributeName!$C:$C,[1]AttributeName!$B:$B),"")</f>
        <v>10700</v>
      </c>
      <c r="P2442" s="10"/>
      <c r="Q2442">
        <v>0.04</v>
      </c>
      <c r="R2442">
        <v>0.04</v>
      </c>
      <c r="S2442" cm="1">
        <f t="array" ref="S2442">IFERROR(_xlfn.SWITCH(L2442,1,_xlfn.XLOOKUP(O2442,[1]AttributeName!$B:$B,[1]AttributeName!$D:$D),2,_xlfn.XLOOKUP(C2442,#REF!,#REF!),3,_xlfn.XLOOKUP(C2442,#REF!,#REF!)),0)</f>
        <v>2</v>
      </c>
      <c r="T2442" cm="1">
        <f t="array" ref="T2442">IFERROR(_xlfn.SWITCH(L2442,1,_xlfn.XLOOKUP(O2442,[1]AttributeName!$B:$B,[1]AttributeName!$E:$E),2,_xlfn.XLOOKUP(C2442,#REF!,#REF!),3,_xlfn.XLOOKUP(C2442,#REF!,#REF!)),0)</f>
        <v>2</v>
      </c>
    </row>
    <row r="2443" customFormat="1" spans="1:20">
      <c r="A2443">
        <f t="shared" si="101"/>
        <v>1003</v>
      </c>
      <c r="B2443">
        <v>6</v>
      </c>
      <c r="C2443" t="s">
        <v>417</v>
      </c>
      <c r="D2443" t="s">
        <v>442</v>
      </c>
      <c r="E2443" t="s">
        <v>378</v>
      </c>
      <c r="F2443"/>
      <c r="G2443">
        <v>1</v>
      </c>
      <c r="H2443">
        <v>1000</v>
      </c>
      <c r="J2443" cm="1">
        <f t="array" ref="J2443">_xlfn.SWITCH(B2443,1,75,2,61,3,49,4,37,5,25,6,13,7,4,8,1)</f>
        <v>13</v>
      </c>
      <c r="K2443" t="str" cm="1">
        <f t="array" ref="K2443">IFERROR(_xlfn.SWITCH(L2443,2,_xlfn.XLOOKUP(C2443,[1]ModifierDes!$B:$B,[1]ModifierDes!$C:$C),3,_xlfn.XLOOKUP(C2443,[1]StuntDes!$B:$B,[1]StuntDes!$C:$C)),"")</f>
        <v/>
      </c>
      <c r="L2443">
        <f t="shared" si="102"/>
        <v>1</v>
      </c>
      <c r="M2443" s="10" t="str">
        <f>IFERROR(_xlfn.XLOOKUP(C2443,[1]StuntDes!$B:$B,[1]StuntDes!$A:$A),"")</f>
        <v/>
      </c>
      <c r="N2443" s="10" t="str">
        <f>IFERROR(_xlfn.XLOOKUP(C2443,[1]ModifierDes!$B:$B,[1]ModifierDes!$A:$A),"")</f>
        <v/>
      </c>
      <c r="O2443" s="10">
        <f>IFERROR(_xlfn.XLOOKUP(C2443,[1]AttributeName!$C:$C,[1]AttributeName!$B:$B),"")</f>
        <v>10700</v>
      </c>
      <c r="P2443" s="10"/>
      <c r="Q2443">
        <v>0.03</v>
      </c>
      <c r="R2443">
        <v>0.03</v>
      </c>
      <c r="S2443" cm="1">
        <f t="array" ref="S2443">IFERROR(_xlfn.SWITCH(L2443,1,_xlfn.XLOOKUP(O2443,[1]AttributeName!$B:$B,[1]AttributeName!$D:$D),2,_xlfn.XLOOKUP(C2443,#REF!,#REF!),3,_xlfn.XLOOKUP(C2443,#REF!,#REF!)),0)</f>
        <v>2</v>
      </c>
      <c r="T2443" cm="1">
        <f t="array" ref="T2443">IFERROR(_xlfn.SWITCH(L2443,1,_xlfn.XLOOKUP(O2443,[1]AttributeName!$B:$B,[1]AttributeName!$E:$E),2,_xlfn.XLOOKUP(C2443,#REF!,#REF!),3,_xlfn.XLOOKUP(C2443,#REF!,#REF!)),0)</f>
        <v>2</v>
      </c>
    </row>
    <row r="2444" customFormat="1" spans="1:20">
      <c r="A2444">
        <f t="shared" si="101"/>
        <v>1003</v>
      </c>
      <c r="B2444">
        <v>7</v>
      </c>
      <c r="C2444" t="s">
        <v>417</v>
      </c>
      <c r="D2444" t="s">
        <v>442</v>
      </c>
      <c r="E2444" t="s">
        <v>378</v>
      </c>
      <c r="F2444"/>
      <c r="G2444">
        <v>1</v>
      </c>
      <c r="H2444">
        <v>1000</v>
      </c>
      <c r="J2444" cm="1">
        <f t="array" ref="J2444">_xlfn.SWITCH(B2444,1,75,2,61,3,49,4,37,5,25,6,13,7,4,8,1)</f>
        <v>4</v>
      </c>
      <c r="K2444" t="str" cm="1">
        <f t="array" ref="K2444">IFERROR(_xlfn.SWITCH(L2444,2,_xlfn.XLOOKUP(C2444,[1]ModifierDes!$B:$B,[1]ModifierDes!$C:$C),3,_xlfn.XLOOKUP(C2444,[1]StuntDes!$B:$B,[1]StuntDes!$C:$C)),"")</f>
        <v/>
      </c>
      <c r="L2444">
        <f t="shared" si="102"/>
        <v>1</v>
      </c>
      <c r="M2444" s="10" t="str">
        <f>IFERROR(_xlfn.XLOOKUP(C2444,[1]StuntDes!$B:$B,[1]StuntDes!$A:$A),"")</f>
        <v/>
      </c>
      <c r="N2444" s="10" t="str">
        <f>IFERROR(_xlfn.XLOOKUP(C2444,[1]ModifierDes!$B:$B,[1]ModifierDes!$A:$A),"")</f>
        <v/>
      </c>
      <c r="O2444" s="10">
        <f>IFERROR(_xlfn.XLOOKUP(C2444,[1]AttributeName!$C:$C,[1]AttributeName!$B:$B),"")</f>
        <v>10700</v>
      </c>
      <c r="P2444" s="10"/>
      <c r="Q2444">
        <v>0.02</v>
      </c>
      <c r="R2444">
        <v>0.02</v>
      </c>
      <c r="S2444" cm="1">
        <f t="array" ref="S2444">IFERROR(_xlfn.SWITCH(L2444,1,_xlfn.XLOOKUP(O2444,[1]AttributeName!$B:$B,[1]AttributeName!$D:$D),2,_xlfn.XLOOKUP(C2444,#REF!,#REF!),3,_xlfn.XLOOKUP(C2444,#REF!,#REF!)),0)</f>
        <v>2</v>
      </c>
      <c r="T2444" cm="1">
        <f t="array" ref="T2444">IFERROR(_xlfn.SWITCH(L2444,1,_xlfn.XLOOKUP(O2444,[1]AttributeName!$B:$B,[1]AttributeName!$E:$E),2,_xlfn.XLOOKUP(C2444,#REF!,#REF!),3,_xlfn.XLOOKUP(C2444,#REF!,#REF!)),0)</f>
        <v>2</v>
      </c>
    </row>
    <row r="2445" customFormat="1" spans="1:20">
      <c r="A2445">
        <f t="shared" si="101"/>
        <v>1003</v>
      </c>
      <c r="B2445">
        <v>8</v>
      </c>
      <c r="C2445" t="s">
        <v>417</v>
      </c>
      <c r="D2445" t="s">
        <v>442</v>
      </c>
      <c r="E2445" t="s">
        <v>378</v>
      </c>
      <c r="F2445"/>
      <c r="G2445">
        <v>1</v>
      </c>
      <c r="H2445">
        <v>1000</v>
      </c>
      <c r="J2445" cm="1">
        <f t="array" ref="J2445">_xlfn.SWITCH(B2445,1,75,2,61,3,49,4,37,5,25,6,13,7,4,8,1)</f>
        <v>1</v>
      </c>
      <c r="K2445" t="str" cm="1">
        <f t="array" ref="K2445">IFERROR(_xlfn.SWITCH(L2445,2,_xlfn.XLOOKUP(C2445,[1]ModifierDes!$B:$B,[1]ModifierDes!$C:$C),3,_xlfn.XLOOKUP(C2445,[1]StuntDes!$B:$B,[1]StuntDes!$C:$C)),"")</f>
        <v/>
      </c>
      <c r="L2445">
        <f t="shared" si="102"/>
        <v>1</v>
      </c>
      <c r="M2445" s="10" t="str">
        <f>IFERROR(_xlfn.XLOOKUP(C2445,[1]StuntDes!$B:$B,[1]StuntDes!$A:$A),"")</f>
        <v/>
      </c>
      <c r="N2445" s="10" t="str">
        <f>IFERROR(_xlfn.XLOOKUP(C2445,[1]ModifierDes!$B:$B,[1]ModifierDes!$A:$A),"")</f>
        <v/>
      </c>
      <c r="O2445" s="10">
        <f>IFERROR(_xlfn.XLOOKUP(C2445,[1]AttributeName!$C:$C,[1]AttributeName!$B:$B),"")</f>
        <v>10700</v>
      </c>
      <c r="P2445" s="10"/>
      <c r="Q2445">
        <v>0.01</v>
      </c>
      <c r="R2445">
        <v>0.01</v>
      </c>
      <c r="S2445" cm="1">
        <f t="array" ref="S2445">IFERROR(_xlfn.SWITCH(L2445,1,_xlfn.XLOOKUP(O2445,[1]AttributeName!$B:$B,[1]AttributeName!$D:$D),2,_xlfn.XLOOKUP(C2445,#REF!,#REF!),3,_xlfn.XLOOKUP(C2445,#REF!,#REF!)),0)</f>
        <v>2</v>
      </c>
      <c r="T2445" cm="1">
        <f t="array" ref="T2445">IFERROR(_xlfn.SWITCH(L2445,1,_xlfn.XLOOKUP(O2445,[1]AttributeName!$B:$B,[1]AttributeName!$E:$E),2,_xlfn.XLOOKUP(C2445,#REF!,#REF!),3,_xlfn.XLOOKUP(C2445,#REF!,#REF!)),0)</f>
        <v>2</v>
      </c>
    </row>
    <row r="2446" customFormat="1" spans="1:20">
      <c r="A2446">
        <f t="shared" si="101"/>
        <v>1004</v>
      </c>
      <c r="B2446">
        <v>1</v>
      </c>
      <c r="C2446" t="s">
        <v>383</v>
      </c>
      <c r="D2446" t="s">
        <v>442</v>
      </c>
      <c r="E2446" t="s">
        <v>378</v>
      </c>
      <c r="F2446"/>
      <c r="G2446">
        <v>1</v>
      </c>
      <c r="H2446">
        <v>50</v>
      </c>
      <c r="J2446" cm="1">
        <f t="array" ref="J2446">_xlfn.SWITCH(B2446,1,75,2,61,3,49,4,37,5,25,6,13,7,4,8,1)</f>
        <v>75</v>
      </c>
      <c r="K2446" t="str" cm="1">
        <f t="array" ref="K2446">IFERROR(_xlfn.SWITCH(L2446,2,_xlfn.XLOOKUP(C2446,[1]ModifierDes!$B:$B,[1]ModifierDes!$C:$C),3,_xlfn.XLOOKUP(C2446,[1]StuntDes!$B:$B,[1]StuntDes!$C:$C)),"")</f>
        <v>攻击伤害提高{0}</v>
      </c>
      <c r="L2446">
        <f t="shared" si="102"/>
        <v>2</v>
      </c>
      <c r="M2446" s="10" t="str">
        <f>IFERROR(_xlfn.XLOOKUP(C2446,[1]StuntDes!$B:$B,[1]StuntDes!$A:$A),"")</f>
        <v/>
      </c>
      <c r="N2446" s="10">
        <f>IFERROR(_xlfn.XLOOKUP(C2446,[1]ModifierDes!$B:$B,[1]ModifierDes!$A:$A),"")</f>
        <v>10066</v>
      </c>
      <c r="O2446" s="10" t="str">
        <f>IFERROR(_xlfn.XLOOKUP(C2446,[1]AttributeName!$C:$C,[1]AttributeName!$B:$B),"")</f>
        <v/>
      </c>
      <c r="P2446" s="10"/>
      <c r="Q2446">
        <v>0.25</v>
      </c>
      <c r="R2446">
        <v>0.35</v>
      </c>
      <c r="S2446" cm="1">
        <f t="array" ref="S2446">IFERROR(_xlfn.SWITCH(L2446,1,_xlfn.XLOOKUP(O2446,[1]AttributeName!$B:$B,[1]AttributeName!$D:$D),2,_xlfn.XLOOKUP(C2446,#REF!,#REF!),3,_xlfn.XLOOKUP(C2446,#REF!,#REF!)),0)</f>
        <v>0</v>
      </c>
      <c r="T2446" cm="1">
        <f t="array" ref="T2446">IFERROR(_xlfn.SWITCH(L2446,1,_xlfn.XLOOKUP(O2446,[1]AttributeName!$B:$B,[1]AttributeName!$E:$E),2,_xlfn.XLOOKUP(C2446,#REF!,#REF!),3,_xlfn.XLOOKUP(C2446,#REF!,#REF!)),0)</f>
        <v>0</v>
      </c>
    </row>
    <row r="2447" customFormat="1" spans="1:20">
      <c r="A2447">
        <f t="shared" si="101"/>
        <v>1004</v>
      </c>
      <c r="B2447">
        <v>2</v>
      </c>
      <c r="C2447" t="s">
        <v>383</v>
      </c>
      <c r="D2447" t="s">
        <v>442</v>
      </c>
      <c r="E2447" t="s">
        <v>378</v>
      </c>
      <c r="F2447"/>
      <c r="G2447">
        <v>1</v>
      </c>
      <c r="H2447">
        <v>100</v>
      </c>
      <c r="I2447">
        <v>3</v>
      </c>
      <c r="J2447" cm="1">
        <f t="array" ref="J2447">_xlfn.SWITCH(B2447,1,75,2,61,3,49,4,37,5,25,6,13,7,4,8,1)</f>
        <v>61</v>
      </c>
      <c r="K2447" t="str" cm="1">
        <f t="array" ref="K2447">IFERROR(_xlfn.SWITCH(L2447,2,_xlfn.XLOOKUP(C2447,[1]ModifierDes!$B:$B,[1]ModifierDes!$C:$C),3,_xlfn.XLOOKUP(C2447,[1]StuntDes!$B:$B,[1]StuntDes!$C:$C)),"")</f>
        <v>攻击伤害提高{0}</v>
      </c>
      <c r="L2447">
        <f t="shared" si="102"/>
        <v>2</v>
      </c>
      <c r="M2447" s="10" t="str">
        <f>IFERROR(_xlfn.XLOOKUP(C2447,[1]StuntDes!$B:$B,[1]StuntDes!$A:$A),"")</f>
        <v/>
      </c>
      <c r="N2447" s="10">
        <f>IFERROR(_xlfn.XLOOKUP(C2447,[1]ModifierDes!$B:$B,[1]ModifierDes!$A:$A),"")</f>
        <v>10066</v>
      </c>
      <c r="O2447" s="10" t="str">
        <f>IFERROR(_xlfn.XLOOKUP(C2447,[1]AttributeName!$C:$C,[1]AttributeName!$B:$B),"")</f>
        <v/>
      </c>
      <c r="P2447" s="10"/>
      <c r="Q2447">
        <v>0.22</v>
      </c>
      <c r="R2447">
        <v>0.24</v>
      </c>
      <c r="S2447" cm="1">
        <f t="array" ref="S2447">IFERROR(_xlfn.SWITCH(L2447,1,_xlfn.XLOOKUP(O2447,[1]AttributeName!$B:$B,[1]AttributeName!$D:$D),2,_xlfn.XLOOKUP(C2447,#REF!,#REF!),3,_xlfn.XLOOKUP(C2447,#REF!,#REF!)),0)</f>
        <v>0</v>
      </c>
      <c r="T2447" cm="1">
        <f t="array" ref="T2447">IFERROR(_xlfn.SWITCH(L2447,1,_xlfn.XLOOKUP(O2447,[1]AttributeName!$B:$B,[1]AttributeName!$E:$E),2,_xlfn.XLOOKUP(C2447,#REF!,#REF!),3,_xlfn.XLOOKUP(C2447,#REF!,#REF!)),0)</f>
        <v>0</v>
      </c>
    </row>
    <row r="2448" customFormat="1" spans="1:20">
      <c r="A2448">
        <f t="shared" si="101"/>
        <v>1004</v>
      </c>
      <c r="B2448">
        <v>3</v>
      </c>
      <c r="C2448" t="s">
        <v>383</v>
      </c>
      <c r="D2448" t="s">
        <v>442</v>
      </c>
      <c r="E2448" t="s">
        <v>378</v>
      </c>
      <c r="F2448"/>
      <c r="G2448">
        <v>1</v>
      </c>
      <c r="H2448">
        <v>200</v>
      </c>
      <c r="I2448">
        <v>3</v>
      </c>
      <c r="J2448" cm="1">
        <f t="array" ref="J2448">_xlfn.SWITCH(B2448,1,75,2,61,3,49,4,37,5,25,6,13,7,4,8,1)</f>
        <v>49</v>
      </c>
      <c r="K2448" t="str" cm="1">
        <f t="array" ref="K2448">IFERROR(_xlfn.SWITCH(L2448,2,_xlfn.XLOOKUP(C2448,[1]ModifierDes!$B:$B,[1]ModifierDes!$C:$C),3,_xlfn.XLOOKUP(C2448,[1]StuntDes!$B:$B,[1]StuntDes!$C:$C)),"")</f>
        <v>攻击伤害提高{0}</v>
      </c>
      <c r="L2448">
        <f t="shared" si="102"/>
        <v>2</v>
      </c>
      <c r="M2448" s="10" t="str">
        <f>IFERROR(_xlfn.XLOOKUP(C2448,[1]StuntDes!$B:$B,[1]StuntDes!$A:$A),"")</f>
        <v/>
      </c>
      <c r="N2448" s="10">
        <f>IFERROR(_xlfn.XLOOKUP(C2448,[1]ModifierDes!$B:$B,[1]ModifierDes!$A:$A),"")</f>
        <v>10066</v>
      </c>
      <c r="O2448" s="10" t="str">
        <f>IFERROR(_xlfn.XLOOKUP(C2448,[1]AttributeName!$C:$C,[1]AttributeName!$B:$B),"")</f>
        <v/>
      </c>
      <c r="P2448" s="10"/>
      <c r="Q2448">
        <v>0.19</v>
      </c>
      <c r="R2448">
        <v>0.21</v>
      </c>
      <c r="S2448" cm="1">
        <f t="array" ref="S2448">IFERROR(_xlfn.SWITCH(L2448,1,_xlfn.XLOOKUP(O2448,[1]AttributeName!$B:$B,[1]AttributeName!$D:$D),2,_xlfn.XLOOKUP(C2448,#REF!,#REF!),3,_xlfn.XLOOKUP(C2448,#REF!,#REF!)),0)</f>
        <v>0</v>
      </c>
      <c r="T2448" cm="1">
        <f t="array" ref="T2448">IFERROR(_xlfn.SWITCH(L2448,1,_xlfn.XLOOKUP(O2448,[1]AttributeName!$B:$B,[1]AttributeName!$E:$E),2,_xlfn.XLOOKUP(C2448,#REF!,#REF!),3,_xlfn.XLOOKUP(C2448,#REF!,#REF!)),0)</f>
        <v>0</v>
      </c>
    </row>
    <row r="2449" customFormat="1" spans="1:20">
      <c r="A2449">
        <f t="shared" si="101"/>
        <v>1004</v>
      </c>
      <c r="B2449">
        <v>4</v>
      </c>
      <c r="C2449" t="s">
        <v>383</v>
      </c>
      <c r="D2449" t="s">
        <v>442</v>
      </c>
      <c r="E2449" t="s">
        <v>378</v>
      </c>
      <c r="F2449"/>
      <c r="G2449">
        <v>1</v>
      </c>
      <c r="H2449">
        <v>500</v>
      </c>
      <c r="I2449">
        <v>3</v>
      </c>
      <c r="J2449" cm="1">
        <f t="array" ref="J2449">_xlfn.SWITCH(B2449,1,75,2,61,3,49,4,37,5,25,6,13,7,4,8,1)</f>
        <v>37</v>
      </c>
      <c r="K2449" t="str" cm="1">
        <f t="array" ref="K2449">IFERROR(_xlfn.SWITCH(L2449,2,_xlfn.XLOOKUP(C2449,[1]ModifierDes!$B:$B,[1]ModifierDes!$C:$C),3,_xlfn.XLOOKUP(C2449,[1]StuntDes!$B:$B,[1]StuntDes!$C:$C)),"")</f>
        <v>攻击伤害提高{0}</v>
      </c>
      <c r="L2449">
        <f t="shared" si="102"/>
        <v>2</v>
      </c>
      <c r="M2449" s="10" t="str">
        <f>IFERROR(_xlfn.XLOOKUP(C2449,[1]StuntDes!$B:$B,[1]StuntDes!$A:$A),"")</f>
        <v/>
      </c>
      <c r="N2449" s="10">
        <f>IFERROR(_xlfn.XLOOKUP(C2449,[1]ModifierDes!$B:$B,[1]ModifierDes!$A:$A),"")</f>
        <v>10066</v>
      </c>
      <c r="O2449" s="10" t="str">
        <f>IFERROR(_xlfn.XLOOKUP(C2449,[1]AttributeName!$C:$C,[1]AttributeName!$B:$B),"")</f>
        <v/>
      </c>
      <c r="P2449" s="10"/>
      <c r="Q2449">
        <v>0.16</v>
      </c>
      <c r="R2449">
        <v>0.18</v>
      </c>
      <c r="S2449" cm="1">
        <f t="array" ref="S2449">IFERROR(_xlfn.SWITCH(L2449,1,_xlfn.XLOOKUP(O2449,[1]AttributeName!$B:$B,[1]AttributeName!$D:$D),2,_xlfn.XLOOKUP(C2449,#REF!,#REF!),3,_xlfn.XLOOKUP(C2449,#REF!,#REF!)),0)</f>
        <v>0</v>
      </c>
      <c r="T2449" cm="1">
        <f t="array" ref="T2449">IFERROR(_xlfn.SWITCH(L2449,1,_xlfn.XLOOKUP(O2449,[1]AttributeName!$B:$B,[1]AttributeName!$E:$E),2,_xlfn.XLOOKUP(C2449,#REF!,#REF!),3,_xlfn.XLOOKUP(C2449,#REF!,#REF!)),0)</f>
        <v>0</v>
      </c>
    </row>
    <row r="2450" customFormat="1" spans="1:20">
      <c r="A2450">
        <f t="shared" si="101"/>
        <v>1004</v>
      </c>
      <c r="B2450">
        <v>5</v>
      </c>
      <c r="C2450" t="s">
        <v>383</v>
      </c>
      <c r="D2450" t="s">
        <v>442</v>
      </c>
      <c r="E2450" t="s">
        <v>378</v>
      </c>
      <c r="F2450"/>
      <c r="G2450">
        <v>1</v>
      </c>
      <c r="H2450">
        <v>750</v>
      </c>
      <c r="I2450">
        <v>3</v>
      </c>
      <c r="J2450" cm="1">
        <f t="array" ref="J2450">_xlfn.SWITCH(B2450,1,75,2,61,3,49,4,37,5,25,6,13,7,4,8,1)</f>
        <v>25</v>
      </c>
      <c r="K2450" t="str" cm="1">
        <f t="array" ref="K2450">IFERROR(_xlfn.SWITCH(L2450,2,_xlfn.XLOOKUP(C2450,[1]ModifierDes!$B:$B,[1]ModifierDes!$C:$C),3,_xlfn.XLOOKUP(C2450,[1]StuntDes!$B:$B,[1]StuntDes!$C:$C)),"")</f>
        <v>攻击伤害提高{0}</v>
      </c>
      <c r="L2450">
        <f t="shared" si="102"/>
        <v>2</v>
      </c>
      <c r="M2450" s="10" t="str">
        <f>IFERROR(_xlfn.XLOOKUP(C2450,[1]StuntDes!$B:$B,[1]StuntDes!$A:$A),"")</f>
        <v/>
      </c>
      <c r="N2450" s="10">
        <f>IFERROR(_xlfn.XLOOKUP(C2450,[1]ModifierDes!$B:$B,[1]ModifierDes!$A:$A),"")</f>
        <v>10066</v>
      </c>
      <c r="O2450" s="10" t="str">
        <f>IFERROR(_xlfn.XLOOKUP(C2450,[1]AttributeName!$C:$C,[1]AttributeName!$B:$B),"")</f>
        <v/>
      </c>
      <c r="P2450" s="10"/>
      <c r="Q2450">
        <v>0.13</v>
      </c>
      <c r="R2450">
        <v>0.15</v>
      </c>
      <c r="S2450" cm="1">
        <f t="array" ref="S2450">IFERROR(_xlfn.SWITCH(L2450,1,_xlfn.XLOOKUP(O2450,[1]AttributeName!$B:$B,[1]AttributeName!$D:$D),2,_xlfn.XLOOKUP(C2450,#REF!,#REF!),3,_xlfn.XLOOKUP(C2450,#REF!,#REF!)),0)</f>
        <v>0</v>
      </c>
      <c r="T2450" cm="1">
        <f t="array" ref="T2450">IFERROR(_xlfn.SWITCH(L2450,1,_xlfn.XLOOKUP(O2450,[1]AttributeName!$B:$B,[1]AttributeName!$E:$E),2,_xlfn.XLOOKUP(C2450,#REF!,#REF!),3,_xlfn.XLOOKUP(C2450,#REF!,#REF!)),0)</f>
        <v>0</v>
      </c>
    </row>
    <row r="2451" customFormat="1" spans="1:20">
      <c r="A2451">
        <f t="shared" si="101"/>
        <v>1004</v>
      </c>
      <c r="B2451">
        <v>6</v>
      </c>
      <c r="C2451" t="s">
        <v>383</v>
      </c>
      <c r="D2451" t="s">
        <v>442</v>
      </c>
      <c r="E2451" t="s">
        <v>378</v>
      </c>
      <c r="F2451"/>
      <c r="G2451">
        <v>1</v>
      </c>
      <c r="H2451">
        <v>1000</v>
      </c>
      <c r="I2451">
        <v>3</v>
      </c>
      <c r="J2451" cm="1">
        <f t="array" ref="J2451">_xlfn.SWITCH(B2451,1,75,2,61,3,49,4,37,5,25,6,13,7,4,8,1)</f>
        <v>13</v>
      </c>
      <c r="K2451" t="str" cm="1">
        <f t="array" ref="K2451">IFERROR(_xlfn.SWITCH(L2451,2,_xlfn.XLOOKUP(C2451,[1]ModifierDes!$B:$B,[1]ModifierDes!$C:$C),3,_xlfn.XLOOKUP(C2451,[1]StuntDes!$B:$B,[1]StuntDes!$C:$C)),"")</f>
        <v>攻击伤害提高{0}</v>
      </c>
      <c r="L2451">
        <f t="shared" si="102"/>
        <v>2</v>
      </c>
      <c r="M2451" s="10" t="str">
        <f>IFERROR(_xlfn.XLOOKUP(C2451,[1]StuntDes!$B:$B,[1]StuntDes!$A:$A),"")</f>
        <v/>
      </c>
      <c r="N2451" s="10">
        <f>IFERROR(_xlfn.XLOOKUP(C2451,[1]ModifierDes!$B:$B,[1]ModifierDes!$A:$A),"")</f>
        <v>10066</v>
      </c>
      <c r="O2451" s="10" t="str">
        <f>IFERROR(_xlfn.XLOOKUP(C2451,[1]AttributeName!$C:$C,[1]AttributeName!$B:$B),"")</f>
        <v/>
      </c>
      <c r="P2451" s="10"/>
      <c r="Q2451">
        <v>0.0999999999999999</v>
      </c>
      <c r="R2451">
        <v>0.12</v>
      </c>
      <c r="S2451" cm="1">
        <f t="array" ref="S2451">IFERROR(_xlfn.SWITCH(L2451,1,_xlfn.XLOOKUP(O2451,[1]AttributeName!$B:$B,[1]AttributeName!$D:$D),2,_xlfn.XLOOKUP(C2451,#REF!,#REF!),3,_xlfn.XLOOKUP(C2451,#REF!,#REF!)),0)</f>
        <v>0</v>
      </c>
      <c r="T2451" cm="1">
        <f t="array" ref="T2451">IFERROR(_xlfn.SWITCH(L2451,1,_xlfn.XLOOKUP(O2451,[1]AttributeName!$B:$B,[1]AttributeName!$E:$E),2,_xlfn.XLOOKUP(C2451,#REF!,#REF!),3,_xlfn.XLOOKUP(C2451,#REF!,#REF!)),0)</f>
        <v>0</v>
      </c>
    </row>
    <row r="2452" customFormat="1" spans="1:20">
      <c r="A2452">
        <f t="shared" si="101"/>
        <v>1004</v>
      </c>
      <c r="B2452">
        <v>7</v>
      </c>
      <c r="C2452" t="s">
        <v>383</v>
      </c>
      <c r="D2452" t="s">
        <v>442</v>
      </c>
      <c r="E2452" t="s">
        <v>378</v>
      </c>
      <c r="F2452"/>
      <c r="G2452">
        <v>1</v>
      </c>
      <c r="H2452">
        <v>1000</v>
      </c>
      <c r="I2452">
        <v>3</v>
      </c>
      <c r="J2452" cm="1">
        <f t="array" ref="J2452">_xlfn.SWITCH(B2452,1,75,2,61,3,49,4,37,5,25,6,13,7,4,8,1)</f>
        <v>4</v>
      </c>
      <c r="K2452" t="str" cm="1">
        <f t="array" ref="K2452">IFERROR(_xlfn.SWITCH(L2452,2,_xlfn.XLOOKUP(C2452,[1]ModifierDes!$B:$B,[1]ModifierDes!$C:$C),3,_xlfn.XLOOKUP(C2452,[1]StuntDes!$B:$B,[1]StuntDes!$C:$C)),"")</f>
        <v>攻击伤害提高{0}</v>
      </c>
      <c r="L2452">
        <f t="shared" si="102"/>
        <v>2</v>
      </c>
      <c r="M2452" s="10" t="str">
        <f>IFERROR(_xlfn.XLOOKUP(C2452,[1]StuntDes!$B:$B,[1]StuntDes!$A:$A),"")</f>
        <v/>
      </c>
      <c r="N2452" s="10">
        <f>IFERROR(_xlfn.XLOOKUP(C2452,[1]ModifierDes!$B:$B,[1]ModifierDes!$A:$A),"")</f>
        <v>10066</v>
      </c>
      <c r="O2452" s="10" t="str">
        <f>IFERROR(_xlfn.XLOOKUP(C2452,[1]AttributeName!$C:$C,[1]AttributeName!$B:$B),"")</f>
        <v/>
      </c>
      <c r="P2452" s="10"/>
      <c r="Q2452">
        <v>0.0699999999999999</v>
      </c>
      <c r="R2452">
        <v>0.09</v>
      </c>
      <c r="S2452" cm="1">
        <f t="array" ref="S2452">IFERROR(_xlfn.SWITCH(L2452,1,_xlfn.XLOOKUP(O2452,[1]AttributeName!$B:$B,[1]AttributeName!$D:$D),2,_xlfn.XLOOKUP(C2452,#REF!,#REF!),3,_xlfn.XLOOKUP(C2452,#REF!,#REF!)),0)</f>
        <v>0</v>
      </c>
      <c r="T2452" cm="1">
        <f t="array" ref="T2452">IFERROR(_xlfn.SWITCH(L2452,1,_xlfn.XLOOKUP(O2452,[1]AttributeName!$B:$B,[1]AttributeName!$E:$E),2,_xlfn.XLOOKUP(C2452,#REF!,#REF!),3,_xlfn.XLOOKUP(C2452,#REF!,#REF!)),0)</f>
        <v>0</v>
      </c>
    </row>
    <row r="2453" customFormat="1" spans="1:20">
      <c r="A2453">
        <f t="shared" si="101"/>
        <v>1004</v>
      </c>
      <c r="B2453">
        <v>8</v>
      </c>
      <c r="C2453" t="s">
        <v>383</v>
      </c>
      <c r="D2453" t="s">
        <v>442</v>
      </c>
      <c r="E2453" t="s">
        <v>378</v>
      </c>
      <c r="F2453"/>
      <c r="G2453">
        <v>1</v>
      </c>
      <c r="H2453">
        <v>1000</v>
      </c>
      <c r="I2453">
        <v>3</v>
      </c>
      <c r="J2453" cm="1">
        <f t="array" ref="J2453">_xlfn.SWITCH(B2453,1,75,2,61,3,49,4,37,5,25,6,13,7,4,8,1)</f>
        <v>1</v>
      </c>
      <c r="K2453" t="str" cm="1">
        <f t="array" ref="K2453">IFERROR(_xlfn.SWITCH(L2453,2,_xlfn.XLOOKUP(C2453,[1]ModifierDes!$B:$B,[1]ModifierDes!$C:$C),3,_xlfn.XLOOKUP(C2453,[1]StuntDes!$B:$B,[1]StuntDes!$C:$C)),"")</f>
        <v>攻击伤害提高{0}</v>
      </c>
      <c r="L2453">
        <f t="shared" si="102"/>
        <v>2</v>
      </c>
      <c r="M2453" s="10" t="str">
        <f>IFERROR(_xlfn.XLOOKUP(C2453,[1]StuntDes!$B:$B,[1]StuntDes!$A:$A),"")</f>
        <v/>
      </c>
      <c r="N2453" s="10">
        <f>IFERROR(_xlfn.XLOOKUP(C2453,[1]ModifierDes!$B:$B,[1]ModifierDes!$A:$A),"")</f>
        <v>10066</v>
      </c>
      <c r="O2453" s="10" t="str">
        <f>IFERROR(_xlfn.XLOOKUP(C2453,[1]AttributeName!$C:$C,[1]AttributeName!$B:$B),"")</f>
        <v/>
      </c>
      <c r="P2453" s="10"/>
      <c r="Q2453">
        <v>0.0399999999999998</v>
      </c>
      <c r="R2453">
        <v>0.06</v>
      </c>
      <c r="S2453" cm="1">
        <f t="array" ref="S2453">IFERROR(_xlfn.SWITCH(L2453,1,_xlfn.XLOOKUP(O2453,[1]AttributeName!$B:$B,[1]AttributeName!$D:$D),2,_xlfn.XLOOKUP(C2453,#REF!,#REF!),3,_xlfn.XLOOKUP(C2453,#REF!,#REF!)),0)</f>
        <v>0</v>
      </c>
      <c r="T2453" cm="1">
        <f t="array" ref="T2453">IFERROR(_xlfn.SWITCH(L2453,1,_xlfn.XLOOKUP(O2453,[1]AttributeName!$B:$B,[1]AttributeName!$E:$E),2,_xlfn.XLOOKUP(C2453,#REF!,#REF!),3,_xlfn.XLOOKUP(C2453,#REF!,#REF!)),0)</f>
        <v>0</v>
      </c>
    </row>
    <row r="2454" customFormat="1" spans="1:20">
      <c r="A2454">
        <f t="shared" si="101"/>
        <v>1005</v>
      </c>
      <c r="B2454">
        <v>1</v>
      </c>
      <c r="C2454" t="s">
        <v>418</v>
      </c>
      <c r="D2454" t="s">
        <v>442</v>
      </c>
      <c r="E2454" t="s">
        <v>378</v>
      </c>
      <c r="F2454"/>
      <c r="G2454">
        <v>1</v>
      </c>
      <c r="H2454">
        <v>50</v>
      </c>
      <c r="I2454">
        <v>3</v>
      </c>
      <c r="J2454" cm="1">
        <f t="array" ref="J2454">_xlfn.SWITCH(B2454,1,75,2,61,3,49,4,37,5,25,6,13,7,4,8,1)</f>
        <v>75</v>
      </c>
      <c r="K2454" t="str" cm="1">
        <f t="array" ref="K2454">IFERROR(_xlfn.SWITCH(L2454,2,_xlfn.XLOOKUP(C2454,[1]ModifierDes!$B:$B,[1]ModifierDes!$C:$C),3,_xlfn.XLOOKUP(C2454,[1]StuntDes!$B:$B,[1]StuntDes!$C:$C)),"")</f>
        <v>法术伤害提高{0}</v>
      </c>
      <c r="L2454">
        <f t="shared" si="102"/>
        <v>2</v>
      </c>
      <c r="M2454" s="10" t="str">
        <f>IFERROR(_xlfn.XLOOKUP(C2454,[1]StuntDes!$B:$B,[1]StuntDes!$A:$A),"")</f>
        <v/>
      </c>
      <c r="N2454" s="10">
        <f>IFERROR(_xlfn.XLOOKUP(C2454,[1]ModifierDes!$B:$B,[1]ModifierDes!$A:$A),"")</f>
        <v>10067</v>
      </c>
      <c r="O2454" s="10" t="str">
        <f>IFERROR(_xlfn.XLOOKUP(C2454,[1]AttributeName!$C:$C,[1]AttributeName!$B:$B),"")</f>
        <v/>
      </c>
      <c r="P2454" s="10"/>
      <c r="Q2454">
        <v>0.25</v>
      </c>
      <c r="R2454">
        <v>0.35</v>
      </c>
      <c r="S2454" cm="1">
        <f t="array" ref="S2454">IFERROR(_xlfn.SWITCH(L2454,1,_xlfn.XLOOKUP(O2454,[1]AttributeName!$B:$B,[1]AttributeName!$D:$D),2,_xlfn.XLOOKUP(C2454,#REF!,#REF!),3,_xlfn.XLOOKUP(C2454,#REF!,#REF!)),0)</f>
        <v>0</v>
      </c>
      <c r="T2454" cm="1">
        <f t="array" ref="T2454">IFERROR(_xlfn.SWITCH(L2454,1,_xlfn.XLOOKUP(O2454,[1]AttributeName!$B:$B,[1]AttributeName!$E:$E),2,_xlfn.XLOOKUP(C2454,#REF!,#REF!),3,_xlfn.XLOOKUP(C2454,#REF!,#REF!)),0)</f>
        <v>0</v>
      </c>
    </row>
    <row r="2455" customFormat="1" spans="1:20">
      <c r="A2455">
        <f t="shared" si="101"/>
        <v>1005</v>
      </c>
      <c r="B2455">
        <v>2</v>
      </c>
      <c r="C2455" t="s">
        <v>418</v>
      </c>
      <c r="D2455" t="s">
        <v>442</v>
      </c>
      <c r="E2455" t="s">
        <v>378</v>
      </c>
      <c r="F2455"/>
      <c r="G2455">
        <v>1</v>
      </c>
      <c r="H2455">
        <v>100</v>
      </c>
      <c r="I2455">
        <v>3</v>
      </c>
      <c r="J2455" cm="1">
        <f t="array" ref="J2455">_xlfn.SWITCH(B2455,1,75,2,61,3,49,4,37,5,25,6,13,7,4,8,1)</f>
        <v>61</v>
      </c>
      <c r="K2455" t="str" cm="1">
        <f t="array" ref="K2455">IFERROR(_xlfn.SWITCH(L2455,2,_xlfn.XLOOKUP(C2455,[1]ModifierDes!$B:$B,[1]ModifierDes!$C:$C),3,_xlfn.XLOOKUP(C2455,[1]StuntDes!$B:$B,[1]StuntDes!$C:$C)),"")</f>
        <v>法术伤害提高{0}</v>
      </c>
      <c r="L2455">
        <f t="shared" si="102"/>
        <v>2</v>
      </c>
      <c r="M2455" s="10" t="str">
        <f>IFERROR(_xlfn.XLOOKUP(C2455,[1]StuntDes!$B:$B,[1]StuntDes!$A:$A),"")</f>
        <v/>
      </c>
      <c r="N2455" s="10">
        <f>IFERROR(_xlfn.XLOOKUP(C2455,[1]ModifierDes!$B:$B,[1]ModifierDes!$A:$A),"")</f>
        <v>10067</v>
      </c>
      <c r="O2455" s="10" t="str">
        <f>IFERROR(_xlfn.XLOOKUP(C2455,[1]AttributeName!$C:$C,[1]AttributeName!$B:$B),"")</f>
        <v/>
      </c>
      <c r="P2455" s="10"/>
      <c r="Q2455">
        <v>0.22</v>
      </c>
      <c r="R2455">
        <v>0.24</v>
      </c>
      <c r="S2455" cm="1">
        <f t="array" ref="S2455">IFERROR(_xlfn.SWITCH(L2455,1,_xlfn.XLOOKUP(O2455,[1]AttributeName!$B:$B,[1]AttributeName!$D:$D),2,_xlfn.XLOOKUP(C2455,#REF!,#REF!),3,_xlfn.XLOOKUP(C2455,#REF!,#REF!)),0)</f>
        <v>0</v>
      </c>
      <c r="T2455" cm="1">
        <f t="array" ref="T2455">IFERROR(_xlfn.SWITCH(L2455,1,_xlfn.XLOOKUP(O2455,[1]AttributeName!$B:$B,[1]AttributeName!$E:$E),2,_xlfn.XLOOKUP(C2455,#REF!,#REF!),3,_xlfn.XLOOKUP(C2455,#REF!,#REF!)),0)</f>
        <v>0</v>
      </c>
    </row>
    <row r="2456" customFormat="1" spans="1:20">
      <c r="A2456">
        <f t="shared" si="101"/>
        <v>1005</v>
      </c>
      <c r="B2456">
        <v>3</v>
      </c>
      <c r="C2456" t="s">
        <v>418</v>
      </c>
      <c r="D2456" t="s">
        <v>442</v>
      </c>
      <c r="E2456" t="s">
        <v>378</v>
      </c>
      <c r="F2456"/>
      <c r="G2456">
        <v>1</v>
      </c>
      <c r="H2456">
        <v>200</v>
      </c>
      <c r="I2456">
        <v>3</v>
      </c>
      <c r="J2456" cm="1">
        <f t="array" ref="J2456">_xlfn.SWITCH(B2456,1,75,2,61,3,49,4,37,5,25,6,13,7,4,8,1)</f>
        <v>49</v>
      </c>
      <c r="K2456" t="str" cm="1">
        <f t="array" ref="K2456">IFERROR(_xlfn.SWITCH(L2456,2,_xlfn.XLOOKUP(C2456,[1]ModifierDes!$B:$B,[1]ModifierDes!$C:$C),3,_xlfn.XLOOKUP(C2456,[1]StuntDes!$B:$B,[1]StuntDes!$C:$C)),"")</f>
        <v>法术伤害提高{0}</v>
      </c>
      <c r="L2456">
        <f t="shared" si="102"/>
        <v>2</v>
      </c>
      <c r="M2456" s="10" t="str">
        <f>IFERROR(_xlfn.XLOOKUP(C2456,[1]StuntDes!$B:$B,[1]StuntDes!$A:$A),"")</f>
        <v/>
      </c>
      <c r="N2456" s="10">
        <f>IFERROR(_xlfn.XLOOKUP(C2456,[1]ModifierDes!$B:$B,[1]ModifierDes!$A:$A),"")</f>
        <v>10067</v>
      </c>
      <c r="O2456" s="10" t="str">
        <f>IFERROR(_xlfn.XLOOKUP(C2456,[1]AttributeName!$C:$C,[1]AttributeName!$B:$B),"")</f>
        <v/>
      </c>
      <c r="P2456" s="10"/>
      <c r="Q2456">
        <v>0.19</v>
      </c>
      <c r="R2456">
        <v>0.21</v>
      </c>
      <c r="S2456" cm="1">
        <f t="array" ref="S2456">IFERROR(_xlfn.SWITCH(L2456,1,_xlfn.XLOOKUP(O2456,[1]AttributeName!$B:$B,[1]AttributeName!$D:$D),2,_xlfn.XLOOKUP(C2456,#REF!,#REF!),3,_xlfn.XLOOKUP(C2456,#REF!,#REF!)),0)</f>
        <v>0</v>
      </c>
      <c r="T2456" cm="1">
        <f t="array" ref="T2456">IFERROR(_xlfn.SWITCH(L2456,1,_xlfn.XLOOKUP(O2456,[1]AttributeName!$B:$B,[1]AttributeName!$E:$E),2,_xlfn.XLOOKUP(C2456,#REF!,#REF!),3,_xlfn.XLOOKUP(C2456,#REF!,#REF!)),0)</f>
        <v>0</v>
      </c>
    </row>
    <row r="2457" customFormat="1" spans="1:20">
      <c r="A2457">
        <f t="shared" si="101"/>
        <v>1005</v>
      </c>
      <c r="B2457">
        <v>4</v>
      </c>
      <c r="C2457" t="s">
        <v>418</v>
      </c>
      <c r="D2457" t="s">
        <v>442</v>
      </c>
      <c r="E2457" t="s">
        <v>378</v>
      </c>
      <c r="F2457"/>
      <c r="G2457">
        <v>1</v>
      </c>
      <c r="H2457">
        <v>500</v>
      </c>
      <c r="I2457">
        <v>3</v>
      </c>
      <c r="J2457" cm="1">
        <f t="array" ref="J2457">_xlfn.SWITCH(B2457,1,75,2,61,3,49,4,37,5,25,6,13,7,4,8,1)</f>
        <v>37</v>
      </c>
      <c r="K2457" t="str" cm="1">
        <f t="array" ref="K2457">IFERROR(_xlfn.SWITCH(L2457,2,_xlfn.XLOOKUP(C2457,[1]ModifierDes!$B:$B,[1]ModifierDes!$C:$C),3,_xlfn.XLOOKUP(C2457,[1]StuntDes!$B:$B,[1]StuntDes!$C:$C)),"")</f>
        <v>法术伤害提高{0}</v>
      </c>
      <c r="L2457">
        <f t="shared" si="102"/>
        <v>2</v>
      </c>
      <c r="M2457" s="10" t="str">
        <f>IFERROR(_xlfn.XLOOKUP(C2457,[1]StuntDes!$B:$B,[1]StuntDes!$A:$A),"")</f>
        <v/>
      </c>
      <c r="N2457" s="10">
        <f>IFERROR(_xlfn.XLOOKUP(C2457,[1]ModifierDes!$B:$B,[1]ModifierDes!$A:$A),"")</f>
        <v>10067</v>
      </c>
      <c r="O2457" s="10" t="str">
        <f>IFERROR(_xlfn.XLOOKUP(C2457,[1]AttributeName!$C:$C,[1]AttributeName!$B:$B),"")</f>
        <v/>
      </c>
      <c r="P2457" s="10"/>
      <c r="Q2457">
        <v>0.16</v>
      </c>
      <c r="R2457">
        <v>0.18</v>
      </c>
      <c r="S2457" cm="1">
        <f t="array" ref="S2457">IFERROR(_xlfn.SWITCH(L2457,1,_xlfn.XLOOKUP(O2457,[1]AttributeName!$B:$B,[1]AttributeName!$D:$D),2,_xlfn.XLOOKUP(C2457,#REF!,#REF!),3,_xlfn.XLOOKUP(C2457,#REF!,#REF!)),0)</f>
        <v>0</v>
      </c>
      <c r="T2457" cm="1">
        <f t="array" ref="T2457">IFERROR(_xlfn.SWITCH(L2457,1,_xlfn.XLOOKUP(O2457,[1]AttributeName!$B:$B,[1]AttributeName!$E:$E),2,_xlfn.XLOOKUP(C2457,#REF!,#REF!),3,_xlfn.XLOOKUP(C2457,#REF!,#REF!)),0)</f>
        <v>0</v>
      </c>
    </row>
    <row r="2458" customFormat="1" spans="1:20">
      <c r="A2458">
        <f t="shared" si="101"/>
        <v>1005</v>
      </c>
      <c r="B2458">
        <v>5</v>
      </c>
      <c r="C2458" t="s">
        <v>418</v>
      </c>
      <c r="D2458" t="s">
        <v>442</v>
      </c>
      <c r="E2458" t="s">
        <v>378</v>
      </c>
      <c r="F2458"/>
      <c r="G2458">
        <v>1</v>
      </c>
      <c r="H2458">
        <v>750</v>
      </c>
      <c r="I2458">
        <v>3</v>
      </c>
      <c r="J2458" cm="1">
        <f t="array" ref="J2458">_xlfn.SWITCH(B2458,1,75,2,61,3,49,4,37,5,25,6,13,7,4,8,1)</f>
        <v>25</v>
      </c>
      <c r="K2458" t="str" cm="1">
        <f t="array" ref="K2458">IFERROR(_xlfn.SWITCH(L2458,2,_xlfn.XLOOKUP(C2458,[1]ModifierDes!$B:$B,[1]ModifierDes!$C:$C),3,_xlfn.XLOOKUP(C2458,[1]StuntDes!$B:$B,[1]StuntDes!$C:$C)),"")</f>
        <v>法术伤害提高{0}</v>
      </c>
      <c r="L2458">
        <f t="shared" si="102"/>
        <v>2</v>
      </c>
      <c r="M2458" s="10" t="str">
        <f>IFERROR(_xlfn.XLOOKUP(C2458,[1]StuntDes!$B:$B,[1]StuntDes!$A:$A),"")</f>
        <v/>
      </c>
      <c r="N2458" s="10">
        <f>IFERROR(_xlfn.XLOOKUP(C2458,[1]ModifierDes!$B:$B,[1]ModifierDes!$A:$A),"")</f>
        <v>10067</v>
      </c>
      <c r="O2458" s="10" t="str">
        <f>IFERROR(_xlfn.XLOOKUP(C2458,[1]AttributeName!$C:$C,[1]AttributeName!$B:$B),"")</f>
        <v/>
      </c>
      <c r="P2458" s="10"/>
      <c r="Q2458">
        <v>0.13</v>
      </c>
      <c r="R2458">
        <v>0.15</v>
      </c>
      <c r="S2458" cm="1">
        <f t="array" ref="S2458">IFERROR(_xlfn.SWITCH(L2458,1,_xlfn.XLOOKUP(O2458,[1]AttributeName!$B:$B,[1]AttributeName!$D:$D),2,_xlfn.XLOOKUP(C2458,#REF!,#REF!),3,_xlfn.XLOOKUP(C2458,#REF!,#REF!)),0)</f>
        <v>0</v>
      </c>
      <c r="T2458" cm="1">
        <f t="array" ref="T2458">IFERROR(_xlfn.SWITCH(L2458,1,_xlfn.XLOOKUP(O2458,[1]AttributeName!$B:$B,[1]AttributeName!$E:$E),2,_xlfn.XLOOKUP(C2458,#REF!,#REF!),3,_xlfn.XLOOKUP(C2458,#REF!,#REF!)),0)</f>
        <v>0</v>
      </c>
    </row>
    <row r="2459" customFormat="1" spans="1:20">
      <c r="A2459">
        <f t="shared" si="101"/>
        <v>1005</v>
      </c>
      <c r="B2459">
        <v>6</v>
      </c>
      <c r="C2459" t="s">
        <v>418</v>
      </c>
      <c r="D2459" t="s">
        <v>442</v>
      </c>
      <c r="E2459" t="s">
        <v>378</v>
      </c>
      <c r="F2459"/>
      <c r="G2459">
        <v>1</v>
      </c>
      <c r="H2459">
        <v>1000</v>
      </c>
      <c r="I2459">
        <v>3</v>
      </c>
      <c r="J2459" cm="1">
        <f t="array" ref="J2459">_xlfn.SWITCH(B2459,1,75,2,61,3,49,4,37,5,25,6,13,7,4,8,1)</f>
        <v>13</v>
      </c>
      <c r="K2459" t="str" cm="1">
        <f t="array" ref="K2459">IFERROR(_xlfn.SWITCH(L2459,2,_xlfn.XLOOKUP(C2459,[1]ModifierDes!$B:$B,[1]ModifierDes!$C:$C),3,_xlfn.XLOOKUP(C2459,[1]StuntDes!$B:$B,[1]StuntDes!$C:$C)),"")</f>
        <v>法术伤害提高{0}</v>
      </c>
      <c r="L2459">
        <f t="shared" si="102"/>
        <v>2</v>
      </c>
      <c r="M2459" s="10" t="str">
        <f>IFERROR(_xlfn.XLOOKUP(C2459,[1]StuntDes!$B:$B,[1]StuntDes!$A:$A),"")</f>
        <v/>
      </c>
      <c r="N2459" s="10">
        <f>IFERROR(_xlfn.XLOOKUP(C2459,[1]ModifierDes!$B:$B,[1]ModifierDes!$A:$A),"")</f>
        <v>10067</v>
      </c>
      <c r="O2459" s="10" t="str">
        <f>IFERROR(_xlfn.XLOOKUP(C2459,[1]AttributeName!$C:$C,[1]AttributeName!$B:$B),"")</f>
        <v/>
      </c>
      <c r="P2459" s="10"/>
      <c r="Q2459">
        <v>0.0999999999999999</v>
      </c>
      <c r="R2459">
        <v>0.12</v>
      </c>
      <c r="S2459" cm="1">
        <f t="array" ref="S2459">IFERROR(_xlfn.SWITCH(L2459,1,_xlfn.XLOOKUP(O2459,[1]AttributeName!$B:$B,[1]AttributeName!$D:$D),2,_xlfn.XLOOKUP(C2459,#REF!,#REF!),3,_xlfn.XLOOKUP(C2459,#REF!,#REF!)),0)</f>
        <v>0</v>
      </c>
      <c r="T2459" cm="1">
        <f t="array" ref="T2459">IFERROR(_xlfn.SWITCH(L2459,1,_xlfn.XLOOKUP(O2459,[1]AttributeName!$B:$B,[1]AttributeName!$E:$E),2,_xlfn.XLOOKUP(C2459,#REF!,#REF!),3,_xlfn.XLOOKUP(C2459,#REF!,#REF!)),0)</f>
        <v>0</v>
      </c>
    </row>
    <row r="2460" customFormat="1" spans="1:20">
      <c r="A2460">
        <f t="shared" si="101"/>
        <v>1005</v>
      </c>
      <c r="B2460">
        <v>7</v>
      </c>
      <c r="C2460" t="s">
        <v>418</v>
      </c>
      <c r="D2460" t="s">
        <v>442</v>
      </c>
      <c r="E2460" t="s">
        <v>378</v>
      </c>
      <c r="F2460"/>
      <c r="G2460">
        <v>1</v>
      </c>
      <c r="H2460">
        <v>1000</v>
      </c>
      <c r="I2460">
        <v>3</v>
      </c>
      <c r="J2460" cm="1">
        <f t="array" ref="J2460">_xlfn.SWITCH(B2460,1,75,2,61,3,49,4,37,5,25,6,13,7,4,8,1)</f>
        <v>4</v>
      </c>
      <c r="K2460" t="str" cm="1">
        <f t="array" ref="K2460">IFERROR(_xlfn.SWITCH(L2460,2,_xlfn.XLOOKUP(C2460,[1]ModifierDes!$B:$B,[1]ModifierDes!$C:$C),3,_xlfn.XLOOKUP(C2460,[1]StuntDes!$B:$B,[1]StuntDes!$C:$C)),"")</f>
        <v>法术伤害提高{0}</v>
      </c>
      <c r="L2460">
        <f t="shared" si="102"/>
        <v>2</v>
      </c>
      <c r="M2460" s="10" t="str">
        <f>IFERROR(_xlfn.XLOOKUP(C2460,[1]StuntDes!$B:$B,[1]StuntDes!$A:$A),"")</f>
        <v/>
      </c>
      <c r="N2460" s="10">
        <f>IFERROR(_xlfn.XLOOKUP(C2460,[1]ModifierDes!$B:$B,[1]ModifierDes!$A:$A),"")</f>
        <v>10067</v>
      </c>
      <c r="O2460" s="10" t="str">
        <f>IFERROR(_xlfn.XLOOKUP(C2460,[1]AttributeName!$C:$C,[1]AttributeName!$B:$B),"")</f>
        <v/>
      </c>
      <c r="P2460" s="10"/>
      <c r="Q2460">
        <v>0.0699999999999999</v>
      </c>
      <c r="R2460">
        <v>0.09</v>
      </c>
      <c r="S2460" cm="1">
        <f t="array" ref="S2460">IFERROR(_xlfn.SWITCH(L2460,1,_xlfn.XLOOKUP(O2460,[1]AttributeName!$B:$B,[1]AttributeName!$D:$D),2,_xlfn.XLOOKUP(C2460,#REF!,#REF!),3,_xlfn.XLOOKUP(C2460,#REF!,#REF!)),0)</f>
        <v>0</v>
      </c>
      <c r="T2460" cm="1">
        <f t="array" ref="T2460">IFERROR(_xlfn.SWITCH(L2460,1,_xlfn.XLOOKUP(O2460,[1]AttributeName!$B:$B,[1]AttributeName!$E:$E),2,_xlfn.XLOOKUP(C2460,#REF!,#REF!),3,_xlfn.XLOOKUP(C2460,#REF!,#REF!)),0)</f>
        <v>0</v>
      </c>
    </row>
    <row r="2461" customFormat="1" spans="1:20">
      <c r="A2461">
        <f t="shared" si="101"/>
        <v>1005</v>
      </c>
      <c r="B2461">
        <v>8</v>
      </c>
      <c r="C2461" t="s">
        <v>418</v>
      </c>
      <c r="D2461" t="s">
        <v>442</v>
      </c>
      <c r="E2461" t="s">
        <v>378</v>
      </c>
      <c r="F2461"/>
      <c r="G2461">
        <v>1</v>
      </c>
      <c r="H2461">
        <v>1000</v>
      </c>
      <c r="I2461">
        <v>3</v>
      </c>
      <c r="J2461" cm="1">
        <f t="array" ref="J2461">_xlfn.SWITCH(B2461,1,75,2,61,3,49,4,37,5,25,6,13,7,4,8,1)</f>
        <v>1</v>
      </c>
      <c r="K2461" t="str" cm="1">
        <f t="array" ref="K2461">IFERROR(_xlfn.SWITCH(L2461,2,_xlfn.XLOOKUP(C2461,[1]ModifierDes!$B:$B,[1]ModifierDes!$C:$C),3,_xlfn.XLOOKUP(C2461,[1]StuntDes!$B:$B,[1]StuntDes!$C:$C)),"")</f>
        <v>法术伤害提高{0}</v>
      </c>
      <c r="L2461">
        <f t="shared" si="102"/>
        <v>2</v>
      </c>
      <c r="M2461" s="10" t="str">
        <f>IFERROR(_xlfn.XLOOKUP(C2461,[1]StuntDes!$B:$B,[1]StuntDes!$A:$A),"")</f>
        <v/>
      </c>
      <c r="N2461" s="10">
        <f>IFERROR(_xlfn.XLOOKUP(C2461,[1]ModifierDes!$B:$B,[1]ModifierDes!$A:$A),"")</f>
        <v>10067</v>
      </c>
      <c r="O2461" s="10" t="str">
        <f>IFERROR(_xlfn.XLOOKUP(C2461,[1]AttributeName!$C:$C,[1]AttributeName!$B:$B),"")</f>
        <v/>
      </c>
      <c r="P2461" s="10"/>
      <c r="Q2461">
        <v>0.0399999999999998</v>
      </c>
      <c r="R2461">
        <v>0.06</v>
      </c>
      <c r="S2461" cm="1">
        <f t="array" ref="S2461">IFERROR(_xlfn.SWITCH(L2461,1,_xlfn.XLOOKUP(O2461,[1]AttributeName!$B:$B,[1]AttributeName!$D:$D),2,_xlfn.XLOOKUP(C2461,#REF!,#REF!),3,_xlfn.XLOOKUP(C2461,#REF!,#REF!)),0)</f>
        <v>0</v>
      </c>
      <c r="T2461" cm="1">
        <f t="array" ref="T2461">IFERROR(_xlfn.SWITCH(L2461,1,_xlfn.XLOOKUP(O2461,[1]AttributeName!$B:$B,[1]AttributeName!$E:$E),2,_xlfn.XLOOKUP(C2461,#REF!,#REF!),3,_xlfn.XLOOKUP(C2461,#REF!,#REF!)),0)</f>
        <v>0</v>
      </c>
    </row>
    <row r="2462" customFormat="1" spans="1:20">
      <c r="A2462">
        <f t="shared" si="101"/>
        <v>1006</v>
      </c>
      <c r="B2462">
        <v>1</v>
      </c>
      <c r="C2462" t="s">
        <v>384</v>
      </c>
      <c r="D2462" t="s">
        <v>442</v>
      </c>
      <c r="E2462" t="s">
        <v>378</v>
      </c>
      <c r="F2462"/>
      <c r="G2462">
        <v>1</v>
      </c>
      <c r="H2462">
        <v>100</v>
      </c>
      <c r="I2462">
        <v>3</v>
      </c>
      <c r="J2462" cm="1">
        <f t="array" ref="J2462">_xlfn.SWITCH(B2462,1,75,2,61,3,49,4,37,5,25,6,13,7,4,8,1)</f>
        <v>75</v>
      </c>
      <c r="K2462" t="str" cm="1">
        <f t="array" ref="K2462">IFERROR(_xlfn.SWITCH(L2462,2,_xlfn.XLOOKUP(C2462,[1]ModifierDes!$B:$B,[1]ModifierDes!$C:$C),3,_xlfn.XLOOKUP(C2462,[1]StuntDes!$B:$B,[1]StuntDes!$C:$C)),"")</f>
        <v/>
      </c>
      <c r="L2462">
        <f t="shared" si="102"/>
        <v>1</v>
      </c>
      <c r="M2462" s="10" t="str">
        <f>IFERROR(_xlfn.XLOOKUP(C2462,[1]StuntDes!$B:$B,[1]StuntDes!$A:$A),"")</f>
        <v/>
      </c>
      <c r="N2462" s="10" t="str">
        <f>IFERROR(_xlfn.XLOOKUP(C2462,[1]ModifierDes!$B:$B,[1]ModifierDes!$A:$A),"")</f>
        <v/>
      </c>
      <c r="O2462" s="10">
        <f>IFERROR(_xlfn.XLOOKUP(C2462,[1]AttributeName!$C:$C,[1]AttributeName!$B:$B),"")</f>
        <v>10303</v>
      </c>
      <c r="P2462" s="10"/>
      <c r="Q2462">
        <v>0.25</v>
      </c>
      <c r="R2462">
        <v>0.35</v>
      </c>
      <c r="S2462" cm="1">
        <f t="array" ref="S2462">IFERROR(_xlfn.SWITCH(L2462,1,_xlfn.XLOOKUP(O2462,[1]AttributeName!$B:$B,[1]AttributeName!$D:$D),2,_xlfn.XLOOKUP(C2462,#REF!,#REF!),3,_xlfn.XLOOKUP(C2462,#REF!,#REF!)),0)</f>
        <v>2</v>
      </c>
      <c r="T2462" cm="1">
        <f t="array" ref="T2462">IFERROR(_xlfn.SWITCH(L2462,1,_xlfn.XLOOKUP(O2462,[1]AttributeName!$B:$B,[1]AttributeName!$E:$E),2,_xlfn.XLOOKUP(C2462,#REF!,#REF!),3,_xlfn.XLOOKUP(C2462,#REF!,#REF!)),0)</f>
        <v>2</v>
      </c>
    </row>
    <row r="2463" customFormat="1" spans="1:20">
      <c r="A2463">
        <f t="shared" si="101"/>
        <v>1006</v>
      </c>
      <c r="B2463">
        <v>2</v>
      </c>
      <c r="C2463" t="s">
        <v>384</v>
      </c>
      <c r="D2463" t="s">
        <v>442</v>
      </c>
      <c r="E2463" t="s">
        <v>378</v>
      </c>
      <c r="F2463"/>
      <c r="G2463">
        <v>1</v>
      </c>
      <c r="H2463">
        <v>200</v>
      </c>
      <c r="I2463">
        <v>3</v>
      </c>
      <c r="J2463" cm="1">
        <f t="array" ref="J2463">_xlfn.SWITCH(B2463,1,75,2,61,3,49,4,37,5,25,6,13,7,4,8,1)</f>
        <v>61</v>
      </c>
      <c r="K2463" t="str" cm="1">
        <f t="array" ref="K2463">IFERROR(_xlfn.SWITCH(L2463,2,_xlfn.XLOOKUP(C2463,[1]ModifierDes!$B:$B,[1]ModifierDes!$C:$C),3,_xlfn.XLOOKUP(C2463,[1]StuntDes!$B:$B,[1]StuntDes!$C:$C)),"")</f>
        <v/>
      </c>
      <c r="L2463">
        <f t="shared" si="102"/>
        <v>1</v>
      </c>
      <c r="M2463" s="10" t="str">
        <f>IFERROR(_xlfn.XLOOKUP(C2463,[1]StuntDes!$B:$B,[1]StuntDes!$A:$A),"")</f>
        <v/>
      </c>
      <c r="N2463" s="10" t="str">
        <f>IFERROR(_xlfn.XLOOKUP(C2463,[1]ModifierDes!$B:$B,[1]ModifierDes!$A:$A),"")</f>
        <v/>
      </c>
      <c r="O2463" s="10">
        <f>IFERROR(_xlfn.XLOOKUP(C2463,[1]AttributeName!$C:$C,[1]AttributeName!$B:$B),"")</f>
        <v>10303</v>
      </c>
      <c r="P2463" s="10"/>
      <c r="Q2463">
        <v>0.22</v>
      </c>
      <c r="R2463">
        <v>0.24</v>
      </c>
      <c r="S2463" cm="1">
        <f t="array" ref="S2463">IFERROR(_xlfn.SWITCH(L2463,1,_xlfn.XLOOKUP(O2463,[1]AttributeName!$B:$B,[1]AttributeName!$D:$D),2,_xlfn.XLOOKUP(C2463,#REF!,#REF!),3,_xlfn.XLOOKUP(C2463,#REF!,#REF!)),0)</f>
        <v>2</v>
      </c>
      <c r="T2463" cm="1">
        <f t="array" ref="T2463">IFERROR(_xlfn.SWITCH(L2463,1,_xlfn.XLOOKUP(O2463,[1]AttributeName!$B:$B,[1]AttributeName!$E:$E),2,_xlfn.XLOOKUP(C2463,#REF!,#REF!),3,_xlfn.XLOOKUP(C2463,#REF!,#REF!)),0)</f>
        <v>2</v>
      </c>
    </row>
    <row r="2464" customFormat="1" spans="1:20">
      <c r="A2464">
        <f t="shared" si="101"/>
        <v>1006</v>
      </c>
      <c r="B2464">
        <v>3</v>
      </c>
      <c r="C2464" t="s">
        <v>384</v>
      </c>
      <c r="D2464" t="s">
        <v>442</v>
      </c>
      <c r="E2464" t="s">
        <v>378</v>
      </c>
      <c r="F2464"/>
      <c r="G2464">
        <v>1</v>
      </c>
      <c r="H2464">
        <v>500</v>
      </c>
      <c r="I2464">
        <v>3</v>
      </c>
      <c r="J2464" cm="1">
        <f t="array" ref="J2464">_xlfn.SWITCH(B2464,1,75,2,61,3,49,4,37,5,25,6,13,7,4,8,1)</f>
        <v>49</v>
      </c>
      <c r="K2464" t="str" cm="1">
        <f t="array" ref="K2464">IFERROR(_xlfn.SWITCH(L2464,2,_xlfn.XLOOKUP(C2464,[1]ModifierDes!$B:$B,[1]ModifierDes!$C:$C),3,_xlfn.XLOOKUP(C2464,[1]StuntDes!$B:$B,[1]StuntDes!$C:$C)),"")</f>
        <v/>
      </c>
      <c r="L2464">
        <f t="shared" si="102"/>
        <v>1</v>
      </c>
      <c r="M2464" s="10" t="str">
        <f>IFERROR(_xlfn.XLOOKUP(C2464,[1]StuntDes!$B:$B,[1]StuntDes!$A:$A),"")</f>
        <v/>
      </c>
      <c r="N2464" s="10" t="str">
        <f>IFERROR(_xlfn.XLOOKUP(C2464,[1]ModifierDes!$B:$B,[1]ModifierDes!$A:$A),"")</f>
        <v/>
      </c>
      <c r="O2464" s="10">
        <f>IFERROR(_xlfn.XLOOKUP(C2464,[1]AttributeName!$C:$C,[1]AttributeName!$B:$B),"")</f>
        <v>10303</v>
      </c>
      <c r="P2464" s="10"/>
      <c r="Q2464">
        <v>0.19</v>
      </c>
      <c r="R2464">
        <v>0.21</v>
      </c>
      <c r="S2464" cm="1">
        <f t="array" ref="S2464">IFERROR(_xlfn.SWITCH(L2464,1,_xlfn.XLOOKUP(O2464,[1]AttributeName!$B:$B,[1]AttributeName!$D:$D),2,_xlfn.XLOOKUP(C2464,#REF!,#REF!),3,_xlfn.XLOOKUP(C2464,#REF!,#REF!)),0)</f>
        <v>2</v>
      </c>
      <c r="T2464" cm="1">
        <f t="array" ref="T2464">IFERROR(_xlfn.SWITCH(L2464,1,_xlfn.XLOOKUP(O2464,[1]AttributeName!$B:$B,[1]AttributeName!$E:$E),2,_xlfn.XLOOKUP(C2464,#REF!,#REF!),3,_xlfn.XLOOKUP(C2464,#REF!,#REF!)),0)</f>
        <v>2</v>
      </c>
    </row>
    <row r="2465" customFormat="1" spans="1:20">
      <c r="A2465">
        <f t="shared" si="101"/>
        <v>1006</v>
      </c>
      <c r="B2465">
        <v>4</v>
      </c>
      <c r="C2465" t="s">
        <v>384</v>
      </c>
      <c r="D2465" t="s">
        <v>442</v>
      </c>
      <c r="E2465" t="s">
        <v>378</v>
      </c>
      <c r="F2465"/>
      <c r="G2465">
        <v>1</v>
      </c>
      <c r="H2465">
        <v>1000</v>
      </c>
      <c r="I2465">
        <v>3</v>
      </c>
      <c r="J2465" cm="1">
        <f t="array" ref="J2465">_xlfn.SWITCH(B2465,1,75,2,61,3,49,4,37,5,25,6,13,7,4,8,1)</f>
        <v>37</v>
      </c>
      <c r="K2465" t="str" cm="1">
        <f t="array" ref="K2465">IFERROR(_xlfn.SWITCH(L2465,2,_xlfn.XLOOKUP(C2465,[1]ModifierDes!$B:$B,[1]ModifierDes!$C:$C),3,_xlfn.XLOOKUP(C2465,[1]StuntDes!$B:$B,[1]StuntDes!$C:$C)),"")</f>
        <v/>
      </c>
      <c r="L2465">
        <f t="shared" si="102"/>
        <v>1</v>
      </c>
      <c r="M2465" s="10" t="str">
        <f>IFERROR(_xlfn.XLOOKUP(C2465,[1]StuntDes!$B:$B,[1]StuntDes!$A:$A),"")</f>
        <v/>
      </c>
      <c r="N2465" s="10" t="str">
        <f>IFERROR(_xlfn.XLOOKUP(C2465,[1]ModifierDes!$B:$B,[1]ModifierDes!$A:$A),"")</f>
        <v/>
      </c>
      <c r="O2465" s="10">
        <f>IFERROR(_xlfn.XLOOKUP(C2465,[1]AttributeName!$C:$C,[1]AttributeName!$B:$B),"")</f>
        <v>10303</v>
      </c>
      <c r="P2465" s="10"/>
      <c r="Q2465">
        <v>0.16</v>
      </c>
      <c r="R2465">
        <v>0.18</v>
      </c>
      <c r="S2465" cm="1">
        <f t="array" ref="S2465">IFERROR(_xlfn.SWITCH(L2465,1,_xlfn.XLOOKUP(O2465,[1]AttributeName!$B:$B,[1]AttributeName!$D:$D),2,_xlfn.XLOOKUP(C2465,#REF!,#REF!),3,_xlfn.XLOOKUP(C2465,#REF!,#REF!)),0)</f>
        <v>2</v>
      </c>
      <c r="T2465" cm="1">
        <f t="array" ref="T2465">IFERROR(_xlfn.SWITCH(L2465,1,_xlfn.XLOOKUP(O2465,[1]AttributeName!$B:$B,[1]AttributeName!$E:$E),2,_xlfn.XLOOKUP(C2465,#REF!,#REF!),3,_xlfn.XLOOKUP(C2465,#REF!,#REF!)),0)</f>
        <v>2</v>
      </c>
    </row>
    <row r="2466" customFormat="1" spans="1:20">
      <c r="A2466">
        <f t="shared" si="101"/>
        <v>1006</v>
      </c>
      <c r="B2466">
        <v>5</v>
      </c>
      <c r="C2466" t="s">
        <v>384</v>
      </c>
      <c r="D2466" t="s">
        <v>442</v>
      </c>
      <c r="E2466" t="s">
        <v>378</v>
      </c>
      <c r="F2466"/>
      <c r="G2466">
        <v>1</v>
      </c>
      <c r="H2466">
        <v>1000</v>
      </c>
      <c r="I2466">
        <v>3</v>
      </c>
      <c r="J2466" cm="1">
        <f t="array" ref="J2466">_xlfn.SWITCH(B2466,1,75,2,61,3,49,4,37,5,25,6,13,7,4,8,1)</f>
        <v>25</v>
      </c>
      <c r="K2466" t="str" cm="1">
        <f t="array" ref="K2466">IFERROR(_xlfn.SWITCH(L2466,2,_xlfn.XLOOKUP(C2466,[1]ModifierDes!$B:$B,[1]ModifierDes!$C:$C),3,_xlfn.XLOOKUP(C2466,[1]StuntDes!$B:$B,[1]StuntDes!$C:$C)),"")</f>
        <v/>
      </c>
      <c r="L2466">
        <f t="shared" si="102"/>
        <v>1</v>
      </c>
      <c r="M2466" s="10" t="str">
        <f>IFERROR(_xlfn.XLOOKUP(C2466,[1]StuntDes!$B:$B,[1]StuntDes!$A:$A),"")</f>
        <v/>
      </c>
      <c r="N2466" s="10" t="str">
        <f>IFERROR(_xlfn.XLOOKUP(C2466,[1]ModifierDes!$B:$B,[1]ModifierDes!$A:$A),"")</f>
        <v/>
      </c>
      <c r="O2466" s="10">
        <f>IFERROR(_xlfn.XLOOKUP(C2466,[1]AttributeName!$C:$C,[1]AttributeName!$B:$B),"")</f>
        <v>10303</v>
      </c>
      <c r="P2466" s="10"/>
      <c r="Q2466">
        <v>0.13</v>
      </c>
      <c r="R2466">
        <v>0.15</v>
      </c>
      <c r="S2466" cm="1">
        <f t="array" ref="S2466">IFERROR(_xlfn.SWITCH(L2466,1,_xlfn.XLOOKUP(O2466,[1]AttributeName!$B:$B,[1]AttributeName!$D:$D),2,_xlfn.XLOOKUP(C2466,#REF!,#REF!),3,_xlfn.XLOOKUP(C2466,#REF!,#REF!)),0)</f>
        <v>2</v>
      </c>
      <c r="T2466" cm="1">
        <f t="array" ref="T2466">IFERROR(_xlfn.SWITCH(L2466,1,_xlfn.XLOOKUP(O2466,[1]AttributeName!$B:$B,[1]AttributeName!$E:$E),2,_xlfn.XLOOKUP(C2466,#REF!,#REF!),3,_xlfn.XLOOKUP(C2466,#REF!,#REF!)),0)</f>
        <v>2</v>
      </c>
    </row>
    <row r="2467" customFormat="1" spans="1:20">
      <c r="A2467">
        <f t="shared" si="101"/>
        <v>1006</v>
      </c>
      <c r="B2467">
        <v>6</v>
      </c>
      <c r="C2467" t="s">
        <v>384</v>
      </c>
      <c r="D2467" t="s">
        <v>442</v>
      </c>
      <c r="E2467" t="s">
        <v>378</v>
      </c>
      <c r="F2467"/>
      <c r="G2467">
        <v>1</v>
      </c>
      <c r="H2467">
        <v>1000</v>
      </c>
      <c r="I2467">
        <v>3</v>
      </c>
      <c r="J2467" cm="1">
        <f t="array" ref="J2467">_xlfn.SWITCH(B2467,1,75,2,61,3,49,4,37,5,25,6,13,7,4,8,1)</f>
        <v>13</v>
      </c>
      <c r="K2467" t="str" cm="1">
        <f t="array" ref="K2467">IFERROR(_xlfn.SWITCH(L2467,2,_xlfn.XLOOKUP(C2467,[1]ModifierDes!$B:$B,[1]ModifierDes!$C:$C),3,_xlfn.XLOOKUP(C2467,[1]StuntDes!$B:$B,[1]StuntDes!$C:$C)),"")</f>
        <v/>
      </c>
      <c r="L2467">
        <f t="shared" si="102"/>
        <v>1</v>
      </c>
      <c r="M2467" s="10" t="str">
        <f>IFERROR(_xlfn.XLOOKUP(C2467,[1]StuntDes!$B:$B,[1]StuntDes!$A:$A),"")</f>
        <v/>
      </c>
      <c r="N2467" s="10" t="str">
        <f>IFERROR(_xlfn.XLOOKUP(C2467,[1]ModifierDes!$B:$B,[1]ModifierDes!$A:$A),"")</f>
        <v/>
      </c>
      <c r="O2467" s="10">
        <f>IFERROR(_xlfn.XLOOKUP(C2467,[1]AttributeName!$C:$C,[1]AttributeName!$B:$B),"")</f>
        <v>10303</v>
      </c>
      <c r="P2467" s="10"/>
      <c r="Q2467">
        <v>0.0999999999999999</v>
      </c>
      <c r="R2467">
        <v>0.12</v>
      </c>
      <c r="S2467" cm="1">
        <f t="array" ref="S2467">IFERROR(_xlfn.SWITCH(L2467,1,_xlfn.XLOOKUP(O2467,[1]AttributeName!$B:$B,[1]AttributeName!$D:$D),2,_xlfn.XLOOKUP(C2467,#REF!,#REF!),3,_xlfn.XLOOKUP(C2467,#REF!,#REF!)),0)</f>
        <v>2</v>
      </c>
      <c r="T2467" cm="1">
        <f t="array" ref="T2467">IFERROR(_xlfn.SWITCH(L2467,1,_xlfn.XLOOKUP(O2467,[1]AttributeName!$B:$B,[1]AttributeName!$E:$E),2,_xlfn.XLOOKUP(C2467,#REF!,#REF!),3,_xlfn.XLOOKUP(C2467,#REF!,#REF!)),0)</f>
        <v>2</v>
      </c>
    </row>
    <row r="2468" customFormat="1" spans="1:20">
      <c r="A2468">
        <f t="shared" si="101"/>
        <v>1006</v>
      </c>
      <c r="B2468">
        <v>7</v>
      </c>
      <c r="C2468" t="s">
        <v>384</v>
      </c>
      <c r="D2468" t="s">
        <v>442</v>
      </c>
      <c r="E2468" t="s">
        <v>378</v>
      </c>
      <c r="F2468"/>
      <c r="G2468">
        <v>1</v>
      </c>
      <c r="H2468">
        <v>1000</v>
      </c>
      <c r="I2468">
        <v>3</v>
      </c>
      <c r="J2468" cm="1">
        <f t="array" ref="J2468">_xlfn.SWITCH(B2468,1,75,2,61,3,49,4,37,5,25,6,13,7,4,8,1)</f>
        <v>4</v>
      </c>
      <c r="K2468" t="str" cm="1">
        <f t="array" ref="K2468">IFERROR(_xlfn.SWITCH(L2468,2,_xlfn.XLOOKUP(C2468,[1]ModifierDes!$B:$B,[1]ModifierDes!$C:$C),3,_xlfn.XLOOKUP(C2468,[1]StuntDes!$B:$B,[1]StuntDes!$C:$C)),"")</f>
        <v/>
      </c>
      <c r="L2468">
        <f t="shared" si="102"/>
        <v>1</v>
      </c>
      <c r="M2468" s="10" t="str">
        <f>IFERROR(_xlfn.XLOOKUP(C2468,[1]StuntDes!$B:$B,[1]StuntDes!$A:$A),"")</f>
        <v/>
      </c>
      <c r="N2468" s="10" t="str">
        <f>IFERROR(_xlfn.XLOOKUP(C2468,[1]ModifierDes!$B:$B,[1]ModifierDes!$A:$A),"")</f>
        <v/>
      </c>
      <c r="O2468" s="10">
        <f>IFERROR(_xlfn.XLOOKUP(C2468,[1]AttributeName!$C:$C,[1]AttributeName!$B:$B),"")</f>
        <v>10303</v>
      </c>
      <c r="P2468" s="10"/>
      <c r="Q2468">
        <v>0.0699999999999999</v>
      </c>
      <c r="R2468">
        <v>0.09</v>
      </c>
      <c r="S2468" cm="1">
        <f t="array" ref="S2468">IFERROR(_xlfn.SWITCH(L2468,1,_xlfn.XLOOKUP(O2468,[1]AttributeName!$B:$B,[1]AttributeName!$D:$D),2,_xlfn.XLOOKUP(C2468,#REF!,#REF!),3,_xlfn.XLOOKUP(C2468,#REF!,#REF!)),0)</f>
        <v>2</v>
      </c>
      <c r="T2468" cm="1">
        <f t="array" ref="T2468">IFERROR(_xlfn.SWITCH(L2468,1,_xlfn.XLOOKUP(O2468,[1]AttributeName!$B:$B,[1]AttributeName!$E:$E),2,_xlfn.XLOOKUP(C2468,#REF!,#REF!),3,_xlfn.XLOOKUP(C2468,#REF!,#REF!)),0)</f>
        <v>2</v>
      </c>
    </row>
    <row r="2469" customFormat="1" spans="1:20">
      <c r="A2469">
        <f t="shared" si="101"/>
        <v>1006</v>
      </c>
      <c r="B2469">
        <v>8</v>
      </c>
      <c r="C2469" t="s">
        <v>384</v>
      </c>
      <c r="D2469" t="s">
        <v>442</v>
      </c>
      <c r="E2469" t="s">
        <v>378</v>
      </c>
      <c r="F2469"/>
      <c r="G2469">
        <v>1</v>
      </c>
      <c r="H2469">
        <v>1000</v>
      </c>
      <c r="I2469">
        <v>3</v>
      </c>
      <c r="J2469" cm="1">
        <f t="array" ref="J2469">_xlfn.SWITCH(B2469,1,75,2,61,3,49,4,37,5,25,6,13,7,4,8,1)</f>
        <v>1</v>
      </c>
      <c r="K2469" t="str" cm="1">
        <f t="array" ref="K2469">IFERROR(_xlfn.SWITCH(L2469,2,_xlfn.XLOOKUP(C2469,[1]ModifierDes!$B:$B,[1]ModifierDes!$C:$C),3,_xlfn.XLOOKUP(C2469,[1]StuntDes!$B:$B,[1]StuntDes!$C:$C)),"")</f>
        <v/>
      </c>
      <c r="L2469">
        <f t="shared" si="102"/>
        <v>1</v>
      </c>
      <c r="M2469" s="10" t="str">
        <f>IFERROR(_xlfn.XLOOKUP(C2469,[1]StuntDes!$B:$B,[1]StuntDes!$A:$A),"")</f>
        <v/>
      </c>
      <c r="N2469" s="10" t="str">
        <f>IFERROR(_xlfn.XLOOKUP(C2469,[1]ModifierDes!$B:$B,[1]ModifierDes!$A:$A),"")</f>
        <v/>
      </c>
      <c r="O2469" s="10">
        <f>IFERROR(_xlfn.XLOOKUP(C2469,[1]AttributeName!$C:$C,[1]AttributeName!$B:$B),"")</f>
        <v>10303</v>
      </c>
      <c r="P2469" s="10"/>
      <c r="Q2469">
        <v>0.0399999999999998</v>
      </c>
      <c r="R2469">
        <v>0.06</v>
      </c>
      <c r="S2469" cm="1">
        <f t="array" ref="S2469">IFERROR(_xlfn.SWITCH(L2469,1,_xlfn.XLOOKUP(O2469,[1]AttributeName!$B:$B,[1]AttributeName!$D:$D),2,_xlfn.XLOOKUP(C2469,#REF!,#REF!),3,_xlfn.XLOOKUP(C2469,#REF!,#REF!)),0)</f>
        <v>2</v>
      </c>
      <c r="T2469" cm="1">
        <f t="array" ref="T2469">IFERROR(_xlfn.SWITCH(L2469,1,_xlfn.XLOOKUP(O2469,[1]AttributeName!$B:$B,[1]AttributeName!$E:$E),2,_xlfn.XLOOKUP(C2469,#REF!,#REF!),3,_xlfn.XLOOKUP(C2469,#REF!,#REF!)),0)</f>
        <v>2</v>
      </c>
    </row>
    <row r="2470" customFormat="1" spans="1:20">
      <c r="A2470">
        <f t="shared" si="101"/>
        <v>1007</v>
      </c>
      <c r="B2470">
        <v>1</v>
      </c>
      <c r="C2470" t="s">
        <v>385</v>
      </c>
      <c r="D2470" t="s">
        <v>442</v>
      </c>
      <c r="E2470" t="s">
        <v>378</v>
      </c>
      <c r="F2470"/>
      <c r="G2470">
        <v>1</v>
      </c>
      <c r="H2470">
        <v>100</v>
      </c>
      <c r="I2470">
        <v>3</v>
      </c>
      <c r="J2470" cm="1">
        <f t="array" ref="J2470">_xlfn.SWITCH(B2470,1,75,2,61,3,49,4,37,5,25,6,13,7,4,8,1)</f>
        <v>75</v>
      </c>
      <c r="K2470" t="str" cm="1">
        <f t="array" ref="K2470">IFERROR(_xlfn.SWITCH(L2470,2,_xlfn.XLOOKUP(C2470,[1]ModifierDes!$B:$B,[1]ModifierDes!$C:$C),3,_xlfn.XLOOKUP(C2470,[1]StuntDes!$B:$B,[1]StuntDes!$C:$C)),"")</f>
        <v/>
      </c>
      <c r="L2470">
        <f t="shared" si="102"/>
        <v>1</v>
      </c>
      <c r="M2470" s="10" t="str">
        <f>IFERROR(_xlfn.XLOOKUP(C2470,[1]StuntDes!$B:$B,[1]StuntDes!$A:$A),"")</f>
        <v/>
      </c>
      <c r="N2470" s="10" t="str">
        <f>IFERROR(_xlfn.XLOOKUP(C2470,[1]ModifierDes!$B:$B,[1]ModifierDes!$A:$A),"")</f>
        <v/>
      </c>
      <c r="O2470" s="10">
        <f>IFERROR(_xlfn.XLOOKUP(C2470,[1]AttributeName!$C:$C,[1]AttributeName!$B:$B),"")</f>
        <v>10304</v>
      </c>
      <c r="P2470" s="10"/>
      <c r="Q2470">
        <v>0.25</v>
      </c>
      <c r="R2470">
        <v>0.35</v>
      </c>
      <c r="S2470" cm="1">
        <f t="array" ref="S2470">IFERROR(_xlfn.SWITCH(L2470,1,_xlfn.XLOOKUP(O2470,[1]AttributeName!$B:$B,[1]AttributeName!$D:$D),2,_xlfn.XLOOKUP(C2470,#REF!,#REF!),3,_xlfn.XLOOKUP(C2470,#REF!,#REF!)),0)</f>
        <v>2</v>
      </c>
      <c r="T2470" cm="1">
        <f t="array" ref="T2470">IFERROR(_xlfn.SWITCH(L2470,1,_xlfn.XLOOKUP(O2470,[1]AttributeName!$B:$B,[1]AttributeName!$E:$E),2,_xlfn.XLOOKUP(C2470,#REF!,#REF!),3,_xlfn.XLOOKUP(C2470,#REF!,#REF!)),0)</f>
        <v>2</v>
      </c>
    </row>
    <row r="2471" customFormat="1" spans="1:20">
      <c r="A2471">
        <f t="shared" si="101"/>
        <v>1007</v>
      </c>
      <c r="B2471">
        <v>2</v>
      </c>
      <c r="C2471" t="s">
        <v>385</v>
      </c>
      <c r="D2471" t="s">
        <v>442</v>
      </c>
      <c r="E2471" t="s">
        <v>378</v>
      </c>
      <c r="F2471"/>
      <c r="G2471">
        <v>1</v>
      </c>
      <c r="H2471">
        <v>200</v>
      </c>
      <c r="I2471">
        <v>3</v>
      </c>
      <c r="J2471" cm="1">
        <f t="array" ref="J2471">_xlfn.SWITCH(B2471,1,75,2,61,3,49,4,37,5,25,6,13,7,4,8,1)</f>
        <v>61</v>
      </c>
      <c r="K2471" t="str" cm="1">
        <f t="array" ref="K2471">IFERROR(_xlfn.SWITCH(L2471,2,_xlfn.XLOOKUP(C2471,[1]ModifierDes!$B:$B,[1]ModifierDes!$C:$C),3,_xlfn.XLOOKUP(C2471,[1]StuntDes!$B:$B,[1]StuntDes!$C:$C)),"")</f>
        <v/>
      </c>
      <c r="L2471">
        <f t="shared" si="102"/>
        <v>1</v>
      </c>
      <c r="M2471" s="10" t="str">
        <f>IFERROR(_xlfn.XLOOKUP(C2471,[1]StuntDes!$B:$B,[1]StuntDes!$A:$A),"")</f>
        <v/>
      </c>
      <c r="N2471" s="10" t="str">
        <f>IFERROR(_xlfn.XLOOKUP(C2471,[1]ModifierDes!$B:$B,[1]ModifierDes!$A:$A),"")</f>
        <v/>
      </c>
      <c r="O2471" s="10">
        <f>IFERROR(_xlfn.XLOOKUP(C2471,[1]AttributeName!$C:$C,[1]AttributeName!$B:$B),"")</f>
        <v>10304</v>
      </c>
      <c r="P2471" s="10"/>
      <c r="Q2471">
        <v>0.22</v>
      </c>
      <c r="R2471">
        <v>0.24</v>
      </c>
      <c r="S2471" cm="1">
        <f t="array" ref="S2471">IFERROR(_xlfn.SWITCH(L2471,1,_xlfn.XLOOKUP(O2471,[1]AttributeName!$B:$B,[1]AttributeName!$D:$D),2,_xlfn.XLOOKUP(C2471,#REF!,#REF!),3,_xlfn.XLOOKUP(C2471,#REF!,#REF!)),0)</f>
        <v>2</v>
      </c>
      <c r="T2471" cm="1">
        <f t="array" ref="T2471">IFERROR(_xlfn.SWITCH(L2471,1,_xlfn.XLOOKUP(O2471,[1]AttributeName!$B:$B,[1]AttributeName!$E:$E),2,_xlfn.XLOOKUP(C2471,#REF!,#REF!),3,_xlfn.XLOOKUP(C2471,#REF!,#REF!)),0)</f>
        <v>2</v>
      </c>
    </row>
    <row r="2472" customFormat="1" spans="1:20">
      <c r="A2472">
        <f t="shared" si="101"/>
        <v>1007</v>
      </c>
      <c r="B2472">
        <v>3</v>
      </c>
      <c r="C2472" t="s">
        <v>385</v>
      </c>
      <c r="D2472" t="s">
        <v>442</v>
      </c>
      <c r="E2472" t="s">
        <v>378</v>
      </c>
      <c r="F2472"/>
      <c r="G2472">
        <v>1</v>
      </c>
      <c r="H2472">
        <v>500</v>
      </c>
      <c r="I2472">
        <v>3</v>
      </c>
      <c r="J2472" cm="1">
        <f t="array" ref="J2472">_xlfn.SWITCH(B2472,1,75,2,61,3,49,4,37,5,25,6,13,7,4,8,1)</f>
        <v>49</v>
      </c>
      <c r="K2472" t="str" cm="1">
        <f t="array" ref="K2472">IFERROR(_xlfn.SWITCH(L2472,2,_xlfn.XLOOKUP(C2472,[1]ModifierDes!$B:$B,[1]ModifierDes!$C:$C),3,_xlfn.XLOOKUP(C2472,[1]StuntDes!$B:$B,[1]StuntDes!$C:$C)),"")</f>
        <v/>
      </c>
      <c r="L2472">
        <f t="shared" si="102"/>
        <v>1</v>
      </c>
      <c r="M2472" s="10" t="str">
        <f>IFERROR(_xlfn.XLOOKUP(C2472,[1]StuntDes!$B:$B,[1]StuntDes!$A:$A),"")</f>
        <v/>
      </c>
      <c r="N2472" s="10" t="str">
        <f>IFERROR(_xlfn.XLOOKUP(C2472,[1]ModifierDes!$B:$B,[1]ModifierDes!$A:$A),"")</f>
        <v/>
      </c>
      <c r="O2472" s="10">
        <f>IFERROR(_xlfn.XLOOKUP(C2472,[1]AttributeName!$C:$C,[1]AttributeName!$B:$B),"")</f>
        <v>10304</v>
      </c>
      <c r="P2472" s="10"/>
      <c r="Q2472">
        <v>0.19</v>
      </c>
      <c r="R2472">
        <v>0.21</v>
      </c>
      <c r="S2472" cm="1">
        <f t="array" ref="S2472">IFERROR(_xlfn.SWITCH(L2472,1,_xlfn.XLOOKUP(O2472,[1]AttributeName!$B:$B,[1]AttributeName!$D:$D),2,_xlfn.XLOOKUP(C2472,#REF!,#REF!),3,_xlfn.XLOOKUP(C2472,#REF!,#REF!)),0)</f>
        <v>2</v>
      </c>
      <c r="T2472" cm="1">
        <f t="array" ref="T2472">IFERROR(_xlfn.SWITCH(L2472,1,_xlfn.XLOOKUP(O2472,[1]AttributeName!$B:$B,[1]AttributeName!$E:$E),2,_xlfn.XLOOKUP(C2472,#REF!,#REF!),3,_xlfn.XLOOKUP(C2472,#REF!,#REF!)),0)</f>
        <v>2</v>
      </c>
    </row>
    <row r="2473" customFormat="1" spans="1:20">
      <c r="A2473">
        <f t="shared" si="101"/>
        <v>1007</v>
      </c>
      <c r="B2473">
        <v>4</v>
      </c>
      <c r="C2473" t="s">
        <v>385</v>
      </c>
      <c r="D2473" t="s">
        <v>442</v>
      </c>
      <c r="E2473" t="s">
        <v>378</v>
      </c>
      <c r="F2473"/>
      <c r="G2473">
        <v>1</v>
      </c>
      <c r="H2473">
        <v>1000</v>
      </c>
      <c r="I2473">
        <v>3</v>
      </c>
      <c r="J2473" cm="1">
        <f t="array" ref="J2473">_xlfn.SWITCH(B2473,1,75,2,61,3,49,4,37,5,25,6,13,7,4,8,1)</f>
        <v>37</v>
      </c>
      <c r="K2473" t="str" cm="1">
        <f t="array" ref="K2473">IFERROR(_xlfn.SWITCH(L2473,2,_xlfn.XLOOKUP(C2473,[1]ModifierDes!$B:$B,[1]ModifierDes!$C:$C),3,_xlfn.XLOOKUP(C2473,[1]StuntDes!$B:$B,[1]StuntDes!$C:$C)),"")</f>
        <v/>
      </c>
      <c r="L2473">
        <f t="shared" si="102"/>
        <v>1</v>
      </c>
      <c r="M2473" s="10" t="str">
        <f>IFERROR(_xlfn.XLOOKUP(C2473,[1]StuntDes!$B:$B,[1]StuntDes!$A:$A),"")</f>
        <v/>
      </c>
      <c r="N2473" s="10" t="str">
        <f>IFERROR(_xlfn.XLOOKUP(C2473,[1]ModifierDes!$B:$B,[1]ModifierDes!$A:$A),"")</f>
        <v/>
      </c>
      <c r="O2473" s="10">
        <f>IFERROR(_xlfn.XLOOKUP(C2473,[1]AttributeName!$C:$C,[1]AttributeName!$B:$B),"")</f>
        <v>10304</v>
      </c>
      <c r="P2473" s="10"/>
      <c r="Q2473">
        <v>0.16</v>
      </c>
      <c r="R2473">
        <v>0.18</v>
      </c>
      <c r="S2473" cm="1">
        <f t="array" ref="S2473">IFERROR(_xlfn.SWITCH(L2473,1,_xlfn.XLOOKUP(O2473,[1]AttributeName!$B:$B,[1]AttributeName!$D:$D),2,_xlfn.XLOOKUP(C2473,#REF!,#REF!),3,_xlfn.XLOOKUP(C2473,#REF!,#REF!)),0)</f>
        <v>2</v>
      </c>
      <c r="T2473" cm="1">
        <f t="array" ref="T2473">IFERROR(_xlfn.SWITCH(L2473,1,_xlfn.XLOOKUP(O2473,[1]AttributeName!$B:$B,[1]AttributeName!$E:$E),2,_xlfn.XLOOKUP(C2473,#REF!,#REF!),3,_xlfn.XLOOKUP(C2473,#REF!,#REF!)),0)</f>
        <v>2</v>
      </c>
    </row>
    <row r="2474" customFormat="1" spans="1:20">
      <c r="A2474">
        <f t="shared" si="101"/>
        <v>1007</v>
      </c>
      <c r="B2474">
        <v>5</v>
      </c>
      <c r="C2474" t="s">
        <v>385</v>
      </c>
      <c r="D2474" t="s">
        <v>442</v>
      </c>
      <c r="E2474" t="s">
        <v>378</v>
      </c>
      <c r="F2474"/>
      <c r="G2474">
        <v>1</v>
      </c>
      <c r="H2474">
        <v>1000</v>
      </c>
      <c r="I2474">
        <v>3</v>
      </c>
      <c r="J2474" cm="1">
        <f t="array" ref="J2474">_xlfn.SWITCH(B2474,1,75,2,61,3,49,4,37,5,25,6,13,7,4,8,1)</f>
        <v>25</v>
      </c>
      <c r="K2474" t="str" cm="1">
        <f t="array" ref="K2474">IFERROR(_xlfn.SWITCH(L2474,2,_xlfn.XLOOKUP(C2474,[1]ModifierDes!$B:$B,[1]ModifierDes!$C:$C),3,_xlfn.XLOOKUP(C2474,[1]StuntDes!$B:$B,[1]StuntDes!$C:$C)),"")</f>
        <v/>
      </c>
      <c r="L2474">
        <f t="shared" si="102"/>
        <v>1</v>
      </c>
      <c r="M2474" s="10" t="str">
        <f>IFERROR(_xlfn.XLOOKUP(C2474,[1]StuntDes!$B:$B,[1]StuntDes!$A:$A),"")</f>
        <v/>
      </c>
      <c r="N2474" s="10" t="str">
        <f>IFERROR(_xlfn.XLOOKUP(C2474,[1]ModifierDes!$B:$B,[1]ModifierDes!$A:$A),"")</f>
        <v/>
      </c>
      <c r="O2474" s="10">
        <f>IFERROR(_xlfn.XLOOKUP(C2474,[1]AttributeName!$C:$C,[1]AttributeName!$B:$B),"")</f>
        <v>10304</v>
      </c>
      <c r="P2474" s="10"/>
      <c r="Q2474">
        <v>0.13</v>
      </c>
      <c r="R2474">
        <v>0.15</v>
      </c>
      <c r="S2474" cm="1">
        <f t="array" ref="S2474">IFERROR(_xlfn.SWITCH(L2474,1,_xlfn.XLOOKUP(O2474,[1]AttributeName!$B:$B,[1]AttributeName!$D:$D),2,_xlfn.XLOOKUP(C2474,#REF!,#REF!),3,_xlfn.XLOOKUP(C2474,#REF!,#REF!)),0)</f>
        <v>2</v>
      </c>
      <c r="T2474" cm="1">
        <f t="array" ref="T2474">IFERROR(_xlfn.SWITCH(L2474,1,_xlfn.XLOOKUP(O2474,[1]AttributeName!$B:$B,[1]AttributeName!$E:$E),2,_xlfn.XLOOKUP(C2474,#REF!,#REF!),3,_xlfn.XLOOKUP(C2474,#REF!,#REF!)),0)</f>
        <v>2</v>
      </c>
    </row>
    <row r="2475" customFormat="1" spans="1:20">
      <c r="A2475">
        <f t="shared" si="101"/>
        <v>1007</v>
      </c>
      <c r="B2475">
        <v>6</v>
      </c>
      <c r="C2475" t="s">
        <v>385</v>
      </c>
      <c r="D2475" t="s">
        <v>442</v>
      </c>
      <c r="E2475" t="s">
        <v>378</v>
      </c>
      <c r="F2475"/>
      <c r="G2475">
        <v>1</v>
      </c>
      <c r="H2475">
        <v>1000</v>
      </c>
      <c r="I2475">
        <v>3</v>
      </c>
      <c r="J2475" cm="1">
        <f t="array" ref="J2475">_xlfn.SWITCH(B2475,1,75,2,61,3,49,4,37,5,25,6,13,7,4,8,1)</f>
        <v>13</v>
      </c>
      <c r="K2475" t="str" cm="1">
        <f t="array" ref="K2475">IFERROR(_xlfn.SWITCH(L2475,2,_xlfn.XLOOKUP(C2475,[1]ModifierDes!$B:$B,[1]ModifierDes!$C:$C),3,_xlfn.XLOOKUP(C2475,[1]StuntDes!$B:$B,[1]StuntDes!$C:$C)),"")</f>
        <v/>
      </c>
      <c r="L2475">
        <f t="shared" si="102"/>
        <v>1</v>
      </c>
      <c r="M2475" s="10" t="str">
        <f>IFERROR(_xlfn.XLOOKUP(C2475,[1]StuntDes!$B:$B,[1]StuntDes!$A:$A),"")</f>
        <v/>
      </c>
      <c r="N2475" s="10" t="str">
        <f>IFERROR(_xlfn.XLOOKUP(C2475,[1]ModifierDes!$B:$B,[1]ModifierDes!$A:$A),"")</f>
        <v/>
      </c>
      <c r="O2475" s="10">
        <f>IFERROR(_xlfn.XLOOKUP(C2475,[1]AttributeName!$C:$C,[1]AttributeName!$B:$B),"")</f>
        <v>10304</v>
      </c>
      <c r="P2475" s="10"/>
      <c r="Q2475">
        <v>0.0999999999999999</v>
      </c>
      <c r="R2475">
        <v>0.12</v>
      </c>
      <c r="S2475" cm="1">
        <f t="array" ref="S2475">IFERROR(_xlfn.SWITCH(L2475,1,_xlfn.XLOOKUP(O2475,[1]AttributeName!$B:$B,[1]AttributeName!$D:$D),2,_xlfn.XLOOKUP(C2475,#REF!,#REF!),3,_xlfn.XLOOKUP(C2475,#REF!,#REF!)),0)</f>
        <v>2</v>
      </c>
      <c r="T2475" cm="1">
        <f t="array" ref="T2475">IFERROR(_xlfn.SWITCH(L2475,1,_xlfn.XLOOKUP(O2475,[1]AttributeName!$B:$B,[1]AttributeName!$E:$E),2,_xlfn.XLOOKUP(C2475,#REF!,#REF!),3,_xlfn.XLOOKUP(C2475,#REF!,#REF!)),0)</f>
        <v>2</v>
      </c>
    </row>
    <row r="2476" customFormat="1" spans="1:20">
      <c r="A2476">
        <f t="shared" si="101"/>
        <v>1007</v>
      </c>
      <c r="B2476">
        <v>7</v>
      </c>
      <c r="C2476" t="s">
        <v>385</v>
      </c>
      <c r="D2476" t="s">
        <v>442</v>
      </c>
      <c r="E2476" t="s">
        <v>378</v>
      </c>
      <c r="F2476"/>
      <c r="G2476">
        <v>1</v>
      </c>
      <c r="H2476">
        <v>1000</v>
      </c>
      <c r="I2476">
        <v>3</v>
      </c>
      <c r="J2476" cm="1">
        <f t="array" ref="J2476">_xlfn.SWITCH(B2476,1,75,2,61,3,49,4,37,5,25,6,13,7,4,8,1)</f>
        <v>4</v>
      </c>
      <c r="K2476" t="str" cm="1">
        <f t="array" ref="K2476">IFERROR(_xlfn.SWITCH(L2476,2,_xlfn.XLOOKUP(C2476,[1]ModifierDes!$B:$B,[1]ModifierDes!$C:$C),3,_xlfn.XLOOKUP(C2476,[1]StuntDes!$B:$B,[1]StuntDes!$C:$C)),"")</f>
        <v/>
      </c>
      <c r="L2476">
        <f t="shared" si="102"/>
        <v>1</v>
      </c>
      <c r="M2476" s="10" t="str">
        <f>IFERROR(_xlfn.XLOOKUP(C2476,[1]StuntDes!$B:$B,[1]StuntDes!$A:$A),"")</f>
        <v/>
      </c>
      <c r="N2476" s="10" t="str">
        <f>IFERROR(_xlfn.XLOOKUP(C2476,[1]ModifierDes!$B:$B,[1]ModifierDes!$A:$A),"")</f>
        <v/>
      </c>
      <c r="O2476" s="10">
        <f>IFERROR(_xlfn.XLOOKUP(C2476,[1]AttributeName!$C:$C,[1]AttributeName!$B:$B),"")</f>
        <v>10304</v>
      </c>
      <c r="P2476" s="10"/>
      <c r="Q2476">
        <v>0.0699999999999999</v>
      </c>
      <c r="R2476">
        <v>0.09</v>
      </c>
      <c r="S2476" cm="1">
        <f t="array" ref="S2476">IFERROR(_xlfn.SWITCH(L2476,1,_xlfn.XLOOKUP(O2476,[1]AttributeName!$B:$B,[1]AttributeName!$D:$D),2,_xlfn.XLOOKUP(C2476,#REF!,#REF!),3,_xlfn.XLOOKUP(C2476,#REF!,#REF!)),0)</f>
        <v>2</v>
      </c>
      <c r="T2476" cm="1">
        <f t="array" ref="T2476">IFERROR(_xlfn.SWITCH(L2476,1,_xlfn.XLOOKUP(O2476,[1]AttributeName!$B:$B,[1]AttributeName!$E:$E),2,_xlfn.XLOOKUP(C2476,#REF!,#REF!),3,_xlfn.XLOOKUP(C2476,#REF!,#REF!)),0)</f>
        <v>2</v>
      </c>
    </row>
    <row r="2477" customFormat="1" spans="1:20">
      <c r="A2477">
        <f t="shared" si="101"/>
        <v>1007</v>
      </c>
      <c r="B2477">
        <v>8</v>
      </c>
      <c r="C2477" t="s">
        <v>385</v>
      </c>
      <c r="D2477" t="s">
        <v>442</v>
      </c>
      <c r="E2477" t="s">
        <v>378</v>
      </c>
      <c r="F2477"/>
      <c r="G2477">
        <v>1</v>
      </c>
      <c r="H2477">
        <v>1000</v>
      </c>
      <c r="I2477">
        <v>3</v>
      </c>
      <c r="J2477" cm="1">
        <f t="array" ref="J2477">_xlfn.SWITCH(B2477,1,75,2,61,3,49,4,37,5,25,6,13,7,4,8,1)</f>
        <v>1</v>
      </c>
      <c r="K2477" t="str" cm="1">
        <f t="array" ref="K2477">IFERROR(_xlfn.SWITCH(L2477,2,_xlfn.XLOOKUP(C2477,[1]ModifierDes!$B:$B,[1]ModifierDes!$C:$C),3,_xlfn.XLOOKUP(C2477,[1]StuntDes!$B:$B,[1]StuntDes!$C:$C)),"")</f>
        <v/>
      </c>
      <c r="L2477">
        <f t="shared" si="102"/>
        <v>1</v>
      </c>
      <c r="M2477" s="10" t="str">
        <f>IFERROR(_xlfn.XLOOKUP(C2477,[1]StuntDes!$B:$B,[1]StuntDes!$A:$A),"")</f>
        <v/>
      </c>
      <c r="N2477" s="10" t="str">
        <f>IFERROR(_xlfn.XLOOKUP(C2477,[1]ModifierDes!$B:$B,[1]ModifierDes!$A:$A),"")</f>
        <v/>
      </c>
      <c r="O2477" s="10">
        <f>IFERROR(_xlfn.XLOOKUP(C2477,[1]AttributeName!$C:$C,[1]AttributeName!$B:$B),"")</f>
        <v>10304</v>
      </c>
      <c r="P2477" s="10"/>
      <c r="Q2477">
        <v>0.0399999999999998</v>
      </c>
      <c r="R2477">
        <v>0.06</v>
      </c>
      <c r="S2477" cm="1">
        <f t="array" ref="S2477">IFERROR(_xlfn.SWITCH(L2477,1,_xlfn.XLOOKUP(O2477,[1]AttributeName!$B:$B,[1]AttributeName!$D:$D),2,_xlfn.XLOOKUP(C2477,#REF!,#REF!),3,_xlfn.XLOOKUP(C2477,#REF!,#REF!)),0)</f>
        <v>2</v>
      </c>
      <c r="T2477" cm="1">
        <f t="array" ref="T2477">IFERROR(_xlfn.SWITCH(L2477,1,_xlfn.XLOOKUP(O2477,[1]AttributeName!$B:$B,[1]AttributeName!$E:$E),2,_xlfn.XLOOKUP(C2477,#REF!,#REF!),3,_xlfn.XLOOKUP(C2477,#REF!,#REF!)),0)</f>
        <v>2</v>
      </c>
    </row>
    <row r="2478" customFormat="1" spans="1:20">
      <c r="A2478">
        <f t="shared" si="101"/>
        <v>1008</v>
      </c>
      <c r="B2478">
        <v>1</v>
      </c>
      <c r="C2478" t="s">
        <v>386</v>
      </c>
      <c r="D2478" t="s">
        <v>442</v>
      </c>
      <c r="E2478" t="s">
        <v>378</v>
      </c>
      <c r="F2478"/>
      <c r="G2478">
        <v>1</v>
      </c>
      <c r="H2478">
        <v>100</v>
      </c>
      <c r="I2478">
        <v>3</v>
      </c>
      <c r="J2478" cm="1">
        <f t="array" ref="J2478">_xlfn.SWITCH(B2478,1,75,2,61,3,49,4,37,5,25,6,13,7,4,8,1)</f>
        <v>75</v>
      </c>
      <c r="K2478" t="str" cm="1">
        <f t="array" ref="K2478">IFERROR(_xlfn.SWITCH(L2478,2,_xlfn.XLOOKUP(C2478,[1]ModifierDes!$B:$B,[1]ModifierDes!$C:$C),3,_xlfn.XLOOKUP(C2478,[1]StuntDes!$B:$B,[1]StuntDes!$C:$C)),"")</f>
        <v/>
      </c>
      <c r="L2478">
        <f t="shared" si="102"/>
        <v>1</v>
      </c>
      <c r="M2478" s="10" t="str">
        <f>IFERROR(_xlfn.XLOOKUP(C2478,[1]StuntDes!$B:$B,[1]StuntDes!$A:$A),"")</f>
        <v/>
      </c>
      <c r="N2478" s="10" t="str">
        <f>IFERROR(_xlfn.XLOOKUP(C2478,[1]ModifierDes!$B:$B,[1]ModifierDes!$A:$A),"")</f>
        <v/>
      </c>
      <c r="O2478" s="10">
        <f>IFERROR(_xlfn.XLOOKUP(C2478,[1]AttributeName!$C:$C,[1]AttributeName!$B:$B),"")</f>
        <v>10305</v>
      </c>
      <c r="P2478" s="10"/>
      <c r="Q2478">
        <v>0.25</v>
      </c>
      <c r="R2478">
        <v>0.35</v>
      </c>
      <c r="S2478" cm="1">
        <f t="array" ref="S2478">IFERROR(_xlfn.SWITCH(L2478,1,_xlfn.XLOOKUP(O2478,[1]AttributeName!$B:$B,[1]AttributeName!$D:$D),2,_xlfn.XLOOKUP(C2478,#REF!,#REF!),3,_xlfn.XLOOKUP(C2478,#REF!,#REF!)),0)</f>
        <v>2</v>
      </c>
      <c r="T2478" cm="1">
        <f t="array" ref="T2478">IFERROR(_xlfn.SWITCH(L2478,1,_xlfn.XLOOKUP(O2478,[1]AttributeName!$B:$B,[1]AttributeName!$E:$E),2,_xlfn.XLOOKUP(C2478,#REF!,#REF!),3,_xlfn.XLOOKUP(C2478,#REF!,#REF!)),0)</f>
        <v>2</v>
      </c>
    </row>
    <row r="2479" customFormat="1" spans="1:20">
      <c r="A2479">
        <f t="shared" si="101"/>
        <v>1008</v>
      </c>
      <c r="B2479">
        <v>2</v>
      </c>
      <c r="C2479" t="s">
        <v>386</v>
      </c>
      <c r="D2479" t="s">
        <v>442</v>
      </c>
      <c r="E2479" t="s">
        <v>378</v>
      </c>
      <c r="F2479"/>
      <c r="G2479">
        <v>1</v>
      </c>
      <c r="H2479">
        <v>200</v>
      </c>
      <c r="I2479">
        <v>3</v>
      </c>
      <c r="J2479" cm="1">
        <f t="array" ref="J2479">_xlfn.SWITCH(B2479,1,75,2,61,3,49,4,37,5,25,6,13,7,4,8,1)</f>
        <v>61</v>
      </c>
      <c r="K2479" t="str" cm="1">
        <f t="array" ref="K2479">IFERROR(_xlfn.SWITCH(L2479,2,_xlfn.XLOOKUP(C2479,[1]ModifierDes!$B:$B,[1]ModifierDes!$C:$C),3,_xlfn.XLOOKUP(C2479,[1]StuntDes!$B:$B,[1]StuntDes!$C:$C)),"")</f>
        <v/>
      </c>
      <c r="L2479">
        <f t="shared" si="102"/>
        <v>1</v>
      </c>
      <c r="M2479" s="10" t="str">
        <f>IFERROR(_xlfn.XLOOKUP(C2479,[1]StuntDes!$B:$B,[1]StuntDes!$A:$A),"")</f>
        <v/>
      </c>
      <c r="N2479" s="10" t="str">
        <f>IFERROR(_xlfn.XLOOKUP(C2479,[1]ModifierDes!$B:$B,[1]ModifierDes!$A:$A),"")</f>
        <v/>
      </c>
      <c r="O2479" s="10">
        <f>IFERROR(_xlfn.XLOOKUP(C2479,[1]AttributeName!$C:$C,[1]AttributeName!$B:$B),"")</f>
        <v>10305</v>
      </c>
      <c r="P2479" s="10"/>
      <c r="Q2479">
        <v>0.22</v>
      </c>
      <c r="R2479">
        <v>0.24</v>
      </c>
      <c r="S2479" cm="1">
        <f t="array" ref="S2479">IFERROR(_xlfn.SWITCH(L2479,1,_xlfn.XLOOKUP(O2479,[1]AttributeName!$B:$B,[1]AttributeName!$D:$D),2,_xlfn.XLOOKUP(C2479,#REF!,#REF!),3,_xlfn.XLOOKUP(C2479,#REF!,#REF!)),0)</f>
        <v>2</v>
      </c>
      <c r="T2479" cm="1">
        <f t="array" ref="T2479">IFERROR(_xlfn.SWITCH(L2479,1,_xlfn.XLOOKUP(O2479,[1]AttributeName!$B:$B,[1]AttributeName!$E:$E),2,_xlfn.XLOOKUP(C2479,#REF!,#REF!),3,_xlfn.XLOOKUP(C2479,#REF!,#REF!)),0)</f>
        <v>2</v>
      </c>
    </row>
    <row r="2480" customFormat="1" spans="1:20">
      <c r="A2480">
        <f t="shared" si="101"/>
        <v>1008</v>
      </c>
      <c r="B2480">
        <v>3</v>
      </c>
      <c r="C2480" t="s">
        <v>386</v>
      </c>
      <c r="D2480" t="s">
        <v>442</v>
      </c>
      <c r="E2480" t="s">
        <v>378</v>
      </c>
      <c r="F2480"/>
      <c r="G2480">
        <v>1</v>
      </c>
      <c r="H2480">
        <v>500</v>
      </c>
      <c r="I2480">
        <v>3</v>
      </c>
      <c r="J2480" cm="1">
        <f t="array" ref="J2480">_xlfn.SWITCH(B2480,1,75,2,61,3,49,4,37,5,25,6,13,7,4,8,1)</f>
        <v>49</v>
      </c>
      <c r="K2480" t="str" cm="1">
        <f t="array" ref="K2480">IFERROR(_xlfn.SWITCH(L2480,2,_xlfn.XLOOKUP(C2480,[1]ModifierDes!$B:$B,[1]ModifierDes!$C:$C),3,_xlfn.XLOOKUP(C2480,[1]StuntDes!$B:$B,[1]StuntDes!$C:$C)),"")</f>
        <v/>
      </c>
      <c r="L2480">
        <f t="shared" si="102"/>
        <v>1</v>
      </c>
      <c r="M2480" s="10" t="str">
        <f>IFERROR(_xlfn.XLOOKUP(C2480,[1]StuntDes!$B:$B,[1]StuntDes!$A:$A),"")</f>
        <v/>
      </c>
      <c r="N2480" s="10" t="str">
        <f>IFERROR(_xlfn.XLOOKUP(C2480,[1]ModifierDes!$B:$B,[1]ModifierDes!$A:$A),"")</f>
        <v/>
      </c>
      <c r="O2480" s="10">
        <f>IFERROR(_xlfn.XLOOKUP(C2480,[1]AttributeName!$C:$C,[1]AttributeName!$B:$B),"")</f>
        <v>10305</v>
      </c>
      <c r="P2480" s="10"/>
      <c r="Q2480">
        <v>0.19</v>
      </c>
      <c r="R2480">
        <v>0.21</v>
      </c>
      <c r="S2480" cm="1">
        <f t="array" ref="S2480">IFERROR(_xlfn.SWITCH(L2480,1,_xlfn.XLOOKUP(O2480,[1]AttributeName!$B:$B,[1]AttributeName!$D:$D),2,_xlfn.XLOOKUP(C2480,#REF!,#REF!),3,_xlfn.XLOOKUP(C2480,#REF!,#REF!)),0)</f>
        <v>2</v>
      </c>
      <c r="T2480" cm="1">
        <f t="array" ref="T2480">IFERROR(_xlfn.SWITCH(L2480,1,_xlfn.XLOOKUP(O2480,[1]AttributeName!$B:$B,[1]AttributeName!$E:$E),2,_xlfn.XLOOKUP(C2480,#REF!,#REF!),3,_xlfn.XLOOKUP(C2480,#REF!,#REF!)),0)</f>
        <v>2</v>
      </c>
    </row>
    <row r="2481" customFormat="1" spans="1:20">
      <c r="A2481">
        <f t="shared" si="101"/>
        <v>1008</v>
      </c>
      <c r="B2481">
        <v>4</v>
      </c>
      <c r="C2481" t="s">
        <v>386</v>
      </c>
      <c r="D2481" t="s">
        <v>442</v>
      </c>
      <c r="E2481" t="s">
        <v>378</v>
      </c>
      <c r="F2481"/>
      <c r="G2481">
        <v>1</v>
      </c>
      <c r="H2481">
        <v>1000</v>
      </c>
      <c r="I2481">
        <v>3</v>
      </c>
      <c r="J2481" cm="1">
        <f t="array" ref="J2481">_xlfn.SWITCH(B2481,1,75,2,61,3,49,4,37,5,25,6,13,7,4,8,1)</f>
        <v>37</v>
      </c>
      <c r="K2481" t="str" cm="1">
        <f t="array" ref="K2481">IFERROR(_xlfn.SWITCH(L2481,2,_xlfn.XLOOKUP(C2481,[1]ModifierDes!$B:$B,[1]ModifierDes!$C:$C),3,_xlfn.XLOOKUP(C2481,[1]StuntDes!$B:$B,[1]StuntDes!$C:$C)),"")</f>
        <v/>
      </c>
      <c r="L2481">
        <f t="shared" si="102"/>
        <v>1</v>
      </c>
      <c r="M2481" s="10" t="str">
        <f>IFERROR(_xlfn.XLOOKUP(C2481,[1]StuntDes!$B:$B,[1]StuntDes!$A:$A),"")</f>
        <v/>
      </c>
      <c r="N2481" s="10" t="str">
        <f>IFERROR(_xlfn.XLOOKUP(C2481,[1]ModifierDes!$B:$B,[1]ModifierDes!$A:$A),"")</f>
        <v/>
      </c>
      <c r="O2481" s="10">
        <f>IFERROR(_xlfn.XLOOKUP(C2481,[1]AttributeName!$C:$C,[1]AttributeName!$B:$B),"")</f>
        <v>10305</v>
      </c>
      <c r="P2481" s="10"/>
      <c r="Q2481">
        <v>0.16</v>
      </c>
      <c r="R2481">
        <v>0.18</v>
      </c>
      <c r="S2481" cm="1">
        <f t="array" ref="S2481">IFERROR(_xlfn.SWITCH(L2481,1,_xlfn.XLOOKUP(O2481,[1]AttributeName!$B:$B,[1]AttributeName!$D:$D),2,_xlfn.XLOOKUP(C2481,#REF!,#REF!),3,_xlfn.XLOOKUP(C2481,#REF!,#REF!)),0)</f>
        <v>2</v>
      </c>
      <c r="T2481" cm="1">
        <f t="array" ref="T2481">IFERROR(_xlfn.SWITCH(L2481,1,_xlfn.XLOOKUP(O2481,[1]AttributeName!$B:$B,[1]AttributeName!$E:$E),2,_xlfn.XLOOKUP(C2481,#REF!,#REF!),3,_xlfn.XLOOKUP(C2481,#REF!,#REF!)),0)</f>
        <v>2</v>
      </c>
    </row>
    <row r="2482" customFormat="1" spans="1:20">
      <c r="A2482">
        <f t="shared" si="101"/>
        <v>1008</v>
      </c>
      <c r="B2482">
        <v>5</v>
      </c>
      <c r="C2482" t="s">
        <v>386</v>
      </c>
      <c r="D2482" t="s">
        <v>442</v>
      </c>
      <c r="E2482" t="s">
        <v>378</v>
      </c>
      <c r="F2482"/>
      <c r="G2482">
        <v>1</v>
      </c>
      <c r="H2482">
        <v>1000</v>
      </c>
      <c r="I2482">
        <v>3</v>
      </c>
      <c r="J2482" cm="1">
        <f t="array" ref="J2482">_xlfn.SWITCH(B2482,1,75,2,61,3,49,4,37,5,25,6,13,7,4,8,1)</f>
        <v>25</v>
      </c>
      <c r="K2482" t="str" cm="1">
        <f t="array" ref="K2482">IFERROR(_xlfn.SWITCH(L2482,2,_xlfn.XLOOKUP(C2482,[1]ModifierDes!$B:$B,[1]ModifierDes!$C:$C),3,_xlfn.XLOOKUP(C2482,[1]StuntDes!$B:$B,[1]StuntDes!$C:$C)),"")</f>
        <v/>
      </c>
      <c r="L2482">
        <f t="shared" si="102"/>
        <v>1</v>
      </c>
      <c r="M2482" s="10" t="str">
        <f>IFERROR(_xlfn.XLOOKUP(C2482,[1]StuntDes!$B:$B,[1]StuntDes!$A:$A),"")</f>
        <v/>
      </c>
      <c r="N2482" s="10" t="str">
        <f>IFERROR(_xlfn.XLOOKUP(C2482,[1]ModifierDes!$B:$B,[1]ModifierDes!$A:$A),"")</f>
        <v/>
      </c>
      <c r="O2482" s="10">
        <f>IFERROR(_xlfn.XLOOKUP(C2482,[1]AttributeName!$C:$C,[1]AttributeName!$B:$B),"")</f>
        <v>10305</v>
      </c>
      <c r="P2482" s="10"/>
      <c r="Q2482">
        <v>0.13</v>
      </c>
      <c r="R2482">
        <v>0.15</v>
      </c>
      <c r="S2482" cm="1">
        <f t="array" ref="S2482">IFERROR(_xlfn.SWITCH(L2482,1,_xlfn.XLOOKUP(O2482,[1]AttributeName!$B:$B,[1]AttributeName!$D:$D),2,_xlfn.XLOOKUP(C2482,#REF!,#REF!),3,_xlfn.XLOOKUP(C2482,#REF!,#REF!)),0)</f>
        <v>2</v>
      </c>
      <c r="T2482" cm="1">
        <f t="array" ref="T2482">IFERROR(_xlfn.SWITCH(L2482,1,_xlfn.XLOOKUP(O2482,[1]AttributeName!$B:$B,[1]AttributeName!$E:$E),2,_xlfn.XLOOKUP(C2482,#REF!,#REF!),3,_xlfn.XLOOKUP(C2482,#REF!,#REF!)),0)</f>
        <v>2</v>
      </c>
    </row>
    <row r="2483" customFormat="1" spans="1:20">
      <c r="A2483">
        <f t="shared" si="101"/>
        <v>1008</v>
      </c>
      <c r="B2483">
        <v>6</v>
      </c>
      <c r="C2483" t="s">
        <v>386</v>
      </c>
      <c r="D2483" t="s">
        <v>442</v>
      </c>
      <c r="E2483" t="s">
        <v>378</v>
      </c>
      <c r="F2483"/>
      <c r="G2483">
        <v>1</v>
      </c>
      <c r="H2483">
        <v>1000</v>
      </c>
      <c r="I2483">
        <v>3</v>
      </c>
      <c r="J2483" cm="1">
        <f t="array" ref="J2483">_xlfn.SWITCH(B2483,1,75,2,61,3,49,4,37,5,25,6,13,7,4,8,1)</f>
        <v>13</v>
      </c>
      <c r="K2483" t="str" cm="1">
        <f t="array" ref="K2483">IFERROR(_xlfn.SWITCH(L2483,2,_xlfn.XLOOKUP(C2483,[1]ModifierDes!$B:$B,[1]ModifierDes!$C:$C),3,_xlfn.XLOOKUP(C2483,[1]StuntDes!$B:$B,[1]StuntDes!$C:$C)),"")</f>
        <v/>
      </c>
      <c r="L2483">
        <f t="shared" si="102"/>
        <v>1</v>
      </c>
      <c r="M2483" s="10" t="str">
        <f>IFERROR(_xlfn.XLOOKUP(C2483,[1]StuntDes!$B:$B,[1]StuntDes!$A:$A),"")</f>
        <v/>
      </c>
      <c r="N2483" s="10" t="str">
        <f>IFERROR(_xlfn.XLOOKUP(C2483,[1]ModifierDes!$B:$B,[1]ModifierDes!$A:$A),"")</f>
        <v/>
      </c>
      <c r="O2483" s="10">
        <f>IFERROR(_xlfn.XLOOKUP(C2483,[1]AttributeName!$C:$C,[1]AttributeName!$B:$B),"")</f>
        <v>10305</v>
      </c>
      <c r="P2483" s="10"/>
      <c r="Q2483">
        <v>0.0999999999999999</v>
      </c>
      <c r="R2483">
        <v>0.12</v>
      </c>
      <c r="S2483" cm="1">
        <f t="array" ref="S2483">IFERROR(_xlfn.SWITCH(L2483,1,_xlfn.XLOOKUP(O2483,[1]AttributeName!$B:$B,[1]AttributeName!$D:$D),2,_xlfn.XLOOKUP(C2483,#REF!,#REF!),3,_xlfn.XLOOKUP(C2483,#REF!,#REF!)),0)</f>
        <v>2</v>
      </c>
      <c r="T2483" cm="1">
        <f t="array" ref="T2483">IFERROR(_xlfn.SWITCH(L2483,1,_xlfn.XLOOKUP(O2483,[1]AttributeName!$B:$B,[1]AttributeName!$E:$E),2,_xlfn.XLOOKUP(C2483,#REF!,#REF!),3,_xlfn.XLOOKUP(C2483,#REF!,#REF!)),0)</f>
        <v>2</v>
      </c>
    </row>
    <row r="2484" customFormat="1" spans="1:20">
      <c r="A2484">
        <f t="shared" si="101"/>
        <v>1008</v>
      </c>
      <c r="B2484">
        <v>7</v>
      </c>
      <c r="C2484" t="s">
        <v>386</v>
      </c>
      <c r="D2484" t="s">
        <v>442</v>
      </c>
      <c r="E2484" t="s">
        <v>378</v>
      </c>
      <c r="F2484"/>
      <c r="G2484">
        <v>1</v>
      </c>
      <c r="H2484">
        <v>1000</v>
      </c>
      <c r="I2484">
        <v>3</v>
      </c>
      <c r="J2484" cm="1">
        <f t="array" ref="J2484">_xlfn.SWITCH(B2484,1,75,2,61,3,49,4,37,5,25,6,13,7,4,8,1)</f>
        <v>4</v>
      </c>
      <c r="K2484" t="str" cm="1">
        <f t="array" ref="K2484">IFERROR(_xlfn.SWITCH(L2484,2,_xlfn.XLOOKUP(C2484,[1]ModifierDes!$B:$B,[1]ModifierDes!$C:$C),3,_xlfn.XLOOKUP(C2484,[1]StuntDes!$B:$B,[1]StuntDes!$C:$C)),"")</f>
        <v/>
      </c>
      <c r="L2484">
        <f t="shared" si="102"/>
        <v>1</v>
      </c>
      <c r="M2484" s="10" t="str">
        <f>IFERROR(_xlfn.XLOOKUP(C2484,[1]StuntDes!$B:$B,[1]StuntDes!$A:$A),"")</f>
        <v/>
      </c>
      <c r="N2484" s="10" t="str">
        <f>IFERROR(_xlfn.XLOOKUP(C2484,[1]ModifierDes!$B:$B,[1]ModifierDes!$A:$A),"")</f>
        <v/>
      </c>
      <c r="O2484" s="10">
        <f>IFERROR(_xlfn.XLOOKUP(C2484,[1]AttributeName!$C:$C,[1]AttributeName!$B:$B),"")</f>
        <v>10305</v>
      </c>
      <c r="P2484" s="10"/>
      <c r="Q2484">
        <v>0.0699999999999999</v>
      </c>
      <c r="R2484">
        <v>0.09</v>
      </c>
      <c r="S2484" cm="1">
        <f t="array" ref="S2484">IFERROR(_xlfn.SWITCH(L2484,1,_xlfn.XLOOKUP(O2484,[1]AttributeName!$B:$B,[1]AttributeName!$D:$D),2,_xlfn.XLOOKUP(C2484,#REF!,#REF!),3,_xlfn.XLOOKUP(C2484,#REF!,#REF!)),0)</f>
        <v>2</v>
      </c>
      <c r="T2484" cm="1">
        <f t="array" ref="T2484">IFERROR(_xlfn.SWITCH(L2484,1,_xlfn.XLOOKUP(O2484,[1]AttributeName!$B:$B,[1]AttributeName!$E:$E),2,_xlfn.XLOOKUP(C2484,#REF!,#REF!),3,_xlfn.XLOOKUP(C2484,#REF!,#REF!)),0)</f>
        <v>2</v>
      </c>
    </row>
    <row r="2485" customFormat="1" spans="1:20">
      <c r="A2485">
        <f t="shared" si="101"/>
        <v>1008</v>
      </c>
      <c r="B2485">
        <v>8</v>
      </c>
      <c r="C2485" t="s">
        <v>386</v>
      </c>
      <c r="D2485" t="s">
        <v>442</v>
      </c>
      <c r="E2485" t="s">
        <v>378</v>
      </c>
      <c r="F2485"/>
      <c r="G2485">
        <v>1</v>
      </c>
      <c r="H2485">
        <v>1000</v>
      </c>
      <c r="I2485">
        <v>3</v>
      </c>
      <c r="J2485" cm="1">
        <f t="array" ref="J2485">_xlfn.SWITCH(B2485,1,75,2,61,3,49,4,37,5,25,6,13,7,4,8,1)</f>
        <v>1</v>
      </c>
      <c r="K2485" t="str" cm="1">
        <f t="array" ref="K2485">IFERROR(_xlfn.SWITCH(L2485,2,_xlfn.XLOOKUP(C2485,[1]ModifierDes!$B:$B,[1]ModifierDes!$C:$C),3,_xlfn.XLOOKUP(C2485,[1]StuntDes!$B:$B,[1]StuntDes!$C:$C)),"")</f>
        <v/>
      </c>
      <c r="L2485">
        <f t="shared" si="102"/>
        <v>1</v>
      </c>
      <c r="M2485" s="10" t="str">
        <f>IFERROR(_xlfn.XLOOKUP(C2485,[1]StuntDes!$B:$B,[1]StuntDes!$A:$A),"")</f>
        <v/>
      </c>
      <c r="N2485" s="10" t="str">
        <f>IFERROR(_xlfn.XLOOKUP(C2485,[1]ModifierDes!$B:$B,[1]ModifierDes!$A:$A),"")</f>
        <v/>
      </c>
      <c r="O2485" s="10">
        <f>IFERROR(_xlfn.XLOOKUP(C2485,[1]AttributeName!$C:$C,[1]AttributeName!$B:$B),"")</f>
        <v>10305</v>
      </c>
      <c r="P2485" s="10"/>
      <c r="Q2485">
        <v>0.0399999999999998</v>
      </c>
      <c r="R2485">
        <v>0.06</v>
      </c>
      <c r="S2485" cm="1">
        <f t="array" ref="S2485">IFERROR(_xlfn.SWITCH(L2485,1,_xlfn.XLOOKUP(O2485,[1]AttributeName!$B:$B,[1]AttributeName!$D:$D),2,_xlfn.XLOOKUP(C2485,#REF!,#REF!),3,_xlfn.XLOOKUP(C2485,#REF!,#REF!)),0)</f>
        <v>2</v>
      </c>
      <c r="T2485" cm="1">
        <f t="array" ref="T2485">IFERROR(_xlfn.SWITCH(L2485,1,_xlfn.XLOOKUP(O2485,[1]AttributeName!$B:$B,[1]AttributeName!$E:$E),2,_xlfn.XLOOKUP(C2485,#REF!,#REF!),3,_xlfn.XLOOKUP(C2485,#REF!,#REF!)),0)</f>
        <v>2</v>
      </c>
    </row>
    <row r="2486" customFormat="1" spans="1:20">
      <c r="A2486">
        <f t="shared" si="101"/>
        <v>1009</v>
      </c>
      <c r="B2486">
        <v>1</v>
      </c>
      <c r="C2486" t="s">
        <v>387</v>
      </c>
      <c r="D2486" t="s">
        <v>442</v>
      </c>
      <c r="E2486" t="s">
        <v>378</v>
      </c>
      <c r="F2486"/>
      <c r="G2486">
        <v>1</v>
      </c>
      <c r="H2486">
        <v>100</v>
      </c>
      <c r="I2486">
        <v>3</v>
      </c>
      <c r="J2486" cm="1">
        <f t="array" ref="J2486">_xlfn.SWITCH(B2486,1,75,2,61,3,49,4,37,5,25,6,13,7,4,8,1)</f>
        <v>75</v>
      </c>
      <c r="K2486" t="str" cm="1">
        <f t="array" ref="K2486">IFERROR(_xlfn.SWITCH(L2486,2,_xlfn.XLOOKUP(C2486,[1]ModifierDes!$B:$B,[1]ModifierDes!$C:$C),3,_xlfn.XLOOKUP(C2486,[1]StuntDes!$B:$B,[1]StuntDes!$C:$C)),"")</f>
        <v/>
      </c>
      <c r="L2486">
        <f t="shared" si="102"/>
        <v>1</v>
      </c>
      <c r="M2486" s="10" t="str">
        <f>IFERROR(_xlfn.XLOOKUP(C2486,[1]StuntDes!$B:$B,[1]StuntDes!$A:$A),"")</f>
        <v/>
      </c>
      <c r="N2486" s="10" t="str">
        <f>IFERROR(_xlfn.XLOOKUP(C2486,[1]ModifierDes!$B:$B,[1]ModifierDes!$A:$A),"")</f>
        <v/>
      </c>
      <c r="O2486" s="10">
        <f>IFERROR(_xlfn.XLOOKUP(C2486,[1]AttributeName!$C:$C,[1]AttributeName!$B:$B),"")</f>
        <v>10306</v>
      </c>
      <c r="P2486" s="10"/>
      <c r="Q2486">
        <v>0.25</v>
      </c>
      <c r="R2486">
        <v>0.35</v>
      </c>
      <c r="S2486" cm="1">
        <f t="array" ref="S2486">IFERROR(_xlfn.SWITCH(L2486,1,_xlfn.XLOOKUP(O2486,[1]AttributeName!$B:$B,[1]AttributeName!$D:$D),2,_xlfn.XLOOKUP(C2486,#REF!,#REF!),3,_xlfn.XLOOKUP(C2486,#REF!,#REF!)),0)</f>
        <v>2</v>
      </c>
      <c r="T2486" cm="1">
        <f t="array" ref="T2486">IFERROR(_xlfn.SWITCH(L2486,1,_xlfn.XLOOKUP(O2486,[1]AttributeName!$B:$B,[1]AttributeName!$E:$E),2,_xlfn.XLOOKUP(C2486,#REF!,#REF!),3,_xlfn.XLOOKUP(C2486,#REF!,#REF!)),0)</f>
        <v>2</v>
      </c>
    </row>
    <row r="2487" customFormat="1" spans="1:20">
      <c r="A2487">
        <f t="shared" si="101"/>
        <v>1009</v>
      </c>
      <c r="B2487">
        <v>2</v>
      </c>
      <c r="C2487" t="s">
        <v>387</v>
      </c>
      <c r="D2487" t="s">
        <v>442</v>
      </c>
      <c r="E2487" t="s">
        <v>378</v>
      </c>
      <c r="F2487"/>
      <c r="G2487">
        <v>1</v>
      </c>
      <c r="H2487">
        <v>200</v>
      </c>
      <c r="I2487">
        <v>3</v>
      </c>
      <c r="J2487" cm="1">
        <f t="array" ref="J2487">_xlfn.SWITCH(B2487,1,75,2,61,3,49,4,37,5,25,6,13,7,4,8,1)</f>
        <v>61</v>
      </c>
      <c r="K2487" t="str" cm="1">
        <f t="array" ref="K2487">IFERROR(_xlfn.SWITCH(L2487,2,_xlfn.XLOOKUP(C2487,[1]ModifierDes!$B:$B,[1]ModifierDes!$C:$C),3,_xlfn.XLOOKUP(C2487,[1]StuntDes!$B:$B,[1]StuntDes!$C:$C)),"")</f>
        <v/>
      </c>
      <c r="L2487">
        <f t="shared" si="102"/>
        <v>1</v>
      </c>
      <c r="M2487" s="10" t="str">
        <f>IFERROR(_xlfn.XLOOKUP(C2487,[1]StuntDes!$B:$B,[1]StuntDes!$A:$A),"")</f>
        <v/>
      </c>
      <c r="N2487" s="10" t="str">
        <f>IFERROR(_xlfn.XLOOKUP(C2487,[1]ModifierDes!$B:$B,[1]ModifierDes!$A:$A),"")</f>
        <v/>
      </c>
      <c r="O2487" s="10">
        <f>IFERROR(_xlfn.XLOOKUP(C2487,[1]AttributeName!$C:$C,[1]AttributeName!$B:$B),"")</f>
        <v>10306</v>
      </c>
      <c r="P2487" s="10"/>
      <c r="Q2487">
        <v>0.22</v>
      </c>
      <c r="R2487">
        <v>0.24</v>
      </c>
      <c r="S2487" cm="1">
        <f t="array" ref="S2487">IFERROR(_xlfn.SWITCH(L2487,1,_xlfn.XLOOKUP(O2487,[1]AttributeName!$B:$B,[1]AttributeName!$D:$D),2,_xlfn.XLOOKUP(C2487,#REF!,#REF!),3,_xlfn.XLOOKUP(C2487,#REF!,#REF!)),0)</f>
        <v>2</v>
      </c>
      <c r="T2487" cm="1">
        <f t="array" ref="T2487">IFERROR(_xlfn.SWITCH(L2487,1,_xlfn.XLOOKUP(O2487,[1]AttributeName!$B:$B,[1]AttributeName!$E:$E),2,_xlfn.XLOOKUP(C2487,#REF!,#REF!),3,_xlfn.XLOOKUP(C2487,#REF!,#REF!)),0)</f>
        <v>2</v>
      </c>
    </row>
    <row r="2488" customFormat="1" spans="1:20">
      <c r="A2488">
        <f t="shared" si="101"/>
        <v>1009</v>
      </c>
      <c r="B2488">
        <v>3</v>
      </c>
      <c r="C2488" t="s">
        <v>387</v>
      </c>
      <c r="D2488" t="s">
        <v>442</v>
      </c>
      <c r="E2488" t="s">
        <v>378</v>
      </c>
      <c r="F2488"/>
      <c r="G2488">
        <v>1</v>
      </c>
      <c r="H2488">
        <v>500</v>
      </c>
      <c r="I2488">
        <v>3</v>
      </c>
      <c r="J2488" cm="1">
        <f t="array" ref="J2488">_xlfn.SWITCH(B2488,1,75,2,61,3,49,4,37,5,25,6,13,7,4,8,1)</f>
        <v>49</v>
      </c>
      <c r="K2488" t="str" cm="1">
        <f t="array" ref="K2488">IFERROR(_xlfn.SWITCH(L2488,2,_xlfn.XLOOKUP(C2488,[1]ModifierDes!$B:$B,[1]ModifierDes!$C:$C),3,_xlfn.XLOOKUP(C2488,[1]StuntDes!$B:$B,[1]StuntDes!$C:$C)),"")</f>
        <v/>
      </c>
      <c r="L2488">
        <f t="shared" si="102"/>
        <v>1</v>
      </c>
      <c r="M2488" s="10" t="str">
        <f>IFERROR(_xlfn.XLOOKUP(C2488,[1]StuntDes!$B:$B,[1]StuntDes!$A:$A),"")</f>
        <v/>
      </c>
      <c r="N2488" s="10" t="str">
        <f>IFERROR(_xlfn.XLOOKUP(C2488,[1]ModifierDes!$B:$B,[1]ModifierDes!$A:$A),"")</f>
        <v/>
      </c>
      <c r="O2488" s="10">
        <f>IFERROR(_xlfn.XLOOKUP(C2488,[1]AttributeName!$C:$C,[1]AttributeName!$B:$B),"")</f>
        <v>10306</v>
      </c>
      <c r="P2488" s="10"/>
      <c r="Q2488">
        <v>0.19</v>
      </c>
      <c r="R2488">
        <v>0.21</v>
      </c>
      <c r="S2488" cm="1">
        <f t="array" ref="S2488">IFERROR(_xlfn.SWITCH(L2488,1,_xlfn.XLOOKUP(O2488,[1]AttributeName!$B:$B,[1]AttributeName!$D:$D),2,_xlfn.XLOOKUP(C2488,#REF!,#REF!),3,_xlfn.XLOOKUP(C2488,#REF!,#REF!)),0)</f>
        <v>2</v>
      </c>
      <c r="T2488" cm="1">
        <f t="array" ref="T2488">IFERROR(_xlfn.SWITCH(L2488,1,_xlfn.XLOOKUP(O2488,[1]AttributeName!$B:$B,[1]AttributeName!$E:$E),2,_xlfn.XLOOKUP(C2488,#REF!,#REF!),3,_xlfn.XLOOKUP(C2488,#REF!,#REF!)),0)</f>
        <v>2</v>
      </c>
    </row>
    <row r="2489" customFormat="1" spans="1:20">
      <c r="A2489">
        <f t="shared" si="101"/>
        <v>1009</v>
      </c>
      <c r="B2489">
        <v>4</v>
      </c>
      <c r="C2489" t="s">
        <v>387</v>
      </c>
      <c r="D2489" t="s">
        <v>442</v>
      </c>
      <c r="E2489" t="s">
        <v>378</v>
      </c>
      <c r="F2489"/>
      <c r="G2489">
        <v>1</v>
      </c>
      <c r="H2489">
        <v>1000</v>
      </c>
      <c r="I2489">
        <v>3</v>
      </c>
      <c r="J2489" cm="1">
        <f t="array" ref="J2489">_xlfn.SWITCH(B2489,1,75,2,61,3,49,4,37,5,25,6,13,7,4,8,1)</f>
        <v>37</v>
      </c>
      <c r="K2489" t="str" cm="1">
        <f t="array" ref="K2489">IFERROR(_xlfn.SWITCH(L2489,2,_xlfn.XLOOKUP(C2489,[1]ModifierDes!$B:$B,[1]ModifierDes!$C:$C),3,_xlfn.XLOOKUP(C2489,[1]StuntDes!$B:$B,[1]StuntDes!$C:$C)),"")</f>
        <v/>
      </c>
      <c r="L2489">
        <f t="shared" si="102"/>
        <v>1</v>
      </c>
      <c r="M2489" s="10" t="str">
        <f>IFERROR(_xlfn.XLOOKUP(C2489,[1]StuntDes!$B:$B,[1]StuntDes!$A:$A),"")</f>
        <v/>
      </c>
      <c r="N2489" s="10" t="str">
        <f>IFERROR(_xlfn.XLOOKUP(C2489,[1]ModifierDes!$B:$B,[1]ModifierDes!$A:$A),"")</f>
        <v/>
      </c>
      <c r="O2489" s="10">
        <f>IFERROR(_xlfn.XLOOKUP(C2489,[1]AttributeName!$C:$C,[1]AttributeName!$B:$B),"")</f>
        <v>10306</v>
      </c>
      <c r="P2489" s="10"/>
      <c r="Q2489">
        <v>0.16</v>
      </c>
      <c r="R2489">
        <v>0.18</v>
      </c>
      <c r="S2489" cm="1">
        <f t="array" ref="S2489">IFERROR(_xlfn.SWITCH(L2489,1,_xlfn.XLOOKUP(O2489,[1]AttributeName!$B:$B,[1]AttributeName!$D:$D),2,_xlfn.XLOOKUP(C2489,#REF!,#REF!),3,_xlfn.XLOOKUP(C2489,#REF!,#REF!)),0)</f>
        <v>2</v>
      </c>
      <c r="T2489" cm="1">
        <f t="array" ref="T2489">IFERROR(_xlfn.SWITCH(L2489,1,_xlfn.XLOOKUP(O2489,[1]AttributeName!$B:$B,[1]AttributeName!$E:$E),2,_xlfn.XLOOKUP(C2489,#REF!,#REF!),3,_xlfn.XLOOKUP(C2489,#REF!,#REF!)),0)</f>
        <v>2</v>
      </c>
    </row>
    <row r="2490" customFormat="1" spans="1:20">
      <c r="A2490">
        <f t="shared" si="101"/>
        <v>1009</v>
      </c>
      <c r="B2490">
        <v>5</v>
      </c>
      <c r="C2490" t="s">
        <v>387</v>
      </c>
      <c r="D2490" t="s">
        <v>442</v>
      </c>
      <c r="E2490" t="s">
        <v>378</v>
      </c>
      <c r="F2490"/>
      <c r="G2490">
        <v>1</v>
      </c>
      <c r="H2490">
        <v>1000</v>
      </c>
      <c r="I2490">
        <v>3</v>
      </c>
      <c r="J2490" cm="1">
        <f t="array" ref="J2490">_xlfn.SWITCH(B2490,1,75,2,61,3,49,4,37,5,25,6,13,7,4,8,1)</f>
        <v>25</v>
      </c>
      <c r="K2490" t="str" cm="1">
        <f t="array" ref="K2490">IFERROR(_xlfn.SWITCH(L2490,2,_xlfn.XLOOKUP(C2490,[1]ModifierDes!$B:$B,[1]ModifierDes!$C:$C),3,_xlfn.XLOOKUP(C2490,[1]StuntDes!$B:$B,[1]StuntDes!$C:$C)),"")</f>
        <v/>
      </c>
      <c r="L2490">
        <f t="shared" si="102"/>
        <v>1</v>
      </c>
      <c r="M2490" s="10" t="str">
        <f>IFERROR(_xlfn.XLOOKUP(C2490,[1]StuntDes!$B:$B,[1]StuntDes!$A:$A),"")</f>
        <v/>
      </c>
      <c r="N2490" s="10" t="str">
        <f>IFERROR(_xlfn.XLOOKUP(C2490,[1]ModifierDes!$B:$B,[1]ModifierDes!$A:$A),"")</f>
        <v/>
      </c>
      <c r="O2490" s="10">
        <f>IFERROR(_xlfn.XLOOKUP(C2490,[1]AttributeName!$C:$C,[1]AttributeName!$B:$B),"")</f>
        <v>10306</v>
      </c>
      <c r="P2490" s="10"/>
      <c r="Q2490">
        <v>0.13</v>
      </c>
      <c r="R2490">
        <v>0.15</v>
      </c>
      <c r="S2490" cm="1">
        <f t="array" ref="S2490">IFERROR(_xlfn.SWITCH(L2490,1,_xlfn.XLOOKUP(O2490,[1]AttributeName!$B:$B,[1]AttributeName!$D:$D),2,_xlfn.XLOOKUP(C2490,#REF!,#REF!),3,_xlfn.XLOOKUP(C2490,#REF!,#REF!)),0)</f>
        <v>2</v>
      </c>
      <c r="T2490" cm="1">
        <f t="array" ref="T2490">IFERROR(_xlfn.SWITCH(L2490,1,_xlfn.XLOOKUP(O2490,[1]AttributeName!$B:$B,[1]AttributeName!$E:$E),2,_xlfn.XLOOKUP(C2490,#REF!,#REF!),3,_xlfn.XLOOKUP(C2490,#REF!,#REF!)),0)</f>
        <v>2</v>
      </c>
    </row>
    <row r="2491" customFormat="1" spans="1:20">
      <c r="A2491">
        <f t="shared" si="101"/>
        <v>1009</v>
      </c>
      <c r="B2491">
        <v>6</v>
      </c>
      <c r="C2491" t="s">
        <v>387</v>
      </c>
      <c r="D2491" t="s">
        <v>442</v>
      </c>
      <c r="E2491" t="s">
        <v>378</v>
      </c>
      <c r="F2491"/>
      <c r="G2491">
        <v>1</v>
      </c>
      <c r="H2491">
        <v>1000</v>
      </c>
      <c r="I2491">
        <v>3</v>
      </c>
      <c r="J2491" cm="1">
        <f t="array" ref="J2491">_xlfn.SWITCH(B2491,1,75,2,61,3,49,4,37,5,25,6,13,7,4,8,1)</f>
        <v>13</v>
      </c>
      <c r="K2491" t="str" cm="1">
        <f t="array" ref="K2491">IFERROR(_xlfn.SWITCH(L2491,2,_xlfn.XLOOKUP(C2491,[1]ModifierDes!$B:$B,[1]ModifierDes!$C:$C),3,_xlfn.XLOOKUP(C2491,[1]StuntDes!$B:$B,[1]StuntDes!$C:$C)),"")</f>
        <v/>
      </c>
      <c r="L2491">
        <f t="shared" si="102"/>
        <v>1</v>
      </c>
      <c r="M2491" s="10" t="str">
        <f>IFERROR(_xlfn.XLOOKUP(C2491,[1]StuntDes!$B:$B,[1]StuntDes!$A:$A),"")</f>
        <v/>
      </c>
      <c r="N2491" s="10" t="str">
        <f>IFERROR(_xlfn.XLOOKUP(C2491,[1]ModifierDes!$B:$B,[1]ModifierDes!$A:$A),"")</f>
        <v/>
      </c>
      <c r="O2491" s="10">
        <f>IFERROR(_xlfn.XLOOKUP(C2491,[1]AttributeName!$C:$C,[1]AttributeName!$B:$B),"")</f>
        <v>10306</v>
      </c>
      <c r="P2491" s="10"/>
      <c r="Q2491">
        <v>0.0999999999999999</v>
      </c>
      <c r="R2491">
        <v>0.12</v>
      </c>
      <c r="S2491" cm="1">
        <f t="array" ref="S2491">IFERROR(_xlfn.SWITCH(L2491,1,_xlfn.XLOOKUP(O2491,[1]AttributeName!$B:$B,[1]AttributeName!$D:$D),2,_xlfn.XLOOKUP(C2491,#REF!,#REF!),3,_xlfn.XLOOKUP(C2491,#REF!,#REF!)),0)</f>
        <v>2</v>
      </c>
      <c r="T2491" cm="1">
        <f t="array" ref="T2491">IFERROR(_xlfn.SWITCH(L2491,1,_xlfn.XLOOKUP(O2491,[1]AttributeName!$B:$B,[1]AttributeName!$E:$E),2,_xlfn.XLOOKUP(C2491,#REF!,#REF!),3,_xlfn.XLOOKUP(C2491,#REF!,#REF!)),0)</f>
        <v>2</v>
      </c>
    </row>
    <row r="2492" customFormat="1" spans="1:20">
      <c r="A2492">
        <f t="shared" si="101"/>
        <v>1009</v>
      </c>
      <c r="B2492">
        <v>7</v>
      </c>
      <c r="C2492" t="s">
        <v>387</v>
      </c>
      <c r="D2492" t="s">
        <v>442</v>
      </c>
      <c r="E2492" t="s">
        <v>378</v>
      </c>
      <c r="F2492"/>
      <c r="G2492">
        <v>1</v>
      </c>
      <c r="H2492">
        <v>1000</v>
      </c>
      <c r="I2492">
        <v>3</v>
      </c>
      <c r="J2492" cm="1">
        <f t="array" ref="J2492">_xlfn.SWITCH(B2492,1,75,2,61,3,49,4,37,5,25,6,13,7,4,8,1)</f>
        <v>4</v>
      </c>
      <c r="K2492" t="str" cm="1">
        <f t="array" ref="K2492">IFERROR(_xlfn.SWITCH(L2492,2,_xlfn.XLOOKUP(C2492,[1]ModifierDes!$B:$B,[1]ModifierDes!$C:$C),3,_xlfn.XLOOKUP(C2492,[1]StuntDes!$B:$B,[1]StuntDes!$C:$C)),"")</f>
        <v/>
      </c>
      <c r="L2492">
        <f t="shared" si="102"/>
        <v>1</v>
      </c>
      <c r="M2492" s="10" t="str">
        <f>IFERROR(_xlfn.XLOOKUP(C2492,[1]StuntDes!$B:$B,[1]StuntDes!$A:$A),"")</f>
        <v/>
      </c>
      <c r="N2492" s="10" t="str">
        <f>IFERROR(_xlfn.XLOOKUP(C2492,[1]ModifierDes!$B:$B,[1]ModifierDes!$A:$A),"")</f>
        <v/>
      </c>
      <c r="O2492" s="10">
        <f>IFERROR(_xlfn.XLOOKUP(C2492,[1]AttributeName!$C:$C,[1]AttributeName!$B:$B),"")</f>
        <v>10306</v>
      </c>
      <c r="P2492" s="10"/>
      <c r="Q2492">
        <v>0.0699999999999999</v>
      </c>
      <c r="R2492">
        <v>0.09</v>
      </c>
      <c r="S2492" cm="1">
        <f t="array" ref="S2492">IFERROR(_xlfn.SWITCH(L2492,1,_xlfn.XLOOKUP(O2492,[1]AttributeName!$B:$B,[1]AttributeName!$D:$D),2,_xlfn.XLOOKUP(C2492,#REF!,#REF!),3,_xlfn.XLOOKUP(C2492,#REF!,#REF!)),0)</f>
        <v>2</v>
      </c>
      <c r="T2492" cm="1">
        <f t="array" ref="T2492">IFERROR(_xlfn.SWITCH(L2492,1,_xlfn.XLOOKUP(O2492,[1]AttributeName!$B:$B,[1]AttributeName!$E:$E),2,_xlfn.XLOOKUP(C2492,#REF!,#REF!),3,_xlfn.XLOOKUP(C2492,#REF!,#REF!)),0)</f>
        <v>2</v>
      </c>
    </row>
    <row r="2493" customFormat="1" spans="1:20">
      <c r="A2493">
        <f t="shared" si="101"/>
        <v>1009</v>
      </c>
      <c r="B2493">
        <v>8</v>
      </c>
      <c r="C2493" t="s">
        <v>387</v>
      </c>
      <c r="D2493" t="s">
        <v>442</v>
      </c>
      <c r="E2493" t="s">
        <v>378</v>
      </c>
      <c r="F2493"/>
      <c r="G2493">
        <v>1</v>
      </c>
      <c r="H2493">
        <v>1000</v>
      </c>
      <c r="I2493">
        <v>3</v>
      </c>
      <c r="J2493" cm="1">
        <f t="array" ref="J2493">_xlfn.SWITCH(B2493,1,75,2,61,3,49,4,37,5,25,6,13,7,4,8,1)</f>
        <v>1</v>
      </c>
      <c r="K2493" t="str" cm="1">
        <f t="array" ref="K2493">IFERROR(_xlfn.SWITCH(L2493,2,_xlfn.XLOOKUP(C2493,[1]ModifierDes!$B:$B,[1]ModifierDes!$C:$C),3,_xlfn.XLOOKUP(C2493,[1]StuntDes!$B:$B,[1]StuntDes!$C:$C)),"")</f>
        <v/>
      </c>
      <c r="L2493">
        <f t="shared" si="102"/>
        <v>1</v>
      </c>
      <c r="M2493" s="10" t="str">
        <f>IFERROR(_xlfn.XLOOKUP(C2493,[1]StuntDes!$B:$B,[1]StuntDes!$A:$A),"")</f>
        <v/>
      </c>
      <c r="N2493" s="10" t="str">
        <f>IFERROR(_xlfn.XLOOKUP(C2493,[1]ModifierDes!$B:$B,[1]ModifierDes!$A:$A),"")</f>
        <v/>
      </c>
      <c r="O2493" s="10">
        <f>IFERROR(_xlfn.XLOOKUP(C2493,[1]AttributeName!$C:$C,[1]AttributeName!$B:$B),"")</f>
        <v>10306</v>
      </c>
      <c r="P2493" s="10"/>
      <c r="Q2493">
        <v>0.0399999999999998</v>
      </c>
      <c r="R2493">
        <v>0.06</v>
      </c>
      <c r="S2493" cm="1">
        <f t="array" ref="S2493">IFERROR(_xlfn.SWITCH(L2493,1,_xlfn.XLOOKUP(O2493,[1]AttributeName!$B:$B,[1]AttributeName!$D:$D),2,_xlfn.XLOOKUP(C2493,#REF!,#REF!),3,_xlfn.XLOOKUP(C2493,#REF!,#REF!)),0)</f>
        <v>2</v>
      </c>
      <c r="T2493" cm="1">
        <f t="array" ref="T2493">IFERROR(_xlfn.SWITCH(L2493,1,_xlfn.XLOOKUP(O2493,[1]AttributeName!$B:$B,[1]AttributeName!$E:$E),2,_xlfn.XLOOKUP(C2493,#REF!,#REF!),3,_xlfn.XLOOKUP(C2493,#REF!,#REF!)),0)</f>
        <v>2</v>
      </c>
    </row>
    <row r="2494" customFormat="1" spans="1:20">
      <c r="A2494">
        <f t="shared" ref="A2494:A2533" si="103">A2486+1</f>
        <v>1010</v>
      </c>
      <c r="B2494">
        <v>1</v>
      </c>
      <c r="C2494" t="s">
        <v>388</v>
      </c>
      <c r="D2494" t="s">
        <v>442</v>
      </c>
      <c r="E2494" t="s">
        <v>378</v>
      </c>
      <c r="F2494"/>
      <c r="G2494">
        <v>1</v>
      </c>
      <c r="H2494">
        <v>100</v>
      </c>
      <c r="I2494">
        <v>3</v>
      </c>
      <c r="J2494" cm="1">
        <f t="array" ref="J2494">_xlfn.SWITCH(B2494,1,75,2,61,3,49,4,37,5,25,6,13,7,4,8,1)</f>
        <v>75</v>
      </c>
      <c r="K2494" t="str" cm="1">
        <f t="array" ref="K2494">IFERROR(_xlfn.SWITCH(L2494,2,_xlfn.XLOOKUP(C2494,[1]ModifierDes!$B:$B,[1]ModifierDes!$C:$C),3,_xlfn.XLOOKUP(C2494,[1]StuntDes!$B:$B,[1]StuntDes!$C:$C)),"")</f>
        <v/>
      </c>
      <c r="L2494">
        <f t="shared" si="102"/>
        <v>1</v>
      </c>
      <c r="M2494" s="10" t="str">
        <f>IFERROR(_xlfn.XLOOKUP(C2494,[1]StuntDes!$B:$B,[1]StuntDes!$A:$A),"")</f>
        <v/>
      </c>
      <c r="N2494" s="10" t="str">
        <f>IFERROR(_xlfn.XLOOKUP(C2494,[1]ModifierDes!$B:$B,[1]ModifierDes!$A:$A),"")</f>
        <v/>
      </c>
      <c r="O2494" s="10">
        <f>IFERROR(_xlfn.XLOOKUP(C2494,[1]AttributeName!$C:$C,[1]AttributeName!$B:$B),"")</f>
        <v>10307</v>
      </c>
      <c r="P2494" s="10"/>
      <c r="Q2494">
        <v>0.25</v>
      </c>
      <c r="R2494">
        <v>0.35</v>
      </c>
      <c r="S2494" cm="1">
        <f t="array" ref="S2494">IFERROR(_xlfn.SWITCH(L2494,1,_xlfn.XLOOKUP(O2494,[1]AttributeName!$B:$B,[1]AttributeName!$D:$D),2,_xlfn.XLOOKUP(C2494,#REF!,#REF!),3,_xlfn.XLOOKUP(C2494,#REF!,#REF!)),0)</f>
        <v>2</v>
      </c>
      <c r="T2494" cm="1">
        <f t="array" ref="T2494">IFERROR(_xlfn.SWITCH(L2494,1,_xlfn.XLOOKUP(O2494,[1]AttributeName!$B:$B,[1]AttributeName!$E:$E),2,_xlfn.XLOOKUP(C2494,#REF!,#REF!),3,_xlfn.XLOOKUP(C2494,#REF!,#REF!)),0)</f>
        <v>2</v>
      </c>
    </row>
    <row r="2495" customFormat="1" spans="1:20">
      <c r="A2495">
        <f t="shared" si="103"/>
        <v>1010</v>
      </c>
      <c r="B2495">
        <v>2</v>
      </c>
      <c r="C2495" t="s">
        <v>388</v>
      </c>
      <c r="D2495" t="s">
        <v>442</v>
      </c>
      <c r="E2495" t="s">
        <v>378</v>
      </c>
      <c r="F2495"/>
      <c r="G2495">
        <v>1</v>
      </c>
      <c r="H2495">
        <v>200</v>
      </c>
      <c r="I2495">
        <v>3</v>
      </c>
      <c r="J2495" cm="1">
        <f t="array" ref="J2495">_xlfn.SWITCH(B2495,1,75,2,61,3,49,4,37,5,25,6,13,7,4,8,1)</f>
        <v>61</v>
      </c>
      <c r="K2495" t="str" cm="1">
        <f t="array" ref="K2495">IFERROR(_xlfn.SWITCH(L2495,2,_xlfn.XLOOKUP(C2495,[1]ModifierDes!$B:$B,[1]ModifierDes!$C:$C),3,_xlfn.XLOOKUP(C2495,[1]StuntDes!$B:$B,[1]StuntDes!$C:$C)),"")</f>
        <v/>
      </c>
      <c r="L2495">
        <f t="shared" si="102"/>
        <v>1</v>
      </c>
      <c r="M2495" s="10" t="str">
        <f>IFERROR(_xlfn.XLOOKUP(C2495,[1]StuntDes!$B:$B,[1]StuntDes!$A:$A),"")</f>
        <v/>
      </c>
      <c r="N2495" s="10" t="str">
        <f>IFERROR(_xlfn.XLOOKUP(C2495,[1]ModifierDes!$B:$B,[1]ModifierDes!$A:$A),"")</f>
        <v/>
      </c>
      <c r="O2495" s="10">
        <f>IFERROR(_xlfn.XLOOKUP(C2495,[1]AttributeName!$C:$C,[1]AttributeName!$B:$B),"")</f>
        <v>10307</v>
      </c>
      <c r="P2495" s="10"/>
      <c r="Q2495">
        <v>0.22</v>
      </c>
      <c r="R2495">
        <v>0.24</v>
      </c>
      <c r="S2495" cm="1">
        <f t="array" ref="S2495">IFERROR(_xlfn.SWITCH(L2495,1,_xlfn.XLOOKUP(O2495,[1]AttributeName!$B:$B,[1]AttributeName!$D:$D),2,_xlfn.XLOOKUP(C2495,#REF!,#REF!),3,_xlfn.XLOOKUP(C2495,#REF!,#REF!)),0)</f>
        <v>2</v>
      </c>
      <c r="T2495" cm="1">
        <f t="array" ref="T2495">IFERROR(_xlfn.SWITCH(L2495,1,_xlfn.XLOOKUP(O2495,[1]AttributeName!$B:$B,[1]AttributeName!$E:$E),2,_xlfn.XLOOKUP(C2495,#REF!,#REF!),3,_xlfn.XLOOKUP(C2495,#REF!,#REF!)),0)</f>
        <v>2</v>
      </c>
    </row>
    <row r="2496" customFormat="1" spans="1:20">
      <c r="A2496">
        <f t="shared" si="103"/>
        <v>1010</v>
      </c>
      <c r="B2496">
        <v>3</v>
      </c>
      <c r="C2496" t="s">
        <v>388</v>
      </c>
      <c r="D2496" t="s">
        <v>442</v>
      </c>
      <c r="E2496" t="s">
        <v>378</v>
      </c>
      <c r="F2496"/>
      <c r="G2496">
        <v>1</v>
      </c>
      <c r="H2496">
        <v>500</v>
      </c>
      <c r="I2496">
        <v>3</v>
      </c>
      <c r="J2496" cm="1">
        <f t="array" ref="J2496">_xlfn.SWITCH(B2496,1,75,2,61,3,49,4,37,5,25,6,13,7,4,8,1)</f>
        <v>49</v>
      </c>
      <c r="K2496" t="str" cm="1">
        <f t="array" ref="K2496">IFERROR(_xlfn.SWITCH(L2496,2,_xlfn.XLOOKUP(C2496,[1]ModifierDes!$B:$B,[1]ModifierDes!$C:$C),3,_xlfn.XLOOKUP(C2496,[1]StuntDes!$B:$B,[1]StuntDes!$C:$C)),"")</f>
        <v/>
      </c>
      <c r="L2496">
        <f t="shared" si="102"/>
        <v>1</v>
      </c>
      <c r="M2496" s="10" t="str">
        <f>IFERROR(_xlfn.XLOOKUP(C2496,[1]StuntDes!$B:$B,[1]StuntDes!$A:$A),"")</f>
        <v/>
      </c>
      <c r="N2496" s="10" t="str">
        <f>IFERROR(_xlfn.XLOOKUP(C2496,[1]ModifierDes!$B:$B,[1]ModifierDes!$A:$A),"")</f>
        <v/>
      </c>
      <c r="O2496" s="10">
        <f>IFERROR(_xlfn.XLOOKUP(C2496,[1]AttributeName!$C:$C,[1]AttributeName!$B:$B),"")</f>
        <v>10307</v>
      </c>
      <c r="P2496" s="10"/>
      <c r="Q2496">
        <v>0.19</v>
      </c>
      <c r="R2496">
        <v>0.21</v>
      </c>
      <c r="S2496" cm="1">
        <f t="array" ref="S2496">IFERROR(_xlfn.SWITCH(L2496,1,_xlfn.XLOOKUP(O2496,[1]AttributeName!$B:$B,[1]AttributeName!$D:$D),2,_xlfn.XLOOKUP(C2496,#REF!,#REF!),3,_xlfn.XLOOKUP(C2496,#REF!,#REF!)),0)</f>
        <v>2</v>
      </c>
      <c r="T2496" cm="1">
        <f t="array" ref="T2496">IFERROR(_xlfn.SWITCH(L2496,1,_xlfn.XLOOKUP(O2496,[1]AttributeName!$B:$B,[1]AttributeName!$E:$E),2,_xlfn.XLOOKUP(C2496,#REF!,#REF!),3,_xlfn.XLOOKUP(C2496,#REF!,#REF!)),0)</f>
        <v>2</v>
      </c>
    </row>
    <row r="2497" customFormat="1" spans="1:20">
      <c r="A2497">
        <f t="shared" si="103"/>
        <v>1010</v>
      </c>
      <c r="B2497">
        <v>4</v>
      </c>
      <c r="C2497" t="s">
        <v>388</v>
      </c>
      <c r="D2497" t="s">
        <v>442</v>
      </c>
      <c r="E2497" t="s">
        <v>378</v>
      </c>
      <c r="F2497"/>
      <c r="G2497">
        <v>1</v>
      </c>
      <c r="H2497">
        <v>1000</v>
      </c>
      <c r="I2497">
        <v>3</v>
      </c>
      <c r="J2497" cm="1">
        <f t="array" ref="J2497">_xlfn.SWITCH(B2497,1,75,2,61,3,49,4,37,5,25,6,13,7,4,8,1)</f>
        <v>37</v>
      </c>
      <c r="K2497" t="str" cm="1">
        <f t="array" ref="K2497">IFERROR(_xlfn.SWITCH(L2497,2,_xlfn.XLOOKUP(C2497,[1]ModifierDes!$B:$B,[1]ModifierDes!$C:$C),3,_xlfn.XLOOKUP(C2497,[1]StuntDes!$B:$B,[1]StuntDes!$C:$C)),"")</f>
        <v/>
      </c>
      <c r="L2497">
        <f t="shared" si="102"/>
        <v>1</v>
      </c>
      <c r="M2497" s="10" t="str">
        <f>IFERROR(_xlfn.XLOOKUP(C2497,[1]StuntDes!$B:$B,[1]StuntDes!$A:$A),"")</f>
        <v/>
      </c>
      <c r="N2497" s="10" t="str">
        <f>IFERROR(_xlfn.XLOOKUP(C2497,[1]ModifierDes!$B:$B,[1]ModifierDes!$A:$A),"")</f>
        <v/>
      </c>
      <c r="O2497" s="10">
        <f>IFERROR(_xlfn.XLOOKUP(C2497,[1]AttributeName!$C:$C,[1]AttributeName!$B:$B),"")</f>
        <v>10307</v>
      </c>
      <c r="P2497" s="10"/>
      <c r="Q2497">
        <v>0.16</v>
      </c>
      <c r="R2497">
        <v>0.18</v>
      </c>
      <c r="S2497" cm="1">
        <f t="array" ref="S2497">IFERROR(_xlfn.SWITCH(L2497,1,_xlfn.XLOOKUP(O2497,[1]AttributeName!$B:$B,[1]AttributeName!$D:$D),2,_xlfn.XLOOKUP(C2497,#REF!,#REF!),3,_xlfn.XLOOKUP(C2497,#REF!,#REF!)),0)</f>
        <v>2</v>
      </c>
      <c r="T2497" cm="1">
        <f t="array" ref="T2497">IFERROR(_xlfn.SWITCH(L2497,1,_xlfn.XLOOKUP(O2497,[1]AttributeName!$B:$B,[1]AttributeName!$E:$E),2,_xlfn.XLOOKUP(C2497,#REF!,#REF!),3,_xlfn.XLOOKUP(C2497,#REF!,#REF!)),0)</f>
        <v>2</v>
      </c>
    </row>
    <row r="2498" customFormat="1" spans="1:20">
      <c r="A2498">
        <f t="shared" si="103"/>
        <v>1010</v>
      </c>
      <c r="B2498">
        <v>5</v>
      </c>
      <c r="C2498" t="s">
        <v>388</v>
      </c>
      <c r="D2498" t="s">
        <v>442</v>
      </c>
      <c r="E2498" t="s">
        <v>378</v>
      </c>
      <c r="F2498"/>
      <c r="G2498">
        <v>1</v>
      </c>
      <c r="H2498">
        <v>1000</v>
      </c>
      <c r="I2498">
        <v>3</v>
      </c>
      <c r="J2498" cm="1">
        <f t="array" ref="J2498">_xlfn.SWITCH(B2498,1,75,2,61,3,49,4,37,5,25,6,13,7,4,8,1)</f>
        <v>25</v>
      </c>
      <c r="K2498" t="str" cm="1">
        <f t="array" ref="K2498">IFERROR(_xlfn.SWITCH(L2498,2,_xlfn.XLOOKUP(C2498,[1]ModifierDes!$B:$B,[1]ModifierDes!$C:$C),3,_xlfn.XLOOKUP(C2498,[1]StuntDes!$B:$B,[1]StuntDes!$C:$C)),"")</f>
        <v/>
      </c>
      <c r="L2498">
        <f t="shared" si="102"/>
        <v>1</v>
      </c>
      <c r="M2498" s="10" t="str">
        <f>IFERROR(_xlfn.XLOOKUP(C2498,[1]StuntDes!$B:$B,[1]StuntDes!$A:$A),"")</f>
        <v/>
      </c>
      <c r="N2498" s="10" t="str">
        <f>IFERROR(_xlfn.XLOOKUP(C2498,[1]ModifierDes!$B:$B,[1]ModifierDes!$A:$A),"")</f>
        <v/>
      </c>
      <c r="O2498" s="10">
        <f>IFERROR(_xlfn.XLOOKUP(C2498,[1]AttributeName!$C:$C,[1]AttributeName!$B:$B),"")</f>
        <v>10307</v>
      </c>
      <c r="P2498" s="10"/>
      <c r="Q2498">
        <v>0.13</v>
      </c>
      <c r="R2498">
        <v>0.15</v>
      </c>
      <c r="S2498" cm="1">
        <f t="array" ref="S2498">IFERROR(_xlfn.SWITCH(L2498,1,_xlfn.XLOOKUP(O2498,[1]AttributeName!$B:$B,[1]AttributeName!$D:$D),2,_xlfn.XLOOKUP(C2498,#REF!,#REF!),3,_xlfn.XLOOKUP(C2498,#REF!,#REF!)),0)</f>
        <v>2</v>
      </c>
      <c r="T2498" cm="1">
        <f t="array" ref="T2498">IFERROR(_xlfn.SWITCH(L2498,1,_xlfn.XLOOKUP(O2498,[1]AttributeName!$B:$B,[1]AttributeName!$E:$E),2,_xlfn.XLOOKUP(C2498,#REF!,#REF!),3,_xlfn.XLOOKUP(C2498,#REF!,#REF!)),0)</f>
        <v>2</v>
      </c>
    </row>
    <row r="2499" customFormat="1" spans="1:20">
      <c r="A2499">
        <f t="shared" si="103"/>
        <v>1010</v>
      </c>
      <c r="B2499">
        <v>6</v>
      </c>
      <c r="C2499" t="s">
        <v>388</v>
      </c>
      <c r="D2499" t="s">
        <v>442</v>
      </c>
      <c r="E2499" t="s">
        <v>378</v>
      </c>
      <c r="F2499"/>
      <c r="G2499">
        <v>1</v>
      </c>
      <c r="H2499">
        <v>1000</v>
      </c>
      <c r="I2499">
        <v>3</v>
      </c>
      <c r="J2499" cm="1">
        <f t="array" ref="J2499">_xlfn.SWITCH(B2499,1,75,2,61,3,49,4,37,5,25,6,13,7,4,8,1)</f>
        <v>13</v>
      </c>
      <c r="K2499" t="str" cm="1">
        <f t="array" ref="K2499">IFERROR(_xlfn.SWITCH(L2499,2,_xlfn.XLOOKUP(C2499,[1]ModifierDes!$B:$B,[1]ModifierDes!$C:$C),3,_xlfn.XLOOKUP(C2499,[1]StuntDes!$B:$B,[1]StuntDes!$C:$C)),"")</f>
        <v/>
      </c>
      <c r="L2499">
        <f t="shared" si="102"/>
        <v>1</v>
      </c>
      <c r="M2499" s="10" t="str">
        <f>IFERROR(_xlfn.XLOOKUP(C2499,[1]StuntDes!$B:$B,[1]StuntDes!$A:$A),"")</f>
        <v/>
      </c>
      <c r="N2499" s="10" t="str">
        <f>IFERROR(_xlfn.XLOOKUP(C2499,[1]ModifierDes!$B:$B,[1]ModifierDes!$A:$A),"")</f>
        <v/>
      </c>
      <c r="O2499" s="10">
        <f>IFERROR(_xlfn.XLOOKUP(C2499,[1]AttributeName!$C:$C,[1]AttributeName!$B:$B),"")</f>
        <v>10307</v>
      </c>
      <c r="P2499" s="10"/>
      <c r="Q2499">
        <v>0.0999999999999999</v>
      </c>
      <c r="R2499">
        <v>0.12</v>
      </c>
      <c r="S2499" cm="1">
        <f t="array" ref="S2499">IFERROR(_xlfn.SWITCH(L2499,1,_xlfn.XLOOKUP(O2499,[1]AttributeName!$B:$B,[1]AttributeName!$D:$D),2,_xlfn.XLOOKUP(C2499,#REF!,#REF!),3,_xlfn.XLOOKUP(C2499,#REF!,#REF!)),0)</f>
        <v>2</v>
      </c>
      <c r="T2499" cm="1">
        <f t="array" ref="T2499">IFERROR(_xlfn.SWITCH(L2499,1,_xlfn.XLOOKUP(O2499,[1]AttributeName!$B:$B,[1]AttributeName!$E:$E),2,_xlfn.XLOOKUP(C2499,#REF!,#REF!),3,_xlfn.XLOOKUP(C2499,#REF!,#REF!)),0)</f>
        <v>2</v>
      </c>
    </row>
    <row r="2500" customFormat="1" spans="1:20">
      <c r="A2500">
        <f t="shared" si="103"/>
        <v>1010</v>
      </c>
      <c r="B2500">
        <v>7</v>
      </c>
      <c r="C2500" t="s">
        <v>388</v>
      </c>
      <c r="D2500" t="s">
        <v>442</v>
      </c>
      <c r="E2500" t="s">
        <v>378</v>
      </c>
      <c r="F2500"/>
      <c r="G2500">
        <v>1</v>
      </c>
      <c r="H2500">
        <v>1000</v>
      </c>
      <c r="I2500">
        <v>3</v>
      </c>
      <c r="J2500" cm="1">
        <f t="array" ref="J2500">_xlfn.SWITCH(B2500,1,75,2,61,3,49,4,37,5,25,6,13,7,4,8,1)</f>
        <v>4</v>
      </c>
      <c r="K2500" t="str" cm="1">
        <f t="array" ref="K2500">IFERROR(_xlfn.SWITCH(L2500,2,_xlfn.XLOOKUP(C2500,[1]ModifierDes!$B:$B,[1]ModifierDes!$C:$C),3,_xlfn.XLOOKUP(C2500,[1]StuntDes!$B:$B,[1]StuntDes!$C:$C)),"")</f>
        <v/>
      </c>
      <c r="L2500">
        <f t="shared" ref="L2500:L2563" si="104">IF(M2500="",IF(N2500="",1,2),3)</f>
        <v>1</v>
      </c>
      <c r="M2500" s="10" t="str">
        <f>IFERROR(_xlfn.XLOOKUP(C2500,[1]StuntDes!$B:$B,[1]StuntDes!$A:$A),"")</f>
        <v/>
      </c>
      <c r="N2500" s="10" t="str">
        <f>IFERROR(_xlfn.XLOOKUP(C2500,[1]ModifierDes!$B:$B,[1]ModifierDes!$A:$A),"")</f>
        <v/>
      </c>
      <c r="O2500" s="10">
        <f>IFERROR(_xlfn.XLOOKUP(C2500,[1]AttributeName!$C:$C,[1]AttributeName!$B:$B),"")</f>
        <v>10307</v>
      </c>
      <c r="P2500" s="10"/>
      <c r="Q2500">
        <v>0.0699999999999999</v>
      </c>
      <c r="R2500">
        <v>0.09</v>
      </c>
      <c r="S2500" cm="1">
        <f t="array" ref="S2500">IFERROR(_xlfn.SWITCH(L2500,1,_xlfn.XLOOKUP(O2500,[1]AttributeName!$B:$B,[1]AttributeName!$D:$D),2,_xlfn.XLOOKUP(C2500,#REF!,#REF!),3,_xlfn.XLOOKUP(C2500,#REF!,#REF!)),0)</f>
        <v>2</v>
      </c>
      <c r="T2500" cm="1">
        <f t="array" ref="T2500">IFERROR(_xlfn.SWITCH(L2500,1,_xlfn.XLOOKUP(O2500,[1]AttributeName!$B:$B,[1]AttributeName!$E:$E),2,_xlfn.XLOOKUP(C2500,#REF!,#REF!),3,_xlfn.XLOOKUP(C2500,#REF!,#REF!)),0)</f>
        <v>2</v>
      </c>
    </row>
    <row r="2501" customFormat="1" spans="1:20">
      <c r="A2501">
        <f t="shared" si="103"/>
        <v>1010</v>
      </c>
      <c r="B2501">
        <v>8</v>
      </c>
      <c r="C2501" t="s">
        <v>388</v>
      </c>
      <c r="D2501" t="s">
        <v>442</v>
      </c>
      <c r="E2501" t="s">
        <v>378</v>
      </c>
      <c r="F2501"/>
      <c r="G2501">
        <v>1</v>
      </c>
      <c r="H2501">
        <v>1000</v>
      </c>
      <c r="I2501">
        <v>3</v>
      </c>
      <c r="J2501" cm="1">
        <f t="array" ref="J2501">_xlfn.SWITCH(B2501,1,75,2,61,3,49,4,37,5,25,6,13,7,4,8,1)</f>
        <v>1</v>
      </c>
      <c r="K2501" t="str" cm="1">
        <f t="array" ref="K2501">IFERROR(_xlfn.SWITCH(L2501,2,_xlfn.XLOOKUP(C2501,[1]ModifierDes!$B:$B,[1]ModifierDes!$C:$C),3,_xlfn.XLOOKUP(C2501,[1]StuntDes!$B:$B,[1]StuntDes!$C:$C)),"")</f>
        <v/>
      </c>
      <c r="L2501">
        <f t="shared" si="104"/>
        <v>1</v>
      </c>
      <c r="M2501" s="10" t="str">
        <f>IFERROR(_xlfn.XLOOKUP(C2501,[1]StuntDes!$B:$B,[1]StuntDes!$A:$A),"")</f>
        <v/>
      </c>
      <c r="N2501" s="10" t="str">
        <f>IFERROR(_xlfn.XLOOKUP(C2501,[1]ModifierDes!$B:$B,[1]ModifierDes!$A:$A),"")</f>
        <v/>
      </c>
      <c r="O2501" s="10">
        <f>IFERROR(_xlfn.XLOOKUP(C2501,[1]AttributeName!$C:$C,[1]AttributeName!$B:$B),"")</f>
        <v>10307</v>
      </c>
      <c r="P2501" s="10"/>
      <c r="Q2501">
        <v>0.0399999999999998</v>
      </c>
      <c r="R2501">
        <v>0.06</v>
      </c>
      <c r="S2501" cm="1">
        <f t="array" ref="S2501">IFERROR(_xlfn.SWITCH(L2501,1,_xlfn.XLOOKUP(O2501,[1]AttributeName!$B:$B,[1]AttributeName!$D:$D),2,_xlfn.XLOOKUP(C2501,#REF!,#REF!),3,_xlfn.XLOOKUP(C2501,#REF!,#REF!)),0)</f>
        <v>2</v>
      </c>
      <c r="T2501" cm="1">
        <f t="array" ref="T2501">IFERROR(_xlfn.SWITCH(L2501,1,_xlfn.XLOOKUP(O2501,[1]AttributeName!$B:$B,[1]AttributeName!$E:$E),2,_xlfn.XLOOKUP(C2501,#REF!,#REF!),3,_xlfn.XLOOKUP(C2501,#REF!,#REF!)),0)</f>
        <v>2</v>
      </c>
    </row>
    <row r="2502" customFormat="1" spans="1:20">
      <c r="A2502">
        <f t="shared" si="103"/>
        <v>1011</v>
      </c>
      <c r="B2502">
        <v>1</v>
      </c>
      <c r="C2502" t="s">
        <v>429</v>
      </c>
      <c r="D2502" t="s">
        <v>442</v>
      </c>
      <c r="E2502" t="s">
        <v>378</v>
      </c>
      <c r="F2502"/>
      <c r="G2502">
        <v>1</v>
      </c>
      <c r="H2502">
        <v>250</v>
      </c>
      <c r="J2502" cm="1">
        <f t="array" ref="J2502">_xlfn.SWITCH(B2502,1,75,2,61,3,49,4,37,5,25,6,13,7,4,8,1)</f>
        <v>75</v>
      </c>
      <c r="K2502" t="str" cm="1">
        <f t="array" ref="K2502">IFERROR(_xlfn.SWITCH(L2502,2,_xlfn.XLOOKUP(C2502,[1]ModifierDes!$B:$B,[1]ModifierDes!$C:$C),3,_xlfn.XLOOKUP(C2502,[1]StuntDes!$B:$B,[1]StuntDes!$C:$C)),"")</f>
        <v/>
      </c>
      <c r="L2502">
        <f t="shared" si="104"/>
        <v>1</v>
      </c>
      <c r="M2502" s="10" t="str">
        <f>IFERROR(_xlfn.XLOOKUP(C2502,[1]StuntDes!$B:$B,[1]StuntDes!$A:$A),"")</f>
        <v/>
      </c>
      <c r="N2502" s="10" t="str">
        <f>IFERROR(_xlfn.XLOOKUP(C2502,[1]ModifierDes!$B:$B,[1]ModifierDes!$A:$A),"")</f>
        <v/>
      </c>
      <c r="O2502" s="10">
        <f>IFERROR(_xlfn.XLOOKUP(C2502,[1]AttributeName!$C:$C,[1]AttributeName!$B:$B),"")</f>
        <v>10811</v>
      </c>
      <c r="P2502" s="10"/>
      <c r="Q2502">
        <v>0.08</v>
      </c>
      <c r="R2502">
        <v>0.1</v>
      </c>
      <c r="S2502" cm="1">
        <f t="array" ref="S2502">IFERROR(_xlfn.SWITCH(L2502,1,_xlfn.XLOOKUP(O2502,[1]AttributeName!$B:$B,[1]AttributeName!$D:$D),2,_xlfn.XLOOKUP(C2502,#REF!,#REF!),3,_xlfn.XLOOKUP(C2502,#REF!,#REF!)),0)</f>
        <v>2</v>
      </c>
      <c r="T2502" cm="1">
        <f t="array" ref="T2502">IFERROR(_xlfn.SWITCH(L2502,1,_xlfn.XLOOKUP(O2502,[1]AttributeName!$B:$B,[1]AttributeName!$E:$E),2,_xlfn.XLOOKUP(C2502,#REF!,#REF!),3,_xlfn.XLOOKUP(C2502,#REF!,#REF!)),0)</f>
        <v>2</v>
      </c>
    </row>
    <row r="2503" customFormat="1" spans="1:20">
      <c r="A2503">
        <f t="shared" si="103"/>
        <v>1011</v>
      </c>
      <c r="B2503">
        <v>2</v>
      </c>
      <c r="C2503" t="s">
        <v>429</v>
      </c>
      <c r="D2503" t="s">
        <v>442</v>
      </c>
      <c r="E2503" t="s">
        <v>378</v>
      </c>
      <c r="F2503"/>
      <c r="G2503">
        <v>1</v>
      </c>
      <c r="H2503">
        <v>500</v>
      </c>
      <c r="J2503" cm="1">
        <f t="array" ref="J2503">_xlfn.SWITCH(B2503,1,75,2,61,3,49,4,37,5,25,6,13,7,4,8,1)</f>
        <v>61</v>
      </c>
      <c r="K2503" t="str" cm="1">
        <f t="array" ref="K2503">IFERROR(_xlfn.SWITCH(L2503,2,_xlfn.XLOOKUP(C2503,[1]ModifierDes!$B:$B,[1]ModifierDes!$C:$C),3,_xlfn.XLOOKUP(C2503,[1]StuntDes!$B:$B,[1]StuntDes!$C:$C)),"")</f>
        <v/>
      </c>
      <c r="L2503">
        <f t="shared" si="104"/>
        <v>1</v>
      </c>
      <c r="M2503" s="10" t="str">
        <f>IFERROR(_xlfn.XLOOKUP(C2503,[1]StuntDes!$B:$B,[1]StuntDes!$A:$A),"")</f>
        <v/>
      </c>
      <c r="N2503" s="10" t="str">
        <f>IFERROR(_xlfn.XLOOKUP(C2503,[1]ModifierDes!$B:$B,[1]ModifierDes!$A:$A),"")</f>
        <v/>
      </c>
      <c r="O2503" s="10">
        <f>IFERROR(_xlfn.XLOOKUP(C2503,[1]AttributeName!$C:$C,[1]AttributeName!$B:$B),"")</f>
        <v>10811</v>
      </c>
      <c r="P2503" s="10"/>
      <c r="Q2503">
        <v>0.07</v>
      </c>
      <c r="R2503">
        <v>0.07</v>
      </c>
      <c r="S2503" cm="1">
        <f t="array" ref="S2503">IFERROR(_xlfn.SWITCH(L2503,1,_xlfn.XLOOKUP(O2503,[1]AttributeName!$B:$B,[1]AttributeName!$D:$D),2,_xlfn.XLOOKUP(C2503,#REF!,#REF!),3,_xlfn.XLOOKUP(C2503,#REF!,#REF!)),0)</f>
        <v>2</v>
      </c>
      <c r="T2503" cm="1">
        <f t="array" ref="T2503">IFERROR(_xlfn.SWITCH(L2503,1,_xlfn.XLOOKUP(O2503,[1]AttributeName!$B:$B,[1]AttributeName!$E:$E),2,_xlfn.XLOOKUP(C2503,#REF!,#REF!),3,_xlfn.XLOOKUP(C2503,#REF!,#REF!)),0)</f>
        <v>2</v>
      </c>
    </row>
    <row r="2504" customFormat="1" spans="1:20">
      <c r="A2504">
        <f t="shared" si="103"/>
        <v>1011</v>
      </c>
      <c r="B2504">
        <v>3</v>
      </c>
      <c r="C2504" t="s">
        <v>429</v>
      </c>
      <c r="D2504" t="s">
        <v>442</v>
      </c>
      <c r="E2504" t="s">
        <v>378</v>
      </c>
      <c r="F2504"/>
      <c r="G2504">
        <v>1</v>
      </c>
      <c r="H2504">
        <v>750</v>
      </c>
      <c r="J2504" cm="1">
        <f t="array" ref="J2504">_xlfn.SWITCH(B2504,1,75,2,61,3,49,4,37,5,25,6,13,7,4,8,1)</f>
        <v>49</v>
      </c>
      <c r="K2504" t="str" cm="1">
        <f t="array" ref="K2504">IFERROR(_xlfn.SWITCH(L2504,2,_xlfn.XLOOKUP(C2504,[1]ModifierDes!$B:$B,[1]ModifierDes!$C:$C),3,_xlfn.XLOOKUP(C2504,[1]StuntDes!$B:$B,[1]StuntDes!$C:$C)),"")</f>
        <v/>
      </c>
      <c r="L2504">
        <f t="shared" si="104"/>
        <v>1</v>
      </c>
      <c r="M2504" s="10" t="str">
        <f>IFERROR(_xlfn.XLOOKUP(C2504,[1]StuntDes!$B:$B,[1]StuntDes!$A:$A),"")</f>
        <v/>
      </c>
      <c r="N2504" s="10" t="str">
        <f>IFERROR(_xlfn.XLOOKUP(C2504,[1]ModifierDes!$B:$B,[1]ModifierDes!$A:$A),"")</f>
        <v/>
      </c>
      <c r="O2504" s="10">
        <f>IFERROR(_xlfn.XLOOKUP(C2504,[1]AttributeName!$C:$C,[1]AttributeName!$B:$B),"")</f>
        <v>10811</v>
      </c>
      <c r="P2504" s="10"/>
      <c r="Q2504">
        <v>0.06</v>
      </c>
      <c r="R2504">
        <v>0.06</v>
      </c>
      <c r="S2504" cm="1">
        <f t="array" ref="S2504">IFERROR(_xlfn.SWITCH(L2504,1,_xlfn.XLOOKUP(O2504,[1]AttributeName!$B:$B,[1]AttributeName!$D:$D),2,_xlfn.XLOOKUP(C2504,#REF!,#REF!),3,_xlfn.XLOOKUP(C2504,#REF!,#REF!)),0)</f>
        <v>2</v>
      </c>
      <c r="T2504" cm="1">
        <f t="array" ref="T2504">IFERROR(_xlfn.SWITCH(L2504,1,_xlfn.XLOOKUP(O2504,[1]AttributeName!$B:$B,[1]AttributeName!$E:$E),2,_xlfn.XLOOKUP(C2504,#REF!,#REF!),3,_xlfn.XLOOKUP(C2504,#REF!,#REF!)),0)</f>
        <v>2</v>
      </c>
    </row>
    <row r="2505" customFormat="1" spans="1:20">
      <c r="A2505">
        <f t="shared" si="103"/>
        <v>1011</v>
      </c>
      <c r="B2505">
        <v>4</v>
      </c>
      <c r="C2505" t="s">
        <v>429</v>
      </c>
      <c r="D2505" t="s">
        <v>442</v>
      </c>
      <c r="E2505" t="s">
        <v>378</v>
      </c>
      <c r="F2505"/>
      <c r="G2505">
        <v>1</v>
      </c>
      <c r="H2505">
        <v>1000</v>
      </c>
      <c r="J2505" cm="1">
        <f t="array" ref="J2505">_xlfn.SWITCH(B2505,1,75,2,61,3,49,4,37,5,25,6,13,7,4,8,1)</f>
        <v>37</v>
      </c>
      <c r="K2505" t="str" cm="1">
        <f t="array" ref="K2505">IFERROR(_xlfn.SWITCH(L2505,2,_xlfn.XLOOKUP(C2505,[1]ModifierDes!$B:$B,[1]ModifierDes!$C:$C),3,_xlfn.XLOOKUP(C2505,[1]StuntDes!$B:$B,[1]StuntDes!$C:$C)),"")</f>
        <v/>
      </c>
      <c r="L2505">
        <f t="shared" si="104"/>
        <v>1</v>
      </c>
      <c r="M2505" s="10" t="str">
        <f>IFERROR(_xlfn.XLOOKUP(C2505,[1]StuntDes!$B:$B,[1]StuntDes!$A:$A),"")</f>
        <v/>
      </c>
      <c r="N2505" s="10" t="str">
        <f>IFERROR(_xlfn.XLOOKUP(C2505,[1]ModifierDes!$B:$B,[1]ModifierDes!$A:$A),"")</f>
        <v/>
      </c>
      <c r="O2505" s="10">
        <f>IFERROR(_xlfn.XLOOKUP(C2505,[1]AttributeName!$C:$C,[1]AttributeName!$B:$B),"")</f>
        <v>10811</v>
      </c>
      <c r="P2505" s="10"/>
      <c r="Q2505">
        <v>0.05</v>
      </c>
      <c r="R2505">
        <v>0.05</v>
      </c>
      <c r="S2505" cm="1">
        <f t="array" ref="S2505">IFERROR(_xlfn.SWITCH(L2505,1,_xlfn.XLOOKUP(O2505,[1]AttributeName!$B:$B,[1]AttributeName!$D:$D),2,_xlfn.XLOOKUP(C2505,#REF!,#REF!),3,_xlfn.XLOOKUP(C2505,#REF!,#REF!)),0)</f>
        <v>2</v>
      </c>
      <c r="T2505" cm="1">
        <f t="array" ref="T2505">IFERROR(_xlfn.SWITCH(L2505,1,_xlfn.XLOOKUP(O2505,[1]AttributeName!$B:$B,[1]AttributeName!$E:$E),2,_xlfn.XLOOKUP(C2505,#REF!,#REF!),3,_xlfn.XLOOKUP(C2505,#REF!,#REF!)),0)</f>
        <v>2</v>
      </c>
    </row>
    <row r="2506" customFormat="1" spans="1:20">
      <c r="A2506">
        <f t="shared" si="103"/>
        <v>1011</v>
      </c>
      <c r="B2506">
        <v>5</v>
      </c>
      <c r="C2506" t="s">
        <v>429</v>
      </c>
      <c r="D2506" t="s">
        <v>442</v>
      </c>
      <c r="E2506" t="s">
        <v>378</v>
      </c>
      <c r="F2506"/>
      <c r="G2506">
        <v>1</v>
      </c>
      <c r="H2506">
        <v>1000</v>
      </c>
      <c r="J2506" cm="1">
        <f t="array" ref="J2506">_xlfn.SWITCH(B2506,1,75,2,61,3,49,4,37,5,25,6,13,7,4,8,1)</f>
        <v>25</v>
      </c>
      <c r="K2506" t="str" cm="1">
        <f t="array" ref="K2506">IFERROR(_xlfn.SWITCH(L2506,2,_xlfn.XLOOKUP(C2506,[1]ModifierDes!$B:$B,[1]ModifierDes!$C:$C),3,_xlfn.XLOOKUP(C2506,[1]StuntDes!$B:$B,[1]StuntDes!$C:$C)),"")</f>
        <v/>
      </c>
      <c r="L2506">
        <f t="shared" si="104"/>
        <v>1</v>
      </c>
      <c r="M2506" s="10" t="str">
        <f>IFERROR(_xlfn.XLOOKUP(C2506,[1]StuntDes!$B:$B,[1]StuntDes!$A:$A),"")</f>
        <v/>
      </c>
      <c r="N2506" s="10" t="str">
        <f>IFERROR(_xlfn.XLOOKUP(C2506,[1]ModifierDes!$B:$B,[1]ModifierDes!$A:$A),"")</f>
        <v/>
      </c>
      <c r="O2506" s="10">
        <f>IFERROR(_xlfn.XLOOKUP(C2506,[1]AttributeName!$C:$C,[1]AttributeName!$B:$B),"")</f>
        <v>10811</v>
      </c>
      <c r="P2506" s="10"/>
      <c r="Q2506">
        <v>0.04</v>
      </c>
      <c r="R2506">
        <v>0.04</v>
      </c>
      <c r="S2506" cm="1">
        <f t="array" ref="S2506">IFERROR(_xlfn.SWITCH(L2506,1,_xlfn.XLOOKUP(O2506,[1]AttributeName!$B:$B,[1]AttributeName!$D:$D),2,_xlfn.XLOOKUP(C2506,#REF!,#REF!),3,_xlfn.XLOOKUP(C2506,#REF!,#REF!)),0)</f>
        <v>2</v>
      </c>
      <c r="T2506" cm="1">
        <f t="array" ref="T2506">IFERROR(_xlfn.SWITCH(L2506,1,_xlfn.XLOOKUP(O2506,[1]AttributeName!$B:$B,[1]AttributeName!$E:$E),2,_xlfn.XLOOKUP(C2506,#REF!,#REF!),3,_xlfn.XLOOKUP(C2506,#REF!,#REF!)),0)</f>
        <v>2</v>
      </c>
    </row>
    <row r="2507" customFormat="1" spans="1:20">
      <c r="A2507">
        <f t="shared" si="103"/>
        <v>1011</v>
      </c>
      <c r="B2507">
        <v>6</v>
      </c>
      <c r="C2507" t="s">
        <v>429</v>
      </c>
      <c r="D2507" t="s">
        <v>442</v>
      </c>
      <c r="E2507" t="s">
        <v>378</v>
      </c>
      <c r="F2507"/>
      <c r="G2507">
        <v>1</v>
      </c>
      <c r="H2507">
        <v>1000</v>
      </c>
      <c r="J2507" cm="1">
        <f t="array" ref="J2507">_xlfn.SWITCH(B2507,1,75,2,61,3,49,4,37,5,25,6,13,7,4,8,1)</f>
        <v>13</v>
      </c>
      <c r="K2507" t="str" cm="1">
        <f t="array" ref="K2507">IFERROR(_xlfn.SWITCH(L2507,2,_xlfn.XLOOKUP(C2507,[1]ModifierDes!$B:$B,[1]ModifierDes!$C:$C),3,_xlfn.XLOOKUP(C2507,[1]StuntDes!$B:$B,[1]StuntDes!$C:$C)),"")</f>
        <v/>
      </c>
      <c r="L2507">
        <f t="shared" si="104"/>
        <v>1</v>
      </c>
      <c r="M2507" s="10" t="str">
        <f>IFERROR(_xlfn.XLOOKUP(C2507,[1]StuntDes!$B:$B,[1]StuntDes!$A:$A),"")</f>
        <v/>
      </c>
      <c r="N2507" s="10" t="str">
        <f>IFERROR(_xlfn.XLOOKUP(C2507,[1]ModifierDes!$B:$B,[1]ModifierDes!$A:$A),"")</f>
        <v/>
      </c>
      <c r="O2507" s="10">
        <f>IFERROR(_xlfn.XLOOKUP(C2507,[1]AttributeName!$C:$C,[1]AttributeName!$B:$B),"")</f>
        <v>10811</v>
      </c>
      <c r="P2507" s="10"/>
      <c r="Q2507">
        <v>0.03</v>
      </c>
      <c r="R2507">
        <v>0.03</v>
      </c>
      <c r="S2507" cm="1">
        <f t="array" ref="S2507">IFERROR(_xlfn.SWITCH(L2507,1,_xlfn.XLOOKUP(O2507,[1]AttributeName!$B:$B,[1]AttributeName!$D:$D),2,_xlfn.XLOOKUP(C2507,#REF!,#REF!),3,_xlfn.XLOOKUP(C2507,#REF!,#REF!)),0)</f>
        <v>2</v>
      </c>
      <c r="T2507" cm="1">
        <f t="array" ref="T2507">IFERROR(_xlfn.SWITCH(L2507,1,_xlfn.XLOOKUP(O2507,[1]AttributeName!$B:$B,[1]AttributeName!$E:$E),2,_xlfn.XLOOKUP(C2507,#REF!,#REF!),3,_xlfn.XLOOKUP(C2507,#REF!,#REF!)),0)</f>
        <v>2</v>
      </c>
    </row>
    <row r="2508" customFormat="1" spans="1:20">
      <c r="A2508">
        <f t="shared" si="103"/>
        <v>1011</v>
      </c>
      <c r="B2508">
        <v>7</v>
      </c>
      <c r="C2508" t="s">
        <v>429</v>
      </c>
      <c r="D2508" t="s">
        <v>442</v>
      </c>
      <c r="E2508" t="s">
        <v>378</v>
      </c>
      <c r="F2508"/>
      <c r="G2508">
        <v>1</v>
      </c>
      <c r="H2508">
        <v>1000</v>
      </c>
      <c r="J2508" cm="1">
        <f t="array" ref="J2508">_xlfn.SWITCH(B2508,1,75,2,61,3,49,4,37,5,25,6,13,7,4,8,1)</f>
        <v>4</v>
      </c>
      <c r="K2508" t="str" cm="1">
        <f t="array" ref="K2508">IFERROR(_xlfn.SWITCH(L2508,2,_xlfn.XLOOKUP(C2508,[1]ModifierDes!$B:$B,[1]ModifierDes!$C:$C),3,_xlfn.XLOOKUP(C2508,[1]StuntDes!$B:$B,[1]StuntDes!$C:$C)),"")</f>
        <v/>
      </c>
      <c r="L2508">
        <f t="shared" si="104"/>
        <v>1</v>
      </c>
      <c r="M2508" s="10" t="str">
        <f>IFERROR(_xlfn.XLOOKUP(C2508,[1]StuntDes!$B:$B,[1]StuntDes!$A:$A),"")</f>
        <v/>
      </c>
      <c r="N2508" s="10" t="str">
        <f>IFERROR(_xlfn.XLOOKUP(C2508,[1]ModifierDes!$B:$B,[1]ModifierDes!$A:$A),"")</f>
        <v/>
      </c>
      <c r="O2508" s="10">
        <f>IFERROR(_xlfn.XLOOKUP(C2508,[1]AttributeName!$C:$C,[1]AttributeName!$B:$B),"")</f>
        <v>10811</v>
      </c>
      <c r="P2508" s="10"/>
      <c r="Q2508">
        <v>0.02</v>
      </c>
      <c r="R2508">
        <v>0.02</v>
      </c>
      <c r="S2508" cm="1">
        <f t="array" ref="S2508">IFERROR(_xlfn.SWITCH(L2508,1,_xlfn.XLOOKUP(O2508,[1]AttributeName!$B:$B,[1]AttributeName!$D:$D),2,_xlfn.XLOOKUP(C2508,#REF!,#REF!),3,_xlfn.XLOOKUP(C2508,#REF!,#REF!)),0)</f>
        <v>2</v>
      </c>
      <c r="T2508" cm="1">
        <f t="array" ref="T2508">IFERROR(_xlfn.SWITCH(L2508,1,_xlfn.XLOOKUP(O2508,[1]AttributeName!$B:$B,[1]AttributeName!$E:$E),2,_xlfn.XLOOKUP(C2508,#REF!,#REF!),3,_xlfn.XLOOKUP(C2508,#REF!,#REF!)),0)</f>
        <v>2</v>
      </c>
    </row>
    <row r="2509" customFormat="1" spans="1:20">
      <c r="A2509">
        <f t="shared" si="103"/>
        <v>1011</v>
      </c>
      <c r="B2509">
        <v>8</v>
      </c>
      <c r="C2509" t="s">
        <v>429</v>
      </c>
      <c r="D2509" t="s">
        <v>442</v>
      </c>
      <c r="E2509" t="s">
        <v>378</v>
      </c>
      <c r="F2509"/>
      <c r="G2509">
        <v>1</v>
      </c>
      <c r="H2509">
        <v>1000</v>
      </c>
      <c r="J2509" cm="1">
        <f t="array" ref="J2509">_xlfn.SWITCH(B2509,1,75,2,61,3,49,4,37,5,25,6,13,7,4,8,1)</f>
        <v>1</v>
      </c>
      <c r="K2509" t="str" cm="1">
        <f t="array" ref="K2509">IFERROR(_xlfn.SWITCH(L2509,2,_xlfn.XLOOKUP(C2509,[1]ModifierDes!$B:$B,[1]ModifierDes!$C:$C),3,_xlfn.XLOOKUP(C2509,[1]StuntDes!$B:$B,[1]StuntDes!$C:$C)),"")</f>
        <v/>
      </c>
      <c r="L2509">
        <f t="shared" si="104"/>
        <v>1</v>
      </c>
      <c r="M2509" s="10" t="str">
        <f>IFERROR(_xlfn.XLOOKUP(C2509,[1]StuntDes!$B:$B,[1]StuntDes!$A:$A),"")</f>
        <v/>
      </c>
      <c r="N2509" s="10" t="str">
        <f>IFERROR(_xlfn.XLOOKUP(C2509,[1]ModifierDes!$B:$B,[1]ModifierDes!$A:$A),"")</f>
        <v/>
      </c>
      <c r="O2509" s="10">
        <f>IFERROR(_xlfn.XLOOKUP(C2509,[1]AttributeName!$C:$C,[1]AttributeName!$B:$B),"")</f>
        <v>10811</v>
      </c>
      <c r="P2509" s="10"/>
      <c r="Q2509">
        <v>0.01</v>
      </c>
      <c r="R2509">
        <v>0.01</v>
      </c>
      <c r="S2509" cm="1">
        <f t="array" ref="S2509">IFERROR(_xlfn.SWITCH(L2509,1,_xlfn.XLOOKUP(O2509,[1]AttributeName!$B:$B,[1]AttributeName!$D:$D),2,_xlfn.XLOOKUP(C2509,#REF!,#REF!),3,_xlfn.XLOOKUP(C2509,#REF!,#REF!)),0)</f>
        <v>2</v>
      </c>
      <c r="T2509" cm="1">
        <f t="array" ref="T2509">IFERROR(_xlfn.SWITCH(L2509,1,_xlfn.XLOOKUP(O2509,[1]AttributeName!$B:$B,[1]AttributeName!$E:$E),2,_xlfn.XLOOKUP(C2509,#REF!,#REF!),3,_xlfn.XLOOKUP(C2509,#REF!,#REF!)),0)</f>
        <v>2</v>
      </c>
    </row>
    <row r="2510" customFormat="1" spans="1:20">
      <c r="A2510">
        <f t="shared" si="103"/>
        <v>1012</v>
      </c>
      <c r="B2510">
        <v>1</v>
      </c>
      <c r="C2510" t="s">
        <v>430</v>
      </c>
      <c r="D2510" t="s">
        <v>442</v>
      </c>
      <c r="E2510" t="s">
        <v>378</v>
      </c>
      <c r="F2510"/>
      <c r="G2510">
        <v>1</v>
      </c>
      <c r="H2510">
        <v>250</v>
      </c>
      <c r="J2510" cm="1">
        <f t="array" ref="J2510">_xlfn.SWITCH(B2510,1,75,2,61,3,49,4,37,5,25,6,13,7,4,8,1)</f>
        <v>75</v>
      </c>
      <c r="K2510" t="str" cm="1">
        <f t="array" ref="K2510">IFERROR(_xlfn.SWITCH(L2510,2,_xlfn.XLOOKUP(C2510,[1]ModifierDes!$B:$B,[1]ModifierDes!$C:$C),3,_xlfn.XLOOKUP(C2510,[1]StuntDes!$B:$B,[1]StuntDes!$C:$C)),"")</f>
        <v/>
      </c>
      <c r="L2510">
        <f t="shared" si="104"/>
        <v>1</v>
      </c>
      <c r="M2510" s="10" t="str">
        <f>IFERROR(_xlfn.XLOOKUP(C2510,[1]StuntDes!$B:$B,[1]StuntDes!$A:$A),"")</f>
        <v/>
      </c>
      <c r="N2510" s="10" t="str">
        <f>IFERROR(_xlfn.XLOOKUP(C2510,[1]ModifierDes!$B:$B,[1]ModifierDes!$A:$A),"")</f>
        <v/>
      </c>
      <c r="O2510" s="10">
        <f>IFERROR(_xlfn.XLOOKUP(C2510,[1]AttributeName!$C:$C,[1]AttributeName!$B:$B),"")</f>
        <v>10812</v>
      </c>
      <c r="P2510" s="10"/>
      <c r="Q2510">
        <v>0.08</v>
      </c>
      <c r="R2510">
        <v>0.1</v>
      </c>
      <c r="S2510" cm="1">
        <f t="array" ref="S2510">IFERROR(_xlfn.SWITCH(L2510,1,_xlfn.XLOOKUP(O2510,[1]AttributeName!$B:$B,[1]AttributeName!$D:$D),2,_xlfn.XLOOKUP(C2510,#REF!,#REF!),3,_xlfn.XLOOKUP(C2510,#REF!,#REF!)),0)</f>
        <v>2</v>
      </c>
      <c r="T2510" cm="1">
        <f t="array" ref="T2510">IFERROR(_xlfn.SWITCH(L2510,1,_xlfn.XLOOKUP(O2510,[1]AttributeName!$B:$B,[1]AttributeName!$E:$E),2,_xlfn.XLOOKUP(C2510,#REF!,#REF!),3,_xlfn.XLOOKUP(C2510,#REF!,#REF!)),0)</f>
        <v>2</v>
      </c>
    </row>
    <row r="2511" customFormat="1" spans="1:20">
      <c r="A2511">
        <f t="shared" si="103"/>
        <v>1012</v>
      </c>
      <c r="B2511">
        <v>2</v>
      </c>
      <c r="C2511" t="s">
        <v>430</v>
      </c>
      <c r="D2511" t="s">
        <v>442</v>
      </c>
      <c r="E2511" t="s">
        <v>378</v>
      </c>
      <c r="F2511"/>
      <c r="G2511">
        <v>1</v>
      </c>
      <c r="H2511">
        <v>500</v>
      </c>
      <c r="J2511" cm="1">
        <f t="array" ref="J2511">_xlfn.SWITCH(B2511,1,75,2,61,3,49,4,37,5,25,6,13,7,4,8,1)</f>
        <v>61</v>
      </c>
      <c r="K2511" t="str" cm="1">
        <f t="array" ref="K2511">IFERROR(_xlfn.SWITCH(L2511,2,_xlfn.XLOOKUP(C2511,[1]ModifierDes!$B:$B,[1]ModifierDes!$C:$C),3,_xlfn.XLOOKUP(C2511,[1]StuntDes!$B:$B,[1]StuntDes!$C:$C)),"")</f>
        <v/>
      </c>
      <c r="L2511">
        <f t="shared" si="104"/>
        <v>1</v>
      </c>
      <c r="M2511" s="10" t="str">
        <f>IFERROR(_xlfn.XLOOKUP(C2511,[1]StuntDes!$B:$B,[1]StuntDes!$A:$A),"")</f>
        <v/>
      </c>
      <c r="N2511" s="10" t="str">
        <f>IFERROR(_xlfn.XLOOKUP(C2511,[1]ModifierDes!$B:$B,[1]ModifierDes!$A:$A),"")</f>
        <v/>
      </c>
      <c r="O2511" s="10">
        <f>IFERROR(_xlfn.XLOOKUP(C2511,[1]AttributeName!$C:$C,[1]AttributeName!$B:$B),"")</f>
        <v>10812</v>
      </c>
      <c r="P2511" s="10"/>
      <c r="Q2511">
        <v>0.07</v>
      </c>
      <c r="R2511">
        <v>0.07</v>
      </c>
      <c r="S2511" cm="1">
        <f t="array" ref="S2511">IFERROR(_xlfn.SWITCH(L2511,1,_xlfn.XLOOKUP(O2511,[1]AttributeName!$B:$B,[1]AttributeName!$D:$D),2,_xlfn.XLOOKUP(C2511,#REF!,#REF!),3,_xlfn.XLOOKUP(C2511,#REF!,#REF!)),0)</f>
        <v>2</v>
      </c>
      <c r="T2511" cm="1">
        <f t="array" ref="T2511">IFERROR(_xlfn.SWITCH(L2511,1,_xlfn.XLOOKUP(O2511,[1]AttributeName!$B:$B,[1]AttributeName!$E:$E),2,_xlfn.XLOOKUP(C2511,#REF!,#REF!),3,_xlfn.XLOOKUP(C2511,#REF!,#REF!)),0)</f>
        <v>2</v>
      </c>
    </row>
    <row r="2512" customFormat="1" spans="1:20">
      <c r="A2512">
        <f t="shared" si="103"/>
        <v>1012</v>
      </c>
      <c r="B2512">
        <v>3</v>
      </c>
      <c r="C2512" t="s">
        <v>430</v>
      </c>
      <c r="D2512" t="s">
        <v>442</v>
      </c>
      <c r="E2512" t="s">
        <v>378</v>
      </c>
      <c r="F2512"/>
      <c r="G2512">
        <v>1</v>
      </c>
      <c r="H2512">
        <v>750</v>
      </c>
      <c r="J2512" cm="1">
        <f t="array" ref="J2512">_xlfn.SWITCH(B2512,1,75,2,61,3,49,4,37,5,25,6,13,7,4,8,1)</f>
        <v>49</v>
      </c>
      <c r="K2512" t="str" cm="1">
        <f t="array" ref="K2512">IFERROR(_xlfn.SWITCH(L2512,2,_xlfn.XLOOKUP(C2512,[1]ModifierDes!$B:$B,[1]ModifierDes!$C:$C),3,_xlfn.XLOOKUP(C2512,[1]StuntDes!$B:$B,[1]StuntDes!$C:$C)),"")</f>
        <v/>
      </c>
      <c r="L2512">
        <f t="shared" si="104"/>
        <v>1</v>
      </c>
      <c r="M2512" s="10" t="str">
        <f>IFERROR(_xlfn.XLOOKUP(C2512,[1]StuntDes!$B:$B,[1]StuntDes!$A:$A),"")</f>
        <v/>
      </c>
      <c r="N2512" s="10" t="str">
        <f>IFERROR(_xlfn.XLOOKUP(C2512,[1]ModifierDes!$B:$B,[1]ModifierDes!$A:$A),"")</f>
        <v/>
      </c>
      <c r="O2512" s="10">
        <f>IFERROR(_xlfn.XLOOKUP(C2512,[1]AttributeName!$C:$C,[1]AttributeName!$B:$B),"")</f>
        <v>10812</v>
      </c>
      <c r="P2512" s="10"/>
      <c r="Q2512">
        <v>0.06</v>
      </c>
      <c r="R2512">
        <v>0.06</v>
      </c>
      <c r="S2512" cm="1">
        <f t="array" ref="S2512">IFERROR(_xlfn.SWITCH(L2512,1,_xlfn.XLOOKUP(O2512,[1]AttributeName!$B:$B,[1]AttributeName!$D:$D),2,_xlfn.XLOOKUP(C2512,#REF!,#REF!),3,_xlfn.XLOOKUP(C2512,#REF!,#REF!)),0)</f>
        <v>2</v>
      </c>
      <c r="T2512" cm="1">
        <f t="array" ref="T2512">IFERROR(_xlfn.SWITCH(L2512,1,_xlfn.XLOOKUP(O2512,[1]AttributeName!$B:$B,[1]AttributeName!$E:$E),2,_xlfn.XLOOKUP(C2512,#REF!,#REF!),3,_xlfn.XLOOKUP(C2512,#REF!,#REF!)),0)</f>
        <v>2</v>
      </c>
    </row>
    <row r="2513" customFormat="1" spans="1:20">
      <c r="A2513">
        <f t="shared" si="103"/>
        <v>1012</v>
      </c>
      <c r="B2513">
        <v>4</v>
      </c>
      <c r="C2513" t="s">
        <v>430</v>
      </c>
      <c r="D2513" t="s">
        <v>442</v>
      </c>
      <c r="E2513" t="s">
        <v>378</v>
      </c>
      <c r="F2513"/>
      <c r="G2513">
        <v>1</v>
      </c>
      <c r="H2513">
        <v>1000</v>
      </c>
      <c r="J2513" cm="1">
        <f t="array" ref="J2513">_xlfn.SWITCH(B2513,1,75,2,61,3,49,4,37,5,25,6,13,7,4,8,1)</f>
        <v>37</v>
      </c>
      <c r="K2513" t="str" cm="1">
        <f t="array" ref="K2513">IFERROR(_xlfn.SWITCH(L2513,2,_xlfn.XLOOKUP(C2513,[1]ModifierDes!$B:$B,[1]ModifierDes!$C:$C),3,_xlfn.XLOOKUP(C2513,[1]StuntDes!$B:$B,[1]StuntDes!$C:$C)),"")</f>
        <v/>
      </c>
      <c r="L2513">
        <f t="shared" si="104"/>
        <v>1</v>
      </c>
      <c r="M2513" s="10" t="str">
        <f>IFERROR(_xlfn.XLOOKUP(C2513,[1]StuntDes!$B:$B,[1]StuntDes!$A:$A),"")</f>
        <v/>
      </c>
      <c r="N2513" s="10" t="str">
        <f>IFERROR(_xlfn.XLOOKUP(C2513,[1]ModifierDes!$B:$B,[1]ModifierDes!$A:$A),"")</f>
        <v/>
      </c>
      <c r="O2513" s="10">
        <f>IFERROR(_xlfn.XLOOKUP(C2513,[1]AttributeName!$C:$C,[1]AttributeName!$B:$B),"")</f>
        <v>10812</v>
      </c>
      <c r="P2513" s="10"/>
      <c r="Q2513">
        <v>0.05</v>
      </c>
      <c r="R2513">
        <v>0.05</v>
      </c>
      <c r="S2513" cm="1">
        <f t="array" ref="S2513">IFERROR(_xlfn.SWITCH(L2513,1,_xlfn.XLOOKUP(O2513,[1]AttributeName!$B:$B,[1]AttributeName!$D:$D),2,_xlfn.XLOOKUP(C2513,#REF!,#REF!),3,_xlfn.XLOOKUP(C2513,#REF!,#REF!)),0)</f>
        <v>2</v>
      </c>
      <c r="T2513" cm="1">
        <f t="array" ref="T2513">IFERROR(_xlfn.SWITCH(L2513,1,_xlfn.XLOOKUP(O2513,[1]AttributeName!$B:$B,[1]AttributeName!$E:$E),2,_xlfn.XLOOKUP(C2513,#REF!,#REF!),3,_xlfn.XLOOKUP(C2513,#REF!,#REF!)),0)</f>
        <v>2</v>
      </c>
    </row>
    <row r="2514" customFormat="1" spans="1:20">
      <c r="A2514">
        <f t="shared" si="103"/>
        <v>1012</v>
      </c>
      <c r="B2514">
        <v>5</v>
      </c>
      <c r="C2514" t="s">
        <v>430</v>
      </c>
      <c r="D2514" t="s">
        <v>442</v>
      </c>
      <c r="E2514" t="s">
        <v>378</v>
      </c>
      <c r="F2514"/>
      <c r="G2514">
        <v>1</v>
      </c>
      <c r="H2514">
        <v>1000</v>
      </c>
      <c r="J2514" cm="1">
        <f t="array" ref="J2514">_xlfn.SWITCH(B2514,1,75,2,61,3,49,4,37,5,25,6,13,7,4,8,1)</f>
        <v>25</v>
      </c>
      <c r="K2514" t="str" cm="1">
        <f t="array" ref="K2514">IFERROR(_xlfn.SWITCH(L2514,2,_xlfn.XLOOKUP(C2514,[1]ModifierDes!$B:$B,[1]ModifierDes!$C:$C),3,_xlfn.XLOOKUP(C2514,[1]StuntDes!$B:$B,[1]StuntDes!$C:$C)),"")</f>
        <v/>
      </c>
      <c r="L2514">
        <f t="shared" si="104"/>
        <v>1</v>
      </c>
      <c r="M2514" s="10" t="str">
        <f>IFERROR(_xlfn.XLOOKUP(C2514,[1]StuntDes!$B:$B,[1]StuntDes!$A:$A),"")</f>
        <v/>
      </c>
      <c r="N2514" s="10" t="str">
        <f>IFERROR(_xlfn.XLOOKUP(C2514,[1]ModifierDes!$B:$B,[1]ModifierDes!$A:$A),"")</f>
        <v/>
      </c>
      <c r="O2514" s="10">
        <f>IFERROR(_xlfn.XLOOKUP(C2514,[1]AttributeName!$C:$C,[1]AttributeName!$B:$B),"")</f>
        <v>10812</v>
      </c>
      <c r="P2514" s="10"/>
      <c r="Q2514">
        <v>0.04</v>
      </c>
      <c r="R2514">
        <v>0.04</v>
      </c>
      <c r="S2514" cm="1">
        <f t="array" ref="S2514">IFERROR(_xlfn.SWITCH(L2514,1,_xlfn.XLOOKUP(O2514,[1]AttributeName!$B:$B,[1]AttributeName!$D:$D),2,_xlfn.XLOOKUP(C2514,#REF!,#REF!),3,_xlfn.XLOOKUP(C2514,#REF!,#REF!)),0)</f>
        <v>2</v>
      </c>
      <c r="T2514" cm="1">
        <f t="array" ref="T2514">IFERROR(_xlfn.SWITCH(L2514,1,_xlfn.XLOOKUP(O2514,[1]AttributeName!$B:$B,[1]AttributeName!$E:$E),2,_xlfn.XLOOKUP(C2514,#REF!,#REF!),3,_xlfn.XLOOKUP(C2514,#REF!,#REF!)),0)</f>
        <v>2</v>
      </c>
    </row>
    <row r="2515" customFormat="1" spans="1:20">
      <c r="A2515">
        <f t="shared" si="103"/>
        <v>1012</v>
      </c>
      <c r="B2515">
        <v>6</v>
      </c>
      <c r="C2515" t="s">
        <v>430</v>
      </c>
      <c r="D2515" t="s">
        <v>442</v>
      </c>
      <c r="E2515" t="s">
        <v>378</v>
      </c>
      <c r="F2515"/>
      <c r="G2515">
        <v>1</v>
      </c>
      <c r="H2515">
        <v>1000</v>
      </c>
      <c r="J2515" cm="1">
        <f t="array" ref="J2515">_xlfn.SWITCH(B2515,1,75,2,61,3,49,4,37,5,25,6,13,7,4,8,1)</f>
        <v>13</v>
      </c>
      <c r="K2515" t="str" cm="1">
        <f t="array" ref="K2515">IFERROR(_xlfn.SWITCH(L2515,2,_xlfn.XLOOKUP(C2515,[1]ModifierDes!$B:$B,[1]ModifierDes!$C:$C),3,_xlfn.XLOOKUP(C2515,[1]StuntDes!$B:$B,[1]StuntDes!$C:$C)),"")</f>
        <v/>
      </c>
      <c r="L2515">
        <f t="shared" si="104"/>
        <v>1</v>
      </c>
      <c r="M2515" s="10" t="str">
        <f>IFERROR(_xlfn.XLOOKUP(C2515,[1]StuntDes!$B:$B,[1]StuntDes!$A:$A),"")</f>
        <v/>
      </c>
      <c r="N2515" s="10" t="str">
        <f>IFERROR(_xlfn.XLOOKUP(C2515,[1]ModifierDes!$B:$B,[1]ModifierDes!$A:$A),"")</f>
        <v/>
      </c>
      <c r="O2515" s="10">
        <f>IFERROR(_xlfn.XLOOKUP(C2515,[1]AttributeName!$C:$C,[1]AttributeName!$B:$B),"")</f>
        <v>10812</v>
      </c>
      <c r="P2515" s="10"/>
      <c r="Q2515">
        <v>0.03</v>
      </c>
      <c r="R2515">
        <v>0.03</v>
      </c>
      <c r="S2515" cm="1">
        <f t="array" ref="S2515">IFERROR(_xlfn.SWITCH(L2515,1,_xlfn.XLOOKUP(O2515,[1]AttributeName!$B:$B,[1]AttributeName!$D:$D),2,_xlfn.XLOOKUP(C2515,#REF!,#REF!),3,_xlfn.XLOOKUP(C2515,#REF!,#REF!)),0)</f>
        <v>2</v>
      </c>
      <c r="T2515" cm="1">
        <f t="array" ref="T2515">IFERROR(_xlfn.SWITCH(L2515,1,_xlfn.XLOOKUP(O2515,[1]AttributeName!$B:$B,[1]AttributeName!$E:$E),2,_xlfn.XLOOKUP(C2515,#REF!,#REF!),3,_xlfn.XLOOKUP(C2515,#REF!,#REF!)),0)</f>
        <v>2</v>
      </c>
    </row>
    <row r="2516" customFormat="1" spans="1:20">
      <c r="A2516">
        <f t="shared" si="103"/>
        <v>1012</v>
      </c>
      <c r="B2516">
        <v>7</v>
      </c>
      <c r="C2516" t="s">
        <v>430</v>
      </c>
      <c r="D2516" t="s">
        <v>442</v>
      </c>
      <c r="E2516" t="s">
        <v>378</v>
      </c>
      <c r="F2516"/>
      <c r="G2516">
        <v>1</v>
      </c>
      <c r="H2516">
        <v>1000</v>
      </c>
      <c r="J2516" cm="1">
        <f t="array" ref="J2516">_xlfn.SWITCH(B2516,1,75,2,61,3,49,4,37,5,25,6,13,7,4,8,1)</f>
        <v>4</v>
      </c>
      <c r="K2516" t="str" cm="1">
        <f t="array" ref="K2516">IFERROR(_xlfn.SWITCH(L2516,2,_xlfn.XLOOKUP(C2516,[1]ModifierDes!$B:$B,[1]ModifierDes!$C:$C),3,_xlfn.XLOOKUP(C2516,[1]StuntDes!$B:$B,[1]StuntDes!$C:$C)),"")</f>
        <v/>
      </c>
      <c r="L2516">
        <f t="shared" si="104"/>
        <v>1</v>
      </c>
      <c r="M2516" s="10" t="str">
        <f>IFERROR(_xlfn.XLOOKUP(C2516,[1]StuntDes!$B:$B,[1]StuntDes!$A:$A),"")</f>
        <v/>
      </c>
      <c r="N2516" s="10" t="str">
        <f>IFERROR(_xlfn.XLOOKUP(C2516,[1]ModifierDes!$B:$B,[1]ModifierDes!$A:$A),"")</f>
        <v/>
      </c>
      <c r="O2516" s="10">
        <f>IFERROR(_xlfn.XLOOKUP(C2516,[1]AttributeName!$C:$C,[1]AttributeName!$B:$B),"")</f>
        <v>10812</v>
      </c>
      <c r="P2516" s="10"/>
      <c r="Q2516">
        <v>0.02</v>
      </c>
      <c r="R2516">
        <v>0.02</v>
      </c>
      <c r="S2516" cm="1">
        <f t="array" ref="S2516">IFERROR(_xlfn.SWITCH(L2516,1,_xlfn.XLOOKUP(O2516,[1]AttributeName!$B:$B,[1]AttributeName!$D:$D),2,_xlfn.XLOOKUP(C2516,#REF!,#REF!),3,_xlfn.XLOOKUP(C2516,#REF!,#REF!)),0)</f>
        <v>2</v>
      </c>
      <c r="T2516" cm="1">
        <f t="array" ref="T2516">IFERROR(_xlfn.SWITCH(L2516,1,_xlfn.XLOOKUP(O2516,[1]AttributeName!$B:$B,[1]AttributeName!$E:$E),2,_xlfn.XLOOKUP(C2516,#REF!,#REF!),3,_xlfn.XLOOKUP(C2516,#REF!,#REF!)),0)</f>
        <v>2</v>
      </c>
    </row>
    <row r="2517" customFormat="1" spans="1:20">
      <c r="A2517">
        <f t="shared" si="103"/>
        <v>1012</v>
      </c>
      <c r="B2517">
        <v>8</v>
      </c>
      <c r="C2517" t="s">
        <v>430</v>
      </c>
      <c r="D2517" t="s">
        <v>442</v>
      </c>
      <c r="E2517" t="s">
        <v>378</v>
      </c>
      <c r="F2517"/>
      <c r="G2517">
        <v>1</v>
      </c>
      <c r="H2517">
        <v>1000</v>
      </c>
      <c r="J2517" cm="1">
        <f t="array" ref="J2517">_xlfn.SWITCH(B2517,1,75,2,61,3,49,4,37,5,25,6,13,7,4,8,1)</f>
        <v>1</v>
      </c>
      <c r="K2517" t="str" cm="1">
        <f t="array" ref="K2517">IFERROR(_xlfn.SWITCH(L2517,2,_xlfn.XLOOKUP(C2517,[1]ModifierDes!$B:$B,[1]ModifierDes!$C:$C),3,_xlfn.XLOOKUP(C2517,[1]StuntDes!$B:$B,[1]StuntDes!$C:$C)),"")</f>
        <v/>
      </c>
      <c r="L2517">
        <f t="shared" si="104"/>
        <v>1</v>
      </c>
      <c r="M2517" s="10" t="str">
        <f>IFERROR(_xlfn.XLOOKUP(C2517,[1]StuntDes!$B:$B,[1]StuntDes!$A:$A),"")</f>
        <v/>
      </c>
      <c r="N2517" s="10" t="str">
        <f>IFERROR(_xlfn.XLOOKUP(C2517,[1]ModifierDes!$B:$B,[1]ModifierDes!$A:$A),"")</f>
        <v/>
      </c>
      <c r="O2517" s="10">
        <f>IFERROR(_xlfn.XLOOKUP(C2517,[1]AttributeName!$C:$C,[1]AttributeName!$B:$B),"")</f>
        <v>10812</v>
      </c>
      <c r="P2517" s="10"/>
      <c r="Q2517">
        <v>0.01</v>
      </c>
      <c r="R2517">
        <v>0.01</v>
      </c>
      <c r="S2517" cm="1">
        <f t="array" ref="S2517">IFERROR(_xlfn.SWITCH(L2517,1,_xlfn.XLOOKUP(O2517,[1]AttributeName!$B:$B,[1]AttributeName!$D:$D),2,_xlfn.XLOOKUP(C2517,#REF!,#REF!),3,_xlfn.XLOOKUP(C2517,#REF!,#REF!)),0)</f>
        <v>2</v>
      </c>
      <c r="T2517" cm="1">
        <f t="array" ref="T2517">IFERROR(_xlfn.SWITCH(L2517,1,_xlfn.XLOOKUP(O2517,[1]AttributeName!$B:$B,[1]AttributeName!$E:$E),2,_xlfn.XLOOKUP(C2517,#REF!,#REF!),3,_xlfn.XLOOKUP(C2517,#REF!,#REF!)),0)</f>
        <v>2</v>
      </c>
    </row>
    <row r="2518" customFormat="1" spans="1:20">
      <c r="A2518">
        <f t="shared" si="103"/>
        <v>1013</v>
      </c>
      <c r="B2518">
        <v>1</v>
      </c>
      <c r="C2518" t="s">
        <v>431</v>
      </c>
      <c r="D2518" t="s">
        <v>442</v>
      </c>
      <c r="E2518" t="s">
        <v>378</v>
      </c>
      <c r="F2518"/>
      <c r="G2518">
        <v>1</v>
      </c>
      <c r="H2518">
        <v>250</v>
      </c>
      <c r="J2518" cm="1">
        <f t="array" ref="J2518">_xlfn.SWITCH(B2518,1,75,2,61,3,49,4,37,5,25,6,13,7,4,8,1)</f>
        <v>75</v>
      </c>
      <c r="K2518" t="str" cm="1">
        <f t="array" ref="K2518">IFERROR(_xlfn.SWITCH(L2518,2,_xlfn.XLOOKUP(C2518,[1]ModifierDes!$B:$B,[1]ModifierDes!$C:$C),3,_xlfn.XLOOKUP(C2518,[1]StuntDes!$B:$B,[1]StuntDes!$C:$C)),"")</f>
        <v/>
      </c>
      <c r="L2518">
        <f t="shared" si="104"/>
        <v>1</v>
      </c>
      <c r="M2518" s="10" t="str">
        <f>IFERROR(_xlfn.XLOOKUP(C2518,[1]StuntDes!$B:$B,[1]StuntDes!$A:$A),"")</f>
        <v/>
      </c>
      <c r="N2518" s="10" t="str">
        <f>IFERROR(_xlfn.XLOOKUP(C2518,[1]ModifierDes!$B:$B,[1]ModifierDes!$A:$A),"")</f>
        <v/>
      </c>
      <c r="O2518" s="10">
        <f>IFERROR(_xlfn.XLOOKUP(C2518,[1]AttributeName!$C:$C,[1]AttributeName!$B:$B),"")</f>
        <v>10813</v>
      </c>
      <c r="P2518" s="10"/>
      <c r="Q2518">
        <v>0.08</v>
      </c>
      <c r="R2518">
        <v>0.1</v>
      </c>
      <c r="S2518" cm="1">
        <f t="array" ref="S2518">IFERROR(_xlfn.SWITCH(L2518,1,_xlfn.XLOOKUP(O2518,[1]AttributeName!$B:$B,[1]AttributeName!$D:$D),2,_xlfn.XLOOKUP(C2518,#REF!,#REF!),3,_xlfn.XLOOKUP(C2518,#REF!,#REF!)),0)</f>
        <v>2</v>
      </c>
      <c r="T2518" cm="1">
        <f t="array" ref="T2518">IFERROR(_xlfn.SWITCH(L2518,1,_xlfn.XLOOKUP(O2518,[1]AttributeName!$B:$B,[1]AttributeName!$E:$E),2,_xlfn.XLOOKUP(C2518,#REF!,#REF!),3,_xlfn.XLOOKUP(C2518,#REF!,#REF!)),0)</f>
        <v>2</v>
      </c>
    </row>
    <row r="2519" customFormat="1" spans="1:20">
      <c r="A2519">
        <f t="shared" si="103"/>
        <v>1013</v>
      </c>
      <c r="B2519">
        <v>2</v>
      </c>
      <c r="C2519" t="s">
        <v>431</v>
      </c>
      <c r="D2519" t="s">
        <v>442</v>
      </c>
      <c r="E2519" t="s">
        <v>378</v>
      </c>
      <c r="F2519"/>
      <c r="G2519">
        <v>1</v>
      </c>
      <c r="H2519">
        <v>500</v>
      </c>
      <c r="J2519" cm="1">
        <f t="array" ref="J2519">_xlfn.SWITCH(B2519,1,75,2,61,3,49,4,37,5,25,6,13,7,4,8,1)</f>
        <v>61</v>
      </c>
      <c r="K2519" t="str" cm="1">
        <f t="array" ref="K2519">IFERROR(_xlfn.SWITCH(L2519,2,_xlfn.XLOOKUP(C2519,[1]ModifierDes!$B:$B,[1]ModifierDes!$C:$C),3,_xlfn.XLOOKUP(C2519,[1]StuntDes!$B:$B,[1]StuntDes!$C:$C)),"")</f>
        <v/>
      </c>
      <c r="L2519">
        <f t="shared" si="104"/>
        <v>1</v>
      </c>
      <c r="M2519" s="10" t="str">
        <f>IFERROR(_xlfn.XLOOKUP(C2519,[1]StuntDes!$B:$B,[1]StuntDes!$A:$A),"")</f>
        <v/>
      </c>
      <c r="N2519" s="10" t="str">
        <f>IFERROR(_xlfn.XLOOKUP(C2519,[1]ModifierDes!$B:$B,[1]ModifierDes!$A:$A),"")</f>
        <v/>
      </c>
      <c r="O2519" s="10">
        <f>IFERROR(_xlfn.XLOOKUP(C2519,[1]AttributeName!$C:$C,[1]AttributeName!$B:$B),"")</f>
        <v>10813</v>
      </c>
      <c r="P2519" s="10"/>
      <c r="Q2519">
        <v>0.07</v>
      </c>
      <c r="R2519">
        <v>0.07</v>
      </c>
      <c r="S2519" cm="1">
        <f t="array" ref="S2519">IFERROR(_xlfn.SWITCH(L2519,1,_xlfn.XLOOKUP(O2519,[1]AttributeName!$B:$B,[1]AttributeName!$D:$D),2,_xlfn.XLOOKUP(C2519,#REF!,#REF!),3,_xlfn.XLOOKUP(C2519,#REF!,#REF!)),0)</f>
        <v>2</v>
      </c>
      <c r="T2519" cm="1">
        <f t="array" ref="T2519">IFERROR(_xlfn.SWITCH(L2519,1,_xlfn.XLOOKUP(O2519,[1]AttributeName!$B:$B,[1]AttributeName!$E:$E),2,_xlfn.XLOOKUP(C2519,#REF!,#REF!),3,_xlfn.XLOOKUP(C2519,#REF!,#REF!)),0)</f>
        <v>2</v>
      </c>
    </row>
    <row r="2520" customFormat="1" spans="1:20">
      <c r="A2520">
        <f t="shared" si="103"/>
        <v>1013</v>
      </c>
      <c r="B2520">
        <v>3</v>
      </c>
      <c r="C2520" t="s">
        <v>431</v>
      </c>
      <c r="D2520" t="s">
        <v>442</v>
      </c>
      <c r="E2520" t="s">
        <v>378</v>
      </c>
      <c r="F2520"/>
      <c r="G2520">
        <v>1</v>
      </c>
      <c r="H2520">
        <v>750</v>
      </c>
      <c r="J2520" cm="1">
        <f t="array" ref="J2520">_xlfn.SWITCH(B2520,1,75,2,61,3,49,4,37,5,25,6,13,7,4,8,1)</f>
        <v>49</v>
      </c>
      <c r="K2520" t="str" cm="1">
        <f t="array" ref="K2520">IFERROR(_xlfn.SWITCH(L2520,2,_xlfn.XLOOKUP(C2520,[1]ModifierDes!$B:$B,[1]ModifierDes!$C:$C),3,_xlfn.XLOOKUP(C2520,[1]StuntDes!$B:$B,[1]StuntDes!$C:$C)),"")</f>
        <v/>
      </c>
      <c r="L2520">
        <f t="shared" si="104"/>
        <v>1</v>
      </c>
      <c r="M2520" s="10" t="str">
        <f>IFERROR(_xlfn.XLOOKUP(C2520,[1]StuntDes!$B:$B,[1]StuntDes!$A:$A),"")</f>
        <v/>
      </c>
      <c r="N2520" s="10" t="str">
        <f>IFERROR(_xlfn.XLOOKUP(C2520,[1]ModifierDes!$B:$B,[1]ModifierDes!$A:$A),"")</f>
        <v/>
      </c>
      <c r="O2520" s="10">
        <f>IFERROR(_xlfn.XLOOKUP(C2520,[1]AttributeName!$C:$C,[1]AttributeName!$B:$B),"")</f>
        <v>10813</v>
      </c>
      <c r="P2520" s="10"/>
      <c r="Q2520">
        <v>0.06</v>
      </c>
      <c r="R2520">
        <v>0.06</v>
      </c>
      <c r="S2520" cm="1">
        <f t="array" ref="S2520">IFERROR(_xlfn.SWITCH(L2520,1,_xlfn.XLOOKUP(O2520,[1]AttributeName!$B:$B,[1]AttributeName!$D:$D),2,_xlfn.XLOOKUP(C2520,#REF!,#REF!),3,_xlfn.XLOOKUP(C2520,#REF!,#REF!)),0)</f>
        <v>2</v>
      </c>
      <c r="T2520" cm="1">
        <f t="array" ref="T2520">IFERROR(_xlfn.SWITCH(L2520,1,_xlfn.XLOOKUP(O2520,[1]AttributeName!$B:$B,[1]AttributeName!$E:$E),2,_xlfn.XLOOKUP(C2520,#REF!,#REF!),3,_xlfn.XLOOKUP(C2520,#REF!,#REF!)),0)</f>
        <v>2</v>
      </c>
    </row>
    <row r="2521" customFormat="1" spans="1:20">
      <c r="A2521">
        <f t="shared" si="103"/>
        <v>1013</v>
      </c>
      <c r="B2521">
        <v>4</v>
      </c>
      <c r="C2521" t="s">
        <v>431</v>
      </c>
      <c r="D2521" t="s">
        <v>442</v>
      </c>
      <c r="E2521" t="s">
        <v>378</v>
      </c>
      <c r="F2521"/>
      <c r="G2521">
        <v>1</v>
      </c>
      <c r="H2521">
        <v>1000</v>
      </c>
      <c r="J2521" cm="1">
        <f t="array" ref="J2521">_xlfn.SWITCH(B2521,1,75,2,61,3,49,4,37,5,25,6,13,7,4,8,1)</f>
        <v>37</v>
      </c>
      <c r="K2521" t="str" cm="1">
        <f t="array" ref="K2521">IFERROR(_xlfn.SWITCH(L2521,2,_xlfn.XLOOKUP(C2521,[1]ModifierDes!$B:$B,[1]ModifierDes!$C:$C),3,_xlfn.XLOOKUP(C2521,[1]StuntDes!$B:$B,[1]StuntDes!$C:$C)),"")</f>
        <v/>
      </c>
      <c r="L2521">
        <f t="shared" si="104"/>
        <v>1</v>
      </c>
      <c r="M2521" s="10" t="str">
        <f>IFERROR(_xlfn.XLOOKUP(C2521,[1]StuntDes!$B:$B,[1]StuntDes!$A:$A),"")</f>
        <v/>
      </c>
      <c r="N2521" s="10" t="str">
        <f>IFERROR(_xlfn.XLOOKUP(C2521,[1]ModifierDes!$B:$B,[1]ModifierDes!$A:$A),"")</f>
        <v/>
      </c>
      <c r="O2521" s="10">
        <f>IFERROR(_xlfn.XLOOKUP(C2521,[1]AttributeName!$C:$C,[1]AttributeName!$B:$B),"")</f>
        <v>10813</v>
      </c>
      <c r="P2521" s="10"/>
      <c r="Q2521">
        <v>0.05</v>
      </c>
      <c r="R2521">
        <v>0.05</v>
      </c>
      <c r="S2521" cm="1">
        <f t="array" ref="S2521">IFERROR(_xlfn.SWITCH(L2521,1,_xlfn.XLOOKUP(O2521,[1]AttributeName!$B:$B,[1]AttributeName!$D:$D),2,_xlfn.XLOOKUP(C2521,#REF!,#REF!),3,_xlfn.XLOOKUP(C2521,#REF!,#REF!)),0)</f>
        <v>2</v>
      </c>
      <c r="T2521" cm="1">
        <f t="array" ref="T2521">IFERROR(_xlfn.SWITCH(L2521,1,_xlfn.XLOOKUP(O2521,[1]AttributeName!$B:$B,[1]AttributeName!$E:$E),2,_xlfn.XLOOKUP(C2521,#REF!,#REF!),3,_xlfn.XLOOKUP(C2521,#REF!,#REF!)),0)</f>
        <v>2</v>
      </c>
    </row>
    <row r="2522" customFormat="1" spans="1:20">
      <c r="A2522">
        <f t="shared" si="103"/>
        <v>1013</v>
      </c>
      <c r="B2522">
        <v>5</v>
      </c>
      <c r="C2522" t="s">
        <v>431</v>
      </c>
      <c r="D2522" t="s">
        <v>442</v>
      </c>
      <c r="E2522" t="s">
        <v>378</v>
      </c>
      <c r="F2522"/>
      <c r="G2522">
        <v>1</v>
      </c>
      <c r="H2522">
        <v>1000</v>
      </c>
      <c r="J2522" cm="1">
        <f t="array" ref="J2522">_xlfn.SWITCH(B2522,1,75,2,61,3,49,4,37,5,25,6,13,7,4,8,1)</f>
        <v>25</v>
      </c>
      <c r="K2522" t="str" cm="1">
        <f t="array" ref="K2522">IFERROR(_xlfn.SWITCH(L2522,2,_xlfn.XLOOKUP(C2522,[1]ModifierDes!$B:$B,[1]ModifierDes!$C:$C),3,_xlfn.XLOOKUP(C2522,[1]StuntDes!$B:$B,[1]StuntDes!$C:$C)),"")</f>
        <v/>
      </c>
      <c r="L2522">
        <f t="shared" si="104"/>
        <v>1</v>
      </c>
      <c r="M2522" s="10" t="str">
        <f>IFERROR(_xlfn.XLOOKUP(C2522,[1]StuntDes!$B:$B,[1]StuntDes!$A:$A),"")</f>
        <v/>
      </c>
      <c r="N2522" s="10" t="str">
        <f>IFERROR(_xlfn.XLOOKUP(C2522,[1]ModifierDes!$B:$B,[1]ModifierDes!$A:$A),"")</f>
        <v/>
      </c>
      <c r="O2522" s="10">
        <f>IFERROR(_xlfn.XLOOKUP(C2522,[1]AttributeName!$C:$C,[1]AttributeName!$B:$B),"")</f>
        <v>10813</v>
      </c>
      <c r="P2522" s="10"/>
      <c r="Q2522">
        <v>0.04</v>
      </c>
      <c r="R2522">
        <v>0.04</v>
      </c>
      <c r="S2522" cm="1">
        <f t="array" ref="S2522">IFERROR(_xlfn.SWITCH(L2522,1,_xlfn.XLOOKUP(O2522,[1]AttributeName!$B:$B,[1]AttributeName!$D:$D),2,_xlfn.XLOOKUP(C2522,#REF!,#REF!),3,_xlfn.XLOOKUP(C2522,#REF!,#REF!)),0)</f>
        <v>2</v>
      </c>
      <c r="T2522" cm="1">
        <f t="array" ref="T2522">IFERROR(_xlfn.SWITCH(L2522,1,_xlfn.XLOOKUP(O2522,[1]AttributeName!$B:$B,[1]AttributeName!$E:$E),2,_xlfn.XLOOKUP(C2522,#REF!,#REF!),3,_xlfn.XLOOKUP(C2522,#REF!,#REF!)),0)</f>
        <v>2</v>
      </c>
    </row>
    <row r="2523" customFormat="1" spans="1:20">
      <c r="A2523">
        <f t="shared" si="103"/>
        <v>1013</v>
      </c>
      <c r="B2523">
        <v>6</v>
      </c>
      <c r="C2523" t="s">
        <v>431</v>
      </c>
      <c r="D2523" t="s">
        <v>442</v>
      </c>
      <c r="E2523" t="s">
        <v>378</v>
      </c>
      <c r="F2523"/>
      <c r="G2523">
        <v>1</v>
      </c>
      <c r="H2523">
        <v>1000</v>
      </c>
      <c r="J2523" cm="1">
        <f t="array" ref="J2523">_xlfn.SWITCH(B2523,1,75,2,61,3,49,4,37,5,25,6,13,7,4,8,1)</f>
        <v>13</v>
      </c>
      <c r="K2523" t="str" cm="1">
        <f t="array" ref="K2523">IFERROR(_xlfn.SWITCH(L2523,2,_xlfn.XLOOKUP(C2523,[1]ModifierDes!$B:$B,[1]ModifierDes!$C:$C),3,_xlfn.XLOOKUP(C2523,[1]StuntDes!$B:$B,[1]StuntDes!$C:$C)),"")</f>
        <v/>
      </c>
      <c r="L2523">
        <f t="shared" si="104"/>
        <v>1</v>
      </c>
      <c r="M2523" s="10" t="str">
        <f>IFERROR(_xlfn.XLOOKUP(C2523,[1]StuntDes!$B:$B,[1]StuntDes!$A:$A),"")</f>
        <v/>
      </c>
      <c r="N2523" s="10" t="str">
        <f>IFERROR(_xlfn.XLOOKUP(C2523,[1]ModifierDes!$B:$B,[1]ModifierDes!$A:$A),"")</f>
        <v/>
      </c>
      <c r="O2523" s="10">
        <f>IFERROR(_xlfn.XLOOKUP(C2523,[1]AttributeName!$C:$C,[1]AttributeName!$B:$B),"")</f>
        <v>10813</v>
      </c>
      <c r="P2523" s="10"/>
      <c r="Q2523">
        <v>0.03</v>
      </c>
      <c r="R2523">
        <v>0.03</v>
      </c>
      <c r="S2523" cm="1">
        <f t="array" ref="S2523">IFERROR(_xlfn.SWITCH(L2523,1,_xlfn.XLOOKUP(O2523,[1]AttributeName!$B:$B,[1]AttributeName!$D:$D),2,_xlfn.XLOOKUP(C2523,#REF!,#REF!),3,_xlfn.XLOOKUP(C2523,#REF!,#REF!)),0)</f>
        <v>2</v>
      </c>
      <c r="T2523" cm="1">
        <f t="array" ref="T2523">IFERROR(_xlfn.SWITCH(L2523,1,_xlfn.XLOOKUP(O2523,[1]AttributeName!$B:$B,[1]AttributeName!$E:$E),2,_xlfn.XLOOKUP(C2523,#REF!,#REF!),3,_xlfn.XLOOKUP(C2523,#REF!,#REF!)),0)</f>
        <v>2</v>
      </c>
    </row>
    <row r="2524" customFormat="1" spans="1:20">
      <c r="A2524">
        <f t="shared" si="103"/>
        <v>1013</v>
      </c>
      <c r="B2524">
        <v>7</v>
      </c>
      <c r="C2524" t="s">
        <v>431</v>
      </c>
      <c r="D2524" t="s">
        <v>442</v>
      </c>
      <c r="E2524" t="s">
        <v>378</v>
      </c>
      <c r="F2524"/>
      <c r="G2524">
        <v>1</v>
      </c>
      <c r="H2524">
        <v>1000</v>
      </c>
      <c r="J2524" cm="1">
        <f t="array" ref="J2524">_xlfn.SWITCH(B2524,1,75,2,61,3,49,4,37,5,25,6,13,7,4,8,1)</f>
        <v>4</v>
      </c>
      <c r="K2524" t="str" cm="1">
        <f t="array" ref="K2524">IFERROR(_xlfn.SWITCH(L2524,2,_xlfn.XLOOKUP(C2524,[1]ModifierDes!$B:$B,[1]ModifierDes!$C:$C),3,_xlfn.XLOOKUP(C2524,[1]StuntDes!$B:$B,[1]StuntDes!$C:$C)),"")</f>
        <v/>
      </c>
      <c r="L2524">
        <f t="shared" si="104"/>
        <v>1</v>
      </c>
      <c r="M2524" s="10" t="str">
        <f>IFERROR(_xlfn.XLOOKUP(C2524,[1]StuntDes!$B:$B,[1]StuntDes!$A:$A),"")</f>
        <v/>
      </c>
      <c r="N2524" s="10" t="str">
        <f>IFERROR(_xlfn.XLOOKUP(C2524,[1]ModifierDes!$B:$B,[1]ModifierDes!$A:$A),"")</f>
        <v/>
      </c>
      <c r="O2524" s="10">
        <f>IFERROR(_xlfn.XLOOKUP(C2524,[1]AttributeName!$C:$C,[1]AttributeName!$B:$B),"")</f>
        <v>10813</v>
      </c>
      <c r="P2524" s="10"/>
      <c r="Q2524">
        <v>0.02</v>
      </c>
      <c r="R2524">
        <v>0.02</v>
      </c>
      <c r="S2524" cm="1">
        <f t="array" ref="S2524">IFERROR(_xlfn.SWITCH(L2524,1,_xlfn.XLOOKUP(O2524,[1]AttributeName!$B:$B,[1]AttributeName!$D:$D),2,_xlfn.XLOOKUP(C2524,#REF!,#REF!),3,_xlfn.XLOOKUP(C2524,#REF!,#REF!)),0)</f>
        <v>2</v>
      </c>
      <c r="T2524" cm="1">
        <f t="array" ref="T2524">IFERROR(_xlfn.SWITCH(L2524,1,_xlfn.XLOOKUP(O2524,[1]AttributeName!$B:$B,[1]AttributeName!$E:$E),2,_xlfn.XLOOKUP(C2524,#REF!,#REF!),3,_xlfn.XLOOKUP(C2524,#REF!,#REF!)),0)</f>
        <v>2</v>
      </c>
    </row>
    <row r="2525" customFormat="1" spans="1:20">
      <c r="A2525">
        <f t="shared" si="103"/>
        <v>1013</v>
      </c>
      <c r="B2525">
        <v>8</v>
      </c>
      <c r="C2525" t="s">
        <v>431</v>
      </c>
      <c r="D2525" t="s">
        <v>442</v>
      </c>
      <c r="E2525" t="s">
        <v>378</v>
      </c>
      <c r="F2525"/>
      <c r="G2525">
        <v>1</v>
      </c>
      <c r="H2525">
        <v>1000</v>
      </c>
      <c r="J2525" cm="1">
        <f t="array" ref="J2525">_xlfn.SWITCH(B2525,1,75,2,61,3,49,4,37,5,25,6,13,7,4,8,1)</f>
        <v>1</v>
      </c>
      <c r="K2525" t="str" cm="1">
        <f t="array" ref="K2525">IFERROR(_xlfn.SWITCH(L2525,2,_xlfn.XLOOKUP(C2525,[1]ModifierDes!$B:$B,[1]ModifierDes!$C:$C),3,_xlfn.XLOOKUP(C2525,[1]StuntDes!$B:$B,[1]StuntDes!$C:$C)),"")</f>
        <v/>
      </c>
      <c r="L2525">
        <f t="shared" si="104"/>
        <v>1</v>
      </c>
      <c r="M2525" s="10" t="str">
        <f>IFERROR(_xlfn.XLOOKUP(C2525,[1]StuntDes!$B:$B,[1]StuntDes!$A:$A),"")</f>
        <v/>
      </c>
      <c r="N2525" s="10" t="str">
        <f>IFERROR(_xlfn.XLOOKUP(C2525,[1]ModifierDes!$B:$B,[1]ModifierDes!$A:$A),"")</f>
        <v/>
      </c>
      <c r="O2525" s="10">
        <f>IFERROR(_xlfn.XLOOKUP(C2525,[1]AttributeName!$C:$C,[1]AttributeName!$B:$B),"")</f>
        <v>10813</v>
      </c>
      <c r="P2525" s="10"/>
      <c r="Q2525">
        <v>0.01</v>
      </c>
      <c r="R2525">
        <v>0.01</v>
      </c>
      <c r="S2525" cm="1">
        <f t="array" ref="S2525">IFERROR(_xlfn.SWITCH(L2525,1,_xlfn.XLOOKUP(O2525,[1]AttributeName!$B:$B,[1]AttributeName!$D:$D),2,_xlfn.XLOOKUP(C2525,#REF!,#REF!),3,_xlfn.XLOOKUP(C2525,#REF!,#REF!)),0)</f>
        <v>2</v>
      </c>
      <c r="T2525" cm="1">
        <f t="array" ref="T2525">IFERROR(_xlfn.SWITCH(L2525,1,_xlfn.XLOOKUP(O2525,[1]AttributeName!$B:$B,[1]AttributeName!$E:$E),2,_xlfn.XLOOKUP(C2525,#REF!,#REF!),3,_xlfn.XLOOKUP(C2525,#REF!,#REF!)),0)</f>
        <v>2</v>
      </c>
    </row>
    <row r="2526" customFormat="1" spans="1:20">
      <c r="A2526">
        <v>1014</v>
      </c>
      <c r="B2526">
        <v>1</v>
      </c>
      <c r="C2526" t="s">
        <v>436</v>
      </c>
      <c r="D2526" t="s">
        <v>442</v>
      </c>
      <c r="E2526" t="s">
        <v>378</v>
      </c>
      <c r="F2526"/>
      <c r="G2526">
        <v>1</v>
      </c>
      <c r="H2526">
        <v>250</v>
      </c>
      <c r="I2526">
        <v>1</v>
      </c>
      <c r="J2526" cm="1">
        <f t="array" ref="J2526">_xlfn.SWITCH(B2526,1,75,2,61,3,49,4,37,5,25,6,13,7,4,8,1)</f>
        <v>75</v>
      </c>
      <c r="K2526" t="str" cm="1">
        <f t="array" ref="K2526">IFERROR(_xlfn.SWITCH(L2526,2,_xlfn.XLOOKUP(C2526,[1]ModifierDes!$B:$B,[1]ModifierDes!$C:$C),3,_xlfn.XLOOKUP(C2526,[1]StuntDes!$B:$B,[1]StuntDes!$C:$C)),"")</f>
        <v/>
      </c>
      <c r="L2526">
        <f t="shared" si="104"/>
        <v>1</v>
      </c>
      <c r="M2526" s="10" t="str">
        <f>IFERROR(_xlfn.XLOOKUP(C2526,[1]StuntDes!$B:$B,[1]StuntDes!$A:$A),"")</f>
        <v/>
      </c>
      <c r="N2526" s="10" t="str">
        <f>IFERROR(_xlfn.XLOOKUP(C2526,[1]ModifierDes!$B:$B,[1]ModifierDes!$A:$A),"")</f>
        <v/>
      </c>
      <c r="O2526" s="10">
        <f>IFERROR(_xlfn.XLOOKUP(C2526,[1]AttributeName!$C:$C,[1]AttributeName!$B:$B),"")</f>
        <v>10010</v>
      </c>
      <c r="P2526" s="10"/>
      <c r="Q2526">
        <v>0.08</v>
      </c>
      <c r="R2526">
        <v>0.1</v>
      </c>
      <c r="S2526" cm="1">
        <f t="array" ref="S2526">IFERROR(_xlfn.SWITCH(L2526,1,_xlfn.XLOOKUP(O2526,[1]AttributeName!$B:$B,[1]AttributeName!$D:$D),2,_xlfn.XLOOKUP(C2526,#REF!,#REF!),3,_xlfn.XLOOKUP(C2526,#REF!,#REF!)),0)</f>
        <v>2</v>
      </c>
      <c r="T2526" cm="1">
        <f t="array" ref="T2526">IFERROR(_xlfn.SWITCH(L2526,1,_xlfn.XLOOKUP(O2526,[1]AttributeName!$B:$B,[1]AttributeName!$E:$E),2,_xlfn.XLOOKUP(C2526,#REF!,#REF!),3,_xlfn.XLOOKUP(C2526,#REF!,#REF!)),0)</f>
        <v>2</v>
      </c>
    </row>
    <row r="2527" customFormat="1" spans="1:20">
      <c r="A2527">
        <v>1014</v>
      </c>
      <c r="B2527">
        <v>3</v>
      </c>
      <c r="C2527" t="s">
        <v>436</v>
      </c>
      <c r="D2527" t="s">
        <v>442</v>
      </c>
      <c r="E2527" t="s">
        <v>378</v>
      </c>
      <c r="F2527"/>
      <c r="G2527">
        <v>1</v>
      </c>
      <c r="H2527">
        <v>500</v>
      </c>
      <c r="I2527">
        <v>1</v>
      </c>
      <c r="J2527" cm="1">
        <f t="array" ref="J2527">_xlfn.SWITCH(B2527,1,75,2,61,3,49,4,37,5,25,6,13,7,4,8,1)</f>
        <v>49</v>
      </c>
      <c r="K2527" t="str" cm="1">
        <f t="array" ref="K2527">IFERROR(_xlfn.SWITCH(L2527,2,_xlfn.XLOOKUP(C2527,[1]ModifierDes!$B:$B,[1]ModifierDes!$C:$C),3,_xlfn.XLOOKUP(C2527,[1]StuntDes!$B:$B,[1]StuntDes!$C:$C)),"")</f>
        <v/>
      </c>
      <c r="L2527">
        <f t="shared" si="104"/>
        <v>1</v>
      </c>
      <c r="M2527" s="10" t="str">
        <f>IFERROR(_xlfn.XLOOKUP(C2527,[1]StuntDes!$B:$B,[1]StuntDes!$A:$A),"")</f>
        <v/>
      </c>
      <c r="N2527" s="10" t="str">
        <f>IFERROR(_xlfn.XLOOKUP(C2527,[1]ModifierDes!$B:$B,[1]ModifierDes!$A:$A),"")</f>
        <v/>
      </c>
      <c r="O2527" s="10">
        <f>IFERROR(_xlfn.XLOOKUP(C2527,[1]AttributeName!$C:$C,[1]AttributeName!$B:$B),"")</f>
        <v>10010</v>
      </c>
      <c r="P2527" s="10"/>
      <c r="Q2527">
        <v>0.05</v>
      </c>
      <c r="R2527">
        <v>0.07</v>
      </c>
      <c r="S2527" cm="1">
        <f t="array" ref="S2527">IFERROR(_xlfn.SWITCH(L2527,1,_xlfn.XLOOKUP(O2527,[1]AttributeName!$B:$B,[1]AttributeName!$D:$D),2,_xlfn.XLOOKUP(C2527,#REF!,#REF!),3,_xlfn.XLOOKUP(C2527,#REF!,#REF!)),0)</f>
        <v>2</v>
      </c>
      <c r="T2527" cm="1">
        <f t="array" ref="T2527">IFERROR(_xlfn.SWITCH(L2527,1,_xlfn.XLOOKUP(O2527,[1]AttributeName!$B:$B,[1]AttributeName!$E:$E),2,_xlfn.XLOOKUP(C2527,#REF!,#REF!),3,_xlfn.XLOOKUP(C2527,#REF!,#REF!)),0)</f>
        <v>2</v>
      </c>
    </row>
    <row r="2528" customFormat="1" spans="1:20">
      <c r="A2528">
        <v>1014</v>
      </c>
      <c r="B2528">
        <v>5</v>
      </c>
      <c r="C2528" t="s">
        <v>436</v>
      </c>
      <c r="D2528" t="s">
        <v>442</v>
      </c>
      <c r="E2528" t="s">
        <v>378</v>
      </c>
      <c r="F2528"/>
      <c r="G2528">
        <v>1</v>
      </c>
      <c r="H2528">
        <v>750</v>
      </c>
      <c r="I2528">
        <v>1</v>
      </c>
      <c r="J2528" cm="1">
        <f t="array" ref="J2528">_xlfn.SWITCH(B2528,1,75,2,61,3,49,4,37,5,25,6,13,7,4,8,1)</f>
        <v>25</v>
      </c>
      <c r="K2528" t="str" cm="1">
        <f t="array" ref="K2528">IFERROR(_xlfn.SWITCH(L2528,2,_xlfn.XLOOKUP(C2528,[1]ModifierDes!$B:$B,[1]ModifierDes!$C:$C),3,_xlfn.XLOOKUP(C2528,[1]StuntDes!$B:$B,[1]StuntDes!$C:$C)),"")</f>
        <v/>
      </c>
      <c r="L2528">
        <f t="shared" si="104"/>
        <v>1</v>
      </c>
      <c r="M2528" s="10" t="str">
        <f>IFERROR(_xlfn.XLOOKUP(C2528,[1]StuntDes!$B:$B,[1]StuntDes!$A:$A),"")</f>
        <v/>
      </c>
      <c r="N2528" s="10" t="str">
        <f>IFERROR(_xlfn.XLOOKUP(C2528,[1]ModifierDes!$B:$B,[1]ModifierDes!$A:$A),"")</f>
        <v/>
      </c>
      <c r="O2528" s="10">
        <f>IFERROR(_xlfn.XLOOKUP(C2528,[1]AttributeName!$C:$C,[1]AttributeName!$B:$B),"")</f>
        <v>10010</v>
      </c>
      <c r="P2528" s="10"/>
      <c r="Q2528">
        <v>0.03</v>
      </c>
      <c r="R2528">
        <v>0.04</v>
      </c>
      <c r="S2528" cm="1">
        <f t="array" ref="S2528">IFERROR(_xlfn.SWITCH(L2528,1,_xlfn.XLOOKUP(O2528,[1]AttributeName!$B:$B,[1]AttributeName!$D:$D),2,_xlfn.XLOOKUP(C2528,#REF!,#REF!),3,_xlfn.XLOOKUP(C2528,#REF!,#REF!)),0)</f>
        <v>2</v>
      </c>
      <c r="T2528" cm="1">
        <f t="array" ref="T2528">IFERROR(_xlfn.SWITCH(L2528,1,_xlfn.XLOOKUP(O2528,[1]AttributeName!$B:$B,[1]AttributeName!$E:$E),2,_xlfn.XLOOKUP(C2528,#REF!,#REF!),3,_xlfn.XLOOKUP(C2528,#REF!,#REF!)),0)</f>
        <v>2</v>
      </c>
    </row>
    <row r="2529" customFormat="1" spans="1:20">
      <c r="A2529">
        <f t="shared" ref="A2529:A2531" si="105">A2526+1</f>
        <v>1015</v>
      </c>
      <c r="B2529">
        <v>1</v>
      </c>
      <c r="C2529" t="s">
        <v>437</v>
      </c>
      <c r="D2529" t="s">
        <v>442</v>
      </c>
      <c r="E2529" t="s">
        <v>378</v>
      </c>
      <c r="F2529"/>
      <c r="G2529">
        <v>1</v>
      </c>
      <c r="H2529">
        <v>250</v>
      </c>
      <c r="I2529">
        <v>1</v>
      </c>
      <c r="J2529" cm="1">
        <f t="array" ref="J2529">_xlfn.SWITCH(B2529,1,75,2,61,3,49,4,37,5,25,6,13,7,4,8,1)</f>
        <v>75</v>
      </c>
      <c r="K2529" t="str" cm="1">
        <f t="array" ref="K2529">IFERROR(_xlfn.SWITCH(L2529,2,_xlfn.XLOOKUP(C2529,[1]ModifierDes!$B:$B,[1]ModifierDes!$C:$C),3,_xlfn.XLOOKUP(C2529,[1]StuntDes!$B:$B,[1]StuntDes!$C:$C)),"")</f>
        <v/>
      </c>
      <c r="L2529">
        <f t="shared" si="104"/>
        <v>1</v>
      </c>
      <c r="M2529" s="10" t="str">
        <f>IFERROR(_xlfn.XLOOKUP(C2529,[1]StuntDes!$B:$B,[1]StuntDes!$A:$A),"")</f>
        <v/>
      </c>
      <c r="N2529" s="10" t="str">
        <f>IFERROR(_xlfn.XLOOKUP(C2529,[1]ModifierDes!$B:$B,[1]ModifierDes!$A:$A),"")</f>
        <v/>
      </c>
      <c r="O2529" s="10">
        <f>IFERROR(_xlfn.XLOOKUP(C2529,[1]AttributeName!$C:$C,[1]AttributeName!$B:$B),"")</f>
        <v>10012</v>
      </c>
      <c r="P2529" s="10"/>
      <c r="Q2529">
        <v>0.16</v>
      </c>
      <c r="R2529">
        <v>0.2</v>
      </c>
      <c r="S2529" cm="1">
        <f t="array" ref="S2529">IFERROR(_xlfn.SWITCH(L2529,1,_xlfn.XLOOKUP(O2529,[1]AttributeName!$B:$B,[1]AttributeName!$D:$D),2,_xlfn.XLOOKUP(C2529,#REF!,#REF!),3,_xlfn.XLOOKUP(C2529,#REF!,#REF!)),0)</f>
        <v>2</v>
      </c>
      <c r="T2529" cm="1">
        <f t="array" ref="T2529">IFERROR(_xlfn.SWITCH(L2529,1,_xlfn.XLOOKUP(O2529,[1]AttributeName!$B:$B,[1]AttributeName!$E:$E),2,_xlfn.XLOOKUP(C2529,#REF!,#REF!),3,_xlfn.XLOOKUP(C2529,#REF!,#REF!)),0)</f>
        <v>2</v>
      </c>
    </row>
    <row r="2530" customFormat="1" spans="1:20">
      <c r="A2530">
        <f t="shared" si="105"/>
        <v>1015</v>
      </c>
      <c r="B2530">
        <v>5</v>
      </c>
      <c r="C2530" t="s">
        <v>437</v>
      </c>
      <c r="D2530" t="s">
        <v>442</v>
      </c>
      <c r="E2530" t="s">
        <v>378</v>
      </c>
      <c r="F2530"/>
      <c r="G2530">
        <v>1</v>
      </c>
      <c r="H2530">
        <v>500</v>
      </c>
      <c r="I2530">
        <v>1</v>
      </c>
      <c r="J2530" cm="1">
        <f t="array" ref="J2530">_xlfn.SWITCH(B2530,1,75,2,61,3,49,4,37,5,25,6,13,7,4,8,1)</f>
        <v>25</v>
      </c>
      <c r="K2530" t="str" cm="1">
        <f t="array" ref="K2530">IFERROR(_xlfn.SWITCH(L2530,2,_xlfn.XLOOKUP(C2530,[1]ModifierDes!$B:$B,[1]ModifierDes!$C:$C),3,_xlfn.XLOOKUP(C2530,[1]StuntDes!$B:$B,[1]StuntDes!$C:$C)),"")</f>
        <v/>
      </c>
      <c r="L2530">
        <f t="shared" si="104"/>
        <v>1</v>
      </c>
      <c r="M2530" s="10" t="str">
        <f>IFERROR(_xlfn.XLOOKUP(C2530,[1]StuntDes!$B:$B,[1]StuntDes!$A:$A),"")</f>
        <v/>
      </c>
      <c r="N2530" s="10" t="str">
        <f>IFERROR(_xlfn.XLOOKUP(C2530,[1]ModifierDes!$B:$B,[1]ModifierDes!$A:$A),"")</f>
        <v/>
      </c>
      <c r="O2530" s="10">
        <f>IFERROR(_xlfn.XLOOKUP(C2530,[1]AttributeName!$C:$C,[1]AttributeName!$B:$B),"")</f>
        <v>10012</v>
      </c>
      <c r="P2530" s="10"/>
      <c r="Q2530">
        <v>0.1</v>
      </c>
      <c r="R2530">
        <v>0.14</v>
      </c>
      <c r="S2530" cm="1">
        <f t="array" ref="S2530">IFERROR(_xlfn.SWITCH(L2530,1,_xlfn.XLOOKUP(O2530,[1]AttributeName!$B:$B,[1]AttributeName!$D:$D),2,_xlfn.XLOOKUP(C2530,#REF!,#REF!),3,_xlfn.XLOOKUP(C2530,#REF!,#REF!)),0)</f>
        <v>2</v>
      </c>
      <c r="T2530" cm="1">
        <f t="array" ref="T2530">IFERROR(_xlfn.SWITCH(L2530,1,_xlfn.XLOOKUP(O2530,[1]AttributeName!$B:$B,[1]AttributeName!$E:$E),2,_xlfn.XLOOKUP(C2530,#REF!,#REF!),3,_xlfn.XLOOKUP(C2530,#REF!,#REF!)),0)</f>
        <v>2</v>
      </c>
    </row>
    <row r="2531" customFormat="1" spans="1:20">
      <c r="A2531">
        <f t="shared" si="105"/>
        <v>1015</v>
      </c>
      <c r="B2531">
        <v>8</v>
      </c>
      <c r="C2531" t="s">
        <v>437</v>
      </c>
      <c r="D2531" t="s">
        <v>442</v>
      </c>
      <c r="E2531" t="s">
        <v>378</v>
      </c>
      <c r="F2531"/>
      <c r="G2531">
        <v>1</v>
      </c>
      <c r="H2531">
        <v>750</v>
      </c>
      <c r="I2531">
        <v>1</v>
      </c>
      <c r="J2531" cm="1">
        <f t="array" ref="J2531">_xlfn.SWITCH(B2531,1,75,2,61,3,49,4,37,5,25,6,13,7,4,8,1)</f>
        <v>1</v>
      </c>
      <c r="K2531" t="str" cm="1">
        <f t="array" ref="K2531">IFERROR(_xlfn.SWITCH(L2531,2,_xlfn.XLOOKUP(C2531,[1]ModifierDes!$B:$B,[1]ModifierDes!$C:$C),3,_xlfn.XLOOKUP(C2531,[1]StuntDes!$B:$B,[1]StuntDes!$C:$C)),"")</f>
        <v/>
      </c>
      <c r="L2531">
        <f t="shared" si="104"/>
        <v>1</v>
      </c>
      <c r="M2531" s="10" t="str">
        <f>IFERROR(_xlfn.XLOOKUP(C2531,[1]StuntDes!$B:$B,[1]StuntDes!$A:$A),"")</f>
        <v/>
      </c>
      <c r="N2531" s="10" t="str">
        <f>IFERROR(_xlfn.XLOOKUP(C2531,[1]ModifierDes!$B:$B,[1]ModifierDes!$A:$A),"")</f>
        <v/>
      </c>
      <c r="O2531" s="10">
        <f>IFERROR(_xlfn.XLOOKUP(C2531,[1]AttributeName!$C:$C,[1]AttributeName!$B:$B),"")</f>
        <v>10012</v>
      </c>
      <c r="P2531" s="10"/>
      <c r="Q2531">
        <v>0.06</v>
      </c>
      <c r="R2531">
        <v>0.08</v>
      </c>
      <c r="S2531" cm="1">
        <f t="array" ref="S2531">IFERROR(_xlfn.SWITCH(L2531,1,_xlfn.XLOOKUP(O2531,[1]AttributeName!$B:$B,[1]AttributeName!$D:$D),2,_xlfn.XLOOKUP(C2531,#REF!,#REF!),3,_xlfn.XLOOKUP(C2531,#REF!,#REF!)),0)</f>
        <v>2</v>
      </c>
      <c r="T2531" cm="1">
        <f t="array" ref="T2531">IFERROR(_xlfn.SWITCH(L2531,1,_xlfn.XLOOKUP(O2531,[1]AttributeName!$B:$B,[1]AttributeName!$E:$E),2,_xlfn.XLOOKUP(C2531,#REF!,#REF!),3,_xlfn.XLOOKUP(C2531,#REF!,#REF!)),0)</f>
        <v>2</v>
      </c>
    </row>
    <row r="2532" customFormat="1" spans="1:20">
      <c r="A2532">
        <v>1051</v>
      </c>
      <c r="B2532">
        <v>1</v>
      </c>
      <c r="C2532" t="s">
        <v>73</v>
      </c>
      <c r="D2532" t="s">
        <v>442</v>
      </c>
      <c r="E2532" t="s">
        <v>392</v>
      </c>
      <c r="F2532"/>
      <c r="G2532">
        <v>2</v>
      </c>
      <c r="H2532">
        <v>250</v>
      </c>
      <c r="J2532" cm="1">
        <f t="array" ref="J2532">_xlfn.SWITCH(B2532,1,75,2,61,3,49,4,37,5,25,6,13,7,4,8,1)</f>
        <v>75</v>
      </c>
      <c r="K2532" t="str" cm="1">
        <f t="array" ref="K2532">IFERROR(_xlfn.SWITCH(L2532,2,_xlfn.XLOOKUP(C2532,[1]ModifierDes!$B:$B,[1]ModifierDes!$C:$C),3,_xlfn.XLOOKUP(C2532,[1]StuntDes!$B:$B,[1]StuntDes!$C:$C)),"")</f>
        <v/>
      </c>
      <c r="L2532">
        <f t="shared" si="104"/>
        <v>1</v>
      </c>
      <c r="M2532" s="10" t="str">
        <f>IFERROR(_xlfn.XLOOKUP(C2532,[1]StuntDes!$B:$B,[1]StuntDes!$A:$A),"")</f>
        <v/>
      </c>
      <c r="N2532" s="10" t="str">
        <f>IFERROR(_xlfn.XLOOKUP(C2532,[1]ModifierDes!$B:$B,[1]ModifierDes!$A:$A),"")</f>
        <v/>
      </c>
      <c r="O2532" s="10">
        <f>IFERROR(_xlfn.XLOOKUP(C2532,[1]AttributeName!$C:$C,[1]AttributeName!$B:$B),"")</f>
        <v>10311</v>
      </c>
      <c r="P2532" s="10"/>
      <c r="Q2532">
        <v>0.3</v>
      </c>
      <c r="R2532">
        <v>0.4</v>
      </c>
      <c r="S2532" cm="1">
        <f t="array" ref="S2532">IFERROR(_xlfn.SWITCH(L2532,1,_xlfn.XLOOKUP(O2532,[1]AttributeName!$B:$B,[1]AttributeName!$D:$D),2,_xlfn.XLOOKUP(C2532,#REF!,#REF!),3,_xlfn.XLOOKUP(C2532,#REF!,#REF!)),0)</f>
        <v>2</v>
      </c>
      <c r="T2532" cm="1">
        <f t="array" ref="T2532">IFERROR(_xlfn.SWITCH(L2532,1,_xlfn.XLOOKUP(O2532,[1]AttributeName!$B:$B,[1]AttributeName!$E:$E),2,_xlfn.XLOOKUP(C2532,#REF!,#REF!),3,_xlfn.XLOOKUP(C2532,#REF!,#REF!)),0)</f>
        <v>2</v>
      </c>
    </row>
    <row r="2533" customFormat="1" spans="1:20">
      <c r="A2533">
        <v>1051</v>
      </c>
      <c r="B2533">
        <v>2</v>
      </c>
      <c r="C2533" t="s">
        <v>73</v>
      </c>
      <c r="D2533" t="s">
        <v>442</v>
      </c>
      <c r="E2533" t="s">
        <v>392</v>
      </c>
      <c r="F2533"/>
      <c r="G2533">
        <v>2</v>
      </c>
      <c r="H2533">
        <v>500</v>
      </c>
      <c r="J2533" cm="1">
        <f t="array" ref="J2533">_xlfn.SWITCH(B2533,1,75,2,61,3,49,4,37,5,25,6,13,7,4,8,1)</f>
        <v>61</v>
      </c>
      <c r="K2533" t="str" cm="1">
        <f t="array" ref="K2533">IFERROR(_xlfn.SWITCH(L2533,2,_xlfn.XLOOKUP(C2533,[1]ModifierDes!$B:$B,[1]ModifierDes!$C:$C),3,_xlfn.XLOOKUP(C2533,[1]StuntDes!$B:$B,[1]StuntDes!$C:$C)),"")</f>
        <v/>
      </c>
      <c r="L2533">
        <f t="shared" si="104"/>
        <v>1</v>
      </c>
      <c r="M2533" s="10" t="str">
        <f>IFERROR(_xlfn.XLOOKUP(C2533,[1]StuntDes!$B:$B,[1]StuntDes!$A:$A),"")</f>
        <v/>
      </c>
      <c r="N2533" s="10" t="str">
        <f>IFERROR(_xlfn.XLOOKUP(C2533,[1]ModifierDes!$B:$B,[1]ModifierDes!$A:$A),"")</f>
        <v/>
      </c>
      <c r="O2533" s="10">
        <f>IFERROR(_xlfn.XLOOKUP(C2533,[1]AttributeName!$C:$C,[1]AttributeName!$B:$B),"")</f>
        <v>10311</v>
      </c>
      <c r="P2533" s="10"/>
      <c r="Q2533">
        <v>0.26</v>
      </c>
      <c r="R2533">
        <v>0.29</v>
      </c>
      <c r="S2533" cm="1">
        <f t="array" ref="S2533">IFERROR(_xlfn.SWITCH(L2533,1,_xlfn.XLOOKUP(O2533,[1]AttributeName!$B:$B,[1]AttributeName!$D:$D),2,_xlfn.XLOOKUP(C2533,#REF!,#REF!),3,_xlfn.XLOOKUP(C2533,#REF!,#REF!)),0)</f>
        <v>2</v>
      </c>
      <c r="T2533" cm="1">
        <f t="array" ref="T2533">IFERROR(_xlfn.SWITCH(L2533,1,_xlfn.XLOOKUP(O2533,[1]AttributeName!$B:$B,[1]AttributeName!$E:$E),2,_xlfn.XLOOKUP(C2533,#REF!,#REF!),3,_xlfn.XLOOKUP(C2533,#REF!,#REF!)),0)</f>
        <v>2</v>
      </c>
    </row>
    <row r="2534" customFormat="1" spans="1:20">
      <c r="A2534">
        <v>1051</v>
      </c>
      <c r="B2534">
        <v>3</v>
      </c>
      <c r="C2534" t="s">
        <v>73</v>
      </c>
      <c r="D2534" t="s">
        <v>442</v>
      </c>
      <c r="E2534" t="s">
        <v>392</v>
      </c>
      <c r="F2534"/>
      <c r="G2534">
        <v>2</v>
      </c>
      <c r="H2534">
        <v>750</v>
      </c>
      <c r="J2534" cm="1">
        <f t="array" ref="J2534">_xlfn.SWITCH(B2534,1,75,2,61,3,49,4,37,5,25,6,13,7,4,8,1)</f>
        <v>49</v>
      </c>
      <c r="K2534" t="str" cm="1">
        <f t="array" ref="K2534">IFERROR(_xlfn.SWITCH(L2534,2,_xlfn.XLOOKUP(C2534,[1]ModifierDes!$B:$B,[1]ModifierDes!$C:$C),3,_xlfn.XLOOKUP(C2534,[1]StuntDes!$B:$B,[1]StuntDes!$C:$C)),"")</f>
        <v/>
      </c>
      <c r="L2534">
        <f t="shared" si="104"/>
        <v>1</v>
      </c>
      <c r="M2534" s="10" t="str">
        <f>IFERROR(_xlfn.XLOOKUP(C2534,[1]StuntDes!$B:$B,[1]StuntDes!$A:$A),"")</f>
        <v/>
      </c>
      <c r="N2534" s="10" t="str">
        <f>IFERROR(_xlfn.XLOOKUP(C2534,[1]ModifierDes!$B:$B,[1]ModifierDes!$A:$A),"")</f>
        <v/>
      </c>
      <c r="O2534" s="10">
        <f>IFERROR(_xlfn.XLOOKUP(C2534,[1]AttributeName!$C:$C,[1]AttributeName!$B:$B),"")</f>
        <v>10311</v>
      </c>
      <c r="P2534" s="10"/>
      <c r="Q2534">
        <v>0.22</v>
      </c>
      <c r="R2534">
        <v>0.25</v>
      </c>
      <c r="S2534" cm="1">
        <f t="array" ref="S2534">IFERROR(_xlfn.SWITCH(L2534,1,_xlfn.XLOOKUP(O2534,[1]AttributeName!$B:$B,[1]AttributeName!$D:$D),2,_xlfn.XLOOKUP(C2534,#REF!,#REF!),3,_xlfn.XLOOKUP(C2534,#REF!,#REF!)),0)</f>
        <v>2</v>
      </c>
      <c r="T2534" cm="1">
        <f t="array" ref="T2534">IFERROR(_xlfn.SWITCH(L2534,1,_xlfn.XLOOKUP(O2534,[1]AttributeName!$B:$B,[1]AttributeName!$E:$E),2,_xlfn.XLOOKUP(C2534,#REF!,#REF!),3,_xlfn.XLOOKUP(C2534,#REF!,#REF!)),0)</f>
        <v>2</v>
      </c>
    </row>
    <row r="2535" customFormat="1" spans="1:20">
      <c r="A2535">
        <v>1051</v>
      </c>
      <c r="B2535">
        <v>4</v>
      </c>
      <c r="C2535" t="s">
        <v>73</v>
      </c>
      <c r="D2535" t="s">
        <v>442</v>
      </c>
      <c r="E2535" t="s">
        <v>392</v>
      </c>
      <c r="F2535"/>
      <c r="G2535">
        <v>2</v>
      </c>
      <c r="H2535">
        <v>1000</v>
      </c>
      <c r="J2535" cm="1">
        <f t="array" ref="J2535">_xlfn.SWITCH(B2535,1,75,2,61,3,49,4,37,5,25,6,13,7,4,8,1)</f>
        <v>37</v>
      </c>
      <c r="K2535" t="str" cm="1">
        <f t="array" ref="K2535">IFERROR(_xlfn.SWITCH(L2535,2,_xlfn.XLOOKUP(C2535,[1]ModifierDes!$B:$B,[1]ModifierDes!$C:$C),3,_xlfn.XLOOKUP(C2535,[1]StuntDes!$B:$B,[1]StuntDes!$C:$C)),"")</f>
        <v/>
      </c>
      <c r="L2535">
        <f t="shared" si="104"/>
        <v>1</v>
      </c>
      <c r="M2535" s="10" t="str">
        <f>IFERROR(_xlfn.XLOOKUP(C2535,[1]StuntDes!$B:$B,[1]StuntDes!$A:$A),"")</f>
        <v/>
      </c>
      <c r="N2535" s="10" t="str">
        <f>IFERROR(_xlfn.XLOOKUP(C2535,[1]ModifierDes!$B:$B,[1]ModifierDes!$A:$A),"")</f>
        <v/>
      </c>
      <c r="O2535" s="10">
        <f>IFERROR(_xlfn.XLOOKUP(C2535,[1]AttributeName!$C:$C,[1]AttributeName!$B:$B),"")</f>
        <v>10311</v>
      </c>
      <c r="P2535" s="10"/>
      <c r="Q2535">
        <v>0.18</v>
      </c>
      <c r="R2535">
        <v>0.21</v>
      </c>
      <c r="S2535" cm="1">
        <f t="array" ref="S2535">IFERROR(_xlfn.SWITCH(L2535,1,_xlfn.XLOOKUP(O2535,[1]AttributeName!$B:$B,[1]AttributeName!$D:$D),2,_xlfn.XLOOKUP(C2535,#REF!,#REF!),3,_xlfn.XLOOKUP(C2535,#REF!,#REF!)),0)</f>
        <v>2</v>
      </c>
      <c r="T2535" cm="1">
        <f t="array" ref="T2535">IFERROR(_xlfn.SWITCH(L2535,1,_xlfn.XLOOKUP(O2535,[1]AttributeName!$B:$B,[1]AttributeName!$E:$E),2,_xlfn.XLOOKUP(C2535,#REF!,#REF!),3,_xlfn.XLOOKUP(C2535,#REF!,#REF!)),0)</f>
        <v>2</v>
      </c>
    </row>
    <row r="2536" customFormat="1" spans="1:20">
      <c r="A2536">
        <v>1051</v>
      </c>
      <c r="B2536">
        <v>5</v>
      </c>
      <c r="C2536" t="s">
        <v>73</v>
      </c>
      <c r="D2536" t="s">
        <v>442</v>
      </c>
      <c r="E2536" t="s">
        <v>392</v>
      </c>
      <c r="F2536"/>
      <c r="G2536">
        <v>2</v>
      </c>
      <c r="H2536">
        <v>1000</v>
      </c>
      <c r="J2536" cm="1">
        <f t="array" ref="J2536">_xlfn.SWITCH(B2536,1,75,2,61,3,49,4,37,5,25,6,13,7,4,8,1)</f>
        <v>25</v>
      </c>
      <c r="K2536" t="str" cm="1">
        <f t="array" ref="K2536">IFERROR(_xlfn.SWITCH(L2536,2,_xlfn.XLOOKUP(C2536,[1]ModifierDes!$B:$B,[1]ModifierDes!$C:$C),3,_xlfn.XLOOKUP(C2536,[1]StuntDes!$B:$B,[1]StuntDes!$C:$C)),"")</f>
        <v/>
      </c>
      <c r="L2536">
        <f t="shared" si="104"/>
        <v>1</v>
      </c>
      <c r="M2536" s="10" t="str">
        <f>IFERROR(_xlfn.XLOOKUP(C2536,[1]StuntDes!$B:$B,[1]StuntDes!$A:$A),"")</f>
        <v/>
      </c>
      <c r="N2536" s="10" t="str">
        <f>IFERROR(_xlfn.XLOOKUP(C2536,[1]ModifierDes!$B:$B,[1]ModifierDes!$A:$A),"")</f>
        <v/>
      </c>
      <c r="O2536" s="10">
        <f>IFERROR(_xlfn.XLOOKUP(C2536,[1]AttributeName!$C:$C,[1]AttributeName!$B:$B),"")</f>
        <v>10311</v>
      </c>
      <c r="P2536" s="10"/>
      <c r="Q2536">
        <v>0.14</v>
      </c>
      <c r="R2536">
        <v>0.17</v>
      </c>
      <c r="S2536" cm="1">
        <f t="array" ref="S2536">IFERROR(_xlfn.SWITCH(L2536,1,_xlfn.XLOOKUP(O2536,[1]AttributeName!$B:$B,[1]AttributeName!$D:$D),2,_xlfn.XLOOKUP(C2536,#REF!,#REF!),3,_xlfn.XLOOKUP(C2536,#REF!,#REF!)),0)</f>
        <v>2</v>
      </c>
      <c r="T2536" cm="1">
        <f t="array" ref="T2536">IFERROR(_xlfn.SWITCH(L2536,1,_xlfn.XLOOKUP(O2536,[1]AttributeName!$B:$B,[1]AttributeName!$E:$E),2,_xlfn.XLOOKUP(C2536,#REF!,#REF!),3,_xlfn.XLOOKUP(C2536,#REF!,#REF!)),0)</f>
        <v>2</v>
      </c>
    </row>
    <row r="2537" customFormat="1" spans="1:20">
      <c r="A2537">
        <v>1051</v>
      </c>
      <c r="B2537">
        <v>6</v>
      </c>
      <c r="C2537" t="s">
        <v>73</v>
      </c>
      <c r="D2537" t="s">
        <v>442</v>
      </c>
      <c r="E2537" t="s">
        <v>392</v>
      </c>
      <c r="F2537"/>
      <c r="G2537">
        <v>2</v>
      </c>
      <c r="H2537">
        <v>1000</v>
      </c>
      <c r="J2537" cm="1">
        <f t="array" ref="J2537">_xlfn.SWITCH(B2537,1,75,2,61,3,49,4,37,5,25,6,13,7,4,8,1)</f>
        <v>13</v>
      </c>
      <c r="K2537" t="str" cm="1">
        <f t="array" ref="K2537">IFERROR(_xlfn.SWITCH(L2537,2,_xlfn.XLOOKUP(C2537,[1]ModifierDes!$B:$B,[1]ModifierDes!$C:$C),3,_xlfn.XLOOKUP(C2537,[1]StuntDes!$B:$B,[1]StuntDes!$C:$C)),"")</f>
        <v/>
      </c>
      <c r="L2537">
        <f t="shared" si="104"/>
        <v>1</v>
      </c>
      <c r="M2537" s="10" t="str">
        <f>IFERROR(_xlfn.XLOOKUP(C2537,[1]StuntDes!$B:$B,[1]StuntDes!$A:$A),"")</f>
        <v/>
      </c>
      <c r="N2537" s="10" t="str">
        <f>IFERROR(_xlfn.XLOOKUP(C2537,[1]ModifierDes!$B:$B,[1]ModifierDes!$A:$A),"")</f>
        <v/>
      </c>
      <c r="O2537" s="10">
        <f>IFERROR(_xlfn.XLOOKUP(C2537,[1]AttributeName!$C:$C,[1]AttributeName!$B:$B),"")</f>
        <v>10311</v>
      </c>
      <c r="P2537" s="10"/>
      <c r="Q2537">
        <v>0.1</v>
      </c>
      <c r="R2537">
        <v>0.13</v>
      </c>
      <c r="S2537" cm="1">
        <f t="array" ref="S2537">IFERROR(_xlfn.SWITCH(L2537,1,_xlfn.XLOOKUP(O2537,[1]AttributeName!$B:$B,[1]AttributeName!$D:$D),2,_xlfn.XLOOKUP(C2537,#REF!,#REF!),3,_xlfn.XLOOKUP(C2537,#REF!,#REF!)),0)</f>
        <v>2</v>
      </c>
      <c r="T2537" cm="1">
        <f t="array" ref="T2537">IFERROR(_xlfn.SWITCH(L2537,1,_xlfn.XLOOKUP(O2537,[1]AttributeName!$B:$B,[1]AttributeName!$E:$E),2,_xlfn.XLOOKUP(C2537,#REF!,#REF!),3,_xlfn.XLOOKUP(C2537,#REF!,#REF!)),0)</f>
        <v>2</v>
      </c>
    </row>
    <row r="2538" customFormat="1" spans="1:20">
      <c r="A2538">
        <v>1051</v>
      </c>
      <c r="B2538">
        <v>7</v>
      </c>
      <c r="C2538" t="s">
        <v>73</v>
      </c>
      <c r="D2538" t="s">
        <v>442</v>
      </c>
      <c r="E2538" t="s">
        <v>392</v>
      </c>
      <c r="F2538"/>
      <c r="G2538">
        <v>2</v>
      </c>
      <c r="H2538">
        <v>1000</v>
      </c>
      <c r="J2538" cm="1">
        <f t="array" ref="J2538">_xlfn.SWITCH(B2538,1,75,2,61,3,49,4,37,5,25,6,13,7,4,8,1)</f>
        <v>4</v>
      </c>
      <c r="K2538" t="str" cm="1">
        <f t="array" ref="K2538">IFERROR(_xlfn.SWITCH(L2538,2,_xlfn.XLOOKUP(C2538,[1]ModifierDes!$B:$B,[1]ModifierDes!$C:$C),3,_xlfn.XLOOKUP(C2538,[1]StuntDes!$B:$B,[1]StuntDes!$C:$C)),"")</f>
        <v/>
      </c>
      <c r="L2538">
        <f t="shared" si="104"/>
        <v>1</v>
      </c>
      <c r="M2538" s="10" t="str">
        <f>IFERROR(_xlfn.XLOOKUP(C2538,[1]StuntDes!$B:$B,[1]StuntDes!$A:$A),"")</f>
        <v/>
      </c>
      <c r="N2538" s="10" t="str">
        <f>IFERROR(_xlfn.XLOOKUP(C2538,[1]ModifierDes!$B:$B,[1]ModifierDes!$A:$A),"")</f>
        <v/>
      </c>
      <c r="O2538" s="10">
        <f>IFERROR(_xlfn.XLOOKUP(C2538,[1]AttributeName!$C:$C,[1]AttributeName!$B:$B),"")</f>
        <v>10311</v>
      </c>
      <c r="P2538" s="10"/>
      <c r="Q2538">
        <v>0.06</v>
      </c>
      <c r="R2538">
        <v>0.0900000000000001</v>
      </c>
      <c r="S2538" cm="1">
        <f t="array" ref="S2538">IFERROR(_xlfn.SWITCH(L2538,1,_xlfn.XLOOKUP(O2538,[1]AttributeName!$B:$B,[1]AttributeName!$D:$D),2,_xlfn.XLOOKUP(C2538,#REF!,#REF!),3,_xlfn.XLOOKUP(C2538,#REF!,#REF!)),0)</f>
        <v>2</v>
      </c>
      <c r="T2538" cm="1">
        <f t="array" ref="T2538">IFERROR(_xlfn.SWITCH(L2538,1,_xlfn.XLOOKUP(O2538,[1]AttributeName!$B:$B,[1]AttributeName!$E:$E),2,_xlfn.XLOOKUP(C2538,#REF!,#REF!),3,_xlfn.XLOOKUP(C2538,#REF!,#REF!)),0)</f>
        <v>2</v>
      </c>
    </row>
    <row r="2539" customFormat="1" spans="1:20">
      <c r="A2539">
        <v>1051</v>
      </c>
      <c r="B2539">
        <v>8</v>
      </c>
      <c r="C2539" t="s">
        <v>73</v>
      </c>
      <c r="D2539" t="s">
        <v>442</v>
      </c>
      <c r="E2539" t="s">
        <v>392</v>
      </c>
      <c r="F2539"/>
      <c r="G2539">
        <v>2</v>
      </c>
      <c r="H2539">
        <v>1000</v>
      </c>
      <c r="J2539" cm="1">
        <f t="array" ref="J2539">_xlfn.SWITCH(B2539,1,75,2,61,3,49,4,37,5,25,6,13,7,4,8,1)</f>
        <v>1</v>
      </c>
      <c r="K2539" t="str" cm="1">
        <f t="array" ref="K2539">IFERROR(_xlfn.SWITCH(L2539,2,_xlfn.XLOOKUP(C2539,[1]ModifierDes!$B:$B,[1]ModifierDes!$C:$C),3,_xlfn.XLOOKUP(C2539,[1]StuntDes!$B:$B,[1]StuntDes!$C:$C)),"")</f>
        <v/>
      </c>
      <c r="L2539">
        <f t="shared" si="104"/>
        <v>1</v>
      </c>
      <c r="M2539" s="10" t="str">
        <f>IFERROR(_xlfn.XLOOKUP(C2539,[1]StuntDes!$B:$B,[1]StuntDes!$A:$A),"")</f>
        <v/>
      </c>
      <c r="N2539" s="10" t="str">
        <f>IFERROR(_xlfn.XLOOKUP(C2539,[1]ModifierDes!$B:$B,[1]ModifierDes!$A:$A),"")</f>
        <v/>
      </c>
      <c r="O2539" s="10">
        <f>IFERROR(_xlfn.XLOOKUP(C2539,[1]AttributeName!$C:$C,[1]AttributeName!$B:$B),"")</f>
        <v>10311</v>
      </c>
      <c r="P2539" s="10"/>
      <c r="Q2539">
        <v>0.02</v>
      </c>
      <c r="R2539">
        <v>0.0500000000000001</v>
      </c>
      <c r="S2539" cm="1">
        <f t="array" ref="S2539">IFERROR(_xlfn.SWITCH(L2539,1,_xlfn.XLOOKUP(O2539,[1]AttributeName!$B:$B,[1]AttributeName!$D:$D),2,_xlfn.XLOOKUP(C2539,#REF!,#REF!),3,_xlfn.XLOOKUP(C2539,#REF!,#REF!)),0)</f>
        <v>2</v>
      </c>
      <c r="T2539" cm="1">
        <f t="array" ref="T2539">IFERROR(_xlfn.SWITCH(L2539,1,_xlfn.XLOOKUP(O2539,[1]AttributeName!$B:$B,[1]AttributeName!$E:$E),2,_xlfn.XLOOKUP(C2539,#REF!,#REF!),3,_xlfn.XLOOKUP(C2539,#REF!,#REF!)),0)</f>
        <v>2</v>
      </c>
    </row>
    <row r="2540" customFormat="1" spans="1:20">
      <c r="A2540">
        <f t="shared" ref="A2540:A2571" si="106">A2532+1</f>
        <v>1052</v>
      </c>
      <c r="B2540">
        <v>1</v>
      </c>
      <c r="C2540" t="s">
        <v>423</v>
      </c>
      <c r="D2540" t="s">
        <v>442</v>
      </c>
      <c r="E2540" t="s">
        <v>392</v>
      </c>
      <c r="F2540"/>
      <c r="G2540">
        <v>2</v>
      </c>
      <c r="H2540">
        <v>250</v>
      </c>
      <c r="J2540" cm="1">
        <f t="array" ref="J2540">_xlfn.SWITCH(B2540,1,75,2,61,3,49,4,37,5,25,6,13,7,4,8,1)</f>
        <v>75</v>
      </c>
      <c r="K2540" t="str" cm="1">
        <f t="array" ref="K2540">IFERROR(_xlfn.SWITCH(L2540,2,_xlfn.XLOOKUP(C2540,[1]ModifierDes!$B:$B,[1]ModifierDes!$C:$C),3,_xlfn.XLOOKUP(C2540,[1]StuntDes!$B:$B,[1]StuntDes!$C:$C)),"")</f>
        <v/>
      </c>
      <c r="L2540">
        <f t="shared" si="104"/>
        <v>1</v>
      </c>
      <c r="M2540" s="10" t="str">
        <f>IFERROR(_xlfn.XLOOKUP(C2540,[1]StuntDes!$B:$B,[1]StuntDes!$A:$A),"")</f>
        <v/>
      </c>
      <c r="N2540" s="10" t="str">
        <f>IFERROR(_xlfn.XLOOKUP(C2540,[1]ModifierDes!$B:$B,[1]ModifierDes!$A:$A),"")</f>
        <v/>
      </c>
      <c r="O2540" s="10">
        <f>IFERROR(_xlfn.XLOOKUP(C2540,[1]AttributeName!$C:$C,[1]AttributeName!$B:$B),"")</f>
        <v>10312</v>
      </c>
      <c r="P2540" s="10"/>
      <c r="Q2540">
        <v>0.3</v>
      </c>
      <c r="R2540">
        <v>0.4</v>
      </c>
      <c r="S2540" cm="1">
        <f t="array" ref="S2540">IFERROR(_xlfn.SWITCH(L2540,1,_xlfn.XLOOKUP(O2540,[1]AttributeName!$B:$B,[1]AttributeName!$D:$D),2,_xlfn.XLOOKUP(C2540,#REF!,#REF!),3,_xlfn.XLOOKUP(C2540,#REF!,#REF!)),0)</f>
        <v>2</v>
      </c>
      <c r="T2540" cm="1">
        <f t="array" ref="T2540">IFERROR(_xlfn.SWITCH(L2540,1,_xlfn.XLOOKUP(O2540,[1]AttributeName!$B:$B,[1]AttributeName!$E:$E),2,_xlfn.XLOOKUP(C2540,#REF!,#REF!),3,_xlfn.XLOOKUP(C2540,#REF!,#REF!)),0)</f>
        <v>2</v>
      </c>
    </row>
    <row r="2541" customFormat="1" spans="1:20">
      <c r="A2541">
        <f t="shared" si="106"/>
        <v>1052</v>
      </c>
      <c r="B2541">
        <v>2</v>
      </c>
      <c r="C2541" t="s">
        <v>423</v>
      </c>
      <c r="D2541" t="s">
        <v>442</v>
      </c>
      <c r="E2541" t="s">
        <v>392</v>
      </c>
      <c r="F2541"/>
      <c r="G2541">
        <v>2</v>
      </c>
      <c r="H2541">
        <v>500</v>
      </c>
      <c r="J2541" cm="1">
        <f t="array" ref="J2541">_xlfn.SWITCH(B2541,1,75,2,61,3,49,4,37,5,25,6,13,7,4,8,1)</f>
        <v>61</v>
      </c>
      <c r="K2541" t="str" cm="1">
        <f t="array" ref="K2541">IFERROR(_xlfn.SWITCH(L2541,2,_xlfn.XLOOKUP(C2541,[1]ModifierDes!$B:$B,[1]ModifierDes!$C:$C),3,_xlfn.XLOOKUP(C2541,[1]StuntDes!$B:$B,[1]StuntDes!$C:$C)),"")</f>
        <v/>
      </c>
      <c r="L2541">
        <f t="shared" si="104"/>
        <v>1</v>
      </c>
      <c r="M2541" s="10" t="str">
        <f>IFERROR(_xlfn.XLOOKUP(C2541,[1]StuntDes!$B:$B,[1]StuntDes!$A:$A),"")</f>
        <v/>
      </c>
      <c r="N2541" s="10" t="str">
        <f>IFERROR(_xlfn.XLOOKUP(C2541,[1]ModifierDes!$B:$B,[1]ModifierDes!$A:$A),"")</f>
        <v/>
      </c>
      <c r="O2541" s="10">
        <f>IFERROR(_xlfn.XLOOKUP(C2541,[1]AttributeName!$C:$C,[1]AttributeName!$B:$B),"")</f>
        <v>10312</v>
      </c>
      <c r="P2541" s="10"/>
      <c r="Q2541">
        <v>0.26</v>
      </c>
      <c r="R2541">
        <v>0.29</v>
      </c>
      <c r="S2541" cm="1">
        <f t="array" ref="S2541">IFERROR(_xlfn.SWITCH(L2541,1,_xlfn.XLOOKUP(O2541,[1]AttributeName!$B:$B,[1]AttributeName!$D:$D),2,_xlfn.XLOOKUP(C2541,#REF!,#REF!),3,_xlfn.XLOOKUP(C2541,#REF!,#REF!)),0)</f>
        <v>2</v>
      </c>
      <c r="T2541" cm="1">
        <f t="array" ref="T2541">IFERROR(_xlfn.SWITCH(L2541,1,_xlfn.XLOOKUP(O2541,[1]AttributeName!$B:$B,[1]AttributeName!$E:$E),2,_xlfn.XLOOKUP(C2541,#REF!,#REF!),3,_xlfn.XLOOKUP(C2541,#REF!,#REF!)),0)</f>
        <v>2</v>
      </c>
    </row>
    <row r="2542" customFormat="1" spans="1:20">
      <c r="A2542">
        <f t="shared" si="106"/>
        <v>1052</v>
      </c>
      <c r="B2542">
        <v>3</v>
      </c>
      <c r="C2542" t="s">
        <v>423</v>
      </c>
      <c r="D2542" t="s">
        <v>442</v>
      </c>
      <c r="E2542" t="s">
        <v>392</v>
      </c>
      <c r="F2542"/>
      <c r="G2542">
        <v>2</v>
      </c>
      <c r="H2542">
        <v>750</v>
      </c>
      <c r="J2542" cm="1">
        <f t="array" ref="J2542">_xlfn.SWITCH(B2542,1,75,2,61,3,49,4,37,5,25,6,13,7,4,8,1)</f>
        <v>49</v>
      </c>
      <c r="K2542" t="str" cm="1">
        <f t="array" ref="K2542">IFERROR(_xlfn.SWITCH(L2542,2,_xlfn.XLOOKUP(C2542,[1]ModifierDes!$B:$B,[1]ModifierDes!$C:$C),3,_xlfn.XLOOKUP(C2542,[1]StuntDes!$B:$B,[1]StuntDes!$C:$C)),"")</f>
        <v/>
      </c>
      <c r="L2542">
        <f t="shared" si="104"/>
        <v>1</v>
      </c>
      <c r="M2542" s="10" t="str">
        <f>IFERROR(_xlfn.XLOOKUP(C2542,[1]StuntDes!$B:$B,[1]StuntDes!$A:$A),"")</f>
        <v/>
      </c>
      <c r="N2542" s="10" t="str">
        <f>IFERROR(_xlfn.XLOOKUP(C2542,[1]ModifierDes!$B:$B,[1]ModifierDes!$A:$A),"")</f>
        <v/>
      </c>
      <c r="O2542" s="10">
        <f>IFERROR(_xlfn.XLOOKUP(C2542,[1]AttributeName!$C:$C,[1]AttributeName!$B:$B),"")</f>
        <v>10312</v>
      </c>
      <c r="P2542" s="10"/>
      <c r="Q2542">
        <v>0.22</v>
      </c>
      <c r="R2542">
        <v>0.25</v>
      </c>
      <c r="S2542" cm="1">
        <f t="array" ref="S2542">IFERROR(_xlfn.SWITCH(L2542,1,_xlfn.XLOOKUP(O2542,[1]AttributeName!$B:$B,[1]AttributeName!$D:$D),2,_xlfn.XLOOKUP(C2542,#REF!,#REF!),3,_xlfn.XLOOKUP(C2542,#REF!,#REF!)),0)</f>
        <v>2</v>
      </c>
      <c r="T2542" cm="1">
        <f t="array" ref="T2542">IFERROR(_xlfn.SWITCH(L2542,1,_xlfn.XLOOKUP(O2542,[1]AttributeName!$B:$B,[1]AttributeName!$E:$E),2,_xlfn.XLOOKUP(C2542,#REF!,#REF!),3,_xlfn.XLOOKUP(C2542,#REF!,#REF!)),0)</f>
        <v>2</v>
      </c>
    </row>
    <row r="2543" customFormat="1" spans="1:20">
      <c r="A2543">
        <f t="shared" si="106"/>
        <v>1052</v>
      </c>
      <c r="B2543">
        <v>4</v>
      </c>
      <c r="C2543" t="s">
        <v>423</v>
      </c>
      <c r="D2543" t="s">
        <v>442</v>
      </c>
      <c r="E2543" t="s">
        <v>392</v>
      </c>
      <c r="F2543"/>
      <c r="G2543">
        <v>2</v>
      </c>
      <c r="H2543">
        <v>1000</v>
      </c>
      <c r="J2543" cm="1">
        <f t="array" ref="J2543">_xlfn.SWITCH(B2543,1,75,2,61,3,49,4,37,5,25,6,13,7,4,8,1)</f>
        <v>37</v>
      </c>
      <c r="K2543" t="str" cm="1">
        <f t="array" ref="K2543">IFERROR(_xlfn.SWITCH(L2543,2,_xlfn.XLOOKUP(C2543,[1]ModifierDes!$B:$B,[1]ModifierDes!$C:$C),3,_xlfn.XLOOKUP(C2543,[1]StuntDes!$B:$B,[1]StuntDes!$C:$C)),"")</f>
        <v/>
      </c>
      <c r="L2543">
        <f t="shared" si="104"/>
        <v>1</v>
      </c>
      <c r="M2543" s="10" t="str">
        <f>IFERROR(_xlfn.XLOOKUP(C2543,[1]StuntDes!$B:$B,[1]StuntDes!$A:$A),"")</f>
        <v/>
      </c>
      <c r="N2543" s="10" t="str">
        <f>IFERROR(_xlfn.XLOOKUP(C2543,[1]ModifierDes!$B:$B,[1]ModifierDes!$A:$A),"")</f>
        <v/>
      </c>
      <c r="O2543" s="10">
        <f>IFERROR(_xlfn.XLOOKUP(C2543,[1]AttributeName!$C:$C,[1]AttributeName!$B:$B),"")</f>
        <v>10312</v>
      </c>
      <c r="P2543" s="10"/>
      <c r="Q2543">
        <v>0.18</v>
      </c>
      <c r="R2543">
        <v>0.21</v>
      </c>
      <c r="S2543" cm="1">
        <f t="array" ref="S2543">IFERROR(_xlfn.SWITCH(L2543,1,_xlfn.XLOOKUP(O2543,[1]AttributeName!$B:$B,[1]AttributeName!$D:$D),2,_xlfn.XLOOKUP(C2543,#REF!,#REF!),3,_xlfn.XLOOKUP(C2543,#REF!,#REF!)),0)</f>
        <v>2</v>
      </c>
      <c r="T2543" cm="1">
        <f t="array" ref="T2543">IFERROR(_xlfn.SWITCH(L2543,1,_xlfn.XLOOKUP(O2543,[1]AttributeName!$B:$B,[1]AttributeName!$E:$E),2,_xlfn.XLOOKUP(C2543,#REF!,#REF!),3,_xlfn.XLOOKUP(C2543,#REF!,#REF!)),0)</f>
        <v>2</v>
      </c>
    </row>
    <row r="2544" customFormat="1" spans="1:20">
      <c r="A2544">
        <f t="shared" si="106"/>
        <v>1052</v>
      </c>
      <c r="B2544">
        <v>5</v>
      </c>
      <c r="C2544" t="s">
        <v>423</v>
      </c>
      <c r="D2544" t="s">
        <v>442</v>
      </c>
      <c r="E2544" t="s">
        <v>392</v>
      </c>
      <c r="F2544"/>
      <c r="G2544">
        <v>2</v>
      </c>
      <c r="H2544">
        <v>1000</v>
      </c>
      <c r="J2544" cm="1">
        <f t="array" ref="J2544">_xlfn.SWITCH(B2544,1,75,2,61,3,49,4,37,5,25,6,13,7,4,8,1)</f>
        <v>25</v>
      </c>
      <c r="K2544" t="str" cm="1">
        <f t="array" ref="K2544">IFERROR(_xlfn.SWITCH(L2544,2,_xlfn.XLOOKUP(C2544,[1]ModifierDes!$B:$B,[1]ModifierDes!$C:$C),3,_xlfn.XLOOKUP(C2544,[1]StuntDes!$B:$B,[1]StuntDes!$C:$C)),"")</f>
        <v/>
      </c>
      <c r="L2544">
        <f t="shared" si="104"/>
        <v>1</v>
      </c>
      <c r="M2544" s="10" t="str">
        <f>IFERROR(_xlfn.XLOOKUP(C2544,[1]StuntDes!$B:$B,[1]StuntDes!$A:$A),"")</f>
        <v/>
      </c>
      <c r="N2544" s="10" t="str">
        <f>IFERROR(_xlfn.XLOOKUP(C2544,[1]ModifierDes!$B:$B,[1]ModifierDes!$A:$A),"")</f>
        <v/>
      </c>
      <c r="O2544" s="10">
        <f>IFERROR(_xlfn.XLOOKUP(C2544,[1]AttributeName!$C:$C,[1]AttributeName!$B:$B),"")</f>
        <v>10312</v>
      </c>
      <c r="P2544" s="10"/>
      <c r="Q2544">
        <v>0.14</v>
      </c>
      <c r="R2544">
        <v>0.17</v>
      </c>
      <c r="S2544" cm="1">
        <f t="array" ref="S2544">IFERROR(_xlfn.SWITCH(L2544,1,_xlfn.XLOOKUP(O2544,[1]AttributeName!$B:$B,[1]AttributeName!$D:$D),2,_xlfn.XLOOKUP(C2544,#REF!,#REF!),3,_xlfn.XLOOKUP(C2544,#REF!,#REF!)),0)</f>
        <v>2</v>
      </c>
      <c r="T2544" cm="1">
        <f t="array" ref="T2544">IFERROR(_xlfn.SWITCH(L2544,1,_xlfn.XLOOKUP(O2544,[1]AttributeName!$B:$B,[1]AttributeName!$E:$E),2,_xlfn.XLOOKUP(C2544,#REF!,#REF!),3,_xlfn.XLOOKUP(C2544,#REF!,#REF!)),0)</f>
        <v>2</v>
      </c>
    </row>
    <row r="2545" customFormat="1" spans="1:20">
      <c r="A2545">
        <f t="shared" si="106"/>
        <v>1052</v>
      </c>
      <c r="B2545">
        <v>6</v>
      </c>
      <c r="C2545" t="s">
        <v>423</v>
      </c>
      <c r="D2545" t="s">
        <v>442</v>
      </c>
      <c r="E2545" t="s">
        <v>392</v>
      </c>
      <c r="F2545"/>
      <c r="G2545">
        <v>2</v>
      </c>
      <c r="H2545">
        <v>1000</v>
      </c>
      <c r="J2545" cm="1">
        <f t="array" ref="J2545">_xlfn.SWITCH(B2545,1,75,2,61,3,49,4,37,5,25,6,13,7,4,8,1)</f>
        <v>13</v>
      </c>
      <c r="K2545" t="str" cm="1">
        <f t="array" ref="K2545">IFERROR(_xlfn.SWITCH(L2545,2,_xlfn.XLOOKUP(C2545,[1]ModifierDes!$B:$B,[1]ModifierDes!$C:$C),3,_xlfn.XLOOKUP(C2545,[1]StuntDes!$B:$B,[1]StuntDes!$C:$C)),"")</f>
        <v/>
      </c>
      <c r="L2545">
        <f t="shared" si="104"/>
        <v>1</v>
      </c>
      <c r="M2545" s="10" t="str">
        <f>IFERROR(_xlfn.XLOOKUP(C2545,[1]StuntDes!$B:$B,[1]StuntDes!$A:$A),"")</f>
        <v/>
      </c>
      <c r="N2545" s="10" t="str">
        <f>IFERROR(_xlfn.XLOOKUP(C2545,[1]ModifierDes!$B:$B,[1]ModifierDes!$A:$A),"")</f>
        <v/>
      </c>
      <c r="O2545" s="10">
        <f>IFERROR(_xlfn.XLOOKUP(C2545,[1]AttributeName!$C:$C,[1]AttributeName!$B:$B),"")</f>
        <v>10312</v>
      </c>
      <c r="P2545" s="10"/>
      <c r="Q2545">
        <v>0.1</v>
      </c>
      <c r="R2545">
        <v>0.13</v>
      </c>
      <c r="S2545" cm="1">
        <f t="array" ref="S2545">IFERROR(_xlfn.SWITCH(L2545,1,_xlfn.XLOOKUP(O2545,[1]AttributeName!$B:$B,[1]AttributeName!$D:$D),2,_xlfn.XLOOKUP(C2545,#REF!,#REF!),3,_xlfn.XLOOKUP(C2545,#REF!,#REF!)),0)</f>
        <v>2</v>
      </c>
      <c r="T2545" cm="1">
        <f t="array" ref="T2545">IFERROR(_xlfn.SWITCH(L2545,1,_xlfn.XLOOKUP(O2545,[1]AttributeName!$B:$B,[1]AttributeName!$E:$E),2,_xlfn.XLOOKUP(C2545,#REF!,#REF!),3,_xlfn.XLOOKUP(C2545,#REF!,#REF!)),0)</f>
        <v>2</v>
      </c>
    </row>
    <row r="2546" customFormat="1" spans="1:20">
      <c r="A2546">
        <f t="shared" si="106"/>
        <v>1052</v>
      </c>
      <c r="B2546">
        <v>7</v>
      </c>
      <c r="C2546" t="s">
        <v>423</v>
      </c>
      <c r="D2546" t="s">
        <v>442</v>
      </c>
      <c r="E2546" t="s">
        <v>392</v>
      </c>
      <c r="F2546"/>
      <c r="G2546">
        <v>2</v>
      </c>
      <c r="H2546">
        <v>1000</v>
      </c>
      <c r="J2546" cm="1">
        <f t="array" ref="J2546">_xlfn.SWITCH(B2546,1,75,2,61,3,49,4,37,5,25,6,13,7,4,8,1)</f>
        <v>4</v>
      </c>
      <c r="K2546" t="str" cm="1">
        <f t="array" ref="K2546">IFERROR(_xlfn.SWITCH(L2546,2,_xlfn.XLOOKUP(C2546,[1]ModifierDes!$B:$B,[1]ModifierDes!$C:$C),3,_xlfn.XLOOKUP(C2546,[1]StuntDes!$B:$B,[1]StuntDes!$C:$C)),"")</f>
        <v/>
      </c>
      <c r="L2546">
        <f t="shared" si="104"/>
        <v>1</v>
      </c>
      <c r="M2546" s="10" t="str">
        <f>IFERROR(_xlfn.XLOOKUP(C2546,[1]StuntDes!$B:$B,[1]StuntDes!$A:$A),"")</f>
        <v/>
      </c>
      <c r="N2546" s="10" t="str">
        <f>IFERROR(_xlfn.XLOOKUP(C2546,[1]ModifierDes!$B:$B,[1]ModifierDes!$A:$A),"")</f>
        <v/>
      </c>
      <c r="O2546" s="10">
        <f>IFERROR(_xlfn.XLOOKUP(C2546,[1]AttributeName!$C:$C,[1]AttributeName!$B:$B),"")</f>
        <v>10312</v>
      </c>
      <c r="P2546" s="10"/>
      <c r="Q2546">
        <v>0.06</v>
      </c>
      <c r="R2546">
        <v>0.0900000000000001</v>
      </c>
      <c r="S2546" cm="1">
        <f t="array" ref="S2546">IFERROR(_xlfn.SWITCH(L2546,1,_xlfn.XLOOKUP(O2546,[1]AttributeName!$B:$B,[1]AttributeName!$D:$D),2,_xlfn.XLOOKUP(C2546,#REF!,#REF!),3,_xlfn.XLOOKUP(C2546,#REF!,#REF!)),0)</f>
        <v>2</v>
      </c>
      <c r="T2546" cm="1">
        <f t="array" ref="T2546">IFERROR(_xlfn.SWITCH(L2546,1,_xlfn.XLOOKUP(O2546,[1]AttributeName!$B:$B,[1]AttributeName!$E:$E),2,_xlfn.XLOOKUP(C2546,#REF!,#REF!),3,_xlfn.XLOOKUP(C2546,#REF!,#REF!)),0)</f>
        <v>2</v>
      </c>
    </row>
    <row r="2547" customFormat="1" spans="1:20">
      <c r="A2547">
        <f t="shared" si="106"/>
        <v>1052</v>
      </c>
      <c r="B2547">
        <v>8</v>
      </c>
      <c r="C2547" t="s">
        <v>423</v>
      </c>
      <c r="D2547" t="s">
        <v>442</v>
      </c>
      <c r="E2547" t="s">
        <v>392</v>
      </c>
      <c r="F2547"/>
      <c r="G2547">
        <v>2</v>
      </c>
      <c r="H2547">
        <v>1000</v>
      </c>
      <c r="J2547" cm="1">
        <f t="array" ref="J2547">_xlfn.SWITCH(B2547,1,75,2,61,3,49,4,37,5,25,6,13,7,4,8,1)</f>
        <v>1</v>
      </c>
      <c r="K2547" t="str" cm="1">
        <f t="array" ref="K2547">IFERROR(_xlfn.SWITCH(L2547,2,_xlfn.XLOOKUP(C2547,[1]ModifierDes!$B:$B,[1]ModifierDes!$C:$C),3,_xlfn.XLOOKUP(C2547,[1]StuntDes!$B:$B,[1]StuntDes!$C:$C)),"")</f>
        <v/>
      </c>
      <c r="L2547">
        <f t="shared" si="104"/>
        <v>1</v>
      </c>
      <c r="M2547" s="10" t="str">
        <f>IFERROR(_xlfn.XLOOKUP(C2547,[1]StuntDes!$B:$B,[1]StuntDes!$A:$A),"")</f>
        <v/>
      </c>
      <c r="N2547" s="10" t="str">
        <f>IFERROR(_xlfn.XLOOKUP(C2547,[1]ModifierDes!$B:$B,[1]ModifierDes!$A:$A),"")</f>
        <v/>
      </c>
      <c r="O2547" s="10">
        <f>IFERROR(_xlfn.XLOOKUP(C2547,[1]AttributeName!$C:$C,[1]AttributeName!$B:$B),"")</f>
        <v>10312</v>
      </c>
      <c r="P2547" s="10"/>
      <c r="Q2547">
        <v>0.02</v>
      </c>
      <c r="R2547">
        <v>0.0500000000000001</v>
      </c>
      <c r="S2547" cm="1">
        <f t="array" ref="S2547">IFERROR(_xlfn.SWITCH(L2547,1,_xlfn.XLOOKUP(O2547,[1]AttributeName!$B:$B,[1]AttributeName!$D:$D),2,_xlfn.XLOOKUP(C2547,#REF!,#REF!),3,_xlfn.XLOOKUP(C2547,#REF!,#REF!)),0)</f>
        <v>2</v>
      </c>
      <c r="T2547" cm="1">
        <f t="array" ref="T2547">IFERROR(_xlfn.SWITCH(L2547,1,_xlfn.XLOOKUP(O2547,[1]AttributeName!$B:$B,[1]AttributeName!$E:$E),2,_xlfn.XLOOKUP(C2547,#REF!,#REF!),3,_xlfn.XLOOKUP(C2547,#REF!,#REF!)),0)</f>
        <v>2</v>
      </c>
    </row>
    <row r="2548" customFormat="1" spans="1:20">
      <c r="A2548">
        <f t="shared" si="106"/>
        <v>1053</v>
      </c>
      <c r="B2548">
        <v>1</v>
      </c>
      <c r="C2548" t="s">
        <v>424</v>
      </c>
      <c r="D2548" t="s">
        <v>442</v>
      </c>
      <c r="E2548" t="s">
        <v>392</v>
      </c>
      <c r="F2548"/>
      <c r="G2548">
        <v>2</v>
      </c>
      <c r="H2548">
        <v>250</v>
      </c>
      <c r="J2548" cm="1">
        <f t="array" ref="J2548">_xlfn.SWITCH(B2548,1,75,2,61,3,49,4,37,5,25,6,13,7,4,8,1)</f>
        <v>75</v>
      </c>
      <c r="K2548" t="str" cm="1">
        <f t="array" ref="K2548">IFERROR(_xlfn.SWITCH(L2548,2,_xlfn.XLOOKUP(C2548,[1]ModifierDes!$B:$B,[1]ModifierDes!$C:$C),3,_xlfn.XLOOKUP(C2548,[1]StuntDes!$B:$B,[1]StuntDes!$C:$C)),"")</f>
        <v/>
      </c>
      <c r="L2548">
        <f t="shared" si="104"/>
        <v>1</v>
      </c>
      <c r="M2548" s="10" t="str">
        <f>IFERROR(_xlfn.XLOOKUP(C2548,[1]StuntDes!$B:$B,[1]StuntDes!$A:$A),"")</f>
        <v/>
      </c>
      <c r="N2548" s="10" t="str">
        <f>IFERROR(_xlfn.XLOOKUP(C2548,[1]ModifierDes!$B:$B,[1]ModifierDes!$A:$A),"")</f>
        <v/>
      </c>
      <c r="O2548" s="10">
        <f>IFERROR(_xlfn.XLOOKUP(C2548,[1]AttributeName!$C:$C,[1]AttributeName!$B:$B),"")</f>
        <v>10313</v>
      </c>
      <c r="P2548" s="10"/>
      <c r="Q2548">
        <v>0.3</v>
      </c>
      <c r="R2548">
        <v>0.4</v>
      </c>
      <c r="S2548" cm="1">
        <f t="array" ref="S2548">IFERROR(_xlfn.SWITCH(L2548,1,_xlfn.XLOOKUP(O2548,[1]AttributeName!$B:$B,[1]AttributeName!$D:$D),2,_xlfn.XLOOKUP(C2548,#REF!,#REF!),3,_xlfn.XLOOKUP(C2548,#REF!,#REF!)),0)</f>
        <v>2</v>
      </c>
      <c r="T2548" cm="1">
        <f t="array" ref="T2548">IFERROR(_xlfn.SWITCH(L2548,1,_xlfn.XLOOKUP(O2548,[1]AttributeName!$B:$B,[1]AttributeName!$E:$E),2,_xlfn.XLOOKUP(C2548,#REF!,#REF!),3,_xlfn.XLOOKUP(C2548,#REF!,#REF!)),0)</f>
        <v>2</v>
      </c>
    </row>
    <row r="2549" customFormat="1" spans="1:20">
      <c r="A2549">
        <f t="shared" si="106"/>
        <v>1053</v>
      </c>
      <c r="B2549">
        <v>2</v>
      </c>
      <c r="C2549" t="s">
        <v>424</v>
      </c>
      <c r="D2549" t="s">
        <v>442</v>
      </c>
      <c r="E2549" t="s">
        <v>392</v>
      </c>
      <c r="F2549"/>
      <c r="G2549">
        <v>2</v>
      </c>
      <c r="H2549">
        <v>500</v>
      </c>
      <c r="J2549" cm="1">
        <f t="array" ref="J2549">_xlfn.SWITCH(B2549,1,75,2,61,3,49,4,37,5,25,6,13,7,4,8,1)</f>
        <v>61</v>
      </c>
      <c r="K2549" t="str" cm="1">
        <f t="array" ref="K2549">IFERROR(_xlfn.SWITCH(L2549,2,_xlfn.XLOOKUP(C2549,[1]ModifierDes!$B:$B,[1]ModifierDes!$C:$C),3,_xlfn.XLOOKUP(C2549,[1]StuntDes!$B:$B,[1]StuntDes!$C:$C)),"")</f>
        <v/>
      </c>
      <c r="L2549">
        <f t="shared" si="104"/>
        <v>1</v>
      </c>
      <c r="M2549" s="10" t="str">
        <f>IFERROR(_xlfn.XLOOKUP(C2549,[1]StuntDes!$B:$B,[1]StuntDes!$A:$A),"")</f>
        <v/>
      </c>
      <c r="N2549" s="10" t="str">
        <f>IFERROR(_xlfn.XLOOKUP(C2549,[1]ModifierDes!$B:$B,[1]ModifierDes!$A:$A),"")</f>
        <v/>
      </c>
      <c r="O2549" s="10">
        <f>IFERROR(_xlfn.XLOOKUP(C2549,[1]AttributeName!$C:$C,[1]AttributeName!$B:$B),"")</f>
        <v>10313</v>
      </c>
      <c r="P2549" s="10"/>
      <c r="Q2549">
        <v>0.26</v>
      </c>
      <c r="R2549">
        <v>0.29</v>
      </c>
      <c r="S2549" cm="1">
        <f t="array" ref="S2549">IFERROR(_xlfn.SWITCH(L2549,1,_xlfn.XLOOKUP(O2549,[1]AttributeName!$B:$B,[1]AttributeName!$D:$D),2,_xlfn.XLOOKUP(C2549,#REF!,#REF!),3,_xlfn.XLOOKUP(C2549,#REF!,#REF!)),0)</f>
        <v>2</v>
      </c>
      <c r="T2549" cm="1">
        <f t="array" ref="T2549">IFERROR(_xlfn.SWITCH(L2549,1,_xlfn.XLOOKUP(O2549,[1]AttributeName!$B:$B,[1]AttributeName!$E:$E),2,_xlfn.XLOOKUP(C2549,#REF!,#REF!),3,_xlfn.XLOOKUP(C2549,#REF!,#REF!)),0)</f>
        <v>2</v>
      </c>
    </row>
    <row r="2550" customFormat="1" spans="1:20">
      <c r="A2550">
        <f t="shared" si="106"/>
        <v>1053</v>
      </c>
      <c r="B2550">
        <v>3</v>
      </c>
      <c r="C2550" t="s">
        <v>424</v>
      </c>
      <c r="D2550" t="s">
        <v>442</v>
      </c>
      <c r="E2550" t="s">
        <v>392</v>
      </c>
      <c r="F2550"/>
      <c r="G2550">
        <v>2</v>
      </c>
      <c r="H2550">
        <v>750</v>
      </c>
      <c r="J2550" cm="1">
        <f t="array" ref="J2550">_xlfn.SWITCH(B2550,1,75,2,61,3,49,4,37,5,25,6,13,7,4,8,1)</f>
        <v>49</v>
      </c>
      <c r="K2550" t="str" cm="1">
        <f t="array" ref="K2550">IFERROR(_xlfn.SWITCH(L2550,2,_xlfn.XLOOKUP(C2550,[1]ModifierDes!$B:$B,[1]ModifierDes!$C:$C),3,_xlfn.XLOOKUP(C2550,[1]StuntDes!$B:$B,[1]StuntDes!$C:$C)),"")</f>
        <v/>
      </c>
      <c r="L2550">
        <f t="shared" si="104"/>
        <v>1</v>
      </c>
      <c r="M2550" s="10" t="str">
        <f>IFERROR(_xlfn.XLOOKUP(C2550,[1]StuntDes!$B:$B,[1]StuntDes!$A:$A),"")</f>
        <v/>
      </c>
      <c r="N2550" s="10" t="str">
        <f>IFERROR(_xlfn.XLOOKUP(C2550,[1]ModifierDes!$B:$B,[1]ModifierDes!$A:$A),"")</f>
        <v/>
      </c>
      <c r="O2550" s="10">
        <f>IFERROR(_xlfn.XLOOKUP(C2550,[1]AttributeName!$C:$C,[1]AttributeName!$B:$B),"")</f>
        <v>10313</v>
      </c>
      <c r="P2550" s="10"/>
      <c r="Q2550">
        <v>0.22</v>
      </c>
      <c r="R2550">
        <v>0.25</v>
      </c>
      <c r="S2550" cm="1">
        <f t="array" ref="S2550">IFERROR(_xlfn.SWITCH(L2550,1,_xlfn.XLOOKUP(O2550,[1]AttributeName!$B:$B,[1]AttributeName!$D:$D),2,_xlfn.XLOOKUP(C2550,#REF!,#REF!),3,_xlfn.XLOOKUP(C2550,#REF!,#REF!)),0)</f>
        <v>2</v>
      </c>
      <c r="T2550" cm="1">
        <f t="array" ref="T2550">IFERROR(_xlfn.SWITCH(L2550,1,_xlfn.XLOOKUP(O2550,[1]AttributeName!$B:$B,[1]AttributeName!$E:$E),2,_xlfn.XLOOKUP(C2550,#REF!,#REF!),3,_xlfn.XLOOKUP(C2550,#REF!,#REF!)),0)</f>
        <v>2</v>
      </c>
    </row>
    <row r="2551" customFormat="1" spans="1:20">
      <c r="A2551">
        <f t="shared" si="106"/>
        <v>1053</v>
      </c>
      <c r="B2551">
        <v>4</v>
      </c>
      <c r="C2551" t="s">
        <v>424</v>
      </c>
      <c r="D2551" t="s">
        <v>442</v>
      </c>
      <c r="E2551" t="s">
        <v>392</v>
      </c>
      <c r="F2551"/>
      <c r="G2551">
        <v>2</v>
      </c>
      <c r="H2551">
        <v>1000</v>
      </c>
      <c r="J2551" cm="1">
        <f t="array" ref="J2551">_xlfn.SWITCH(B2551,1,75,2,61,3,49,4,37,5,25,6,13,7,4,8,1)</f>
        <v>37</v>
      </c>
      <c r="K2551" t="str" cm="1">
        <f t="array" ref="K2551">IFERROR(_xlfn.SWITCH(L2551,2,_xlfn.XLOOKUP(C2551,[1]ModifierDes!$B:$B,[1]ModifierDes!$C:$C),3,_xlfn.XLOOKUP(C2551,[1]StuntDes!$B:$B,[1]StuntDes!$C:$C)),"")</f>
        <v/>
      </c>
      <c r="L2551">
        <f t="shared" si="104"/>
        <v>1</v>
      </c>
      <c r="M2551" s="10" t="str">
        <f>IFERROR(_xlfn.XLOOKUP(C2551,[1]StuntDes!$B:$B,[1]StuntDes!$A:$A),"")</f>
        <v/>
      </c>
      <c r="N2551" s="10" t="str">
        <f>IFERROR(_xlfn.XLOOKUP(C2551,[1]ModifierDes!$B:$B,[1]ModifierDes!$A:$A),"")</f>
        <v/>
      </c>
      <c r="O2551" s="10">
        <f>IFERROR(_xlfn.XLOOKUP(C2551,[1]AttributeName!$C:$C,[1]AttributeName!$B:$B),"")</f>
        <v>10313</v>
      </c>
      <c r="P2551" s="10"/>
      <c r="Q2551">
        <v>0.18</v>
      </c>
      <c r="R2551">
        <v>0.21</v>
      </c>
      <c r="S2551" cm="1">
        <f t="array" ref="S2551">IFERROR(_xlfn.SWITCH(L2551,1,_xlfn.XLOOKUP(O2551,[1]AttributeName!$B:$B,[1]AttributeName!$D:$D),2,_xlfn.XLOOKUP(C2551,#REF!,#REF!),3,_xlfn.XLOOKUP(C2551,#REF!,#REF!)),0)</f>
        <v>2</v>
      </c>
      <c r="T2551" cm="1">
        <f t="array" ref="T2551">IFERROR(_xlfn.SWITCH(L2551,1,_xlfn.XLOOKUP(O2551,[1]AttributeName!$B:$B,[1]AttributeName!$E:$E),2,_xlfn.XLOOKUP(C2551,#REF!,#REF!),3,_xlfn.XLOOKUP(C2551,#REF!,#REF!)),0)</f>
        <v>2</v>
      </c>
    </row>
    <row r="2552" customFormat="1" spans="1:20">
      <c r="A2552">
        <f t="shared" si="106"/>
        <v>1053</v>
      </c>
      <c r="B2552">
        <v>5</v>
      </c>
      <c r="C2552" t="s">
        <v>424</v>
      </c>
      <c r="D2552" t="s">
        <v>442</v>
      </c>
      <c r="E2552" t="s">
        <v>392</v>
      </c>
      <c r="F2552"/>
      <c r="G2552">
        <v>2</v>
      </c>
      <c r="H2552">
        <v>1000</v>
      </c>
      <c r="J2552" cm="1">
        <f t="array" ref="J2552">_xlfn.SWITCH(B2552,1,75,2,61,3,49,4,37,5,25,6,13,7,4,8,1)</f>
        <v>25</v>
      </c>
      <c r="K2552" t="str" cm="1">
        <f t="array" ref="K2552">IFERROR(_xlfn.SWITCH(L2552,2,_xlfn.XLOOKUP(C2552,[1]ModifierDes!$B:$B,[1]ModifierDes!$C:$C),3,_xlfn.XLOOKUP(C2552,[1]StuntDes!$B:$B,[1]StuntDes!$C:$C)),"")</f>
        <v/>
      </c>
      <c r="L2552">
        <f t="shared" si="104"/>
        <v>1</v>
      </c>
      <c r="M2552" s="10" t="str">
        <f>IFERROR(_xlfn.XLOOKUP(C2552,[1]StuntDes!$B:$B,[1]StuntDes!$A:$A),"")</f>
        <v/>
      </c>
      <c r="N2552" s="10" t="str">
        <f>IFERROR(_xlfn.XLOOKUP(C2552,[1]ModifierDes!$B:$B,[1]ModifierDes!$A:$A),"")</f>
        <v/>
      </c>
      <c r="O2552" s="10">
        <f>IFERROR(_xlfn.XLOOKUP(C2552,[1]AttributeName!$C:$C,[1]AttributeName!$B:$B),"")</f>
        <v>10313</v>
      </c>
      <c r="P2552" s="10"/>
      <c r="Q2552">
        <v>0.14</v>
      </c>
      <c r="R2552">
        <v>0.17</v>
      </c>
      <c r="S2552" cm="1">
        <f t="array" ref="S2552">IFERROR(_xlfn.SWITCH(L2552,1,_xlfn.XLOOKUP(O2552,[1]AttributeName!$B:$B,[1]AttributeName!$D:$D),2,_xlfn.XLOOKUP(C2552,#REF!,#REF!),3,_xlfn.XLOOKUP(C2552,#REF!,#REF!)),0)</f>
        <v>2</v>
      </c>
      <c r="T2552" cm="1">
        <f t="array" ref="T2552">IFERROR(_xlfn.SWITCH(L2552,1,_xlfn.XLOOKUP(O2552,[1]AttributeName!$B:$B,[1]AttributeName!$E:$E),2,_xlfn.XLOOKUP(C2552,#REF!,#REF!),3,_xlfn.XLOOKUP(C2552,#REF!,#REF!)),0)</f>
        <v>2</v>
      </c>
    </row>
    <row r="2553" customFormat="1" spans="1:20">
      <c r="A2553">
        <f t="shared" si="106"/>
        <v>1053</v>
      </c>
      <c r="B2553">
        <v>6</v>
      </c>
      <c r="C2553" t="s">
        <v>424</v>
      </c>
      <c r="D2553" t="s">
        <v>442</v>
      </c>
      <c r="E2553" t="s">
        <v>392</v>
      </c>
      <c r="F2553"/>
      <c r="G2553">
        <v>2</v>
      </c>
      <c r="H2553">
        <v>1000</v>
      </c>
      <c r="J2553" cm="1">
        <f t="array" ref="J2553">_xlfn.SWITCH(B2553,1,75,2,61,3,49,4,37,5,25,6,13,7,4,8,1)</f>
        <v>13</v>
      </c>
      <c r="K2553" t="str" cm="1">
        <f t="array" ref="K2553">IFERROR(_xlfn.SWITCH(L2553,2,_xlfn.XLOOKUP(C2553,[1]ModifierDes!$B:$B,[1]ModifierDes!$C:$C),3,_xlfn.XLOOKUP(C2553,[1]StuntDes!$B:$B,[1]StuntDes!$C:$C)),"")</f>
        <v/>
      </c>
      <c r="L2553">
        <f t="shared" si="104"/>
        <v>1</v>
      </c>
      <c r="M2553" s="10" t="str">
        <f>IFERROR(_xlfn.XLOOKUP(C2553,[1]StuntDes!$B:$B,[1]StuntDes!$A:$A),"")</f>
        <v/>
      </c>
      <c r="N2553" s="10" t="str">
        <f>IFERROR(_xlfn.XLOOKUP(C2553,[1]ModifierDes!$B:$B,[1]ModifierDes!$A:$A),"")</f>
        <v/>
      </c>
      <c r="O2553" s="10">
        <f>IFERROR(_xlfn.XLOOKUP(C2553,[1]AttributeName!$C:$C,[1]AttributeName!$B:$B),"")</f>
        <v>10313</v>
      </c>
      <c r="P2553" s="10"/>
      <c r="Q2553">
        <v>0.1</v>
      </c>
      <c r="R2553">
        <v>0.13</v>
      </c>
      <c r="S2553" cm="1">
        <f t="array" ref="S2553">IFERROR(_xlfn.SWITCH(L2553,1,_xlfn.XLOOKUP(O2553,[1]AttributeName!$B:$B,[1]AttributeName!$D:$D),2,_xlfn.XLOOKUP(C2553,#REF!,#REF!),3,_xlfn.XLOOKUP(C2553,#REF!,#REF!)),0)</f>
        <v>2</v>
      </c>
      <c r="T2553" cm="1">
        <f t="array" ref="T2553">IFERROR(_xlfn.SWITCH(L2553,1,_xlfn.XLOOKUP(O2553,[1]AttributeName!$B:$B,[1]AttributeName!$E:$E),2,_xlfn.XLOOKUP(C2553,#REF!,#REF!),3,_xlfn.XLOOKUP(C2553,#REF!,#REF!)),0)</f>
        <v>2</v>
      </c>
    </row>
    <row r="2554" customFormat="1" spans="1:20">
      <c r="A2554">
        <f t="shared" si="106"/>
        <v>1053</v>
      </c>
      <c r="B2554">
        <v>7</v>
      </c>
      <c r="C2554" t="s">
        <v>424</v>
      </c>
      <c r="D2554" t="s">
        <v>442</v>
      </c>
      <c r="E2554" t="s">
        <v>392</v>
      </c>
      <c r="F2554"/>
      <c r="G2554">
        <v>2</v>
      </c>
      <c r="H2554">
        <v>1000</v>
      </c>
      <c r="J2554" cm="1">
        <f t="array" ref="J2554">_xlfn.SWITCH(B2554,1,75,2,61,3,49,4,37,5,25,6,13,7,4,8,1)</f>
        <v>4</v>
      </c>
      <c r="K2554" t="str" cm="1">
        <f t="array" ref="K2554">IFERROR(_xlfn.SWITCH(L2554,2,_xlfn.XLOOKUP(C2554,[1]ModifierDes!$B:$B,[1]ModifierDes!$C:$C),3,_xlfn.XLOOKUP(C2554,[1]StuntDes!$B:$B,[1]StuntDes!$C:$C)),"")</f>
        <v/>
      </c>
      <c r="L2554">
        <f t="shared" si="104"/>
        <v>1</v>
      </c>
      <c r="M2554" s="10" t="str">
        <f>IFERROR(_xlfn.XLOOKUP(C2554,[1]StuntDes!$B:$B,[1]StuntDes!$A:$A),"")</f>
        <v/>
      </c>
      <c r="N2554" s="10" t="str">
        <f>IFERROR(_xlfn.XLOOKUP(C2554,[1]ModifierDes!$B:$B,[1]ModifierDes!$A:$A),"")</f>
        <v/>
      </c>
      <c r="O2554" s="10">
        <f>IFERROR(_xlfn.XLOOKUP(C2554,[1]AttributeName!$C:$C,[1]AttributeName!$B:$B),"")</f>
        <v>10313</v>
      </c>
      <c r="P2554" s="10"/>
      <c r="Q2554">
        <v>0.06</v>
      </c>
      <c r="R2554">
        <v>0.0900000000000001</v>
      </c>
      <c r="S2554" cm="1">
        <f t="array" ref="S2554">IFERROR(_xlfn.SWITCH(L2554,1,_xlfn.XLOOKUP(O2554,[1]AttributeName!$B:$B,[1]AttributeName!$D:$D),2,_xlfn.XLOOKUP(C2554,#REF!,#REF!),3,_xlfn.XLOOKUP(C2554,#REF!,#REF!)),0)</f>
        <v>2</v>
      </c>
      <c r="T2554" cm="1">
        <f t="array" ref="T2554">IFERROR(_xlfn.SWITCH(L2554,1,_xlfn.XLOOKUP(O2554,[1]AttributeName!$B:$B,[1]AttributeName!$E:$E),2,_xlfn.XLOOKUP(C2554,#REF!,#REF!),3,_xlfn.XLOOKUP(C2554,#REF!,#REF!)),0)</f>
        <v>2</v>
      </c>
    </row>
    <row r="2555" customFormat="1" spans="1:20">
      <c r="A2555">
        <f t="shared" si="106"/>
        <v>1053</v>
      </c>
      <c r="B2555">
        <v>8</v>
      </c>
      <c r="C2555" t="s">
        <v>424</v>
      </c>
      <c r="D2555" t="s">
        <v>442</v>
      </c>
      <c r="E2555" t="s">
        <v>392</v>
      </c>
      <c r="F2555"/>
      <c r="G2555">
        <v>2</v>
      </c>
      <c r="H2555">
        <v>1000</v>
      </c>
      <c r="J2555" cm="1">
        <f t="array" ref="J2555">_xlfn.SWITCH(B2555,1,75,2,61,3,49,4,37,5,25,6,13,7,4,8,1)</f>
        <v>1</v>
      </c>
      <c r="K2555" t="str" cm="1">
        <f t="array" ref="K2555">IFERROR(_xlfn.SWITCH(L2555,2,_xlfn.XLOOKUP(C2555,[1]ModifierDes!$B:$B,[1]ModifierDes!$C:$C),3,_xlfn.XLOOKUP(C2555,[1]StuntDes!$B:$B,[1]StuntDes!$C:$C)),"")</f>
        <v/>
      </c>
      <c r="L2555">
        <f t="shared" si="104"/>
        <v>1</v>
      </c>
      <c r="M2555" s="10" t="str">
        <f>IFERROR(_xlfn.XLOOKUP(C2555,[1]StuntDes!$B:$B,[1]StuntDes!$A:$A),"")</f>
        <v/>
      </c>
      <c r="N2555" s="10" t="str">
        <f>IFERROR(_xlfn.XLOOKUP(C2555,[1]ModifierDes!$B:$B,[1]ModifierDes!$A:$A),"")</f>
        <v/>
      </c>
      <c r="O2555" s="10">
        <f>IFERROR(_xlfn.XLOOKUP(C2555,[1]AttributeName!$C:$C,[1]AttributeName!$B:$B),"")</f>
        <v>10313</v>
      </c>
      <c r="P2555" s="10"/>
      <c r="Q2555">
        <v>0.02</v>
      </c>
      <c r="R2555">
        <v>0.0500000000000001</v>
      </c>
      <c r="S2555" cm="1">
        <f t="array" ref="S2555">IFERROR(_xlfn.SWITCH(L2555,1,_xlfn.XLOOKUP(O2555,[1]AttributeName!$B:$B,[1]AttributeName!$D:$D),2,_xlfn.XLOOKUP(C2555,#REF!,#REF!),3,_xlfn.XLOOKUP(C2555,#REF!,#REF!)),0)</f>
        <v>2</v>
      </c>
      <c r="T2555" cm="1">
        <f t="array" ref="T2555">IFERROR(_xlfn.SWITCH(L2555,1,_xlfn.XLOOKUP(O2555,[1]AttributeName!$B:$B,[1]AttributeName!$E:$E),2,_xlfn.XLOOKUP(C2555,#REF!,#REF!),3,_xlfn.XLOOKUP(C2555,#REF!,#REF!)),0)</f>
        <v>2</v>
      </c>
    </row>
    <row r="2556" customFormat="1" spans="1:20">
      <c r="A2556">
        <f t="shared" si="106"/>
        <v>1054</v>
      </c>
      <c r="B2556">
        <v>1</v>
      </c>
      <c r="C2556" t="s">
        <v>425</v>
      </c>
      <c r="D2556" t="s">
        <v>442</v>
      </c>
      <c r="E2556" t="s">
        <v>392</v>
      </c>
      <c r="F2556"/>
      <c r="G2556">
        <v>2</v>
      </c>
      <c r="H2556">
        <v>250</v>
      </c>
      <c r="J2556" cm="1">
        <f t="array" ref="J2556">_xlfn.SWITCH(B2556,1,75,2,61,3,49,4,37,5,25,6,13,7,4,8,1)</f>
        <v>75</v>
      </c>
      <c r="K2556" t="str" cm="1">
        <f t="array" ref="K2556">IFERROR(_xlfn.SWITCH(L2556,2,_xlfn.XLOOKUP(C2556,[1]ModifierDes!$B:$B,[1]ModifierDes!$C:$C),3,_xlfn.XLOOKUP(C2556,[1]StuntDes!$B:$B,[1]StuntDes!$C:$C)),"")</f>
        <v/>
      </c>
      <c r="L2556">
        <f t="shared" si="104"/>
        <v>1</v>
      </c>
      <c r="M2556" s="10" t="str">
        <f>IFERROR(_xlfn.XLOOKUP(C2556,[1]StuntDes!$B:$B,[1]StuntDes!$A:$A),"")</f>
        <v/>
      </c>
      <c r="N2556" s="10" t="str">
        <f>IFERROR(_xlfn.XLOOKUP(C2556,[1]ModifierDes!$B:$B,[1]ModifierDes!$A:$A),"")</f>
        <v/>
      </c>
      <c r="O2556" s="10">
        <f>IFERROR(_xlfn.XLOOKUP(C2556,[1]AttributeName!$C:$C,[1]AttributeName!$B:$B),"")</f>
        <v>10314</v>
      </c>
      <c r="P2556" s="10"/>
      <c r="Q2556">
        <v>0.3</v>
      </c>
      <c r="R2556">
        <v>0.4</v>
      </c>
      <c r="S2556" cm="1">
        <f t="array" ref="S2556">IFERROR(_xlfn.SWITCH(L2556,1,_xlfn.XLOOKUP(O2556,[1]AttributeName!$B:$B,[1]AttributeName!$D:$D),2,_xlfn.XLOOKUP(C2556,#REF!,#REF!),3,_xlfn.XLOOKUP(C2556,#REF!,#REF!)),0)</f>
        <v>2</v>
      </c>
      <c r="T2556" cm="1">
        <f t="array" ref="T2556">IFERROR(_xlfn.SWITCH(L2556,1,_xlfn.XLOOKUP(O2556,[1]AttributeName!$B:$B,[1]AttributeName!$E:$E),2,_xlfn.XLOOKUP(C2556,#REF!,#REF!),3,_xlfn.XLOOKUP(C2556,#REF!,#REF!)),0)</f>
        <v>2</v>
      </c>
    </row>
    <row r="2557" customFormat="1" spans="1:20">
      <c r="A2557">
        <f t="shared" si="106"/>
        <v>1054</v>
      </c>
      <c r="B2557">
        <v>2</v>
      </c>
      <c r="C2557" t="s">
        <v>425</v>
      </c>
      <c r="D2557" t="s">
        <v>442</v>
      </c>
      <c r="E2557" t="s">
        <v>392</v>
      </c>
      <c r="F2557"/>
      <c r="G2557">
        <v>2</v>
      </c>
      <c r="H2557">
        <v>500</v>
      </c>
      <c r="J2557" cm="1">
        <f t="array" ref="J2557">_xlfn.SWITCH(B2557,1,75,2,61,3,49,4,37,5,25,6,13,7,4,8,1)</f>
        <v>61</v>
      </c>
      <c r="K2557" t="str" cm="1">
        <f t="array" ref="K2557">IFERROR(_xlfn.SWITCH(L2557,2,_xlfn.XLOOKUP(C2557,[1]ModifierDes!$B:$B,[1]ModifierDes!$C:$C),3,_xlfn.XLOOKUP(C2557,[1]StuntDes!$B:$B,[1]StuntDes!$C:$C)),"")</f>
        <v/>
      </c>
      <c r="L2557">
        <f t="shared" si="104"/>
        <v>1</v>
      </c>
      <c r="M2557" s="10" t="str">
        <f>IFERROR(_xlfn.XLOOKUP(C2557,[1]StuntDes!$B:$B,[1]StuntDes!$A:$A),"")</f>
        <v/>
      </c>
      <c r="N2557" s="10" t="str">
        <f>IFERROR(_xlfn.XLOOKUP(C2557,[1]ModifierDes!$B:$B,[1]ModifierDes!$A:$A),"")</f>
        <v/>
      </c>
      <c r="O2557" s="10">
        <f>IFERROR(_xlfn.XLOOKUP(C2557,[1]AttributeName!$C:$C,[1]AttributeName!$B:$B),"")</f>
        <v>10314</v>
      </c>
      <c r="P2557" s="10"/>
      <c r="Q2557">
        <v>0.26</v>
      </c>
      <c r="R2557">
        <v>0.29</v>
      </c>
      <c r="S2557" cm="1">
        <f t="array" ref="S2557">IFERROR(_xlfn.SWITCH(L2557,1,_xlfn.XLOOKUP(O2557,[1]AttributeName!$B:$B,[1]AttributeName!$D:$D),2,_xlfn.XLOOKUP(C2557,#REF!,#REF!),3,_xlfn.XLOOKUP(C2557,#REF!,#REF!)),0)</f>
        <v>2</v>
      </c>
      <c r="T2557" cm="1">
        <f t="array" ref="T2557">IFERROR(_xlfn.SWITCH(L2557,1,_xlfn.XLOOKUP(O2557,[1]AttributeName!$B:$B,[1]AttributeName!$E:$E),2,_xlfn.XLOOKUP(C2557,#REF!,#REF!),3,_xlfn.XLOOKUP(C2557,#REF!,#REF!)),0)</f>
        <v>2</v>
      </c>
    </row>
    <row r="2558" customFormat="1" spans="1:20">
      <c r="A2558">
        <f t="shared" si="106"/>
        <v>1054</v>
      </c>
      <c r="B2558">
        <v>3</v>
      </c>
      <c r="C2558" t="s">
        <v>425</v>
      </c>
      <c r="D2558" t="s">
        <v>442</v>
      </c>
      <c r="E2558" t="s">
        <v>392</v>
      </c>
      <c r="F2558"/>
      <c r="G2558">
        <v>2</v>
      </c>
      <c r="H2558">
        <v>750</v>
      </c>
      <c r="J2558" cm="1">
        <f t="array" ref="J2558">_xlfn.SWITCH(B2558,1,75,2,61,3,49,4,37,5,25,6,13,7,4,8,1)</f>
        <v>49</v>
      </c>
      <c r="K2558" t="str" cm="1">
        <f t="array" ref="K2558">IFERROR(_xlfn.SWITCH(L2558,2,_xlfn.XLOOKUP(C2558,[1]ModifierDes!$B:$B,[1]ModifierDes!$C:$C),3,_xlfn.XLOOKUP(C2558,[1]StuntDes!$B:$B,[1]StuntDes!$C:$C)),"")</f>
        <v/>
      </c>
      <c r="L2558">
        <f t="shared" si="104"/>
        <v>1</v>
      </c>
      <c r="M2558" s="10" t="str">
        <f>IFERROR(_xlfn.XLOOKUP(C2558,[1]StuntDes!$B:$B,[1]StuntDes!$A:$A),"")</f>
        <v/>
      </c>
      <c r="N2558" s="10" t="str">
        <f>IFERROR(_xlfn.XLOOKUP(C2558,[1]ModifierDes!$B:$B,[1]ModifierDes!$A:$A),"")</f>
        <v/>
      </c>
      <c r="O2558" s="10">
        <f>IFERROR(_xlfn.XLOOKUP(C2558,[1]AttributeName!$C:$C,[1]AttributeName!$B:$B),"")</f>
        <v>10314</v>
      </c>
      <c r="P2558" s="10"/>
      <c r="Q2558">
        <v>0.22</v>
      </c>
      <c r="R2558">
        <v>0.25</v>
      </c>
      <c r="S2558" cm="1">
        <f t="array" ref="S2558">IFERROR(_xlfn.SWITCH(L2558,1,_xlfn.XLOOKUP(O2558,[1]AttributeName!$B:$B,[1]AttributeName!$D:$D),2,_xlfn.XLOOKUP(C2558,#REF!,#REF!),3,_xlfn.XLOOKUP(C2558,#REF!,#REF!)),0)</f>
        <v>2</v>
      </c>
      <c r="T2558" cm="1">
        <f t="array" ref="T2558">IFERROR(_xlfn.SWITCH(L2558,1,_xlfn.XLOOKUP(O2558,[1]AttributeName!$B:$B,[1]AttributeName!$E:$E),2,_xlfn.XLOOKUP(C2558,#REF!,#REF!),3,_xlfn.XLOOKUP(C2558,#REF!,#REF!)),0)</f>
        <v>2</v>
      </c>
    </row>
    <row r="2559" customFormat="1" spans="1:20">
      <c r="A2559">
        <f t="shared" si="106"/>
        <v>1054</v>
      </c>
      <c r="B2559">
        <v>4</v>
      </c>
      <c r="C2559" t="s">
        <v>425</v>
      </c>
      <c r="D2559" t="s">
        <v>442</v>
      </c>
      <c r="E2559" t="s">
        <v>392</v>
      </c>
      <c r="F2559"/>
      <c r="G2559">
        <v>2</v>
      </c>
      <c r="H2559">
        <v>1000</v>
      </c>
      <c r="J2559" cm="1">
        <f t="array" ref="J2559">_xlfn.SWITCH(B2559,1,75,2,61,3,49,4,37,5,25,6,13,7,4,8,1)</f>
        <v>37</v>
      </c>
      <c r="K2559" t="str" cm="1">
        <f t="array" ref="K2559">IFERROR(_xlfn.SWITCH(L2559,2,_xlfn.XLOOKUP(C2559,[1]ModifierDes!$B:$B,[1]ModifierDes!$C:$C),3,_xlfn.XLOOKUP(C2559,[1]StuntDes!$B:$B,[1]StuntDes!$C:$C)),"")</f>
        <v/>
      </c>
      <c r="L2559">
        <f t="shared" si="104"/>
        <v>1</v>
      </c>
      <c r="M2559" s="10" t="str">
        <f>IFERROR(_xlfn.XLOOKUP(C2559,[1]StuntDes!$B:$B,[1]StuntDes!$A:$A),"")</f>
        <v/>
      </c>
      <c r="N2559" s="10" t="str">
        <f>IFERROR(_xlfn.XLOOKUP(C2559,[1]ModifierDes!$B:$B,[1]ModifierDes!$A:$A),"")</f>
        <v/>
      </c>
      <c r="O2559" s="10">
        <f>IFERROR(_xlfn.XLOOKUP(C2559,[1]AttributeName!$C:$C,[1]AttributeName!$B:$B),"")</f>
        <v>10314</v>
      </c>
      <c r="P2559" s="10"/>
      <c r="Q2559">
        <v>0.18</v>
      </c>
      <c r="R2559">
        <v>0.21</v>
      </c>
      <c r="S2559" cm="1">
        <f t="array" ref="S2559">IFERROR(_xlfn.SWITCH(L2559,1,_xlfn.XLOOKUP(O2559,[1]AttributeName!$B:$B,[1]AttributeName!$D:$D),2,_xlfn.XLOOKUP(C2559,#REF!,#REF!),3,_xlfn.XLOOKUP(C2559,#REF!,#REF!)),0)</f>
        <v>2</v>
      </c>
      <c r="T2559" cm="1">
        <f t="array" ref="T2559">IFERROR(_xlfn.SWITCH(L2559,1,_xlfn.XLOOKUP(O2559,[1]AttributeName!$B:$B,[1]AttributeName!$E:$E),2,_xlfn.XLOOKUP(C2559,#REF!,#REF!),3,_xlfn.XLOOKUP(C2559,#REF!,#REF!)),0)</f>
        <v>2</v>
      </c>
    </row>
    <row r="2560" customFormat="1" spans="1:20">
      <c r="A2560">
        <f t="shared" si="106"/>
        <v>1054</v>
      </c>
      <c r="B2560">
        <v>5</v>
      </c>
      <c r="C2560" t="s">
        <v>425</v>
      </c>
      <c r="D2560" t="s">
        <v>442</v>
      </c>
      <c r="E2560" t="s">
        <v>392</v>
      </c>
      <c r="F2560"/>
      <c r="G2560">
        <v>2</v>
      </c>
      <c r="H2560">
        <v>1000</v>
      </c>
      <c r="J2560" cm="1">
        <f t="array" ref="J2560">_xlfn.SWITCH(B2560,1,75,2,61,3,49,4,37,5,25,6,13,7,4,8,1)</f>
        <v>25</v>
      </c>
      <c r="K2560" t="str" cm="1">
        <f t="array" ref="K2560">IFERROR(_xlfn.SWITCH(L2560,2,_xlfn.XLOOKUP(C2560,[1]ModifierDes!$B:$B,[1]ModifierDes!$C:$C),3,_xlfn.XLOOKUP(C2560,[1]StuntDes!$B:$B,[1]StuntDes!$C:$C)),"")</f>
        <v/>
      </c>
      <c r="L2560">
        <f t="shared" si="104"/>
        <v>1</v>
      </c>
      <c r="M2560" s="10" t="str">
        <f>IFERROR(_xlfn.XLOOKUP(C2560,[1]StuntDes!$B:$B,[1]StuntDes!$A:$A),"")</f>
        <v/>
      </c>
      <c r="N2560" s="10" t="str">
        <f>IFERROR(_xlfn.XLOOKUP(C2560,[1]ModifierDes!$B:$B,[1]ModifierDes!$A:$A),"")</f>
        <v/>
      </c>
      <c r="O2560" s="10">
        <f>IFERROR(_xlfn.XLOOKUP(C2560,[1]AttributeName!$C:$C,[1]AttributeName!$B:$B),"")</f>
        <v>10314</v>
      </c>
      <c r="P2560" s="10"/>
      <c r="Q2560">
        <v>0.14</v>
      </c>
      <c r="R2560">
        <v>0.17</v>
      </c>
      <c r="S2560" cm="1">
        <f t="array" ref="S2560">IFERROR(_xlfn.SWITCH(L2560,1,_xlfn.XLOOKUP(O2560,[1]AttributeName!$B:$B,[1]AttributeName!$D:$D),2,_xlfn.XLOOKUP(C2560,#REF!,#REF!),3,_xlfn.XLOOKUP(C2560,#REF!,#REF!)),0)</f>
        <v>2</v>
      </c>
      <c r="T2560" cm="1">
        <f t="array" ref="T2560">IFERROR(_xlfn.SWITCH(L2560,1,_xlfn.XLOOKUP(O2560,[1]AttributeName!$B:$B,[1]AttributeName!$E:$E),2,_xlfn.XLOOKUP(C2560,#REF!,#REF!),3,_xlfn.XLOOKUP(C2560,#REF!,#REF!)),0)</f>
        <v>2</v>
      </c>
    </row>
    <row r="2561" customFormat="1" spans="1:20">
      <c r="A2561">
        <f t="shared" si="106"/>
        <v>1054</v>
      </c>
      <c r="B2561">
        <v>6</v>
      </c>
      <c r="C2561" t="s">
        <v>425</v>
      </c>
      <c r="D2561" t="s">
        <v>442</v>
      </c>
      <c r="E2561" t="s">
        <v>392</v>
      </c>
      <c r="F2561"/>
      <c r="G2561">
        <v>2</v>
      </c>
      <c r="H2561">
        <v>1000</v>
      </c>
      <c r="J2561" cm="1">
        <f t="array" ref="J2561">_xlfn.SWITCH(B2561,1,75,2,61,3,49,4,37,5,25,6,13,7,4,8,1)</f>
        <v>13</v>
      </c>
      <c r="K2561" t="str" cm="1">
        <f t="array" ref="K2561">IFERROR(_xlfn.SWITCH(L2561,2,_xlfn.XLOOKUP(C2561,[1]ModifierDes!$B:$B,[1]ModifierDes!$C:$C),3,_xlfn.XLOOKUP(C2561,[1]StuntDes!$B:$B,[1]StuntDes!$C:$C)),"")</f>
        <v/>
      </c>
      <c r="L2561">
        <f t="shared" si="104"/>
        <v>1</v>
      </c>
      <c r="M2561" s="10" t="str">
        <f>IFERROR(_xlfn.XLOOKUP(C2561,[1]StuntDes!$B:$B,[1]StuntDes!$A:$A),"")</f>
        <v/>
      </c>
      <c r="N2561" s="10" t="str">
        <f>IFERROR(_xlfn.XLOOKUP(C2561,[1]ModifierDes!$B:$B,[1]ModifierDes!$A:$A),"")</f>
        <v/>
      </c>
      <c r="O2561" s="10">
        <f>IFERROR(_xlfn.XLOOKUP(C2561,[1]AttributeName!$C:$C,[1]AttributeName!$B:$B),"")</f>
        <v>10314</v>
      </c>
      <c r="P2561" s="10"/>
      <c r="Q2561">
        <v>0.1</v>
      </c>
      <c r="R2561">
        <v>0.13</v>
      </c>
      <c r="S2561" cm="1">
        <f t="array" ref="S2561">IFERROR(_xlfn.SWITCH(L2561,1,_xlfn.XLOOKUP(O2561,[1]AttributeName!$B:$B,[1]AttributeName!$D:$D),2,_xlfn.XLOOKUP(C2561,#REF!,#REF!),3,_xlfn.XLOOKUP(C2561,#REF!,#REF!)),0)</f>
        <v>2</v>
      </c>
      <c r="T2561" cm="1">
        <f t="array" ref="T2561">IFERROR(_xlfn.SWITCH(L2561,1,_xlfn.XLOOKUP(O2561,[1]AttributeName!$B:$B,[1]AttributeName!$E:$E),2,_xlfn.XLOOKUP(C2561,#REF!,#REF!),3,_xlfn.XLOOKUP(C2561,#REF!,#REF!)),0)</f>
        <v>2</v>
      </c>
    </row>
    <row r="2562" customFormat="1" spans="1:20">
      <c r="A2562">
        <f t="shared" si="106"/>
        <v>1054</v>
      </c>
      <c r="B2562">
        <v>7</v>
      </c>
      <c r="C2562" t="s">
        <v>425</v>
      </c>
      <c r="D2562" t="s">
        <v>442</v>
      </c>
      <c r="E2562" t="s">
        <v>392</v>
      </c>
      <c r="F2562"/>
      <c r="G2562">
        <v>2</v>
      </c>
      <c r="H2562">
        <v>1000</v>
      </c>
      <c r="J2562" cm="1">
        <f t="array" ref="J2562">_xlfn.SWITCH(B2562,1,75,2,61,3,49,4,37,5,25,6,13,7,4,8,1)</f>
        <v>4</v>
      </c>
      <c r="K2562" t="str" cm="1">
        <f t="array" ref="K2562">IFERROR(_xlfn.SWITCH(L2562,2,_xlfn.XLOOKUP(C2562,[1]ModifierDes!$B:$B,[1]ModifierDes!$C:$C),3,_xlfn.XLOOKUP(C2562,[1]StuntDes!$B:$B,[1]StuntDes!$C:$C)),"")</f>
        <v/>
      </c>
      <c r="L2562">
        <f t="shared" si="104"/>
        <v>1</v>
      </c>
      <c r="M2562" s="10" t="str">
        <f>IFERROR(_xlfn.XLOOKUP(C2562,[1]StuntDes!$B:$B,[1]StuntDes!$A:$A),"")</f>
        <v/>
      </c>
      <c r="N2562" s="10" t="str">
        <f>IFERROR(_xlfn.XLOOKUP(C2562,[1]ModifierDes!$B:$B,[1]ModifierDes!$A:$A),"")</f>
        <v/>
      </c>
      <c r="O2562" s="10">
        <f>IFERROR(_xlfn.XLOOKUP(C2562,[1]AttributeName!$C:$C,[1]AttributeName!$B:$B),"")</f>
        <v>10314</v>
      </c>
      <c r="P2562" s="10"/>
      <c r="Q2562">
        <v>0.06</v>
      </c>
      <c r="R2562">
        <v>0.0900000000000001</v>
      </c>
      <c r="S2562" cm="1">
        <f t="array" ref="S2562">IFERROR(_xlfn.SWITCH(L2562,1,_xlfn.XLOOKUP(O2562,[1]AttributeName!$B:$B,[1]AttributeName!$D:$D),2,_xlfn.XLOOKUP(C2562,#REF!,#REF!),3,_xlfn.XLOOKUP(C2562,#REF!,#REF!)),0)</f>
        <v>2</v>
      </c>
      <c r="T2562" cm="1">
        <f t="array" ref="T2562">IFERROR(_xlfn.SWITCH(L2562,1,_xlfn.XLOOKUP(O2562,[1]AttributeName!$B:$B,[1]AttributeName!$E:$E),2,_xlfn.XLOOKUP(C2562,#REF!,#REF!),3,_xlfn.XLOOKUP(C2562,#REF!,#REF!)),0)</f>
        <v>2</v>
      </c>
    </row>
    <row r="2563" customFormat="1" spans="1:20">
      <c r="A2563">
        <f t="shared" si="106"/>
        <v>1054</v>
      </c>
      <c r="B2563">
        <v>8</v>
      </c>
      <c r="C2563" t="s">
        <v>425</v>
      </c>
      <c r="D2563" t="s">
        <v>442</v>
      </c>
      <c r="E2563" t="s">
        <v>392</v>
      </c>
      <c r="F2563"/>
      <c r="G2563">
        <v>2</v>
      </c>
      <c r="H2563">
        <v>1000</v>
      </c>
      <c r="J2563" cm="1">
        <f t="array" ref="J2563">_xlfn.SWITCH(B2563,1,75,2,61,3,49,4,37,5,25,6,13,7,4,8,1)</f>
        <v>1</v>
      </c>
      <c r="K2563" t="str" cm="1">
        <f t="array" ref="K2563">IFERROR(_xlfn.SWITCH(L2563,2,_xlfn.XLOOKUP(C2563,[1]ModifierDes!$B:$B,[1]ModifierDes!$C:$C),3,_xlfn.XLOOKUP(C2563,[1]StuntDes!$B:$B,[1]StuntDes!$C:$C)),"")</f>
        <v/>
      </c>
      <c r="L2563">
        <f t="shared" si="104"/>
        <v>1</v>
      </c>
      <c r="M2563" s="10" t="str">
        <f>IFERROR(_xlfn.XLOOKUP(C2563,[1]StuntDes!$B:$B,[1]StuntDes!$A:$A),"")</f>
        <v/>
      </c>
      <c r="N2563" s="10" t="str">
        <f>IFERROR(_xlfn.XLOOKUP(C2563,[1]ModifierDes!$B:$B,[1]ModifierDes!$A:$A),"")</f>
        <v/>
      </c>
      <c r="O2563" s="10">
        <f>IFERROR(_xlfn.XLOOKUP(C2563,[1]AttributeName!$C:$C,[1]AttributeName!$B:$B),"")</f>
        <v>10314</v>
      </c>
      <c r="P2563" s="10"/>
      <c r="Q2563">
        <v>0.02</v>
      </c>
      <c r="R2563">
        <v>0.0500000000000001</v>
      </c>
      <c r="S2563" cm="1">
        <f t="array" ref="S2563">IFERROR(_xlfn.SWITCH(L2563,1,_xlfn.XLOOKUP(O2563,[1]AttributeName!$B:$B,[1]AttributeName!$D:$D),2,_xlfn.XLOOKUP(C2563,#REF!,#REF!),3,_xlfn.XLOOKUP(C2563,#REF!,#REF!)),0)</f>
        <v>2</v>
      </c>
      <c r="T2563" cm="1">
        <f t="array" ref="T2563">IFERROR(_xlfn.SWITCH(L2563,1,_xlfn.XLOOKUP(O2563,[1]AttributeName!$B:$B,[1]AttributeName!$E:$E),2,_xlfn.XLOOKUP(C2563,#REF!,#REF!),3,_xlfn.XLOOKUP(C2563,#REF!,#REF!)),0)</f>
        <v>2</v>
      </c>
    </row>
    <row r="2564" customFormat="1" spans="1:20">
      <c r="A2564">
        <f t="shared" si="106"/>
        <v>1055</v>
      </c>
      <c r="B2564">
        <v>1</v>
      </c>
      <c r="C2564" t="s">
        <v>82</v>
      </c>
      <c r="D2564" t="s">
        <v>442</v>
      </c>
      <c r="E2564" t="s">
        <v>392</v>
      </c>
      <c r="F2564"/>
      <c r="G2564">
        <v>2</v>
      </c>
      <c r="H2564">
        <v>50</v>
      </c>
      <c r="J2564" cm="1">
        <f t="array" ref="J2564">_xlfn.SWITCH(B2564,1,75,2,61,3,49,4,37,5,25,6,13,7,4,8,1)</f>
        <v>75</v>
      </c>
      <c r="K2564" t="str" cm="1">
        <f t="array" ref="K2564">IFERROR(_xlfn.SWITCH(L2564,2,_xlfn.XLOOKUP(C2564,[1]ModifierDes!$B:$B,[1]ModifierDes!$C:$C),3,_xlfn.XLOOKUP(C2564,[1]StuntDes!$B:$B,[1]StuntDes!$C:$C)),"")</f>
        <v/>
      </c>
      <c r="L2564">
        <f t="shared" ref="L2564:L2627" si="107">IF(M2564="",IF(N2564="",1,2),3)</f>
        <v>1</v>
      </c>
      <c r="M2564" s="10" t="str">
        <f>IFERROR(_xlfn.XLOOKUP(C2564,[1]StuntDes!$B:$B,[1]StuntDes!$A:$A),"")</f>
        <v/>
      </c>
      <c r="N2564" s="10" t="str">
        <f>IFERROR(_xlfn.XLOOKUP(C2564,[1]ModifierDes!$B:$B,[1]ModifierDes!$A:$A),"")</f>
        <v/>
      </c>
      <c r="O2564" s="10">
        <f>IFERROR(_xlfn.XLOOKUP(C2564,[1]AttributeName!$C:$C,[1]AttributeName!$B:$B),"")</f>
        <v>10315</v>
      </c>
      <c r="P2564" s="10"/>
      <c r="Q2564">
        <v>0.2</v>
      </c>
      <c r="R2564">
        <v>0.25</v>
      </c>
      <c r="S2564" cm="1">
        <f t="array" ref="S2564">IFERROR(_xlfn.SWITCH(L2564,1,_xlfn.XLOOKUP(O2564,[1]AttributeName!$B:$B,[1]AttributeName!$D:$D),2,_xlfn.XLOOKUP(C2564,#REF!,#REF!),3,_xlfn.XLOOKUP(C2564,#REF!,#REF!)),0)</f>
        <v>2</v>
      </c>
      <c r="T2564" cm="1">
        <f t="array" ref="T2564">IFERROR(_xlfn.SWITCH(L2564,1,_xlfn.XLOOKUP(O2564,[1]AttributeName!$B:$B,[1]AttributeName!$E:$E),2,_xlfn.XLOOKUP(C2564,#REF!,#REF!),3,_xlfn.XLOOKUP(C2564,#REF!,#REF!)),0)</f>
        <v>2</v>
      </c>
    </row>
    <row r="2565" customFormat="1" spans="1:20">
      <c r="A2565">
        <f t="shared" si="106"/>
        <v>1055</v>
      </c>
      <c r="B2565">
        <v>2</v>
      </c>
      <c r="C2565" t="s">
        <v>82</v>
      </c>
      <c r="D2565" t="s">
        <v>442</v>
      </c>
      <c r="E2565" t="s">
        <v>392</v>
      </c>
      <c r="F2565"/>
      <c r="G2565">
        <v>2</v>
      </c>
      <c r="H2565">
        <v>100</v>
      </c>
      <c r="J2565" cm="1">
        <f t="array" ref="J2565">_xlfn.SWITCH(B2565,1,75,2,61,3,49,4,37,5,25,6,13,7,4,8,1)</f>
        <v>61</v>
      </c>
      <c r="K2565" t="str" cm="1">
        <f t="array" ref="K2565">IFERROR(_xlfn.SWITCH(L2565,2,_xlfn.XLOOKUP(C2565,[1]ModifierDes!$B:$B,[1]ModifierDes!$C:$C),3,_xlfn.XLOOKUP(C2565,[1]StuntDes!$B:$B,[1]StuntDes!$C:$C)),"")</f>
        <v/>
      </c>
      <c r="L2565">
        <f t="shared" si="107"/>
        <v>1</v>
      </c>
      <c r="M2565" s="10" t="str">
        <f>IFERROR(_xlfn.XLOOKUP(C2565,[1]StuntDes!$B:$B,[1]StuntDes!$A:$A),"")</f>
        <v/>
      </c>
      <c r="N2565" s="10" t="str">
        <f>IFERROR(_xlfn.XLOOKUP(C2565,[1]ModifierDes!$B:$B,[1]ModifierDes!$A:$A),"")</f>
        <v/>
      </c>
      <c r="O2565" s="10">
        <f>IFERROR(_xlfn.XLOOKUP(C2565,[1]AttributeName!$C:$C,[1]AttributeName!$B:$B),"")</f>
        <v>10315</v>
      </c>
      <c r="P2565" s="10"/>
      <c r="Q2565">
        <v>0.17</v>
      </c>
      <c r="R2565">
        <v>0.19</v>
      </c>
      <c r="S2565" cm="1">
        <f t="array" ref="S2565">IFERROR(_xlfn.SWITCH(L2565,1,_xlfn.XLOOKUP(O2565,[1]AttributeName!$B:$B,[1]AttributeName!$D:$D),2,_xlfn.XLOOKUP(C2565,#REF!,#REF!),3,_xlfn.XLOOKUP(C2565,#REF!,#REF!)),0)</f>
        <v>2</v>
      </c>
      <c r="T2565" cm="1">
        <f t="array" ref="T2565">IFERROR(_xlfn.SWITCH(L2565,1,_xlfn.XLOOKUP(O2565,[1]AttributeName!$B:$B,[1]AttributeName!$E:$E),2,_xlfn.XLOOKUP(C2565,#REF!,#REF!),3,_xlfn.XLOOKUP(C2565,#REF!,#REF!)),0)</f>
        <v>2</v>
      </c>
    </row>
    <row r="2566" customFormat="1" spans="1:20">
      <c r="A2566">
        <f t="shared" si="106"/>
        <v>1055</v>
      </c>
      <c r="B2566">
        <v>3</v>
      </c>
      <c r="C2566" t="s">
        <v>82</v>
      </c>
      <c r="D2566" t="s">
        <v>442</v>
      </c>
      <c r="E2566" t="s">
        <v>392</v>
      </c>
      <c r="F2566"/>
      <c r="G2566">
        <v>2</v>
      </c>
      <c r="H2566">
        <v>250</v>
      </c>
      <c r="J2566" cm="1">
        <f t="array" ref="J2566">_xlfn.SWITCH(B2566,1,75,2,61,3,49,4,37,5,25,6,13,7,4,8,1)</f>
        <v>49</v>
      </c>
      <c r="K2566" t="str" cm="1">
        <f t="array" ref="K2566">IFERROR(_xlfn.SWITCH(L2566,2,_xlfn.XLOOKUP(C2566,[1]ModifierDes!$B:$B,[1]ModifierDes!$C:$C),3,_xlfn.XLOOKUP(C2566,[1]StuntDes!$B:$B,[1]StuntDes!$C:$C)),"")</f>
        <v/>
      </c>
      <c r="L2566">
        <f t="shared" si="107"/>
        <v>1</v>
      </c>
      <c r="M2566" s="10" t="str">
        <f>IFERROR(_xlfn.XLOOKUP(C2566,[1]StuntDes!$B:$B,[1]StuntDes!$A:$A),"")</f>
        <v/>
      </c>
      <c r="N2566" s="10" t="str">
        <f>IFERROR(_xlfn.XLOOKUP(C2566,[1]ModifierDes!$B:$B,[1]ModifierDes!$A:$A),"")</f>
        <v/>
      </c>
      <c r="O2566" s="10">
        <f>IFERROR(_xlfn.XLOOKUP(C2566,[1]AttributeName!$C:$C,[1]AttributeName!$B:$B),"")</f>
        <v>10315</v>
      </c>
      <c r="P2566" s="10"/>
      <c r="Q2566">
        <v>0.14</v>
      </c>
      <c r="R2566">
        <v>0.16</v>
      </c>
      <c r="S2566" cm="1">
        <f t="array" ref="S2566">IFERROR(_xlfn.SWITCH(L2566,1,_xlfn.XLOOKUP(O2566,[1]AttributeName!$B:$B,[1]AttributeName!$D:$D),2,_xlfn.XLOOKUP(C2566,#REF!,#REF!),3,_xlfn.XLOOKUP(C2566,#REF!,#REF!)),0)</f>
        <v>2</v>
      </c>
      <c r="T2566" cm="1">
        <f t="array" ref="T2566">IFERROR(_xlfn.SWITCH(L2566,1,_xlfn.XLOOKUP(O2566,[1]AttributeName!$B:$B,[1]AttributeName!$E:$E),2,_xlfn.XLOOKUP(C2566,#REF!,#REF!),3,_xlfn.XLOOKUP(C2566,#REF!,#REF!)),0)</f>
        <v>2</v>
      </c>
    </row>
    <row r="2567" customFormat="1" spans="1:20">
      <c r="A2567">
        <f t="shared" si="106"/>
        <v>1055</v>
      </c>
      <c r="B2567">
        <v>4</v>
      </c>
      <c r="C2567" t="s">
        <v>82</v>
      </c>
      <c r="D2567" t="s">
        <v>442</v>
      </c>
      <c r="E2567" t="s">
        <v>392</v>
      </c>
      <c r="F2567"/>
      <c r="G2567">
        <v>2</v>
      </c>
      <c r="H2567">
        <v>500</v>
      </c>
      <c r="J2567" cm="1">
        <f t="array" ref="J2567">_xlfn.SWITCH(B2567,1,75,2,61,3,49,4,37,5,25,6,13,7,4,8,1)</f>
        <v>37</v>
      </c>
      <c r="K2567" t="str" cm="1">
        <f t="array" ref="K2567">IFERROR(_xlfn.SWITCH(L2567,2,_xlfn.XLOOKUP(C2567,[1]ModifierDes!$B:$B,[1]ModifierDes!$C:$C),3,_xlfn.XLOOKUP(C2567,[1]StuntDes!$B:$B,[1]StuntDes!$C:$C)),"")</f>
        <v/>
      </c>
      <c r="L2567">
        <f t="shared" si="107"/>
        <v>1</v>
      </c>
      <c r="M2567" s="10" t="str">
        <f>IFERROR(_xlfn.XLOOKUP(C2567,[1]StuntDes!$B:$B,[1]StuntDes!$A:$A),"")</f>
        <v/>
      </c>
      <c r="N2567" s="10" t="str">
        <f>IFERROR(_xlfn.XLOOKUP(C2567,[1]ModifierDes!$B:$B,[1]ModifierDes!$A:$A),"")</f>
        <v/>
      </c>
      <c r="O2567" s="10">
        <f>IFERROR(_xlfn.XLOOKUP(C2567,[1]AttributeName!$C:$C,[1]AttributeName!$B:$B),"")</f>
        <v>10315</v>
      </c>
      <c r="P2567" s="10"/>
      <c r="Q2567">
        <v>0.11</v>
      </c>
      <c r="R2567">
        <v>0.13</v>
      </c>
      <c r="S2567" cm="1">
        <f t="array" ref="S2567">IFERROR(_xlfn.SWITCH(L2567,1,_xlfn.XLOOKUP(O2567,[1]AttributeName!$B:$B,[1]AttributeName!$D:$D),2,_xlfn.XLOOKUP(C2567,#REF!,#REF!),3,_xlfn.XLOOKUP(C2567,#REF!,#REF!)),0)</f>
        <v>2</v>
      </c>
      <c r="T2567" cm="1">
        <f t="array" ref="T2567">IFERROR(_xlfn.SWITCH(L2567,1,_xlfn.XLOOKUP(O2567,[1]AttributeName!$B:$B,[1]AttributeName!$E:$E),2,_xlfn.XLOOKUP(C2567,#REF!,#REF!),3,_xlfn.XLOOKUP(C2567,#REF!,#REF!)),0)</f>
        <v>2</v>
      </c>
    </row>
    <row r="2568" customFormat="1" spans="1:20">
      <c r="A2568">
        <f t="shared" si="106"/>
        <v>1055</v>
      </c>
      <c r="B2568">
        <v>5</v>
      </c>
      <c r="C2568" t="s">
        <v>82</v>
      </c>
      <c r="D2568" t="s">
        <v>442</v>
      </c>
      <c r="E2568" t="s">
        <v>392</v>
      </c>
      <c r="F2568"/>
      <c r="G2568">
        <v>2</v>
      </c>
      <c r="H2568">
        <v>500</v>
      </c>
      <c r="J2568" cm="1">
        <f t="array" ref="J2568">_xlfn.SWITCH(B2568,1,75,2,61,3,49,4,37,5,25,6,13,7,4,8,1)</f>
        <v>25</v>
      </c>
      <c r="K2568" t="str" cm="1">
        <f t="array" ref="K2568">IFERROR(_xlfn.SWITCH(L2568,2,_xlfn.XLOOKUP(C2568,[1]ModifierDes!$B:$B,[1]ModifierDes!$C:$C),3,_xlfn.XLOOKUP(C2568,[1]StuntDes!$B:$B,[1]StuntDes!$C:$C)),"")</f>
        <v/>
      </c>
      <c r="L2568">
        <f t="shared" si="107"/>
        <v>1</v>
      </c>
      <c r="M2568" s="10" t="str">
        <f>IFERROR(_xlfn.XLOOKUP(C2568,[1]StuntDes!$B:$B,[1]StuntDes!$A:$A),"")</f>
        <v/>
      </c>
      <c r="N2568" s="10" t="str">
        <f>IFERROR(_xlfn.XLOOKUP(C2568,[1]ModifierDes!$B:$B,[1]ModifierDes!$A:$A),"")</f>
        <v/>
      </c>
      <c r="O2568" s="10">
        <f>IFERROR(_xlfn.XLOOKUP(C2568,[1]AttributeName!$C:$C,[1]AttributeName!$B:$B),"")</f>
        <v>10315</v>
      </c>
      <c r="P2568" s="10"/>
      <c r="Q2568">
        <v>0.08</v>
      </c>
      <c r="R2568">
        <v>0.1</v>
      </c>
      <c r="S2568" cm="1">
        <f t="array" ref="S2568">IFERROR(_xlfn.SWITCH(L2568,1,_xlfn.XLOOKUP(O2568,[1]AttributeName!$B:$B,[1]AttributeName!$D:$D),2,_xlfn.XLOOKUP(C2568,#REF!,#REF!),3,_xlfn.XLOOKUP(C2568,#REF!,#REF!)),0)</f>
        <v>2</v>
      </c>
      <c r="T2568" cm="1">
        <f t="array" ref="T2568">IFERROR(_xlfn.SWITCH(L2568,1,_xlfn.XLOOKUP(O2568,[1]AttributeName!$B:$B,[1]AttributeName!$E:$E),2,_xlfn.XLOOKUP(C2568,#REF!,#REF!),3,_xlfn.XLOOKUP(C2568,#REF!,#REF!)),0)</f>
        <v>2</v>
      </c>
    </row>
    <row r="2569" customFormat="1" spans="1:20">
      <c r="A2569">
        <f t="shared" si="106"/>
        <v>1055</v>
      </c>
      <c r="B2569">
        <v>6</v>
      </c>
      <c r="C2569" t="s">
        <v>82</v>
      </c>
      <c r="D2569" t="s">
        <v>442</v>
      </c>
      <c r="E2569" t="s">
        <v>392</v>
      </c>
      <c r="F2569"/>
      <c r="G2569">
        <v>2</v>
      </c>
      <c r="H2569">
        <v>500</v>
      </c>
      <c r="J2569" cm="1">
        <f t="array" ref="J2569">_xlfn.SWITCH(B2569,1,75,2,61,3,49,4,37,5,25,6,13,7,4,8,1)</f>
        <v>13</v>
      </c>
      <c r="K2569" t="str" cm="1">
        <f t="array" ref="K2569">IFERROR(_xlfn.SWITCH(L2569,2,_xlfn.XLOOKUP(C2569,[1]ModifierDes!$B:$B,[1]ModifierDes!$C:$C),3,_xlfn.XLOOKUP(C2569,[1]StuntDes!$B:$B,[1]StuntDes!$C:$C)),"")</f>
        <v/>
      </c>
      <c r="L2569">
        <f t="shared" si="107"/>
        <v>1</v>
      </c>
      <c r="M2569" s="10" t="str">
        <f>IFERROR(_xlfn.XLOOKUP(C2569,[1]StuntDes!$B:$B,[1]StuntDes!$A:$A),"")</f>
        <v/>
      </c>
      <c r="N2569" s="10" t="str">
        <f>IFERROR(_xlfn.XLOOKUP(C2569,[1]ModifierDes!$B:$B,[1]ModifierDes!$A:$A),"")</f>
        <v/>
      </c>
      <c r="O2569" s="10">
        <f>IFERROR(_xlfn.XLOOKUP(C2569,[1]AttributeName!$C:$C,[1]AttributeName!$B:$B),"")</f>
        <v>10315</v>
      </c>
      <c r="P2569" s="10"/>
      <c r="Q2569">
        <v>0.05</v>
      </c>
      <c r="R2569">
        <v>0.07</v>
      </c>
      <c r="S2569" cm="1">
        <f t="array" ref="S2569">IFERROR(_xlfn.SWITCH(L2569,1,_xlfn.XLOOKUP(O2569,[1]AttributeName!$B:$B,[1]AttributeName!$D:$D),2,_xlfn.XLOOKUP(C2569,#REF!,#REF!),3,_xlfn.XLOOKUP(C2569,#REF!,#REF!)),0)</f>
        <v>2</v>
      </c>
      <c r="T2569" cm="1">
        <f t="array" ref="T2569">IFERROR(_xlfn.SWITCH(L2569,1,_xlfn.XLOOKUP(O2569,[1]AttributeName!$B:$B,[1]AttributeName!$E:$E),2,_xlfn.XLOOKUP(C2569,#REF!,#REF!),3,_xlfn.XLOOKUP(C2569,#REF!,#REF!)),0)</f>
        <v>2</v>
      </c>
    </row>
    <row r="2570" customFormat="1" spans="1:20">
      <c r="A2570">
        <f t="shared" si="106"/>
        <v>1055</v>
      </c>
      <c r="B2570">
        <v>7</v>
      </c>
      <c r="C2570" t="s">
        <v>82</v>
      </c>
      <c r="D2570" t="s">
        <v>442</v>
      </c>
      <c r="E2570" t="s">
        <v>392</v>
      </c>
      <c r="F2570"/>
      <c r="G2570">
        <v>2</v>
      </c>
      <c r="H2570">
        <v>500</v>
      </c>
      <c r="J2570" cm="1">
        <f t="array" ref="J2570">_xlfn.SWITCH(B2570,1,75,2,61,3,49,4,37,5,25,6,13,7,4,8,1)</f>
        <v>4</v>
      </c>
      <c r="K2570" t="str" cm="1">
        <f t="array" ref="K2570">IFERROR(_xlfn.SWITCH(L2570,2,_xlfn.XLOOKUP(C2570,[1]ModifierDes!$B:$B,[1]ModifierDes!$C:$C),3,_xlfn.XLOOKUP(C2570,[1]StuntDes!$B:$B,[1]StuntDes!$C:$C)),"")</f>
        <v/>
      </c>
      <c r="L2570">
        <f t="shared" si="107"/>
        <v>1</v>
      </c>
      <c r="M2570" s="10" t="str">
        <f>IFERROR(_xlfn.XLOOKUP(C2570,[1]StuntDes!$B:$B,[1]StuntDes!$A:$A),"")</f>
        <v/>
      </c>
      <c r="N2570" s="10" t="str">
        <f>IFERROR(_xlfn.XLOOKUP(C2570,[1]ModifierDes!$B:$B,[1]ModifierDes!$A:$A),"")</f>
        <v/>
      </c>
      <c r="O2570" s="10">
        <f>IFERROR(_xlfn.XLOOKUP(C2570,[1]AttributeName!$C:$C,[1]AttributeName!$B:$B),"")</f>
        <v>10315</v>
      </c>
      <c r="P2570" s="10"/>
      <c r="Q2570">
        <v>0.02</v>
      </c>
      <c r="R2570">
        <v>0.04</v>
      </c>
      <c r="S2570" cm="1">
        <f t="array" ref="S2570">IFERROR(_xlfn.SWITCH(L2570,1,_xlfn.XLOOKUP(O2570,[1]AttributeName!$B:$B,[1]AttributeName!$D:$D),2,_xlfn.XLOOKUP(C2570,#REF!,#REF!),3,_xlfn.XLOOKUP(C2570,#REF!,#REF!)),0)</f>
        <v>2</v>
      </c>
      <c r="T2570" cm="1">
        <f t="array" ref="T2570">IFERROR(_xlfn.SWITCH(L2570,1,_xlfn.XLOOKUP(O2570,[1]AttributeName!$B:$B,[1]AttributeName!$E:$E),2,_xlfn.XLOOKUP(C2570,#REF!,#REF!),3,_xlfn.XLOOKUP(C2570,#REF!,#REF!)),0)</f>
        <v>2</v>
      </c>
    </row>
    <row r="2571" customFormat="1" spans="1:20">
      <c r="A2571">
        <f t="shared" si="106"/>
        <v>1055</v>
      </c>
      <c r="B2571">
        <v>8</v>
      </c>
      <c r="C2571" t="s">
        <v>82</v>
      </c>
      <c r="D2571" t="s">
        <v>442</v>
      </c>
      <c r="E2571" t="s">
        <v>392</v>
      </c>
      <c r="F2571"/>
      <c r="G2571">
        <v>2</v>
      </c>
      <c r="H2571">
        <v>500</v>
      </c>
      <c r="J2571" cm="1">
        <f t="array" ref="J2571">_xlfn.SWITCH(B2571,1,75,2,61,3,49,4,37,5,25,6,13,7,4,8,1)</f>
        <v>1</v>
      </c>
      <c r="K2571" t="str" cm="1">
        <f t="array" ref="K2571">IFERROR(_xlfn.SWITCH(L2571,2,_xlfn.XLOOKUP(C2571,[1]ModifierDes!$B:$B,[1]ModifierDes!$C:$C),3,_xlfn.XLOOKUP(C2571,[1]StuntDes!$B:$B,[1]StuntDes!$C:$C)),"")</f>
        <v/>
      </c>
      <c r="L2571">
        <f t="shared" si="107"/>
        <v>1</v>
      </c>
      <c r="M2571" s="10" t="str">
        <f>IFERROR(_xlfn.XLOOKUP(C2571,[1]StuntDes!$B:$B,[1]StuntDes!$A:$A),"")</f>
        <v/>
      </c>
      <c r="N2571" s="10" t="str">
        <f>IFERROR(_xlfn.XLOOKUP(C2571,[1]ModifierDes!$B:$B,[1]ModifierDes!$A:$A),"")</f>
        <v/>
      </c>
      <c r="O2571" s="10">
        <f>IFERROR(_xlfn.XLOOKUP(C2571,[1]AttributeName!$C:$C,[1]AttributeName!$B:$B),"")</f>
        <v>10315</v>
      </c>
      <c r="P2571" s="10"/>
      <c r="Q2571">
        <v>0.01</v>
      </c>
      <c r="R2571">
        <v>0.01</v>
      </c>
      <c r="S2571" cm="1">
        <f t="array" ref="S2571">IFERROR(_xlfn.SWITCH(L2571,1,_xlfn.XLOOKUP(O2571,[1]AttributeName!$B:$B,[1]AttributeName!$D:$D),2,_xlfn.XLOOKUP(C2571,#REF!,#REF!),3,_xlfn.XLOOKUP(C2571,#REF!,#REF!)),0)</f>
        <v>2</v>
      </c>
      <c r="T2571" cm="1">
        <f t="array" ref="T2571">IFERROR(_xlfn.SWITCH(L2571,1,_xlfn.XLOOKUP(O2571,[1]AttributeName!$B:$B,[1]AttributeName!$E:$E),2,_xlfn.XLOOKUP(C2571,#REF!,#REF!),3,_xlfn.XLOOKUP(C2571,#REF!,#REF!)),0)</f>
        <v>2</v>
      </c>
    </row>
    <row r="2572" customFormat="1" spans="1:20">
      <c r="A2572">
        <v>1056</v>
      </c>
      <c r="B2572">
        <v>1</v>
      </c>
      <c r="C2572" t="s">
        <v>400</v>
      </c>
      <c r="D2572" t="s">
        <v>442</v>
      </c>
      <c r="E2572" t="s">
        <v>392</v>
      </c>
      <c r="F2572"/>
      <c r="G2572">
        <v>2</v>
      </c>
      <c r="H2572">
        <v>50</v>
      </c>
      <c r="I2572">
        <v>3</v>
      </c>
      <c r="J2572" cm="1">
        <f t="array" ref="J2572">_xlfn.SWITCH(B2572,1,75,2,61,3,49,4,37,5,25,6,13,7,4,8,1)</f>
        <v>75</v>
      </c>
      <c r="K2572" t="str" cm="1">
        <f t="array" ref="K2572">IFERROR(_xlfn.SWITCH(L2572,2,_xlfn.XLOOKUP(C2572,[1]ModifierDes!$B:$B,[1]ModifierDes!$C:$C),3,_xlfn.XLOOKUP(C2572,[1]StuntDes!$B:$B,[1]StuntDes!$C:$C)),"")</f>
        <v>攻击暴击伤害增加{0}</v>
      </c>
      <c r="L2572">
        <f t="shared" si="107"/>
        <v>2</v>
      </c>
      <c r="M2572" s="10" t="str">
        <f>IFERROR(_xlfn.XLOOKUP(C2572,[1]StuntDes!$B:$B,[1]StuntDes!$A:$A),"")</f>
        <v/>
      </c>
      <c r="N2572" s="10">
        <f>IFERROR(_xlfn.XLOOKUP(C2572,[1]ModifierDes!$B:$B,[1]ModifierDes!$A:$A),"")</f>
        <v>10060</v>
      </c>
      <c r="O2572" s="10" t="str">
        <f>IFERROR(_xlfn.XLOOKUP(C2572,[1]AttributeName!$C:$C,[1]AttributeName!$B:$B),"")</f>
        <v/>
      </c>
      <c r="P2572" s="10"/>
      <c r="Q2572">
        <v>0.6</v>
      </c>
      <c r="R2572">
        <v>0.8</v>
      </c>
      <c r="S2572" cm="1">
        <f t="array" ref="S2572">IFERROR(_xlfn.SWITCH(L2572,1,_xlfn.XLOOKUP(O2572,[1]AttributeName!$B:$B,[1]AttributeName!$D:$D),2,_xlfn.XLOOKUP(C2572,#REF!,#REF!),3,_xlfn.XLOOKUP(C2572,#REF!,#REF!)),0)</f>
        <v>0</v>
      </c>
      <c r="T2572" cm="1">
        <f t="array" ref="T2572">IFERROR(_xlfn.SWITCH(L2572,1,_xlfn.XLOOKUP(O2572,[1]AttributeName!$B:$B,[1]AttributeName!$E:$E),2,_xlfn.XLOOKUP(C2572,#REF!,#REF!),3,_xlfn.XLOOKUP(C2572,#REF!,#REF!)),0)</f>
        <v>0</v>
      </c>
    </row>
    <row r="2573" customFormat="1" spans="1:20">
      <c r="A2573">
        <v>1056</v>
      </c>
      <c r="B2573">
        <v>2</v>
      </c>
      <c r="C2573" t="s">
        <v>400</v>
      </c>
      <c r="D2573" t="s">
        <v>442</v>
      </c>
      <c r="E2573" t="s">
        <v>392</v>
      </c>
      <c r="F2573"/>
      <c r="G2573">
        <v>2</v>
      </c>
      <c r="H2573">
        <v>100</v>
      </c>
      <c r="I2573">
        <v>3</v>
      </c>
      <c r="J2573" cm="1">
        <f t="array" ref="J2573">_xlfn.SWITCH(B2573,1,75,2,61,3,49,4,37,5,25,6,13,7,4,8,1)</f>
        <v>61</v>
      </c>
      <c r="K2573" t="str" cm="1">
        <f t="array" ref="K2573">IFERROR(_xlfn.SWITCH(L2573,2,_xlfn.XLOOKUP(C2573,[1]ModifierDes!$B:$B,[1]ModifierDes!$C:$C),3,_xlfn.XLOOKUP(C2573,[1]StuntDes!$B:$B,[1]StuntDes!$C:$C)),"")</f>
        <v>攻击暴击伤害增加{0}</v>
      </c>
      <c r="L2573">
        <f t="shared" si="107"/>
        <v>2</v>
      </c>
      <c r="M2573" s="10" t="str">
        <f>IFERROR(_xlfn.XLOOKUP(C2573,[1]StuntDes!$B:$B,[1]StuntDes!$A:$A),"")</f>
        <v/>
      </c>
      <c r="N2573" s="10">
        <f>IFERROR(_xlfn.XLOOKUP(C2573,[1]ModifierDes!$B:$B,[1]ModifierDes!$A:$A),"")</f>
        <v>10060</v>
      </c>
      <c r="O2573" s="10" t="str">
        <f>IFERROR(_xlfn.XLOOKUP(C2573,[1]AttributeName!$C:$C,[1]AttributeName!$B:$B),"")</f>
        <v/>
      </c>
      <c r="P2573" s="10"/>
      <c r="Q2573">
        <v>0.52</v>
      </c>
      <c r="R2573">
        <v>0.58</v>
      </c>
      <c r="S2573" cm="1">
        <f t="array" ref="S2573">IFERROR(_xlfn.SWITCH(L2573,1,_xlfn.XLOOKUP(O2573,[1]AttributeName!$B:$B,[1]AttributeName!$D:$D),2,_xlfn.XLOOKUP(C2573,#REF!,#REF!),3,_xlfn.XLOOKUP(C2573,#REF!,#REF!)),0)</f>
        <v>0</v>
      </c>
      <c r="T2573" cm="1">
        <f t="array" ref="T2573">IFERROR(_xlfn.SWITCH(L2573,1,_xlfn.XLOOKUP(O2573,[1]AttributeName!$B:$B,[1]AttributeName!$E:$E),2,_xlfn.XLOOKUP(C2573,#REF!,#REF!),3,_xlfn.XLOOKUP(C2573,#REF!,#REF!)),0)</f>
        <v>0</v>
      </c>
    </row>
    <row r="2574" customFormat="1" spans="1:20">
      <c r="A2574">
        <v>1056</v>
      </c>
      <c r="B2574">
        <v>3</v>
      </c>
      <c r="C2574" t="s">
        <v>400</v>
      </c>
      <c r="D2574" t="s">
        <v>442</v>
      </c>
      <c r="E2574" t="s">
        <v>392</v>
      </c>
      <c r="F2574"/>
      <c r="G2574">
        <v>2</v>
      </c>
      <c r="H2574">
        <v>250</v>
      </c>
      <c r="I2574">
        <v>3</v>
      </c>
      <c r="J2574" cm="1">
        <f t="array" ref="J2574">_xlfn.SWITCH(B2574,1,75,2,61,3,49,4,37,5,25,6,13,7,4,8,1)</f>
        <v>49</v>
      </c>
      <c r="K2574" t="str" cm="1">
        <f t="array" ref="K2574">IFERROR(_xlfn.SWITCH(L2574,2,_xlfn.XLOOKUP(C2574,[1]ModifierDes!$B:$B,[1]ModifierDes!$C:$C),3,_xlfn.XLOOKUP(C2574,[1]StuntDes!$B:$B,[1]StuntDes!$C:$C)),"")</f>
        <v>攻击暴击伤害增加{0}</v>
      </c>
      <c r="L2574">
        <f t="shared" si="107"/>
        <v>2</v>
      </c>
      <c r="M2574" s="10" t="str">
        <f>IFERROR(_xlfn.XLOOKUP(C2574,[1]StuntDes!$B:$B,[1]StuntDes!$A:$A),"")</f>
        <v/>
      </c>
      <c r="N2574" s="10">
        <f>IFERROR(_xlfn.XLOOKUP(C2574,[1]ModifierDes!$B:$B,[1]ModifierDes!$A:$A),"")</f>
        <v>10060</v>
      </c>
      <c r="O2574" s="10" t="str">
        <f>IFERROR(_xlfn.XLOOKUP(C2574,[1]AttributeName!$C:$C,[1]AttributeName!$B:$B),"")</f>
        <v/>
      </c>
      <c r="P2574" s="10"/>
      <c r="Q2574">
        <v>0.44</v>
      </c>
      <c r="R2574">
        <v>0.5</v>
      </c>
      <c r="S2574" cm="1">
        <f t="array" ref="S2574">IFERROR(_xlfn.SWITCH(L2574,1,_xlfn.XLOOKUP(O2574,[1]AttributeName!$B:$B,[1]AttributeName!$D:$D),2,_xlfn.XLOOKUP(C2574,#REF!,#REF!),3,_xlfn.XLOOKUP(C2574,#REF!,#REF!)),0)</f>
        <v>0</v>
      </c>
      <c r="T2574" cm="1">
        <f t="array" ref="T2574">IFERROR(_xlfn.SWITCH(L2574,1,_xlfn.XLOOKUP(O2574,[1]AttributeName!$B:$B,[1]AttributeName!$E:$E),2,_xlfn.XLOOKUP(C2574,#REF!,#REF!),3,_xlfn.XLOOKUP(C2574,#REF!,#REF!)),0)</f>
        <v>0</v>
      </c>
    </row>
    <row r="2575" customFormat="1" spans="1:20">
      <c r="A2575">
        <v>1056</v>
      </c>
      <c r="B2575">
        <v>4</v>
      </c>
      <c r="C2575" t="s">
        <v>400</v>
      </c>
      <c r="D2575" t="s">
        <v>442</v>
      </c>
      <c r="E2575" t="s">
        <v>392</v>
      </c>
      <c r="F2575"/>
      <c r="G2575">
        <v>2</v>
      </c>
      <c r="H2575">
        <v>500</v>
      </c>
      <c r="I2575">
        <v>3</v>
      </c>
      <c r="J2575" cm="1">
        <f t="array" ref="J2575">_xlfn.SWITCH(B2575,1,75,2,61,3,49,4,37,5,25,6,13,7,4,8,1)</f>
        <v>37</v>
      </c>
      <c r="K2575" t="str" cm="1">
        <f t="array" ref="K2575">IFERROR(_xlfn.SWITCH(L2575,2,_xlfn.XLOOKUP(C2575,[1]ModifierDes!$B:$B,[1]ModifierDes!$C:$C),3,_xlfn.XLOOKUP(C2575,[1]StuntDes!$B:$B,[1]StuntDes!$C:$C)),"")</f>
        <v>攻击暴击伤害增加{0}</v>
      </c>
      <c r="L2575">
        <f t="shared" si="107"/>
        <v>2</v>
      </c>
      <c r="M2575" s="10" t="str">
        <f>IFERROR(_xlfn.XLOOKUP(C2575,[1]StuntDes!$B:$B,[1]StuntDes!$A:$A),"")</f>
        <v/>
      </c>
      <c r="N2575" s="10">
        <f>IFERROR(_xlfn.XLOOKUP(C2575,[1]ModifierDes!$B:$B,[1]ModifierDes!$A:$A),"")</f>
        <v>10060</v>
      </c>
      <c r="O2575" s="10" t="str">
        <f>IFERROR(_xlfn.XLOOKUP(C2575,[1]AttributeName!$C:$C,[1]AttributeName!$B:$B),"")</f>
        <v/>
      </c>
      <c r="P2575" s="10"/>
      <c r="Q2575">
        <v>0.36</v>
      </c>
      <c r="R2575">
        <v>0.42</v>
      </c>
      <c r="S2575" cm="1">
        <f t="array" ref="S2575">IFERROR(_xlfn.SWITCH(L2575,1,_xlfn.XLOOKUP(O2575,[1]AttributeName!$B:$B,[1]AttributeName!$D:$D),2,_xlfn.XLOOKUP(C2575,#REF!,#REF!),3,_xlfn.XLOOKUP(C2575,#REF!,#REF!)),0)</f>
        <v>0</v>
      </c>
      <c r="T2575" cm="1">
        <f t="array" ref="T2575">IFERROR(_xlfn.SWITCH(L2575,1,_xlfn.XLOOKUP(O2575,[1]AttributeName!$B:$B,[1]AttributeName!$E:$E),2,_xlfn.XLOOKUP(C2575,#REF!,#REF!),3,_xlfn.XLOOKUP(C2575,#REF!,#REF!)),0)</f>
        <v>0</v>
      </c>
    </row>
    <row r="2576" customFormat="1" spans="1:20">
      <c r="A2576">
        <v>1056</v>
      </c>
      <c r="B2576">
        <v>5</v>
      </c>
      <c r="C2576" t="s">
        <v>400</v>
      </c>
      <c r="D2576" t="s">
        <v>442</v>
      </c>
      <c r="E2576" t="s">
        <v>392</v>
      </c>
      <c r="F2576"/>
      <c r="G2576">
        <v>2</v>
      </c>
      <c r="H2576">
        <v>500</v>
      </c>
      <c r="I2576">
        <v>3</v>
      </c>
      <c r="J2576" cm="1">
        <f t="array" ref="J2576">_xlfn.SWITCH(B2576,1,75,2,61,3,49,4,37,5,25,6,13,7,4,8,1)</f>
        <v>25</v>
      </c>
      <c r="K2576" t="str" cm="1">
        <f t="array" ref="K2576">IFERROR(_xlfn.SWITCH(L2576,2,_xlfn.XLOOKUP(C2576,[1]ModifierDes!$B:$B,[1]ModifierDes!$C:$C),3,_xlfn.XLOOKUP(C2576,[1]StuntDes!$B:$B,[1]StuntDes!$C:$C)),"")</f>
        <v>攻击暴击伤害增加{0}</v>
      </c>
      <c r="L2576">
        <f t="shared" si="107"/>
        <v>2</v>
      </c>
      <c r="M2576" s="10" t="str">
        <f>IFERROR(_xlfn.XLOOKUP(C2576,[1]StuntDes!$B:$B,[1]StuntDes!$A:$A),"")</f>
        <v/>
      </c>
      <c r="N2576" s="10">
        <f>IFERROR(_xlfn.XLOOKUP(C2576,[1]ModifierDes!$B:$B,[1]ModifierDes!$A:$A),"")</f>
        <v>10060</v>
      </c>
      <c r="O2576" s="10" t="str">
        <f>IFERROR(_xlfn.XLOOKUP(C2576,[1]AttributeName!$C:$C,[1]AttributeName!$B:$B),"")</f>
        <v/>
      </c>
      <c r="P2576" s="10"/>
      <c r="Q2576">
        <v>0.28</v>
      </c>
      <c r="R2576">
        <v>0.34</v>
      </c>
      <c r="S2576" cm="1">
        <f t="array" ref="S2576">IFERROR(_xlfn.SWITCH(L2576,1,_xlfn.XLOOKUP(O2576,[1]AttributeName!$B:$B,[1]AttributeName!$D:$D),2,_xlfn.XLOOKUP(C2576,#REF!,#REF!),3,_xlfn.XLOOKUP(C2576,#REF!,#REF!)),0)</f>
        <v>0</v>
      </c>
      <c r="T2576" cm="1">
        <f t="array" ref="T2576">IFERROR(_xlfn.SWITCH(L2576,1,_xlfn.XLOOKUP(O2576,[1]AttributeName!$B:$B,[1]AttributeName!$E:$E),2,_xlfn.XLOOKUP(C2576,#REF!,#REF!),3,_xlfn.XLOOKUP(C2576,#REF!,#REF!)),0)</f>
        <v>0</v>
      </c>
    </row>
    <row r="2577" customFormat="1" spans="1:20">
      <c r="A2577">
        <v>1056</v>
      </c>
      <c r="B2577">
        <v>6</v>
      </c>
      <c r="C2577" t="s">
        <v>400</v>
      </c>
      <c r="D2577" t="s">
        <v>442</v>
      </c>
      <c r="E2577" t="s">
        <v>392</v>
      </c>
      <c r="F2577"/>
      <c r="G2577">
        <v>2</v>
      </c>
      <c r="H2577">
        <v>500</v>
      </c>
      <c r="I2577">
        <v>3</v>
      </c>
      <c r="J2577" cm="1">
        <f t="array" ref="J2577">_xlfn.SWITCH(B2577,1,75,2,61,3,49,4,37,5,25,6,13,7,4,8,1)</f>
        <v>13</v>
      </c>
      <c r="K2577" t="str" cm="1">
        <f t="array" ref="K2577">IFERROR(_xlfn.SWITCH(L2577,2,_xlfn.XLOOKUP(C2577,[1]ModifierDes!$B:$B,[1]ModifierDes!$C:$C),3,_xlfn.XLOOKUP(C2577,[1]StuntDes!$B:$B,[1]StuntDes!$C:$C)),"")</f>
        <v>攻击暴击伤害增加{0}</v>
      </c>
      <c r="L2577">
        <f t="shared" si="107"/>
        <v>2</v>
      </c>
      <c r="M2577" s="10" t="str">
        <f>IFERROR(_xlfn.XLOOKUP(C2577,[1]StuntDes!$B:$B,[1]StuntDes!$A:$A),"")</f>
        <v/>
      </c>
      <c r="N2577" s="10">
        <f>IFERROR(_xlfn.XLOOKUP(C2577,[1]ModifierDes!$B:$B,[1]ModifierDes!$A:$A),"")</f>
        <v>10060</v>
      </c>
      <c r="O2577" s="10" t="str">
        <f>IFERROR(_xlfn.XLOOKUP(C2577,[1]AttributeName!$C:$C,[1]AttributeName!$B:$B),"")</f>
        <v/>
      </c>
      <c r="P2577" s="10"/>
      <c r="Q2577">
        <v>0.2</v>
      </c>
      <c r="R2577">
        <v>0.26</v>
      </c>
      <c r="S2577" cm="1">
        <f t="array" ref="S2577">IFERROR(_xlfn.SWITCH(L2577,1,_xlfn.XLOOKUP(O2577,[1]AttributeName!$B:$B,[1]AttributeName!$D:$D),2,_xlfn.XLOOKUP(C2577,#REF!,#REF!),3,_xlfn.XLOOKUP(C2577,#REF!,#REF!)),0)</f>
        <v>0</v>
      </c>
      <c r="T2577" cm="1">
        <f t="array" ref="T2577">IFERROR(_xlfn.SWITCH(L2577,1,_xlfn.XLOOKUP(O2577,[1]AttributeName!$B:$B,[1]AttributeName!$E:$E),2,_xlfn.XLOOKUP(C2577,#REF!,#REF!),3,_xlfn.XLOOKUP(C2577,#REF!,#REF!)),0)</f>
        <v>0</v>
      </c>
    </row>
    <row r="2578" customFormat="1" spans="1:20">
      <c r="A2578">
        <v>1056</v>
      </c>
      <c r="B2578">
        <v>7</v>
      </c>
      <c r="C2578" t="s">
        <v>400</v>
      </c>
      <c r="D2578" t="s">
        <v>442</v>
      </c>
      <c r="E2578" t="s">
        <v>392</v>
      </c>
      <c r="F2578"/>
      <c r="G2578">
        <v>2</v>
      </c>
      <c r="H2578">
        <v>500</v>
      </c>
      <c r="I2578">
        <v>3</v>
      </c>
      <c r="J2578" cm="1">
        <f t="array" ref="J2578">_xlfn.SWITCH(B2578,1,75,2,61,3,49,4,37,5,25,6,13,7,4,8,1)</f>
        <v>4</v>
      </c>
      <c r="K2578" t="str" cm="1">
        <f t="array" ref="K2578">IFERROR(_xlfn.SWITCH(L2578,2,_xlfn.XLOOKUP(C2578,[1]ModifierDes!$B:$B,[1]ModifierDes!$C:$C),3,_xlfn.XLOOKUP(C2578,[1]StuntDes!$B:$B,[1]StuntDes!$C:$C)),"")</f>
        <v>攻击暴击伤害增加{0}</v>
      </c>
      <c r="L2578">
        <f t="shared" si="107"/>
        <v>2</v>
      </c>
      <c r="M2578" s="10" t="str">
        <f>IFERROR(_xlfn.XLOOKUP(C2578,[1]StuntDes!$B:$B,[1]StuntDes!$A:$A),"")</f>
        <v/>
      </c>
      <c r="N2578" s="10">
        <f>IFERROR(_xlfn.XLOOKUP(C2578,[1]ModifierDes!$B:$B,[1]ModifierDes!$A:$A),"")</f>
        <v>10060</v>
      </c>
      <c r="O2578" s="10" t="str">
        <f>IFERROR(_xlfn.XLOOKUP(C2578,[1]AttributeName!$C:$C,[1]AttributeName!$B:$B),"")</f>
        <v/>
      </c>
      <c r="P2578" s="10"/>
      <c r="Q2578">
        <v>0.12</v>
      </c>
      <c r="R2578">
        <v>0.18</v>
      </c>
      <c r="S2578" cm="1">
        <f t="array" ref="S2578">IFERROR(_xlfn.SWITCH(L2578,1,_xlfn.XLOOKUP(O2578,[1]AttributeName!$B:$B,[1]AttributeName!$D:$D),2,_xlfn.XLOOKUP(C2578,#REF!,#REF!),3,_xlfn.XLOOKUP(C2578,#REF!,#REF!)),0)</f>
        <v>0</v>
      </c>
      <c r="T2578" cm="1">
        <f t="array" ref="T2578">IFERROR(_xlfn.SWITCH(L2578,1,_xlfn.XLOOKUP(O2578,[1]AttributeName!$B:$B,[1]AttributeName!$E:$E),2,_xlfn.XLOOKUP(C2578,#REF!,#REF!),3,_xlfn.XLOOKUP(C2578,#REF!,#REF!)),0)</f>
        <v>0</v>
      </c>
    </row>
    <row r="2579" customFormat="1" spans="1:20">
      <c r="A2579">
        <v>1056</v>
      </c>
      <c r="B2579">
        <v>8</v>
      </c>
      <c r="C2579" t="s">
        <v>400</v>
      </c>
      <c r="D2579" t="s">
        <v>442</v>
      </c>
      <c r="E2579" t="s">
        <v>392</v>
      </c>
      <c r="F2579"/>
      <c r="G2579">
        <v>2</v>
      </c>
      <c r="H2579">
        <v>500</v>
      </c>
      <c r="I2579">
        <v>3</v>
      </c>
      <c r="J2579" cm="1">
        <f t="array" ref="J2579">_xlfn.SWITCH(B2579,1,75,2,61,3,49,4,37,5,25,6,13,7,4,8,1)</f>
        <v>1</v>
      </c>
      <c r="K2579" t="str" cm="1">
        <f t="array" ref="K2579">IFERROR(_xlfn.SWITCH(L2579,2,_xlfn.XLOOKUP(C2579,[1]ModifierDes!$B:$B,[1]ModifierDes!$C:$C),3,_xlfn.XLOOKUP(C2579,[1]StuntDes!$B:$B,[1]StuntDes!$C:$C)),"")</f>
        <v>攻击暴击伤害增加{0}</v>
      </c>
      <c r="L2579">
        <f t="shared" si="107"/>
        <v>2</v>
      </c>
      <c r="M2579" s="10" t="str">
        <f>IFERROR(_xlfn.XLOOKUP(C2579,[1]StuntDes!$B:$B,[1]StuntDes!$A:$A),"")</f>
        <v/>
      </c>
      <c r="N2579" s="10">
        <f>IFERROR(_xlfn.XLOOKUP(C2579,[1]ModifierDes!$B:$B,[1]ModifierDes!$A:$A),"")</f>
        <v>10060</v>
      </c>
      <c r="O2579" s="10" t="str">
        <f>IFERROR(_xlfn.XLOOKUP(C2579,[1]AttributeName!$C:$C,[1]AttributeName!$B:$B),"")</f>
        <v/>
      </c>
      <c r="P2579" s="10"/>
      <c r="Q2579">
        <v>0.04</v>
      </c>
      <c r="R2579">
        <v>0.1</v>
      </c>
      <c r="S2579" cm="1">
        <f t="array" ref="S2579">IFERROR(_xlfn.SWITCH(L2579,1,_xlfn.XLOOKUP(O2579,[1]AttributeName!$B:$B,[1]AttributeName!$D:$D),2,_xlfn.XLOOKUP(C2579,#REF!,#REF!),3,_xlfn.XLOOKUP(C2579,#REF!,#REF!)),0)</f>
        <v>0</v>
      </c>
      <c r="T2579" cm="1">
        <f t="array" ref="T2579">IFERROR(_xlfn.SWITCH(L2579,1,_xlfn.XLOOKUP(O2579,[1]AttributeName!$B:$B,[1]AttributeName!$E:$E),2,_xlfn.XLOOKUP(C2579,#REF!,#REF!),3,_xlfn.XLOOKUP(C2579,#REF!,#REF!)),0)</f>
        <v>0</v>
      </c>
    </row>
    <row r="2580" customFormat="1" spans="1:20">
      <c r="A2580">
        <f t="shared" ref="A2580:A2643" si="108">A2572+1</f>
        <v>1057</v>
      </c>
      <c r="B2580">
        <v>1</v>
      </c>
      <c r="C2580" t="s">
        <v>426</v>
      </c>
      <c r="D2580" t="s">
        <v>442</v>
      </c>
      <c r="E2580" t="s">
        <v>392</v>
      </c>
      <c r="F2580"/>
      <c r="G2580">
        <v>2</v>
      </c>
      <c r="H2580">
        <v>50</v>
      </c>
      <c r="I2580">
        <v>3</v>
      </c>
      <c r="J2580" cm="1">
        <f t="array" ref="J2580">_xlfn.SWITCH(B2580,1,75,2,61,3,49,4,37,5,25,6,13,7,4,8,1)</f>
        <v>75</v>
      </c>
      <c r="K2580" t="str" cm="1">
        <f t="array" ref="K2580">IFERROR(_xlfn.SWITCH(L2580,2,_xlfn.XLOOKUP(C2580,[1]ModifierDes!$B:$B,[1]ModifierDes!$C:$C),3,_xlfn.XLOOKUP(C2580,[1]StuntDes!$B:$B,[1]StuntDes!$C:$C)),"")</f>
        <v>法术暴击伤害增加{0}</v>
      </c>
      <c r="L2580">
        <f t="shared" si="107"/>
        <v>2</v>
      </c>
      <c r="M2580" s="10" t="str">
        <f>IFERROR(_xlfn.XLOOKUP(C2580,[1]StuntDes!$B:$B,[1]StuntDes!$A:$A),"")</f>
        <v/>
      </c>
      <c r="N2580" s="10">
        <f>IFERROR(_xlfn.XLOOKUP(C2580,[1]ModifierDes!$B:$B,[1]ModifierDes!$A:$A),"")</f>
        <v>10061</v>
      </c>
      <c r="O2580" s="10" t="str">
        <f>IFERROR(_xlfn.XLOOKUP(C2580,[1]AttributeName!$C:$C,[1]AttributeName!$B:$B),"")</f>
        <v/>
      </c>
      <c r="P2580" s="10"/>
      <c r="Q2580">
        <v>0.6</v>
      </c>
      <c r="R2580">
        <v>0.8</v>
      </c>
      <c r="S2580" cm="1">
        <f t="array" ref="S2580">IFERROR(_xlfn.SWITCH(L2580,1,_xlfn.XLOOKUP(O2580,[1]AttributeName!$B:$B,[1]AttributeName!$D:$D),2,_xlfn.XLOOKUP(C2580,#REF!,#REF!),3,_xlfn.XLOOKUP(C2580,#REF!,#REF!)),0)</f>
        <v>0</v>
      </c>
      <c r="T2580" cm="1">
        <f t="array" ref="T2580">IFERROR(_xlfn.SWITCH(L2580,1,_xlfn.XLOOKUP(O2580,[1]AttributeName!$B:$B,[1]AttributeName!$E:$E),2,_xlfn.XLOOKUP(C2580,#REF!,#REF!),3,_xlfn.XLOOKUP(C2580,#REF!,#REF!)),0)</f>
        <v>0</v>
      </c>
    </row>
    <row r="2581" customFormat="1" spans="1:20">
      <c r="A2581">
        <f t="shared" si="108"/>
        <v>1057</v>
      </c>
      <c r="B2581">
        <v>2</v>
      </c>
      <c r="C2581" t="s">
        <v>426</v>
      </c>
      <c r="D2581" t="s">
        <v>442</v>
      </c>
      <c r="E2581" t="s">
        <v>392</v>
      </c>
      <c r="F2581"/>
      <c r="G2581">
        <v>2</v>
      </c>
      <c r="H2581">
        <v>100</v>
      </c>
      <c r="I2581">
        <v>3</v>
      </c>
      <c r="J2581" cm="1">
        <f t="array" ref="J2581">_xlfn.SWITCH(B2581,1,75,2,61,3,49,4,37,5,25,6,13,7,4,8,1)</f>
        <v>61</v>
      </c>
      <c r="K2581" t="str" cm="1">
        <f t="array" ref="K2581">IFERROR(_xlfn.SWITCH(L2581,2,_xlfn.XLOOKUP(C2581,[1]ModifierDes!$B:$B,[1]ModifierDes!$C:$C),3,_xlfn.XLOOKUP(C2581,[1]StuntDes!$B:$B,[1]StuntDes!$C:$C)),"")</f>
        <v>法术暴击伤害增加{0}</v>
      </c>
      <c r="L2581">
        <f t="shared" si="107"/>
        <v>2</v>
      </c>
      <c r="M2581" s="10" t="str">
        <f>IFERROR(_xlfn.XLOOKUP(C2581,[1]StuntDes!$B:$B,[1]StuntDes!$A:$A),"")</f>
        <v/>
      </c>
      <c r="N2581" s="10">
        <f>IFERROR(_xlfn.XLOOKUP(C2581,[1]ModifierDes!$B:$B,[1]ModifierDes!$A:$A),"")</f>
        <v>10061</v>
      </c>
      <c r="O2581" s="10" t="str">
        <f>IFERROR(_xlfn.XLOOKUP(C2581,[1]AttributeName!$C:$C,[1]AttributeName!$B:$B),"")</f>
        <v/>
      </c>
      <c r="P2581" s="10"/>
      <c r="Q2581">
        <v>0.52</v>
      </c>
      <c r="R2581">
        <v>0.58</v>
      </c>
      <c r="S2581" cm="1">
        <f t="array" ref="S2581">IFERROR(_xlfn.SWITCH(L2581,1,_xlfn.XLOOKUP(O2581,[1]AttributeName!$B:$B,[1]AttributeName!$D:$D),2,_xlfn.XLOOKUP(C2581,#REF!,#REF!),3,_xlfn.XLOOKUP(C2581,#REF!,#REF!)),0)</f>
        <v>0</v>
      </c>
      <c r="T2581" cm="1">
        <f t="array" ref="T2581">IFERROR(_xlfn.SWITCH(L2581,1,_xlfn.XLOOKUP(O2581,[1]AttributeName!$B:$B,[1]AttributeName!$E:$E),2,_xlfn.XLOOKUP(C2581,#REF!,#REF!),3,_xlfn.XLOOKUP(C2581,#REF!,#REF!)),0)</f>
        <v>0</v>
      </c>
    </row>
    <row r="2582" customFormat="1" spans="1:20">
      <c r="A2582">
        <f t="shared" si="108"/>
        <v>1057</v>
      </c>
      <c r="B2582">
        <v>3</v>
      </c>
      <c r="C2582" t="s">
        <v>426</v>
      </c>
      <c r="D2582" t="s">
        <v>442</v>
      </c>
      <c r="E2582" t="s">
        <v>392</v>
      </c>
      <c r="F2582"/>
      <c r="G2582">
        <v>2</v>
      </c>
      <c r="H2582">
        <v>250</v>
      </c>
      <c r="I2582">
        <v>3</v>
      </c>
      <c r="J2582" cm="1">
        <f t="array" ref="J2582">_xlfn.SWITCH(B2582,1,75,2,61,3,49,4,37,5,25,6,13,7,4,8,1)</f>
        <v>49</v>
      </c>
      <c r="K2582" t="str" cm="1">
        <f t="array" ref="K2582">IFERROR(_xlfn.SWITCH(L2582,2,_xlfn.XLOOKUP(C2582,[1]ModifierDes!$B:$B,[1]ModifierDes!$C:$C),3,_xlfn.XLOOKUP(C2582,[1]StuntDes!$B:$B,[1]StuntDes!$C:$C)),"")</f>
        <v>法术暴击伤害增加{0}</v>
      </c>
      <c r="L2582">
        <f t="shared" si="107"/>
        <v>2</v>
      </c>
      <c r="M2582" s="10" t="str">
        <f>IFERROR(_xlfn.XLOOKUP(C2582,[1]StuntDes!$B:$B,[1]StuntDes!$A:$A),"")</f>
        <v/>
      </c>
      <c r="N2582" s="10">
        <f>IFERROR(_xlfn.XLOOKUP(C2582,[1]ModifierDes!$B:$B,[1]ModifierDes!$A:$A),"")</f>
        <v>10061</v>
      </c>
      <c r="O2582" s="10" t="str">
        <f>IFERROR(_xlfn.XLOOKUP(C2582,[1]AttributeName!$C:$C,[1]AttributeName!$B:$B),"")</f>
        <v/>
      </c>
      <c r="P2582" s="10"/>
      <c r="Q2582">
        <v>0.44</v>
      </c>
      <c r="R2582">
        <v>0.5</v>
      </c>
      <c r="S2582" cm="1">
        <f t="array" ref="S2582">IFERROR(_xlfn.SWITCH(L2582,1,_xlfn.XLOOKUP(O2582,[1]AttributeName!$B:$B,[1]AttributeName!$D:$D),2,_xlfn.XLOOKUP(C2582,#REF!,#REF!),3,_xlfn.XLOOKUP(C2582,#REF!,#REF!)),0)</f>
        <v>0</v>
      </c>
      <c r="T2582" cm="1">
        <f t="array" ref="T2582">IFERROR(_xlfn.SWITCH(L2582,1,_xlfn.XLOOKUP(O2582,[1]AttributeName!$B:$B,[1]AttributeName!$E:$E),2,_xlfn.XLOOKUP(C2582,#REF!,#REF!),3,_xlfn.XLOOKUP(C2582,#REF!,#REF!)),0)</f>
        <v>0</v>
      </c>
    </row>
    <row r="2583" customFormat="1" spans="1:20">
      <c r="A2583">
        <f t="shared" si="108"/>
        <v>1057</v>
      </c>
      <c r="B2583">
        <v>4</v>
      </c>
      <c r="C2583" t="s">
        <v>426</v>
      </c>
      <c r="D2583" t="s">
        <v>442</v>
      </c>
      <c r="E2583" t="s">
        <v>392</v>
      </c>
      <c r="F2583"/>
      <c r="G2583">
        <v>2</v>
      </c>
      <c r="H2583">
        <v>500</v>
      </c>
      <c r="I2583">
        <v>3</v>
      </c>
      <c r="J2583" cm="1">
        <f t="array" ref="J2583">_xlfn.SWITCH(B2583,1,75,2,61,3,49,4,37,5,25,6,13,7,4,8,1)</f>
        <v>37</v>
      </c>
      <c r="K2583" t="str" cm="1">
        <f t="array" ref="K2583">IFERROR(_xlfn.SWITCH(L2583,2,_xlfn.XLOOKUP(C2583,[1]ModifierDes!$B:$B,[1]ModifierDes!$C:$C),3,_xlfn.XLOOKUP(C2583,[1]StuntDes!$B:$B,[1]StuntDes!$C:$C)),"")</f>
        <v>法术暴击伤害增加{0}</v>
      </c>
      <c r="L2583">
        <f t="shared" si="107"/>
        <v>2</v>
      </c>
      <c r="M2583" s="10" t="str">
        <f>IFERROR(_xlfn.XLOOKUP(C2583,[1]StuntDes!$B:$B,[1]StuntDes!$A:$A),"")</f>
        <v/>
      </c>
      <c r="N2583" s="10">
        <f>IFERROR(_xlfn.XLOOKUP(C2583,[1]ModifierDes!$B:$B,[1]ModifierDes!$A:$A),"")</f>
        <v>10061</v>
      </c>
      <c r="O2583" s="10" t="str">
        <f>IFERROR(_xlfn.XLOOKUP(C2583,[1]AttributeName!$C:$C,[1]AttributeName!$B:$B),"")</f>
        <v/>
      </c>
      <c r="P2583" s="10"/>
      <c r="Q2583">
        <v>0.36</v>
      </c>
      <c r="R2583">
        <v>0.42</v>
      </c>
      <c r="S2583" cm="1">
        <f t="array" ref="S2583">IFERROR(_xlfn.SWITCH(L2583,1,_xlfn.XLOOKUP(O2583,[1]AttributeName!$B:$B,[1]AttributeName!$D:$D),2,_xlfn.XLOOKUP(C2583,#REF!,#REF!),3,_xlfn.XLOOKUP(C2583,#REF!,#REF!)),0)</f>
        <v>0</v>
      </c>
      <c r="T2583" cm="1">
        <f t="array" ref="T2583">IFERROR(_xlfn.SWITCH(L2583,1,_xlfn.XLOOKUP(O2583,[1]AttributeName!$B:$B,[1]AttributeName!$E:$E),2,_xlfn.XLOOKUP(C2583,#REF!,#REF!),3,_xlfn.XLOOKUP(C2583,#REF!,#REF!)),0)</f>
        <v>0</v>
      </c>
    </row>
    <row r="2584" customFormat="1" spans="1:20">
      <c r="A2584">
        <f t="shared" si="108"/>
        <v>1057</v>
      </c>
      <c r="B2584">
        <v>5</v>
      </c>
      <c r="C2584" t="s">
        <v>426</v>
      </c>
      <c r="D2584" t="s">
        <v>442</v>
      </c>
      <c r="E2584" t="s">
        <v>392</v>
      </c>
      <c r="F2584"/>
      <c r="G2584">
        <v>2</v>
      </c>
      <c r="H2584">
        <v>500</v>
      </c>
      <c r="I2584">
        <v>3</v>
      </c>
      <c r="J2584" cm="1">
        <f t="array" ref="J2584">_xlfn.SWITCH(B2584,1,75,2,61,3,49,4,37,5,25,6,13,7,4,8,1)</f>
        <v>25</v>
      </c>
      <c r="K2584" t="str" cm="1">
        <f t="array" ref="K2584">IFERROR(_xlfn.SWITCH(L2584,2,_xlfn.XLOOKUP(C2584,[1]ModifierDes!$B:$B,[1]ModifierDes!$C:$C),3,_xlfn.XLOOKUP(C2584,[1]StuntDes!$B:$B,[1]StuntDes!$C:$C)),"")</f>
        <v>法术暴击伤害增加{0}</v>
      </c>
      <c r="L2584">
        <f t="shared" si="107"/>
        <v>2</v>
      </c>
      <c r="M2584" s="10" t="str">
        <f>IFERROR(_xlfn.XLOOKUP(C2584,[1]StuntDes!$B:$B,[1]StuntDes!$A:$A),"")</f>
        <v/>
      </c>
      <c r="N2584" s="10">
        <f>IFERROR(_xlfn.XLOOKUP(C2584,[1]ModifierDes!$B:$B,[1]ModifierDes!$A:$A),"")</f>
        <v>10061</v>
      </c>
      <c r="O2584" s="10" t="str">
        <f>IFERROR(_xlfn.XLOOKUP(C2584,[1]AttributeName!$C:$C,[1]AttributeName!$B:$B),"")</f>
        <v/>
      </c>
      <c r="P2584" s="10"/>
      <c r="Q2584">
        <v>0.28</v>
      </c>
      <c r="R2584">
        <v>0.34</v>
      </c>
      <c r="S2584" cm="1">
        <f t="array" ref="S2584">IFERROR(_xlfn.SWITCH(L2584,1,_xlfn.XLOOKUP(O2584,[1]AttributeName!$B:$B,[1]AttributeName!$D:$D),2,_xlfn.XLOOKUP(C2584,#REF!,#REF!),3,_xlfn.XLOOKUP(C2584,#REF!,#REF!)),0)</f>
        <v>0</v>
      </c>
      <c r="T2584" cm="1">
        <f t="array" ref="T2584">IFERROR(_xlfn.SWITCH(L2584,1,_xlfn.XLOOKUP(O2584,[1]AttributeName!$B:$B,[1]AttributeName!$E:$E),2,_xlfn.XLOOKUP(C2584,#REF!,#REF!),3,_xlfn.XLOOKUP(C2584,#REF!,#REF!)),0)</f>
        <v>0</v>
      </c>
    </row>
    <row r="2585" customFormat="1" spans="1:20">
      <c r="A2585">
        <f t="shared" si="108"/>
        <v>1057</v>
      </c>
      <c r="B2585">
        <v>6</v>
      </c>
      <c r="C2585" t="s">
        <v>426</v>
      </c>
      <c r="D2585" t="s">
        <v>442</v>
      </c>
      <c r="E2585" t="s">
        <v>392</v>
      </c>
      <c r="F2585"/>
      <c r="G2585">
        <v>2</v>
      </c>
      <c r="H2585">
        <v>500</v>
      </c>
      <c r="I2585">
        <v>3</v>
      </c>
      <c r="J2585" cm="1">
        <f t="array" ref="J2585">_xlfn.SWITCH(B2585,1,75,2,61,3,49,4,37,5,25,6,13,7,4,8,1)</f>
        <v>13</v>
      </c>
      <c r="K2585" t="str" cm="1">
        <f t="array" ref="K2585">IFERROR(_xlfn.SWITCH(L2585,2,_xlfn.XLOOKUP(C2585,[1]ModifierDes!$B:$B,[1]ModifierDes!$C:$C),3,_xlfn.XLOOKUP(C2585,[1]StuntDes!$B:$B,[1]StuntDes!$C:$C)),"")</f>
        <v>法术暴击伤害增加{0}</v>
      </c>
      <c r="L2585">
        <f t="shared" si="107"/>
        <v>2</v>
      </c>
      <c r="M2585" s="10" t="str">
        <f>IFERROR(_xlfn.XLOOKUP(C2585,[1]StuntDes!$B:$B,[1]StuntDes!$A:$A),"")</f>
        <v/>
      </c>
      <c r="N2585" s="10">
        <f>IFERROR(_xlfn.XLOOKUP(C2585,[1]ModifierDes!$B:$B,[1]ModifierDes!$A:$A),"")</f>
        <v>10061</v>
      </c>
      <c r="O2585" s="10" t="str">
        <f>IFERROR(_xlfn.XLOOKUP(C2585,[1]AttributeName!$C:$C,[1]AttributeName!$B:$B),"")</f>
        <v/>
      </c>
      <c r="P2585" s="10"/>
      <c r="Q2585">
        <v>0.2</v>
      </c>
      <c r="R2585">
        <v>0.26</v>
      </c>
      <c r="S2585" cm="1">
        <f t="array" ref="S2585">IFERROR(_xlfn.SWITCH(L2585,1,_xlfn.XLOOKUP(O2585,[1]AttributeName!$B:$B,[1]AttributeName!$D:$D),2,_xlfn.XLOOKUP(C2585,#REF!,#REF!),3,_xlfn.XLOOKUP(C2585,#REF!,#REF!)),0)</f>
        <v>0</v>
      </c>
      <c r="T2585" cm="1">
        <f t="array" ref="T2585">IFERROR(_xlfn.SWITCH(L2585,1,_xlfn.XLOOKUP(O2585,[1]AttributeName!$B:$B,[1]AttributeName!$E:$E),2,_xlfn.XLOOKUP(C2585,#REF!,#REF!),3,_xlfn.XLOOKUP(C2585,#REF!,#REF!)),0)</f>
        <v>0</v>
      </c>
    </row>
    <row r="2586" customFormat="1" spans="1:20">
      <c r="A2586">
        <f t="shared" si="108"/>
        <v>1057</v>
      </c>
      <c r="B2586">
        <v>7</v>
      </c>
      <c r="C2586" t="s">
        <v>426</v>
      </c>
      <c r="D2586" t="s">
        <v>442</v>
      </c>
      <c r="E2586" t="s">
        <v>392</v>
      </c>
      <c r="F2586"/>
      <c r="G2586">
        <v>2</v>
      </c>
      <c r="H2586">
        <v>500</v>
      </c>
      <c r="I2586">
        <v>3</v>
      </c>
      <c r="J2586" cm="1">
        <f t="array" ref="J2586">_xlfn.SWITCH(B2586,1,75,2,61,3,49,4,37,5,25,6,13,7,4,8,1)</f>
        <v>4</v>
      </c>
      <c r="K2586" t="str" cm="1">
        <f t="array" ref="K2586">IFERROR(_xlfn.SWITCH(L2586,2,_xlfn.XLOOKUP(C2586,[1]ModifierDes!$B:$B,[1]ModifierDes!$C:$C),3,_xlfn.XLOOKUP(C2586,[1]StuntDes!$B:$B,[1]StuntDes!$C:$C)),"")</f>
        <v>法术暴击伤害增加{0}</v>
      </c>
      <c r="L2586">
        <f t="shared" si="107"/>
        <v>2</v>
      </c>
      <c r="M2586" s="10" t="str">
        <f>IFERROR(_xlfn.XLOOKUP(C2586,[1]StuntDes!$B:$B,[1]StuntDes!$A:$A),"")</f>
        <v/>
      </c>
      <c r="N2586" s="10">
        <f>IFERROR(_xlfn.XLOOKUP(C2586,[1]ModifierDes!$B:$B,[1]ModifierDes!$A:$A),"")</f>
        <v>10061</v>
      </c>
      <c r="O2586" s="10" t="str">
        <f>IFERROR(_xlfn.XLOOKUP(C2586,[1]AttributeName!$C:$C,[1]AttributeName!$B:$B),"")</f>
        <v/>
      </c>
      <c r="P2586" s="10"/>
      <c r="Q2586">
        <v>0.12</v>
      </c>
      <c r="R2586">
        <v>0.18</v>
      </c>
      <c r="S2586" cm="1">
        <f t="array" ref="S2586">IFERROR(_xlfn.SWITCH(L2586,1,_xlfn.XLOOKUP(O2586,[1]AttributeName!$B:$B,[1]AttributeName!$D:$D),2,_xlfn.XLOOKUP(C2586,#REF!,#REF!),3,_xlfn.XLOOKUP(C2586,#REF!,#REF!)),0)</f>
        <v>0</v>
      </c>
      <c r="T2586" cm="1">
        <f t="array" ref="T2586">IFERROR(_xlfn.SWITCH(L2586,1,_xlfn.XLOOKUP(O2586,[1]AttributeName!$B:$B,[1]AttributeName!$E:$E),2,_xlfn.XLOOKUP(C2586,#REF!,#REF!),3,_xlfn.XLOOKUP(C2586,#REF!,#REF!)),0)</f>
        <v>0</v>
      </c>
    </row>
    <row r="2587" customFormat="1" spans="1:20">
      <c r="A2587">
        <f t="shared" si="108"/>
        <v>1057</v>
      </c>
      <c r="B2587">
        <v>8</v>
      </c>
      <c r="C2587" t="s">
        <v>426</v>
      </c>
      <c r="D2587" t="s">
        <v>442</v>
      </c>
      <c r="E2587" t="s">
        <v>392</v>
      </c>
      <c r="F2587"/>
      <c r="G2587">
        <v>2</v>
      </c>
      <c r="H2587">
        <v>500</v>
      </c>
      <c r="I2587">
        <v>3</v>
      </c>
      <c r="J2587" cm="1">
        <f t="array" ref="J2587">_xlfn.SWITCH(B2587,1,75,2,61,3,49,4,37,5,25,6,13,7,4,8,1)</f>
        <v>1</v>
      </c>
      <c r="K2587" t="str" cm="1">
        <f t="array" ref="K2587">IFERROR(_xlfn.SWITCH(L2587,2,_xlfn.XLOOKUP(C2587,[1]ModifierDes!$B:$B,[1]ModifierDes!$C:$C),3,_xlfn.XLOOKUP(C2587,[1]StuntDes!$B:$B,[1]StuntDes!$C:$C)),"")</f>
        <v>法术暴击伤害增加{0}</v>
      </c>
      <c r="L2587">
        <f t="shared" si="107"/>
        <v>2</v>
      </c>
      <c r="M2587" s="10" t="str">
        <f>IFERROR(_xlfn.XLOOKUP(C2587,[1]StuntDes!$B:$B,[1]StuntDes!$A:$A),"")</f>
        <v/>
      </c>
      <c r="N2587" s="10">
        <f>IFERROR(_xlfn.XLOOKUP(C2587,[1]ModifierDes!$B:$B,[1]ModifierDes!$A:$A),"")</f>
        <v>10061</v>
      </c>
      <c r="O2587" s="10" t="str">
        <f>IFERROR(_xlfn.XLOOKUP(C2587,[1]AttributeName!$C:$C,[1]AttributeName!$B:$B),"")</f>
        <v/>
      </c>
      <c r="P2587" s="10"/>
      <c r="Q2587">
        <v>0.04</v>
      </c>
      <c r="R2587">
        <v>0.1</v>
      </c>
      <c r="S2587" cm="1">
        <f t="array" ref="S2587">IFERROR(_xlfn.SWITCH(L2587,1,_xlfn.XLOOKUP(O2587,[1]AttributeName!$B:$B,[1]AttributeName!$D:$D),2,_xlfn.XLOOKUP(C2587,#REF!,#REF!),3,_xlfn.XLOOKUP(C2587,#REF!,#REF!)),0)</f>
        <v>0</v>
      </c>
      <c r="T2587" cm="1">
        <f t="array" ref="T2587">IFERROR(_xlfn.SWITCH(L2587,1,_xlfn.XLOOKUP(O2587,[1]AttributeName!$B:$B,[1]AttributeName!$E:$E),2,_xlfn.XLOOKUP(C2587,#REF!,#REF!),3,_xlfn.XLOOKUP(C2587,#REF!,#REF!)),0)</f>
        <v>0</v>
      </c>
    </row>
    <row r="2588" customFormat="1" spans="1:20">
      <c r="A2588">
        <f t="shared" si="108"/>
        <v>1058</v>
      </c>
      <c r="B2588">
        <v>1</v>
      </c>
      <c r="C2588" t="s">
        <v>401</v>
      </c>
      <c r="D2588" t="s">
        <v>442</v>
      </c>
      <c r="E2588" t="s">
        <v>392</v>
      </c>
      <c r="F2588"/>
      <c r="G2588">
        <v>2</v>
      </c>
      <c r="H2588">
        <v>50</v>
      </c>
      <c r="I2588">
        <v>3</v>
      </c>
      <c r="J2588" cm="1">
        <f t="array" ref="J2588">_xlfn.SWITCH(B2588,1,75,2,61,3,49,4,37,5,25,6,13,7,4,8,1)</f>
        <v>75</v>
      </c>
      <c r="K2588" t="str" cm="1">
        <f t="array" ref="K2588">IFERROR(_xlfn.SWITCH(L2588,2,_xlfn.XLOOKUP(C2588,[1]ModifierDes!$B:$B,[1]ModifierDes!$C:$C),3,_xlfn.XLOOKUP(C2588,[1]StuntDes!$B:$B,[1]StuntDes!$C:$C)),"")</f>
        <v/>
      </c>
      <c r="L2588">
        <f t="shared" si="107"/>
        <v>1</v>
      </c>
      <c r="M2588" s="10" t="str">
        <f>IFERROR(_xlfn.XLOOKUP(C2588,[1]StuntDes!$B:$B,[1]StuntDes!$A:$A),"")</f>
        <v/>
      </c>
      <c r="N2588" s="10" t="str">
        <f>IFERROR(_xlfn.XLOOKUP(C2588,[1]ModifierDes!$B:$B,[1]ModifierDes!$A:$A),"")</f>
        <v/>
      </c>
      <c r="O2588" s="10">
        <f>IFERROR(_xlfn.XLOOKUP(C2588,[1]AttributeName!$C:$C,[1]AttributeName!$B:$B),"")</f>
        <v>10500</v>
      </c>
      <c r="P2588" s="10"/>
      <c r="Q2588">
        <v>0.3</v>
      </c>
      <c r="R2588">
        <v>0.4</v>
      </c>
      <c r="S2588" cm="1">
        <f t="array" ref="S2588">IFERROR(_xlfn.SWITCH(L2588,1,_xlfn.XLOOKUP(O2588,[1]AttributeName!$B:$B,[1]AttributeName!$D:$D),2,_xlfn.XLOOKUP(C2588,#REF!,#REF!),3,_xlfn.XLOOKUP(C2588,#REF!,#REF!)),0)</f>
        <v>2</v>
      </c>
      <c r="T2588" cm="1">
        <f t="array" ref="T2588">IFERROR(_xlfn.SWITCH(L2588,1,_xlfn.XLOOKUP(O2588,[1]AttributeName!$B:$B,[1]AttributeName!$E:$E),2,_xlfn.XLOOKUP(C2588,#REF!,#REF!),3,_xlfn.XLOOKUP(C2588,#REF!,#REF!)),0)</f>
        <v>2</v>
      </c>
    </row>
    <row r="2589" customFormat="1" spans="1:20">
      <c r="A2589">
        <f t="shared" si="108"/>
        <v>1058</v>
      </c>
      <c r="B2589">
        <v>2</v>
      </c>
      <c r="C2589" t="s">
        <v>401</v>
      </c>
      <c r="D2589" t="s">
        <v>442</v>
      </c>
      <c r="E2589" t="s">
        <v>392</v>
      </c>
      <c r="F2589"/>
      <c r="G2589">
        <v>2</v>
      </c>
      <c r="H2589">
        <v>100</v>
      </c>
      <c r="I2589">
        <v>3</v>
      </c>
      <c r="J2589" cm="1">
        <f t="array" ref="J2589">_xlfn.SWITCH(B2589,1,75,2,61,3,49,4,37,5,25,6,13,7,4,8,1)</f>
        <v>61</v>
      </c>
      <c r="K2589" t="str" cm="1">
        <f t="array" ref="K2589">IFERROR(_xlfn.SWITCH(L2589,2,_xlfn.XLOOKUP(C2589,[1]ModifierDes!$B:$B,[1]ModifierDes!$C:$C),3,_xlfn.XLOOKUP(C2589,[1]StuntDes!$B:$B,[1]StuntDes!$C:$C)),"")</f>
        <v/>
      </c>
      <c r="L2589">
        <f t="shared" si="107"/>
        <v>1</v>
      </c>
      <c r="M2589" s="10" t="str">
        <f>IFERROR(_xlfn.XLOOKUP(C2589,[1]StuntDes!$B:$B,[1]StuntDes!$A:$A),"")</f>
        <v/>
      </c>
      <c r="N2589" s="10" t="str">
        <f>IFERROR(_xlfn.XLOOKUP(C2589,[1]ModifierDes!$B:$B,[1]ModifierDes!$A:$A),"")</f>
        <v/>
      </c>
      <c r="O2589" s="10">
        <f>IFERROR(_xlfn.XLOOKUP(C2589,[1]AttributeName!$C:$C,[1]AttributeName!$B:$B),"")</f>
        <v>10500</v>
      </c>
      <c r="P2589" s="10"/>
      <c r="Q2589">
        <v>0.26</v>
      </c>
      <c r="R2589">
        <v>0.29</v>
      </c>
      <c r="S2589" cm="1">
        <f t="array" ref="S2589">IFERROR(_xlfn.SWITCH(L2589,1,_xlfn.XLOOKUP(O2589,[1]AttributeName!$B:$B,[1]AttributeName!$D:$D),2,_xlfn.XLOOKUP(C2589,#REF!,#REF!),3,_xlfn.XLOOKUP(C2589,#REF!,#REF!)),0)</f>
        <v>2</v>
      </c>
      <c r="T2589" cm="1">
        <f t="array" ref="T2589">IFERROR(_xlfn.SWITCH(L2589,1,_xlfn.XLOOKUP(O2589,[1]AttributeName!$B:$B,[1]AttributeName!$E:$E),2,_xlfn.XLOOKUP(C2589,#REF!,#REF!),3,_xlfn.XLOOKUP(C2589,#REF!,#REF!)),0)</f>
        <v>2</v>
      </c>
    </row>
    <row r="2590" customFormat="1" spans="1:20">
      <c r="A2590">
        <f t="shared" si="108"/>
        <v>1058</v>
      </c>
      <c r="B2590">
        <v>3</v>
      </c>
      <c r="C2590" t="s">
        <v>401</v>
      </c>
      <c r="D2590" t="s">
        <v>442</v>
      </c>
      <c r="E2590" t="s">
        <v>392</v>
      </c>
      <c r="F2590"/>
      <c r="G2590">
        <v>2</v>
      </c>
      <c r="H2590">
        <v>250</v>
      </c>
      <c r="I2590">
        <v>3</v>
      </c>
      <c r="J2590" cm="1">
        <f t="array" ref="J2590">_xlfn.SWITCH(B2590,1,75,2,61,3,49,4,37,5,25,6,13,7,4,8,1)</f>
        <v>49</v>
      </c>
      <c r="K2590" t="str" cm="1">
        <f t="array" ref="K2590">IFERROR(_xlfn.SWITCH(L2590,2,_xlfn.XLOOKUP(C2590,[1]ModifierDes!$B:$B,[1]ModifierDes!$C:$C),3,_xlfn.XLOOKUP(C2590,[1]StuntDes!$B:$B,[1]StuntDes!$C:$C)),"")</f>
        <v/>
      </c>
      <c r="L2590">
        <f t="shared" si="107"/>
        <v>1</v>
      </c>
      <c r="M2590" s="10" t="str">
        <f>IFERROR(_xlfn.XLOOKUP(C2590,[1]StuntDes!$B:$B,[1]StuntDes!$A:$A),"")</f>
        <v/>
      </c>
      <c r="N2590" s="10" t="str">
        <f>IFERROR(_xlfn.XLOOKUP(C2590,[1]ModifierDes!$B:$B,[1]ModifierDes!$A:$A),"")</f>
        <v/>
      </c>
      <c r="O2590" s="10">
        <f>IFERROR(_xlfn.XLOOKUP(C2590,[1]AttributeName!$C:$C,[1]AttributeName!$B:$B),"")</f>
        <v>10500</v>
      </c>
      <c r="P2590" s="10"/>
      <c r="Q2590">
        <v>0.22</v>
      </c>
      <c r="R2590">
        <v>0.25</v>
      </c>
      <c r="S2590" cm="1">
        <f t="array" ref="S2590">IFERROR(_xlfn.SWITCH(L2590,1,_xlfn.XLOOKUP(O2590,[1]AttributeName!$B:$B,[1]AttributeName!$D:$D),2,_xlfn.XLOOKUP(C2590,#REF!,#REF!),3,_xlfn.XLOOKUP(C2590,#REF!,#REF!)),0)</f>
        <v>2</v>
      </c>
      <c r="T2590" cm="1">
        <f t="array" ref="T2590">IFERROR(_xlfn.SWITCH(L2590,1,_xlfn.XLOOKUP(O2590,[1]AttributeName!$B:$B,[1]AttributeName!$E:$E),2,_xlfn.XLOOKUP(C2590,#REF!,#REF!),3,_xlfn.XLOOKUP(C2590,#REF!,#REF!)),0)</f>
        <v>2</v>
      </c>
    </row>
    <row r="2591" customFormat="1" spans="1:20">
      <c r="A2591">
        <f t="shared" si="108"/>
        <v>1058</v>
      </c>
      <c r="B2591">
        <v>4</v>
      </c>
      <c r="C2591" t="s">
        <v>401</v>
      </c>
      <c r="D2591" t="s">
        <v>442</v>
      </c>
      <c r="E2591" t="s">
        <v>392</v>
      </c>
      <c r="F2591"/>
      <c r="G2591">
        <v>2</v>
      </c>
      <c r="H2591">
        <v>500</v>
      </c>
      <c r="I2591">
        <v>3</v>
      </c>
      <c r="J2591" cm="1">
        <f t="array" ref="J2591">_xlfn.SWITCH(B2591,1,75,2,61,3,49,4,37,5,25,6,13,7,4,8,1)</f>
        <v>37</v>
      </c>
      <c r="K2591" t="str" cm="1">
        <f t="array" ref="K2591">IFERROR(_xlfn.SWITCH(L2591,2,_xlfn.XLOOKUP(C2591,[1]ModifierDes!$B:$B,[1]ModifierDes!$C:$C),3,_xlfn.XLOOKUP(C2591,[1]StuntDes!$B:$B,[1]StuntDes!$C:$C)),"")</f>
        <v/>
      </c>
      <c r="L2591">
        <f t="shared" si="107"/>
        <v>1</v>
      </c>
      <c r="M2591" s="10" t="str">
        <f>IFERROR(_xlfn.XLOOKUP(C2591,[1]StuntDes!$B:$B,[1]StuntDes!$A:$A),"")</f>
        <v/>
      </c>
      <c r="N2591" s="10" t="str">
        <f>IFERROR(_xlfn.XLOOKUP(C2591,[1]ModifierDes!$B:$B,[1]ModifierDes!$A:$A),"")</f>
        <v/>
      </c>
      <c r="O2591" s="10">
        <f>IFERROR(_xlfn.XLOOKUP(C2591,[1]AttributeName!$C:$C,[1]AttributeName!$B:$B),"")</f>
        <v>10500</v>
      </c>
      <c r="P2591" s="10"/>
      <c r="Q2591">
        <v>0.18</v>
      </c>
      <c r="R2591">
        <v>0.21</v>
      </c>
      <c r="S2591" cm="1">
        <f t="array" ref="S2591">IFERROR(_xlfn.SWITCH(L2591,1,_xlfn.XLOOKUP(O2591,[1]AttributeName!$B:$B,[1]AttributeName!$D:$D),2,_xlfn.XLOOKUP(C2591,#REF!,#REF!),3,_xlfn.XLOOKUP(C2591,#REF!,#REF!)),0)</f>
        <v>2</v>
      </c>
      <c r="T2591" cm="1">
        <f t="array" ref="T2591">IFERROR(_xlfn.SWITCH(L2591,1,_xlfn.XLOOKUP(O2591,[1]AttributeName!$B:$B,[1]AttributeName!$E:$E),2,_xlfn.XLOOKUP(C2591,#REF!,#REF!),3,_xlfn.XLOOKUP(C2591,#REF!,#REF!)),0)</f>
        <v>2</v>
      </c>
    </row>
    <row r="2592" customFormat="1" spans="1:20">
      <c r="A2592">
        <f t="shared" si="108"/>
        <v>1058</v>
      </c>
      <c r="B2592">
        <v>5</v>
      </c>
      <c r="C2592" t="s">
        <v>401</v>
      </c>
      <c r="D2592" t="s">
        <v>442</v>
      </c>
      <c r="E2592" t="s">
        <v>392</v>
      </c>
      <c r="F2592"/>
      <c r="G2592">
        <v>2</v>
      </c>
      <c r="H2592">
        <v>500</v>
      </c>
      <c r="I2592">
        <v>3</v>
      </c>
      <c r="J2592" cm="1">
        <f t="array" ref="J2592">_xlfn.SWITCH(B2592,1,75,2,61,3,49,4,37,5,25,6,13,7,4,8,1)</f>
        <v>25</v>
      </c>
      <c r="K2592" t="str" cm="1">
        <f t="array" ref="K2592">IFERROR(_xlfn.SWITCH(L2592,2,_xlfn.XLOOKUP(C2592,[1]ModifierDes!$B:$B,[1]ModifierDes!$C:$C),3,_xlfn.XLOOKUP(C2592,[1]StuntDes!$B:$B,[1]StuntDes!$C:$C)),"")</f>
        <v/>
      </c>
      <c r="L2592">
        <f t="shared" si="107"/>
        <v>1</v>
      </c>
      <c r="M2592" s="10" t="str">
        <f>IFERROR(_xlfn.XLOOKUP(C2592,[1]StuntDes!$B:$B,[1]StuntDes!$A:$A),"")</f>
        <v/>
      </c>
      <c r="N2592" s="10" t="str">
        <f>IFERROR(_xlfn.XLOOKUP(C2592,[1]ModifierDes!$B:$B,[1]ModifierDes!$A:$A),"")</f>
        <v/>
      </c>
      <c r="O2592" s="10">
        <f>IFERROR(_xlfn.XLOOKUP(C2592,[1]AttributeName!$C:$C,[1]AttributeName!$B:$B),"")</f>
        <v>10500</v>
      </c>
      <c r="P2592" s="10"/>
      <c r="Q2592">
        <v>0.14</v>
      </c>
      <c r="R2592">
        <v>0.17</v>
      </c>
      <c r="S2592" cm="1">
        <f t="array" ref="S2592">IFERROR(_xlfn.SWITCH(L2592,1,_xlfn.XLOOKUP(O2592,[1]AttributeName!$B:$B,[1]AttributeName!$D:$D),2,_xlfn.XLOOKUP(C2592,#REF!,#REF!),3,_xlfn.XLOOKUP(C2592,#REF!,#REF!)),0)</f>
        <v>2</v>
      </c>
      <c r="T2592" cm="1">
        <f t="array" ref="T2592">IFERROR(_xlfn.SWITCH(L2592,1,_xlfn.XLOOKUP(O2592,[1]AttributeName!$B:$B,[1]AttributeName!$E:$E),2,_xlfn.XLOOKUP(C2592,#REF!,#REF!),3,_xlfn.XLOOKUP(C2592,#REF!,#REF!)),0)</f>
        <v>2</v>
      </c>
    </row>
    <row r="2593" customFormat="1" spans="1:20">
      <c r="A2593">
        <f t="shared" si="108"/>
        <v>1058</v>
      </c>
      <c r="B2593">
        <v>6</v>
      </c>
      <c r="C2593" t="s">
        <v>401</v>
      </c>
      <c r="D2593" t="s">
        <v>442</v>
      </c>
      <c r="E2593" t="s">
        <v>392</v>
      </c>
      <c r="F2593"/>
      <c r="G2593">
        <v>2</v>
      </c>
      <c r="H2593">
        <v>500</v>
      </c>
      <c r="I2593">
        <v>3</v>
      </c>
      <c r="J2593" cm="1">
        <f t="array" ref="J2593">_xlfn.SWITCH(B2593,1,75,2,61,3,49,4,37,5,25,6,13,7,4,8,1)</f>
        <v>13</v>
      </c>
      <c r="K2593" t="str" cm="1">
        <f t="array" ref="K2593">IFERROR(_xlfn.SWITCH(L2593,2,_xlfn.XLOOKUP(C2593,[1]ModifierDes!$B:$B,[1]ModifierDes!$C:$C),3,_xlfn.XLOOKUP(C2593,[1]StuntDes!$B:$B,[1]StuntDes!$C:$C)),"")</f>
        <v/>
      </c>
      <c r="L2593">
        <f t="shared" si="107"/>
        <v>1</v>
      </c>
      <c r="M2593" s="10" t="str">
        <f>IFERROR(_xlfn.XLOOKUP(C2593,[1]StuntDes!$B:$B,[1]StuntDes!$A:$A),"")</f>
        <v/>
      </c>
      <c r="N2593" s="10" t="str">
        <f>IFERROR(_xlfn.XLOOKUP(C2593,[1]ModifierDes!$B:$B,[1]ModifierDes!$A:$A),"")</f>
        <v/>
      </c>
      <c r="O2593" s="10">
        <f>IFERROR(_xlfn.XLOOKUP(C2593,[1]AttributeName!$C:$C,[1]AttributeName!$B:$B),"")</f>
        <v>10500</v>
      </c>
      <c r="P2593" s="10"/>
      <c r="Q2593">
        <v>0.1</v>
      </c>
      <c r="R2593">
        <v>0.13</v>
      </c>
      <c r="S2593" cm="1">
        <f t="array" ref="S2593">IFERROR(_xlfn.SWITCH(L2593,1,_xlfn.XLOOKUP(O2593,[1]AttributeName!$B:$B,[1]AttributeName!$D:$D),2,_xlfn.XLOOKUP(C2593,#REF!,#REF!),3,_xlfn.XLOOKUP(C2593,#REF!,#REF!)),0)</f>
        <v>2</v>
      </c>
      <c r="T2593" cm="1">
        <f t="array" ref="T2593">IFERROR(_xlfn.SWITCH(L2593,1,_xlfn.XLOOKUP(O2593,[1]AttributeName!$B:$B,[1]AttributeName!$E:$E),2,_xlfn.XLOOKUP(C2593,#REF!,#REF!),3,_xlfn.XLOOKUP(C2593,#REF!,#REF!)),0)</f>
        <v>2</v>
      </c>
    </row>
    <row r="2594" customFormat="1" spans="1:20">
      <c r="A2594">
        <f t="shared" si="108"/>
        <v>1058</v>
      </c>
      <c r="B2594">
        <v>7</v>
      </c>
      <c r="C2594" t="s">
        <v>401</v>
      </c>
      <c r="D2594" t="s">
        <v>442</v>
      </c>
      <c r="E2594" t="s">
        <v>392</v>
      </c>
      <c r="F2594"/>
      <c r="G2594">
        <v>2</v>
      </c>
      <c r="H2594">
        <v>500</v>
      </c>
      <c r="I2594">
        <v>3</v>
      </c>
      <c r="J2594" cm="1">
        <f t="array" ref="J2594">_xlfn.SWITCH(B2594,1,75,2,61,3,49,4,37,5,25,6,13,7,4,8,1)</f>
        <v>4</v>
      </c>
      <c r="K2594" t="str" cm="1">
        <f t="array" ref="K2594">IFERROR(_xlfn.SWITCH(L2594,2,_xlfn.XLOOKUP(C2594,[1]ModifierDes!$B:$B,[1]ModifierDes!$C:$C),3,_xlfn.XLOOKUP(C2594,[1]StuntDes!$B:$B,[1]StuntDes!$C:$C)),"")</f>
        <v/>
      </c>
      <c r="L2594">
        <f t="shared" si="107"/>
        <v>1</v>
      </c>
      <c r="M2594" s="10" t="str">
        <f>IFERROR(_xlfn.XLOOKUP(C2594,[1]StuntDes!$B:$B,[1]StuntDes!$A:$A),"")</f>
        <v/>
      </c>
      <c r="N2594" s="10" t="str">
        <f>IFERROR(_xlfn.XLOOKUP(C2594,[1]ModifierDes!$B:$B,[1]ModifierDes!$A:$A),"")</f>
        <v/>
      </c>
      <c r="O2594" s="10">
        <f>IFERROR(_xlfn.XLOOKUP(C2594,[1]AttributeName!$C:$C,[1]AttributeName!$B:$B),"")</f>
        <v>10500</v>
      </c>
      <c r="P2594" s="10"/>
      <c r="Q2594">
        <v>0.06</v>
      </c>
      <c r="R2594">
        <v>0.0900000000000001</v>
      </c>
      <c r="S2594" cm="1">
        <f t="array" ref="S2594">IFERROR(_xlfn.SWITCH(L2594,1,_xlfn.XLOOKUP(O2594,[1]AttributeName!$B:$B,[1]AttributeName!$D:$D),2,_xlfn.XLOOKUP(C2594,#REF!,#REF!),3,_xlfn.XLOOKUP(C2594,#REF!,#REF!)),0)</f>
        <v>2</v>
      </c>
      <c r="T2594" cm="1">
        <f t="array" ref="T2594">IFERROR(_xlfn.SWITCH(L2594,1,_xlfn.XLOOKUP(O2594,[1]AttributeName!$B:$B,[1]AttributeName!$E:$E),2,_xlfn.XLOOKUP(C2594,#REF!,#REF!),3,_xlfn.XLOOKUP(C2594,#REF!,#REF!)),0)</f>
        <v>2</v>
      </c>
    </row>
    <row r="2595" customFormat="1" spans="1:20">
      <c r="A2595">
        <f t="shared" si="108"/>
        <v>1058</v>
      </c>
      <c r="B2595">
        <v>8</v>
      </c>
      <c r="C2595" t="s">
        <v>401</v>
      </c>
      <c r="D2595" t="s">
        <v>442</v>
      </c>
      <c r="E2595" t="s">
        <v>392</v>
      </c>
      <c r="F2595"/>
      <c r="G2595">
        <v>2</v>
      </c>
      <c r="H2595">
        <v>500</v>
      </c>
      <c r="I2595">
        <v>3</v>
      </c>
      <c r="J2595" cm="1">
        <f t="array" ref="J2595">_xlfn.SWITCH(B2595,1,75,2,61,3,49,4,37,5,25,6,13,7,4,8,1)</f>
        <v>1</v>
      </c>
      <c r="K2595" t="str" cm="1">
        <f t="array" ref="K2595">IFERROR(_xlfn.SWITCH(L2595,2,_xlfn.XLOOKUP(C2595,[1]ModifierDes!$B:$B,[1]ModifierDes!$C:$C),3,_xlfn.XLOOKUP(C2595,[1]StuntDes!$B:$B,[1]StuntDes!$C:$C)),"")</f>
        <v/>
      </c>
      <c r="L2595">
        <f t="shared" si="107"/>
        <v>1</v>
      </c>
      <c r="M2595" s="10" t="str">
        <f>IFERROR(_xlfn.XLOOKUP(C2595,[1]StuntDes!$B:$B,[1]StuntDes!$A:$A),"")</f>
        <v/>
      </c>
      <c r="N2595" s="10" t="str">
        <f>IFERROR(_xlfn.XLOOKUP(C2595,[1]ModifierDes!$B:$B,[1]ModifierDes!$A:$A),"")</f>
        <v/>
      </c>
      <c r="O2595" s="10">
        <f>IFERROR(_xlfn.XLOOKUP(C2595,[1]AttributeName!$C:$C,[1]AttributeName!$B:$B),"")</f>
        <v>10500</v>
      </c>
      <c r="P2595" s="10"/>
      <c r="Q2595">
        <v>0.02</v>
      </c>
      <c r="R2595">
        <v>0.0500000000000001</v>
      </c>
      <c r="S2595" cm="1">
        <f t="array" ref="S2595">IFERROR(_xlfn.SWITCH(L2595,1,_xlfn.XLOOKUP(O2595,[1]AttributeName!$B:$B,[1]AttributeName!$D:$D),2,_xlfn.XLOOKUP(C2595,#REF!,#REF!),3,_xlfn.XLOOKUP(C2595,#REF!,#REF!)),0)</f>
        <v>2</v>
      </c>
      <c r="T2595" cm="1">
        <f t="array" ref="T2595">IFERROR(_xlfn.SWITCH(L2595,1,_xlfn.XLOOKUP(O2595,[1]AttributeName!$B:$B,[1]AttributeName!$E:$E),2,_xlfn.XLOOKUP(C2595,#REF!,#REF!),3,_xlfn.XLOOKUP(C2595,#REF!,#REF!)),0)</f>
        <v>2</v>
      </c>
    </row>
    <row r="2596" customFormat="1" spans="1:20">
      <c r="A2596">
        <f t="shared" si="108"/>
        <v>1059</v>
      </c>
      <c r="B2596">
        <v>1</v>
      </c>
      <c r="C2596" t="s">
        <v>402</v>
      </c>
      <c r="D2596" t="s">
        <v>442</v>
      </c>
      <c r="E2596" t="s">
        <v>392</v>
      </c>
      <c r="F2596"/>
      <c r="G2596">
        <v>2</v>
      </c>
      <c r="H2596">
        <v>50</v>
      </c>
      <c r="I2596">
        <v>3</v>
      </c>
      <c r="J2596" cm="1">
        <f t="array" ref="J2596">_xlfn.SWITCH(B2596,1,75,2,61,3,49,4,37,5,25,6,13,7,4,8,1)</f>
        <v>75</v>
      </c>
      <c r="K2596" t="str" cm="1">
        <f t="array" ref="K2596">IFERROR(_xlfn.SWITCH(L2596,2,_xlfn.XLOOKUP(C2596,[1]ModifierDes!$B:$B,[1]ModifierDes!$C:$C),3,_xlfn.XLOOKUP(C2596,[1]StuntDes!$B:$B,[1]StuntDes!$C:$C)),"")</f>
        <v/>
      </c>
      <c r="L2596">
        <f t="shared" si="107"/>
        <v>1</v>
      </c>
      <c r="M2596" s="10" t="str">
        <f>IFERROR(_xlfn.XLOOKUP(C2596,[1]StuntDes!$B:$B,[1]StuntDes!$A:$A),"")</f>
        <v/>
      </c>
      <c r="N2596" s="10" t="str">
        <f>IFERROR(_xlfn.XLOOKUP(C2596,[1]ModifierDes!$B:$B,[1]ModifierDes!$A:$A),"")</f>
        <v/>
      </c>
      <c r="O2596" s="10">
        <f>IFERROR(_xlfn.XLOOKUP(C2596,[1]AttributeName!$C:$C,[1]AttributeName!$B:$B),"")</f>
        <v>10501</v>
      </c>
      <c r="P2596" s="10"/>
      <c r="Q2596">
        <v>0.3</v>
      </c>
      <c r="R2596">
        <v>0.4</v>
      </c>
      <c r="S2596" cm="1">
        <f t="array" ref="S2596">IFERROR(_xlfn.SWITCH(L2596,1,_xlfn.XLOOKUP(O2596,[1]AttributeName!$B:$B,[1]AttributeName!$D:$D),2,_xlfn.XLOOKUP(C2596,#REF!,#REF!),3,_xlfn.XLOOKUP(C2596,#REF!,#REF!)),0)</f>
        <v>2</v>
      </c>
      <c r="T2596" cm="1">
        <f t="array" ref="T2596">IFERROR(_xlfn.SWITCH(L2596,1,_xlfn.XLOOKUP(O2596,[1]AttributeName!$B:$B,[1]AttributeName!$E:$E),2,_xlfn.XLOOKUP(C2596,#REF!,#REF!),3,_xlfn.XLOOKUP(C2596,#REF!,#REF!)),0)</f>
        <v>2</v>
      </c>
    </row>
    <row r="2597" customFormat="1" spans="1:20">
      <c r="A2597">
        <f t="shared" si="108"/>
        <v>1059</v>
      </c>
      <c r="B2597">
        <v>2</v>
      </c>
      <c r="C2597" t="s">
        <v>402</v>
      </c>
      <c r="D2597" t="s">
        <v>442</v>
      </c>
      <c r="E2597" t="s">
        <v>392</v>
      </c>
      <c r="F2597"/>
      <c r="G2597">
        <v>2</v>
      </c>
      <c r="H2597">
        <v>100</v>
      </c>
      <c r="I2597">
        <v>3</v>
      </c>
      <c r="J2597" cm="1">
        <f t="array" ref="J2597">_xlfn.SWITCH(B2597,1,75,2,61,3,49,4,37,5,25,6,13,7,4,8,1)</f>
        <v>61</v>
      </c>
      <c r="K2597" t="str" cm="1">
        <f t="array" ref="K2597">IFERROR(_xlfn.SWITCH(L2597,2,_xlfn.XLOOKUP(C2597,[1]ModifierDes!$B:$B,[1]ModifierDes!$C:$C),3,_xlfn.XLOOKUP(C2597,[1]StuntDes!$B:$B,[1]StuntDes!$C:$C)),"")</f>
        <v/>
      </c>
      <c r="L2597">
        <f t="shared" si="107"/>
        <v>1</v>
      </c>
      <c r="M2597" s="10" t="str">
        <f>IFERROR(_xlfn.XLOOKUP(C2597,[1]StuntDes!$B:$B,[1]StuntDes!$A:$A),"")</f>
        <v/>
      </c>
      <c r="N2597" s="10" t="str">
        <f>IFERROR(_xlfn.XLOOKUP(C2597,[1]ModifierDes!$B:$B,[1]ModifierDes!$A:$A),"")</f>
        <v/>
      </c>
      <c r="O2597" s="10">
        <f>IFERROR(_xlfn.XLOOKUP(C2597,[1]AttributeName!$C:$C,[1]AttributeName!$B:$B),"")</f>
        <v>10501</v>
      </c>
      <c r="P2597" s="10"/>
      <c r="Q2597">
        <v>0.26</v>
      </c>
      <c r="R2597">
        <v>0.29</v>
      </c>
      <c r="S2597" cm="1">
        <f t="array" ref="S2597">IFERROR(_xlfn.SWITCH(L2597,1,_xlfn.XLOOKUP(O2597,[1]AttributeName!$B:$B,[1]AttributeName!$D:$D),2,_xlfn.XLOOKUP(C2597,#REF!,#REF!),3,_xlfn.XLOOKUP(C2597,#REF!,#REF!)),0)</f>
        <v>2</v>
      </c>
      <c r="T2597" cm="1">
        <f t="array" ref="T2597">IFERROR(_xlfn.SWITCH(L2597,1,_xlfn.XLOOKUP(O2597,[1]AttributeName!$B:$B,[1]AttributeName!$E:$E),2,_xlfn.XLOOKUP(C2597,#REF!,#REF!),3,_xlfn.XLOOKUP(C2597,#REF!,#REF!)),0)</f>
        <v>2</v>
      </c>
    </row>
    <row r="2598" customFormat="1" spans="1:20">
      <c r="A2598">
        <f t="shared" si="108"/>
        <v>1059</v>
      </c>
      <c r="B2598">
        <v>3</v>
      </c>
      <c r="C2598" t="s">
        <v>402</v>
      </c>
      <c r="D2598" t="s">
        <v>442</v>
      </c>
      <c r="E2598" t="s">
        <v>392</v>
      </c>
      <c r="F2598"/>
      <c r="G2598">
        <v>2</v>
      </c>
      <c r="H2598">
        <v>250</v>
      </c>
      <c r="I2598">
        <v>3</v>
      </c>
      <c r="J2598" cm="1">
        <f t="array" ref="J2598">_xlfn.SWITCH(B2598,1,75,2,61,3,49,4,37,5,25,6,13,7,4,8,1)</f>
        <v>49</v>
      </c>
      <c r="K2598" t="str" cm="1">
        <f t="array" ref="K2598">IFERROR(_xlfn.SWITCH(L2598,2,_xlfn.XLOOKUP(C2598,[1]ModifierDes!$B:$B,[1]ModifierDes!$C:$C),3,_xlfn.XLOOKUP(C2598,[1]StuntDes!$B:$B,[1]StuntDes!$C:$C)),"")</f>
        <v/>
      </c>
      <c r="L2598">
        <f t="shared" si="107"/>
        <v>1</v>
      </c>
      <c r="M2598" s="10" t="str">
        <f>IFERROR(_xlfn.XLOOKUP(C2598,[1]StuntDes!$B:$B,[1]StuntDes!$A:$A),"")</f>
        <v/>
      </c>
      <c r="N2598" s="10" t="str">
        <f>IFERROR(_xlfn.XLOOKUP(C2598,[1]ModifierDes!$B:$B,[1]ModifierDes!$A:$A),"")</f>
        <v/>
      </c>
      <c r="O2598" s="10">
        <f>IFERROR(_xlfn.XLOOKUP(C2598,[1]AttributeName!$C:$C,[1]AttributeName!$B:$B),"")</f>
        <v>10501</v>
      </c>
      <c r="P2598" s="10"/>
      <c r="Q2598">
        <v>0.22</v>
      </c>
      <c r="R2598">
        <v>0.25</v>
      </c>
      <c r="S2598" cm="1">
        <f t="array" ref="S2598">IFERROR(_xlfn.SWITCH(L2598,1,_xlfn.XLOOKUP(O2598,[1]AttributeName!$B:$B,[1]AttributeName!$D:$D),2,_xlfn.XLOOKUP(C2598,#REF!,#REF!),3,_xlfn.XLOOKUP(C2598,#REF!,#REF!)),0)</f>
        <v>2</v>
      </c>
      <c r="T2598" cm="1">
        <f t="array" ref="T2598">IFERROR(_xlfn.SWITCH(L2598,1,_xlfn.XLOOKUP(O2598,[1]AttributeName!$B:$B,[1]AttributeName!$E:$E),2,_xlfn.XLOOKUP(C2598,#REF!,#REF!),3,_xlfn.XLOOKUP(C2598,#REF!,#REF!)),0)</f>
        <v>2</v>
      </c>
    </row>
    <row r="2599" customFormat="1" spans="1:20">
      <c r="A2599">
        <f t="shared" si="108"/>
        <v>1059</v>
      </c>
      <c r="B2599">
        <v>4</v>
      </c>
      <c r="C2599" t="s">
        <v>402</v>
      </c>
      <c r="D2599" t="s">
        <v>442</v>
      </c>
      <c r="E2599" t="s">
        <v>392</v>
      </c>
      <c r="F2599"/>
      <c r="G2599">
        <v>2</v>
      </c>
      <c r="H2599">
        <v>500</v>
      </c>
      <c r="I2599">
        <v>3</v>
      </c>
      <c r="J2599" cm="1">
        <f t="array" ref="J2599">_xlfn.SWITCH(B2599,1,75,2,61,3,49,4,37,5,25,6,13,7,4,8,1)</f>
        <v>37</v>
      </c>
      <c r="K2599" t="str" cm="1">
        <f t="array" ref="K2599">IFERROR(_xlfn.SWITCH(L2599,2,_xlfn.XLOOKUP(C2599,[1]ModifierDes!$B:$B,[1]ModifierDes!$C:$C),3,_xlfn.XLOOKUP(C2599,[1]StuntDes!$B:$B,[1]StuntDes!$C:$C)),"")</f>
        <v/>
      </c>
      <c r="L2599">
        <f t="shared" si="107"/>
        <v>1</v>
      </c>
      <c r="M2599" s="10" t="str">
        <f>IFERROR(_xlfn.XLOOKUP(C2599,[1]StuntDes!$B:$B,[1]StuntDes!$A:$A),"")</f>
        <v/>
      </c>
      <c r="N2599" s="10" t="str">
        <f>IFERROR(_xlfn.XLOOKUP(C2599,[1]ModifierDes!$B:$B,[1]ModifierDes!$A:$A),"")</f>
        <v/>
      </c>
      <c r="O2599" s="10">
        <f>IFERROR(_xlfn.XLOOKUP(C2599,[1]AttributeName!$C:$C,[1]AttributeName!$B:$B),"")</f>
        <v>10501</v>
      </c>
      <c r="P2599" s="10"/>
      <c r="Q2599">
        <v>0.18</v>
      </c>
      <c r="R2599">
        <v>0.21</v>
      </c>
      <c r="S2599" cm="1">
        <f t="array" ref="S2599">IFERROR(_xlfn.SWITCH(L2599,1,_xlfn.XLOOKUP(O2599,[1]AttributeName!$B:$B,[1]AttributeName!$D:$D),2,_xlfn.XLOOKUP(C2599,#REF!,#REF!),3,_xlfn.XLOOKUP(C2599,#REF!,#REF!)),0)</f>
        <v>2</v>
      </c>
      <c r="T2599" cm="1">
        <f t="array" ref="T2599">IFERROR(_xlfn.SWITCH(L2599,1,_xlfn.XLOOKUP(O2599,[1]AttributeName!$B:$B,[1]AttributeName!$E:$E),2,_xlfn.XLOOKUP(C2599,#REF!,#REF!),3,_xlfn.XLOOKUP(C2599,#REF!,#REF!)),0)</f>
        <v>2</v>
      </c>
    </row>
    <row r="2600" customFormat="1" spans="1:20">
      <c r="A2600">
        <f t="shared" si="108"/>
        <v>1059</v>
      </c>
      <c r="B2600">
        <v>5</v>
      </c>
      <c r="C2600" t="s">
        <v>402</v>
      </c>
      <c r="D2600" t="s">
        <v>442</v>
      </c>
      <c r="E2600" t="s">
        <v>392</v>
      </c>
      <c r="F2600"/>
      <c r="G2600">
        <v>2</v>
      </c>
      <c r="H2600">
        <v>500</v>
      </c>
      <c r="I2600">
        <v>3</v>
      </c>
      <c r="J2600" cm="1">
        <f t="array" ref="J2600">_xlfn.SWITCH(B2600,1,75,2,61,3,49,4,37,5,25,6,13,7,4,8,1)</f>
        <v>25</v>
      </c>
      <c r="K2600" t="str" cm="1">
        <f t="array" ref="K2600">IFERROR(_xlfn.SWITCH(L2600,2,_xlfn.XLOOKUP(C2600,[1]ModifierDes!$B:$B,[1]ModifierDes!$C:$C),3,_xlfn.XLOOKUP(C2600,[1]StuntDes!$B:$B,[1]StuntDes!$C:$C)),"")</f>
        <v/>
      </c>
      <c r="L2600">
        <f t="shared" si="107"/>
        <v>1</v>
      </c>
      <c r="M2600" s="10" t="str">
        <f>IFERROR(_xlfn.XLOOKUP(C2600,[1]StuntDes!$B:$B,[1]StuntDes!$A:$A),"")</f>
        <v/>
      </c>
      <c r="N2600" s="10" t="str">
        <f>IFERROR(_xlfn.XLOOKUP(C2600,[1]ModifierDes!$B:$B,[1]ModifierDes!$A:$A),"")</f>
        <v/>
      </c>
      <c r="O2600" s="10">
        <f>IFERROR(_xlfn.XLOOKUP(C2600,[1]AttributeName!$C:$C,[1]AttributeName!$B:$B),"")</f>
        <v>10501</v>
      </c>
      <c r="P2600" s="10"/>
      <c r="Q2600">
        <v>0.14</v>
      </c>
      <c r="R2600">
        <v>0.17</v>
      </c>
      <c r="S2600" cm="1">
        <f t="array" ref="S2600">IFERROR(_xlfn.SWITCH(L2600,1,_xlfn.XLOOKUP(O2600,[1]AttributeName!$B:$B,[1]AttributeName!$D:$D),2,_xlfn.XLOOKUP(C2600,#REF!,#REF!),3,_xlfn.XLOOKUP(C2600,#REF!,#REF!)),0)</f>
        <v>2</v>
      </c>
      <c r="T2600" cm="1">
        <f t="array" ref="T2600">IFERROR(_xlfn.SWITCH(L2600,1,_xlfn.XLOOKUP(O2600,[1]AttributeName!$B:$B,[1]AttributeName!$E:$E),2,_xlfn.XLOOKUP(C2600,#REF!,#REF!),3,_xlfn.XLOOKUP(C2600,#REF!,#REF!)),0)</f>
        <v>2</v>
      </c>
    </row>
    <row r="2601" customFormat="1" spans="1:20">
      <c r="A2601">
        <f t="shared" si="108"/>
        <v>1059</v>
      </c>
      <c r="B2601">
        <v>6</v>
      </c>
      <c r="C2601" t="s">
        <v>402</v>
      </c>
      <c r="D2601" t="s">
        <v>442</v>
      </c>
      <c r="E2601" t="s">
        <v>392</v>
      </c>
      <c r="F2601"/>
      <c r="G2601">
        <v>2</v>
      </c>
      <c r="H2601">
        <v>500</v>
      </c>
      <c r="I2601">
        <v>3</v>
      </c>
      <c r="J2601" cm="1">
        <f t="array" ref="J2601">_xlfn.SWITCH(B2601,1,75,2,61,3,49,4,37,5,25,6,13,7,4,8,1)</f>
        <v>13</v>
      </c>
      <c r="K2601" t="str" cm="1">
        <f t="array" ref="K2601">IFERROR(_xlfn.SWITCH(L2601,2,_xlfn.XLOOKUP(C2601,[1]ModifierDes!$B:$B,[1]ModifierDes!$C:$C),3,_xlfn.XLOOKUP(C2601,[1]StuntDes!$B:$B,[1]StuntDes!$C:$C)),"")</f>
        <v/>
      </c>
      <c r="L2601">
        <f t="shared" si="107"/>
        <v>1</v>
      </c>
      <c r="M2601" s="10" t="str">
        <f>IFERROR(_xlfn.XLOOKUP(C2601,[1]StuntDes!$B:$B,[1]StuntDes!$A:$A),"")</f>
        <v/>
      </c>
      <c r="N2601" s="10" t="str">
        <f>IFERROR(_xlfn.XLOOKUP(C2601,[1]ModifierDes!$B:$B,[1]ModifierDes!$A:$A),"")</f>
        <v/>
      </c>
      <c r="O2601" s="10">
        <f>IFERROR(_xlfn.XLOOKUP(C2601,[1]AttributeName!$C:$C,[1]AttributeName!$B:$B),"")</f>
        <v>10501</v>
      </c>
      <c r="P2601" s="10"/>
      <c r="Q2601">
        <v>0.1</v>
      </c>
      <c r="R2601">
        <v>0.13</v>
      </c>
      <c r="S2601" cm="1">
        <f t="array" ref="S2601">IFERROR(_xlfn.SWITCH(L2601,1,_xlfn.XLOOKUP(O2601,[1]AttributeName!$B:$B,[1]AttributeName!$D:$D),2,_xlfn.XLOOKUP(C2601,#REF!,#REF!),3,_xlfn.XLOOKUP(C2601,#REF!,#REF!)),0)</f>
        <v>2</v>
      </c>
      <c r="T2601" cm="1">
        <f t="array" ref="T2601">IFERROR(_xlfn.SWITCH(L2601,1,_xlfn.XLOOKUP(O2601,[1]AttributeName!$B:$B,[1]AttributeName!$E:$E),2,_xlfn.XLOOKUP(C2601,#REF!,#REF!),3,_xlfn.XLOOKUP(C2601,#REF!,#REF!)),0)</f>
        <v>2</v>
      </c>
    </row>
    <row r="2602" customFormat="1" spans="1:20">
      <c r="A2602">
        <f t="shared" si="108"/>
        <v>1059</v>
      </c>
      <c r="B2602">
        <v>7</v>
      </c>
      <c r="C2602" t="s">
        <v>402</v>
      </c>
      <c r="D2602" t="s">
        <v>442</v>
      </c>
      <c r="E2602" t="s">
        <v>392</v>
      </c>
      <c r="F2602"/>
      <c r="G2602">
        <v>2</v>
      </c>
      <c r="H2602">
        <v>500</v>
      </c>
      <c r="I2602">
        <v>3</v>
      </c>
      <c r="J2602" cm="1">
        <f t="array" ref="J2602">_xlfn.SWITCH(B2602,1,75,2,61,3,49,4,37,5,25,6,13,7,4,8,1)</f>
        <v>4</v>
      </c>
      <c r="K2602" t="str" cm="1">
        <f t="array" ref="K2602">IFERROR(_xlfn.SWITCH(L2602,2,_xlfn.XLOOKUP(C2602,[1]ModifierDes!$B:$B,[1]ModifierDes!$C:$C),3,_xlfn.XLOOKUP(C2602,[1]StuntDes!$B:$B,[1]StuntDes!$C:$C)),"")</f>
        <v/>
      </c>
      <c r="L2602">
        <f t="shared" si="107"/>
        <v>1</v>
      </c>
      <c r="M2602" s="10" t="str">
        <f>IFERROR(_xlfn.XLOOKUP(C2602,[1]StuntDes!$B:$B,[1]StuntDes!$A:$A),"")</f>
        <v/>
      </c>
      <c r="N2602" s="10" t="str">
        <f>IFERROR(_xlfn.XLOOKUP(C2602,[1]ModifierDes!$B:$B,[1]ModifierDes!$A:$A),"")</f>
        <v/>
      </c>
      <c r="O2602" s="10">
        <f>IFERROR(_xlfn.XLOOKUP(C2602,[1]AttributeName!$C:$C,[1]AttributeName!$B:$B),"")</f>
        <v>10501</v>
      </c>
      <c r="P2602" s="10"/>
      <c r="Q2602">
        <v>0.06</v>
      </c>
      <c r="R2602">
        <v>0.0900000000000001</v>
      </c>
      <c r="S2602" cm="1">
        <f t="array" ref="S2602">IFERROR(_xlfn.SWITCH(L2602,1,_xlfn.XLOOKUP(O2602,[1]AttributeName!$B:$B,[1]AttributeName!$D:$D),2,_xlfn.XLOOKUP(C2602,#REF!,#REF!),3,_xlfn.XLOOKUP(C2602,#REF!,#REF!)),0)</f>
        <v>2</v>
      </c>
      <c r="T2602" cm="1">
        <f t="array" ref="T2602">IFERROR(_xlfn.SWITCH(L2602,1,_xlfn.XLOOKUP(O2602,[1]AttributeName!$B:$B,[1]AttributeName!$E:$E),2,_xlfn.XLOOKUP(C2602,#REF!,#REF!),3,_xlfn.XLOOKUP(C2602,#REF!,#REF!)),0)</f>
        <v>2</v>
      </c>
    </row>
    <row r="2603" customFormat="1" spans="1:20">
      <c r="A2603">
        <f t="shared" si="108"/>
        <v>1059</v>
      </c>
      <c r="B2603">
        <v>8</v>
      </c>
      <c r="C2603" t="s">
        <v>402</v>
      </c>
      <c r="D2603" t="s">
        <v>442</v>
      </c>
      <c r="E2603" t="s">
        <v>392</v>
      </c>
      <c r="F2603"/>
      <c r="G2603">
        <v>2</v>
      </c>
      <c r="H2603">
        <v>500</v>
      </c>
      <c r="I2603">
        <v>3</v>
      </c>
      <c r="J2603" cm="1">
        <f t="array" ref="J2603">_xlfn.SWITCH(B2603,1,75,2,61,3,49,4,37,5,25,6,13,7,4,8,1)</f>
        <v>1</v>
      </c>
      <c r="K2603" t="str" cm="1">
        <f t="array" ref="K2603">IFERROR(_xlfn.SWITCH(L2603,2,_xlfn.XLOOKUP(C2603,[1]ModifierDes!$B:$B,[1]ModifierDes!$C:$C),3,_xlfn.XLOOKUP(C2603,[1]StuntDes!$B:$B,[1]StuntDes!$C:$C)),"")</f>
        <v/>
      </c>
      <c r="L2603">
        <f t="shared" si="107"/>
        <v>1</v>
      </c>
      <c r="M2603" s="10" t="str">
        <f>IFERROR(_xlfn.XLOOKUP(C2603,[1]StuntDes!$B:$B,[1]StuntDes!$A:$A),"")</f>
        <v/>
      </c>
      <c r="N2603" s="10" t="str">
        <f>IFERROR(_xlfn.XLOOKUP(C2603,[1]ModifierDes!$B:$B,[1]ModifierDes!$A:$A),"")</f>
        <v/>
      </c>
      <c r="O2603" s="10">
        <f>IFERROR(_xlfn.XLOOKUP(C2603,[1]AttributeName!$C:$C,[1]AttributeName!$B:$B),"")</f>
        <v>10501</v>
      </c>
      <c r="P2603" s="10"/>
      <c r="Q2603">
        <v>0.02</v>
      </c>
      <c r="R2603">
        <v>0.0500000000000001</v>
      </c>
      <c r="S2603" cm="1">
        <f t="array" ref="S2603">IFERROR(_xlfn.SWITCH(L2603,1,_xlfn.XLOOKUP(O2603,[1]AttributeName!$B:$B,[1]AttributeName!$D:$D),2,_xlfn.XLOOKUP(C2603,#REF!,#REF!),3,_xlfn.XLOOKUP(C2603,#REF!,#REF!)),0)</f>
        <v>2</v>
      </c>
      <c r="T2603" cm="1">
        <f t="array" ref="T2603">IFERROR(_xlfn.SWITCH(L2603,1,_xlfn.XLOOKUP(O2603,[1]AttributeName!$B:$B,[1]AttributeName!$E:$E),2,_xlfn.XLOOKUP(C2603,#REF!,#REF!),3,_xlfn.XLOOKUP(C2603,#REF!,#REF!)),0)</f>
        <v>2</v>
      </c>
    </row>
    <row r="2604" customFormat="1" spans="1:20">
      <c r="A2604">
        <f t="shared" si="108"/>
        <v>1060</v>
      </c>
      <c r="B2604">
        <v>1</v>
      </c>
      <c r="C2604" t="s">
        <v>403</v>
      </c>
      <c r="D2604" t="s">
        <v>442</v>
      </c>
      <c r="E2604" t="s">
        <v>392</v>
      </c>
      <c r="F2604"/>
      <c r="G2604">
        <v>2</v>
      </c>
      <c r="H2604">
        <v>50</v>
      </c>
      <c r="I2604">
        <v>3</v>
      </c>
      <c r="J2604" cm="1">
        <f t="array" ref="J2604">_xlfn.SWITCH(B2604,1,75,2,61,3,49,4,37,5,25,6,13,7,4,8,1)</f>
        <v>75</v>
      </c>
      <c r="K2604" t="str" cm="1">
        <f t="array" ref="K2604">IFERROR(_xlfn.SWITCH(L2604,2,_xlfn.XLOOKUP(C2604,[1]ModifierDes!$B:$B,[1]ModifierDes!$C:$C),3,_xlfn.XLOOKUP(C2604,[1]StuntDes!$B:$B,[1]StuntDes!$C:$C)),"")</f>
        <v/>
      </c>
      <c r="L2604">
        <f t="shared" si="107"/>
        <v>1</v>
      </c>
      <c r="M2604" s="10" t="str">
        <f>IFERROR(_xlfn.XLOOKUP(C2604,[1]StuntDes!$B:$B,[1]StuntDes!$A:$A),"")</f>
        <v/>
      </c>
      <c r="N2604" s="10" t="str">
        <f>IFERROR(_xlfn.XLOOKUP(C2604,[1]ModifierDes!$B:$B,[1]ModifierDes!$A:$A),"")</f>
        <v/>
      </c>
      <c r="O2604" s="10">
        <f>IFERROR(_xlfn.XLOOKUP(C2604,[1]AttributeName!$C:$C,[1]AttributeName!$B:$B),"")</f>
        <v>10502</v>
      </c>
      <c r="P2604" s="10"/>
      <c r="Q2604">
        <v>0.3</v>
      </c>
      <c r="R2604">
        <v>0.4</v>
      </c>
      <c r="S2604" cm="1">
        <f t="array" ref="S2604">IFERROR(_xlfn.SWITCH(L2604,1,_xlfn.XLOOKUP(O2604,[1]AttributeName!$B:$B,[1]AttributeName!$D:$D),2,_xlfn.XLOOKUP(C2604,#REF!,#REF!),3,_xlfn.XLOOKUP(C2604,#REF!,#REF!)),0)</f>
        <v>2</v>
      </c>
      <c r="T2604" cm="1">
        <f t="array" ref="T2604">IFERROR(_xlfn.SWITCH(L2604,1,_xlfn.XLOOKUP(O2604,[1]AttributeName!$B:$B,[1]AttributeName!$E:$E),2,_xlfn.XLOOKUP(C2604,#REF!,#REF!),3,_xlfn.XLOOKUP(C2604,#REF!,#REF!)),0)</f>
        <v>2</v>
      </c>
    </row>
    <row r="2605" customFormat="1" spans="1:20">
      <c r="A2605">
        <f t="shared" si="108"/>
        <v>1060</v>
      </c>
      <c r="B2605">
        <v>2</v>
      </c>
      <c r="C2605" t="s">
        <v>403</v>
      </c>
      <c r="D2605" t="s">
        <v>442</v>
      </c>
      <c r="E2605" t="s">
        <v>392</v>
      </c>
      <c r="F2605"/>
      <c r="G2605">
        <v>2</v>
      </c>
      <c r="H2605">
        <v>100</v>
      </c>
      <c r="I2605">
        <v>3</v>
      </c>
      <c r="J2605" cm="1">
        <f t="array" ref="J2605">_xlfn.SWITCH(B2605,1,75,2,61,3,49,4,37,5,25,6,13,7,4,8,1)</f>
        <v>61</v>
      </c>
      <c r="K2605" t="str" cm="1">
        <f t="array" ref="K2605">IFERROR(_xlfn.SWITCH(L2605,2,_xlfn.XLOOKUP(C2605,[1]ModifierDes!$B:$B,[1]ModifierDes!$C:$C),3,_xlfn.XLOOKUP(C2605,[1]StuntDes!$B:$B,[1]StuntDes!$C:$C)),"")</f>
        <v/>
      </c>
      <c r="L2605">
        <f t="shared" si="107"/>
        <v>1</v>
      </c>
      <c r="M2605" s="10" t="str">
        <f>IFERROR(_xlfn.XLOOKUP(C2605,[1]StuntDes!$B:$B,[1]StuntDes!$A:$A),"")</f>
        <v/>
      </c>
      <c r="N2605" s="10" t="str">
        <f>IFERROR(_xlfn.XLOOKUP(C2605,[1]ModifierDes!$B:$B,[1]ModifierDes!$A:$A),"")</f>
        <v/>
      </c>
      <c r="O2605" s="10">
        <f>IFERROR(_xlfn.XLOOKUP(C2605,[1]AttributeName!$C:$C,[1]AttributeName!$B:$B),"")</f>
        <v>10502</v>
      </c>
      <c r="P2605" s="10"/>
      <c r="Q2605">
        <v>0.26</v>
      </c>
      <c r="R2605">
        <v>0.29</v>
      </c>
      <c r="S2605" cm="1">
        <f t="array" ref="S2605">IFERROR(_xlfn.SWITCH(L2605,1,_xlfn.XLOOKUP(O2605,[1]AttributeName!$B:$B,[1]AttributeName!$D:$D),2,_xlfn.XLOOKUP(C2605,#REF!,#REF!),3,_xlfn.XLOOKUP(C2605,#REF!,#REF!)),0)</f>
        <v>2</v>
      </c>
      <c r="T2605" cm="1">
        <f t="array" ref="T2605">IFERROR(_xlfn.SWITCH(L2605,1,_xlfn.XLOOKUP(O2605,[1]AttributeName!$B:$B,[1]AttributeName!$E:$E),2,_xlfn.XLOOKUP(C2605,#REF!,#REF!),3,_xlfn.XLOOKUP(C2605,#REF!,#REF!)),0)</f>
        <v>2</v>
      </c>
    </row>
    <row r="2606" customFormat="1" spans="1:20">
      <c r="A2606">
        <f t="shared" si="108"/>
        <v>1060</v>
      </c>
      <c r="B2606">
        <v>3</v>
      </c>
      <c r="C2606" t="s">
        <v>403</v>
      </c>
      <c r="D2606" t="s">
        <v>442</v>
      </c>
      <c r="E2606" t="s">
        <v>392</v>
      </c>
      <c r="F2606"/>
      <c r="G2606">
        <v>2</v>
      </c>
      <c r="H2606">
        <v>250</v>
      </c>
      <c r="I2606">
        <v>3</v>
      </c>
      <c r="J2606" cm="1">
        <f t="array" ref="J2606">_xlfn.SWITCH(B2606,1,75,2,61,3,49,4,37,5,25,6,13,7,4,8,1)</f>
        <v>49</v>
      </c>
      <c r="K2606" t="str" cm="1">
        <f t="array" ref="K2606">IFERROR(_xlfn.SWITCH(L2606,2,_xlfn.XLOOKUP(C2606,[1]ModifierDes!$B:$B,[1]ModifierDes!$C:$C),3,_xlfn.XLOOKUP(C2606,[1]StuntDes!$B:$B,[1]StuntDes!$C:$C)),"")</f>
        <v/>
      </c>
      <c r="L2606">
        <f t="shared" si="107"/>
        <v>1</v>
      </c>
      <c r="M2606" s="10" t="str">
        <f>IFERROR(_xlfn.XLOOKUP(C2606,[1]StuntDes!$B:$B,[1]StuntDes!$A:$A),"")</f>
        <v/>
      </c>
      <c r="N2606" s="10" t="str">
        <f>IFERROR(_xlfn.XLOOKUP(C2606,[1]ModifierDes!$B:$B,[1]ModifierDes!$A:$A),"")</f>
        <v/>
      </c>
      <c r="O2606" s="10">
        <f>IFERROR(_xlfn.XLOOKUP(C2606,[1]AttributeName!$C:$C,[1]AttributeName!$B:$B),"")</f>
        <v>10502</v>
      </c>
      <c r="P2606" s="10"/>
      <c r="Q2606">
        <v>0.22</v>
      </c>
      <c r="R2606">
        <v>0.25</v>
      </c>
      <c r="S2606" cm="1">
        <f t="array" ref="S2606">IFERROR(_xlfn.SWITCH(L2606,1,_xlfn.XLOOKUP(O2606,[1]AttributeName!$B:$B,[1]AttributeName!$D:$D),2,_xlfn.XLOOKUP(C2606,#REF!,#REF!),3,_xlfn.XLOOKUP(C2606,#REF!,#REF!)),0)</f>
        <v>2</v>
      </c>
      <c r="T2606" cm="1">
        <f t="array" ref="T2606">IFERROR(_xlfn.SWITCH(L2606,1,_xlfn.XLOOKUP(O2606,[1]AttributeName!$B:$B,[1]AttributeName!$E:$E),2,_xlfn.XLOOKUP(C2606,#REF!,#REF!),3,_xlfn.XLOOKUP(C2606,#REF!,#REF!)),0)</f>
        <v>2</v>
      </c>
    </row>
    <row r="2607" customFormat="1" spans="1:20">
      <c r="A2607">
        <f t="shared" si="108"/>
        <v>1060</v>
      </c>
      <c r="B2607">
        <v>4</v>
      </c>
      <c r="C2607" t="s">
        <v>403</v>
      </c>
      <c r="D2607" t="s">
        <v>442</v>
      </c>
      <c r="E2607" t="s">
        <v>392</v>
      </c>
      <c r="F2607"/>
      <c r="G2607">
        <v>2</v>
      </c>
      <c r="H2607">
        <v>500</v>
      </c>
      <c r="I2607">
        <v>3</v>
      </c>
      <c r="J2607" cm="1">
        <f t="array" ref="J2607">_xlfn.SWITCH(B2607,1,75,2,61,3,49,4,37,5,25,6,13,7,4,8,1)</f>
        <v>37</v>
      </c>
      <c r="K2607" t="str" cm="1">
        <f t="array" ref="K2607">IFERROR(_xlfn.SWITCH(L2607,2,_xlfn.XLOOKUP(C2607,[1]ModifierDes!$B:$B,[1]ModifierDes!$C:$C),3,_xlfn.XLOOKUP(C2607,[1]StuntDes!$B:$B,[1]StuntDes!$C:$C)),"")</f>
        <v/>
      </c>
      <c r="L2607">
        <f t="shared" si="107"/>
        <v>1</v>
      </c>
      <c r="M2607" s="10" t="str">
        <f>IFERROR(_xlfn.XLOOKUP(C2607,[1]StuntDes!$B:$B,[1]StuntDes!$A:$A),"")</f>
        <v/>
      </c>
      <c r="N2607" s="10" t="str">
        <f>IFERROR(_xlfn.XLOOKUP(C2607,[1]ModifierDes!$B:$B,[1]ModifierDes!$A:$A),"")</f>
        <v/>
      </c>
      <c r="O2607" s="10">
        <f>IFERROR(_xlfn.XLOOKUP(C2607,[1]AttributeName!$C:$C,[1]AttributeName!$B:$B),"")</f>
        <v>10502</v>
      </c>
      <c r="P2607" s="10"/>
      <c r="Q2607">
        <v>0.18</v>
      </c>
      <c r="R2607">
        <v>0.21</v>
      </c>
      <c r="S2607" cm="1">
        <f t="array" ref="S2607">IFERROR(_xlfn.SWITCH(L2607,1,_xlfn.XLOOKUP(O2607,[1]AttributeName!$B:$B,[1]AttributeName!$D:$D),2,_xlfn.XLOOKUP(C2607,#REF!,#REF!),3,_xlfn.XLOOKUP(C2607,#REF!,#REF!)),0)</f>
        <v>2</v>
      </c>
      <c r="T2607" cm="1">
        <f t="array" ref="T2607">IFERROR(_xlfn.SWITCH(L2607,1,_xlfn.XLOOKUP(O2607,[1]AttributeName!$B:$B,[1]AttributeName!$E:$E),2,_xlfn.XLOOKUP(C2607,#REF!,#REF!),3,_xlfn.XLOOKUP(C2607,#REF!,#REF!)),0)</f>
        <v>2</v>
      </c>
    </row>
    <row r="2608" customFormat="1" spans="1:20">
      <c r="A2608">
        <f t="shared" si="108"/>
        <v>1060</v>
      </c>
      <c r="B2608">
        <v>5</v>
      </c>
      <c r="C2608" t="s">
        <v>403</v>
      </c>
      <c r="D2608" t="s">
        <v>442</v>
      </c>
      <c r="E2608" t="s">
        <v>392</v>
      </c>
      <c r="F2608"/>
      <c r="G2608">
        <v>2</v>
      </c>
      <c r="H2608">
        <v>500</v>
      </c>
      <c r="I2608">
        <v>3</v>
      </c>
      <c r="J2608" cm="1">
        <f t="array" ref="J2608">_xlfn.SWITCH(B2608,1,75,2,61,3,49,4,37,5,25,6,13,7,4,8,1)</f>
        <v>25</v>
      </c>
      <c r="K2608" t="str" cm="1">
        <f t="array" ref="K2608">IFERROR(_xlfn.SWITCH(L2608,2,_xlfn.XLOOKUP(C2608,[1]ModifierDes!$B:$B,[1]ModifierDes!$C:$C),3,_xlfn.XLOOKUP(C2608,[1]StuntDes!$B:$B,[1]StuntDes!$C:$C)),"")</f>
        <v/>
      </c>
      <c r="L2608">
        <f t="shared" si="107"/>
        <v>1</v>
      </c>
      <c r="M2608" s="10" t="str">
        <f>IFERROR(_xlfn.XLOOKUP(C2608,[1]StuntDes!$B:$B,[1]StuntDes!$A:$A),"")</f>
        <v/>
      </c>
      <c r="N2608" s="10" t="str">
        <f>IFERROR(_xlfn.XLOOKUP(C2608,[1]ModifierDes!$B:$B,[1]ModifierDes!$A:$A),"")</f>
        <v/>
      </c>
      <c r="O2608" s="10">
        <f>IFERROR(_xlfn.XLOOKUP(C2608,[1]AttributeName!$C:$C,[1]AttributeName!$B:$B),"")</f>
        <v>10502</v>
      </c>
      <c r="P2608" s="10"/>
      <c r="Q2608">
        <v>0.14</v>
      </c>
      <c r="R2608">
        <v>0.17</v>
      </c>
      <c r="S2608" cm="1">
        <f t="array" ref="S2608">IFERROR(_xlfn.SWITCH(L2608,1,_xlfn.XLOOKUP(O2608,[1]AttributeName!$B:$B,[1]AttributeName!$D:$D),2,_xlfn.XLOOKUP(C2608,#REF!,#REF!),3,_xlfn.XLOOKUP(C2608,#REF!,#REF!)),0)</f>
        <v>2</v>
      </c>
      <c r="T2608" cm="1">
        <f t="array" ref="T2608">IFERROR(_xlfn.SWITCH(L2608,1,_xlfn.XLOOKUP(O2608,[1]AttributeName!$B:$B,[1]AttributeName!$E:$E),2,_xlfn.XLOOKUP(C2608,#REF!,#REF!),3,_xlfn.XLOOKUP(C2608,#REF!,#REF!)),0)</f>
        <v>2</v>
      </c>
    </row>
    <row r="2609" customFormat="1" spans="1:20">
      <c r="A2609">
        <f t="shared" si="108"/>
        <v>1060</v>
      </c>
      <c r="B2609">
        <v>6</v>
      </c>
      <c r="C2609" t="s">
        <v>403</v>
      </c>
      <c r="D2609" t="s">
        <v>442</v>
      </c>
      <c r="E2609" t="s">
        <v>392</v>
      </c>
      <c r="F2609"/>
      <c r="G2609">
        <v>2</v>
      </c>
      <c r="H2609">
        <v>500</v>
      </c>
      <c r="I2609">
        <v>3</v>
      </c>
      <c r="J2609" cm="1">
        <f t="array" ref="J2609">_xlfn.SWITCH(B2609,1,75,2,61,3,49,4,37,5,25,6,13,7,4,8,1)</f>
        <v>13</v>
      </c>
      <c r="K2609" t="str" cm="1">
        <f t="array" ref="K2609">IFERROR(_xlfn.SWITCH(L2609,2,_xlfn.XLOOKUP(C2609,[1]ModifierDes!$B:$B,[1]ModifierDes!$C:$C),3,_xlfn.XLOOKUP(C2609,[1]StuntDes!$B:$B,[1]StuntDes!$C:$C)),"")</f>
        <v/>
      </c>
      <c r="L2609">
        <f t="shared" si="107"/>
        <v>1</v>
      </c>
      <c r="M2609" s="10" t="str">
        <f>IFERROR(_xlfn.XLOOKUP(C2609,[1]StuntDes!$B:$B,[1]StuntDes!$A:$A),"")</f>
        <v/>
      </c>
      <c r="N2609" s="10" t="str">
        <f>IFERROR(_xlfn.XLOOKUP(C2609,[1]ModifierDes!$B:$B,[1]ModifierDes!$A:$A),"")</f>
        <v/>
      </c>
      <c r="O2609" s="10">
        <f>IFERROR(_xlfn.XLOOKUP(C2609,[1]AttributeName!$C:$C,[1]AttributeName!$B:$B),"")</f>
        <v>10502</v>
      </c>
      <c r="P2609" s="10"/>
      <c r="Q2609">
        <v>0.1</v>
      </c>
      <c r="R2609">
        <v>0.13</v>
      </c>
      <c r="S2609" cm="1">
        <f t="array" ref="S2609">IFERROR(_xlfn.SWITCH(L2609,1,_xlfn.XLOOKUP(O2609,[1]AttributeName!$B:$B,[1]AttributeName!$D:$D),2,_xlfn.XLOOKUP(C2609,#REF!,#REF!),3,_xlfn.XLOOKUP(C2609,#REF!,#REF!)),0)</f>
        <v>2</v>
      </c>
      <c r="T2609" cm="1">
        <f t="array" ref="T2609">IFERROR(_xlfn.SWITCH(L2609,1,_xlfn.XLOOKUP(O2609,[1]AttributeName!$B:$B,[1]AttributeName!$E:$E),2,_xlfn.XLOOKUP(C2609,#REF!,#REF!),3,_xlfn.XLOOKUP(C2609,#REF!,#REF!)),0)</f>
        <v>2</v>
      </c>
    </row>
    <row r="2610" customFormat="1" spans="1:20">
      <c r="A2610">
        <f t="shared" si="108"/>
        <v>1060</v>
      </c>
      <c r="B2610">
        <v>7</v>
      </c>
      <c r="C2610" t="s">
        <v>403</v>
      </c>
      <c r="D2610" t="s">
        <v>442</v>
      </c>
      <c r="E2610" t="s">
        <v>392</v>
      </c>
      <c r="F2610"/>
      <c r="G2610">
        <v>2</v>
      </c>
      <c r="H2610">
        <v>500</v>
      </c>
      <c r="I2610">
        <v>3</v>
      </c>
      <c r="J2610" cm="1">
        <f t="array" ref="J2610">_xlfn.SWITCH(B2610,1,75,2,61,3,49,4,37,5,25,6,13,7,4,8,1)</f>
        <v>4</v>
      </c>
      <c r="K2610" t="str" cm="1">
        <f t="array" ref="K2610">IFERROR(_xlfn.SWITCH(L2610,2,_xlfn.XLOOKUP(C2610,[1]ModifierDes!$B:$B,[1]ModifierDes!$C:$C),3,_xlfn.XLOOKUP(C2610,[1]StuntDes!$B:$B,[1]StuntDes!$C:$C)),"")</f>
        <v/>
      </c>
      <c r="L2610">
        <f t="shared" si="107"/>
        <v>1</v>
      </c>
      <c r="M2610" s="10" t="str">
        <f>IFERROR(_xlfn.XLOOKUP(C2610,[1]StuntDes!$B:$B,[1]StuntDes!$A:$A),"")</f>
        <v/>
      </c>
      <c r="N2610" s="10" t="str">
        <f>IFERROR(_xlfn.XLOOKUP(C2610,[1]ModifierDes!$B:$B,[1]ModifierDes!$A:$A),"")</f>
        <v/>
      </c>
      <c r="O2610" s="10">
        <f>IFERROR(_xlfn.XLOOKUP(C2610,[1]AttributeName!$C:$C,[1]AttributeName!$B:$B),"")</f>
        <v>10502</v>
      </c>
      <c r="P2610" s="10"/>
      <c r="Q2610">
        <v>0.06</v>
      </c>
      <c r="R2610">
        <v>0.0900000000000001</v>
      </c>
      <c r="S2610" cm="1">
        <f t="array" ref="S2610">IFERROR(_xlfn.SWITCH(L2610,1,_xlfn.XLOOKUP(O2610,[1]AttributeName!$B:$B,[1]AttributeName!$D:$D),2,_xlfn.XLOOKUP(C2610,#REF!,#REF!),3,_xlfn.XLOOKUP(C2610,#REF!,#REF!)),0)</f>
        <v>2</v>
      </c>
      <c r="T2610" cm="1">
        <f t="array" ref="T2610">IFERROR(_xlfn.SWITCH(L2610,1,_xlfn.XLOOKUP(O2610,[1]AttributeName!$B:$B,[1]AttributeName!$E:$E),2,_xlfn.XLOOKUP(C2610,#REF!,#REF!),3,_xlfn.XLOOKUP(C2610,#REF!,#REF!)),0)</f>
        <v>2</v>
      </c>
    </row>
    <row r="2611" customFormat="1" spans="1:20">
      <c r="A2611">
        <f t="shared" si="108"/>
        <v>1060</v>
      </c>
      <c r="B2611">
        <v>8</v>
      </c>
      <c r="C2611" t="s">
        <v>403</v>
      </c>
      <c r="D2611" t="s">
        <v>442</v>
      </c>
      <c r="E2611" t="s">
        <v>392</v>
      </c>
      <c r="F2611"/>
      <c r="G2611">
        <v>2</v>
      </c>
      <c r="H2611">
        <v>500</v>
      </c>
      <c r="I2611">
        <v>3</v>
      </c>
      <c r="J2611" cm="1">
        <f t="array" ref="J2611">_xlfn.SWITCH(B2611,1,75,2,61,3,49,4,37,5,25,6,13,7,4,8,1)</f>
        <v>1</v>
      </c>
      <c r="K2611" t="str" cm="1">
        <f t="array" ref="K2611">IFERROR(_xlfn.SWITCH(L2611,2,_xlfn.XLOOKUP(C2611,[1]ModifierDes!$B:$B,[1]ModifierDes!$C:$C),3,_xlfn.XLOOKUP(C2611,[1]StuntDes!$B:$B,[1]StuntDes!$C:$C)),"")</f>
        <v/>
      </c>
      <c r="L2611">
        <f t="shared" si="107"/>
        <v>1</v>
      </c>
      <c r="M2611" s="10" t="str">
        <f>IFERROR(_xlfn.XLOOKUP(C2611,[1]StuntDes!$B:$B,[1]StuntDes!$A:$A),"")</f>
        <v/>
      </c>
      <c r="N2611" s="10" t="str">
        <f>IFERROR(_xlfn.XLOOKUP(C2611,[1]ModifierDes!$B:$B,[1]ModifierDes!$A:$A),"")</f>
        <v/>
      </c>
      <c r="O2611" s="10">
        <f>IFERROR(_xlfn.XLOOKUP(C2611,[1]AttributeName!$C:$C,[1]AttributeName!$B:$B),"")</f>
        <v>10502</v>
      </c>
      <c r="P2611" s="10"/>
      <c r="Q2611">
        <v>0.02</v>
      </c>
      <c r="R2611">
        <v>0.0500000000000001</v>
      </c>
      <c r="S2611" cm="1">
        <f t="array" ref="S2611">IFERROR(_xlfn.SWITCH(L2611,1,_xlfn.XLOOKUP(O2611,[1]AttributeName!$B:$B,[1]AttributeName!$D:$D),2,_xlfn.XLOOKUP(C2611,#REF!,#REF!),3,_xlfn.XLOOKUP(C2611,#REF!,#REF!)),0)</f>
        <v>2</v>
      </c>
      <c r="T2611" cm="1">
        <f t="array" ref="T2611">IFERROR(_xlfn.SWITCH(L2611,1,_xlfn.XLOOKUP(O2611,[1]AttributeName!$B:$B,[1]AttributeName!$E:$E),2,_xlfn.XLOOKUP(C2611,#REF!,#REF!),3,_xlfn.XLOOKUP(C2611,#REF!,#REF!)),0)</f>
        <v>2</v>
      </c>
    </row>
    <row r="2612" customFormat="1" spans="1:20">
      <c r="A2612">
        <f t="shared" si="108"/>
        <v>1061</v>
      </c>
      <c r="B2612">
        <v>1</v>
      </c>
      <c r="C2612" t="s">
        <v>404</v>
      </c>
      <c r="D2612" t="s">
        <v>442</v>
      </c>
      <c r="E2612" t="s">
        <v>392</v>
      </c>
      <c r="F2612"/>
      <c r="G2612">
        <v>2</v>
      </c>
      <c r="H2612">
        <v>50</v>
      </c>
      <c r="I2612">
        <v>3</v>
      </c>
      <c r="J2612" cm="1">
        <f t="array" ref="J2612">_xlfn.SWITCH(B2612,1,75,2,61,3,49,4,37,5,25,6,13,7,4,8,1)</f>
        <v>75</v>
      </c>
      <c r="K2612" t="str" cm="1">
        <f t="array" ref="K2612">IFERROR(_xlfn.SWITCH(L2612,2,_xlfn.XLOOKUP(C2612,[1]ModifierDes!$B:$B,[1]ModifierDes!$C:$C),3,_xlfn.XLOOKUP(C2612,[1]StuntDes!$B:$B,[1]StuntDes!$C:$C)),"")</f>
        <v/>
      </c>
      <c r="L2612">
        <f t="shared" si="107"/>
        <v>1</v>
      </c>
      <c r="M2612" s="10" t="str">
        <f>IFERROR(_xlfn.XLOOKUP(C2612,[1]StuntDes!$B:$B,[1]StuntDes!$A:$A),"")</f>
        <v/>
      </c>
      <c r="N2612" s="10" t="str">
        <f>IFERROR(_xlfn.XLOOKUP(C2612,[1]ModifierDes!$B:$B,[1]ModifierDes!$A:$A),"")</f>
        <v/>
      </c>
      <c r="O2612" s="10">
        <f>IFERROR(_xlfn.XLOOKUP(C2612,[1]AttributeName!$C:$C,[1]AttributeName!$B:$B),"")</f>
        <v>10503</v>
      </c>
      <c r="P2612" s="10"/>
      <c r="Q2612">
        <v>0.3</v>
      </c>
      <c r="R2612">
        <v>0.4</v>
      </c>
      <c r="S2612" cm="1">
        <f t="array" ref="S2612">IFERROR(_xlfn.SWITCH(L2612,1,_xlfn.XLOOKUP(O2612,[1]AttributeName!$B:$B,[1]AttributeName!$D:$D),2,_xlfn.XLOOKUP(C2612,#REF!,#REF!),3,_xlfn.XLOOKUP(C2612,#REF!,#REF!)),0)</f>
        <v>2</v>
      </c>
      <c r="T2612" cm="1">
        <f t="array" ref="T2612">IFERROR(_xlfn.SWITCH(L2612,1,_xlfn.XLOOKUP(O2612,[1]AttributeName!$B:$B,[1]AttributeName!$E:$E),2,_xlfn.XLOOKUP(C2612,#REF!,#REF!),3,_xlfn.XLOOKUP(C2612,#REF!,#REF!)),0)</f>
        <v>2</v>
      </c>
    </row>
    <row r="2613" customFormat="1" spans="1:20">
      <c r="A2613">
        <f t="shared" si="108"/>
        <v>1061</v>
      </c>
      <c r="B2613">
        <v>2</v>
      </c>
      <c r="C2613" t="s">
        <v>404</v>
      </c>
      <c r="D2613" t="s">
        <v>442</v>
      </c>
      <c r="E2613" t="s">
        <v>392</v>
      </c>
      <c r="F2613"/>
      <c r="G2613">
        <v>2</v>
      </c>
      <c r="H2613">
        <v>100</v>
      </c>
      <c r="I2613">
        <v>3</v>
      </c>
      <c r="J2613" cm="1">
        <f t="array" ref="J2613">_xlfn.SWITCH(B2613,1,75,2,61,3,49,4,37,5,25,6,13,7,4,8,1)</f>
        <v>61</v>
      </c>
      <c r="K2613" t="str" cm="1">
        <f t="array" ref="K2613">IFERROR(_xlfn.SWITCH(L2613,2,_xlfn.XLOOKUP(C2613,[1]ModifierDes!$B:$B,[1]ModifierDes!$C:$C),3,_xlfn.XLOOKUP(C2613,[1]StuntDes!$B:$B,[1]StuntDes!$C:$C)),"")</f>
        <v/>
      </c>
      <c r="L2613">
        <f t="shared" si="107"/>
        <v>1</v>
      </c>
      <c r="M2613" s="10" t="str">
        <f>IFERROR(_xlfn.XLOOKUP(C2613,[1]StuntDes!$B:$B,[1]StuntDes!$A:$A),"")</f>
        <v/>
      </c>
      <c r="N2613" s="10" t="str">
        <f>IFERROR(_xlfn.XLOOKUP(C2613,[1]ModifierDes!$B:$B,[1]ModifierDes!$A:$A),"")</f>
        <v/>
      </c>
      <c r="O2613" s="10">
        <f>IFERROR(_xlfn.XLOOKUP(C2613,[1]AttributeName!$C:$C,[1]AttributeName!$B:$B),"")</f>
        <v>10503</v>
      </c>
      <c r="P2613" s="10"/>
      <c r="Q2613">
        <v>0.26</v>
      </c>
      <c r="R2613">
        <v>0.29</v>
      </c>
      <c r="S2613" cm="1">
        <f t="array" ref="S2613">IFERROR(_xlfn.SWITCH(L2613,1,_xlfn.XLOOKUP(O2613,[1]AttributeName!$B:$B,[1]AttributeName!$D:$D),2,_xlfn.XLOOKUP(C2613,#REF!,#REF!),3,_xlfn.XLOOKUP(C2613,#REF!,#REF!)),0)</f>
        <v>2</v>
      </c>
      <c r="T2613" cm="1">
        <f t="array" ref="T2613">IFERROR(_xlfn.SWITCH(L2613,1,_xlfn.XLOOKUP(O2613,[1]AttributeName!$B:$B,[1]AttributeName!$E:$E),2,_xlfn.XLOOKUP(C2613,#REF!,#REF!),3,_xlfn.XLOOKUP(C2613,#REF!,#REF!)),0)</f>
        <v>2</v>
      </c>
    </row>
    <row r="2614" customFormat="1" spans="1:20">
      <c r="A2614">
        <f t="shared" si="108"/>
        <v>1061</v>
      </c>
      <c r="B2614">
        <v>3</v>
      </c>
      <c r="C2614" t="s">
        <v>404</v>
      </c>
      <c r="D2614" t="s">
        <v>442</v>
      </c>
      <c r="E2614" t="s">
        <v>392</v>
      </c>
      <c r="F2614"/>
      <c r="G2614">
        <v>2</v>
      </c>
      <c r="H2614">
        <v>250</v>
      </c>
      <c r="I2614">
        <v>3</v>
      </c>
      <c r="J2614" cm="1">
        <f t="array" ref="J2614">_xlfn.SWITCH(B2614,1,75,2,61,3,49,4,37,5,25,6,13,7,4,8,1)</f>
        <v>49</v>
      </c>
      <c r="K2614" t="str" cm="1">
        <f t="array" ref="K2614">IFERROR(_xlfn.SWITCH(L2614,2,_xlfn.XLOOKUP(C2614,[1]ModifierDes!$B:$B,[1]ModifierDes!$C:$C),3,_xlfn.XLOOKUP(C2614,[1]StuntDes!$B:$B,[1]StuntDes!$C:$C)),"")</f>
        <v/>
      </c>
      <c r="L2614">
        <f t="shared" si="107"/>
        <v>1</v>
      </c>
      <c r="M2614" s="10" t="str">
        <f>IFERROR(_xlfn.XLOOKUP(C2614,[1]StuntDes!$B:$B,[1]StuntDes!$A:$A),"")</f>
        <v/>
      </c>
      <c r="N2614" s="10" t="str">
        <f>IFERROR(_xlfn.XLOOKUP(C2614,[1]ModifierDes!$B:$B,[1]ModifierDes!$A:$A),"")</f>
        <v/>
      </c>
      <c r="O2614" s="10">
        <f>IFERROR(_xlfn.XLOOKUP(C2614,[1]AttributeName!$C:$C,[1]AttributeName!$B:$B),"")</f>
        <v>10503</v>
      </c>
      <c r="P2614" s="10"/>
      <c r="Q2614">
        <v>0.22</v>
      </c>
      <c r="R2614">
        <v>0.25</v>
      </c>
      <c r="S2614" cm="1">
        <f t="array" ref="S2614">IFERROR(_xlfn.SWITCH(L2614,1,_xlfn.XLOOKUP(O2614,[1]AttributeName!$B:$B,[1]AttributeName!$D:$D),2,_xlfn.XLOOKUP(C2614,#REF!,#REF!),3,_xlfn.XLOOKUP(C2614,#REF!,#REF!)),0)</f>
        <v>2</v>
      </c>
      <c r="T2614" cm="1">
        <f t="array" ref="T2614">IFERROR(_xlfn.SWITCH(L2614,1,_xlfn.XLOOKUP(O2614,[1]AttributeName!$B:$B,[1]AttributeName!$E:$E),2,_xlfn.XLOOKUP(C2614,#REF!,#REF!),3,_xlfn.XLOOKUP(C2614,#REF!,#REF!)),0)</f>
        <v>2</v>
      </c>
    </row>
    <row r="2615" customFormat="1" spans="1:20">
      <c r="A2615">
        <f t="shared" si="108"/>
        <v>1061</v>
      </c>
      <c r="B2615">
        <v>4</v>
      </c>
      <c r="C2615" t="s">
        <v>404</v>
      </c>
      <c r="D2615" t="s">
        <v>442</v>
      </c>
      <c r="E2615" t="s">
        <v>392</v>
      </c>
      <c r="F2615"/>
      <c r="G2615">
        <v>2</v>
      </c>
      <c r="H2615">
        <v>500</v>
      </c>
      <c r="I2615">
        <v>3</v>
      </c>
      <c r="J2615" cm="1">
        <f t="array" ref="J2615">_xlfn.SWITCH(B2615,1,75,2,61,3,49,4,37,5,25,6,13,7,4,8,1)</f>
        <v>37</v>
      </c>
      <c r="K2615" t="str" cm="1">
        <f t="array" ref="K2615">IFERROR(_xlfn.SWITCH(L2615,2,_xlfn.XLOOKUP(C2615,[1]ModifierDes!$B:$B,[1]ModifierDes!$C:$C),3,_xlfn.XLOOKUP(C2615,[1]StuntDes!$B:$B,[1]StuntDes!$C:$C)),"")</f>
        <v/>
      </c>
      <c r="L2615">
        <f t="shared" si="107"/>
        <v>1</v>
      </c>
      <c r="M2615" s="10" t="str">
        <f>IFERROR(_xlfn.XLOOKUP(C2615,[1]StuntDes!$B:$B,[1]StuntDes!$A:$A),"")</f>
        <v/>
      </c>
      <c r="N2615" s="10" t="str">
        <f>IFERROR(_xlfn.XLOOKUP(C2615,[1]ModifierDes!$B:$B,[1]ModifierDes!$A:$A),"")</f>
        <v/>
      </c>
      <c r="O2615" s="10">
        <f>IFERROR(_xlfn.XLOOKUP(C2615,[1]AttributeName!$C:$C,[1]AttributeName!$B:$B),"")</f>
        <v>10503</v>
      </c>
      <c r="P2615" s="10"/>
      <c r="Q2615">
        <v>0.18</v>
      </c>
      <c r="R2615">
        <v>0.21</v>
      </c>
      <c r="S2615" cm="1">
        <f t="array" ref="S2615">IFERROR(_xlfn.SWITCH(L2615,1,_xlfn.XLOOKUP(O2615,[1]AttributeName!$B:$B,[1]AttributeName!$D:$D),2,_xlfn.XLOOKUP(C2615,#REF!,#REF!),3,_xlfn.XLOOKUP(C2615,#REF!,#REF!)),0)</f>
        <v>2</v>
      </c>
      <c r="T2615" cm="1">
        <f t="array" ref="T2615">IFERROR(_xlfn.SWITCH(L2615,1,_xlfn.XLOOKUP(O2615,[1]AttributeName!$B:$B,[1]AttributeName!$E:$E),2,_xlfn.XLOOKUP(C2615,#REF!,#REF!),3,_xlfn.XLOOKUP(C2615,#REF!,#REF!)),0)</f>
        <v>2</v>
      </c>
    </row>
    <row r="2616" customFormat="1" spans="1:20">
      <c r="A2616">
        <f t="shared" si="108"/>
        <v>1061</v>
      </c>
      <c r="B2616">
        <v>5</v>
      </c>
      <c r="C2616" t="s">
        <v>404</v>
      </c>
      <c r="D2616" t="s">
        <v>442</v>
      </c>
      <c r="E2616" t="s">
        <v>392</v>
      </c>
      <c r="F2616"/>
      <c r="G2616">
        <v>2</v>
      </c>
      <c r="H2616">
        <v>500</v>
      </c>
      <c r="I2616">
        <v>3</v>
      </c>
      <c r="J2616" cm="1">
        <f t="array" ref="J2616">_xlfn.SWITCH(B2616,1,75,2,61,3,49,4,37,5,25,6,13,7,4,8,1)</f>
        <v>25</v>
      </c>
      <c r="K2616" t="str" cm="1">
        <f t="array" ref="K2616">IFERROR(_xlfn.SWITCH(L2616,2,_xlfn.XLOOKUP(C2616,[1]ModifierDes!$B:$B,[1]ModifierDes!$C:$C),3,_xlfn.XLOOKUP(C2616,[1]StuntDes!$B:$B,[1]StuntDes!$C:$C)),"")</f>
        <v/>
      </c>
      <c r="L2616">
        <f t="shared" si="107"/>
        <v>1</v>
      </c>
      <c r="M2616" s="10" t="str">
        <f>IFERROR(_xlfn.XLOOKUP(C2616,[1]StuntDes!$B:$B,[1]StuntDes!$A:$A),"")</f>
        <v/>
      </c>
      <c r="N2616" s="10" t="str">
        <f>IFERROR(_xlfn.XLOOKUP(C2616,[1]ModifierDes!$B:$B,[1]ModifierDes!$A:$A),"")</f>
        <v/>
      </c>
      <c r="O2616" s="10">
        <f>IFERROR(_xlfn.XLOOKUP(C2616,[1]AttributeName!$C:$C,[1]AttributeName!$B:$B),"")</f>
        <v>10503</v>
      </c>
      <c r="P2616" s="10"/>
      <c r="Q2616">
        <v>0.14</v>
      </c>
      <c r="R2616">
        <v>0.17</v>
      </c>
      <c r="S2616" cm="1">
        <f t="array" ref="S2616">IFERROR(_xlfn.SWITCH(L2616,1,_xlfn.XLOOKUP(O2616,[1]AttributeName!$B:$B,[1]AttributeName!$D:$D),2,_xlfn.XLOOKUP(C2616,#REF!,#REF!),3,_xlfn.XLOOKUP(C2616,#REF!,#REF!)),0)</f>
        <v>2</v>
      </c>
      <c r="T2616" cm="1">
        <f t="array" ref="T2616">IFERROR(_xlfn.SWITCH(L2616,1,_xlfn.XLOOKUP(O2616,[1]AttributeName!$B:$B,[1]AttributeName!$E:$E),2,_xlfn.XLOOKUP(C2616,#REF!,#REF!),3,_xlfn.XLOOKUP(C2616,#REF!,#REF!)),0)</f>
        <v>2</v>
      </c>
    </row>
    <row r="2617" customFormat="1" spans="1:20">
      <c r="A2617">
        <f t="shared" si="108"/>
        <v>1061</v>
      </c>
      <c r="B2617">
        <v>6</v>
      </c>
      <c r="C2617" t="s">
        <v>404</v>
      </c>
      <c r="D2617" t="s">
        <v>442</v>
      </c>
      <c r="E2617" t="s">
        <v>392</v>
      </c>
      <c r="F2617"/>
      <c r="G2617">
        <v>2</v>
      </c>
      <c r="H2617">
        <v>500</v>
      </c>
      <c r="I2617">
        <v>3</v>
      </c>
      <c r="J2617" cm="1">
        <f t="array" ref="J2617">_xlfn.SWITCH(B2617,1,75,2,61,3,49,4,37,5,25,6,13,7,4,8,1)</f>
        <v>13</v>
      </c>
      <c r="K2617" t="str" cm="1">
        <f t="array" ref="K2617">IFERROR(_xlfn.SWITCH(L2617,2,_xlfn.XLOOKUP(C2617,[1]ModifierDes!$B:$B,[1]ModifierDes!$C:$C),3,_xlfn.XLOOKUP(C2617,[1]StuntDes!$B:$B,[1]StuntDes!$C:$C)),"")</f>
        <v/>
      </c>
      <c r="L2617">
        <f t="shared" si="107"/>
        <v>1</v>
      </c>
      <c r="M2617" s="10" t="str">
        <f>IFERROR(_xlfn.XLOOKUP(C2617,[1]StuntDes!$B:$B,[1]StuntDes!$A:$A),"")</f>
        <v/>
      </c>
      <c r="N2617" s="10" t="str">
        <f>IFERROR(_xlfn.XLOOKUP(C2617,[1]ModifierDes!$B:$B,[1]ModifierDes!$A:$A),"")</f>
        <v/>
      </c>
      <c r="O2617" s="10">
        <f>IFERROR(_xlfn.XLOOKUP(C2617,[1]AttributeName!$C:$C,[1]AttributeName!$B:$B),"")</f>
        <v>10503</v>
      </c>
      <c r="P2617" s="10"/>
      <c r="Q2617">
        <v>0.1</v>
      </c>
      <c r="R2617">
        <v>0.13</v>
      </c>
      <c r="S2617" cm="1">
        <f t="array" ref="S2617">IFERROR(_xlfn.SWITCH(L2617,1,_xlfn.XLOOKUP(O2617,[1]AttributeName!$B:$B,[1]AttributeName!$D:$D),2,_xlfn.XLOOKUP(C2617,#REF!,#REF!),3,_xlfn.XLOOKUP(C2617,#REF!,#REF!)),0)</f>
        <v>2</v>
      </c>
      <c r="T2617" cm="1">
        <f t="array" ref="T2617">IFERROR(_xlfn.SWITCH(L2617,1,_xlfn.XLOOKUP(O2617,[1]AttributeName!$B:$B,[1]AttributeName!$E:$E),2,_xlfn.XLOOKUP(C2617,#REF!,#REF!),3,_xlfn.XLOOKUP(C2617,#REF!,#REF!)),0)</f>
        <v>2</v>
      </c>
    </row>
    <row r="2618" customFormat="1" spans="1:20">
      <c r="A2618">
        <f t="shared" si="108"/>
        <v>1061</v>
      </c>
      <c r="B2618">
        <v>7</v>
      </c>
      <c r="C2618" t="s">
        <v>404</v>
      </c>
      <c r="D2618" t="s">
        <v>442</v>
      </c>
      <c r="E2618" t="s">
        <v>392</v>
      </c>
      <c r="F2618"/>
      <c r="G2618">
        <v>2</v>
      </c>
      <c r="H2618">
        <v>500</v>
      </c>
      <c r="I2618">
        <v>3</v>
      </c>
      <c r="J2618" cm="1">
        <f t="array" ref="J2618">_xlfn.SWITCH(B2618,1,75,2,61,3,49,4,37,5,25,6,13,7,4,8,1)</f>
        <v>4</v>
      </c>
      <c r="K2618" t="str" cm="1">
        <f t="array" ref="K2618">IFERROR(_xlfn.SWITCH(L2618,2,_xlfn.XLOOKUP(C2618,[1]ModifierDes!$B:$B,[1]ModifierDes!$C:$C),3,_xlfn.XLOOKUP(C2618,[1]StuntDes!$B:$B,[1]StuntDes!$C:$C)),"")</f>
        <v/>
      </c>
      <c r="L2618">
        <f t="shared" si="107"/>
        <v>1</v>
      </c>
      <c r="M2618" s="10" t="str">
        <f>IFERROR(_xlfn.XLOOKUP(C2618,[1]StuntDes!$B:$B,[1]StuntDes!$A:$A),"")</f>
        <v/>
      </c>
      <c r="N2618" s="10" t="str">
        <f>IFERROR(_xlfn.XLOOKUP(C2618,[1]ModifierDes!$B:$B,[1]ModifierDes!$A:$A),"")</f>
        <v/>
      </c>
      <c r="O2618" s="10">
        <f>IFERROR(_xlfn.XLOOKUP(C2618,[1]AttributeName!$C:$C,[1]AttributeName!$B:$B),"")</f>
        <v>10503</v>
      </c>
      <c r="P2618" s="10"/>
      <c r="Q2618">
        <v>0.06</v>
      </c>
      <c r="R2618">
        <v>0.0900000000000001</v>
      </c>
      <c r="S2618" cm="1">
        <f t="array" ref="S2618">IFERROR(_xlfn.SWITCH(L2618,1,_xlfn.XLOOKUP(O2618,[1]AttributeName!$B:$B,[1]AttributeName!$D:$D),2,_xlfn.XLOOKUP(C2618,#REF!,#REF!),3,_xlfn.XLOOKUP(C2618,#REF!,#REF!)),0)</f>
        <v>2</v>
      </c>
      <c r="T2618" cm="1">
        <f t="array" ref="T2618">IFERROR(_xlfn.SWITCH(L2618,1,_xlfn.XLOOKUP(O2618,[1]AttributeName!$B:$B,[1]AttributeName!$E:$E),2,_xlfn.XLOOKUP(C2618,#REF!,#REF!),3,_xlfn.XLOOKUP(C2618,#REF!,#REF!)),0)</f>
        <v>2</v>
      </c>
    </row>
    <row r="2619" customFormat="1" spans="1:20">
      <c r="A2619">
        <f t="shared" si="108"/>
        <v>1061</v>
      </c>
      <c r="B2619">
        <v>8</v>
      </c>
      <c r="C2619" t="s">
        <v>404</v>
      </c>
      <c r="D2619" t="s">
        <v>442</v>
      </c>
      <c r="E2619" t="s">
        <v>392</v>
      </c>
      <c r="F2619"/>
      <c r="G2619">
        <v>2</v>
      </c>
      <c r="H2619">
        <v>500</v>
      </c>
      <c r="I2619">
        <v>3</v>
      </c>
      <c r="J2619" cm="1">
        <f t="array" ref="J2619">_xlfn.SWITCH(B2619,1,75,2,61,3,49,4,37,5,25,6,13,7,4,8,1)</f>
        <v>1</v>
      </c>
      <c r="K2619" t="str" cm="1">
        <f t="array" ref="K2619">IFERROR(_xlfn.SWITCH(L2619,2,_xlfn.XLOOKUP(C2619,[1]ModifierDes!$B:$B,[1]ModifierDes!$C:$C),3,_xlfn.XLOOKUP(C2619,[1]StuntDes!$B:$B,[1]StuntDes!$C:$C)),"")</f>
        <v/>
      </c>
      <c r="L2619">
        <f t="shared" si="107"/>
        <v>1</v>
      </c>
      <c r="M2619" s="10" t="str">
        <f>IFERROR(_xlfn.XLOOKUP(C2619,[1]StuntDes!$B:$B,[1]StuntDes!$A:$A),"")</f>
        <v/>
      </c>
      <c r="N2619" s="10" t="str">
        <f>IFERROR(_xlfn.XLOOKUP(C2619,[1]ModifierDes!$B:$B,[1]ModifierDes!$A:$A),"")</f>
        <v/>
      </c>
      <c r="O2619" s="10">
        <f>IFERROR(_xlfn.XLOOKUP(C2619,[1]AttributeName!$C:$C,[1]AttributeName!$B:$B),"")</f>
        <v>10503</v>
      </c>
      <c r="P2619" s="10"/>
      <c r="Q2619">
        <v>0.02</v>
      </c>
      <c r="R2619">
        <v>0.0500000000000001</v>
      </c>
      <c r="S2619" cm="1">
        <f t="array" ref="S2619">IFERROR(_xlfn.SWITCH(L2619,1,_xlfn.XLOOKUP(O2619,[1]AttributeName!$B:$B,[1]AttributeName!$D:$D),2,_xlfn.XLOOKUP(C2619,#REF!,#REF!),3,_xlfn.XLOOKUP(C2619,#REF!,#REF!)),0)</f>
        <v>2</v>
      </c>
      <c r="T2619" cm="1">
        <f t="array" ref="T2619">IFERROR(_xlfn.SWITCH(L2619,1,_xlfn.XLOOKUP(O2619,[1]AttributeName!$B:$B,[1]AttributeName!$E:$E),2,_xlfn.XLOOKUP(C2619,#REF!,#REF!),3,_xlfn.XLOOKUP(C2619,#REF!,#REF!)),0)</f>
        <v>2</v>
      </c>
    </row>
    <row r="2620" customFormat="1" spans="1:20">
      <c r="A2620">
        <f t="shared" si="108"/>
        <v>1062</v>
      </c>
      <c r="B2620">
        <v>1</v>
      </c>
      <c r="C2620" t="s">
        <v>405</v>
      </c>
      <c r="D2620" t="s">
        <v>442</v>
      </c>
      <c r="E2620" t="s">
        <v>392</v>
      </c>
      <c r="F2620"/>
      <c r="G2620">
        <v>2</v>
      </c>
      <c r="H2620">
        <v>50</v>
      </c>
      <c r="I2620">
        <v>3</v>
      </c>
      <c r="J2620" cm="1">
        <f t="array" ref="J2620">_xlfn.SWITCH(B2620,1,75,2,61,3,49,4,37,5,25,6,13,7,4,8,1)</f>
        <v>75</v>
      </c>
      <c r="K2620" t="str" cm="1">
        <f t="array" ref="K2620">IFERROR(_xlfn.SWITCH(L2620,2,_xlfn.XLOOKUP(C2620,[1]ModifierDes!$B:$B,[1]ModifierDes!$C:$C),3,_xlfn.XLOOKUP(C2620,[1]StuntDes!$B:$B,[1]StuntDes!$C:$C)),"")</f>
        <v/>
      </c>
      <c r="L2620">
        <f t="shared" si="107"/>
        <v>1</v>
      </c>
      <c r="M2620" s="10" t="str">
        <f>IFERROR(_xlfn.XLOOKUP(C2620,[1]StuntDes!$B:$B,[1]StuntDes!$A:$A),"")</f>
        <v/>
      </c>
      <c r="N2620" s="10" t="str">
        <f>IFERROR(_xlfn.XLOOKUP(C2620,[1]ModifierDes!$B:$B,[1]ModifierDes!$A:$A),"")</f>
        <v/>
      </c>
      <c r="O2620" s="10">
        <f>IFERROR(_xlfn.XLOOKUP(C2620,[1]AttributeName!$C:$C,[1]AttributeName!$B:$B),"")</f>
        <v>10504</v>
      </c>
      <c r="P2620" s="10"/>
      <c r="Q2620">
        <v>0.3</v>
      </c>
      <c r="R2620">
        <v>0.4</v>
      </c>
      <c r="S2620" cm="1">
        <f t="array" ref="S2620">IFERROR(_xlfn.SWITCH(L2620,1,_xlfn.XLOOKUP(O2620,[1]AttributeName!$B:$B,[1]AttributeName!$D:$D),2,_xlfn.XLOOKUP(C2620,#REF!,#REF!),3,_xlfn.XLOOKUP(C2620,#REF!,#REF!)),0)</f>
        <v>2</v>
      </c>
      <c r="T2620" cm="1">
        <f t="array" ref="T2620">IFERROR(_xlfn.SWITCH(L2620,1,_xlfn.XLOOKUP(O2620,[1]AttributeName!$B:$B,[1]AttributeName!$E:$E),2,_xlfn.XLOOKUP(C2620,#REF!,#REF!),3,_xlfn.XLOOKUP(C2620,#REF!,#REF!)),0)</f>
        <v>2</v>
      </c>
    </row>
    <row r="2621" customFormat="1" spans="1:20">
      <c r="A2621">
        <f t="shared" si="108"/>
        <v>1062</v>
      </c>
      <c r="B2621">
        <v>2</v>
      </c>
      <c r="C2621" t="s">
        <v>405</v>
      </c>
      <c r="D2621" t="s">
        <v>442</v>
      </c>
      <c r="E2621" t="s">
        <v>392</v>
      </c>
      <c r="F2621"/>
      <c r="G2621">
        <v>2</v>
      </c>
      <c r="H2621">
        <v>100</v>
      </c>
      <c r="I2621">
        <v>3</v>
      </c>
      <c r="J2621" cm="1">
        <f t="array" ref="J2621">_xlfn.SWITCH(B2621,1,75,2,61,3,49,4,37,5,25,6,13,7,4,8,1)</f>
        <v>61</v>
      </c>
      <c r="K2621" t="str" cm="1">
        <f t="array" ref="K2621">IFERROR(_xlfn.SWITCH(L2621,2,_xlfn.XLOOKUP(C2621,[1]ModifierDes!$B:$B,[1]ModifierDes!$C:$C),3,_xlfn.XLOOKUP(C2621,[1]StuntDes!$B:$B,[1]StuntDes!$C:$C)),"")</f>
        <v/>
      </c>
      <c r="L2621">
        <f t="shared" si="107"/>
        <v>1</v>
      </c>
      <c r="M2621" s="10" t="str">
        <f>IFERROR(_xlfn.XLOOKUP(C2621,[1]StuntDes!$B:$B,[1]StuntDes!$A:$A),"")</f>
        <v/>
      </c>
      <c r="N2621" s="10" t="str">
        <f>IFERROR(_xlfn.XLOOKUP(C2621,[1]ModifierDes!$B:$B,[1]ModifierDes!$A:$A),"")</f>
        <v/>
      </c>
      <c r="O2621" s="10">
        <f>IFERROR(_xlfn.XLOOKUP(C2621,[1]AttributeName!$C:$C,[1]AttributeName!$B:$B),"")</f>
        <v>10504</v>
      </c>
      <c r="P2621" s="10"/>
      <c r="Q2621">
        <v>0.26</v>
      </c>
      <c r="R2621">
        <v>0.29</v>
      </c>
      <c r="S2621" cm="1">
        <f t="array" ref="S2621">IFERROR(_xlfn.SWITCH(L2621,1,_xlfn.XLOOKUP(O2621,[1]AttributeName!$B:$B,[1]AttributeName!$D:$D),2,_xlfn.XLOOKUP(C2621,#REF!,#REF!),3,_xlfn.XLOOKUP(C2621,#REF!,#REF!)),0)</f>
        <v>2</v>
      </c>
      <c r="T2621" cm="1">
        <f t="array" ref="T2621">IFERROR(_xlfn.SWITCH(L2621,1,_xlfn.XLOOKUP(O2621,[1]AttributeName!$B:$B,[1]AttributeName!$E:$E),2,_xlfn.XLOOKUP(C2621,#REF!,#REF!),3,_xlfn.XLOOKUP(C2621,#REF!,#REF!)),0)</f>
        <v>2</v>
      </c>
    </row>
    <row r="2622" customFormat="1" spans="1:20">
      <c r="A2622">
        <f t="shared" si="108"/>
        <v>1062</v>
      </c>
      <c r="B2622">
        <v>3</v>
      </c>
      <c r="C2622" t="s">
        <v>405</v>
      </c>
      <c r="D2622" t="s">
        <v>442</v>
      </c>
      <c r="E2622" t="s">
        <v>392</v>
      </c>
      <c r="F2622"/>
      <c r="G2622">
        <v>2</v>
      </c>
      <c r="H2622">
        <v>250</v>
      </c>
      <c r="I2622">
        <v>3</v>
      </c>
      <c r="J2622" cm="1">
        <f t="array" ref="J2622">_xlfn.SWITCH(B2622,1,75,2,61,3,49,4,37,5,25,6,13,7,4,8,1)</f>
        <v>49</v>
      </c>
      <c r="K2622" t="str" cm="1">
        <f t="array" ref="K2622">IFERROR(_xlfn.SWITCH(L2622,2,_xlfn.XLOOKUP(C2622,[1]ModifierDes!$B:$B,[1]ModifierDes!$C:$C),3,_xlfn.XLOOKUP(C2622,[1]StuntDes!$B:$B,[1]StuntDes!$C:$C)),"")</f>
        <v/>
      </c>
      <c r="L2622">
        <f t="shared" si="107"/>
        <v>1</v>
      </c>
      <c r="M2622" s="10" t="str">
        <f>IFERROR(_xlfn.XLOOKUP(C2622,[1]StuntDes!$B:$B,[1]StuntDes!$A:$A),"")</f>
        <v/>
      </c>
      <c r="N2622" s="10" t="str">
        <f>IFERROR(_xlfn.XLOOKUP(C2622,[1]ModifierDes!$B:$B,[1]ModifierDes!$A:$A),"")</f>
        <v/>
      </c>
      <c r="O2622" s="10">
        <f>IFERROR(_xlfn.XLOOKUP(C2622,[1]AttributeName!$C:$C,[1]AttributeName!$B:$B),"")</f>
        <v>10504</v>
      </c>
      <c r="P2622" s="10"/>
      <c r="Q2622">
        <v>0.22</v>
      </c>
      <c r="R2622">
        <v>0.25</v>
      </c>
      <c r="S2622" cm="1">
        <f t="array" ref="S2622">IFERROR(_xlfn.SWITCH(L2622,1,_xlfn.XLOOKUP(O2622,[1]AttributeName!$B:$B,[1]AttributeName!$D:$D),2,_xlfn.XLOOKUP(C2622,#REF!,#REF!),3,_xlfn.XLOOKUP(C2622,#REF!,#REF!)),0)</f>
        <v>2</v>
      </c>
      <c r="T2622" cm="1">
        <f t="array" ref="T2622">IFERROR(_xlfn.SWITCH(L2622,1,_xlfn.XLOOKUP(O2622,[1]AttributeName!$B:$B,[1]AttributeName!$E:$E),2,_xlfn.XLOOKUP(C2622,#REF!,#REF!),3,_xlfn.XLOOKUP(C2622,#REF!,#REF!)),0)</f>
        <v>2</v>
      </c>
    </row>
    <row r="2623" customFormat="1" spans="1:20">
      <c r="A2623">
        <f t="shared" si="108"/>
        <v>1062</v>
      </c>
      <c r="B2623">
        <v>4</v>
      </c>
      <c r="C2623" t="s">
        <v>405</v>
      </c>
      <c r="D2623" t="s">
        <v>442</v>
      </c>
      <c r="E2623" t="s">
        <v>392</v>
      </c>
      <c r="F2623"/>
      <c r="G2623">
        <v>2</v>
      </c>
      <c r="H2623">
        <v>500</v>
      </c>
      <c r="I2623">
        <v>3</v>
      </c>
      <c r="J2623" cm="1">
        <f t="array" ref="J2623">_xlfn.SWITCH(B2623,1,75,2,61,3,49,4,37,5,25,6,13,7,4,8,1)</f>
        <v>37</v>
      </c>
      <c r="K2623" t="str" cm="1">
        <f t="array" ref="K2623">IFERROR(_xlfn.SWITCH(L2623,2,_xlfn.XLOOKUP(C2623,[1]ModifierDes!$B:$B,[1]ModifierDes!$C:$C),3,_xlfn.XLOOKUP(C2623,[1]StuntDes!$B:$B,[1]StuntDes!$C:$C)),"")</f>
        <v/>
      </c>
      <c r="L2623">
        <f t="shared" si="107"/>
        <v>1</v>
      </c>
      <c r="M2623" s="10" t="str">
        <f>IFERROR(_xlfn.XLOOKUP(C2623,[1]StuntDes!$B:$B,[1]StuntDes!$A:$A),"")</f>
        <v/>
      </c>
      <c r="N2623" s="10" t="str">
        <f>IFERROR(_xlfn.XLOOKUP(C2623,[1]ModifierDes!$B:$B,[1]ModifierDes!$A:$A),"")</f>
        <v/>
      </c>
      <c r="O2623" s="10">
        <f>IFERROR(_xlfn.XLOOKUP(C2623,[1]AttributeName!$C:$C,[1]AttributeName!$B:$B),"")</f>
        <v>10504</v>
      </c>
      <c r="P2623" s="10"/>
      <c r="Q2623">
        <v>0.18</v>
      </c>
      <c r="R2623">
        <v>0.21</v>
      </c>
      <c r="S2623" cm="1">
        <f t="array" ref="S2623">IFERROR(_xlfn.SWITCH(L2623,1,_xlfn.XLOOKUP(O2623,[1]AttributeName!$B:$B,[1]AttributeName!$D:$D),2,_xlfn.XLOOKUP(C2623,#REF!,#REF!),3,_xlfn.XLOOKUP(C2623,#REF!,#REF!)),0)</f>
        <v>2</v>
      </c>
      <c r="T2623" cm="1">
        <f t="array" ref="T2623">IFERROR(_xlfn.SWITCH(L2623,1,_xlfn.XLOOKUP(O2623,[1]AttributeName!$B:$B,[1]AttributeName!$E:$E),2,_xlfn.XLOOKUP(C2623,#REF!,#REF!),3,_xlfn.XLOOKUP(C2623,#REF!,#REF!)),0)</f>
        <v>2</v>
      </c>
    </row>
    <row r="2624" customFormat="1" spans="1:20">
      <c r="A2624">
        <f t="shared" si="108"/>
        <v>1062</v>
      </c>
      <c r="B2624">
        <v>5</v>
      </c>
      <c r="C2624" t="s">
        <v>405</v>
      </c>
      <c r="D2624" t="s">
        <v>442</v>
      </c>
      <c r="E2624" t="s">
        <v>392</v>
      </c>
      <c r="F2624"/>
      <c r="G2624">
        <v>2</v>
      </c>
      <c r="H2624">
        <v>500</v>
      </c>
      <c r="I2624">
        <v>3</v>
      </c>
      <c r="J2624" cm="1">
        <f t="array" ref="J2624">_xlfn.SWITCH(B2624,1,75,2,61,3,49,4,37,5,25,6,13,7,4,8,1)</f>
        <v>25</v>
      </c>
      <c r="K2624" t="str" cm="1">
        <f t="array" ref="K2624">IFERROR(_xlfn.SWITCH(L2624,2,_xlfn.XLOOKUP(C2624,[1]ModifierDes!$B:$B,[1]ModifierDes!$C:$C),3,_xlfn.XLOOKUP(C2624,[1]StuntDes!$B:$B,[1]StuntDes!$C:$C)),"")</f>
        <v/>
      </c>
      <c r="L2624">
        <f t="shared" si="107"/>
        <v>1</v>
      </c>
      <c r="M2624" s="10" t="str">
        <f>IFERROR(_xlfn.XLOOKUP(C2624,[1]StuntDes!$B:$B,[1]StuntDes!$A:$A),"")</f>
        <v/>
      </c>
      <c r="N2624" s="10" t="str">
        <f>IFERROR(_xlfn.XLOOKUP(C2624,[1]ModifierDes!$B:$B,[1]ModifierDes!$A:$A),"")</f>
        <v/>
      </c>
      <c r="O2624" s="10">
        <f>IFERROR(_xlfn.XLOOKUP(C2624,[1]AttributeName!$C:$C,[1]AttributeName!$B:$B),"")</f>
        <v>10504</v>
      </c>
      <c r="P2624" s="10"/>
      <c r="Q2624">
        <v>0.14</v>
      </c>
      <c r="R2624">
        <v>0.17</v>
      </c>
      <c r="S2624" cm="1">
        <f t="array" ref="S2624">IFERROR(_xlfn.SWITCH(L2624,1,_xlfn.XLOOKUP(O2624,[1]AttributeName!$B:$B,[1]AttributeName!$D:$D),2,_xlfn.XLOOKUP(C2624,#REF!,#REF!),3,_xlfn.XLOOKUP(C2624,#REF!,#REF!)),0)</f>
        <v>2</v>
      </c>
      <c r="T2624" cm="1">
        <f t="array" ref="T2624">IFERROR(_xlfn.SWITCH(L2624,1,_xlfn.XLOOKUP(O2624,[1]AttributeName!$B:$B,[1]AttributeName!$E:$E),2,_xlfn.XLOOKUP(C2624,#REF!,#REF!),3,_xlfn.XLOOKUP(C2624,#REF!,#REF!)),0)</f>
        <v>2</v>
      </c>
    </row>
    <row r="2625" customFormat="1" spans="1:20">
      <c r="A2625">
        <f t="shared" si="108"/>
        <v>1062</v>
      </c>
      <c r="B2625">
        <v>6</v>
      </c>
      <c r="C2625" t="s">
        <v>405</v>
      </c>
      <c r="D2625" t="s">
        <v>442</v>
      </c>
      <c r="E2625" t="s">
        <v>392</v>
      </c>
      <c r="F2625"/>
      <c r="G2625">
        <v>2</v>
      </c>
      <c r="H2625">
        <v>500</v>
      </c>
      <c r="I2625">
        <v>3</v>
      </c>
      <c r="J2625" cm="1">
        <f t="array" ref="J2625">_xlfn.SWITCH(B2625,1,75,2,61,3,49,4,37,5,25,6,13,7,4,8,1)</f>
        <v>13</v>
      </c>
      <c r="K2625" t="str" cm="1">
        <f t="array" ref="K2625">IFERROR(_xlfn.SWITCH(L2625,2,_xlfn.XLOOKUP(C2625,[1]ModifierDes!$B:$B,[1]ModifierDes!$C:$C),3,_xlfn.XLOOKUP(C2625,[1]StuntDes!$B:$B,[1]StuntDes!$C:$C)),"")</f>
        <v/>
      </c>
      <c r="L2625">
        <f t="shared" si="107"/>
        <v>1</v>
      </c>
      <c r="M2625" s="10" t="str">
        <f>IFERROR(_xlfn.XLOOKUP(C2625,[1]StuntDes!$B:$B,[1]StuntDes!$A:$A),"")</f>
        <v/>
      </c>
      <c r="N2625" s="10" t="str">
        <f>IFERROR(_xlfn.XLOOKUP(C2625,[1]ModifierDes!$B:$B,[1]ModifierDes!$A:$A),"")</f>
        <v/>
      </c>
      <c r="O2625" s="10">
        <f>IFERROR(_xlfn.XLOOKUP(C2625,[1]AttributeName!$C:$C,[1]AttributeName!$B:$B),"")</f>
        <v>10504</v>
      </c>
      <c r="P2625" s="10"/>
      <c r="Q2625">
        <v>0.1</v>
      </c>
      <c r="R2625">
        <v>0.13</v>
      </c>
      <c r="S2625" cm="1">
        <f t="array" ref="S2625">IFERROR(_xlfn.SWITCH(L2625,1,_xlfn.XLOOKUP(O2625,[1]AttributeName!$B:$B,[1]AttributeName!$D:$D),2,_xlfn.XLOOKUP(C2625,#REF!,#REF!),3,_xlfn.XLOOKUP(C2625,#REF!,#REF!)),0)</f>
        <v>2</v>
      </c>
      <c r="T2625" cm="1">
        <f t="array" ref="T2625">IFERROR(_xlfn.SWITCH(L2625,1,_xlfn.XLOOKUP(O2625,[1]AttributeName!$B:$B,[1]AttributeName!$E:$E),2,_xlfn.XLOOKUP(C2625,#REF!,#REF!),3,_xlfn.XLOOKUP(C2625,#REF!,#REF!)),0)</f>
        <v>2</v>
      </c>
    </row>
    <row r="2626" customFormat="1" spans="1:20">
      <c r="A2626">
        <f t="shared" si="108"/>
        <v>1062</v>
      </c>
      <c r="B2626">
        <v>7</v>
      </c>
      <c r="C2626" t="s">
        <v>405</v>
      </c>
      <c r="D2626" t="s">
        <v>442</v>
      </c>
      <c r="E2626" t="s">
        <v>392</v>
      </c>
      <c r="F2626"/>
      <c r="G2626">
        <v>2</v>
      </c>
      <c r="H2626">
        <v>500</v>
      </c>
      <c r="I2626">
        <v>3</v>
      </c>
      <c r="J2626" cm="1">
        <f t="array" ref="J2626">_xlfn.SWITCH(B2626,1,75,2,61,3,49,4,37,5,25,6,13,7,4,8,1)</f>
        <v>4</v>
      </c>
      <c r="K2626" t="str" cm="1">
        <f t="array" ref="K2626">IFERROR(_xlfn.SWITCH(L2626,2,_xlfn.XLOOKUP(C2626,[1]ModifierDes!$B:$B,[1]ModifierDes!$C:$C),3,_xlfn.XLOOKUP(C2626,[1]StuntDes!$B:$B,[1]StuntDes!$C:$C)),"")</f>
        <v/>
      </c>
      <c r="L2626">
        <f t="shared" si="107"/>
        <v>1</v>
      </c>
      <c r="M2626" s="10" t="str">
        <f>IFERROR(_xlfn.XLOOKUP(C2626,[1]StuntDes!$B:$B,[1]StuntDes!$A:$A),"")</f>
        <v/>
      </c>
      <c r="N2626" s="10" t="str">
        <f>IFERROR(_xlfn.XLOOKUP(C2626,[1]ModifierDes!$B:$B,[1]ModifierDes!$A:$A),"")</f>
        <v/>
      </c>
      <c r="O2626" s="10">
        <f>IFERROR(_xlfn.XLOOKUP(C2626,[1]AttributeName!$C:$C,[1]AttributeName!$B:$B),"")</f>
        <v>10504</v>
      </c>
      <c r="P2626" s="10"/>
      <c r="Q2626">
        <v>0.06</v>
      </c>
      <c r="R2626">
        <v>0.0900000000000001</v>
      </c>
      <c r="S2626" cm="1">
        <f t="array" ref="S2626">IFERROR(_xlfn.SWITCH(L2626,1,_xlfn.XLOOKUP(O2626,[1]AttributeName!$B:$B,[1]AttributeName!$D:$D),2,_xlfn.XLOOKUP(C2626,#REF!,#REF!),3,_xlfn.XLOOKUP(C2626,#REF!,#REF!)),0)</f>
        <v>2</v>
      </c>
      <c r="T2626" cm="1">
        <f t="array" ref="T2626">IFERROR(_xlfn.SWITCH(L2626,1,_xlfn.XLOOKUP(O2626,[1]AttributeName!$B:$B,[1]AttributeName!$E:$E),2,_xlfn.XLOOKUP(C2626,#REF!,#REF!),3,_xlfn.XLOOKUP(C2626,#REF!,#REF!)),0)</f>
        <v>2</v>
      </c>
    </row>
    <row r="2627" customFormat="1" spans="1:20">
      <c r="A2627">
        <f t="shared" si="108"/>
        <v>1062</v>
      </c>
      <c r="B2627">
        <v>8</v>
      </c>
      <c r="C2627" t="s">
        <v>405</v>
      </c>
      <c r="D2627" t="s">
        <v>442</v>
      </c>
      <c r="E2627" t="s">
        <v>392</v>
      </c>
      <c r="F2627"/>
      <c r="G2627">
        <v>2</v>
      </c>
      <c r="H2627">
        <v>500</v>
      </c>
      <c r="I2627">
        <v>3</v>
      </c>
      <c r="J2627" cm="1">
        <f t="array" ref="J2627">_xlfn.SWITCH(B2627,1,75,2,61,3,49,4,37,5,25,6,13,7,4,8,1)</f>
        <v>1</v>
      </c>
      <c r="K2627" t="str" cm="1">
        <f t="array" ref="K2627">IFERROR(_xlfn.SWITCH(L2627,2,_xlfn.XLOOKUP(C2627,[1]ModifierDes!$B:$B,[1]ModifierDes!$C:$C),3,_xlfn.XLOOKUP(C2627,[1]StuntDes!$B:$B,[1]StuntDes!$C:$C)),"")</f>
        <v/>
      </c>
      <c r="L2627">
        <f t="shared" si="107"/>
        <v>1</v>
      </c>
      <c r="M2627" s="10" t="str">
        <f>IFERROR(_xlfn.XLOOKUP(C2627,[1]StuntDes!$B:$B,[1]StuntDes!$A:$A),"")</f>
        <v/>
      </c>
      <c r="N2627" s="10" t="str">
        <f>IFERROR(_xlfn.XLOOKUP(C2627,[1]ModifierDes!$B:$B,[1]ModifierDes!$A:$A),"")</f>
        <v/>
      </c>
      <c r="O2627" s="10">
        <f>IFERROR(_xlfn.XLOOKUP(C2627,[1]AttributeName!$C:$C,[1]AttributeName!$B:$B),"")</f>
        <v>10504</v>
      </c>
      <c r="P2627" s="10"/>
      <c r="Q2627">
        <v>0.02</v>
      </c>
      <c r="R2627">
        <v>0.0500000000000001</v>
      </c>
      <c r="S2627" cm="1">
        <f t="array" ref="S2627">IFERROR(_xlfn.SWITCH(L2627,1,_xlfn.XLOOKUP(O2627,[1]AttributeName!$B:$B,[1]AttributeName!$D:$D),2,_xlfn.XLOOKUP(C2627,#REF!,#REF!),3,_xlfn.XLOOKUP(C2627,#REF!,#REF!)),0)</f>
        <v>2</v>
      </c>
      <c r="T2627" cm="1">
        <f t="array" ref="T2627">IFERROR(_xlfn.SWITCH(L2627,1,_xlfn.XLOOKUP(O2627,[1]AttributeName!$B:$B,[1]AttributeName!$E:$E),2,_xlfn.XLOOKUP(C2627,#REF!,#REF!),3,_xlfn.XLOOKUP(C2627,#REF!,#REF!)),0)</f>
        <v>2</v>
      </c>
    </row>
    <row r="2628" customFormat="1" spans="1:20">
      <c r="A2628">
        <f t="shared" si="108"/>
        <v>1063</v>
      </c>
      <c r="B2628">
        <v>1</v>
      </c>
      <c r="C2628" t="s">
        <v>414</v>
      </c>
      <c r="D2628" t="s">
        <v>442</v>
      </c>
      <c r="E2628" t="s">
        <v>392</v>
      </c>
      <c r="F2628"/>
      <c r="G2628">
        <v>2</v>
      </c>
      <c r="H2628">
        <v>50</v>
      </c>
      <c r="I2628">
        <v>3</v>
      </c>
      <c r="J2628" cm="1">
        <f t="array" ref="J2628">_xlfn.SWITCH(B2628,1,75,2,61,3,49,4,37,5,25,6,13,7,4,8,1)</f>
        <v>75</v>
      </c>
      <c r="K2628" t="str" cm="1">
        <f t="array" ref="K2628">IFERROR(_xlfn.SWITCH(L2628,2,_xlfn.XLOOKUP(C2628,[1]ModifierDes!$B:$B,[1]ModifierDes!$C:$C),3,_xlfn.XLOOKUP(C2628,[1]StuntDes!$B:$B,[1]StuntDes!$C:$C)),"")</f>
        <v/>
      </c>
      <c r="L2628">
        <f t="shared" ref="L2628:L2691" si="109">IF(M2628="",IF(N2628="",1,2),3)</f>
        <v>1</v>
      </c>
      <c r="M2628" s="10" t="str">
        <f>IFERROR(_xlfn.XLOOKUP(C2628,[1]StuntDes!$B:$B,[1]StuntDes!$A:$A),"")</f>
        <v/>
      </c>
      <c r="N2628" s="10" t="str">
        <f>IFERROR(_xlfn.XLOOKUP(C2628,[1]ModifierDes!$B:$B,[1]ModifierDes!$A:$A),"")</f>
        <v/>
      </c>
      <c r="O2628" s="10">
        <f>IFERROR(_xlfn.XLOOKUP(C2628,[1]AttributeName!$C:$C,[1]AttributeName!$B:$B),"")</f>
        <v>10900</v>
      </c>
      <c r="P2628" s="10"/>
      <c r="Q2628">
        <v>15</v>
      </c>
      <c r="R2628">
        <v>16</v>
      </c>
      <c r="S2628" cm="1">
        <f t="array" ref="S2628">IFERROR(_xlfn.SWITCH(L2628,1,_xlfn.XLOOKUP(O2628,[1]AttributeName!$B:$B,[1]AttributeName!$D:$D),2,_xlfn.XLOOKUP(C2628,#REF!,#REF!),3,_xlfn.XLOOKUP(C2628,#REF!,#REF!)),0)</f>
        <v>0</v>
      </c>
      <c r="T2628" cm="1">
        <f t="array" ref="T2628">IFERROR(_xlfn.SWITCH(L2628,1,_xlfn.XLOOKUP(O2628,[1]AttributeName!$B:$B,[1]AttributeName!$E:$E),2,_xlfn.XLOOKUP(C2628,#REF!,#REF!),3,_xlfn.XLOOKUP(C2628,#REF!,#REF!)),0)</f>
        <v>1</v>
      </c>
    </row>
    <row r="2629" customFormat="1" spans="1:20">
      <c r="A2629">
        <f t="shared" si="108"/>
        <v>1063</v>
      </c>
      <c r="B2629">
        <v>2</v>
      </c>
      <c r="C2629" t="s">
        <v>414</v>
      </c>
      <c r="D2629" t="s">
        <v>442</v>
      </c>
      <c r="E2629" t="s">
        <v>392</v>
      </c>
      <c r="F2629"/>
      <c r="G2629">
        <v>2</v>
      </c>
      <c r="H2629">
        <v>100</v>
      </c>
      <c r="I2629">
        <v>3</v>
      </c>
      <c r="J2629" cm="1">
        <f t="array" ref="J2629">_xlfn.SWITCH(B2629,1,75,2,61,3,49,4,37,5,25,6,13,7,4,8,1)</f>
        <v>61</v>
      </c>
      <c r="K2629" t="str" cm="1">
        <f t="array" ref="K2629">IFERROR(_xlfn.SWITCH(L2629,2,_xlfn.XLOOKUP(C2629,[1]ModifierDes!$B:$B,[1]ModifierDes!$C:$C),3,_xlfn.XLOOKUP(C2629,[1]StuntDes!$B:$B,[1]StuntDes!$C:$C)),"")</f>
        <v/>
      </c>
      <c r="L2629">
        <f t="shared" si="109"/>
        <v>1</v>
      </c>
      <c r="M2629" s="10" t="str">
        <f>IFERROR(_xlfn.XLOOKUP(C2629,[1]StuntDes!$B:$B,[1]StuntDes!$A:$A),"")</f>
        <v/>
      </c>
      <c r="N2629" s="10" t="str">
        <f>IFERROR(_xlfn.XLOOKUP(C2629,[1]ModifierDes!$B:$B,[1]ModifierDes!$A:$A),"")</f>
        <v/>
      </c>
      <c r="O2629" s="10">
        <f>IFERROR(_xlfn.XLOOKUP(C2629,[1]AttributeName!$C:$C,[1]AttributeName!$B:$B),"")</f>
        <v>10900</v>
      </c>
      <c r="P2629" s="10"/>
      <c r="Q2629">
        <v>13</v>
      </c>
      <c r="R2629">
        <v>14</v>
      </c>
      <c r="S2629" cm="1">
        <f t="array" ref="S2629">IFERROR(_xlfn.SWITCH(L2629,1,_xlfn.XLOOKUP(O2629,[1]AttributeName!$B:$B,[1]AttributeName!$D:$D),2,_xlfn.XLOOKUP(C2629,#REF!,#REF!),3,_xlfn.XLOOKUP(C2629,#REF!,#REF!)),0)</f>
        <v>0</v>
      </c>
      <c r="T2629" cm="1">
        <f t="array" ref="T2629">IFERROR(_xlfn.SWITCH(L2629,1,_xlfn.XLOOKUP(O2629,[1]AttributeName!$B:$B,[1]AttributeName!$E:$E),2,_xlfn.XLOOKUP(C2629,#REF!,#REF!),3,_xlfn.XLOOKUP(C2629,#REF!,#REF!)),0)</f>
        <v>1</v>
      </c>
    </row>
    <row r="2630" customFormat="1" spans="1:20">
      <c r="A2630">
        <f t="shared" si="108"/>
        <v>1063</v>
      </c>
      <c r="B2630">
        <v>3</v>
      </c>
      <c r="C2630" t="s">
        <v>414</v>
      </c>
      <c r="D2630" t="s">
        <v>442</v>
      </c>
      <c r="E2630" t="s">
        <v>392</v>
      </c>
      <c r="F2630"/>
      <c r="G2630">
        <v>2</v>
      </c>
      <c r="H2630">
        <v>250</v>
      </c>
      <c r="I2630">
        <v>3</v>
      </c>
      <c r="J2630" cm="1">
        <f t="array" ref="J2630">_xlfn.SWITCH(B2630,1,75,2,61,3,49,4,37,5,25,6,13,7,4,8,1)</f>
        <v>49</v>
      </c>
      <c r="K2630" t="str" cm="1">
        <f t="array" ref="K2630">IFERROR(_xlfn.SWITCH(L2630,2,_xlfn.XLOOKUP(C2630,[1]ModifierDes!$B:$B,[1]ModifierDes!$C:$C),3,_xlfn.XLOOKUP(C2630,[1]StuntDes!$B:$B,[1]StuntDes!$C:$C)),"")</f>
        <v/>
      </c>
      <c r="L2630">
        <f t="shared" si="109"/>
        <v>1</v>
      </c>
      <c r="M2630" s="10" t="str">
        <f>IFERROR(_xlfn.XLOOKUP(C2630,[1]StuntDes!$B:$B,[1]StuntDes!$A:$A),"")</f>
        <v/>
      </c>
      <c r="N2630" s="10" t="str">
        <f>IFERROR(_xlfn.XLOOKUP(C2630,[1]ModifierDes!$B:$B,[1]ModifierDes!$A:$A),"")</f>
        <v/>
      </c>
      <c r="O2630" s="10">
        <f>IFERROR(_xlfn.XLOOKUP(C2630,[1]AttributeName!$C:$C,[1]AttributeName!$B:$B),"")</f>
        <v>10900</v>
      </c>
      <c r="P2630" s="10"/>
      <c r="Q2630">
        <v>11</v>
      </c>
      <c r="R2630">
        <v>12</v>
      </c>
      <c r="S2630" cm="1">
        <f t="array" ref="S2630">IFERROR(_xlfn.SWITCH(L2630,1,_xlfn.XLOOKUP(O2630,[1]AttributeName!$B:$B,[1]AttributeName!$D:$D),2,_xlfn.XLOOKUP(C2630,#REF!,#REF!),3,_xlfn.XLOOKUP(C2630,#REF!,#REF!)),0)</f>
        <v>0</v>
      </c>
      <c r="T2630" cm="1">
        <f t="array" ref="T2630">IFERROR(_xlfn.SWITCH(L2630,1,_xlfn.XLOOKUP(O2630,[1]AttributeName!$B:$B,[1]AttributeName!$E:$E),2,_xlfn.XLOOKUP(C2630,#REF!,#REF!),3,_xlfn.XLOOKUP(C2630,#REF!,#REF!)),0)</f>
        <v>1</v>
      </c>
    </row>
    <row r="2631" customFormat="1" spans="1:20">
      <c r="A2631">
        <f t="shared" si="108"/>
        <v>1063</v>
      </c>
      <c r="B2631">
        <v>4</v>
      </c>
      <c r="C2631" t="s">
        <v>414</v>
      </c>
      <c r="D2631" t="s">
        <v>442</v>
      </c>
      <c r="E2631" t="s">
        <v>392</v>
      </c>
      <c r="F2631"/>
      <c r="G2631">
        <v>2</v>
      </c>
      <c r="H2631">
        <v>500</v>
      </c>
      <c r="I2631">
        <v>3</v>
      </c>
      <c r="J2631" cm="1">
        <f t="array" ref="J2631">_xlfn.SWITCH(B2631,1,75,2,61,3,49,4,37,5,25,6,13,7,4,8,1)</f>
        <v>37</v>
      </c>
      <c r="K2631" t="str" cm="1">
        <f t="array" ref="K2631">IFERROR(_xlfn.SWITCH(L2631,2,_xlfn.XLOOKUP(C2631,[1]ModifierDes!$B:$B,[1]ModifierDes!$C:$C),3,_xlfn.XLOOKUP(C2631,[1]StuntDes!$B:$B,[1]StuntDes!$C:$C)),"")</f>
        <v/>
      </c>
      <c r="L2631">
        <f t="shared" si="109"/>
        <v>1</v>
      </c>
      <c r="M2631" s="10" t="str">
        <f>IFERROR(_xlfn.XLOOKUP(C2631,[1]StuntDes!$B:$B,[1]StuntDes!$A:$A),"")</f>
        <v/>
      </c>
      <c r="N2631" s="10" t="str">
        <f>IFERROR(_xlfn.XLOOKUP(C2631,[1]ModifierDes!$B:$B,[1]ModifierDes!$A:$A),"")</f>
        <v/>
      </c>
      <c r="O2631" s="10">
        <f>IFERROR(_xlfn.XLOOKUP(C2631,[1]AttributeName!$C:$C,[1]AttributeName!$B:$B),"")</f>
        <v>10900</v>
      </c>
      <c r="P2631" s="10"/>
      <c r="Q2631">
        <v>9</v>
      </c>
      <c r="R2631">
        <v>10</v>
      </c>
      <c r="S2631" cm="1">
        <f t="array" ref="S2631">IFERROR(_xlfn.SWITCH(L2631,1,_xlfn.XLOOKUP(O2631,[1]AttributeName!$B:$B,[1]AttributeName!$D:$D),2,_xlfn.XLOOKUP(C2631,#REF!,#REF!),3,_xlfn.XLOOKUP(C2631,#REF!,#REF!)),0)</f>
        <v>0</v>
      </c>
      <c r="T2631" cm="1">
        <f t="array" ref="T2631">IFERROR(_xlfn.SWITCH(L2631,1,_xlfn.XLOOKUP(O2631,[1]AttributeName!$B:$B,[1]AttributeName!$E:$E),2,_xlfn.XLOOKUP(C2631,#REF!,#REF!),3,_xlfn.XLOOKUP(C2631,#REF!,#REF!)),0)</f>
        <v>1</v>
      </c>
    </row>
    <row r="2632" customFormat="1" spans="1:20">
      <c r="A2632">
        <f t="shared" si="108"/>
        <v>1063</v>
      </c>
      <c r="B2632">
        <v>5</v>
      </c>
      <c r="C2632" t="s">
        <v>414</v>
      </c>
      <c r="D2632" t="s">
        <v>442</v>
      </c>
      <c r="E2632" t="s">
        <v>392</v>
      </c>
      <c r="F2632"/>
      <c r="G2632">
        <v>2</v>
      </c>
      <c r="H2632">
        <v>500</v>
      </c>
      <c r="I2632">
        <v>3</v>
      </c>
      <c r="J2632" cm="1">
        <f t="array" ref="J2632">_xlfn.SWITCH(B2632,1,75,2,61,3,49,4,37,5,25,6,13,7,4,8,1)</f>
        <v>25</v>
      </c>
      <c r="K2632" t="str" cm="1">
        <f t="array" ref="K2632">IFERROR(_xlfn.SWITCH(L2632,2,_xlfn.XLOOKUP(C2632,[1]ModifierDes!$B:$B,[1]ModifierDes!$C:$C),3,_xlfn.XLOOKUP(C2632,[1]StuntDes!$B:$B,[1]StuntDes!$C:$C)),"")</f>
        <v/>
      </c>
      <c r="L2632">
        <f t="shared" si="109"/>
        <v>1</v>
      </c>
      <c r="M2632" s="10" t="str">
        <f>IFERROR(_xlfn.XLOOKUP(C2632,[1]StuntDes!$B:$B,[1]StuntDes!$A:$A),"")</f>
        <v/>
      </c>
      <c r="N2632" s="10" t="str">
        <f>IFERROR(_xlfn.XLOOKUP(C2632,[1]ModifierDes!$B:$B,[1]ModifierDes!$A:$A),"")</f>
        <v/>
      </c>
      <c r="O2632" s="10">
        <f>IFERROR(_xlfn.XLOOKUP(C2632,[1]AttributeName!$C:$C,[1]AttributeName!$B:$B),"")</f>
        <v>10900</v>
      </c>
      <c r="P2632" s="10"/>
      <c r="Q2632">
        <v>7</v>
      </c>
      <c r="R2632">
        <v>8</v>
      </c>
      <c r="S2632" cm="1">
        <f t="array" ref="S2632">IFERROR(_xlfn.SWITCH(L2632,1,_xlfn.XLOOKUP(O2632,[1]AttributeName!$B:$B,[1]AttributeName!$D:$D),2,_xlfn.XLOOKUP(C2632,#REF!,#REF!),3,_xlfn.XLOOKUP(C2632,#REF!,#REF!)),0)</f>
        <v>0</v>
      </c>
      <c r="T2632" cm="1">
        <f t="array" ref="T2632">IFERROR(_xlfn.SWITCH(L2632,1,_xlfn.XLOOKUP(O2632,[1]AttributeName!$B:$B,[1]AttributeName!$E:$E),2,_xlfn.XLOOKUP(C2632,#REF!,#REF!),3,_xlfn.XLOOKUP(C2632,#REF!,#REF!)),0)</f>
        <v>1</v>
      </c>
    </row>
    <row r="2633" customFormat="1" spans="1:20">
      <c r="A2633">
        <f t="shared" si="108"/>
        <v>1063</v>
      </c>
      <c r="B2633">
        <v>6</v>
      </c>
      <c r="C2633" t="s">
        <v>414</v>
      </c>
      <c r="D2633" t="s">
        <v>442</v>
      </c>
      <c r="E2633" t="s">
        <v>392</v>
      </c>
      <c r="F2633"/>
      <c r="G2633">
        <v>2</v>
      </c>
      <c r="H2633">
        <v>500</v>
      </c>
      <c r="I2633">
        <v>3</v>
      </c>
      <c r="J2633" cm="1">
        <f t="array" ref="J2633">_xlfn.SWITCH(B2633,1,75,2,61,3,49,4,37,5,25,6,13,7,4,8,1)</f>
        <v>13</v>
      </c>
      <c r="K2633" t="str" cm="1">
        <f t="array" ref="K2633">IFERROR(_xlfn.SWITCH(L2633,2,_xlfn.XLOOKUP(C2633,[1]ModifierDes!$B:$B,[1]ModifierDes!$C:$C),3,_xlfn.XLOOKUP(C2633,[1]StuntDes!$B:$B,[1]StuntDes!$C:$C)),"")</f>
        <v/>
      </c>
      <c r="L2633">
        <f t="shared" si="109"/>
        <v>1</v>
      </c>
      <c r="M2633" s="10" t="str">
        <f>IFERROR(_xlfn.XLOOKUP(C2633,[1]StuntDes!$B:$B,[1]StuntDes!$A:$A),"")</f>
        <v/>
      </c>
      <c r="N2633" s="10" t="str">
        <f>IFERROR(_xlfn.XLOOKUP(C2633,[1]ModifierDes!$B:$B,[1]ModifierDes!$A:$A),"")</f>
        <v/>
      </c>
      <c r="O2633" s="10">
        <f>IFERROR(_xlfn.XLOOKUP(C2633,[1]AttributeName!$C:$C,[1]AttributeName!$B:$B),"")</f>
        <v>10900</v>
      </c>
      <c r="P2633" s="10"/>
      <c r="Q2633">
        <v>5</v>
      </c>
      <c r="R2633">
        <v>6</v>
      </c>
      <c r="S2633" cm="1">
        <f t="array" ref="S2633">IFERROR(_xlfn.SWITCH(L2633,1,_xlfn.XLOOKUP(O2633,[1]AttributeName!$B:$B,[1]AttributeName!$D:$D),2,_xlfn.XLOOKUP(C2633,#REF!,#REF!),3,_xlfn.XLOOKUP(C2633,#REF!,#REF!)),0)</f>
        <v>0</v>
      </c>
      <c r="T2633" cm="1">
        <f t="array" ref="T2633">IFERROR(_xlfn.SWITCH(L2633,1,_xlfn.XLOOKUP(O2633,[1]AttributeName!$B:$B,[1]AttributeName!$E:$E),2,_xlfn.XLOOKUP(C2633,#REF!,#REF!),3,_xlfn.XLOOKUP(C2633,#REF!,#REF!)),0)</f>
        <v>1</v>
      </c>
    </row>
    <row r="2634" customFormat="1" spans="1:20">
      <c r="A2634">
        <f t="shared" si="108"/>
        <v>1063</v>
      </c>
      <c r="B2634">
        <v>7</v>
      </c>
      <c r="C2634" t="s">
        <v>414</v>
      </c>
      <c r="D2634" t="s">
        <v>442</v>
      </c>
      <c r="E2634" t="s">
        <v>392</v>
      </c>
      <c r="F2634"/>
      <c r="G2634">
        <v>2</v>
      </c>
      <c r="H2634">
        <v>500</v>
      </c>
      <c r="I2634">
        <v>3</v>
      </c>
      <c r="J2634" cm="1">
        <f t="array" ref="J2634">_xlfn.SWITCH(B2634,1,75,2,61,3,49,4,37,5,25,6,13,7,4,8,1)</f>
        <v>4</v>
      </c>
      <c r="K2634" t="str" cm="1">
        <f t="array" ref="K2634">IFERROR(_xlfn.SWITCH(L2634,2,_xlfn.XLOOKUP(C2634,[1]ModifierDes!$B:$B,[1]ModifierDes!$C:$C),3,_xlfn.XLOOKUP(C2634,[1]StuntDes!$B:$B,[1]StuntDes!$C:$C)),"")</f>
        <v/>
      </c>
      <c r="L2634">
        <f t="shared" si="109"/>
        <v>1</v>
      </c>
      <c r="M2634" s="10" t="str">
        <f>IFERROR(_xlfn.XLOOKUP(C2634,[1]StuntDes!$B:$B,[1]StuntDes!$A:$A),"")</f>
        <v/>
      </c>
      <c r="N2634" s="10" t="str">
        <f>IFERROR(_xlfn.XLOOKUP(C2634,[1]ModifierDes!$B:$B,[1]ModifierDes!$A:$A),"")</f>
        <v/>
      </c>
      <c r="O2634" s="10">
        <f>IFERROR(_xlfn.XLOOKUP(C2634,[1]AttributeName!$C:$C,[1]AttributeName!$B:$B),"")</f>
        <v>10900</v>
      </c>
      <c r="P2634" s="10"/>
      <c r="Q2634">
        <v>3</v>
      </c>
      <c r="R2634">
        <v>4</v>
      </c>
      <c r="S2634" cm="1">
        <f t="array" ref="S2634">IFERROR(_xlfn.SWITCH(L2634,1,_xlfn.XLOOKUP(O2634,[1]AttributeName!$B:$B,[1]AttributeName!$D:$D),2,_xlfn.XLOOKUP(C2634,#REF!,#REF!),3,_xlfn.XLOOKUP(C2634,#REF!,#REF!)),0)</f>
        <v>0</v>
      </c>
      <c r="T2634" cm="1">
        <f t="array" ref="T2634">IFERROR(_xlfn.SWITCH(L2634,1,_xlfn.XLOOKUP(O2634,[1]AttributeName!$B:$B,[1]AttributeName!$E:$E),2,_xlfn.XLOOKUP(C2634,#REF!,#REF!),3,_xlfn.XLOOKUP(C2634,#REF!,#REF!)),0)</f>
        <v>1</v>
      </c>
    </row>
    <row r="2635" customFormat="1" spans="1:20">
      <c r="A2635">
        <f t="shared" si="108"/>
        <v>1063</v>
      </c>
      <c r="B2635">
        <v>8</v>
      </c>
      <c r="C2635" t="s">
        <v>414</v>
      </c>
      <c r="D2635" t="s">
        <v>442</v>
      </c>
      <c r="E2635" t="s">
        <v>392</v>
      </c>
      <c r="F2635"/>
      <c r="G2635">
        <v>2</v>
      </c>
      <c r="H2635">
        <v>500</v>
      </c>
      <c r="I2635">
        <v>3</v>
      </c>
      <c r="J2635" cm="1">
        <f t="array" ref="J2635">_xlfn.SWITCH(B2635,1,75,2,61,3,49,4,37,5,25,6,13,7,4,8,1)</f>
        <v>1</v>
      </c>
      <c r="K2635" t="str" cm="1">
        <f t="array" ref="K2635">IFERROR(_xlfn.SWITCH(L2635,2,_xlfn.XLOOKUP(C2635,[1]ModifierDes!$B:$B,[1]ModifierDes!$C:$C),3,_xlfn.XLOOKUP(C2635,[1]StuntDes!$B:$B,[1]StuntDes!$C:$C)),"")</f>
        <v/>
      </c>
      <c r="L2635">
        <f t="shared" si="109"/>
        <v>1</v>
      </c>
      <c r="M2635" s="10" t="str">
        <f>IFERROR(_xlfn.XLOOKUP(C2635,[1]StuntDes!$B:$B,[1]StuntDes!$A:$A),"")</f>
        <v/>
      </c>
      <c r="N2635" s="10" t="str">
        <f>IFERROR(_xlfn.XLOOKUP(C2635,[1]ModifierDes!$B:$B,[1]ModifierDes!$A:$A),"")</f>
        <v/>
      </c>
      <c r="O2635" s="10">
        <f>IFERROR(_xlfn.XLOOKUP(C2635,[1]AttributeName!$C:$C,[1]AttributeName!$B:$B),"")</f>
        <v>10900</v>
      </c>
      <c r="P2635" s="10"/>
      <c r="Q2635">
        <v>1</v>
      </c>
      <c r="R2635">
        <v>2</v>
      </c>
      <c r="S2635" cm="1">
        <f t="array" ref="S2635">IFERROR(_xlfn.SWITCH(L2635,1,_xlfn.XLOOKUP(O2635,[1]AttributeName!$B:$B,[1]AttributeName!$D:$D),2,_xlfn.XLOOKUP(C2635,#REF!,#REF!),3,_xlfn.XLOOKUP(C2635,#REF!,#REF!)),0)</f>
        <v>0</v>
      </c>
      <c r="T2635" cm="1">
        <f t="array" ref="T2635">IFERROR(_xlfn.SWITCH(L2635,1,_xlfn.XLOOKUP(O2635,[1]AttributeName!$B:$B,[1]AttributeName!$E:$E),2,_xlfn.XLOOKUP(C2635,#REF!,#REF!),3,_xlfn.XLOOKUP(C2635,#REF!,#REF!)),0)</f>
        <v>1</v>
      </c>
    </row>
    <row r="2636" customFormat="1" spans="1:20">
      <c r="A2636">
        <f t="shared" si="108"/>
        <v>1064</v>
      </c>
      <c r="B2636">
        <v>1</v>
      </c>
      <c r="C2636" t="s">
        <v>427</v>
      </c>
      <c r="D2636" t="s">
        <v>442</v>
      </c>
      <c r="E2636" t="s">
        <v>392</v>
      </c>
      <c r="F2636"/>
      <c r="G2636">
        <v>2</v>
      </c>
      <c r="H2636">
        <v>50</v>
      </c>
      <c r="I2636">
        <v>3</v>
      </c>
      <c r="J2636" cm="1">
        <f t="array" ref="J2636">_xlfn.SWITCH(B2636,1,75,2,61,3,49,4,37,5,25,6,13,7,4,8,1)</f>
        <v>75</v>
      </c>
      <c r="K2636" t="str" cm="1">
        <f t="array" ref="K2636">IFERROR(_xlfn.SWITCH(L2636,2,_xlfn.XLOOKUP(C2636,[1]ModifierDes!$B:$B,[1]ModifierDes!$C:$C),3,_xlfn.XLOOKUP(C2636,[1]StuntDes!$B:$B,[1]StuntDes!$C:$C)),"")</f>
        <v/>
      </c>
      <c r="L2636">
        <f t="shared" si="109"/>
        <v>1</v>
      </c>
      <c r="M2636" s="10" t="str">
        <f>IFERROR(_xlfn.XLOOKUP(C2636,[1]StuntDes!$B:$B,[1]StuntDes!$A:$A),"")</f>
        <v/>
      </c>
      <c r="N2636" s="10" t="str">
        <f>IFERROR(_xlfn.XLOOKUP(C2636,[1]ModifierDes!$B:$B,[1]ModifierDes!$A:$A),"")</f>
        <v/>
      </c>
      <c r="O2636" s="10">
        <f>IFERROR(_xlfn.XLOOKUP(C2636,[1]AttributeName!$C:$C,[1]AttributeName!$B:$B),"")</f>
        <v>10003</v>
      </c>
      <c r="P2636" s="10"/>
      <c r="Q2636">
        <v>8</v>
      </c>
      <c r="R2636">
        <v>10</v>
      </c>
      <c r="S2636" cm="1">
        <f t="array" ref="S2636">IFERROR(_xlfn.SWITCH(L2636,1,_xlfn.XLOOKUP(O2636,[1]AttributeName!$B:$B,[1]AttributeName!$D:$D),2,_xlfn.XLOOKUP(C2636,#REF!,#REF!),3,_xlfn.XLOOKUP(C2636,#REF!,#REF!)),0)</f>
        <v>0</v>
      </c>
      <c r="T2636" cm="1">
        <f t="array" ref="T2636">IFERROR(_xlfn.SWITCH(L2636,1,_xlfn.XLOOKUP(O2636,[1]AttributeName!$B:$B,[1]AttributeName!$E:$E),2,_xlfn.XLOOKUP(C2636,#REF!,#REF!),3,_xlfn.XLOOKUP(C2636,#REF!,#REF!)),0)</f>
        <v>1</v>
      </c>
    </row>
    <row r="2637" customFormat="1" spans="1:20">
      <c r="A2637">
        <f t="shared" si="108"/>
        <v>1064</v>
      </c>
      <c r="B2637">
        <v>2</v>
      </c>
      <c r="C2637" t="s">
        <v>427</v>
      </c>
      <c r="D2637" t="s">
        <v>442</v>
      </c>
      <c r="E2637" t="s">
        <v>392</v>
      </c>
      <c r="F2637"/>
      <c r="G2637">
        <v>2</v>
      </c>
      <c r="H2637">
        <v>100</v>
      </c>
      <c r="I2637">
        <v>3</v>
      </c>
      <c r="J2637" cm="1">
        <f t="array" ref="J2637">_xlfn.SWITCH(B2637,1,75,2,61,3,49,4,37,5,25,6,13,7,4,8,1)</f>
        <v>61</v>
      </c>
      <c r="K2637" t="str" cm="1">
        <f t="array" ref="K2637">IFERROR(_xlfn.SWITCH(L2637,2,_xlfn.XLOOKUP(C2637,[1]ModifierDes!$B:$B,[1]ModifierDes!$C:$C),3,_xlfn.XLOOKUP(C2637,[1]StuntDes!$B:$B,[1]StuntDes!$C:$C)),"")</f>
        <v/>
      </c>
      <c r="L2637">
        <f t="shared" si="109"/>
        <v>1</v>
      </c>
      <c r="M2637" s="10" t="str">
        <f>IFERROR(_xlfn.XLOOKUP(C2637,[1]StuntDes!$B:$B,[1]StuntDes!$A:$A),"")</f>
        <v/>
      </c>
      <c r="N2637" s="10" t="str">
        <f>IFERROR(_xlfn.XLOOKUP(C2637,[1]ModifierDes!$B:$B,[1]ModifierDes!$A:$A),"")</f>
        <v/>
      </c>
      <c r="O2637" s="10">
        <f>IFERROR(_xlfn.XLOOKUP(C2637,[1]AttributeName!$C:$C,[1]AttributeName!$B:$B),"")</f>
        <v>10003</v>
      </c>
      <c r="P2637" s="10"/>
      <c r="Q2637">
        <v>7</v>
      </c>
      <c r="R2637">
        <v>7</v>
      </c>
      <c r="S2637" cm="1">
        <f t="array" ref="S2637">IFERROR(_xlfn.SWITCH(L2637,1,_xlfn.XLOOKUP(O2637,[1]AttributeName!$B:$B,[1]AttributeName!$D:$D),2,_xlfn.XLOOKUP(C2637,#REF!,#REF!),3,_xlfn.XLOOKUP(C2637,#REF!,#REF!)),0)</f>
        <v>0</v>
      </c>
      <c r="T2637" cm="1">
        <f t="array" ref="T2637">IFERROR(_xlfn.SWITCH(L2637,1,_xlfn.XLOOKUP(O2637,[1]AttributeName!$B:$B,[1]AttributeName!$E:$E),2,_xlfn.XLOOKUP(C2637,#REF!,#REF!),3,_xlfn.XLOOKUP(C2637,#REF!,#REF!)),0)</f>
        <v>1</v>
      </c>
    </row>
    <row r="2638" customFormat="1" spans="1:20">
      <c r="A2638">
        <f t="shared" si="108"/>
        <v>1064</v>
      </c>
      <c r="B2638">
        <v>3</v>
      </c>
      <c r="C2638" t="s">
        <v>427</v>
      </c>
      <c r="D2638" t="s">
        <v>442</v>
      </c>
      <c r="E2638" t="s">
        <v>392</v>
      </c>
      <c r="F2638"/>
      <c r="G2638">
        <v>2</v>
      </c>
      <c r="H2638">
        <v>250</v>
      </c>
      <c r="I2638">
        <v>3</v>
      </c>
      <c r="J2638" cm="1">
        <f t="array" ref="J2638">_xlfn.SWITCH(B2638,1,75,2,61,3,49,4,37,5,25,6,13,7,4,8,1)</f>
        <v>49</v>
      </c>
      <c r="K2638" t="str" cm="1">
        <f t="array" ref="K2638">IFERROR(_xlfn.SWITCH(L2638,2,_xlfn.XLOOKUP(C2638,[1]ModifierDes!$B:$B,[1]ModifierDes!$C:$C),3,_xlfn.XLOOKUP(C2638,[1]StuntDes!$B:$B,[1]StuntDes!$C:$C)),"")</f>
        <v/>
      </c>
      <c r="L2638">
        <f t="shared" si="109"/>
        <v>1</v>
      </c>
      <c r="M2638" s="10" t="str">
        <f>IFERROR(_xlfn.XLOOKUP(C2638,[1]StuntDes!$B:$B,[1]StuntDes!$A:$A),"")</f>
        <v/>
      </c>
      <c r="N2638" s="10" t="str">
        <f>IFERROR(_xlfn.XLOOKUP(C2638,[1]ModifierDes!$B:$B,[1]ModifierDes!$A:$A),"")</f>
        <v/>
      </c>
      <c r="O2638" s="10">
        <f>IFERROR(_xlfn.XLOOKUP(C2638,[1]AttributeName!$C:$C,[1]AttributeName!$B:$B),"")</f>
        <v>10003</v>
      </c>
      <c r="P2638" s="10"/>
      <c r="Q2638">
        <v>6</v>
      </c>
      <c r="R2638">
        <v>6</v>
      </c>
      <c r="S2638" cm="1">
        <f t="array" ref="S2638">IFERROR(_xlfn.SWITCH(L2638,1,_xlfn.XLOOKUP(O2638,[1]AttributeName!$B:$B,[1]AttributeName!$D:$D),2,_xlfn.XLOOKUP(C2638,#REF!,#REF!),3,_xlfn.XLOOKUP(C2638,#REF!,#REF!)),0)</f>
        <v>0</v>
      </c>
      <c r="T2638" cm="1">
        <f t="array" ref="T2638">IFERROR(_xlfn.SWITCH(L2638,1,_xlfn.XLOOKUP(O2638,[1]AttributeName!$B:$B,[1]AttributeName!$E:$E),2,_xlfn.XLOOKUP(C2638,#REF!,#REF!),3,_xlfn.XLOOKUP(C2638,#REF!,#REF!)),0)</f>
        <v>1</v>
      </c>
    </row>
    <row r="2639" customFormat="1" spans="1:20">
      <c r="A2639">
        <f t="shared" si="108"/>
        <v>1064</v>
      </c>
      <c r="B2639">
        <v>4</v>
      </c>
      <c r="C2639" t="s">
        <v>427</v>
      </c>
      <c r="D2639" t="s">
        <v>442</v>
      </c>
      <c r="E2639" t="s">
        <v>392</v>
      </c>
      <c r="F2639"/>
      <c r="G2639">
        <v>2</v>
      </c>
      <c r="H2639">
        <v>500</v>
      </c>
      <c r="I2639">
        <v>3</v>
      </c>
      <c r="J2639" cm="1">
        <f t="array" ref="J2639">_xlfn.SWITCH(B2639,1,75,2,61,3,49,4,37,5,25,6,13,7,4,8,1)</f>
        <v>37</v>
      </c>
      <c r="K2639" t="str" cm="1">
        <f t="array" ref="K2639">IFERROR(_xlfn.SWITCH(L2639,2,_xlfn.XLOOKUP(C2639,[1]ModifierDes!$B:$B,[1]ModifierDes!$C:$C),3,_xlfn.XLOOKUP(C2639,[1]StuntDes!$B:$B,[1]StuntDes!$C:$C)),"")</f>
        <v/>
      </c>
      <c r="L2639">
        <f t="shared" si="109"/>
        <v>1</v>
      </c>
      <c r="M2639" s="10" t="str">
        <f>IFERROR(_xlfn.XLOOKUP(C2639,[1]StuntDes!$B:$B,[1]StuntDes!$A:$A),"")</f>
        <v/>
      </c>
      <c r="N2639" s="10" t="str">
        <f>IFERROR(_xlfn.XLOOKUP(C2639,[1]ModifierDes!$B:$B,[1]ModifierDes!$A:$A),"")</f>
        <v/>
      </c>
      <c r="O2639" s="10">
        <f>IFERROR(_xlfn.XLOOKUP(C2639,[1]AttributeName!$C:$C,[1]AttributeName!$B:$B),"")</f>
        <v>10003</v>
      </c>
      <c r="P2639" s="10"/>
      <c r="Q2639">
        <v>5</v>
      </c>
      <c r="R2639">
        <v>5</v>
      </c>
      <c r="S2639" cm="1">
        <f t="array" ref="S2639">IFERROR(_xlfn.SWITCH(L2639,1,_xlfn.XLOOKUP(O2639,[1]AttributeName!$B:$B,[1]AttributeName!$D:$D),2,_xlfn.XLOOKUP(C2639,#REF!,#REF!),3,_xlfn.XLOOKUP(C2639,#REF!,#REF!)),0)</f>
        <v>0</v>
      </c>
      <c r="T2639" cm="1">
        <f t="array" ref="T2639">IFERROR(_xlfn.SWITCH(L2639,1,_xlfn.XLOOKUP(O2639,[1]AttributeName!$B:$B,[1]AttributeName!$E:$E),2,_xlfn.XLOOKUP(C2639,#REF!,#REF!),3,_xlfn.XLOOKUP(C2639,#REF!,#REF!)),0)</f>
        <v>1</v>
      </c>
    </row>
    <row r="2640" customFormat="1" spans="1:20">
      <c r="A2640">
        <f t="shared" si="108"/>
        <v>1064</v>
      </c>
      <c r="B2640">
        <v>5</v>
      </c>
      <c r="C2640" t="s">
        <v>427</v>
      </c>
      <c r="D2640" t="s">
        <v>442</v>
      </c>
      <c r="E2640" t="s">
        <v>392</v>
      </c>
      <c r="F2640"/>
      <c r="G2640">
        <v>2</v>
      </c>
      <c r="H2640">
        <v>500</v>
      </c>
      <c r="I2640">
        <v>3</v>
      </c>
      <c r="J2640" cm="1">
        <f t="array" ref="J2640">_xlfn.SWITCH(B2640,1,75,2,61,3,49,4,37,5,25,6,13,7,4,8,1)</f>
        <v>25</v>
      </c>
      <c r="K2640" t="str" cm="1">
        <f t="array" ref="K2640">IFERROR(_xlfn.SWITCH(L2640,2,_xlfn.XLOOKUP(C2640,[1]ModifierDes!$B:$B,[1]ModifierDes!$C:$C),3,_xlfn.XLOOKUP(C2640,[1]StuntDes!$B:$B,[1]StuntDes!$C:$C)),"")</f>
        <v/>
      </c>
      <c r="L2640">
        <f t="shared" si="109"/>
        <v>1</v>
      </c>
      <c r="M2640" s="10" t="str">
        <f>IFERROR(_xlfn.XLOOKUP(C2640,[1]StuntDes!$B:$B,[1]StuntDes!$A:$A),"")</f>
        <v/>
      </c>
      <c r="N2640" s="10" t="str">
        <f>IFERROR(_xlfn.XLOOKUP(C2640,[1]ModifierDes!$B:$B,[1]ModifierDes!$A:$A),"")</f>
        <v/>
      </c>
      <c r="O2640" s="10">
        <f>IFERROR(_xlfn.XLOOKUP(C2640,[1]AttributeName!$C:$C,[1]AttributeName!$B:$B),"")</f>
        <v>10003</v>
      </c>
      <c r="P2640" s="10"/>
      <c r="Q2640">
        <v>4</v>
      </c>
      <c r="R2640">
        <v>4</v>
      </c>
      <c r="S2640" cm="1">
        <f t="array" ref="S2640">IFERROR(_xlfn.SWITCH(L2640,1,_xlfn.XLOOKUP(O2640,[1]AttributeName!$B:$B,[1]AttributeName!$D:$D),2,_xlfn.XLOOKUP(C2640,#REF!,#REF!),3,_xlfn.XLOOKUP(C2640,#REF!,#REF!)),0)</f>
        <v>0</v>
      </c>
      <c r="T2640" cm="1">
        <f t="array" ref="T2640">IFERROR(_xlfn.SWITCH(L2640,1,_xlfn.XLOOKUP(O2640,[1]AttributeName!$B:$B,[1]AttributeName!$E:$E),2,_xlfn.XLOOKUP(C2640,#REF!,#REF!),3,_xlfn.XLOOKUP(C2640,#REF!,#REF!)),0)</f>
        <v>1</v>
      </c>
    </row>
    <row r="2641" customFormat="1" spans="1:20">
      <c r="A2641">
        <f t="shared" si="108"/>
        <v>1064</v>
      </c>
      <c r="B2641">
        <v>6</v>
      </c>
      <c r="C2641" t="s">
        <v>427</v>
      </c>
      <c r="D2641" t="s">
        <v>442</v>
      </c>
      <c r="E2641" t="s">
        <v>392</v>
      </c>
      <c r="F2641"/>
      <c r="G2641">
        <v>2</v>
      </c>
      <c r="H2641">
        <v>500</v>
      </c>
      <c r="I2641">
        <v>3</v>
      </c>
      <c r="J2641" cm="1">
        <f t="array" ref="J2641">_xlfn.SWITCH(B2641,1,75,2,61,3,49,4,37,5,25,6,13,7,4,8,1)</f>
        <v>13</v>
      </c>
      <c r="K2641" t="str" cm="1">
        <f t="array" ref="K2641">IFERROR(_xlfn.SWITCH(L2641,2,_xlfn.XLOOKUP(C2641,[1]ModifierDes!$B:$B,[1]ModifierDes!$C:$C),3,_xlfn.XLOOKUP(C2641,[1]StuntDes!$B:$B,[1]StuntDes!$C:$C)),"")</f>
        <v/>
      </c>
      <c r="L2641">
        <f t="shared" si="109"/>
        <v>1</v>
      </c>
      <c r="M2641" s="10" t="str">
        <f>IFERROR(_xlfn.XLOOKUP(C2641,[1]StuntDes!$B:$B,[1]StuntDes!$A:$A),"")</f>
        <v/>
      </c>
      <c r="N2641" s="10" t="str">
        <f>IFERROR(_xlfn.XLOOKUP(C2641,[1]ModifierDes!$B:$B,[1]ModifierDes!$A:$A),"")</f>
        <v/>
      </c>
      <c r="O2641" s="10">
        <f>IFERROR(_xlfn.XLOOKUP(C2641,[1]AttributeName!$C:$C,[1]AttributeName!$B:$B),"")</f>
        <v>10003</v>
      </c>
      <c r="P2641" s="10"/>
      <c r="Q2641">
        <v>3</v>
      </c>
      <c r="R2641">
        <v>3</v>
      </c>
      <c r="S2641" cm="1">
        <f t="array" ref="S2641">IFERROR(_xlfn.SWITCH(L2641,1,_xlfn.XLOOKUP(O2641,[1]AttributeName!$B:$B,[1]AttributeName!$D:$D),2,_xlfn.XLOOKUP(C2641,#REF!,#REF!),3,_xlfn.XLOOKUP(C2641,#REF!,#REF!)),0)</f>
        <v>0</v>
      </c>
      <c r="T2641" cm="1">
        <f t="array" ref="T2641">IFERROR(_xlfn.SWITCH(L2641,1,_xlfn.XLOOKUP(O2641,[1]AttributeName!$B:$B,[1]AttributeName!$E:$E),2,_xlfn.XLOOKUP(C2641,#REF!,#REF!),3,_xlfn.XLOOKUP(C2641,#REF!,#REF!)),0)</f>
        <v>1</v>
      </c>
    </row>
    <row r="2642" customFormat="1" spans="1:20">
      <c r="A2642">
        <f t="shared" si="108"/>
        <v>1064</v>
      </c>
      <c r="B2642">
        <v>7</v>
      </c>
      <c r="C2642" t="s">
        <v>427</v>
      </c>
      <c r="D2642" t="s">
        <v>442</v>
      </c>
      <c r="E2642" t="s">
        <v>392</v>
      </c>
      <c r="F2642"/>
      <c r="G2642">
        <v>2</v>
      </c>
      <c r="H2642">
        <v>500</v>
      </c>
      <c r="I2642">
        <v>3</v>
      </c>
      <c r="J2642" cm="1">
        <f t="array" ref="J2642">_xlfn.SWITCH(B2642,1,75,2,61,3,49,4,37,5,25,6,13,7,4,8,1)</f>
        <v>4</v>
      </c>
      <c r="K2642" t="str" cm="1">
        <f t="array" ref="K2642">IFERROR(_xlfn.SWITCH(L2642,2,_xlfn.XLOOKUP(C2642,[1]ModifierDes!$B:$B,[1]ModifierDes!$C:$C),3,_xlfn.XLOOKUP(C2642,[1]StuntDes!$B:$B,[1]StuntDes!$C:$C)),"")</f>
        <v/>
      </c>
      <c r="L2642">
        <f t="shared" si="109"/>
        <v>1</v>
      </c>
      <c r="M2642" s="10" t="str">
        <f>IFERROR(_xlfn.XLOOKUP(C2642,[1]StuntDes!$B:$B,[1]StuntDes!$A:$A),"")</f>
        <v/>
      </c>
      <c r="N2642" s="10" t="str">
        <f>IFERROR(_xlfn.XLOOKUP(C2642,[1]ModifierDes!$B:$B,[1]ModifierDes!$A:$A),"")</f>
        <v/>
      </c>
      <c r="O2642" s="10">
        <f>IFERROR(_xlfn.XLOOKUP(C2642,[1]AttributeName!$C:$C,[1]AttributeName!$B:$B),"")</f>
        <v>10003</v>
      </c>
      <c r="P2642" s="10"/>
      <c r="Q2642">
        <v>2</v>
      </c>
      <c r="R2642">
        <v>2</v>
      </c>
      <c r="S2642" cm="1">
        <f t="array" ref="S2642">IFERROR(_xlfn.SWITCH(L2642,1,_xlfn.XLOOKUP(O2642,[1]AttributeName!$B:$B,[1]AttributeName!$D:$D),2,_xlfn.XLOOKUP(C2642,#REF!,#REF!),3,_xlfn.XLOOKUP(C2642,#REF!,#REF!)),0)</f>
        <v>0</v>
      </c>
      <c r="T2642" cm="1">
        <f t="array" ref="T2642">IFERROR(_xlfn.SWITCH(L2642,1,_xlfn.XLOOKUP(O2642,[1]AttributeName!$B:$B,[1]AttributeName!$E:$E),2,_xlfn.XLOOKUP(C2642,#REF!,#REF!),3,_xlfn.XLOOKUP(C2642,#REF!,#REF!)),0)</f>
        <v>1</v>
      </c>
    </row>
    <row r="2643" customFormat="1" spans="1:20">
      <c r="A2643">
        <f t="shared" si="108"/>
        <v>1064</v>
      </c>
      <c r="B2643">
        <v>8</v>
      </c>
      <c r="C2643" t="s">
        <v>427</v>
      </c>
      <c r="D2643" t="s">
        <v>442</v>
      </c>
      <c r="E2643" t="s">
        <v>392</v>
      </c>
      <c r="F2643"/>
      <c r="G2643">
        <v>2</v>
      </c>
      <c r="H2643">
        <v>500</v>
      </c>
      <c r="I2643">
        <v>3</v>
      </c>
      <c r="J2643" cm="1">
        <f t="array" ref="J2643">_xlfn.SWITCH(B2643,1,75,2,61,3,49,4,37,5,25,6,13,7,4,8,1)</f>
        <v>1</v>
      </c>
      <c r="K2643" t="str" cm="1">
        <f t="array" ref="K2643">IFERROR(_xlfn.SWITCH(L2643,2,_xlfn.XLOOKUP(C2643,[1]ModifierDes!$B:$B,[1]ModifierDes!$C:$C),3,_xlfn.XLOOKUP(C2643,[1]StuntDes!$B:$B,[1]StuntDes!$C:$C)),"")</f>
        <v/>
      </c>
      <c r="L2643">
        <f t="shared" si="109"/>
        <v>1</v>
      </c>
      <c r="M2643" s="10" t="str">
        <f>IFERROR(_xlfn.XLOOKUP(C2643,[1]StuntDes!$B:$B,[1]StuntDes!$A:$A),"")</f>
        <v/>
      </c>
      <c r="N2643" s="10" t="str">
        <f>IFERROR(_xlfn.XLOOKUP(C2643,[1]ModifierDes!$B:$B,[1]ModifierDes!$A:$A),"")</f>
        <v/>
      </c>
      <c r="O2643" s="10">
        <f>IFERROR(_xlfn.XLOOKUP(C2643,[1]AttributeName!$C:$C,[1]AttributeName!$B:$B),"")</f>
        <v>10003</v>
      </c>
      <c r="P2643" s="10"/>
      <c r="Q2643">
        <v>1</v>
      </c>
      <c r="R2643">
        <v>1</v>
      </c>
      <c r="S2643" cm="1">
        <f t="array" ref="S2643">IFERROR(_xlfn.SWITCH(L2643,1,_xlfn.XLOOKUP(O2643,[1]AttributeName!$B:$B,[1]AttributeName!$D:$D),2,_xlfn.XLOOKUP(C2643,#REF!,#REF!),3,_xlfn.XLOOKUP(C2643,#REF!,#REF!)),0)</f>
        <v>0</v>
      </c>
      <c r="T2643" cm="1">
        <f t="array" ref="T2643">IFERROR(_xlfn.SWITCH(L2643,1,_xlfn.XLOOKUP(O2643,[1]AttributeName!$B:$B,[1]AttributeName!$E:$E),2,_xlfn.XLOOKUP(C2643,#REF!,#REF!),3,_xlfn.XLOOKUP(C2643,#REF!,#REF!)),0)</f>
        <v>1</v>
      </c>
    </row>
    <row r="2644" customFormat="1" spans="1:20">
      <c r="A2644">
        <v>1101</v>
      </c>
      <c r="B2644">
        <v>1</v>
      </c>
      <c r="C2644" t="s">
        <v>389</v>
      </c>
      <c r="D2644" t="s">
        <v>443</v>
      </c>
      <c r="E2644" t="s">
        <v>378</v>
      </c>
      <c r="F2644"/>
      <c r="G2644">
        <v>1</v>
      </c>
      <c r="H2644">
        <v>1000</v>
      </c>
      <c r="J2644" cm="1">
        <f t="array" ref="J2644">_xlfn.SWITCH(B2644,1,75,2,61,3,49,4,37,5,25,6,13,7,4,8,1)</f>
        <v>75</v>
      </c>
      <c r="K2644" t="str" cm="1">
        <f t="array" ref="K2644">IFERROR(_xlfn.SWITCH(L2644,2,_xlfn.XLOOKUP(C2644,[1]ModifierDes!$B:$B,[1]ModifierDes!$C:$C),3,_xlfn.XLOOKUP(C2644,[1]StuntDes!$B:$B,[1]StuntDes!$C:$C)),"")</f>
        <v/>
      </c>
      <c r="L2644">
        <f t="shared" si="109"/>
        <v>1</v>
      </c>
      <c r="M2644" s="10" t="str">
        <f>IFERROR(_xlfn.XLOOKUP(C2644,[1]StuntDes!$B:$B,[1]StuntDes!$A:$A),"")</f>
        <v/>
      </c>
      <c r="N2644" s="10" t="str">
        <f>IFERROR(_xlfn.XLOOKUP(C2644,[1]ModifierDes!$B:$B,[1]ModifierDes!$A:$A),"")</f>
        <v/>
      </c>
      <c r="O2644" s="10">
        <f>IFERROR(_xlfn.XLOOKUP(C2644,[1]AttributeName!$C:$C,[1]AttributeName!$B:$B),"")</f>
        <v>10001</v>
      </c>
      <c r="P2644" s="10"/>
      <c r="Q2644">
        <v>950</v>
      </c>
      <c r="R2644">
        <v>1050</v>
      </c>
      <c r="S2644" cm="1">
        <f t="array" ref="S2644">IFERROR(_xlfn.SWITCH(L2644,1,_xlfn.XLOOKUP(O2644,[1]AttributeName!$B:$B,[1]AttributeName!$D:$D),2,_xlfn.XLOOKUP(C2644,#REF!,#REF!),3,_xlfn.XLOOKUP(C2644,#REF!,#REF!)),0)</f>
        <v>0</v>
      </c>
      <c r="T2644" cm="1">
        <f t="array" ref="T2644">IFERROR(_xlfn.SWITCH(L2644,1,_xlfn.XLOOKUP(O2644,[1]AttributeName!$B:$B,[1]AttributeName!$E:$E),2,_xlfn.XLOOKUP(C2644,#REF!,#REF!),3,_xlfn.XLOOKUP(C2644,#REF!,#REF!)),0)</f>
        <v>1</v>
      </c>
    </row>
    <row r="2645" customFormat="1" spans="1:20">
      <c r="A2645">
        <v>1101</v>
      </c>
      <c r="B2645">
        <v>2</v>
      </c>
      <c r="C2645" t="s">
        <v>389</v>
      </c>
      <c r="D2645" t="s">
        <v>443</v>
      </c>
      <c r="E2645" t="s">
        <v>378</v>
      </c>
      <c r="F2645"/>
      <c r="G2645">
        <v>1</v>
      </c>
      <c r="H2645">
        <v>1000</v>
      </c>
      <c r="J2645" cm="1">
        <f t="array" ref="J2645">_xlfn.SWITCH(B2645,1,75,2,61,3,49,4,37,5,25,6,13,7,4,8,1)</f>
        <v>61</v>
      </c>
      <c r="K2645" t="str" cm="1">
        <f t="array" ref="K2645">IFERROR(_xlfn.SWITCH(L2645,2,_xlfn.XLOOKUP(C2645,[1]ModifierDes!$B:$B,[1]ModifierDes!$C:$C),3,_xlfn.XLOOKUP(C2645,[1]StuntDes!$B:$B,[1]StuntDes!$C:$C)),"")</f>
        <v/>
      </c>
      <c r="L2645">
        <f t="shared" si="109"/>
        <v>1</v>
      </c>
      <c r="M2645" s="10" t="str">
        <f>IFERROR(_xlfn.XLOOKUP(C2645,[1]StuntDes!$B:$B,[1]StuntDes!$A:$A),"")</f>
        <v/>
      </c>
      <c r="N2645" s="10" t="str">
        <f>IFERROR(_xlfn.XLOOKUP(C2645,[1]ModifierDes!$B:$B,[1]ModifierDes!$A:$A),"")</f>
        <v/>
      </c>
      <c r="O2645" s="10">
        <f>IFERROR(_xlfn.XLOOKUP(C2645,[1]AttributeName!$C:$C,[1]AttributeName!$B:$B),"")</f>
        <v>10001</v>
      </c>
      <c r="P2645" s="10"/>
      <c r="Q2645">
        <v>520</v>
      </c>
      <c r="R2645">
        <v>600</v>
      </c>
      <c r="S2645" cm="1">
        <f t="array" ref="S2645">IFERROR(_xlfn.SWITCH(L2645,1,_xlfn.XLOOKUP(O2645,[1]AttributeName!$B:$B,[1]AttributeName!$D:$D),2,_xlfn.XLOOKUP(C2645,#REF!,#REF!),3,_xlfn.XLOOKUP(C2645,#REF!,#REF!)),0)</f>
        <v>0</v>
      </c>
      <c r="T2645" cm="1">
        <f t="array" ref="T2645">IFERROR(_xlfn.SWITCH(L2645,1,_xlfn.XLOOKUP(O2645,[1]AttributeName!$B:$B,[1]AttributeName!$E:$E),2,_xlfn.XLOOKUP(C2645,#REF!,#REF!),3,_xlfn.XLOOKUP(C2645,#REF!,#REF!)),0)</f>
        <v>1</v>
      </c>
    </row>
    <row r="2646" customFormat="1" spans="1:20">
      <c r="A2646">
        <v>1101</v>
      </c>
      <c r="B2646">
        <v>3</v>
      </c>
      <c r="C2646" t="s">
        <v>389</v>
      </c>
      <c r="D2646" t="s">
        <v>443</v>
      </c>
      <c r="E2646" t="s">
        <v>378</v>
      </c>
      <c r="F2646"/>
      <c r="G2646">
        <v>1</v>
      </c>
      <c r="H2646">
        <v>1000</v>
      </c>
      <c r="J2646" cm="1">
        <f t="array" ref="J2646">_xlfn.SWITCH(B2646,1,75,2,61,3,49,4,37,5,25,6,13,7,4,8,1)</f>
        <v>49</v>
      </c>
      <c r="K2646" t="str" cm="1">
        <f t="array" ref="K2646">IFERROR(_xlfn.SWITCH(L2646,2,_xlfn.XLOOKUP(C2646,[1]ModifierDes!$B:$B,[1]ModifierDes!$C:$C),3,_xlfn.XLOOKUP(C2646,[1]StuntDes!$B:$B,[1]StuntDes!$C:$C)),"")</f>
        <v/>
      </c>
      <c r="L2646">
        <f t="shared" si="109"/>
        <v>1</v>
      </c>
      <c r="M2646" s="10" t="str">
        <f>IFERROR(_xlfn.XLOOKUP(C2646,[1]StuntDes!$B:$B,[1]StuntDes!$A:$A),"")</f>
        <v/>
      </c>
      <c r="N2646" s="10" t="str">
        <f>IFERROR(_xlfn.XLOOKUP(C2646,[1]ModifierDes!$B:$B,[1]ModifierDes!$A:$A),"")</f>
        <v/>
      </c>
      <c r="O2646" s="10">
        <f>IFERROR(_xlfn.XLOOKUP(C2646,[1]AttributeName!$C:$C,[1]AttributeName!$B:$B),"")</f>
        <v>10001</v>
      </c>
      <c r="P2646" s="10"/>
      <c r="Q2646">
        <v>250</v>
      </c>
      <c r="R2646">
        <v>310</v>
      </c>
      <c r="S2646" cm="1">
        <f t="array" ref="S2646">IFERROR(_xlfn.SWITCH(L2646,1,_xlfn.XLOOKUP(O2646,[1]AttributeName!$B:$B,[1]AttributeName!$D:$D),2,_xlfn.XLOOKUP(C2646,#REF!,#REF!),3,_xlfn.XLOOKUP(C2646,#REF!,#REF!)),0)</f>
        <v>0</v>
      </c>
      <c r="T2646" cm="1">
        <f t="array" ref="T2646">IFERROR(_xlfn.SWITCH(L2646,1,_xlfn.XLOOKUP(O2646,[1]AttributeName!$B:$B,[1]AttributeName!$E:$E),2,_xlfn.XLOOKUP(C2646,#REF!,#REF!),3,_xlfn.XLOOKUP(C2646,#REF!,#REF!)),0)</f>
        <v>1</v>
      </c>
    </row>
    <row r="2647" customFormat="1" spans="1:20">
      <c r="A2647">
        <v>1101</v>
      </c>
      <c r="B2647">
        <v>4</v>
      </c>
      <c r="C2647" t="s">
        <v>389</v>
      </c>
      <c r="D2647" t="s">
        <v>443</v>
      </c>
      <c r="E2647" t="s">
        <v>378</v>
      </c>
      <c r="F2647"/>
      <c r="G2647">
        <v>1</v>
      </c>
      <c r="H2647">
        <v>1000</v>
      </c>
      <c r="J2647" cm="1">
        <f t="array" ref="J2647">_xlfn.SWITCH(B2647,1,75,2,61,3,49,4,37,5,25,6,13,7,4,8,1)</f>
        <v>37</v>
      </c>
      <c r="K2647" t="str" cm="1">
        <f t="array" ref="K2647">IFERROR(_xlfn.SWITCH(L2647,2,_xlfn.XLOOKUP(C2647,[1]ModifierDes!$B:$B,[1]ModifierDes!$C:$C),3,_xlfn.XLOOKUP(C2647,[1]StuntDes!$B:$B,[1]StuntDes!$C:$C)),"")</f>
        <v/>
      </c>
      <c r="L2647">
        <f t="shared" si="109"/>
        <v>1</v>
      </c>
      <c r="M2647" s="10" t="str">
        <f>IFERROR(_xlfn.XLOOKUP(C2647,[1]StuntDes!$B:$B,[1]StuntDes!$A:$A),"")</f>
        <v/>
      </c>
      <c r="N2647" s="10" t="str">
        <f>IFERROR(_xlfn.XLOOKUP(C2647,[1]ModifierDes!$B:$B,[1]ModifierDes!$A:$A),"")</f>
        <v/>
      </c>
      <c r="O2647" s="10">
        <f>IFERROR(_xlfn.XLOOKUP(C2647,[1]AttributeName!$C:$C,[1]AttributeName!$B:$B),"")</f>
        <v>10001</v>
      </c>
      <c r="P2647" s="10"/>
      <c r="Q2647">
        <v>120</v>
      </c>
      <c r="R2647">
        <v>160</v>
      </c>
      <c r="S2647" cm="1">
        <f t="array" ref="S2647">IFERROR(_xlfn.SWITCH(L2647,1,_xlfn.XLOOKUP(O2647,[1]AttributeName!$B:$B,[1]AttributeName!$D:$D),2,_xlfn.XLOOKUP(C2647,#REF!,#REF!),3,_xlfn.XLOOKUP(C2647,#REF!,#REF!)),0)</f>
        <v>0</v>
      </c>
      <c r="T2647" cm="1">
        <f t="array" ref="T2647">IFERROR(_xlfn.SWITCH(L2647,1,_xlfn.XLOOKUP(O2647,[1]AttributeName!$B:$B,[1]AttributeName!$E:$E),2,_xlfn.XLOOKUP(C2647,#REF!,#REF!),3,_xlfn.XLOOKUP(C2647,#REF!,#REF!)),0)</f>
        <v>1</v>
      </c>
    </row>
    <row r="2648" customFormat="1" spans="1:20">
      <c r="A2648">
        <v>1101</v>
      </c>
      <c r="B2648">
        <v>5</v>
      </c>
      <c r="C2648" t="s">
        <v>389</v>
      </c>
      <c r="D2648" t="s">
        <v>443</v>
      </c>
      <c r="E2648" t="s">
        <v>378</v>
      </c>
      <c r="F2648"/>
      <c r="G2648">
        <v>1</v>
      </c>
      <c r="H2648">
        <v>1000</v>
      </c>
      <c r="J2648" cm="1">
        <f t="array" ref="J2648">_xlfn.SWITCH(B2648,1,75,2,61,3,49,4,37,5,25,6,13,7,4,8,1)</f>
        <v>25</v>
      </c>
      <c r="K2648" t="str" cm="1">
        <f t="array" ref="K2648">IFERROR(_xlfn.SWITCH(L2648,2,_xlfn.XLOOKUP(C2648,[1]ModifierDes!$B:$B,[1]ModifierDes!$C:$C),3,_xlfn.XLOOKUP(C2648,[1]StuntDes!$B:$B,[1]StuntDes!$C:$C)),"")</f>
        <v/>
      </c>
      <c r="L2648">
        <f t="shared" si="109"/>
        <v>1</v>
      </c>
      <c r="M2648" s="10" t="str">
        <f>IFERROR(_xlfn.XLOOKUP(C2648,[1]StuntDes!$B:$B,[1]StuntDes!$A:$A),"")</f>
        <v/>
      </c>
      <c r="N2648" s="10" t="str">
        <f>IFERROR(_xlfn.XLOOKUP(C2648,[1]ModifierDes!$B:$B,[1]ModifierDes!$A:$A),"")</f>
        <v/>
      </c>
      <c r="O2648" s="10">
        <f>IFERROR(_xlfn.XLOOKUP(C2648,[1]AttributeName!$C:$C,[1]AttributeName!$B:$B),"")</f>
        <v>10001</v>
      </c>
      <c r="P2648" s="10"/>
      <c r="Q2648">
        <v>60</v>
      </c>
      <c r="R2648">
        <v>80</v>
      </c>
      <c r="S2648" cm="1">
        <f t="array" ref="S2648">IFERROR(_xlfn.SWITCH(L2648,1,_xlfn.XLOOKUP(O2648,[1]AttributeName!$B:$B,[1]AttributeName!$D:$D),2,_xlfn.XLOOKUP(C2648,#REF!,#REF!),3,_xlfn.XLOOKUP(C2648,#REF!,#REF!)),0)</f>
        <v>0</v>
      </c>
      <c r="T2648" cm="1">
        <f t="array" ref="T2648">IFERROR(_xlfn.SWITCH(L2648,1,_xlfn.XLOOKUP(O2648,[1]AttributeName!$B:$B,[1]AttributeName!$E:$E),2,_xlfn.XLOOKUP(C2648,#REF!,#REF!),3,_xlfn.XLOOKUP(C2648,#REF!,#REF!)),0)</f>
        <v>1</v>
      </c>
    </row>
    <row r="2649" customFormat="1" spans="1:20">
      <c r="A2649">
        <v>1101</v>
      </c>
      <c r="B2649">
        <v>6</v>
      </c>
      <c r="C2649" t="s">
        <v>389</v>
      </c>
      <c r="D2649" t="s">
        <v>443</v>
      </c>
      <c r="E2649" t="s">
        <v>378</v>
      </c>
      <c r="F2649"/>
      <c r="G2649">
        <v>1</v>
      </c>
      <c r="H2649">
        <v>1000</v>
      </c>
      <c r="J2649" cm="1">
        <f t="array" ref="J2649">_xlfn.SWITCH(B2649,1,75,2,61,3,49,4,37,5,25,6,13,7,4,8,1)</f>
        <v>13</v>
      </c>
      <c r="K2649" t="str" cm="1">
        <f t="array" ref="K2649">IFERROR(_xlfn.SWITCH(L2649,2,_xlfn.XLOOKUP(C2649,[1]ModifierDes!$B:$B,[1]ModifierDes!$C:$C),3,_xlfn.XLOOKUP(C2649,[1]StuntDes!$B:$B,[1]StuntDes!$C:$C)),"")</f>
        <v/>
      </c>
      <c r="L2649">
        <f t="shared" si="109"/>
        <v>1</v>
      </c>
      <c r="M2649" s="10" t="str">
        <f>IFERROR(_xlfn.XLOOKUP(C2649,[1]StuntDes!$B:$B,[1]StuntDes!$A:$A),"")</f>
        <v/>
      </c>
      <c r="N2649" s="10" t="str">
        <f>IFERROR(_xlfn.XLOOKUP(C2649,[1]ModifierDes!$B:$B,[1]ModifierDes!$A:$A),"")</f>
        <v/>
      </c>
      <c r="O2649" s="10">
        <f>IFERROR(_xlfn.XLOOKUP(C2649,[1]AttributeName!$C:$C,[1]AttributeName!$B:$B),"")</f>
        <v>10001</v>
      </c>
      <c r="P2649" s="10"/>
      <c r="Q2649">
        <v>30</v>
      </c>
      <c r="R2649">
        <v>40</v>
      </c>
      <c r="S2649" cm="1">
        <f t="array" ref="S2649">IFERROR(_xlfn.SWITCH(L2649,1,_xlfn.XLOOKUP(O2649,[1]AttributeName!$B:$B,[1]AttributeName!$D:$D),2,_xlfn.XLOOKUP(C2649,#REF!,#REF!),3,_xlfn.XLOOKUP(C2649,#REF!,#REF!)),0)</f>
        <v>0</v>
      </c>
      <c r="T2649" cm="1">
        <f t="array" ref="T2649">IFERROR(_xlfn.SWITCH(L2649,1,_xlfn.XLOOKUP(O2649,[1]AttributeName!$B:$B,[1]AttributeName!$E:$E),2,_xlfn.XLOOKUP(C2649,#REF!,#REF!),3,_xlfn.XLOOKUP(C2649,#REF!,#REF!)),0)</f>
        <v>1</v>
      </c>
    </row>
    <row r="2650" customFormat="1" spans="1:20">
      <c r="A2650">
        <v>1101</v>
      </c>
      <c r="B2650">
        <v>7</v>
      </c>
      <c r="C2650" t="s">
        <v>389</v>
      </c>
      <c r="D2650" t="s">
        <v>443</v>
      </c>
      <c r="E2650" t="s">
        <v>378</v>
      </c>
      <c r="F2650"/>
      <c r="G2650">
        <v>1</v>
      </c>
      <c r="H2650">
        <v>1000</v>
      </c>
      <c r="J2650" cm="1">
        <f t="array" ref="J2650">_xlfn.SWITCH(B2650,1,75,2,61,3,49,4,37,5,25,6,13,7,4,8,1)</f>
        <v>4</v>
      </c>
      <c r="K2650" t="str" cm="1">
        <f t="array" ref="K2650">IFERROR(_xlfn.SWITCH(L2650,2,_xlfn.XLOOKUP(C2650,[1]ModifierDes!$B:$B,[1]ModifierDes!$C:$C),3,_xlfn.XLOOKUP(C2650,[1]StuntDes!$B:$B,[1]StuntDes!$C:$C)),"")</f>
        <v/>
      </c>
      <c r="L2650">
        <f t="shared" si="109"/>
        <v>1</v>
      </c>
      <c r="M2650" s="10" t="str">
        <f>IFERROR(_xlfn.XLOOKUP(C2650,[1]StuntDes!$B:$B,[1]StuntDes!$A:$A),"")</f>
        <v/>
      </c>
      <c r="N2650" s="10" t="str">
        <f>IFERROR(_xlfn.XLOOKUP(C2650,[1]ModifierDes!$B:$B,[1]ModifierDes!$A:$A),"")</f>
        <v/>
      </c>
      <c r="O2650" s="10">
        <f>IFERROR(_xlfn.XLOOKUP(C2650,[1]AttributeName!$C:$C,[1]AttributeName!$B:$B),"")</f>
        <v>10001</v>
      </c>
      <c r="P2650" s="10"/>
      <c r="Q2650">
        <v>12</v>
      </c>
      <c r="R2650">
        <v>20</v>
      </c>
      <c r="S2650" cm="1">
        <f t="array" ref="S2650">IFERROR(_xlfn.SWITCH(L2650,1,_xlfn.XLOOKUP(O2650,[1]AttributeName!$B:$B,[1]AttributeName!$D:$D),2,_xlfn.XLOOKUP(C2650,#REF!,#REF!),3,_xlfn.XLOOKUP(C2650,#REF!,#REF!)),0)</f>
        <v>0</v>
      </c>
      <c r="T2650" cm="1">
        <f t="array" ref="T2650">IFERROR(_xlfn.SWITCH(L2650,1,_xlfn.XLOOKUP(O2650,[1]AttributeName!$B:$B,[1]AttributeName!$E:$E),2,_xlfn.XLOOKUP(C2650,#REF!,#REF!),3,_xlfn.XLOOKUP(C2650,#REF!,#REF!)),0)</f>
        <v>1</v>
      </c>
    </row>
    <row r="2651" customFormat="1" spans="1:20">
      <c r="A2651">
        <v>1101</v>
      </c>
      <c r="B2651">
        <v>8</v>
      </c>
      <c r="C2651" t="s">
        <v>389</v>
      </c>
      <c r="D2651" t="s">
        <v>443</v>
      </c>
      <c r="E2651" t="s">
        <v>378</v>
      </c>
      <c r="F2651"/>
      <c r="G2651">
        <v>1</v>
      </c>
      <c r="H2651">
        <v>1000</v>
      </c>
      <c r="J2651" cm="1">
        <f t="array" ref="J2651">_xlfn.SWITCH(B2651,1,75,2,61,3,49,4,37,5,25,6,13,7,4,8,1)</f>
        <v>1</v>
      </c>
      <c r="K2651" t="str" cm="1">
        <f t="array" ref="K2651">IFERROR(_xlfn.SWITCH(L2651,2,_xlfn.XLOOKUP(C2651,[1]ModifierDes!$B:$B,[1]ModifierDes!$C:$C),3,_xlfn.XLOOKUP(C2651,[1]StuntDes!$B:$B,[1]StuntDes!$C:$C)),"")</f>
        <v/>
      </c>
      <c r="L2651">
        <f t="shared" si="109"/>
        <v>1</v>
      </c>
      <c r="M2651" s="10" t="str">
        <f>IFERROR(_xlfn.XLOOKUP(C2651,[1]StuntDes!$B:$B,[1]StuntDes!$A:$A),"")</f>
        <v/>
      </c>
      <c r="N2651" s="10" t="str">
        <f>IFERROR(_xlfn.XLOOKUP(C2651,[1]ModifierDes!$B:$B,[1]ModifierDes!$A:$A),"")</f>
        <v/>
      </c>
      <c r="O2651" s="10">
        <f>IFERROR(_xlfn.XLOOKUP(C2651,[1]AttributeName!$C:$C,[1]AttributeName!$B:$B),"")</f>
        <v>10001</v>
      </c>
      <c r="P2651" s="10"/>
      <c r="Q2651">
        <v>6</v>
      </c>
      <c r="R2651">
        <v>10</v>
      </c>
      <c r="S2651" cm="1">
        <f t="array" ref="S2651">IFERROR(_xlfn.SWITCH(L2651,1,_xlfn.XLOOKUP(O2651,[1]AttributeName!$B:$B,[1]AttributeName!$D:$D),2,_xlfn.XLOOKUP(C2651,#REF!,#REF!),3,_xlfn.XLOOKUP(C2651,#REF!,#REF!)),0)</f>
        <v>0</v>
      </c>
      <c r="T2651" cm="1">
        <f t="array" ref="T2651">IFERROR(_xlfn.SWITCH(L2651,1,_xlfn.XLOOKUP(O2651,[1]AttributeName!$B:$B,[1]AttributeName!$E:$E),2,_xlfn.XLOOKUP(C2651,#REF!,#REF!),3,_xlfn.XLOOKUP(C2651,#REF!,#REF!)),0)</f>
        <v>1</v>
      </c>
    </row>
    <row r="2652" customFormat="1" spans="1:20">
      <c r="A2652">
        <f t="shared" ref="A2652:A2715" si="110">A2644+1</f>
        <v>1102</v>
      </c>
      <c r="B2652">
        <v>1</v>
      </c>
      <c r="C2652" t="s">
        <v>416</v>
      </c>
      <c r="D2652" t="s">
        <v>443</v>
      </c>
      <c r="E2652" t="s">
        <v>378</v>
      </c>
      <c r="F2652"/>
      <c r="G2652">
        <v>1</v>
      </c>
      <c r="H2652">
        <v>1000</v>
      </c>
      <c r="J2652" cm="1">
        <f t="array" ref="J2652">_xlfn.SWITCH(B2652,1,75,2,61,3,49,4,37,5,25,6,13,7,4,8,1)</f>
        <v>75</v>
      </c>
      <c r="K2652" t="str" cm="1">
        <f t="array" ref="K2652">IFERROR(_xlfn.SWITCH(L2652,2,_xlfn.XLOOKUP(C2652,[1]ModifierDes!$B:$B,[1]ModifierDes!$C:$C),3,_xlfn.XLOOKUP(C2652,[1]StuntDes!$B:$B,[1]StuntDes!$C:$C)),"")</f>
        <v/>
      </c>
      <c r="L2652">
        <f t="shared" si="109"/>
        <v>1</v>
      </c>
      <c r="M2652" s="10" t="str">
        <f>IFERROR(_xlfn.XLOOKUP(C2652,[1]StuntDes!$B:$B,[1]StuntDes!$A:$A),"")</f>
        <v/>
      </c>
      <c r="N2652" s="10" t="str">
        <f>IFERROR(_xlfn.XLOOKUP(C2652,[1]ModifierDes!$B:$B,[1]ModifierDes!$A:$A),"")</f>
        <v/>
      </c>
      <c r="O2652" s="10">
        <f>IFERROR(_xlfn.XLOOKUP(C2652,[1]AttributeName!$C:$C,[1]AttributeName!$B:$B),"")</f>
        <v>10002</v>
      </c>
      <c r="P2652" s="10"/>
      <c r="Q2652">
        <v>71</v>
      </c>
      <c r="R2652">
        <v>80</v>
      </c>
      <c r="S2652" cm="1">
        <f t="array" ref="S2652">IFERROR(_xlfn.SWITCH(L2652,1,_xlfn.XLOOKUP(O2652,[1]AttributeName!$B:$B,[1]AttributeName!$D:$D),2,_xlfn.XLOOKUP(C2652,#REF!,#REF!),3,_xlfn.XLOOKUP(C2652,#REF!,#REF!)),0)</f>
        <v>0</v>
      </c>
      <c r="T2652" cm="1">
        <f t="array" ref="T2652">IFERROR(_xlfn.SWITCH(L2652,1,_xlfn.XLOOKUP(O2652,[1]AttributeName!$B:$B,[1]AttributeName!$E:$E),2,_xlfn.XLOOKUP(C2652,#REF!,#REF!),3,_xlfn.XLOOKUP(C2652,#REF!,#REF!)),0)</f>
        <v>1</v>
      </c>
    </row>
    <row r="2653" customFormat="1" spans="1:20">
      <c r="A2653">
        <f t="shared" si="110"/>
        <v>1102</v>
      </c>
      <c r="B2653">
        <v>2</v>
      </c>
      <c r="C2653" t="s">
        <v>416</v>
      </c>
      <c r="D2653" t="s">
        <v>443</v>
      </c>
      <c r="E2653" t="s">
        <v>378</v>
      </c>
      <c r="F2653"/>
      <c r="G2653">
        <v>1</v>
      </c>
      <c r="H2653">
        <v>1000</v>
      </c>
      <c r="J2653" cm="1">
        <f t="array" ref="J2653">_xlfn.SWITCH(B2653,1,75,2,61,3,49,4,37,5,25,6,13,7,4,8,1)</f>
        <v>61</v>
      </c>
      <c r="K2653" t="str" cm="1">
        <f t="array" ref="K2653">IFERROR(_xlfn.SWITCH(L2653,2,_xlfn.XLOOKUP(C2653,[1]ModifierDes!$B:$B,[1]ModifierDes!$C:$C),3,_xlfn.XLOOKUP(C2653,[1]StuntDes!$B:$B,[1]StuntDes!$C:$C)),"")</f>
        <v/>
      </c>
      <c r="L2653">
        <f t="shared" si="109"/>
        <v>1</v>
      </c>
      <c r="M2653" s="10" t="str">
        <f>IFERROR(_xlfn.XLOOKUP(C2653,[1]StuntDes!$B:$B,[1]StuntDes!$A:$A),"")</f>
        <v/>
      </c>
      <c r="N2653" s="10" t="str">
        <f>IFERROR(_xlfn.XLOOKUP(C2653,[1]ModifierDes!$B:$B,[1]ModifierDes!$A:$A),"")</f>
        <v/>
      </c>
      <c r="O2653" s="10">
        <f>IFERROR(_xlfn.XLOOKUP(C2653,[1]AttributeName!$C:$C,[1]AttributeName!$B:$B),"")</f>
        <v>10002</v>
      </c>
      <c r="P2653" s="10"/>
      <c r="Q2653">
        <v>61</v>
      </c>
      <c r="R2653">
        <v>70</v>
      </c>
      <c r="S2653" cm="1">
        <f t="array" ref="S2653">IFERROR(_xlfn.SWITCH(L2653,1,_xlfn.XLOOKUP(O2653,[1]AttributeName!$B:$B,[1]AttributeName!$D:$D),2,_xlfn.XLOOKUP(C2653,#REF!,#REF!),3,_xlfn.XLOOKUP(C2653,#REF!,#REF!)),0)</f>
        <v>0</v>
      </c>
      <c r="T2653" cm="1">
        <f t="array" ref="T2653">IFERROR(_xlfn.SWITCH(L2653,1,_xlfn.XLOOKUP(O2653,[1]AttributeName!$B:$B,[1]AttributeName!$E:$E),2,_xlfn.XLOOKUP(C2653,#REF!,#REF!),3,_xlfn.XLOOKUP(C2653,#REF!,#REF!)),0)</f>
        <v>1</v>
      </c>
    </row>
    <row r="2654" customFormat="1" spans="1:20">
      <c r="A2654">
        <f t="shared" si="110"/>
        <v>1102</v>
      </c>
      <c r="B2654">
        <v>3</v>
      </c>
      <c r="C2654" t="s">
        <v>416</v>
      </c>
      <c r="D2654" t="s">
        <v>443</v>
      </c>
      <c r="E2654" t="s">
        <v>378</v>
      </c>
      <c r="F2654"/>
      <c r="G2654">
        <v>1</v>
      </c>
      <c r="H2654">
        <v>1000</v>
      </c>
      <c r="J2654" cm="1">
        <f t="array" ref="J2654">_xlfn.SWITCH(B2654,1,75,2,61,3,49,4,37,5,25,6,13,7,4,8,1)</f>
        <v>49</v>
      </c>
      <c r="K2654" t="str" cm="1">
        <f t="array" ref="K2654">IFERROR(_xlfn.SWITCH(L2654,2,_xlfn.XLOOKUP(C2654,[1]ModifierDes!$B:$B,[1]ModifierDes!$C:$C),3,_xlfn.XLOOKUP(C2654,[1]StuntDes!$B:$B,[1]StuntDes!$C:$C)),"")</f>
        <v/>
      </c>
      <c r="L2654">
        <f t="shared" si="109"/>
        <v>1</v>
      </c>
      <c r="M2654" s="10" t="str">
        <f>IFERROR(_xlfn.XLOOKUP(C2654,[1]StuntDes!$B:$B,[1]StuntDes!$A:$A),"")</f>
        <v/>
      </c>
      <c r="N2654" s="10" t="str">
        <f>IFERROR(_xlfn.XLOOKUP(C2654,[1]ModifierDes!$B:$B,[1]ModifierDes!$A:$A),"")</f>
        <v/>
      </c>
      <c r="O2654" s="10">
        <f>IFERROR(_xlfn.XLOOKUP(C2654,[1]AttributeName!$C:$C,[1]AttributeName!$B:$B),"")</f>
        <v>10002</v>
      </c>
      <c r="P2654" s="10"/>
      <c r="Q2654">
        <v>51</v>
      </c>
      <c r="R2654">
        <v>60</v>
      </c>
      <c r="S2654" cm="1">
        <f t="array" ref="S2654">IFERROR(_xlfn.SWITCH(L2654,1,_xlfn.XLOOKUP(O2654,[1]AttributeName!$B:$B,[1]AttributeName!$D:$D),2,_xlfn.XLOOKUP(C2654,#REF!,#REF!),3,_xlfn.XLOOKUP(C2654,#REF!,#REF!)),0)</f>
        <v>0</v>
      </c>
      <c r="T2654" cm="1">
        <f t="array" ref="T2654">IFERROR(_xlfn.SWITCH(L2654,1,_xlfn.XLOOKUP(O2654,[1]AttributeName!$B:$B,[1]AttributeName!$E:$E),2,_xlfn.XLOOKUP(C2654,#REF!,#REF!),3,_xlfn.XLOOKUP(C2654,#REF!,#REF!)),0)</f>
        <v>1</v>
      </c>
    </row>
    <row r="2655" customFormat="1" spans="1:20">
      <c r="A2655">
        <f t="shared" si="110"/>
        <v>1102</v>
      </c>
      <c r="B2655">
        <v>4</v>
      </c>
      <c r="C2655" t="s">
        <v>416</v>
      </c>
      <c r="D2655" t="s">
        <v>443</v>
      </c>
      <c r="E2655" t="s">
        <v>378</v>
      </c>
      <c r="F2655"/>
      <c r="G2655">
        <v>1</v>
      </c>
      <c r="H2655">
        <v>1000</v>
      </c>
      <c r="J2655" cm="1">
        <f t="array" ref="J2655">_xlfn.SWITCH(B2655,1,75,2,61,3,49,4,37,5,25,6,13,7,4,8,1)</f>
        <v>37</v>
      </c>
      <c r="K2655" t="str" cm="1">
        <f t="array" ref="K2655">IFERROR(_xlfn.SWITCH(L2655,2,_xlfn.XLOOKUP(C2655,[1]ModifierDes!$B:$B,[1]ModifierDes!$C:$C),3,_xlfn.XLOOKUP(C2655,[1]StuntDes!$B:$B,[1]StuntDes!$C:$C)),"")</f>
        <v/>
      </c>
      <c r="L2655">
        <f t="shared" si="109"/>
        <v>1</v>
      </c>
      <c r="M2655" s="10" t="str">
        <f>IFERROR(_xlfn.XLOOKUP(C2655,[1]StuntDes!$B:$B,[1]StuntDes!$A:$A),"")</f>
        <v/>
      </c>
      <c r="N2655" s="10" t="str">
        <f>IFERROR(_xlfn.XLOOKUP(C2655,[1]ModifierDes!$B:$B,[1]ModifierDes!$A:$A),"")</f>
        <v/>
      </c>
      <c r="O2655" s="10">
        <f>IFERROR(_xlfn.XLOOKUP(C2655,[1]AttributeName!$C:$C,[1]AttributeName!$B:$B),"")</f>
        <v>10002</v>
      </c>
      <c r="P2655" s="10"/>
      <c r="Q2655">
        <v>41</v>
      </c>
      <c r="R2655">
        <v>50</v>
      </c>
      <c r="S2655" cm="1">
        <f t="array" ref="S2655">IFERROR(_xlfn.SWITCH(L2655,1,_xlfn.XLOOKUP(O2655,[1]AttributeName!$B:$B,[1]AttributeName!$D:$D),2,_xlfn.XLOOKUP(C2655,#REF!,#REF!),3,_xlfn.XLOOKUP(C2655,#REF!,#REF!)),0)</f>
        <v>0</v>
      </c>
      <c r="T2655" cm="1">
        <f t="array" ref="T2655">IFERROR(_xlfn.SWITCH(L2655,1,_xlfn.XLOOKUP(O2655,[1]AttributeName!$B:$B,[1]AttributeName!$E:$E),2,_xlfn.XLOOKUP(C2655,#REF!,#REF!),3,_xlfn.XLOOKUP(C2655,#REF!,#REF!)),0)</f>
        <v>1</v>
      </c>
    </row>
    <row r="2656" customFormat="1" spans="1:20">
      <c r="A2656">
        <f t="shared" si="110"/>
        <v>1102</v>
      </c>
      <c r="B2656">
        <v>5</v>
      </c>
      <c r="C2656" t="s">
        <v>416</v>
      </c>
      <c r="D2656" t="s">
        <v>443</v>
      </c>
      <c r="E2656" t="s">
        <v>378</v>
      </c>
      <c r="F2656"/>
      <c r="G2656">
        <v>1</v>
      </c>
      <c r="H2656">
        <v>1000</v>
      </c>
      <c r="J2656" cm="1">
        <f t="array" ref="J2656">_xlfn.SWITCH(B2656,1,75,2,61,3,49,4,37,5,25,6,13,7,4,8,1)</f>
        <v>25</v>
      </c>
      <c r="K2656" t="str" cm="1">
        <f t="array" ref="K2656">IFERROR(_xlfn.SWITCH(L2656,2,_xlfn.XLOOKUP(C2656,[1]ModifierDes!$B:$B,[1]ModifierDes!$C:$C),3,_xlfn.XLOOKUP(C2656,[1]StuntDes!$B:$B,[1]StuntDes!$C:$C)),"")</f>
        <v/>
      </c>
      <c r="L2656">
        <f t="shared" si="109"/>
        <v>1</v>
      </c>
      <c r="M2656" s="10" t="str">
        <f>IFERROR(_xlfn.XLOOKUP(C2656,[1]StuntDes!$B:$B,[1]StuntDes!$A:$A),"")</f>
        <v/>
      </c>
      <c r="N2656" s="10" t="str">
        <f>IFERROR(_xlfn.XLOOKUP(C2656,[1]ModifierDes!$B:$B,[1]ModifierDes!$A:$A),"")</f>
        <v/>
      </c>
      <c r="O2656" s="10">
        <f>IFERROR(_xlfn.XLOOKUP(C2656,[1]AttributeName!$C:$C,[1]AttributeName!$B:$B),"")</f>
        <v>10002</v>
      </c>
      <c r="P2656" s="10"/>
      <c r="Q2656">
        <v>31</v>
      </c>
      <c r="R2656">
        <v>40</v>
      </c>
      <c r="S2656" cm="1">
        <f t="array" ref="S2656">IFERROR(_xlfn.SWITCH(L2656,1,_xlfn.XLOOKUP(O2656,[1]AttributeName!$B:$B,[1]AttributeName!$D:$D),2,_xlfn.XLOOKUP(C2656,#REF!,#REF!),3,_xlfn.XLOOKUP(C2656,#REF!,#REF!)),0)</f>
        <v>0</v>
      </c>
      <c r="T2656" cm="1">
        <f t="array" ref="T2656">IFERROR(_xlfn.SWITCH(L2656,1,_xlfn.XLOOKUP(O2656,[1]AttributeName!$B:$B,[1]AttributeName!$E:$E),2,_xlfn.XLOOKUP(C2656,#REF!,#REF!),3,_xlfn.XLOOKUP(C2656,#REF!,#REF!)),0)</f>
        <v>1</v>
      </c>
    </row>
    <row r="2657" customFormat="1" spans="1:20">
      <c r="A2657">
        <f t="shared" si="110"/>
        <v>1102</v>
      </c>
      <c r="B2657">
        <v>6</v>
      </c>
      <c r="C2657" t="s">
        <v>416</v>
      </c>
      <c r="D2657" t="s">
        <v>443</v>
      </c>
      <c r="E2657" t="s">
        <v>378</v>
      </c>
      <c r="F2657"/>
      <c r="G2657">
        <v>1</v>
      </c>
      <c r="H2657">
        <v>1000</v>
      </c>
      <c r="J2657" cm="1">
        <f t="array" ref="J2657">_xlfn.SWITCH(B2657,1,75,2,61,3,49,4,37,5,25,6,13,7,4,8,1)</f>
        <v>13</v>
      </c>
      <c r="K2657" t="str" cm="1">
        <f t="array" ref="K2657">IFERROR(_xlfn.SWITCH(L2657,2,_xlfn.XLOOKUP(C2657,[1]ModifierDes!$B:$B,[1]ModifierDes!$C:$C),3,_xlfn.XLOOKUP(C2657,[1]StuntDes!$B:$B,[1]StuntDes!$C:$C)),"")</f>
        <v/>
      </c>
      <c r="L2657">
        <f t="shared" si="109"/>
        <v>1</v>
      </c>
      <c r="M2657" s="10" t="str">
        <f>IFERROR(_xlfn.XLOOKUP(C2657,[1]StuntDes!$B:$B,[1]StuntDes!$A:$A),"")</f>
        <v/>
      </c>
      <c r="N2657" s="10" t="str">
        <f>IFERROR(_xlfn.XLOOKUP(C2657,[1]ModifierDes!$B:$B,[1]ModifierDes!$A:$A),"")</f>
        <v/>
      </c>
      <c r="O2657" s="10">
        <f>IFERROR(_xlfn.XLOOKUP(C2657,[1]AttributeName!$C:$C,[1]AttributeName!$B:$B),"")</f>
        <v>10002</v>
      </c>
      <c r="P2657" s="10"/>
      <c r="Q2657">
        <v>21</v>
      </c>
      <c r="R2657">
        <v>30</v>
      </c>
      <c r="S2657" cm="1">
        <f t="array" ref="S2657">IFERROR(_xlfn.SWITCH(L2657,1,_xlfn.XLOOKUP(O2657,[1]AttributeName!$B:$B,[1]AttributeName!$D:$D),2,_xlfn.XLOOKUP(C2657,#REF!,#REF!),3,_xlfn.XLOOKUP(C2657,#REF!,#REF!)),0)</f>
        <v>0</v>
      </c>
      <c r="T2657" cm="1">
        <f t="array" ref="T2657">IFERROR(_xlfn.SWITCH(L2657,1,_xlfn.XLOOKUP(O2657,[1]AttributeName!$B:$B,[1]AttributeName!$E:$E),2,_xlfn.XLOOKUP(C2657,#REF!,#REF!),3,_xlfn.XLOOKUP(C2657,#REF!,#REF!)),0)</f>
        <v>1</v>
      </c>
    </row>
    <row r="2658" customFormat="1" spans="1:20">
      <c r="A2658">
        <f t="shared" si="110"/>
        <v>1102</v>
      </c>
      <c r="B2658">
        <v>7</v>
      </c>
      <c r="C2658" t="s">
        <v>416</v>
      </c>
      <c r="D2658" t="s">
        <v>443</v>
      </c>
      <c r="E2658" t="s">
        <v>378</v>
      </c>
      <c r="F2658"/>
      <c r="G2658">
        <v>1</v>
      </c>
      <c r="H2658">
        <v>1000</v>
      </c>
      <c r="J2658" cm="1">
        <f t="array" ref="J2658">_xlfn.SWITCH(B2658,1,75,2,61,3,49,4,37,5,25,6,13,7,4,8,1)</f>
        <v>4</v>
      </c>
      <c r="K2658" t="str" cm="1">
        <f t="array" ref="K2658">IFERROR(_xlfn.SWITCH(L2658,2,_xlfn.XLOOKUP(C2658,[1]ModifierDes!$B:$B,[1]ModifierDes!$C:$C),3,_xlfn.XLOOKUP(C2658,[1]StuntDes!$B:$B,[1]StuntDes!$C:$C)),"")</f>
        <v/>
      </c>
      <c r="L2658">
        <f t="shared" si="109"/>
        <v>1</v>
      </c>
      <c r="M2658" s="10" t="str">
        <f>IFERROR(_xlfn.XLOOKUP(C2658,[1]StuntDes!$B:$B,[1]StuntDes!$A:$A),"")</f>
        <v/>
      </c>
      <c r="N2658" s="10" t="str">
        <f>IFERROR(_xlfn.XLOOKUP(C2658,[1]ModifierDes!$B:$B,[1]ModifierDes!$A:$A),"")</f>
        <v/>
      </c>
      <c r="O2658" s="10">
        <f>IFERROR(_xlfn.XLOOKUP(C2658,[1]AttributeName!$C:$C,[1]AttributeName!$B:$B),"")</f>
        <v>10002</v>
      </c>
      <c r="P2658" s="10"/>
      <c r="Q2658">
        <v>10</v>
      </c>
      <c r="R2658">
        <v>20</v>
      </c>
      <c r="S2658" cm="1">
        <f t="array" ref="S2658">IFERROR(_xlfn.SWITCH(L2658,1,_xlfn.XLOOKUP(O2658,[1]AttributeName!$B:$B,[1]AttributeName!$D:$D),2,_xlfn.XLOOKUP(C2658,#REF!,#REF!),3,_xlfn.XLOOKUP(C2658,#REF!,#REF!)),0)</f>
        <v>0</v>
      </c>
      <c r="T2658" cm="1">
        <f t="array" ref="T2658">IFERROR(_xlfn.SWITCH(L2658,1,_xlfn.XLOOKUP(O2658,[1]AttributeName!$B:$B,[1]AttributeName!$E:$E),2,_xlfn.XLOOKUP(C2658,#REF!,#REF!),3,_xlfn.XLOOKUP(C2658,#REF!,#REF!)),0)</f>
        <v>1</v>
      </c>
    </row>
    <row r="2659" customFormat="1" spans="1:20">
      <c r="A2659">
        <f t="shared" si="110"/>
        <v>1102</v>
      </c>
      <c r="B2659">
        <v>8</v>
      </c>
      <c r="C2659" t="s">
        <v>416</v>
      </c>
      <c r="D2659" t="s">
        <v>443</v>
      </c>
      <c r="E2659" t="s">
        <v>378</v>
      </c>
      <c r="F2659"/>
      <c r="G2659">
        <v>1</v>
      </c>
      <c r="H2659">
        <v>1000</v>
      </c>
      <c r="J2659" cm="1">
        <f t="array" ref="J2659">_xlfn.SWITCH(B2659,1,75,2,61,3,49,4,37,5,25,6,13,7,4,8,1)</f>
        <v>1</v>
      </c>
      <c r="K2659" t="str" cm="1">
        <f t="array" ref="K2659">IFERROR(_xlfn.SWITCH(L2659,2,_xlfn.XLOOKUP(C2659,[1]ModifierDes!$B:$B,[1]ModifierDes!$C:$C),3,_xlfn.XLOOKUP(C2659,[1]StuntDes!$B:$B,[1]StuntDes!$C:$C)),"")</f>
        <v/>
      </c>
      <c r="L2659">
        <f t="shared" si="109"/>
        <v>1</v>
      </c>
      <c r="M2659" s="10" t="str">
        <f>IFERROR(_xlfn.XLOOKUP(C2659,[1]StuntDes!$B:$B,[1]StuntDes!$A:$A),"")</f>
        <v/>
      </c>
      <c r="N2659" s="10" t="str">
        <f>IFERROR(_xlfn.XLOOKUP(C2659,[1]ModifierDes!$B:$B,[1]ModifierDes!$A:$A),"")</f>
        <v/>
      </c>
      <c r="O2659" s="10">
        <f>IFERROR(_xlfn.XLOOKUP(C2659,[1]AttributeName!$C:$C,[1]AttributeName!$B:$B),"")</f>
        <v>10002</v>
      </c>
      <c r="P2659" s="10"/>
      <c r="Q2659">
        <v>5</v>
      </c>
      <c r="R2659">
        <v>9</v>
      </c>
      <c r="S2659" cm="1">
        <f t="array" ref="S2659">IFERROR(_xlfn.SWITCH(L2659,1,_xlfn.XLOOKUP(O2659,[1]AttributeName!$B:$B,[1]AttributeName!$D:$D),2,_xlfn.XLOOKUP(C2659,#REF!,#REF!),3,_xlfn.XLOOKUP(C2659,#REF!,#REF!)),0)</f>
        <v>0</v>
      </c>
      <c r="T2659" cm="1">
        <f t="array" ref="T2659">IFERROR(_xlfn.SWITCH(L2659,1,_xlfn.XLOOKUP(O2659,[1]AttributeName!$B:$B,[1]AttributeName!$E:$E),2,_xlfn.XLOOKUP(C2659,#REF!,#REF!),3,_xlfn.XLOOKUP(C2659,#REF!,#REF!)),0)</f>
        <v>1</v>
      </c>
    </row>
    <row r="2660" customFormat="1" spans="1:20">
      <c r="A2660">
        <f t="shared" si="110"/>
        <v>1103</v>
      </c>
      <c r="B2660">
        <v>1</v>
      </c>
      <c r="C2660" t="s">
        <v>417</v>
      </c>
      <c r="D2660" t="s">
        <v>443</v>
      </c>
      <c r="E2660" t="s">
        <v>378</v>
      </c>
      <c r="F2660"/>
      <c r="G2660">
        <v>1</v>
      </c>
      <c r="H2660">
        <v>1000</v>
      </c>
      <c r="J2660" cm="1">
        <f t="array" ref="J2660">_xlfn.SWITCH(B2660,1,75,2,61,3,49,4,37,5,25,6,13,7,4,8,1)</f>
        <v>75</v>
      </c>
      <c r="K2660" t="str" cm="1">
        <f t="array" ref="K2660">IFERROR(_xlfn.SWITCH(L2660,2,_xlfn.XLOOKUP(C2660,[1]ModifierDes!$B:$B,[1]ModifierDes!$C:$C),3,_xlfn.XLOOKUP(C2660,[1]StuntDes!$B:$B,[1]StuntDes!$C:$C)),"")</f>
        <v/>
      </c>
      <c r="L2660">
        <f t="shared" si="109"/>
        <v>1</v>
      </c>
      <c r="M2660" s="10" t="str">
        <f>IFERROR(_xlfn.XLOOKUP(C2660,[1]StuntDes!$B:$B,[1]StuntDes!$A:$A),"")</f>
        <v/>
      </c>
      <c r="N2660" s="10" t="str">
        <f>IFERROR(_xlfn.XLOOKUP(C2660,[1]ModifierDes!$B:$B,[1]ModifierDes!$A:$A),"")</f>
        <v/>
      </c>
      <c r="O2660" s="10">
        <f>IFERROR(_xlfn.XLOOKUP(C2660,[1]AttributeName!$C:$C,[1]AttributeName!$B:$B),"")</f>
        <v>10700</v>
      </c>
      <c r="P2660" s="10"/>
      <c r="Q2660">
        <v>0.08</v>
      </c>
      <c r="R2660">
        <v>0.1</v>
      </c>
      <c r="S2660" cm="1">
        <f t="array" ref="S2660">IFERROR(_xlfn.SWITCH(L2660,1,_xlfn.XLOOKUP(O2660,[1]AttributeName!$B:$B,[1]AttributeName!$D:$D),2,_xlfn.XLOOKUP(C2660,#REF!,#REF!),3,_xlfn.XLOOKUP(C2660,#REF!,#REF!)),0)</f>
        <v>2</v>
      </c>
      <c r="T2660" cm="1">
        <f t="array" ref="T2660">IFERROR(_xlfn.SWITCH(L2660,1,_xlfn.XLOOKUP(O2660,[1]AttributeName!$B:$B,[1]AttributeName!$E:$E),2,_xlfn.XLOOKUP(C2660,#REF!,#REF!),3,_xlfn.XLOOKUP(C2660,#REF!,#REF!)),0)</f>
        <v>2</v>
      </c>
    </row>
    <row r="2661" customFormat="1" spans="1:20">
      <c r="A2661">
        <f t="shared" si="110"/>
        <v>1103</v>
      </c>
      <c r="B2661">
        <v>2</v>
      </c>
      <c r="C2661" t="s">
        <v>417</v>
      </c>
      <c r="D2661" t="s">
        <v>443</v>
      </c>
      <c r="E2661" t="s">
        <v>378</v>
      </c>
      <c r="F2661"/>
      <c r="G2661">
        <v>1</v>
      </c>
      <c r="H2661">
        <v>1000</v>
      </c>
      <c r="J2661" cm="1">
        <f t="array" ref="J2661">_xlfn.SWITCH(B2661,1,75,2,61,3,49,4,37,5,25,6,13,7,4,8,1)</f>
        <v>61</v>
      </c>
      <c r="K2661" t="str" cm="1">
        <f t="array" ref="K2661">IFERROR(_xlfn.SWITCH(L2661,2,_xlfn.XLOOKUP(C2661,[1]ModifierDes!$B:$B,[1]ModifierDes!$C:$C),3,_xlfn.XLOOKUP(C2661,[1]StuntDes!$B:$B,[1]StuntDes!$C:$C)),"")</f>
        <v/>
      </c>
      <c r="L2661">
        <f t="shared" si="109"/>
        <v>1</v>
      </c>
      <c r="M2661" s="10" t="str">
        <f>IFERROR(_xlfn.XLOOKUP(C2661,[1]StuntDes!$B:$B,[1]StuntDes!$A:$A),"")</f>
        <v/>
      </c>
      <c r="N2661" s="10" t="str">
        <f>IFERROR(_xlfn.XLOOKUP(C2661,[1]ModifierDes!$B:$B,[1]ModifierDes!$A:$A),"")</f>
        <v/>
      </c>
      <c r="O2661" s="10">
        <f>IFERROR(_xlfn.XLOOKUP(C2661,[1]AttributeName!$C:$C,[1]AttributeName!$B:$B),"")</f>
        <v>10700</v>
      </c>
      <c r="P2661" s="10"/>
      <c r="Q2661">
        <v>0.07</v>
      </c>
      <c r="R2661">
        <v>0.07</v>
      </c>
      <c r="S2661" cm="1">
        <f t="array" ref="S2661">IFERROR(_xlfn.SWITCH(L2661,1,_xlfn.XLOOKUP(O2661,[1]AttributeName!$B:$B,[1]AttributeName!$D:$D),2,_xlfn.XLOOKUP(C2661,#REF!,#REF!),3,_xlfn.XLOOKUP(C2661,#REF!,#REF!)),0)</f>
        <v>2</v>
      </c>
      <c r="T2661" cm="1">
        <f t="array" ref="T2661">IFERROR(_xlfn.SWITCH(L2661,1,_xlfn.XLOOKUP(O2661,[1]AttributeName!$B:$B,[1]AttributeName!$E:$E),2,_xlfn.XLOOKUP(C2661,#REF!,#REF!),3,_xlfn.XLOOKUP(C2661,#REF!,#REF!)),0)</f>
        <v>2</v>
      </c>
    </row>
    <row r="2662" customFormat="1" spans="1:20">
      <c r="A2662">
        <f t="shared" si="110"/>
        <v>1103</v>
      </c>
      <c r="B2662">
        <v>3</v>
      </c>
      <c r="C2662" t="s">
        <v>417</v>
      </c>
      <c r="D2662" t="s">
        <v>443</v>
      </c>
      <c r="E2662" t="s">
        <v>378</v>
      </c>
      <c r="F2662"/>
      <c r="G2662">
        <v>1</v>
      </c>
      <c r="H2662">
        <v>1000</v>
      </c>
      <c r="J2662" cm="1">
        <f t="array" ref="J2662">_xlfn.SWITCH(B2662,1,75,2,61,3,49,4,37,5,25,6,13,7,4,8,1)</f>
        <v>49</v>
      </c>
      <c r="K2662" t="str" cm="1">
        <f t="array" ref="K2662">IFERROR(_xlfn.SWITCH(L2662,2,_xlfn.XLOOKUP(C2662,[1]ModifierDes!$B:$B,[1]ModifierDes!$C:$C),3,_xlfn.XLOOKUP(C2662,[1]StuntDes!$B:$B,[1]StuntDes!$C:$C)),"")</f>
        <v/>
      </c>
      <c r="L2662">
        <f t="shared" si="109"/>
        <v>1</v>
      </c>
      <c r="M2662" s="10" t="str">
        <f>IFERROR(_xlfn.XLOOKUP(C2662,[1]StuntDes!$B:$B,[1]StuntDes!$A:$A),"")</f>
        <v/>
      </c>
      <c r="N2662" s="10" t="str">
        <f>IFERROR(_xlfn.XLOOKUP(C2662,[1]ModifierDes!$B:$B,[1]ModifierDes!$A:$A),"")</f>
        <v/>
      </c>
      <c r="O2662" s="10">
        <f>IFERROR(_xlfn.XLOOKUP(C2662,[1]AttributeName!$C:$C,[1]AttributeName!$B:$B),"")</f>
        <v>10700</v>
      </c>
      <c r="P2662" s="10"/>
      <c r="Q2662">
        <v>0.06</v>
      </c>
      <c r="R2662">
        <v>0.06</v>
      </c>
      <c r="S2662" cm="1">
        <f t="array" ref="S2662">IFERROR(_xlfn.SWITCH(L2662,1,_xlfn.XLOOKUP(O2662,[1]AttributeName!$B:$B,[1]AttributeName!$D:$D),2,_xlfn.XLOOKUP(C2662,#REF!,#REF!),3,_xlfn.XLOOKUP(C2662,#REF!,#REF!)),0)</f>
        <v>2</v>
      </c>
      <c r="T2662" cm="1">
        <f t="array" ref="T2662">IFERROR(_xlfn.SWITCH(L2662,1,_xlfn.XLOOKUP(O2662,[1]AttributeName!$B:$B,[1]AttributeName!$E:$E),2,_xlfn.XLOOKUP(C2662,#REF!,#REF!),3,_xlfn.XLOOKUP(C2662,#REF!,#REF!)),0)</f>
        <v>2</v>
      </c>
    </row>
    <row r="2663" customFormat="1" spans="1:20">
      <c r="A2663">
        <f t="shared" si="110"/>
        <v>1103</v>
      </c>
      <c r="B2663">
        <v>4</v>
      </c>
      <c r="C2663" t="s">
        <v>417</v>
      </c>
      <c r="D2663" t="s">
        <v>443</v>
      </c>
      <c r="E2663" t="s">
        <v>378</v>
      </c>
      <c r="F2663"/>
      <c r="G2663">
        <v>1</v>
      </c>
      <c r="H2663">
        <v>1000</v>
      </c>
      <c r="J2663" cm="1">
        <f t="array" ref="J2663">_xlfn.SWITCH(B2663,1,75,2,61,3,49,4,37,5,25,6,13,7,4,8,1)</f>
        <v>37</v>
      </c>
      <c r="K2663" t="str" cm="1">
        <f t="array" ref="K2663">IFERROR(_xlfn.SWITCH(L2663,2,_xlfn.XLOOKUP(C2663,[1]ModifierDes!$B:$B,[1]ModifierDes!$C:$C),3,_xlfn.XLOOKUP(C2663,[1]StuntDes!$B:$B,[1]StuntDes!$C:$C)),"")</f>
        <v/>
      </c>
      <c r="L2663">
        <f t="shared" si="109"/>
        <v>1</v>
      </c>
      <c r="M2663" s="10" t="str">
        <f>IFERROR(_xlfn.XLOOKUP(C2663,[1]StuntDes!$B:$B,[1]StuntDes!$A:$A),"")</f>
        <v/>
      </c>
      <c r="N2663" s="10" t="str">
        <f>IFERROR(_xlfn.XLOOKUP(C2663,[1]ModifierDes!$B:$B,[1]ModifierDes!$A:$A),"")</f>
        <v/>
      </c>
      <c r="O2663" s="10">
        <f>IFERROR(_xlfn.XLOOKUP(C2663,[1]AttributeName!$C:$C,[1]AttributeName!$B:$B),"")</f>
        <v>10700</v>
      </c>
      <c r="P2663" s="10"/>
      <c r="Q2663">
        <v>0.05</v>
      </c>
      <c r="R2663">
        <v>0.05</v>
      </c>
      <c r="S2663" cm="1">
        <f t="array" ref="S2663">IFERROR(_xlfn.SWITCH(L2663,1,_xlfn.XLOOKUP(O2663,[1]AttributeName!$B:$B,[1]AttributeName!$D:$D),2,_xlfn.XLOOKUP(C2663,#REF!,#REF!),3,_xlfn.XLOOKUP(C2663,#REF!,#REF!)),0)</f>
        <v>2</v>
      </c>
      <c r="T2663" cm="1">
        <f t="array" ref="T2663">IFERROR(_xlfn.SWITCH(L2663,1,_xlfn.XLOOKUP(O2663,[1]AttributeName!$B:$B,[1]AttributeName!$E:$E),2,_xlfn.XLOOKUP(C2663,#REF!,#REF!),3,_xlfn.XLOOKUP(C2663,#REF!,#REF!)),0)</f>
        <v>2</v>
      </c>
    </row>
    <row r="2664" customFormat="1" spans="1:20">
      <c r="A2664">
        <f t="shared" si="110"/>
        <v>1103</v>
      </c>
      <c r="B2664">
        <v>5</v>
      </c>
      <c r="C2664" t="s">
        <v>417</v>
      </c>
      <c r="D2664" t="s">
        <v>443</v>
      </c>
      <c r="E2664" t="s">
        <v>378</v>
      </c>
      <c r="F2664"/>
      <c r="G2664">
        <v>1</v>
      </c>
      <c r="H2664">
        <v>1000</v>
      </c>
      <c r="J2664" cm="1">
        <f t="array" ref="J2664">_xlfn.SWITCH(B2664,1,75,2,61,3,49,4,37,5,25,6,13,7,4,8,1)</f>
        <v>25</v>
      </c>
      <c r="K2664" t="str" cm="1">
        <f t="array" ref="K2664">IFERROR(_xlfn.SWITCH(L2664,2,_xlfn.XLOOKUP(C2664,[1]ModifierDes!$B:$B,[1]ModifierDes!$C:$C),3,_xlfn.XLOOKUP(C2664,[1]StuntDes!$B:$B,[1]StuntDes!$C:$C)),"")</f>
        <v/>
      </c>
      <c r="L2664">
        <f t="shared" si="109"/>
        <v>1</v>
      </c>
      <c r="M2664" s="10" t="str">
        <f>IFERROR(_xlfn.XLOOKUP(C2664,[1]StuntDes!$B:$B,[1]StuntDes!$A:$A),"")</f>
        <v/>
      </c>
      <c r="N2664" s="10" t="str">
        <f>IFERROR(_xlfn.XLOOKUP(C2664,[1]ModifierDes!$B:$B,[1]ModifierDes!$A:$A),"")</f>
        <v/>
      </c>
      <c r="O2664" s="10">
        <f>IFERROR(_xlfn.XLOOKUP(C2664,[1]AttributeName!$C:$C,[1]AttributeName!$B:$B),"")</f>
        <v>10700</v>
      </c>
      <c r="P2664" s="10"/>
      <c r="Q2664">
        <v>0.04</v>
      </c>
      <c r="R2664">
        <v>0.04</v>
      </c>
      <c r="S2664" cm="1">
        <f t="array" ref="S2664">IFERROR(_xlfn.SWITCH(L2664,1,_xlfn.XLOOKUP(O2664,[1]AttributeName!$B:$B,[1]AttributeName!$D:$D),2,_xlfn.XLOOKUP(C2664,#REF!,#REF!),3,_xlfn.XLOOKUP(C2664,#REF!,#REF!)),0)</f>
        <v>2</v>
      </c>
      <c r="T2664" cm="1">
        <f t="array" ref="T2664">IFERROR(_xlfn.SWITCH(L2664,1,_xlfn.XLOOKUP(O2664,[1]AttributeName!$B:$B,[1]AttributeName!$E:$E),2,_xlfn.XLOOKUP(C2664,#REF!,#REF!),3,_xlfn.XLOOKUP(C2664,#REF!,#REF!)),0)</f>
        <v>2</v>
      </c>
    </row>
    <row r="2665" customFormat="1" spans="1:20">
      <c r="A2665">
        <f t="shared" si="110"/>
        <v>1103</v>
      </c>
      <c r="B2665">
        <v>6</v>
      </c>
      <c r="C2665" t="s">
        <v>417</v>
      </c>
      <c r="D2665" t="s">
        <v>443</v>
      </c>
      <c r="E2665" t="s">
        <v>378</v>
      </c>
      <c r="F2665"/>
      <c r="G2665">
        <v>1</v>
      </c>
      <c r="H2665">
        <v>1000</v>
      </c>
      <c r="J2665" cm="1">
        <f t="array" ref="J2665">_xlfn.SWITCH(B2665,1,75,2,61,3,49,4,37,5,25,6,13,7,4,8,1)</f>
        <v>13</v>
      </c>
      <c r="K2665" t="str" cm="1">
        <f t="array" ref="K2665">IFERROR(_xlfn.SWITCH(L2665,2,_xlfn.XLOOKUP(C2665,[1]ModifierDes!$B:$B,[1]ModifierDes!$C:$C),3,_xlfn.XLOOKUP(C2665,[1]StuntDes!$B:$B,[1]StuntDes!$C:$C)),"")</f>
        <v/>
      </c>
      <c r="L2665">
        <f t="shared" si="109"/>
        <v>1</v>
      </c>
      <c r="M2665" s="10" t="str">
        <f>IFERROR(_xlfn.XLOOKUP(C2665,[1]StuntDes!$B:$B,[1]StuntDes!$A:$A),"")</f>
        <v/>
      </c>
      <c r="N2665" s="10" t="str">
        <f>IFERROR(_xlfn.XLOOKUP(C2665,[1]ModifierDes!$B:$B,[1]ModifierDes!$A:$A),"")</f>
        <v/>
      </c>
      <c r="O2665" s="10">
        <f>IFERROR(_xlfn.XLOOKUP(C2665,[1]AttributeName!$C:$C,[1]AttributeName!$B:$B),"")</f>
        <v>10700</v>
      </c>
      <c r="P2665" s="10"/>
      <c r="Q2665">
        <v>0.03</v>
      </c>
      <c r="R2665">
        <v>0.03</v>
      </c>
      <c r="S2665" cm="1">
        <f t="array" ref="S2665">IFERROR(_xlfn.SWITCH(L2665,1,_xlfn.XLOOKUP(O2665,[1]AttributeName!$B:$B,[1]AttributeName!$D:$D),2,_xlfn.XLOOKUP(C2665,#REF!,#REF!),3,_xlfn.XLOOKUP(C2665,#REF!,#REF!)),0)</f>
        <v>2</v>
      </c>
      <c r="T2665" cm="1">
        <f t="array" ref="T2665">IFERROR(_xlfn.SWITCH(L2665,1,_xlfn.XLOOKUP(O2665,[1]AttributeName!$B:$B,[1]AttributeName!$E:$E),2,_xlfn.XLOOKUP(C2665,#REF!,#REF!),3,_xlfn.XLOOKUP(C2665,#REF!,#REF!)),0)</f>
        <v>2</v>
      </c>
    </row>
    <row r="2666" customFormat="1" spans="1:20">
      <c r="A2666">
        <f t="shared" si="110"/>
        <v>1103</v>
      </c>
      <c r="B2666">
        <v>7</v>
      </c>
      <c r="C2666" t="s">
        <v>417</v>
      </c>
      <c r="D2666" t="s">
        <v>443</v>
      </c>
      <c r="E2666" t="s">
        <v>378</v>
      </c>
      <c r="F2666"/>
      <c r="G2666">
        <v>1</v>
      </c>
      <c r="H2666">
        <v>1000</v>
      </c>
      <c r="J2666" cm="1">
        <f t="array" ref="J2666">_xlfn.SWITCH(B2666,1,75,2,61,3,49,4,37,5,25,6,13,7,4,8,1)</f>
        <v>4</v>
      </c>
      <c r="K2666" t="str" cm="1">
        <f t="array" ref="K2666">IFERROR(_xlfn.SWITCH(L2666,2,_xlfn.XLOOKUP(C2666,[1]ModifierDes!$B:$B,[1]ModifierDes!$C:$C),3,_xlfn.XLOOKUP(C2666,[1]StuntDes!$B:$B,[1]StuntDes!$C:$C)),"")</f>
        <v/>
      </c>
      <c r="L2666">
        <f t="shared" si="109"/>
        <v>1</v>
      </c>
      <c r="M2666" s="10" t="str">
        <f>IFERROR(_xlfn.XLOOKUP(C2666,[1]StuntDes!$B:$B,[1]StuntDes!$A:$A),"")</f>
        <v/>
      </c>
      <c r="N2666" s="10" t="str">
        <f>IFERROR(_xlfn.XLOOKUP(C2666,[1]ModifierDes!$B:$B,[1]ModifierDes!$A:$A),"")</f>
        <v/>
      </c>
      <c r="O2666" s="10">
        <f>IFERROR(_xlfn.XLOOKUP(C2666,[1]AttributeName!$C:$C,[1]AttributeName!$B:$B),"")</f>
        <v>10700</v>
      </c>
      <c r="P2666" s="10"/>
      <c r="Q2666">
        <v>0.02</v>
      </c>
      <c r="R2666">
        <v>0.02</v>
      </c>
      <c r="S2666" cm="1">
        <f t="array" ref="S2666">IFERROR(_xlfn.SWITCH(L2666,1,_xlfn.XLOOKUP(O2666,[1]AttributeName!$B:$B,[1]AttributeName!$D:$D),2,_xlfn.XLOOKUP(C2666,#REF!,#REF!),3,_xlfn.XLOOKUP(C2666,#REF!,#REF!)),0)</f>
        <v>2</v>
      </c>
      <c r="T2666" cm="1">
        <f t="array" ref="T2666">IFERROR(_xlfn.SWITCH(L2666,1,_xlfn.XLOOKUP(O2666,[1]AttributeName!$B:$B,[1]AttributeName!$E:$E),2,_xlfn.XLOOKUP(C2666,#REF!,#REF!),3,_xlfn.XLOOKUP(C2666,#REF!,#REF!)),0)</f>
        <v>2</v>
      </c>
    </row>
    <row r="2667" customFormat="1" spans="1:20">
      <c r="A2667">
        <f t="shared" si="110"/>
        <v>1103</v>
      </c>
      <c r="B2667">
        <v>8</v>
      </c>
      <c r="C2667" t="s">
        <v>417</v>
      </c>
      <c r="D2667" t="s">
        <v>443</v>
      </c>
      <c r="E2667" t="s">
        <v>378</v>
      </c>
      <c r="F2667"/>
      <c r="G2667">
        <v>1</v>
      </c>
      <c r="H2667">
        <v>1000</v>
      </c>
      <c r="J2667" cm="1">
        <f t="array" ref="J2667">_xlfn.SWITCH(B2667,1,75,2,61,3,49,4,37,5,25,6,13,7,4,8,1)</f>
        <v>1</v>
      </c>
      <c r="K2667" t="str" cm="1">
        <f t="array" ref="K2667">IFERROR(_xlfn.SWITCH(L2667,2,_xlfn.XLOOKUP(C2667,[1]ModifierDes!$B:$B,[1]ModifierDes!$C:$C),3,_xlfn.XLOOKUP(C2667,[1]StuntDes!$B:$B,[1]StuntDes!$C:$C)),"")</f>
        <v/>
      </c>
      <c r="L2667">
        <f t="shared" si="109"/>
        <v>1</v>
      </c>
      <c r="M2667" s="10" t="str">
        <f>IFERROR(_xlfn.XLOOKUP(C2667,[1]StuntDes!$B:$B,[1]StuntDes!$A:$A),"")</f>
        <v/>
      </c>
      <c r="N2667" s="10" t="str">
        <f>IFERROR(_xlfn.XLOOKUP(C2667,[1]ModifierDes!$B:$B,[1]ModifierDes!$A:$A),"")</f>
        <v/>
      </c>
      <c r="O2667" s="10">
        <f>IFERROR(_xlfn.XLOOKUP(C2667,[1]AttributeName!$C:$C,[1]AttributeName!$B:$B),"")</f>
        <v>10700</v>
      </c>
      <c r="P2667" s="10"/>
      <c r="Q2667">
        <v>0.01</v>
      </c>
      <c r="R2667">
        <v>0.01</v>
      </c>
      <c r="S2667" cm="1">
        <f t="array" ref="S2667">IFERROR(_xlfn.SWITCH(L2667,1,_xlfn.XLOOKUP(O2667,[1]AttributeName!$B:$B,[1]AttributeName!$D:$D),2,_xlfn.XLOOKUP(C2667,#REF!,#REF!),3,_xlfn.XLOOKUP(C2667,#REF!,#REF!)),0)</f>
        <v>2</v>
      </c>
      <c r="T2667" cm="1">
        <f t="array" ref="T2667">IFERROR(_xlfn.SWITCH(L2667,1,_xlfn.XLOOKUP(O2667,[1]AttributeName!$B:$B,[1]AttributeName!$E:$E),2,_xlfn.XLOOKUP(C2667,#REF!,#REF!),3,_xlfn.XLOOKUP(C2667,#REF!,#REF!)),0)</f>
        <v>2</v>
      </c>
    </row>
    <row r="2668" customFormat="1" spans="1:20">
      <c r="A2668">
        <f t="shared" si="110"/>
        <v>1104</v>
      </c>
      <c r="B2668">
        <v>1</v>
      </c>
      <c r="C2668" t="s">
        <v>383</v>
      </c>
      <c r="D2668" t="s">
        <v>443</v>
      </c>
      <c r="E2668" t="s">
        <v>378</v>
      </c>
      <c r="F2668"/>
      <c r="G2668">
        <v>1</v>
      </c>
      <c r="H2668">
        <v>50</v>
      </c>
      <c r="J2668" cm="1">
        <f t="array" ref="J2668">_xlfn.SWITCH(B2668,1,75,2,61,3,49,4,37,5,25,6,13,7,4,8,1)</f>
        <v>75</v>
      </c>
      <c r="K2668" t="str" cm="1">
        <f t="array" ref="K2668">IFERROR(_xlfn.SWITCH(L2668,2,_xlfn.XLOOKUP(C2668,[1]ModifierDes!$B:$B,[1]ModifierDes!$C:$C),3,_xlfn.XLOOKUP(C2668,[1]StuntDes!$B:$B,[1]StuntDes!$C:$C)),"")</f>
        <v>攻击伤害提高{0}</v>
      </c>
      <c r="L2668">
        <f t="shared" si="109"/>
        <v>2</v>
      </c>
      <c r="M2668" s="10" t="str">
        <f>IFERROR(_xlfn.XLOOKUP(C2668,[1]StuntDes!$B:$B,[1]StuntDes!$A:$A),"")</f>
        <v/>
      </c>
      <c r="N2668" s="10">
        <f>IFERROR(_xlfn.XLOOKUP(C2668,[1]ModifierDes!$B:$B,[1]ModifierDes!$A:$A),"")</f>
        <v>10066</v>
      </c>
      <c r="O2668" s="10" t="str">
        <f>IFERROR(_xlfn.XLOOKUP(C2668,[1]AttributeName!$C:$C,[1]AttributeName!$B:$B),"")</f>
        <v/>
      </c>
      <c r="P2668" s="10"/>
      <c r="Q2668">
        <v>0.25</v>
      </c>
      <c r="R2668">
        <v>0.35</v>
      </c>
      <c r="S2668" cm="1">
        <f t="array" ref="S2668">IFERROR(_xlfn.SWITCH(L2668,1,_xlfn.XLOOKUP(O2668,[1]AttributeName!$B:$B,[1]AttributeName!$D:$D),2,_xlfn.XLOOKUP(C2668,#REF!,#REF!),3,_xlfn.XLOOKUP(C2668,#REF!,#REF!)),0)</f>
        <v>0</v>
      </c>
      <c r="T2668" cm="1">
        <f t="array" ref="T2668">IFERROR(_xlfn.SWITCH(L2668,1,_xlfn.XLOOKUP(O2668,[1]AttributeName!$B:$B,[1]AttributeName!$E:$E),2,_xlfn.XLOOKUP(C2668,#REF!,#REF!),3,_xlfn.XLOOKUP(C2668,#REF!,#REF!)),0)</f>
        <v>0</v>
      </c>
    </row>
    <row r="2669" customFormat="1" spans="1:20">
      <c r="A2669">
        <f t="shared" si="110"/>
        <v>1104</v>
      </c>
      <c r="B2669">
        <v>2</v>
      </c>
      <c r="C2669" t="s">
        <v>383</v>
      </c>
      <c r="D2669" t="s">
        <v>443</v>
      </c>
      <c r="E2669" t="s">
        <v>378</v>
      </c>
      <c r="F2669"/>
      <c r="G2669">
        <v>1</v>
      </c>
      <c r="H2669">
        <v>100</v>
      </c>
      <c r="I2669">
        <v>3</v>
      </c>
      <c r="J2669" cm="1">
        <f t="array" ref="J2669">_xlfn.SWITCH(B2669,1,75,2,61,3,49,4,37,5,25,6,13,7,4,8,1)</f>
        <v>61</v>
      </c>
      <c r="K2669" t="str" cm="1">
        <f t="array" ref="K2669">IFERROR(_xlfn.SWITCH(L2669,2,_xlfn.XLOOKUP(C2669,[1]ModifierDes!$B:$B,[1]ModifierDes!$C:$C),3,_xlfn.XLOOKUP(C2669,[1]StuntDes!$B:$B,[1]StuntDes!$C:$C)),"")</f>
        <v>攻击伤害提高{0}</v>
      </c>
      <c r="L2669">
        <f t="shared" si="109"/>
        <v>2</v>
      </c>
      <c r="M2669" s="10" t="str">
        <f>IFERROR(_xlfn.XLOOKUP(C2669,[1]StuntDes!$B:$B,[1]StuntDes!$A:$A),"")</f>
        <v/>
      </c>
      <c r="N2669" s="10">
        <f>IFERROR(_xlfn.XLOOKUP(C2669,[1]ModifierDes!$B:$B,[1]ModifierDes!$A:$A),"")</f>
        <v>10066</v>
      </c>
      <c r="O2669" s="10" t="str">
        <f>IFERROR(_xlfn.XLOOKUP(C2669,[1]AttributeName!$C:$C,[1]AttributeName!$B:$B),"")</f>
        <v/>
      </c>
      <c r="P2669" s="10"/>
      <c r="Q2669">
        <v>0.22</v>
      </c>
      <c r="R2669">
        <v>0.24</v>
      </c>
      <c r="S2669" cm="1">
        <f t="array" ref="S2669">IFERROR(_xlfn.SWITCH(L2669,1,_xlfn.XLOOKUP(O2669,[1]AttributeName!$B:$B,[1]AttributeName!$D:$D),2,_xlfn.XLOOKUP(C2669,#REF!,#REF!),3,_xlfn.XLOOKUP(C2669,#REF!,#REF!)),0)</f>
        <v>0</v>
      </c>
      <c r="T2669" cm="1">
        <f t="array" ref="T2669">IFERROR(_xlfn.SWITCH(L2669,1,_xlfn.XLOOKUP(O2669,[1]AttributeName!$B:$B,[1]AttributeName!$E:$E),2,_xlfn.XLOOKUP(C2669,#REF!,#REF!),3,_xlfn.XLOOKUP(C2669,#REF!,#REF!)),0)</f>
        <v>0</v>
      </c>
    </row>
    <row r="2670" customFormat="1" spans="1:20">
      <c r="A2670">
        <f t="shared" si="110"/>
        <v>1104</v>
      </c>
      <c r="B2670">
        <v>3</v>
      </c>
      <c r="C2670" t="s">
        <v>383</v>
      </c>
      <c r="D2670" t="s">
        <v>443</v>
      </c>
      <c r="E2670" t="s">
        <v>378</v>
      </c>
      <c r="F2670"/>
      <c r="G2670">
        <v>1</v>
      </c>
      <c r="H2670">
        <v>200</v>
      </c>
      <c r="I2670">
        <v>3</v>
      </c>
      <c r="J2670" cm="1">
        <f t="array" ref="J2670">_xlfn.SWITCH(B2670,1,75,2,61,3,49,4,37,5,25,6,13,7,4,8,1)</f>
        <v>49</v>
      </c>
      <c r="K2670" t="str" cm="1">
        <f t="array" ref="K2670">IFERROR(_xlfn.SWITCH(L2670,2,_xlfn.XLOOKUP(C2670,[1]ModifierDes!$B:$B,[1]ModifierDes!$C:$C),3,_xlfn.XLOOKUP(C2670,[1]StuntDes!$B:$B,[1]StuntDes!$C:$C)),"")</f>
        <v>攻击伤害提高{0}</v>
      </c>
      <c r="L2670">
        <f t="shared" si="109"/>
        <v>2</v>
      </c>
      <c r="M2670" s="10" t="str">
        <f>IFERROR(_xlfn.XLOOKUP(C2670,[1]StuntDes!$B:$B,[1]StuntDes!$A:$A),"")</f>
        <v/>
      </c>
      <c r="N2670" s="10">
        <f>IFERROR(_xlfn.XLOOKUP(C2670,[1]ModifierDes!$B:$B,[1]ModifierDes!$A:$A),"")</f>
        <v>10066</v>
      </c>
      <c r="O2670" s="10" t="str">
        <f>IFERROR(_xlfn.XLOOKUP(C2670,[1]AttributeName!$C:$C,[1]AttributeName!$B:$B),"")</f>
        <v/>
      </c>
      <c r="P2670" s="10"/>
      <c r="Q2670">
        <v>0.19</v>
      </c>
      <c r="R2670">
        <v>0.21</v>
      </c>
      <c r="S2670" cm="1">
        <f t="array" ref="S2670">IFERROR(_xlfn.SWITCH(L2670,1,_xlfn.XLOOKUP(O2670,[1]AttributeName!$B:$B,[1]AttributeName!$D:$D),2,_xlfn.XLOOKUP(C2670,#REF!,#REF!),3,_xlfn.XLOOKUP(C2670,#REF!,#REF!)),0)</f>
        <v>0</v>
      </c>
      <c r="T2670" cm="1">
        <f t="array" ref="T2670">IFERROR(_xlfn.SWITCH(L2670,1,_xlfn.XLOOKUP(O2670,[1]AttributeName!$B:$B,[1]AttributeName!$E:$E),2,_xlfn.XLOOKUP(C2670,#REF!,#REF!),3,_xlfn.XLOOKUP(C2670,#REF!,#REF!)),0)</f>
        <v>0</v>
      </c>
    </row>
    <row r="2671" customFormat="1" spans="1:20">
      <c r="A2671">
        <f t="shared" si="110"/>
        <v>1104</v>
      </c>
      <c r="B2671">
        <v>4</v>
      </c>
      <c r="C2671" t="s">
        <v>383</v>
      </c>
      <c r="D2671" t="s">
        <v>443</v>
      </c>
      <c r="E2671" t="s">
        <v>378</v>
      </c>
      <c r="F2671"/>
      <c r="G2671">
        <v>1</v>
      </c>
      <c r="H2671">
        <v>500</v>
      </c>
      <c r="I2671">
        <v>3</v>
      </c>
      <c r="J2671" cm="1">
        <f t="array" ref="J2671">_xlfn.SWITCH(B2671,1,75,2,61,3,49,4,37,5,25,6,13,7,4,8,1)</f>
        <v>37</v>
      </c>
      <c r="K2671" t="str" cm="1">
        <f t="array" ref="K2671">IFERROR(_xlfn.SWITCH(L2671,2,_xlfn.XLOOKUP(C2671,[1]ModifierDes!$B:$B,[1]ModifierDes!$C:$C),3,_xlfn.XLOOKUP(C2671,[1]StuntDes!$B:$B,[1]StuntDes!$C:$C)),"")</f>
        <v>攻击伤害提高{0}</v>
      </c>
      <c r="L2671">
        <f t="shared" si="109"/>
        <v>2</v>
      </c>
      <c r="M2671" s="10" t="str">
        <f>IFERROR(_xlfn.XLOOKUP(C2671,[1]StuntDes!$B:$B,[1]StuntDes!$A:$A),"")</f>
        <v/>
      </c>
      <c r="N2671" s="10">
        <f>IFERROR(_xlfn.XLOOKUP(C2671,[1]ModifierDes!$B:$B,[1]ModifierDes!$A:$A),"")</f>
        <v>10066</v>
      </c>
      <c r="O2671" s="10" t="str">
        <f>IFERROR(_xlfn.XLOOKUP(C2671,[1]AttributeName!$C:$C,[1]AttributeName!$B:$B),"")</f>
        <v/>
      </c>
      <c r="P2671" s="10"/>
      <c r="Q2671">
        <v>0.16</v>
      </c>
      <c r="R2671">
        <v>0.18</v>
      </c>
      <c r="S2671" cm="1">
        <f t="array" ref="S2671">IFERROR(_xlfn.SWITCH(L2671,1,_xlfn.XLOOKUP(O2671,[1]AttributeName!$B:$B,[1]AttributeName!$D:$D),2,_xlfn.XLOOKUP(C2671,#REF!,#REF!),3,_xlfn.XLOOKUP(C2671,#REF!,#REF!)),0)</f>
        <v>0</v>
      </c>
      <c r="T2671" cm="1">
        <f t="array" ref="T2671">IFERROR(_xlfn.SWITCH(L2671,1,_xlfn.XLOOKUP(O2671,[1]AttributeName!$B:$B,[1]AttributeName!$E:$E),2,_xlfn.XLOOKUP(C2671,#REF!,#REF!),3,_xlfn.XLOOKUP(C2671,#REF!,#REF!)),0)</f>
        <v>0</v>
      </c>
    </row>
    <row r="2672" customFormat="1" spans="1:20">
      <c r="A2672">
        <f t="shared" si="110"/>
        <v>1104</v>
      </c>
      <c r="B2672">
        <v>5</v>
      </c>
      <c r="C2672" t="s">
        <v>383</v>
      </c>
      <c r="D2672" t="s">
        <v>443</v>
      </c>
      <c r="E2672" t="s">
        <v>378</v>
      </c>
      <c r="F2672"/>
      <c r="G2672">
        <v>1</v>
      </c>
      <c r="H2672">
        <v>750</v>
      </c>
      <c r="I2672">
        <v>3</v>
      </c>
      <c r="J2672" cm="1">
        <f t="array" ref="J2672">_xlfn.SWITCH(B2672,1,75,2,61,3,49,4,37,5,25,6,13,7,4,8,1)</f>
        <v>25</v>
      </c>
      <c r="K2672" t="str" cm="1">
        <f t="array" ref="K2672">IFERROR(_xlfn.SWITCH(L2672,2,_xlfn.XLOOKUP(C2672,[1]ModifierDes!$B:$B,[1]ModifierDes!$C:$C),3,_xlfn.XLOOKUP(C2672,[1]StuntDes!$B:$B,[1]StuntDes!$C:$C)),"")</f>
        <v>攻击伤害提高{0}</v>
      </c>
      <c r="L2672">
        <f t="shared" si="109"/>
        <v>2</v>
      </c>
      <c r="M2672" s="10" t="str">
        <f>IFERROR(_xlfn.XLOOKUP(C2672,[1]StuntDes!$B:$B,[1]StuntDes!$A:$A),"")</f>
        <v/>
      </c>
      <c r="N2672" s="10">
        <f>IFERROR(_xlfn.XLOOKUP(C2672,[1]ModifierDes!$B:$B,[1]ModifierDes!$A:$A),"")</f>
        <v>10066</v>
      </c>
      <c r="O2672" s="10" t="str">
        <f>IFERROR(_xlfn.XLOOKUP(C2672,[1]AttributeName!$C:$C,[1]AttributeName!$B:$B),"")</f>
        <v/>
      </c>
      <c r="P2672" s="10"/>
      <c r="Q2672">
        <v>0.13</v>
      </c>
      <c r="R2672">
        <v>0.15</v>
      </c>
      <c r="S2672" cm="1">
        <f t="array" ref="S2672">IFERROR(_xlfn.SWITCH(L2672,1,_xlfn.XLOOKUP(O2672,[1]AttributeName!$B:$B,[1]AttributeName!$D:$D),2,_xlfn.XLOOKUP(C2672,#REF!,#REF!),3,_xlfn.XLOOKUP(C2672,#REF!,#REF!)),0)</f>
        <v>0</v>
      </c>
      <c r="T2672" cm="1">
        <f t="array" ref="T2672">IFERROR(_xlfn.SWITCH(L2672,1,_xlfn.XLOOKUP(O2672,[1]AttributeName!$B:$B,[1]AttributeName!$E:$E),2,_xlfn.XLOOKUP(C2672,#REF!,#REF!),3,_xlfn.XLOOKUP(C2672,#REF!,#REF!)),0)</f>
        <v>0</v>
      </c>
    </row>
    <row r="2673" customFormat="1" spans="1:20">
      <c r="A2673">
        <f t="shared" si="110"/>
        <v>1104</v>
      </c>
      <c r="B2673">
        <v>6</v>
      </c>
      <c r="C2673" t="s">
        <v>383</v>
      </c>
      <c r="D2673" t="s">
        <v>443</v>
      </c>
      <c r="E2673" t="s">
        <v>378</v>
      </c>
      <c r="F2673"/>
      <c r="G2673">
        <v>1</v>
      </c>
      <c r="H2673">
        <v>1000</v>
      </c>
      <c r="I2673">
        <v>3</v>
      </c>
      <c r="J2673" cm="1">
        <f t="array" ref="J2673">_xlfn.SWITCH(B2673,1,75,2,61,3,49,4,37,5,25,6,13,7,4,8,1)</f>
        <v>13</v>
      </c>
      <c r="K2673" t="str" cm="1">
        <f t="array" ref="K2673">IFERROR(_xlfn.SWITCH(L2673,2,_xlfn.XLOOKUP(C2673,[1]ModifierDes!$B:$B,[1]ModifierDes!$C:$C),3,_xlfn.XLOOKUP(C2673,[1]StuntDes!$B:$B,[1]StuntDes!$C:$C)),"")</f>
        <v>攻击伤害提高{0}</v>
      </c>
      <c r="L2673">
        <f t="shared" si="109"/>
        <v>2</v>
      </c>
      <c r="M2673" s="10" t="str">
        <f>IFERROR(_xlfn.XLOOKUP(C2673,[1]StuntDes!$B:$B,[1]StuntDes!$A:$A),"")</f>
        <v/>
      </c>
      <c r="N2673" s="10">
        <f>IFERROR(_xlfn.XLOOKUP(C2673,[1]ModifierDes!$B:$B,[1]ModifierDes!$A:$A),"")</f>
        <v>10066</v>
      </c>
      <c r="O2673" s="10" t="str">
        <f>IFERROR(_xlfn.XLOOKUP(C2673,[1]AttributeName!$C:$C,[1]AttributeName!$B:$B),"")</f>
        <v/>
      </c>
      <c r="P2673" s="10"/>
      <c r="Q2673">
        <v>0.0999999999999999</v>
      </c>
      <c r="R2673">
        <v>0.12</v>
      </c>
      <c r="S2673" cm="1">
        <f t="array" ref="S2673">IFERROR(_xlfn.SWITCH(L2673,1,_xlfn.XLOOKUP(O2673,[1]AttributeName!$B:$B,[1]AttributeName!$D:$D),2,_xlfn.XLOOKUP(C2673,#REF!,#REF!),3,_xlfn.XLOOKUP(C2673,#REF!,#REF!)),0)</f>
        <v>0</v>
      </c>
      <c r="T2673" cm="1">
        <f t="array" ref="T2673">IFERROR(_xlfn.SWITCH(L2673,1,_xlfn.XLOOKUP(O2673,[1]AttributeName!$B:$B,[1]AttributeName!$E:$E),2,_xlfn.XLOOKUP(C2673,#REF!,#REF!),3,_xlfn.XLOOKUP(C2673,#REF!,#REF!)),0)</f>
        <v>0</v>
      </c>
    </row>
    <row r="2674" customFormat="1" spans="1:20">
      <c r="A2674">
        <f t="shared" si="110"/>
        <v>1104</v>
      </c>
      <c r="B2674">
        <v>7</v>
      </c>
      <c r="C2674" t="s">
        <v>383</v>
      </c>
      <c r="D2674" t="s">
        <v>443</v>
      </c>
      <c r="E2674" t="s">
        <v>378</v>
      </c>
      <c r="F2674"/>
      <c r="G2674">
        <v>1</v>
      </c>
      <c r="H2674">
        <v>1000</v>
      </c>
      <c r="I2674">
        <v>3</v>
      </c>
      <c r="J2674" cm="1">
        <f t="array" ref="J2674">_xlfn.SWITCH(B2674,1,75,2,61,3,49,4,37,5,25,6,13,7,4,8,1)</f>
        <v>4</v>
      </c>
      <c r="K2674" t="str" cm="1">
        <f t="array" ref="K2674">IFERROR(_xlfn.SWITCH(L2674,2,_xlfn.XLOOKUP(C2674,[1]ModifierDes!$B:$B,[1]ModifierDes!$C:$C),3,_xlfn.XLOOKUP(C2674,[1]StuntDes!$B:$B,[1]StuntDes!$C:$C)),"")</f>
        <v>攻击伤害提高{0}</v>
      </c>
      <c r="L2674">
        <f t="shared" si="109"/>
        <v>2</v>
      </c>
      <c r="M2674" s="10" t="str">
        <f>IFERROR(_xlfn.XLOOKUP(C2674,[1]StuntDes!$B:$B,[1]StuntDes!$A:$A),"")</f>
        <v/>
      </c>
      <c r="N2674" s="10">
        <f>IFERROR(_xlfn.XLOOKUP(C2674,[1]ModifierDes!$B:$B,[1]ModifierDes!$A:$A),"")</f>
        <v>10066</v>
      </c>
      <c r="O2674" s="10" t="str">
        <f>IFERROR(_xlfn.XLOOKUP(C2674,[1]AttributeName!$C:$C,[1]AttributeName!$B:$B),"")</f>
        <v/>
      </c>
      <c r="P2674" s="10"/>
      <c r="Q2674">
        <v>0.0699999999999999</v>
      </c>
      <c r="R2674">
        <v>0.09</v>
      </c>
      <c r="S2674" cm="1">
        <f t="array" ref="S2674">IFERROR(_xlfn.SWITCH(L2674,1,_xlfn.XLOOKUP(O2674,[1]AttributeName!$B:$B,[1]AttributeName!$D:$D),2,_xlfn.XLOOKUP(C2674,#REF!,#REF!),3,_xlfn.XLOOKUP(C2674,#REF!,#REF!)),0)</f>
        <v>0</v>
      </c>
      <c r="T2674" cm="1">
        <f t="array" ref="T2674">IFERROR(_xlfn.SWITCH(L2674,1,_xlfn.XLOOKUP(O2674,[1]AttributeName!$B:$B,[1]AttributeName!$E:$E),2,_xlfn.XLOOKUP(C2674,#REF!,#REF!),3,_xlfn.XLOOKUP(C2674,#REF!,#REF!)),0)</f>
        <v>0</v>
      </c>
    </row>
    <row r="2675" customFormat="1" spans="1:20">
      <c r="A2675">
        <f t="shared" si="110"/>
        <v>1104</v>
      </c>
      <c r="B2675">
        <v>8</v>
      </c>
      <c r="C2675" t="s">
        <v>383</v>
      </c>
      <c r="D2675" t="s">
        <v>443</v>
      </c>
      <c r="E2675" t="s">
        <v>378</v>
      </c>
      <c r="F2675"/>
      <c r="G2675">
        <v>1</v>
      </c>
      <c r="H2675">
        <v>1000</v>
      </c>
      <c r="I2675">
        <v>3</v>
      </c>
      <c r="J2675" cm="1">
        <f t="array" ref="J2675">_xlfn.SWITCH(B2675,1,75,2,61,3,49,4,37,5,25,6,13,7,4,8,1)</f>
        <v>1</v>
      </c>
      <c r="K2675" t="str" cm="1">
        <f t="array" ref="K2675">IFERROR(_xlfn.SWITCH(L2675,2,_xlfn.XLOOKUP(C2675,[1]ModifierDes!$B:$B,[1]ModifierDes!$C:$C),3,_xlfn.XLOOKUP(C2675,[1]StuntDes!$B:$B,[1]StuntDes!$C:$C)),"")</f>
        <v>攻击伤害提高{0}</v>
      </c>
      <c r="L2675">
        <f t="shared" si="109"/>
        <v>2</v>
      </c>
      <c r="M2675" s="10" t="str">
        <f>IFERROR(_xlfn.XLOOKUP(C2675,[1]StuntDes!$B:$B,[1]StuntDes!$A:$A),"")</f>
        <v/>
      </c>
      <c r="N2675" s="10">
        <f>IFERROR(_xlfn.XLOOKUP(C2675,[1]ModifierDes!$B:$B,[1]ModifierDes!$A:$A),"")</f>
        <v>10066</v>
      </c>
      <c r="O2675" s="10" t="str">
        <f>IFERROR(_xlfn.XLOOKUP(C2675,[1]AttributeName!$C:$C,[1]AttributeName!$B:$B),"")</f>
        <v/>
      </c>
      <c r="P2675" s="10"/>
      <c r="Q2675">
        <v>0.0399999999999998</v>
      </c>
      <c r="R2675">
        <v>0.06</v>
      </c>
      <c r="S2675" cm="1">
        <f t="array" ref="S2675">IFERROR(_xlfn.SWITCH(L2675,1,_xlfn.XLOOKUP(O2675,[1]AttributeName!$B:$B,[1]AttributeName!$D:$D),2,_xlfn.XLOOKUP(C2675,#REF!,#REF!),3,_xlfn.XLOOKUP(C2675,#REF!,#REF!)),0)</f>
        <v>0</v>
      </c>
      <c r="T2675" cm="1">
        <f t="array" ref="T2675">IFERROR(_xlfn.SWITCH(L2675,1,_xlfn.XLOOKUP(O2675,[1]AttributeName!$B:$B,[1]AttributeName!$E:$E),2,_xlfn.XLOOKUP(C2675,#REF!,#REF!),3,_xlfn.XLOOKUP(C2675,#REF!,#REF!)),0)</f>
        <v>0</v>
      </c>
    </row>
    <row r="2676" customFormat="1" spans="1:20">
      <c r="A2676">
        <f t="shared" si="110"/>
        <v>1105</v>
      </c>
      <c r="B2676">
        <v>1</v>
      </c>
      <c r="C2676" t="s">
        <v>418</v>
      </c>
      <c r="D2676" t="s">
        <v>443</v>
      </c>
      <c r="E2676" t="s">
        <v>378</v>
      </c>
      <c r="F2676"/>
      <c r="G2676">
        <v>1</v>
      </c>
      <c r="H2676">
        <v>50</v>
      </c>
      <c r="I2676">
        <v>3</v>
      </c>
      <c r="J2676" cm="1">
        <f t="array" ref="J2676">_xlfn.SWITCH(B2676,1,75,2,61,3,49,4,37,5,25,6,13,7,4,8,1)</f>
        <v>75</v>
      </c>
      <c r="K2676" t="str" cm="1">
        <f t="array" ref="K2676">IFERROR(_xlfn.SWITCH(L2676,2,_xlfn.XLOOKUP(C2676,[1]ModifierDes!$B:$B,[1]ModifierDes!$C:$C),3,_xlfn.XLOOKUP(C2676,[1]StuntDes!$B:$B,[1]StuntDes!$C:$C)),"")</f>
        <v>法术伤害提高{0}</v>
      </c>
      <c r="L2676">
        <f t="shared" si="109"/>
        <v>2</v>
      </c>
      <c r="M2676" s="10" t="str">
        <f>IFERROR(_xlfn.XLOOKUP(C2676,[1]StuntDes!$B:$B,[1]StuntDes!$A:$A),"")</f>
        <v/>
      </c>
      <c r="N2676" s="10">
        <f>IFERROR(_xlfn.XLOOKUP(C2676,[1]ModifierDes!$B:$B,[1]ModifierDes!$A:$A),"")</f>
        <v>10067</v>
      </c>
      <c r="O2676" s="10" t="str">
        <f>IFERROR(_xlfn.XLOOKUP(C2676,[1]AttributeName!$C:$C,[1]AttributeName!$B:$B),"")</f>
        <v/>
      </c>
      <c r="P2676" s="10"/>
      <c r="Q2676">
        <v>0.25</v>
      </c>
      <c r="R2676">
        <v>0.35</v>
      </c>
      <c r="S2676" cm="1">
        <f t="array" ref="S2676">IFERROR(_xlfn.SWITCH(L2676,1,_xlfn.XLOOKUP(O2676,[1]AttributeName!$B:$B,[1]AttributeName!$D:$D),2,_xlfn.XLOOKUP(C2676,#REF!,#REF!),3,_xlfn.XLOOKUP(C2676,#REF!,#REF!)),0)</f>
        <v>0</v>
      </c>
      <c r="T2676" cm="1">
        <f t="array" ref="T2676">IFERROR(_xlfn.SWITCH(L2676,1,_xlfn.XLOOKUP(O2676,[1]AttributeName!$B:$B,[1]AttributeName!$E:$E),2,_xlfn.XLOOKUP(C2676,#REF!,#REF!),3,_xlfn.XLOOKUP(C2676,#REF!,#REF!)),0)</f>
        <v>0</v>
      </c>
    </row>
    <row r="2677" customFormat="1" spans="1:20">
      <c r="A2677">
        <f t="shared" si="110"/>
        <v>1105</v>
      </c>
      <c r="B2677">
        <v>2</v>
      </c>
      <c r="C2677" t="s">
        <v>418</v>
      </c>
      <c r="D2677" t="s">
        <v>443</v>
      </c>
      <c r="E2677" t="s">
        <v>378</v>
      </c>
      <c r="F2677"/>
      <c r="G2677">
        <v>1</v>
      </c>
      <c r="H2677">
        <v>100</v>
      </c>
      <c r="I2677">
        <v>3</v>
      </c>
      <c r="J2677" cm="1">
        <f t="array" ref="J2677">_xlfn.SWITCH(B2677,1,75,2,61,3,49,4,37,5,25,6,13,7,4,8,1)</f>
        <v>61</v>
      </c>
      <c r="K2677" t="str" cm="1">
        <f t="array" ref="K2677">IFERROR(_xlfn.SWITCH(L2677,2,_xlfn.XLOOKUP(C2677,[1]ModifierDes!$B:$B,[1]ModifierDes!$C:$C),3,_xlfn.XLOOKUP(C2677,[1]StuntDes!$B:$B,[1]StuntDes!$C:$C)),"")</f>
        <v>法术伤害提高{0}</v>
      </c>
      <c r="L2677">
        <f t="shared" si="109"/>
        <v>2</v>
      </c>
      <c r="M2677" s="10" t="str">
        <f>IFERROR(_xlfn.XLOOKUP(C2677,[1]StuntDes!$B:$B,[1]StuntDes!$A:$A),"")</f>
        <v/>
      </c>
      <c r="N2677" s="10">
        <f>IFERROR(_xlfn.XLOOKUP(C2677,[1]ModifierDes!$B:$B,[1]ModifierDes!$A:$A),"")</f>
        <v>10067</v>
      </c>
      <c r="O2677" s="10" t="str">
        <f>IFERROR(_xlfn.XLOOKUP(C2677,[1]AttributeName!$C:$C,[1]AttributeName!$B:$B),"")</f>
        <v/>
      </c>
      <c r="P2677" s="10"/>
      <c r="Q2677">
        <v>0.22</v>
      </c>
      <c r="R2677">
        <v>0.24</v>
      </c>
      <c r="S2677" cm="1">
        <f t="array" ref="S2677">IFERROR(_xlfn.SWITCH(L2677,1,_xlfn.XLOOKUP(O2677,[1]AttributeName!$B:$B,[1]AttributeName!$D:$D),2,_xlfn.XLOOKUP(C2677,#REF!,#REF!),3,_xlfn.XLOOKUP(C2677,#REF!,#REF!)),0)</f>
        <v>0</v>
      </c>
      <c r="T2677" cm="1">
        <f t="array" ref="T2677">IFERROR(_xlfn.SWITCH(L2677,1,_xlfn.XLOOKUP(O2677,[1]AttributeName!$B:$B,[1]AttributeName!$E:$E),2,_xlfn.XLOOKUP(C2677,#REF!,#REF!),3,_xlfn.XLOOKUP(C2677,#REF!,#REF!)),0)</f>
        <v>0</v>
      </c>
    </row>
    <row r="2678" customFormat="1" spans="1:20">
      <c r="A2678">
        <f t="shared" si="110"/>
        <v>1105</v>
      </c>
      <c r="B2678">
        <v>3</v>
      </c>
      <c r="C2678" t="s">
        <v>418</v>
      </c>
      <c r="D2678" t="s">
        <v>443</v>
      </c>
      <c r="E2678" t="s">
        <v>378</v>
      </c>
      <c r="F2678"/>
      <c r="G2678">
        <v>1</v>
      </c>
      <c r="H2678">
        <v>200</v>
      </c>
      <c r="I2678">
        <v>3</v>
      </c>
      <c r="J2678" cm="1">
        <f t="array" ref="J2678">_xlfn.SWITCH(B2678,1,75,2,61,3,49,4,37,5,25,6,13,7,4,8,1)</f>
        <v>49</v>
      </c>
      <c r="K2678" t="str" cm="1">
        <f t="array" ref="K2678">IFERROR(_xlfn.SWITCH(L2678,2,_xlfn.XLOOKUP(C2678,[1]ModifierDes!$B:$B,[1]ModifierDes!$C:$C),3,_xlfn.XLOOKUP(C2678,[1]StuntDes!$B:$B,[1]StuntDes!$C:$C)),"")</f>
        <v>法术伤害提高{0}</v>
      </c>
      <c r="L2678">
        <f t="shared" si="109"/>
        <v>2</v>
      </c>
      <c r="M2678" s="10" t="str">
        <f>IFERROR(_xlfn.XLOOKUP(C2678,[1]StuntDes!$B:$B,[1]StuntDes!$A:$A),"")</f>
        <v/>
      </c>
      <c r="N2678" s="10">
        <f>IFERROR(_xlfn.XLOOKUP(C2678,[1]ModifierDes!$B:$B,[1]ModifierDes!$A:$A),"")</f>
        <v>10067</v>
      </c>
      <c r="O2678" s="10" t="str">
        <f>IFERROR(_xlfn.XLOOKUP(C2678,[1]AttributeName!$C:$C,[1]AttributeName!$B:$B),"")</f>
        <v/>
      </c>
      <c r="P2678" s="10"/>
      <c r="Q2678">
        <v>0.19</v>
      </c>
      <c r="R2678">
        <v>0.21</v>
      </c>
      <c r="S2678" cm="1">
        <f t="array" ref="S2678">IFERROR(_xlfn.SWITCH(L2678,1,_xlfn.XLOOKUP(O2678,[1]AttributeName!$B:$B,[1]AttributeName!$D:$D),2,_xlfn.XLOOKUP(C2678,#REF!,#REF!),3,_xlfn.XLOOKUP(C2678,#REF!,#REF!)),0)</f>
        <v>0</v>
      </c>
      <c r="T2678" cm="1">
        <f t="array" ref="T2678">IFERROR(_xlfn.SWITCH(L2678,1,_xlfn.XLOOKUP(O2678,[1]AttributeName!$B:$B,[1]AttributeName!$E:$E),2,_xlfn.XLOOKUP(C2678,#REF!,#REF!),3,_xlfn.XLOOKUP(C2678,#REF!,#REF!)),0)</f>
        <v>0</v>
      </c>
    </row>
    <row r="2679" customFormat="1" spans="1:20">
      <c r="A2679">
        <f t="shared" si="110"/>
        <v>1105</v>
      </c>
      <c r="B2679">
        <v>4</v>
      </c>
      <c r="C2679" t="s">
        <v>418</v>
      </c>
      <c r="D2679" t="s">
        <v>443</v>
      </c>
      <c r="E2679" t="s">
        <v>378</v>
      </c>
      <c r="F2679"/>
      <c r="G2679">
        <v>1</v>
      </c>
      <c r="H2679">
        <v>500</v>
      </c>
      <c r="I2679">
        <v>3</v>
      </c>
      <c r="J2679" cm="1">
        <f t="array" ref="J2679">_xlfn.SWITCH(B2679,1,75,2,61,3,49,4,37,5,25,6,13,7,4,8,1)</f>
        <v>37</v>
      </c>
      <c r="K2679" t="str" cm="1">
        <f t="array" ref="K2679">IFERROR(_xlfn.SWITCH(L2679,2,_xlfn.XLOOKUP(C2679,[1]ModifierDes!$B:$B,[1]ModifierDes!$C:$C),3,_xlfn.XLOOKUP(C2679,[1]StuntDes!$B:$B,[1]StuntDes!$C:$C)),"")</f>
        <v>法术伤害提高{0}</v>
      </c>
      <c r="L2679">
        <f t="shared" si="109"/>
        <v>2</v>
      </c>
      <c r="M2679" s="10" t="str">
        <f>IFERROR(_xlfn.XLOOKUP(C2679,[1]StuntDes!$B:$B,[1]StuntDes!$A:$A),"")</f>
        <v/>
      </c>
      <c r="N2679" s="10">
        <f>IFERROR(_xlfn.XLOOKUP(C2679,[1]ModifierDes!$B:$B,[1]ModifierDes!$A:$A),"")</f>
        <v>10067</v>
      </c>
      <c r="O2679" s="10" t="str">
        <f>IFERROR(_xlfn.XLOOKUP(C2679,[1]AttributeName!$C:$C,[1]AttributeName!$B:$B),"")</f>
        <v/>
      </c>
      <c r="P2679" s="10"/>
      <c r="Q2679">
        <v>0.16</v>
      </c>
      <c r="R2679">
        <v>0.18</v>
      </c>
      <c r="S2679" cm="1">
        <f t="array" ref="S2679">IFERROR(_xlfn.SWITCH(L2679,1,_xlfn.XLOOKUP(O2679,[1]AttributeName!$B:$B,[1]AttributeName!$D:$D),2,_xlfn.XLOOKUP(C2679,#REF!,#REF!),3,_xlfn.XLOOKUP(C2679,#REF!,#REF!)),0)</f>
        <v>0</v>
      </c>
      <c r="T2679" cm="1">
        <f t="array" ref="T2679">IFERROR(_xlfn.SWITCH(L2679,1,_xlfn.XLOOKUP(O2679,[1]AttributeName!$B:$B,[1]AttributeName!$E:$E),2,_xlfn.XLOOKUP(C2679,#REF!,#REF!),3,_xlfn.XLOOKUP(C2679,#REF!,#REF!)),0)</f>
        <v>0</v>
      </c>
    </row>
    <row r="2680" customFormat="1" spans="1:20">
      <c r="A2680">
        <f t="shared" si="110"/>
        <v>1105</v>
      </c>
      <c r="B2680">
        <v>5</v>
      </c>
      <c r="C2680" t="s">
        <v>418</v>
      </c>
      <c r="D2680" t="s">
        <v>443</v>
      </c>
      <c r="E2680" t="s">
        <v>378</v>
      </c>
      <c r="F2680"/>
      <c r="G2680">
        <v>1</v>
      </c>
      <c r="H2680">
        <v>750</v>
      </c>
      <c r="I2680">
        <v>3</v>
      </c>
      <c r="J2680" cm="1">
        <f t="array" ref="J2680">_xlfn.SWITCH(B2680,1,75,2,61,3,49,4,37,5,25,6,13,7,4,8,1)</f>
        <v>25</v>
      </c>
      <c r="K2680" t="str" cm="1">
        <f t="array" ref="K2680">IFERROR(_xlfn.SWITCH(L2680,2,_xlfn.XLOOKUP(C2680,[1]ModifierDes!$B:$B,[1]ModifierDes!$C:$C),3,_xlfn.XLOOKUP(C2680,[1]StuntDes!$B:$B,[1]StuntDes!$C:$C)),"")</f>
        <v>法术伤害提高{0}</v>
      </c>
      <c r="L2680">
        <f t="shared" si="109"/>
        <v>2</v>
      </c>
      <c r="M2680" s="10" t="str">
        <f>IFERROR(_xlfn.XLOOKUP(C2680,[1]StuntDes!$B:$B,[1]StuntDes!$A:$A),"")</f>
        <v/>
      </c>
      <c r="N2680" s="10">
        <f>IFERROR(_xlfn.XLOOKUP(C2680,[1]ModifierDes!$B:$B,[1]ModifierDes!$A:$A),"")</f>
        <v>10067</v>
      </c>
      <c r="O2680" s="10" t="str">
        <f>IFERROR(_xlfn.XLOOKUP(C2680,[1]AttributeName!$C:$C,[1]AttributeName!$B:$B),"")</f>
        <v/>
      </c>
      <c r="P2680" s="10"/>
      <c r="Q2680">
        <v>0.13</v>
      </c>
      <c r="R2680">
        <v>0.15</v>
      </c>
      <c r="S2680" cm="1">
        <f t="array" ref="S2680">IFERROR(_xlfn.SWITCH(L2680,1,_xlfn.XLOOKUP(O2680,[1]AttributeName!$B:$B,[1]AttributeName!$D:$D),2,_xlfn.XLOOKUP(C2680,#REF!,#REF!),3,_xlfn.XLOOKUP(C2680,#REF!,#REF!)),0)</f>
        <v>0</v>
      </c>
      <c r="T2680" cm="1">
        <f t="array" ref="T2680">IFERROR(_xlfn.SWITCH(L2680,1,_xlfn.XLOOKUP(O2680,[1]AttributeName!$B:$B,[1]AttributeName!$E:$E),2,_xlfn.XLOOKUP(C2680,#REF!,#REF!),3,_xlfn.XLOOKUP(C2680,#REF!,#REF!)),0)</f>
        <v>0</v>
      </c>
    </row>
    <row r="2681" customFormat="1" spans="1:20">
      <c r="A2681">
        <f t="shared" si="110"/>
        <v>1105</v>
      </c>
      <c r="B2681">
        <v>6</v>
      </c>
      <c r="C2681" t="s">
        <v>418</v>
      </c>
      <c r="D2681" t="s">
        <v>443</v>
      </c>
      <c r="E2681" t="s">
        <v>378</v>
      </c>
      <c r="F2681"/>
      <c r="G2681">
        <v>1</v>
      </c>
      <c r="H2681">
        <v>1000</v>
      </c>
      <c r="I2681">
        <v>3</v>
      </c>
      <c r="J2681" cm="1">
        <f t="array" ref="J2681">_xlfn.SWITCH(B2681,1,75,2,61,3,49,4,37,5,25,6,13,7,4,8,1)</f>
        <v>13</v>
      </c>
      <c r="K2681" t="str" cm="1">
        <f t="array" ref="K2681">IFERROR(_xlfn.SWITCH(L2681,2,_xlfn.XLOOKUP(C2681,[1]ModifierDes!$B:$B,[1]ModifierDes!$C:$C),3,_xlfn.XLOOKUP(C2681,[1]StuntDes!$B:$B,[1]StuntDes!$C:$C)),"")</f>
        <v>法术伤害提高{0}</v>
      </c>
      <c r="L2681">
        <f t="shared" si="109"/>
        <v>2</v>
      </c>
      <c r="M2681" s="10" t="str">
        <f>IFERROR(_xlfn.XLOOKUP(C2681,[1]StuntDes!$B:$B,[1]StuntDes!$A:$A),"")</f>
        <v/>
      </c>
      <c r="N2681" s="10">
        <f>IFERROR(_xlfn.XLOOKUP(C2681,[1]ModifierDes!$B:$B,[1]ModifierDes!$A:$A),"")</f>
        <v>10067</v>
      </c>
      <c r="O2681" s="10" t="str">
        <f>IFERROR(_xlfn.XLOOKUP(C2681,[1]AttributeName!$C:$C,[1]AttributeName!$B:$B),"")</f>
        <v/>
      </c>
      <c r="P2681" s="10"/>
      <c r="Q2681">
        <v>0.0999999999999999</v>
      </c>
      <c r="R2681">
        <v>0.12</v>
      </c>
      <c r="S2681" cm="1">
        <f t="array" ref="S2681">IFERROR(_xlfn.SWITCH(L2681,1,_xlfn.XLOOKUP(O2681,[1]AttributeName!$B:$B,[1]AttributeName!$D:$D),2,_xlfn.XLOOKUP(C2681,#REF!,#REF!),3,_xlfn.XLOOKUP(C2681,#REF!,#REF!)),0)</f>
        <v>0</v>
      </c>
      <c r="T2681" cm="1">
        <f t="array" ref="T2681">IFERROR(_xlfn.SWITCH(L2681,1,_xlfn.XLOOKUP(O2681,[1]AttributeName!$B:$B,[1]AttributeName!$E:$E),2,_xlfn.XLOOKUP(C2681,#REF!,#REF!),3,_xlfn.XLOOKUP(C2681,#REF!,#REF!)),0)</f>
        <v>0</v>
      </c>
    </row>
    <row r="2682" customFormat="1" spans="1:20">
      <c r="A2682">
        <f t="shared" si="110"/>
        <v>1105</v>
      </c>
      <c r="B2682">
        <v>7</v>
      </c>
      <c r="C2682" t="s">
        <v>418</v>
      </c>
      <c r="D2682" t="s">
        <v>443</v>
      </c>
      <c r="E2682" t="s">
        <v>378</v>
      </c>
      <c r="F2682"/>
      <c r="G2682">
        <v>1</v>
      </c>
      <c r="H2682">
        <v>1000</v>
      </c>
      <c r="I2682">
        <v>3</v>
      </c>
      <c r="J2682" cm="1">
        <f t="array" ref="J2682">_xlfn.SWITCH(B2682,1,75,2,61,3,49,4,37,5,25,6,13,7,4,8,1)</f>
        <v>4</v>
      </c>
      <c r="K2682" t="str" cm="1">
        <f t="array" ref="K2682">IFERROR(_xlfn.SWITCH(L2682,2,_xlfn.XLOOKUP(C2682,[1]ModifierDes!$B:$B,[1]ModifierDes!$C:$C),3,_xlfn.XLOOKUP(C2682,[1]StuntDes!$B:$B,[1]StuntDes!$C:$C)),"")</f>
        <v>法术伤害提高{0}</v>
      </c>
      <c r="L2682">
        <f t="shared" si="109"/>
        <v>2</v>
      </c>
      <c r="M2682" s="10" t="str">
        <f>IFERROR(_xlfn.XLOOKUP(C2682,[1]StuntDes!$B:$B,[1]StuntDes!$A:$A),"")</f>
        <v/>
      </c>
      <c r="N2682" s="10">
        <f>IFERROR(_xlfn.XLOOKUP(C2682,[1]ModifierDes!$B:$B,[1]ModifierDes!$A:$A),"")</f>
        <v>10067</v>
      </c>
      <c r="O2682" s="10" t="str">
        <f>IFERROR(_xlfn.XLOOKUP(C2682,[1]AttributeName!$C:$C,[1]AttributeName!$B:$B),"")</f>
        <v/>
      </c>
      <c r="P2682" s="10"/>
      <c r="Q2682">
        <v>0.0699999999999999</v>
      </c>
      <c r="R2682">
        <v>0.09</v>
      </c>
      <c r="S2682" cm="1">
        <f t="array" ref="S2682">IFERROR(_xlfn.SWITCH(L2682,1,_xlfn.XLOOKUP(O2682,[1]AttributeName!$B:$B,[1]AttributeName!$D:$D),2,_xlfn.XLOOKUP(C2682,#REF!,#REF!),3,_xlfn.XLOOKUP(C2682,#REF!,#REF!)),0)</f>
        <v>0</v>
      </c>
      <c r="T2682" cm="1">
        <f t="array" ref="T2682">IFERROR(_xlfn.SWITCH(L2682,1,_xlfn.XLOOKUP(O2682,[1]AttributeName!$B:$B,[1]AttributeName!$E:$E),2,_xlfn.XLOOKUP(C2682,#REF!,#REF!),3,_xlfn.XLOOKUP(C2682,#REF!,#REF!)),0)</f>
        <v>0</v>
      </c>
    </row>
    <row r="2683" customFormat="1" spans="1:20">
      <c r="A2683">
        <f t="shared" si="110"/>
        <v>1105</v>
      </c>
      <c r="B2683">
        <v>8</v>
      </c>
      <c r="C2683" t="s">
        <v>418</v>
      </c>
      <c r="D2683" t="s">
        <v>443</v>
      </c>
      <c r="E2683" t="s">
        <v>378</v>
      </c>
      <c r="F2683"/>
      <c r="G2683">
        <v>1</v>
      </c>
      <c r="H2683">
        <v>1000</v>
      </c>
      <c r="I2683">
        <v>3</v>
      </c>
      <c r="J2683" cm="1">
        <f t="array" ref="J2683">_xlfn.SWITCH(B2683,1,75,2,61,3,49,4,37,5,25,6,13,7,4,8,1)</f>
        <v>1</v>
      </c>
      <c r="K2683" t="str" cm="1">
        <f t="array" ref="K2683">IFERROR(_xlfn.SWITCH(L2683,2,_xlfn.XLOOKUP(C2683,[1]ModifierDes!$B:$B,[1]ModifierDes!$C:$C),3,_xlfn.XLOOKUP(C2683,[1]StuntDes!$B:$B,[1]StuntDes!$C:$C)),"")</f>
        <v>法术伤害提高{0}</v>
      </c>
      <c r="L2683">
        <f t="shared" si="109"/>
        <v>2</v>
      </c>
      <c r="M2683" s="10" t="str">
        <f>IFERROR(_xlfn.XLOOKUP(C2683,[1]StuntDes!$B:$B,[1]StuntDes!$A:$A),"")</f>
        <v/>
      </c>
      <c r="N2683" s="10">
        <f>IFERROR(_xlfn.XLOOKUP(C2683,[1]ModifierDes!$B:$B,[1]ModifierDes!$A:$A),"")</f>
        <v>10067</v>
      </c>
      <c r="O2683" s="10" t="str">
        <f>IFERROR(_xlfn.XLOOKUP(C2683,[1]AttributeName!$C:$C,[1]AttributeName!$B:$B),"")</f>
        <v/>
      </c>
      <c r="P2683" s="10"/>
      <c r="Q2683">
        <v>0.0399999999999998</v>
      </c>
      <c r="R2683">
        <v>0.06</v>
      </c>
      <c r="S2683" cm="1">
        <f t="array" ref="S2683">IFERROR(_xlfn.SWITCH(L2683,1,_xlfn.XLOOKUP(O2683,[1]AttributeName!$B:$B,[1]AttributeName!$D:$D),2,_xlfn.XLOOKUP(C2683,#REF!,#REF!),3,_xlfn.XLOOKUP(C2683,#REF!,#REF!)),0)</f>
        <v>0</v>
      </c>
      <c r="T2683" cm="1">
        <f t="array" ref="T2683">IFERROR(_xlfn.SWITCH(L2683,1,_xlfn.XLOOKUP(O2683,[1]AttributeName!$B:$B,[1]AttributeName!$E:$E),2,_xlfn.XLOOKUP(C2683,#REF!,#REF!),3,_xlfn.XLOOKUP(C2683,#REF!,#REF!)),0)</f>
        <v>0</v>
      </c>
    </row>
    <row r="2684" customFormat="1" spans="1:20">
      <c r="A2684">
        <f t="shared" si="110"/>
        <v>1106</v>
      </c>
      <c r="B2684">
        <v>1</v>
      </c>
      <c r="C2684" t="s">
        <v>384</v>
      </c>
      <c r="D2684" t="s">
        <v>443</v>
      </c>
      <c r="E2684" t="s">
        <v>378</v>
      </c>
      <c r="F2684"/>
      <c r="G2684">
        <v>1</v>
      </c>
      <c r="H2684">
        <v>100</v>
      </c>
      <c r="I2684">
        <v>3</v>
      </c>
      <c r="J2684" cm="1">
        <f t="array" ref="J2684">_xlfn.SWITCH(B2684,1,75,2,61,3,49,4,37,5,25,6,13,7,4,8,1)</f>
        <v>75</v>
      </c>
      <c r="K2684" t="str" cm="1">
        <f t="array" ref="K2684">IFERROR(_xlfn.SWITCH(L2684,2,_xlfn.XLOOKUP(C2684,[1]ModifierDes!$B:$B,[1]ModifierDes!$C:$C),3,_xlfn.XLOOKUP(C2684,[1]StuntDes!$B:$B,[1]StuntDes!$C:$C)),"")</f>
        <v/>
      </c>
      <c r="L2684">
        <f t="shared" si="109"/>
        <v>1</v>
      </c>
      <c r="M2684" s="10" t="str">
        <f>IFERROR(_xlfn.XLOOKUP(C2684,[1]StuntDes!$B:$B,[1]StuntDes!$A:$A),"")</f>
        <v/>
      </c>
      <c r="N2684" s="10" t="str">
        <f>IFERROR(_xlfn.XLOOKUP(C2684,[1]ModifierDes!$B:$B,[1]ModifierDes!$A:$A),"")</f>
        <v/>
      </c>
      <c r="O2684" s="10">
        <f>IFERROR(_xlfn.XLOOKUP(C2684,[1]AttributeName!$C:$C,[1]AttributeName!$B:$B),"")</f>
        <v>10303</v>
      </c>
      <c r="P2684" s="10"/>
      <c r="Q2684">
        <v>0.25</v>
      </c>
      <c r="R2684">
        <v>0.35</v>
      </c>
      <c r="S2684" cm="1">
        <f t="array" ref="S2684">IFERROR(_xlfn.SWITCH(L2684,1,_xlfn.XLOOKUP(O2684,[1]AttributeName!$B:$B,[1]AttributeName!$D:$D),2,_xlfn.XLOOKUP(C2684,#REF!,#REF!),3,_xlfn.XLOOKUP(C2684,#REF!,#REF!)),0)</f>
        <v>2</v>
      </c>
      <c r="T2684" cm="1">
        <f t="array" ref="T2684">IFERROR(_xlfn.SWITCH(L2684,1,_xlfn.XLOOKUP(O2684,[1]AttributeName!$B:$B,[1]AttributeName!$E:$E),2,_xlfn.XLOOKUP(C2684,#REF!,#REF!),3,_xlfn.XLOOKUP(C2684,#REF!,#REF!)),0)</f>
        <v>2</v>
      </c>
    </row>
    <row r="2685" customFormat="1" spans="1:20">
      <c r="A2685">
        <f t="shared" si="110"/>
        <v>1106</v>
      </c>
      <c r="B2685">
        <v>2</v>
      </c>
      <c r="C2685" t="s">
        <v>384</v>
      </c>
      <c r="D2685" t="s">
        <v>443</v>
      </c>
      <c r="E2685" t="s">
        <v>378</v>
      </c>
      <c r="F2685"/>
      <c r="G2685">
        <v>1</v>
      </c>
      <c r="H2685">
        <v>200</v>
      </c>
      <c r="I2685">
        <v>3</v>
      </c>
      <c r="J2685" cm="1">
        <f t="array" ref="J2685">_xlfn.SWITCH(B2685,1,75,2,61,3,49,4,37,5,25,6,13,7,4,8,1)</f>
        <v>61</v>
      </c>
      <c r="K2685" t="str" cm="1">
        <f t="array" ref="K2685">IFERROR(_xlfn.SWITCH(L2685,2,_xlfn.XLOOKUP(C2685,[1]ModifierDes!$B:$B,[1]ModifierDes!$C:$C),3,_xlfn.XLOOKUP(C2685,[1]StuntDes!$B:$B,[1]StuntDes!$C:$C)),"")</f>
        <v/>
      </c>
      <c r="L2685">
        <f t="shared" si="109"/>
        <v>1</v>
      </c>
      <c r="M2685" s="10" t="str">
        <f>IFERROR(_xlfn.XLOOKUP(C2685,[1]StuntDes!$B:$B,[1]StuntDes!$A:$A),"")</f>
        <v/>
      </c>
      <c r="N2685" s="10" t="str">
        <f>IFERROR(_xlfn.XLOOKUP(C2685,[1]ModifierDes!$B:$B,[1]ModifierDes!$A:$A),"")</f>
        <v/>
      </c>
      <c r="O2685" s="10">
        <f>IFERROR(_xlfn.XLOOKUP(C2685,[1]AttributeName!$C:$C,[1]AttributeName!$B:$B),"")</f>
        <v>10303</v>
      </c>
      <c r="P2685" s="10"/>
      <c r="Q2685">
        <v>0.22</v>
      </c>
      <c r="R2685">
        <v>0.24</v>
      </c>
      <c r="S2685" cm="1">
        <f t="array" ref="S2685">IFERROR(_xlfn.SWITCH(L2685,1,_xlfn.XLOOKUP(O2685,[1]AttributeName!$B:$B,[1]AttributeName!$D:$D),2,_xlfn.XLOOKUP(C2685,#REF!,#REF!),3,_xlfn.XLOOKUP(C2685,#REF!,#REF!)),0)</f>
        <v>2</v>
      </c>
      <c r="T2685" cm="1">
        <f t="array" ref="T2685">IFERROR(_xlfn.SWITCH(L2685,1,_xlfn.XLOOKUP(O2685,[1]AttributeName!$B:$B,[1]AttributeName!$E:$E),2,_xlfn.XLOOKUP(C2685,#REF!,#REF!),3,_xlfn.XLOOKUP(C2685,#REF!,#REF!)),0)</f>
        <v>2</v>
      </c>
    </row>
    <row r="2686" customFormat="1" spans="1:20">
      <c r="A2686">
        <f t="shared" si="110"/>
        <v>1106</v>
      </c>
      <c r="B2686">
        <v>3</v>
      </c>
      <c r="C2686" t="s">
        <v>384</v>
      </c>
      <c r="D2686" t="s">
        <v>443</v>
      </c>
      <c r="E2686" t="s">
        <v>378</v>
      </c>
      <c r="F2686"/>
      <c r="G2686">
        <v>1</v>
      </c>
      <c r="H2686">
        <v>500</v>
      </c>
      <c r="I2686">
        <v>3</v>
      </c>
      <c r="J2686" cm="1">
        <f t="array" ref="J2686">_xlfn.SWITCH(B2686,1,75,2,61,3,49,4,37,5,25,6,13,7,4,8,1)</f>
        <v>49</v>
      </c>
      <c r="K2686" t="str" cm="1">
        <f t="array" ref="K2686">IFERROR(_xlfn.SWITCH(L2686,2,_xlfn.XLOOKUP(C2686,[1]ModifierDes!$B:$B,[1]ModifierDes!$C:$C),3,_xlfn.XLOOKUP(C2686,[1]StuntDes!$B:$B,[1]StuntDes!$C:$C)),"")</f>
        <v/>
      </c>
      <c r="L2686">
        <f t="shared" si="109"/>
        <v>1</v>
      </c>
      <c r="M2686" s="10" t="str">
        <f>IFERROR(_xlfn.XLOOKUP(C2686,[1]StuntDes!$B:$B,[1]StuntDes!$A:$A),"")</f>
        <v/>
      </c>
      <c r="N2686" s="10" t="str">
        <f>IFERROR(_xlfn.XLOOKUP(C2686,[1]ModifierDes!$B:$B,[1]ModifierDes!$A:$A),"")</f>
        <v/>
      </c>
      <c r="O2686" s="10">
        <f>IFERROR(_xlfn.XLOOKUP(C2686,[1]AttributeName!$C:$C,[1]AttributeName!$B:$B),"")</f>
        <v>10303</v>
      </c>
      <c r="P2686" s="10"/>
      <c r="Q2686">
        <v>0.19</v>
      </c>
      <c r="R2686">
        <v>0.21</v>
      </c>
      <c r="S2686" cm="1">
        <f t="array" ref="S2686">IFERROR(_xlfn.SWITCH(L2686,1,_xlfn.XLOOKUP(O2686,[1]AttributeName!$B:$B,[1]AttributeName!$D:$D),2,_xlfn.XLOOKUP(C2686,#REF!,#REF!),3,_xlfn.XLOOKUP(C2686,#REF!,#REF!)),0)</f>
        <v>2</v>
      </c>
      <c r="T2686" cm="1">
        <f t="array" ref="T2686">IFERROR(_xlfn.SWITCH(L2686,1,_xlfn.XLOOKUP(O2686,[1]AttributeName!$B:$B,[1]AttributeName!$E:$E),2,_xlfn.XLOOKUP(C2686,#REF!,#REF!),3,_xlfn.XLOOKUP(C2686,#REF!,#REF!)),0)</f>
        <v>2</v>
      </c>
    </row>
    <row r="2687" customFormat="1" spans="1:20">
      <c r="A2687">
        <f t="shared" si="110"/>
        <v>1106</v>
      </c>
      <c r="B2687">
        <v>4</v>
      </c>
      <c r="C2687" t="s">
        <v>384</v>
      </c>
      <c r="D2687" t="s">
        <v>443</v>
      </c>
      <c r="E2687" t="s">
        <v>378</v>
      </c>
      <c r="F2687"/>
      <c r="G2687">
        <v>1</v>
      </c>
      <c r="H2687">
        <v>1000</v>
      </c>
      <c r="I2687">
        <v>3</v>
      </c>
      <c r="J2687" cm="1">
        <f t="array" ref="J2687">_xlfn.SWITCH(B2687,1,75,2,61,3,49,4,37,5,25,6,13,7,4,8,1)</f>
        <v>37</v>
      </c>
      <c r="K2687" t="str" cm="1">
        <f t="array" ref="K2687">IFERROR(_xlfn.SWITCH(L2687,2,_xlfn.XLOOKUP(C2687,[1]ModifierDes!$B:$B,[1]ModifierDes!$C:$C),3,_xlfn.XLOOKUP(C2687,[1]StuntDes!$B:$B,[1]StuntDes!$C:$C)),"")</f>
        <v/>
      </c>
      <c r="L2687">
        <f t="shared" si="109"/>
        <v>1</v>
      </c>
      <c r="M2687" s="10" t="str">
        <f>IFERROR(_xlfn.XLOOKUP(C2687,[1]StuntDes!$B:$B,[1]StuntDes!$A:$A),"")</f>
        <v/>
      </c>
      <c r="N2687" s="10" t="str">
        <f>IFERROR(_xlfn.XLOOKUP(C2687,[1]ModifierDes!$B:$B,[1]ModifierDes!$A:$A),"")</f>
        <v/>
      </c>
      <c r="O2687" s="10">
        <f>IFERROR(_xlfn.XLOOKUP(C2687,[1]AttributeName!$C:$C,[1]AttributeName!$B:$B),"")</f>
        <v>10303</v>
      </c>
      <c r="P2687" s="10"/>
      <c r="Q2687">
        <v>0.16</v>
      </c>
      <c r="R2687">
        <v>0.18</v>
      </c>
      <c r="S2687" cm="1">
        <f t="array" ref="S2687">IFERROR(_xlfn.SWITCH(L2687,1,_xlfn.XLOOKUP(O2687,[1]AttributeName!$B:$B,[1]AttributeName!$D:$D),2,_xlfn.XLOOKUP(C2687,#REF!,#REF!),3,_xlfn.XLOOKUP(C2687,#REF!,#REF!)),0)</f>
        <v>2</v>
      </c>
      <c r="T2687" cm="1">
        <f t="array" ref="T2687">IFERROR(_xlfn.SWITCH(L2687,1,_xlfn.XLOOKUP(O2687,[1]AttributeName!$B:$B,[1]AttributeName!$E:$E),2,_xlfn.XLOOKUP(C2687,#REF!,#REF!),3,_xlfn.XLOOKUP(C2687,#REF!,#REF!)),0)</f>
        <v>2</v>
      </c>
    </row>
    <row r="2688" customFormat="1" spans="1:20">
      <c r="A2688">
        <f t="shared" si="110"/>
        <v>1106</v>
      </c>
      <c r="B2688">
        <v>5</v>
      </c>
      <c r="C2688" t="s">
        <v>384</v>
      </c>
      <c r="D2688" t="s">
        <v>443</v>
      </c>
      <c r="E2688" t="s">
        <v>378</v>
      </c>
      <c r="F2688"/>
      <c r="G2688">
        <v>1</v>
      </c>
      <c r="H2688">
        <v>1000</v>
      </c>
      <c r="I2688">
        <v>3</v>
      </c>
      <c r="J2688" cm="1">
        <f t="array" ref="J2688">_xlfn.SWITCH(B2688,1,75,2,61,3,49,4,37,5,25,6,13,7,4,8,1)</f>
        <v>25</v>
      </c>
      <c r="K2688" t="str" cm="1">
        <f t="array" ref="K2688">IFERROR(_xlfn.SWITCH(L2688,2,_xlfn.XLOOKUP(C2688,[1]ModifierDes!$B:$B,[1]ModifierDes!$C:$C),3,_xlfn.XLOOKUP(C2688,[1]StuntDes!$B:$B,[1]StuntDes!$C:$C)),"")</f>
        <v/>
      </c>
      <c r="L2688">
        <f t="shared" si="109"/>
        <v>1</v>
      </c>
      <c r="M2688" s="10" t="str">
        <f>IFERROR(_xlfn.XLOOKUP(C2688,[1]StuntDes!$B:$B,[1]StuntDes!$A:$A),"")</f>
        <v/>
      </c>
      <c r="N2688" s="10" t="str">
        <f>IFERROR(_xlfn.XLOOKUP(C2688,[1]ModifierDes!$B:$B,[1]ModifierDes!$A:$A),"")</f>
        <v/>
      </c>
      <c r="O2688" s="10">
        <f>IFERROR(_xlfn.XLOOKUP(C2688,[1]AttributeName!$C:$C,[1]AttributeName!$B:$B),"")</f>
        <v>10303</v>
      </c>
      <c r="P2688" s="10"/>
      <c r="Q2688">
        <v>0.13</v>
      </c>
      <c r="R2688">
        <v>0.15</v>
      </c>
      <c r="S2688" cm="1">
        <f t="array" ref="S2688">IFERROR(_xlfn.SWITCH(L2688,1,_xlfn.XLOOKUP(O2688,[1]AttributeName!$B:$B,[1]AttributeName!$D:$D),2,_xlfn.XLOOKUP(C2688,#REF!,#REF!),3,_xlfn.XLOOKUP(C2688,#REF!,#REF!)),0)</f>
        <v>2</v>
      </c>
      <c r="T2688" cm="1">
        <f t="array" ref="T2688">IFERROR(_xlfn.SWITCH(L2688,1,_xlfn.XLOOKUP(O2688,[1]AttributeName!$B:$B,[1]AttributeName!$E:$E),2,_xlfn.XLOOKUP(C2688,#REF!,#REF!),3,_xlfn.XLOOKUP(C2688,#REF!,#REF!)),0)</f>
        <v>2</v>
      </c>
    </row>
    <row r="2689" customFormat="1" spans="1:20">
      <c r="A2689">
        <f t="shared" si="110"/>
        <v>1106</v>
      </c>
      <c r="B2689">
        <v>6</v>
      </c>
      <c r="C2689" t="s">
        <v>384</v>
      </c>
      <c r="D2689" t="s">
        <v>443</v>
      </c>
      <c r="E2689" t="s">
        <v>378</v>
      </c>
      <c r="F2689"/>
      <c r="G2689">
        <v>1</v>
      </c>
      <c r="H2689">
        <v>1000</v>
      </c>
      <c r="I2689">
        <v>3</v>
      </c>
      <c r="J2689" cm="1">
        <f t="array" ref="J2689">_xlfn.SWITCH(B2689,1,75,2,61,3,49,4,37,5,25,6,13,7,4,8,1)</f>
        <v>13</v>
      </c>
      <c r="K2689" t="str" cm="1">
        <f t="array" ref="K2689">IFERROR(_xlfn.SWITCH(L2689,2,_xlfn.XLOOKUP(C2689,[1]ModifierDes!$B:$B,[1]ModifierDes!$C:$C),3,_xlfn.XLOOKUP(C2689,[1]StuntDes!$B:$B,[1]StuntDes!$C:$C)),"")</f>
        <v/>
      </c>
      <c r="L2689">
        <f t="shared" si="109"/>
        <v>1</v>
      </c>
      <c r="M2689" s="10" t="str">
        <f>IFERROR(_xlfn.XLOOKUP(C2689,[1]StuntDes!$B:$B,[1]StuntDes!$A:$A),"")</f>
        <v/>
      </c>
      <c r="N2689" s="10" t="str">
        <f>IFERROR(_xlfn.XLOOKUP(C2689,[1]ModifierDes!$B:$B,[1]ModifierDes!$A:$A),"")</f>
        <v/>
      </c>
      <c r="O2689" s="10">
        <f>IFERROR(_xlfn.XLOOKUP(C2689,[1]AttributeName!$C:$C,[1]AttributeName!$B:$B),"")</f>
        <v>10303</v>
      </c>
      <c r="P2689" s="10"/>
      <c r="Q2689">
        <v>0.0999999999999999</v>
      </c>
      <c r="R2689">
        <v>0.12</v>
      </c>
      <c r="S2689" cm="1">
        <f t="array" ref="S2689">IFERROR(_xlfn.SWITCH(L2689,1,_xlfn.XLOOKUP(O2689,[1]AttributeName!$B:$B,[1]AttributeName!$D:$D),2,_xlfn.XLOOKUP(C2689,#REF!,#REF!),3,_xlfn.XLOOKUP(C2689,#REF!,#REF!)),0)</f>
        <v>2</v>
      </c>
      <c r="T2689" cm="1">
        <f t="array" ref="T2689">IFERROR(_xlfn.SWITCH(L2689,1,_xlfn.XLOOKUP(O2689,[1]AttributeName!$B:$B,[1]AttributeName!$E:$E),2,_xlfn.XLOOKUP(C2689,#REF!,#REF!),3,_xlfn.XLOOKUP(C2689,#REF!,#REF!)),0)</f>
        <v>2</v>
      </c>
    </row>
    <row r="2690" customFormat="1" spans="1:20">
      <c r="A2690">
        <f t="shared" si="110"/>
        <v>1106</v>
      </c>
      <c r="B2690">
        <v>7</v>
      </c>
      <c r="C2690" t="s">
        <v>384</v>
      </c>
      <c r="D2690" t="s">
        <v>443</v>
      </c>
      <c r="E2690" t="s">
        <v>378</v>
      </c>
      <c r="F2690"/>
      <c r="G2690">
        <v>1</v>
      </c>
      <c r="H2690">
        <v>1000</v>
      </c>
      <c r="I2690">
        <v>3</v>
      </c>
      <c r="J2690" cm="1">
        <f t="array" ref="J2690">_xlfn.SWITCH(B2690,1,75,2,61,3,49,4,37,5,25,6,13,7,4,8,1)</f>
        <v>4</v>
      </c>
      <c r="K2690" t="str" cm="1">
        <f t="array" ref="K2690">IFERROR(_xlfn.SWITCH(L2690,2,_xlfn.XLOOKUP(C2690,[1]ModifierDes!$B:$B,[1]ModifierDes!$C:$C),3,_xlfn.XLOOKUP(C2690,[1]StuntDes!$B:$B,[1]StuntDes!$C:$C)),"")</f>
        <v/>
      </c>
      <c r="L2690">
        <f t="shared" si="109"/>
        <v>1</v>
      </c>
      <c r="M2690" s="10" t="str">
        <f>IFERROR(_xlfn.XLOOKUP(C2690,[1]StuntDes!$B:$B,[1]StuntDes!$A:$A),"")</f>
        <v/>
      </c>
      <c r="N2690" s="10" t="str">
        <f>IFERROR(_xlfn.XLOOKUP(C2690,[1]ModifierDes!$B:$B,[1]ModifierDes!$A:$A),"")</f>
        <v/>
      </c>
      <c r="O2690" s="10">
        <f>IFERROR(_xlfn.XLOOKUP(C2690,[1]AttributeName!$C:$C,[1]AttributeName!$B:$B),"")</f>
        <v>10303</v>
      </c>
      <c r="P2690" s="10"/>
      <c r="Q2690">
        <v>0.0699999999999999</v>
      </c>
      <c r="R2690">
        <v>0.09</v>
      </c>
      <c r="S2690" cm="1">
        <f t="array" ref="S2690">IFERROR(_xlfn.SWITCH(L2690,1,_xlfn.XLOOKUP(O2690,[1]AttributeName!$B:$B,[1]AttributeName!$D:$D),2,_xlfn.XLOOKUP(C2690,#REF!,#REF!),3,_xlfn.XLOOKUP(C2690,#REF!,#REF!)),0)</f>
        <v>2</v>
      </c>
      <c r="T2690" cm="1">
        <f t="array" ref="T2690">IFERROR(_xlfn.SWITCH(L2690,1,_xlfn.XLOOKUP(O2690,[1]AttributeName!$B:$B,[1]AttributeName!$E:$E),2,_xlfn.XLOOKUP(C2690,#REF!,#REF!),3,_xlfn.XLOOKUP(C2690,#REF!,#REF!)),0)</f>
        <v>2</v>
      </c>
    </row>
    <row r="2691" customFormat="1" spans="1:20">
      <c r="A2691">
        <f t="shared" si="110"/>
        <v>1106</v>
      </c>
      <c r="B2691">
        <v>8</v>
      </c>
      <c r="C2691" t="s">
        <v>384</v>
      </c>
      <c r="D2691" t="s">
        <v>443</v>
      </c>
      <c r="E2691" t="s">
        <v>378</v>
      </c>
      <c r="F2691"/>
      <c r="G2691">
        <v>1</v>
      </c>
      <c r="H2691">
        <v>1000</v>
      </c>
      <c r="I2691">
        <v>3</v>
      </c>
      <c r="J2691" cm="1">
        <f t="array" ref="J2691">_xlfn.SWITCH(B2691,1,75,2,61,3,49,4,37,5,25,6,13,7,4,8,1)</f>
        <v>1</v>
      </c>
      <c r="K2691" t="str" cm="1">
        <f t="array" ref="K2691">IFERROR(_xlfn.SWITCH(L2691,2,_xlfn.XLOOKUP(C2691,[1]ModifierDes!$B:$B,[1]ModifierDes!$C:$C),3,_xlfn.XLOOKUP(C2691,[1]StuntDes!$B:$B,[1]StuntDes!$C:$C)),"")</f>
        <v/>
      </c>
      <c r="L2691">
        <f t="shared" si="109"/>
        <v>1</v>
      </c>
      <c r="M2691" s="10" t="str">
        <f>IFERROR(_xlfn.XLOOKUP(C2691,[1]StuntDes!$B:$B,[1]StuntDes!$A:$A),"")</f>
        <v/>
      </c>
      <c r="N2691" s="10" t="str">
        <f>IFERROR(_xlfn.XLOOKUP(C2691,[1]ModifierDes!$B:$B,[1]ModifierDes!$A:$A),"")</f>
        <v/>
      </c>
      <c r="O2691" s="10">
        <f>IFERROR(_xlfn.XLOOKUP(C2691,[1]AttributeName!$C:$C,[1]AttributeName!$B:$B),"")</f>
        <v>10303</v>
      </c>
      <c r="P2691" s="10"/>
      <c r="Q2691">
        <v>0.0399999999999998</v>
      </c>
      <c r="R2691">
        <v>0.06</v>
      </c>
      <c r="S2691" cm="1">
        <f t="array" ref="S2691">IFERROR(_xlfn.SWITCH(L2691,1,_xlfn.XLOOKUP(O2691,[1]AttributeName!$B:$B,[1]AttributeName!$D:$D),2,_xlfn.XLOOKUP(C2691,#REF!,#REF!),3,_xlfn.XLOOKUP(C2691,#REF!,#REF!)),0)</f>
        <v>2</v>
      </c>
      <c r="T2691" cm="1">
        <f t="array" ref="T2691">IFERROR(_xlfn.SWITCH(L2691,1,_xlfn.XLOOKUP(O2691,[1]AttributeName!$B:$B,[1]AttributeName!$E:$E),2,_xlfn.XLOOKUP(C2691,#REF!,#REF!),3,_xlfn.XLOOKUP(C2691,#REF!,#REF!)),0)</f>
        <v>2</v>
      </c>
    </row>
    <row r="2692" customFormat="1" spans="1:20">
      <c r="A2692">
        <f t="shared" si="110"/>
        <v>1107</v>
      </c>
      <c r="B2692">
        <v>1</v>
      </c>
      <c r="C2692" t="s">
        <v>385</v>
      </c>
      <c r="D2692" t="s">
        <v>443</v>
      </c>
      <c r="E2692" t="s">
        <v>378</v>
      </c>
      <c r="F2692"/>
      <c r="G2692">
        <v>1</v>
      </c>
      <c r="H2692">
        <v>100</v>
      </c>
      <c r="I2692">
        <v>3</v>
      </c>
      <c r="J2692" cm="1">
        <f t="array" ref="J2692">_xlfn.SWITCH(B2692,1,75,2,61,3,49,4,37,5,25,6,13,7,4,8,1)</f>
        <v>75</v>
      </c>
      <c r="K2692" t="str" cm="1">
        <f t="array" ref="K2692">IFERROR(_xlfn.SWITCH(L2692,2,_xlfn.XLOOKUP(C2692,[1]ModifierDes!$B:$B,[1]ModifierDes!$C:$C),3,_xlfn.XLOOKUP(C2692,[1]StuntDes!$B:$B,[1]StuntDes!$C:$C)),"")</f>
        <v/>
      </c>
      <c r="L2692">
        <f t="shared" ref="L2692:L2755" si="111">IF(M2692="",IF(N2692="",1,2),3)</f>
        <v>1</v>
      </c>
      <c r="M2692" s="10" t="str">
        <f>IFERROR(_xlfn.XLOOKUP(C2692,[1]StuntDes!$B:$B,[1]StuntDes!$A:$A),"")</f>
        <v/>
      </c>
      <c r="N2692" s="10" t="str">
        <f>IFERROR(_xlfn.XLOOKUP(C2692,[1]ModifierDes!$B:$B,[1]ModifierDes!$A:$A),"")</f>
        <v/>
      </c>
      <c r="O2692" s="10">
        <f>IFERROR(_xlfn.XLOOKUP(C2692,[1]AttributeName!$C:$C,[1]AttributeName!$B:$B),"")</f>
        <v>10304</v>
      </c>
      <c r="P2692" s="10"/>
      <c r="Q2692">
        <v>0.25</v>
      </c>
      <c r="R2692">
        <v>0.35</v>
      </c>
      <c r="S2692" cm="1">
        <f t="array" ref="S2692">IFERROR(_xlfn.SWITCH(L2692,1,_xlfn.XLOOKUP(O2692,[1]AttributeName!$B:$B,[1]AttributeName!$D:$D),2,_xlfn.XLOOKUP(C2692,#REF!,#REF!),3,_xlfn.XLOOKUP(C2692,#REF!,#REF!)),0)</f>
        <v>2</v>
      </c>
      <c r="T2692" cm="1">
        <f t="array" ref="T2692">IFERROR(_xlfn.SWITCH(L2692,1,_xlfn.XLOOKUP(O2692,[1]AttributeName!$B:$B,[1]AttributeName!$E:$E),2,_xlfn.XLOOKUP(C2692,#REF!,#REF!),3,_xlfn.XLOOKUP(C2692,#REF!,#REF!)),0)</f>
        <v>2</v>
      </c>
    </row>
    <row r="2693" customFormat="1" spans="1:20">
      <c r="A2693">
        <f t="shared" si="110"/>
        <v>1107</v>
      </c>
      <c r="B2693">
        <v>2</v>
      </c>
      <c r="C2693" t="s">
        <v>385</v>
      </c>
      <c r="D2693" t="s">
        <v>443</v>
      </c>
      <c r="E2693" t="s">
        <v>378</v>
      </c>
      <c r="F2693"/>
      <c r="G2693">
        <v>1</v>
      </c>
      <c r="H2693">
        <v>200</v>
      </c>
      <c r="I2693">
        <v>3</v>
      </c>
      <c r="J2693" cm="1">
        <f t="array" ref="J2693">_xlfn.SWITCH(B2693,1,75,2,61,3,49,4,37,5,25,6,13,7,4,8,1)</f>
        <v>61</v>
      </c>
      <c r="K2693" t="str" cm="1">
        <f t="array" ref="K2693">IFERROR(_xlfn.SWITCH(L2693,2,_xlfn.XLOOKUP(C2693,[1]ModifierDes!$B:$B,[1]ModifierDes!$C:$C),3,_xlfn.XLOOKUP(C2693,[1]StuntDes!$B:$B,[1]StuntDes!$C:$C)),"")</f>
        <v/>
      </c>
      <c r="L2693">
        <f t="shared" si="111"/>
        <v>1</v>
      </c>
      <c r="M2693" s="10" t="str">
        <f>IFERROR(_xlfn.XLOOKUP(C2693,[1]StuntDes!$B:$B,[1]StuntDes!$A:$A),"")</f>
        <v/>
      </c>
      <c r="N2693" s="10" t="str">
        <f>IFERROR(_xlfn.XLOOKUP(C2693,[1]ModifierDes!$B:$B,[1]ModifierDes!$A:$A),"")</f>
        <v/>
      </c>
      <c r="O2693" s="10">
        <f>IFERROR(_xlfn.XLOOKUP(C2693,[1]AttributeName!$C:$C,[1]AttributeName!$B:$B),"")</f>
        <v>10304</v>
      </c>
      <c r="P2693" s="10"/>
      <c r="Q2693">
        <v>0.22</v>
      </c>
      <c r="R2693">
        <v>0.24</v>
      </c>
      <c r="S2693" cm="1">
        <f t="array" ref="S2693">IFERROR(_xlfn.SWITCH(L2693,1,_xlfn.XLOOKUP(O2693,[1]AttributeName!$B:$B,[1]AttributeName!$D:$D),2,_xlfn.XLOOKUP(C2693,#REF!,#REF!),3,_xlfn.XLOOKUP(C2693,#REF!,#REF!)),0)</f>
        <v>2</v>
      </c>
      <c r="T2693" cm="1">
        <f t="array" ref="T2693">IFERROR(_xlfn.SWITCH(L2693,1,_xlfn.XLOOKUP(O2693,[1]AttributeName!$B:$B,[1]AttributeName!$E:$E),2,_xlfn.XLOOKUP(C2693,#REF!,#REF!),3,_xlfn.XLOOKUP(C2693,#REF!,#REF!)),0)</f>
        <v>2</v>
      </c>
    </row>
    <row r="2694" customFormat="1" spans="1:20">
      <c r="A2694">
        <f t="shared" si="110"/>
        <v>1107</v>
      </c>
      <c r="B2694">
        <v>3</v>
      </c>
      <c r="C2694" t="s">
        <v>385</v>
      </c>
      <c r="D2694" t="s">
        <v>443</v>
      </c>
      <c r="E2694" t="s">
        <v>378</v>
      </c>
      <c r="F2694"/>
      <c r="G2694">
        <v>1</v>
      </c>
      <c r="H2694">
        <v>500</v>
      </c>
      <c r="I2694">
        <v>3</v>
      </c>
      <c r="J2694" cm="1">
        <f t="array" ref="J2694">_xlfn.SWITCH(B2694,1,75,2,61,3,49,4,37,5,25,6,13,7,4,8,1)</f>
        <v>49</v>
      </c>
      <c r="K2694" t="str" cm="1">
        <f t="array" ref="K2694">IFERROR(_xlfn.SWITCH(L2694,2,_xlfn.XLOOKUP(C2694,[1]ModifierDes!$B:$B,[1]ModifierDes!$C:$C),3,_xlfn.XLOOKUP(C2694,[1]StuntDes!$B:$B,[1]StuntDes!$C:$C)),"")</f>
        <v/>
      </c>
      <c r="L2694">
        <f t="shared" si="111"/>
        <v>1</v>
      </c>
      <c r="M2694" s="10" t="str">
        <f>IFERROR(_xlfn.XLOOKUP(C2694,[1]StuntDes!$B:$B,[1]StuntDes!$A:$A),"")</f>
        <v/>
      </c>
      <c r="N2694" s="10" t="str">
        <f>IFERROR(_xlfn.XLOOKUP(C2694,[1]ModifierDes!$B:$B,[1]ModifierDes!$A:$A),"")</f>
        <v/>
      </c>
      <c r="O2694" s="10">
        <f>IFERROR(_xlfn.XLOOKUP(C2694,[1]AttributeName!$C:$C,[1]AttributeName!$B:$B),"")</f>
        <v>10304</v>
      </c>
      <c r="P2694" s="10"/>
      <c r="Q2694">
        <v>0.19</v>
      </c>
      <c r="R2694">
        <v>0.21</v>
      </c>
      <c r="S2694" cm="1">
        <f t="array" ref="S2694">IFERROR(_xlfn.SWITCH(L2694,1,_xlfn.XLOOKUP(O2694,[1]AttributeName!$B:$B,[1]AttributeName!$D:$D),2,_xlfn.XLOOKUP(C2694,#REF!,#REF!),3,_xlfn.XLOOKUP(C2694,#REF!,#REF!)),0)</f>
        <v>2</v>
      </c>
      <c r="T2694" cm="1">
        <f t="array" ref="T2694">IFERROR(_xlfn.SWITCH(L2694,1,_xlfn.XLOOKUP(O2694,[1]AttributeName!$B:$B,[1]AttributeName!$E:$E),2,_xlfn.XLOOKUP(C2694,#REF!,#REF!),3,_xlfn.XLOOKUP(C2694,#REF!,#REF!)),0)</f>
        <v>2</v>
      </c>
    </row>
    <row r="2695" customFormat="1" spans="1:20">
      <c r="A2695">
        <f t="shared" si="110"/>
        <v>1107</v>
      </c>
      <c r="B2695">
        <v>4</v>
      </c>
      <c r="C2695" t="s">
        <v>385</v>
      </c>
      <c r="D2695" t="s">
        <v>443</v>
      </c>
      <c r="E2695" t="s">
        <v>378</v>
      </c>
      <c r="F2695"/>
      <c r="G2695">
        <v>1</v>
      </c>
      <c r="H2695">
        <v>1000</v>
      </c>
      <c r="I2695">
        <v>3</v>
      </c>
      <c r="J2695" cm="1">
        <f t="array" ref="J2695">_xlfn.SWITCH(B2695,1,75,2,61,3,49,4,37,5,25,6,13,7,4,8,1)</f>
        <v>37</v>
      </c>
      <c r="K2695" t="str" cm="1">
        <f t="array" ref="K2695">IFERROR(_xlfn.SWITCH(L2695,2,_xlfn.XLOOKUP(C2695,[1]ModifierDes!$B:$B,[1]ModifierDes!$C:$C),3,_xlfn.XLOOKUP(C2695,[1]StuntDes!$B:$B,[1]StuntDes!$C:$C)),"")</f>
        <v/>
      </c>
      <c r="L2695">
        <f t="shared" si="111"/>
        <v>1</v>
      </c>
      <c r="M2695" s="10" t="str">
        <f>IFERROR(_xlfn.XLOOKUP(C2695,[1]StuntDes!$B:$B,[1]StuntDes!$A:$A),"")</f>
        <v/>
      </c>
      <c r="N2695" s="10" t="str">
        <f>IFERROR(_xlfn.XLOOKUP(C2695,[1]ModifierDes!$B:$B,[1]ModifierDes!$A:$A),"")</f>
        <v/>
      </c>
      <c r="O2695" s="10">
        <f>IFERROR(_xlfn.XLOOKUP(C2695,[1]AttributeName!$C:$C,[1]AttributeName!$B:$B),"")</f>
        <v>10304</v>
      </c>
      <c r="P2695" s="10"/>
      <c r="Q2695">
        <v>0.16</v>
      </c>
      <c r="R2695">
        <v>0.18</v>
      </c>
      <c r="S2695" cm="1">
        <f t="array" ref="S2695">IFERROR(_xlfn.SWITCH(L2695,1,_xlfn.XLOOKUP(O2695,[1]AttributeName!$B:$B,[1]AttributeName!$D:$D),2,_xlfn.XLOOKUP(C2695,#REF!,#REF!),3,_xlfn.XLOOKUP(C2695,#REF!,#REF!)),0)</f>
        <v>2</v>
      </c>
      <c r="T2695" cm="1">
        <f t="array" ref="T2695">IFERROR(_xlfn.SWITCH(L2695,1,_xlfn.XLOOKUP(O2695,[1]AttributeName!$B:$B,[1]AttributeName!$E:$E),2,_xlfn.XLOOKUP(C2695,#REF!,#REF!),3,_xlfn.XLOOKUP(C2695,#REF!,#REF!)),0)</f>
        <v>2</v>
      </c>
    </row>
    <row r="2696" customFormat="1" spans="1:20">
      <c r="A2696">
        <f t="shared" si="110"/>
        <v>1107</v>
      </c>
      <c r="B2696">
        <v>5</v>
      </c>
      <c r="C2696" t="s">
        <v>385</v>
      </c>
      <c r="D2696" t="s">
        <v>443</v>
      </c>
      <c r="E2696" t="s">
        <v>378</v>
      </c>
      <c r="F2696"/>
      <c r="G2696">
        <v>1</v>
      </c>
      <c r="H2696">
        <v>1000</v>
      </c>
      <c r="I2696">
        <v>3</v>
      </c>
      <c r="J2696" cm="1">
        <f t="array" ref="J2696">_xlfn.SWITCH(B2696,1,75,2,61,3,49,4,37,5,25,6,13,7,4,8,1)</f>
        <v>25</v>
      </c>
      <c r="K2696" t="str" cm="1">
        <f t="array" ref="K2696">IFERROR(_xlfn.SWITCH(L2696,2,_xlfn.XLOOKUP(C2696,[1]ModifierDes!$B:$B,[1]ModifierDes!$C:$C),3,_xlfn.XLOOKUP(C2696,[1]StuntDes!$B:$B,[1]StuntDes!$C:$C)),"")</f>
        <v/>
      </c>
      <c r="L2696">
        <f t="shared" si="111"/>
        <v>1</v>
      </c>
      <c r="M2696" s="10" t="str">
        <f>IFERROR(_xlfn.XLOOKUP(C2696,[1]StuntDes!$B:$B,[1]StuntDes!$A:$A),"")</f>
        <v/>
      </c>
      <c r="N2696" s="10" t="str">
        <f>IFERROR(_xlfn.XLOOKUP(C2696,[1]ModifierDes!$B:$B,[1]ModifierDes!$A:$A),"")</f>
        <v/>
      </c>
      <c r="O2696" s="10">
        <f>IFERROR(_xlfn.XLOOKUP(C2696,[1]AttributeName!$C:$C,[1]AttributeName!$B:$B),"")</f>
        <v>10304</v>
      </c>
      <c r="P2696" s="10"/>
      <c r="Q2696">
        <v>0.13</v>
      </c>
      <c r="R2696">
        <v>0.15</v>
      </c>
      <c r="S2696" cm="1">
        <f t="array" ref="S2696">IFERROR(_xlfn.SWITCH(L2696,1,_xlfn.XLOOKUP(O2696,[1]AttributeName!$B:$B,[1]AttributeName!$D:$D),2,_xlfn.XLOOKUP(C2696,#REF!,#REF!),3,_xlfn.XLOOKUP(C2696,#REF!,#REF!)),0)</f>
        <v>2</v>
      </c>
      <c r="T2696" cm="1">
        <f t="array" ref="T2696">IFERROR(_xlfn.SWITCH(L2696,1,_xlfn.XLOOKUP(O2696,[1]AttributeName!$B:$B,[1]AttributeName!$E:$E),2,_xlfn.XLOOKUP(C2696,#REF!,#REF!),3,_xlfn.XLOOKUP(C2696,#REF!,#REF!)),0)</f>
        <v>2</v>
      </c>
    </row>
    <row r="2697" customFormat="1" spans="1:20">
      <c r="A2697">
        <f t="shared" si="110"/>
        <v>1107</v>
      </c>
      <c r="B2697">
        <v>6</v>
      </c>
      <c r="C2697" t="s">
        <v>385</v>
      </c>
      <c r="D2697" t="s">
        <v>443</v>
      </c>
      <c r="E2697" t="s">
        <v>378</v>
      </c>
      <c r="F2697"/>
      <c r="G2697">
        <v>1</v>
      </c>
      <c r="H2697">
        <v>1000</v>
      </c>
      <c r="I2697">
        <v>3</v>
      </c>
      <c r="J2697" cm="1">
        <f t="array" ref="J2697">_xlfn.SWITCH(B2697,1,75,2,61,3,49,4,37,5,25,6,13,7,4,8,1)</f>
        <v>13</v>
      </c>
      <c r="K2697" t="str" cm="1">
        <f t="array" ref="K2697">IFERROR(_xlfn.SWITCH(L2697,2,_xlfn.XLOOKUP(C2697,[1]ModifierDes!$B:$B,[1]ModifierDes!$C:$C),3,_xlfn.XLOOKUP(C2697,[1]StuntDes!$B:$B,[1]StuntDes!$C:$C)),"")</f>
        <v/>
      </c>
      <c r="L2697">
        <f t="shared" si="111"/>
        <v>1</v>
      </c>
      <c r="M2697" s="10" t="str">
        <f>IFERROR(_xlfn.XLOOKUP(C2697,[1]StuntDes!$B:$B,[1]StuntDes!$A:$A),"")</f>
        <v/>
      </c>
      <c r="N2697" s="10" t="str">
        <f>IFERROR(_xlfn.XLOOKUP(C2697,[1]ModifierDes!$B:$B,[1]ModifierDes!$A:$A),"")</f>
        <v/>
      </c>
      <c r="O2697" s="10">
        <f>IFERROR(_xlfn.XLOOKUP(C2697,[1]AttributeName!$C:$C,[1]AttributeName!$B:$B),"")</f>
        <v>10304</v>
      </c>
      <c r="P2697" s="10"/>
      <c r="Q2697">
        <v>0.0999999999999999</v>
      </c>
      <c r="R2697">
        <v>0.12</v>
      </c>
      <c r="S2697" cm="1">
        <f t="array" ref="S2697">IFERROR(_xlfn.SWITCH(L2697,1,_xlfn.XLOOKUP(O2697,[1]AttributeName!$B:$B,[1]AttributeName!$D:$D),2,_xlfn.XLOOKUP(C2697,#REF!,#REF!),3,_xlfn.XLOOKUP(C2697,#REF!,#REF!)),0)</f>
        <v>2</v>
      </c>
      <c r="T2697" cm="1">
        <f t="array" ref="T2697">IFERROR(_xlfn.SWITCH(L2697,1,_xlfn.XLOOKUP(O2697,[1]AttributeName!$B:$B,[1]AttributeName!$E:$E),2,_xlfn.XLOOKUP(C2697,#REF!,#REF!),3,_xlfn.XLOOKUP(C2697,#REF!,#REF!)),0)</f>
        <v>2</v>
      </c>
    </row>
    <row r="2698" customFormat="1" spans="1:20">
      <c r="A2698">
        <f t="shared" si="110"/>
        <v>1107</v>
      </c>
      <c r="B2698">
        <v>7</v>
      </c>
      <c r="C2698" t="s">
        <v>385</v>
      </c>
      <c r="D2698" t="s">
        <v>443</v>
      </c>
      <c r="E2698" t="s">
        <v>378</v>
      </c>
      <c r="F2698"/>
      <c r="G2698">
        <v>1</v>
      </c>
      <c r="H2698">
        <v>1000</v>
      </c>
      <c r="I2698">
        <v>3</v>
      </c>
      <c r="J2698" cm="1">
        <f t="array" ref="J2698">_xlfn.SWITCH(B2698,1,75,2,61,3,49,4,37,5,25,6,13,7,4,8,1)</f>
        <v>4</v>
      </c>
      <c r="K2698" t="str" cm="1">
        <f t="array" ref="K2698">IFERROR(_xlfn.SWITCH(L2698,2,_xlfn.XLOOKUP(C2698,[1]ModifierDes!$B:$B,[1]ModifierDes!$C:$C),3,_xlfn.XLOOKUP(C2698,[1]StuntDes!$B:$B,[1]StuntDes!$C:$C)),"")</f>
        <v/>
      </c>
      <c r="L2698">
        <f t="shared" si="111"/>
        <v>1</v>
      </c>
      <c r="M2698" s="10" t="str">
        <f>IFERROR(_xlfn.XLOOKUP(C2698,[1]StuntDes!$B:$B,[1]StuntDes!$A:$A),"")</f>
        <v/>
      </c>
      <c r="N2698" s="10" t="str">
        <f>IFERROR(_xlfn.XLOOKUP(C2698,[1]ModifierDes!$B:$B,[1]ModifierDes!$A:$A),"")</f>
        <v/>
      </c>
      <c r="O2698" s="10">
        <f>IFERROR(_xlfn.XLOOKUP(C2698,[1]AttributeName!$C:$C,[1]AttributeName!$B:$B),"")</f>
        <v>10304</v>
      </c>
      <c r="P2698" s="10"/>
      <c r="Q2698">
        <v>0.0699999999999999</v>
      </c>
      <c r="R2698">
        <v>0.09</v>
      </c>
      <c r="S2698" cm="1">
        <f t="array" ref="S2698">IFERROR(_xlfn.SWITCH(L2698,1,_xlfn.XLOOKUP(O2698,[1]AttributeName!$B:$B,[1]AttributeName!$D:$D),2,_xlfn.XLOOKUP(C2698,#REF!,#REF!),3,_xlfn.XLOOKUP(C2698,#REF!,#REF!)),0)</f>
        <v>2</v>
      </c>
      <c r="T2698" cm="1">
        <f t="array" ref="T2698">IFERROR(_xlfn.SWITCH(L2698,1,_xlfn.XLOOKUP(O2698,[1]AttributeName!$B:$B,[1]AttributeName!$E:$E),2,_xlfn.XLOOKUP(C2698,#REF!,#REF!),3,_xlfn.XLOOKUP(C2698,#REF!,#REF!)),0)</f>
        <v>2</v>
      </c>
    </row>
    <row r="2699" customFormat="1" spans="1:20">
      <c r="A2699">
        <f t="shared" si="110"/>
        <v>1107</v>
      </c>
      <c r="B2699">
        <v>8</v>
      </c>
      <c r="C2699" t="s">
        <v>385</v>
      </c>
      <c r="D2699" t="s">
        <v>443</v>
      </c>
      <c r="E2699" t="s">
        <v>378</v>
      </c>
      <c r="F2699"/>
      <c r="G2699">
        <v>1</v>
      </c>
      <c r="H2699">
        <v>1000</v>
      </c>
      <c r="I2699">
        <v>3</v>
      </c>
      <c r="J2699" cm="1">
        <f t="array" ref="J2699">_xlfn.SWITCH(B2699,1,75,2,61,3,49,4,37,5,25,6,13,7,4,8,1)</f>
        <v>1</v>
      </c>
      <c r="K2699" t="str" cm="1">
        <f t="array" ref="K2699">IFERROR(_xlfn.SWITCH(L2699,2,_xlfn.XLOOKUP(C2699,[1]ModifierDes!$B:$B,[1]ModifierDes!$C:$C),3,_xlfn.XLOOKUP(C2699,[1]StuntDes!$B:$B,[1]StuntDes!$C:$C)),"")</f>
        <v/>
      </c>
      <c r="L2699">
        <f t="shared" si="111"/>
        <v>1</v>
      </c>
      <c r="M2699" s="10" t="str">
        <f>IFERROR(_xlfn.XLOOKUP(C2699,[1]StuntDes!$B:$B,[1]StuntDes!$A:$A),"")</f>
        <v/>
      </c>
      <c r="N2699" s="10" t="str">
        <f>IFERROR(_xlfn.XLOOKUP(C2699,[1]ModifierDes!$B:$B,[1]ModifierDes!$A:$A),"")</f>
        <v/>
      </c>
      <c r="O2699" s="10">
        <f>IFERROR(_xlfn.XLOOKUP(C2699,[1]AttributeName!$C:$C,[1]AttributeName!$B:$B),"")</f>
        <v>10304</v>
      </c>
      <c r="P2699" s="10"/>
      <c r="Q2699">
        <v>0.0399999999999998</v>
      </c>
      <c r="R2699">
        <v>0.06</v>
      </c>
      <c r="S2699" cm="1">
        <f t="array" ref="S2699">IFERROR(_xlfn.SWITCH(L2699,1,_xlfn.XLOOKUP(O2699,[1]AttributeName!$B:$B,[1]AttributeName!$D:$D),2,_xlfn.XLOOKUP(C2699,#REF!,#REF!),3,_xlfn.XLOOKUP(C2699,#REF!,#REF!)),0)</f>
        <v>2</v>
      </c>
      <c r="T2699" cm="1">
        <f t="array" ref="T2699">IFERROR(_xlfn.SWITCH(L2699,1,_xlfn.XLOOKUP(O2699,[1]AttributeName!$B:$B,[1]AttributeName!$E:$E),2,_xlfn.XLOOKUP(C2699,#REF!,#REF!),3,_xlfn.XLOOKUP(C2699,#REF!,#REF!)),0)</f>
        <v>2</v>
      </c>
    </row>
    <row r="2700" customFormat="1" spans="1:20">
      <c r="A2700">
        <f t="shared" si="110"/>
        <v>1108</v>
      </c>
      <c r="B2700">
        <v>1</v>
      </c>
      <c r="C2700" t="s">
        <v>386</v>
      </c>
      <c r="D2700" t="s">
        <v>443</v>
      </c>
      <c r="E2700" t="s">
        <v>378</v>
      </c>
      <c r="F2700"/>
      <c r="G2700">
        <v>1</v>
      </c>
      <c r="H2700">
        <v>100</v>
      </c>
      <c r="I2700">
        <v>3</v>
      </c>
      <c r="J2700" cm="1">
        <f t="array" ref="J2700">_xlfn.SWITCH(B2700,1,75,2,61,3,49,4,37,5,25,6,13,7,4,8,1)</f>
        <v>75</v>
      </c>
      <c r="K2700" t="str" cm="1">
        <f t="array" ref="K2700">IFERROR(_xlfn.SWITCH(L2700,2,_xlfn.XLOOKUP(C2700,[1]ModifierDes!$B:$B,[1]ModifierDes!$C:$C),3,_xlfn.XLOOKUP(C2700,[1]StuntDes!$B:$B,[1]StuntDes!$C:$C)),"")</f>
        <v/>
      </c>
      <c r="L2700">
        <f t="shared" si="111"/>
        <v>1</v>
      </c>
      <c r="M2700" s="10" t="str">
        <f>IFERROR(_xlfn.XLOOKUP(C2700,[1]StuntDes!$B:$B,[1]StuntDes!$A:$A),"")</f>
        <v/>
      </c>
      <c r="N2700" s="10" t="str">
        <f>IFERROR(_xlfn.XLOOKUP(C2700,[1]ModifierDes!$B:$B,[1]ModifierDes!$A:$A),"")</f>
        <v/>
      </c>
      <c r="O2700" s="10">
        <f>IFERROR(_xlfn.XLOOKUP(C2700,[1]AttributeName!$C:$C,[1]AttributeName!$B:$B),"")</f>
        <v>10305</v>
      </c>
      <c r="P2700" s="10"/>
      <c r="Q2700">
        <v>0.25</v>
      </c>
      <c r="R2700">
        <v>0.35</v>
      </c>
      <c r="S2700" cm="1">
        <f t="array" ref="S2700">IFERROR(_xlfn.SWITCH(L2700,1,_xlfn.XLOOKUP(O2700,[1]AttributeName!$B:$B,[1]AttributeName!$D:$D),2,_xlfn.XLOOKUP(C2700,#REF!,#REF!),3,_xlfn.XLOOKUP(C2700,#REF!,#REF!)),0)</f>
        <v>2</v>
      </c>
      <c r="T2700" cm="1">
        <f t="array" ref="T2700">IFERROR(_xlfn.SWITCH(L2700,1,_xlfn.XLOOKUP(O2700,[1]AttributeName!$B:$B,[1]AttributeName!$E:$E),2,_xlfn.XLOOKUP(C2700,#REF!,#REF!),3,_xlfn.XLOOKUP(C2700,#REF!,#REF!)),0)</f>
        <v>2</v>
      </c>
    </row>
    <row r="2701" customFormat="1" spans="1:20">
      <c r="A2701">
        <f t="shared" si="110"/>
        <v>1108</v>
      </c>
      <c r="B2701">
        <v>2</v>
      </c>
      <c r="C2701" t="s">
        <v>386</v>
      </c>
      <c r="D2701" t="s">
        <v>443</v>
      </c>
      <c r="E2701" t="s">
        <v>378</v>
      </c>
      <c r="F2701"/>
      <c r="G2701">
        <v>1</v>
      </c>
      <c r="H2701">
        <v>200</v>
      </c>
      <c r="I2701">
        <v>3</v>
      </c>
      <c r="J2701" cm="1">
        <f t="array" ref="J2701">_xlfn.SWITCH(B2701,1,75,2,61,3,49,4,37,5,25,6,13,7,4,8,1)</f>
        <v>61</v>
      </c>
      <c r="K2701" t="str" cm="1">
        <f t="array" ref="K2701">IFERROR(_xlfn.SWITCH(L2701,2,_xlfn.XLOOKUP(C2701,[1]ModifierDes!$B:$B,[1]ModifierDes!$C:$C),3,_xlfn.XLOOKUP(C2701,[1]StuntDes!$B:$B,[1]StuntDes!$C:$C)),"")</f>
        <v/>
      </c>
      <c r="L2701">
        <f t="shared" si="111"/>
        <v>1</v>
      </c>
      <c r="M2701" s="10" t="str">
        <f>IFERROR(_xlfn.XLOOKUP(C2701,[1]StuntDes!$B:$B,[1]StuntDes!$A:$A),"")</f>
        <v/>
      </c>
      <c r="N2701" s="10" t="str">
        <f>IFERROR(_xlfn.XLOOKUP(C2701,[1]ModifierDes!$B:$B,[1]ModifierDes!$A:$A),"")</f>
        <v/>
      </c>
      <c r="O2701" s="10">
        <f>IFERROR(_xlfn.XLOOKUP(C2701,[1]AttributeName!$C:$C,[1]AttributeName!$B:$B),"")</f>
        <v>10305</v>
      </c>
      <c r="P2701" s="10"/>
      <c r="Q2701">
        <v>0.22</v>
      </c>
      <c r="R2701">
        <v>0.24</v>
      </c>
      <c r="S2701" cm="1">
        <f t="array" ref="S2701">IFERROR(_xlfn.SWITCH(L2701,1,_xlfn.XLOOKUP(O2701,[1]AttributeName!$B:$B,[1]AttributeName!$D:$D),2,_xlfn.XLOOKUP(C2701,#REF!,#REF!),3,_xlfn.XLOOKUP(C2701,#REF!,#REF!)),0)</f>
        <v>2</v>
      </c>
      <c r="T2701" cm="1">
        <f t="array" ref="T2701">IFERROR(_xlfn.SWITCH(L2701,1,_xlfn.XLOOKUP(O2701,[1]AttributeName!$B:$B,[1]AttributeName!$E:$E),2,_xlfn.XLOOKUP(C2701,#REF!,#REF!),3,_xlfn.XLOOKUP(C2701,#REF!,#REF!)),0)</f>
        <v>2</v>
      </c>
    </row>
    <row r="2702" customFormat="1" spans="1:20">
      <c r="A2702">
        <f t="shared" si="110"/>
        <v>1108</v>
      </c>
      <c r="B2702">
        <v>3</v>
      </c>
      <c r="C2702" t="s">
        <v>386</v>
      </c>
      <c r="D2702" t="s">
        <v>443</v>
      </c>
      <c r="E2702" t="s">
        <v>378</v>
      </c>
      <c r="F2702"/>
      <c r="G2702">
        <v>1</v>
      </c>
      <c r="H2702">
        <v>500</v>
      </c>
      <c r="I2702">
        <v>3</v>
      </c>
      <c r="J2702" cm="1">
        <f t="array" ref="J2702">_xlfn.SWITCH(B2702,1,75,2,61,3,49,4,37,5,25,6,13,7,4,8,1)</f>
        <v>49</v>
      </c>
      <c r="K2702" t="str" cm="1">
        <f t="array" ref="K2702">IFERROR(_xlfn.SWITCH(L2702,2,_xlfn.XLOOKUP(C2702,[1]ModifierDes!$B:$B,[1]ModifierDes!$C:$C),3,_xlfn.XLOOKUP(C2702,[1]StuntDes!$B:$B,[1]StuntDes!$C:$C)),"")</f>
        <v/>
      </c>
      <c r="L2702">
        <f t="shared" si="111"/>
        <v>1</v>
      </c>
      <c r="M2702" s="10" t="str">
        <f>IFERROR(_xlfn.XLOOKUP(C2702,[1]StuntDes!$B:$B,[1]StuntDes!$A:$A),"")</f>
        <v/>
      </c>
      <c r="N2702" s="10" t="str">
        <f>IFERROR(_xlfn.XLOOKUP(C2702,[1]ModifierDes!$B:$B,[1]ModifierDes!$A:$A),"")</f>
        <v/>
      </c>
      <c r="O2702" s="10">
        <f>IFERROR(_xlfn.XLOOKUP(C2702,[1]AttributeName!$C:$C,[1]AttributeName!$B:$B),"")</f>
        <v>10305</v>
      </c>
      <c r="P2702" s="10"/>
      <c r="Q2702">
        <v>0.19</v>
      </c>
      <c r="R2702">
        <v>0.21</v>
      </c>
      <c r="S2702" cm="1">
        <f t="array" ref="S2702">IFERROR(_xlfn.SWITCH(L2702,1,_xlfn.XLOOKUP(O2702,[1]AttributeName!$B:$B,[1]AttributeName!$D:$D),2,_xlfn.XLOOKUP(C2702,#REF!,#REF!),3,_xlfn.XLOOKUP(C2702,#REF!,#REF!)),0)</f>
        <v>2</v>
      </c>
      <c r="T2702" cm="1">
        <f t="array" ref="T2702">IFERROR(_xlfn.SWITCH(L2702,1,_xlfn.XLOOKUP(O2702,[1]AttributeName!$B:$B,[1]AttributeName!$E:$E),2,_xlfn.XLOOKUP(C2702,#REF!,#REF!),3,_xlfn.XLOOKUP(C2702,#REF!,#REF!)),0)</f>
        <v>2</v>
      </c>
    </row>
    <row r="2703" customFormat="1" spans="1:20">
      <c r="A2703">
        <f t="shared" si="110"/>
        <v>1108</v>
      </c>
      <c r="B2703">
        <v>4</v>
      </c>
      <c r="C2703" t="s">
        <v>386</v>
      </c>
      <c r="D2703" t="s">
        <v>443</v>
      </c>
      <c r="E2703" t="s">
        <v>378</v>
      </c>
      <c r="F2703"/>
      <c r="G2703">
        <v>1</v>
      </c>
      <c r="H2703">
        <v>1000</v>
      </c>
      <c r="I2703">
        <v>3</v>
      </c>
      <c r="J2703" cm="1">
        <f t="array" ref="J2703">_xlfn.SWITCH(B2703,1,75,2,61,3,49,4,37,5,25,6,13,7,4,8,1)</f>
        <v>37</v>
      </c>
      <c r="K2703" t="str" cm="1">
        <f t="array" ref="K2703">IFERROR(_xlfn.SWITCH(L2703,2,_xlfn.XLOOKUP(C2703,[1]ModifierDes!$B:$B,[1]ModifierDes!$C:$C),3,_xlfn.XLOOKUP(C2703,[1]StuntDes!$B:$B,[1]StuntDes!$C:$C)),"")</f>
        <v/>
      </c>
      <c r="L2703">
        <f t="shared" si="111"/>
        <v>1</v>
      </c>
      <c r="M2703" s="10" t="str">
        <f>IFERROR(_xlfn.XLOOKUP(C2703,[1]StuntDes!$B:$B,[1]StuntDes!$A:$A),"")</f>
        <v/>
      </c>
      <c r="N2703" s="10" t="str">
        <f>IFERROR(_xlfn.XLOOKUP(C2703,[1]ModifierDes!$B:$B,[1]ModifierDes!$A:$A),"")</f>
        <v/>
      </c>
      <c r="O2703" s="10">
        <f>IFERROR(_xlfn.XLOOKUP(C2703,[1]AttributeName!$C:$C,[1]AttributeName!$B:$B),"")</f>
        <v>10305</v>
      </c>
      <c r="P2703" s="10"/>
      <c r="Q2703">
        <v>0.16</v>
      </c>
      <c r="R2703">
        <v>0.18</v>
      </c>
      <c r="S2703" cm="1">
        <f t="array" ref="S2703">IFERROR(_xlfn.SWITCH(L2703,1,_xlfn.XLOOKUP(O2703,[1]AttributeName!$B:$B,[1]AttributeName!$D:$D),2,_xlfn.XLOOKUP(C2703,#REF!,#REF!),3,_xlfn.XLOOKUP(C2703,#REF!,#REF!)),0)</f>
        <v>2</v>
      </c>
      <c r="T2703" cm="1">
        <f t="array" ref="T2703">IFERROR(_xlfn.SWITCH(L2703,1,_xlfn.XLOOKUP(O2703,[1]AttributeName!$B:$B,[1]AttributeName!$E:$E),2,_xlfn.XLOOKUP(C2703,#REF!,#REF!),3,_xlfn.XLOOKUP(C2703,#REF!,#REF!)),0)</f>
        <v>2</v>
      </c>
    </row>
    <row r="2704" customFormat="1" spans="1:20">
      <c r="A2704">
        <f t="shared" si="110"/>
        <v>1108</v>
      </c>
      <c r="B2704">
        <v>5</v>
      </c>
      <c r="C2704" t="s">
        <v>386</v>
      </c>
      <c r="D2704" t="s">
        <v>443</v>
      </c>
      <c r="E2704" t="s">
        <v>378</v>
      </c>
      <c r="F2704"/>
      <c r="G2704">
        <v>1</v>
      </c>
      <c r="H2704">
        <v>1000</v>
      </c>
      <c r="I2704">
        <v>3</v>
      </c>
      <c r="J2704" cm="1">
        <f t="array" ref="J2704">_xlfn.SWITCH(B2704,1,75,2,61,3,49,4,37,5,25,6,13,7,4,8,1)</f>
        <v>25</v>
      </c>
      <c r="K2704" t="str" cm="1">
        <f t="array" ref="K2704">IFERROR(_xlfn.SWITCH(L2704,2,_xlfn.XLOOKUP(C2704,[1]ModifierDes!$B:$B,[1]ModifierDes!$C:$C),3,_xlfn.XLOOKUP(C2704,[1]StuntDes!$B:$B,[1]StuntDes!$C:$C)),"")</f>
        <v/>
      </c>
      <c r="L2704">
        <f t="shared" si="111"/>
        <v>1</v>
      </c>
      <c r="M2704" s="10" t="str">
        <f>IFERROR(_xlfn.XLOOKUP(C2704,[1]StuntDes!$B:$B,[1]StuntDes!$A:$A),"")</f>
        <v/>
      </c>
      <c r="N2704" s="10" t="str">
        <f>IFERROR(_xlfn.XLOOKUP(C2704,[1]ModifierDes!$B:$B,[1]ModifierDes!$A:$A),"")</f>
        <v/>
      </c>
      <c r="O2704" s="10">
        <f>IFERROR(_xlfn.XLOOKUP(C2704,[1]AttributeName!$C:$C,[1]AttributeName!$B:$B),"")</f>
        <v>10305</v>
      </c>
      <c r="P2704" s="10"/>
      <c r="Q2704">
        <v>0.13</v>
      </c>
      <c r="R2704">
        <v>0.15</v>
      </c>
      <c r="S2704" cm="1">
        <f t="array" ref="S2704">IFERROR(_xlfn.SWITCH(L2704,1,_xlfn.XLOOKUP(O2704,[1]AttributeName!$B:$B,[1]AttributeName!$D:$D),2,_xlfn.XLOOKUP(C2704,#REF!,#REF!),3,_xlfn.XLOOKUP(C2704,#REF!,#REF!)),0)</f>
        <v>2</v>
      </c>
      <c r="T2704" cm="1">
        <f t="array" ref="T2704">IFERROR(_xlfn.SWITCH(L2704,1,_xlfn.XLOOKUP(O2704,[1]AttributeName!$B:$B,[1]AttributeName!$E:$E),2,_xlfn.XLOOKUP(C2704,#REF!,#REF!),3,_xlfn.XLOOKUP(C2704,#REF!,#REF!)),0)</f>
        <v>2</v>
      </c>
    </row>
    <row r="2705" customFormat="1" spans="1:20">
      <c r="A2705">
        <f t="shared" si="110"/>
        <v>1108</v>
      </c>
      <c r="B2705">
        <v>6</v>
      </c>
      <c r="C2705" t="s">
        <v>386</v>
      </c>
      <c r="D2705" t="s">
        <v>443</v>
      </c>
      <c r="E2705" t="s">
        <v>378</v>
      </c>
      <c r="F2705"/>
      <c r="G2705">
        <v>1</v>
      </c>
      <c r="H2705">
        <v>1000</v>
      </c>
      <c r="I2705">
        <v>3</v>
      </c>
      <c r="J2705" cm="1">
        <f t="array" ref="J2705">_xlfn.SWITCH(B2705,1,75,2,61,3,49,4,37,5,25,6,13,7,4,8,1)</f>
        <v>13</v>
      </c>
      <c r="K2705" t="str" cm="1">
        <f t="array" ref="K2705">IFERROR(_xlfn.SWITCH(L2705,2,_xlfn.XLOOKUP(C2705,[1]ModifierDes!$B:$B,[1]ModifierDes!$C:$C),3,_xlfn.XLOOKUP(C2705,[1]StuntDes!$B:$B,[1]StuntDes!$C:$C)),"")</f>
        <v/>
      </c>
      <c r="L2705">
        <f t="shared" si="111"/>
        <v>1</v>
      </c>
      <c r="M2705" s="10" t="str">
        <f>IFERROR(_xlfn.XLOOKUP(C2705,[1]StuntDes!$B:$B,[1]StuntDes!$A:$A),"")</f>
        <v/>
      </c>
      <c r="N2705" s="10" t="str">
        <f>IFERROR(_xlfn.XLOOKUP(C2705,[1]ModifierDes!$B:$B,[1]ModifierDes!$A:$A),"")</f>
        <v/>
      </c>
      <c r="O2705" s="10">
        <f>IFERROR(_xlfn.XLOOKUP(C2705,[1]AttributeName!$C:$C,[1]AttributeName!$B:$B),"")</f>
        <v>10305</v>
      </c>
      <c r="P2705" s="10"/>
      <c r="Q2705">
        <v>0.0999999999999999</v>
      </c>
      <c r="R2705">
        <v>0.12</v>
      </c>
      <c r="S2705" cm="1">
        <f t="array" ref="S2705">IFERROR(_xlfn.SWITCH(L2705,1,_xlfn.XLOOKUP(O2705,[1]AttributeName!$B:$B,[1]AttributeName!$D:$D),2,_xlfn.XLOOKUP(C2705,#REF!,#REF!),3,_xlfn.XLOOKUP(C2705,#REF!,#REF!)),0)</f>
        <v>2</v>
      </c>
      <c r="T2705" cm="1">
        <f t="array" ref="T2705">IFERROR(_xlfn.SWITCH(L2705,1,_xlfn.XLOOKUP(O2705,[1]AttributeName!$B:$B,[1]AttributeName!$E:$E),2,_xlfn.XLOOKUP(C2705,#REF!,#REF!),3,_xlfn.XLOOKUP(C2705,#REF!,#REF!)),0)</f>
        <v>2</v>
      </c>
    </row>
    <row r="2706" customFormat="1" spans="1:20">
      <c r="A2706">
        <f t="shared" si="110"/>
        <v>1108</v>
      </c>
      <c r="B2706">
        <v>7</v>
      </c>
      <c r="C2706" t="s">
        <v>386</v>
      </c>
      <c r="D2706" t="s">
        <v>443</v>
      </c>
      <c r="E2706" t="s">
        <v>378</v>
      </c>
      <c r="F2706"/>
      <c r="G2706">
        <v>1</v>
      </c>
      <c r="H2706">
        <v>1000</v>
      </c>
      <c r="I2706">
        <v>3</v>
      </c>
      <c r="J2706" cm="1">
        <f t="array" ref="J2706">_xlfn.SWITCH(B2706,1,75,2,61,3,49,4,37,5,25,6,13,7,4,8,1)</f>
        <v>4</v>
      </c>
      <c r="K2706" t="str" cm="1">
        <f t="array" ref="K2706">IFERROR(_xlfn.SWITCH(L2706,2,_xlfn.XLOOKUP(C2706,[1]ModifierDes!$B:$B,[1]ModifierDes!$C:$C),3,_xlfn.XLOOKUP(C2706,[1]StuntDes!$B:$B,[1]StuntDes!$C:$C)),"")</f>
        <v/>
      </c>
      <c r="L2706">
        <f t="shared" si="111"/>
        <v>1</v>
      </c>
      <c r="M2706" s="10" t="str">
        <f>IFERROR(_xlfn.XLOOKUP(C2706,[1]StuntDes!$B:$B,[1]StuntDes!$A:$A),"")</f>
        <v/>
      </c>
      <c r="N2706" s="10" t="str">
        <f>IFERROR(_xlfn.XLOOKUP(C2706,[1]ModifierDes!$B:$B,[1]ModifierDes!$A:$A),"")</f>
        <v/>
      </c>
      <c r="O2706" s="10">
        <f>IFERROR(_xlfn.XLOOKUP(C2706,[1]AttributeName!$C:$C,[1]AttributeName!$B:$B),"")</f>
        <v>10305</v>
      </c>
      <c r="P2706" s="10"/>
      <c r="Q2706">
        <v>0.0699999999999999</v>
      </c>
      <c r="R2706">
        <v>0.09</v>
      </c>
      <c r="S2706" cm="1">
        <f t="array" ref="S2706">IFERROR(_xlfn.SWITCH(L2706,1,_xlfn.XLOOKUP(O2706,[1]AttributeName!$B:$B,[1]AttributeName!$D:$D),2,_xlfn.XLOOKUP(C2706,#REF!,#REF!),3,_xlfn.XLOOKUP(C2706,#REF!,#REF!)),0)</f>
        <v>2</v>
      </c>
      <c r="T2706" cm="1">
        <f t="array" ref="T2706">IFERROR(_xlfn.SWITCH(L2706,1,_xlfn.XLOOKUP(O2706,[1]AttributeName!$B:$B,[1]AttributeName!$E:$E),2,_xlfn.XLOOKUP(C2706,#REF!,#REF!),3,_xlfn.XLOOKUP(C2706,#REF!,#REF!)),0)</f>
        <v>2</v>
      </c>
    </row>
    <row r="2707" customFormat="1" spans="1:20">
      <c r="A2707">
        <f t="shared" si="110"/>
        <v>1108</v>
      </c>
      <c r="B2707">
        <v>8</v>
      </c>
      <c r="C2707" t="s">
        <v>386</v>
      </c>
      <c r="D2707" t="s">
        <v>443</v>
      </c>
      <c r="E2707" t="s">
        <v>378</v>
      </c>
      <c r="F2707"/>
      <c r="G2707">
        <v>1</v>
      </c>
      <c r="H2707">
        <v>1000</v>
      </c>
      <c r="I2707">
        <v>3</v>
      </c>
      <c r="J2707" cm="1">
        <f t="array" ref="J2707">_xlfn.SWITCH(B2707,1,75,2,61,3,49,4,37,5,25,6,13,7,4,8,1)</f>
        <v>1</v>
      </c>
      <c r="K2707" t="str" cm="1">
        <f t="array" ref="K2707">IFERROR(_xlfn.SWITCH(L2707,2,_xlfn.XLOOKUP(C2707,[1]ModifierDes!$B:$B,[1]ModifierDes!$C:$C),3,_xlfn.XLOOKUP(C2707,[1]StuntDes!$B:$B,[1]StuntDes!$C:$C)),"")</f>
        <v/>
      </c>
      <c r="L2707">
        <f t="shared" si="111"/>
        <v>1</v>
      </c>
      <c r="M2707" s="10" t="str">
        <f>IFERROR(_xlfn.XLOOKUP(C2707,[1]StuntDes!$B:$B,[1]StuntDes!$A:$A),"")</f>
        <v/>
      </c>
      <c r="N2707" s="10" t="str">
        <f>IFERROR(_xlfn.XLOOKUP(C2707,[1]ModifierDes!$B:$B,[1]ModifierDes!$A:$A),"")</f>
        <v/>
      </c>
      <c r="O2707" s="10">
        <f>IFERROR(_xlfn.XLOOKUP(C2707,[1]AttributeName!$C:$C,[1]AttributeName!$B:$B),"")</f>
        <v>10305</v>
      </c>
      <c r="P2707" s="10"/>
      <c r="Q2707">
        <v>0.0399999999999998</v>
      </c>
      <c r="R2707">
        <v>0.06</v>
      </c>
      <c r="S2707" cm="1">
        <f t="array" ref="S2707">IFERROR(_xlfn.SWITCH(L2707,1,_xlfn.XLOOKUP(O2707,[1]AttributeName!$B:$B,[1]AttributeName!$D:$D),2,_xlfn.XLOOKUP(C2707,#REF!,#REF!),3,_xlfn.XLOOKUP(C2707,#REF!,#REF!)),0)</f>
        <v>2</v>
      </c>
      <c r="T2707" cm="1">
        <f t="array" ref="T2707">IFERROR(_xlfn.SWITCH(L2707,1,_xlfn.XLOOKUP(O2707,[1]AttributeName!$B:$B,[1]AttributeName!$E:$E),2,_xlfn.XLOOKUP(C2707,#REF!,#REF!),3,_xlfn.XLOOKUP(C2707,#REF!,#REF!)),0)</f>
        <v>2</v>
      </c>
    </row>
    <row r="2708" customFormat="1" spans="1:20">
      <c r="A2708">
        <f t="shared" si="110"/>
        <v>1109</v>
      </c>
      <c r="B2708">
        <v>1</v>
      </c>
      <c r="C2708" t="s">
        <v>387</v>
      </c>
      <c r="D2708" t="s">
        <v>443</v>
      </c>
      <c r="E2708" t="s">
        <v>378</v>
      </c>
      <c r="F2708"/>
      <c r="G2708">
        <v>1</v>
      </c>
      <c r="H2708">
        <v>100</v>
      </c>
      <c r="I2708">
        <v>3</v>
      </c>
      <c r="J2708" cm="1">
        <f t="array" ref="J2708">_xlfn.SWITCH(B2708,1,75,2,61,3,49,4,37,5,25,6,13,7,4,8,1)</f>
        <v>75</v>
      </c>
      <c r="K2708" t="str" cm="1">
        <f t="array" ref="K2708">IFERROR(_xlfn.SWITCH(L2708,2,_xlfn.XLOOKUP(C2708,[1]ModifierDes!$B:$B,[1]ModifierDes!$C:$C),3,_xlfn.XLOOKUP(C2708,[1]StuntDes!$B:$B,[1]StuntDes!$C:$C)),"")</f>
        <v/>
      </c>
      <c r="L2708">
        <f t="shared" si="111"/>
        <v>1</v>
      </c>
      <c r="M2708" s="10" t="str">
        <f>IFERROR(_xlfn.XLOOKUP(C2708,[1]StuntDes!$B:$B,[1]StuntDes!$A:$A),"")</f>
        <v/>
      </c>
      <c r="N2708" s="10" t="str">
        <f>IFERROR(_xlfn.XLOOKUP(C2708,[1]ModifierDes!$B:$B,[1]ModifierDes!$A:$A),"")</f>
        <v/>
      </c>
      <c r="O2708" s="10">
        <f>IFERROR(_xlfn.XLOOKUP(C2708,[1]AttributeName!$C:$C,[1]AttributeName!$B:$B),"")</f>
        <v>10306</v>
      </c>
      <c r="P2708" s="10"/>
      <c r="Q2708">
        <v>0.25</v>
      </c>
      <c r="R2708">
        <v>0.35</v>
      </c>
      <c r="S2708" cm="1">
        <f t="array" ref="S2708">IFERROR(_xlfn.SWITCH(L2708,1,_xlfn.XLOOKUP(O2708,[1]AttributeName!$B:$B,[1]AttributeName!$D:$D),2,_xlfn.XLOOKUP(C2708,#REF!,#REF!),3,_xlfn.XLOOKUP(C2708,#REF!,#REF!)),0)</f>
        <v>2</v>
      </c>
      <c r="T2708" cm="1">
        <f t="array" ref="T2708">IFERROR(_xlfn.SWITCH(L2708,1,_xlfn.XLOOKUP(O2708,[1]AttributeName!$B:$B,[1]AttributeName!$E:$E),2,_xlfn.XLOOKUP(C2708,#REF!,#REF!),3,_xlfn.XLOOKUP(C2708,#REF!,#REF!)),0)</f>
        <v>2</v>
      </c>
    </row>
    <row r="2709" customFormat="1" spans="1:20">
      <c r="A2709">
        <f t="shared" si="110"/>
        <v>1109</v>
      </c>
      <c r="B2709">
        <v>2</v>
      </c>
      <c r="C2709" t="s">
        <v>387</v>
      </c>
      <c r="D2709" t="s">
        <v>443</v>
      </c>
      <c r="E2709" t="s">
        <v>378</v>
      </c>
      <c r="F2709"/>
      <c r="G2709">
        <v>1</v>
      </c>
      <c r="H2709">
        <v>200</v>
      </c>
      <c r="I2709">
        <v>3</v>
      </c>
      <c r="J2709" cm="1">
        <f t="array" ref="J2709">_xlfn.SWITCH(B2709,1,75,2,61,3,49,4,37,5,25,6,13,7,4,8,1)</f>
        <v>61</v>
      </c>
      <c r="K2709" t="str" cm="1">
        <f t="array" ref="K2709">IFERROR(_xlfn.SWITCH(L2709,2,_xlfn.XLOOKUP(C2709,[1]ModifierDes!$B:$B,[1]ModifierDes!$C:$C),3,_xlfn.XLOOKUP(C2709,[1]StuntDes!$B:$B,[1]StuntDes!$C:$C)),"")</f>
        <v/>
      </c>
      <c r="L2709">
        <f t="shared" si="111"/>
        <v>1</v>
      </c>
      <c r="M2709" s="10" t="str">
        <f>IFERROR(_xlfn.XLOOKUP(C2709,[1]StuntDes!$B:$B,[1]StuntDes!$A:$A),"")</f>
        <v/>
      </c>
      <c r="N2709" s="10" t="str">
        <f>IFERROR(_xlfn.XLOOKUP(C2709,[1]ModifierDes!$B:$B,[1]ModifierDes!$A:$A),"")</f>
        <v/>
      </c>
      <c r="O2709" s="10">
        <f>IFERROR(_xlfn.XLOOKUP(C2709,[1]AttributeName!$C:$C,[1]AttributeName!$B:$B),"")</f>
        <v>10306</v>
      </c>
      <c r="P2709" s="10"/>
      <c r="Q2709">
        <v>0.22</v>
      </c>
      <c r="R2709">
        <v>0.24</v>
      </c>
      <c r="S2709" cm="1">
        <f t="array" ref="S2709">IFERROR(_xlfn.SWITCH(L2709,1,_xlfn.XLOOKUP(O2709,[1]AttributeName!$B:$B,[1]AttributeName!$D:$D),2,_xlfn.XLOOKUP(C2709,#REF!,#REF!),3,_xlfn.XLOOKUP(C2709,#REF!,#REF!)),0)</f>
        <v>2</v>
      </c>
      <c r="T2709" cm="1">
        <f t="array" ref="T2709">IFERROR(_xlfn.SWITCH(L2709,1,_xlfn.XLOOKUP(O2709,[1]AttributeName!$B:$B,[1]AttributeName!$E:$E),2,_xlfn.XLOOKUP(C2709,#REF!,#REF!),3,_xlfn.XLOOKUP(C2709,#REF!,#REF!)),0)</f>
        <v>2</v>
      </c>
    </row>
    <row r="2710" customFormat="1" spans="1:20">
      <c r="A2710">
        <f t="shared" si="110"/>
        <v>1109</v>
      </c>
      <c r="B2710">
        <v>3</v>
      </c>
      <c r="C2710" t="s">
        <v>387</v>
      </c>
      <c r="D2710" t="s">
        <v>443</v>
      </c>
      <c r="E2710" t="s">
        <v>378</v>
      </c>
      <c r="F2710"/>
      <c r="G2710">
        <v>1</v>
      </c>
      <c r="H2710">
        <v>500</v>
      </c>
      <c r="I2710">
        <v>3</v>
      </c>
      <c r="J2710" cm="1">
        <f t="array" ref="J2710">_xlfn.SWITCH(B2710,1,75,2,61,3,49,4,37,5,25,6,13,7,4,8,1)</f>
        <v>49</v>
      </c>
      <c r="K2710" t="str" cm="1">
        <f t="array" ref="K2710">IFERROR(_xlfn.SWITCH(L2710,2,_xlfn.XLOOKUP(C2710,[1]ModifierDes!$B:$B,[1]ModifierDes!$C:$C),3,_xlfn.XLOOKUP(C2710,[1]StuntDes!$B:$B,[1]StuntDes!$C:$C)),"")</f>
        <v/>
      </c>
      <c r="L2710">
        <f t="shared" si="111"/>
        <v>1</v>
      </c>
      <c r="M2710" s="10" t="str">
        <f>IFERROR(_xlfn.XLOOKUP(C2710,[1]StuntDes!$B:$B,[1]StuntDes!$A:$A),"")</f>
        <v/>
      </c>
      <c r="N2710" s="10" t="str">
        <f>IFERROR(_xlfn.XLOOKUP(C2710,[1]ModifierDes!$B:$B,[1]ModifierDes!$A:$A),"")</f>
        <v/>
      </c>
      <c r="O2710" s="10">
        <f>IFERROR(_xlfn.XLOOKUP(C2710,[1]AttributeName!$C:$C,[1]AttributeName!$B:$B),"")</f>
        <v>10306</v>
      </c>
      <c r="P2710" s="10"/>
      <c r="Q2710">
        <v>0.19</v>
      </c>
      <c r="R2710">
        <v>0.21</v>
      </c>
      <c r="S2710" cm="1">
        <f t="array" ref="S2710">IFERROR(_xlfn.SWITCH(L2710,1,_xlfn.XLOOKUP(O2710,[1]AttributeName!$B:$B,[1]AttributeName!$D:$D),2,_xlfn.XLOOKUP(C2710,#REF!,#REF!),3,_xlfn.XLOOKUP(C2710,#REF!,#REF!)),0)</f>
        <v>2</v>
      </c>
      <c r="T2710" cm="1">
        <f t="array" ref="T2710">IFERROR(_xlfn.SWITCH(L2710,1,_xlfn.XLOOKUP(O2710,[1]AttributeName!$B:$B,[1]AttributeName!$E:$E),2,_xlfn.XLOOKUP(C2710,#REF!,#REF!),3,_xlfn.XLOOKUP(C2710,#REF!,#REF!)),0)</f>
        <v>2</v>
      </c>
    </row>
    <row r="2711" customFormat="1" spans="1:20">
      <c r="A2711">
        <f t="shared" si="110"/>
        <v>1109</v>
      </c>
      <c r="B2711">
        <v>4</v>
      </c>
      <c r="C2711" t="s">
        <v>387</v>
      </c>
      <c r="D2711" t="s">
        <v>443</v>
      </c>
      <c r="E2711" t="s">
        <v>378</v>
      </c>
      <c r="F2711"/>
      <c r="G2711">
        <v>1</v>
      </c>
      <c r="H2711">
        <v>1000</v>
      </c>
      <c r="I2711">
        <v>3</v>
      </c>
      <c r="J2711" cm="1">
        <f t="array" ref="J2711">_xlfn.SWITCH(B2711,1,75,2,61,3,49,4,37,5,25,6,13,7,4,8,1)</f>
        <v>37</v>
      </c>
      <c r="K2711" t="str" cm="1">
        <f t="array" ref="K2711">IFERROR(_xlfn.SWITCH(L2711,2,_xlfn.XLOOKUP(C2711,[1]ModifierDes!$B:$B,[1]ModifierDes!$C:$C),3,_xlfn.XLOOKUP(C2711,[1]StuntDes!$B:$B,[1]StuntDes!$C:$C)),"")</f>
        <v/>
      </c>
      <c r="L2711">
        <f t="shared" si="111"/>
        <v>1</v>
      </c>
      <c r="M2711" s="10" t="str">
        <f>IFERROR(_xlfn.XLOOKUP(C2711,[1]StuntDes!$B:$B,[1]StuntDes!$A:$A),"")</f>
        <v/>
      </c>
      <c r="N2711" s="10" t="str">
        <f>IFERROR(_xlfn.XLOOKUP(C2711,[1]ModifierDes!$B:$B,[1]ModifierDes!$A:$A),"")</f>
        <v/>
      </c>
      <c r="O2711" s="10">
        <f>IFERROR(_xlfn.XLOOKUP(C2711,[1]AttributeName!$C:$C,[1]AttributeName!$B:$B),"")</f>
        <v>10306</v>
      </c>
      <c r="P2711" s="10"/>
      <c r="Q2711">
        <v>0.16</v>
      </c>
      <c r="R2711">
        <v>0.18</v>
      </c>
      <c r="S2711" cm="1">
        <f t="array" ref="S2711">IFERROR(_xlfn.SWITCH(L2711,1,_xlfn.XLOOKUP(O2711,[1]AttributeName!$B:$B,[1]AttributeName!$D:$D),2,_xlfn.XLOOKUP(C2711,#REF!,#REF!),3,_xlfn.XLOOKUP(C2711,#REF!,#REF!)),0)</f>
        <v>2</v>
      </c>
      <c r="T2711" cm="1">
        <f t="array" ref="T2711">IFERROR(_xlfn.SWITCH(L2711,1,_xlfn.XLOOKUP(O2711,[1]AttributeName!$B:$B,[1]AttributeName!$E:$E),2,_xlfn.XLOOKUP(C2711,#REF!,#REF!),3,_xlfn.XLOOKUP(C2711,#REF!,#REF!)),0)</f>
        <v>2</v>
      </c>
    </row>
    <row r="2712" customFormat="1" spans="1:20">
      <c r="A2712">
        <f t="shared" si="110"/>
        <v>1109</v>
      </c>
      <c r="B2712">
        <v>5</v>
      </c>
      <c r="C2712" t="s">
        <v>387</v>
      </c>
      <c r="D2712" t="s">
        <v>443</v>
      </c>
      <c r="E2712" t="s">
        <v>378</v>
      </c>
      <c r="F2712"/>
      <c r="G2712">
        <v>1</v>
      </c>
      <c r="H2712">
        <v>1000</v>
      </c>
      <c r="I2712">
        <v>3</v>
      </c>
      <c r="J2712" cm="1">
        <f t="array" ref="J2712">_xlfn.SWITCH(B2712,1,75,2,61,3,49,4,37,5,25,6,13,7,4,8,1)</f>
        <v>25</v>
      </c>
      <c r="K2712" t="str" cm="1">
        <f t="array" ref="K2712">IFERROR(_xlfn.SWITCH(L2712,2,_xlfn.XLOOKUP(C2712,[1]ModifierDes!$B:$B,[1]ModifierDes!$C:$C),3,_xlfn.XLOOKUP(C2712,[1]StuntDes!$B:$B,[1]StuntDes!$C:$C)),"")</f>
        <v/>
      </c>
      <c r="L2712">
        <f t="shared" si="111"/>
        <v>1</v>
      </c>
      <c r="M2712" s="10" t="str">
        <f>IFERROR(_xlfn.XLOOKUP(C2712,[1]StuntDes!$B:$B,[1]StuntDes!$A:$A),"")</f>
        <v/>
      </c>
      <c r="N2712" s="10" t="str">
        <f>IFERROR(_xlfn.XLOOKUP(C2712,[1]ModifierDes!$B:$B,[1]ModifierDes!$A:$A),"")</f>
        <v/>
      </c>
      <c r="O2712" s="10">
        <f>IFERROR(_xlfn.XLOOKUP(C2712,[1]AttributeName!$C:$C,[1]AttributeName!$B:$B),"")</f>
        <v>10306</v>
      </c>
      <c r="P2712" s="10"/>
      <c r="Q2712">
        <v>0.13</v>
      </c>
      <c r="R2712">
        <v>0.15</v>
      </c>
      <c r="S2712" cm="1">
        <f t="array" ref="S2712">IFERROR(_xlfn.SWITCH(L2712,1,_xlfn.XLOOKUP(O2712,[1]AttributeName!$B:$B,[1]AttributeName!$D:$D),2,_xlfn.XLOOKUP(C2712,#REF!,#REF!),3,_xlfn.XLOOKUP(C2712,#REF!,#REF!)),0)</f>
        <v>2</v>
      </c>
      <c r="T2712" cm="1">
        <f t="array" ref="T2712">IFERROR(_xlfn.SWITCH(L2712,1,_xlfn.XLOOKUP(O2712,[1]AttributeName!$B:$B,[1]AttributeName!$E:$E),2,_xlfn.XLOOKUP(C2712,#REF!,#REF!),3,_xlfn.XLOOKUP(C2712,#REF!,#REF!)),0)</f>
        <v>2</v>
      </c>
    </row>
    <row r="2713" customFormat="1" spans="1:20">
      <c r="A2713">
        <f t="shared" si="110"/>
        <v>1109</v>
      </c>
      <c r="B2713">
        <v>6</v>
      </c>
      <c r="C2713" t="s">
        <v>387</v>
      </c>
      <c r="D2713" t="s">
        <v>443</v>
      </c>
      <c r="E2713" t="s">
        <v>378</v>
      </c>
      <c r="F2713"/>
      <c r="G2713">
        <v>1</v>
      </c>
      <c r="H2713">
        <v>1000</v>
      </c>
      <c r="I2713">
        <v>3</v>
      </c>
      <c r="J2713" cm="1">
        <f t="array" ref="J2713">_xlfn.SWITCH(B2713,1,75,2,61,3,49,4,37,5,25,6,13,7,4,8,1)</f>
        <v>13</v>
      </c>
      <c r="K2713" t="str" cm="1">
        <f t="array" ref="K2713">IFERROR(_xlfn.SWITCH(L2713,2,_xlfn.XLOOKUP(C2713,[1]ModifierDes!$B:$B,[1]ModifierDes!$C:$C),3,_xlfn.XLOOKUP(C2713,[1]StuntDes!$B:$B,[1]StuntDes!$C:$C)),"")</f>
        <v/>
      </c>
      <c r="L2713">
        <f t="shared" si="111"/>
        <v>1</v>
      </c>
      <c r="M2713" s="10" t="str">
        <f>IFERROR(_xlfn.XLOOKUP(C2713,[1]StuntDes!$B:$B,[1]StuntDes!$A:$A),"")</f>
        <v/>
      </c>
      <c r="N2713" s="10" t="str">
        <f>IFERROR(_xlfn.XLOOKUP(C2713,[1]ModifierDes!$B:$B,[1]ModifierDes!$A:$A),"")</f>
        <v/>
      </c>
      <c r="O2713" s="10">
        <f>IFERROR(_xlfn.XLOOKUP(C2713,[1]AttributeName!$C:$C,[1]AttributeName!$B:$B),"")</f>
        <v>10306</v>
      </c>
      <c r="P2713" s="10"/>
      <c r="Q2713">
        <v>0.0999999999999999</v>
      </c>
      <c r="R2713">
        <v>0.12</v>
      </c>
      <c r="S2713" cm="1">
        <f t="array" ref="S2713">IFERROR(_xlfn.SWITCH(L2713,1,_xlfn.XLOOKUP(O2713,[1]AttributeName!$B:$B,[1]AttributeName!$D:$D),2,_xlfn.XLOOKUP(C2713,#REF!,#REF!),3,_xlfn.XLOOKUP(C2713,#REF!,#REF!)),0)</f>
        <v>2</v>
      </c>
      <c r="T2713" cm="1">
        <f t="array" ref="T2713">IFERROR(_xlfn.SWITCH(L2713,1,_xlfn.XLOOKUP(O2713,[1]AttributeName!$B:$B,[1]AttributeName!$E:$E),2,_xlfn.XLOOKUP(C2713,#REF!,#REF!),3,_xlfn.XLOOKUP(C2713,#REF!,#REF!)),0)</f>
        <v>2</v>
      </c>
    </row>
    <row r="2714" customFormat="1" spans="1:20">
      <c r="A2714">
        <f t="shared" si="110"/>
        <v>1109</v>
      </c>
      <c r="B2714">
        <v>7</v>
      </c>
      <c r="C2714" t="s">
        <v>387</v>
      </c>
      <c r="D2714" t="s">
        <v>443</v>
      </c>
      <c r="E2714" t="s">
        <v>378</v>
      </c>
      <c r="F2714"/>
      <c r="G2714">
        <v>1</v>
      </c>
      <c r="H2714">
        <v>1000</v>
      </c>
      <c r="I2714">
        <v>3</v>
      </c>
      <c r="J2714" cm="1">
        <f t="array" ref="J2714">_xlfn.SWITCH(B2714,1,75,2,61,3,49,4,37,5,25,6,13,7,4,8,1)</f>
        <v>4</v>
      </c>
      <c r="K2714" t="str" cm="1">
        <f t="array" ref="K2714">IFERROR(_xlfn.SWITCH(L2714,2,_xlfn.XLOOKUP(C2714,[1]ModifierDes!$B:$B,[1]ModifierDes!$C:$C),3,_xlfn.XLOOKUP(C2714,[1]StuntDes!$B:$B,[1]StuntDes!$C:$C)),"")</f>
        <v/>
      </c>
      <c r="L2714">
        <f t="shared" si="111"/>
        <v>1</v>
      </c>
      <c r="M2714" s="10" t="str">
        <f>IFERROR(_xlfn.XLOOKUP(C2714,[1]StuntDes!$B:$B,[1]StuntDes!$A:$A),"")</f>
        <v/>
      </c>
      <c r="N2714" s="10" t="str">
        <f>IFERROR(_xlfn.XLOOKUP(C2714,[1]ModifierDes!$B:$B,[1]ModifierDes!$A:$A),"")</f>
        <v/>
      </c>
      <c r="O2714" s="10">
        <f>IFERROR(_xlfn.XLOOKUP(C2714,[1]AttributeName!$C:$C,[1]AttributeName!$B:$B),"")</f>
        <v>10306</v>
      </c>
      <c r="P2714" s="10"/>
      <c r="Q2714">
        <v>0.0699999999999999</v>
      </c>
      <c r="R2714">
        <v>0.09</v>
      </c>
      <c r="S2714" cm="1">
        <f t="array" ref="S2714">IFERROR(_xlfn.SWITCH(L2714,1,_xlfn.XLOOKUP(O2714,[1]AttributeName!$B:$B,[1]AttributeName!$D:$D),2,_xlfn.XLOOKUP(C2714,#REF!,#REF!),3,_xlfn.XLOOKUP(C2714,#REF!,#REF!)),0)</f>
        <v>2</v>
      </c>
      <c r="T2714" cm="1">
        <f t="array" ref="T2714">IFERROR(_xlfn.SWITCH(L2714,1,_xlfn.XLOOKUP(O2714,[1]AttributeName!$B:$B,[1]AttributeName!$E:$E),2,_xlfn.XLOOKUP(C2714,#REF!,#REF!),3,_xlfn.XLOOKUP(C2714,#REF!,#REF!)),0)</f>
        <v>2</v>
      </c>
    </row>
    <row r="2715" customFormat="1" spans="1:20">
      <c r="A2715">
        <f t="shared" si="110"/>
        <v>1109</v>
      </c>
      <c r="B2715">
        <v>8</v>
      </c>
      <c r="C2715" t="s">
        <v>387</v>
      </c>
      <c r="D2715" t="s">
        <v>443</v>
      </c>
      <c r="E2715" t="s">
        <v>378</v>
      </c>
      <c r="F2715"/>
      <c r="G2715">
        <v>1</v>
      </c>
      <c r="H2715">
        <v>1000</v>
      </c>
      <c r="I2715">
        <v>3</v>
      </c>
      <c r="J2715" cm="1">
        <f t="array" ref="J2715">_xlfn.SWITCH(B2715,1,75,2,61,3,49,4,37,5,25,6,13,7,4,8,1)</f>
        <v>1</v>
      </c>
      <c r="K2715" t="str" cm="1">
        <f t="array" ref="K2715">IFERROR(_xlfn.SWITCH(L2715,2,_xlfn.XLOOKUP(C2715,[1]ModifierDes!$B:$B,[1]ModifierDes!$C:$C),3,_xlfn.XLOOKUP(C2715,[1]StuntDes!$B:$B,[1]StuntDes!$C:$C)),"")</f>
        <v/>
      </c>
      <c r="L2715">
        <f t="shared" si="111"/>
        <v>1</v>
      </c>
      <c r="M2715" s="10" t="str">
        <f>IFERROR(_xlfn.XLOOKUP(C2715,[1]StuntDes!$B:$B,[1]StuntDes!$A:$A),"")</f>
        <v/>
      </c>
      <c r="N2715" s="10" t="str">
        <f>IFERROR(_xlfn.XLOOKUP(C2715,[1]ModifierDes!$B:$B,[1]ModifierDes!$A:$A),"")</f>
        <v/>
      </c>
      <c r="O2715" s="10">
        <f>IFERROR(_xlfn.XLOOKUP(C2715,[1]AttributeName!$C:$C,[1]AttributeName!$B:$B),"")</f>
        <v>10306</v>
      </c>
      <c r="P2715" s="10"/>
      <c r="Q2715">
        <v>0.0399999999999998</v>
      </c>
      <c r="R2715">
        <v>0.06</v>
      </c>
      <c r="S2715" cm="1">
        <f t="array" ref="S2715">IFERROR(_xlfn.SWITCH(L2715,1,_xlfn.XLOOKUP(O2715,[1]AttributeName!$B:$B,[1]AttributeName!$D:$D),2,_xlfn.XLOOKUP(C2715,#REF!,#REF!),3,_xlfn.XLOOKUP(C2715,#REF!,#REF!)),0)</f>
        <v>2</v>
      </c>
      <c r="T2715" cm="1">
        <f t="array" ref="T2715">IFERROR(_xlfn.SWITCH(L2715,1,_xlfn.XLOOKUP(O2715,[1]AttributeName!$B:$B,[1]AttributeName!$E:$E),2,_xlfn.XLOOKUP(C2715,#REF!,#REF!),3,_xlfn.XLOOKUP(C2715,#REF!,#REF!)),0)</f>
        <v>2</v>
      </c>
    </row>
    <row r="2716" customFormat="1" spans="1:20">
      <c r="A2716">
        <f t="shared" ref="A2716:A2747" si="112">A2708+1</f>
        <v>1110</v>
      </c>
      <c r="B2716">
        <v>1</v>
      </c>
      <c r="C2716" t="s">
        <v>388</v>
      </c>
      <c r="D2716" t="s">
        <v>443</v>
      </c>
      <c r="E2716" t="s">
        <v>378</v>
      </c>
      <c r="F2716"/>
      <c r="G2716">
        <v>1</v>
      </c>
      <c r="H2716">
        <v>100</v>
      </c>
      <c r="I2716">
        <v>3</v>
      </c>
      <c r="J2716" cm="1">
        <f t="array" ref="J2716">_xlfn.SWITCH(B2716,1,75,2,61,3,49,4,37,5,25,6,13,7,4,8,1)</f>
        <v>75</v>
      </c>
      <c r="K2716" t="str" cm="1">
        <f t="array" ref="K2716">IFERROR(_xlfn.SWITCH(L2716,2,_xlfn.XLOOKUP(C2716,[1]ModifierDes!$B:$B,[1]ModifierDes!$C:$C),3,_xlfn.XLOOKUP(C2716,[1]StuntDes!$B:$B,[1]StuntDes!$C:$C)),"")</f>
        <v/>
      </c>
      <c r="L2716">
        <f t="shared" si="111"/>
        <v>1</v>
      </c>
      <c r="M2716" s="10" t="str">
        <f>IFERROR(_xlfn.XLOOKUP(C2716,[1]StuntDes!$B:$B,[1]StuntDes!$A:$A),"")</f>
        <v/>
      </c>
      <c r="N2716" s="10" t="str">
        <f>IFERROR(_xlfn.XLOOKUP(C2716,[1]ModifierDes!$B:$B,[1]ModifierDes!$A:$A),"")</f>
        <v/>
      </c>
      <c r="O2716" s="10">
        <f>IFERROR(_xlfn.XLOOKUP(C2716,[1]AttributeName!$C:$C,[1]AttributeName!$B:$B),"")</f>
        <v>10307</v>
      </c>
      <c r="P2716" s="10"/>
      <c r="Q2716">
        <v>0.25</v>
      </c>
      <c r="R2716">
        <v>0.35</v>
      </c>
      <c r="S2716" cm="1">
        <f t="array" ref="S2716">IFERROR(_xlfn.SWITCH(L2716,1,_xlfn.XLOOKUP(O2716,[1]AttributeName!$B:$B,[1]AttributeName!$D:$D),2,_xlfn.XLOOKUP(C2716,#REF!,#REF!),3,_xlfn.XLOOKUP(C2716,#REF!,#REF!)),0)</f>
        <v>2</v>
      </c>
      <c r="T2716" cm="1">
        <f t="array" ref="T2716">IFERROR(_xlfn.SWITCH(L2716,1,_xlfn.XLOOKUP(O2716,[1]AttributeName!$B:$B,[1]AttributeName!$E:$E),2,_xlfn.XLOOKUP(C2716,#REF!,#REF!),3,_xlfn.XLOOKUP(C2716,#REF!,#REF!)),0)</f>
        <v>2</v>
      </c>
    </row>
    <row r="2717" customFormat="1" spans="1:20">
      <c r="A2717">
        <f t="shared" si="112"/>
        <v>1110</v>
      </c>
      <c r="B2717">
        <v>2</v>
      </c>
      <c r="C2717" t="s">
        <v>388</v>
      </c>
      <c r="D2717" t="s">
        <v>443</v>
      </c>
      <c r="E2717" t="s">
        <v>378</v>
      </c>
      <c r="F2717"/>
      <c r="G2717">
        <v>1</v>
      </c>
      <c r="H2717">
        <v>200</v>
      </c>
      <c r="I2717">
        <v>3</v>
      </c>
      <c r="J2717" cm="1">
        <f t="array" ref="J2717">_xlfn.SWITCH(B2717,1,75,2,61,3,49,4,37,5,25,6,13,7,4,8,1)</f>
        <v>61</v>
      </c>
      <c r="K2717" t="str" cm="1">
        <f t="array" ref="K2717">IFERROR(_xlfn.SWITCH(L2717,2,_xlfn.XLOOKUP(C2717,[1]ModifierDes!$B:$B,[1]ModifierDes!$C:$C),3,_xlfn.XLOOKUP(C2717,[1]StuntDes!$B:$B,[1]StuntDes!$C:$C)),"")</f>
        <v/>
      </c>
      <c r="L2717">
        <f t="shared" si="111"/>
        <v>1</v>
      </c>
      <c r="M2717" s="10" t="str">
        <f>IFERROR(_xlfn.XLOOKUP(C2717,[1]StuntDes!$B:$B,[1]StuntDes!$A:$A),"")</f>
        <v/>
      </c>
      <c r="N2717" s="10" t="str">
        <f>IFERROR(_xlfn.XLOOKUP(C2717,[1]ModifierDes!$B:$B,[1]ModifierDes!$A:$A),"")</f>
        <v/>
      </c>
      <c r="O2717" s="10">
        <f>IFERROR(_xlfn.XLOOKUP(C2717,[1]AttributeName!$C:$C,[1]AttributeName!$B:$B),"")</f>
        <v>10307</v>
      </c>
      <c r="P2717" s="10"/>
      <c r="Q2717">
        <v>0.22</v>
      </c>
      <c r="R2717">
        <v>0.24</v>
      </c>
      <c r="S2717" cm="1">
        <f t="array" ref="S2717">IFERROR(_xlfn.SWITCH(L2717,1,_xlfn.XLOOKUP(O2717,[1]AttributeName!$B:$B,[1]AttributeName!$D:$D),2,_xlfn.XLOOKUP(C2717,#REF!,#REF!),3,_xlfn.XLOOKUP(C2717,#REF!,#REF!)),0)</f>
        <v>2</v>
      </c>
      <c r="T2717" cm="1">
        <f t="array" ref="T2717">IFERROR(_xlfn.SWITCH(L2717,1,_xlfn.XLOOKUP(O2717,[1]AttributeName!$B:$B,[1]AttributeName!$E:$E),2,_xlfn.XLOOKUP(C2717,#REF!,#REF!),3,_xlfn.XLOOKUP(C2717,#REF!,#REF!)),0)</f>
        <v>2</v>
      </c>
    </row>
    <row r="2718" customFormat="1" spans="1:20">
      <c r="A2718">
        <f t="shared" si="112"/>
        <v>1110</v>
      </c>
      <c r="B2718">
        <v>3</v>
      </c>
      <c r="C2718" t="s">
        <v>388</v>
      </c>
      <c r="D2718" t="s">
        <v>443</v>
      </c>
      <c r="E2718" t="s">
        <v>378</v>
      </c>
      <c r="F2718"/>
      <c r="G2718">
        <v>1</v>
      </c>
      <c r="H2718">
        <v>500</v>
      </c>
      <c r="I2718">
        <v>3</v>
      </c>
      <c r="J2718" cm="1">
        <f t="array" ref="J2718">_xlfn.SWITCH(B2718,1,75,2,61,3,49,4,37,5,25,6,13,7,4,8,1)</f>
        <v>49</v>
      </c>
      <c r="K2718" t="str" cm="1">
        <f t="array" ref="K2718">IFERROR(_xlfn.SWITCH(L2718,2,_xlfn.XLOOKUP(C2718,[1]ModifierDes!$B:$B,[1]ModifierDes!$C:$C),3,_xlfn.XLOOKUP(C2718,[1]StuntDes!$B:$B,[1]StuntDes!$C:$C)),"")</f>
        <v/>
      </c>
      <c r="L2718">
        <f t="shared" si="111"/>
        <v>1</v>
      </c>
      <c r="M2718" s="10" t="str">
        <f>IFERROR(_xlfn.XLOOKUP(C2718,[1]StuntDes!$B:$B,[1]StuntDes!$A:$A),"")</f>
        <v/>
      </c>
      <c r="N2718" s="10" t="str">
        <f>IFERROR(_xlfn.XLOOKUP(C2718,[1]ModifierDes!$B:$B,[1]ModifierDes!$A:$A),"")</f>
        <v/>
      </c>
      <c r="O2718" s="10">
        <f>IFERROR(_xlfn.XLOOKUP(C2718,[1]AttributeName!$C:$C,[1]AttributeName!$B:$B),"")</f>
        <v>10307</v>
      </c>
      <c r="P2718" s="10"/>
      <c r="Q2718">
        <v>0.19</v>
      </c>
      <c r="R2718">
        <v>0.21</v>
      </c>
      <c r="S2718" cm="1">
        <f t="array" ref="S2718">IFERROR(_xlfn.SWITCH(L2718,1,_xlfn.XLOOKUP(O2718,[1]AttributeName!$B:$B,[1]AttributeName!$D:$D),2,_xlfn.XLOOKUP(C2718,#REF!,#REF!),3,_xlfn.XLOOKUP(C2718,#REF!,#REF!)),0)</f>
        <v>2</v>
      </c>
      <c r="T2718" cm="1">
        <f t="array" ref="T2718">IFERROR(_xlfn.SWITCH(L2718,1,_xlfn.XLOOKUP(O2718,[1]AttributeName!$B:$B,[1]AttributeName!$E:$E),2,_xlfn.XLOOKUP(C2718,#REF!,#REF!),3,_xlfn.XLOOKUP(C2718,#REF!,#REF!)),0)</f>
        <v>2</v>
      </c>
    </row>
    <row r="2719" customFormat="1" spans="1:20">
      <c r="A2719">
        <f t="shared" si="112"/>
        <v>1110</v>
      </c>
      <c r="B2719">
        <v>4</v>
      </c>
      <c r="C2719" t="s">
        <v>388</v>
      </c>
      <c r="D2719" t="s">
        <v>443</v>
      </c>
      <c r="E2719" t="s">
        <v>378</v>
      </c>
      <c r="F2719"/>
      <c r="G2719">
        <v>1</v>
      </c>
      <c r="H2719">
        <v>1000</v>
      </c>
      <c r="I2719">
        <v>3</v>
      </c>
      <c r="J2719" cm="1">
        <f t="array" ref="J2719">_xlfn.SWITCH(B2719,1,75,2,61,3,49,4,37,5,25,6,13,7,4,8,1)</f>
        <v>37</v>
      </c>
      <c r="K2719" t="str" cm="1">
        <f t="array" ref="K2719">IFERROR(_xlfn.SWITCH(L2719,2,_xlfn.XLOOKUP(C2719,[1]ModifierDes!$B:$B,[1]ModifierDes!$C:$C),3,_xlfn.XLOOKUP(C2719,[1]StuntDes!$B:$B,[1]StuntDes!$C:$C)),"")</f>
        <v/>
      </c>
      <c r="L2719">
        <f t="shared" si="111"/>
        <v>1</v>
      </c>
      <c r="M2719" s="10" t="str">
        <f>IFERROR(_xlfn.XLOOKUP(C2719,[1]StuntDes!$B:$B,[1]StuntDes!$A:$A),"")</f>
        <v/>
      </c>
      <c r="N2719" s="10" t="str">
        <f>IFERROR(_xlfn.XLOOKUP(C2719,[1]ModifierDes!$B:$B,[1]ModifierDes!$A:$A),"")</f>
        <v/>
      </c>
      <c r="O2719" s="10">
        <f>IFERROR(_xlfn.XLOOKUP(C2719,[1]AttributeName!$C:$C,[1]AttributeName!$B:$B),"")</f>
        <v>10307</v>
      </c>
      <c r="P2719" s="10"/>
      <c r="Q2719">
        <v>0.16</v>
      </c>
      <c r="R2719">
        <v>0.18</v>
      </c>
      <c r="S2719" cm="1">
        <f t="array" ref="S2719">IFERROR(_xlfn.SWITCH(L2719,1,_xlfn.XLOOKUP(O2719,[1]AttributeName!$B:$B,[1]AttributeName!$D:$D),2,_xlfn.XLOOKUP(C2719,#REF!,#REF!),3,_xlfn.XLOOKUP(C2719,#REF!,#REF!)),0)</f>
        <v>2</v>
      </c>
      <c r="T2719" cm="1">
        <f t="array" ref="T2719">IFERROR(_xlfn.SWITCH(L2719,1,_xlfn.XLOOKUP(O2719,[1]AttributeName!$B:$B,[1]AttributeName!$E:$E),2,_xlfn.XLOOKUP(C2719,#REF!,#REF!),3,_xlfn.XLOOKUP(C2719,#REF!,#REF!)),0)</f>
        <v>2</v>
      </c>
    </row>
    <row r="2720" customFormat="1" spans="1:20">
      <c r="A2720">
        <f t="shared" si="112"/>
        <v>1110</v>
      </c>
      <c r="B2720">
        <v>5</v>
      </c>
      <c r="C2720" t="s">
        <v>388</v>
      </c>
      <c r="D2720" t="s">
        <v>443</v>
      </c>
      <c r="E2720" t="s">
        <v>378</v>
      </c>
      <c r="F2720"/>
      <c r="G2720">
        <v>1</v>
      </c>
      <c r="H2720">
        <v>1000</v>
      </c>
      <c r="I2720">
        <v>3</v>
      </c>
      <c r="J2720" cm="1">
        <f t="array" ref="J2720">_xlfn.SWITCH(B2720,1,75,2,61,3,49,4,37,5,25,6,13,7,4,8,1)</f>
        <v>25</v>
      </c>
      <c r="K2720" t="str" cm="1">
        <f t="array" ref="K2720">IFERROR(_xlfn.SWITCH(L2720,2,_xlfn.XLOOKUP(C2720,[1]ModifierDes!$B:$B,[1]ModifierDes!$C:$C),3,_xlfn.XLOOKUP(C2720,[1]StuntDes!$B:$B,[1]StuntDes!$C:$C)),"")</f>
        <v/>
      </c>
      <c r="L2720">
        <f t="shared" si="111"/>
        <v>1</v>
      </c>
      <c r="M2720" s="10" t="str">
        <f>IFERROR(_xlfn.XLOOKUP(C2720,[1]StuntDes!$B:$B,[1]StuntDes!$A:$A),"")</f>
        <v/>
      </c>
      <c r="N2720" s="10" t="str">
        <f>IFERROR(_xlfn.XLOOKUP(C2720,[1]ModifierDes!$B:$B,[1]ModifierDes!$A:$A),"")</f>
        <v/>
      </c>
      <c r="O2720" s="10">
        <f>IFERROR(_xlfn.XLOOKUP(C2720,[1]AttributeName!$C:$C,[1]AttributeName!$B:$B),"")</f>
        <v>10307</v>
      </c>
      <c r="P2720" s="10"/>
      <c r="Q2720">
        <v>0.13</v>
      </c>
      <c r="R2720">
        <v>0.15</v>
      </c>
      <c r="S2720" cm="1">
        <f t="array" ref="S2720">IFERROR(_xlfn.SWITCH(L2720,1,_xlfn.XLOOKUP(O2720,[1]AttributeName!$B:$B,[1]AttributeName!$D:$D),2,_xlfn.XLOOKUP(C2720,#REF!,#REF!),3,_xlfn.XLOOKUP(C2720,#REF!,#REF!)),0)</f>
        <v>2</v>
      </c>
      <c r="T2720" cm="1">
        <f t="array" ref="T2720">IFERROR(_xlfn.SWITCH(L2720,1,_xlfn.XLOOKUP(O2720,[1]AttributeName!$B:$B,[1]AttributeName!$E:$E),2,_xlfn.XLOOKUP(C2720,#REF!,#REF!),3,_xlfn.XLOOKUP(C2720,#REF!,#REF!)),0)</f>
        <v>2</v>
      </c>
    </row>
    <row r="2721" customFormat="1" spans="1:20">
      <c r="A2721">
        <f t="shared" si="112"/>
        <v>1110</v>
      </c>
      <c r="B2721">
        <v>6</v>
      </c>
      <c r="C2721" t="s">
        <v>388</v>
      </c>
      <c r="D2721" t="s">
        <v>443</v>
      </c>
      <c r="E2721" t="s">
        <v>378</v>
      </c>
      <c r="F2721"/>
      <c r="G2721">
        <v>1</v>
      </c>
      <c r="H2721">
        <v>1000</v>
      </c>
      <c r="I2721">
        <v>3</v>
      </c>
      <c r="J2721" cm="1">
        <f t="array" ref="J2721">_xlfn.SWITCH(B2721,1,75,2,61,3,49,4,37,5,25,6,13,7,4,8,1)</f>
        <v>13</v>
      </c>
      <c r="K2721" t="str" cm="1">
        <f t="array" ref="K2721">IFERROR(_xlfn.SWITCH(L2721,2,_xlfn.XLOOKUP(C2721,[1]ModifierDes!$B:$B,[1]ModifierDes!$C:$C),3,_xlfn.XLOOKUP(C2721,[1]StuntDes!$B:$B,[1]StuntDes!$C:$C)),"")</f>
        <v/>
      </c>
      <c r="L2721">
        <f t="shared" si="111"/>
        <v>1</v>
      </c>
      <c r="M2721" s="10" t="str">
        <f>IFERROR(_xlfn.XLOOKUP(C2721,[1]StuntDes!$B:$B,[1]StuntDes!$A:$A),"")</f>
        <v/>
      </c>
      <c r="N2721" s="10" t="str">
        <f>IFERROR(_xlfn.XLOOKUP(C2721,[1]ModifierDes!$B:$B,[1]ModifierDes!$A:$A),"")</f>
        <v/>
      </c>
      <c r="O2721" s="10">
        <f>IFERROR(_xlfn.XLOOKUP(C2721,[1]AttributeName!$C:$C,[1]AttributeName!$B:$B),"")</f>
        <v>10307</v>
      </c>
      <c r="P2721" s="10"/>
      <c r="Q2721">
        <v>0.0999999999999999</v>
      </c>
      <c r="R2721">
        <v>0.12</v>
      </c>
      <c r="S2721" cm="1">
        <f t="array" ref="S2721">IFERROR(_xlfn.SWITCH(L2721,1,_xlfn.XLOOKUP(O2721,[1]AttributeName!$B:$B,[1]AttributeName!$D:$D),2,_xlfn.XLOOKUP(C2721,#REF!,#REF!),3,_xlfn.XLOOKUP(C2721,#REF!,#REF!)),0)</f>
        <v>2</v>
      </c>
      <c r="T2721" cm="1">
        <f t="array" ref="T2721">IFERROR(_xlfn.SWITCH(L2721,1,_xlfn.XLOOKUP(O2721,[1]AttributeName!$B:$B,[1]AttributeName!$E:$E),2,_xlfn.XLOOKUP(C2721,#REF!,#REF!),3,_xlfn.XLOOKUP(C2721,#REF!,#REF!)),0)</f>
        <v>2</v>
      </c>
    </row>
    <row r="2722" customFormat="1" spans="1:20">
      <c r="A2722">
        <f t="shared" si="112"/>
        <v>1110</v>
      </c>
      <c r="B2722">
        <v>7</v>
      </c>
      <c r="C2722" t="s">
        <v>388</v>
      </c>
      <c r="D2722" t="s">
        <v>443</v>
      </c>
      <c r="E2722" t="s">
        <v>378</v>
      </c>
      <c r="F2722"/>
      <c r="G2722">
        <v>1</v>
      </c>
      <c r="H2722">
        <v>1000</v>
      </c>
      <c r="I2722">
        <v>3</v>
      </c>
      <c r="J2722" cm="1">
        <f t="array" ref="J2722">_xlfn.SWITCH(B2722,1,75,2,61,3,49,4,37,5,25,6,13,7,4,8,1)</f>
        <v>4</v>
      </c>
      <c r="K2722" t="str" cm="1">
        <f t="array" ref="K2722">IFERROR(_xlfn.SWITCH(L2722,2,_xlfn.XLOOKUP(C2722,[1]ModifierDes!$B:$B,[1]ModifierDes!$C:$C),3,_xlfn.XLOOKUP(C2722,[1]StuntDes!$B:$B,[1]StuntDes!$C:$C)),"")</f>
        <v/>
      </c>
      <c r="L2722">
        <f t="shared" si="111"/>
        <v>1</v>
      </c>
      <c r="M2722" s="10" t="str">
        <f>IFERROR(_xlfn.XLOOKUP(C2722,[1]StuntDes!$B:$B,[1]StuntDes!$A:$A),"")</f>
        <v/>
      </c>
      <c r="N2722" s="10" t="str">
        <f>IFERROR(_xlfn.XLOOKUP(C2722,[1]ModifierDes!$B:$B,[1]ModifierDes!$A:$A),"")</f>
        <v/>
      </c>
      <c r="O2722" s="10">
        <f>IFERROR(_xlfn.XLOOKUP(C2722,[1]AttributeName!$C:$C,[1]AttributeName!$B:$B),"")</f>
        <v>10307</v>
      </c>
      <c r="P2722" s="10"/>
      <c r="Q2722">
        <v>0.0699999999999999</v>
      </c>
      <c r="R2722">
        <v>0.09</v>
      </c>
      <c r="S2722" cm="1">
        <f t="array" ref="S2722">IFERROR(_xlfn.SWITCH(L2722,1,_xlfn.XLOOKUP(O2722,[1]AttributeName!$B:$B,[1]AttributeName!$D:$D),2,_xlfn.XLOOKUP(C2722,#REF!,#REF!),3,_xlfn.XLOOKUP(C2722,#REF!,#REF!)),0)</f>
        <v>2</v>
      </c>
      <c r="T2722" cm="1">
        <f t="array" ref="T2722">IFERROR(_xlfn.SWITCH(L2722,1,_xlfn.XLOOKUP(O2722,[1]AttributeName!$B:$B,[1]AttributeName!$E:$E),2,_xlfn.XLOOKUP(C2722,#REF!,#REF!),3,_xlfn.XLOOKUP(C2722,#REF!,#REF!)),0)</f>
        <v>2</v>
      </c>
    </row>
    <row r="2723" customFormat="1" spans="1:20">
      <c r="A2723">
        <f t="shared" si="112"/>
        <v>1110</v>
      </c>
      <c r="B2723">
        <v>8</v>
      </c>
      <c r="C2723" t="s">
        <v>388</v>
      </c>
      <c r="D2723" t="s">
        <v>443</v>
      </c>
      <c r="E2723" t="s">
        <v>378</v>
      </c>
      <c r="F2723"/>
      <c r="G2723">
        <v>1</v>
      </c>
      <c r="H2723">
        <v>1000</v>
      </c>
      <c r="I2723">
        <v>3</v>
      </c>
      <c r="J2723" cm="1">
        <f t="array" ref="J2723">_xlfn.SWITCH(B2723,1,75,2,61,3,49,4,37,5,25,6,13,7,4,8,1)</f>
        <v>1</v>
      </c>
      <c r="K2723" t="str" cm="1">
        <f t="array" ref="K2723">IFERROR(_xlfn.SWITCH(L2723,2,_xlfn.XLOOKUP(C2723,[1]ModifierDes!$B:$B,[1]ModifierDes!$C:$C),3,_xlfn.XLOOKUP(C2723,[1]StuntDes!$B:$B,[1]StuntDes!$C:$C)),"")</f>
        <v/>
      </c>
      <c r="L2723">
        <f t="shared" si="111"/>
        <v>1</v>
      </c>
      <c r="M2723" s="10" t="str">
        <f>IFERROR(_xlfn.XLOOKUP(C2723,[1]StuntDes!$B:$B,[1]StuntDes!$A:$A),"")</f>
        <v/>
      </c>
      <c r="N2723" s="10" t="str">
        <f>IFERROR(_xlfn.XLOOKUP(C2723,[1]ModifierDes!$B:$B,[1]ModifierDes!$A:$A),"")</f>
        <v/>
      </c>
      <c r="O2723" s="10">
        <f>IFERROR(_xlfn.XLOOKUP(C2723,[1]AttributeName!$C:$C,[1]AttributeName!$B:$B),"")</f>
        <v>10307</v>
      </c>
      <c r="P2723" s="10"/>
      <c r="Q2723">
        <v>0.0399999999999998</v>
      </c>
      <c r="R2723">
        <v>0.06</v>
      </c>
      <c r="S2723" cm="1">
        <f t="array" ref="S2723">IFERROR(_xlfn.SWITCH(L2723,1,_xlfn.XLOOKUP(O2723,[1]AttributeName!$B:$B,[1]AttributeName!$D:$D),2,_xlfn.XLOOKUP(C2723,#REF!,#REF!),3,_xlfn.XLOOKUP(C2723,#REF!,#REF!)),0)</f>
        <v>2</v>
      </c>
      <c r="T2723" cm="1">
        <f t="array" ref="T2723">IFERROR(_xlfn.SWITCH(L2723,1,_xlfn.XLOOKUP(O2723,[1]AttributeName!$B:$B,[1]AttributeName!$E:$E),2,_xlfn.XLOOKUP(C2723,#REF!,#REF!),3,_xlfn.XLOOKUP(C2723,#REF!,#REF!)),0)</f>
        <v>2</v>
      </c>
    </row>
    <row r="2724" customFormat="1" spans="1:20">
      <c r="A2724">
        <f t="shared" si="112"/>
        <v>1111</v>
      </c>
      <c r="B2724">
        <v>1</v>
      </c>
      <c r="C2724" t="s">
        <v>429</v>
      </c>
      <c r="D2724" t="s">
        <v>443</v>
      </c>
      <c r="E2724" t="s">
        <v>378</v>
      </c>
      <c r="F2724"/>
      <c r="G2724">
        <v>1</v>
      </c>
      <c r="H2724">
        <v>250</v>
      </c>
      <c r="J2724" cm="1">
        <f t="array" ref="J2724">_xlfn.SWITCH(B2724,1,75,2,61,3,49,4,37,5,25,6,13,7,4,8,1)</f>
        <v>75</v>
      </c>
      <c r="K2724" t="str" cm="1">
        <f t="array" ref="K2724">IFERROR(_xlfn.SWITCH(L2724,2,_xlfn.XLOOKUP(C2724,[1]ModifierDes!$B:$B,[1]ModifierDes!$C:$C),3,_xlfn.XLOOKUP(C2724,[1]StuntDes!$B:$B,[1]StuntDes!$C:$C)),"")</f>
        <v/>
      </c>
      <c r="L2724">
        <f t="shared" si="111"/>
        <v>1</v>
      </c>
      <c r="M2724" s="10" t="str">
        <f>IFERROR(_xlfn.XLOOKUP(C2724,[1]StuntDes!$B:$B,[1]StuntDes!$A:$A),"")</f>
        <v/>
      </c>
      <c r="N2724" s="10" t="str">
        <f>IFERROR(_xlfn.XLOOKUP(C2724,[1]ModifierDes!$B:$B,[1]ModifierDes!$A:$A),"")</f>
        <v/>
      </c>
      <c r="O2724" s="10">
        <f>IFERROR(_xlfn.XLOOKUP(C2724,[1]AttributeName!$C:$C,[1]AttributeName!$B:$B),"")</f>
        <v>10811</v>
      </c>
      <c r="P2724" s="10"/>
      <c r="Q2724">
        <v>0.08</v>
      </c>
      <c r="R2724">
        <v>0.1</v>
      </c>
      <c r="S2724" cm="1">
        <f t="array" ref="S2724">IFERROR(_xlfn.SWITCH(L2724,1,_xlfn.XLOOKUP(O2724,[1]AttributeName!$B:$B,[1]AttributeName!$D:$D),2,_xlfn.XLOOKUP(C2724,#REF!,#REF!),3,_xlfn.XLOOKUP(C2724,#REF!,#REF!)),0)</f>
        <v>2</v>
      </c>
      <c r="T2724" cm="1">
        <f t="array" ref="T2724">IFERROR(_xlfn.SWITCH(L2724,1,_xlfn.XLOOKUP(O2724,[1]AttributeName!$B:$B,[1]AttributeName!$E:$E),2,_xlfn.XLOOKUP(C2724,#REF!,#REF!),3,_xlfn.XLOOKUP(C2724,#REF!,#REF!)),0)</f>
        <v>2</v>
      </c>
    </row>
    <row r="2725" customFormat="1" spans="1:20">
      <c r="A2725">
        <f t="shared" si="112"/>
        <v>1111</v>
      </c>
      <c r="B2725">
        <v>2</v>
      </c>
      <c r="C2725" t="s">
        <v>429</v>
      </c>
      <c r="D2725" t="s">
        <v>443</v>
      </c>
      <c r="E2725" t="s">
        <v>378</v>
      </c>
      <c r="F2725"/>
      <c r="G2725">
        <v>1</v>
      </c>
      <c r="H2725">
        <v>500</v>
      </c>
      <c r="J2725" cm="1">
        <f t="array" ref="J2725">_xlfn.SWITCH(B2725,1,75,2,61,3,49,4,37,5,25,6,13,7,4,8,1)</f>
        <v>61</v>
      </c>
      <c r="K2725" t="str" cm="1">
        <f t="array" ref="K2725">IFERROR(_xlfn.SWITCH(L2725,2,_xlfn.XLOOKUP(C2725,[1]ModifierDes!$B:$B,[1]ModifierDes!$C:$C),3,_xlfn.XLOOKUP(C2725,[1]StuntDes!$B:$B,[1]StuntDes!$C:$C)),"")</f>
        <v/>
      </c>
      <c r="L2725">
        <f t="shared" si="111"/>
        <v>1</v>
      </c>
      <c r="M2725" s="10" t="str">
        <f>IFERROR(_xlfn.XLOOKUP(C2725,[1]StuntDes!$B:$B,[1]StuntDes!$A:$A),"")</f>
        <v/>
      </c>
      <c r="N2725" s="10" t="str">
        <f>IFERROR(_xlfn.XLOOKUP(C2725,[1]ModifierDes!$B:$B,[1]ModifierDes!$A:$A),"")</f>
        <v/>
      </c>
      <c r="O2725" s="10">
        <f>IFERROR(_xlfn.XLOOKUP(C2725,[1]AttributeName!$C:$C,[1]AttributeName!$B:$B),"")</f>
        <v>10811</v>
      </c>
      <c r="P2725" s="10"/>
      <c r="Q2725">
        <v>0.07</v>
      </c>
      <c r="R2725">
        <v>0.07</v>
      </c>
      <c r="S2725" cm="1">
        <f t="array" ref="S2725">IFERROR(_xlfn.SWITCH(L2725,1,_xlfn.XLOOKUP(O2725,[1]AttributeName!$B:$B,[1]AttributeName!$D:$D),2,_xlfn.XLOOKUP(C2725,#REF!,#REF!),3,_xlfn.XLOOKUP(C2725,#REF!,#REF!)),0)</f>
        <v>2</v>
      </c>
      <c r="T2725" cm="1">
        <f t="array" ref="T2725">IFERROR(_xlfn.SWITCH(L2725,1,_xlfn.XLOOKUP(O2725,[1]AttributeName!$B:$B,[1]AttributeName!$E:$E),2,_xlfn.XLOOKUP(C2725,#REF!,#REF!),3,_xlfn.XLOOKUP(C2725,#REF!,#REF!)),0)</f>
        <v>2</v>
      </c>
    </row>
    <row r="2726" customFormat="1" spans="1:20">
      <c r="A2726">
        <f t="shared" si="112"/>
        <v>1111</v>
      </c>
      <c r="B2726">
        <v>3</v>
      </c>
      <c r="C2726" t="s">
        <v>429</v>
      </c>
      <c r="D2726" t="s">
        <v>443</v>
      </c>
      <c r="E2726" t="s">
        <v>378</v>
      </c>
      <c r="F2726"/>
      <c r="G2726">
        <v>1</v>
      </c>
      <c r="H2726">
        <v>750</v>
      </c>
      <c r="J2726" cm="1">
        <f t="array" ref="J2726">_xlfn.SWITCH(B2726,1,75,2,61,3,49,4,37,5,25,6,13,7,4,8,1)</f>
        <v>49</v>
      </c>
      <c r="K2726" t="str" cm="1">
        <f t="array" ref="K2726">IFERROR(_xlfn.SWITCH(L2726,2,_xlfn.XLOOKUP(C2726,[1]ModifierDes!$B:$B,[1]ModifierDes!$C:$C),3,_xlfn.XLOOKUP(C2726,[1]StuntDes!$B:$B,[1]StuntDes!$C:$C)),"")</f>
        <v/>
      </c>
      <c r="L2726">
        <f t="shared" si="111"/>
        <v>1</v>
      </c>
      <c r="M2726" s="10" t="str">
        <f>IFERROR(_xlfn.XLOOKUP(C2726,[1]StuntDes!$B:$B,[1]StuntDes!$A:$A),"")</f>
        <v/>
      </c>
      <c r="N2726" s="10" t="str">
        <f>IFERROR(_xlfn.XLOOKUP(C2726,[1]ModifierDes!$B:$B,[1]ModifierDes!$A:$A),"")</f>
        <v/>
      </c>
      <c r="O2726" s="10">
        <f>IFERROR(_xlfn.XLOOKUP(C2726,[1]AttributeName!$C:$C,[1]AttributeName!$B:$B),"")</f>
        <v>10811</v>
      </c>
      <c r="P2726" s="10"/>
      <c r="Q2726">
        <v>0.06</v>
      </c>
      <c r="R2726">
        <v>0.06</v>
      </c>
      <c r="S2726" cm="1">
        <f t="array" ref="S2726">IFERROR(_xlfn.SWITCH(L2726,1,_xlfn.XLOOKUP(O2726,[1]AttributeName!$B:$B,[1]AttributeName!$D:$D),2,_xlfn.XLOOKUP(C2726,#REF!,#REF!),3,_xlfn.XLOOKUP(C2726,#REF!,#REF!)),0)</f>
        <v>2</v>
      </c>
      <c r="T2726" cm="1">
        <f t="array" ref="T2726">IFERROR(_xlfn.SWITCH(L2726,1,_xlfn.XLOOKUP(O2726,[1]AttributeName!$B:$B,[1]AttributeName!$E:$E),2,_xlfn.XLOOKUP(C2726,#REF!,#REF!),3,_xlfn.XLOOKUP(C2726,#REF!,#REF!)),0)</f>
        <v>2</v>
      </c>
    </row>
    <row r="2727" customFormat="1" spans="1:20">
      <c r="A2727">
        <f t="shared" si="112"/>
        <v>1111</v>
      </c>
      <c r="B2727">
        <v>4</v>
      </c>
      <c r="C2727" t="s">
        <v>429</v>
      </c>
      <c r="D2727" t="s">
        <v>443</v>
      </c>
      <c r="E2727" t="s">
        <v>378</v>
      </c>
      <c r="F2727"/>
      <c r="G2727">
        <v>1</v>
      </c>
      <c r="H2727">
        <v>1000</v>
      </c>
      <c r="J2727" cm="1">
        <f t="array" ref="J2727">_xlfn.SWITCH(B2727,1,75,2,61,3,49,4,37,5,25,6,13,7,4,8,1)</f>
        <v>37</v>
      </c>
      <c r="K2727" t="str" cm="1">
        <f t="array" ref="K2727">IFERROR(_xlfn.SWITCH(L2727,2,_xlfn.XLOOKUP(C2727,[1]ModifierDes!$B:$B,[1]ModifierDes!$C:$C),3,_xlfn.XLOOKUP(C2727,[1]StuntDes!$B:$B,[1]StuntDes!$C:$C)),"")</f>
        <v/>
      </c>
      <c r="L2727">
        <f t="shared" si="111"/>
        <v>1</v>
      </c>
      <c r="M2727" s="10" t="str">
        <f>IFERROR(_xlfn.XLOOKUP(C2727,[1]StuntDes!$B:$B,[1]StuntDes!$A:$A),"")</f>
        <v/>
      </c>
      <c r="N2727" s="10" t="str">
        <f>IFERROR(_xlfn.XLOOKUP(C2727,[1]ModifierDes!$B:$B,[1]ModifierDes!$A:$A),"")</f>
        <v/>
      </c>
      <c r="O2727" s="10">
        <f>IFERROR(_xlfn.XLOOKUP(C2727,[1]AttributeName!$C:$C,[1]AttributeName!$B:$B),"")</f>
        <v>10811</v>
      </c>
      <c r="P2727" s="10"/>
      <c r="Q2727">
        <v>0.05</v>
      </c>
      <c r="R2727">
        <v>0.05</v>
      </c>
      <c r="S2727" cm="1">
        <f t="array" ref="S2727">IFERROR(_xlfn.SWITCH(L2727,1,_xlfn.XLOOKUP(O2727,[1]AttributeName!$B:$B,[1]AttributeName!$D:$D),2,_xlfn.XLOOKUP(C2727,#REF!,#REF!),3,_xlfn.XLOOKUP(C2727,#REF!,#REF!)),0)</f>
        <v>2</v>
      </c>
      <c r="T2727" cm="1">
        <f t="array" ref="T2727">IFERROR(_xlfn.SWITCH(L2727,1,_xlfn.XLOOKUP(O2727,[1]AttributeName!$B:$B,[1]AttributeName!$E:$E),2,_xlfn.XLOOKUP(C2727,#REF!,#REF!),3,_xlfn.XLOOKUP(C2727,#REF!,#REF!)),0)</f>
        <v>2</v>
      </c>
    </row>
    <row r="2728" customFormat="1" spans="1:20">
      <c r="A2728">
        <f t="shared" si="112"/>
        <v>1111</v>
      </c>
      <c r="B2728">
        <v>5</v>
      </c>
      <c r="C2728" t="s">
        <v>429</v>
      </c>
      <c r="D2728" t="s">
        <v>443</v>
      </c>
      <c r="E2728" t="s">
        <v>378</v>
      </c>
      <c r="F2728"/>
      <c r="G2728">
        <v>1</v>
      </c>
      <c r="H2728">
        <v>1000</v>
      </c>
      <c r="J2728" cm="1">
        <f t="array" ref="J2728">_xlfn.SWITCH(B2728,1,75,2,61,3,49,4,37,5,25,6,13,7,4,8,1)</f>
        <v>25</v>
      </c>
      <c r="K2728" t="str" cm="1">
        <f t="array" ref="K2728">IFERROR(_xlfn.SWITCH(L2728,2,_xlfn.XLOOKUP(C2728,[1]ModifierDes!$B:$B,[1]ModifierDes!$C:$C),3,_xlfn.XLOOKUP(C2728,[1]StuntDes!$B:$B,[1]StuntDes!$C:$C)),"")</f>
        <v/>
      </c>
      <c r="L2728">
        <f t="shared" si="111"/>
        <v>1</v>
      </c>
      <c r="M2728" s="10" t="str">
        <f>IFERROR(_xlfn.XLOOKUP(C2728,[1]StuntDes!$B:$B,[1]StuntDes!$A:$A),"")</f>
        <v/>
      </c>
      <c r="N2728" s="10" t="str">
        <f>IFERROR(_xlfn.XLOOKUP(C2728,[1]ModifierDes!$B:$B,[1]ModifierDes!$A:$A),"")</f>
        <v/>
      </c>
      <c r="O2728" s="10">
        <f>IFERROR(_xlfn.XLOOKUP(C2728,[1]AttributeName!$C:$C,[1]AttributeName!$B:$B),"")</f>
        <v>10811</v>
      </c>
      <c r="P2728" s="10"/>
      <c r="Q2728">
        <v>0.04</v>
      </c>
      <c r="R2728">
        <v>0.04</v>
      </c>
      <c r="S2728" cm="1">
        <f t="array" ref="S2728">IFERROR(_xlfn.SWITCH(L2728,1,_xlfn.XLOOKUP(O2728,[1]AttributeName!$B:$B,[1]AttributeName!$D:$D),2,_xlfn.XLOOKUP(C2728,#REF!,#REF!),3,_xlfn.XLOOKUP(C2728,#REF!,#REF!)),0)</f>
        <v>2</v>
      </c>
      <c r="T2728" cm="1">
        <f t="array" ref="T2728">IFERROR(_xlfn.SWITCH(L2728,1,_xlfn.XLOOKUP(O2728,[1]AttributeName!$B:$B,[1]AttributeName!$E:$E),2,_xlfn.XLOOKUP(C2728,#REF!,#REF!),3,_xlfn.XLOOKUP(C2728,#REF!,#REF!)),0)</f>
        <v>2</v>
      </c>
    </row>
    <row r="2729" customFormat="1" spans="1:20">
      <c r="A2729">
        <f t="shared" si="112"/>
        <v>1111</v>
      </c>
      <c r="B2729">
        <v>6</v>
      </c>
      <c r="C2729" t="s">
        <v>429</v>
      </c>
      <c r="D2729" t="s">
        <v>443</v>
      </c>
      <c r="E2729" t="s">
        <v>378</v>
      </c>
      <c r="F2729"/>
      <c r="G2729">
        <v>1</v>
      </c>
      <c r="H2729">
        <v>1000</v>
      </c>
      <c r="J2729" cm="1">
        <f t="array" ref="J2729">_xlfn.SWITCH(B2729,1,75,2,61,3,49,4,37,5,25,6,13,7,4,8,1)</f>
        <v>13</v>
      </c>
      <c r="K2729" t="str" cm="1">
        <f t="array" ref="K2729">IFERROR(_xlfn.SWITCH(L2729,2,_xlfn.XLOOKUP(C2729,[1]ModifierDes!$B:$B,[1]ModifierDes!$C:$C),3,_xlfn.XLOOKUP(C2729,[1]StuntDes!$B:$B,[1]StuntDes!$C:$C)),"")</f>
        <v/>
      </c>
      <c r="L2729">
        <f t="shared" si="111"/>
        <v>1</v>
      </c>
      <c r="M2729" s="10" t="str">
        <f>IFERROR(_xlfn.XLOOKUP(C2729,[1]StuntDes!$B:$B,[1]StuntDes!$A:$A),"")</f>
        <v/>
      </c>
      <c r="N2729" s="10" t="str">
        <f>IFERROR(_xlfn.XLOOKUP(C2729,[1]ModifierDes!$B:$B,[1]ModifierDes!$A:$A),"")</f>
        <v/>
      </c>
      <c r="O2729" s="10">
        <f>IFERROR(_xlfn.XLOOKUP(C2729,[1]AttributeName!$C:$C,[1]AttributeName!$B:$B),"")</f>
        <v>10811</v>
      </c>
      <c r="P2729" s="10"/>
      <c r="Q2729">
        <v>0.03</v>
      </c>
      <c r="R2729">
        <v>0.03</v>
      </c>
      <c r="S2729" cm="1">
        <f t="array" ref="S2729">IFERROR(_xlfn.SWITCH(L2729,1,_xlfn.XLOOKUP(O2729,[1]AttributeName!$B:$B,[1]AttributeName!$D:$D),2,_xlfn.XLOOKUP(C2729,#REF!,#REF!),3,_xlfn.XLOOKUP(C2729,#REF!,#REF!)),0)</f>
        <v>2</v>
      </c>
      <c r="T2729" cm="1">
        <f t="array" ref="T2729">IFERROR(_xlfn.SWITCH(L2729,1,_xlfn.XLOOKUP(O2729,[1]AttributeName!$B:$B,[1]AttributeName!$E:$E),2,_xlfn.XLOOKUP(C2729,#REF!,#REF!),3,_xlfn.XLOOKUP(C2729,#REF!,#REF!)),0)</f>
        <v>2</v>
      </c>
    </row>
    <row r="2730" customFormat="1" spans="1:20">
      <c r="A2730">
        <f t="shared" si="112"/>
        <v>1111</v>
      </c>
      <c r="B2730">
        <v>7</v>
      </c>
      <c r="C2730" t="s">
        <v>429</v>
      </c>
      <c r="D2730" t="s">
        <v>443</v>
      </c>
      <c r="E2730" t="s">
        <v>378</v>
      </c>
      <c r="F2730"/>
      <c r="G2730">
        <v>1</v>
      </c>
      <c r="H2730">
        <v>1000</v>
      </c>
      <c r="J2730" cm="1">
        <f t="array" ref="J2730">_xlfn.SWITCH(B2730,1,75,2,61,3,49,4,37,5,25,6,13,7,4,8,1)</f>
        <v>4</v>
      </c>
      <c r="K2730" t="str" cm="1">
        <f t="array" ref="K2730">IFERROR(_xlfn.SWITCH(L2730,2,_xlfn.XLOOKUP(C2730,[1]ModifierDes!$B:$B,[1]ModifierDes!$C:$C),3,_xlfn.XLOOKUP(C2730,[1]StuntDes!$B:$B,[1]StuntDes!$C:$C)),"")</f>
        <v/>
      </c>
      <c r="L2730">
        <f t="shared" si="111"/>
        <v>1</v>
      </c>
      <c r="M2730" s="10" t="str">
        <f>IFERROR(_xlfn.XLOOKUP(C2730,[1]StuntDes!$B:$B,[1]StuntDes!$A:$A),"")</f>
        <v/>
      </c>
      <c r="N2730" s="10" t="str">
        <f>IFERROR(_xlfn.XLOOKUP(C2730,[1]ModifierDes!$B:$B,[1]ModifierDes!$A:$A),"")</f>
        <v/>
      </c>
      <c r="O2730" s="10">
        <f>IFERROR(_xlfn.XLOOKUP(C2730,[1]AttributeName!$C:$C,[1]AttributeName!$B:$B),"")</f>
        <v>10811</v>
      </c>
      <c r="P2730" s="10"/>
      <c r="Q2730">
        <v>0.02</v>
      </c>
      <c r="R2730">
        <v>0.02</v>
      </c>
      <c r="S2730" cm="1">
        <f t="array" ref="S2730">IFERROR(_xlfn.SWITCH(L2730,1,_xlfn.XLOOKUP(O2730,[1]AttributeName!$B:$B,[1]AttributeName!$D:$D),2,_xlfn.XLOOKUP(C2730,#REF!,#REF!),3,_xlfn.XLOOKUP(C2730,#REF!,#REF!)),0)</f>
        <v>2</v>
      </c>
      <c r="T2730" cm="1">
        <f t="array" ref="T2730">IFERROR(_xlfn.SWITCH(L2730,1,_xlfn.XLOOKUP(O2730,[1]AttributeName!$B:$B,[1]AttributeName!$E:$E),2,_xlfn.XLOOKUP(C2730,#REF!,#REF!),3,_xlfn.XLOOKUP(C2730,#REF!,#REF!)),0)</f>
        <v>2</v>
      </c>
    </row>
    <row r="2731" customFormat="1" spans="1:20">
      <c r="A2731">
        <f t="shared" si="112"/>
        <v>1111</v>
      </c>
      <c r="B2731">
        <v>8</v>
      </c>
      <c r="C2731" t="s">
        <v>429</v>
      </c>
      <c r="D2731" t="s">
        <v>443</v>
      </c>
      <c r="E2731" t="s">
        <v>378</v>
      </c>
      <c r="F2731"/>
      <c r="G2731">
        <v>1</v>
      </c>
      <c r="H2731">
        <v>1000</v>
      </c>
      <c r="J2731" cm="1">
        <f t="array" ref="J2731">_xlfn.SWITCH(B2731,1,75,2,61,3,49,4,37,5,25,6,13,7,4,8,1)</f>
        <v>1</v>
      </c>
      <c r="K2731" t="str" cm="1">
        <f t="array" ref="K2731">IFERROR(_xlfn.SWITCH(L2731,2,_xlfn.XLOOKUP(C2731,[1]ModifierDes!$B:$B,[1]ModifierDes!$C:$C),3,_xlfn.XLOOKUP(C2731,[1]StuntDes!$B:$B,[1]StuntDes!$C:$C)),"")</f>
        <v/>
      </c>
      <c r="L2731">
        <f t="shared" si="111"/>
        <v>1</v>
      </c>
      <c r="M2731" s="10" t="str">
        <f>IFERROR(_xlfn.XLOOKUP(C2731,[1]StuntDes!$B:$B,[1]StuntDes!$A:$A),"")</f>
        <v/>
      </c>
      <c r="N2731" s="10" t="str">
        <f>IFERROR(_xlfn.XLOOKUP(C2731,[1]ModifierDes!$B:$B,[1]ModifierDes!$A:$A),"")</f>
        <v/>
      </c>
      <c r="O2731" s="10">
        <f>IFERROR(_xlfn.XLOOKUP(C2731,[1]AttributeName!$C:$C,[1]AttributeName!$B:$B),"")</f>
        <v>10811</v>
      </c>
      <c r="P2731" s="10"/>
      <c r="Q2731">
        <v>0.01</v>
      </c>
      <c r="R2731">
        <v>0.01</v>
      </c>
      <c r="S2731" cm="1">
        <f t="array" ref="S2731">IFERROR(_xlfn.SWITCH(L2731,1,_xlfn.XLOOKUP(O2731,[1]AttributeName!$B:$B,[1]AttributeName!$D:$D),2,_xlfn.XLOOKUP(C2731,#REF!,#REF!),3,_xlfn.XLOOKUP(C2731,#REF!,#REF!)),0)</f>
        <v>2</v>
      </c>
      <c r="T2731" cm="1">
        <f t="array" ref="T2731">IFERROR(_xlfn.SWITCH(L2731,1,_xlfn.XLOOKUP(O2731,[1]AttributeName!$B:$B,[1]AttributeName!$E:$E),2,_xlfn.XLOOKUP(C2731,#REF!,#REF!),3,_xlfn.XLOOKUP(C2731,#REF!,#REF!)),0)</f>
        <v>2</v>
      </c>
    </row>
    <row r="2732" customFormat="1" spans="1:20">
      <c r="A2732">
        <f t="shared" si="112"/>
        <v>1112</v>
      </c>
      <c r="B2732">
        <v>1</v>
      </c>
      <c r="C2732" t="s">
        <v>430</v>
      </c>
      <c r="D2732" t="s">
        <v>443</v>
      </c>
      <c r="E2732" t="s">
        <v>378</v>
      </c>
      <c r="F2732"/>
      <c r="G2732">
        <v>1</v>
      </c>
      <c r="H2732">
        <v>250</v>
      </c>
      <c r="J2732" cm="1">
        <f t="array" ref="J2732">_xlfn.SWITCH(B2732,1,75,2,61,3,49,4,37,5,25,6,13,7,4,8,1)</f>
        <v>75</v>
      </c>
      <c r="K2732" t="str" cm="1">
        <f t="array" ref="K2732">IFERROR(_xlfn.SWITCH(L2732,2,_xlfn.XLOOKUP(C2732,[1]ModifierDes!$B:$B,[1]ModifierDes!$C:$C),3,_xlfn.XLOOKUP(C2732,[1]StuntDes!$B:$B,[1]StuntDes!$C:$C)),"")</f>
        <v/>
      </c>
      <c r="L2732">
        <f t="shared" si="111"/>
        <v>1</v>
      </c>
      <c r="M2732" s="10" t="str">
        <f>IFERROR(_xlfn.XLOOKUP(C2732,[1]StuntDes!$B:$B,[1]StuntDes!$A:$A),"")</f>
        <v/>
      </c>
      <c r="N2732" s="10" t="str">
        <f>IFERROR(_xlfn.XLOOKUP(C2732,[1]ModifierDes!$B:$B,[1]ModifierDes!$A:$A),"")</f>
        <v/>
      </c>
      <c r="O2732" s="10">
        <f>IFERROR(_xlfn.XLOOKUP(C2732,[1]AttributeName!$C:$C,[1]AttributeName!$B:$B),"")</f>
        <v>10812</v>
      </c>
      <c r="P2732" s="10"/>
      <c r="Q2732">
        <v>0.08</v>
      </c>
      <c r="R2732">
        <v>0.1</v>
      </c>
      <c r="S2732" cm="1">
        <f t="array" ref="S2732">IFERROR(_xlfn.SWITCH(L2732,1,_xlfn.XLOOKUP(O2732,[1]AttributeName!$B:$B,[1]AttributeName!$D:$D),2,_xlfn.XLOOKUP(C2732,#REF!,#REF!),3,_xlfn.XLOOKUP(C2732,#REF!,#REF!)),0)</f>
        <v>2</v>
      </c>
      <c r="T2732" cm="1">
        <f t="array" ref="T2732">IFERROR(_xlfn.SWITCH(L2732,1,_xlfn.XLOOKUP(O2732,[1]AttributeName!$B:$B,[1]AttributeName!$E:$E),2,_xlfn.XLOOKUP(C2732,#REF!,#REF!),3,_xlfn.XLOOKUP(C2732,#REF!,#REF!)),0)</f>
        <v>2</v>
      </c>
    </row>
    <row r="2733" customFormat="1" spans="1:20">
      <c r="A2733">
        <f t="shared" si="112"/>
        <v>1112</v>
      </c>
      <c r="B2733">
        <v>2</v>
      </c>
      <c r="C2733" t="s">
        <v>430</v>
      </c>
      <c r="D2733" t="s">
        <v>443</v>
      </c>
      <c r="E2733" t="s">
        <v>378</v>
      </c>
      <c r="F2733"/>
      <c r="G2733">
        <v>1</v>
      </c>
      <c r="H2733">
        <v>500</v>
      </c>
      <c r="J2733" cm="1">
        <f t="array" ref="J2733">_xlfn.SWITCH(B2733,1,75,2,61,3,49,4,37,5,25,6,13,7,4,8,1)</f>
        <v>61</v>
      </c>
      <c r="K2733" t="str" cm="1">
        <f t="array" ref="K2733">IFERROR(_xlfn.SWITCH(L2733,2,_xlfn.XLOOKUP(C2733,[1]ModifierDes!$B:$B,[1]ModifierDes!$C:$C),3,_xlfn.XLOOKUP(C2733,[1]StuntDes!$B:$B,[1]StuntDes!$C:$C)),"")</f>
        <v/>
      </c>
      <c r="L2733">
        <f t="shared" si="111"/>
        <v>1</v>
      </c>
      <c r="M2733" s="10" t="str">
        <f>IFERROR(_xlfn.XLOOKUP(C2733,[1]StuntDes!$B:$B,[1]StuntDes!$A:$A),"")</f>
        <v/>
      </c>
      <c r="N2733" s="10" t="str">
        <f>IFERROR(_xlfn.XLOOKUP(C2733,[1]ModifierDes!$B:$B,[1]ModifierDes!$A:$A),"")</f>
        <v/>
      </c>
      <c r="O2733" s="10">
        <f>IFERROR(_xlfn.XLOOKUP(C2733,[1]AttributeName!$C:$C,[1]AttributeName!$B:$B),"")</f>
        <v>10812</v>
      </c>
      <c r="P2733" s="10"/>
      <c r="Q2733">
        <v>0.07</v>
      </c>
      <c r="R2733">
        <v>0.07</v>
      </c>
      <c r="S2733" cm="1">
        <f t="array" ref="S2733">IFERROR(_xlfn.SWITCH(L2733,1,_xlfn.XLOOKUP(O2733,[1]AttributeName!$B:$B,[1]AttributeName!$D:$D),2,_xlfn.XLOOKUP(C2733,#REF!,#REF!),3,_xlfn.XLOOKUP(C2733,#REF!,#REF!)),0)</f>
        <v>2</v>
      </c>
      <c r="T2733" cm="1">
        <f t="array" ref="T2733">IFERROR(_xlfn.SWITCH(L2733,1,_xlfn.XLOOKUP(O2733,[1]AttributeName!$B:$B,[1]AttributeName!$E:$E),2,_xlfn.XLOOKUP(C2733,#REF!,#REF!),3,_xlfn.XLOOKUP(C2733,#REF!,#REF!)),0)</f>
        <v>2</v>
      </c>
    </row>
    <row r="2734" customFormat="1" spans="1:20">
      <c r="A2734">
        <f t="shared" si="112"/>
        <v>1112</v>
      </c>
      <c r="B2734">
        <v>3</v>
      </c>
      <c r="C2734" t="s">
        <v>430</v>
      </c>
      <c r="D2734" t="s">
        <v>443</v>
      </c>
      <c r="E2734" t="s">
        <v>378</v>
      </c>
      <c r="F2734"/>
      <c r="G2734">
        <v>1</v>
      </c>
      <c r="H2734">
        <v>750</v>
      </c>
      <c r="J2734" cm="1">
        <f t="array" ref="J2734">_xlfn.SWITCH(B2734,1,75,2,61,3,49,4,37,5,25,6,13,7,4,8,1)</f>
        <v>49</v>
      </c>
      <c r="K2734" t="str" cm="1">
        <f t="array" ref="K2734">IFERROR(_xlfn.SWITCH(L2734,2,_xlfn.XLOOKUP(C2734,[1]ModifierDes!$B:$B,[1]ModifierDes!$C:$C),3,_xlfn.XLOOKUP(C2734,[1]StuntDes!$B:$B,[1]StuntDes!$C:$C)),"")</f>
        <v/>
      </c>
      <c r="L2734">
        <f t="shared" si="111"/>
        <v>1</v>
      </c>
      <c r="M2734" s="10" t="str">
        <f>IFERROR(_xlfn.XLOOKUP(C2734,[1]StuntDes!$B:$B,[1]StuntDes!$A:$A),"")</f>
        <v/>
      </c>
      <c r="N2734" s="10" t="str">
        <f>IFERROR(_xlfn.XLOOKUP(C2734,[1]ModifierDes!$B:$B,[1]ModifierDes!$A:$A),"")</f>
        <v/>
      </c>
      <c r="O2734" s="10">
        <f>IFERROR(_xlfn.XLOOKUP(C2734,[1]AttributeName!$C:$C,[1]AttributeName!$B:$B),"")</f>
        <v>10812</v>
      </c>
      <c r="P2734" s="10"/>
      <c r="Q2734">
        <v>0.06</v>
      </c>
      <c r="R2734">
        <v>0.06</v>
      </c>
      <c r="S2734" cm="1">
        <f t="array" ref="S2734">IFERROR(_xlfn.SWITCH(L2734,1,_xlfn.XLOOKUP(O2734,[1]AttributeName!$B:$B,[1]AttributeName!$D:$D),2,_xlfn.XLOOKUP(C2734,#REF!,#REF!),3,_xlfn.XLOOKUP(C2734,#REF!,#REF!)),0)</f>
        <v>2</v>
      </c>
      <c r="T2734" cm="1">
        <f t="array" ref="T2734">IFERROR(_xlfn.SWITCH(L2734,1,_xlfn.XLOOKUP(O2734,[1]AttributeName!$B:$B,[1]AttributeName!$E:$E),2,_xlfn.XLOOKUP(C2734,#REF!,#REF!),3,_xlfn.XLOOKUP(C2734,#REF!,#REF!)),0)</f>
        <v>2</v>
      </c>
    </row>
    <row r="2735" customFormat="1" spans="1:20">
      <c r="A2735">
        <f t="shared" si="112"/>
        <v>1112</v>
      </c>
      <c r="B2735">
        <v>4</v>
      </c>
      <c r="C2735" t="s">
        <v>430</v>
      </c>
      <c r="D2735" t="s">
        <v>443</v>
      </c>
      <c r="E2735" t="s">
        <v>378</v>
      </c>
      <c r="F2735"/>
      <c r="G2735">
        <v>1</v>
      </c>
      <c r="H2735">
        <v>1000</v>
      </c>
      <c r="J2735" cm="1">
        <f t="array" ref="J2735">_xlfn.SWITCH(B2735,1,75,2,61,3,49,4,37,5,25,6,13,7,4,8,1)</f>
        <v>37</v>
      </c>
      <c r="K2735" t="str" cm="1">
        <f t="array" ref="K2735">IFERROR(_xlfn.SWITCH(L2735,2,_xlfn.XLOOKUP(C2735,[1]ModifierDes!$B:$B,[1]ModifierDes!$C:$C),3,_xlfn.XLOOKUP(C2735,[1]StuntDes!$B:$B,[1]StuntDes!$C:$C)),"")</f>
        <v/>
      </c>
      <c r="L2735">
        <f t="shared" si="111"/>
        <v>1</v>
      </c>
      <c r="M2735" s="10" t="str">
        <f>IFERROR(_xlfn.XLOOKUP(C2735,[1]StuntDes!$B:$B,[1]StuntDes!$A:$A),"")</f>
        <v/>
      </c>
      <c r="N2735" s="10" t="str">
        <f>IFERROR(_xlfn.XLOOKUP(C2735,[1]ModifierDes!$B:$B,[1]ModifierDes!$A:$A),"")</f>
        <v/>
      </c>
      <c r="O2735" s="10">
        <f>IFERROR(_xlfn.XLOOKUP(C2735,[1]AttributeName!$C:$C,[1]AttributeName!$B:$B),"")</f>
        <v>10812</v>
      </c>
      <c r="P2735" s="10"/>
      <c r="Q2735">
        <v>0.05</v>
      </c>
      <c r="R2735">
        <v>0.05</v>
      </c>
      <c r="S2735" cm="1">
        <f t="array" ref="S2735">IFERROR(_xlfn.SWITCH(L2735,1,_xlfn.XLOOKUP(O2735,[1]AttributeName!$B:$B,[1]AttributeName!$D:$D),2,_xlfn.XLOOKUP(C2735,#REF!,#REF!),3,_xlfn.XLOOKUP(C2735,#REF!,#REF!)),0)</f>
        <v>2</v>
      </c>
      <c r="T2735" cm="1">
        <f t="array" ref="T2735">IFERROR(_xlfn.SWITCH(L2735,1,_xlfn.XLOOKUP(O2735,[1]AttributeName!$B:$B,[1]AttributeName!$E:$E),2,_xlfn.XLOOKUP(C2735,#REF!,#REF!),3,_xlfn.XLOOKUP(C2735,#REF!,#REF!)),0)</f>
        <v>2</v>
      </c>
    </row>
    <row r="2736" customFormat="1" spans="1:20">
      <c r="A2736">
        <f t="shared" si="112"/>
        <v>1112</v>
      </c>
      <c r="B2736">
        <v>5</v>
      </c>
      <c r="C2736" t="s">
        <v>430</v>
      </c>
      <c r="D2736" t="s">
        <v>443</v>
      </c>
      <c r="E2736" t="s">
        <v>378</v>
      </c>
      <c r="F2736"/>
      <c r="G2736">
        <v>1</v>
      </c>
      <c r="H2736">
        <v>1000</v>
      </c>
      <c r="J2736" cm="1">
        <f t="array" ref="J2736">_xlfn.SWITCH(B2736,1,75,2,61,3,49,4,37,5,25,6,13,7,4,8,1)</f>
        <v>25</v>
      </c>
      <c r="K2736" t="str" cm="1">
        <f t="array" ref="K2736">IFERROR(_xlfn.SWITCH(L2736,2,_xlfn.XLOOKUP(C2736,[1]ModifierDes!$B:$B,[1]ModifierDes!$C:$C),3,_xlfn.XLOOKUP(C2736,[1]StuntDes!$B:$B,[1]StuntDes!$C:$C)),"")</f>
        <v/>
      </c>
      <c r="L2736">
        <f t="shared" si="111"/>
        <v>1</v>
      </c>
      <c r="M2736" s="10" t="str">
        <f>IFERROR(_xlfn.XLOOKUP(C2736,[1]StuntDes!$B:$B,[1]StuntDes!$A:$A),"")</f>
        <v/>
      </c>
      <c r="N2736" s="10" t="str">
        <f>IFERROR(_xlfn.XLOOKUP(C2736,[1]ModifierDes!$B:$B,[1]ModifierDes!$A:$A),"")</f>
        <v/>
      </c>
      <c r="O2736" s="10">
        <f>IFERROR(_xlfn.XLOOKUP(C2736,[1]AttributeName!$C:$C,[1]AttributeName!$B:$B),"")</f>
        <v>10812</v>
      </c>
      <c r="P2736" s="10"/>
      <c r="Q2736">
        <v>0.04</v>
      </c>
      <c r="R2736">
        <v>0.04</v>
      </c>
      <c r="S2736" cm="1">
        <f t="array" ref="S2736">IFERROR(_xlfn.SWITCH(L2736,1,_xlfn.XLOOKUP(O2736,[1]AttributeName!$B:$B,[1]AttributeName!$D:$D),2,_xlfn.XLOOKUP(C2736,#REF!,#REF!),3,_xlfn.XLOOKUP(C2736,#REF!,#REF!)),0)</f>
        <v>2</v>
      </c>
      <c r="T2736" cm="1">
        <f t="array" ref="T2736">IFERROR(_xlfn.SWITCH(L2736,1,_xlfn.XLOOKUP(O2736,[1]AttributeName!$B:$B,[1]AttributeName!$E:$E),2,_xlfn.XLOOKUP(C2736,#REF!,#REF!),3,_xlfn.XLOOKUP(C2736,#REF!,#REF!)),0)</f>
        <v>2</v>
      </c>
    </row>
    <row r="2737" customFormat="1" spans="1:20">
      <c r="A2737">
        <f t="shared" si="112"/>
        <v>1112</v>
      </c>
      <c r="B2737">
        <v>6</v>
      </c>
      <c r="C2737" t="s">
        <v>430</v>
      </c>
      <c r="D2737" t="s">
        <v>443</v>
      </c>
      <c r="E2737" t="s">
        <v>378</v>
      </c>
      <c r="F2737"/>
      <c r="G2737">
        <v>1</v>
      </c>
      <c r="H2737">
        <v>1000</v>
      </c>
      <c r="J2737" cm="1">
        <f t="array" ref="J2737">_xlfn.SWITCH(B2737,1,75,2,61,3,49,4,37,5,25,6,13,7,4,8,1)</f>
        <v>13</v>
      </c>
      <c r="K2737" t="str" cm="1">
        <f t="array" ref="K2737">IFERROR(_xlfn.SWITCH(L2737,2,_xlfn.XLOOKUP(C2737,[1]ModifierDes!$B:$B,[1]ModifierDes!$C:$C),3,_xlfn.XLOOKUP(C2737,[1]StuntDes!$B:$B,[1]StuntDes!$C:$C)),"")</f>
        <v/>
      </c>
      <c r="L2737">
        <f t="shared" si="111"/>
        <v>1</v>
      </c>
      <c r="M2737" s="10" t="str">
        <f>IFERROR(_xlfn.XLOOKUP(C2737,[1]StuntDes!$B:$B,[1]StuntDes!$A:$A),"")</f>
        <v/>
      </c>
      <c r="N2737" s="10" t="str">
        <f>IFERROR(_xlfn.XLOOKUP(C2737,[1]ModifierDes!$B:$B,[1]ModifierDes!$A:$A),"")</f>
        <v/>
      </c>
      <c r="O2737" s="10">
        <f>IFERROR(_xlfn.XLOOKUP(C2737,[1]AttributeName!$C:$C,[1]AttributeName!$B:$B),"")</f>
        <v>10812</v>
      </c>
      <c r="P2737" s="10"/>
      <c r="Q2737">
        <v>0.03</v>
      </c>
      <c r="R2737">
        <v>0.03</v>
      </c>
      <c r="S2737" cm="1">
        <f t="array" ref="S2737">IFERROR(_xlfn.SWITCH(L2737,1,_xlfn.XLOOKUP(O2737,[1]AttributeName!$B:$B,[1]AttributeName!$D:$D),2,_xlfn.XLOOKUP(C2737,#REF!,#REF!),3,_xlfn.XLOOKUP(C2737,#REF!,#REF!)),0)</f>
        <v>2</v>
      </c>
      <c r="T2737" cm="1">
        <f t="array" ref="T2737">IFERROR(_xlfn.SWITCH(L2737,1,_xlfn.XLOOKUP(O2737,[1]AttributeName!$B:$B,[1]AttributeName!$E:$E),2,_xlfn.XLOOKUP(C2737,#REF!,#REF!),3,_xlfn.XLOOKUP(C2737,#REF!,#REF!)),0)</f>
        <v>2</v>
      </c>
    </row>
    <row r="2738" customFormat="1" spans="1:20">
      <c r="A2738">
        <f t="shared" si="112"/>
        <v>1112</v>
      </c>
      <c r="B2738">
        <v>7</v>
      </c>
      <c r="C2738" t="s">
        <v>430</v>
      </c>
      <c r="D2738" t="s">
        <v>443</v>
      </c>
      <c r="E2738" t="s">
        <v>378</v>
      </c>
      <c r="F2738"/>
      <c r="G2738">
        <v>1</v>
      </c>
      <c r="H2738">
        <v>1000</v>
      </c>
      <c r="J2738" cm="1">
        <f t="array" ref="J2738">_xlfn.SWITCH(B2738,1,75,2,61,3,49,4,37,5,25,6,13,7,4,8,1)</f>
        <v>4</v>
      </c>
      <c r="K2738" t="str" cm="1">
        <f t="array" ref="K2738">IFERROR(_xlfn.SWITCH(L2738,2,_xlfn.XLOOKUP(C2738,[1]ModifierDes!$B:$B,[1]ModifierDes!$C:$C),3,_xlfn.XLOOKUP(C2738,[1]StuntDes!$B:$B,[1]StuntDes!$C:$C)),"")</f>
        <v/>
      </c>
      <c r="L2738">
        <f t="shared" si="111"/>
        <v>1</v>
      </c>
      <c r="M2738" s="10" t="str">
        <f>IFERROR(_xlfn.XLOOKUP(C2738,[1]StuntDes!$B:$B,[1]StuntDes!$A:$A),"")</f>
        <v/>
      </c>
      <c r="N2738" s="10" t="str">
        <f>IFERROR(_xlfn.XLOOKUP(C2738,[1]ModifierDes!$B:$B,[1]ModifierDes!$A:$A),"")</f>
        <v/>
      </c>
      <c r="O2738" s="10">
        <f>IFERROR(_xlfn.XLOOKUP(C2738,[1]AttributeName!$C:$C,[1]AttributeName!$B:$B),"")</f>
        <v>10812</v>
      </c>
      <c r="P2738" s="10"/>
      <c r="Q2738">
        <v>0.02</v>
      </c>
      <c r="R2738">
        <v>0.02</v>
      </c>
      <c r="S2738" cm="1">
        <f t="array" ref="S2738">IFERROR(_xlfn.SWITCH(L2738,1,_xlfn.XLOOKUP(O2738,[1]AttributeName!$B:$B,[1]AttributeName!$D:$D),2,_xlfn.XLOOKUP(C2738,#REF!,#REF!),3,_xlfn.XLOOKUP(C2738,#REF!,#REF!)),0)</f>
        <v>2</v>
      </c>
      <c r="T2738" cm="1">
        <f t="array" ref="T2738">IFERROR(_xlfn.SWITCH(L2738,1,_xlfn.XLOOKUP(O2738,[1]AttributeName!$B:$B,[1]AttributeName!$E:$E),2,_xlfn.XLOOKUP(C2738,#REF!,#REF!),3,_xlfn.XLOOKUP(C2738,#REF!,#REF!)),0)</f>
        <v>2</v>
      </c>
    </row>
    <row r="2739" customFormat="1" spans="1:20">
      <c r="A2739">
        <f t="shared" si="112"/>
        <v>1112</v>
      </c>
      <c r="B2739">
        <v>8</v>
      </c>
      <c r="C2739" t="s">
        <v>430</v>
      </c>
      <c r="D2739" t="s">
        <v>443</v>
      </c>
      <c r="E2739" t="s">
        <v>378</v>
      </c>
      <c r="F2739"/>
      <c r="G2739">
        <v>1</v>
      </c>
      <c r="H2739">
        <v>1000</v>
      </c>
      <c r="J2739" cm="1">
        <f t="array" ref="J2739">_xlfn.SWITCH(B2739,1,75,2,61,3,49,4,37,5,25,6,13,7,4,8,1)</f>
        <v>1</v>
      </c>
      <c r="K2739" t="str" cm="1">
        <f t="array" ref="K2739">IFERROR(_xlfn.SWITCH(L2739,2,_xlfn.XLOOKUP(C2739,[1]ModifierDes!$B:$B,[1]ModifierDes!$C:$C),3,_xlfn.XLOOKUP(C2739,[1]StuntDes!$B:$B,[1]StuntDes!$C:$C)),"")</f>
        <v/>
      </c>
      <c r="L2739">
        <f t="shared" si="111"/>
        <v>1</v>
      </c>
      <c r="M2739" s="10" t="str">
        <f>IFERROR(_xlfn.XLOOKUP(C2739,[1]StuntDes!$B:$B,[1]StuntDes!$A:$A),"")</f>
        <v/>
      </c>
      <c r="N2739" s="10" t="str">
        <f>IFERROR(_xlfn.XLOOKUP(C2739,[1]ModifierDes!$B:$B,[1]ModifierDes!$A:$A),"")</f>
        <v/>
      </c>
      <c r="O2739" s="10">
        <f>IFERROR(_xlfn.XLOOKUP(C2739,[1]AttributeName!$C:$C,[1]AttributeName!$B:$B),"")</f>
        <v>10812</v>
      </c>
      <c r="P2739" s="10"/>
      <c r="Q2739">
        <v>0.01</v>
      </c>
      <c r="R2739">
        <v>0.01</v>
      </c>
      <c r="S2739" cm="1">
        <f t="array" ref="S2739">IFERROR(_xlfn.SWITCH(L2739,1,_xlfn.XLOOKUP(O2739,[1]AttributeName!$B:$B,[1]AttributeName!$D:$D),2,_xlfn.XLOOKUP(C2739,#REF!,#REF!),3,_xlfn.XLOOKUP(C2739,#REF!,#REF!)),0)</f>
        <v>2</v>
      </c>
      <c r="T2739" cm="1">
        <f t="array" ref="T2739">IFERROR(_xlfn.SWITCH(L2739,1,_xlfn.XLOOKUP(O2739,[1]AttributeName!$B:$B,[1]AttributeName!$E:$E),2,_xlfn.XLOOKUP(C2739,#REF!,#REF!),3,_xlfn.XLOOKUP(C2739,#REF!,#REF!)),0)</f>
        <v>2</v>
      </c>
    </row>
    <row r="2740" customFormat="1" spans="1:20">
      <c r="A2740">
        <f t="shared" si="112"/>
        <v>1113</v>
      </c>
      <c r="B2740">
        <v>1</v>
      </c>
      <c r="C2740" t="s">
        <v>431</v>
      </c>
      <c r="D2740" t="s">
        <v>443</v>
      </c>
      <c r="E2740" t="s">
        <v>378</v>
      </c>
      <c r="F2740"/>
      <c r="G2740">
        <v>1</v>
      </c>
      <c r="H2740">
        <v>250</v>
      </c>
      <c r="J2740" cm="1">
        <f t="array" ref="J2740">_xlfn.SWITCH(B2740,1,75,2,61,3,49,4,37,5,25,6,13,7,4,8,1)</f>
        <v>75</v>
      </c>
      <c r="K2740" t="str" cm="1">
        <f t="array" ref="K2740">IFERROR(_xlfn.SWITCH(L2740,2,_xlfn.XLOOKUP(C2740,[1]ModifierDes!$B:$B,[1]ModifierDes!$C:$C),3,_xlfn.XLOOKUP(C2740,[1]StuntDes!$B:$B,[1]StuntDes!$C:$C)),"")</f>
        <v/>
      </c>
      <c r="L2740">
        <f t="shared" si="111"/>
        <v>1</v>
      </c>
      <c r="M2740" s="10" t="str">
        <f>IFERROR(_xlfn.XLOOKUP(C2740,[1]StuntDes!$B:$B,[1]StuntDes!$A:$A),"")</f>
        <v/>
      </c>
      <c r="N2740" s="10" t="str">
        <f>IFERROR(_xlfn.XLOOKUP(C2740,[1]ModifierDes!$B:$B,[1]ModifierDes!$A:$A),"")</f>
        <v/>
      </c>
      <c r="O2740" s="10">
        <f>IFERROR(_xlfn.XLOOKUP(C2740,[1]AttributeName!$C:$C,[1]AttributeName!$B:$B),"")</f>
        <v>10813</v>
      </c>
      <c r="P2740" s="10"/>
      <c r="Q2740">
        <v>0.08</v>
      </c>
      <c r="R2740">
        <v>0.1</v>
      </c>
      <c r="S2740" cm="1">
        <f t="array" ref="S2740">IFERROR(_xlfn.SWITCH(L2740,1,_xlfn.XLOOKUP(O2740,[1]AttributeName!$B:$B,[1]AttributeName!$D:$D),2,_xlfn.XLOOKUP(C2740,#REF!,#REF!),3,_xlfn.XLOOKUP(C2740,#REF!,#REF!)),0)</f>
        <v>2</v>
      </c>
      <c r="T2740" cm="1">
        <f t="array" ref="T2740">IFERROR(_xlfn.SWITCH(L2740,1,_xlfn.XLOOKUP(O2740,[1]AttributeName!$B:$B,[1]AttributeName!$E:$E),2,_xlfn.XLOOKUP(C2740,#REF!,#REF!),3,_xlfn.XLOOKUP(C2740,#REF!,#REF!)),0)</f>
        <v>2</v>
      </c>
    </row>
    <row r="2741" customFormat="1" spans="1:20">
      <c r="A2741">
        <f t="shared" si="112"/>
        <v>1113</v>
      </c>
      <c r="B2741">
        <v>2</v>
      </c>
      <c r="C2741" t="s">
        <v>431</v>
      </c>
      <c r="D2741" t="s">
        <v>443</v>
      </c>
      <c r="E2741" t="s">
        <v>378</v>
      </c>
      <c r="F2741"/>
      <c r="G2741">
        <v>1</v>
      </c>
      <c r="H2741">
        <v>500</v>
      </c>
      <c r="J2741" cm="1">
        <f t="array" ref="J2741">_xlfn.SWITCH(B2741,1,75,2,61,3,49,4,37,5,25,6,13,7,4,8,1)</f>
        <v>61</v>
      </c>
      <c r="K2741" t="str" cm="1">
        <f t="array" ref="K2741">IFERROR(_xlfn.SWITCH(L2741,2,_xlfn.XLOOKUP(C2741,[1]ModifierDes!$B:$B,[1]ModifierDes!$C:$C),3,_xlfn.XLOOKUP(C2741,[1]StuntDes!$B:$B,[1]StuntDes!$C:$C)),"")</f>
        <v/>
      </c>
      <c r="L2741">
        <f t="shared" si="111"/>
        <v>1</v>
      </c>
      <c r="M2741" s="10" t="str">
        <f>IFERROR(_xlfn.XLOOKUP(C2741,[1]StuntDes!$B:$B,[1]StuntDes!$A:$A),"")</f>
        <v/>
      </c>
      <c r="N2741" s="10" t="str">
        <f>IFERROR(_xlfn.XLOOKUP(C2741,[1]ModifierDes!$B:$B,[1]ModifierDes!$A:$A),"")</f>
        <v/>
      </c>
      <c r="O2741" s="10">
        <f>IFERROR(_xlfn.XLOOKUP(C2741,[1]AttributeName!$C:$C,[1]AttributeName!$B:$B),"")</f>
        <v>10813</v>
      </c>
      <c r="P2741" s="10"/>
      <c r="Q2741">
        <v>0.07</v>
      </c>
      <c r="R2741">
        <v>0.07</v>
      </c>
      <c r="S2741" cm="1">
        <f t="array" ref="S2741">IFERROR(_xlfn.SWITCH(L2741,1,_xlfn.XLOOKUP(O2741,[1]AttributeName!$B:$B,[1]AttributeName!$D:$D),2,_xlfn.XLOOKUP(C2741,#REF!,#REF!),3,_xlfn.XLOOKUP(C2741,#REF!,#REF!)),0)</f>
        <v>2</v>
      </c>
      <c r="T2741" cm="1">
        <f t="array" ref="T2741">IFERROR(_xlfn.SWITCH(L2741,1,_xlfn.XLOOKUP(O2741,[1]AttributeName!$B:$B,[1]AttributeName!$E:$E),2,_xlfn.XLOOKUP(C2741,#REF!,#REF!),3,_xlfn.XLOOKUP(C2741,#REF!,#REF!)),0)</f>
        <v>2</v>
      </c>
    </row>
    <row r="2742" customFormat="1" spans="1:20">
      <c r="A2742">
        <f t="shared" si="112"/>
        <v>1113</v>
      </c>
      <c r="B2742">
        <v>3</v>
      </c>
      <c r="C2742" t="s">
        <v>431</v>
      </c>
      <c r="D2742" t="s">
        <v>443</v>
      </c>
      <c r="E2742" t="s">
        <v>378</v>
      </c>
      <c r="F2742"/>
      <c r="G2742">
        <v>1</v>
      </c>
      <c r="H2742">
        <v>750</v>
      </c>
      <c r="J2742" cm="1">
        <f t="array" ref="J2742">_xlfn.SWITCH(B2742,1,75,2,61,3,49,4,37,5,25,6,13,7,4,8,1)</f>
        <v>49</v>
      </c>
      <c r="K2742" t="str" cm="1">
        <f t="array" ref="K2742">IFERROR(_xlfn.SWITCH(L2742,2,_xlfn.XLOOKUP(C2742,[1]ModifierDes!$B:$B,[1]ModifierDes!$C:$C),3,_xlfn.XLOOKUP(C2742,[1]StuntDes!$B:$B,[1]StuntDes!$C:$C)),"")</f>
        <v/>
      </c>
      <c r="L2742">
        <f t="shared" si="111"/>
        <v>1</v>
      </c>
      <c r="M2742" s="10" t="str">
        <f>IFERROR(_xlfn.XLOOKUP(C2742,[1]StuntDes!$B:$B,[1]StuntDes!$A:$A),"")</f>
        <v/>
      </c>
      <c r="N2742" s="10" t="str">
        <f>IFERROR(_xlfn.XLOOKUP(C2742,[1]ModifierDes!$B:$B,[1]ModifierDes!$A:$A),"")</f>
        <v/>
      </c>
      <c r="O2742" s="10">
        <f>IFERROR(_xlfn.XLOOKUP(C2742,[1]AttributeName!$C:$C,[1]AttributeName!$B:$B),"")</f>
        <v>10813</v>
      </c>
      <c r="P2742" s="10"/>
      <c r="Q2742">
        <v>0.06</v>
      </c>
      <c r="R2742">
        <v>0.06</v>
      </c>
      <c r="S2742" cm="1">
        <f t="array" ref="S2742">IFERROR(_xlfn.SWITCH(L2742,1,_xlfn.XLOOKUP(O2742,[1]AttributeName!$B:$B,[1]AttributeName!$D:$D),2,_xlfn.XLOOKUP(C2742,#REF!,#REF!),3,_xlfn.XLOOKUP(C2742,#REF!,#REF!)),0)</f>
        <v>2</v>
      </c>
      <c r="T2742" cm="1">
        <f t="array" ref="T2742">IFERROR(_xlfn.SWITCH(L2742,1,_xlfn.XLOOKUP(O2742,[1]AttributeName!$B:$B,[1]AttributeName!$E:$E),2,_xlfn.XLOOKUP(C2742,#REF!,#REF!),3,_xlfn.XLOOKUP(C2742,#REF!,#REF!)),0)</f>
        <v>2</v>
      </c>
    </row>
    <row r="2743" customFormat="1" spans="1:20">
      <c r="A2743">
        <f t="shared" si="112"/>
        <v>1113</v>
      </c>
      <c r="B2743">
        <v>4</v>
      </c>
      <c r="C2743" t="s">
        <v>431</v>
      </c>
      <c r="D2743" t="s">
        <v>443</v>
      </c>
      <c r="E2743" t="s">
        <v>378</v>
      </c>
      <c r="F2743"/>
      <c r="G2743">
        <v>1</v>
      </c>
      <c r="H2743">
        <v>1000</v>
      </c>
      <c r="J2743" cm="1">
        <f t="array" ref="J2743">_xlfn.SWITCH(B2743,1,75,2,61,3,49,4,37,5,25,6,13,7,4,8,1)</f>
        <v>37</v>
      </c>
      <c r="K2743" t="str" cm="1">
        <f t="array" ref="K2743">IFERROR(_xlfn.SWITCH(L2743,2,_xlfn.XLOOKUP(C2743,[1]ModifierDes!$B:$B,[1]ModifierDes!$C:$C),3,_xlfn.XLOOKUP(C2743,[1]StuntDes!$B:$B,[1]StuntDes!$C:$C)),"")</f>
        <v/>
      </c>
      <c r="L2743">
        <f t="shared" si="111"/>
        <v>1</v>
      </c>
      <c r="M2743" s="10" t="str">
        <f>IFERROR(_xlfn.XLOOKUP(C2743,[1]StuntDes!$B:$B,[1]StuntDes!$A:$A),"")</f>
        <v/>
      </c>
      <c r="N2743" s="10" t="str">
        <f>IFERROR(_xlfn.XLOOKUP(C2743,[1]ModifierDes!$B:$B,[1]ModifierDes!$A:$A),"")</f>
        <v/>
      </c>
      <c r="O2743" s="10">
        <f>IFERROR(_xlfn.XLOOKUP(C2743,[1]AttributeName!$C:$C,[1]AttributeName!$B:$B),"")</f>
        <v>10813</v>
      </c>
      <c r="P2743" s="10"/>
      <c r="Q2743">
        <v>0.05</v>
      </c>
      <c r="R2743">
        <v>0.05</v>
      </c>
      <c r="S2743" cm="1">
        <f t="array" ref="S2743">IFERROR(_xlfn.SWITCH(L2743,1,_xlfn.XLOOKUP(O2743,[1]AttributeName!$B:$B,[1]AttributeName!$D:$D),2,_xlfn.XLOOKUP(C2743,#REF!,#REF!),3,_xlfn.XLOOKUP(C2743,#REF!,#REF!)),0)</f>
        <v>2</v>
      </c>
      <c r="T2743" cm="1">
        <f t="array" ref="T2743">IFERROR(_xlfn.SWITCH(L2743,1,_xlfn.XLOOKUP(O2743,[1]AttributeName!$B:$B,[1]AttributeName!$E:$E),2,_xlfn.XLOOKUP(C2743,#REF!,#REF!),3,_xlfn.XLOOKUP(C2743,#REF!,#REF!)),0)</f>
        <v>2</v>
      </c>
    </row>
    <row r="2744" customFormat="1" spans="1:20">
      <c r="A2744">
        <f t="shared" si="112"/>
        <v>1113</v>
      </c>
      <c r="B2744">
        <v>5</v>
      </c>
      <c r="C2744" t="s">
        <v>431</v>
      </c>
      <c r="D2744" t="s">
        <v>443</v>
      </c>
      <c r="E2744" t="s">
        <v>378</v>
      </c>
      <c r="F2744"/>
      <c r="G2744">
        <v>1</v>
      </c>
      <c r="H2744">
        <v>1000</v>
      </c>
      <c r="J2744" cm="1">
        <f t="array" ref="J2744">_xlfn.SWITCH(B2744,1,75,2,61,3,49,4,37,5,25,6,13,7,4,8,1)</f>
        <v>25</v>
      </c>
      <c r="K2744" t="str" cm="1">
        <f t="array" ref="K2744">IFERROR(_xlfn.SWITCH(L2744,2,_xlfn.XLOOKUP(C2744,[1]ModifierDes!$B:$B,[1]ModifierDes!$C:$C),3,_xlfn.XLOOKUP(C2744,[1]StuntDes!$B:$B,[1]StuntDes!$C:$C)),"")</f>
        <v/>
      </c>
      <c r="L2744">
        <f t="shared" si="111"/>
        <v>1</v>
      </c>
      <c r="M2744" s="10" t="str">
        <f>IFERROR(_xlfn.XLOOKUP(C2744,[1]StuntDes!$B:$B,[1]StuntDes!$A:$A),"")</f>
        <v/>
      </c>
      <c r="N2744" s="10" t="str">
        <f>IFERROR(_xlfn.XLOOKUP(C2744,[1]ModifierDes!$B:$B,[1]ModifierDes!$A:$A),"")</f>
        <v/>
      </c>
      <c r="O2744" s="10">
        <f>IFERROR(_xlfn.XLOOKUP(C2744,[1]AttributeName!$C:$C,[1]AttributeName!$B:$B),"")</f>
        <v>10813</v>
      </c>
      <c r="P2744" s="10"/>
      <c r="Q2744">
        <v>0.04</v>
      </c>
      <c r="R2744">
        <v>0.04</v>
      </c>
      <c r="S2744" cm="1">
        <f t="array" ref="S2744">IFERROR(_xlfn.SWITCH(L2744,1,_xlfn.XLOOKUP(O2744,[1]AttributeName!$B:$B,[1]AttributeName!$D:$D),2,_xlfn.XLOOKUP(C2744,#REF!,#REF!),3,_xlfn.XLOOKUP(C2744,#REF!,#REF!)),0)</f>
        <v>2</v>
      </c>
      <c r="T2744" cm="1">
        <f t="array" ref="T2744">IFERROR(_xlfn.SWITCH(L2744,1,_xlfn.XLOOKUP(O2744,[1]AttributeName!$B:$B,[1]AttributeName!$E:$E),2,_xlfn.XLOOKUP(C2744,#REF!,#REF!),3,_xlfn.XLOOKUP(C2744,#REF!,#REF!)),0)</f>
        <v>2</v>
      </c>
    </row>
    <row r="2745" customFormat="1" spans="1:20">
      <c r="A2745">
        <f t="shared" si="112"/>
        <v>1113</v>
      </c>
      <c r="B2745">
        <v>6</v>
      </c>
      <c r="C2745" t="s">
        <v>431</v>
      </c>
      <c r="D2745" t="s">
        <v>443</v>
      </c>
      <c r="E2745" t="s">
        <v>378</v>
      </c>
      <c r="F2745"/>
      <c r="G2745">
        <v>1</v>
      </c>
      <c r="H2745">
        <v>1000</v>
      </c>
      <c r="J2745" cm="1">
        <f t="array" ref="J2745">_xlfn.SWITCH(B2745,1,75,2,61,3,49,4,37,5,25,6,13,7,4,8,1)</f>
        <v>13</v>
      </c>
      <c r="K2745" t="str" cm="1">
        <f t="array" ref="K2745">IFERROR(_xlfn.SWITCH(L2745,2,_xlfn.XLOOKUP(C2745,[1]ModifierDes!$B:$B,[1]ModifierDes!$C:$C),3,_xlfn.XLOOKUP(C2745,[1]StuntDes!$B:$B,[1]StuntDes!$C:$C)),"")</f>
        <v/>
      </c>
      <c r="L2745">
        <f t="shared" si="111"/>
        <v>1</v>
      </c>
      <c r="M2745" s="10" t="str">
        <f>IFERROR(_xlfn.XLOOKUP(C2745,[1]StuntDes!$B:$B,[1]StuntDes!$A:$A),"")</f>
        <v/>
      </c>
      <c r="N2745" s="10" t="str">
        <f>IFERROR(_xlfn.XLOOKUP(C2745,[1]ModifierDes!$B:$B,[1]ModifierDes!$A:$A),"")</f>
        <v/>
      </c>
      <c r="O2745" s="10">
        <f>IFERROR(_xlfn.XLOOKUP(C2745,[1]AttributeName!$C:$C,[1]AttributeName!$B:$B),"")</f>
        <v>10813</v>
      </c>
      <c r="P2745" s="10"/>
      <c r="Q2745">
        <v>0.03</v>
      </c>
      <c r="R2745">
        <v>0.03</v>
      </c>
      <c r="S2745" cm="1">
        <f t="array" ref="S2745">IFERROR(_xlfn.SWITCH(L2745,1,_xlfn.XLOOKUP(O2745,[1]AttributeName!$B:$B,[1]AttributeName!$D:$D),2,_xlfn.XLOOKUP(C2745,#REF!,#REF!),3,_xlfn.XLOOKUP(C2745,#REF!,#REF!)),0)</f>
        <v>2</v>
      </c>
      <c r="T2745" cm="1">
        <f t="array" ref="T2745">IFERROR(_xlfn.SWITCH(L2745,1,_xlfn.XLOOKUP(O2745,[1]AttributeName!$B:$B,[1]AttributeName!$E:$E),2,_xlfn.XLOOKUP(C2745,#REF!,#REF!),3,_xlfn.XLOOKUP(C2745,#REF!,#REF!)),0)</f>
        <v>2</v>
      </c>
    </row>
    <row r="2746" customFormat="1" spans="1:20">
      <c r="A2746">
        <f t="shared" si="112"/>
        <v>1113</v>
      </c>
      <c r="B2746">
        <v>7</v>
      </c>
      <c r="C2746" t="s">
        <v>431</v>
      </c>
      <c r="D2746" t="s">
        <v>443</v>
      </c>
      <c r="E2746" t="s">
        <v>378</v>
      </c>
      <c r="F2746"/>
      <c r="G2746">
        <v>1</v>
      </c>
      <c r="H2746">
        <v>1000</v>
      </c>
      <c r="J2746" cm="1">
        <f t="array" ref="J2746">_xlfn.SWITCH(B2746,1,75,2,61,3,49,4,37,5,25,6,13,7,4,8,1)</f>
        <v>4</v>
      </c>
      <c r="K2746" t="str" cm="1">
        <f t="array" ref="K2746">IFERROR(_xlfn.SWITCH(L2746,2,_xlfn.XLOOKUP(C2746,[1]ModifierDes!$B:$B,[1]ModifierDes!$C:$C),3,_xlfn.XLOOKUP(C2746,[1]StuntDes!$B:$B,[1]StuntDes!$C:$C)),"")</f>
        <v/>
      </c>
      <c r="L2746">
        <f t="shared" si="111"/>
        <v>1</v>
      </c>
      <c r="M2746" s="10" t="str">
        <f>IFERROR(_xlfn.XLOOKUP(C2746,[1]StuntDes!$B:$B,[1]StuntDes!$A:$A),"")</f>
        <v/>
      </c>
      <c r="N2746" s="10" t="str">
        <f>IFERROR(_xlfn.XLOOKUP(C2746,[1]ModifierDes!$B:$B,[1]ModifierDes!$A:$A),"")</f>
        <v/>
      </c>
      <c r="O2746" s="10">
        <f>IFERROR(_xlfn.XLOOKUP(C2746,[1]AttributeName!$C:$C,[1]AttributeName!$B:$B),"")</f>
        <v>10813</v>
      </c>
      <c r="P2746" s="10"/>
      <c r="Q2746">
        <v>0.02</v>
      </c>
      <c r="R2746">
        <v>0.02</v>
      </c>
      <c r="S2746" cm="1">
        <f t="array" ref="S2746">IFERROR(_xlfn.SWITCH(L2746,1,_xlfn.XLOOKUP(O2746,[1]AttributeName!$B:$B,[1]AttributeName!$D:$D),2,_xlfn.XLOOKUP(C2746,#REF!,#REF!),3,_xlfn.XLOOKUP(C2746,#REF!,#REF!)),0)</f>
        <v>2</v>
      </c>
      <c r="T2746" cm="1">
        <f t="array" ref="T2746">IFERROR(_xlfn.SWITCH(L2746,1,_xlfn.XLOOKUP(O2746,[1]AttributeName!$B:$B,[1]AttributeName!$E:$E),2,_xlfn.XLOOKUP(C2746,#REF!,#REF!),3,_xlfn.XLOOKUP(C2746,#REF!,#REF!)),0)</f>
        <v>2</v>
      </c>
    </row>
    <row r="2747" customFormat="1" spans="1:20">
      <c r="A2747">
        <f t="shared" si="112"/>
        <v>1113</v>
      </c>
      <c r="B2747">
        <v>8</v>
      </c>
      <c r="C2747" t="s">
        <v>431</v>
      </c>
      <c r="D2747" t="s">
        <v>443</v>
      </c>
      <c r="E2747" t="s">
        <v>378</v>
      </c>
      <c r="F2747"/>
      <c r="G2747">
        <v>1</v>
      </c>
      <c r="H2747">
        <v>1000</v>
      </c>
      <c r="J2747" cm="1">
        <f t="array" ref="J2747">_xlfn.SWITCH(B2747,1,75,2,61,3,49,4,37,5,25,6,13,7,4,8,1)</f>
        <v>1</v>
      </c>
      <c r="K2747" t="str" cm="1">
        <f t="array" ref="K2747">IFERROR(_xlfn.SWITCH(L2747,2,_xlfn.XLOOKUP(C2747,[1]ModifierDes!$B:$B,[1]ModifierDes!$C:$C),3,_xlfn.XLOOKUP(C2747,[1]StuntDes!$B:$B,[1]StuntDes!$C:$C)),"")</f>
        <v/>
      </c>
      <c r="L2747">
        <f t="shared" si="111"/>
        <v>1</v>
      </c>
      <c r="M2747" s="10" t="str">
        <f>IFERROR(_xlfn.XLOOKUP(C2747,[1]StuntDes!$B:$B,[1]StuntDes!$A:$A),"")</f>
        <v/>
      </c>
      <c r="N2747" s="10" t="str">
        <f>IFERROR(_xlfn.XLOOKUP(C2747,[1]ModifierDes!$B:$B,[1]ModifierDes!$A:$A),"")</f>
        <v/>
      </c>
      <c r="O2747" s="10">
        <f>IFERROR(_xlfn.XLOOKUP(C2747,[1]AttributeName!$C:$C,[1]AttributeName!$B:$B),"")</f>
        <v>10813</v>
      </c>
      <c r="P2747" s="10"/>
      <c r="Q2747">
        <v>0.01</v>
      </c>
      <c r="R2747">
        <v>0.01</v>
      </c>
      <c r="S2747" cm="1">
        <f t="array" ref="S2747">IFERROR(_xlfn.SWITCH(L2747,1,_xlfn.XLOOKUP(O2747,[1]AttributeName!$B:$B,[1]AttributeName!$D:$D),2,_xlfn.XLOOKUP(C2747,#REF!,#REF!),3,_xlfn.XLOOKUP(C2747,#REF!,#REF!)),0)</f>
        <v>2</v>
      </c>
      <c r="T2747" cm="1">
        <f t="array" ref="T2747">IFERROR(_xlfn.SWITCH(L2747,1,_xlfn.XLOOKUP(O2747,[1]AttributeName!$B:$B,[1]AttributeName!$E:$E),2,_xlfn.XLOOKUP(C2747,#REF!,#REF!),3,_xlfn.XLOOKUP(C2747,#REF!,#REF!)),0)</f>
        <v>2</v>
      </c>
    </row>
    <row r="2748" customFormat="1" spans="1:20">
      <c r="A2748">
        <v>1114</v>
      </c>
      <c r="B2748">
        <v>1</v>
      </c>
      <c r="C2748" t="s">
        <v>436</v>
      </c>
      <c r="D2748" t="s">
        <v>443</v>
      </c>
      <c r="E2748" t="s">
        <v>378</v>
      </c>
      <c r="F2748"/>
      <c r="G2748">
        <v>1</v>
      </c>
      <c r="H2748">
        <v>250</v>
      </c>
      <c r="I2748">
        <v>1</v>
      </c>
      <c r="J2748" cm="1">
        <f t="array" ref="J2748">_xlfn.SWITCH(B2748,1,75,2,61,3,49,4,37,5,25,6,13,7,4,8,1)</f>
        <v>75</v>
      </c>
      <c r="K2748" t="str" cm="1">
        <f t="array" ref="K2748">IFERROR(_xlfn.SWITCH(L2748,2,_xlfn.XLOOKUP(C2748,[1]ModifierDes!$B:$B,[1]ModifierDes!$C:$C),3,_xlfn.XLOOKUP(C2748,[1]StuntDes!$B:$B,[1]StuntDes!$C:$C)),"")</f>
        <v/>
      </c>
      <c r="L2748">
        <f t="shared" si="111"/>
        <v>1</v>
      </c>
      <c r="M2748" s="10" t="str">
        <f>IFERROR(_xlfn.XLOOKUP(C2748,[1]StuntDes!$B:$B,[1]StuntDes!$A:$A),"")</f>
        <v/>
      </c>
      <c r="N2748" s="10" t="str">
        <f>IFERROR(_xlfn.XLOOKUP(C2748,[1]ModifierDes!$B:$B,[1]ModifierDes!$A:$A),"")</f>
        <v/>
      </c>
      <c r="O2748" s="10">
        <f>IFERROR(_xlfn.XLOOKUP(C2748,[1]AttributeName!$C:$C,[1]AttributeName!$B:$B),"")</f>
        <v>10010</v>
      </c>
      <c r="P2748" s="10"/>
      <c r="Q2748">
        <v>0.08</v>
      </c>
      <c r="R2748">
        <v>0.1</v>
      </c>
      <c r="S2748" cm="1">
        <f t="array" ref="S2748">IFERROR(_xlfn.SWITCH(L2748,1,_xlfn.XLOOKUP(O2748,[1]AttributeName!$B:$B,[1]AttributeName!$D:$D),2,_xlfn.XLOOKUP(C2748,#REF!,#REF!),3,_xlfn.XLOOKUP(C2748,#REF!,#REF!)),0)</f>
        <v>2</v>
      </c>
      <c r="T2748" cm="1">
        <f t="array" ref="T2748">IFERROR(_xlfn.SWITCH(L2748,1,_xlfn.XLOOKUP(O2748,[1]AttributeName!$B:$B,[1]AttributeName!$E:$E),2,_xlfn.XLOOKUP(C2748,#REF!,#REF!),3,_xlfn.XLOOKUP(C2748,#REF!,#REF!)),0)</f>
        <v>2</v>
      </c>
    </row>
    <row r="2749" customFormat="1" spans="1:20">
      <c r="A2749">
        <v>1114</v>
      </c>
      <c r="B2749">
        <v>3</v>
      </c>
      <c r="C2749" t="s">
        <v>436</v>
      </c>
      <c r="D2749" t="s">
        <v>443</v>
      </c>
      <c r="E2749" t="s">
        <v>378</v>
      </c>
      <c r="F2749"/>
      <c r="G2749">
        <v>1</v>
      </c>
      <c r="H2749">
        <v>500</v>
      </c>
      <c r="I2749">
        <v>1</v>
      </c>
      <c r="J2749" cm="1">
        <f t="array" ref="J2749">_xlfn.SWITCH(B2749,1,75,2,61,3,49,4,37,5,25,6,13,7,4,8,1)</f>
        <v>49</v>
      </c>
      <c r="K2749" t="str" cm="1">
        <f t="array" ref="K2749">IFERROR(_xlfn.SWITCH(L2749,2,_xlfn.XLOOKUP(C2749,[1]ModifierDes!$B:$B,[1]ModifierDes!$C:$C),3,_xlfn.XLOOKUP(C2749,[1]StuntDes!$B:$B,[1]StuntDes!$C:$C)),"")</f>
        <v/>
      </c>
      <c r="L2749">
        <f t="shared" si="111"/>
        <v>1</v>
      </c>
      <c r="M2749" s="10" t="str">
        <f>IFERROR(_xlfn.XLOOKUP(C2749,[1]StuntDes!$B:$B,[1]StuntDes!$A:$A),"")</f>
        <v/>
      </c>
      <c r="N2749" s="10" t="str">
        <f>IFERROR(_xlfn.XLOOKUP(C2749,[1]ModifierDes!$B:$B,[1]ModifierDes!$A:$A),"")</f>
        <v/>
      </c>
      <c r="O2749" s="10">
        <f>IFERROR(_xlfn.XLOOKUP(C2749,[1]AttributeName!$C:$C,[1]AttributeName!$B:$B),"")</f>
        <v>10010</v>
      </c>
      <c r="P2749" s="10"/>
      <c r="Q2749">
        <v>0.05</v>
      </c>
      <c r="R2749">
        <v>0.07</v>
      </c>
      <c r="S2749" cm="1">
        <f t="array" ref="S2749">IFERROR(_xlfn.SWITCH(L2749,1,_xlfn.XLOOKUP(O2749,[1]AttributeName!$B:$B,[1]AttributeName!$D:$D),2,_xlfn.XLOOKUP(C2749,#REF!,#REF!),3,_xlfn.XLOOKUP(C2749,#REF!,#REF!)),0)</f>
        <v>2</v>
      </c>
      <c r="T2749" cm="1">
        <f t="array" ref="T2749">IFERROR(_xlfn.SWITCH(L2749,1,_xlfn.XLOOKUP(O2749,[1]AttributeName!$B:$B,[1]AttributeName!$E:$E),2,_xlfn.XLOOKUP(C2749,#REF!,#REF!),3,_xlfn.XLOOKUP(C2749,#REF!,#REF!)),0)</f>
        <v>2</v>
      </c>
    </row>
    <row r="2750" customFormat="1" spans="1:20">
      <c r="A2750">
        <v>1114</v>
      </c>
      <c r="B2750">
        <v>5</v>
      </c>
      <c r="C2750" t="s">
        <v>436</v>
      </c>
      <c r="D2750" t="s">
        <v>443</v>
      </c>
      <c r="E2750" t="s">
        <v>378</v>
      </c>
      <c r="F2750"/>
      <c r="G2750">
        <v>1</v>
      </c>
      <c r="H2750">
        <v>750</v>
      </c>
      <c r="I2750">
        <v>1</v>
      </c>
      <c r="J2750" cm="1">
        <f t="array" ref="J2750">_xlfn.SWITCH(B2750,1,75,2,61,3,49,4,37,5,25,6,13,7,4,8,1)</f>
        <v>25</v>
      </c>
      <c r="K2750" t="str" cm="1">
        <f t="array" ref="K2750">IFERROR(_xlfn.SWITCH(L2750,2,_xlfn.XLOOKUP(C2750,[1]ModifierDes!$B:$B,[1]ModifierDes!$C:$C),3,_xlfn.XLOOKUP(C2750,[1]StuntDes!$B:$B,[1]StuntDes!$C:$C)),"")</f>
        <v/>
      </c>
      <c r="L2750">
        <f t="shared" si="111"/>
        <v>1</v>
      </c>
      <c r="M2750" s="10" t="str">
        <f>IFERROR(_xlfn.XLOOKUP(C2750,[1]StuntDes!$B:$B,[1]StuntDes!$A:$A),"")</f>
        <v/>
      </c>
      <c r="N2750" s="10" t="str">
        <f>IFERROR(_xlfn.XLOOKUP(C2750,[1]ModifierDes!$B:$B,[1]ModifierDes!$A:$A),"")</f>
        <v/>
      </c>
      <c r="O2750" s="10">
        <f>IFERROR(_xlfn.XLOOKUP(C2750,[1]AttributeName!$C:$C,[1]AttributeName!$B:$B),"")</f>
        <v>10010</v>
      </c>
      <c r="P2750" s="10"/>
      <c r="Q2750">
        <v>0.03</v>
      </c>
      <c r="R2750">
        <v>0.04</v>
      </c>
      <c r="S2750" cm="1">
        <f t="array" ref="S2750">IFERROR(_xlfn.SWITCH(L2750,1,_xlfn.XLOOKUP(O2750,[1]AttributeName!$B:$B,[1]AttributeName!$D:$D),2,_xlfn.XLOOKUP(C2750,#REF!,#REF!),3,_xlfn.XLOOKUP(C2750,#REF!,#REF!)),0)</f>
        <v>2</v>
      </c>
      <c r="T2750" cm="1">
        <f t="array" ref="T2750">IFERROR(_xlfn.SWITCH(L2750,1,_xlfn.XLOOKUP(O2750,[1]AttributeName!$B:$B,[1]AttributeName!$E:$E),2,_xlfn.XLOOKUP(C2750,#REF!,#REF!),3,_xlfn.XLOOKUP(C2750,#REF!,#REF!)),0)</f>
        <v>2</v>
      </c>
    </row>
    <row r="2751" customFormat="1" spans="1:20">
      <c r="A2751">
        <f t="shared" ref="A2751:A2753" si="113">A2748+1</f>
        <v>1115</v>
      </c>
      <c r="B2751">
        <v>1</v>
      </c>
      <c r="C2751" t="s">
        <v>437</v>
      </c>
      <c r="D2751" t="s">
        <v>443</v>
      </c>
      <c r="E2751" t="s">
        <v>378</v>
      </c>
      <c r="F2751"/>
      <c r="G2751">
        <v>1</v>
      </c>
      <c r="H2751">
        <v>250</v>
      </c>
      <c r="I2751">
        <v>1</v>
      </c>
      <c r="J2751" cm="1">
        <f t="array" ref="J2751">_xlfn.SWITCH(B2751,1,75,2,61,3,49,4,37,5,25,6,13,7,4,8,1)</f>
        <v>75</v>
      </c>
      <c r="K2751" t="str" cm="1">
        <f t="array" ref="K2751">IFERROR(_xlfn.SWITCH(L2751,2,_xlfn.XLOOKUP(C2751,[1]ModifierDes!$B:$B,[1]ModifierDes!$C:$C),3,_xlfn.XLOOKUP(C2751,[1]StuntDes!$B:$B,[1]StuntDes!$C:$C)),"")</f>
        <v/>
      </c>
      <c r="L2751">
        <f t="shared" si="111"/>
        <v>1</v>
      </c>
      <c r="M2751" s="10" t="str">
        <f>IFERROR(_xlfn.XLOOKUP(C2751,[1]StuntDes!$B:$B,[1]StuntDes!$A:$A),"")</f>
        <v/>
      </c>
      <c r="N2751" s="10" t="str">
        <f>IFERROR(_xlfn.XLOOKUP(C2751,[1]ModifierDes!$B:$B,[1]ModifierDes!$A:$A),"")</f>
        <v/>
      </c>
      <c r="O2751" s="10">
        <f>IFERROR(_xlfn.XLOOKUP(C2751,[1]AttributeName!$C:$C,[1]AttributeName!$B:$B),"")</f>
        <v>10012</v>
      </c>
      <c r="P2751" s="10"/>
      <c r="Q2751">
        <v>0.16</v>
      </c>
      <c r="R2751">
        <v>0.2</v>
      </c>
      <c r="S2751" cm="1">
        <f t="array" ref="S2751">IFERROR(_xlfn.SWITCH(L2751,1,_xlfn.XLOOKUP(O2751,[1]AttributeName!$B:$B,[1]AttributeName!$D:$D),2,_xlfn.XLOOKUP(C2751,#REF!,#REF!),3,_xlfn.XLOOKUP(C2751,#REF!,#REF!)),0)</f>
        <v>2</v>
      </c>
      <c r="T2751" cm="1">
        <f t="array" ref="T2751">IFERROR(_xlfn.SWITCH(L2751,1,_xlfn.XLOOKUP(O2751,[1]AttributeName!$B:$B,[1]AttributeName!$E:$E),2,_xlfn.XLOOKUP(C2751,#REF!,#REF!),3,_xlfn.XLOOKUP(C2751,#REF!,#REF!)),0)</f>
        <v>2</v>
      </c>
    </row>
    <row r="2752" customFormat="1" spans="1:20">
      <c r="A2752">
        <f t="shared" si="113"/>
        <v>1115</v>
      </c>
      <c r="B2752">
        <v>5</v>
      </c>
      <c r="C2752" t="s">
        <v>437</v>
      </c>
      <c r="D2752" t="s">
        <v>443</v>
      </c>
      <c r="E2752" t="s">
        <v>378</v>
      </c>
      <c r="F2752"/>
      <c r="G2752">
        <v>1</v>
      </c>
      <c r="H2752">
        <v>500</v>
      </c>
      <c r="I2752">
        <v>1</v>
      </c>
      <c r="J2752" cm="1">
        <f t="array" ref="J2752">_xlfn.SWITCH(B2752,1,75,2,61,3,49,4,37,5,25,6,13,7,4,8,1)</f>
        <v>25</v>
      </c>
      <c r="K2752" t="str" cm="1">
        <f t="array" ref="K2752">IFERROR(_xlfn.SWITCH(L2752,2,_xlfn.XLOOKUP(C2752,[1]ModifierDes!$B:$B,[1]ModifierDes!$C:$C),3,_xlfn.XLOOKUP(C2752,[1]StuntDes!$B:$B,[1]StuntDes!$C:$C)),"")</f>
        <v/>
      </c>
      <c r="L2752">
        <f t="shared" si="111"/>
        <v>1</v>
      </c>
      <c r="M2752" s="10" t="str">
        <f>IFERROR(_xlfn.XLOOKUP(C2752,[1]StuntDes!$B:$B,[1]StuntDes!$A:$A),"")</f>
        <v/>
      </c>
      <c r="N2752" s="10" t="str">
        <f>IFERROR(_xlfn.XLOOKUP(C2752,[1]ModifierDes!$B:$B,[1]ModifierDes!$A:$A),"")</f>
        <v/>
      </c>
      <c r="O2752" s="10">
        <f>IFERROR(_xlfn.XLOOKUP(C2752,[1]AttributeName!$C:$C,[1]AttributeName!$B:$B),"")</f>
        <v>10012</v>
      </c>
      <c r="P2752" s="10"/>
      <c r="Q2752">
        <v>0.1</v>
      </c>
      <c r="R2752">
        <v>0.14</v>
      </c>
      <c r="S2752" cm="1">
        <f t="array" ref="S2752">IFERROR(_xlfn.SWITCH(L2752,1,_xlfn.XLOOKUP(O2752,[1]AttributeName!$B:$B,[1]AttributeName!$D:$D),2,_xlfn.XLOOKUP(C2752,#REF!,#REF!),3,_xlfn.XLOOKUP(C2752,#REF!,#REF!)),0)</f>
        <v>2</v>
      </c>
      <c r="T2752" cm="1">
        <f t="array" ref="T2752">IFERROR(_xlfn.SWITCH(L2752,1,_xlfn.XLOOKUP(O2752,[1]AttributeName!$B:$B,[1]AttributeName!$E:$E),2,_xlfn.XLOOKUP(C2752,#REF!,#REF!),3,_xlfn.XLOOKUP(C2752,#REF!,#REF!)),0)</f>
        <v>2</v>
      </c>
    </row>
    <row r="2753" customFormat="1" spans="1:20">
      <c r="A2753">
        <f t="shared" si="113"/>
        <v>1115</v>
      </c>
      <c r="B2753">
        <v>8</v>
      </c>
      <c r="C2753" t="s">
        <v>437</v>
      </c>
      <c r="D2753" t="s">
        <v>443</v>
      </c>
      <c r="E2753" t="s">
        <v>378</v>
      </c>
      <c r="F2753"/>
      <c r="G2753">
        <v>1</v>
      </c>
      <c r="H2753">
        <v>750</v>
      </c>
      <c r="I2753">
        <v>1</v>
      </c>
      <c r="J2753" cm="1">
        <f t="array" ref="J2753">_xlfn.SWITCH(B2753,1,75,2,61,3,49,4,37,5,25,6,13,7,4,8,1)</f>
        <v>1</v>
      </c>
      <c r="K2753" t="str" cm="1">
        <f t="array" ref="K2753">IFERROR(_xlfn.SWITCH(L2753,2,_xlfn.XLOOKUP(C2753,[1]ModifierDes!$B:$B,[1]ModifierDes!$C:$C),3,_xlfn.XLOOKUP(C2753,[1]StuntDes!$B:$B,[1]StuntDes!$C:$C)),"")</f>
        <v/>
      </c>
      <c r="L2753">
        <f t="shared" si="111"/>
        <v>1</v>
      </c>
      <c r="M2753" s="10" t="str">
        <f>IFERROR(_xlfn.XLOOKUP(C2753,[1]StuntDes!$B:$B,[1]StuntDes!$A:$A),"")</f>
        <v/>
      </c>
      <c r="N2753" s="10" t="str">
        <f>IFERROR(_xlfn.XLOOKUP(C2753,[1]ModifierDes!$B:$B,[1]ModifierDes!$A:$A),"")</f>
        <v/>
      </c>
      <c r="O2753" s="10">
        <f>IFERROR(_xlfn.XLOOKUP(C2753,[1]AttributeName!$C:$C,[1]AttributeName!$B:$B),"")</f>
        <v>10012</v>
      </c>
      <c r="P2753" s="10"/>
      <c r="Q2753">
        <v>0.06</v>
      </c>
      <c r="R2753">
        <v>0.08</v>
      </c>
      <c r="S2753" cm="1">
        <f t="array" ref="S2753">IFERROR(_xlfn.SWITCH(L2753,1,_xlfn.XLOOKUP(O2753,[1]AttributeName!$B:$B,[1]AttributeName!$D:$D),2,_xlfn.XLOOKUP(C2753,#REF!,#REF!),3,_xlfn.XLOOKUP(C2753,#REF!,#REF!)),0)</f>
        <v>2</v>
      </c>
      <c r="T2753" cm="1">
        <f t="array" ref="T2753">IFERROR(_xlfn.SWITCH(L2753,1,_xlfn.XLOOKUP(O2753,[1]AttributeName!$B:$B,[1]AttributeName!$E:$E),2,_xlfn.XLOOKUP(C2753,#REF!,#REF!),3,_xlfn.XLOOKUP(C2753,#REF!,#REF!)),0)</f>
        <v>2</v>
      </c>
    </row>
    <row r="2754" customFormat="1" spans="1:20">
      <c r="A2754">
        <v>1151</v>
      </c>
      <c r="B2754">
        <v>1</v>
      </c>
      <c r="C2754" t="s">
        <v>73</v>
      </c>
      <c r="D2754" t="s">
        <v>443</v>
      </c>
      <c r="E2754" t="s">
        <v>392</v>
      </c>
      <c r="F2754"/>
      <c r="G2754">
        <v>2</v>
      </c>
      <c r="H2754">
        <v>250</v>
      </c>
      <c r="J2754" cm="1">
        <f t="array" ref="J2754">_xlfn.SWITCH(B2754,1,75,2,61,3,49,4,37,5,25,6,13,7,4,8,1)</f>
        <v>75</v>
      </c>
      <c r="K2754" t="str" cm="1">
        <f t="array" ref="K2754">IFERROR(_xlfn.SWITCH(L2754,2,_xlfn.XLOOKUP(C2754,[1]ModifierDes!$B:$B,[1]ModifierDes!$C:$C),3,_xlfn.XLOOKUP(C2754,[1]StuntDes!$B:$B,[1]StuntDes!$C:$C)),"")</f>
        <v/>
      </c>
      <c r="L2754">
        <f t="shared" si="111"/>
        <v>1</v>
      </c>
      <c r="M2754" s="10" t="str">
        <f>IFERROR(_xlfn.XLOOKUP(C2754,[1]StuntDes!$B:$B,[1]StuntDes!$A:$A),"")</f>
        <v/>
      </c>
      <c r="N2754" s="10" t="str">
        <f>IFERROR(_xlfn.XLOOKUP(C2754,[1]ModifierDes!$B:$B,[1]ModifierDes!$A:$A),"")</f>
        <v/>
      </c>
      <c r="O2754" s="10">
        <f>IFERROR(_xlfn.XLOOKUP(C2754,[1]AttributeName!$C:$C,[1]AttributeName!$B:$B),"")</f>
        <v>10311</v>
      </c>
      <c r="P2754" s="10"/>
      <c r="Q2754">
        <v>0.3</v>
      </c>
      <c r="R2754">
        <v>0.4</v>
      </c>
      <c r="S2754" cm="1">
        <f t="array" ref="S2754">IFERROR(_xlfn.SWITCH(L2754,1,_xlfn.XLOOKUP(O2754,[1]AttributeName!$B:$B,[1]AttributeName!$D:$D),2,_xlfn.XLOOKUP(C2754,#REF!,#REF!),3,_xlfn.XLOOKUP(C2754,#REF!,#REF!)),0)</f>
        <v>2</v>
      </c>
      <c r="T2754" cm="1">
        <f t="array" ref="T2754">IFERROR(_xlfn.SWITCH(L2754,1,_xlfn.XLOOKUP(O2754,[1]AttributeName!$B:$B,[1]AttributeName!$E:$E),2,_xlfn.XLOOKUP(C2754,#REF!,#REF!),3,_xlfn.XLOOKUP(C2754,#REF!,#REF!)),0)</f>
        <v>2</v>
      </c>
    </row>
    <row r="2755" customFormat="1" spans="1:20">
      <c r="A2755">
        <v>1151</v>
      </c>
      <c r="B2755">
        <v>2</v>
      </c>
      <c r="C2755" t="s">
        <v>73</v>
      </c>
      <c r="D2755" t="s">
        <v>443</v>
      </c>
      <c r="E2755" t="s">
        <v>392</v>
      </c>
      <c r="F2755"/>
      <c r="G2755">
        <v>2</v>
      </c>
      <c r="H2755">
        <v>500</v>
      </c>
      <c r="J2755" cm="1">
        <f t="array" ref="J2755">_xlfn.SWITCH(B2755,1,75,2,61,3,49,4,37,5,25,6,13,7,4,8,1)</f>
        <v>61</v>
      </c>
      <c r="K2755" t="str" cm="1">
        <f t="array" ref="K2755">IFERROR(_xlfn.SWITCH(L2755,2,_xlfn.XLOOKUP(C2755,[1]ModifierDes!$B:$B,[1]ModifierDes!$C:$C),3,_xlfn.XLOOKUP(C2755,[1]StuntDes!$B:$B,[1]StuntDes!$C:$C)),"")</f>
        <v/>
      </c>
      <c r="L2755">
        <f t="shared" si="111"/>
        <v>1</v>
      </c>
      <c r="M2755" s="10" t="str">
        <f>IFERROR(_xlfn.XLOOKUP(C2755,[1]StuntDes!$B:$B,[1]StuntDes!$A:$A),"")</f>
        <v/>
      </c>
      <c r="N2755" s="10" t="str">
        <f>IFERROR(_xlfn.XLOOKUP(C2755,[1]ModifierDes!$B:$B,[1]ModifierDes!$A:$A),"")</f>
        <v/>
      </c>
      <c r="O2755" s="10">
        <f>IFERROR(_xlfn.XLOOKUP(C2755,[1]AttributeName!$C:$C,[1]AttributeName!$B:$B),"")</f>
        <v>10311</v>
      </c>
      <c r="P2755" s="10"/>
      <c r="Q2755">
        <v>0.26</v>
      </c>
      <c r="R2755">
        <v>0.29</v>
      </c>
      <c r="S2755" cm="1">
        <f t="array" ref="S2755">IFERROR(_xlfn.SWITCH(L2755,1,_xlfn.XLOOKUP(O2755,[1]AttributeName!$B:$B,[1]AttributeName!$D:$D),2,_xlfn.XLOOKUP(C2755,#REF!,#REF!),3,_xlfn.XLOOKUP(C2755,#REF!,#REF!)),0)</f>
        <v>2</v>
      </c>
      <c r="T2755" cm="1">
        <f t="array" ref="T2755">IFERROR(_xlfn.SWITCH(L2755,1,_xlfn.XLOOKUP(O2755,[1]AttributeName!$B:$B,[1]AttributeName!$E:$E),2,_xlfn.XLOOKUP(C2755,#REF!,#REF!),3,_xlfn.XLOOKUP(C2755,#REF!,#REF!)),0)</f>
        <v>2</v>
      </c>
    </row>
    <row r="2756" customFormat="1" spans="1:20">
      <c r="A2756">
        <v>1151</v>
      </c>
      <c r="B2756">
        <v>3</v>
      </c>
      <c r="C2756" t="s">
        <v>73</v>
      </c>
      <c r="D2756" t="s">
        <v>443</v>
      </c>
      <c r="E2756" t="s">
        <v>392</v>
      </c>
      <c r="F2756"/>
      <c r="G2756">
        <v>2</v>
      </c>
      <c r="H2756">
        <v>750</v>
      </c>
      <c r="J2756" cm="1">
        <f t="array" ref="J2756">_xlfn.SWITCH(B2756,1,75,2,61,3,49,4,37,5,25,6,13,7,4,8,1)</f>
        <v>49</v>
      </c>
      <c r="K2756" t="str" cm="1">
        <f t="array" ref="K2756">IFERROR(_xlfn.SWITCH(L2756,2,_xlfn.XLOOKUP(C2756,[1]ModifierDes!$B:$B,[1]ModifierDes!$C:$C),3,_xlfn.XLOOKUP(C2756,[1]StuntDes!$B:$B,[1]StuntDes!$C:$C)),"")</f>
        <v/>
      </c>
      <c r="L2756">
        <f t="shared" ref="L2756:L2819" si="114">IF(M2756="",IF(N2756="",1,2),3)</f>
        <v>1</v>
      </c>
      <c r="M2756" s="10" t="str">
        <f>IFERROR(_xlfn.XLOOKUP(C2756,[1]StuntDes!$B:$B,[1]StuntDes!$A:$A),"")</f>
        <v/>
      </c>
      <c r="N2756" s="10" t="str">
        <f>IFERROR(_xlfn.XLOOKUP(C2756,[1]ModifierDes!$B:$B,[1]ModifierDes!$A:$A),"")</f>
        <v/>
      </c>
      <c r="O2756" s="10">
        <f>IFERROR(_xlfn.XLOOKUP(C2756,[1]AttributeName!$C:$C,[1]AttributeName!$B:$B),"")</f>
        <v>10311</v>
      </c>
      <c r="P2756" s="10"/>
      <c r="Q2756">
        <v>0.22</v>
      </c>
      <c r="R2756">
        <v>0.25</v>
      </c>
      <c r="S2756" cm="1">
        <f t="array" ref="S2756">IFERROR(_xlfn.SWITCH(L2756,1,_xlfn.XLOOKUP(O2756,[1]AttributeName!$B:$B,[1]AttributeName!$D:$D),2,_xlfn.XLOOKUP(C2756,#REF!,#REF!),3,_xlfn.XLOOKUP(C2756,#REF!,#REF!)),0)</f>
        <v>2</v>
      </c>
      <c r="T2756" cm="1">
        <f t="array" ref="T2756">IFERROR(_xlfn.SWITCH(L2756,1,_xlfn.XLOOKUP(O2756,[1]AttributeName!$B:$B,[1]AttributeName!$E:$E),2,_xlfn.XLOOKUP(C2756,#REF!,#REF!),3,_xlfn.XLOOKUP(C2756,#REF!,#REF!)),0)</f>
        <v>2</v>
      </c>
    </row>
    <row r="2757" customFormat="1" spans="1:20">
      <c r="A2757">
        <v>1151</v>
      </c>
      <c r="B2757">
        <v>4</v>
      </c>
      <c r="C2757" t="s">
        <v>73</v>
      </c>
      <c r="D2757" t="s">
        <v>443</v>
      </c>
      <c r="E2757" t="s">
        <v>392</v>
      </c>
      <c r="F2757"/>
      <c r="G2757">
        <v>2</v>
      </c>
      <c r="H2757">
        <v>1000</v>
      </c>
      <c r="J2757" cm="1">
        <f t="array" ref="J2757">_xlfn.SWITCH(B2757,1,75,2,61,3,49,4,37,5,25,6,13,7,4,8,1)</f>
        <v>37</v>
      </c>
      <c r="K2757" t="str" cm="1">
        <f t="array" ref="K2757">IFERROR(_xlfn.SWITCH(L2757,2,_xlfn.XLOOKUP(C2757,[1]ModifierDes!$B:$B,[1]ModifierDes!$C:$C),3,_xlfn.XLOOKUP(C2757,[1]StuntDes!$B:$B,[1]StuntDes!$C:$C)),"")</f>
        <v/>
      </c>
      <c r="L2757">
        <f t="shared" si="114"/>
        <v>1</v>
      </c>
      <c r="M2757" s="10" t="str">
        <f>IFERROR(_xlfn.XLOOKUP(C2757,[1]StuntDes!$B:$B,[1]StuntDes!$A:$A),"")</f>
        <v/>
      </c>
      <c r="N2757" s="10" t="str">
        <f>IFERROR(_xlfn.XLOOKUP(C2757,[1]ModifierDes!$B:$B,[1]ModifierDes!$A:$A),"")</f>
        <v/>
      </c>
      <c r="O2757" s="10">
        <f>IFERROR(_xlfn.XLOOKUP(C2757,[1]AttributeName!$C:$C,[1]AttributeName!$B:$B),"")</f>
        <v>10311</v>
      </c>
      <c r="P2757" s="10"/>
      <c r="Q2757">
        <v>0.18</v>
      </c>
      <c r="R2757">
        <v>0.21</v>
      </c>
      <c r="S2757" cm="1">
        <f t="array" ref="S2757">IFERROR(_xlfn.SWITCH(L2757,1,_xlfn.XLOOKUP(O2757,[1]AttributeName!$B:$B,[1]AttributeName!$D:$D),2,_xlfn.XLOOKUP(C2757,#REF!,#REF!),3,_xlfn.XLOOKUP(C2757,#REF!,#REF!)),0)</f>
        <v>2</v>
      </c>
      <c r="T2757" cm="1">
        <f t="array" ref="T2757">IFERROR(_xlfn.SWITCH(L2757,1,_xlfn.XLOOKUP(O2757,[1]AttributeName!$B:$B,[1]AttributeName!$E:$E),2,_xlfn.XLOOKUP(C2757,#REF!,#REF!),3,_xlfn.XLOOKUP(C2757,#REF!,#REF!)),0)</f>
        <v>2</v>
      </c>
    </row>
    <row r="2758" customFormat="1" spans="1:20">
      <c r="A2758">
        <v>1151</v>
      </c>
      <c r="B2758">
        <v>5</v>
      </c>
      <c r="C2758" t="s">
        <v>73</v>
      </c>
      <c r="D2758" t="s">
        <v>443</v>
      </c>
      <c r="E2758" t="s">
        <v>392</v>
      </c>
      <c r="F2758"/>
      <c r="G2758">
        <v>2</v>
      </c>
      <c r="H2758">
        <v>1000</v>
      </c>
      <c r="J2758" cm="1">
        <f t="array" ref="J2758">_xlfn.SWITCH(B2758,1,75,2,61,3,49,4,37,5,25,6,13,7,4,8,1)</f>
        <v>25</v>
      </c>
      <c r="K2758" t="str" cm="1">
        <f t="array" ref="K2758">IFERROR(_xlfn.SWITCH(L2758,2,_xlfn.XLOOKUP(C2758,[1]ModifierDes!$B:$B,[1]ModifierDes!$C:$C),3,_xlfn.XLOOKUP(C2758,[1]StuntDes!$B:$B,[1]StuntDes!$C:$C)),"")</f>
        <v/>
      </c>
      <c r="L2758">
        <f t="shared" si="114"/>
        <v>1</v>
      </c>
      <c r="M2758" s="10" t="str">
        <f>IFERROR(_xlfn.XLOOKUP(C2758,[1]StuntDes!$B:$B,[1]StuntDes!$A:$A),"")</f>
        <v/>
      </c>
      <c r="N2758" s="10" t="str">
        <f>IFERROR(_xlfn.XLOOKUP(C2758,[1]ModifierDes!$B:$B,[1]ModifierDes!$A:$A),"")</f>
        <v/>
      </c>
      <c r="O2758" s="10">
        <f>IFERROR(_xlfn.XLOOKUP(C2758,[1]AttributeName!$C:$C,[1]AttributeName!$B:$B),"")</f>
        <v>10311</v>
      </c>
      <c r="P2758" s="10"/>
      <c r="Q2758">
        <v>0.14</v>
      </c>
      <c r="R2758">
        <v>0.17</v>
      </c>
      <c r="S2758" cm="1">
        <f t="array" ref="S2758">IFERROR(_xlfn.SWITCH(L2758,1,_xlfn.XLOOKUP(O2758,[1]AttributeName!$B:$B,[1]AttributeName!$D:$D),2,_xlfn.XLOOKUP(C2758,#REF!,#REF!),3,_xlfn.XLOOKUP(C2758,#REF!,#REF!)),0)</f>
        <v>2</v>
      </c>
      <c r="T2758" cm="1">
        <f t="array" ref="T2758">IFERROR(_xlfn.SWITCH(L2758,1,_xlfn.XLOOKUP(O2758,[1]AttributeName!$B:$B,[1]AttributeName!$E:$E),2,_xlfn.XLOOKUP(C2758,#REF!,#REF!),3,_xlfn.XLOOKUP(C2758,#REF!,#REF!)),0)</f>
        <v>2</v>
      </c>
    </row>
    <row r="2759" customFormat="1" spans="1:20">
      <c r="A2759">
        <v>1151</v>
      </c>
      <c r="B2759">
        <v>6</v>
      </c>
      <c r="C2759" t="s">
        <v>73</v>
      </c>
      <c r="D2759" t="s">
        <v>443</v>
      </c>
      <c r="E2759" t="s">
        <v>392</v>
      </c>
      <c r="F2759"/>
      <c r="G2759">
        <v>2</v>
      </c>
      <c r="H2759">
        <v>1000</v>
      </c>
      <c r="J2759" cm="1">
        <f t="array" ref="J2759">_xlfn.SWITCH(B2759,1,75,2,61,3,49,4,37,5,25,6,13,7,4,8,1)</f>
        <v>13</v>
      </c>
      <c r="K2759" t="str" cm="1">
        <f t="array" ref="K2759">IFERROR(_xlfn.SWITCH(L2759,2,_xlfn.XLOOKUP(C2759,[1]ModifierDes!$B:$B,[1]ModifierDes!$C:$C),3,_xlfn.XLOOKUP(C2759,[1]StuntDes!$B:$B,[1]StuntDes!$C:$C)),"")</f>
        <v/>
      </c>
      <c r="L2759">
        <f t="shared" si="114"/>
        <v>1</v>
      </c>
      <c r="M2759" s="10" t="str">
        <f>IFERROR(_xlfn.XLOOKUP(C2759,[1]StuntDes!$B:$B,[1]StuntDes!$A:$A),"")</f>
        <v/>
      </c>
      <c r="N2759" s="10" t="str">
        <f>IFERROR(_xlfn.XLOOKUP(C2759,[1]ModifierDes!$B:$B,[1]ModifierDes!$A:$A),"")</f>
        <v/>
      </c>
      <c r="O2759" s="10">
        <f>IFERROR(_xlfn.XLOOKUP(C2759,[1]AttributeName!$C:$C,[1]AttributeName!$B:$B),"")</f>
        <v>10311</v>
      </c>
      <c r="P2759" s="10"/>
      <c r="Q2759">
        <v>0.1</v>
      </c>
      <c r="R2759">
        <v>0.13</v>
      </c>
      <c r="S2759" cm="1">
        <f t="array" ref="S2759">IFERROR(_xlfn.SWITCH(L2759,1,_xlfn.XLOOKUP(O2759,[1]AttributeName!$B:$B,[1]AttributeName!$D:$D),2,_xlfn.XLOOKUP(C2759,#REF!,#REF!),3,_xlfn.XLOOKUP(C2759,#REF!,#REF!)),0)</f>
        <v>2</v>
      </c>
      <c r="T2759" cm="1">
        <f t="array" ref="T2759">IFERROR(_xlfn.SWITCH(L2759,1,_xlfn.XLOOKUP(O2759,[1]AttributeName!$B:$B,[1]AttributeName!$E:$E),2,_xlfn.XLOOKUP(C2759,#REF!,#REF!),3,_xlfn.XLOOKUP(C2759,#REF!,#REF!)),0)</f>
        <v>2</v>
      </c>
    </row>
    <row r="2760" customFormat="1" spans="1:20">
      <c r="A2760">
        <v>1151</v>
      </c>
      <c r="B2760">
        <v>7</v>
      </c>
      <c r="C2760" t="s">
        <v>73</v>
      </c>
      <c r="D2760" t="s">
        <v>443</v>
      </c>
      <c r="E2760" t="s">
        <v>392</v>
      </c>
      <c r="F2760"/>
      <c r="G2760">
        <v>2</v>
      </c>
      <c r="H2760">
        <v>1000</v>
      </c>
      <c r="J2760" cm="1">
        <f t="array" ref="J2760">_xlfn.SWITCH(B2760,1,75,2,61,3,49,4,37,5,25,6,13,7,4,8,1)</f>
        <v>4</v>
      </c>
      <c r="K2760" t="str" cm="1">
        <f t="array" ref="K2760">IFERROR(_xlfn.SWITCH(L2760,2,_xlfn.XLOOKUP(C2760,[1]ModifierDes!$B:$B,[1]ModifierDes!$C:$C),3,_xlfn.XLOOKUP(C2760,[1]StuntDes!$B:$B,[1]StuntDes!$C:$C)),"")</f>
        <v/>
      </c>
      <c r="L2760">
        <f t="shared" si="114"/>
        <v>1</v>
      </c>
      <c r="M2760" s="10" t="str">
        <f>IFERROR(_xlfn.XLOOKUP(C2760,[1]StuntDes!$B:$B,[1]StuntDes!$A:$A),"")</f>
        <v/>
      </c>
      <c r="N2760" s="10" t="str">
        <f>IFERROR(_xlfn.XLOOKUP(C2760,[1]ModifierDes!$B:$B,[1]ModifierDes!$A:$A),"")</f>
        <v/>
      </c>
      <c r="O2760" s="10">
        <f>IFERROR(_xlfn.XLOOKUP(C2760,[1]AttributeName!$C:$C,[1]AttributeName!$B:$B),"")</f>
        <v>10311</v>
      </c>
      <c r="P2760" s="10"/>
      <c r="Q2760">
        <v>0.06</v>
      </c>
      <c r="R2760">
        <v>0.0900000000000001</v>
      </c>
      <c r="S2760" cm="1">
        <f t="array" ref="S2760">IFERROR(_xlfn.SWITCH(L2760,1,_xlfn.XLOOKUP(O2760,[1]AttributeName!$B:$B,[1]AttributeName!$D:$D),2,_xlfn.XLOOKUP(C2760,#REF!,#REF!),3,_xlfn.XLOOKUP(C2760,#REF!,#REF!)),0)</f>
        <v>2</v>
      </c>
      <c r="T2760" cm="1">
        <f t="array" ref="T2760">IFERROR(_xlfn.SWITCH(L2760,1,_xlfn.XLOOKUP(O2760,[1]AttributeName!$B:$B,[1]AttributeName!$E:$E),2,_xlfn.XLOOKUP(C2760,#REF!,#REF!),3,_xlfn.XLOOKUP(C2760,#REF!,#REF!)),0)</f>
        <v>2</v>
      </c>
    </row>
    <row r="2761" customFormat="1" spans="1:20">
      <c r="A2761">
        <v>1151</v>
      </c>
      <c r="B2761">
        <v>8</v>
      </c>
      <c r="C2761" t="s">
        <v>73</v>
      </c>
      <c r="D2761" t="s">
        <v>443</v>
      </c>
      <c r="E2761" t="s">
        <v>392</v>
      </c>
      <c r="F2761"/>
      <c r="G2761">
        <v>2</v>
      </c>
      <c r="H2761">
        <v>1000</v>
      </c>
      <c r="J2761" cm="1">
        <f t="array" ref="J2761">_xlfn.SWITCH(B2761,1,75,2,61,3,49,4,37,5,25,6,13,7,4,8,1)</f>
        <v>1</v>
      </c>
      <c r="K2761" t="str" cm="1">
        <f t="array" ref="K2761">IFERROR(_xlfn.SWITCH(L2761,2,_xlfn.XLOOKUP(C2761,[1]ModifierDes!$B:$B,[1]ModifierDes!$C:$C),3,_xlfn.XLOOKUP(C2761,[1]StuntDes!$B:$B,[1]StuntDes!$C:$C)),"")</f>
        <v/>
      </c>
      <c r="L2761">
        <f t="shared" si="114"/>
        <v>1</v>
      </c>
      <c r="M2761" s="10" t="str">
        <f>IFERROR(_xlfn.XLOOKUP(C2761,[1]StuntDes!$B:$B,[1]StuntDes!$A:$A),"")</f>
        <v/>
      </c>
      <c r="N2761" s="10" t="str">
        <f>IFERROR(_xlfn.XLOOKUP(C2761,[1]ModifierDes!$B:$B,[1]ModifierDes!$A:$A),"")</f>
        <v/>
      </c>
      <c r="O2761" s="10">
        <f>IFERROR(_xlfn.XLOOKUP(C2761,[1]AttributeName!$C:$C,[1]AttributeName!$B:$B),"")</f>
        <v>10311</v>
      </c>
      <c r="P2761" s="10"/>
      <c r="Q2761">
        <v>0.02</v>
      </c>
      <c r="R2761">
        <v>0.0500000000000001</v>
      </c>
      <c r="S2761" cm="1">
        <f t="array" ref="S2761">IFERROR(_xlfn.SWITCH(L2761,1,_xlfn.XLOOKUP(O2761,[1]AttributeName!$B:$B,[1]AttributeName!$D:$D),2,_xlfn.XLOOKUP(C2761,#REF!,#REF!),3,_xlfn.XLOOKUP(C2761,#REF!,#REF!)),0)</f>
        <v>2</v>
      </c>
      <c r="T2761" cm="1">
        <f t="array" ref="T2761">IFERROR(_xlfn.SWITCH(L2761,1,_xlfn.XLOOKUP(O2761,[1]AttributeName!$B:$B,[1]AttributeName!$E:$E),2,_xlfn.XLOOKUP(C2761,#REF!,#REF!),3,_xlfn.XLOOKUP(C2761,#REF!,#REF!)),0)</f>
        <v>2</v>
      </c>
    </row>
    <row r="2762" customFormat="1" spans="1:20">
      <c r="A2762">
        <f t="shared" ref="A2762:A2793" si="115">A2754+1</f>
        <v>1152</v>
      </c>
      <c r="B2762">
        <v>1</v>
      </c>
      <c r="C2762" t="s">
        <v>423</v>
      </c>
      <c r="D2762" t="s">
        <v>443</v>
      </c>
      <c r="E2762" t="s">
        <v>392</v>
      </c>
      <c r="F2762"/>
      <c r="G2762">
        <v>2</v>
      </c>
      <c r="H2762">
        <v>250</v>
      </c>
      <c r="J2762" cm="1">
        <f t="array" ref="J2762">_xlfn.SWITCH(B2762,1,75,2,61,3,49,4,37,5,25,6,13,7,4,8,1)</f>
        <v>75</v>
      </c>
      <c r="K2762" t="str" cm="1">
        <f t="array" ref="K2762">IFERROR(_xlfn.SWITCH(L2762,2,_xlfn.XLOOKUP(C2762,[1]ModifierDes!$B:$B,[1]ModifierDes!$C:$C),3,_xlfn.XLOOKUP(C2762,[1]StuntDes!$B:$B,[1]StuntDes!$C:$C)),"")</f>
        <v/>
      </c>
      <c r="L2762">
        <f t="shared" si="114"/>
        <v>1</v>
      </c>
      <c r="M2762" s="10" t="str">
        <f>IFERROR(_xlfn.XLOOKUP(C2762,[1]StuntDes!$B:$B,[1]StuntDes!$A:$A),"")</f>
        <v/>
      </c>
      <c r="N2762" s="10" t="str">
        <f>IFERROR(_xlfn.XLOOKUP(C2762,[1]ModifierDes!$B:$B,[1]ModifierDes!$A:$A),"")</f>
        <v/>
      </c>
      <c r="O2762" s="10">
        <f>IFERROR(_xlfn.XLOOKUP(C2762,[1]AttributeName!$C:$C,[1]AttributeName!$B:$B),"")</f>
        <v>10312</v>
      </c>
      <c r="P2762" s="10"/>
      <c r="Q2762">
        <v>0.3</v>
      </c>
      <c r="R2762">
        <v>0.4</v>
      </c>
      <c r="S2762" cm="1">
        <f t="array" ref="S2762">IFERROR(_xlfn.SWITCH(L2762,1,_xlfn.XLOOKUP(O2762,[1]AttributeName!$B:$B,[1]AttributeName!$D:$D),2,_xlfn.XLOOKUP(C2762,#REF!,#REF!),3,_xlfn.XLOOKUP(C2762,#REF!,#REF!)),0)</f>
        <v>2</v>
      </c>
      <c r="T2762" cm="1">
        <f t="array" ref="T2762">IFERROR(_xlfn.SWITCH(L2762,1,_xlfn.XLOOKUP(O2762,[1]AttributeName!$B:$B,[1]AttributeName!$E:$E),2,_xlfn.XLOOKUP(C2762,#REF!,#REF!),3,_xlfn.XLOOKUP(C2762,#REF!,#REF!)),0)</f>
        <v>2</v>
      </c>
    </row>
    <row r="2763" customFormat="1" spans="1:20">
      <c r="A2763">
        <f t="shared" si="115"/>
        <v>1152</v>
      </c>
      <c r="B2763">
        <v>2</v>
      </c>
      <c r="C2763" t="s">
        <v>423</v>
      </c>
      <c r="D2763" t="s">
        <v>443</v>
      </c>
      <c r="E2763" t="s">
        <v>392</v>
      </c>
      <c r="F2763"/>
      <c r="G2763">
        <v>2</v>
      </c>
      <c r="H2763">
        <v>500</v>
      </c>
      <c r="J2763" cm="1">
        <f t="array" ref="J2763">_xlfn.SWITCH(B2763,1,75,2,61,3,49,4,37,5,25,6,13,7,4,8,1)</f>
        <v>61</v>
      </c>
      <c r="K2763" t="str" cm="1">
        <f t="array" ref="K2763">IFERROR(_xlfn.SWITCH(L2763,2,_xlfn.XLOOKUP(C2763,[1]ModifierDes!$B:$B,[1]ModifierDes!$C:$C),3,_xlfn.XLOOKUP(C2763,[1]StuntDes!$B:$B,[1]StuntDes!$C:$C)),"")</f>
        <v/>
      </c>
      <c r="L2763">
        <f t="shared" si="114"/>
        <v>1</v>
      </c>
      <c r="M2763" s="10" t="str">
        <f>IFERROR(_xlfn.XLOOKUP(C2763,[1]StuntDes!$B:$B,[1]StuntDes!$A:$A),"")</f>
        <v/>
      </c>
      <c r="N2763" s="10" t="str">
        <f>IFERROR(_xlfn.XLOOKUP(C2763,[1]ModifierDes!$B:$B,[1]ModifierDes!$A:$A),"")</f>
        <v/>
      </c>
      <c r="O2763" s="10">
        <f>IFERROR(_xlfn.XLOOKUP(C2763,[1]AttributeName!$C:$C,[1]AttributeName!$B:$B),"")</f>
        <v>10312</v>
      </c>
      <c r="P2763" s="10"/>
      <c r="Q2763">
        <v>0.26</v>
      </c>
      <c r="R2763">
        <v>0.29</v>
      </c>
      <c r="S2763" cm="1">
        <f t="array" ref="S2763">IFERROR(_xlfn.SWITCH(L2763,1,_xlfn.XLOOKUP(O2763,[1]AttributeName!$B:$B,[1]AttributeName!$D:$D),2,_xlfn.XLOOKUP(C2763,#REF!,#REF!),3,_xlfn.XLOOKUP(C2763,#REF!,#REF!)),0)</f>
        <v>2</v>
      </c>
      <c r="T2763" cm="1">
        <f t="array" ref="T2763">IFERROR(_xlfn.SWITCH(L2763,1,_xlfn.XLOOKUP(O2763,[1]AttributeName!$B:$B,[1]AttributeName!$E:$E),2,_xlfn.XLOOKUP(C2763,#REF!,#REF!),3,_xlfn.XLOOKUP(C2763,#REF!,#REF!)),0)</f>
        <v>2</v>
      </c>
    </row>
    <row r="2764" customFormat="1" spans="1:20">
      <c r="A2764">
        <f t="shared" si="115"/>
        <v>1152</v>
      </c>
      <c r="B2764">
        <v>3</v>
      </c>
      <c r="C2764" t="s">
        <v>423</v>
      </c>
      <c r="D2764" t="s">
        <v>443</v>
      </c>
      <c r="E2764" t="s">
        <v>392</v>
      </c>
      <c r="F2764"/>
      <c r="G2764">
        <v>2</v>
      </c>
      <c r="H2764">
        <v>750</v>
      </c>
      <c r="J2764" cm="1">
        <f t="array" ref="J2764">_xlfn.SWITCH(B2764,1,75,2,61,3,49,4,37,5,25,6,13,7,4,8,1)</f>
        <v>49</v>
      </c>
      <c r="K2764" t="str" cm="1">
        <f t="array" ref="K2764">IFERROR(_xlfn.SWITCH(L2764,2,_xlfn.XLOOKUP(C2764,[1]ModifierDes!$B:$B,[1]ModifierDes!$C:$C),3,_xlfn.XLOOKUP(C2764,[1]StuntDes!$B:$B,[1]StuntDes!$C:$C)),"")</f>
        <v/>
      </c>
      <c r="L2764">
        <f t="shared" si="114"/>
        <v>1</v>
      </c>
      <c r="M2764" s="10" t="str">
        <f>IFERROR(_xlfn.XLOOKUP(C2764,[1]StuntDes!$B:$B,[1]StuntDes!$A:$A),"")</f>
        <v/>
      </c>
      <c r="N2764" s="10" t="str">
        <f>IFERROR(_xlfn.XLOOKUP(C2764,[1]ModifierDes!$B:$B,[1]ModifierDes!$A:$A),"")</f>
        <v/>
      </c>
      <c r="O2764" s="10">
        <f>IFERROR(_xlfn.XLOOKUP(C2764,[1]AttributeName!$C:$C,[1]AttributeName!$B:$B),"")</f>
        <v>10312</v>
      </c>
      <c r="P2764" s="10"/>
      <c r="Q2764">
        <v>0.22</v>
      </c>
      <c r="R2764">
        <v>0.25</v>
      </c>
      <c r="S2764" cm="1">
        <f t="array" ref="S2764">IFERROR(_xlfn.SWITCH(L2764,1,_xlfn.XLOOKUP(O2764,[1]AttributeName!$B:$B,[1]AttributeName!$D:$D),2,_xlfn.XLOOKUP(C2764,#REF!,#REF!),3,_xlfn.XLOOKUP(C2764,#REF!,#REF!)),0)</f>
        <v>2</v>
      </c>
      <c r="T2764" cm="1">
        <f t="array" ref="T2764">IFERROR(_xlfn.SWITCH(L2764,1,_xlfn.XLOOKUP(O2764,[1]AttributeName!$B:$B,[1]AttributeName!$E:$E),2,_xlfn.XLOOKUP(C2764,#REF!,#REF!),3,_xlfn.XLOOKUP(C2764,#REF!,#REF!)),0)</f>
        <v>2</v>
      </c>
    </row>
    <row r="2765" customFormat="1" spans="1:20">
      <c r="A2765">
        <f t="shared" si="115"/>
        <v>1152</v>
      </c>
      <c r="B2765">
        <v>4</v>
      </c>
      <c r="C2765" t="s">
        <v>423</v>
      </c>
      <c r="D2765" t="s">
        <v>443</v>
      </c>
      <c r="E2765" t="s">
        <v>392</v>
      </c>
      <c r="F2765"/>
      <c r="G2765">
        <v>2</v>
      </c>
      <c r="H2765">
        <v>1000</v>
      </c>
      <c r="J2765" cm="1">
        <f t="array" ref="J2765">_xlfn.SWITCH(B2765,1,75,2,61,3,49,4,37,5,25,6,13,7,4,8,1)</f>
        <v>37</v>
      </c>
      <c r="K2765" t="str" cm="1">
        <f t="array" ref="K2765">IFERROR(_xlfn.SWITCH(L2765,2,_xlfn.XLOOKUP(C2765,[1]ModifierDes!$B:$B,[1]ModifierDes!$C:$C),3,_xlfn.XLOOKUP(C2765,[1]StuntDes!$B:$B,[1]StuntDes!$C:$C)),"")</f>
        <v/>
      </c>
      <c r="L2765">
        <f t="shared" si="114"/>
        <v>1</v>
      </c>
      <c r="M2765" s="10" t="str">
        <f>IFERROR(_xlfn.XLOOKUP(C2765,[1]StuntDes!$B:$B,[1]StuntDes!$A:$A),"")</f>
        <v/>
      </c>
      <c r="N2765" s="10" t="str">
        <f>IFERROR(_xlfn.XLOOKUP(C2765,[1]ModifierDes!$B:$B,[1]ModifierDes!$A:$A),"")</f>
        <v/>
      </c>
      <c r="O2765" s="10">
        <f>IFERROR(_xlfn.XLOOKUP(C2765,[1]AttributeName!$C:$C,[1]AttributeName!$B:$B),"")</f>
        <v>10312</v>
      </c>
      <c r="P2765" s="10"/>
      <c r="Q2765">
        <v>0.18</v>
      </c>
      <c r="R2765">
        <v>0.21</v>
      </c>
      <c r="S2765" cm="1">
        <f t="array" ref="S2765">IFERROR(_xlfn.SWITCH(L2765,1,_xlfn.XLOOKUP(O2765,[1]AttributeName!$B:$B,[1]AttributeName!$D:$D),2,_xlfn.XLOOKUP(C2765,#REF!,#REF!),3,_xlfn.XLOOKUP(C2765,#REF!,#REF!)),0)</f>
        <v>2</v>
      </c>
      <c r="T2765" cm="1">
        <f t="array" ref="T2765">IFERROR(_xlfn.SWITCH(L2765,1,_xlfn.XLOOKUP(O2765,[1]AttributeName!$B:$B,[1]AttributeName!$E:$E),2,_xlfn.XLOOKUP(C2765,#REF!,#REF!),3,_xlfn.XLOOKUP(C2765,#REF!,#REF!)),0)</f>
        <v>2</v>
      </c>
    </row>
    <row r="2766" customFormat="1" spans="1:20">
      <c r="A2766">
        <f t="shared" si="115"/>
        <v>1152</v>
      </c>
      <c r="B2766">
        <v>5</v>
      </c>
      <c r="C2766" t="s">
        <v>423</v>
      </c>
      <c r="D2766" t="s">
        <v>443</v>
      </c>
      <c r="E2766" t="s">
        <v>392</v>
      </c>
      <c r="F2766"/>
      <c r="G2766">
        <v>2</v>
      </c>
      <c r="H2766">
        <v>1000</v>
      </c>
      <c r="J2766" cm="1">
        <f t="array" ref="J2766">_xlfn.SWITCH(B2766,1,75,2,61,3,49,4,37,5,25,6,13,7,4,8,1)</f>
        <v>25</v>
      </c>
      <c r="K2766" t="str" cm="1">
        <f t="array" ref="K2766">IFERROR(_xlfn.SWITCH(L2766,2,_xlfn.XLOOKUP(C2766,[1]ModifierDes!$B:$B,[1]ModifierDes!$C:$C),3,_xlfn.XLOOKUP(C2766,[1]StuntDes!$B:$B,[1]StuntDes!$C:$C)),"")</f>
        <v/>
      </c>
      <c r="L2766">
        <f t="shared" si="114"/>
        <v>1</v>
      </c>
      <c r="M2766" s="10" t="str">
        <f>IFERROR(_xlfn.XLOOKUP(C2766,[1]StuntDes!$B:$B,[1]StuntDes!$A:$A),"")</f>
        <v/>
      </c>
      <c r="N2766" s="10" t="str">
        <f>IFERROR(_xlfn.XLOOKUP(C2766,[1]ModifierDes!$B:$B,[1]ModifierDes!$A:$A),"")</f>
        <v/>
      </c>
      <c r="O2766" s="10">
        <f>IFERROR(_xlfn.XLOOKUP(C2766,[1]AttributeName!$C:$C,[1]AttributeName!$B:$B),"")</f>
        <v>10312</v>
      </c>
      <c r="P2766" s="10"/>
      <c r="Q2766">
        <v>0.14</v>
      </c>
      <c r="R2766">
        <v>0.17</v>
      </c>
      <c r="S2766" cm="1">
        <f t="array" ref="S2766">IFERROR(_xlfn.SWITCH(L2766,1,_xlfn.XLOOKUP(O2766,[1]AttributeName!$B:$B,[1]AttributeName!$D:$D),2,_xlfn.XLOOKUP(C2766,#REF!,#REF!),3,_xlfn.XLOOKUP(C2766,#REF!,#REF!)),0)</f>
        <v>2</v>
      </c>
      <c r="T2766" cm="1">
        <f t="array" ref="T2766">IFERROR(_xlfn.SWITCH(L2766,1,_xlfn.XLOOKUP(O2766,[1]AttributeName!$B:$B,[1]AttributeName!$E:$E),2,_xlfn.XLOOKUP(C2766,#REF!,#REF!),3,_xlfn.XLOOKUP(C2766,#REF!,#REF!)),0)</f>
        <v>2</v>
      </c>
    </row>
    <row r="2767" customFormat="1" spans="1:20">
      <c r="A2767">
        <f t="shared" si="115"/>
        <v>1152</v>
      </c>
      <c r="B2767">
        <v>6</v>
      </c>
      <c r="C2767" t="s">
        <v>423</v>
      </c>
      <c r="D2767" t="s">
        <v>443</v>
      </c>
      <c r="E2767" t="s">
        <v>392</v>
      </c>
      <c r="F2767"/>
      <c r="G2767">
        <v>2</v>
      </c>
      <c r="H2767">
        <v>1000</v>
      </c>
      <c r="J2767" cm="1">
        <f t="array" ref="J2767">_xlfn.SWITCH(B2767,1,75,2,61,3,49,4,37,5,25,6,13,7,4,8,1)</f>
        <v>13</v>
      </c>
      <c r="K2767" t="str" cm="1">
        <f t="array" ref="K2767">IFERROR(_xlfn.SWITCH(L2767,2,_xlfn.XLOOKUP(C2767,[1]ModifierDes!$B:$B,[1]ModifierDes!$C:$C),3,_xlfn.XLOOKUP(C2767,[1]StuntDes!$B:$B,[1]StuntDes!$C:$C)),"")</f>
        <v/>
      </c>
      <c r="L2767">
        <f t="shared" si="114"/>
        <v>1</v>
      </c>
      <c r="M2767" s="10" t="str">
        <f>IFERROR(_xlfn.XLOOKUP(C2767,[1]StuntDes!$B:$B,[1]StuntDes!$A:$A),"")</f>
        <v/>
      </c>
      <c r="N2767" s="10" t="str">
        <f>IFERROR(_xlfn.XLOOKUP(C2767,[1]ModifierDes!$B:$B,[1]ModifierDes!$A:$A),"")</f>
        <v/>
      </c>
      <c r="O2767" s="10">
        <f>IFERROR(_xlfn.XLOOKUP(C2767,[1]AttributeName!$C:$C,[1]AttributeName!$B:$B),"")</f>
        <v>10312</v>
      </c>
      <c r="P2767" s="10"/>
      <c r="Q2767">
        <v>0.1</v>
      </c>
      <c r="R2767">
        <v>0.13</v>
      </c>
      <c r="S2767" cm="1">
        <f t="array" ref="S2767">IFERROR(_xlfn.SWITCH(L2767,1,_xlfn.XLOOKUP(O2767,[1]AttributeName!$B:$B,[1]AttributeName!$D:$D),2,_xlfn.XLOOKUP(C2767,#REF!,#REF!),3,_xlfn.XLOOKUP(C2767,#REF!,#REF!)),0)</f>
        <v>2</v>
      </c>
      <c r="T2767" cm="1">
        <f t="array" ref="T2767">IFERROR(_xlfn.SWITCH(L2767,1,_xlfn.XLOOKUP(O2767,[1]AttributeName!$B:$B,[1]AttributeName!$E:$E),2,_xlfn.XLOOKUP(C2767,#REF!,#REF!),3,_xlfn.XLOOKUP(C2767,#REF!,#REF!)),0)</f>
        <v>2</v>
      </c>
    </row>
    <row r="2768" customFormat="1" spans="1:20">
      <c r="A2768">
        <f t="shared" si="115"/>
        <v>1152</v>
      </c>
      <c r="B2768">
        <v>7</v>
      </c>
      <c r="C2768" t="s">
        <v>423</v>
      </c>
      <c r="D2768" t="s">
        <v>443</v>
      </c>
      <c r="E2768" t="s">
        <v>392</v>
      </c>
      <c r="F2768"/>
      <c r="G2768">
        <v>2</v>
      </c>
      <c r="H2768">
        <v>1000</v>
      </c>
      <c r="J2768" cm="1">
        <f t="array" ref="J2768">_xlfn.SWITCH(B2768,1,75,2,61,3,49,4,37,5,25,6,13,7,4,8,1)</f>
        <v>4</v>
      </c>
      <c r="K2768" t="str" cm="1">
        <f t="array" ref="K2768">IFERROR(_xlfn.SWITCH(L2768,2,_xlfn.XLOOKUP(C2768,[1]ModifierDes!$B:$B,[1]ModifierDes!$C:$C),3,_xlfn.XLOOKUP(C2768,[1]StuntDes!$B:$B,[1]StuntDes!$C:$C)),"")</f>
        <v/>
      </c>
      <c r="L2768">
        <f t="shared" si="114"/>
        <v>1</v>
      </c>
      <c r="M2768" s="10" t="str">
        <f>IFERROR(_xlfn.XLOOKUP(C2768,[1]StuntDes!$B:$B,[1]StuntDes!$A:$A),"")</f>
        <v/>
      </c>
      <c r="N2768" s="10" t="str">
        <f>IFERROR(_xlfn.XLOOKUP(C2768,[1]ModifierDes!$B:$B,[1]ModifierDes!$A:$A),"")</f>
        <v/>
      </c>
      <c r="O2768" s="10">
        <f>IFERROR(_xlfn.XLOOKUP(C2768,[1]AttributeName!$C:$C,[1]AttributeName!$B:$B),"")</f>
        <v>10312</v>
      </c>
      <c r="P2768" s="10"/>
      <c r="Q2768">
        <v>0.06</v>
      </c>
      <c r="R2768">
        <v>0.0900000000000001</v>
      </c>
      <c r="S2768" cm="1">
        <f t="array" ref="S2768">IFERROR(_xlfn.SWITCH(L2768,1,_xlfn.XLOOKUP(O2768,[1]AttributeName!$B:$B,[1]AttributeName!$D:$D),2,_xlfn.XLOOKUP(C2768,#REF!,#REF!),3,_xlfn.XLOOKUP(C2768,#REF!,#REF!)),0)</f>
        <v>2</v>
      </c>
      <c r="T2768" cm="1">
        <f t="array" ref="T2768">IFERROR(_xlfn.SWITCH(L2768,1,_xlfn.XLOOKUP(O2768,[1]AttributeName!$B:$B,[1]AttributeName!$E:$E),2,_xlfn.XLOOKUP(C2768,#REF!,#REF!),3,_xlfn.XLOOKUP(C2768,#REF!,#REF!)),0)</f>
        <v>2</v>
      </c>
    </row>
    <row r="2769" customFormat="1" spans="1:20">
      <c r="A2769">
        <f t="shared" si="115"/>
        <v>1152</v>
      </c>
      <c r="B2769">
        <v>8</v>
      </c>
      <c r="C2769" t="s">
        <v>423</v>
      </c>
      <c r="D2769" t="s">
        <v>443</v>
      </c>
      <c r="E2769" t="s">
        <v>392</v>
      </c>
      <c r="F2769"/>
      <c r="G2769">
        <v>2</v>
      </c>
      <c r="H2769">
        <v>1000</v>
      </c>
      <c r="J2769" cm="1">
        <f t="array" ref="J2769">_xlfn.SWITCH(B2769,1,75,2,61,3,49,4,37,5,25,6,13,7,4,8,1)</f>
        <v>1</v>
      </c>
      <c r="K2769" t="str" cm="1">
        <f t="array" ref="K2769">IFERROR(_xlfn.SWITCH(L2769,2,_xlfn.XLOOKUP(C2769,[1]ModifierDes!$B:$B,[1]ModifierDes!$C:$C),3,_xlfn.XLOOKUP(C2769,[1]StuntDes!$B:$B,[1]StuntDes!$C:$C)),"")</f>
        <v/>
      </c>
      <c r="L2769">
        <f t="shared" si="114"/>
        <v>1</v>
      </c>
      <c r="M2769" s="10" t="str">
        <f>IFERROR(_xlfn.XLOOKUP(C2769,[1]StuntDes!$B:$B,[1]StuntDes!$A:$A),"")</f>
        <v/>
      </c>
      <c r="N2769" s="10" t="str">
        <f>IFERROR(_xlfn.XLOOKUP(C2769,[1]ModifierDes!$B:$B,[1]ModifierDes!$A:$A),"")</f>
        <v/>
      </c>
      <c r="O2769" s="10">
        <f>IFERROR(_xlfn.XLOOKUP(C2769,[1]AttributeName!$C:$C,[1]AttributeName!$B:$B),"")</f>
        <v>10312</v>
      </c>
      <c r="P2769" s="10"/>
      <c r="Q2769">
        <v>0.02</v>
      </c>
      <c r="R2769">
        <v>0.0500000000000001</v>
      </c>
      <c r="S2769" cm="1">
        <f t="array" ref="S2769">IFERROR(_xlfn.SWITCH(L2769,1,_xlfn.XLOOKUP(O2769,[1]AttributeName!$B:$B,[1]AttributeName!$D:$D),2,_xlfn.XLOOKUP(C2769,#REF!,#REF!),3,_xlfn.XLOOKUP(C2769,#REF!,#REF!)),0)</f>
        <v>2</v>
      </c>
      <c r="T2769" cm="1">
        <f t="array" ref="T2769">IFERROR(_xlfn.SWITCH(L2769,1,_xlfn.XLOOKUP(O2769,[1]AttributeName!$B:$B,[1]AttributeName!$E:$E),2,_xlfn.XLOOKUP(C2769,#REF!,#REF!),3,_xlfn.XLOOKUP(C2769,#REF!,#REF!)),0)</f>
        <v>2</v>
      </c>
    </row>
    <row r="2770" customFormat="1" spans="1:20">
      <c r="A2770">
        <f t="shared" si="115"/>
        <v>1153</v>
      </c>
      <c r="B2770">
        <v>1</v>
      </c>
      <c r="C2770" t="s">
        <v>424</v>
      </c>
      <c r="D2770" t="s">
        <v>443</v>
      </c>
      <c r="E2770" t="s">
        <v>392</v>
      </c>
      <c r="F2770"/>
      <c r="G2770">
        <v>2</v>
      </c>
      <c r="H2770">
        <v>250</v>
      </c>
      <c r="J2770" cm="1">
        <f t="array" ref="J2770">_xlfn.SWITCH(B2770,1,75,2,61,3,49,4,37,5,25,6,13,7,4,8,1)</f>
        <v>75</v>
      </c>
      <c r="K2770" t="str" cm="1">
        <f t="array" ref="K2770">IFERROR(_xlfn.SWITCH(L2770,2,_xlfn.XLOOKUP(C2770,[1]ModifierDes!$B:$B,[1]ModifierDes!$C:$C),3,_xlfn.XLOOKUP(C2770,[1]StuntDes!$B:$B,[1]StuntDes!$C:$C)),"")</f>
        <v/>
      </c>
      <c r="L2770">
        <f t="shared" si="114"/>
        <v>1</v>
      </c>
      <c r="M2770" s="10" t="str">
        <f>IFERROR(_xlfn.XLOOKUP(C2770,[1]StuntDes!$B:$B,[1]StuntDes!$A:$A),"")</f>
        <v/>
      </c>
      <c r="N2770" s="10" t="str">
        <f>IFERROR(_xlfn.XLOOKUP(C2770,[1]ModifierDes!$B:$B,[1]ModifierDes!$A:$A),"")</f>
        <v/>
      </c>
      <c r="O2770" s="10">
        <f>IFERROR(_xlfn.XLOOKUP(C2770,[1]AttributeName!$C:$C,[1]AttributeName!$B:$B),"")</f>
        <v>10313</v>
      </c>
      <c r="P2770" s="10"/>
      <c r="Q2770">
        <v>0.3</v>
      </c>
      <c r="R2770">
        <v>0.4</v>
      </c>
      <c r="S2770" cm="1">
        <f t="array" ref="S2770">IFERROR(_xlfn.SWITCH(L2770,1,_xlfn.XLOOKUP(O2770,[1]AttributeName!$B:$B,[1]AttributeName!$D:$D),2,_xlfn.XLOOKUP(C2770,#REF!,#REF!),3,_xlfn.XLOOKUP(C2770,#REF!,#REF!)),0)</f>
        <v>2</v>
      </c>
      <c r="T2770" cm="1">
        <f t="array" ref="T2770">IFERROR(_xlfn.SWITCH(L2770,1,_xlfn.XLOOKUP(O2770,[1]AttributeName!$B:$B,[1]AttributeName!$E:$E),2,_xlfn.XLOOKUP(C2770,#REF!,#REF!),3,_xlfn.XLOOKUP(C2770,#REF!,#REF!)),0)</f>
        <v>2</v>
      </c>
    </row>
    <row r="2771" customFormat="1" spans="1:20">
      <c r="A2771">
        <f t="shared" si="115"/>
        <v>1153</v>
      </c>
      <c r="B2771">
        <v>2</v>
      </c>
      <c r="C2771" t="s">
        <v>424</v>
      </c>
      <c r="D2771" t="s">
        <v>443</v>
      </c>
      <c r="E2771" t="s">
        <v>392</v>
      </c>
      <c r="F2771"/>
      <c r="G2771">
        <v>2</v>
      </c>
      <c r="H2771">
        <v>500</v>
      </c>
      <c r="J2771" cm="1">
        <f t="array" ref="J2771">_xlfn.SWITCH(B2771,1,75,2,61,3,49,4,37,5,25,6,13,7,4,8,1)</f>
        <v>61</v>
      </c>
      <c r="K2771" t="str" cm="1">
        <f t="array" ref="K2771">IFERROR(_xlfn.SWITCH(L2771,2,_xlfn.XLOOKUP(C2771,[1]ModifierDes!$B:$B,[1]ModifierDes!$C:$C),3,_xlfn.XLOOKUP(C2771,[1]StuntDes!$B:$B,[1]StuntDes!$C:$C)),"")</f>
        <v/>
      </c>
      <c r="L2771">
        <f t="shared" si="114"/>
        <v>1</v>
      </c>
      <c r="M2771" s="10" t="str">
        <f>IFERROR(_xlfn.XLOOKUP(C2771,[1]StuntDes!$B:$B,[1]StuntDes!$A:$A),"")</f>
        <v/>
      </c>
      <c r="N2771" s="10" t="str">
        <f>IFERROR(_xlfn.XLOOKUP(C2771,[1]ModifierDes!$B:$B,[1]ModifierDes!$A:$A),"")</f>
        <v/>
      </c>
      <c r="O2771" s="10">
        <f>IFERROR(_xlfn.XLOOKUP(C2771,[1]AttributeName!$C:$C,[1]AttributeName!$B:$B),"")</f>
        <v>10313</v>
      </c>
      <c r="P2771" s="10"/>
      <c r="Q2771">
        <v>0.26</v>
      </c>
      <c r="R2771">
        <v>0.29</v>
      </c>
      <c r="S2771" cm="1">
        <f t="array" ref="S2771">IFERROR(_xlfn.SWITCH(L2771,1,_xlfn.XLOOKUP(O2771,[1]AttributeName!$B:$B,[1]AttributeName!$D:$D),2,_xlfn.XLOOKUP(C2771,#REF!,#REF!),3,_xlfn.XLOOKUP(C2771,#REF!,#REF!)),0)</f>
        <v>2</v>
      </c>
      <c r="T2771" cm="1">
        <f t="array" ref="T2771">IFERROR(_xlfn.SWITCH(L2771,1,_xlfn.XLOOKUP(O2771,[1]AttributeName!$B:$B,[1]AttributeName!$E:$E),2,_xlfn.XLOOKUP(C2771,#REF!,#REF!),3,_xlfn.XLOOKUP(C2771,#REF!,#REF!)),0)</f>
        <v>2</v>
      </c>
    </row>
    <row r="2772" customFormat="1" spans="1:20">
      <c r="A2772">
        <f t="shared" si="115"/>
        <v>1153</v>
      </c>
      <c r="B2772">
        <v>3</v>
      </c>
      <c r="C2772" t="s">
        <v>424</v>
      </c>
      <c r="D2772" t="s">
        <v>443</v>
      </c>
      <c r="E2772" t="s">
        <v>392</v>
      </c>
      <c r="F2772"/>
      <c r="G2772">
        <v>2</v>
      </c>
      <c r="H2772">
        <v>750</v>
      </c>
      <c r="J2772" cm="1">
        <f t="array" ref="J2772">_xlfn.SWITCH(B2772,1,75,2,61,3,49,4,37,5,25,6,13,7,4,8,1)</f>
        <v>49</v>
      </c>
      <c r="K2772" t="str" cm="1">
        <f t="array" ref="K2772">IFERROR(_xlfn.SWITCH(L2772,2,_xlfn.XLOOKUP(C2772,[1]ModifierDes!$B:$B,[1]ModifierDes!$C:$C),3,_xlfn.XLOOKUP(C2772,[1]StuntDes!$B:$B,[1]StuntDes!$C:$C)),"")</f>
        <v/>
      </c>
      <c r="L2772">
        <f t="shared" si="114"/>
        <v>1</v>
      </c>
      <c r="M2772" s="10" t="str">
        <f>IFERROR(_xlfn.XLOOKUP(C2772,[1]StuntDes!$B:$B,[1]StuntDes!$A:$A),"")</f>
        <v/>
      </c>
      <c r="N2772" s="10" t="str">
        <f>IFERROR(_xlfn.XLOOKUP(C2772,[1]ModifierDes!$B:$B,[1]ModifierDes!$A:$A),"")</f>
        <v/>
      </c>
      <c r="O2772" s="10">
        <f>IFERROR(_xlfn.XLOOKUP(C2772,[1]AttributeName!$C:$C,[1]AttributeName!$B:$B),"")</f>
        <v>10313</v>
      </c>
      <c r="P2772" s="10"/>
      <c r="Q2772">
        <v>0.22</v>
      </c>
      <c r="R2772">
        <v>0.25</v>
      </c>
      <c r="S2772" cm="1">
        <f t="array" ref="S2772">IFERROR(_xlfn.SWITCH(L2772,1,_xlfn.XLOOKUP(O2772,[1]AttributeName!$B:$B,[1]AttributeName!$D:$D),2,_xlfn.XLOOKUP(C2772,#REF!,#REF!),3,_xlfn.XLOOKUP(C2772,#REF!,#REF!)),0)</f>
        <v>2</v>
      </c>
      <c r="T2772" cm="1">
        <f t="array" ref="T2772">IFERROR(_xlfn.SWITCH(L2772,1,_xlfn.XLOOKUP(O2772,[1]AttributeName!$B:$B,[1]AttributeName!$E:$E),2,_xlfn.XLOOKUP(C2772,#REF!,#REF!),3,_xlfn.XLOOKUP(C2772,#REF!,#REF!)),0)</f>
        <v>2</v>
      </c>
    </row>
    <row r="2773" customFormat="1" spans="1:20">
      <c r="A2773">
        <f t="shared" si="115"/>
        <v>1153</v>
      </c>
      <c r="B2773">
        <v>4</v>
      </c>
      <c r="C2773" t="s">
        <v>424</v>
      </c>
      <c r="D2773" t="s">
        <v>443</v>
      </c>
      <c r="E2773" t="s">
        <v>392</v>
      </c>
      <c r="F2773"/>
      <c r="G2773">
        <v>2</v>
      </c>
      <c r="H2773">
        <v>1000</v>
      </c>
      <c r="J2773" cm="1">
        <f t="array" ref="J2773">_xlfn.SWITCH(B2773,1,75,2,61,3,49,4,37,5,25,6,13,7,4,8,1)</f>
        <v>37</v>
      </c>
      <c r="K2773" t="str" cm="1">
        <f t="array" ref="K2773">IFERROR(_xlfn.SWITCH(L2773,2,_xlfn.XLOOKUP(C2773,[1]ModifierDes!$B:$B,[1]ModifierDes!$C:$C),3,_xlfn.XLOOKUP(C2773,[1]StuntDes!$B:$B,[1]StuntDes!$C:$C)),"")</f>
        <v/>
      </c>
      <c r="L2773">
        <f t="shared" si="114"/>
        <v>1</v>
      </c>
      <c r="M2773" s="10" t="str">
        <f>IFERROR(_xlfn.XLOOKUP(C2773,[1]StuntDes!$B:$B,[1]StuntDes!$A:$A),"")</f>
        <v/>
      </c>
      <c r="N2773" s="10" t="str">
        <f>IFERROR(_xlfn.XLOOKUP(C2773,[1]ModifierDes!$B:$B,[1]ModifierDes!$A:$A),"")</f>
        <v/>
      </c>
      <c r="O2773" s="10">
        <f>IFERROR(_xlfn.XLOOKUP(C2773,[1]AttributeName!$C:$C,[1]AttributeName!$B:$B),"")</f>
        <v>10313</v>
      </c>
      <c r="P2773" s="10"/>
      <c r="Q2773">
        <v>0.18</v>
      </c>
      <c r="R2773">
        <v>0.21</v>
      </c>
      <c r="S2773" cm="1">
        <f t="array" ref="S2773">IFERROR(_xlfn.SWITCH(L2773,1,_xlfn.XLOOKUP(O2773,[1]AttributeName!$B:$B,[1]AttributeName!$D:$D),2,_xlfn.XLOOKUP(C2773,#REF!,#REF!),3,_xlfn.XLOOKUP(C2773,#REF!,#REF!)),0)</f>
        <v>2</v>
      </c>
      <c r="T2773" cm="1">
        <f t="array" ref="T2773">IFERROR(_xlfn.SWITCH(L2773,1,_xlfn.XLOOKUP(O2773,[1]AttributeName!$B:$B,[1]AttributeName!$E:$E),2,_xlfn.XLOOKUP(C2773,#REF!,#REF!),3,_xlfn.XLOOKUP(C2773,#REF!,#REF!)),0)</f>
        <v>2</v>
      </c>
    </row>
    <row r="2774" customFormat="1" spans="1:20">
      <c r="A2774">
        <f t="shared" si="115"/>
        <v>1153</v>
      </c>
      <c r="B2774">
        <v>5</v>
      </c>
      <c r="C2774" t="s">
        <v>424</v>
      </c>
      <c r="D2774" t="s">
        <v>443</v>
      </c>
      <c r="E2774" t="s">
        <v>392</v>
      </c>
      <c r="F2774"/>
      <c r="G2774">
        <v>2</v>
      </c>
      <c r="H2774">
        <v>1000</v>
      </c>
      <c r="J2774" cm="1">
        <f t="array" ref="J2774">_xlfn.SWITCH(B2774,1,75,2,61,3,49,4,37,5,25,6,13,7,4,8,1)</f>
        <v>25</v>
      </c>
      <c r="K2774" t="str" cm="1">
        <f t="array" ref="K2774">IFERROR(_xlfn.SWITCH(L2774,2,_xlfn.XLOOKUP(C2774,[1]ModifierDes!$B:$B,[1]ModifierDes!$C:$C),3,_xlfn.XLOOKUP(C2774,[1]StuntDes!$B:$B,[1]StuntDes!$C:$C)),"")</f>
        <v/>
      </c>
      <c r="L2774">
        <f t="shared" si="114"/>
        <v>1</v>
      </c>
      <c r="M2774" s="10" t="str">
        <f>IFERROR(_xlfn.XLOOKUP(C2774,[1]StuntDes!$B:$B,[1]StuntDes!$A:$A),"")</f>
        <v/>
      </c>
      <c r="N2774" s="10" t="str">
        <f>IFERROR(_xlfn.XLOOKUP(C2774,[1]ModifierDes!$B:$B,[1]ModifierDes!$A:$A),"")</f>
        <v/>
      </c>
      <c r="O2774" s="10">
        <f>IFERROR(_xlfn.XLOOKUP(C2774,[1]AttributeName!$C:$C,[1]AttributeName!$B:$B),"")</f>
        <v>10313</v>
      </c>
      <c r="P2774" s="10"/>
      <c r="Q2774">
        <v>0.14</v>
      </c>
      <c r="R2774">
        <v>0.17</v>
      </c>
      <c r="S2774" cm="1">
        <f t="array" ref="S2774">IFERROR(_xlfn.SWITCH(L2774,1,_xlfn.XLOOKUP(O2774,[1]AttributeName!$B:$B,[1]AttributeName!$D:$D),2,_xlfn.XLOOKUP(C2774,#REF!,#REF!),3,_xlfn.XLOOKUP(C2774,#REF!,#REF!)),0)</f>
        <v>2</v>
      </c>
      <c r="T2774" cm="1">
        <f t="array" ref="T2774">IFERROR(_xlfn.SWITCH(L2774,1,_xlfn.XLOOKUP(O2774,[1]AttributeName!$B:$B,[1]AttributeName!$E:$E),2,_xlfn.XLOOKUP(C2774,#REF!,#REF!),3,_xlfn.XLOOKUP(C2774,#REF!,#REF!)),0)</f>
        <v>2</v>
      </c>
    </row>
    <row r="2775" customFormat="1" spans="1:20">
      <c r="A2775">
        <f t="shared" si="115"/>
        <v>1153</v>
      </c>
      <c r="B2775">
        <v>6</v>
      </c>
      <c r="C2775" t="s">
        <v>424</v>
      </c>
      <c r="D2775" t="s">
        <v>443</v>
      </c>
      <c r="E2775" t="s">
        <v>392</v>
      </c>
      <c r="F2775"/>
      <c r="G2775">
        <v>2</v>
      </c>
      <c r="H2775">
        <v>1000</v>
      </c>
      <c r="J2775" cm="1">
        <f t="array" ref="J2775">_xlfn.SWITCH(B2775,1,75,2,61,3,49,4,37,5,25,6,13,7,4,8,1)</f>
        <v>13</v>
      </c>
      <c r="K2775" t="str" cm="1">
        <f t="array" ref="K2775">IFERROR(_xlfn.SWITCH(L2775,2,_xlfn.XLOOKUP(C2775,[1]ModifierDes!$B:$B,[1]ModifierDes!$C:$C),3,_xlfn.XLOOKUP(C2775,[1]StuntDes!$B:$B,[1]StuntDes!$C:$C)),"")</f>
        <v/>
      </c>
      <c r="L2775">
        <f t="shared" si="114"/>
        <v>1</v>
      </c>
      <c r="M2775" s="10" t="str">
        <f>IFERROR(_xlfn.XLOOKUP(C2775,[1]StuntDes!$B:$B,[1]StuntDes!$A:$A),"")</f>
        <v/>
      </c>
      <c r="N2775" s="10" t="str">
        <f>IFERROR(_xlfn.XLOOKUP(C2775,[1]ModifierDes!$B:$B,[1]ModifierDes!$A:$A),"")</f>
        <v/>
      </c>
      <c r="O2775" s="10">
        <f>IFERROR(_xlfn.XLOOKUP(C2775,[1]AttributeName!$C:$C,[1]AttributeName!$B:$B),"")</f>
        <v>10313</v>
      </c>
      <c r="P2775" s="10"/>
      <c r="Q2775">
        <v>0.1</v>
      </c>
      <c r="R2775">
        <v>0.13</v>
      </c>
      <c r="S2775" cm="1">
        <f t="array" ref="S2775">IFERROR(_xlfn.SWITCH(L2775,1,_xlfn.XLOOKUP(O2775,[1]AttributeName!$B:$B,[1]AttributeName!$D:$D),2,_xlfn.XLOOKUP(C2775,#REF!,#REF!),3,_xlfn.XLOOKUP(C2775,#REF!,#REF!)),0)</f>
        <v>2</v>
      </c>
      <c r="T2775" cm="1">
        <f t="array" ref="T2775">IFERROR(_xlfn.SWITCH(L2775,1,_xlfn.XLOOKUP(O2775,[1]AttributeName!$B:$B,[1]AttributeName!$E:$E),2,_xlfn.XLOOKUP(C2775,#REF!,#REF!),3,_xlfn.XLOOKUP(C2775,#REF!,#REF!)),0)</f>
        <v>2</v>
      </c>
    </row>
    <row r="2776" customFormat="1" spans="1:20">
      <c r="A2776">
        <f t="shared" si="115"/>
        <v>1153</v>
      </c>
      <c r="B2776">
        <v>7</v>
      </c>
      <c r="C2776" t="s">
        <v>424</v>
      </c>
      <c r="D2776" t="s">
        <v>443</v>
      </c>
      <c r="E2776" t="s">
        <v>392</v>
      </c>
      <c r="F2776"/>
      <c r="G2776">
        <v>2</v>
      </c>
      <c r="H2776">
        <v>1000</v>
      </c>
      <c r="J2776" cm="1">
        <f t="array" ref="J2776">_xlfn.SWITCH(B2776,1,75,2,61,3,49,4,37,5,25,6,13,7,4,8,1)</f>
        <v>4</v>
      </c>
      <c r="K2776" t="str" cm="1">
        <f t="array" ref="K2776">IFERROR(_xlfn.SWITCH(L2776,2,_xlfn.XLOOKUP(C2776,[1]ModifierDes!$B:$B,[1]ModifierDes!$C:$C),3,_xlfn.XLOOKUP(C2776,[1]StuntDes!$B:$B,[1]StuntDes!$C:$C)),"")</f>
        <v/>
      </c>
      <c r="L2776">
        <f t="shared" si="114"/>
        <v>1</v>
      </c>
      <c r="M2776" s="10" t="str">
        <f>IFERROR(_xlfn.XLOOKUP(C2776,[1]StuntDes!$B:$B,[1]StuntDes!$A:$A),"")</f>
        <v/>
      </c>
      <c r="N2776" s="10" t="str">
        <f>IFERROR(_xlfn.XLOOKUP(C2776,[1]ModifierDes!$B:$B,[1]ModifierDes!$A:$A),"")</f>
        <v/>
      </c>
      <c r="O2776" s="10">
        <f>IFERROR(_xlfn.XLOOKUP(C2776,[1]AttributeName!$C:$C,[1]AttributeName!$B:$B),"")</f>
        <v>10313</v>
      </c>
      <c r="P2776" s="10"/>
      <c r="Q2776">
        <v>0.06</v>
      </c>
      <c r="R2776">
        <v>0.0900000000000001</v>
      </c>
      <c r="S2776" cm="1">
        <f t="array" ref="S2776">IFERROR(_xlfn.SWITCH(L2776,1,_xlfn.XLOOKUP(O2776,[1]AttributeName!$B:$B,[1]AttributeName!$D:$D),2,_xlfn.XLOOKUP(C2776,#REF!,#REF!),3,_xlfn.XLOOKUP(C2776,#REF!,#REF!)),0)</f>
        <v>2</v>
      </c>
      <c r="T2776" cm="1">
        <f t="array" ref="T2776">IFERROR(_xlfn.SWITCH(L2776,1,_xlfn.XLOOKUP(O2776,[1]AttributeName!$B:$B,[1]AttributeName!$E:$E),2,_xlfn.XLOOKUP(C2776,#REF!,#REF!),3,_xlfn.XLOOKUP(C2776,#REF!,#REF!)),0)</f>
        <v>2</v>
      </c>
    </row>
    <row r="2777" customFormat="1" spans="1:20">
      <c r="A2777">
        <f t="shared" si="115"/>
        <v>1153</v>
      </c>
      <c r="B2777">
        <v>8</v>
      </c>
      <c r="C2777" t="s">
        <v>424</v>
      </c>
      <c r="D2777" t="s">
        <v>443</v>
      </c>
      <c r="E2777" t="s">
        <v>392</v>
      </c>
      <c r="F2777"/>
      <c r="G2777">
        <v>2</v>
      </c>
      <c r="H2777">
        <v>1000</v>
      </c>
      <c r="J2777" cm="1">
        <f t="array" ref="J2777">_xlfn.SWITCH(B2777,1,75,2,61,3,49,4,37,5,25,6,13,7,4,8,1)</f>
        <v>1</v>
      </c>
      <c r="K2777" t="str" cm="1">
        <f t="array" ref="K2777">IFERROR(_xlfn.SWITCH(L2777,2,_xlfn.XLOOKUP(C2777,[1]ModifierDes!$B:$B,[1]ModifierDes!$C:$C),3,_xlfn.XLOOKUP(C2777,[1]StuntDes!$B:$B,[1]StuntDes!$C:$C)),"")</f>
        <v/>
      </c>
      <c r="L2777">
        <f t="shared" si="114"/>
        <v>1</v>
      </c>
      <c r="M2777" s="10" t="str">
        <f>IFERROR(_xlfn.XLOOKUP(C2777,[1]StuntDes!$B:$B,[1]StuntDes!$A:$A),"")</f>
        <v/>
      </c>
      <c r="N2777" s="10" t="str">
        <f>IFERROR(_xlfn.XLOOKUP(C2777,[1]ModifierDes!$B:$B,[1]ModifierDes!$A:$A),"")</f>
        <v/>
      </c>
      <c r="O2777" s="10">
        <f>IFERROR(_xlfn.XLOOKUP(C2777,[1]AttributeName!$C:$C,[1]AttributeName!$B:$B),"")</f>
        <v>10313</v>
      </c>
      <c r="P2777" s="10"/>
      <c r="Q2777">
        <v>0.02</v>
      </c>
      <c r="R2777">
        <v>0.0500000000000001</v>
      </c>
      <c r="S2777" cm="1">
        <f t="array" ref="S2777">IFERROR(_xlfn.SWITCH(L2777,1,_xlfn.XLOOKUP(O2777,[1]AttributeName!$B:$B,[1]AttributeName!$D:$D),2,_xlfn.XLOOKUP(C2777,#REF!,#REF!),3,_xlfn.XLOOKUP(C2777,#REF!,#REF!)),0)</f>
        <v>2</v>
      </c>
      <c r="T2777" cm="1">
        <f t="array" ref="T2777">IFERROR(_xlfn.SWITCH(L2777,1,_xlfn.XLOOKUP(O2777,[1]AttributeName!$B:$B,[1]AttributeName!$E:$E),2,_xlfn.XLOOKUP(C2777,#REF!,#REF!),3,_xlfn.XLOOKUP(C2777,#REF!,#REF!)),0)</f>
        <v>2</v>
      </c>
    </row>
    <row r="2778" customFormat="1" spans="1:20">
      <c r="A2778">
        <f t="shared" si="115"/>
        <v>1154</v>
      </c>
      <c r="B2778">
        <v>1</v>
      </c>
      <c r="C2778" t="s">
        <v>425</v>
      </c>
      <c r="D2778" t="s">
        <v>443</v>
      </c>
      <c r="E2778" t="s">
        <v>392</v>
      </c>
      <c r="F2778"/>
      <c r="G2778">
        <v>2</v>
      </c>
      <c r="H2778">
        <v>250</v>
      </c>
      <c r="J2778" cm="1">
        <f t="array" ref="J2778">_xlfn.SWITCH(B2778,1,75,2,61,3,49,4,37,5,25,6,13,7,4,8,1)</f>
        <v>75</v>
      </c>
      <c r="K2778" t="str" cm="1">
        <f t="array" ref="K2778">IFERROR(_xlfn.SWITCH(L2778,2,_xlfn.XLOOKUP(C2778,[1]ModifierDes!$B:$B,[1]ModifierDes!$C:$C),3,_xlfn.XLOOKUP(C2778,[1]StuntDes!$B:$B,[1]StuntDes!$C:$C)),"")</f>
        <v/>
      </c>
      <c r="L2778">
        <f t="shared" si="114"/>
        <v>1</v>
      </c>
      <c r="M2778" s="10" t="str">
        <f>IFERROR(_xlfn.XLOOKUP(C2778,[1]StuntDes!$B:$B,[1]StuntDes!$A:$A),"")</f>
        <v/>
      </c>
      <c r="N2778" s="10" t="str">
        <f>IFERROR(_xlfn.XLOOKUP(C2778,[1]ModifierDes!$B:$B,[1]ModifierDes!$A:$A),"")</f>
        <v/>
      </c>
      <c r="O2778" s="10">
        <f>IFERROR(_xlfn.XLOOKUP(C2778,[1]AttributeName!$C:$C,[1]AttributeName!$B:$B),"")</f>
        <v>10314</v>
      </c>
      <c r="P2778" s="10"/>
      <c r="Q2778">
        <v>0.3</v>
      </c>
      <c r="R2778">
        <v>0.4</v>
      </c>
      <c r="S2778" cm="1">
        <f t="array" ref="S2778">IFERROR(_xlfn.SWITCH(L2778,1,_xlfn.XLOOKUP(O2778,[1]AttributeName!$B:$B,[1]AttributeName!$D:$D),2,_xlfn.XLOOKUP(C2778,#REF!,#REF!),3,_xlfn.XLOOKUP(C2778,#REF!,#REF!)),0)</f>
        <v>2</v>
      </c>
      <c r="T2778" cm="1">
        <f t="array" ref="T2778">IFERROR(_xlfn.SWITCH(L2778,1,_xlfn.XLOOKUP(O2778,[1]AttributeName!$B:$B,[1]AttributeName!$E:$E),2,_xlfn.XLOOKUP(C2778,#REF!,#REF!),3,_xlfn.XLOOKUP(C2778,#REF!,#REF!)),0)</f>
        <v>2</v>
      </c>
    </row>
    <row r="2779" customFormat="1" spans="1:20">
      <c r="A2779">
        <f t="shared" si="115"/>
        <v>1154</v>
      </c>
      <c r="B2779">
        <v>2</v>
      </c>
      <c r="C2779" t="s">
        <v>425</v>
      </c>
      <c r="D2779" t="s">
        <v>443</v>
      </c>
      <c r="E2779" t="s">
        <v>392</v>
      </c>
      <c r="F2779"/>
      <c r="G2779">
        <v>2</v>
      </c>
      <c r="H2779">
        <v>500</v>
      </c>
      <c r="J2779" cm="1">
        <f t="array" ref="J2779">_xlfn.SWITCH(B2779,1,75,2,61,3,49,4,37,5,25,6,13,7,4,8,1)</f>
        <v>61</v>
      </c>
      <c r="K2779" t="str" cm="1">
        <f t="array" ref="K2779">IFERROR(_xlfn.SWITCH(L2779,2,_xlfn.XLOOKUP(C2779,[1]ModifierDes!$B:$B,[1]ModifierDes!$C:$C),3,_xlfn.XLOOKUP(C2779,[1]StuntDes!$B:$B,[1]StuntDes!$C:$C)),"")</f>
        <v/>
      </c>
      <c r="L2779">
        <f t="shared" si="114"/>
        <v>1</v>
      </c>
      <c r="M2779" s="10" t="str">
        <f>IFERROR(_xlfn.XLOOKUP(C2779,[1]StuntDes!$B:$B,[1]StuntDes!$A:$A),"")</f>
        <v/>
      </c>
      <c r="N2779" s="10" t="str">
        <f>IFERROR(_xlfn.XLOOKUP(C2779,[1]ModifierDes!$B:$B,[1]ModifierDes!$A:$A),"")</f>
        <v/>
      </c>
      <c r="O2779" s="10">
        <f>IFERROR(_xlfn.XLOOKUP(C2779,[1]AttributeName!$C:$C,[1]AttributeName!$B:$B),"")</f>
        <v>10314</v>
      </c>
      <c r="P2779" s="10"/>
      <c r="Q2779">
        <v>0.26</v>
      </c>
      <c r="R2779">
        <v>0.29</v>
      </c>
      <c r="S2779" cm="1">
        <f t="array" ref="S2779">IFERROR(_xlfn.SWITCH(L2779,1,_xlfn.XLOOKUP(O2779,[1]AttributeName!$B:$B,[1]AttributeName!$D:$D),2,_xlfn.XLOOKUP(C2779,#REF!,#REF!),3,_xlfn.XLOOKUP(C2779,#REF!,#REF!)),0)</f>
        <v>2</v>
      </c>
      <c r="T2779" cm="1">
        <f t="array" ref="T2779">IFERROR(_xlfn.SWITCH(L2779,1,_xlfn.XLOOKUP(O2779,[1]AttributeName!$B:$B,[1]AttributeName!$E:$E),2,_xlfn.XLOOKUP(C2779,#REF!,#REF!),3,_xlfn.XLOOKUP(C2779,#REF!,#REF!)),0)</f>
        <v>2</v>
      </c>
    </row>
    <row r="2780" customFormat="1" spans="1:20">
      <c r="A2780">
        <f t="shared" si="115"/>
        <v>1154</v>
      </c>
      <c r="B2780">
        <v>3</v>
      </c>
      <c r="C2780" t="s">
        <v>425</v>
      </c>
      <c r="D2780" t="s">
        <v>443</v>
      </c>
      <c r="E2780" t="s">
        <v>392</v>
      </c>
      <c r="F2780"/>
      <c r="G2780">
        <v>2</v>
      </c>
      <c r="H2780">
        <v>750</v>
      </c>
      <c r="J2780" cm="1">
        <f t="array" ref="J2780">_xlfn.SWITCH(B2780,1,75,2,61,3,49,4,37,5,25,6,13,7,4,8,1)</f>
        <v>49</v>
      </c>
      <c r="K2780" t="str" cm="1">
        <f t="array" ref="K2780">IFERROR(_xlfn.SWITCH(L2780,2,_xlfn.XLOOKUP(C2780,[1]ModifierDes!$B:$B,[1]ModifierDes!$C:$C),3,_xlfn.XLOOKUP(C2780,[1]StuntDes!$B:$B,[1]StuntDes!$C:$C)),"")</f>
        <v/>
      </c>
      <c r="L2780">
        <f t="shared" si="114"/>
        <v>1</v>
      </c>
      <c r="M2780" s="10" t="str">
        <f>IFERROR(_xlfn.XLOOKUP(C2780,[1]StuntDes!$B:$B,[1]StuntDes!$A:$A),"")</f>
        <v/>
      </c>
      <c r="N2780" s="10" t="str">
        <f>IFERROR(_xlfn.XLOOKUP(C2780,[1]ModifierDes!$B:$B,[1]ModifierDes!$A:$A),"")</f>
        <v/>
      </c>
      <c r="O2780" s="10">
        <f>IFERROR(_xlfn.XLOOKUP(C2780,[1]AttributeName!$C:$C,[1]AttributeName!$B:$B),"")</f>
        <v>10314</v>
      </c>
      <c r="P2780" s="10"/>
      <c r="Q2780">
        <v>0.22</v>
      </c>
      <c r="R2780">
        <v>0.25</v>
      </c>
      <c r="S2780" cm="1">
        <f t="array" ref="S2780">IFERROR(_xlfn.SWITCH(L2780,1,_xlfn.XLOOKUP(O2780,[1]AttributeName!$B:$B,[1]AttributeName!$D:$D),2,_xlfn.XLOOKUP(C2780,#REF!,#REF!),3,_xlfn.XLOOKUP(C2780,#REF!,#REF!)),0)</f>
        <v>2</v>
      </c>
      <c r="T2780" cm="1">
        <f t="array" ref="T2780">IFERROR(_xlfn.SWITCH(L2780,1,_xlfn.XLOOKUP(O2780,[1]AttributeName!$B:$B,[1]AttributeName!$E:$E),2,_xlfn.XLOOKUP(C2780,#REF!,#REF!),3,_xlfn.XLOOKUP(C2780,#REF!,#REF!)),0)</f>
        <v>2</v>
      </c>
    </row>
    <row r="2781" customFormat="1" spans="1:20">
      <c r="A2781">
        <f t="shared" si="115"/>
        <v>1154</v>
      </c>
      <c r="B2781">
        <v>4</v>
      </c>
      <c r="C2781" t="s">
        <v>425</v>
      </c>
      <c r="D2781" t="s">
        <v>443</v>
      </c>
      <c r="E2781" t="s">
        <v>392</v>
      </c>
      <c r="F2781"/>
      <c r="G2781">
        <v>2</v>
      </c>
      <c r="H2781">
        <v>1000</v>
      </c>
      <c r="J2781" cm="1">
        <f t="array" ref="J2781">_xlfn.SWITCH(B2781,1,75,2,61,3,49,4,37,5,25,6,13,7,4,8,1)</f>
        <v>37</v>
      </c>
      <c r="K2781" t="str" cm="1">
        <f t="array" ref="K2781">IFERROR(_xlfn.SWITCH(L2781,2,_xlfn.XLOOKUP(C2781,[1]ModifierDes!$B:$B,[1]ModifierDes!$C:$C),3,_xlfn.XLOOKUP(C2781,[1]StuntDes!$B:$B,[1]StuntDes!$C:$C)),"")</f>
        <v/>
      </c>
      <c r="L2781">
        <f t="shared" si="114"/>
        <v>1</v>
      </c>
      <c r="M2781" s="10" t="str">
        <f>IFERROR(_xlfn.XLOOKUP(C2781,[1]StuntDes!$B:$B,[1]StuntDes!$A:$A),"")</f>
        <v/>
      </c>
      <c r="N2781" s="10" t="str">
        <f>IFERROR(_xlfn.XLOOKUP(C2781,[1]ModifierDes!$B:$B,[1]ModifierDes!$A:$A),"")</f>
        <v/>
      </c>
      <c r="O2781" s="10">
        <f>IFERROR(_xlfn.XLOOKUP(C2781,[1]AttributeName!$C:$C,[1]AttributeName!$B:$B),"")</f>
        <v>10314</v>
      </c>
      <c r="P2781" s="10"/>
      <c r="Q2781">
        <v>0.18</v>
      </c>
      <c r="R2781">
        <v>0.21</v>
      </c>
      <c r="S2781" cm="1">
        <f t="array" ref="S2781">IFERROR(_xlfn.SWITCH(L2781,1,_xlfn.XLOOKUP(O2781,[1]AttributeName!$B:$B,[1]AttributeName!$D:$D),2,_xlfn.XLOOKUP(C2781,#REF!,#REF!),3,_xlfn.XLOOKUP(C2781,#REF!,#REF!)),0)</f>
        <v>2</v>
      </c>
      <c r="T2781" cm="1">
        <f t="array" ref="T2781">IFERROR(_xlfn.SWITCH(L2781,1,_xlfn.XLOOKUP(O2781,[1]AttributeName!$B:$B,[1]AttributeName!$E:$E),2,_xlfn.XLOOKUP(C2781,#REF!,#REF!),3,_xlfn.XLOOKUP(C2781,#REF!,#REF!)),0)</f>
        <v>2</v>
      </c>
    </row>
    <row r="2782" customFormat="1" spans="1:20">
      <c r="A2782">
        <f t="shared" si="115"/>
        <v>1154</v>
      </c>
      <c r="B2782">
        <v>5</v>
      </c>
      <c r="C2782" t="s">
        <v>425</v>
      </c>
      <c r="D2782" t="s">
        <v>443</v>
      </c>
      <c r="E2782" t="s">
        <v>392</v>
      </c>
      <c r="F2782"/>
      <c r="G2782">
        <v>2</v>
      </c>
      <c r="H2782">
        <v>1000</v>
      </c>
      <c r="J2782" cm="1">
        <f t="array" ref="J2782">_xlfn.SWITCH(B2782,1,75,2,61,3,49,4,37,5,25,6,13,7,4,8,1)</f>
        <v>25</v>
      </c>
      <c r="K2782" t="str" cm="1">
        <f t="array" ref="K2782">IFERROR(_xlfn.SWITCH(L2782,2,_xlfn.XLOOKUP(C2782,[1]ModifierDes!$B:$B,[1]ModifierDes!$C:$C),3,_xlfn.XLOOKUP(C2782,[1]StuntDes!$B:$B,[1]StuntDes!$C:$C)),"")</f>
        <v/>
      </c>
      <c r="L2782">
        <f t="shared" si="114"/>
        <v>1</v>
      </c>
      <c r="M2782" s="10" t="str">
        <f>IFERROR(_xlfn.XLOOKUP(C2782,[1]StuntDes!$B:$B,[1]StuntDes!$A:$A),"")</f>
        <v/>
      </c>
      <c r="N2782" s="10" t="str">
        <f>IFERROR(_xlfn.XLOOKUP(C2782,[1]ModifierDes!$B:$B,[1]ModifierDes!$A:$A),"")</f>
        <v/>
      </c>
      <c r="O2782" s="10">
        <f>IFERROR(_xlfn.XLOOKUP(C2782,[1]AttributeName!$C:$C,[1]AttributeName!$B:$B),"")</f>
        <v>10314</v>
      </c>
      <c r="P2782" s="10"/>
      <c r="Q2782">
        <v>0.14</v>
      </c>
      <c r="R2782">
        <v>0.17</v>
      </c>
      <c r="S2782" cm="1">
        <f t="array" ref="S2782">IFERROR(_xlfn.SWITCH(L2782,1,_xlfn.XLOOKUP(O2782,[1]AttributeName!$B:$B,[1]AttributeName!$D:$D),2,_xlfn.XLOOKUP(C2782,#REF!,#REF!),3,_xlfn.XLOOKUP(C2782,#REF!,#REF!)),0)</f>
        <v>2</v>
      </c>
      <c r="T2782" cm="1">
        <f t="array" ref="T2782">IFERROR(_xlfn.SWITCH(L2782,1,_xlfn.XLOOKUP(O2782,[1]AttributeName!$B:$B,[1]AttributeName!$E:$E),2,_xlfn.XLOOKUP(C2782,#REF!,#REF!),3,_xlfn.XLOOKUP(C2782,#REF!,#REF!)),0)</f>
        <v>2</v>
      </c>
    </row>
    <row r="2783" customFormat="1" spans="1:20">
      <c r="A2783">
        <f t="shared" si="115"/>
        <v>1154</v>
      </c>
      <c r="B2783">
        <v>6</v>
      </c>
      <c r="C2783" t="s">
        <v>425</v>
      </c>
      <c r="D2783" t="s">
        <v>443</v>
      </c>
      <c r="E2783" t="s">
        <v>392</v>
      </c>
      <c r="F2783"/>
      <c r="G2783">
        <v>2</v>
      </c>
      <c r="H2783">
        <v>1000</v>
      </c>
      <c r="J2783" cm="1">
        <f t="array" ref="J2783">_xlfn.SWITCH(B2783,1,75,2,61,3,49,4,37,5,25,6,13,7,4,8,1)</f>
        <v>13</v>
      </c>
      <c r="K2783" t="str" cm="1">
        <f t="array" ref="K2783">IFERROR(_xlfn.SWITCH(L2783,2,_xlfn.XLOOKUP(C2783,[1]ModifierDes!$B:$B,[1]ModifierDes!$C:$C),3,_xlfn.XLOOKUP(C2783,[1]StuntDes!$B:$B,[1]StuntDes!$C:$C)),"")</f>
        <v/>
      </c>
      <c r="L2783">
        <f t="shared" si="114"/>
        <v>1</v>
      </c>
      <c r="M2783" s="10" t="str">
        <f>IFERROR(_xlfn.XLOOKUP(C2783,[1]StuntDes!$B:$B,[1]StuntDes!$A:$A),"")</f>
        <v/>
      </c>
      <c r="N2783" s="10" t="str">
        <f>IFERROR(_xlfn.XLOOKUP(C2783,[1]ModifierDes!$B:$B,[1]ModifierDes!$A:$A),"")</f>
        <v/>
      </c>
      <c r="O2783" s="10">
        <f>IFERROR(_xlfn.XLOOKUP(C2783,[1]AttributeName!$C:$C,[1]AttributeName!$B:$B),"")</f>
        <v>10314</v>
      </c>
      <c r="P2783" s="10"/>
      <c r="Q2783">
        <v>0.1</v>
      </c>
      <c r="R2783">
        <v>0.13</v>
      </c>
      <c r="S2783" cm="1">
        <f t="array" ref="S2783">IFERROR(_xlfn.SWITCH(L2783,1,_xlfn.XLOOKUP(O2783,[1]AttributeName!$B:$B,[1]AttributeName!$D:$D),2,_xlfn.XLOOKUP(C2783,#REF!,#REF!),3,_xlfn.XLOOKUP(C2783,#REF!,#REF!)),0)</f>
        <v>2</v>
      </c>
      <c r="T2783" cm="1">
        <f t="array" ref="T2783">IFERROR(_xlfn.SWITCH(L2783,1,_xlfn.XLOOKUP(O2783,[1]AttributeName!$B:$B,[1]AttributeName!$E:$E),2,_xlfn.XLOOKUP(C2783,#REF!,#REF!),3,_xlfn.XLOOKUP(C2783,#REF!,#REF!)),0)</f>
        <v>2</v>
      </c>
    </row>
    <row r="2784" customFormat="1" spans="1:20">
      <c r="A2784">
        <f t="shared" si="115"/>
        <v>1154</v>
      </c>
      <c r="B2784">
        <v>7</v>
      </c>
      <c r="C2784" t="s">
        <v>425</v>
      </c>
      <c r="D2784" t="s">
        <v>443</v>
      </c>
      <c r="E2784" t="s">
        <v>392</v>
      </c>
      <c r="F2784"/>
      <c r="G2784">
        <v>2</v>
      </c>
      <c r="H2784">
        <v>1000</v>
      </c>
      <c r="J2784" cm="1">
        <f t="array" ref="J2784">_xlfn.SWITCH(B2784,1,75,2,61,3,49,4,37,5,25,6,13,7,4,8,1)</f>
        <v>4</v>
      </c>
      <c r="K2784" t="str" cm="1">
        <f t="array" ref="K2784">IFERROR(_xlfn.SWITCH(L2784,2,_xlfn.XLOOKUP(C2784,[1]ModifierDes!$B:$B,[1]ModifierDes!$C:$C),3,_xlfn.XLOOKUP(C2784,[1]StuntDes!$B:$B,[1]StuntDes!$C:$C)),"")</f>
        <v/>
      </c>
      <c r="L2784">
        <f t="shared" si="114"/>
        <v>1</v>
      </c>
      <c r="M2784" s="10" t="str">
        <f>IFERROR(_xlfn.XLOOKUP(C2784,[1]StuntDes!$B:$B,[1]StuntDes!$A:$A),"")</f>
        <v/>
      </c>
      <c r="N2784" s="10" t="str">
        <f>IFERROR(_xlfn.XLOOKUP(C2784,[1]ModifierDes!$B:$B,[1]ModifierDes!$A:$A),"")</f>
        <v/>
      </c>
      <c r="O2784" s="10">
        <f>IFERROR(_xlfn.XLOOKUP(C2784,[1]AttributeName!$C:$C,[1]AttributeName!$B:$B),"")</f>
        <v>10314</v>
      </c>
      <c r="P2784" s="10"/>
      <c r="Q2784">
        <v>0.06</v>
      </c>
      <c r="R2784">
        <v>0.0900000000000001</v>
      </c>
      <c r="S2784" cm="1">
        <f t="array" ref="S2784">IFERROR(_xlfn.SWITCH(L2784,1,_xlfn.XLOOKUP(O2784,[1]AttributeName!$B:$B,[1]AttributeName!$D:$D),2,_xlfn.XLOOKUP(C2784,#REF!,#REF!),3,_xlfn.XLOOKUP(C2784,#REF!,#REF!)),0)</f>
        <v>2</v>
      </c>
      <c r="T2784" cm="1">
        <f t="array" ref="T2784">IFERROR(_xlfn.SWITCH(L2784,1,_xlfn.XLOOKUP(O2784,[1]AttributeName!$B:$B,[1]AttributeName!$E:$E),2,_xlfn.XLOOKUP(C2784,#REF!,#REF!),3,_xlfn.XLOOKUP(C2784,#REF!,#REF!)),0)</f>
        <v>2</v>
      </c>
    </row>
    <row r="2785" customFormat="1" spans="1:20">
      <c r="A2785">
        <f t="shared" si="115"/>
        <v>1154</v>
      </c>
      <c r="B2785">
        <v>8</v>
      </c>
      <c r="C2785" t="s">
        <v>425</v>
      </c>
      <c r="D2785" t="s">
        <v>443</v>
      </c>
      <c r="E2785" t="s">
        <v>392</v>
      </c>
      <c r="F2785"/>
      <c r="G2785">
        <v>2</v>
      </c>
      <c r="H2785">
        <v>1000</v>
      </c>
      <c r="J2785" cm="1">
        <f t="array" ref="J2785">_xlfn.SWITCH(B2785,1,75,2,61,3,49,4,37,5,25,6,13,7,4,8,1)</f>
        <v>1</v>
      </c>
      <c r="K2785" t="str" cm="1">
        <f t="array" ref="K2785">IFERROR(_xlfn.SWITCH(L2785,2,_xlfn.XLOOKUP(C2785,[1]ModifierDes!$B:$B,[1]ModifierDes!$C:$C),3,_xlfn.XLOOKUP(C2785,[1]StuntDes!$B:$B,[1]StuntDes!$C:$C)),"")</f>
        <v/>
      </c>
      <c r="L2785">
        <f t="shared" si="114"/>
        <v>1</v>
      </c>
      <c r="M2785" s="10" t="str">
        <f>IFERROR(_xlfn.XLOOKUP(C2785,[1]StuntDes!$B:$B,[1]StuntDes!$A:$A),"")</f>
        <v/>
      </c>
      <c r="N2785" s="10" t="str">
        <f>IFERROR(_xlfn.XLOOKUP(C2785,[1]ModifierDes!$B:$B,[1]ModifierDes!$A:$A),"")</f>
        <v/>
      </c>
      <c r="O2785" s="10">
        <f>IFERROR(_xlfn.XLOOKUP(C2785,[1]AttributeName!$C:$C,[1]AttributeName!$B:$B),"")</f>
        <v>10314</v>
      </c>
      <c r="P2785" s="10"/>
      <c r="Q2785">
        <v>0.02</v>
      </c>
      <c r="R2785">
        <v>0.0500000000000001</v>
      </c>
      <c r="S2785" cm="1">
        <f t="array" ref="S2785">IFERROR(_xlfn.SWITCH(L2785,1,_xlfn.XLOOKUP(O2785,[1]AttributeName!$B:$B,[1]AttributeName!$D:$D),2,_xlfn.XLOOKUP(C2785,#REF!,#REF!),3,_xlfn.XLOOKUP(C2785,#REF!,#REF!)),0)</f>
        <v>2</v>
      </c>
      <c r="T2785" cm="1">
        <f t="array" ref="T2785">IFERROR(_xlfn.SWITCH(L2785,1,_xlfn.XLOOKUP(O2785,[1]AttributeName!$B:$B,[1]AttributeName!$E:$E),2,_xlfn.XLOOKUP(C2785,#REF!,#REF!),3,_xlfn.XLOOKUP(C2785,#REF!,#REF!)),0)</f>
        <v>2</v>
      </c>
    </row>
    <row r="2786" customFormat="1" spans="1:20">
      <c r="A2786">
        <f t="shared" si="115"/>
        <v>1155</v>
      </c>
      <c r="B2786">
        <v>1</v>
      </c>
      <c r="C2786" t="s">
        <v>82</v>
      </c>
      <c r="D2786" t="s">
        <v>443</v>
      </c>
      <c r="E2786" t="s">
        <v>392</v>
      </c>
      <c r="F2786"/>
      <c r="G2786">
        <v>2</v>
      </c>
      <c r="H2786">
        <v>50</v>
      </c>
      <c r="J2786" cm="1">
        <f t="array" ref="J2786">_xlfn.SWITCH(B2786,1,75,2,61,3,49,4,37,5,25,6,13,7,4,8,1)</f>
        <v>75</v>
      </c>
      <c r="K2786" t="str" cm="1">
        <f t="array" ref="K2786">IFERROR(_xlfn.SWITCH(L2786,2,_xlfn.XLOOKUP(C2786,[1]ModifierDes!$B:$B,[1]ModifierDes!$C:$C),3,_xlfn.XLOOKUP(C2786,[1]StuntDes!$B:$B,[1]StuntDes!$C:$C)),"")</f>
        <v/>
      </c>
      <c r="L2786">
        <f t="shared" si="114"/>
        <v>1</v>
      </c>
      <c r="M2786" s="10" t="str">
        <f>IFERROR(_xlfn.XLOOKUP(C2786,[1]StuntDes!$B:$B,[1]StuntDes!$A:$A),"")</f>
        <v/>
      </c>
      <c r="N2786" s="10" t="str">
        <f>IFERROR(_xlfn.XLOOKUP(C2786,[1]ModifierDes!$B:$B,[1]ModifierDes!$A:$A),"")</f>
        <v/>
      </c>
      <c r="O2786" s="10">
        <f>IFERROR(_xlfn.XLOOKUP(C2786,[1]AttributeName!$C:$C,[1]AttributeName!$B:$B),"")</f>
        <v>10315</v>
      </c>
      <c r="P2786" s="10"/>
      <c r="Q2786">
        <v>0.2</v>
      </c>
      <c r="R2786">
        <v>0.25</v>
      </c>
      <c r="S2786" cm="1">
        <f t="array" ref="S2786">IFERROR(_xlfn.SWITCH(L2786,1,_xlfn.XLOOKUP(O2786,[1]AttributeName!$B:$B,[1]AttributeName!$D:$D),2,_xlfn.XLOOKUP(C2786,#REF!,#REF!),3,_xlfn.XLOOKUP(C2786,#REF!,#REF!)),0)</f>
        <v>2</v>
      </c>
      <c r="T2786" cm="1">
        <f t="array" ref="T2786">IFERROR(_xlfn.SWITCH(L2786,1,_xlfn.XLOOKUP(O2786,[1]AttributeName!$B:$B,[1]AttributeName!$E:$E),2,_xlfn.XLOOKUP(C2786,#REF!,#REF!),3,_xlfn.XLOOKUP(C2786,#REF!,#REF!)),0)</f>
        <v>2</v>
      </c>
    </row>
    <row r="2787" customFormat="1" spans="1:20">
      <c r="A2787">
        <f t="shared" si="115"/>
        <v>1155</v>
      </c>
      <c r="B2787">
        <v>2</v>
      </c>
      <c r="C2787" t="s">
        <v>82</v>
      </c>
      <c r="D2787" t="s">
        <v>443</v>
      </c>
      <c r="E2787" t="s">
        <v>392</v>
      </c>
      <c r="F2787"/>
      <c r="G2787">
        <v>2</v>
      </c>
      <c r="H2787">
        <v>100</v>
      </c>
      <c r="J2787" cm="1">
        <f t="array" ref="J2787">_xlfn.SWITCH(B2787,1,75,2,61,3,49,4,37,5,25,6,13,7,4,8,1)</f>
        <v>61</v>
      </c>
      <c r="K2787" t="str" cm="1">
        <f t="array" ref="K2787">IFERROR(_xlfn.SWITCH(L2787,2,_xlfn.XLOOKUP(C2787,[1]ModifierDes!$B:$B,[1]ModifierDes!$C:$C),3,_xlfn.XLOOKUP(C2787,[1]StuntDes!$B:$B,[1]StuntDes!$C:$C)),"")</f>
        <v/>
      </c>
      <c r="L2787">
        <f t="shared" si="114"/>
        <v>1</v>
      </c>
      <c r="M2787" s="10" t="str">
        <f>IFERROR(_xlfn.XLOOKUP(C2787,[1]StuntDes!$B:$B,[1]StuntDes!$A:$A),"")</f>
        <v/>
      </c>
      <c r="N2787" s="10" t="str">
        <f>IFERROR(_xlfn.XLOOKUP(C2787,[1]ModifierDes!$B:$B,[1]ModifierDes!$A:$A),"")</f>
        <v/>
      </c>
      <c r="O2787" s="10">
        <f>IFERROR(_xlfn.XLOOKUP(C2787,[1]AttributeName!$C:$C,[1]AttributeName!$B:$B),"")</f>
        <v>10315</v>
      </c>
      <c r="P2787" s="10"/>
      <c r="Q2787">
        <v>0.17</v>
      </c>
      <c r="R2787">
        <v>0.19</v>
      </c>
      <c r="S2787" cm="1">
        <f t="array" ref="S2787">IFERROR(_xlfn.SWITCH(L2787,1,_xlfn.XLOOKUP(O2787,[1]AttributeName!$B:$B,[1]AttributeName!$D:$D),2,_xlfn.XLOOKUP(C2787,#REF!,#REF!),3,_xlfn.XLOOKUP(C2787,#REF!,#REF!)),0)</f>
        <v>2</v>
      </c>
      <c r="T2787" cm="1">
        <f t="array" ref="T2787">IFERROR(_xlfn.SWITCH(L2787,1,_xlfn.XLOOKUP(O2787,[1]AttributeName!$B:$B,[1]AttributeName!$E:$E),2,_xlfn.XLOOKUP(C2787,#REF!,#REF!),3,_xlfn.XLOOKUP(C2787,#REF!,#REF!)),0)</f>
        <v>2</v>
      </c>
    </row>
    <row r="2788" customFormat="1" spans="1:20">
      <c r="A2788">
        <f t="shared" si="115"/>
        <v>1155</v>
      </c>
      <c r="B2788">
        <v>3</v>
      </c>
      <c r="C2788" t="s">
        <v>82</v>
      </c>
      <c r="D2788" t="s">
        <v>443</v>
      </c>
      <c r="E2788" t="s">
        <v>392</v>
      </c>
      <c r="F2788"/>
      <c r="G2788">
        <v>2</v>
      </c>
      <c r="H2788">
        <v>250</v>
      </c>
      <c r="J2788" cm="1">
        <f t="array" ref="J2788">_xlfn.SWITCH(B2788,1,75,2,61,3,49,4,37,5,25,6,13,7,4,8,1)</f>
        <v>49</v>
      </c>
      <c r="K2788" t="str" cm="1">
        <f t="array" ref="K2788">IFERROR(_xlfn.SWITCH(L2788,2,_xlfn.XLOOKUP(C2788,[1]ModifierDes!$B:$B,[1]ModifierDes!$C:$C),3,_xlfn.XLOOKUP(C2788,[1]StuntDes!$B:$B,[1]StuntDes!$C:$C)),"")</f>
        <v/>
      </c>
      <c r="L2788">
        <f t="shared" si="114"/>
        <v>1</v>
      </c>
      <c r="M2788" s="10" t="str">
        <f>IFERROR(_xlfn.XLOOKUP(C2788,[1]StuntDes!$B:$B,[1]StuntDes!$A:$A),"")</f>
        <v/>
      </c>
      <c r="N2788" s="10" t="str">
        <f>IFERROR(_xlfn.XLOOKUP(C2788,[1]ModifierDes!$B:$B,[1]ModifierDes!$A:$A),"")</f>
        <v/>
      </c>
      <c r="O2788" s="10">
        <f>IFERROR(_xlfn.XLOOKUP(C2788,[1]AttributeName!$C:$C,[1]AttributeName!$B:$B),"")</f>
        <v>10315</v>
      </c>
      <c r="P2788" s="10"/>
      <c r="Q2788">
        <v>0.14</v>
      </c>
      <c r="R2788">
        <v>0.16</v>
      </c>
      <c r="S2788" cm="1">
        <f t="array" ref="S2788">IFERROR(_xlfn.SWITCH(L2788,1,_xlfn.XLOOKUP(O2788,[1]AttributeName!$B:$B,[1]AttributeName!$D:$D),2,_xlfn.XLOOKUP(C2788,#REF!,#REF!),3,_xlfn.XLOOKUP(C2788,#REF!,#REF!)),0)</f>
        <v>2</v>
      </c>
      <c r="T2788" cm="1">
        <f t="array" ref="T2788">IFERROR(_xlfn.SWITCH(L2788,1,_xlfn.XLOOKUP(O2788,[1]AttributeName!$B:$B,[1]AttributeName!$E:$E),2,_xlfn.XLOOKUP(C2788,#REF!,#REF!),3,_xlfn.XLOOKUP(C2788,#REF!,#REF!)),0)</f>
        <v>2</v>
      </c>
    </row>
    <row r="2789" customFormat="1" spans="1:20">
      <c r="A2789">
        <f t="shared" si="115"/>
        <v>1155</v>
      </c>
      <c r="B2789">
        <v>4</v>
      </c>
      <c r="C2789" t="s">
        <v>82</v>
      </c>
      <c r="D2789" t="s">
        <v>443</v>
      </c>
      <c r="E2789" t="s">
        <v>392</v>
      </c>
      <c r="F2789"/>
      <c r="G2789">
        <v>2</v>
      </c>
      <c r="H2789">
        <v>500</v>
      </c>
      <c r="J2789" cm="1">
        <f t="array" ref="J2789">_xlfn.SWITCH(B2789,1,75,2,61,3,49,4,37,5,25,6,13,7,4,8,1)</f>
        <v>37</v>
      </c>
      <c r="K2789" t="str" cm="1">
        <f t="array" ref="K2789">IFERROR(_xlfn.SWITCH(L2789,2,_xlfn.XLOOKUP(C2789,[1]ModifierDes!$B:$B,[1]ModifierDes!$C:$C),3,_xlfn.XLOOKUP(C2789,[1]StuntDes!$B:$B,[1]StuntDes!$C:$C)),"")</f>
        <v/>
      </c>
      <c r="L2789">
        <f t="shared" si="114"/>
        <v>1</v>
      </c>
      <c r="M2789" s="10" t="str">
        <f>IFERROR(_xlfn.XLOOKUP(C2789,[1]StuntDes!$B:$B,[1]StuntDes!$A:$A),"")</f>
        <v/>
      </c>
      <c r="N2789" s="10" t="str">
        <f>IFERROR(_xlfn.XLOOKUP(C2789,[1]ModifierDes!$B:$B,[1]ModifierDes!$A:$A),"")</f>
        <v/>
      </c>
      <c r="O2789" s="10">
        <f>IFERROR(_xlfn.XLOOKUP(C2789,[1]AttributeName!$C:$C,[1]AttributeName!$B:$B),"")</f>
        <v>10315</v>
      </c>
      <c r="P2789" s="10"/>
      <c r="Q2789">
        <v>0.11</v>
      </c>
      <c r="R2789">
        <v>0.13</v>
      </c>
      <c r="S2789" cm="1">
        <f t="array" ref="S2789">IFERROR(_xlfn.SWITCH(L2789,1,_xlfn.XLOOKUP(O2789,[1]AttributeName!$B:$B,[1]AttributeName!$D:$D),2,_xlfn.XLOOKUP(C2789,#REF!,#REF!),3,_xlfn.XLOOKUP(C2789,#REF!,#REF!)),0)</f>
        <v>2</v>
      </c>
      <c r="T2789" cm="1">
        <f t="array" ref="T2789">IFERROR(_xlfn.SWITCH(L2789,1,_xlfn.XLOOKUP(O2789,[1]AttributeName!$B:$B,[1]AttributeName!$E:$E),2,_xlfn.XLOOKUP(C2789,#REF!,#REF!),3,_xlfn.XLOOKUP(C2789,#REF!,#REF!)),0)</f>
        <v>2</v>
      </c>
    </row>
    <row r="2790" customFormat="1" spans="1:20">
      <c r="A2790">
        <f t="shared" si="115"/>
        <v>1155</v>
      </c>
      <c r="B2790">
        <v>5</v>
      </c>
      <c r="C2790" t="s">
        <v>82</v>
      </c>
      <c r="D2790" t="s">
        <v>443</v>
      </c>
      <c r="E2790" t="s">
        <v>392</v>
      </c>
      <c r="F2790"/>
      <c r="G2790">
        <v>2</v>
      </c>
      <c r="H2790">
        <v>500</v>
      </c>
      <c r="J2790" cm="1">
        <f t="array" ref="J2790">_xlfn.SWITCH(B2790,1,75,2,61,3,49,4,37,5,25,6,13,7,4,8,1)</f>
        <v>25</v>
      </c>
      <c r="K2790" t="str" cm="1">
        <f t="array" ref="K2790">IFERROR(_xlfn.SWITCH(L2790,2,_xlfn.XLOOKUP(C2790,[1]ModifierDes!$B:$B,[1]ModifierDes!$C:$C),3,_xlfn.XLOOKUP(C2790,[1]StuntDes!$B:$B,[1]StuntDes!$C:$C)),"")</f>
        <v/>
      </c>
      <c r="L2790">
        <f t="shared" si="114"/>
        <v>1</v>
      </c>
      <c r="M2790" s="10" t="str">
        <f>IFERROR(_xlfn.XLOOKUP(C2790,[1]StuntDes!$B:$B,[1]StuntDes!$A:$A),"")</f>
        <v/>
      </c>
      <c r="N2790" s="10" t="str">
        <f>IFERROR(_xlfn.XLOOKUP(C2790,[1]ModifierDes!$B:$B,[1]ModifierDes!$A:$A),"")</f>
        <v/>
      </c>
      <c r="O2790" s="10">
        <f>IFERROR(_xlfn.XLOOKUP(C2790,[1]AttributeName!$C:$C,[1]AttributeName!$B:$B),"")</f>
        <v>10315</v>
      </c>
      <c r="P2790" s="10"/>
      <c r="Q2790">
        <v>0.08</v>
      </c>
      <c r="R2790">
        <v>0.1</v>
      </c>
      <c r="S2790" cm="1">
        <f t="array" ref="S2790">IFERROR(_xlfn.SWITCH(L2790,1,_xlfn.XLOOKUP(O2790,[1]AttributeName!$B:$B,[1]AttributeName!$D:$D),2,_xlfn.XLOOKUP(C2790,#REF!,#REF!),3,_xlfn.XLOOKUP(C2790,#REF!,#REF!)),0)</f>
        <v>2</v>
      </c>
      <c r="T2790" cm="1">
        <f t="array" ref="T2790">IFERROR(_xlfn.SWITCH(L2790,1,_xlfn.XLOOKUP(O2790,[1]AttributeName!$B:$B,[1]AttributeName!$E:$E),2,_xlfn.XLOOKUP(C2790,#REF!,#REF!),3,_xlfn.XLOOKUP(C2790,#REF!,#REF!)),0)</f>
        <v>2</v>
      </c>
    </row>
    <row r="2791" customFormat="1" spans="1:20">
      <c r="A2791">
        <f t="shared" si="115"/>
        <v>1155</v>
      </c>
      <c r="B2791">
        <v>6</v>
      </c>
      <c r="C2791" t="s">
        <v>82</v>
      </c>
      <c r="D2791" t="s">
        <v>443</v>
      </c>
      <c r="E2791" t="s">
        <v>392</v>
      </c>
      <c r="F2791"/>
      <c r="G2791">
        <v>2</v>
      </c>
      <c r="H2791">
        <v>500</v>
      </c>
      <c r="J2791" cm="1">
        <f t="array" ref="J2791">_xlfn.SWITCH(B2791,1,75,2,61,3,49,4,37,5,25,6,13,7,4,8,1)</f>
        <v>13</v>
      </c>
      <c r="K2791" t="str" cm="1">
        <f t="array" ref="K2791">IFERROR(_xlfn.SWITCH(L2791,2,_xlfn.XLOOKUP(C2791,[1]ModifierDes!$B:$B,[1]ModifierDes!$C:$C),3,_xlfn.XLOOKUP(C2791,[1]StuntDes!$B:$B,[1]StuntDes!$C:$C)),"")</f>
        <v/>
      </c>
      <c r="L2791">
        <f t="shared" si="114"/>
        <v>1</v>
      </c>
      <c r="M2791" s="10" t="str">
        <f>IFERROR(_xlfn.XLOOKUP(C2791,[1]StuntDes!$B:$B,[1]StuntDes!$A:$A),"")</f>
        <v/>
      </c>
      <c r="N2791" s="10" t="str">
        <f>IFERROR(_xlfn.XLOOKUP(C2791,[1]ModifierDes!$B:$B,[1]ModifierDes!$A:$A),"")</f>
        <v/>
      </c>
      <c r="O2791" s="10">
        <f>IFERROR(_xlfn.XLOOKUP(C2791,[1]AttributeName!$C:$C,[1]AttributeName!$B:$B),"")</f>
        <v>10315</v>
      </c>
      <c r="P2791" s="10"/>
      <c r="Q2791">
        <v>0.05</v>
      </c>
      <c r="R2791">
        <v>0.07</v>
      </c>
      <c r="S2791" cm="1">
        <f t="array" ref="S2791">IFERROR(_xlfn.SWITCH(L2791,1,_xlfn.XLOOKUP(O2791,[1]AttributeName!$B:$B,[1]AttributeName!$D:$D),2,_xlfn.XLOOKUP(C2791,#REF!,#REF!),3,_xlfn.XLOOKUP(C2791,#REF!,#REF!)),0)</f>
        <v>2</v>
      </c>
      <c r="T2791" cm="1">
        <f t="array" ref="T2791">IFERROR(_xlfn.SWITCH(L2791,1,_xlfn.XLOOKUP(O2791,[1]AttributeName!$B:$B,[1]AttributeName!$E:$E),2,_xlfn.XLOOKUP(C2791,#REF!,#REF!),3,_xlfn.XLOOKUP(C2791,#REF!,#REF!)),0)</f>
        <v>2</v>
      </c>
    </row>
    <row r="2792" customFormat="1" spans="1:20">
      <c r="A2792">
        <f t="shared" si="115"/>
        <v>1155</v>
      </c>
      <c r="B2792">
        <v>7</v>
      </c>
      <c r="C2792" t="s">
        <v>82</v>
      </c>
      <c r="D2792" t="s">
        <v>443</v>
      </c>
      <c r="E2792" t="s">
        <v>392</v>
      </c>
      <c r="F2792"/>
      <c r="G2792">
        <v>2</v>
      </c>
      <c r="H2792">
        <v>500</v>
      </c>
      <c r="J2792" cm="1">
        <f t="array" ref="J2792">_xlfn.SWITCH(B2792,1,75,2,61,3,49,4,37,5,25,6,13,7,4,8,1)</f>
        <v>4</v>
      </c>
      <c r="K2792" t="str" cm="1">
        <f t="array" ref="K2792">IFERROR(_xlfn.SWITCH(L2792,2,_xlfn.XLOOKUP(C2792,[1]ModifierDes!$B:$B,[1]ModifierDes!$C:$C),3,_xlfn.XLOOKUP(C2792,[1]StuntDes!$B:$B,[1]StuntDes!$C:$C)),"")</f>
        <v/>
      </c>
      <c r="L2792">
        <f t="shared" si="114"/>
        <v>1</v>
      </c>
      <c r="M2792" s="10" t="str">
        <f>IFERROR(_xlfn.XLOOKUP(C2792,[1]StuntDes!$B:$B,[1]StuntDes!$A:$A),"")</f>
        <v/>
      </c>
      <c r="N2792" s="10" t="str">
        <f>IFERROR(_xlfn.XLOOKUP(C2792,[1]ModifierDes!$B:$B,[1]ModifierDes!$A:$A),"")</f>
        <v/>
      </c>
      <c r="O2792" s="10">
        <f>IFERROR(_xlfn.XLOOKUP(C2792,[1]AttributeName!$C:$C,[1]AttributeName!$B:$B),"")</f>
        <v>10315</v>
      </c>
      <c r="P2792" s="10"/>
      <c r="Q2792">
        <v>0.02</v>
      </c>
      <c r="R2792">
        <v>0.04</v>
      </c>
      <c r="S2792" cm="1">
        <f t="array" ref="S2792">IFERROR(_xlfn.SWITCH(L2792,1,_xlfn.XLOOKUP(O2792,[1]AttributeName!$B:$B,[1]AttributeName!$D:$D),2,_xlfn.XLOOKUP(C2792,#REF!,#REF!),3,_xlfn.XLOOKUP(C2792,#REF!,#REF!)),0)</f>
        <v>2</v>
      </c>
      <c r="T2792" cm="1">
        <f t="array" ref="T2792">IFERROR(_xlfn.SWITCH(L2792,1,_xlfn.XLOOKUP(O2792,[1]AttributeName!$B:$B,[1]AttributeName!$E:$E),2,_xlfn.XLOOKUP(C2792,#REF!,#REF!),3,_xlfn.XLOOKUP(C2792,#REF!,#REF!)),0)</f>
        <v>2</v>
      </c>
    </row>
    <row r="2793" customFormat="1" spans="1:20">
      <c r="A2793">
        <f t="shared" si="115"/>
        <v>1155</v>
      </c>
      <c r="B2793">
        <v>8</v>
      </c>
      <c r="C2793" t="s">
        <v>82</v>
      </c>
      <c r="D2793" t="s">
        <v>443</v>
      </c>
      <c r="E2793" t="s">
        <v>392</v>
      </c>
      <c r="F2793"/>
      <c r="G2793">
        <v>2</v>
      </c>
      <c r="H2793">
        <v>500</v>
      </c>
      <c r="J2793" cm="1">
        <f t="array" ref="J2793">_xlfn.SWITCH(B2793,1,75,2,61,3,49,4,37,5,25,6,13,7,4,8,1)</f>
        <v>1</v>
      </c>
      <c r="K2793" t="str" cm="1">
        <f t="array" ref="K2793">IFERROR(_xlfn.SWITCH(L2793,2,_xlfn.XLOOKUP(C2793,[1]ModifierDes!$B:$B,[1]ModifierDes!$C:$C),3,_xlfn.XLOOKUP(C2793,[1]StuntDes!$B:$B,[1]StuntDes!$C:$C)),"")</f>
        <v/>
      </c>
      <c r="L2793">
        <f t="shared" si="114"/>
        <v>1</v>
      </c>
      <c r="M2793" s="10" t="str">
        <f>IFERROR(_xlfn.XLOOKUP(C2793,[1]StuntDes!$B:$B,[1]StuntDes!$A:$A),"")</f>
        <v/>
      </c>
      <c r="N2793" s="10" t="str">
        <f>IFERROR(_xlfn.XLOOKUP(C2793,[1]ModifierDes!$B:$B,[1]ModifierDes!$A:$A),"")</f>
        <v/>
      </c>
      <c r="O2793" s="10">
        <f>IFERROR(_xlfn.XLOOKUP(C2793,[1]AttributeName!$C:$C,[1]AttributeName!$B:$B),"")</f>
        <v>10315</v>
      </c>
      <c r="P2793" s="10"/>
      <c r="Q2793">
        <v>0.01</v>
      </c>
      <c r="R2793">
        <v>0.01</v>
      </c>
      <c r="S2793" cm="1">
        <f t="array" ref="S2793">IFERROR(_xlfn.SWITCH(L2793,1,_xlfn.XLOOKUP(O2793,[1]AttributeName!$B:$B,[1]AttributeName!$D:$D),2,_xlfn.XLOOKUP(C2793,#REF!,#REF!),3,_xlfn.XLOOKUP(C2793,#REF!,#REF!)),0)</f>
        <v>2</v>
      </c>
      <c r="T2793" cm="1">
        <f t="array" ref="T2793">IFERROR(_xlfn.SWITCH(L2793,1,_xlfn.XLOOKUP(O2793,[1]AttributeName!$B:$B,[1]AttributeName!$E:$E),2,_xlfn.XLOOKUP(C2793,#REF!,#REF!),3,_xlfn.XLOOKUP(C2793,#REF!,#REF!)),0)</f>
        <v>2</v>
      </c>
    </row>
    <row r="2794" customFormat="1" spans="1:20">
      <c r="A2794">
        <v>1156</v>
      </c>
      <c r="B2794">
        <v>1</v>
      </c>
      <c r="C2794" t="s">
        <v>400</v>
      </c>
      <c r="D2794" t="s">
        <v>443</v>
      </c>
      <c r="E2794" t="s">
        <v>392</v>
      </c>
      <c r="F2794"/>
      <c r="G2794">
        <v>2</v>
      </c>
      <c r="H2794">
        <v>50</v>
      </c>
      <c r="I2794">
        <v>3</v>
      </c>
      <c r="J2794" cm="1">
        <f t="array" ref="J2794">_xlfn.SWITCH(B2794,1,75,2,61,3,49,4,37,5,25,6,13,7,4,8,1)</f>
        <v>75</v>
      </c>
      <c r="K2794" t="str" cm="1">
        <f t="array" ref="K2794">IFERROR(_xlfn.SWITCH(L2794,2,_xlfn.XLOOKUP(C2794,[1]ModifierDes!$B:$B,[1]ModifierDes!$C:$C),3,_xlfn.XLOOKUP(C2794,[1]StuntDes!$B:$B,[1]StuntDes!$C:$C)),"")</f>
        <v>攻击暴击伤害增加{0}</v>
      </c>
      <c r="L2794">
        <f t="shared" si="114"/>
        <v>2</v>
      </c>
      <c r="M2794" s="10" t="str">
        <f>IFERROR(_xlfn.XLOOKUP(C2794,[1]StuntDes!$B:$B,[1]StuntDes!$A:$A),"")</f>
        <v/>
      </c>
      <c r="N2794" s="10">
        <f>IFERROR(_xlfn.XLOOKUP(C2794,[1]ModifierDes!$B:$B,[1]ModifierDes!$A:$A),"")</f>
        <v>10060</v>
      </c>
      <c r="O2794" s="10" t="str">
        <f>IFERROR(_xlfn.XLOOKUP(C2794,[1]AttributeName!$C:$C,[1]AttributeName!$B:$B),"")</f>
        <v/>
      </c>
      <c r="P2794" s="10"/>
      <c r="Q2794">
        <v>0.6</v>
      </c>
      <c r="R2794">
        <v>0.8</v>
      </c>
      <c r="S2794" cm="1">
        <f t="array" ref="S2794">IFERROR(_xlfn.SWITCH(L2794,1,_xlfn.XLOOKUP(O2794,[1]AttributeName!$B:$B,[1]AttributeName!$D:$D),2,_xlfn.XLOOKUP(C2794,#REF!,#REF!),3,_xlfn.XLOOKUP(C2794,#REF!,#REF!)),0)</f>
        <v>0</v>
      </c>
      <c r="T2794" cm="1">
        <f t="array" ref="T2794">IFERROR(_xlfn.SWITCH(L2794,1,_xlfn.XLOOKUP(O2794,[1]AttributeName!$B:$B,[1]AttributeName!$E:$E),2,_xlfn.XLOOKUP(C2794,#REF!,#REF!),3,_xlfn.XLOOKUP(C2794,#REF!,#REF!)),0)</f>
        <v>0</v>
      </c>
    </row>
    <row r="2795" customFormat="1" spans="1:20">
      <c r="A2795">
        <v>1156</v>
      </c>
      <c r="B2795">
        <v>2</v>
      </c>
      <c r="C2795" t="s">
        <v>400</v>
      </c>
      <c r="D2795" t="s">
        <v>443</v>
      </c>
      <c r="E2795" t="s">
        <v>392</v>
      </c>
      <c r="F2795"/>
      <c r="G2795">
        <v>2</v>
      </c>
      <c r="H2795">
        <v>100</v>
      </c>
      <c r="I2795">
        <v>3</v>
      </c>
      <c r="J2795" cm="1">
        <f t="array" ref="J2795">_xlfn.SWITCH(B2795,1,75,2,61,3,49,4,37,5,25,6,13,7,4,8,1)</f>
        <v>61</v>
      </c>
      <c r="K2795" t="str" cm="1">
        <f t="array" ref="K2795">IFERROR(_xlfn.SWITCH(L2795,2,_xlfn.XLOOKUP(C2795,[1]ModifierDes!$B:$B,[1]ModifierDes!$C:$C),3,_xlfn.XLOOKUP(C2795,[1]StuntDes!$B:$B,[1]StuntDes!$C:$C)),"")</f>
        <v>攻击暴击伤害增加{0}</v>
      </c>
      <c r="L2795">
        <f t="shared" si="114"/>
        <v>2</v>
      </c>
      <c r="M2795" s="10" t="str">
        <f>IFERROR(_xlfn.XLOOKUP(C2795,[1]StuntDes!$B:$B,[1]StuntDes!$A:$A),"")</f>
        <v/>
      </c>
      <c r="N2795" s="10">
        <f>IFERROR(_xlfn.XLOOKUP(C2795,[1]ModifierDes!$B:$B,[1]ModifierDes!$A:$A),"")</f>
        <v>10060</v>
      </c>
      <c r="O2795" s="10" t="str">
        <f>IFERROR(_xlfn.XLOOKUP(C2795,[1]AttributeName!$C:$C,[1]AttributeName!$B:$B),"")</f>
        <v/>
      </c>
      <c r="P2795" s="10"/>
      <c r="Q2795">
        <v>0.52</v>
      </c>
      <c r="R2795">
        <v>0.58</v>
      </c>
      <c r="S2795" cm="1">
        <f t="array" ref="S2795">IFERROR(_xlfn.SWITCH(L2795,1,_xlfn.XLOOKUP(O2795,[1]AttributeName!$B:$B,[1]AttributeName!$D:$D),2,_xlfn.XLOOKUP(C2795,#REF!,#REF!),3,_xlfn.XLOOKUP(C2795,#REF!,#REF!)),0)</f>
        <v>0</v>
      </c>
      <c r="T2795" cm="1">
        <f t="array" ref="T2795">IFERROR(_xlfn.SWITCH(L2795,1,_xlfn.XLOOKUP(O2795,[1]AttributeName!$B:$B,[1]AttributeName!$E:$E),2,_xlfn.XLOOKUP(C2795,#REF!,#REF!),3,_xlfn.XLOOKUP(C2795,#REF!,#REF!)),0)</f>
        <v>0</v>
      </c>
    </row>
    <row r="2796" customFormat="1" spans="1:20">
      <c r="A2796">
        <v>1156</v>
      </c>
      <c r="B2796">
        <v>3</v>
      </c>
      <c r="C2796" t="s">
        <v>400</v>
      </c>
      <c r="D2796" t="s">
        <v>443</v>
      </c>
      <c r="E2796" t="s">
        <v>392</v>
      </c>
      <c r="F2796"/>
      <c r="G2796">
        <v>2</v>
      </c>
      <c r="H2796">
        <v>250</v>
      </c>
      <c r="I2796">
        <v>3</v>
      </c>
      <c r="J2796" cm="1">
        <f t="array" ref="J2796">_xlfn.SWITCH(B2796,1,75,2,61,3,49,4,37,5,25,6,13,7,4,8,1)</f>
        <v>49</v>
      </c>
      <c r="K2796" t="str" cm="1">
        <f t="array" ref="K2796">IFERROR(_xlfn.SWITCH(L2796,2,_xlfn.XLOOKUP(C2796,[1]ModifierDes!$B:$B,[1]ModifierDes!$C:$C),3,_xlfn.XLOOKUP(C2796,[1]StuntDes!$B:$B,[1]StuntDes!$C:$C)),"")</f>
        <v>攻击暴击伤害增加{0}</v>
      </c>
      <c r="L2796">
        <f t="shared" si="114"/>
        <v>2</v>
      </c>
      <c r="M2796" s="10" t="str">
        <f>IFERROR(_xlfn.XLOOKUP(C2796,[1]StuntDes!$B:$B,[1]StuntDes!$A:$A),"")</f>
        <v/>
      </c>
      <c r="N2796" s="10">
        <f>IFERROR(_xlfn.XLOOKUP(C2796,[1]ModifierDes!$B:$B,[1]ModifierDes!$A:$A),"")</f>
        <v>10060</v>
      </c>
      <c r="O2796" s="10" t="str">
        <f>IFERROR(_xlfn.XLOOKUP(C2796,[1]AttributeName!$C:$C,[1]AttributeName!$B:$B),"")</f>
        <v/>
      </c>
      <c r="P2796" s="10"/>
      <c r="Q2796">
        <v>0.44</v>
      </c>
      <c r="R2796">
        <v>0.5</v>
      </c>
      <c r="S2796" cm="1">
        <f t="array" ref="S2796">IFERROR(_xlfn.SWITCH(L2796,1,_xlfn.XLOOKUP(O2796,[1]AttributeName!$B:$B,[1]AttributeName!$D:$D),2,_xlfn.XLOOKUP(C2796,#REF!,#REF!),3,_xlfn.XLOOKUP(C2796,#REF!,#REF!)),0)</f>
        <v>0</v>
      </c>
      <c r="T2796" cm="1">
        <f t="array" ref="T2796">IFERROR(_xlfn.SWITCH(L2796,1,_xlfn.XLOOKUP(O2796,[1]AttributeName!$B:$B,[1]AttributeName!$E:$E),2,_xlfn.XLOOKUP(C2796,#REF!,#REF!),3,_xlfn.XLOOKUP(C2796,#REF!,#REF!)),0)</f>
        <v>0</v>
      </c>
    </row>
    <row r="2797" customFormat="1" spans="1:20">
      <c r="A2797">
        <v>1156</v>
      </c>
      <c r="B2797">
        <v>4</v>
      </c>
      <c r="C2797" t="s">
        <v>400</v>
      </c>
      <c r="D2797" t="s">
        <v>443</v>
      </c>
      <c r="E2797" t="s">
        <v>392</v>
      </c>
      <c r="F2797"/>
      <c r="G2797">
        <v>2</v>
      </c>
      <c r="H2797">
        <v>500</v>
      </c>
      <c r="I2797">
        <v>3</v>
      </c>
      <c r="J2797" cm="1">
        <f t="array" ref="J2797">_xlfn.SWITCH(B2797,1,75,2,61,3,49,4,37,5,25,6,13,7,4,8,1)</f>
        <v>37</v>
      </c>
      <c r="K2797" t="str" cm="1">
        <f t="array" ref="K2797">IFERROR(_xlfn.SWITCH(L2797,2,_xlfn.XLOOKUP(C2797,[1]ModifierDes!$B:$B,[1]ModifierDes!$C:$C),3,_xlfn.XLOOKUP(C2797,[1]StuntDes!$B:$B,[1]StuntDes!$C:$C)),"")</f>
        <v>攻击暴击伤害增加{0}</v>
      </c>
      <c r="L2797">
        <f t="shared" si="114"/>
        <v>2</v>
      </c>
      <c r="M2797" s="10" t="str">
        <f>IFERROR(_xlfn.XLOOKUP(C2797,[1]StuntDes!$B:$B,[1]StuntDes!$A:$A),"")</f>
        <v/>
      </c>
      <c r="N2797" s="10">
        <f>IFERROR(_xlfn.XLOOKUP(C2797,[1]ModifierDes!$B:$B,[1]ModifierDes!$A:$A),"")</f>
        <v>10060</v>
      </c>
      <c r="O2797" s="10" t="str">
        <f>IFERROR(_xlfn.XLOOKUP(C2797,[1]AttributeName!$C:$C,[1]AttributeName!$B:$B),"")</f>
        <v/>
      </c>
      <c r="P2797" s="10"/>
      <c r="Q2797">
        <v>0.36</v>
      </c>
      <c r="R2797">
        <v>0.42</v>
      </c>
      <c r="S2797" cm="1">
        <f t="array" ref="S2797">IFERROR(_xlfn.SWITCH(L2797,1,_xlfn.XLOOKUP(O2797,[1]AttributeName!$B:$B,[1]AttributeName!$D:$D),2,_xlfn.XLOOKUP(C2797,#REF!,#REF!),3,_xlfn.XLOOKUP(C2797,#REF!,#REF!)),0)</f>
        <v>0</v>
      </c>
      <c r="T2797" cm="1">
        <f t="array" ref="T2797">IFERROR(_xlfn.SWITCH(L2797,1,_xlfn.XLOOKUP(O2797,[1]AttributeName!$B:$B,[1]AttributeName!$E:$E),2,_xlfn.XLOOKUP(C2797,#REF!,#REF!),3,_xlfn.XLOOKUP(C2797,#REF!,#REF!)),0)</f>
        <v>0</v>
      </c>
    </row>
    <row r="2798" customFormat="1" spans="1:20">
      <c r="A2798">
        <v>1156</v>
      </c>
      <c r="B2798">
        <v>5</v>
      </c>
      <c r="C2798" t="s">
        <v>400</v>
      </c>
      <c r="D2798" t="s">
        <v>443</v>
      </c>
      <c r="E2798" t="s">
        <v>392</v>
      </c>
      <c r="F2798"/>
      <c r="G2798">
        <v>2</v>
      </c>
      <c r="H2798">
        <v>500</v>
      </c>
      <c r="I2798">
        <v>3</v>
      </c>
      <c r="J2798" cm="1">
        <f t="array" ref="J2798">_xlfn.SWITCH(B2798,1,75,2,61,3,49,4,37,5,25,6,13,7,4,8,1)</f>
        <v>25</v>
      </c>
      <c r="K2798" t="str" cm="1">
        <f t="array" ref="K2798">IFERROR(_xlfn.SWITCH(L2798,2,_xlfn.XLOOKUP(C2798,[1]ModifierDes!$B:$B,[1]ModifierDes!$C:$C),3,_xlfn.XLOOKUP(C2798,[1]StuntDes!$B:$B,[1]StuntDes!$C:$C)),"")</f>
        <v>攻击暴击伤害增加{0}</v>
      </c>
      <c r="L2798">
        <f t="shared" si="114"/>
        <v>2</v>
      </c>
      <c r="M2798" s="10" t="str">
        <f>IFERROR(_xlfn.XLOOKUP(C2798,[1]StuntDes!$B:$B,[1]StuntDes!$A:$A),"")</f>
        <v/>
      </c>
      <c r="N2798" s="10">
        <f>IFERROR(_xlfn.XLOOKUP(C2798,[1]ModifierDes!$B:$B,[1]ModifierDes!$A:$A),"")</f>
        <v>10060</v>
      </c>
      <c r="O2798" s="10" t="str">
        <f>IFERROR(_xlfn.XLOOKUP(C2798,[1]AttributeName!$C:$C,[1]AttributeName!$B:$B),"")</f>
        <v/>
      </c>
      <c r="P2798" s="10"/>
      <c r="Q2798">
        <v>0.28</v>
      </c>
      <c r="R2798">
        <v>0.34</v>
      </c>
      <c r="S2798" cm="1">
        <f t="array" ref="S2798">IFERROR(_xlfn.SWITCH(L2798,1,_xlfn.XLOOKUP(O2798,[1]AttributeName!$B:$B,[1]AttributeName!$D:$D),2,_xlfn.XLOOKUP(C2798,#REF!,#REF!),3,_xlfn.XLOOKUP(C2798,#REF!,#REF!)),0)</f>
        <v>0</v>
      </c>
      <c r="T2798" cm="1">
        <f t="array" ref="T2798">IFERROR(_xlfn.SWITCH(L2798,1,_xlfn.XLOOKUP(O2798,[1]AttributeName!$B:$B,[1]AttributeName!$E:$E),2,_xlfn.XLOOKUP(C2798,#REF!,#REF!),3,_xlfn.XLOOKUP(C2798,#REF!,#REF!)),0)</f>
        <v>0</v>
      </c>
    </row>
    <row r="2799" customFormat="1" spans="1:20">
      <c r="A2799">
        <v>1156</v>
      </c>
      <c r="B2799">
        <v>6</v>
      </c>
      <c r="C2799" t="s">
        <v>400</v>
      </c>
      <c r="D2799" t="s">
        <v>443</v>
      </c>
      <c r="E2799" t="s">
        <v>392</v>
      </c>
      <c r="F2799"/>
      <c r="G2799">
        <v>2</v>
      </c>
      <c r="H2799">
        <v>500</v>
      </c>
      <c r="I2799">
        <v>3</v>
      </c>
      <c r="J2799" cm="1">
        <f t="array" ref="J2799">_xlfn.SWITCH(B2799,1,75,2,61,3,49,4,37,5,25,6,13,7,4,8,1)</f>
        <v>13</v>
      </c>
      <c r="K2799" t="str" cm="1">
        <f t="array" ref="K2799">IFERROR(_xlfn.SWITCH(L2799,2,_xlfn.XLOOKUP(C2799,[1]ModifierDes!$B:$B,[1]ModifierDes!$C:$C),3,_xlfn.XLOOKUP(C2799,[1]StuntDes!$B:$B,[1]StuntDes!$C:$C)),"")</f>
        <v>攻击暴击伤害增加{0}</v>
      </c>
      <c r="L2799">
        <f t="shared" si="114"/>
        <v>2</v>
      </c>
      <c r="M2799" s="10" t="str">
        <f>IFERROR(_xlfn.XLOOKUP(C2799,[1]StuntDes!$B:$B,[1]StuntDes!$A:$A),"")</f>
        <v/>
      </c>
      <c r="N2799" s="10">
        <f>IFERROR(_xlfn.XLOOKUP(C2799,[1]ModifierDes!$B:$B,[1]ModifierDes!$A:$A),"")</f>
        <v>10060</v>
      </c>
      <c r="O2799" s="10" t="str">
        <f>IFERROR(_xlfn.XLOOKUP(C2799,[1]AttributeName!$C:$C,[1]AttributeName!$B:$B),"")</f>
        <v/>
      </c>
      <c r="P2799" s="10"/>
      <c r="Q2799">
        <v>0.2</v>
      </c>
      <c r="R2799">
        <v>0.26</v>
      </c>
      <c r="S2799" cm="1">
        <f t="array" ref="S2799">IFERROR(_xlfn.SWITCH(L2799,1,_xlfn.XLOOKUP(O2799,[1]AttributeName!$B:$B,[1]AttributeName!$D:$D),2,_xlfn.XLOOKUP(C2799,#REF!,#REF!),3,_xlfn.XLOOKUP(C2799,#REF!,#REF!)),0)</f>
        <v>0</v>
      </c>
      <c r="T2799" cm="1">
        <f t="array" ref="T2799">IFERROR(_xlfn.SWITCH(L2799,1,_xlfn.XLOOKUP(O2799,[1]AttributeName!$B:$B,[1]AttributeName!$E:$E),2,_xlfn.XLOOKUP(C2799,#REF!,#REF!),3,_xlfn.XLOOKUP(C2799,#REF!,#REF!)),0)</f>
        <v>0</v>
      </c>
    </row>
    <row r="2800" customFormat="1" spans="1:20">
      <c r="A2800">
        <v>1156</v>
      </c>
      <c r="B2800">
        <v>7</v>
      </c>
      <c r="C2800" t="s">
        <v>400</v>
      </c>
      <c r="D2800" t="s">
        <v>443</v>
      </c>
      <c r="E2800" t="s">
        <v>392</v>
      </c>
      <c r="F2800"/>
      <c r="G2800">
        <v>2</v>
      </c>
      <c r="H2800">
        <v>500</v>
      </c>
      <c r="I2800">
        <v>3</v>
      </c>
      <c r="J2800" cm="1">
        <f t="array" ref="J2800">_xlfn.SWITCH(B2800,1,75,2,61,3,49,4,37,5,25,6,13,7,4,8,1)</f>
        <v>4</v>
      </c>
      <c r="K2800" t="str" cm="1">
        <f t="array" ref="K2800">IFERROR(_xlfn.SWITCH(L2800,2,_xlfn.XLOOKUP(C2800,[1]ModifierDes!$B:$B,[1]ModifierDes!$C:$C),3,_xlfn.XLOOKUP(C2800,[1]StuntDes!$B:$B,[1]StuntDes!$C:$C)),"")</f>
        <v>攻击暴击伤害增加{0}</v>
      </c>
      <c r="L2800">
        <f t="shared" si="114"/>
        <v>2</v>
      </c>
      <c r="M2800" s="10" t="str">
        <f>IFERROR(_xlfn.XLOOKUP(C2800,[1]StuntDes!$B:$B,[1]StuntDes!$A:$A),"")</f>
        <v/>
      </c>
      <c r="N2800" s="10">
        <f>IFERROR(_xlfn.XLOOKUP(C2800,[1]ModifierDes!$B:$B,[1]ModifierDes!$A:$A),"")</f>
        <v>10060</v>
      </c>
      <c r="O2800" s="10" t="str">
        <f>IFERROR(_xlfn.XLOOKUP(C2800,[1]AttributeName!$C:$C,[1]AttributeName!$B:$B),"")</f>
        <v/>
      </c>
      <c r="P2800" s="10"/>
      <c r="Q2800">
        <v>0.12</v>
      </c>
      <c r="R2800">
        <v>0.18</v>
      </c>
      <c r="S2800" cm="1">
        <f t="array" ref="S2800">IFERROR(_xlfn.SWITCH(L2800,1,_xlfn.XLOOKUP(O2800,[1]AttributeName!$B:$B,[1]AttributeName!$D:$D),2,_xlfn.XLOOKUP(C2800,#REF!,#REF!),3,_xlfn.XLOOKUP(C2800,#REF!,#REF!)),0)</f>
        <v>0</v>
      </c>
      <c r="T2800" cm="1">
        <f t="array" ref="T2800">IFERROR(_xlfn.SWITCH(L2800,1,_xlfn.XLOOKUP(O2800,[1]AttributeName!$B:$B,[1]AttributeName!$E:$E),2,_xlfn.XLOOKUP(C2800,#REF!,#REF!),3,_xlfn.XLOOKUP(C2800,#REF!,#REF!)),0)</f>
        <v>0</v>
      </c>
    </row>
    <row r="2801" customFormat="1" spans="1:20">
      <c r="A2801">
        <v>1156</v>
      </c>
      <c r="B2801">
        <v>8</v>
      </c>
      <c r="C2801" t="s">
        <v>400</v>
      </c>
      <c r="D2801" t="s">
        <v>443</v>
      </c>
      <c r="E2801" t="s">
        <v>392</v>
      </c>
      <c r="F2801"/>
      <c r="G2801">
        <v>2</v>
      </c>
      <c r="H2801">
        <v>500</v>
      </c>
      <c r="I2801">
        <v>3</v>
      </c>
      <c r="J2801" cm="1">
        <f t="array" ref="J2801">_xlfn.SWITCH(B2801,1,75,2,61,3,49,4,37,5,25,6,13,7,4,8,1)</f>
        <v>1</v>
      </c>
      <c r="K2801" t="str" cm="1">
        <f t="array" ref="K2801">IFERROR(_xlfn.SWITCH(L2801,2,_xlfn.XLOOKUP(C2801,[1]ModifierDes!$B:$B,[1]ModifierDes!$C:$C),3,_xlfn.XLOOKUP(C2801,[1]StuntDes!$B:$B,[1]StuntDes!$C:$C)),"")</f>
        <v>攻击暴击伤害增加{0}</v>
      </c>
      <c r="L2801">
        <f t="shared" si="114"/>
        <v>2</v>
      </c>
      <c r="M2801" s="10" t="str">
        <f>IFERROR(_xlfn.XLOOKUP(C2801,[1]StuntDes!$B:$B,[1]StuntDes!$A:$A),"")</f>
        <v/>
      </c>
      <c r="N2801" s="10">
        <f>IFERROR(_xlfn.XLOOKUP(C2801,[1]ModifierDes!$B:$B,[1]ModifierDes!$A:$A),"")</f>
        <v>10060</v>
      </c>
      <c r="O2801" s="10" t="str">
        <f>IFERROR(_xlfn.XLOOKUP(C2801,[1]AttributeName!$C:$C,[1]AttributeName!$B:$B),"")</f>
        <v/>
      </c>
      <c r="P2801" s="10"/>
      <c r="Q2801">
        <v>0.04</v>
      </c>
      <c r="R2801">
        <v>0.1</v>
      </c>
      <c r="S2801" cm="1">
        <f t="array" ref="S2801">IFERROR(_xlfn.SWITCH(L2801,1,_xlfn.XLOOKUP(O2801,[1]AttributeName!$B:$B,[1]AttributeName!$D:$D),2,_xlfn.XLOOKUP(C2801,#REF!,#REF!),3,_xlfn.XLOOKUP(C2801,#REF!,#REF!)),0)</f>
        <v>0</v>
      </c>
      <c r="T2801" cm="1">
        <f t="array" ref="T2801">IFERROR(_xlfn.SWITCH(L2801,1,_xlfn.XLOOKUP(O2801,[1]AttributeName!$B:$B,[1]AttributeName!$E:$E),2,_xlfn.XLOOKUP(C2801,#REF!,#REF!),3,_xlfn.XLOOKUP(C2801,#REF!,#REF!)),0)</f>
        <v>0</v>
      </c>
    </row>
    <row r="2802" customFormat="1" spans="1:20">
      <c r="A2802">
        <f t="shared" ref="A2802:A2865" si="116">A2794+1</f>
        <v>1157</v>
      </c>
      <c r="B2802">
        <v>1</v>
      </c>
      <c r="C2802" t="s">
        <v>426</v>
      </c>
      <c r="D2802" t="s">
        <v>443</v>
      </c>
      <c r="E2802" t="s">
        <v>392</v>
      </c>
      <c r="F2802"/>
      <c r="G2802">
        <v>2</v>
      </c>
      <c r="H2802">
        <v>50</v>
      </c>
      <c r="I2802">
        <v>3</v>
      </c>
      <c r="J2802" cm="1">
        <f t="array" ref="J2802">_xlfn.SWITCH(B2802,1,75,2,61,3,49,4,37,5,25,6,13,7,4,8,1)</f>
        <v>75</v>
      </c>
      <c r="K2802" t="str" cm="1">
        <f t="array" ref="K2802">IFERROR(_xlfn.SWITCH(L2802,2,_xlfn.XLOOKUP(C2802,[1]ModifierDes!$B:$B,[1]ModifierDes!$C:$C),3,_xlfn.XLOOKUP(C2802,[1]StuntDes!$B:$B,[1]StuntDes!$C:$C)),"")</f>
        <v>法术暴击伤害增加{0}</v>
      </c>
      <c r="L2802">
        <f t="shared" si="114"/>
        <v>2</v>
      </c>
      <c r="M2802" s="10" t="str">
        <f>IFERROR(_xlfn.XLOOKUP(C2802,[1]StuntDes!$B:$B,[1]StuntDes!$A:$A),"")</f>
        <v/>
      </c>
      <c r="N2802" s="10">
        <f>IFERROR(_xlfn.XLOOKUP(C2802,[1]ModifierDes!$B:$B,[1]ModifierDes!$A:$A),"")</f>
        <v>10061</v>
      </c>
      <c r="O2802" s="10" t="str">
        <f>IFERROR(_xlfn.XLOOKUP(C2802,[1]AttributeName!$C:$C,[1]AttributeName!$B:$B),"")</f>
        <v/>
      </c>
      <c r="P2802" s="10"/>
      <c r="Q2802">
        <v>0.6</v>
      </c>
      <c r="R2802">
        <v>0.8</v>
      </c>
      <c r="S2802" cm="1">
        <f t="array" ref="S2802">IFERROR(_xlfn.SWITCH(L2802,1,_xlfn.XLOOKUP(O2802,[1]AttributeName!$B:$B,[1]AttributeName!$D:$D),2,_xlfn.XLOOKUP(C2802,#REF!,#REF!),3,_xlfn.XLOOKUP(C2802,#REF!,#REF!)),0)</f>
        <v>0</v>
      </c>
      <c r="T2802" cm="1">
        <f t="array" ref="T2802">IFERROR(_xlfn.SWITCH(L2802,1,_xlfn.XLOOKUP(O2802,[1]AttributeName!$B:$B,[1]AttributeName!$E:$E),2,_xlfn.XLOOKUP(C2802,#REF!,#REF!),3,_xlfn.XLOOKUP(C2802,#REF!,#REF!)),0)</f>
        <v>0</v>
      </c>
    </row>
    <row r="2803" customFormat="1" spans="1:20">
      <c r="A2803">
        <f t="shared" si="116"/>
        <v>1157</v>
      </c>
      <c r="B2803">
        <v>2</v>
      </c>
      <c r="C2803" t="s">
        <v>426</v>
      </c>
      <c r="D2803" t="s">
        <v>443</v>
      </c>
      <c r="E2803" t="s">
        <v>392</v>
      </c>
      <c r="F2803"/>
      <c r="G2803">
        <v>2</v>
      </c>
      <c r="H2803">
        <v>100</v>
      </c>
      <c r="I2803">
        <v>3</v>
      </c>
      <c r="J2803" cm="1">
        <f t="array" ref="J2803">_xlfn.SWITCH(B2803,1,75,2,61,3,49,4,37,5,25,6,13,7,4,8,1)</f>
        <v>61</v>
      </c>
      <c r="K2803" t="str" cm="1">
        <f t="array" ref="K2803">IFERROR(_xlfn.SWITCH(L2803,2,_xlfn.XLOOKUP(C2803,[1]ModifierDes!$B:$B,[1]ModifierDes!$C:$C),3,_xlfn.XLOOKUP(C2803,[1]StuntDes!$B:$B,[1]StuntDes!$C:$C)),"")</f>
        <v>法术暴击伤害增加{0}</v>
      </c>
      <c r="L2803">
        <f t="shared" si="114"/>
        <v>2</v>
      </c>
      <c r="M2803" s="10" t="str">
        <f>IFERROR(_xlfn.XLOOKUP(C2803,[1]StuntDes!$B:$B,[1]StuntDes!$A:$A),"")</f>
        <v/>
      </c>
      <c r="N2803" s="10">
        <f>IFERROR(_xlfn.XLOOKUP(C2803,[1]ModifierDes!$B:$B,[1]ModifierDes!$A:$A),"")</f>
        <v>10061</v>
      </c>
      <c r="O2803" s="10" t="str">
        <f>IFERROR(_xlfn.XLOOKUP(C2803,[1]AttributeName!$C:$C,[1]AttributeName!$B:$B),"")</f>
        <v/>
      </c>
      <c r="P2803" s="10"/>
      <c r="Q2803">
        <v>0.52</v>
      </c>
      <c r="R2803">
        <v>0.58</v>
      </c>
      <c r="S2803" cm="1">
        <f t="array" ref="S2803">IFERROR(_xlfn.SWITCH(L2803,1,_xlfn.XLOOKUP(O2803,[1]AttributeName!$B:$B,[1]AttributeName!$D:$D),2,_xlfn.XLOOKUP(C2803,#REF!,#REF!),3,_xlfn.XLOOKUP(C2803,#REF!,#REF!)),0)</f>
        <v>0</v>
      </c>
      <c r="T2803" cm="1">
        <f t="array" ref="T2803">IFERROR(_xlfn.SWITCH(L2803,1,_xlfn.XLOOKUP(O2803,[1]AttributeName!$B:$B,[1]AttributeName!$E:$E),2,_xlfn.XLOOKUP(C2803,#REF!,#REF!),3,_xlfn.XLOOKUP(C2803,#REF!,#REF!)),0)</f>
        <v>0</v>
      </c>
    </row>
    <row r="2804" customFormat="1" spans="1:20">
      <c r="A2804">
        <f t="shared" si="116"/>
        <v>1157</v>
      </c>
      <c r="B2804">
        <v>3</v>
      </c>
      <c r="C2804" t="s">
        <v>426</v>
      </c>
      <c r="D2804" t="s">
        <v>443</v>
      </c>
      <c r="E2804" t="s">
        <v>392</v>
      </c>
      <c r="F2804"/>
      <c r="G2804">
        <v>2</v>
      </c>
      <c r="H2804">
        <v>250</v>
      </c>
      <c r="I2804">
        <v>3</v>
      </c>
      <c r="J2804" cm="1">
        <f t="array" ref="J2804">_xlfn.SWITCH(B2804,1,75,2,61,3,49,4,37,5,25,6,13,7,4,8,1)</f>
        <v>49</v>
      </c>
      <c r="K2804" t="str" cm="1">
        <f t="array" ref="K2804">IFERROR(_xlfn.SWITCH(L2804,2,_xlfn.XLOOKUP(C2804,[1]ModifierDes!$B:$B,[1]ModifierDes!$C:$C),3,_xlfn.XLOOKUP(C2804,[1]StuntDes!$B:$B,[1]StuntDes!$C:$C)),"")</f>
        <v>法术暴击伤害增加{0}</v>
      </c>
      <c r="L2804">
        <f t="shared" si="114"/>
        <v>2</v>
      </c>
      <c r="M2804" s="10" t="str">
        <f>IFERROR(_xlfn.XLOOKUP(C2804,[1]StuntDes!$B:$B,[1]StuntDes!$A:$A),"")</f>
        <v/>
      </c>
      <c r="N2804" s="10">
        <f>IFERROR(_xlfn.XLOOKUP(C2804,[1]ModifierDes!$B:$B,[1]ModifierDes!$A:$A),"")</f>
        <v>10061</v>
      </c>
      <c r="O2804" s="10" t="str">
        <f>IFERROR(_xlfn.XLOOKUP(C2804,[1]AttributeName!$C:$C,[1]AttributeName!$B:$B),"")</f>
        <v/>
      </c>
      <c r="P2804" s="10"/>
      <c r="Q2804">
        <v>0.44</v>
      </c>
      <c r="R2804">
        <v>0.5</v>
      </c>
      <c r="S2804" cm="1">
        <f t="array" ref="S2804">IFERROR(_xlfn.SWITCH(L2804,1,_xlfn.XLOOKUP(O2804,[1]AttributeName!$B:$B,[1]AttributeName!$D:$D),2,_xlfn.XLOOKUP(C2804,#REF!,#REF!),3,_xlfn.XLOOKUP(C2804,#REF!,#REF!)),0)</f>
        <v>0</v>
      </c>
      <c r="T2804" cm="1">
        <f t="array" ref="T2804">IFERROR(_xlfn.SWITCH(L2804,1,_xlfn.XLOOKUP(O2804,[1]AttributeName!$B:$B,[1]AttributeName!$E:$E),2,_xlfn.XLOOKUP(C2804,#REF!,#REF!),3,_xlfn.XLOOKUP(C2804,#REF!,#REF!)),0)</f>
        <v>0</v>
      </c>
    </row>
    <row r="2805" customFormat="1" spans="1:20">
      <c r="A2805">
        <f t="shared" si="116"/>
        <v>1157</v>
      </c>
      <c r="B2805">
        <v>4</v>
      </c>
      <c r="C2805" t="s">
        <v>426</v>
      </c>
      <c r="D2805" t="s">
        <v>443</v>
      </c>
      <c r="E2805" t="s">
        <v>392</v>
      </c>
      <c r="F2805"/>
      <c r="G2805">
        <v>2</v>
      </c>
      <c r="H2805">
        <v>500</v>
      </c>
      <c r="I2805">
        <v>3</v>
      </c>
      <c r="J2805" cm="1">
        <f t="array" ref="J2805">_xlfn.SWITCH(B2805,1,75,2,61,3,49,4,37,5,25,6,13,7,4,8,1)</f>
        <v>37</v>
      </c>
      <c r="K2805" t="str" cm="1">
        <f t="array" ref="K2805">IFERROR(_xlfn.SWITCH(L2805,2,_xlfn.XLOOKUP(C2805,[1]ModifierDes!$B:$B,[1]ModifierDes!$C:$C),3,_xlfn.XLOOKUP(C2805,[1]StuntDes!$B:$B,[1]StuntDes!$C:$C)),"")</f>
        <v>法术暴击伤害增加{0}</v>
      </c>
      <c r="L2805">
        <f t="shared" si="114"/>
        <v>2</v>
      </c>
      <c r="M2805" s="10" t="str">
        <f>IFERROR(_xlfn.XLOOKUP(C2805,[1]StuntDes!$B:$B,[1]StuntDes!$A:$A),"")</f>
        <v/>
      </c>
      <c r="N2805" s="10">
        <f>IFERROR(_xlfn.XLOOKUP(C2805,[1]ModifierDes!$B:$B,[1]ModifierDes!$A:$A),"")</f>
        <v>10061</v>
      </c>
      <c r="O2805" s="10" t="str">
        <f>IFERROR(_xlfn.XLOOKUP(C2805,[1]AttributeName!$C:$C,[1]AttributeName!$B:$B),"")</f>
        <v/>
      </c>
      <c r="P2805" s="10"/>
      <c r="Q2805">
        <v>0.36</v>
      </c>
      <c r="R2805">
        <v>0.42</v>
      </c>
      <c r="S2805" cm="1">
        <f t="array" ref="S2805">IFERROR(_xlfn.SWITCH(L2805,1,_xlfn.XLOOKUP(O2805,[1]AttributeName!$B:$B,[1]AttributeName!$D:$D),2,_xlfn.XLOOKUP(C2805,#REF!,#REF!),3,_xlfn.XLOOKUP(C2805,#REF!,#REF!)),0)</f>
        <v>0</v>
      </c>
      <c r="T2805" cm="1">
        <f t="array" ref="T2805">IFERROR(_xlfn.SWITCH(L2805,1,_xlfn.XLOOKUP(O2805,[1]AttributeName!$B:$B,[1]AttributeName!$E:$E),2,_xlfn.XLOOKUP(C2805,#REF!,#REF!),3,_xlfn.XLOOKUP(C2805,#REF!,#REF!)),0)</f>
        <v>0</v>
      </c>
    </row>
    <row r="2806" customFormat="1" spans="1:20">
      <c r="A2806">
        <f t="shared" si="116"/>
        <v>1157</v>
      </c>
      <c r="B2806">
        <v>5</v>
      </c>
      <c r="C2806" t="s">
        <v>426</v>
      </c>
      <c r="D2806" t="s">
        <v>443</v>
      </c>
      <c r="E2806" t="s">
        <v>392</v>
      </c>
      <c r="F2806"/>
      <c r="G2806">
        <v>2</v>
      </c>
      <c r="H2806">
        <v>500</v>
      </c>
      <c r="I2806">
        <v>3</v>
      </c>
      <c r="J2806" cm="1">
        <f t="array" ref="J2806">_xlfn.SWITCH(B2806,1,75,2,61,3,49,4,37,5,25,6,13,7,4,8,1)</f>
        <v>25</v>
      </c>
      <c r="K2806" t="str" cm="1">
        <f t="array" ref="K2806">IFERROR(_xlfn.SWITCH(L2806,2,_xlfn.XLOOKUP(C2806,[1]ModifierDes!$B:$B,[1]ModifierDes!$C:$C),3,_xlfn.XLOOKUP(C2806,[1]StuntDes!$B:$B,[1]StuntDes!$C:$C)),"")</f>
        <v>法术暴击伤害增加{0}</v>
      </c>
      <c r="L2806">
        <f t="shared" si="114"/>
        <v>2</v>
      </c>
      <c r="M2806" s="10" t="str">
        <f>IFERROR(_xlfn.XLOOKUP(C2806,[1]StuntDes!$B:$B,[1]StuntDes!$A:$A),"")</f>
        <v/>
      </c>
      <c r="N2806" s="10">
        <f>IFERROR(_xlfn.XLOOKUP(C2806,[1]ModifierDes!$B:$B,[1]ModifierDes!$A:$A),"")</f>
        <v>10061</v>
      </c>
      <c r="O2806" s="10" t="str">
        <f>IFERROR(_xlfn.XLOOKUP(C2806,[1]AttributeName!$C:$C,[1]AttributeName!$B:$B),"")</f>
        <v/>
      </c>
      <c r="P2806" s="10"/>
      <c r="Q2806">
        <v>0.28</v>
      </c>
      <c r="R2806">
        <v>0.34</v>
      </c>
      <c r="S2806" cm="1">
        <f t="array" ref="S2806">IFERROR(_xlfn.SWITCH(L2806,1,_xlfn.XLOOKUP(O2806,[1]AttributeName!$B:$B,[1]AttributeName!$D:$D),2,_xlfn.XLOOKUP(C2806,#REF!,#REF!),3,_xlfn.XLOOKUP(C2806,#REF!,#REF!)),0)</f>
        <v>0</v>
      </c>
      <c r="T2806" cm="1">
        <f t="array" ref="T2806">IFERROR(_xlfn.SWITCH(L2806,1,_xlfn.XLOOKUP(O2806,[1]AttributeName!$B:$B,[1]AttributeName!$E:$E),2,_xlfn.XLOOKUP(C2806,#REF!,#REF!),3,_xlfn.XLOOKUP(C2806,#REF!,#REF!)),0)</f>
        <v>0</v>
      </c>
    </row>
    <row r="2807" customFormat="1" spans="1:20">
      <c r="A2807">
        <f t="shared" si="116"/>
        <v>1157</v>
      </c>
      <c r="B2807">
        <v>6</v>
      </c>
      <c r="C2807" t="s">
        <v>426</v>
      </c>
      <c r="D2807" t="s">
        <v>443</v>
      </c>
      <c r="E2807" t="s">
        <v>392</v>
      </c>
      <c r="F2807"/>
      <c r="G2807">
        <v>2</v>
      </c>
      <c r="H2807">
        <v>500</v>
      </c>
      <c r="I2807">
        <v>3</v>
      </c>
      <c r="J2807" cm="1">
        <f t="array" ref="J2807">_xlfn.SWITCH(B2807,1,75,2,61,3,49,4,37,5,25,6,13,7,4,8,1)</f>
        <v>13</v>
      </c>
      <c r="K2807" t="str" cm="1">
        <f t="array" ref="K2807">IFERROR(_xlfn.SWITCH(L2807,2,_xlfn.XLOOKUP(C2807,[1]ModifierDes!$B:$B,[1]ModifierDes!$C:$C),3,_xlfn.XLOOKUP(C2807,[1]StuntDes!$B:$B,[1]StuntDes!$C:$C)),"")</f>
        <v>法术暴击伤害增加{0}</v>
      </c>
      <c r="L2807">
        <f t="shared" si="114"/>
        <v>2</v>
      </c>
      <c r="M2807" s="10" t="str">
        <f>IFERROR(_xlfn.XLOOKUP(C2807,[1]StuntDes!$B:$B,[1]StuntDes!$A:$A),"")</f>
        <v/>
      </c>
      <c r="N2807" s="10">
        <f>IFERROR(_xlfn.XLOOKUP(C2807,[1]ModifierDes!$B:$B,[1]ModifierDes!$A:$A),"")</f>
        <v>10061</v>
      </c>
      <c r="O2807" s="10" t="str">
        <f>IFERROR(_xlfn.XLOOKUP(C2807,[1]AttributeName!$C:$C,[1]AttributeName!$B:$B),"")</f>
        <v/>
      </c>
      <c r="P2807" s="10"/>
      <c r="Q2807">
        <v>0.2</v>
      </c>
      <c r="R2807">
        <v>0.26</v>
      </c>
      <c r="S2807" cm="1">
        <f t="array" ref="S2807">IFERROR(_xlfn.SWITCH(L2807,1,_xlfn.XLOOKUP(O2807,[1]AttributeName!$B:$B,[1]AttributeName!$D:$D),2,_xlfn.XLOOKUP(C2807,#REF!,#REF!),3,_xlfn.XLOOKUP(C2807,#REF!,#REF!)),0)</f>
        <v>0</v>
      </c>
      <c r="T2807" cm="1">
        <f t="array" ref="T2807">IFERROR(_xlfn.SWITCH(L2807,1,_xlfn.XLOOKUP(O2807,[1]AttributeName!$B:$B,[1]AttributeName!$E:$E),2,_xlfn.XLOOKUP(C2807,#REF!,#REF!),3,_xlfn.XLOOKUP(C2807,#REF!,#REF!)),0)</f>
        <v>0</v>
      </c>
    </row>
    <row r="2808" customFormat="1" spans="1:20">
      <c r="A2808">
        <f t="shared" si="116"/>
        <v>1157</v>
      </c>
      <c r="B2808">
        <v>7</v>
      </c>
      <c r="C2808" t="s">
        <v>426</v>
      </c>
      <c r="D2808" t="s">
        <v>443</v>
      </c>
      <c r="E2808" t="s">
        <v>392</v>
      </c>
      <c r="F2808"/>
      <c r="G2808">
        <v>2</v>
      </c>
      <c r="H2808">
        <v>500</v>
      </c>
      <c r="I2808">
        <v>3</v>
      </c>
      <c r="J2808" cm="1">
        <f t="array" ref="J2808">_xlfn.SWITCH(B2808,1,75,2,61,3,49,4,37,5,25,6,13,7,4,8,1)</f>
        <v>4</v>
      </c>
      <c r="K2808" t="str" cm="1">
        <f t="array" ref="K2808">IFERROR(_xlfn.SWITCH(L2808,2,_xlfn.XLOOKUP(C2808,[1]ModifierDes!$B:$B,[1]ModifierDes!$C:$C),3,_xlfn.XLOOKUP(C2808,[1]StuntDes!$B:$B,[1]StuntDes!$C:$C)),"")</f>
        <v>法术暴击伤害增加{0}</v>
      </c>
      <c r="L2808">
        <f t="shared" si="114"/>
        <v>2</v>
      </c>
      <c r="M2808" s="10" t="str">
        <f>IFERROR(_xlfn.XLOOKUP(C2808,[1]StuntDes!$B:$B,[1]StuntDes!$A:$A),"")</f>
        <v/>
      </c>
      <c r="N2808" s="10">
        <f>IFERROR(_xlfn.XLOOKUP(C2808,[1]ModifierDes!$B:$B,[1]ModifierDes!$A:$A),"")</f>
        <v>10061</v>
      </c>
      <c r="O2808" s="10" t="str">
        <f>IFERROR(_xlfn.XLOOKUP(C2808,[1]AttributeName!$C:$C,[1]AttributeName!$B:$B),"")</f>
        <v/>
      </c>
      <c r="P2808" s="10"/>
      <c r="Q2808">
        <v>0.12</v>
      </c>
      <c r="R2808">
        <v>0.18</v>
      </c>
      <c r="S2808" cm="1">
        <f t="array" ref="S2808">IFERROR(_xlfn.SWITCH(L2808,1,_xlfn.XLOOKUP(O2808,[1]AttributeName!$B:$B,[1]AttributeName!$D:$D),2,_xlfn.XLOOKUP(C2808,#REF!,#REF!),3,_xlfn.XLOOKUP(C2808,#REF!,#REF!)),0)</f>
        <v>0</v>
      </c>
      <c r="T2808" cm="1">
        <f t="array" ref="T2808">IFERROR(_xlfn.SWITCH(L2808,1,_xlfn.XLOOKUP(O2808,[1]AttributeName!$B:$B,[1]AttributeName!$E:$E),2,_xlfn.XLOOKUP(C2808,#REF!,#REF!),3,_xlfn.XLOOKUP(C2808,#REF!,#REF!)),0)</f>
        <v>0</v>
      </c>
    </row>
    <row r="2809" customFormat="1" spans="1:20">
      <c r="A2809">
        <f t="shared" si="116"/>
        <v>1157</v>
      </c>
      <c r="B2809">
        <v>8</v>
      </c>
      <c r="C2809" t="s">
        <v>426</v>
      </c>
      <c r="D2809" t="s">
        <v>443</v>
      </c>
      <c r="E2809" t="s">
        <v>392</v>
      </c>
      <c r="F2809"/>
      <c r="G2809">
        <v>2</v>
      </c>
      <c r="H2809">
        <v>500</v>
      </c>
      <c r="I2809">
        <v>3</v>
      </c>
      <c r="J2809" cm="1">
        <f t="array" ref="J2809">_xlfn.SWITCH(B2809,1,75,2,61,3,49,4,37,5,25,6,13,7,4,8,1)</f>
        <v>1</v>
      </c>
      <c r="K2809" t="str" cm="1">
        <f t="array" ref="K2809">IFERROR(_xlfn.SWITCH(L2809,2,_xlfn.XLOOKUP(C2809,[1]ModifierDes!$B:$B,[1]ModifierDes!$C:$C),3,_xlfn.XLOOKUP(C2809,[1]StuntDes!$B:$B,[1]StuntDes!$C:$C)),"")</f>
        <v>法术暴击伤害增加{0}</v>
      </c>
      <c r="L2809">
        <f t="shared" si="114"/>
        <v>2</v>
      </c>
      <c r="M2809" s="10" t="str">
        <f>IFERROR(_xlfn.XLOOKUP(C2809,[1]StuntDes!$B:$B,[1]StuntDes!$A:$A),"")</f>
        <v/>
      </c>
      <c r="N2809" s="10">
        <f>IFERROR(_xlfn.XLOOKUP(C2809,[1]ModifierDes!$B:$B,[1]ModifierDes!$A:$A),"")</f>
        <v>10061</v>
      </c>
      <c r="O2809" s="10" t="str">
        <f>IFERROR(_xlfn.XLOOKUP(C2809,[1]AttributeName!$C:$C,[1]AttributeName!$B:$B),"")</f>
        <v/>
      </c>
      <c r="P2809" s="10"/>
      <c r="Q2809">
        <v>0.04</v>
      </c>
      <c r="R2809">
        <v>0.1</v>
      </c>
      <c r="S2809" cm="1">
        <f t="array" ref="S2809">IFERROR(_xlfn.SWITCH(L2809,1,_xlfn.XLOOKUP(O2809,[1]AttributeName!$B:$B,[1]AttributeName!$D:$D),2,_xlfn.XLOOKUP(C2809,#REF!,#REF!),3,_xlfn.XLOOKUP(C2809,#REF!,#REF!)),0)</f>
        <v>0</v>
      </c>
      <c r="T2809" cm="1">
        <f t="array" ref="T2809">IFERROR(_xlfn.SWITCH(L2809,1,_xlfn.XLOOKUP(O2809,[1]AttributeName!$B:$B,[1]AttributeName!$E:$E),2,_xlfn.XLOOKUP(C2809,#REF!,#REF!),3,_xlfn.XLOOKUP(C2809,#REF!,#REF!)),0)</f>
        <v>0</v>
      </c>
    </row>
    <row r="2810" customFormat="1" spans="1:20">
      <c r="A2810">
        <f t="shared" si="116"/>
        <v>1158</v>
      </c>
      <c r="B2810">
        <v>1</v>
      </c>
      <c r="C2810" t="s">
        <v>401</v>
      </c>
      <c r="D2810" t="s">
        <v>443</v>
      </c>
      <c r="E2810" t="s">
        <v>392</v>
      </c>
      <c r="F2810"/>
      <c r="G2810">
        <v>2</v>
      </c>
      <c r="H2810">
        <v>50</v>
      </c>
      <c r="I2810">
        <v>3</v>
      </c>
      <c r="J2810" cm="1">
        <f t="array" ref="J2810">_xlfn.SWITCH(B2810,1,75,2,61,3,49,4,37,5,25,6,13,7,4,8,1)</f>
        <v>75</v>
      </c>
      <c r="K2810" t="str" cm="1">
        <f t="array" ref="K2810">IFERROR(_xlfn.SWITCH(L2810,2,_xlfn.XLOOKUP(C2810,[1]ModifierDes!$B:$B,[1]ModifierDes!$C:$C),3,_xlfn.XLOOKUP(C2810,[1]StuntDes!$B:$B,[1]StuntDes!$C:$C)),"")</f>
        <v/>
      </c>
      <c r="L2810">
        <f t="shared" si="114"/>
        <v>1</v>
      </c>
      <c r="M2810" s="10" t="str">
        <f>IFERROR(_xlfn.XLOOKUP(C2810,[1]StuntDes!$B:$B,[1]StuntDes!$A:$A),"")</f>
        <v/>
      </c>
      <c r="N2810" s="10" t="str">
        <f>IFERROR(_xlfn.XLOOKUP(C2810,[1]ModifierDes!$B:$B,[1]ModifierDes!$A:$A),"")</f>
        <v/>
      </c>
      <c r="O2810" s="10">
        <f>IFERROR(_xlfn.XLOOKUP(C2810,[1]AttributeName!$C:$C,[1]AttributeName!$B:$B),"")</f>
        <v>10500</v>
      </c>
      <c r="P2810" s="10"/>
      <c r="Q2810">
        <v>0.3</v>
      </c>
      <c r="R2810">
        <v>0.4</v>
      </c>
      <c r="S2810" cm="1">
        <f t="array" ref="S2810">IFERROR(_xlfn.SWITCH(L2810,1,_xlfn.XLOOKUP(O2810,[1]AttributeName!$B:$B,[1]AttributeName!$D:$D),2,_xlfn.XLOOKUP(C2810,#REF!,#REF!),3,_xlfn.XLOOKUP(C2810,#REF!,#REF!)),0)</f>
        <v>2</v>
      </c>
      <c r="T2810" cm="1">
        <f t="array" ref="T2810">IFERROR(_xlfn.SWITCH(L2810,1,_xlfn.XLOOKUP(O2810,[1]AttributeName!$B:$B,[1]AttributeName!$E:$E),2,_xlfn.XLOOKUP(C2810,#REF!,#REF!),3,_xlfn.XLOOKUP(C2810,#REF!,#REF!)),0)</f>
        <v>2</v>
      </c>
    </row>
    <row r="2811" customFormat="1" spans="1:20">
      <c r="A2811">
        <f t="shared" si="116"/>
        <v>1158</v>
      </c>
      <c r="B2811">
        <v>2</v>
      </c>
      <c r="C2811" t="s">
        <v>401</v>
      </c>
      <c r="D2811" t="s">
        <v>443</v>
      </c>
      <c r="E2811" t="s">
        <v>392</v>
      </c>
      <c r="F2811"/>
      <c r="G2811">
        <v>2</v>
      </c>
      <c r="H2811">
        <v>100</v>
      </c>
      <c r="I2811">
        <v>3</v>
      </c>
      <c r="J2811" cm="1">
        <f t="array" ref="J2811">_xlfn.SWITCH(B2811,1,75,2,61,3,49,4,37,5,25,6,13,7,4,8,1)</f>
        <v>61</v>
      </c>
      <c r="K2811" t="str" cm="1">
        <f t="array" ref="K2811">IFERROR(_xlfn.SWITCH(L2811,2,_xlfn.XLOOKUP(C2811,[1]ModifierDes!$B:$B,[1]ModifierDes!$C:$C),3,_xlfn.XLOOKUP(C2811,[1]StuntDes!$B:$B,[1]StuntDes!$C:$C)),"")</f>
        <v/>
      </c>
      <c r="L2811">
        <f t="shared" si="114"/>
        <v>1</v>
      </c>
      <c r="M2811" s="10" t="str">
        <f>IFERROR(_xlfn.XLOOKUP(C2811,[1]StuntDes!$B:$B,[1]StuntDes!$A:$A),"")</f>
        <v/>
      </c>
      <c r="N2811" s="10" t="str">
        <f>IFERROR(_xlfn.XLOOKUP(C2811,[1]ModifierDes!$B:$B,[1]ModifierDes!$A:$A),"")</f>
        <v/>
      </c>
      <c r="O2811" s="10">
        <f>IFERROR(_xlfn.XLOOKUP(C2811,[1]AttributeName!$C:$C,[1]AttributeName!$B:$B),"")</f>
        <v>10500</v>
      </c>
      <c r="P2811" s="10"/>
      <c r="Q2811">
        <v>0.26</v>
      </c>
      <c r="R2811">
        <v>0.29</v>
      </c>
      <c r="S2811" cm="1">
        <f t="array" ref="S2811">IFERROR(_xlfn.SWITCH(L2811,1,_xlfn.XLOOKUP(O2811,[1]AttributeName!$B:$B,[1]AttributeName!$D:$D),2,_xlfn.XLOOKUP(C2811,#REF!,#REF!),3,_xlfn.XLOOKUP(C2811,#REF!,#REF!)),0)</f>
        <v>2</v>
      </c>
      <c r="T2811" cm="1">
        <f t="array" ref="T2811">IFERROR(_xlfn.SWITCH(L2811,1,_xlfn.XLOOKUP(O2811,[1]AttributeName!$B:$B,[1]AttributeName!$E:$E),2,_xlfn.XLOOKUP(C2811,#REF!,#REF!),3,_xlfn.XLOOKUP(C2811,#REF!,#REF!)),0)</f>
        <v>2</v>
      </c>
    </row>
    <row r="2812" customFormat="1" spans="1:20">
      <c r="A2812">
        <f t="shared" si="116"/>
        <v>1158</v>
      </c>
      <c r="B2812">
        <v>3</v>
      </c>
      <c r="C2812" t="s">
        <v>401</v>
      </c>
      <c r="D2812" t="s">
        <v>443</v>
      </c>
      <c r="E2812" t="s">
        <v>392</v>
      </c>
      <c r="F2812"/>
      <c r="G2812">
        <v>2</v>
      </c>
      <c r="H2812">
        <v>250</v>
      </c>
      <c r="I2812">
        <v>3</v>
      </c>
      <c r="J2812" cm="1">
        <f t="array" ref="J2812">_xlfn.SWITCH(B2812,1,75,2,61,3,49,4,37,5,25,6,13,7,4,8,1)</f>
        <v>49</v>
      </c>
      <c r="K2812" t="str" cm="1">
        <f t="array" ref="K2812">IFERROR(_xlfn.SWITCH(L2812,2,_xlfn.XLOOKUP(C2812,[1]ModifierDes!$B:$B,[1]ModifierDes!$C:$C),3,_xlfn.XLOOKUP(C2812,[1]StuntDes!$B:$B,[1]StuntDes!$C:$C)),"")</f>
        <v/>
      </c>
      <c r="L2812">
        <f t="shared" si="114"/>
        <v>1</v>
      </c>
      <c r="M2812" s="10" t="str">
        <f>IFERROR(_xlfn.XLOOKUP(C2812,[1]StuntDes!$B:$B,[1]StuntDes!$A:$A),"")</f>
        <v/>
      </c>
      <c r="N2812" s="10" t="str">
        <f>IFERROR(_xlfn.XLOOKUP(C2812,[1]ModifierDes!$B:$B,[1]ModifierDes!$A:$A),"")</f>
        <v/>
      </c>
      <c r="O2812" s="10">
        <f>IFERROR(_xlfn.XLOOKUP(C2812,[1]AttributeName!$C:$C,[1]AttributeName!$B:$B),"")</f>
        <v>10500</v>
      </c>
      <c r="P2812" s="10"/>
      <c r="Q2812">
        <v>0.22</v>
      </c>
      <c r="R2812">
        <v>0.25</v>
      </c>
      <c r="S2812" cm="1">
        <f t="array" ref="S2812">IFERROR(_xlfn.SWITCH(L2812,1,_xlfn.XLOOKUP(O2812,[1]AttributeName!$B:$B,[1]AttributeName!$D:$D),2,_xlfn.XLOOKUP(C2812,#REF!,#REF!),3,_xlfn.XLOOKUP(C2812,#REF!,#REF!)),0)</f>
        <v>2</v>
      </c>
      <c r="T2812" cm="1">
        <f t="array" ref="T2812">IFERROR(_xlfn.SWITCH(L2812,1,_xlfn.XLOOKUP(O2812,[1]AttributeName!$B:$B,[1]AttributeName!$E:$E),2,_xlfn.XLOOKUP(C2812,#REF!,#REF!),3,_xlfn.XLOOKUP(C2812,#REF!,#REF!)),0)</f>
        <v>2</v>
      </c>
    </row>
    <row r="2813" customFormat="1" spans="1:20">
      <c r="A2813">
        <f t="shared" si="116"/>
        <v>1158</v>
      </c>
      <c r="B2813">
        <v>4</v>
      </c>
      <c r="C2813" t="s">
        <v>401</v>
      </c>
      <c r="D2813" t="s">
        <v>443</v>
      </c>
      <c r="E2813" t="s">
        <v>392</v>
      </c>
      <c r="F2813"/>
      <c r="G2813">
        <v>2</v>
      </c>
      <c r="H2813">
        <v>500</v>
      </c>
      <c r="I2813">
        <v>3</v>
      </c>
      <c r="J2813" cm="1">
        <f t="array" ref="J2813">_xlfn.SWITCH(B2813,1,75,2,61,3,49,4,37,5,25,6,13,7,4,8,1)</f>
        <v>37</v>
      </c>
      <c r="K2813" t="str" cm="1">
        <f t="array" ref="K2813">IFERROR(_xlfn.SWITCH(L2813,2,_xlfn.XLOOKUP(C2813,[1]ModifierDes!$B:$B,[1]ModifierDes!$C:$C),3,_xlfn.XLOOKUP(C2813,[1]StuntDes!$B:$B,[1]StuntDes!$C:$C)),"")</f>
        <v/>
      </c>
      <c r="L2813">
        <f t="shared" si="114"/>
        <v>1</v>
      </c>
      <c r="M2813" s="10" t="str">
        <f>IFERROR(_xlfn.XLOOKUP(C2813,[1]StuntDes!$B:$B,[1]StuntDes!$A:$A),"")</f>
        <v/>
      </c>
      <c r="N2813" s="10" t="str">
        <f>IFERROR(_xlfn.XLOOKUP(C2813,[1]ModifierDes!$B:$B,[1]ModifierDes!$A:$A),"")</f>
        <v/>
      </c>
      <c r="O2813" s="10">
        <f>IFERROR(_xlfn.XLOOKUP(C2813,[1]AttributeName!$C:$C,[1]AttributeName!$B:$B),"")</f>
        <v>10500</v>
      </c>
      <c r="P2813" s="10"/>
      <c r="Q2813">
        <v>0.18</v>
      </c>
      <c r="R2813">
        <v>0.21</v>
      </c>
      <c r="S2813" cm="1">
        <f t="array" ref="S2813">IFERROR(_xlfn.SWITCH(L2813,1,_xlfn.XLOOKUP(O2813,[1]AttributeName!$B:$B,[1]AttributeName!$D:$D),2,_xlfn.XLOOKUP(C2813,#REF!,#REF!),3,_xlfn.XLOOKUP(C2813,#REF!,#REF!)),0)</f>
        <v>2</v>
      </c>
      <c r="T2813" cm="1">
        <f t="array" ref="T2813">IFERROR(_xlfn.SWITCH(L2813,1,_xlfn.XLOOKUP(O2813,[1]AttributeName!$B:$B,[1]AttributeName!$E:$E),2,_xlfn.XLOOKUP(C2813,#REF!,#REF!),3,_xlfn.XLOOKUP(C2813,#REF!,#REF!)),0)</f>
        <v>2</v>
      </c>
    </row>
    <row r="2814" customFormat="1" spans="1:20">
      <c r="A2814">
        <f t="shared" si="116"/>
        <v>1158</v>
      </c>
      <c r="B2814">
        <v>5</v>
      </c>
      <c r="C2814" t="s">
        <v>401</v>
      </c>
      <c r="D2814" t="s">
        <v>443</v>
      </c>
      <c r="E2814" t="s">
        <v>392</v>
      </c>
      <c r="F2814"/>
      <c r="G2814">
        <v>2</v>
      </c>
      <c r="H2814">
        <v>500</v>
      </c>
      <c r="I2814">
        <v>3</v>
      </c>
      <c r="J2814" cm="1">
        <f t="array" ref="J2814">_xlfn.SWITCH(B2814,1,75,2,61,3,49,4,37,5,25,6,13,7,4,8,1)</f>
        <v>25</v>
      </c>
      <c r="K2814" t="str" cm="1">
        <f t="array" ref="K2814">IFERROR(_xlfn.SWITCH(L2814,2,_xlfn.XLOOKUP(C2814,[1]ModifierDes!$B:$B,[1]ModifierDes!$C:$C),3,_xlfn.XLOOKUP(C2814,[1]StuntDes!$B:$B,[1]StuntDes!$C:$C)),"")</f>
        <v/>
      </c>
      <c r="L2814">
        <f t="shared" si="114"/>
        <v>1</v>
      </c>
      <c r="M2814" s="10" t="str">
        <f>IFERROR(_xlfn.XLOOKUP(C2814,[1]StuntDes!$B:$B,[1]StuntDes!$A:$A),"")</f>
        <v/>
      </c>
      <c r="N2814" s="10" t="str">
        <f>IFERROR(_xlfn.XLOOKUP(C2814,[1]ModifierDes!$B:$B,[1]ModifierDes!$A:$A),"")</f>
        <v/>
      </c>
      <c r="O2814" s="10">
        <f>IFERROR(_xlfn.XLOOKUP(C2814,[1]AttributeName!$C:$C,[1]AttributeName!$B:$B),"")</f>
        <v>10500</v>
      </c>
      <c r="P2814" s="10"/>
      <c r="Q2814">
        <v>0.14</v>
      </c>
      <c r="R2814">
        <v>0.17</v>
      </c>
      <c r="S2814" cm="1">
        <f t="array" ref="S2814">IFERROR(_xlfn.SWITCH(L2814,1,_xlfn.XLOOKUP(O2814,[1]AttributeName!$B:$B,[1]AttributeName!$D:$D),2,_xlfn.XLOOKUP(C2814,#REF!,#REF!),3,_xlfn.XLOOKUP(C2814,#REF!,#REF!)),0)</f>
        <v>2</v>
      </c>
      <c r="T2814" cm="1">
        <f t="array" ref="T2814">IFERROR(_xlfn.SWITCH(L2814,1,_xlfn.XLOOKUP(O2814,[1]AttributeName!$B:$B,[1]AttributeName!$E:$E),2,_xlfn.XLOOKUP(C2814,#REF!,#REF!),3,_xlfn.XLOOKUP(C2814,#REF!,#REF!)),0)</f>
        <v>2</v>
      </c>
    </row>
    <row r="2815" customFormat="1" spans="1:20">
      <c r="A2815">
        <f t="shared" si="116"/>
        <v>1158</v>
      </c>
      <c r="B2815">
        <v>6</v>
      </c>
      <c r="C2815" t="s">
        <v>401</v>
      </c>
      <c r="D2815" t="s">
        <v>443</v>
      </c>
      <c r="E2815" t="s">
        <v>392</v>
      </c>
      <c r="F2815"/>
      <c r="G2815">
        <v>2</v>
      </c>
      <c r="H2815">
        <v>500</v>
      </c>
      <c r="I2815">
        <v>3</v>
      </c>
      <c r="J2815" cm="1">
        <f t="array" ref="J2815">_xlfn.SWITCH(B2815,1,75,2,61,3,49,4,37,5,25,6,13,7,4,8,1)</f>
        <v>13</v>
      </c>
      <c r="K2815" t="str" cm="1">
        <f t="array" ref="K2815">IFERROR(_xlfn.SWITCH(L2815,2,_xlfn.XLOOKUP(C2815,[1]ModifierDes!$B:$B,[1]ModifierDes!$C:$C),3,_xlfn.XLOOKUP(C2815,[1]StuntDes!$B:$B,[1]StuntDes!$C:$C)),"")</f>
        <v/>
      </c>
      <c r="L2815">
        <f t="shared" si="114"/>
        <v>1</v>
      </c>
      <c r="M2815" s="10" t="str">
        <f>IFERROR(_xlfn.XLOOKUP(C2815,[1]StuntDes!$B:$B,[1]StuntDes!$A:$A),"")</f>
        <v/>
      </c>
      <c r="N2815" s="10" t="str">
        <f>IFERROR(_xlfn.XLOOKUP(C2815,[1]ModifierDes!$B:$B,[1]ModifierDes!$A:$A),"")</f>
        <v/>
      </c>
      <c r="O2815" s="10">
        <f>IFERROR(_xlfn.XLOOKUP(C2815,[1]AttributeName!$C:$C,[1]AttributeName!$B:$B),"")</f>
        <v>10500</v>
      </c>
      <c r="P2815" s="10"/>
      <c r="Q2815">
        <v>0.1</v>
      </c>
      <c r="R2815">
        <v>0.13</v>
      </c>
      <c r="S2815" cm="1">
        <f t="array" ref="S2815">IFERROR(_xlfn.SWITCH(L2815,1,_xlfn.XLOOKUP(O2815,[1]AttributeName!$B:$B,[1]AttributeName!$D:$D),2,_xlfn.XLOOKUP(C2815,#REF!,#REF!),3,_xlfn.XLOOKUP(C2815,#REF!,#REF!)),0)</f>
        <v>2</v>
      </c>
      <c r="T2815" cm="1">
        <f t="array" ref="T2815">IFERROR(_xlfn.SWITCH(L2815,1,_xlfn.XLOOKUP(O2815,[1]AttributeName!$B:$B,[1]AttributeName!$E:$E),2,_xlfn.XLOOKUP(C2815,#REF!,#REF!),3,_xlfn.XLOOKUP(C2815,#REF!,#REF!)),0)</f>
        <v>2</v>
      </c>
    </row>
    <row r="2816" customFormat="1" spans="1:20">
      <c r="A2816">
        <f t="shared" si="116"/>
        <v>1158</v>
      </c>
      <c r="B2816">
        <v>7</v>
      </c>
      <c r="C2816" t="s">
        <v>401</v>
      </c>
      <c r="D2816" t="s">
        <v>443</v>
      </c>
      <c r="E2816" t="s">
        <v>392</v>
      </c>
      <c r="F2816"/>
      <c r="G2816">
        <v>2</v>
      </c>
      <c r="H2816">
        <v>500</v>
      </c>
      <c r="I2816">
        <v>3</v>
      </c>
      <c r="J2816" cm="1">
        <f t="array" ref="J2816">_xlfn.SWITCH(B2816,1,75,2,61,3,49,4,37,5,25,6,13,7,4,8,1)</f>
        <v>4</v>
      </c>
      <c r="K2816" t="str" cm="1">
        <f t="array" ref="K2816">IFERROR(_xlfn.SWITCH(L2816,2,_xlfn.XLOOKUP(C2816,[1]ModifierDes!$B:$B,[1]ModifierDes!$C:$C),3,_xlfn.XLOOKUP(C2816,[1]StuntDes!$B:$B,[1]StuntDes!$C:$C)),"")</f>
        <v/>
      </c>
      <c r="L2816">
        <f t="shared" si="114"/>
        <v>1</v>
      </c>
      <c r="M2816" s="10" t="str">
        <f>IFERROR(_xlfn.XLOOKUP(C2816,[1]StuntDes!$B:$B,[1]StuntDes!$A:$A),"")</f>
        <v/>
      </c>
      <c r="N2816" s="10" t="str">
        <f>IFERROR(_xlfn.XLOOKUP(C2816,[1]ModifierDes!$B:$B,[1]ModifierDes!$A:$A),"")</f>
        <v/>
      </c>
      <c r="O2816" s="10">
        <f>IFERROR(_xlfn.XLOOKUP(C2816,[1]AttributeName!$C:$C,[1]AttributeName!$B:$B),"")</f>
        <v>10500</v>
      </c>
      <c r="P2816" s="10"/>
      <c r="Q2816">
        <v>0.06</v>
      </c>
      <c r="R2816">
        <v>0.0900000000000001</v>
      </c>
      <c r="S2816" cm="1">
        <f t="array" ref="S2816">IFERROR(_xlfn.SWITCH(L2816,1,_xlfn.XLOOKUP(O2816,[1]AttributeName!$B:$B,[1]AttributeName!$D:$D),2,_xlfn.XLOOKUP(C2816,#REF!,#REF!),3,_xlfn.XLOOKUP(C2816,#REF!,#REF!)),0)</f>
        <v>2</v>
      </c>
      <c r="T2816" cm="1">
        <f t="array" ref="T2816">IFERROR(_xlfn.SWITCH(L2816,1,_xlfn.XLOOKUP(O2816,[1]AttributeName!$B:$B,[1]AttributeName!$E:$E),2,_xlfn.XLOOKUP(C2816,#REF!,#REF!),3,_xlfn.XLOOKUP(C2816,#REF!,#REF!)),0)</f>
        <v>2</v>
      </c>
    </row>
    <row r="2817" customFormat="1" spans="1:20">
      <c r="A2817">
        <f t="shared" si="116"/>
        <v>1158</v>
      </c>
      <c r="B2817">
        <v>8</v>
      </c>
      <c r="C2817" t="s">
        <v>401</v>
      </c>
      <c r="D2817" t="s">
        <v>443</v>
      </c>
      <c r="E2817" t="s">
        <v>392</v>
      </c>
      <c r="F2817"/>
      <c r="G2817">
        <v>2</v>
      </c>
      <c r="H2817">
        <v>500</v>
      </c>
      <c r="I2817">
        <v>3</v>
      </c>
      <c r="J2817" cm="1">
        <f t="array" ref="J2817">_xlfn.SWITCH(B2817,1,75,2,61,3,49,4,37,5,25,6,13,7,4,8,1)</f>
        <v>1</v>
      </c>
      <c r="K2817" t="str" cm="1">
        <f t="array" ref="K2817">IFERROR(_xlfn.SWITCH(L2817,2,_xlfn.XLOOKUP(C2817,[1]ModifierDes!$B:$B,[1]ModifierDes!$C:$C),3,_xlfn.XLOOKUP(C2817,[1]StuntDes!$B:$B,[1]StuntDes!$C:$C)),"")</f>
        <v/>
      </c>
      <c r="L2817">
        <f t="shared" si="114"/>
        <v>1</v>
      </c>
      <c r="M2817" s="10" t="str">
        <f>IFERROR(_xlfn.XLOOKUP(C2817,[1]StuntDes!$B:$B,[1]StuntDes!$A:$A),"")</f>
        <v/>
      </c>
      <c r="N2817" s="10" t="str">
        <f>IFERROR(_xlfn.XLOOKUP(C2817,[1]ModifierDes!$B:$B,[1]ModifierDes!$A:$A),"")</f>
        <v/>
      </c>
      <c r="O2817" s="10">
        <f>IFERROR(_xlfn.XLOOKUP(C2817,[1]AttributeName!$C:$C,[1]AttributeName!$B:$B),"")</f>
        <v>10500</v>
      </c>
      <c r="P2817" s="10"/>
      <c r="Q2817">
        <v>0.02</v>
      </c>
      <c r="R2817">
        <v>0.0500000000000001</v>
      </c>
      <c r="S2817" cm="1">
        <f t="array" ref="S2817">IFERROR(_xlfn.SWITCH(L2817,1,_xlfn.XLOOKUP(O2817,[1]AttributeName!$B:$B,[1]AttributeName!$D:$D),2,_xlfn.XLOOKUP(C2817,#REF!,#REF!),3,_xlfn.XLOOKUP(C2817,#REF!,#REF!)),0)</f>
        <v>2</v>
      </c>
      <c r="T2817" cm="1">
        <f t="array" ref="T2817">IFERROR(_xlfn.SWITCH(L2817,1,_xlfn.XLOOKUP(O2817,[1]AttributeName!$B:$B,[1]AttributeName!$E:$E),2,_xlfn.XLOOKUP(C2817,#REF!,#REF!),3,_xlfn.XLOOKUP(C2817,#REF!,#REF!)),0)</f>
        <v>2</v>
      </c>
    </row>
    <row r="2818" customFormat="1" spans="1:20">
      <c r="A2818">
        <f t="shared" si="116"/>
        <v>1159</v>
      </c>
      <c r="B2818">
        <v>1</v>
      </c>
      <c r="C2818" t="s">
        <v>402</v>
      </c>
      <c r="D2818" t="s">
        <v>443</v>
      </c>
      <c r="E2818" t="s">
        <v>392</v>
      </c>
      <c r="F2818"/>
      <c r="G2818">
        <v>2</v>
      </c>
      <c r="H2818">
        <v>50</v>
      </c>
      <c r="I2818">
        <v>3</v>
      </c>
      <c r="J2818" cm="1">
        <f t="array" ref="J2818">_xlfn.SWITCH(B2818,1,75,2,61,3,49,4,37,5,25,6,13,7,4,8,1)</f>
        <v>75</v>
      </c>
      <c r="K2818" t="str" cm="1">
        <f t="array" ref="K2818">IFERROR(_xlfn.SWITCH(L2818,2,_xlfn.XLOOKUP(C2818,[1]ModifierDes!$B:$B,[1]ModifierDes!$C:$C),3,_xlfn.XLOOKUP(C2818,[1]StuntDes!$B:$B,[1]StuntDes!$C:$C)),"")</f>
        <v/>
      </c>
      <c r="L2818">
        <f t="shared" si="114"/>
        <v>1</v>
      </c>
      <c r="M2818" s="10" t="str">
        <f>IFERROR(_xlfn.XLOOKUP(C2818,[1]StuntDes!$B:$B,[1]StuntDes!$A:$A),"")</f>
        <v/>
      </c>
      <c r="N2818" s="10" t="str">
        <f>IFERROR(_xlfn.XLOOKUP(C2818,[1]ModifierDes!$B:$B,[1]ModifierDes!$A:$A),"")</f>
        <v/>
      </c>
      <c r="O2818" s="10">
        <f>IFERROR(_xlfn.XLOOKUP(C2818,[1]AttributeName!$C:$C,[1]AttributeName!$B:$B),"")</f>
        <v>10501</v>
      </c>
      <c r="P2818" s="10"/>
      <c r="Q2818">
        <v>0.3</v>
      </c>
      <c r="R2818">
        <v>0.4</v>
      </c>
      <c r="S2818" cm="1">
        <f t="array" ref="S2818">IFERROR(_xlfn.SWITCH(L2818,1,_xlfn.XLOOKUP(O2818,[1]AttributeName!$B:$B,[1]AttributeName!$D:$D),2,_xlfn.XLOOKUP(C2818,#REF!,#REF!),3,_xlfn.XLOOKUP(C2818,#REF!,#REF!)),0)</f>
        <v>2</v>
      </c>
      <c r="T2818" cm="1">
        <f t="array" ref="T2818">IFERROR(_xlfn.SWITCH(L2818,1,_xlfn.XLOOKUP(O2818,[1]AttributeName!$B:$B,[1]AttributeName!$E:$E),2,_xlfn.XLOOKUP(C2818,#REF!,#REF!),3,_xlfn.XLOOKUP(C2818,#REF!,#REF!)),0)</f>
        <v>2</v>
      </c>
    </row>
    <row r="2819" customFormat="1" spans="1:20">
      <c r="A2819">
        <f t="shared" si="116"/>
        <v>1159</v>
      </c>
      <c r="B2819">
        <v>2</v>
      </c>
      <c r="C2819" t="s">
        <v>402</v>
      </c>
      <c r="D2819" t="s">
        <v>443</v>
      </c>
      <c r="E2819" t="s">
        <v>392</v>
      </c>
      <c r="F2819"/>
      <c r="G2819">
        <v>2</v>
      </c>
      <c r="H2819">
        <v>100</v>
      </c>
      <c r="I2819">
        <v>3</v>
      </c>
      <c r="J2819" cm="1">
        <f t="array" ref="J2819">_xlfn.SWITCH(B2819,1,75,2,61,3,49,4,37,5,25,6,13,7,4,8,1)</f>
        <v>61</v>
      </c>
      <c r="K2819" t="str" cm="1">
        <f t="array" ref="K2819">IFERROR(_xlfn.SWITCH(L2819,2,_xlfn.XLOOKUP(C2819,[1]ModifierDes!$B:$B,[1]ModifierDes!$C:$C),3,_xlfn.XLOOKUP(C2819,[1]StuntDes!$B:$B,[1]StuntDes!$C:$C)),"")</f>
        <v/>
      </c>
      <c r="L2819">
        <f t="shared" si="114"/>
        <v>1</v>
      </c>
      <c r="M2819" s="10" t="str">
        <f>IFERROR(_xlfn.XLOOKUP(C2819,[1]StuntDes!$B:$B,[1]StuntDes!$A:$A),"")</f>
        <v/>
      </c>
      <c r="N2819" s="10" t="str">
        <f>IFERROR(_xlfn.XLOOKUP(C2819,[1]ModifierDes!$B:$B,[1]ModifierDes!$A:$A),"")</f>
        <v/>
      </c>
      <c r="O2819" s="10">
        <f>IFERROR(_xlfn.XLOOKUP(C2819,[1]AttributeName!$C:$C,[1]AttributeName!$B:$B),"")</f>
        <v>10501</v>
      </c>
      <c r="P2819" s="10"/>
      <c r="Q2819">
        <v>0.26</v>
      </c>
      <c r="R2819">
        <v>0.29</v>
      </c>
      <c r="S2819" cm="1">
        <f t="array" ref="S2819">IFERROR(_xlfn.SWITCH(L2819,1,_xlfn.XLOOKUP(O2819,[1]AttributeName!$B:$B,[1]AttributeName!$D:$D),2,_xlfn.XLOOKUP(C2819,#REF!,#REF!),3,_xlfn.XLOOKUP(C2819,#REF!,#REF!)),0)</f>
        <v>2</v>
      </c>
      <c r="T2819" cm="1">
        <f t="array" ref="T2819">IFERROR(_xlfn.SWITCH(L2819,1,_xlfn.XLOOKUP(O2819,[1]AttributeName!$B:$B,[1]AttributeName!$E:$E),2,_xlfn.XLOOKUP(C2819,#REF!,#REF!),3,_xlfn.XLOOKUP(C2819,#REF!,#REF!)),0)</f>
        <v>2</v>
      </c>
    </row>
    <row r="2820" customFormat="1" spans="1:20">
      <c r="A2820">
        <f t="shared" si="116"/>
        <v>1159</v>
      </c>
      <c r="B2820">
        <v>3</v>
      </c>
      <c r="C2820" t="s">
        <v>402</v>
      </c>
      <c r="D2820" t="s">
        <v>443</v>
      </c>
      <c r="E2820" t="s">
        <v>392</v>
      </c>
      <c r="F2820"/>
      <c r="G2820">
        <v>2</v>
      </c>
      <c r="H2820">
        <v>250</v>
      </c>
      <c r="I2820">
        <v>3</v>
      </c>
      <c r="J2820" cm="1">
        <f t="array" ref="J2820">_xlfn.SWITCH(B2820,1,75,2,61,3,49,4,37,5,25,6,13,7,4,8,1)</f>
        <v>49</v>
      </c>
      <c r="K2820" t="str" cm="1">
        <f t="array" ref="K2820">IFERROR(_xlfn.SWITCH(L2820,2,_xlfn.XLOOKUP(C2820,[1]ModifierDes!$B:$B,[1]ModifierDes!$C:$C),3,_xlfn.XLOOKUP(C2820,[1]StuntDes!$B:$B,[1]StuntDes!$C:$C)),"")</f>
        <v/>
      </c>
      <c r="L2820">
        <f t="shared" ref="L2820:L2883" si="117">IF(M2820="",IF(N2820="",1,2),3)</f>
        <v>1</v>
      </c>
      <c r="M2820" s="10" t="str">
        <f>IFERROR(_xlfn.XLOOKUP(C2820,[1]StuntDes!$B:$B,[1]StuntDes!$A:$A),"")</f>
        <v/>
      </c>
      <c r="N2820" s="10" t="str">
        <f>IFERROR(_xlfn.XLOOKUP(C2820,[1]ModifierDes!$B:$B,[1]ModifierDes!$A:$A),"")</f>
        <v/>
      </c>
      <c r="O2820" s="10">
        <f>IFERROR(_xlfn.XLOOKUP(C2820,[1]AttributeName!$C:$C,[1]AttributeName!$B:$B),"")</f>
        <v>10501</v>
      </c>
      <c r="P2820" s="10"/>
      <c r="Q2820">
        <v>0.22</v>
      </c>
      <c r="R2820">
        <v>0.25</v>
      </c>
      <c r="S2820" cm="1">
        <f t="array" ref="S2820">IFERROR(_xlfn.SWITCH(L2820,1,_xlfn.XLOOKUP(O2820,[1]AttributeName!$B:$B,[1]AttributeName!$D:$D),2,_xlfn.XLOOKUP(C2820,#REF!,#REF!),3,_xlfn.XLOOKUP(C2820,#REF!,#REF!)),0)</f>
        <v>2</v>
      </c>
      <c r="T2820" cm="1">
        <f t="array" ref="T2820">IFERROR(_xlfn.SWITCH(L2820,1,_xlfn.XLOOKUP(O2820,[1]AttributeName!$B:$B,[1]AttributeName!$E:$E),2,_xlfn.XLOOKUP(C2820,#REF!,#REF!),3,_xlfn.XLOOKUP(C2820,#REF!,#REF!)),0)</f>
        <v>2</v>
      </c>
    </row>
    <row r="2821" customFormat="1" spans="1:20">
      <c r="A2821">
        <f t="shared" si="116"/>
        <v>1159</v>
      </c>
      <c r="B2821">
        <v>4</v>
      </c>
      <c r="C2821" t="s">
        <v>402</v>
      </c>
      <c r="D2821" t="s">
        <v>443</v>
      </c>
      <c r="E2821" t="s">
        <v>392</v>
      </c>
      <c r="F2821"/>
      <c r="G2821">
        <v>2</v>
      </c>
      <c r="H2821">
        <v>500</v>
      </c>
      <c r="I2821">
        <v>3</v>
      </c>
      <c r="J2821" cm="1">
        <f t="array" ref="J2821">_xlfn.SWITCH(B2821,1,75,2,61,3,49,4,37,5,25,6,13,7,4,8,1)</f>
        <v>37</v>
      </c>
      <c r="K2821" t="str" cm="1">
        <f t="array" ref="K2821">IFERROR(_xlfn.SWITCH(L2821,2,_xlfn.XLOOKUP(C2821,[1]ModifierDes!$B:$B,[1]ModifierDes!$C:$C),3,_xlfn.XLOOKUP(C2821,[1]StuntDes!$B:$B,[1]StuntDes!$C:$C)),"")</f>
        <v/>
      </c>
      <c r="L2821">
        <f t="shared" si="117"/>
        <v>1</v>
      </c>
      <c r="M2821" s="10" t="str">
        <f>IFERROR(_xlfn.XLOOKUP(C2821,[1]StuntDes!$B:$B,[1]StuntDes!$A:$A),"")</f>
        <v/>
      </c>
      <c r="N2821" s="10" t="str">
        <f>IFERROR(_xlfn.XLOOKUP(C2821,[1]ModifierDes!$B:$B,[1]ModifierDes!$A:$A),"")</f>
        <v/>
      </c>
      <c r="O2821" s="10">
        <f>IFERROR(_xlfn.XLOOKUP(C2821,[1]AttributeName!$C:$C,[1]AttributeName!$B:$B),"")</f>
        <v>10501</v>
      </c>
      <c r="P2821" s="10"/>
      <c r="Q2821">
        <v>0.18</v>
      </c>
      <c r="R2821">
        <v>0.21</v>
      </c>
      <c r="S2821" cm="1">
        <f t="array" ref="S2821">IFERROR(_xlfn.SWITCH(L2821,1,_xlfn.XLOOKUP(O2821,[1]AttributeName!$B:$B,[1]AttributeName!$D:$D),2,_xlfn.XLOOKUP(C2821,#REF!,#REF!),3,_xlfn.XLOOKUP(C2821,#REF!,#REF!)),0)</f>
        <v>2</v>
      </c>
      <c r="T2821" cm="1">
        <f t="array" ref="T2821">IFERROR(_xlfn.SWITCH(L2821,1,_xlfn.XLOOKUP(O2821,[1]AttributeName!$B:$B,[1]AttributeName!$E:$E),2,_xlfn.XLOOKUP(C2821,#REF!,#REF!),3,_xlfn.XLOOKUP(C2821,#REF!,#REF!)),0)</f>
        <v>2</v>
      </c>
    </row>
    <row r="2822" customFormat="1" spans="1:20">
      <c r="A2822">
        <f t="shared" si="116"/>
        <v>1159</v>
      </c>
      <c r="B2822">
        <v>5</v>
      </c>
      <c r="C2822" t="s">
        <v>402</v>
      </c>
      <c r="D2822" t="s">
        <v>443</v>
      </c>
      <c r="E2822" t="s">
        <v>392</v>
      </c>
      <c r="F2822"/>
      <c r="G2822">
        <v>2</v>
      </c>
      <c r="H2822">
        <v>500</v>
      </c>
      <c r="I2822">
        <v>3</v>
      </c>
      <c r="J2822" cm="1">
        <f t="array" ref="J2822">_xlfn.SWITCH(B2822,1,75,2,61,3,49,4,37,5,25,6,13,7,4,8,1)</f>
        <v>25</v>
      </c>
      <c r="K2822" t="str" cm="1">
        <f t="array" ref="K2822">IFERROR(_xlfn.SWITCH(L2822,2,_xlfn.XLOOKUP(C2822,[1]ModifierDes!$B:$B,[1]ModifierDes!$C:$C),3,_xlfn.XLOOKUP(C2822,[1]StuntDes!$B:$B,[1]StuntDes!$C:$C)),"")</f>
        <v/>
      </c>
      <c r="L2822">
        <f t="shared" si="117"/>
        <v>1</v>
      </c>
      <c r="M2822" s="10" t="str">
        <f>IFERROR(_xlfn.XLOOKUP(C2822,[1]StuntDes!$B:$B,[1]StuntDes!$A:$A),"")</f>
        <v/>
      </c>
      <c r="N2822" s="10" t="str">
        <f>IFERROR(_xlfn.XLOOKUP(C2822,[1]ModifierDes!$B:$B,[1]ModifierDes!$A:$A),"")</f>
        <v/>
      </c>
      <c r="O2822" s="10">
        <f>IFERROR(_xlfn.XLOOKUP(C2822,[1]AttributeName!$C:$C,[1]AttributeName!$B:$B),"")</f>
        <v>10501</v>
      </c>
      <c r="P2822" s="10"/>
      <c r="Q2822">
        <v>0.14</v>
      </c>
      <c r="R2822">
        <v>0.17</v>
      </c>
      <c r="S2822" cm="1">
        <f t="array" ref="S2822">IFERROR(_xlfn.SWITCH(L2822,1,_xlfn.XLOOKUP(O2822,[1]AttributeName!$B:$B,[1]AttributeName!$D:$D),2,_xlfn.XLOOKUP(C2822,#REF!,#REF!),3,_xlfn.XLOOKUP(C2822,#REF!,#REF!)),0)</f>
        <v>2</v>
      </c>
      <c r="T2822" cm="1">
        <f t="array" ref="T2822">IFERROR(_xlfn.SWITCH(L2822,1,_xlfn.XLOOKUP(O2822,[1]AttributeName!$B:$B,[1]AttributeName!$E:$E),2,_xlfn.XLOOKUP(C2822,#REF!,#REF!),3,_xlfn.XLOOKUP(C2822,#REF!,#REF!)),0)</f>
        <v>2</v>
      </c>
    </row>
    <row r="2823" customFormat="1" spans="1:20">
      <c r="A2823">
        <f t="shared" si="116"/>
        <v>1159</v>
      </c>
      <c r="B2823">
        <v>6</v>
      </c>
      <c r="C2823" t="s">
        <v>402</v>
      </c>
      <c r="D2823" t="s">
        <v>443</v>
      </c>
      <c r="E2823" t="s">
        <v>392</v>
      </c>
      <c r="F2823"/>
      <c r="G2823">
        <v>2</v>
      </c>
      <c r="H2823">
        <v>500</v>
      </c>
      <c r="I2823">
        <v>3</v>
      </c>
      <c r="J2823" cm="1">
        <f t="array" ref="J2823">_xlfn.SWITCH(B2823,1,75,2,61,3,49,4,37,5,25,6,13,7,4,8,1)</f>
        <v>13</v>
      </c>
      <c r="K2823" t="str" cm="1">
        <f t="array" ref="K2823">IFERROR(_xlfn.SWITCH(L2823,2,_xlfn.XLOOKUP(C2823,[1]ModifierDes!$B:$B,[1]ModifierDes!$C:$C),3,_xlfn.XLOOKUP(C2823,[1]StuntDes!$B:$B,[1]StuntDes!$C:$C)),"")</f>
        <v/>
      </c>
      <c r="L2823">
        <f t="shared" si="117"/>
        <v>1</v>
      </c>
      <c r="M2823" s="10" t="str">
        <f>IFERROR(_xlfn.XLOOKUP(C2823,[1]StuntDes!$B:$B,[1]StuntDes!$A:$A),"")</f>
        <v/>
      </c>
      <c r="N2823" s="10" t="str">
        <f>IFERROR(_xlfn.XLOOKUP(C2823,[1]ModifierDes!$B:$B,[1]ModifierDes!$A:$A),"")</f>
        <v/>
      </c>
      <c r="O2823" s="10">
        <f>IFERROR(_xlfn.XLOOKUP(C2823,[1]AttributeName!$C:$C,[1]AttributeName!$B:$B),"")</f>
        <v>10501</v>
      </c>
      <c r="P2823" s="10"/>
      <c r="Q2823">
        <v>0.1</v>
      </c>
      <c r="R2823">
        <v>0.13</v>
      </c>
      <c r="S2823" cm="1">
        <f t="array" ref="S2823">IFERROR(_xlfn.SWITCH(L2823,1,_xlfn.XLOOKUP(O2823,[1]AttributeName!$B:$B,[1]AttributeName!$D:$D),2,_xlfn.XLOOKUP(C2823,#REF!,#REF!),3,_xlfn.XLOOKUP(C2823,#REF!,#REF!)),0)</f>
        <v>2</v>
      </c>
      <c r="T2823" cm="1">
        <f t="array" ref="T2823">IFERROR(_xlfn.SWITCH(L2823,1,_xlfn.XLOOKUP(O2823,[1]AttributeName!$B:$B,[1]AttributeName!$E:$E),2,_xlfn.XLOOKUP(C2823,#REF!,#REF!),3,_xlfn.XLOOKUP(C2823,#REF!,#REF!)),0)</f>
        <v>2</v>
      </c>
    </row>
    <row r="2824" customFormat="1" spans="1:20">
      <c r="A2824">
        <f t="shared" si="116"/>
        <v>1159</v>
      </c>
      <c r="B2824">
        <v>7</v>
      </c>
      <c r="C2824" t="s">
        <v>402</v>
      </c>
      <c r="D2824" t="s">
        <v>443</v>
      </c>
      <c r="E2824" t="s">
        <v>392</v>
      </c>
      <c r="F2824"/>
      <c r="G2824">
        <v>2</v>
      </c>
      <c r="H2824">
        <v>500</v>
      </c>
      <c r="I2824">
        <v>3</v>
      </c>
      <c r="J2824" cm="1">
        <f t="array" ref="J2824">_xlfn.SWITCH(B2824,1,75,2,61,3,49,4,37,5,25,6,13,7,4,8,1)</f>
        <v>4</v>
      </c>
      <c r="K2824" t="str" cm="1">
        <f t="array" ref="K2824">IFERROR(_xlfn.SWITCH(L2824,2,_xlfn.XLOOKUP(C2824,[1]ModifierDes!$B:$B,[1]ModifierDes!$C:$C),3,_xlfn.XLOOKUP(C2824,[1]StuntDes!$B:$B,[1]StuntDes!$C:$C)),"")</f>
        <v/>
      </c>
      <c r="L2824">
        <f t="shared" si="117"/>
        <v>1</v>
      </c>
      <c r="M2824" s="10" t="str">
        <f>IFERROR(_xlfn.XLOOKUP(C2824,[1]StuntDes!$B:$B,[1]StuntDes!$A:$A),"")</f>
        <v/>
      </c>
      <c r="N2824" s="10" t="str">
        <f>IFERROR(_xlfn.XLOOKUP(C2824,[1]ModifierDes!$B:$B,[1]ModifierDes!$A:$A),"")</f>
        <v/>
      </c>
      <c r="O2824" s="10">
        <f>IFERROR(_xlfn.XLOOKUP(C2824,[1]AttributeName!$C:$C,[1]AttributeName!$B:$B),"")</f>
        <v>10501</v>
      </c>
      <c r="P2824" s="10"/>
      <c r="Q2824">
        <v>0.06</v>
      </c>
      <c r="R2824">
        <v>0.0900000000000001</v>
      </c>
      <c r="S2824" cm="1">
        <f t="array" ref="S2824">IFERROR(_xlfn.SWITCH(L2824,1,_xlfn.XLOOKUP(O2824,[1]AttributeName!$B:$B,[1]AttributeName!$D:$D),2,_xlfn.XLOOKUP(C2824,#REF!,#REF!),3,_xlfn.XLOOKUP(C2824,#REF!,#REF!)),0)</f>
        <v>2</v>
      </c>
      <c r="T2824" cm="1">
        <f t="array" ref="T2824">IFERROR(_xlfn.SWITCH(L2824,1,_xlfn.XLOOKUP(O2824,[1]AttributeName!$B:$B,[1]AttributeName!$E:$E),2,_xlfn.XLOOKUP(C2824,#REF!,#REF!),3,_xlfn.XLOOKUP(C2824,#REF!,#REF!)),0)</f>
        <v>2</v>
      </c>
    </row>
    <row r="2825" customFormat="1" spans="1:20">
      <c r="A2825">
        <f t="shared" si="116"/>
        <v>1159</v>
      </c>
      <c r="B2825">
        <v>8</v>
      </c>
      <c r="C2825" t="s">
        <v>402</v>
      </c>
      <c r="D2825" t="s">
        <v>443</v>
      </c>
      <c r="E2825" t="s">
        <v>392</v>
      </c>
      <c r="F2825"/>
      <c r="G2825">
        <v>2</v>
      </c>
      <c r="H2825">
        <v>500</v>
      </c>
      <c r="I2825">
        <v>3</v>
      </c>
      <c r="J2825" cm="1">
        <f t="array" ref="J2825">_xlfn.SWITCH(B2825,1,75,2,61,3,49,4,37,5,25,6,13,7,4,8,1)</f>
        <v>1</v>
      </c>
      <c r="K2825" t="str" cm="1">
        <f t="array" ref="K2825">IFERROR(_xlfn.SWITCH(L2825,2,_xlfn.XLOOKUP(C2825,[1]ModifierDes!$B:$B,[1]ModifierDes!$C:$C),3,_xlfn.XLOOKUP(C2825,[1]StuntDes!$B:$B,[1]StuntDes!$C:$C)),"")</f>
        <v/>
      </c>
      <c r="L2825">
        <f t="shared" si="117"/>
        <v>1</v>
      </c>
      <c r="M2825" s="10" t="str">
        <f>IFERROR(_xlfn.XLOOKUP(C2825,[1]StuntDes!$B:$B,[1]StuntDes!$A:$A),"")</f>
        <v/>
      </c>
      <c r="N2825" s="10" t="str">
        <f>IFERROR(_xlfn.XLOOKUP(C2825,[1]ModifierDes!$B:$B,[1]ModifierDes!$A:$A),"")</f>
        <v/>
      </c>
      <c r="O2825" s="10">
        <f>IFERROR(_xlfn.XLOOKUP(C2825,[1]AttributeName!$C:$C,[1]AttributeName!$B:$B),"")</f>
        <v>10501</v>
      </c>
      <c r="P2825" s="10"/>
      <c r="Q2825">
        <v>0.02</v>
      </c>
      <c r="R2825">
        <v>0.0500000000000001</v>
      </c>
      <c r="S2825" cm="1">
        <f t="array" ref="S2825">IFERROR(_xlfn.SWITCH(L2825,1,_xlfn.XLOOKUP(O2825,[1]AttributeName!$B:$B,[1]AttributeName!$D:$D),2,_xlfn.XLOOKUP(C2825,#REF!,#REF!),3,_xlfn.XLOOKUP(C2825,#REF!,#REF!)),0)</f>
        <v>2</v>
      </c>
      <c r="T2825" cm="1">
        <f t="array" ref="T2825">IFERROR(_xlfn.SWITCH(L2825,1,_xlfn.XLOOKUP(O2825,[1]AttributeName!$B:$B,[1]AttributeName!$E:$E),2,_xlfn.XLOOKUP(C2825,#REF!,#REF!),3,_xlfn.XLOOKUP(C2825,#REF!,#REF!)),0)</f>
        <v>2</v>
      </c>
    </row>
    <row r="2826" customFormat="1" spans="1:20">
      <c r="A2826">
        <f t="shared" si="116"/>
        <v>1160</v>
      </c>
      <c r="B2826">
        <v>1</v>
      </c>
      <c r="C2826" t="s">
        <v>403</v>
      </c>
      <c r="D2826" t="s">
        <v>443</v>
      </c>
      <c r="E2826" t="s">
        <v>392</v>
      </c>
      <c r="F2826"/>
      <c r="G2826">
        <v>2</v>
      </c>
      <c r="H2826">
        <v>50</v>
      </c>
      <c r="I2826">
        <v>3</v>
      </c>
      <c r="J2826" cm="1">
        <f t="array" ref="J2826">_xlfn.SWITCH(B2826,1,75,2,61,3,49,4,37,5,25,6,13,7,4,8,1)</f>
        <v>75</v>
      </c>
      <c r="K2826" t="str" cm="1">
        <f t="array" ref="K2826">IFERROR(_xlfn.SWITCH(L2826,2,_xlfn.XLOOKUP(C2826,[1]ModifierDes!$B:$B,[1]ModifierDes!$C:$C),3,_xlfn.XLOOKUP(C2826,[1]StuntDes!$B:$B,[1]StuntDes!$C:$C)),"")</f>
        <v/>
      </c>
      <c r="L2826">
        <f t="shared" si="117"/>
        <v>1</v>
      </c>
      <c r="M2826" s="10" t="str">
        <f>IFERROR(_xlfn.XLOOKUP(C2826,[1]StuntDes!$B:$B,[1]StuntDes!$A:$A),"")</f>
        <v/>
      </c>
      <c r="N2826" s="10" t="str">
        <f>IFERROR(_xlfn.XLOOKUP(C2826,[1]ModifierDes!$B:$B,[1]ModifierDes!$A:$A),"")</f>
        <v/>
      </c>
      <c r="O2826" s="10">
        <f>IFERROR(_xlfn.XLOOKUP(C2826,[1]AttributeName!$C:$C,[1]AttributeName!$B:$B),"")</f>
        <v>10502</v>
      </c>
      <c r="P2826" s="10"/>
      <c r="Q2826">
        <v>0.3</v>
      </c>
      <c r="R2826">
        <v>0.4</v>
      </c>
      <c r="S2826" cm="1">
        <f t="array" ref="S2826">IFERROR(_xlfn.SWITCH(L2826,1,_xlfn.XLOOKUP(O2826,[1]AttributeName!$B:$B,[1]AttributeName!$D:$D),2,_xlfn.XLOOKUP(C2826,#REF!,#REF!),3,_xlfn.XLOOKUP(C2826,#REF!,#REF!)),0)</f>
        <v>2</v>
      </c>
      <c r="T2826" cm="1">
        <f t="array" ref="T2826">IFERROR(_xlfn.SWITCH(L2826,1,_xlfn.XLOOKUP(O2826,[1]AttributeName!$B:$B,[1]AttributeName!$E:$E),2,_xlfn.XLOOKUP(C2826,#REF!,#REF!),3,_xlfn.XLOOKUP(C2826,#REF!,#REF!)),0)</f>
        <v>2</v>
      </c>
    </row>
    <row r="2827" customFormat="1" spans="1:20">
      <c r="A2827">
        <f t="shared" si="116"/>
        <v>1160</v>
      </c>
      <c r="B2827">
        <v>2</v>
      </c>
      <c r="C2827" t="s">
        <v>403</v>
      </c>
      <c r="D2827" t="s">
        <v>443</v>
      </c>
      <c r="E2827" t="s">
        <v>392</v>
      </c>
      <c r="F2827"/>
      <c r="G2827">
        <v>2</v>
      </c>
      <c r="H2827">
        <v>100</v>
      </c>
      <c r="I2827">
        <v>3</v>
      </c>
      <c r="J2827" cm="1">
        <f t="array" ref="J2827">_xlfn.SWITCH(B2827,1,75,2,61,3,49,4,37,5,25,6,13,7,4,8,1)</f>
        <v>61</v>
      </c>
      <c r="K2827" t="str" cm="1">
        <f t="array" ref="K2827">IFERROR(_xlfn.SWITCH(L2827,2,_xlfn.XLOOKUP(C2827,[1]ModifierDes!$B:$B,[1]ModifierDes!$C:$C),3,_xlfn.XLOOKUP(C2827,[1]StuntDes!$B:$B,[1]StuntDes!$C:$C)),"")</f>
        <v/>
      </c>
      <c r="L2827">
        <f t="shared" si="117"/>
        <v>1</v>
      </c>
      <c r="M2827" s="10" t="str">
        <f>IFERROR(_xlfn.XLOOKUP(C2827,[1]StuntDes!$B:$B,[1]StuntDes!$A:$A),"")</f>
        <v/>
      </c>
      <c r="N2827" s="10" t="str">
        <f>IFERROR(_xlfn.XLOOKUP(C2827,[1]ModifierDes!$B:$B,[1]ModifierDes!$A:$A),"")</f>
        <v/>
      </c>
      <c r="O2827" s="10">
        <f>IFERROR(_xlfn.XLOOKUP(C2827,[1]AttributeName!$C:$C,[1]AttributeName!$B:$B),"")</f>
        <v>10502</v>
      </c>
      <c r="P2827" s="10"/>
      <c r="Q2827">
        <v>0.26</v>
      </c>
      <c r="R2827">
        <v>0.29</v>
      </c>
      <c r="S2827" cm="1">
        <f t="array" ref="S2827">IFERROR(_xlfn.SWITCH(L2827,1,_xlfn.XLOOKUP(O2827,[1]AttributeName!$B:$B,[1]AttributeName!$D:$D),2,_xlfn.XLOOKUP(C2827,#REF!,#REF!),3,_xlfn.XLOOKUP(C2827,#REF!,#REF!)),0)</f>
        <v>2</v>
      </c>
      <c r="T2827" cm="1">
        <f t="array" ref="T2827">IFERROR(_xlfn.SWITCH(L2827,1,_xlfn.XLOOKUP(O2827,[1]AttributeName!$B:$B,[1]AttributeName!$E:$E),2,_xlfn.XLOOKUP(C2827,#REF!,#REF!),3,_xlfn.XLOOKUP(C2827,#REF!,#REF!)),0)</f>
        <v>2</v>
      </c>
    </row>
    <row r="2828" customFormat="1" spans="1:20">
      <c r="A2828">
        <f t="shared" si="116"/>
        <v>1160</v>
      </c>
      <c r="B2828">
        <v>3</v>
      </c>
      <c r="C2828" t="s">
        <v>403</v>
      </c>
      <c r="D2828" t="s">
        <v>443</v>
      </c>
      <c r="E2828" t="s">
        <v>392</v>
      </c>
      <c r="F2828"/>
      <c r="G2828">
        <v>2</v>
      </c>
      <c r="H2828">
        <v>250</v>
      </c>
      <c r="I2828">
        <v>3</v>
      </c>
      <c r="J2828" cm="1">
        <f t="array" ref="J2828">_xlfn.SWITCH(B2828,1,75,2,61,3,49,4,37,5,25,6,13,7,4,8,1)</f>
        <v>49</v>
      </c>
      <c r="K2828" t="str" cm="1">
        <f t="array" ref="K2828">IFERROR(_xlfn.SWITCH(L2828,2,_xlfn.XLOOKUP(C2828,[1]ModifierDes!$B:$B,[1]ModifierDes!$C:$C),3,_xlfn.XLOOKUP(C2828,[1]StuntDes!$B:$B,[1]StuntDes!$C:$C)),"")</f>
        <v/>
      </c>
      <c r="L2828">
        <f t="shared" si="117"/>
        <v>1</v>
      </c>
      <c r="M2828" s="10" t="str">
        <f>IFERROR(_xlfn.XLOOKUP(C2828,[1]StuntDes!$B:$B,[1]StuntDes!$A:$A),"")</f>
        <v/>
      </c>
      <c r="N2828" s="10" t="str">
        <f>IFERROR(_xlfn.XLOOKUP(C2828,[1]ModifierDes!$B:$B,[1]ModifierDes!$A:$A),"")</f>
        <v/>
      </c>
      <c r="O2828" s="10">
        <f>IFERROR(_xlfn.XLOOKUP(C2828,[1]AttributeName!$C:$C,[1]AttributeName!$B:$B),"")</f>
        <v>10502</v>
      </c>
      <c r="P2828" s="10"/>
      <c r="Q2828">
        <v>0.22</v>
      </c>
      <c r="R2828">
        <v>0.25</v>
      </c>
      <c r="S2828" cm="1">
        <f t="array" ref="S2828">IFERROR(_xlfn.SWITCH(L2828,1,_xlfn.XLOOKUP(O2828,[1]AttributeName!$B:$B,[1]AttributeName!$D:$D),2,_xlfn.XLOOKUP(C2828,#REF!,#REF!),3,_xlfn.XLOOKUP(C2828,#REF!,#REF!)),0)</f>
        <v>2</v>
      </c>
      <c r="T2828" cm="1">
        <f t="array" ref="T2828">IFERROR(_xlfn.SWITCH(L2828,1,_xlfn.XLOOKUP(O2828,[1]AttributeName!$B:$B,[1]AttributeName!$E:$E),2,_xlfn.XLOOKUP(C2828,#REF!,#REF!),3,_xlfn.XLOOKUP(C2828,#REF!,#REF!)),0)</f>
        <v>2</v>
      </c>
    </row>
    <row r="2829" customFormat="1" spans="1:20">
      <c r="A2829">
        <f t="shared" si="116"/>
        <v>1160</v>
      </c>
      <c r="B2829">
        <v>4</v>
      </c>
      <c r="C2829" t="s">
        <v>403</v>
      </c>
      <c r="D2829" t="s">
        <v>443</v>
      </c>
      <c r="E2829" t="s">
        <v>392</v>
      </c>
      <c r="F2829"/>
      <c r="G2829">
        <v>2</v>
      </c>
      <c r="H2829">
        <v>500</v>
      </c>
      <c r="I2829">
        <v>3</v>
      </c>
      <c r="J2829" cm="1">
        <f t="array" ref="J2829">_xlfn.SWITCH(B2829,1,75,2,61,3,49,4,37,5,25,6,13,7,4,8,1)</f>
        <v>37</v>
      </c>
      <c r="K2829" t="str" cm="1">
        <f t="array" ref="K2829">IFERROR(_xlfn.SWITCH(L2829,2,_xlfn.XLOOKUP(C2829,[1]ModifierDes!$B:$B,[1]ModifierDes!$C:$C),3,_xlfn.XLOOKUP(C2829,[1]StuntDes!$B:$B,[1]StuntDes!$C:$C)),"")</f>
        <v/>
      </c>
      <c r="L2829">
        <f t="shared" si="117"/>
        <v>1</v>
      </c>
      <c r="M2829" s="10" t="str">
        <f>IFERROR(_xlfn.XLOOKUP(C2829,[1]StuntDes!$B:$B,[1]StuntDes!$A:$A),"")</f>
        <v/>
      </c>
      <c r="N2829" s="10" t="str">
        <f>IFERROR(_xlfn.XLOOKUP(C2829,[1]ModifierDes!$B:$B,[1]ModifierDes!$A:$A),"")</f>
        <v/>
      </c>
      <c r="O2829" s="10">
        <f>IFERROR(_xlfn.XLOOKUP(C2829,[1]AttributeName!$C:$C,[1]AttributeName!$B:$B),"")</f>
        <v>10502</v>
      </c>
      <c r="P2829" s="10"/>
      <c r="Q2829">
        <v>0.18</v>
      </c>
      <c r="R2829">
        <v>0.21</v>
      </c>
      <c r="S2829" cm="1">
        <f t="array" ref="S2829">IFERROR(_xlfn.SWITCH(L2829,1,_xlfn.XLOOKUP(O2829,[1]AttributeName!$B:$B,[1]AttributeName!$D:$D),2,_xlfn.XLOOKUP(C2829,#REF!,#REF!),3,_xlfn.XLOOKUP(C2829,#REF!,#REF!)),0)</f>
        <v>2</v>
      </c>
      <c r="T2829" cm="1">
        <f t="array" ref="T2829">IFERROR(_xlfn.SWITCH(L2829,1,_xlfn.XLOOKUP(O2829,[1]AttributeName!$B:$B,[1]AttributeName!$E:$E),2,_xlfn.XLOOKUP(C2829,#REF!,#REF!),3,_xlfn.XLOOKUP(C2829,#REF!,#REF!)),0)</f>
        <v>2</v>
      </c>
    </row>
    <row r="2830" customFormat="1" spans="1:20">
      <c r="A2830">
        <f t="shared" si="116"/>
        <v>1160</v>
      </c>
      <c r="B2830">
        <v>5</v>
      </c>
      <c r="C2830" t="s">
        <v>403</v>
      </c>
      <c r="D2830" t="s">
        <v>443</v>
      </c>
      <c r="E2830" t="s">
        <v>392</v>
      </c>
      <c r="F2830"/>
      <c r="G2830">
        <v>2</v>
      </c>
      <c r="H2830">
        <v>500</v>
      </c>
      <c r="I2830">
        <v>3</v>
      </c>
      <c r="J2830" cm="1">
        <f t="array" ref="J2830">_xlfn.SWITCH(B2830,1,75,2,61,3,49,4,37,5,25,6,13,7,4,8,1)</f>
        <v>25</v>
      </c>
      <c r="K2830" t="str" cm="1">
        <f t="array" ref="K2830">IFERROR(_xlfn.SWITCH(L2830,2,_xlfn.XLOOKUP(C2830,[1]ModifierDes!$B:$B,[1]ModifierDes!$C:$C),3,_xlfn.XLOOKUP(C2830,[1]StuntDes!$B:$B,[1]StuntDes!$C:$C)),"")</f>
        <v/>
      </c>
      <c r="L2830">
        <f t="shared" si="117"/>
        <v>1</v>
      </c>
      <c r="M2830" s="10" t="str">
        <f>IFERROR(_xlfn.XLOOKUP(C2830,[1]StuntDes!$B:$B,[1]StuntDes!$A:$A),"")</f>
        <v/>
      </c>
      <c r="N2830" s="10" t="str">
        <f>IFERROR(_xlfn.XLOOKUP(C2830,[1]ModifierDes!$B:$B,[1]ModifierDes!$A:$A),"")</f>
        <v/>
      </c>
      <c r="O2830" s="10">
        <f>IFERROR(_xlfn.XLOOKUP(C2830,[1]AttributeName!$C:$C,[1]AttributeName!$B:$B),"")</f>
        <v>10502</v>
      </c>
      <c r="P2830" s="10"/>
      <c r="Q2830">
        <v>0.14</v>
      </c>
      <c r="R2830">
        <v>0.17</v>
      </c>
      <c r="S2830" cm="1">
        <f t="array" ref="S2830">IFERROR(_xlfn.SWITCH(L2830,1,_xlfn.XLOOKUP(O2830,[1]AttributeName!$B:$B,[1]AttributeName!$D:$D),2,_xlfn.XLOOKUP(C2830,#REF!,#REF!),3,_xlfn.XLOOKUP(C2830,#REF!,#REF!)),0)</f>
        <v>2</v>
      </c>
      <c r="T2830" cm="1">
        <f t="array" ref="T2830">IFERROR(_xlfn.SWITCH(L2830,1,_xlfn.XLOOKUP(O2830,[1]AttributeName!$B:$B,[1]AttributeName!$E:$E),2,_xlfn.XLOOKUP(C2830,#REF!,#REF!),3,_xlfn.XLOOKUP(C2830,#REF!,#REF!)),0)</f>
        <v>2</v>
      </c>
    </row>
    <row r="2831" customFormat="1" spans="1:20">
      <c r="A2831">
        <f t="shared" si="116"/>
        <v>1160</v>
      </c>
      <c r="B2831">
        <v>6</v>
      </c>
      <c r="C2831" t="s">
        <v>403</v>
      </c>
      <c r="D2831" t="s">
        <v>443</v>
      </c>
      <c r="E2831" t="s">
        <v>392</v>
      </c>
      <c r="F2831"/>
      <c r="G2831">
        <v>2</v>
      </c>
      <c r="H2831">
        <v>500</v>
      </c>
      <c r="I2831">
        <v>3</v>
      </c>
      <c r="J2831" cm="1">
        <f t="array" ref="J2831">_xlfn.SWITCH(B2831,1,75,2,61,3,49,4,37,5,25,6,13,7,4,8,1)</f>
        <v>13</v>
      </c>
      <c r="K2831" t="str" cm="1">
        <f t="array" ref="K2831">IFERROR(_xlfn.SWITCH(L2831,2,_xlfn.XLOOKUP(C2831,[1]ModifierDes!$B:$B,[1]ModifierDes!$C:$C),3,_xlfn.XLOOKUP(C2831,[1]StuntDes!$B:$B,[1]StuntDes!$C:$C)),"")</f>
        <v/>
      </c>
      <c r="L2831">
        <f t="shared" si="117"/>
        <v>1</v>
      </c>
      <c r="M2831" s="10" t="str">
        <f>IFERROR(_xlfn.XLOOKUP(C2831,[1]StuntDes!$B:$B,[1]StuntDes!$A:$A),"")</f>
        <v/>
      </c>
      <c r="N2831" s="10" t="str">
        <f>IFERROR(_xlfn.XLOOKUP(C2831,[1]ModifierDes!$B:$B,[1]ModifierDes!$A:$A),"")</f>
        <v/>
      </c>
      <c r="O2831" s="10">
        <f>IFERROR(_xlfn.XLOOKUP(C2831,[1]AttributeName!$C:$C,[1]AttributeName!$B:$B),"")</f>
        <v>10502</v>
      </c>
      <c r="P2831" s="10"/>
      <c r="Q2831">
        <v>0.1</v>
      </c>
      <c r="R2831">
        <v>0.13</v>
      </c>
      <c r="S2831" cm="1">
        <f t="array" ref="S2831">IFERROR(_xlfn.SWITCH(L2831,1,_xlfn.XLOOKUP(O2831,[1]AttributeName!$B:$B,[1]AttributeName!$D:$D),2,_xlfn.XLOOKUP(C2831,#REF!,#REF!),3,_xlfn.XLOOKUP(C2831,#REF!,#REF!)),0)</f>
        <v>2</v>
      </c>
      <c r="T2831" cm="1">
        <f t="array" ref="T2831">IFERROR(_xlfn.SWITCH(L2831,1,_xlfn.XLOOKUP(O2831,[1]AttributeName!$B:$B,[1]AttributeName!$E:$E),2,_xlfn.XLOOKUP(C2831,#REF!,#REF!),3,_xlfn.XLOOKUP(C2831,#REF!,#REF!)),0)</f>
        <v>2</v>
      </c>
    </row>
    <row r="2832" customFormat="1" spans="1:20">
      <c r="A2832">
        <f t="shared" si="116"/>
        <v>1160</v>
      </c>
      <c r="B2832">
        <v>7</v>
      </c>
      <c r="C2832" t="s">
        <v>403</v>
      </c>
      <c r="D2832" t="s">
        <v>443</v>
      </c>
      <c r="E2832" t="s">
        <v>392</v>
      </c>
      <c r="F2832"/>
      <c r="G2832">
        <v>2</v>
      </c>
      <c r="H2832">
        <v>500</v>
      </c>
      <c r="I2832">
        <v>3</v>
      </c>
      <c r="J2832" cm="1">
        <f t="array" ref="J2832">_xlfn.SWITCH(B2832,1,75,2,61,3,49,4,37,5,25,6,13,7,4,8,1)</f>
        <v>4</v>
      </c>
      <c r="K2832" t="str" cm="1">
        <f t="array" ref="K2832">IFERROR(_xlfn.SWITCH(L2832,2,_xlfn.XLOOKUP(C2832,[1]ModifierDes!$B:$B,[1]ModifierDes!$C:$C),3,_xlfn.XLOOKUP(C2832,[1]StuntDes!$B:$B,[1]StuntDes!$C:$C)),"")</f>
        <v/>
      </c>
      <c r="L2832">
        <f t="shared" si="117"/>
        <v>1</v>
      </c>
      <c r="M2832" s="10" t="str">
        <f>IFERROR(_xlfn.XLOOKUP(C2832,[1]StuntDes!$B:$B,[1]StuntDes!$A:$A),"")</f>
        <v/>
      </c>
      <c r="N2832" s="10" t="str">
        <f>IFERROR(_xlfn.XLOOKUP(C2832,[1]ModifierDes!$B:$B,[1]ModifierDes!$A:$A),"")</f>
        <v/>
      </c>
      <c r="O2832" s="10">
        <f>IFERROR(_xlfn.XLOOKUP(C2832,[1]AttributeName!$C:$C,[1]AttributeName!$B:$B),"")</f>
        <v>10502</v>
      </c>
      <c r="P2832" s="10"/>
      <c r="Q2832">
        <v>0.06</v>
      </c>
      <c r="R2832">
        <v>0.0900000000000001</v>
      </c>
      <c r="S2832" cm="1">
        <f t="array" ref="S2832">IFERROR(_xlfn.SWITCH(L2832,1,_xlfn.XLOOKUP(O2832,[1]AttributeName!$B:$B,[1]AttributeName!$D:$D),2,_xlfn.XLOOKUP(C2832,#REF!,#REF!),3,_xlfn.XLOOKUP(C2832,#REF!,#REF!)),0)</f>
        <v>2</v>
      </c>
      <c r="T2832" cm="1">
        <f t="array" ref="T2832">IFERROR(_xlfn.SWITCH(L2832,1,_xlfn.XLOOKUP(O2832,[1]AttributeName!$B:$B,[1]AttributeName!$E:$E),2,_xlfn.XLOOKUP(C2832,#REF!,#REF!),3,_xlfn.XLOOKUP(C2832,#REF!,#REF!)),0)</f>
        <v>2</v>
      </c>
    </row>
    <row r="2833" customFormat="1" spans="1:20">
      <c r="A2833">
        <f t="shared" si="116"/>
        <v>1160</v>
      </c>
      <c r="B2833">
        <v>8</v>
      </c>
      <c r="C2833" t="s">
        <v>403</v>
      </c>
      <c r="D2833" t="s">
        <v>443</v>
      </c>
      <c r="E2833" t="s">
        <v>392</v>
      </c>
      <c r="F2833"/>
      <c r="G2833">
        <v>2</v>
      </c>
      <c r="H2833">
        <v>500</v>
      </c>
      <c r="I2833">
        <v>3</v>
      </c>
      <c r="J2833" cm="1">
        <f t="array" ref="J2833">_xlfn.SWITCH(B2833,1,75,2,61,3,49,4,37,5,25,6,13,7,4,8,1)</f>
        <v>1</v>
      </c>
      <c r="K2833" t="str" cm="1">
        <f t="array" ref="K2833">IFERROR(_xlfn.SWITCH(L2833,2,_xlfn.XLOOKUP(C2833,[1]ModifierDes!$B:$B,[1]ModifierDes!$C:$C),3,_xlfn.XLOOKUP(C2833,[1]StuntDes!$B:$B,[1]StuntDes!$C:$C)),"")</f>
        <v/>
      </c>
      <c r="L2833">
        <f t="shared" si="117"/>
        <v>1</v>
      </c>
      <c r="M2833" s="10" t="str">
        <f>IFERROR(_xlfn.XLOOKUP(C2833,[1]StuntDes!$B:$B,[1]StuntDes!$A:$A),"")</f>
        <v/>
      </c>
      <c r="N2833" s="10" t="str">
        <f>IFERROR(_xlfn.XLOOKUP(C2833,[1]ModifierDes!$B:$B,[1]ModifierDes!$A:$A),"")</f>
        <v/>
      </c>
      <c r="O2833" s="10">
        <f>IFERROR(_xlfn.XLOOKUP(C2833,[1]AttributeName!$C:$C,[1]AttributeName!$B:$B),"")</f>
        <v>10502</v>
      </c>
      <c r="P2833" s="10"/>
      <c r="Q2833">
        <v>0.02</v>
      </c>
      <c r="R2833">
        <v>0.0500000000000001</v>
      </c>
      <c r="S2833" cm="1">
        <f t="array" ref="S2833">IFERROR(_xlfn.SWITCH(L2833,1,_xlfn.XLOOKUP(O2833,[1]AttributeName!$B:$B,[1]AttributeName!$D:$D),2,_xlfn.XLOOKUP(C2833,#REF!,#REF!),3,_xlfn.XLOOKUP(C2833,#REF!,#REF!)),0)</f>
        <v>2</v>
      </c>
      <c r="T2833" cm="1">
        <f t="array" ref="T2833">IFERROR(_xlfn.SWITCH(L2833,1,_xlfn.XLOOKUP(O2833,[1]AttributeName!$B:$B,[1]AttributeName!$E:$E),2,_xlfn.XLOOKUP(C2833,#REF!,#REF!),3,_xlfn.XLOOKUP(C2833,#REF!,#REF!)),0)</f>
        <v>2</v>
      </c>
    </row>
    <row r="2834" customFormat="1" spans="1:20">
      <c r="A2834">
        <f t="shared" si="116"/>
        <v>1161</v>
      </c>
      <c r="B2834">
        <v>1</v>
      </c>
      <c r="C2834" t="s">
        <v>404</v>
      </c>
      <c r="D2834" t="s">
        <v>443</v>
      </c>
      <c r="E2834" t="s">
        <v>392</v>
      </c>
      <c r="F2834"/>
      <c r="G2834">
        <v>2</v>
      </c>
      <c r="H2834">
        <v>50</v>
      </c>
      <c r="I2834">
        <v>3</v>
      </c>
      <c r="J2834" cm="1">
        <f t="array" ref="J2834">_xlfn.SWITCH(B2834,1,75,2,61,3,49,4,37,5,25,6,13,7,4,8,1)</f>
        <v>75</v>
      </c>
      <c r="K2834" t="str" cm="1">
        <f t="array" ref="K2834">IFERROR(_xlfn.SWITCH(L2834,2,_xlfn.XLOOKUP(C2834,[1]ModifierDes!$B:$B,[1]ModifierDes!$C:$C),3,_xlfn.XLOOKUP(C2834,[1]StuntDes!$B:$B,[1]StuntDes!$C:$C)),"")</f>
        <v/>
      </c>
      <c r="L2834">
        <f t="shared" si="117"/>
        <v>1</v>
      </c>
      <c r="M2834" s="10" t="str">
        <f>IFERROR(_xlfn.XLOOKUP(C2834,[1]StuntDes!$B:$B,[1]StuntDes!$A:$A),"")</f>
        <v/>
      </c>
      <c r="N2834" s="10" t="str">
        <f>IFERROR(_xlfn.XLOOKUP(C2834,[1]ModifierDes!$B:$B,[1]ModifierDes!$A:$A),"")</f>
        <v/>
      </c>
      <c r="O2834" s="10">
        <f>IFERROR(_xlfn.XLOOKUP(C2834,[1]AttributeName!$C:$C,[1]AttributeName!$B:$B),"")</f>
        <v>10503</v>
      </c>
      <c r="P2834" s="10"/>
      <c r="Q2834">
        <v>0.3</v>
      </c>
      <c r="R2834">
        <v>0.4</v>
      </c>
      <c r="S2834" cm="1">
        <f t="array" ref="S2834">IFERROR(_xlfn.SWITCH(L2834,1,_xlfn.XLOOKUP(O2834,[1]AttributeName!$B:$B,[1]AttributeName!$D:$D),2,_xlfn.XLOOKUP(C2834,#REF!,#REF!),3,_xlfn.XLOOKUP(C2834,#REF!,#REF!)),0)</f>
        <v>2</v>
      </c>
      <c r="T2834" cm="1">
        <f t="array" ref="T2834">IFERROR(_xlfn.SWITCH(L2834,1,_xlfn.XLOOKUP(O2834,[1]AttributeName!$B:$B,[1]AttributeName!$E:$E),2,_xlfn.XLOOKUP(C2834,#REF!,#REF!),3,_xlfn.XLOOKUP(C2834,#REF!,#REF!)),0)</f>
        <v>2</v>
      </c>
    </row>
    <row r="2835" customFormat="1" spans="1:20">
      <c r="A2835">
        <f t="shared" si="116"/>
        <v>1161</v>
      </c>
      <c r="B2835">
        <v>2</v>
      </c>
      <c r="C2835" t="s">
        <v>404</v>
      </c>
      <c r="D2835" t="s">
        <v>443</v>
      </c>
      <c r="E2835" t="s">
        <v>392</v>
      </c>
      <c r="F2835"/>
      <c r="G2835">
        <v>2</v>
      </c>
      <c r="H2835">
        <v>100</v>
      </c>
      <c r="I2835">
        <v>3</v>
      </c>
      <c r="J2835" cm="1">
        <f t="array" ref="J2835">_xlfn.SWITCH(B2835,1,75,2,61,3,49,4,37,5,25,6,13,7,4,8,1)</f>
        <v>61</v>
      </c>
      <c r="K2835" t="str" cm="1">
        <f t="array" ref="K2835">IFERROR(_xlfn.SWITCH(L2835,2,_xlfn.XLOOKUP(C2835,[1]ModifierDes!$B:$B,[1]ModifierDes!$C:$C),3,_xlfn.XLOOKUP(C2835,[1]StuntDes!$B:$B,[1]StuntDes!$C:$C)),"")</f>
        <v/>
      </c>
      <c r="L2835">
        <f t="shared" si="117"/>
        <v>1</v>
      </c>
      <c r="M2835" s="10" t="str">
        <f>IFERROR(_xlfn.XLOOKUP(C2835,[1]StuntDes!$B:$B,[1]StuntDes!$A:$A),"")</f>
        <v/>
      </c>
      <c r="N2835" s="10" t="str">
        <f>IFERROR(_xlfn.XLOOKUP(C2835,[1]ModifierDes!$B:$B,[1]ModifierDes!$A:$A),"")</f>
        <v/>
      </c>
      <c r="O2835" s="10">
        <f>IFERROR(_xlfn.XLOOKUP(C2835,[1]AttributeName!$C:$C,[1]AttributeName!$B:$B),"")</f>
        <v>10503</v>
      </c>
      <c r="P2835" s="10"/>
      <c r="Q2835">
        <v>0.26</v>
      </c>
      <c r="R2835">
        <v>0.29</v>
      </c>
      <c r="S2835" cm="1">
        <f t="array" ref="S2835">IFERROR(_xlfn.SWITCH(L2835,1,_xlfn.XLOOKUP(O2835,[1]AttributeName!$B:$B,[1]AttributeName!$D:$D),2,_xlfn.XLOOKUP(C2835,#REF!,#REF!),3,_xlfn.XLOOKUP(C2835,#REF!,#REF!)),0)</f>
        <v>2</v>
      </c>
      <c r="T2835" cm="1">
        <f t="array" ref="T2835">IFERROR(_xlfn.SWITCH(L2835,1,_xlfn.XLOOKUP(O2835,[1]AttributeName!$B:$B,[1]AttributeName!$E:$E),2,_xlfn.XLOOKUP(C2835,#REF!,#REF!),3,_xlfn.XLOOKUP(C2835,#REF!,#REF!)),0)</f>
        <v>2</v>
      </c>
    </row>
    <row r="2836" customFormat="1" spans="1:20">
      <c r="A2836">
        <f t="shared" si="116"/>
        <v>1161</v>
      </c>
      <c r="B2836">
        <v>3</v>
      </c>
      <c r="C2836" t="s">
        <v>404</v>
      </c>
      <c r="D2836" t="s">
        <v>443</v>
      </c>
      <c r="E2836" t="s">
        <v>392</v>
      </c>
      <c r="F2836"/>
      <c r="G2836">
        <v>2</v>
      </c>
      <c r="H2836">
        <v>250</v>
      </c>
      <c r="I2836">
        <v>3</v>
      </c>
      <c r="J2836" cm="1">
        <f t="array" ref="J2836">_xlfn.SWITCH(B2836,1,75,2,61,3,49,4,37,5,25,6,13,7,4,8,1)</f>
        <v>49</v>
      </c>
      <c r="K2836" t="str" cm="1">
        <f t="array" ref="K2836">IFERROR(_xlfn.SWITCH(L2836,2,_xlfn.XLOOKUP(C2836,[1]ModifierDes!$B:$B,[1]ModifierDes!$C:$C),3,_xlfn.XLOOKUP(C2836,[1]StuntDes!$B:$B,[1]StuntDes!$C:$C)),"")</f>
        <v/>
      </c>
      <c r="L2836">
        <f t="shared" si="117"/>
        <v>1</v>
      </c>
      <c r="M2836" s="10" t="str">
        <f>IFERROR(_xlfn.XLOOKUP(C2836,[1]StuntDes!$B:$B,[1]StuntDes!$A:$A),"")</f>
        <v/>
      </c>
      <c r="N2836" s="10" t="str">
        <f>IFERROR(_xlfn.XLOOKUP(C2836,[1]ModifierDes!$B:$B,[1]ModifierDes!$A:$A),"")</f>
        <v/>
      </c>
      <c r="O2836" s="10">
        <f>IFERROR(_xlfn.XLOOKUP(C2836,[1]AttributeName!$C:$C,[1]AttributeName!$B:$B),"")</f>
        <v>10503</v>
      </c>
      <c r="P2836" s="10"/>
      <c r="Q2836">
        <v>0.22</v>
      </c>
      <c r="R2836">
        <v>0.25</v>
      </c>
      <c r="S2836" cm="1">
        <f t="array" ref="S2836">IFERROR(_xlfn.SWITCH(L2836,1,_xlfn.XLOOKUP(O2836,[1]AttributeName!$B:$B,[1]AttributeName!$D:$D),2,_xlfn.XLOOKUP(C2836,#REF!,#REF!),3,_xlfn.XLOOKUP(C2836,#REF!,#REF!)),0)</f>
        <v>2</v>
      </c>
      <c r="T2836" cm="1">
        <f t="array" ref="T2836">IFERROR(_xlfn.SWITCH(L2836,1,_xlfn.XLOOKUP(O2836,[1]AttributeName!$B:$B,[1]AttributeName!$E:$E),2,_xlfn.XLOOKUP(C2836,#REF!,#REF!),3,_xlfn.XLOOKUP(C2836,#REF!,#REF!)),0)</f>
        <v>2</v>
      </c>
    </row>
    <row r="2837" customFormat="1" spans="1:20">
      <c r="A2837">
        <f t="shared" si="116"/>
        <v>1161</v>
      </c>
      <c r="B2837">
        <v>4</v>
      </c>
      <c r="C2837" t="s">
        <v>404</v>
      </c>
      <c r="D2837" t="s">
        <v>443</v>
      </c>
      <c r="E2837" t="s">
        <v>392</v>
      </c>
      <c r="F2837"/>
      <c r="G2837">
        <v>2</v>
      </c>
      <c r="H2837">
        <v>500</v>
      </c>
      <c r="I2837">
        <v>3</v>
      </c>
      <c r="J2837" cm="1">
        <f t="array" ref="J2837">_xlfn.SWITCH(B2837,1,75,2,61,3,49,4,37,5,25,6,13,7,4,8,1)</f>
        <v>37</v>
      </c>
      <c r="K2837" t="str" cm="1">
        <f t="array" ref="K2837">IFERROR(_xlfn.SWITCH(L2837,2,_xlfn.XLOOKUP(C2837,[1]ModifierDes!$B:$B,[1]ModifierDes!$C:$C),3,_xlfn.XLOOKUP(C2837,[1]StuntDes!$B:$B,[1]StuntDes!$C:$C)),"")</f>
        <v/>
      </c>
      <c r="L2837">
        <f t="shared" si="117"/>
        <v>1</v>
      </c>
      <c r="M2837" s="10" t="str">
        <f>IFERROR(_xlfn.XLOOKUP(C2837,[1]StuntDes!$B:$B,[1]StuntDes!$A:$A),"")</f>
        <v/>
      </c>
      <c r="N2837" s="10" t="str">
        <f>IFERROR(_xlfn.XLOOKUP(C2837,[1]ModifierDes!$B:$B,[1]ModifierDes!$A:$A),"")</f>
        <v/>
      </c>
      <c r="O2837" s="10">
        <f>IFERROR(_xlfn.XLOOKUP(C2837,[1]AttributeName!$C:$C,[1]AttributeName!$B:$B),"")</f>
        <v>10503</v>
      </c>
      <c r="P2837" s="10"/>
      <c r="Q2837">
        <v>0.18</v>
      </c>
      <c r="R2837">
        <v>0.21</v>
      </c>
      <c r="S2837" cm="1">
        <f t="array" ref="S2837">IFERROR(_xlfn.SWITCH(L2837,1,_xlfn.XLOOKUP(O2837,[1]AttributeName!$B:$B,[1]AttributeName!$D:$D),2,_xlfn.XLOOKUP(C2837,#REF!,#REF!),3,_xlfn.XLOOKUP(C2837,#REF!,#REF!)),0)</f>
        <v>2</v>
      </c>
      <c r="T2837" cm="1">
        <f t="array" ref="T2837">IFERROR(_xlfn.SWITCH(L2837,1,_xlfn.XLOOKUP(O2837,[1]AttributeName!$B:$B,[1]AttributeName!$E:$E),2,_xlfn.XLOOKUP(C2837,#REF!,#REF!),3,_xlfn.XLOOKUP(C2837,#REF!,#REF!)),0)</f>
        <v>2</v>
      </c>
    </row>
    <row r="2838" customFormat="1" spans="1:20">
      <c r="A2838">
        <f t="shared" si="116"/>
        <v>1161</v>
      </c>
      <c r="B2838">
        <v>5</v>
      </c>
      <c r="C2838" t="s">
        <v>404</v>
      </c>
      <c r="D2838" t="s">
        <v>443</v>
      </c>
      <c r="E2838" t="s">
        <v>392</v>
      </c>
      <c r="F2838"/>
      <c r="G2838">
        <v>2</v>
      </c>
      <c r="H2838">
        <v>500</v>
      </c>
      <c r="I2838">
        <v>3</v>
      </c>
      <c r="J2838" cm="1">
        <f t="array" ref="J2838">_xlfn.SWITCH(B2838,1,75,2,61,3,49,4,37,5,25,6,13,7,4,8,1)</f>
        <v>25</v>
      </c>
      <c r="K2838" t="str" cm="1">
        <f t="array" ref="K2838">IFERROR(_xlfn.SWITCH(L2838,2,_xlfn.XLOOKUP(C2838,[1]ModifierDes!$B:$B,[1]ModifierDes!$C:$C),3,_xlfn.XLOOKUP(C2838,[1]StuntDes!$B:$B,[1]StuntDes!$C:$C)),"")</f>
        <v/>
      </c>
      <c r="L2838">
        <f t="shared" si="117"/>
        <v>1</v>
      </c>
      <c r="M2838" s="10" t="str">
        <f>IFERROR(_xlfn.XLOOKUP(C2838,[1]StuntDes!$B:$B,[1]StuntDes!$A:$A),"")</f>
        <v/>
      </c>
      <c r="N2838" s="10" t="str">
        <f>IFERROR(_xlfn.XLOOKUP(C2838,[1]ModifierDes!$B:$B,[1]ModifierDes!$A:$A),"")</f>
        <v/>
      </c>
      <c r="O2838" s="10">
        <f>IFERROR(_xlfn.XLOOKUP(C2838,[1]AttributeName!$C:$C,[1]AttributeName!$B:$B),"")</f>
        <v>10503</v>
      </c>
      <c r="P2838" s="10"/>
      <c r="Q2838">
        <v>0.14</v>
      </c>
      <c r="R2838">
        <v>0.17</v>
      </c>
      <c r="S2838" cm="1">
        <f t="array" ref="S2838">IFERROR(_xlfn.SWITCH(L2838,1,_xlfn.XLOOKUP(O2838,[1]AttributeName!$B:$B,[1]AttributeName!$D:$D),2,_xlfn.XLOOKUP(C2838,#REF!,#REF!),3,_xlfn.XLOOKUP(C2838,#REF!,#REF!)),0)</f>
        <v>2</v>
      </c>
      <c r="T2838" cm="1">
        <f t="array" ref="T2838">IFERROR(_xlfn.SWITCH(L2838,1,_xlfn.XLOOKUP(O2838,[1]AttributeName!$B:$B,[1]AttributeName!$E:$E),2,_xlfn.XLOOKUP(C2838,#REF!,#REF!),3,_xlfn.XLOOKUP(C2838,#REF!,#REF!)),0)</f>
        <v>2</v>
      </c>
    </row>
    <row r="2839" customFormat="1" spans="1:20">
      <c r="A2839">
        <f t="shared" si="116"/>
        <v>1161</v>
      </c>
      <c r="B2839">
        <v>6</v>
      </c>
      <c r="C2839" t="s">
        <v>404</v>
      </c>
      <c r="D2839" t="s">
        <v>443</v>
      </c>
      <c r="E2839" t="s">
        <v>392</v>
      </c>
      <c r="F2839"/>
      <c r="G2839">
        <v>2</v>
      </c>
      <c r="H2839">
        <v>500</v>
      </c>
      <c r="I2839">
        <v>3</v>
      </c>
      <c r="J2839" cm="1">
        <f t="array" ref="J2839">_xlfn.SWITCH(B2839,1,75,2,61,3,49,4,37,5,25,6,13,7,4,8,1)</f>
        <v>13</v>
      </c>
      <c r="K2839" t="str" cm="1">
        <f t="array" ref="K2839">IFERROR(_xlfn.SWITCH(L2839,2,_xlfn.XLOOKUP(C2839,[1]ModifierDes!$B:$B,[1]ModifierDes!$C:$C),3,_xlfn.XLOOKUP(C2839,[1]StuntDes!$B:$B,[1]StuntDes!$C:$C)),"")</f>
        <v/>
      </c>
      <c r="L2839">
        <f t="shared" si="117"/>
        <v>1</v>
      </c>
      <c r="M2839" s="10" t="str">
        <f>IFERROR(_xlfn.XLOOKUP(C2839,[1]StuntDes!$B:$B,[1]StuntDes!$A:$A),"")</f>
        <v/>
      </c>
      <c r="N2839" s="10" t="str">
        <f>IFERROR(_xlfn.XLOOKUP(C2839,[1]ModifierDes!$B:$B,[1]ModifierDes!$A:$A),"")</f>
        <v/>
      </c>
      <c r="O2839" s="10">
        <f>IFERROR(_xlfn.XLOOKUP(C2839,[1]AttributeName!$C:$C,[1]AttributeName!$B:$B),"")</f>
        <v>10503</v>
      </c>
      <c r="P2839" s="10"/>
      <c r="Q2839">
        <v>0.1</v>
      </c>
      <c r="R2839">
        <v>0.13</v>
      </c>
      <c r="S2839" cm="1">
        <f t="array" ref="S2839">IFERROR(_xlfn.SWITCH(L2839,1,_xlfn.XLOOKUP(O2839,[1]AttributeName!$B:$B,[1]AttributeName!$D:$D),2,_xlfn.XLOOKUP(C2839,#REF!,#REF!),3,_xlfn.XLOOKUP(C2839,#REF!,#REF!)),0)</f>
        <v>2</v>
      </c>
      <c r="T2839" cm="1">
        <f t="array" ref="T2839">IFERROR(_xlfn.SWITCH(L2839,1,_xlfn.XLOOKUP(O2839,[1]AttributeName!$B:$B,[1]AttributeName!$E:$E),2,_xlfn.XLOOKUP(C2839,#REF!,#REF!),3,_xlfn.XLOOKUP(C2839,#REF!,#REF!)),0)</f>
        <v>2</v>
      </c>
    </row>
    <row r="2840" customFormat="1" spans="1:20">
      <c r="A2840">
        <f t="shared" si="116"/>
        <v>1161</v>
      </c>
      <c r="B2840">
        <v>7</v>
      </c>
      <c r="C2840" t="s">
        <v>404</v>
      </c>
      <c r="D2840" t="s">
        <v>443</v>
      </c>
      <c r="E2840" t="s">
        <v>392</v>
      </c>
      <c r="F2840"/>
      <c r="G2840">
        <v>2</v>
      </c>
      <c r="H2840">
        <v>500</v>
      </c>
      <c r="I2840">
        <v>3</v>
      </c>
      <c r="J2840" cm="1">
        <f t="array" ref="J2840">_xlfn.SWITCH(B2840,1,75,2,61,3,49,4,37,5,25,6,13,7,4,8,1)</f>
        <v>4</v>
      </c>
      <c r="K2840" t="str" cm="1">
        <f t="array" ref="K2840">IFERROR(_xlfn.SWITCH(L2840,2,_xlfn.XLOOKUP(C2840,[1]ModifierDes!$B:$B,[1]ModifierDes!$C:$C),3,_xlfn.XLOOKUP(C2840,[1]StuntDes!$B:$B,[1]StuntDes!$C:$C)),"")</f>
        <v/>
      </c>
      <c r="L2840">
        <f t="shared" si="117"/>
        <v>1</v>
      </c>
      <c r="M2840" s="10" t="str">
        <f>IFERROR(_xlfn.XLOOKUP(C2840,[1]StuntDes!$B:$B,[1]StuntDes!$A:$A),"")</f>
        <v/>
      </c>
      <c r="N2840" s="10" t="str">
        <f>IFERROR(_xlfn.XLOOKUP(C2840,[1]ModifierDes!$B:$B,[1]ModifierDes!$A:$A),"")</f>
        <v/>
      </c>
      <c r="O2840" s="10">
        <f>IFERROR(_xlfn.XLOOKUP(C2840,[1]AttributeName!$C:$C,[1]AttributeName!$B:$B),"")</f>
        <v>10503</v>
      </c>
      <c r="P2840" s="10"/>
      <c r="Q2840">
        <v>0.06</v>
      </c>
      <c r="R2840">
        <v>0.0900000000000001</v>
      </c>
      <c r="S2840" cm="1">
        <f t="array" ref="S2840">IFERROR(_xlfn.SWITCH(L2840,1,_xlfn.XLOOKUP(O2840,[1]AttributeName!$B:$B,[1]AttributeName!$D:$D),2,_xlfn.XLOOKUP(C2840,#REF!,#REF!),3,_xlfn.XLOOKUP(C2840,#REF!,#REF!)),0)</f>
        <v>2</v>
      </c>
      <c r="T2840" cm="1">
        <f t="array" ref="T2840">IFERROR(_xlfn.SWITCH(L2840,1,_xlfn.XLOOKUP(O2840,[1]AttributeName!$B:$B,[1]AttributeName!$E:$E),2,_xlfn.XLOOKUP(C2840,#REF!,#REF!),3,_xlfn.XLOOKUP(C2840,#REF!,#REF!)),0)</f>
        <v>2</v>
      </c>
    </row>
    <row r="2841" customFormat="1" spans="1:20">
      <c r="A2841">
        <f t="shared" si="116"/>
        <v>1161</v>
      </c>
      <c r="B2841">
        <v>8</v>
      </c>
      <c r="C2841" t="s">
        <v>404</v>
      </c>
      <c r="D2841" t="s">
        <v>443</v>
      </c>
      <c r="E2841" t="s">
        <v>392</v>
      </c>
      <c r="F2841"/>
      <c r="G2841">
        <v>2</v>
      </c>
      <c r="H2841">
        <v>500</v>
      </c>
      <c r="I2841">
        <v>3</v>
      </c>
      <c r="J2841" cm="1">
        <f t="array" ref="J2841">_xlfn.SWITCH(B2841,1,75,2,61,3,49,4,37,5,25,6,13,7,4,8,1)</f>
        <v>1</v>
      </c>
      <c r="K2841" t="str" cm="1">
        <f t="array" ref="K2841">IFERROR(_xlfn.SWITCH(L2841,2,_xlfn.XLOOKUP(C2841,[1]ModifierDes!$B:$B,[1]ModifierDes!$C:$C),3,_xlfn.XLOOKUP(C2841,[1]StuntDes!$B:$B,[1]StuntDes!$C:$C)),"")</f>
        <v/>
      </c>
      <c r="L2841">
        <f t="shared" si="117"/>
        <v>1</v>
      </c>
      <c r="M2841" s="10" t="str">
        <f>IFERROR(_xlfn.XLOOKUP(C2841,[1]StuntDes!$B:$B,[1]StuntDes!$A:$A),"")</f>
        <v/>
      </c>
      <c r="N2841" s="10" t="str">
        <f>IFERROR(_xlfn.XLOOKUP(C2841,[1]ModifierDes!$B:$B,[1]ModifierDes!$A:$A),"")</f>
        <v/>
      </c>
      <c r="O2841" s="10">
        <f>IFERROR(_xlfn.XLOOKUP(C2841,[1]AttributeName!$C:$C,[1]AttributeName!$B:$B),"")</f>
        <v>10503</v>
      </c>
      <c r="P2841" s="10"/>
      <c r="Q2841">
        <v>0.02</v>
      </c>
      <c r="R2841">
        <v>0.0500000000000001</v>
      </c>
      <c r="S2841" cm="1">
        <f t="array" ref="S2841">IFERROR(_xlfn.SWITCH(L2841,1,_xlfn.XLOOKUP(O2841,[1]AttributeName!$B:$B,[1]AttributeName!$D:$D),2,_xlfn.XLOOKUP(C2841,#REF!,#REF!),3,_xlfn.XLOOKUP(C2841,#REF!,#REF!)),0)</f>
        <v>2</v>
      </c>
      <c r="T2841" cm="1">
        <f t="array" ref="T2841">IFERROR(_xlfn.SWITCH(L2841,1,_xlfn.XLOOKUP(O2841,[1]AttributeName!$B:$B,[1]AttributeName!$E:$E),2,_xlfn.XLOOKUP(C2841,#REF!,#REF!),3,_xlfn.XLOOKUP(C2841,#REF!,#REF!)),0)</f>
        <v>2</v>
      </c>
    </row>
    <row r="2842" customFormat="1" spans="1:20">
      <c r="A2842">
        <f t="shared" si="116"/>
        <v>1162</v>
      </c>
      <c r="B2842">
        <v>1</v>
      </c>
      <c r="C2842" t="s">
        <v>405</v>
      </c>
      <c r="D2842" t="s">
        <v>443</v>
      </c>
      <c r="E2842" t="s">
        <v>392</v>
      </c>
      <c r="F2842"/>
      <c r="G2842">
        <v>2</v>
      </c>
      <c r="H2842">
        <v>50</v>
      </c>
      <c r="I2842">
        <v>3</v>
      </c>
      <c r="J2842" cm="1">
        <f t="array" ref="J2842">_xlfn.SWITCH(B2842,1,75,2,61,3,49,4,37,5,25,6,13,7,4,8,1)</f>
        <v>75</v>
      </c>
      <c r="K2842" t="str" cm="1">
        <f t="array" ref="K2842">IFERROR(_xlfn.SWITCH(L2842,2,_xlfn.XLOOKUP(C2842,[1]ModifierDes!$B:$B,[1]ModifierDes!$C:$C),3,_xlfn.XLOOKUP(C2842,[1]StuntDes!$B:$B,[1]StuntDes!$C:$C)),"")</f>
        <v/>
      </c>
      <c r="L2842">
        <f t="shared" si="117"/>
        <v>1</v>
      </c>
      <c r="M2842" s="10" t="str">
        <f>IFERROR(_xlfn.XLOOKUP(C2842,[1]StuntDes!$B:$B,[1]StuntDes!$A:$A),"")</f>
        <v/>
      </c>
      <c r="N2842" s="10" t="str">
        <f>IFERROR(_xlfn.XLOOKUP(C2842,[1]ModifierDes!$B:$B,[1]ModifierDes!$A:$A),"")</f>
        <v/>
      </c>
      <c r="O2842" s="10">
        <f>IFERROR(_xlfn.XLOOKUP(C2842,[1]AttributeName!$C:$C,[1]AttributeName!$B:$B),"")</f>
        <v>10504</v>
      </c>
      <c r="P2842" s="10"/>
      <c r="Q2842">
        <v>0.3</v>
      </c>
      <c r="R2842">
        <v>0.4</v>
      </c>
      <c r="S2842" cm="1">
        <f t="array" ref="S2842">IFERROR(_xlfn.SWITCH(L2842,1,_xlfn.XLOOKUP(O2842,[1]AttributeName!$B:$B,[1]AttributeName!$D:$D),2,_xlfn.XLOOKUP(C2842,#REF!,#REF!),3,_xlfn.XLOOKUP(C2842,#REF!,#REF!)),0)</f>
        <v>2</v>
      </c>
      <c r="T2842" cm="1">
        <f t="array" ref="T2842">IFERROR(_xlfn.SWITCH(L2842,1,_xlfn.XLOOKUP(O2842,[1]AttributeName!$B:$B,[1]AttributeName!$E:$E),2,_xlfn.XLOOKUP(C2842,#REF!,#REF!),3,_xlfn.XLOOKUP(C2842,#REF!,#REF!)),0)</f>
        <v>2</v>
      </c>
    </row>
    <row r="2843" customFormat="1" spans="1:20">
      <c r="A2843">
        <f t="shared" si="116"/>
        <v>1162</v>
      </c>
      <c r="B2843">
        <v>2</v>
      </c>
      <c r="C2843" t="s">
        <v>405</v>
      </c>
      <c r="D2843" t="s">
        <v>443</v>
      </c>
      <c r="E2843" t="s">
        <v>392</v>
      </c>
      <c r="F2843"/>
      <c r="G2843">
        <v>2</v>
      </c>
      <c r="H2843">
        <v>100</v>
      </c>
      <c r="I2843">
        <v>3</v>
      </c>
      <c r="J2843" cm="1">
        <f t="array" ref="J2843">_xlfn.SWITCH(B2843,1,75,2,61,3,49,4,37,5,25,6,13,7,4,8,1)</f>
        <v>61</v>
      </c>
      <c r="K2843" t="str" cm="1">
        <f t="array" ref="K2843">IFERROR(_xlfn.SWITCH(L2843,2,_xlfn.XLOOKUP(C2843,[1]ModifierDes!$B:$B,[1]ModifierDes!$C:$C),3,_xlfn.XLOOKUP(C2843,[1]StuntDes!$B:$B,[1]StuntDes!$C:$C)),"")</f>
        <v/>
      </c>
      <c r="L2843">
        <f t="shared" si="117"/>
        <v>1</v>
      </c>
      <c r="M2843" s="10" t="str">
        <f>IFERROR(_xlfn.XLOOKUP(C2843,[1]StuntDes!$B:$B,[1]StuntDes!$A:$A),"")</f>
        <v/>
      </c>
      <c r="N2843" s="10" t="str">
        <f>IFERROR(_xlfn.XLOOKUP(C2843,[1]ModifierDes!$B:$B,[1]ModifierDes!$A:$A),"")</f>
        <v/>
      </c>
      <c r="O2843" s="10">
        <f>IFERROR(_xlfn.XLOOKUP(C2843,[1]AttributeName!$C:$C,[1]AttributeName!$B:$B),"")</f>
        <v>10504</v>
      </c>
      <c r="P2843" s="10"/>
      <c r="Q2843">
        <v>0.26</v>
      </c>
      <c r="R2843">
        <v>0.29</v>
      </c>
      <c r="S2843" cm="1">
        <f t="array" ref="S2843">IFERROR(_xlfn.SWITCH(L2843,1,_xlfn.XLOOKUP(O2843,[1]AttributeName!$B:$B,[1]AttributeName!$D:$D),2,_xlfn.XLOOKUP(C2843,#REF!,#REF!),3,_xlfn.XLOOKUP(C2843,#REF!,#REF!)),0)</f>
        <v>2</v>
      </c>
      <c r="T2843" cm="1">
        <f t="array" ref="T2843">IFERROR(_xlfn.SWITCH(L2843,1,_xlfn.XLOOKUP(O2843,[1]AttributeName!$B:$B,[1]AttributeName!$E:$E),2,_xlfn.XLOOKUP(C2843,#REF!,#REF!),3,_xlfn.XLOOKUP(C2843,#REF!,#REF!)),0)</f>
        <v>2</v>
      </c>
    </row>
    <row r="2844" customFormat="1" spans="1:20">
      <c r="A2844">
        <f t="shared" si="116"/>
        <v>1162</v>
      </c>
      <c r="B2844">
        <v>3</v>
      </c>
      <c r="C2844" t="s">
        <v>405</v>
      </c>
      <c r="D2844" t="s">
        <v>443</v>
      </c>
      <c r="E2844" t="s">
        <v>392</v>
      </c>
      <c r="F2844"/>
      <c r="G2844">
        <v>2</v>
      </c>
      <c r="H2844">
        <v>250</v>
      </c>
      <c r="I2844">
        <v>3</v>
      </c>
      <c r="J2844" cm="1">
        <f t="array" ref="J2844">_xlfn.SWITCH(B2844,1,75,2,61,3,49,4,37,5,25,6,13,7,4,8,1)</f>
        <v>49</v>
      </c>
      <c r="K2844" t="str" cm="1">
        <f t="array" ref="K2844">IFERROR(_xlfn.SWITCH(L2844,2,_xlfn.XLOOKUP(C2844,[1]ModifierDes!$B:$B,[1]ModifierDes!$C:$C),3,_xlfn.XLOOKUP(C2844,[1]StuntDes!$B:$B,[1]StuntDes!$C:$C)),"")</f>
        <v/>
      </c>
      <c r="L2844">
        <f t="shared" si="117"/>
        <v>1</v>
      </c>
      <c r="M2844" s="10" t="str">
        <f>IFERROR(_xlfn.XLOOKUP(C2844,[1]StuntDes!$B:$B,[1]StuntDes!$A:$A),"")</f>
        <v/>
      </c>
      <c r="N2844" s="10" t="str">
        <f>IFERROR(_xlfn.XLOOKUP(C2844,[1]ModifierDes!$B:$B,[1]ModifierDes!$A:$A),"")</f>
        <v/>
      </c>
      <c r="O2844" s="10">
        <f>IFERROR(_xlfn.XLOOKUP(C2844,[1]AttributeName!$C:$C,[1]AttributeName!$B:$B),"")</f>
        <v>10504</v>
      </c>
      <c r="P2844" s="10"/>
      <c r="Q2844">
        <v>0.22</v>
      </c>
      <c r="R2844">
        <v>0.25</v>
      </c>
      <c r="S2844" cm="1">
        <f t="array" ref="S2844">IFERROR(_xlfn.SWITCH(L2844,1,_xlfn.XLOOKUP(O2844,[1]AttributeName!$B:$B,[1]AttributeName!$D:$D),2,_xlfn.XLOOKUP(C2844,#REF!,#REF!),3,_xlfn.XLOOKUP(C2844,#REF!,#REF!)),0)</f>
        <v>2</v>
      </c>
      <c r="T2844" cm="1">
        <f t="array" ref="T2844">IFERROR(_xlfn.SWITCH(L2844,1,_xlfn.XLOOKUP(O2844,[1]AttributeName!$B:$B,[1]AttributeName!$E:$E),2,_xlfn.XLOOKUP(C2844,#REF!,#REF!),3,_xlfn.XLOOKUP(C2844,#REF!,#REF!)),0)</f>
        <v>2</v>
      </c>
    </row>
    <row r="2845" customFormat="1" spans="1:20">
      <c r="A2845">
        <f t="shared" si="116"/>
        <v>1162</v>
      </c>
      <c r="B2845">
        <v>4</v>
      </c>
      <c r="C2845" t="s">
        <v>405</v>
      </c>
      <c r="D2845" t="s">
        <v>443</v>
      </c>
      <c r="E2845" t="s">
        <v>392</v>
      </c>
      <c r="F2845"/>
      <c r="G2845">
        <v>2</v>
      </c>
      <c r="H2845">
        <v>500</v>
      </c>
      <c r="I2845">
        <v>3</v>
      </c>
      <c r="J2845" cm="1">
        <f t="array" ref="J2845">_xlfn.SWITCH(B2845,1,75,2,61,3,49,4,37,5,25,6,13,7,4,8,1)</f>
        <v>37</v>
      </c>
      <c r="K2845" t="str" cm="1">
        <f t="array" ref="K2845">IFERROR(_xlfn.SWITCH(L2845,2,_xlfn.XLOOKUP(C2845,[1]ModifierDes!$B:$B,[1]ModifierDes!$C:$C),3,_xlfn.XLOOKUP(C2845,[1]StuntDes!$B:$B,[1]StuntDes!$C:$C)),"")</f>
        <v/>
      </c>
      <c r="L2845">
        <f t="shared" si="117"/>
        <v>1</v>
      </c>
      <c r="M2845" s="10" t="str">
        <f>IFERROR(_xlfn.XLOOKUP(C2845,[1]StuntDes!$B:$B,[1]StuntDes!$A:$A),"")</f>
        <v/>
      </c>
      <c r="N2845" s="10" t="str">
        <f>IFERROR(_xlfn.XLOOKUP(C2845,[1]ModifierDes!$B:$B,[1]ModifierDes!$A:$A),"")</f>
        <v/>
      </c>
      <c r="O2845" s="10">
        <f>IFERROR(_xlfn.XLOOKUP(C2845,[1]AttributeName!$C:$C,[1]AttributeName!$B:$B),"")</f>
        <v>10504</v>
      </c>
      <c r="P2845" s="10"/>
      <c r="Q2845">
        <v>0.18</v>
      </c>
      <c r="R2845">
        <v>0.21</v>
      </c>
      <c r="S2845" cm="1">
        <f t="array" ref="S2845">IFERROR(_xlfn.SWITCH(L2845,1,_xlfn.XLOOKUP(O2845,[1]AttributeName!$B:$B,[1]AttributeName!$D:$D),2,_xlfn.XLOOKUP(C2845,#REF!,#REF!),3,_xlfn.XLOOKUP(C2845,#REF!,#REF!)),0)</f>
        <v>2</v>
      </c>
      <c r="T2845" cm="1">
        <f t="array" ref="T2845">IFERROR(_xlfn.SWITCH(L2845,1,_xlfn.XLOOKUP(O2845,[1]AttributeName!$B:$B,[1]AttributeName!$E:$E),2,_xlfn.XLOOKUP(C2845,#REF!,#REF!),3,_xlfn.XLOOKUP(C2845,#REF!,#REF!)),0)</f>
        <v>2</v>
      </c>
    </row>
    <row r="2846" customFormat="1" spans="1:20">
      <c r="A2846">
        <f t="shared" si="116"/>
        <v>1162</v>
      </c>
      <c r="B2846">
        <v>5</v>
      </c>
      <c r="C2846" t="s">
        <v>405</v>
      </c>
      <c r="D2846" t="s">
        <v>443</v>
      </c>
      <c r="E2846" t="s">
        <v>392</v>
      </c>
      <c r="F2846"/>
      <c r="G2846">
        <v>2</v>
      </c>
      <c r="H2846">
        <v>500</v>
      </c>
      <c r="I2846">
        <v>3</v>
      </c>
      <c r="J2846" cm="1">
        <f t="array" ref="J2846">_xlfn.SWITCH(B2846,1,75,2,61,3,49,4,37,5,25,6,13,7,4,8,1)</f>
        <v>25</v>
      </c>
      <c r="K2846" t="str" cm="1">
        <f t="array" ref="K2846">IFERROR(_xlfn.SWITCH(L2846,2,_xlfn.XLOOKUP(C2846,[1]ModifierDes!$B:$B,[1]ModifierDes!$C:$C),3,_xlfn.XLOOKUP(C2846,[1]StuntDes!$B:$B,[1]StuntDes!$C:$C)),"")</f>
        <v/>
      </c>
      <c r="L2846">
        <f t="shared" si="117"/>
        <v>1</v>
      </c>
      <c r="M2846" s="10" t="str">
        <f>IFERROR(_xlfn.XLOOKUP(C2846,[1]StuntDes!$B:$B,[1]StuntDes!$A:$A),"")</f>
        <v/>
      </c>
      <c r="N2846" s="10" t="str">
        <f>IFERROR(_xlfn.XLOOKUP(C2846,[1]ModifierDes!$B:$B,[1]ModifierDes!$A:$A),"")</f>
        <v/>
      </c>
      <c r="O2846" s="10">
        <f>IFERROR(_xlfn.XLOOKUP(C2846,[1]AttributeName!$C:$C,[1]AttributeName!$B:$B),"")</f>
        <v>10504</v>
      </c>
      <c r="P2846" s="10"/>
      <c r="Q2846">
        <v>0.14</v>
      </c>
      <c r="R2846">
        <v>0.17</v>
      </c>
      <c r="S2846" cm="1">
        <f t="array" ref="S2846">IFERROR(_xlfn.SWITCH(L2846,1,_xlfn.XLOOKUP(O2846,[1]AttributeName!$B:$B,[1]AttributeName!$D:$D),2,_xlfn.XLOOKUP(C2846,#REF!,#REF!),3,_xlfn.XLOOKUP(C2846,#REF!,#REF!)),0)</f>
        <v>2</v>
      </c>
      <c r="T2846" cm="1">
        <f t="array" ref="T2846">IFERROR(_xlfn.SWITCH(L2846,1,_xlfn.XLOOKUP(O2846,[1]AttributeName!$B:$B,[1]AttributeName!$E:$E),2,_xlfn.XLOOKUP(C2846,#REF!,#REF!),3,_xlfn.XLOOKUP(C2846,#REF!,#REF!)),0)</f>
        <v>2</v>
      </c>
    </row>
    <row r="2847" customFormat="1" spans="1:20">
      <c r="A2847">
        <f t="shared" si="116"/>
        <v>1162</v>
      </c>
      <c r="B2847">
        <v>6</v>
      </c>
      <c r="C2847" t="s">
        <v>405</v>
      </c>
      <c r="D2847" t="s">
        <v>443</v>
      </c>
      <c r="E2847" t="s">
        <v>392</v>
      </c>
      <c r="F2847"/>
      <c r="G2847">
        <v>2</v>
      </c>
      <c r="H2847">
        <v>500</v>
      </c>
      <c r="I2847">
        <v>3</v>
      </c>
      <c r="J2847" cm="1">
        <f t="array" ref="J2847">_xlfn.SWITCH(B2847,1,75,2,61,3,49,4,37,5,25,6,13,7,4,8,1)</f>
        <v>13</v>
      </c>
      <c r="K2847" t="str" cm="1">
        <f t="array" ref="K2847">IFERROR(_xlfn.SWITCH(L2847,2,_xlfn.XLOOKUP(C2847,[1]ModifierDes!$B:$B,[1]ModifierDes!$C:$C),3,_xlfn.XLOOKUP(C2847,[1]StuntDes!$B:$B,[1]StuntDes!$C:$C)),"")</f>
        <v/>
      </c>
      <c r="L2847">
        <f t="shared" si="117"/>
        <v>1</v>
      </c>
      <c r="M2847" s="10" t="str">
        <f>IFERROR(_xlfn.XLOOKUP(C2847,[1]StuntDes!$B:$B,[1]StuntDes!$A:$A),"")</f>
        <v/>
      </c>
      <c r="N2847" s="10" t="str">
        <f>IFERROR(_xlfn.XLOOKUP(C2847,[1]ModifierDes!$B:$B,[1]ModifierDes!$A:$A),"")</f>
        <v/>
      </c>
      <c r="O2847" s="10">
        <f>IFERROR(_xlfn.XLOOKUP(C2847,[1]AttributeName!$C:$C,[1]AttributeName!$B:$B),"")</f>
        <v>10504</v>
      </c>
      <c r="P2847" s="10"/>
      <c r="Q2847">
        <v>0.1</v>
      </c>
      <c r="R2847">
        <v>0.13</v>
      </c>
      <c r="S2847" cm="1">
        <f t="array" ref="S2847">IFERROR(_xlfn.SWITCH(L2847,1,_xlfn.XLOOKUP(O2847,[1]AttributeName!$B:$B,[1]AttributeName!$D:$D),2,_xlfn.XLOOKUP(C2847,#REF!,#REF!),3,_xlfn.XLOOKUP(C2847,#REF!,#REF!)),0)</f>
        <v>2</v>
      </c>
      <c r="T2847" cm="1">
        <f t="array" ref="T2847">IFERROR(_xlfn.SWITCH(L2847,1,_xlfn.XLOOKUP(O2847,[1]AttributeName!$B:$B,[1]AttributeName!$E:$E),2,_xlfn.XLOOKUP(C2847,#REF!,#REF!),3,_xlfn.XLOOKUP(C2847,#REF!,#REF!)),0)</f>
        <v>2</v>
      </c>
    </row>
    <row r="2848" customFormat="1" spans="1:20">
      <c r="A2848">
        <f t="shared" si="116"/>
        <v>1162</v>
      </c>
      <c r="B2848">
        <v>7</v>
      </c>
      <c r="C2848" t="s">
        <v>405</v>
      </c>
      <c r="D2848" t="s">
        <v>443</v>
      </c>
      <c r="E2848" t="s">
        <v>392</v>
      </c>
      <c r="F2848"/>
      <c r="G2848">
        <v>2</v>
      </c>
      <c r="H2848">
        <v>500</v>
      </c>
      <c r="I2848">
        <v>3</v>
      </c>
      <c r="J2848" cm="1">
        <f t="array" ref="J2848">_xlfn.SWITCH(B2848,1,75,2,61,3,49,4,37,5,25,6,13,7,4,8,1)</f>
        <v>4</v>
      </c>
      <c r="K2848" t="str" cm="1">
        <f t="array" ref="K2848">IFERROR(_xlfn.SWITCH(L2848,2,_xlfn.XLOOKUP(C2848,[1]ModifierDes!$B:$B,[1]ModifierDes!$C:$C),3,_xlfn.XLOOKUP(C2848,[1]StuntDes!$B:$B,[1]StuntDes!$C:$C)),"")</f>
        <v/>
      </c>
      <c r="L2848">
        <f t="shared" si="117"/>
        <v>1</v>
      </c>
      <c r="M2848" s="10" t="str">
        <f>IFERROR(_xlfn.XLOOKUP(C2848,[1]StuntDes!$B:$B,[1]StuntDes!$A:$A),"")</f>
        <v/>
      </c>
      <c r="N2848" s="10" t="str">
        <f>IFERROR(_xlfn.XLOOKUP(C2848,[1]ModifierDes!$B:$B,[1]ModifierDes!$A:$A),"")</f>
        <v/>
      </c>
      <c r="O2848" s="10">
        <f>IFERROR(_xlfn.XLOOKUP(C2848,[1]AttributeName!$C:$C,[1]AttributeName!$B:$B),"")</f>
        <v>10504</v>
      </c>
      <c r="P2848" s="10"/>
      <c r="Q2848">
        <v>0.06</v>
      </c>
      <c r="R2848">
        <v>0.0900000000000001</v>
      </c>
      <c r="S2848" cm="1">
        <f t="array" ref="S2848">IFERROR(_xlfn.SWITCH(L2848,1,_xlfn.XLOOKUP(O2848,[1]AttributeName!$B:$B,[1]AttributeName!$D:$D),2,_xlfn.XLOOKUP(C2848,#REF!,#REF!),3,_xlfn.XLOOKUP(C2848,#REF!,#REF!)),0)</f>
        <v>2</v>
      </c>
      <c r="T2848" cm="1">
        <f t="array" ref="T2848">IFERROR(_xlfn.SWITCH(L2848,1,_xlfn.XLOOKUP(O2848,[1]AttributeName!$B:$B,[1]AttributeName!$E:$E),2,_xlfn.XLOOKUP(C2848,#REF!,#REF!),3,_xlfn.XLOOKUP(C2848,#REF!,#REF!)),0)</f>
        <v>2</v>
      </c>
    </row>
    <row r="2849" customFormat="1" spans="1:20">
      <c r="A2849">
        <f t="shared" si="116"/>
        <v>1162</v>
      </c>
      <c r="B2849">
        <v>8</v>
      </c>
      <c r="C2849" t="s">
        <v>405</v>
      </c>
      <c r="D2849" t="s">
        <v>443</v>
      </c>
      <c r="E2849" t="s">
        <v>392</v>
      </c>
      <c r="F2849"/>
      <c r="G2849">
        <v>2</v>
      </c>
      <c r="H2849">
        <v>500</v>
      </c>
      <c r="I2849">
        <v>3</v>
      </c>
      <c r="J2849" cm="1">
        <f t="array" ref="J2849">_xlfn.SWITCH(B2849,1,75,2,61,3,49,4,37,5,25,6,13,7,4,8,1)</f>
        <v>1</v>
      </c>
      <c r="K2849" t="str" cm="1">
        <f t="array" ref="K2849">IFERROR(_xlfn.SWITCH(L2849,2,_xlfn.XLOOKUP(C2849,[1]ModifierDes!$B:$B,[1]ModifierDes!$C:$C),3,_xlfn.XLOOKUP(C2849,[1]StuntDes!$B:$B,[1]StuntDes!$C:$C)),"")</f>
        <v/>
      </c>
      <c r="L2849">
        <f t="shared" si="117"/>
        <v>1</v>
      </c>
      <c r="M2849" s="10" t="str">
        <f>IFERROR(_xlfn.XLOOKUP(C2849,[1]StuntDes!$B:$B,[1]StuntDes!$A:$A),"")</f>
        <v/>
      </c>
      <c r="N2849" s="10" t="str">
        <f>IFERROR(_xlfn.XLOOKUP(C2849,[1]ModifierDes!$B:$B,[1]ModifierDes!$A:$A),"")</f>
        <v/>
      </c>
      <c r="O2849" s="10">
        <f>IFERROR(_xlfn.XLOOKUP(C2849,[1]AttributeName!$C:$C,[1]AttributeName!$B:$B),"")</f>
        <v>10504</v>
      </c>
      <c r="P2849" s="10"/>
      <c r="Q2849">
        <v>0.02</v>
      </c>
      <c r="R2849">
        <v>0.0500000000000001</v>
      </c>
      <c r="S2849" cm="1">
        <f t="array" ref="S2849">IFERROR(_xlfn.SWITCH(L2849,1,_xlfn.XLOOKUP(O2849,[1]AttributeName!$B:$B,[1]AttributeName!$D:$D),2,_xlfn.XLOOKUP(C2849,#REF!,#REF!),3,_xlfn.XLOOKUP(C2849,#REF!,#REF!)),0)</f>
        <v>2</v>
      </c>
      <c r="T2849" cm="1">
        <f t="array" ref="T2849">IFERROR(_xlfn.SWITCH(L2849,1,_xlfn.XLOOKUP(O2849,[1]AttributeName!$B:$B,[1]AttributeName!$E:$E),2,_xlfn.XLOOKUP(C2849,#REF!,#REF!),3,_xlfn.XLOOKUP(C2849,#REF!,#REF!)),0)</f>
        <v>2</v>
      </c>
    </row>
    <row r="2850" customFormat="1" spans="1:20">
      <c r="A2850">
        <f t="shared" si="116"/>
        <v>1163</v>
      </c>
      <c r="B2850">
        <v>1</v>
      </c>
      <c r="C2850" t="s">
        <v>414</v>
      </c>
      <c r="D2850" t="s">
        <v>443</v>
      </c>
      <c r="E2850" t="s">
        <v>392</v>
      </c>
      <c r="F2850"/>
      <c r="G2850">
        <v>2</v>
      </c>
      <c r="H2850">
        <v>50</v>
      </c>
      <c r="I2850">
        <v>3</v>
      </c>
      <c r="J2850" cm="1">
        <f t="array" ref="J2850">_xlfn.SWITCH(B2850,1,75,2,61,3,49,4,37,5,25,6,13,7,4,8,1)</f>
        <v>75</v>
      </c>
      <c r="K2850" t="str" cm="1">
        <f t="array" ref="K2850">IFERROR(_xlfn.SWITCH(L2850,2,_xlfn.XLOOKUP(C2850,[1]ModifierDes!$B:$B,[1]ModifierDes!$C:$C),3,_xlfn.XLOOKUP(C2850,[1]StuntDes!$B:$B,[1]StuntDes!$C:$C)),"")</f>
        <v/>
      </c>
      <c r="L2850">
        <f t="shared" si="117"/>
        <v>1</v>
      </c>
      <c r="M2850" s="10" t="str">
        <f>IFERROR(_xlfn.XLOOKUP(C2850,[1]StuntDes!$B:$B,[1]StuntDes!$A:$A),"")</f>
        <v/>
      </c>
      <c r="N2850" s="10" t="str">
        <f>IFERROR(_xlfn.XLOOKUP(C2850,[1]ModifierDes!$B:$B,[1]ModifierDes!$A:$A),"")</f>
        <v/>
      </c>
      <c r="O2850" s="10">
        <f>IFERROR(_xlfn.XLOOKUP(C2850,[1]AttributeName!$C:$C,[1]AttributeName!$B:$B),"")</f>
        <v>10900</v>
      </c>
      <c r="P2850" s="10"/>
      <c r="Q2850">
        <v>15</v>
      </c>
      <c r="R2850">
        <v>16</v>
      </c>
      <c r="S2850" cm="1">
        <f t="array" ref="S2850">IFERROR(_xlfn.SWITCH(L2850,1,_xlfn.XLOOKUP(O2850,[1]AttributeName!$B:$B,[1]AttributeName!$D:$D),2,_xlfn.XLOOKUP(C2850,#REF!,#REF!),3,_xlfn.XLOOKUP(C2850,#REF!,#REF!)),0)</f>
        <v>0</v>
      </c>
      <c r="T2850" cm="1">
        <f t="array" ref="T2850">IFERROR(_xlfn.SWITCH(L2850,1,_xlfn.XLOOKUP(O2850,[1]AttributeName!$B:$B,[1]AttributeName!$E:$E),2,_xlfn.XLOOKUP(C2850,#REF!,#REF!),3,_xlfn.XLOOKUP(C2850,#REF!,#REF!)),0)</f>
        <v>1</v>
      </c>
    </row>
    <row r="2851" customFormat="1" spans="1:20">
      <c r="A2851">
        <f t="shared" si="116"/>
        <v>1163</v>
      </c>
      <c r="B2851">
        <v>2</v>
      </c>
      <c r="C2851" t="s">
        <v>414</v>
      </c>
      <c r="D2851" t="s">
        <v>443</v>
      </c>
      <c r="E2851" t="s">
        <v>392</v>
      </c>
      <c r="F2851"/>
      <c r="G2851">
        <v>2</v>
      </c>
      <c r="H2851">
        <v>100</v>
      </c>
      <c r="I2851">
        <v>3</v>
      </c>
      <c r="J2851" cm="1">
        <f t="array" ref="J2851">_xlfn.SWITCH(B2851,1,75,2,61,3,49,4,37,5,25,6,13,7,4,8,1)</f>
        <v>61</v>
      </c>
      <c r="K2851" t="str" cm="1">
        <f t="array" ref="K2851">IFERROR(_xlfn.SWITCH(L2851,2,_xlfn.XLOOKUP(C2851,[1]ModifierDes!$B:$B,[1]ModifierDes!$C:$C),3,_xlfn.XLOOKUP(C2851,[1]StuntDes!$B:$B,[1]StuntDes!$C:$C)),"")</f>
        <v/>
      </c>
      <c r="L2851">
        <f t="shared" si="117"/>
        <v>1</v>
      </c>
      <c r="M2851" s="10" t="str">
        <f>IFERROR(_xlfn.XLOOKUP(C2851,[1]StuntDes!$B:$B,[1]StuntDes!$A:$A),"")</f>
        <v/>
      </c>
      <c r="N2851" s="10" t="str">
        <f>IFERROR(_xlfn.XLOOKUP(C2851,[1]ModifierDes!$B:$B,[1]ModifierDes!$A:$A),"")</f>
        <v/>
      </c>
      <c r="O2851" s="10">
        <f>IFERROR(_xlfn.XLOOKUP(C2851,[1]AttributeName!$C:$C,[1]AttributeName!$B:$B),"")</f>
        <v>10900</v>
      </c>
      <c r="P2851" s="10"/>
      <c r="Q2851">
        <v>13</v>
      </c>
      <c r="R2851">
        <v>14</v>
      </c>
      <c r="S2851" cm="1">
        <f t="array" ref="S2851">IFERROR(_xlfn.SWITCH(L2851,1,_xlfn.XLOOKUP(O2851,[1]AttributeName!$B:$B,[1]AttributeName!$D:$D),2,_xlfn.XLOOKUP(C2851,#REF!,#REF!),3,_xlfn.XLOOKUP(C2851,#REF!,#REF!)),0)</f>
        <v>0</v>
      </c>
      <c r="T2851" cm="1">
        <f t="array" ref="T2851">IFERROR(_xlfn.SWITCH(L2851,1,_xlfn.XLOOKUP(O2851,[1]AttributeName!$B:$B,[1]AttributeName!$E:$E),2,_xlfn.XLOOKUP(C2851,#REF!,#REF!),3,_xlfn.XLOOKUP(C2851,#REF!,#REF!)),0)</f>
        <v>1</v>
      </c>
    </row>
    <row r="2852" customFormat="1" spans="1:20">
      <c r="A2852">
        <f t="shared" si="116"/>
        <v>1163</v>
      </c>
      <c r="B2852">
        <v>3</v>
      </c>
      <c r="C2852" t="s">
        <v>414</v>
      </c>
      <c r="D2852" t="s">
        <v>443</v>
      </c>
      <c r="E2852" t="s">
        <v>392</v>
      </c>
      <c r="F2852"/>
      <c r="G2852">
        <v>2</v>
      </c>
      <c r="H2852">
        <v>250</v>
      </c>
      <c r="I2852">
        <v>3</v>
      </c>
      <c r="J2852" cm="1">
        <f t="array" ref="J2852">_xlfn.SWITCH(B2852,1,75,2,61,3,49,4,37,5,25,6,13,7,4,8,1)</f>
        <v>49</v>
      </c>
      <c r="K2852" t="str" cm="1">
        <f t="array" ref="K2852">IFERROR(_xlfn.SWITCH(L2852,2,_xlfn.XLOOKUP(C2852,[1]ModifierDes!$B:$B,[1]ModifierDes!$C:$C),3,_xlfn.XLOOKUP(C2852,[1]StuntDes!$B:$B,[1]StuntDes!$C:$C)),"")</f>
        <v/>
      </c>
      <c r="L2852">
        <f t="shared" si="117"/>
        <v>1</v>
      </c>
      <c r="M2852" s="10" t="str">
        <f>IFERROR(_xlfn.XLOOKUP(C2852,[1]StuntDes!$B:$B,[1]StuntDes!$A:$A),"")</f>
        <v/>
      </c>
      <c r="N2852" s="10" t="str">
        <f>IFERROR(_xlfn.XLOOKUP(C2852,[1]ModifierDes!$B:$B,[1]ModifierDes!$A:$A),"")</f>
        <v/>
      </c>
      <c r="O2852" s="10">
        <f>IFERROR(_xlfn.XLOOKUP(C2852,[1]AttributeName!$C:$C,[1]AttributeName!$B:$B),"")</f>
        <v>10900</v>
      </c>
      <c r="P2852" s="10"/>
      <c r="Q2852">
        <v>11</v>
      </c>
      <c r="R2852">
        <v>12</v>
      </c>
      <c r="S2852" cm="1">
        <f t="array" ref="S2852">IFERROR(_xlfn.SWITCH(L2852,1,_xlfn.XLOOKUP(O2852,[1]AttributeName!$B:$B,[1]AttributeName!$D:$D),2,_xlfn.XLOOKUP(C2852,#REF!,#REF!),3,_xlfn.XLOOKUP(C2852,#REF!,#REF!)),0)</f>
        <v>0</v>
      </c>
      <c r="T2852" cm="1">
        <f t="array" ref="T2852">IFERROR(_xlfn.SWITCH(L2852,1,_xlfn.XLOOKUP(O2852,[1]AttributeName!$B:$B,[1]AttributeName!$E:$E),2,_xlfn.XLOOKUP(C2852,#REF!,#REF!),3,_xlfn.XLOOKUP(C2852,#REF!,#REF!)),0)</f>
        <v>1</v>
      </c>
    </row>
    <row r="2853" customFormat="1" spans="1:20">
      <c r="A2853">
        <f t="shared" si="116"/>
        <v>1163</v>
      </c>
      <c r="B2853">
        <v>4</v>
      </c>
      <c r="C2853" t="s">
        <v>414</v>
      </c>
      <c r="D2853" t="s">
        <v>443</v>
      </c>
      <c r="E2853" t="s">
        <v>392</v>
      </c>
      <c r="F2853"/>
      <c r="G2853">
        <v>2</v>
      </c>
      <c r="H2853">
        <v>500</v>
      </c>
      <c r="I2853">
        <v>3</v>
      </c>
      <c r="J2853" cm="1">
        <f t="array" ref="J2853">_xlfn.SWITCH(B2853,1,75,2,61,3,49,4,37,5,25,6,13,7,4,8,1)</f>
        <v>37</v>
      </c>
      <c r="K2853" t="str" cm="1">
        <f t="array" ref="K2853">IFERROR(_xlfn.SWITCH(L2853,2,_xlfn.XLOOKUP(C2853,[1]ModifierDes!$B:$B,[1]ModifierDes!$C:$C),3,_xlfn.XLOOKUP(C2853,[1]StuntDes!$B:$B,[1]StuntDes!$C:$C)),"")</f>
        <v/>
      </c>
      <c r="L2853">
        <f t="shared" si="117"/>
        <v>1</v>
      </c>
      <c r="M2853" s="10" t="str">
        <f>IFERROR(_xlfn.XLOOKUP(C2853,[1]StuntDes!$B:$B,[1]StuntDes!$A:$A),"")</f>
        <v/>
      </c>
      <c r="N2853" s="10" t="str">
        <f>IFERROR(_xlfn.XLOOKUP(C2853,[1]ModifierDes!$B:$B,[1]ModifierDes!$A:$A),"")</f>
        <v/>
      </c>
      <c r="O2853" s="10">
        <f>IFERROR(_xlfn.XLOOKUP(C2853,[1]AttributeName!$C:$C,[1]AttributeName!$B:$B),"")</f>
        <v>10900</v>
      </c>
      <c r="P2853" s="10"/>
      <c r="Q2853">
        <v>9</v>
      </c>
      <c r="R2853">
        <v>10</v>
      </c>
      <c r="S2853" cm="1">
        <f t="array" ref="S2853">IFERROR(_xlfn.SWITCH(L2853,1,_xlfn.XLOOKUP(O2853,[1]AttributeName!$B:$B,[1]AttributeName!$D:$D),2,_xlfn.XLOOKUP(C2853,#REF!,#REF!),3,_xlfn.XLOOKUP(C2853,#REF!,#REF!)),0)</f>
        <v>0</v>
      </c>
      <c r="T2853" cm="1">
        <f t="array" ref="T2853">IFERROR(_xlfn.SWITCH(L2853,1,_xlfn.XLOOKUP(O2853,[1]AttributeName!$B:$B,[1]AttributeName!$E:$E),2,_xlfn.XLOOKUP(C2853,#REF!,#REF!),3,_xlfn.XLOOKUP(C2853,#REF!,#REF!)),0)</f>
        <v>1</v>
      </c>
    </row>
    <row r="2854" customFormat="1" spans="1:20">
      <c r="A2854">
        <f t="shared" si="116"/>
        <v>1163</v>
      </c>
      <c r="B2854">
        <v>5</v>
      </c>
      <c r="C2854" t="s">
        <v>414</v>
      </c>
      <c r="D2854" t="s">
        <v>443</v>
      </c>
      <c r="E2854" t="s">
        <v>392</v>
      </c>
      <c r="F2854"/>
      <c r="G2854">
        <v>2</v>
      </c>
      <c r="H2854">
        <v>500</v>
      </c>
      <c r="I2854">
        <v>3</v>
      </c>
      <c r="J2854" cm="1">
        <f t="array" ref="J2854">_xlfn.SWITCH(B2854,1,75,2,61,3,49,4,37,5,25,6,13,7,4,8,1)</f>
        <v>25</v>
      </c>
      <c r="K2854" t="str" cm="1">
        <f t="array" ref="K2854">IFERROR(_xlfn.SWITCH(L2854,2,_xlfn.XLOOKUP(C2854,[1]ModifierDes!$B:$B,[1]ModifierDes!$C:$C),3,_xlfn.XLOOKUP(C2854,[1]StuntDes!$B:$B,[1]StuntDes!$C:$C)),"")</f>
        <v/>
      </c>
      <c r="L2854">
        <f t="shared" si="117"/>
        <v>1</v>
      </c>
      <c r="M2854" s="10" t="str">
        <f>IFERROR(_xlfn.XLOOKUP(C2854,[1]StuntDes!$B:$B,[1]StuntDes!$A:$A),"")</f>
        <v/>
      </c>
      <c r="N2854" s="10" t="str">
        <f>IFERROR(_xlfn.XLOOKUP(C2854,[1]ModifierDes!$B:$B,[1]ModifierDes!$A:$A),"")</f>
        <v/>
      </c>
      <c r="O2854" s="10">
        <f>IFERROR(_xlfn.XLOOKUP(C2854,[1]AttributeName!$C:$C,[1]AttributeName!$B:$B),"")</f>
        <v>10900</v>
      </c>
      <c r="P2854" s="10"/>
      <c r="Q2854">
        <v>7</v>
      </c>
      <c r="R2854">
        <v>8</v>
      </c>
      <c r="S2854" cm="1">
        <f t="array" ref="S2854">IFERROR(_xlfn.SWITCH(L2854,1,_xlfn.XLOOKUP(O2854,[1]AttributeName!$B:$B,[1]AttributeName!$D:$D),2,_xlfn.XLOOKUP(C2854,#REF!,#REF!),3,_xlfn.XLOOKUP(C2854,#REF!,#REF!)),0)</f>
        <v>0</v>
      </c>
      <c r="T2854" cm="1">
        <f t="array" ref="T2854">IFERROR(_xlfn.SWITCH(L2854,1,_xlfn.XLOOKUP(O2854,[1]AttributeName!$B:$B,[1]AttributeName!$E:$E),2,_xlfn.XLOOKUP(C2854,#REF!,#REF!),3,_xlfn.XLOOKUP(C2854,#REF!,#REF!)),0)</f>
        <v>1</v>
      </c>
    </row>
    <row r="2855" customFormat="1" spans="1:20">
      <c r="A2855">
        <f t="shared" si="116"/>
        <v>1163</v>
      </c>
      <c r="B2855">
        <v>6</v>
      </c>
      <c r="C2855" t="s">
        <v>414</v>
      </c>
      <c r="D2855" t="s">
        <v>443</v>
      </c>
      <c r="E2855" t="s">
        <v>392</v>
      </c>
      <c r="F2855"/>
      <c r="G2855">
        <v>2</v>
      </c>
      <c r="H2855">
        <v>500</v>
      </c>
      <c r="I2855">
        <v>3</v>
      </c>
      <c r="J2855" cm="1">
        <f t="array" ref="J2855">_xlfn.SWITCH(B2855,1,75,2,61,3,49,4,37,5,25,6,13,7,4,8,1)</f>
        <v>13</v>
      </c>
      <c r="K2855" t="str" cm="1">
        <f t="array" ref="K2855">IFERROR(_xlfn.SWITCH(L2855,2,_xlfn.XLOOKUP(C2855,[1]ModifierDes!$B:$B,[1]ModifierDes!$C:$C),3,_xlfn.XLOOKUP(C2855,[1]StuntDes!$B:$B,[1]StuntDes!$C:$C)),"")</f>
        <v/>
      </c>
      <c r="L2855">
        <f t="shared" si="117"/>
        <v>1</v>
      </c>
      <c r="M2855" s="10" t="str">
        <f>IFERROR(_xlfn.XLOOKUP(C2855,[1]StuntDes!$B:$B,[1]StuntDes!$A:$A),"")</f>
        <v/>
      </c>
      <c r="N2855" s="10" t="str">
        <f>IFERROR(_xlfn.XLOOKUP(C2855,[1]ModifierDes!$B:$B,[1]ModifierDes!$A:$A),"")</f>
        <v/>
      </c>
      <c r="O2855" s="10">
        <f>IFERROR(_xlfn.XLOOKUP(C2855,[1]AttributeName!$C:$C,[1]AttributeName!$B:$B),"")</f>
        <v>10900</v>
      </c>
      <c r="P2855" s="10"/>
      <c r="Q2855">
        <v>5</v>
      </c>
      <c r="R2855">
        <v>6</v>
      </c>
      <c r="S2855" cm="1">
        <f t="array" ref="S2855">IFERROR(_xlfn.SWITCH(L2855,1,_xlfn.XLOOKUP(O2855,[1]AttributeName!$B:$B,[1]AttributeName!$D:$D),2,_xlfn.XLOOKUP(C2855,#REF!,#REF!),3,_xlfn.XLOOKUP(C2855,#REF!,#REF!)),0)</f>
        <v>0</v>
      </c>
      <c r="T2855" cm="1">
        <f t="array" ref="T2855">IFERROR(_xlfn.SWITCH(L2855,1,_xlfn.XLOOKUP(O2855,[1]AttributeName!$B:$B,[1]AttributeName!$E:$E),2,_xlfn.XLOOKUP(C2855,#REF!,#REF!),3,_xlfn.XLOOKUP(C2855,#REF!,#REF!)),0)</f>
        <v>1</v>
      </c>
    </row>
    <row r="2856" customFormat="1" spans="1:20">
      <c r="A2856">
        <f t="shared" si="116"/>
        <v>1163</v>
      </c>
      <c r="B2856">
        <v>7</v>
      </c>
      <c r="C2856" t="s">
        <v>414</v>
      </c>
      <c r="D2856" t="s">
        <v>443</v>
      </c>
      <c r="E2856" t="s">
        <v>392</v>
      </c>
      <c r="F2856"/>
      <c r="G2856">
        <v>2</v>
      </c>
      <c r="H2856">
        <v>500</v>
      </c>
      <c r="I2856">
        <v>3</v>
      </c>
      <c r="J2856" cm="1">
        <f t="array" ref="J2856">_xlfn.SWITCH(B2856,1,75,2,61,3,49,4,37,5,25,6,13,7,4,8,1)</f>
        <v>4</v>
      </c>
      <c r="K2856" t="str" cm="1">
        <f t="array" ref="K2856">IFERROR(_xlfn.SWITCH(L2856,2,_xlfn.XLOOKUP(C2856,[1]ModifierDes!$B:$B,[1]ModifierDes!$C:$C),3,_xlfn.XLOOKUP(C2856,[1]StuntDes!$B:$B,[1]StuntDes!$C:$C)),"")</f>
        <v/>
      </c>
      <c r="L2856">
        <f t="shared" si="117"/>
        <v>1</v>
      </c>
      <c r="M2856" s="10" t="str">
        <f>IFERROR(_xlfn.XLOOKUP(C2856,[1]StuntDes!$B:$B,[1]StuntDes!$A:$A),"")</f>
        <v/>
      </c>
      <c r="N2856" s="10" t="str">
        <f>IFERROR(_xlfn.XLOOKUP(C2856,[1]ModifierDes!$B:$B,[1]ModifierDes!$A:$A),"")</f>
        <v/>
      </c>
      <c r="O2856" s="10">
        <f>IFERROR(_xlfn.XLOOKUP(C2856,[1]AttributeName!$C:$C,[1]AttributeName!$B:$B),"")</f>
        <v>10900</v>
      </c>
      <c r="P2856" s="10"/>
      <c r="Q2856">
        <v>3</v>
      </c>
      <c r="R2856">
        <v>4</v>
      </c>
      <c r="S2856" cm="1">
        <f t="array" ref="S2856">IFERROR(_xlfn.SWITCH(L2856,1,_xlfn.XLOOKUP(O2856,[1]AttributeName!$B:$B,[1]AttributeName!$D:$D),2,_xlfn.XLOOKUP(C2856,#REF!,#REF!),3,_xlfn.XLOOKUP(C2856,#REF!,#REF!)),0)</f>
        <v>0</v>
      </c>
      <c r="T2856" cm="1">
        <f t="array" ref="T2856">IFERROR(_xlfn.SWITCH(L2856,1,_xlfn.XLOOKUP(O2856,[1]AttributeName!$B:$B,[1]AttributeName!$E:$E),2,_xlfn.XLOOKUP(C2856,#REF!,#REF!),3,_xlfn.XLOOKUP(C2856,#REF!,#REF!)),0)</f>
        <v>1</v>
      </c>
    </row>
    <row r="2857" customFormat="1" spans="1:20">
      <c r="A2857">
        <f t="shared" si="116"/>
        <v>1163</v>
      </c>
      <c r="B2857">
        <v>8</v>
      </c>
      <c r="C2857" t="s">
        <v>414</v>
      </c>
      <c r="D2857" t="s">
        <v>443</v>
      </c>
      <c r="E2857" t="s">
        <v>392</v>
      </c>
      <c r="F2857"/>
      <c r="G2857">
        <v>2</v>
      </c>
      <c r="H2857">
        <v>500</v>
      </c>
      <c r="I2857">
        <v>3</v>
      </c>
      <c r="J2857" cm="1">
        <f t="array" ref="J2857">_xlfn.SWITCH(B2857,1,75,2,61,3,49,4,37,5,25,6,13,7,4,8,1)</f>
        <v>1</v>
      </c>
      <c r="K2857" t="str" cm="1">
        <f t="array" ref="K2857">IFERROR(_xlfn.SWITCH(L2857,2,_xlfn.XLOOKUP(C2857,[1]ModifierDes!$B:$B,[1]ModifierDes!$C:$C),3,_xlfn.XLOOKUP(C2857,[1]StuntDes!$B:$B,[1]StuntDes!$C:$C)),"")</f>
        <v/>
      </c>
      <c r="L2857">
        <f t="shared" si="117"/>
        <v>1</v>
      </c>
      <c r="M2857" s="10" t="str">
        <f>IFERROR(_xlfn.XLOOKUP(C2857,[1]StuntDes!$B:$B,[1]StuntDes!$A:$A),"")</f>
        <v/>
      </c>
      <c r="N2857" s="10" t="str">
        <f>IFERROR(_xlfn.XLOOKUP(C2857,[1]ModifierDes!$B:$B,[1]ModifierDes!$A:$A),"")</f>
        <v/>
      </c>
      <c r="O2857" s="10">
        <f>IFERROR(_xlfn.XLOOKUP(C2857,[1]AttributeName!$C:$C,[1]AttributeName!$B:$B),"")</f>
        <v>10900</v>
      </c>
      <c r="P2857" s="10"/>
      <c r="Q2857">
        <v>1</v>
      </c>
      <c r="R2857">
        <v>2</v>
      </c>
      <c r="S2857" cm="1">
        <f t="array" ref="S2857">IFERROR(_xlfn.SWITCH(L2857,1,_xlfn.XLOOKUP(O2857,[1]AttributeName!$B:$B,[1]AttributeName!$D:$D),2,_xlfn.XLOOKUP(C2857,#REF!,#REF!),3,_xlfn.XLOOKUP(C2857,#REF!,#REF!)),0)</f>
        <v>0</v>
      </c>
      <c r="T2857" cm="1">
        <f t="array" ref="T2857">IFERROR(_xlfn.SWITCH(L2857,1,_xlfn.XLOOKUP(O2857,[1]AttributeName!$B:$B,[1]AttributeName!$E:$E),2,_xlfn.XLOOKUP(C2857,#REF!,#REF!),3,_xlfn.XLOOKUP(C2857,#REF!,#REF!)),0)</f>
        <v>1</v>
      </c>
    </row>
    <row r="2858" customFormat="1" spans="1:20">
      <c r="A2858">
        <f t="shared" si="116"/>
        <v>1164</v>
      </c>
      <c r="B2858">
        <v>1</v>
      </c>
      <c r="C2858" t="s">
        <v>427</v>
      </c>
      <c r="D2858" t="s">
        <v>443</v>
      </c>
      <c r="E2858" t="s">
        <v>392</v>
      </c>
      <c r="F2858"/>
      <c r="G2858">
        <v>2</v>
      </c>
      <c r="H2858">
        <v>50</v>
      </c>
      <c r="I2858">
        <v>3</v>
      </c>
      <c r="J2858" cm="1">
        <f t="array" ref="J2858">_xlfn.SWITCH(B2858,1,75,2,61,3,49,4,37,5,25,6,13,7,4,8,1)</f>
        <v>75</v>
      </c>
      <c r="K2858" t="str" cm="1">
        <f t="array" ref="K2858">IFERROR(_xlfn.SWITCH(L2858,2,_xlfn.XLOOKUP(C2858,[1]ModifierDes!$B:$B,[1]ModifierDes!$C:$C),3,_xlfn.XLOOKUP(C2858,[1]StuntDes!$B:$B,[1]StuntDes!$C:$C)),"")</f>
        <v/>
      </c>
      <c r="L2858">
        <f t="shared" si="117"/>
        <v>1</v>
      </c>
      <c r="M2858" s="10" t="str">
        <f>IFERROR(_xlfn.XLOOKUP(C2858,[1]StuntDes!$B:$B,[1]StuntDes!$A:$A),"")</f>
        <v/>
      </c>
      <c r="N2858" s="10" t="str">
        <f>IFERROR(_xlfn.XLOOKUP(C2858,[1]ModifierDes!$B:$B,[1]ModifierDes!$A:$A),"")</f>
        <v/>
      </c>
      <c r="O2858" s="10">
        <f>IFERROR(_xlfn.XLOOKUP(C2858,[1]AttributeName!$C:$C,[1]AttributeName!$B:$B),"")</f>
        <v>10003</v>
      </c>
      <c r="P2858" s="10"/>
      <c r="Q2858">
        <v>8</v>
      </c>
      <c r="R2858">
        <v>10</v>
      </c>
      <c r="S2858" cm="1">
        <f t="array" ref="S2858">IFERROR(_xlfn.SWITCH(L2858,1,_xlfn.XLOOKUP(O2858,[1]AttributeName!$B:$B,[1]AttributeName!$D:$D),2,_xlfn.XLOOKUP(C2858,#REF!,#REF!),3,_xlfn.XLOOKUP(C2858,#REF!,#REF!)),0)</f>
        <v>0</v>
      </c>
      <c r="T2858" cm="1">
        <f t="array" ref="T2858">IFERROR(_xlfn.SWITCH(L2858,1,_xlfn.XLOOKUP(O2858,[1]AttributeName!$B:$B,[1]AttributeName!$E:$E),2,_xlfn.XLOOKUP(C2858,#REF!,#REF!),3,_xlfn.XLOOKUP(C2858,#REF!,#REF!)),0)</f>
        <v>1</v>
      </c>
    </row>
    <row r="2859" customFormat="1" spans="1:20">
      <c r="A2859">
        <f t="shared" si="116"/>
        <v>1164</v>
      </c>
      <c r="B2859">
        <v>2</v>
      </c>
      <c r="C2859" t="s">
        <v>427</v>
      </c>
      <c r="D2859" t="s">
        <v>443</v>
      </c>
      <c r="E2859" t="s">
        <v>392</v>
      </c>
      <c r="F2859"/>
      <c r="G2859">
        <v>2</v>
      </c>
      <c r="H2859">
        <v>100</v>
      </c>
      <c r="I2859">
        <v>3</v>
      </c>
      <c r="J2859" cm="1">
        <f t="array" ref="J2859">_xlfn.SWITCH(B2859,1,75,2,61,3,49,4,37,5,25,6,13,7,4,8,1)</f>
        <v>61</v>
      </c>
      <c r="K2859" t="str" cm="1">
        <f t="array" ref="K2859">IFERROR(_xlfn.SWITCH(L2859,2,_xlfn.XLOOKUP(C2859,[1]ModifierDes!$B:$B,[1]ModifierDes!$C:$C),3,_xlfn.XLOOKUP(C2859,[1]StuntDes!$B:$B,[1]StuntDes!$C:$C)),"")</f>
        <v/>
      </c>
      <c r="L2859">
        <f t="shared" si="117"/>
        <v>1</v>
      </c>
      <c r="M2859" s="10" t="str">
        <f>IFERROR(_xlfn.XLOOKUP(C2859,[1]StuntDes!$B:$B,[1]StuntDes!$A:$A),"")</f>
        <v/>
      </c>
      <c r="N2859" s="10" t="str">
        <f>IFERROR(_xlfn.XLOOKUP(C2859,[1]ModifierDes!$B:$B,[1]ModifierDes!$A:$A),"")</f>
        <v/>
      </c>
      <c r="O2859" s="10">
        <f>IFERROR(_xlfn.XLOOKUP(C2859,[1]AttributeName!$C:$C,[1]AttributeName!$B:$B),"")</f>
        <v>10003</v>
      </c>
      <c r="P2859" s="10"/>
      <c r="Q2859">
        <v>7</v>
      </c>
      <c r="R2859">
        <v>7</v>
      </c>
      <c r="S2859" cm="1">
        <f t="array" ref="S2859">IFERROR(_xlfn.SWITCH(L2859,1,_xlfn.XLOOKUP(O2859,[1]AttributeName!$B:$B,[1]AttributeName!$D:$D),2,_xlfn.XLOOKUP(C2859,#REF!,#REF!),3,_xlfn.XLOOKUP(C2859,#REF!,#REF!)),0)</f>
        <v>0</v>
      </c>
      <c r="T2859" cm="1">
        <f t="array" ref="T2859">IFERROR(_xlfn.SWITCH(L2859,1,_xlfn.XLOOKUP(O2859,[1]AttributeName!$B:$B,[1]AttributeName!$E:$E),2,_xlfn.XLOOKUP(C2859,#REF!,#REF!),3,_xlfn.XLOOKUP(C2859,#REF!,#REF!)),0)</f>
        <v>1</v>
      </c>
    </row>
    <row r="2860" customFormat="1" spans="1:20">
      <c r="A2860">
        <f t="shared" si="116"/>
        <v>1164</v>
      </c>
      <c r="B2860">
        <v>3</v>
      </c>
      <c r="C2860" t="s">
        <v>427</v>
      </c>
      <c r="D2860" t="s">
        <v>443</v>
      </c>
      <c r="E2860" t="s">
        <v>392</v>
      </c>
      <c r="F2860"/>
      <c r="G2860">
        <v>2</v>
      </c>
      <c r="H2860">
        <v>250</v>
      </c>
      <c r="I2860">
        <v>3</v>
      </c>
      <c r="J2860" cm="1">
        <f t="array" ref="J2860">_xlfn.SWITCH(B2860,1,75,2,61,3,49,4,37,5,25,6,13,7,4,8,1)</f>
        <v>49</v>
      </c>
      <c r="K2860" t="str" cm="1">
        <f t="array" ref="K2860">IFERROR(_xlfn.SWITCH(L2860,2,_xlfn.XLOOKUP(C2860,[1]ModifierDes!$B:$B,[1]ModifierDes!$C:$C),3,_xlfn.XLOOKUP(C2860,[1]StuntDes!$B:$B,[1]StuntDes!$C:$C)),"")</f>
        <v/>
      </c>
      <c r="L2860">
        <f t="shared" si="117"/>
        <v>1</v>
      </c>
      <c r="M2860" s="10" t="str">
        <f>IFERROR(_xlfn.XLOOKUP(C2860,[1]StuntDes!$B:$B,[1]StuntDes!$A:$A),"")</f>
        <v/>
      </c>
      <c r="N2860" s="10" t="str">
        <f>IFERROR(_xlfn.XLOOKUP(C2860,[1]ModifierDes!$B:$B,[1]ModifierDes!$A:$A),"")</f>
        <v/>
      </c>
      <c r="O2860" s="10">
        <f>IFERROR(_xlfn.XLOOKUP(C2860,[1]AttributeName!$C:$C,[1]AttributeName!$B:$B),"")</f>
        <v>10003</v>
      </c>
      <c r="P2860" s="10"/>
      <c r="Q2860">
        <v>6</v>
      </c>
      <c r="R2860">
        <v>6</v>
      </c>
      <c r="S2860" cm="1">
        <f t="array" ref="S2860">IFERROR(_xlfn.SWITCH(L2860,1,_xlfn.XLOOKUP(O2860,[1]AttributeName!$B:$B,[1]AttributeName!$D:$D),2,_xlfn.XLOOKUP(C2860,#REF!,#REF!),3,_xlfn.XLOOKUP(C2860,#REF!,#REF!)),0)</f>
        <v>0</v>
      </c>
      <c r="T2860" cm="1">
        <f t="array" ref="T2860">IFERROR(_xlfn.SWITCH(L2860,1,_xlfn.XLOOKUP(O2860,[1]AttributeName!$B:$B,[1]AttributeName!$E:$E),2,_xlfn.XLOOKUP(C2860,#REF!,#REF!),3,_xlfn.XLOOKUP(C2860,#REF!,#REF!)),0)</f>
        <v>1</v>
      </c>
    </row>
    <row r="2861" customFormat="1" spans="1:20">
      <c r="A2861">
        <f t="shared" si="116"/>
        <v>1164</v>
      </c>
      <c r="B2861">
        <v>4</v>
      </c>
      <c r="C2861" t="s">
        <v>427</v>
      </c>
      <c r="D2861" t="s">
        <v>443</v>
      </c>
      <c r="E2861" t="s">
        <v>392</v>
      </c>
      <c r="F2861"/>
      <c r="G2861">
        <v>2</v>
      </c>
      <c r="H2861">
        <v>500</v>
      </c>
      <c r="I2861">
        <v>3</v>
      </c>
      <c r="J2861" cm="1">
        <f t="array" ref="J2861">_xlfn.SWITCH(B2861,1,75,2,61,3,49,4,37,5,25,6,13,7,4,8,1)</f>
        <v>37</v>
      </c>
      <c r="K2861" t="str" cm="1">
        <f t="array" ref="K2861">IFERROR(_xlfn.SWITCH(L2861,2,_xlfn.XLOOKUP(C2861,[1]ModifierDes!$B:$B,[1]ModifierDes!$C:$C),3,_xlfn.XLOOKUP(C2861,[1]StuntDes!$B:$B,[1]StuntDes!$C:$C)),"")</f>
        <v/>
      </c>
      <c r="L2861">
        <f t="shared" si="117"/>
        <v>1</v>
      </c>
      <c r="M2861" s="10" t="str">
        <f>IFERROR(_xlfn.XLOOKUP(C2861,[1]StuntDes!$B:$B,[1]StuntDes!$A:$A),"")</f>
        <v/>
      </c>
      <c r="N2861" s="10" t="str">
        <f>IFERROR(_xlfn.XLOOKUP(C2861,[1]ModifierDes!$B:$B,[1]ModifierDes!$A:$A),"")</f>
        <v/>
      </c>
      <c r="O2861" s="10">
        <f>IFERROR(_xlfn.XLOOKUP(C2861,[1]AttributeName!$C:$C,[1]AttributeName!$B:$B),"")</f>
        <v>10003</v>
      </c>
      <c r="P2861" s="10"/>
      <c r="Q2861">
        <v>5</v>
      </c>
      <c r="R2861">
        <v>5</v>
      </c>
      <c r="S2861" cm="1">
        <f t="array" ref="S2861">IFERROR(_xlfn.SWITCH(L2861,1,_xlfn.XLOOKUP(O2861,[1]AttributeName!$B:$B,[1]AttributeName!$D:$D),2,_xlfn.XLOOKUP(C2861,#REF!,#REF!),3,_xlfn.XLOOKUP(C2861,#REF!,#REF!)),0)</f>
        <v>0</v>
      </c>
      <c r="T2861" cm="1">
        <f t="array" ref="T2861">IFERROR(_xlfn.SWITCH(L2861,1,_xlfn.XLOOKUP(O2861,[1]AttributeName!$B:$B,[1]AttributeName!$E:$E),2,_xlfn.XLOOKUP(C2861,#REF!,#REF!),3,_xlfn.XLOOKUP(C2861,#REF!,#REF!)),0)</f>
        <v>1</v>
      </c>
    </row>
    <row r="2862" customFormat="1" spans="1:20">
      <c r="A2862">
        <f t="shared" si="116"/>
        <v>1164</v>
      </c>
      <c r="B2862">
        <v>5</v>
      </c>
      <c r="C2862" t="s">
        <v>427</v>
      </c>
      <c r="D2862" t="s">
        <v>443</v>
      </c>
      <c r="E2862" t="s">
        <v>392</v>
      </c>
      <c r="F2862"/>
      <c r="G2862">
        <v>2</v>
      </c>
      <c r="H2862">
        <v>500</v>
      </c>
      <c r="I2862">
        <v>3</v>
      </c>
      <c r="J2862" cm="1">
        <f t="array" ref="J2862">_xlfn.SWITCH(B2862,1,75,2,61,3,49,4,37,5,25,6,13,7,4,8,1)</f>
        <v>25</v>
      </c>
      <c r="K2862" t="str" cm="1">
        <f t="array" ref="K2862">IFERROR(_xlfn.SWITCH(L2862,2,_xlfn.XLOOKUP(C2862,[1]ModifierDes!$B:$B,[1]ModifierDes!$C:$C),3,_xlfn.XLOOKUP(C2862,[1]StuntDes!$B:$B,[1]StuntDes!$C:$C)),"")</f>
        <v/>
      </c>
      <c r="L2862">
        <f t="shared" si="117"/>
        <v>1</v>
      </c>
      <c r="M2862" s="10" t="str">
        <f>IFERROR(_xlfn.XLOOKUP(C2862,[1]StuntDes!$B:$B,[1]StuntDes!$A:$A),"")</f>
        <v/>
      </c>
      <c r="N2862" s="10" t="str">
        <f>IFERROR(_xlfn.XLOOKUP(C2862,[1]ModifierDes!$B:$B,[1]ModifierDes!$A:$A),"")</f>
        <v/>
      </c>
      <c r="O2862" s="10">
        <f>IFERROR(_xlfn.XLOOKUP(C2862,[1]AttributeName!$C:$C,[1]AttributeName!$B:$B),"")</f>
        <v>10003</v>
      </c>
      <c r="P2862" s="10"/>
      <c r="Q2862">
        <v>4</v>
      </c>
      <c r="R2862">
        <v>4</v>
      </c>
      <c r="S2862" cm="1">
        <f t="array" ref="S2862">IFERROR(_xlfn.SWITCH(L2862,1,_xlfn.XLOOKUP(O2862,[1]AttributeName!$B:$B,[1]AttributeName!$D:$D),2,_xlfn.XLOOKUP(C2862,#REF!,#REF!),3,_xlfn.XLOOKUP(C2862,#REF!,#REF!)),0)</f>
        <v>0</v>
      </c>
      <c r="T2862" cm="1">
        <f t="array" ref="T2862">IFERROR(_xlfn.SWITCH(L2862,1,_xlfn.XLOOKUP(O2862,[1]AttributeName!$B:$B,[1]AttributeName!$E:$E),2,_xlfn.XLOOKUP(C2862,#REF!,#REF!),3,_xlfn.XLOOKUP(C2862,#REF!,#REF!)),0)</f>
        <v>1</v>
      </c>
    </row>
    <row r="2863" customFormat="1" spans="1:20">
      <c r="A2863">
        <f t="shared" si="116"/>
        <v>1164</v>
      </c>
      <c r="B2863">
        <v>6</v>
      </c>
      <c r="C2863" t="s">
        <v>427</v>
      </c>
      <c r="D2863" t="s">
        <v>443</v>
      </c>
      <c r="E2863" t="s">
        <v>392</v>
      </c>
      <c r="F2863"/>
      <c r="G2863">
        <v>2</v>
      </c>
      <c r="H2863">
        <v>500</v>
      </c>
      <c r="I2863">
        <v>3</v>
      </c>
      <c r="J2863" cm="1">
        <f t="array" ref="J2863">_xlfn.SWITCH(B2863,1,75,2,61,3,49,4,37,5,25,6,13,7,4,8,1)</f>
        <v>13</v>
      </c>
      <c r="K2863" t="str" cm="1">
        <f t="array" ref="K2863">IFERROR(_xlfn.SWITCH(L2863,2,_xlfn.XLOOKUP(C2863,[1]ModifierDes!$B:$B,[1]ModifierDes!$C:$C),3,_xlfn.XLOOKUP(C2863,[1]StuntDes!$B:$B,[1]StuntDes!$C:$C)),"")</f>
        <v/>
      </c>
      <c r="L2863">
        <f t="shared" si="117"/>
        <v>1</v>
      </c>
      <c r="M2863" s="10" t="str">
        <f>IFERROR(_xlfn.XLOOKUP(C2863,[1]StuntDes!$B:$B,[1]StuntDes!$A:$A),"")</f>
        <v/>
      </c>
      <c r="N2863" s="10" t="str">
        <f>IFERROR(_xlfn.XLOOKUP(C2863,[1]ModifierDes!$B:$B,[1]ModifierDes!$A:$A),"")</f>
        <v/>
      </c>
      <c r="O2863" s="10">
        <f>IFERROR(_xlfn.XLOOKUP(C2863,[1]AttributeName!$C:$C,[1]AttributeName!$B:$B),"")</f>
        <v>10003</v>
      </c>
      <c r="P2863" s="10"/>
      <c r="Q2863">
        <v>3</v>
      </c>
      <c r="R2863">
        <v>3</v>
      </c>
      <c r="S2863" cm="1">
        <f t="array" ref="S2863">IFERROR(_xlfn.SWITCH(L2863,1,_xlfn.XLOOKUP(O2863,[1]AttributeName!$B:$B,[1]AttributeName!$D:$D),2,_xlfn.XLOOKUP(C2863,#REF!,#REF!),3,_xlfn.XLOOKUP(C2863,#REF!,#REF!)),0)</f>
        <v>0</v>
      </c>
      <c r="T2863" cm="1">
        <f t="array" ref="T2863">IFERROR(_xlfn.SWITCH(L2863,1,_xlfn.XLOOKUP(O2863,[1]AttributeName!$B:$B,[1]AttributeName!$E:$E),2,_xlfn.XLOOKUP(C2863,#REF!,#REF!),3,_xlfn.XLOOKUP(C2863,#REF!,#REF!)),0)</f>
        <v>1</v>
      </c>
    </row>
    <row r="2864" customFormat="1" spans="1:20">
      <c r="A2864">
        <f t="shared" si="116"/>
        <v>1164</v>
      </c>
      <c r="B2864">
        <v>7</v>
      </c>
      <c r="C2864" t="s">
        <v>427</v>
      </c>
      <c r="D2864" t="s">
        <v>443</v>
      </c>
      <c r="E2864" t="s">
        <v>392</v>
      </c>
      <c r="F2864"/>
      <c r="G2864">
        <v>2</v>
      </c>
      <c r="H2864">
        <v>500</v>
      </c>
      <c r="I2864">
        <v>3</v>
      </c>
      <c r="J2864" cm="1">
        <f t="array" ref="J2864">_xlfn.SWITCH(B2864,1,75,2,61,3,49,4,37,5,25,6,13,7,4,8,1)</f>
        <v>4</v>
      </c>
      <c r="K2864" t="str" cm="1">
        <f t="array" ref="K2864">IFERROR(_xlfn.SWITCH(L2864,2,_xlfn.XLOOKUP(C2864,[1]ModifierDes!$B:$B,[1]ModifierDes!$C:$C),3,_xlfn.XLOOKUP(C2864,[1]StuntDes!$B:$B,[1]StuntDes!$C:$C)),"")</f>
        <v/>
      </c>
      <c r="L2864">
        <f t="shared" si="117"/>
        <v>1</v>
      </c>
      <c r="M2864" s="10" t="str">
        <f>IFERROR(_xlfn.XLOOKUP(C2864,[1]StuntDes!$B:$B,[1]StuntDes!$A:$A),"")</f>
        <v/>
      </c>
      <c r="N2864" s="10" t="str">
        <f>IFERROR(_xlfn.XLOOKUP(C2864,[1]ModifierDes!$B:$B,[1]ModifierDes!$A:$A),"")</f>
        <v/>
      </c>
      <c r="O2864" s="10">
        <f>IFERROR(_xlfn.XLOOKUP(C2864,[1]AttributeName!$C:$C,[1]AttributeName!$B:$B),"")</f>
        <v>10003</v>
      </c>
      <c r="P2864" s="10"/>
      <c r="Q2864">
        <v>2</v>
      </c>
      <c r="R2864">
        <v>2</v>
      </c>
      <c r="S2864" cm="1">
        <f t="array" ref="S2864">IFERROR(_xlfn.SWITCH(L2864,1,_xlfn.XLOOKUP(O2864,[1]AttributeName!$B:$B,[1]AttributeName!$D:$D),2,_xlfn.XLOOKUP(C2864,#REF!,#REF!),3,_xlfn.XLOOKUP(C2864,#REF!,#REF!)),0)</f>
        <v>0</v>
      </c>
      <c r="T2864" cm="1">
        <f t="array" ref="T2864">IFERROR(_xlfn.SWITCH(L2864,1,_xlfn.XLOOKUP(O2864,[1]AttributeName!$B:$B,[1]AttributeName!$E:$E),2,_xlfn.XLOOKUP(C2864,#REF!,#REF!),3,_xlfn.XLOOKUP(C2864,#REF!,#REF!)),0)</f>
        <v>1</v>
      </c>
    </row>
    <row r="2865" customFormat="1" spans="1:20">
      <c r="A2865">
        <f t="shared" si="116"/>
        <v>1164</v>
      </c>
      <c r="B2865">
        <v>8</v>
      </c>
      <c r="C2865" t="s">
        <v>427</v>
      </c>
      <c r="D2865" t="s">
        <v>443</v>
      </c>
      <c r="E2865" t="s">
        <v>392</v>
      </c>
      <c r="F2865"/>
      <c r="G2865">
        <v>2</v>
      </c>
      <c r="H2865">
        <v>500</v>
      </c>
      <c r="I2865">
        <v>3</v>
      </c>
      <c r="J2865" cm="1">
        <f t="array" ref="J2865">_xlfn.SWITCH(B2865,1,75,2,61,3,49,4,37,5,25,6,13,7,4,8,1)</f>
        <v>1</v>
      </c>
      <c r="K2865" t="str" cm="1">
        <f t="array" ref="K2865">IFERROR(_xlfn.SWITCH(L2865,2,_xlfn.XLOOKUP(C2865,[1]ModifierDes!$B:$B,[1]ModifierDes!$C:$C),3,_xlfn.XLOOKUP(C2865,[1]StuntDes!$B:$B,[1]StuntDes!$C:$C)),"")</f>
        <v/>
      </c>
      <c r="L2865">
        <f t="shared" si="117"/>
        <v>1</v>
      </c>
      <c r="M2865" s="10" t="str">
        <f>IFERROR(_xlfn.XLOOKUP(C2865,[1]StuntDes!$B:$B,[1]StuntDes!$A:$A),"")</f>
        <v/>
      </c>
      <c r="N2865" s="10" t="str">
        <f>IFERROR(_xlfn.XLOOKUP(C2865,[1]ModifierDes!$B:$B,[1]ModifierDes!$A:$A),"")</f>
        <v/>
      </c>
      <c r="O2865" s="10">
        <f>IFERROR(_xlfn.XLOOKUP(C2865,[1]AttributeName!$C:$C,[1]AttributeName!$B:$B),"")</f>
        <v>10003</v>
      </c>
      <c r="P2865" s="10"/>
      <c r="Q2865">
        <v>1</v>
      </c>
      <c r="R2865">
        <v>1</v>
      </c>
      <c r="S2865" cm="1">
        <f t="array" ref="S2865">IFERROR(_xlfn.SWITCH(L2865,1,_xlfn.XLOOKUP(O2865,[1]AttributeName!$B:$B,[1]AttributeName!$D:$D),2,_xlfn.XLOOKUP(C2865,#REF!,#REF!),3,_xlfn.XLOOKUP(C2865,#REF!,#REF!)),0)</f>
        <v>0</v>
      </c>
      <c r="T2865" cm="1">
        <f t="array" ref="T2865">IFERROR(_xlfn.SWITCH(L2865,1,_xlfn.XLOOKUP(O2865,[1]AttributeName!$B:$B,[1]AttributeName!$E:$E),2,_xlfn.XLOOKUP(C2865,#REF!,#REF!),3,_xlfn.XLOOKUP(C2865,#REF!,#REF!)),0)</f>
        <v>1</v>
      </c>
    </row>
    <row r="2866" customFormat="1" spans="1:20">
      <c r="A2866">
        <v>1201</v>
      </c>
      <c r="B2866">
        <v>1</v>
      </c>
      <c r="C2866" t="s">
        <v>377</v>
      </c>
      <c r="D2866" t="s">
        <v>21</v>
      </c>
      <c r="E2866" t="s">
        <v>378</v>
      </c>
      <c r="G2866">
        <v>1</v>
      </c>
      <c r="H2866">
        <v>50</v>
      </c>
      <c r="J2866" cm="1">
        <f t="array" ref="J2866">_xlfn.SWITCH(B2866,1,75,2,61,3,49,4,37,5,25,6,13,7,4,8,1)</f>
        <v>75</v>
      </c>
      <c r="K2866" t="str" cm="1">
        <f t="array" ref="K2866">IFERROR(_xlfn.SWITCH(L2866,2,_xlfn.XLOOKUP(C2866,[1]ModifierDes!$B:$B,[1]ModifierDes!$C:$C),3,_xlfn.XLOOKUP(C2866,[1]StuntDes!$B:$B,[1]StuntDes!$C:$C)),"")</f>
        <v>物理伤害倍率增加{0}</v>
      </c>
      <c r="L2866">
        <f t="shared" si="117"/>
        <v>2</v>
      </c>
      <c r="M2866" s="10" t="str">
        <f>IFERROR(_xlfn.XLOOKUP(C2866,[1]StuntDes!$B:$B,[1]StuntDes!$A:$A),"")</f>
        <v/>
      </c>
      <c r="N2866" s="10">
        <f>IFERROR(_xlfn.XLOOKUP(C2866,[1]ModifierDes!$B:$B,[1]ModifierDes!$A:$A),"")</f>
        <v>10056</v>
      </c>
      <c r="O2866" s="10" t="str">
        <f>IFERROR(IF(L2866=1,_xlfn.XLOOKUP(C2866,[1]AttributeName!$C:$C,[1]AttributeName!$B:$B),""),"")</f>
        <v/>
      </c>
      <c r="P2866" s="10"/>
      <c r="Q2866">
        <v>0.5</v>
      </c>
      <c r="R2866">
        <v>0.7</v>
      </c>
      <c r="S2866" cm="1">
        <f t="array" ref="S2866">IFERROR(_xlfn.SWITCH(L2866,1,_xlfn.XLOOKUP(O2866,[1]AttributeName!$B:$B,[1]AttributeName!$D:$D),2,_xlfn.XLOOKUP(C2866,#REF!,#REF!),3,_xlfn.XLOOKUP(C2866,#REF!,#REF!)),0)</f>
        <v>0</v>
      </c>
      <c r="T2866" cm="1">
        <f t="array" ref="T2866">IFERROR(_xlfn.SWITCH(L2866,1,_xlfn.XLOOKUP(O2866,[1]AttributeName!$B:$B,[1]AttributeName!$E:$E),2,_xlfn.XLOOKUP(C2866,#REF!,#REF!),3,_xlfn.XLOOKUP(C2866,#REF!,#REF!)),0)</f>
        <v>0</v>
      </c>
    </row>
    <row r="2867" customFormat="1" spans="1:20">
      <c r="A2867">
        <v>1201</v>
      </c>
      <c r="B2867">
        <v>2</v>
      </c>
      <c r="C2867" t="s">
        <v>377</v>
      </c>
      <c r="D2867" t="s">
        <v>21</v>
      </c>
      <c r="E2867" t="s">
        <v>378</v>
      </c>
      <c r="G2867">
        <v>1</v>
      </c>
      <c r="H2867">
        <v>100</v>
      </c>
      <c r="J2867" cm="1">
        <f t="array" ref="J2867">_xlfn.SWITCH(B2867,1,75,2,61,3,49,4,37,5,25,6,13,7,4,8,1)</f>
        <v>61</v>
      </c>
      <c r="K2867" t="str" cm="1">
        <f t="array" ref="K2867">IFERROR(_xlfn.SWITCH(L2867,2,_xlfn.XLOOKUP(C2867,[1]ModifierDes!$B:$B,[1]ModifierDes!$C:$C),3,_xlfn.XLOOKUP(C2867,[1]StuntDes!$B:$B,[1]StuntDes!$C:$C)),"")</f>
        <v>物理伤害倍率增加{0}</v>
      </c>
      <c r="L2867">
        <f t="shared" si="117"/>
        <v>2</v>
      </c>
      <c r="M2867" s="10" t="str">
        <f>IFERROR(_xlfn.XLOOKUP(C2867,[1]StuntDes!$B:$B,[1]StuntDes!$A:$A),"")</f>
        <v/>
      </c>
      <c r="N2867" s="10">
        <f>IFERROR(_xlfn.XLOOKUP(C2867,[1]ModifierDes!$B:$B,[1]ModifierDes!$A:$A),"")</f>
        <v>10056</v>
      </c>
      <c r="O2867" s="10" t="str">
        <f>IFERROR(_xlfn.XLOOKUP(C2867,[1]AttributeName!$C:$C,[1]AttributeName!$B:$B),"")</f>
        <v/>
      </c>
      <c r="P2867" s="10"/>
      <c r="Q2867">
        <v>0.44</v>
      </c>
      <c r="R2867">
        <v>0.49</v>
      </c>
      <c r="S2867" cm="1">
        <f t="array" ref="S2867">IFERROR(_xlfn.SWITCH(L2867,1,_xlfn.XLOOKUP(O2867,[1]AttributeName!$B:$B,[1]AttributeName!$D:$D),2,_xlfn.XLOOKUP(C2867,#REF!,#REF!),3,_xlfn.XLOOKUP(C2867,#REF!,#REF!)),0)</f>
        <v>0</v>
      </c>
      <c r="T2867" cm="1">
        <f t="array" ref="T2867">IFERROR(_xlfn.SWITCH(L2867,1,_xlfn.XLOOKUP(O2867,[1]AttributeName!$B:$B,[1]AttributeName!$E:$E),2,_xlfn.XLOOKUP(C2867,#REF!,#REF!),3,_xlfn.XLOOKUP(C2867,#REF!,#REF!)),0)</f>
        <v>0</v>
      </c>
    </row>
    <row r="2868" customFormat="1" spans="1:20">
      <c r="A2868">
        <v>1201</v>
      </c>
      <c r="B2868">
        <v>3</v>
      </c>
      <c r="C2868" t="s">
        <v>377</v>
      </c>
      <c r="D2868" t="s">
        <v>21</v>
      </c>
      <c r="E2868" t="s">
        <v>378</v>
      </c>
      <c r="G2868">
        <v>1</v>
      </c>
      <c r="H2868">
        <v>200</v>
      </c>
      <c r="J2868" cm="1">
        <f t="array" ref="J2868">_xlfn.SWITCH(B2868,1,75,2,61,3,49,4,37,5,25,6,13,7,4,8,1)</f>
        <v>49</v>
      </c>
      <c r="K2868" t="str" cm="1">
        <f t="array" ref="K2868">IFERROR(_xlfn.SWITCH(L2868,2,_xlfn.XLOOKUP(C2868,[1]ModifierDes!$B:$B,[1]ModifierDes!$C:$C),3,_xlfn.XLOOKUP(C2868,[1]StuntDes!$B:$B,[1]StuntDes!$C:$C)),"")</f>
        <v>物理伤害倍率增加{0}</v>
      </c>
      <c r="L2868">
        <f t="shared" si="117"/>
        <v>2</v>
      </c>
      <c r="M2868" s="10" t="str">
        <f>IFERROR(_xlfn.XLOOKUP(C2868,[1]StuntDes!$B:$B,[1]StuntDes!$A:$A),"")</f>
        <v/>
      </c>
      <c r="N2868" s="10">
        <f>IFERROR(_xlfn.XLOOKUP(C2868,[1]ModifierDes!$B:$B,[1]ModifierDes!$A:$A),"")</f>
        <v>10056</v>
      </c>
      <c r="O2868" s="10" t="str">
        <f>IFERROR(_xlfn.XLOOKUP(C2868,[1]AttributeName!$C:$C,[1]AttributeName!$B:$B),"")</f>
        <v/>
      </c>
      <c r="P2868" s="10"/>
      <c r="Q2868">
        <v>0.38</v>
      </c>
      <c r="R2868">
        <v>0.43</v>
      </c>
      <c r="S2868" cm="1">
        <f t="array" ref="S2868">IFERROR(_xlfn.SWITCH(L2868,1,_xlfn.XLOOKUP(O2868,[1]AttributeName!$B:$B,[1]AttributeName!$D:$D),2,_xlfn.XLOOKUP(C2868,#REF!,#REF!),3,_xlfn.XLOOKUP(C2868,#REF!,#REF!)),0)</f>
        <v>0</v>
      </c>
      <c r="T2868" cm="1">
        <f t="array" ref="T2868">IFERROR(_xlfn.SWITCH(L2868,1,_xlfn.XLOOKUP(O2868,[1]AttributeName!$B:$B,[1]AttributeName!$E:$E),2,_xlfn.XLOOKUP(C2868,#REF!,#REF!),3,_xlfn.XLOOKUP(C2868,#REF!,#REF!)),0)</f>
        <v>0</v>
      </c>
    </row>
    <row r="2869" customFormat="1" spans="1:20">
      <c r="A2869">
        <v>1201</v>
      </c>
      <c r="B2869">
        <v>4</v>
      </c>
      <c r="C2869" t="s">
        <v>377</v>
      </c>
      <c r="D2869" t="s">
        <v>21</v>
      </c>
      <c r="E2869" t="s">
        <v>378</v>
      </c>
      <c r="G2869">
        <v>1</v>
      </c>
      <c r="H2869">
        <v>500</v>
      </c>
      <c r="J2869" cm="1">
        <f t="array" ref="J2869">_xlfn.SWITCH(B2869,1,75,2,61,3,49,4,37,5,25,6,13,7,4,8,1)</f>
        <v>37</v>
      </c>
      <c r="K2869" t="str" cm="1">
        <f t="array" ref="K2869">IFERROR(_xlfn.SWITCH(L2869,2,_xlfn.XLOOKUP(C2869,[1]ModifierDes!$B:$B,[1]ModifierDes!$C:$C),3,_xlfn.XLOOKUP(C2869,[1]StuntDes!$B:$B,[1]StuntDes!$C:$C)),"")</f>
        <v>物理伤害倍率增加{0}</v>
      </c>
      <c r="L2869">
        <f t="shared" si="117"/>
        <v>2</v>
      </c>
      <c r="M2869" s="10" t="str">
        <f>IFERROR(_xlfn.XLOOKUP(C2869,[1]StuntDes!$B:$B,[1]StuntDes!$A:$A),"")</f>
        <v/>
      </c>
      <c r="N2869" s="10">
        <f>IFERROR(_xlfn.XLOOKUP(C2869,[1]ModifierDes!$B:$B,[1]ModifierDes!$A:$A),"")</f>
        <v>10056</v>
      </c>
      <c r="O2869" s="10" t="str">
        <f>IFERROR(_xlfn.XLOOKUP(C2869,[1]AttributeName!$C:$C,[1]AttributeName!$B:$B),"")</f>
        <v/>
      </c>
      <c r="P2869" s="10"/>
      <c r="Q2869">
        <v>0.32</v>
      </c>
      <c r="R2869">
        <v>0.37</v>
      </c>
      <c r="S2869" cm="1">
        <f t="array" ref="S2869">IFERROR(_xlfn.SWITCH(L2869,1,_xlfn.XLOOKUP(O2869,[1]AttributeName!$B:$B,[1]AttributeName!$D:$D),2,_xlfn.XLOOKUP(C2869,#REF!,#REF!),3,_xlfn.XLOOKUP(C2869,#REF!,#REF!)),0)</f>
        <v>0</v>
      </c>
      <c r="T2869" cm="1">
        <f t="array" ref="T2869">IFERROR(_xlfn.SWITCH(L2869,1,_xlfn.XLOOKUP(O2869,[1]AttributeName!$B:$B,[1]AttributeName!$E:$E),2,_xlfn.XLOOKUP(C2869,#REF!,#REF!),3,_xlfn.XLOOKUP(C2869,#REF!,#REF!)),0)</f>
        <v>0</v>
      </c>
    </row>
    <row r="2870" customFormat="1" spans="1:20">
      <c r="A2870">
        <v>1201</v>
      </c>
      <c r="B2870">
        <v>5</v>
      </c>
      <c r="C2870" t="s">
        <v>377</v>
      </c>
      <c r="D2870" t="s">
        <v>21</v>
      </c>
      <c r="E2870" t="s">
        <v>378</v>
      </c>
      <c r="G2870">
        <v>1</v>
      </c>
      <c r="H2870">
        <v>1000</v>
      </c>
      <c r="J2870" cm="1">
        <f t="array" ref="J2870">_xlfn.SWITCH(B2870,1,75,2,61,3,49,4,37,5,25,6,13,7,4,8,1)</f>
        <v>25</v>
      </c>
      <c r="K2870" t="str" cm="1">
        <f t="array" ref="K2870">IFERROR(_xlfn.SWITCH(L2870,2,_xlfn.XLOOKUP(C2870,[1]ModifierDes!$B:$B,[1]ModifierDes!$C:$C),3,_xlfn.XLOOKUP(C2870,[1]StuntDes!$B:$B,[1]StuntDes!$C:$C)),"")</f>
        <v>物理伤害倍率增加{0}</v>
      </c>
      <c r="L2870">
        <f t="shared" si="117"/>
        <v>2</v>
      </c>
      <c r="M2870" s="10" t="str">
        <f>IFERROR(_xlfn.XLOOKUP(C2870,[1]StuntDes!$B:$B,[1]StuntDes!$A:$A),"")</f>
        <v/>
      </c>
      <c r="N2870" s="10">
        <f>IFERROR(_xlfn.XLOOKUP(C2870,[1]ModifierDes!$B:$B,[1]ModifierDes!$A:$A),"")</f>
        <v>10056</v>
      </c>
      <c r="O2870" s="10" t="str">
        <f>IFERROR(_xlfn.XLOOKUP(C2870,[1]AttributeName!$C:$C,[1]AttributeName!$B:$B),"")</f>
        <v/>
      </c>
      <c r="P2870" s="10"/>
      <c r="Q2870">
        <v>0.26</v>
      </c>
      <c r="R2870">
        <v>0.31</v>
      </c>
      <c r="S2870" cm="1">
        <f t="array" ref="S2870">IFERROR(_xlfn.SWITCH(L2870,1,_xlfn.XLOOKUP(O2870,[1]AttributeName!$B:$B,[1]AttributeName!$D:$D),2,_xlfn.XLOOKUP(C2870,#REF!,#REF!),3,_xlfn.XLOOKUP(C2870,#REF!,#REF!)),0)</f>
        <v>0</v>
      </c>
      <c r="T2870" cm="1">
        <f t="array" ref="T2870">IFERROR(_xlfn.SWITCH(L2870,1,_xlfn.XLOOKUP(O2870,[1]AttributeName!$B:$B,[1]AttributeName!$E:$E),2,_xlfn.XLOOKUP(C2870,#REF!,#REF!),3,_xlfn.XLOOKUP(C2870,#REF!,#REF!)),0)</f>
        <v>0</v>
      </c>
    </row>
    <row r="2871" customFormat="1" spans="1:20">
      <c r="A2871">
        <v>1201</v>
      </c>
      <c r="B2871">
        <v>6</v>
      </c>
      <c r="C2871" t="s">
        <v>377</v>
      </c>
      <c r="D2871" t="s">
        <v>21</v>
      </c>
      <c r="E2871" t="s">
        <v>378</v>
      </c>
      <c r="G2871">
        <v>1</v>
      </c>
      <c r="H2871">
        <v>1000</v>
      </c>
      <c r="J2871" cm="1">
        <f t="array" ref="J2871">_xlfn.SWITCH(B2871,1,75,2,61,3,49,4,37,5,25,6,13,7,4,8,1)</f>
        <v>13</v>
      </c>
      <c r="K2871" t="str" cm="1">
        <f t="array" ref="K2871">IFERROR(_xlfn.SWITCH(L2871,2,_xlfn.XLOOKUP(C2871,[1]ModifierDes!$B:$B,[1]ModifierDes!$C:$C),3,_xlfn.XLOOKUP(C2871,[1]StuntDes!$B:$B,[1]StuntDes!$C:$C)),"")</f>
        <v>物理伤害倍率增加{0}</v>
      </c>
      <c r="L2871">
        <f t="shared" si="117"/>
        <v>2</v>
      </c>
      <c r="M2871" s="10" t="str">
        <f>IFERROR(_xlfn.XLOOKUP(C2871,[1]StuntDes!$B:$B,[1]StuntDes!$A:$A),"")</f>
        <v/>
      </c>
      <c r="N2871" s="10">
        <f>IFERROR(_xlfn.XLOOKUP(C2871,[1]ModifierDes!$B:$B,[1]ModifierDes!$A:$A),"")</f>
        <v>10056</v>
      </c>
      <c r="O2871" s="10" t="str">
        <f>IFERROR(_xlfn.XLOOKUP(C2871,[1]AttributeName!$C:$C,[1]AttributeName!$B:$B),"")</f>
        <v/>
      </c>
      <c r="P2871" s="10"/>
      <c r="Q2871">
        <v>0.2</v>
      </c>
      <c r="R2871">
        <v>0.25</v>
      </c>
      <c r="S2871" cm="1">
        <f t="array" ref="S2871">IFERROR(_xlfn.SWITCH(L2871,1,_xlfn.XLOOKUP(O2871,[1]AttributeName!$B:$B,[1]AttributeName!$D:$D),2,_xlfn.XLOOKUP(C2871,#REF!,#REF!),3,_xlfn.XLOOKUP(C2871,#REF!,#REF!)),0)</f>
        <v>0</v>
      </c>
      <c r="T2871" cm="1">
        <f t="array" ref="T2871">IFERROR(_xlfn.SWITCH(L2871,1,_xlfn.XLOOKUP(O2871,[1]AttributeName!$B:$B,[1]AttributeName!$E:$E),2,_xlfn.XLOOKUP(C2871,#REF!,#REF!),3,_xlfn.XLOOKUP(C2871,#REF!,#REF!)),0)</f>
        <v>0</v>
      </c>
    </row>
    <row r="2872" customFormat="1" spans="1:20">
      <c r="A2872">
        <v>1201</v>
      </c>
      <c r="B2872">
        <v>7</v>
      </c>
      <c r="C2872" t="s">
        <v>377</v>
      </c>
      <c r="D2872" t="s">
        <v>21</v>
      </c>
      <c r="E2872" t="s">
        <v>378</v>
      </c>
      <c r="G2872">
        <v>1</v>
      </c>
      <c r="H2872">
        <v>1000</v>
      </c>
      <c r="J2872" cm="1">
        <f t="array" ref="J2872">_xlfn.SWITCH(B2872,1,75,2,61,3,49,4,37,5,25,6,13,7,4,8,1)</f>
        <v>4</v>
      </c>
      <c r="K2872" t="str" cm="1">
        <f t="array" ref="K2872">IFERROR(_xlfn.SWITCH(L2872,2,_xlfn.XLOOKUP(C2872,[1]ModifierDes!$B:$B,[1]ModifierDes!$C:$C),3,_xlfn.XLOOKUP(C2872,[1]StuntDes!$B:$B,[1]StuntDes!$C:$C)),"")</f>
        <v>物理伤害倍率增加{0}</v>
      </c>
      <c r="L2872">
        <f t="shared" si="117"/>
        <v>2</v>
      </c>
      <c r="M2872" s="10" t="str">
        <f>IFERROR(_xlfn.XLOOKUP(C2872,[1]StuntDes!$B:$B,[1]StuntDes!$A:$A),"")</f>
        <v/>
      </c>
      <c r="N2872" s="10">
        <f>IFERROR(_xlfn.XLOOKUP(C2872,[1]ModifierDes!$B:$B,[1]ModifierDes!$A:$A),"")</f>
        <v>10056</v>
      </c>
      <c r="O2872" s="10" t="str">
        <f>IFERROR(_xlfn.XLOOKUP(C2872,[1]AttributeName!$C:$C,[1]AttributeName!$B:$B),"")</f>
        <v/>
      </c>
      <c r="P2872" s="10"/>
      <c r="Q2872">
        <v>0.14</v>
      </c>
      <c r="R2872">
        <v>0.19</v>
      </c>
      <c r="S2872" cm="1">
        <f t="array" ref="S2872">IFERROR(_xlfn.SWITCH(L2872,1,_xlfn.XLOOKUP(O2872,[1]AttributeName!$B:$B,[1]AttributeName!$D:$D),2,_xlfn.XLOOKUP(C2872,#REF!,#REF!),3,_xlfn.XLOOKUP(C2872,#REF!,#REF!)),0)</f>
        <v>0</v>
      </c>
      <c r="T2872" cm="1">
        <f t="array" ref="T2872">IFERROR(_xlfn.SWITCH(L2872,1,_xlfn.XLOOKUP(O2872,[1]AttributeName!$B:$B,[1]AttributeName!$E:$E),2,_xlfn.XLOOKUP(C2872,#REF!,#REF!),3,_xlfn.XLOOKUP(C2872,#REF!,#REF!)),0)</f>
        <v>0</v>
      </c>
    </row>
    <row r="2873" customFormat="1" spans="1:20">
      <c r="A2873">
        <v>1201</v>
      </c>
      <c r="B2873">
        <v>8</v>
      </c>
      <c r="C2873" t="s">
        <v>377</v>
      </c>
      <c r="D2873" t="s">
        <v>21</v>
      </c>
      <c r="E2873" t="s">
        <v>378</v>
      </c>
      <c r="G2873">
        <v>1</v>
      </c>
      <c r="H2873">
        <v>1000</v>
      </c>
      <c r="J2873" cm="1">
        <f t="array" ref="J2873">_xlfn.SWITCH(B2873,1,75,2,61,3,49,4,37,5,25,6,13,7,4,8,1)</f>
        <v>1</v>
      </c>
      <c r="K2873" t="str" cm="1">
        <f t="array" ref="K2873">IFERROR(_xlfn.SWITCH(L2873,2,_xlfn.XLOOKUP(C2873,[1]ModifierDes!$B:$B,[1]ModifierDes!$C:$C),3,_xlfn.XLOOKUP(C2873,[1]StuntDes!$B:$B,[1]StuntDes!$C:$C)),"")</f>
        <v>物理伤害倍率增加{0}</v>
      </c>
      <c r="L2873">
        <f t="shared" si="117"/>
        <v>2</v>
      </c>
      <c r="M2873" s="10" t="str">
        <f>IFERROR(_xlfn.XLOOKUP(C2873,[1]StuntDes!$B:$B,[1]StuntDes!$A:$A),"")</f>
        <v/>
      </c>
      <c r="N2873" s="10">
        <f>IFERROR(_xlfn.XLOOKUP(C2873,[1]ModifierDes!$B:$B,[1]ModifierDes!$A:$A),"")</f>
        <v>10056</v>
      </c>
      <c r="O2873" s="10" t="str">
        <f>IFERROR(_xlfn.XLOOKUP(C2873,[1]AttributeName!$C:$C,[1]AttributeName!$B:$B),"")</f>
        <v/>
      </c>
      <c r="P2873" s="10"/>
      <c r="Q2873">
        <v>0.08</v>
      </c>
      <c r="R2873">
        <v>0.13</v>
      </c>
      <c r="S2873" cm="1">
        <f t="array" ref="S2873">IFERROR(_xlfn.SWITCH(L2873,1,_xlfn.XLOOKUP(O2873,[1]AttributeName!$B:$B,[1]AttributeName!$D:$D),2,_xlfn.XLOOKUP(C2873,#REF!,#REF!),3,_xlfn.XLOOKUP(C2873,#REF!,#REF!)),0)</f>
        <v>0</v>
      </c>
      <c r="T2873" cm="1">
        <f t="array" ref="T2873">IFERROR(_xlfn.SWITCH(L2873,1,_xlfn.XLOOKUP(O2873,[1]AttributeName!$B:$B,[1]AttributeName!$E:$E),2,_xlfn.XLOOKUP(C2873,#REF!,#REF!),3,_xlfn.XLOOKUP(C2873,#REF!,#REF!)),0)</f>
        <v>0</v>
      </c>
    </row>
    <row r="2874" customFormat="1" spans="1:20">
      <c r="A2874">
        <f t="shared" ref="A2874:A2937" si="118">A2866+1</f>
        <v>1202</v>
      </c>
      <c r="B2874">
        <v>1</v>
      </c>
      <c r="C2874" t="s">
        <v>379</v>
      </c>
      <c r="D2874" t="s">
        <v>21</v>
      </c>
      <c r="E2874" t="s">
        <v>378</v>
      </c>
      <c r="G2874">
        <v>1</v>
      </c>
      <c r="H2874">
        <v>50</v>
      </c>
      <c r="J2874" cm="1">
        <f t="array" ref="J2874">_xlfn.SWITCH(B2874,1,75,2,61,3,49,4,37,5,25,6,13,7,4,8,1)</f>
        <v>75</v>
      </c>
      <c r="K2874" t="str" cm="1">
        <f t="array" ref="K2874">IFERROR(_xlfn.SWITCH(L2874,2,_xlfn.XLOOKUP(C2874,[1]ModifierDes!$B:$B,[1]ModifierDes!$C:$C),3,_xlfn.XLOOKUP(C2874,[1]StuntDes!$B:$B,[1]StuntDes!$C:$C)),"")</f>
        <v>火焰伤害倍率增加{0}</v>
      </c>
      <c r="L2874">
        <f t="shared" si="117"/>
        <v>2</v>
      </c>
      <c r="M2874" s="10" t="str">
        <f>IFERROR(_xlfn.XLOOKUP(C2874,[1]StuntDes!$B:$B,[1]StuntDes!$A:$A),"")</f>
        <v/>
      </c>
      <c r="N2874" s="10">
        <f>IFERROR(_xlfn.XLOOKUP(C2874,[1]ModifierDes!$B:$B,[1]ModifierDes!$A:$A),"")</f>
        <v>10057</v>
      </c>
      <c r="O2874" s="10" t="str">
        <f>IFERROR(_xlfn.XLOOKUP(C2874,[1]AttributeName!$C:$C,[1]AttributeName!$B:$B),"")</f>
        <v/>
      </c>
      <c r="P2874" s="10"/>
      <c r="Q2874">
        <v>0.5</v>
      </c>
      <c r="R2874">
        <v>0.7</v>
      </c>
      <c r="S2874" cm="1">
        <f t="array" ref="S2874">IFERROR(_xlfn.SWITCH(L2874,1,_xlfn.XLOOKUP(O2874,[1]AttributeName!$B:$B,[1]AttributeName!$D:$D),2,_xlfn.XLOOKUP(C2874,#REF!,#REF!),3,_xlfn.XLOOKUP(C2874,#REF!,#REF!)),0)</f>
        <v>0</v>
      </c>
      <c r="T2874" cm="1">
        <f t="array" ref="T2874">IFERROR(_xlfn.SWITCH(L2874,1,_xlfn.XLOOKUP(O2874,[1]AttributeName!$B:$B,[1]AttributeName!$E:$E),2,_xlfn.XLOOKUP(C2874,#REF!,#REF!),3,_xlfn.XLOOKUP(C2874,#REF!,#REF!)),0)</f>
        <v>0</v>
      </c>
    </row>
    <row r="2875" customFormat="1" spans="1:20">
      <c r="A2875">
        <f t="shared" si="118"/>
        <v>1202</v>
      </c>
      <c r="B2875">
        <v>2</v>
      </c>
      <c r="C2875" t="s">
        <v>379</v>
      </c>
      <c r="D2875" t="s">
        <v>21</v>
      </c>
      <c r="E2875" t="s">
        <v>378</v>
      </c>
      <c r="G2875">
        <v>1</v>
      </c>
      <c r="H2875">
        <v>100</v>
      </c>
      <c r="J2875" cm="1">
        <f t="array" ref="J2875">_xlfn.SWITCH(B2875,1,75,2,61,3,49,4,37,5,25,6,13,7,4,8,1)</f>
        <v>61</v>
      </c>
      <c r="K2875" t="str" cm="1">
        <f t="array" ref="K2875">IFERROR(_xlfn.SWITCH(L2875,2,_xlfn.XLOOKUP(C2875,[1]ModifierDes!$B:$B,[1]ModifierDes!$C:$C),3,_xlfn.XLOOKUP(C2875,[1]StuntDes!$B:$B,[1]StuntDes!$C:$C)),"")</f>
        <v>火焰伤害倍率增加{0}</v>
      </c>
      <c r="L2875">
        <f t="shared" si="117"/>
        <v>2</v>
      </c>
      <c r="M2875" s="10" t="str">
        <f>IFERROR(_xlfn.XLOOKUP(C2875,[1]StuntDes!$B:$B,[1]StuntDes!$A:$A),"")</f>
        <v/>
      </c>
      <c r="N2875" s="10">
        <f>IFERROR(_xlfn.XLOOKUP(C2875,[1]ModifierDes!$B:$B,[1]ModifierDes!$A:$A),"")</f>
        <v>10057</v>
      </c>
      <c r="O2875" s="10" t="str">
        <f>IFERROR(_xlfn.XLOOKUP(C2875,[1]AttributeName!$C:$C,[1]AttributeName!$B:$B),"")</f>
        <v/>
      </c>
      <c r="P2875" s="10"/>
      <c r="Q2875">
        <v>0.44</v>
      </c>
      <c r="R2875">
        <v>0.49</v>
      </c>
      <c r="S2875" cm="1">
        <f t="array" ref="S2875">IFERROR(_xlfn.SWITCH(L2875,1,_xlfn.XLOOKUP(O2875,[1]AttributeName!$B:$B,[1]AttributeName!$D:$D),2,_xlfn.XLOOKUP(C2875,#REF!,#REF!),3,_xlfn.XLOOKUP(C2875,#REF!,#REF!)),0)</f>
        <v>0</v>
      </c>
      <c r="T2875" cm="1">
        <f t="array" ref="T2875">IFERROR(_xlfn.SWITCH(L2875,1,_xlfn.XLOOKUP(O2875,[1]AttributeName!$B:$B,[1]AttributeName!$E:$E),2,_xlfn.XLOOKUP(C2875,#REF!,#REF!),3,_xlfn.XLOOKUP(C2875,#REF!,#REF!)),0)</f>
        <v>0</v>
      </c>
    </row>
    <row r="2876" customFormat="1" spans="1:20">
      <c r="A2876">
        <f t="shared" si="118"/>
        <v>1202</v>
      </c>
      <c r="B2876">
        <v>3</v>
      </c>
      <c r="C2876" t="s">
        <v>379</v>
      </c>
      <c r="D2876" t="s">
        <v>21</v>
      </c>
      <c r="E2876" t="s">
        <v>378</v>
      </c>
      <c r="G2876">
        <v>1</v>
      </c>
      <c r="H2876">
        <v>200</v>
      </c>
      <c r="J2876" cm="1">
        <f t="array" ref="J2876">_xlfn.SWITCH(B2876,1,75,2,61,3,49,4,37,5,25,6,13,7,4,8,1)</f>
        <v>49</v>
      </c>
      <c r="K2876" t="str" cm="1">
        <f t="array" ref="K2876">IFERROR(_xlfn.SWITCH(L2876,2,_xlfn.XLOOKUP(C2876,[1]ModifierDes!$B:$B,[1]ModifierDes!$C:$C),3,_xlfn.XLOOKUP(C2876,[1]StuntDes!$B:$B,[1]StuntDes!$C:$C)),"")</f>
        <v>火焰伤害倍率增加{0}</v>
      </c>
      <c r="L2876">
        <f t="shared" si="117"/>
        <v>2</v>
      </c>
      <c r="M2876" s="10" t="str">
        <f>IFERROR(_xlfn.XLOOKUP(C2876,[1]StuntDes!$B:$B,[1]StuntDes!$A:$A),"")</f>
        <v/>
      </c>
      <c r="N2876" s="10">
        <f>IFERROR(_xlfn.XLOOKUP(C2876,[1]ModifierDes!$B:$B,[1]ModifierDes!$A:$A),"")</f>
        <v>10057</v>
      </c>
      <c r="O2876" s="10" t="str">
        <f>IFERROR(_xlfn.XLOOKUP(C2876,[1]AttributeName!$C:$C,[1]AttributeName!$B:$B),"")</f>
        <v/>
      </c>
      <c r="P2876" s="10"/>
      <c r="Q2876">
        <v>0.38</v>
      </c>
      <c r="R2876">
        <v>0.43</v>
      </c>
      <c r="S2876" cm="1">
        <f t="array" ref="S2876">IFERROR(_xlfn.SWITCH(L2876,1,_xlfn.XLOOKUP(O2876,[1]AttributeName!$B:$B,[1]AttributeName!$D:$D),2,_xlfn.XLOOKUP(C2876,#REF!,#REF!),3,_xlfn.XLOOKUP(C2876,#REF!,#REF!)),0)</f>
        <v>0</v>
      </c>
      <c r="T2876" cm="1">
        <f t="array" ref="T2876">IFERROR(_xlfn.SWITCH(L2876,1,_xlfn.XLOOKUP(O2876,[1]AttributeName!$B:$B,[1]AttributeName!$E:$E),2,_xlfn.XLOOKUP(C2876,#REF!,#REF!),3,_xlfn.XLOOKUP(C2876,#REF!,#REF!)),0)</f>
        <v>0</v>
      </c>
    </row>
    <row r="2877" customFormat="1" spans="1:20">
      <c r="A2877">
        <f t="shared" si="118"/>
        <v>1202</v>
      </c>
      <c r="B2877">
        <v>4</v>
      </c>
      <c r="C2877" t="s">
        <v>379</v>
      </c>
      <c r="D2877" t="s">
        <v>21</v>
      </c>
      <c r="E2877" t="s">
        <v>378</v>
      </c>
      <c r="G2877">
        <v>1</v>
      </c>
      <c r="H2877">
        <v>500</v>
      </c>
      <c r="J2877" cm="1">
        <f t="array" ref="J2877">_xlfn.SWITCH(B2877,1,75,2,61,3,49,4,37,5,25,6,13,7,4,8,1)</f>
        <v>37</v>
      </c>
      <c r="K2877" t="str" cm="1">
        <f t="array" ref="K2877">IFERROR(_xlfn.SWITCH(L2877,2,_xlfn.XLOOKUP(C2877,[1]ModifierDes!$B:$B,[1]ModifierDes!$C:$C),3,_xlfn.XLOOKUP(C2877,[1]StuntDes!$B:$B,[1]StuntDes!$C:$C)),"")</f>
        <v>火焰伤害倍率增加{0}</v>
      </c>
      <c r="L2877">
        <f t="shared" si="117"/>
        <v>2</v>
      </c>
      <c r="M2877" s="10" t="str">
        <f>IFERROR(_xlfn.XLOOKUP(C2877,[1]StuntDes!$B:$B,[1]StuntDes!$A:$A),"")</f>
        <v/>
      </c>
      <c r="N2877" s="10">
        <f>IFERROR(_xlfn.XLOOKUP(C2877,[1]ModifierDes!$B:$B,[1]ModifierDes!$A:$A),"")</f>
        <v>10057</v>
      </c>
      <c r="O2877" s="10" t="str">
        <f>IFERROR(_xlfn.XLOOKUP(C2877,[1]AttributeName!$C:$C,[1]AttributeName!$B:$B),"")</f>
        <v/>
      </c>
      <c r="P2877" s="10"/>
      <c r="Q2877">
        <v>0.32</v>
      </c>
      <c r="R2877">
        <v>0.37</v>
      </c>
      <c r="S2877" cm="1">
        <f t="array" ref="S2877">IFERROR(_xlfn.SWITCH(L2877,1,_xlfn.XLOOKUP(O2877,[1]AttributeName!$B:$B,[1]AttributeName!$D:$D),2,_xlfn.XLOOKUP(C2877,#REF!,#REF!),3,_xlfn.XLOOKUP(C2877,#REF!,#REF!)),0)</f>
        <v>0</v>
      </c>
      <c r="T2877" cm="1">
        <f t="array" ref="T2877">IFERROR(_xlfn.SWITCH(L2877,1,_xlfn.XLOOKUP(O2877,[1]AttributeName!$B:$B,[1]AttributeName!$E:$E),2,_xlfn.XLOOKUP(C2877,#REF!,#REF!),3,_xlfn.XLOOKUP(C2877,#REF!,#REF!)),0)</f>
        <v>0</v>
      </c>
    </row>
    <row r="2878" customFormat="1" spans="1:20">
      <c r="A2878">
        <f t="shared" si="118"/>
        <v>1202</v>
      </c>
      <c r="B2878">
        <v>5</v>
      </c>
      <c r="C2878" t="s">
        <v>379</v>
      </c>
      <c r="D2878" t="s">
        <v>21</v>
      </c>
      <c r="E2878" t="s">
        <v>378</v>
      </c>
      <c r="G2878">
        <v>1</v>
      </c>
      <c r="H2878">
        <v>1000</v>
      </c>
      <c r="J2878" cm="1">
        <f t="array" ref="J2878">_xlfn.SWITCH(B2878,1,75,2,61,3,49,4,37,5,25,6,13,7,4,8,1)</f>
        <v>25</v>
      </c>
      <c r="K2878" t="str" cm="1">
        <f t="array" ref="K2878">IFERROR(_xlfn.SWITCH(L2878,2,_xlfn.XLOOKUP(C2878,[1]ModifierDes!$B:$B,[1]ModifierDes!$C:$C),3,_xlfn.XLOOKUP(C2878,[1]StuntDes!$B:$B,[1]StuntDes!$C:$C)),"")</f>
        <v>火焰伤害倍率增加{0}</v>
      </c>
      <c r="L2878">
        <f t="shared" si="117"/>
        <v>2</v>
      </c>
      <c r="M2878" s="10" t="str">
        <f>IFERROR(_xlfn.XLOOKUP(C2878,[1]StuntDes!$B:$B,[1]StuntDes!$A:$A),"")</f>
        <v/>
      </c>
      <c r="N2878" s="10">
        <f>IFERROR(_xlfn.XLOOKUP(C2878,[1]ModifierDes!$B:$B,[1]ModifierDes!$A:$A),"")</f>
        <v>10057</v>
      </c>
      <c r="O2878" s="10" t="str">
        <f>IFERROR(_xlfn.XLOOKUP(C2878,[1]AttributeName!$C:$C,[1]AttributeName!$B:$B),"")</f>
        <v/>
      </c>
      <c r="P2878" s="10"/>
      <c r="Q2878">
        <v>0.26</v>
      </c>
      <c r="R2878">
        <v>0.31</v>
      </c>
      <c r="S2878" cm="1">
        <f t="array" ref="S2878">IFERROR(_xlfn.SWITCH(L2878,1,_xlfn.XLOOKUP(O2878,[1]AttributeName!$B:$B,[1]AttributeName!$D:$D),2,_xlfn.XLOOKUP(C2878,#REF!,#REF!),3,_xlfn.XLOOKUP(C2878,#REF!,#REF!)),0)</f>
        <v>0</v>
      </c>
      <c r="T2878" cm="1">
        <f t="array" ref="T2878">IFERROR(_xlfn.SWITCH(L2878,1,_xlfn.XLOOKUP(O2878,[1]AttributeName!$B:$B,[1]AttributeName!$E:$E),2,_xlfn.XLOOKUP(C2878,#REF!,#REF!),3,_xlfn.XLOOKUP(C2878,#REF!,#REF!)),0)</f>
        <v>0</v>
      </c>
    </row>
    <row r="2879" customFormat="1" spans="1:20">
      <c r="A2879">
        <f t="shared" si="118"/>
        <v>1202</v>
      </c>
      <c r="B2879">
        <v>6</v>
      </c>
      <c r="C2879" t="s">
        <v>379</v>
      </c>
      <c r="D2879" t="s">
        <v>21</v>
      </c>
      <c r="E2879" t="s">
        <v>378</v>
      </c>
      <c r="G2879">
        <v>1</v>
      </c>
      <c r="H2879">
        <v>1000</v>
      </c>
      <c r="J2879" cm="1">
        <f t="array" ref="J2879">_xlfn.SWITCH(B2879,1,75,2,61,3,49,4,37,5,25,6,13,7,4,8,1)</f>
        <v>13</v>
      </c>
      <c r="K2879" t="str" cm="1">
        <f t="array" ref="K2879">IFERROR(_xlfn.SWITCH(L2879,2,_xlfn.XLOOKUP(C2879,[1]ModifierDes!$B:$B,[1]ModifierDes!$C:$C),3,_xlfn.XLOOKUP(C2879,[1]StuntDes!$B:$B,[1]StuntDes!$C:$C)),"")</f>
        <v>火焰伤害倍率增加{0}</v>
      </c>
      <c r="L2879">
        <f t="shared" si="117"/>
        <v>2</v>
      </c>
      <c r="M2879" s="10" t="str">
        <f>IFERROR(_xlfn.XLOOKUP(C2879,[1]StuntDes!$B:$B,[1]StuntDes!$A:$A),"")</f>
        <v/>
      </c>
      <c r="N2879" s="10">
        <f>IFERROR(_xlfn.XLOOKUP(C2879,[1]ModifierDes!$B:$B,[1]ModifierDes!$A:$A),"")</f>
        <v>10057</v>
      </c>
      <c r="O2879" s="10" t="str">
        <f>IFERROR(_xlfn.XLOOKUP(C2879,[1]AttributeName!$C:$C,[1]AttributeName!$B:$B),"")</f>
        <v/>
      </c>
      <c r="P2879" s="10"/>
      <c r="Q2879">
        <v>0.2</v>
      </c>
      <c r="R2879">
        <v>0.25</v>
      </c>
      <c r="S2879" cm="1">
        <f t="array" ref="S2879">IFERROR(_xlfn.SWITCH(L2879,1,_xlfn.XLOOKUP(O2879,[1]AttributeName!$B:$B,[1]AttributeName!$D:$D),2,_xlfn.XLOOKUP(C2879,#REF!,#REF!),3,_xlfn.XLOOKUP(C2879,#REF!,#REF!)),0)</f>
        <v>0</v>
      </c>
      <c r="T2879" cm="1">
        <f t="array" ref="T2879">IFERROR(_xlfn.SWITCH(L2879,1,_xlfn.XLOOKUP(O2879,[1]AttributeName!$B:$B,[1]AttributeName!$E:$E),2,_xlfn.XLOOKUP(C2879,#REF!,#REF!),3,_xlfn.XLOOKUP(C2879,#REF!,#REF!)),0)</f>
        <v>0</v>
      </c>
    </row>
    <row r="2880" customFormat="1" spans="1:20">
      <c r="A2880">
        <f t="shared" si="118"/>
        <v>1202</v>
      </c>
      <c r="B2880">
        <v>7</v>
      </c>
      <c r="C2880" t="s">
        <v>379</v>
      </c>
      <c r="D2880" t="s">
        <v>21</v>
      </c>
      <c r="E2880" t="s">
        <v>378</v>
      </c>
      <c r="G2880">
        <v>1</v>
      </c>
      <c r="H2880">
        <v>1000</v>
      </c>
      <c r="J2880" cm="1">
        <f t="array" ref="J2880">_xlfn.SWITCH(B2880,1,75,2,61,3,49,4,37,5,25,6,13,7,4,8,1)</f>
        <v>4</v>
      </c>
      <c r="K2880" t="str" cm="1">
        <f t="array" ref="K2880">IFERROR(_xlfn.SWITCH(L2880,2,_xlfn.XLOOKUP(C2880,[1]ModifierDes!$B:$B,[1]ModifierDes!$C:$C),3,_xlfn.XLOOKUP(C2880,[1]StuntDes!$B:$B,[1]StuntDes!$C:$C)),"")</f>
        <v>火焰伤害倍率增加{0}</v>
      </c>
      <c r="L2880">
        <f t="shared" si="117"/>
        <v>2</v>
      </c>
      <c r="M2880" s="10" t="str">
        <f>IFERROR(_xlfn.XLOOKUP(C2880,[1]StuntDes!$B:$B,[1]StuntDes!$A:$A),"")</f>
        <v/>
      </c>
      <c r="N2880" s="10">
        <f>IFERROR(_xlfn.XLOOKUP(C2880,[1]ModifierDes!$B:$B,[1]ModifierDes!$A:$A),"")</f>
        <v>10057</v>
      </c>
      <c r="O2880" s="10" t="str">
        <f>IFERROR(_xlfn.XLOOKUP(C2880,[1]AttributeName!$C:$C,[1]AttributeName!$B:$B),"")</f>
        <v/>
      </c>
      <c r="P2880" s="10"/>
      <c r="Q2880">
        <v>0.14</v>
      </c>
      <c r="R2880">
        <v>0.19</v>
      </c>
      <c r="S2880" cm="1">
        <f t="array" ref="S2880">IFERROR(_xlfn.SWITCH(L2880,1,_xlfn.XLOOKUP(O2880,[1]AttributeName!$B:$B,[1]AttributeName!$D:$D),2,_xlfn.XLOOKUP(C2880,#REF!,#REF!),3,_xlfn.XLOOKUP(C2880,#REF!,#REF!)),0)</f>
        <v>0</v>
      </c>
      <c r="T2880" cm="1">
        <f t="array" ref="T2880">IFERROR(_xlfn.SWITCH(L2880,1,_xlfn.XLOOKUP(O2880,[1]AttributeName!$B:$B,[1]AttributeName!$E:$E),2,_xlfn.XLOOKUP(C2880,#REF!,#REF!),3,_xlfn.XLOOKUP(C2880,#REF!,#REF!)),0)</f>
        <v>0</v>
      </c>
    </row>
    <row r="2881" customFormat="1" spans="1:20">
      <c r="A2881">
        <f t="shared" si="118"/>
        <v>1202</v>
      </c>
      <c r="B2881">
        <v>8</v>
      </c>
      <c r="C2881" t="s">
        <v>379</v>
      </c>
      <c r="D2881" t="s">
        <v>21</v>
      </c>
      <c r="E2881" t="s">
        <v>378</v>
      </c>
      <c r="G2881">
        <v>1</v>
      </c>
      <c r="H2881">
        <v>1000</v>
      </c>
      <c r="J2881" cm="1">
        <f t="array" ref="J2881">_xlfn.SWITCH(B2881,1,75,2,61,3,49,4,37,5,25,6,13,7,4,8,1)</f>
        <v>1</v>
      </c>
      <c r="K2881" t="str" cm="1">
        <f t="array" ref="K2881">IFERROR(_xlfn.SWITCH(L2881,2,_xlfn.XLOOKUP(C2881,[1]ModifierDes!$B:$B,[1]ModifierDes!$C:$C),3,_xlfn.XLOOKUP(C2881,[1]StuntDes!$B:$B,[1]StuntDes!$C:$C)),"")</f>
        <v>火焰伤害倍率增加{0}</v>
      </c>
      <c r="L2881">
        <f t="shared" si="117"/>
        <v>2</v>
      </c>
      <c r="M2881" s="10" t="str">
        <f>IFERROR(_xlfn.XLOOKUP(C2881,[1]StuntDes!$B:$B,[1]StuntDes!$A:$A),"")</f>
        <v/>
      </c>
      <c r="N2881" s="10">
        <f>IFERROR(_xlfn.XLOOKUP(C2881,[1]ModifierDes!$B:$B,[1]ModifierDes!$A:$A),"")</f>
        <v>10057</v>
      </c>
      <c r="O2881" s="10" t="str">
        <f>IFERROR(_xlfn.XLOOKUP(C2881,[1]AttributeName!$C:$C,[1]AttributeName!$B:$B),"")</f>
        <v/>
      </c>
      <c r="P2881" s="10"/>
      <c r="Q2881">
        <v>0.08</v>
      </c>
      <c r="R2881">
        <v>0.13</v>
      </c>
      <c r="S2881" cm="1">
        <f t="array" ref="S2881">IFERROR(_xlfn.SWITCH(L2881,1,_xlfn.XLOOKUP(O2881,[1]AttributeName!$B:$B,[1]AttributeName!$D:$D),2,_xlfn.XLOOKUP(C2881,#REF!,#REF!),3,_xlfn.XLOOKUP(C2881,#REF!,#REF!)),0)</f>
        <v>0</v>
      </c>
      <c r="T2881" cm="1">
        <f t="array" ref="T2881">IFERROR(_xlfn.SWITCH(L2881,1,_xlfn.XLOOKUP(O2881,[1]AttributeName!$B:$B,[1]AttributeName!$E:$E),2,_xlfn.XLOOKUP(C2881,#REF!,#REF!),3,_xlfn.XLOOKUP(C2881,#REF!,#REF!)),0)</f>
        <v>0</v>
      </c>
    </row>
    <row r="2882" customFormat="1" spans="1:20">
      <c r="A2882">
        <f t="shared" si="118"/>
        <v>1203</v>
      </c>
      <c r="B2882">
        <v>1</v>
      </c>
      <c r="C2882" t="s">
        <v>380</v>
      </c>
      <c r="D2882" t="s">
        <v>21</v>
      </c>
      <c r="E2882" t="s">
        <v>378</v>
      </c>
      <c r="G2882">
        <v>1</v>
      </c>
      <c r="H2882">
        <v>50</v>
      </c>
      <c r="J2882" cm="1">
        <f t="array" ref="J2882">_xlfn.SWITCH(B2882,1,75,2,61,3,49,4,37,5,25,6,13,7,4,8,1)</f>
        <v>75</v>
      </c>
      <c r="K2882" t="str" cm="1">
        <f t="array" ref="K2882">IFERROR(_xlfn.SWITCH(L2882,2,_xlfn.XLOOKUP(C2882,[1]ModifierDes!$B:$B,[1]ModifierDes!$C:$C),3,_xlfn.XLOOKUP(C2882,[1]StuntDes!$B:$B,[1]StuntDes!$C:$C)),"")</f>
        <v>冰冷伤害倍率增加{0}</v>
      </c>
      <c r="L2882">
        <f t="shared" si="117"/>
        <v>2</v>
      </c>
      <c r="M2882" s="10" t="str">
        <f>IFERROR(_xlfn.XLOOKUP(C2882,[1]StuntDes!$B:$B,[1]StuntDes!$A:$A),"")</f>
        <v/>
      </c>
      <c r="N2882" s="10">
        <f>IFERROR(_xlfn.XLOOKUP(C2882,[1]ModifierDes!$B:$B,[1]ModifierDes!$A:$A),"")</f>
        <v>10058</v>
      </c>
      <c r="O2882" s="10" t="str">
        <f>IFERROR(_xlfn.XLOOKUP(C2882,[1]AttributeName!$C:$C,[1]AttributeName!$B:$B),"")</f>
        <v/>
      </c>
      <c r="P2882" s="10"/>
      <c r="Q2882">
        <v>0.5</v>
      </c>
      <c r="R2882">
        <v>0.7</v>
      </c>
      <c r="S2882" cm="1">
        <f t="array" ref="S2882">IFERROR(_xlfn.SWITCH(L2882,1,_xlfn.XLOOKUP(O2882,[1]AttributeName!$B:$B,[1]AttributeName!$D:$D),2,_xlfn.XLOOKUP(C2882,#REF!,#REF!),3,_xlfn.XLOOKUP(C2882,#REF!,#REF!)),0)</f>
        <v>0</v>
      </c>
      <c r="T2882" cm="1">
        <f t="array" ref="T2882">IFERROR(_xlfn.SWITCH(L2882,1,_xlfn.XLOOKUP(O2882,[1]AttributeName!$B:$B,[1]AttributeName!$E:$E),2,_xlfn.XLOOKUP(C2882,#REF!,#REF!),3,_xlfn.XLOOKUP(C2882,#REF!,#REF!)),0)</f>
        <v>0</v>
      </c>
    </row>
    <row r="2883" customFormat="1" spans="1:20">
      <c r="A2883">
        <f t="shared" si="118"/>
        <v>1203</v>
      </c>
      <c r="B2883">
        <v>2</v>
      </c>
      <c r="C2883" t="s">
        <v>380</v>
      </c>
      <c r="D2883" t="s">
        <v>21</v>
      </c>
      <c r="E2883" t="s">
        <v>378</v>
      </c>
      <c r="G2883">
        <v>1</v>
      </c>
      <c r="H2883">
        <v>100</v>
      </c>
      <c r="J2883" cm="1">
        <f t="array" ref="J2883">_xlfn.SWITCH(B2883,1,75,2,61,3,49,4,37,5,25,6,13,7,4,8,1)</f>
        <v>61</v>
      </c>
      <c r="K2883" t="str" cm="1">
        <f t="array" ref="K2883">IFERROR(_xlfn.SWITCH(L2883,2,_xlfn.XLOOKUP(C2883,[1]ModifierDes!$B:$B,[1]ModifierDes!$C:$C),3,_xlfn.XLOOKUP(C2883,[1]StuntDes!$B:$B,[1]StuntDes!$C:$C)),"")</f>
        <v>冰冷伤害倍率增加{0}</v>
      </c>
      <c r="L2883">
        <f t="shared" si="117"/>
        <v>2</v>
      </c>
      <c r="M2883" s="10" t="str">
        <f>IFERROR(_xlfn.XLOOKUP(C2883,[1]StuntDes!$B:$B,[1]StuntDes!$A:$A),"")</f>
        <v/>
      </c>
      <c r="N2883" s="10">
        <f>IFERROR(_xlfn.XLOOKUP(C2883,[1]ModifierDes!$B:$B,[1]ModifierDes!$A:$A),"")</f>
        <v>10058</v>
      </c>
      <c r="O2883" s="10" t="str">
        <f>IFERROR(_xlfn.XLOOKUP(C2883,[1]AttributeName!$C:$C,[1]AttributeName!$B:$B),"")</f>
        <v/>
      </c>
      <c r="P2883" s="10"/>
      <c r="Q2883">
        <v>0.44</v>
      </c>
      <c r="R2883">
        <v>0.49</v>
      </c>
      <c r="S2883" cm="1">
        <f t="array" ref="S2883">IFERROR(_xlfn.SWITCH(L2883,1,_xlfn.XLOOKUP(O2883,[1]AttributeName!$B:$B,[1]AttributeName!$D:$D),2,_xlfn.XLOOKUP(C2883,#REF!,#REF!),3,_xlfn.XLOOKUP(C2883,#REF!,#REF!)),0)</f>
        <v>0</v>
      </c>
      <c r="T2883" cm="1">
        <f t="array" ref="T2883">IFERROR(_xlfn.SWITCH(L2883,1,_xlfn.XLOOKUP(O2883,[1]AttributeName!$B:$B,[1]AttributeName!$E:$E),2,_xlfn.XLOOKUP(C2883,#REF!,#REF!),3,_xlfn.XLOOKUP(C2883,#REF!,#REF!)),0)</f>
        <v>0</v>
      </c>
    </row>
    <row r="2884" customFormat="1" spans="1:20">
      <c r="A2884">
        <f t="shared" si="118"/>
        <v>1203</v>
      </c>
      <c r="B2884">
        <v>3</v>
      </c>
      <c r="C2884" t="s">
        <v>380</v>
      </c>
      <c r="D2884" t="s">
        <v>21</v>
      </c>
      <c r="E2884" t="s">
        <v>378</v>
      </c>
      <c r="G2884">
        <v>1</v>
      </c>
      <c r="H2884">
        <v>200</v>
      </c>
      <c r="J2884" cm="1">
        <f t="array" ref="J2884">_xlfn.SWITCH(B2884,1,75,2,61,3,49,4,37,5,25,6,13,7,4,8,1)</f>
        <v>49</v>
      </c>
      <c r="K2884" t="str" cm="1">
        <f t="array" ref="K2884">IFERROR(_xlfn.SWITCH(L2884,2,_xlfn.XLOOKUP(C2884,[1]ModifierDes!$B:$B,[1]ModifierDes!$C:$C),3,_xlfn.XLOOKUP(C2884,[1]StuntDes!$B:$B,[1]StuntDes!$C:$C)),"")</f>
        <v>冰冷伤害倍率增加{0}</v>
      </c>
      <c r="L2884">
        <f t="shared" ref="L2884:L2947" si="119">IF(M2884="",IF(N2884="",1,2),3)</f>
        <v>2</v>
      </c>
      <c r="M2884" s="10" t="str">
        <f>IFERROR(_xlfn.XLOOKUP(C2884,[1]StuntDes!$B:$B,[1]StuntDes!$A:$A),"")</f>
        <v/>
      </c>
      <c r="N2884" s="10">
        <f>IFERROR(_xlfn.XLOOKUP(C2884,[1]ModifierDes!$B:$B,[1]ModifierDes!$A:$A),"")</f>
        <v>10058</v>
      </c>
      <c r="O2884" s="10" t="str">
        <f>IFERROR(_xlfn.XLOOKUP(C2884,[1]AttributeName!$C:$C,[1]AttributeName!$B:$B),"")</f>
        <v/>
      </c>
      <c r="P2884" s="10"/>
      <c r="Q2884">
        <v>0.38</v>
      </c>
      <c r="R2884">
        <v>0.43</v>
      </c>
      <c r="S2884" cm="1">
        <f t="array" ref="S2884">IFERROR(_xlfn.SWITCH(L2884,1,_xlfn.XLOOKUP(O2884,[1]AttributeName!$B:$B,[1]AttributeName!$D:$D),2,_xlfn.XLOOKUP(C2884,#REF!,#REF!),3,_xlfn.XLOOKUP(C2884,#REF!,#REF!)),0)</f>
        <v>0</v>
      </c>
      <c r="T2884" cm="1">
        <f t="array" ref="T2884">IFERROR(_xlfn.SWITCH(L2884,1,_xlfn.XLOOKUP(O2884,[1]AttributeName!$B:$B,[1]AttributeName!$E:$E),2,_xlfn.XLOOKUP(C2884,#REF!,#REF!),3,_xlfn.XLOOKUP(C2884,#REF!,#REF!)),0)</f>
        <v>0</v>
      </c>
    </row>
    <row r="2885" customFormat="1" spans="1:20">
      <c r="A2885">
        <f t="shared" si="118"/>
        <v>1203</v>
      </c>
      <c r="B2885">
        <v>4</v>
      </c>
      <c r="C2885" t="s">
        <v>380</v>
      </c>
      <c r="D2885" t="s">
        <v>21</v>
      </c>
      <c r="E2885" t="s">
        <v>378</v>
      </c>
      <c r="G2885">
        <v>1</v>
      </c>
      <c r="H2885">
        <v>500</v>
      </c>
      <c r="J2885" cm="1">
        <f t="array" ref="J2885">_xlfn.SWITCH(B2885,1,75,2,61,3,49,4,37,5,25,6,13,7,4,8,1)</f>
        <v>37</v>
      </c>
      <c r="K2885" t="str" cm="1">
        <f t="array" ref="K2885">IFERROR(_xlfn.SWITCH(L2885,2,_xlfn.XLOOKUP(C2885,[1]ModifierDes!$B:$B,[1]ModifierDes!$C:$C),3,_xlfn.XLOOKUP(C2885,[1]StuntDes!$B:$B,[1]StuntDes!$C:$C)),"")</f>
        <v>冰冷伤害倍率增加{0}</v>
      </c>
      <c r="L2885">
        <f t="shared" si="119"/>
        <v>2</v>
      </c>
      <c r="M2885" s="10" t="str">
        <f>IFERROR(_xlfn.XLOOKUP(C2885,[1]StuntDes!$B:$B,[1]StuntDes!$A:$A),"")</f>
        <v/>
      </c>
      <c r="N2885" s="10">
        <f>IFERROR(_xlfn.XLOOKUP(C2885,[1]ModifierDes!$B:$B,[1]ModifierDes!$A:$A),"")</f>
        <v>10058</v>
      </c>
      <c r="O2885" s="10" t="str">
        <f>IFERROR(_xlfn.XLOOKUP(C2885,[1]AttributeName!$C:$C,[1]AttributeName!$B:$B),"")</f>
        <v/>
      </c>
      <c r="P2885" s="10"/>
      <c r="Q2885">
        <v>0.32</v>
      </c>
      <c r="R2885">
        <v>0.37</v>
      </c>
      <c r="S2885" cm="1">
        <f t="array" ref="S2885">IFERROR(_xlfn.SWITCH(L2885,1,_xlfn.XLOOKUP(O2885,[1]AttributeName!$B:$B,[1]AttributeName!$D:$D),2,_xlfn.XLOOKUP(C2885,#REF!,#REF!),3,_xlfn.XLOOKUP(C2885,#REF!,#REF!)),0)</f>
        <v>0</v>
      </c>
      <c r="T2885" cm="1">
        <f t="array" ref="T2885">IFERROR(_xlfn.SWITCH(L2885,1,_xlfn.XLOOKUP(O2885,[1]AttributeName!$B:$B,[1]AttributeName!$E:$E),2,_xlfn.XLOOKUP(C2885,#REF!,#REF!),3,_xlfn.XLOOKUP(C2885,#REF!,#REF!)),0)</f>
        <v>0</v>
      </c>
    </row>
    <row r="2886" customFormat="1" spans="1:20">
      <c r="A2886">
        <f t="shared" si="118"/>
        <v>1203</v>
      </c>
      <c r="B2886">
        <v>5</v>
      </c>
      <c r="C2886" t="s">
        <v>380</v>
      </c>
      <c r="D2886" t="s">
        <v>21</v>
      </c>
      <c r="E2886" t="s">
        <v>378</v>
      </c>
      <c r="G2886">
        <v>1</v>
      </c>
      <c r="H2886">
        <v>1000</v>
      </c>
      <c r="J2886" cm="1">
        <f t="array" ref="J2886">_xlfn.SWITCH(B2886,1,75,2,61,3,49,4,37,5,25,6,13,7,4,8,1)</f>
        <v>25</v>
      </c>
      <c r="K2886" t="str" cm="1">
        <f t="array" ref="K2886">IFERROR(_xlfn.SWITCH(L2886,2,_xlfn.XLOOKUP(C2886,[1]ModifierDes!$B:$B,[1]ModifierDes!$C:$C),3,_xlfn.XLOOKUP(C2886,[1]StuntDes!$B:$B,[1]StuntDes!$C:$C)),"")</f>
        <v>冰冷伤害倍率增加{0}</v>
      </c>
      <c r="L2886">
        <f t="shared" si="119"/>
        <v>2</v>
      </c>
      <c r="M2886" s="10" t="str">
        <f>IFERROR(_xlfn.XLOOKUP(C2886,[1]StuntDes!$B:$B,[1]StuntDes!$A:$A),"")</f>
        <v/>
      </c>
      <c r="N2886" s="10">
        <f>IFERROR(_xlfn.XLOOKUP(C2886,[1]ModifierDes!$B:$B,[1]ModifierDes!$A:$A),"")</f>
        <v>10058</v>
      </c>
      <c r="O2886" s="10" t="str">
        <f>IFERROR(_xlfn.XLOOKUP(C2886,[1]AttributeName!$C:$C,[1]AttributeName!$B:$B),"")</f>
        <v/>
      </c>
      <c r="P2886" s="10"/>
      <c r="Q2886">
        <v>0.26</v>
      </c>
      <c r="R2886">
        <v>0.31</v>
      </c>
      <c r="S2886" cm="1">
        <f t="array" ref="S2886">IFERROR(_xlfn.SWITCH(L2886,1,_xlfn.XLOOKUP(O2886,[1]AttributeName!$B:$B,[1]AttributeName!$D:$D),2,_xlfn.XLOOKUP(C2886,#REF!,#REF!),3,_xlfn.XLOOKUP(C2886,#REF!,#REF!)),0)</f>
        <v>0</v>
      </c>
      <c r="T2886" cm="1">
        <f t="array" ref="T2886">IFERROR(_xlfn.SWITCH(L2886,1,_xlfn.XLOOKUP(O2886,[1]AttributeName!$B:$B,[1]AttributeName!$E:$E),2,_xlfn.XLOOKUP(C2886,#REF!,#REF!),3,_xlfn.XLOOKUP(C2886,#REF!,#REF!)),0)</f>
        <v>0</v>
      </c>
    </row>
    <row r="2887" customFormat="1" spans="1:20">
      <c r="A2887">
        <f t="shared" si="118"/>
        <v>1203</v>
      </c>
      <c r="B2887">
        <v>6</v>
      </c>
      <c r="C2887" t="s">
        <v>380</v>
      </c>
      <c r="D2887" t="s">
        <v>21</v>
      </c>
      <c r="E2887" t="s">
        <v>378</v>
      </c>
      <c r="G2887">
        <v>1</v>
      </c>
      <c r="H2887">
        <v>1000</v>
      </c>
      <c r="J2887" cm="1">
        <f t="array" ref="J2887">_xlfn.SWITCH(B2887,1,75,2,61,3,49,4,37,5,25,6,13,7,4,8,1)</f>
        <v>13</v>
      </c>
      <c r="K2887" t="str" cm="1">
        <f t="array" ref="K2887">IFERROR(_xlfn.SWITCH(L2887,2,_xlfn.XLOOKUP(C2887,[1]ModifierDes!$B:$B,[1]ModifierDes!$C:$C),3,_xlfn.XLOOKUP(C2887,[1]StuntDes!$B:$B,[1]StuntDes!$C:$C)),"")</f>
        <v>冰冷伤害倍率增加{0}</v>
      </c>
      <c r="L2887">
        <f t="shared" si="119"/>
        <v>2</v>
      </c>
      <c r="M2887" s="10" t="str">
        <f>IFERROR(_xlfn.XLOOKUP(C2887,[1]StuntDes!$B:$B,[1]StuntDes!$A:$A),"")</f>
        <v/>
      </c>
      <c r="N2887" s="10">
        <f>IFERROR(_xlfn.XLOOKUP(C2887,[1]ModifierDes!$B:$B,[1]ModifierDes!$A:$A),"")</f>
        <v>10058</v>
      </c>
      <c r="O2887" s="10" t="str">
        <f>IFERROR(_xlfn.XLOOKUP(C2887,[1]AttributeName!$C:$C,[1]AttributeName!$B:$B),"")</f>
        <v/>
      </c>
      <c r="P2887" s="10"/>
      <c r="Q2887">
        <v>0.2</v>
      </c>
      <c r="R2887">
        <v>0.25</v>
      </c>
      <c r="S2887" cm="1">
        <f t="array" ref="S2887">IFERROR(_xlfn.SWITCH(L2887,1,_xlfn.XLOOKUP(O2887,[1]AttributeName!$B:$B,[1]AttributeName!$D:$D),2,_xlfn.XLOOKUP(C2887,#REF!,#REF!),3,_xlfn.XLOOKUP(C2887,#REF!,#REF!)),0)</f>
        <v>0</v>
      </c>
      <c r="T2887" cm="1">
        <f t="array" ref="T2887">IFERROR(_xlfn.SWITCH(L2887,1,_xlfn.XLOOKUP(O2887,[1]AttributeName!$B:$B,[1]AttributeName!$E:$E),2,_xlfn.XLOOKUP(C2887,#REF!,#REF!),3,_xlfn.XLOOKUP(C2887,#REF!,#REF!)),0)</f>
        <v>0</v>
      </c>
    </row>
    <row r="2888" customFormat="1" spans="1:20">
      <c r="A2888">
        <f t="shared" si="118"/>
        <v>1203</v>
      </c>
      <c r="B2888">
        <v>7</v>
      </c>
      <c r="C2888" t="s">
        <v>380</v>
      </c>
      <c r="D2888" t="s">
        <v>21</v>
      </c>
      <c r="E2888" t="s">
        <v>378</v>
      </c>
      <c r="G2888">
        <v>1</v>
      </c>
      <c r="H2888">
        <v>1000</v>
      </c>
      <c r="J2888" cm="1">
        <f t="array" ref="J2888">_xlfn.SWITCH(B2888,1,75,2,61,3,49,4,37,5,25,6,13,7,4,8,1)</f>
        <v>4</v>
      </c>
      <c r="K2888" t="str" cm="1">
        <f t="array" ref="K2888">IFERROR(_xlfn.SWITCH(L2888,2,_xlfn.XLOOKUP(C2888,[1]ModifierDes!$B:$B,[1]ModifierDes!$C:$C),3,_xlfn.XLOOKUP(C2888,[1]StuntDes!$B:$B,[1]StuntDes!$C:$C)),"")</f>
        <v>冰冷伤害倍率增加{0}</v>
      </c>
      <c r="L2888">
        <f t="shared" si="119"/>
        <v>2</v>
      </c>
      <c r="M2888" s="10" t="str">
        <f>IFERROR(_xlfn.XLOOKUP(C2888,[1]StuntDes!$B:$B,[1]StuntDes!$A:$A),"")</f>
        <v/>
      </c>
      <c r="N2888" s="10">
        <f>IFERROR(_xlfn.XLOOKUP(C2888,[1]ModifierDes!$B:$B,[1]ModifierDes!$A:$A),"")</f>
        <v>10058</v>
      </c>
      <c r="O2888" s="10" t="str">
        <f>IFERROR(_xlfn.XLOOKUP(C2888,[1]AttributeName!$C:$C,[1]AttributeName!$B:$B),"")</f>
        <v/>
      </c>
      <c r="P2888" s="10"/>
      <c r="Q2888">
        <v>0.14</v>
      </c>
      <c r="R2888">
        <v>0.19</v>
      </c>
      <c r="S2888" cm="1">
        <f t="array" ref="S2888">IFERROR(_xlfn.SWITCH(L2888,1,_xlfn.XLOOKUP(O2888,[1]AttributeName!$B:$B,[1]AttributeName!$D:$D),2,_xlfn.XLOOKUP(C2888,#REF!,#REF!),3,_xlfn.XLOOKUP(C2888,#REF!,#REF!)),0)</f>
        <v>0</v>
      </c>
      <c r="T2888" cm="1">
        <f t="array" ref="T2888">IFERROR(_xlfn.SWITCH(L2888,1,_xlfn.XLOOKUP(O2888,[1]AttributeName!$B:$B,[1]AttributeName!$E:$E),2,_xlfn.XLOOKUP(C2888,#REF!,#REF!),3,_xlfn.XLOOKUP(C2888,#REF!,#REF!)),0)</f>
        <v>0</v>
      </c>
    </row>
    <row r="2889" customFormat="1" spans="1:20">
      <c r="A2889">
        <f t="shared" si="118"/>
        <v>1203</v>
      </c>
      <c r="B2889">
        <v>8</v>
      </c>
      <c r="C2889" t="s">
        <v>380</v>
      </c>
      <c r="D2889" t="s">
        <v>21</v>
      </c>
      <c r="E2889" t="s">
        <v>378</v>
      </c>
      <c r="G2889">
        <v>1</v>
      </c>
      <c r="H2889">
        <v>1000</v>
      </c>
      <c r="J2889" cm="1">
        <f t="array" ref="J2889">_xlfn.SWITCH(B2889,1,75,2,61,3,49,4,37,5,25,6,13,7,4,8,1)</f>
        <v>1</v>
      </c>
      <c r="K2889" t="str" cm="1">
        <f t="array" ref="K2889">IFERROR(_xlfn.SWITCH(L2889,2,_xlfn.XLOOKUP(C2889,[1]ModifierDes!$B:$B,[1]ModifierDes!$C:$C),3,_xlfn.XLOOKUP(C2889,[1]StuntDes!$B:$B,[1]StuntDes!$C:$C)),"")</f>
        <v>冰冷伤害倍率增加{0}</v>
      </c>
      <c r="L2889">
        <f t="shared" si="119"/>
        <v>2</v>
      </c>
      <c r="M2889" s="10" t="str">
        <f>IFERROR(_xlfn.XLOOKUP(C2889,[1]StuntDes!$B:$B,[1]StuntDes!$A:$A),"")</f>
        <v/>
      </c>
      <c r="N2889" s="10">
        <f>IFERROR(_xlfn.XLOOKUP(C2889,[1]ModifierDes!$B:$B,[1]ModifierDes!$A:$A),"")</f>
        <v>10058</v>
      </c>
      <c r="O2889" s="10" t="str">
        <f>IFERROR(_xlfn.XLOOKUP(C2889,[1]AttributeName!$C:$C,[1]AttributeName!$B:$B),"")</f>
        <v/>
      </c>
      <c r="P2889" s="10"/>
      <c r="Q2889">
        <v>0.08</v>
      </c>
      <c r="R2889">
        <v>0.13</v>
      </c>
      <c r="S2889" cm="1">
        <f t="array" ref="S2889">IFERROR(_xlfn.SWITCH(L2889,1,_xlfn.XLOOKUP(O2889,[1]AttributeName!$B:$B,[1]AttributeName!$D:$D),2,_xlfn.XLOOKUP(C2889,#REF!,#REF!),3,_xlfn.XLOOKUP(C2889,#REF!,#REF!)),0)</f>
        <v>0</v>
      </c>
      <c r="T2889" cm="1">
        <f t="array" ref="T2889">IFERROR(_xlfn.SWITCH(L2889,1,_xlfn.XLOOKUP(O2889,[1]AttributeName!$B:$B,[1]AttributeName!$E:$E),2,_xlfn.XLOOKUP(C2889,#REF!,#REF!),3,_xlfn.XLOOKUP(C2889,#REF!,#REF!)),0)</f>
        <v>0</v>
      </c>
    </row>
    <row r="2890" customFormat="1" spans="1:20">
      <c r="A2890">
        <f t="shared" si="118"/>
        <v>1204</v>
      </c>
      <c r="B2890">
        <v>1</v>
      </c>
      <c r="C2890" t="s">
        <v>381</v>
      </c>
      <c r="D2890" t="s">
        <v>21</v>
      </c>
      <c r="E2890" t="s">
        <v>378</v>
      </c>
      <c r="G2890">
        <v>1</v>
      </c>
      <c r="H2890">
        <v>50</v>
      </c>
      <c r="J2890" cm="1">
        <f t="array" ref="J2890">_xlfn.SWITCH(B2890,1,75,2,61,3,49,4,37,5,25,6,13,7,4,8,1)</f>
        <v>75</v>
      </c>
      <c r="K2890" t="str" cm="1">
        <f t="array" ref="K2890">IFERROR(_xlfn.SWITCH(L2890,2,_xlfn.XLOOKUP(C2890,[1]ModifierDes!$B:$B,[1]ModifierDes!$C:$C),3,_xlfn.XLOOKUP(C2890,[1]StuntDes!$B:$B,[1]StuntDes!$C:$C)),"")</f>
        <v>闪电伤害倍率增加{0}</v>
      </c>
      <c r="L2890">
        <f t="shared" si="119"/>
        <v>2</v>
      </c>
      <c r="M2890" s="10" t="str">
        <f>IFERROR(_xlfn.XLOOKUP(C2890,[1]StuntDes!$B:$B,[1]StuntDes!$A:$A),"")</f>
        <v/>
      </c>
      <c r="N2890" s="10">
        <f>IFERROR(_xlfn.XLOOKUP(C2890,[1]ModifierDes!$B:$B,[1]ModifierDes!$A:$A),"")</f>
        <v>10059</v>
      </c>
      <c r="O2890" s="10" t="str">
        <f>IFERROR(_xlfn.XLOOKUP(C2890,[1]AttributeName!$C:$C,[1]AttributeName!$B:$B),"")</f>
        <v/>
      </c>
      <c r="P2890" s="10"/>
      <c r="Q2890">
        <v>0.5</v>
      </c>
      <c r="R2890">
        <v>0.7</v>
      </c>
      <c r="S2890" cm="1">
        <f t="array" ref="S2890">IFERROR(_xlfn.SWITCH(L2890,1,_xlfn.XLOOKUP(O2890,[1]AttributeName!$B:$B,[1]AttributeName!$D:$D),2,_xlfn.XLOOKUP(C2890,#REF!,#REF!),3,_xlfn.XLOOKUP(C2890,#REF!,#REF!)),0)</f>
        <v>0</v>
      </c>
      <c r="T2890" cm="1">
        <f t="array" ref="T2890">IFERROR(_xlfn.SWITCH(L2890,1,_xlfn.XLOOKUP(O2890,[1]AttributeName!$B:$B,[1]AttributeName!$E:$E),2,_xlfn.XLOOKUP(C2890,#REF!,#REF!),3,_xlfn.XLOOKUP(C2890,#REF!,#REF!)),0)</f>
        <v>0</v>
      </c>
    </row>
    <row r="2891" customFormat="1" spans="1:20">
      <c r="A2891">
        <f t="shared" si="118"/>
        <v>1204</v>
      </c>
      <c r="B2891">
        <v>2</v>
      </c>
      <c r="C2891" t="s">
        <v>381</v>
      </c>
      <c r="D2891" t="s">
        <v>21</v>
      </c>
      <c r="E2891" t="s">
        <v>378</v>
      </c>
      <c r="G2891">
        <v>1</v>
      </c>
      <c r="H2891">
        <v>100</v>
      </c>
      <c r="J2891" cm="1">
        <f t="array" ref="J2891">_xlfn.SWITCH(B2891,1,75,2,61,3,49,4,37,5,25,6,13,7,4,8,1)</f>
        <v>61</v>
      </c>
      <c r="K2891" t="str" cm="1">
        <f t="array" ref="K2891">IFERROR(_xlfn.SWITCH(L2891,2,_xlfn.XLOOKUP(C2891,[1]ModifierDes!$B:$B,[1]ModifierDes!$C:$C),3,_xlfn.XLOOKUP(C2891,[1]StuntDes!$B:$B,[1]StuntDes!$C:$C)),"")</f>
        <v>闪电伤害倍率增加{0}</v>
      </c>
      <c r="L2891">
        <f t="shared" si="119"/>
        <v>2</v>
      </c>
      <c r="M2891" s="10" t="str">
        <f>IFERROR(_xlfn.XLOOKUP(C2891,[1]StuntDes!$B:$B,[1]StuntDes!$A:$A),"")</f>
        <v/>
      </c>
      <c r="N2891" s="10">
        <f>IFERROR(_xlfn.XLOOKUP(C2891,[1]ModifierDes!$B:$B,[1]ModifierDes!$A:$A),"")</f>
        <v>10059</v>
      </c>
      <c r="O2891" s="10" t="str">
        <f>IFERROR(_xlfn.XLOOKUP(C2891,[1]AttributeName!$C:$C,[1]AttributeName!$B:$B),"")</f>
        <v/>
      </c>
      <c r="P2891" s="10"/>
      <c r="Q2891">
        <v>0.44</v>
      </c>
      <c r="R2891">
        <v>0.49</v>
      </c>
      <c r="S2891" cm="1">
        <f t="array" ref="S2891">IFERROR(_xlfn.SWITCH(L2891,1,_xlfn.XLOOKUP(O2891,[1]AttributeName!$B:$B,[1]AttributeName!$D:$D),2,_xlfn.XLOOKUP(C2891,#REF!,#REF!),3,_xlfn.XLOOKUP(C2891,#REF!,#REF!)),0)</f>
        <v>0</v>
      </c>
      <c r="T2891" cm="1">
        <f t="array" ref="T2891">IFERROR(_xlfn.SWITCH(L2891,1,_xlfn.XLOOKUP(O2891,[1]AttributeName!$B:$B,[1]AttributeName!$E:$E),2,_xlfn.XLOOKUP(C2891,#REF!,#REF!),3,_xlfn.XLOOKUP(C2891,#REF!,#REF!)),0)</f>
        <v>0</v>
      </c>
    </row>
    <row r="2892" customFormat="1" spans="1:20">
      <c r="A2892">
        <f t="shared" si="118"/>
        <v>1204</v>
      </c>
      <c r="B2892">
        <v>3</v>
      </c>
      <c r="C2892" t="s">
        <v>381</v>
      </c>
      <c r="D2892" t="s">
        <v>21</v>
      </c>
      <c r="E2892" t="s">
        <v>378</v>
      </c>
      <c r="G2892">
        <v>1</v>
      </c>
      <c r="H2892">
        <v>200</v>
      </c>
      <c r="J2892" cm="1">
        <f t="array" ref="J2892">_xlfn.SWITCH(B2892,1,75,2,61,3,49,4,37,5,25,6,13,7,4,8,1)</f>
        <v>49</v>
      </c>
      <c r="K2892" t="str" cm="1">
        <f t="array" ref="K2892">IFERROR(_xlfn.SWITCH(L2892,2,_xlfn.XLOOKUP(C2892,[1]ModifierDes!$B:$B,[1]ModifierDes!$C:$C),3,_xlfn.XLOOKUP(C2892,[1]StuntDes!$B:$B,[1]StuntDes!$C:$C)),"")</f>
        <v>闪电伤害倍率增加{0}</v>
      </c>
      <c r="L2892">
        <f t="shared" si="119"/>
        <v>2</v>
      </c>
      <c r="M2892" s="10" t="str">
        <f>IFERROR(_xlfn.XLOOKUP(C2892,[1]StuntDes!$B:$B,[1]StuntDes!$A:$A),"")</f>
        <v/>
      </c>
      <c r="N2892" s="10">
        <f>IFERROR(_xlfn.XLOOKUP(C2892,[1]ModifierDes!$B:$B,[1]ModifierDes!$A:$A),"")</f>
        <v>10059</v>
      </c>
      <c r="O2892" s="10" t="str">
        <f>IFERROR(_xlfn.XLOOKUP(C2892,[1]AttributeName!$C:$C,[1]AttributeName!$B:$B),"")</f>
        <v/>
      </c>
      <c r="P2892" s="10"/>
      <c r="Q2892">
        <v>0.38</v>
      </c>
      <c r="R2892">
        <v>0.43</v>
      </c>
      <c r="S2892" cm="1">
        <f t="array" ref="S2892">IFERROR(_xlfn.SWITCH(L2892,1,_xlfn.XLOOKUP(O2892,[1]AttributeName!$B:$B,[1]AttributeName!$D:$D),2,_xlfn.XLOOKUP(C2892,#REF!,#REF!),3,_xlfn.XLOOKUP(C2892,#REF!,#REF!)),0)</f>
        <v>0</v>
      </c>
      <c r="T2892" cm="1">
        <f t="array" ref="T2892">IFERROR(_xlfn.SWITCH(L2892,1,_xlfn.XLOOKUP(O2892,[1]AttributeName!$B:$B,[1]AttributeName!$E:$E),2,_xlfn.XLOOKUP(C2892,#REF!,#REF!),3,_xlfn.XLOOKUP(C2892,#REF!,#REF!)),0)</f>
        <v>0</v>
      </c>
    </row>
    <row r="2893" customFormat="1" spans="1:20">
      <c r="A2893">
        <f t="shared" si="118"/>
        <v>1204</v>
      </c>
      <c r="B2893">
        <v>4</v>
      </c>
      <c r="C2893" t="s">
        <v>381</v>
      </c>
      <c r="D2893" t="s">
        <v>21</v>
      </c>
      <c r="E2893" t="s">
        <v>378</v>
      </c>
      <c r="G2893">
        <v>1</v>
      </c>
      <c r="H2893">
        <v>500</v>
      </c>
      <c r="J2893" cm="1">
        <f t="array" ref="J2893">_xlfn.SWITCH(B2893,1,75,2,61,3,49,4,37,5,25,6,13,7,4,8,1)</f>
        <v>37</v>
      </c>
      <c r="K2893" t="str" cm="1">
        <f t="array" ref="K2893">IFERROR(_xlfn.SWITCH(L2893,2,_xlfn.XLOOKUP(C2893,[1]ModifierDes!$B:$B,[1]ModifierDes!$C:$C),3,_xlfn.XLOOKUP(C2893,[1]StuntDes!$B:$B,[1]StuntDes!$C:$C)),"")</f>
        <v>闪电伤害倍率增加{0}</v>
      </c>
      <c r="L2893">
        <f t="shared" si="119"/>
        <v>2</v>
      </c>
      <c r="M2893" s="10" t="str">
        <f>IFERROR(_xlfn.XLOOKUP(C2893,[1]StuntDes!$B:$B,[1]StuntDes!$A:$A),"")</f>
        <v/>
      </c>
      <c r="N2893" s="10">
        <f>IFERROR(_xlfn.XLOOKUP(C2893,[1]ModifierDes!$B:$B,[1]ModifierDes!$A:$A),"")</f>
        <v>10059</v>
      </c>
      <c r="O2893" s="10" t="str">
        <f>IFERROR(_xlfn.XLOOKUP(C2893,[1]AttributeName!$C:$C,[1]AttributeName!$B:$B),"")</f>
        <v/>
      </c>
      <c r="P2893" s="10"/>
      <c r="Q2893">
        <v>0.32</v>
      </c>
      <c r="R2893">
        <v>0.37</v>
      </c>
      <c r="S2893" cm="1">
        <f t="array" ref="S2893">IFERROR(_xlfn.SWITCH(L2893,1,_xlfn.XLOOKUP(O2893,[1]AttributeName!$B:$B,[1]AttributeName!$D:$D),2,_xlfn.XLOOKUP(C2893,#REF!,#REF!),3,_xlfn.XLOOKUP(C2893,#REF!,#REF!)),0)</f>
        <v>0</v>
      </c>
      <c r="T2893" cm="1">
        <f t="array" ref="T2893">IFERROR(_xlfn.SWITCH(L2893,1,_xlfn.XLOOKUP(O2893,[1]AttributeName!$B:$B,[1]AttributeName!$E:$E),2,_xlfn.XLOOKUP(C2893,#REF!,#REF!),3,_xlfn.XLOOKUP(C2893,#REF!,#REF!)),0)</f>
        <v>0</v>
      </c>
    </row>
    <row r="2894" customFormat="1" spans="1:20">
      <c r="A2894">
        <f t="shared" si="118"/>
        <v>1204</v>
      </c>
      <c r="B2894">
        <v>5</v>
      </c>
      <c r="C2894" t="s">
        <v>381</v>
      </c>
      <c r="D2894" t="s">
        <v>21</v>
      </c>
      <c r="E2894" t="s">
        <v>378</v>
      </c>
      <c r="G2894">
        <v>1</v>
      </c>
      <c r="H2894">
        <v>1000</v>
      </c>
      <c r="J2894" cm="1">
        <f t="array" ref="J2894">_xlfn.SWITCH(B2894,1,75,2,61,3,49,4,37,5,25,6,13,7,4,8,1)</f>
        <v>25</v>
      </c>
      <c r="K2894" t="str" cm="1">
        <f t="array" ref="K2894">IFERROR(_xlfn.SWITCH(L2894,2,_xlfn.XLOOKUP(C2894,[1]ModifierDes!$B:$B,[1]ModifierDes!$C:$C),3,_xlfn.XLOOKUP(C2894,[1]StuntDes!$B:$B,[1]StuntDes!$C:$C)),"")</f>
        <v>闪电伤害倍率增加{0}</v>
      </c>
      <c r="L2894">
        <f t="shared" si="119"/>
        <v>2</v>
      </c>
      <c r="M2894" s="10" t="str">
        <f>IFERROR(_xlfn.XLOOKUP(C2894,[1]StuntDes!$B:$B,[1]StuntDes!$A:$A),"")</f>
        <v/>
      </c>
      <c r="N2894" s="10">
        <f>IFERROR(_xlfn.XLOOKUP(C2894,[1]ModifierDes!$B:$B,[1]ModifierDes!$A:$A),"")</f>
        <v>10059</v>
      </c>
      <c r="O2894" s="10" t="str">
        <f>IFERROR(_xlfn.XLOOKUP(C2894,[1]AttributeName!$C:$C,[1]AttributeName!$B:$B),"")</f>
        <v/>
      </c>
      <c r="P2894" s="10"/>
      <c r="Q2894">
        <v>0.26</v>
      </c>
      <c r="R2894">
        <v>0.31</v>
      </c>
      <c r="S2894" cm="1">
        <f t="array" ref="S2894">IFERROR(_xlfn.SWITCH(L2894,1,_xlfn.XLOOKUP(O2894,[1]AttributeName!$B:$B,[1]AttributeName!$D:$D),2,_xlfn.XLOOKUP(C2894,#REF!,#REF!),3,_xlfn.XLOOKUP(C2894,#REF!,#REF!)),0)</f>
        <v>0</v>
      </c>
      <c r="T2894" cm="1">
        <f t="array" ref="T2894">IFERROR(_xlfn.SWITCH(L2894,1,_xlfn.XLOOKUP(O2894,[1]AttributeName!$B:$B,[1]AttributeName!$E:$E),2,_xlfn.XLOOKUP(C2894,#REF!,#REF!),3,_xlfn.XLOOKUP(C2894,#REF!,#REF!)),0)</f>
        <v>0</v>
      </c>
    </row>
    <row r="2895" customFormat="1" spans="1:20">
      <c r="A2895">
        <f t="shared" si="118"/>
        <v>1204</v>
      </c>
      <c r="B2895">
        <v>6</v>
      </c>
      <c r="C2895" t="s">
        <v>381</v>
      </c>
      <c r="D2895" t="s">
        <v>21</v>
      </c>
      <c r="E2895" t="s">
        <v>378</v>
      </c>
      <c r="G2895">
        <v>1</v>
      </c>
      <c r="H2895">
        <v>1000</v>
      </c>
      <c r="J2895" cm="1">
        <f t="array" ref="J2895">_xlfn.SWITCH(B2895,1,75,2,61,3,49,4,37,5,25,6,13,7,4,8,1)</f>
        <v>13</v>
      </c>
      <c r="K2895" t="str" cm="1">
        <f t="array" ref="K2895">IFERROR(_xlfn.SWITCH(L2895,2,_xlfn.XLOOKUP(C2895,[1]ModifierDes!$B:$B,[1]ModifierDes!$C:$C),3,_xlfn.XLOOKUP(C2895,[1]StuntDes!$B:$B,[1]StuntDes!$C:$C)),"")</f>
        <v>闪电伤害倍率增加{0}</v>
      </c>
      <c r="L2895">
        <f t="shared" si="119"/>
        <v>2</v>
      </c>
      <c r="M2895" s="10" t="str">
        <f>IFERROR(_xlfn.XLOOKUP(C2895,[1]StuntDes!$B:$B,[1]StuntDes!$A:$A),"")</f>
        <v/>
      </c>
      <c r="N2895" s="10">
        <f>IFERROR(_xlfn.XLOOKUP(C2895,[1]ModifierDes!$B:$B,[1]ModifierDes!$A:$A),"")</f>
        <v>10059</v>
      </c>
      <c r="O2895" s="10" t="str">
        <f>IFERROR(_xlfn.XLOOKUP(C2895,[1]AttributeName!$C:$C,[1]AttributeName!$B:$B),"")</f>
        <v/>
      </c>
      <c r="P2895" s="10"/>
      <c r="Q2895">
        <v>0.2</v>
      </c>
      <c r="R2895">
        <v>0.25</v>
      </c>
      <c r="S2895" cm="1">
        <f t="array" ref="S2895">IFERROR(_xlfn.SWITCH(L2895,1,_xlfn.XLOOKUP(O2895,[1]AttributeName!$B:$B,[1]AttributeName!$D:$D),2,_xlfn.XLOOKUP(C2895,#REF!,#REF!),3,_xlfn.XLOOKUP(C2895,#REF!,#REF!)),0)</f>
        <v>0</v>
      </c>
      <c r="T2895" cm="1">
        <f t="array" ref="T2895">IFERROR(_xlfn.SWITCH(L2895,1,_xlfn.XLOOKUP(O2895,[1]AttributeName!$B:$B,[1]AttributeName!$E:$E),2,_xlfn.XLOOKUP(C2895,#REF!,#REF!),3,_xlfn.XLOOKUP(C2895,#REF!,#REF!)),0)</f>
        <v>0</v>
      </c>
    </row>
    <row r="2896" customFormat="1" spans="1:20">
      <c r="A2896">
        <f t="shared" si="118"/>
        <v>1204</v>
      </c>
      <c r="B2896">
        <v>7</v>
      </c>
      <c r="C2896" t="s">
        <v>381</v>
      </c>
      <c r="D2896" t="s">
        <v>21</v>
      </c>
      <c r="E2896" t="s">
        <v>378</v>
      </c>
      <c r="G2896">
        <v>1</v>
      </c>
      <c r="H2896">
        <v>1000</v>
      </c>
      <c r="J2896" cm="1">
        <f t="array" ref="J2896">_xlfn.SWITCH(B2896,1,75,2,61,3,49,4,37,5,25,6,13,7,4,8,1)</f>
        <v>4</v>
      </c>
      <c r="K2896" t="str" cm="1">
        <f t="array" ref="K2896">IFERROR(_xlfn.SWITCH(L2896,2,_xlfn.XLOOKUP(C2896,[1]ModifierDes!$B:$B,[1]ModifierDes!$C:$C),3,_xlfn.XLOOKUP(C2896,[1]StuntDes!$B:$B,[1]StuntDes!$C:$C)),"")</f>
        <v>闪电伤害倍率增加{0}</v>
      </c>
      <c r="L2896">
        <f t="shared" si="119"/>
        <v>2</v>
      </c>
      <c r="M2896" s="10" t="str">
        <f>IFERROR(_xlfn.XLOOKUP(C2896,[1]StuntDes!$B:$B,[1]StuntDes!$A:$A),"")</f>
        <v/>
      </c>
      <c r="N2896" s="10">
        <f>IFERROR(_xlfn.XLOOKUP(C2896,[1]ModifierDes!$B:$B,[1]ModifierDes!$A:$A),"")</f>
        <v>10059</v>
      </c>
      <c r="O2896" s="10" t="str">
        <f>IFERROR(_xlfn.XLOOKUP(C2896,[1]AttributeName!$C:$C,[1]AttributeName!$B:$B),"")</f>
        <v/>
      </c>
      <c r="P2896" s="10"/>
      <c r="Q2896">
        <v>0.14</v>
      </c>
      <c r="R2896">
        <v>0.19</v>
      </c>
      <c r="S2896" cm="1">
        <f t="array" ref="S2896">IFERROR(_xlfn.SWITCH(L2896,1,_xlfn.XLOOKUP(O2896,[1]AttributeName!$B:$B,[1]AttributeName!$D:$D),2,_xlfn.XLOOKUP(C2896,#REF!,#REF!),3,_xlfn.XLOOKUP(C2896,#REF!,#REF!)),0)</f>
        <v>0</v>
      </c>
      <c r="T2896" cm="1">
        <f t="array" ref="T2896">IFERROR(_xlfn.SWITCH(L2896,1,_xlfn.XLOOKUP(O2896,[1]AttributeName!$B:$B,[1]AttributeName!$E:$E),2,_xlfn.XLOOKUP(C2896,#REF!,#REF!),3,_xlfn.XLOOKUP(C2896,#REF!,#REF!)),0)</f>
        <v>0</v>
      </c>
    </row>
    <row r="2897" customFormat="1" spans="1:20">
      <c r="A2897">
        <f t="shared" si="118"/>
        <v>1204</v>
      </c>
      <c r="B2897">
        <v>8</v>
      </c>
      <c r="C2897" t="s">
        <v>381</v>
      </c>
      <c r="D2897" t="s">
        <v>21</v>
      </c>
      <c r="E2897" t="s">
        <v>378</v>
      </c>
      <c r="G2897">
        <v>1</v>
      </c>
      <c r="H2897">
        <v>1000</v>
      </c>
      <c r="J2897" cm="1">
        <f t="array" ref="J2897">_xlfn.SWITCH(B2897,1,75,2,61,3,49,4,37,5,25,6,13,7,4,8,1)</f>
        <v>1</v>
      </c>
      <c r="K2897" t="str" cm="1">
        <f t="array" ref="K2897">IFERROR(_xlfn.SWITCH(L2897,2,_xlfn.XLOOKUP(C2897,[1]ModifierDes!$B:$B,[1]ModifierDes!$C:$C),3,_xlfn.XLOOKUP(C2897,[1]StuntDes!$B:$B,[1]StuntDes!$C:$C)),"")</f>
        <v>闪电伤害倍率增加{0}</v>
      </c>
      <c r="L2897">
        <f t="shared" si="119"/>
        <v>2</v>
      </c>
      <c r="M2897" s="10" t="str">
        <f>IFERROR(_xlfn.XLOOKUP(C2897,[1]StuntDes!$B:$B,[1]StuntDes!$A:$A),"")</f>
        <v/>
      </c>
      <c r="N2897" s="10">
        <f>IFERROR(_xlfn.XLOOKUP(C2897,[1]ModifierDes!$B:$B,[1]ModifierDes!$A:$A),"")</f>
        <v>10059</v>
      </c>
      <c r="O2897" s="10" t="str">
        <f>IFERROR(_xlfn.XLOOKUP(C2897,[1]AttributeName!$C:$C,[1]AttributeName!$B:$B),"")</f>
        <v/>
      </c>
      <c r="P2897" s="10"/>
      <c r="Q2897">
        <v>0.08</v>
      </c>
      <c r="R2897">
        <v>0.13</v>
      </c>
      <c r="S2897" cm="1">
        <f t="array" ref="S2897">IFERROR(_xlfn.SWITCH(L2897,1,_xlfn.XLOOKUP(O2897,[1]AttributeName!$B:$B,[1]AttributeName!$D:$D),2,_xlfn.XLOOKUP(C2897,#REF!,#REF!),3,_xlfn.XLOOKUP(C2897,#REF!,#REF!)),0)</f>
        <v>0</v>
      </c>
      <c r="T2897" cm="1">
        <f t="array" ref="T2897">IFERROR(_xlfn.SWITCH(L2897,1,_xlfn.XLOOKUP(O2897,[1]AttributeName!$B:$B,[1]AttributeName!$E:$E),2,_xlfn.XLOOKUP(C2897,#REF!,#REF!),3,_xlfn.XLOOKUP(C2897,#REF!,#REF!)),0)</f>
        <v>0</v>
      </c>
    </row>
    <row r="2898" customFormat="1" spans="1:20">
      <c r="A2898">
        <f t="shared" si="118"/>
        <v>1205</v>
      </c>
      <c r="B2898">
        <v>1</v>
      </c>
      <c r="C2898" t="s">
        <v>382</v>
      </c>
      <c r="D2898" t="s">
        <v>21</v>
      </c>
      <c r="E2898" t="s">
        <v>378</v>
      </c>
      <c r="G2898">
        <v>1</v>
      </c>
      <c r="H2898">
        <v>50</v>
      </c>
      <c r="J2898" cm="1">
        <f t="array" ref="J2898">_xlfn.SWITCH(B2898,1,75,2,61,3,49,4,37,5,25,6,13,7,4,8,1)</f>
        <v>75</v>
      </c>
      <c r="K2898" t="str" cm="1">
        <f t="array" ref="K2898">IFERROR(_xlfn.SWITCH(L2898,2,_xlfn.XLOOKUP(C2898,[1]ModifierDes!$B:$B,[1]ModifierDes!$C:$C),3,_xlfn.XLOOKUP(C2898,[1]StuntDes!$B:$B,[1]StuntDes!$C:$C)),"")</f>
        <v>混沌伤害倍率增加{0}</v>
      </c>
      <c r="L2898">
        <f t="shared" si="119"/>
        <v>2</v>
      </c>
      <c r="M2898" s="10" t="str">
        <f>IFERROR(_xlfn.XLOOKUP(C2898,[1]StuntDes!$B:$B,[1]StuntDes!$A:$A),"")</f>
        <v/>
      </c>
      <c r="N2898" s="10">
        <f>IFERROR(_xlfn.XLOOKUP(C2898,[1]ModifierDes!$B:$B,[1]ModifierDes!$A:$A),"")</f>
        <v>10052</v>
      </c>
      <c r="O2898" s="10" t="str">
        <f>IFERROR(_xlfn.XLOOKUP(C2898,[1]AttributeName!$C:$C,[1]AttributeName!$B:$B),"")</f>
        <v/>
      </c>
      <c r="P2898" s="10"/>
      <c r="Q2898">
        <v>0.5</v>
      </c>
      <c r="R2898">
        <v>0.7</v>
      </c>
      <c r="S2898" cm="1">
        <f t="array" ref="S2898">IFERROR(_xlfn.SWITCH(L2898,1,_xlfn.XLOOKUP(O2898,[1]AttributeName!$B:$B,[1]AttributeName!$D:$D),2,_xlfn.XLOOKUP(C2898,#REF!,#REF!),3,_xlfn.XLOOKUP(C2898,#REF!,#REF!)),0)</f>
        <v>0</v>
      </c>
      <c r="T2898" cm="1">
        <f t="array" ref="T2898">IFERROR(_xlfn.SWITCH(L2898,1,_xlfn.XLOOKUP(O2898,[1]AttributeName!$B:$B,[1]AttributeName!$E:$E),2,_xlfn.XLOOKUP(C2898,#REF!,#REF!),3,_xlfn.XLOOKUP(C2898,#REF!,#REF!)),0)</f>
        <v>0</v>
      </c>
    </row>
    <row r="2899" customFormat="1" spans="1:20">
      <c r="A2899">
        <f t="shared" si="118"/>
        <v>1205</v>
      </c>
      <c r="B2899">
        <v>2</v>
      </c>
      <c r="C2899" t="s">
        <v>382</v>
      </c>
      <c r="D2899" t="s">
        <v>21</v>
      </c>
      <c r="E2899" t="s">
        <v>378</v>
      </c>
      <c r="G2899">
        <v>1</v>
      </c>
      <c r="H2899">
        <v>100</v>
      </c>
      <c r="J2899" cm="1">
        <f t="array" ref="J2899">_xlfn.SWITCH(B2899,1,75,2,61,3,49,4,37,5,25,6,13,7,4,8,1)</f>
        <v>61</v>
      </c>
      <c r="K2899" t="str" cm="1">
        <f t="array" ref="K2899">IFERROR(_xlfn.SWITCH(L2899,2,_xlfn.XLOOKUP(C2899,[1]ModifierDes!$B:$B,[1]ModifierDes!$C:$C),3,_xlfn.XLOOKUP(C2899,[1]StuntDes!$B:$B,[1]StuntDes!$C:$C)),"")</f>
        <v>混沌伤害倍率增加{0}</v>
      </c>
      <c r="L2899">
        <f t="shared" si="119"/>
        <v>2</v>
      </c>
      <c r="M2899" s="10" t="str">
        <f>IFERROR(_xlfn.XLOOKUP(C2899,[1]StuntDes!$B:$B,[1]StuntDes!$A:$A),"")</f>
        <v/>
      </c>
      <c r="N2899" s="10">
        <f>IFERROR(_xlfn.XLOOKUP(C2899,[1]ModifierDes!$B:$B,[1]ModifierDes!$A:$A),"")</f>
        <v>10052</v>
      </c>
      <c r="O2899" s="10" t="str">
        <f>IFERROR(_xlfn.XLOOKUP(C2899,[1]AttributeName!$C:$C,[1]AttributeName!$B:$B),"")</f>
        <v/>
      </c>
      <c r="P2899" s="10"/>
      <c r="Q2899">
        <v>0.44</v>
      </c>
      <c r="R2899">
        <v>0.49</v>
      </c>
      <c r="S2899" cm="1">
        <f t="array" ref="S2899">IFERROR(_xlfn.SWITCH(L2899,1,_xlfn.XLOOKUP(O2899,[1]AttributeName!$B:$B,[1]AttributeName!$D:$D),2,_xlfn.XLOOKUP(C2899,#REF!,#REF!),3,_xlfn.XLOOKUP(C2899,#REF!,#REF!)),0)</f>
        <v>0</v>
      </c>
      <c r="T2899" cm="1">
        <f t="array" ref="T2899">IFERROR(_xlfn.SWITCH(L2899,1,_xlfn.XLOOKUP(O2899,[1]AttributeName!$B:$B,[1]AttributeName!$E:$E),2,_xlfn.XLOOKUP(C2899,#REF!,#REF!),3,_xlfn.XLOOKUP(C2899,#REF!,#REF!)),0)</f>
        <v>0</v>
      </c>
    </row>
    <row r="2900" customFormat="1" spans="1:20">
      <c r="A2900">
        <f t="shared" si="118"/>
        <v>1205</v>
      </c>
      <c r="B2900">
        <v>3</v>
      </c>
      <c r="C2900" t="s">
        <v>382</v>
      </c>
      <c r="D2900" t="s">
        <v>21</v>
      </c>
      <c r="E2900" t="s">
        <v>378</v>
      </c>
      <c r="G2900">
        <v>1</v>
      </c>
      <c r="H2900">
        <v>200</v>
      </c>
      <c r="J2900" cm="1">
        <f t="array" ref="J2900">_xlfn.SWITCH(B2900,1,75,2,61,3,49,4,37,5,25,6,13,7,4,8,1)</f>
        <v>49</v>
      </c>
      <c r="K2900" t="str" cm="1">
        <f t="array" ref="K2900">IFERROR(_xlfn.SWITCH(L2900,2,_xlfn.XLOOKUP(C2900,[1]ModifierDes!$B:$B,[1]ModifierDes!$C:$C),3,_xlfn.XLOOKUP(C2900,[1]StuntDes!$B:$B,[1]StuntDes!$C:$C)),"")</f>
        <v>混沌伤害倍率增加{0}</v>
      </c>
      <c r="L2900">
        <f t="shared" si="119"/>
        <v>2</v>
      </c>
      <c r="M2900" s="10" t="str">
        <f>IFERROR(_xlfn.XLOOKUP(C2900,[1]StuntDes!$B:$B,[1]StuntDes!$A:$A),"")</f>
        <v/>
      </c>
      <c r="N2900" s="10">
        <f>IFERROR(_xlfn.XLOOKUP(C2900,[1]ModifierDes!$B:$B,[1]ModifierDes!$A:$A),"")</f>
        <v>10052</v>
      </c>
      <c r="O2900" s="10" t="str">
        <f>IFERROR(_xlfn.XLOOKUP(C2900,[1]AttributeName!$C:$C,[1]AttributeName!$B:$B),"")</f>
        <v/>
      </c>
      <c r="P2900" s="10"/>
      <c r="Q2900">
        <v>0.38</v>
      </c>
      <c r="R2900">
        <v>0.43</v>
      </c>
      <c r="S2900" cm="1">
        <f t="array" ref="S2900">IFERROR(_xlfn.SWITCH(L2900,1,_xlfn.XLOOKUP(O2900,[1]AttributeName!$B:$B,[1]AttributeName!$D:$D),2,_xlfn.XLOOKUP(C2900,#REF!,#REF!),3,_xlfn.XLOOKUP(C2900,#REF!,#REF!)),0)</f>
        <v>0</v>
      </c>
      <c r="T2900" cm="1">
        <f t="array" ref="T2900">IFERROR(_xlfn.SWITCH(L2900,1,_xlfn.XLOOKUP(O2900,[1]AttributeName!$B:$B,[1]AttributeName!$E:$E),2,_xlfn.XLOOKUP(C2900,#REF!,#REF!),3,_xlfn.XLOOKUP(C2900,#REF!,#REF!)),0)</f>
        <v>0</v>
      </c>
    </row>
    <row r="2901" customFormat="1" spans="1:20">
      <c r="A2901">
        <f t="shared" si="118"/>
        <v>1205</v>
      </c>
      <c r="B2901">
        <v>4</v>
      </c>
      <c r="C2901" t="s">
        <v>382</v>
      </c>
      <c r="D2901" t="s">
        <v>21</v>
      </c>
      <c r="E2901" t="s">
        <v>378</v>
      </c>
      <c r="G2901">
        <v>1</v>
      </c>
      <c r="H2901">
        <v>500</v>
      </c>
      <c r="J2901" cm="1">
        <f t="array" ref="J2901">_xlfn.SWITCH(B2901,1,75,2,61,3,49,4,37,5,25,6,13,7,4,8,1)</f>
        <v>37</v>
      </c>
      <c r="K2901" t="str" cm="1">
        <f t="array" ref="K2901">IFERROR(_xlfn.SWITCH(L2901,2,_xlfn.XLOOKUP(C2901,[1]ModifierDes!$B:$B,[1]ModifierDes!$C:$C),3,_xlfn.XLOOKUP(C2901,[1]StuntDes!$B:$B,[1]StuntDes!$C:$C)),"")</f>
        <v>混沌伤害倍率增加{0}</v>
      </c>
      <c r="L2901">
        <f t="shared" si="119"/>
        <v>2</v>
      </c>
      <c r="M2901" s="10" t="str">
        <f>IFERROR(_xlfn.XLOOKUP(C2901,[1]StuntDes!$B:$B,[1]StuntDes!$A:$A),"")</f>
        <v/>
      </c>
      <c r="N2901" s="10">
        <f>IFERROR(_xlfn.XLOOKUP(C2901,[1]ModifierDes!$B:$B,[1]ModifierDes!$A:$A),"")</f>
        <v>10052</v>
      </c>
      <c r="O2901" s="10" t="str">
        <f>IFERROR(_xlfn.XLOOKUP(C2901,[1]AttributeName!$C:$C,[1]AttributeName!$B:$B),"")</f>
        <v/>
      </c>
      <c r="P2901" s="10"/>
      <c r="Q2901">
        <v>0.32</v>
      </c>
      <c r="R2901">
        <v>0.37</v>
      </c>
      <c r="S2901" cm="1">
        <f t="array" ref="S2901">IFERROR(_xlfn.SWITCH(L2901,1,_xlfn.XLOOKUP(O2901,[1]AttributeName!$B:$B,[1]AttributeName!$D:$D),2,_xlfn.XLOOKUP(C2901,#REF!,#REF!),3,_xlfn.XLOOKUP(C2901,#REF!,#REF!)),0)</f>
        <v>0</v>
      </c>
      <c r="T2901" cm="1">
        <f t="array" ref="T2901">IFERROR(_xlfn.SWITCH(L2901,1,_xlfn.XLOOKUP(O2901,[1]AttributeName!$B:$B,[1]AttributeName!$E:$E),2,_xlfn.XLOOKUP(C2901,#REF!,#REF!),3,_xlfn.XLOOKUP(C2901,#REF!,#REF!)),0)</f>
        <v>0</v>
      </c>
    </row>
    <row r="2902" customFormat="1" spans="1:20">
      <c r="A2902">
        <f t="shared" si="118"/>
        <v>1205</v>
      </c>
      <c r="B2902">
        <v>5</v>
      </c>
      <c r="C2902" t="s">
        <v>382</v>
      </c>
      <c r="D2902" t="s">
        <v>21</v>
      </c>
      <c r="E2902" t="s">
        <v>378</v>
      </c>
      <c r="G2902">
        <v>1</v>
      </c>
      <c r="H2902">
        <v>1000</v>
      </c>
      <c r="J2902" cm="1">
        <f t="array" ref="J2902">_xlfn.SWITCH(B2902,1,75,2,61,3,49,4,37,5,25,6,13,7,4,8,1)</f>
        <v>25</v>
      </c>
      <c r="K2902" t="str" cm="1">
        <f t="array" ref="K2902">IFERROR(_xlfn.SWITCH(L2902,2,_xlfn.XLOOKUP(C2902,[1]ModifierDes!$B:$B,[1]ModifierDes!$C:$C),3,_xlfn.XLOOKUP(C2902,[1]StuntDes!$B:$B,[1]StuntDes!$C:$C)),"")</f>
        <v>混沌伤害倍率增加{0}</v>
      </c>
      <c r="L2902">
        <f t="shared" si="119"/>
        <v>2</v>
      </c>
      <c r="M2902" s="10" t="str">
        <f>IFERROR(_xlfn.XLOOKUP(C2902,[1]StuntDes!$B:$B,[1]StuntDes!$A:$A),"")</f>
        <v/>
      </c>
      <c r="N2902" s="10">
        <f>IFERROR(_xlfn.XLOOKUP(C2902,[1]ModifierDes!$B:$B,[1]ModifierDes!$A:$A),"")</f>
        <v>10052</v>
      </c>
      <c r="O2902" s="10" t="str">
        <f>IFERROR(_xlfn.XLOOKUP(C2902,[1]AttributeName!$C:$C,[1]AttributeName!$B:$B),"")</f>
        <v/>
      </c>
      <c r="P2902" s="10"/>
      <c r="Q2902">
        <v>0.26</v>
      </c>
      <c r="R2902">
        <v>0.31</v>
      </c>
      <c r="S2902" cm="1">
        <f t="array" ref="S2902">IFERROR(_xlfn.SWITCH(L2902,1,_xlfn.XLOOKUP(O2902,[1]AttributeName!$B:$B,[1]AttributeName!$D:$D),2,_xlfn.XLOOKUP(C2902,#REF!,#REF!),3,_xlfn.XLOOKUP(C2902,#REF!,#REF!)),0)</f>
        <v>0</v>
      </c>
      <c r="T2902" cm="1">
        <f t="array" ref="T2902">IFERROR(_xlfn.SWITCH(L2902,1,_xlfn.XLOOKUP(O2902,[1]AttributeName!$B:$B,[1]AttributeName!$E:$E),2,_xlfn.XLOOKUP(C2902,#REF!,#REF!),3,_xlfn.XLOOKUP(C2902,#REF!,#REF!)),0)</f>
        <v>0</v>
      </c>
    </row>
    <row r="2903" customFormat="1" spans="1:20">
      <c r="A2903">
        <f t="shared" si="118"/>
        <v>1205</v>
      </c>
      <c r="B2903">
        <v>6</v>
      </c>
      <c r="C2903" t="s">
        <v>382</v>
      </c>
      <c r="D2903" t="s">
        <v>21</v>
      </c>
      <c r="E2903" t="s">
        <v>378</v>
      </c>
      <c r="G2903">
        <v>1</v>
      </c>
      <c r="H2903">
        <v>1000</v>
      </c>
      <c r="J2903" cm="1">
        <f t="array" ref="J2903">_xlfn.SWITCH(B2903,1,75,2,61,3,49,4,37,5,25,6,13,7,4,8,1)</f>
        <v>13</v>
      </c>
      <c r="K2903" t="str" cm="1">
        <f t="array" ref="K2903">IFERROR(_xlfn.SWITCH(L2903,2,_xlfn.XLOOKUP(C2903,[1]ModifierDes!$B:$B,[1]ModifierDes!$C:$C),3,_xlfn.XLOOKUP(C2903,[1]StuntDes!$B:$B,[1]StuntDes!$C:$C)),"")</f>
        <v>混沌伤害倍率增加{0}</v>
      </c>
      <c r="L2903">
        <f t="shared" si="119"/>
        <v>2</v>
      </c>
      <c r="M2903" s="10" t="str">
        <f>IFERROR(_xlfn.XLOOKUP(C2903,[1]StuntDes!$B:$B,[1]StuntDes!$A:$A),"")</f>
        <v/>
      </c>
      <c r="N2903" s="10">
        <f>IFERROR(_xlfn.XLOOKUP(C2903,[1]ModifierDes!$B:$B,[1]ModifierDes!$A:$A),"")</f>
        <v>10052</v>
      </c>
      <c r="O2903" s="10" t="str">
        <f>IFERROR(_xlfn.XLOOKUP(C2903,[1]AttributeName!$C:$C,[1]AttributeName!$B:$B),"")</f>
        <v/>
      </c>
      <c r="P2903" s="10"/>
      <c r="Q2903">
        <v>0.2</v>
      </c>
      <c r="R2903">
        <v>0.25</v>
      </c>
      <c r="S2903" cm="1">
        <f t="array" ref="S2903">IFERROR(_xlfn.SWITCH(L2903,1,_xlfn.XLOOKUP(O2903,[1]AttributeName!$B:$B,[1]AttributeName!$D:$D),2,_xlfn.XLOOKUP(C2903,#REF!,#REF!),3,_xlfn.XLOOKUP(C2903,#REF!,#REF!)),0)</f>
        <v>0</v>
      </c>
      <c r="T2903" cm="1">
        <f t="array" ref="T2903">IFERROR(_xlfn.SWITCH(L2903,1,_xlfn.XLOOKUP(O2903,[1]AttributeName!$B:$B,[1]AttributeName!$E:$E),2,_xlfn.XLOOKUP(C2903,#REF!,#REF!),3,_xlfn.XLOOKUP(C2903,#REF!,#REF!)),0)</f>
        <v>0</v>
      </c>
    </row>
    <row r="2904" customFormat="1" spans="1:20">
      <c r="A2904">
        <f t="shared" si="118"/>
        <v>1205</v>
      </c>
      <c r="B2904">
        <v>7</v>
      </c>
      <c r="C2904" t="s">
        <v>382</v>
      </c>
      <c r="D2904" t="s">
        <v>21</v>
      </c>
      <c r="E2904" t="s">
        <v>378</v>
      </c>
      <c r="G2904">
        <v>1</v>
      </c>
      <c r="H2904">
        <v>1000</v>
      </c>
      <c r="J2904" cm="1">
        <f t="array" ref="J2904">_xlfn.SWITCH(B2904,1,75,2,61,3,49,4,37,5,25,6,13,7,4,8,1)</f>
        <v>4</v>
      </c>
      <c r="K2904" t="str" cm="1">
        <f t="array" ref="K2904">IFERROR(_xlfn.SWITCH(L2904,2,_xlfn.XLOOKUP(C2904,[1]ModifierDes!$B:$B,[1]ModifierDes!$C:$C),3,_xlfn.XLOOKUP(C2904,[1]StuntDes!$B:$B,[1]StuntDes!$C:$C)),"")</f>
        <v>混沌伤害倍率增加{0}</v>
      </c>
      <c r="L2904">
        <f t="shared" si="119"/>
        <v>2</v>
      </c>
      <c r="M2904" s="10" t="str">
        <f>IFERROR(_xlfn.XLOOKUP(C2904,[1]StuntDes!$B:$B,[1]StuntDes!$A:$A),"")</f>
        <v/>
      </c>
      <c r="N2904" s="10">
        <f>IFERROR(_xlfn.XLOOKUP(C2904,[1]ModifierDes!$B:$B,[1]ModifierDes!$A:$A),"")</f>
        <v>10052</v>
      </c>
      <c r="O2904" s="10" t="str">
        <f>IFERROR(_xlfn.XLOOKUP(C2904,[1]AttributeName!$C:$C,[1]AttributeName!$B:$B),"")</f>
        <v/>
      </c>
      <c r="P2904" s="10"/>
      <c r="Q2904">
        <v>0.14</v>
      </c>
      <c r="R2904">
        <v>0.19</v>
      </c>
      <c r="S2904" cm="1">
        <f t="array" ref="S2904">IFERROR(_xlfn.SWITCH(L2904,1,_xlfn.XLOOKUP(O2904,[1]AttributeName!$B:$B,[1]AttributeName!$D:$D),2,_xlfn.XLOOKUP(C2904,#REF!,#REF!),3,_xlfn.XLOOKUP(C2904,#REF!,#REF!)),0)</f>
        <v>0</v>
      </c>
      <c r="T2904" cm="1">
        <f t="array" ref="T2904">IFERROR(_xlfn.SWITCH(L2904,1,_xlfn.XLOOKUP(O2904,[1]AttributeName!$B:$B,[1]AttributeName!$E:$E),2,_xlfn.XLOOKUP(C2904,#REF!,#REF!),3,_xlfn.XLOOKUP(C2904,#REF!,#REF!)),0)</f>
        <v>0</v>
      </c>
    </row>
    <row r="2905" customFormat="1" spans="1:20">
      <c r="A2905">
        <f t="shared" si="118"/>
        <v>1205</v>
      </c>
      <c r="B2905">
        <v>8</v>
      </c>
      <c r="C2905" t="s">
        <v>382</v>
      </c>
      <c r="D2905" t="s">
        <v>21</v>
      </c>
      <c r="E2905" t="s">
        <v>378</v>
      </c>
      <c r="G2905">
        <v>1</v>
      </c>
      <c r="H2905">
        <v>1000</v>
      </c>
      <c r="J2905" cm="1">
        <f t="array" ref="J2905">_xlfn.SWITCH(B2905,1,75,2,61,3,49,4,37,5,25,6,13,7,4,8,1)</f>
        <v>1</v>
      </c>
      <c r="K2905" t="str" cm="1">
        <f t="array" ref="K2905">IFERROR(_xlfn.SWITCH(L2905,2,_xlfn.XLOOKUP(C2905,[1]ModifierDes!$B:$B,[1]ModifierDes!$C:$C),3,_xlfn.XLOOKUP(C2905,[1]StuntDes!$B:$B,[1]StuntDes!$C:$C)),"")</f>
        <v>混沌伤害倍率增加{0}</v>
      </c>
      <c r="L2905">
        <f t="shared" si="119"/>
        <v>2</v>
      </c>
      <c r="M2905" s="10" t="str">
        <f>IFERROR(_xlfn.XLOOKUP(C2905,[1]StuntDes!$B:$B,[1]StuntDes!$A:$A),"")</f>
        <v/>
      </c>
      <c r="N2905" s="10">
        <f>IFERROR(_xlfn.XLOOKUP(C2905,[1]ModifierDes!$B:$B,[1]ModifierDes!$A:$A),"")</f>
        <v>10052</v>
      </c>
      <c r="O2905" s="10" t="str">
        <f>IFERROR(_xlfn.XLOOKUP(C2905,[1]AttributeName!$C:$C,[1]AttributeName!$B:$B),"")</f>
        <v/>
      </c>
      <c r="P2905" s="10"/>
      <c r="Q2905">
        <v>0.08</v>
      </c>
      <c r="R2905">
        <v>0.13</v>
      </c>
      <c r="S2905" cm="1">
        <f t="array" ref="S2905">IFERROR(_xlfn.SWITCH(L2905,1,_xlfn.XLOOKUP(O2905,[1]AttributeName!$B:$B,[1]AttributeName!$D:$D),2,_xlfn.XLOOKUP(C2905,#REF!,#REF!),3,_xlfn.XLOOKUP(C2905,#REF!,#REF!)),0)</f>
        <v>0</v>
      </c>
      <c r="T2905" cm="1">
        <f t="array" ref="T2905">IFERROR(_xlfn.SWITCH(L2905,1,_xlfn.XLOOKUP(O2905,[1]AttributeName!$B:$B,[1]AttributeName!$E:$E),2,_xlfn.XLOOKUP(C2905,#REF!,#REF!),3,_xlfn.XLOOKUP(C2905,#REF!,#REF!)),0)</f>
        <v>0</v>
      </c>
    </row>
    <row r="2906" customFormat="1" spans="1:20">
      <c r="A2906">
        <f t="shared" si="118"/>
        <v>1206</v>
      </c>
      <c r="B2906">
        <v>1</v>
      </c>
      <c r="C2906" t="s">
        <v>418</v>
      </c>
      <c r="D2906" t="s">
        <v>21</v>
      </c>
      <c r="E2906" t="s">
        <v>378</v>
      </c>
      <c r="G2906">
        <v>1</v>
      </c>
      <c r="H2906">
        <v>100</v>
      </c>
      <c r="J2906" cm="1">
        <f t="array" ref="J2906">_xlfn.SWITCH(B2906,1,75,2,61,3,49,4,37,5,25,6,13,7,4,8,1)</f>
        <v>75</v>
      </c>
      <c r="K2906" t="str" cm="1">
        <f t="array" ref="K2906">IFERROR(_xlfn.SWITCH(L2906,2,_xlfn.XLOOKUP(C2906,[1]ModifierDes!$B:$B,[1]ModifierDes!$C:$C),3,_xlfn.XLOOKUP(C2906,[1]StuntDes!$B:$B,[1]StuntDes!$C:$C)),"")</f>
        <v>法术伤害提高{0}</v>
      </c>
      <c r="L2906">
        <f t="shared" si="119"/>
        <v>2</v>
      </c>
      <c r="M2906" s="10" t="str">
        <f>IFERROR(_xlfn.XLOOKUP(C2906,[1]StuntDes!$B:$B,[1]StuntDes!$A:$A),"")</f>
        <v/>
      </c>
      <c r="N2906" s="10">
        <f>IFERROR(_xlfn.XLOOKUP(C2906,[1]ModifierDes!$B:$B,[1]ModifierDes!$A:$A),"")</f>
        <v>10067</v>
      </c>
      <c r="O2906" s="10" t="str">
        <f>IFERROR(_xlfn.XLOOKUP(C2906,[1]AttributeName!$C:$C,[1]AttributeName!$B:$B),"")</f>
        <v/>
      </c>
      <c r="P2906" s="10"/>
      <c r="Q2906">
        <v>0.75</v>
      </c>
      <c r="R2906">
        <v>1</v>
      </c>
      <c r="S2906" cm="1">
        <f t="array" ref="S2906">IFERROR(_xlfn.SWITCH(L2906,1,_xlfn.XLOOKUP(O2906,[1]AttributeName!$B:$B,[1]AttributeName!$D:$D),2,_xlfn.XLOOKUP(C2906,#REF!,#REF!),3,_xlfn.XLOOKUP(C2906,#REF!,#REF!)),0)</f>
        <v>0</v>
      </c>
      <c r="T2906" cm="1">
        <f t="array" ref="T2906">IFERROR(_xlfn.SWITCH(L2906,1,_xlfn.XLOOKUP(O2906,[1]AttributeName!$B:$B,[1]AttributeName!$E:$E),2,_xlfn.XLOOKUP(C2906,#REF!,#REF!),3,_xlfn.XLOOKUP(C2906,#REF!,#REF!)),0)</f>
        <v>0</v>
      </c>
    </row>
    <row r="2907" customFormat="1" spans="1:20">
      <c r="A2907">
        <f t="shared" si="118"/>
        <v>1206</v>
      </c>
      <c r="B2907">
        <v>2</v>
      </c>
      <c r="C2907" t="s">
        <v>418</v>
      </c>
      <c r="D2907" t="s">
        <v>21</v>
      </c>
      <c r="E2907" t="s">
        <v>378</v>
      </c>
      <c r="G2907">
        <v>1</v>
      </c>
      <c r="H2907">
        <v>200</v>
      </c>
      <c r="J2907" cm="1">
        <f t="array" ref="J2907">_xlfn.SWITCH(B2907,1,75,2,61,3,49,4,37,5,25,6,13,7,4,8,1)</f>
        <v>61</v>
      </c>
      <c r="K2907" t="str" cm="1">
        <f t="array" ref="K2907">IFERROR(_xlfn.SWITCH(L2907,2,_xlfn.XLOOKUP(C2907,[1]ModifierDes!$B:$B,[1]ModifierDes!$C:$C),3,_xlfn.XLOOKUP(C2907,[1]StuntDes!$B:$B,[1]StuntDes!$C:$C)),"")</f>
        <v>法术伤害提高{0}</v>
      </c>
      <c r="L2907">
        <f t="shared" si="119"/>
        <v>2</v>
      </c>
      <c r="M2907" s="10" t="str">
        <f>IFERROR(_xlfn.XLOOKUP(C2907,[1]StuntDes!$B:$B,[1]StuntDes!$A:$A),"")</f>
        <v/>
      </c>
      <c r="N2907" s="10">
        <f>IFERROR(_xlfn.XLOOKUP(C2907,[1]ModifierDes!$B:$B,[1]ModifierDes!$A:$A),"")</f>
        <v>10067</v>
      </c>
      <c r="O2907" s="10" t="str">
        <f>IFERROR(_xlfn.XLOOKUP(C2907,[1]AttributeName!$C:$C,[1]AttributeName!$B:$B),"")</f>
        <v/>
      </c>
      <c r="P2907" s="10"/>
      <c r="Q2907">
        <v>0.66</v>
      </c>
      <c r="R2907">
        <v>0.74</v>
      </c>
      <c r="S2907" cm="1">
        <f t="array" ref="S2907">IFERROR(_xlfn.SWITCH(L2907,1,_xlfn.XLOOKUP(O2907,[1]AttributeName!$B:$B,[1]AttributeName!$D:$D),2,_xlfn.XLOOKUP(C2907,#REF!,#REF!),3,_xlfn.XLOOKUP(C2907,#REF!,#REF!)),0)</f>
        <v>0</v>
      </c>
      <c r="T2907" cm="1">
        <f t="array" ref="T2907">IFERROR(_xlfn.SWITCH(L2907,1,_xlfn.XLOOKUP(O2907,[1]AttributeName!$B:$B,[1]AttributeName!$E:$E),2,_xlfn.XLOOKUP(C2907,#REF!,#REF!),3,_xlfn.XLOOKUP(C2907,#REF!,#REF!)),0)</f>
        <v>0</v>
      </c>
    </row>
    <row r="2908" customFormat="1" spans="1:20">
      <c r="A2908">
        <f t="shared" si="118"/>
        <v>1206</v>
      </c>
      <c r="B2908">
        <v>3</v>
      </c>
      <c r="C2908" t="s">
        <v>418</v>
      </c>
      <c r="D2908" t="s">
        <v>21</v>
      </c>
      <c r="E2908" t="s">
        <v>378</v>
      </c>
      <c r="G2908">
        <v>1</v>
      </c>
      <c r="H2908">
        <v>500</v>
      </c>
      <c r="J2908" cm="1">
        <f t="array" ref="J2908">_xlfn.SWITCH(B2908,1,75,2,61,3,49,4,37,5,25,6,13,7,4,8,1)</f>
        <v>49</v>
      </c>
      <c r="K2908" t="str" cm="1">
        <f t="array" ref="K2908">IFERROR(_xlfn.SWITCH(L2908,2,_xlfn.XLOOKUP(C2908,[1]ModifierDes!$B:$B,[1]ModifierDes!$C:$C),3,_xlfn.XLOOKUP(C2908,[1]StuntDes!$B:$B,[1]StuntDes!$C:$C)),"")</f>
        <v>法术伤害提高{0}</v>
      </c>
      <c r="L2908">
        <f t="shared" si="119"/>
        <v>2</v>
      </c>
      <c r="M2908" s="10" t="str">
        <f>IFERROR(_xlfn.XLOOKUP(C2908,[1]StuntDes!$B:$B,[1]StuntDes!$A:$A),"")</f>
        <v/>
      </c>
      <c r="N2908" s="10">
        <f>IFERROR(_xlfn.XLOOKUP(C2908,[1]ModifierDes!$B:$B,[1]ModifierDes!$A:$A),"")</f>
        <v>10067</v>
      </c>
      <c r="O2908" s="10" t="str">
        <f>IFERROR(_xlfn.XLOOKUP(C2908,[1]AttributeName!$C:$C,[1]AttributeName!$B:$B),"")</f>
        <v/>
      </c>
      <c r="P2908" s="10"/>
      <c r="Q2908">
        <v>0.57</v>
      </c>
      <c r="R2908">
        <v>0.65</v>
      </c>
      <c r="S2908" cm="1">
        <f t="array" ref="S2908">IFERROR(_xlfn.SWITCH(L2908,1,_xlfn.XLOOKUP(O2908,[1]AttributeName!$B:$B,[1]AttributeName!$D:$D),2,_xlfn.XLOOKUP(C2908,#REF!,#REF!),3,_xlfn.XLOOKUP(C2908,#REF!,#REF!)),0)</f>
        <v>0</v>
      </c>
      <c r="T2908" cm="1">
        <f t="array" ref="T2908">IFERROR(_xlfn.SWITCH(L2908,1,_xlfn.XLOOKUP(O2908,[1]AttributeName!$B:$B,[1]AttributeName!$E:$E),2,_xlfn.XLOOKUP(C2908,#REF!,#REF!),3,_xlfn.XLOOKUP(C2908,#REF!,#REF!)),0)</f>
        <v>0</v>
      </c>
    </row>
    <row r="2909" customFormat="1" spans="1:20">
      <c r="A2909">
        <f t="shared" si="118"/>
        <v>1206</v>
      </c>
      <c r="B2909">
        <v>4</v>
      </c>
      <c r="C2909" t="s">
        <v>418</v>
      </c>
      <c r="D2909" t="s">
        <v>21</v>
      </c>
      <c r="E2909" t="s">
        <v>378</v>
      </c>
      <c r="G2909">
        <v>1</v>
      </c>
      <c r="H2909">
        <v>1000</v>
      </c>
      <c r="J2909" cm="1">
        <f t="array" ref="J2909">_xlfn.SWITCH(B2909,1,75,2,61,3,49,4,37,5,25,6,13,7,4,8,1)</f>
        <v>37</v>
      </c>
      <c r="K2909" t="str" cm="1">
        <f t="array" ref="K2909">IFERROR(_xlfn.SWITCH(L2909,2,_xlfn.XLOOKUP(C2909,[1]ModifierDes!$B:$B,[1]ModifierDes!$C:$C),3,_xlfn.XLOOKUP(C2909,[1]StuntDes!$B:$B,[1]StuntDes!$C:$C)),"")</f>
        <v>法术伤害提高{0}</v>
      </c>
      <c r="L2909">
        <f t="shared" si="119"/>
        <v>2</v>
      </c>
      <c r="M2909" s="10" t="str">
        <f>IFERROR(_xlfn.XLOOKUP(C2909,[1]StuntDes!$B:$B,[1]StuntDes!$A:$A),"")</f>
        <v/>
      </c>
      <c r="N2909" s="10">
        <f>IFERROR(_xlfn.XLOOKUP(C2909,[1]ModifierDes!$B:$B,[1]ModifierDes!$A:$A),"")</f>
        <v>10067</v>
      </c>
      <c r="O2909" s="10" t="str">
        <f>IFERROR(_xlfn.XLOOKUP(C2909,[1]AttributeName!$C:$C,[1]AttributeName!$B:$B),"")</f>
        <v/>
      </c>
      <c r="P2909" s="10"/>
      <c r="Q2909">
        <v>0.48</v>
      </c>
      <c r="R2909">
        <v>0.56</v>
      </c>
      <c r="S2909" cm="1">
        <f t="array" ref="S2909">IFERROR(_xlfn.SWITCH(L2909,1,_xlfn.XLOOKUP(O2909,[1]AttributeName!$B:$B,[1]AttributeName!$D:$D),2,_xlfn.XLOOKUP(C2909,#REF!,#REF!),3,_xlfn.XLOOKUP(C2909,#REF!,#REF!)),0)</f>
        <v>0</v>
      </c>
      <c r="T2909" cm="1">
        <f t="array" ref="T2909">IFERROR(_xlfn.SWITCH(L2909,1,_xlfn.XLOOKUP(O2909,[1]AttributeName!$B:$B,[1]AttributeName!$E:$E),2,_xlfn.XLOOKUP(C2909,#REF!,#REF!),3,_xlfn.XLOOKUP(C2909,#REF!,#REF!)),0)</f>
        <v>0</v>
      </c>
    </row>
    <row r="2910" customFormat="1" spans="1:20">
      <c r="A2910">
        <f t="shared" si="118"/>
        <v>1206</v>
      </c>
      <c r="B2910">
        <v>5</v>
      </c>
      <c r="C2910" t="s">
        <v>418</v>
      </c>
      <c r="D2910" t="s">
        <v>21</v>
      </c>
      <c r="E2910" t="s">
        <v>378</v>
      </c>
      <c r="G2910">
        <v>1</v>
      </c>
      <c r="H2910">
        <v>1000</v>
      </c>
      <c r="J2910" cm="1">
        <f t="array" ref="J2910">_xlfn.SWITCH(B2910,1,75,2,61,3,49,4,37,5,25,6,13,7,4,8,1)</f>
        <v>25</v>
      </c>
      <c r="K2910" t="str" cm="1">
        <f t="array" ref="K2910">IFERROR(_xlfn.SWITCH(L2910,2,_xlfn.XLOOKUP(C2910,[1]ModifierDes!$B:$B,[1]ModifierDes!$C:$C),3,_xlfn.XLOOKUP(C2910,[1]StuntDes!$B:$B,[1]StuntDes!$C:$C)),"")</f>
        <v>法术伤害提高{0}</v>
      </c>
      <c r="L2910">
        <f t="shared" si="119"/>
        <v>2</v>
      </c>
      <c r="M2910" s="10" t="str">
        <f>IFERROR(_xlfn.XLOOKUP(C2910,[1]StuntDes!$B:$B,[1]StuntDes!$A:$A),"")</f>
        <v/>
      </c>
      <c r="N2910" s="10">
        <f>IFERROR(_xlfn.XLOOKUP(C2910,[1]ModifierDes!$B:$B,[1]ModifierDes!$A:$A),"")</f>
        <v>10067</v>
      </c>
      <c r="O2910" s="10" t="str">
        <f>IFERROR(_xlfn.XLOOKUP(C2910,[1]AttributeName!$C:$C,[1]AttributeName!$B:$B),"")</f>
        <v/>
      </c>
      <c r="P2910" s="10"/>
      <c r="Q2910">
        <v>0.39</v>
      </c>
      <c r="R2910">
        <v>0.47</v>
      </c>
      <c r="S2910" cm="1">
        <f t="array" ref="S2910">IFERROR(_xlfn.SWITCH(L2910,1,_xlfn.XLOOKUP(O2910,[1]AttributeName!$B:$B,[1]AttributeName!$D:$D),2,_xlfn.XLOOKUP(C2910,#REF!,#REF!),3,_xlfn.XLOOKUP(C2910,#REF!,#REF!)),0)</f>
        <v>0</v>
      </c>
      <c r="T2910" cm="1">
        <f t="array" ref="T2910">IFERROR(_xlfn.SWITCH(L2910,1,_xlfn.XLOOKUP(O2910,[1]AttributeName!$B:$B,[1]AttributeName!$E:$E),2,_xlfn.XLOOKUP(C2910,#REF!,#REF!),3,_xlfn.XLOOKUP(C2910,#REF!,#REF!)),0)</f>
        <v>0</v>
      </c>
    </row>
    <row r="2911" customFormat="1" spans="1:20">
      <c r="A2911">
        <f t="shared" si="118"/>
        <v>1206</v>
      </c>
      <c r="B2911">
        <v>6</v>
      </c>
      <c r="C2911" t="s">
        <v>418</v>
      </c>
      <c r="D2911" t="s">
        <v>21</v>
      </c>
      <c r="E2911" t="s">
        <v>378</v>
      </c>
      <c r="G2911">
        <v>1</v>
      </c>
      <c r="H2911">
        <v>1000</v>
      </c>
      <c r="J2911" cm="1">
        <f t="array" ref="J2911">_xlfn.SWITCH(B2911,1,75,2,61,3,49,4,37,5,25,6,13,7,4,8,1)</f>
        <v>13</v>
      </c>
      <c r="K2911" t="str" cm="1">
        <f t="array" ref="K2911">IFERROR(_xlfn.SWITCH(L2911,2,_xlfn.XLOOKUP(C2911,[1]ModifierDes!$B:$B,[1]ModifierDes!$C:$C),3,_xlfn.XLOOKUP(C2911,[1]StuntDes!$B:$B,[1]StuntDes!$C:$C)),"")</f>
        <v>法术伤害提高{0}</v>
      </c>
      <c r="L2911">
        <f t="shared" si="119"/>
        <v>2</v>
      </c>
      <c r="M2911" s="10" t="str">
        <f>IFERROR(_xlfn.XLOOKUP(C2911,[1]StuntDes!$B:$B,[1]StuntDes!$A:$A),"")</f>
        <v/>
      </c>
      <c r="N2911" s="10">
        <f>IFERROR(_xlfn.XLOOKUP(C2911,[1]ModifierDes!$B:$B,[1]ModifierDes!$A:$A),"")</f>
        <v>10067</v>
      </c>
      <c r="O2911" s="10" t="str">
        <f>IFERROR(_xlfn.XLOOKUP(C2911,[1]AttributeName!$C:$C,[1]AttributeName!$B:$B),"")</f>
        <v/>
      </c>
      <c r="P2911" s="10"/>
      <c r="Q2911">
        <v>0.3</v>
      </c>
      <c r="R2911">
        <v>0.38</v>
      </c>
      <c r="S2911" cm="1">
        <f t="array" ref="S2911">IFERROR(_xlfn.SWITCH(L2911,1,_xlfn.XLOOKUP(O2911,[1]AttributeName!$B:$B,[1]AttributeName!$D:$D),2,_xlfn.XLOOKUP(C2911,#REF!,#REF!),3,_xlfn.XLOOKUP(C2911,#REF!,#REF!)),0)</f>
        <v>0</v>
      </c>
      <c r="T2911" cm="1">
        <f t="array" ref="T2911">IFERROR(_xlfn.SWITCH(L2911,1,_xlfn.XLOOKUP(O2911,[1]AttributeName!$B:$B,[1]AttributeName!$E:$E),2,_xlfn.XLOOKUP(C2911,#REF!,#REF!),3,_xlfn.XLOOKUP(C2911,#REF!,#REF!)),0)</f>
        <v>0</v>
      </c>
    </row>
    <row r="2912" customFormat="1" spans="1:20">
      <c r="A2912">
        <f t="shared" si="118"/>
        <v>1206</v>
      </c>
      <c r="B2912">
        <v>7</v>
      </c>
      <c r="C2912" t="s">
        <v>418</v>
      </c>
      <c r="D2912" t="s">
        <v>21</v>
      </c>
      <c r="E2912" t="s">
        <v>378</v>
      </c>
      <c r="G2912">
        <v>1</v>
      </c>
      <c r="H2912">
        <v>1000</v>
      </c>
      <c r="J2912" cm="1">
        <f t="array" ref="J2912">_xlfn.SWITCH(B2912,1,75,2,61,3,49,4,37,5,25,6,13,7,4,8,1)</f>
        <v>4</v>
      </c>
      <c r="K2912" t="str" cm="1">
        <f t="array" ref="K2912">IFERROR(_xlfn.SWITCH(L2912,2,_xlfn.XLOOKUP(C2912,[1]ModifierDes!$B:$B,[1]ModifierDes!$C:$C),3,_xlfn.XLOOKUP(C2912,[1]StuntDes!$B:$B,[1]StuntDes!$C:$C)),"")</f>
        <v>法术伤害提高{0}</v>
      </c>
      <c r="L2912">
        <f t="shared" si="119"/>
        <v>2</v>
      </c>
      <c r="M2912" s="10" t="str">
        <f>IFERROR(_xlfn.XLOOKUP(C2912,[1]StuntDes!$B:$B,[1]StuntDes!$A:$A),"")</f>
        <v/>
      </c>
      <c r="N2912" s="10">
        <f>IFERROR(_xlfn.XLOOKUP(C2912,[1]ModifierDes!$B:$B,[1]ModifierDes!$A:$A),"")</f>
        <v>10067</v>
      </c>
      <c r="O2912" s="10" t="str">
        <f>IFERROR(_xlfn.XLOOKUP(C2912,[1]AttributeName!$C:$C,[1]AttributeName!$B:$B),"")</f>
        <v/>
      </c>
      <c r="P2912" s="10"/>
      <c r="Q2912">
        <v>0.21</v>
      </c>
      <c r="R2912">
        <v>0.29</v>
      </c>
      <c r="S2912" cm="1">
        <f t="array" ref="S2912">IFERROR(_xlfn.SWITCH(L2912,1,_xlfn.XLOOKUP(O2912,[1]AttributeName!$B:$B,[1]AttributeName!$D:$D),2,_xlfn.XLOOKUP(C2912,#REF!,#REF!),3,_xlfn.XLOOKUP(C2912,#REF!,#REF!)),0)</f>
        <v>0</v>
      </c>
      <c r="T2912" cm="1">
        <f t="array" ref="T2912">IFERROR(_xlfn.SWITCH(L2912,1,_xlfn.XLOOKUP(O2912,[1]AttributeName!$B:$B,[1]AttributeName!$E:$E),2,_xlfn.XLOOKUP(C2912,#REF!,#REF!),3,_xlfn.XLOOKUP(C2912,#REF!,#REF!)),0)</f>
        <v>0</v>
      </c>
    </row>
    <row r="2913" customFormat="1" spans="1:20">
      <c r="A2913">
        <f t="shared" si="118"/>
        <v>1206</v>
      </c>
      <c r="B2913">
        <v>8</v>
      </c>
      <c r="C2913" t="s">
        <v>418</v>
      </c>
      <c r="D2913" t="s">
        <v>21</v>
      </c>
      <c r="E2913" t="s">
        <v>378</v>
      </c>
      <c r="G2913">
        <v>1</v>
      </c>
      <c r="H2913">
        <v>1000</v>
      </c>
      <c r="J2913" cm="1">
        <f t="array" ref="J2913">_xlfn.SWITCH(B2913,1,75,2,61,3,49,4,37,5,25,6,13,7,4,8,1)</f>
        <v>1</v>
      </c>
      <c r="K2913" t="str" cm="1">
        <f t="array" ref="K2913">IFERROR(_xlfn.SWITCH(L2913,2,_xlfn.XLOOKUP(C2913,[1]ModifierDes!$B:$B,[1]ModifierDes!$C:$C),3,_xlfn.XLOOKUP(C2913,[1]StuntDes!$B:$B,[1]StuntDes!$C:$C)),"")</f>
        <v>法术伤害提高{0}</v>
      </c>
      <c r="L2913">
        <f t="shared" si="119"/>
        <v>2</v>
      </c>
      <c r="M2913" s="10" t="str">
        <f>IFERROR(_xlfn.XLOOKUP(C2913,[1]StuntDes!$B:$B,[1]StuntDes!$A:$A),"")</f>
        <v/>
      </c>
      <c r="N2913" s="10">
        <f>IFERROR(_xlfn.XLOOKUP(C2913,[1]ModifierDes!$B:$B,[1]ModifierDes!$A:$A),"")</f>
        <v>10067</v>
      </c>
      <c r="O2913" s="10" t="str">
        <f>IFERROR(_xlfn.XLOOKUP(C2913,[1]AttributeName!$C:$C,[1]AttributeName!$B:$B),"")</f>
        <v/>
      </c>
      <c r="P2913" s="10"/>
      <c r="Q2913">
        <v>0.12</v>
      </c>
      <c r="R2913">
        <v>0.2</v>
      </c>
      <c r="S2913" cm="1">
        <f t="array" ref="S2913">IFERROR(_xlfn.SWITCH(L2913,1,_xlfn.XLOOKUP(O2913,[1]AttributeName!$B:$B,[1]AttributeName!$D:$D),2,_xlfn.XLOOKUP(C2913,#REF!,#REF!),3,_xlfn.XLOOKUP(C2913,#REF!,#REF!)),0)</f>
        <v>0</v>
      </c>
      <c r="T2913" cm="1">
        <f t="array" ref="T2913">IFERROR(_xlfn.SWITCH(L2913,1,_xlfn.XLOOKUP(O2913,[1]AttributeName!$B:$B,[1]AttributeName!$E:$E),2,_xlfn.XLOOKUP(C2913,#REF!,#REF!),3,_xlfn.XLOOKUP(C2913,#REF!,#REF!)),0)</f>
        <v>0</v>
      </c>
    </row>
    <row r="2914" customFormat="1" spans="1:20">
      <c r="A2914">
        <f t="shared" si="118"/>
        <v>1207</v>
      </c>
      <c r="B2914">
        <v>1</v>
      </c>
      <c r="C2914" t="s">
        <v>384</v>
      </c>
      <c r="D2914" t="s">
        <v>21</v>
      </c>
      <c r="E2914" t="s">
        <v>378</v>
      </c>
      <c r="G2914">
        <v>1</v>
      </c>
      <c r="H2914">
        <v>100</v>
      </c>
      <c r="J2914" cm="1">
        <f t="array" ref="J2914">_xlfn.SWITCH(B2914,1,75,2,61,3,49,4,37,5,25,6,13,7,4,8,1)</f>
        <v>75</v>
      </c>
      <c r="K2914" t="str" cm="1">
        <f t="array" ref="K2914">IFERROR(_xlfn.SWITCH(L2914,2,_xlfn.XLOOKUP(C2914,[1]ModifierDes!$B:$B,[1]ModifierDes!$C:$C),3,_xlfn.XLOOKUP(C2914,[1]StuntDes!$B:$B,[1]StuntDes!$C:$C)),"")</f>
        <v/>
      </c>
      <c r="L2914">
        <f t="shared" si="119"/>
        <v>1</v>
      </c>
      <c r="M2914" s="10" t="str">
        <f>IFERROR(_xlfn.XLOOKUP(C2914,[1]StuntDes!$B:$B,[1]StuntDes!$A:$A),"")</f>
        <v/>
      </c>
      <c r="N2914" s="10" t="str">
        <f>IFERROR(_xlfn.XLOOKUP(C2914,[1]ModifierDes!$B:$B,[1]ModifierDes!$A:$A),"")</f>
        <v/>
      </c>
      <c r="O2914" s="10">
        <f>IFERROR(_xlfn.XLOOKUP(C2914,[1]AttributeName!$C:$C,[1]AttributeName!$B:$B),"")</f>
        <v>10303</v>
      </c>
      <c r="P2914" s="10"/>
      <c r="Q2914">
        <v>0.75</v>
      </c>
      <c r="R2914">
        <v>1</v>
      </c>
      <c r="S2914" cm="1">
        <f t="array" ref="S2914">IFERROR(_xlfn.SWITCH(L2914,1,_xlfn.XLOOKUP(O2914,[1]AttributeName!$B:$B,[1]AttributeName!$D:$D),2,_xlfn.XLOOKUP(C2914,#REF!,#REF!),3,_xlfn.XLOOKUP(C2914,#REF!,#REF!)),0)</f>
        <v>2</v>
      </c>
      <c r="T2914" cm="1">
        <f t="array" ref="T2914">IFERROR(_xlfn.SWITCH(L2914,1,_xlfn.XLOOKUP(O2914,[1]AttributeName!$B:$B,[1]AttributeName!$E:$E),2,_xlfn.XLOOKUP(C2914,#REF!,#REF!),3,_xlfn.XLOOKUP(C2914,#REF!,#REF!)),0)</f>
        <v>2</v>
      </c>
    </row>
    <row r="2915" customFormat="1" spans="1:20">
      <c r="A2915">
        <f t="shared" si="118"/>
        <v>1207</v>
      </c>
      <c r="B2915">
        <v>2</v>
      </c>
      <c r="C2915" t="s">
        <v>384</v>
      </c>
      <c r="D2915" t="s">
        <v>21</v>
      </c>
      <c r="E2915" t="s">
        <v>378</v>
      </c>
      <c r="G2915">
        <v>1</v>
      </c>
      <c r="H2915">
        <v>200</v>
      </c>
      <c r="J2915" cm="1">
        <f t="array" ref="J2915">_xlfn.SWITCH(B2915,1,75,2,61,3,49,4,37,5,25,6,13,7,4,8,1)</f>
        <v>61</v>
      </c>
      <c r="K2915" t="str" cm="1">
        <f t="array" ref="K2915">IFERROR(_xlfn.SWITCH(L2915,2,_xlfn.XLOOKUP(C2915,[1]ModifierDes!$B:$B,[1]ModifierDes!$C:$C),3,_xlfn.XLOOKUP(C2915,[1]StuntDes!$B:$B,[1]StuntDes!$C:$C)),"")</f>
        <v/>
      </c>
      <c r="L2915">
        <f t="shared" si="119"/>
        <v>1</v>
      </c>
      <c r="M2915" s="10" t="str">
        <f>IFERROR(_xlfn.XLOOKUP(C2915,[1]StuntDes!$B:$B,[1]StuntDes!$A:$A),"")</f>
        <v/>
      </c>
      <c r="N2915" s="10" t="str">
        <f>IFERROR(_xlfn.XLOOKUP(C2915,[1]ModifierDes!$B:$B,[1]ModifierDes!$A:$A),"")</f>
        <v/>
      </c>
      <c r="O2915" s="10">
        <f>IFERROR(_xlfn.XLOOKUP(C2915,[1]AttributeName!$C:$C,[1]AttributeName!$B:$B),"")</f>
        <v>10303</v>
      </c>
      <c r="P2915" s="10"/>
      <c r="Q2915">
        <v>0.66</v>
      </c>
      <c r="R2915">
        <v>0.74</v>
      </c>
      <c r="S2915" cm="1">
        <f t="array" ref="S2915">IFERROR(_xlfn.SWITCH(L2915,1,_xlfn.XLOOKUP(O2915,[1]AttributeName!$B:$B,[1]AttributeName!$D:$D),2,_xlfn.XLOOKUP(C2915,#REF!,#REF!),3,_xlfn.XLOOKUP(C2915,#REF!,#REF!)),0)</f>
        <v>2</v>
      </c>
      <c r="T2915" cm="1">
        <f t="array" ref="T2915">IFERROR(_xlfn.SWITCH(L2915,1,_xlfn.XLOOKUP(O2915,[1]AttributeName!$B:$B,[1]AttributeName!$E:$E),2,_xlfn.XLOOKUP(C2915,#REF!,#REF!),3,_xlfn.XLOOKUP(C2915,#REF!,#REF!)),0)</f>
        <v>2</v>
      </c>
    </row>
    <row r="2916" customFormat="1" spans="1:20">
      <c r="A2916">
        <f t="shared" si="118"/>
        <v>1207</v>
      </c>
      <c r="B2916">
        <v>3</v>
      </c>
      <c r="C2916" t="s">
        <v>384</v>
      </c>
      <c r="D2916" t="s">
        <v>21</v>
      </c>
      <c r="E2916" t="s">
        <v>378</v>
      </c>
      <c r="G2916">
        <v>1</v>
      </c>
      <c r="H2916">
        <v>500</v>
      </c>
      <c r="J2916" cm="1">
        <f t="array" ref="J2916">_xlfn.SWITCH(B2916,1,75,2,61,3,49,4,37,5,25,6,13,7,4,8,1)</f>
        <v>49</v>
      </c>
      <c r="K2916" t="str" cm="1">
        <f t="array" ref="K2916">IFERROR(_xlfn.SWITCH(L2916,2,_xlfn.XLOOKUP(C2916,[1]ModifierDes!$B:$B,[1]ModifierDes!$C:$C),3,_xlfn.XLOOKUP(C2916,[1]StuntDes!$B:$B,[1]StuntDes!$C:$C)),"")</f>
        <v/>
      </c>
      <c r="L2916">
        <f t="shared" si="119"/>
        <v>1</v>
      </c>
      <c r="M2916" s="10" t="str">
        <f>IFERROR(_xlfn.XLOOKUP(C2916,[1]StuntDes!$B:$B,[1]StuntDes!$A:$A),"")</f>
        <v/>
      </c>
      <c r="N2916" s="10" t="str">
        <f>IFERROR(_xlfn.XLOOKUP(C2916,[1]ModifierDes!$B:$B,[1]ModifierDes!$A:$A),"")</f>
        <v/>
      </c>
      <c r="O2916" s="10">
        <f>IFERROR(_xlfn.XLOOKUP(C2916,[1]AttributeName!$C:$C,[1]AttributeName!$B:$B),"")</f>
        <v>10303</v>
      </c>
      <c r="P2916" s="10"/>
      <c r="Q2916">
        <v>0.57</v>
      </c>
      <c r="R2916">
        <v>0.65</v>
      </c>
      <c r="S2916" cm="1">
        <f t="array" ref="S2916">IFERROR(_xlfn.SWITCH(L2916,1,_xlfn.XLOOKUP(O2916,[1]AttributeName!$B:$B,[1]AttributeName!$D:$D),2,_xlfn.XLOOKUP(C2916,#REF!,#REF!),3,_xlfn.XLOOKUP(C2916,#REF!,#REF!)),0)</f>
        <v>2</v>
      </c>
      <c r="T2916" cm="1">
        <f t="array" ref="T2916">IFERROR(_xlfn.SWITCH(L2916,1,_xlfn.XLOOKUP(O2916,[1]AttributeName!$B:$B,[1]AttributeName!$E:$E),2,_xlfn.XLOOKUP(C2916,#REF!,#REF!),3,_xlfn.XLOOKUP(C2916,#REF!,#REF!)),0)</f>
        <v>2</v>
      </c>
    </row>
    <row r="2917" customFormat="1" spans="1:20">
      <c r="A2917">
        <f t="shared" si="118"/>
        <v>1207</v>
      </c>
      <c r="B2917">
        <v>4</v>
      </c>
      <c r="C2917" t="s">
        <v>384</v>
      </c>
      <c r="D2917" t="s">
        <v>21</v>
      </c>
      <c r="E2917" t="s">
        <v>378</v>
      </c>
      <c r="G2917">
        <v>1</v>
      </c>
      <c r="H2917">
        <v>1000</v>
      </c>
      <c r="J2917" cm="1">
        <f t="array" ref="J2917">_xlfn.SWITCH(B2917,1,75,2,61,3,49,4,37,5,25,6,13,7,4,8,1)</f>
        <v>37</v>
      </c>
      <c r="K2917" t="str" cm="1">
        <f t="array" ref="K2917">IFERROR(_xlfn.SWITCH(L2917,2,_xlfn.XLOOKUP(C2917,[1]ModifierDes!$B:$B,[1]ModifierDes!$C:$C),3,_xlfn.XLOOKUP(C2917,[1]StuntDes!$B:$B,[1]StuntDes!$C:$C)),"")</f>
        <v/>
      </c>
      <c r="L2917">
        <f t="shared" si="119"/>
        <v>1</v>
      </c>
      <c r="M2917" s="10" t="str">
        <f>IFERROR(_xlfn.XLOOKUP(C2917,[1]StuntDes!$B:$B,[1]StuntDes!$A:$A),"")</f>
        <v/>
      </c>
      <c r="N2917" s="10" t="str">
        <f>IFERROR(_xlfn.XLOOKUP(C2917,[1]ModifierDes!$B:$B,[1]ModifierDes!$A:$A),"")</f>
        <v/>
      </c>
      <c r="O2917" s="10">
        <f>IFERROR(_xlfn.XLOOKUP(C2917,[1]AttributeName!$C:$C,[1]AttributeName!$B:$B),"")</f>
        <v>10303</v>
      </c>
      <c r="P2917" s="10"/>
      <c r="Q2917">
        <v>0.48</v>
      </c>
      <c r="R2917">
        <v>0.56</v>
      </c>
      <c r="S2917" cm="1">
        <f t="array" ref="S2917">IFERROR(_xlfn.SWITCH(L2917,1,_xlfn.XLOOKUP(O2917,[1]AttributeName!$B:$B,[1]AttributeName!$D:$D),2,_xlfn.XLOOKUP(C2917,#REF!,#REF!),3,_xlfn.XLOOKUP(C2917,#REF!,#REF!)),0)</f>
        <v>2</v>
      </c>
      <c r="T2917" cm="1">
        <f t="array" ref="T2917">IFERROR(_xlfn.SWITCH(L2917,1,_xlfn.XLOOKUP(O2917,[1]AttributeName!$B:$B,[1]AttributeName!$E:$E),2,_xlfn.XLOOKUP(C2917,#REF!,#REF!),3,_xlfn.XLOOKUP(C2917,#REF!,#REF!)),0)</f>
        <v>2</v>
      </c>
    </row>
    <row r="2918" customFormat="1" spans="1:20">
      <c r="A2918">
        <f t="shared" si="118"/>
        <v>1207</v>
      </c>
      <c r="B2918">
        <v>5</v>
      </c>
      <c r="C2918" t="s">
        <v>384</v>
      </c>
      <c r="D2918" t="s">
        <v>21</v>
      </c>
      <c r="E2918" t="s">
        <v>378</v>
      </c>
      <c r="G2918">
        <v>1</v>
      </c>
      <c r="H2918">
        <v>1000</v>
      </c>
      <c r="J2918" cm="1">
        <f t="array" ref="J2918">_xlfn.SWITCH(B2918,1,75,2,61,3,49,4,37,5,25,6,13,7,4,8,1)</f>
        <v>25</v>
      </c>
      <c r="K2918" t="str" cm="1">
        <f t="array" ref="K2918">IFERROR(_xlfn.SWITCH(L2918,2,_xlfn.XLOOKUP(C2918,[1]ModifierDes!$B:$B,[1]ModifierDes!$C:$C),3,_xlfn.XLOOKUP(C2918,[1]StuntDes!$B:$B,[1]StuntDes!$C:$C)),"")</f>
        <v/>
      </c>
      <c r="L2918">
        <f t="shared" si="119"/>
        <v>1</v>
      </c>
      <c r="M2918" s="10" t="str">
        <f>IFERROR(_xlfn.XLOOKUP(C2918,[1]StuntDes!$B:$B,[1]StuntDes!$A:$A),"")</f>
        <v/>
      </c>
      <c r="N2918" s="10" t="str">
        <f>IFERROR(_xlfn.XLOOKUP(C2918,[1]ModifierDes!$B:$B,[1]ModifierDes!$A:$A),"")</f>
        <v/>
      </c>
      <c r="O2918" s="10">
        <f>IFERROR(_xlfn.XLOOKUP(C2918,[1]AttributeName!$C:$C,[1]AttributeName!$B:$B),"")</f>
        <v>10303</v>
      </c>
      <c r="P2918" s="10"/>
      <c r="Q2918">
        <v>0.39</v>
      </c>
      <c r="R2918">
        <v>0.47</v>
      </c>
      <c r="S2918" cm="1">
        <f t="array" ref="S2918">IFERROR(_xlfn.SWITCH(L2918,1,_xlfn.XLOOKUP(O2918,[1]AttributeName!$B:$B,[1]AttributeName!$D:$D),2,_xlfn.XLOOKUP(C2918,#REF!,#REF!),3,_xlfn.XLOOKUP(C2918,#REF!,#REF!)),0)</f>
        <v>2</v>
      </c>
      <c r="T2918" cm="1">
        <f t="array" ref="T2918">IFERROR(_xlfn.SWITCH(L2918,1,_xlfn.XLOOKUP(O2918,[1]AttributeName!$B:$B,[1]AttributeName!$E:$E),2,_xlfn.XLOOKUP(C2918,#REF!,#REF!),3,_xlfn.XLOOKUP(C2918,#REF!,#REF!)),0)</f>
        <v>2</v>
      </c>
    </row>
    <row r="2919" customFormat="1" spans="1:20">
      <c r="A2919">
        <f t="shared" si="118"/>
        <v>1207</v>
      </c>
      <c r="B2919">
        <v>6</v>
      </c>
      <c r="C2919" t="s">
        <v>384</v>
      </c>
      <c r="D2919" t="s">
        <v>21</v>
      </c>
      <c r="E2919" t="s">
        <v>378</v>
      </c>
      <c r="G2919">
        <v>1</v>
      </c>
      <c r="H2919">
        <v>1000</v>
      </c>
      <c r="J2919" cm="1">
        <f t="array" ref="J2919">_xlfn.SWITCH(B2919,1,75,2,61,3,49,4,37,5,25,6,13,7,4,8,1)</f>
        <v>13</v>
      </c>
      <c r="K2919" t="str" cm="1">
        <f t="array" ref="K2919">IFERROR(_xlfn.SWITCH(L2919,2,_xlfn.XLOOKUP(C2919,[1]ModifierDes!$B:$B,[1]ModifierDes!$C:$C),3,_xlfn.XLOOKUP(C2919,[1]StuntDes!$B:$B,[1]StuntDes!$C:$C)),"")</f>
        <v/>
      </c>
      <c r="L2919">
        <f t="shared" si="119"/>
        <v>1</v>
      </c>
      <c r="M2919" s="10" t="str">
        <f>IFERROR(_xlfn.XLOOKUP(C2919,[1]StuntDes!$B:$B,[1]StuntDes!$A:$A),"")</f>
        <v/>
      </c>
      <c r="N2919" s="10" t="str">
        <f>IFERROR(_xlfn.XLOOKUP(C2919,[1]ModifierDes!$B:$B,[1]ModifierDes!$A:$A),"")</f>
        <v/>
      </c>
      <c r="O2919" s="10">
        <f>IFERROR(_xlfn.XLOOKUP(C2919,[1]AttributeName!$C:$C,[1]AttributeName!$B:$B),"")</f>
        <v>10303</v>
      </c>
      <c r="P2919" s="10"/>
      <c r="Q2919">
        <v>0.3</v>
      </c>
      <c r="R2919">
        <v>0.38</v>
      </c>
      <c r="S2919" cm="1">
        <f t="array" ref="S2919">IFERROR(_xlfn.SWITCH(L2919,1,_xlfn.XLOOKUP(O2919,[1]AttributeName!$B:$B,[1]AttributeName!$D:$D),2,_xlfn.XLOOKUP(C2919,#REF!,#REF!),3,_xlfn.XLOOKUP(C2919,#REF!,#REF!)),0)</f>
        <v>2</v>
      </c>
      <c r="T2919" cm="1">
        <f t="array" ref="T2919">IFERROR(_xlfn.SWITCH(L2919,1,_xlfn.XLOOKUP(O2919,[1]AttributeName!$B:$B,[1]AttributeName!$E:$E),2,_xlfn.XLOOKUP(C2919,#REF!,#REF!),3,_xlfn.XLOOKUP(C2919,#REF!,#REF!)),0)</f>
        <v>2</v>
      </c>
    </row>
    <row r="2920" customFormat="1" spans="1:20">
      <c r="A2920">
        <f t="shared" si="118"/>
        <v>1207</v>
      </c>
      <c r="B2920">
        <v>7</v>
      </c>
      <c r="C2920" t="s">
        <v>384</v>
      </c>
      <c r="D2920" t="s">
        <v>21</v>
      </c>
      <c r="E2920" t="s">
        <v>378</v>
      </c>
      <c r="G2920">
        <v>1</v>
      </c>
      <c r="H2920">
        <v>1000</v>
      </c>
      <c r="J2920" cm="1">
        <f t="array" ref="J2920">_xlfn.SWITCH(B2920,1,75,2,61,3,49,4,37,5,25,6,13,7,4,8,1)</f>
        <v>4</v>
      </c>
      <c r="K2920" t="str" cm="1">
        <f t="array" ref="K2920">IFERROR(_xlfn.SWITCH(L2920,2,_xlfn.XLOOKUP(C2920,[1]ModifierDes!$B:$B,[1]ModifierDes!$C:$C),3,_xlfn.XLOOKUP(C2920,[1]StuntDes!$B:$B,[1]StuntDes!$C:$C)),"")</f>
        <v/>
      </c>
      <c r="L2920">
        <f t="shared" si="119"/>
        <v>1</v>
      </c>
      <c r="M2920" s="10" t="str">
        <f>IFERROR(_xlfn.XLOOKUP(C2920,[1]StuntDes!$B:$B,[1]StuntDes!$A:$A),"")</f>
        <v/>
      </c>
      <c r="N2920" s="10" t="str">
        <f>IFERROR(_xlfn.XLOOKUP(C2920,[1]ModifierDes!$B:$B,[1]ModifierDes!$A:$A),"")</f>
        <v/>
      </c>
      <c r="O2920" s="10">
        <f>IFERROR(_xlfn.XLOOKUP(C2920,[1]AttributeName!$C:$C,[1]AttributeName!$B:$B),"")</f>
        <v>10303</v>
      </c>
      <c r="P2920" s="10"/>
      <c r="Q2920">
        <v>0.21</v>
      </c>
      <c r="R2920">
        <v>0.29</v>
      </c>
      <c r="S2920" cm="1">
        <f t="array" ref="S2920">IFERROR(_xlfn.SWITCH(L2920,1,_xlfn.XLOOKUP(O2920,[1]AttributeName!$B:$B,[1]AttributeName!$D:$D),2,_xlfn.XLOOKUP(C2920,#REF!,#REF!),3,_xlfn.XLOOKUP(C2920,#REF!,#REF!)),0)</f>
        <v>2</v>
      </c>
      <c r="T2920" cm="1">
        <f t="array" ref="T2920">IFERROR(_xlfn.SWITCH(L2920,1,_xlfn.XLOOKUP(O2920,[1]AttributeName!$B:$B,[1]AttributeName!$E:$E),2,_xlfn.XLOOKUP(C2920,#REF!,#REF!),3,_xlfn.XLOOKUP(C2920,#REF!,#REF!)),0)</f>
        <v>2</v>
      </c>
    </row>
    <row r="2921" customFormat="1" spans="1:20">
      <c r="A2921">
        <f t="shared" si="118"/>
        <v>1207</v>
      </c>
      <c r="B2921">
        <v>8</v>
      </c>
      <c r="C2921" t="s">
        <v>384</v>
      </c>
      <c r="D2921" t="s">
        <v>21</v>
      </c>
      <c r="E2921" t="s">
        <v>378</v>
      </c>
      <c r="G2921">
        <v>1</v>
      </c>
      <c r="H2921">
        <v>1000</v>
      </c>
      <c r="J2921" cm="1">
        <f t="array" ref="J2921">_xlfn.SWITCH(B2921,1,75,2,61,3,49,4,37,5,25,6,13,7,4,8,1)</f>
        <v>1</v>
      </c>
      <c r="K2921" t="str" cm="1">
        <f t="array" ref="K2921">IFERROR(_xlfn.SWITCH(L2921,2,_xlfn.XLOOKUP(C2921,[1]ModifierDes!$B:$B,[1]ModifierDes!$C:$C),3,_xlfn.XLOOKUP(C2921,[1]StuntDes!$B:$B,[1]StuntDes!$C:$C)),"")</f>
        <v/>
      </c>
      <c r="L2921">
        <f t="shared" si="119"/>
        <v>1</v>
      </c>
      <c r="M2921" s="10" t="str">
        <f>IFERROR(_xlfn.XLOOKUP(C2921,[1]StuntDes!$B:$B,[1]StuntDes!$A:$A),"")</f>
        <v/>
      </c>
      <c r="N2921" s="10" t="str">
        <f>IFERROR(_xlfn.XLOOKUP(C2921,[1]ModifierDes!$B:$B,[1]ModifierDes!$A:$A),"")</f>
        <v/>
      </c>
      <c r="O2921" s="10">
        <f>IFERROR(_xlfn.XLOOKUP(C2921,[1]AttributeName!$C:$C,[1]AttributeName!$B:$B),"")</f>
        <v>10303</v>
      </c>
      <c r="P2921" s="10"/>
      <c r="Q2921">
        <v>0.12</v>
      </c>
      <c r="R2921">
        <v>0.2</v>
      </c>
      <c r="S2921" cm="1">
        <f t="array" ref="S2921">IFERROR(_xlfn.SWITCH(L2921,1,_xlfn.XLOOKUP(O2921,[1]AttributeName!$B:$B,[1]AttributeName!$D:$D),2,_xlfn.XLOOKUP(C2921,#REF!,#REF!),3,_xlfn.XLOOKUP(C2921,#REF!,#REF!)),0)</f>
        <v>2</v>
      </c>
      <c r="T2921" cm="1">
        <f t="array" ref="T2921">IFERROR(_xlfn.SWITCH(L2921,1,_xlfn.XLOOKUP(O2921,[1]AttributeName!$B:$B,[1]AttributeName!$E:$E),2,_xlfn.XLOOKUP(C2921,#REF!,#REF!),3,_xlfn.XLOOKUP(C2921,#REF!,#REF!)),0)</f>
        <v>2</v>
      </c>
    </row>
    <row r="2922" customFormat="1" spans="1:20">
      <c r="A2922">
        <f t="shared" si="118"/>
        <v>1208</v>
      </c>
      <c r="B2922">
        <v>1</v>
      </c>
      <c r="C2922" t="s">
        <v>385</v>
      </c>
      <c r="D2922" t="s">
        <v>21</v>
      </c>
      <c r="E2922" t="s">
        <v>378</v>
      </c>
      <c r="G2922">
        <v>1</v>
      </c>
      <c r="H2922">
        <v>100</v>
      </c>
      <c r="J2922" cm="1">
        <f t="array" ref="J2922">_xlfn.SWITCH(B2922,1,75,2,61,3,49,4,37,5,25,6,13,7,4,8,1)</f>
        <v>75</v>
      </c>
      <c r="K2922" t="str" cm="1">
        <f t="array" ref="K2922">IFERROR(_xlfn.SWITCH(L2922,2,_xlfn.XLOOKUP(C2922,[1]ModifierDes!$B:$B,[1]ModifierDes!$C:$C),3,_xlfn.XLOOKUP(C2922,[1]StuntDes!$B:$B,[1]StuntDes!$C:$C)),"")</f>
        <v/>
      </c>
      <c r="L2922">
        <f t="shared" si="119"/>
        <v>1</v>
      </c>
      <c r="M2922" s="10" t="str">
        <f>IFERROR(_xlfn.XLOOKUP(C2922,[1]StuntDes!$B:$B,[1]StuntDes!$A:$A),"")</f>
        <v/>
      </c>
      <c r="N2922" s="10" t="str">
        <f>IFERROR(_xlfn.XLOOKUP(C2922,[1]ModifierDes!$B:$B,[1]ModifierDes!$A:$A),"")</f>
        <v/>
      </c>
      <c r="O2922" s="10">
        <f>IFERROR(_xlfn.XLOOKUP(C2922,[1]AttributeName!$C:$C,[1]AttributeName!$B:$B),"")</f>
        <v>10304</v>
      </c>
      <c r="P2922" s="10"/>
      <c r="Q2922">
        <v>0.75</v>
      </c>
      <c r="R2922">
        <v>1</v>
      </c>
      <c r="S2922" cm="1">
        <f t="array" ref="S2922">IFERROR(_xlfn.SWITCH(L2922,1,_xlfn.XLOOKUP(O2922,[1]AttributeName!$B:$B,[1]AttributeName!$D:$D),2,_xlfn.XLOOKUP(C2922,#REF!,#REF!),3,_xlfn.XLOOKUP(C2922,#REF!,#REF!)),0)</f>
        <v>2</v>
      </c>
      <c r="T2922" cm="1">
        <f t="array" ref="T2922">IFERROR(_xlfn.SWITCH(L2922,1,_xlfn.XLOOKUP(O2922,[1]AttributeName!$B:$B,[1]AttributeName!$E:$E),2,_xlfn.XLOOKUP(C2922,#REF!,#REF!),3,_xlfn.XLOOKUP(C2922,#REF!,#REF!)),0)</f>
        <v>2</v>
      </c>
    </row>
    <row r="2923" customFormat="1" spans="1:20">
      <c r="A2923">
        <f t="shared" si="118"/>
        <v>1208</v>
      </c>
      <c r="B2923">
        <v>2</v>
      </c>
      <c r="C2923" t="s">
        <v>385</v>
      </c>
      <c r="D2923" t="s">
        <v>21</v>
      </c>
      <c r="E2923" t="s">
        <v>378</v>
      </c>
      <c r="G2923">
        <v>1</v>
      </c>
      <c r="H2923">
        <v>200</v>
      </c>
      <c r="J2923" cm="1">
        <f t="array" ref="J2923">_xlfn.SWITCH(B2923,1,75,2,61,3,49,4,37,5,25,6,13,7,4,8,1)</f>
        <v>61</v>
      </c>
      <c r="K2923" t="str" cm="1">
        <f t="array" ref="K2923">IFERROR(_xlfn.SWITCH(L2923,2,_xlfn.XLOOKUP(C2923,[1]ModifierDes!$B:$B,[1]ModifierDes!$C:$C),3,_xlfn.XLOOKUP(C2923,[1]StuntDes!$B:$B,[1]StuntDes!$C:$C)),"")</f>
        <v/>
      </c>
      <c r="L2923">
        <f t="shared" si="119"/>
        <v>1</v>
      </c>
      <c r="M2923" s="10" t="str">
        <f>IFERROR(_xlfn.XLOOKUP(C2923,[1]StuntDes!$B:$B,[1]StuntDes!$A:$A),"")</f>
        <v/>
      </c>
      <c r="N2923" s="10" t="str">
        <f>IFERROR(_xlfn.XLOOKUP(C2923,[1]ModifierDes!$B:$B,[1]ModifierDes!$A:$A),"")</f>
        <v/>
      </c>
      <c r="O2923" s="10">
        <f>IFERROR(_xlfn.XLOOKUP(C2923,[1]AttributeName!$C:$C,[1]AttributeName!$B:$B),"")</f>
        <v>10304</v>
      </c>
      <c r="P2923" s="10"/>
      <c r="Q2923">
        <v>0.66</v>
      </c>
      <c r="R2923">
        <v>0.74</v>
      </c>
      <c r="S2923" cm="1">
        <f t="array" ref="S2923">IFERROR(_xlfn.SWITCH(L2923,1,_xlfn.XLOOKUP(O2923,[1]AttributeName!$B:$B,[1]AttributeName!$D:$D),2,_xlfn.XLOOKUP(C2923,#REF!,#REF!),3,_xlfn.XLOOKUP(C2923,#REF!,#REF!)),0)</f>
        <v>2</v>
      </c>
      <c r="T2923" cm="1">
        <f t="array" ref="T2923">IFERROR(_xlfn.SWITCH(L2923,1,_xlfn.XLOOKUP(O2923,[1]AttributeName!$B:$B,[1]AttributeName!$E:$E),2,_xlfn.XLOOKUP(C2923,#REF!,#REF!),3,_xlfn.XLOOKUP(C2923,#REF!,#REF!)),0)</f>
        <v>2</v>
      </c>
    </row>
    <row r="2924" customFormat="1" spans="1:20">
      <c r="A2924">
        <f t="shared" si="118"/>
        <v>1208</v>
      </c>
      <c r="B2924">
        <v>3</v>
      </c>
      <c r="C2924" t="s">
        <v>385</v>
      </c>
      <c r="D2924" t="s">
        <v>21</v>
      </c>
      <c r="E2924" t="s">
        <v>378</v>
      </c>
      <c r="G2924">
        <v>1</v>
      </c>
      <c r="H2924">
        <v>500</v>
      </c>
      <c r="J2924" cm="1">
        <f t="array" ref="J2924">_xlfn.SWITCH(B2924,1,75,2,61,3,49,4,37,5,25,6,13,7,4,8,1)</f>
        <v>49</v>
      </c>
      <c r="K2924" t="str" cm="1">
        <f t="array" ref="K2924">IFERROR(_xlfn.SWITCH(L2924,2,_xlfn.XLOOKUP(C2924,[1]ModifierDes!$B:$B,[1]ModifierDes!$C:$C),3,_xlfn.XLOOKUP(C2924,[1]StuntDes!$B:$B,[1]StuntDes!$C:$C)),"")</f>
        <v/>
      </c>
      <c r="L2924">
        <f t="shared" si="119"/>
        <v>1</v>
      </c>
      <c r="M2924" s="10" t="str">
        <f>IFERROR(_xlfn.XLOOKUP(C2924,[1]StuntDes!$B:$B,[1]StuntDes!$A:$A),"")</f>
        <v/>
      </c>
      <c r="N2924" s="10" t="str">
        <f>IFERROR(_xlfn.XLOOKUP(C2924,[1]ModifierDes!$B:$B,[1]ModifierDes!$A:$A),"")</f>
        <v/>
      </c>
      <c r="O2924" s="10">
        <f>IFERROR(_xlfn.XLOOKUP(C2924,[1]AttributeName!$C:$C,[1]AttributeName!$B:$B),"")</f>
        <v>10304</v>
      </c>
      <c r="P2924" s="10"/>
      <c r="Q2924">
        <v>0.57</v>
      </c>
      <c r="R2924">
        <v>0.65</v>
      </c>
      <c r="S2924" cm="1">
        <f t="array" ref="S2924">IFERROR(_xlfn.SWITCH(L2924,1,_xlfn.XLOOKUP(O2924,[1]AttributeName!$B:$B,[1]AttributeName!$D:$D),2,_xlfn.XLOOKUP(C2924,#REF!,#REF!),3,_xlfn.XLOOKUP(C2924,#REF!,#REF!)),0)</f>
        <v>2</v>
      </c>
      <c r="T2924" cm="1">
        <f t="array" ref="T2924">IFERROR(_xlfn.SWITCH(L2924,1,_xlfn.XLOOKUP(O2924,[1]AttributeName!$B:$B,[1]AttributeName!$E:$E),2,_xlfn.XLOOKUP(C2924,#REF!,#REF!),3,_xlfn.XLOOKUP(C2924,#REF!,#REF!)),0)</f>
        <v>2</v>
      </c>
    </row>
    <row r="2925" customFormat="1" spans="1:20">
      <c r="A2925">
        <f t="shared" si="118"/>
        <v>1208</v>
      </c>
      <c r="B2925">
        <v>4</v>
      </c>
      <c r="C2925" t="s">
        <v>385</v>
      </c>
      <c r="D2925" t="s">
        <v>21</v>
      </c>
      <c r="E2925" t="s">
        <v>378</v>
      </c>
      <c r="G2925">
        <v>1</v>
      </c>
      <c r="H2925">
        <v>1000</v>
      </c>
      <c r="J2925" cm="1">
        <f t="array" ref="J2925">_xlfn.SWITCH(B2925,1,75,2,61,3,49,4,37,5,25,6,13,7,4,8,1)</f>
        <v>37</v>
      </c>
      <c r="K2925" t="str" cm="1">
        <f t="array" ref="K2925">IFERROR(_xlfn.SWITCH(L2925,2,_xlfn.XLOOKUP(C2925,[1]ModifierDes!$B:$B,[1]ModifierDes!$C:$C),3,_xlfn.XLOOKUP(C2925,[1]StuntDes!$B:$B,[1]StuntDes!$C:$C)),"")</f>
        <v/>
      </c>
      <c r="L2925">
        <f t="shared" si="119"/>
        <v>1</v>
      </c>
      <c r="M2925" s="10" t="str">
        <f>IFERROR(_xlfn.XLOOKUP(C2925,[1]StuntDes!$B:$B,[1]StuntDes!$A:$A),"")</f>
        <v/>
      </c>
      <c r="N2925" s="10" t="str">
        <f>IFERROR(_xlfn.XLOOKUP(C2925,[1]ModifierDes!$B:$B,[1]ModifierDes!$A:$A),"")</f>
        <v/>
      </c>
      <c r="O2925" s="10">
        <f>IFERROR(_xlfn.XLOOKUP(C2925,[1]AttributeName!$C:$C,[1]AttributeName!$B:$B),"")</f>
        <v>10304</v>
      </c>
      <c r="P2925" s="10"/>
      <c r="Q2925">
        <v>0.48</v>
      </c>
      <c r="R2925">
        <v>0.56</v>
      </c>
      <c r="S2925" cm="1">
        <f t="array" ref="S2925">IFERROR(_xlfn.SWITCH(L2925,1,_xlfn.XLOOKUP(O2925,[1]AttributeName!$B:$B,[1]AttributeName!$D:$D),2,_xlfn.XLOOKUP(C2925,#REF!,#REF!),3,_xlfn.XLOOKUP(C2925,#REF!,#REF!)),0)</f>
        <v>2</v>
      </c>
      <c r="T2925" cm="1">
        <f t="array" ref="T2925">IFERROR(_xlfn.SWITCH(L2925,1,_xlfn.XLOOKUP(O2925,[1]AttributeName!$B:$B,[1]AttributeName!$E:$E),2,_xlfn.XLOOKUP(C2925,#REF!,#REF!),3,_xlfn.XLOOKUP(C2925,#REF!,#REF!)),0)</f>
        <v>2</v>
      </c>
    </row>
    <row r="2926" customFormat="1" spans="1:20">
      <c r="A2926">
        <f t="shared" si="118"/>
        <v>1208</v>
      </c>
      <c r="B2926">
        <v>5</v>
      </c>
      <c r="C2926" t="s">
        <v>385</v>
      </c>
      <c r="D2926" t="s">
        <v>21</v>
      </c>
      <c r="E2926" t="s">
        <v>378</v>
      </c>
      <c r="G2926">
        <v>1</v>
      </c>
      <c r="H2926">
        <v>1000</v>
      </c>
      <c r="J2926" cm="1">
        <f t="array" ref="J2926">_xlfn.SWITCH(B2926,1,75,2,61,3,49,4,37,5,25,6,13,7,4,8,1)</f>
        <v>25</v>
      </c>
      <c r="K2926" t="str" cm="1">
        <f t="array" ref="K2926">IFERROR(_xlfn.SWITCH(L2926,2,_xlfn.XLOOKUP(C2926,[1]ModifierDes!$B:$B,[1]ModifierDes!$C:$C),3,_xlfn.XLOOKUP(C2926,[1]StuntDes!$B:$B,[1]StuntDes!$C:$C)),"")</f>
        <v/>
      </c>
      <c r="L2926">
        <f t="shared" si="119"/>
        <v>1</v>
      </c>
      <c r="M2926" s="10" t="str">
        <f>IFERROR(_xlfn.XLOOKUP(C2926,[1]StuntDes!$B:$B,[1]StuntDes!$A:$A),"")</f>
        <v/>
      </c>
      <c r="N2926" s="10" t="str">
        <f>IFERROR(_xlfn.XLOOKUP(C2926,[1]ModifierDes!$B:$B,[1]ModifierDes!$A:$A),"")</f>
        <v/>
      </c>
      <c r="O2926" s="10">
        <f>IFERROR(_xlfn.XLOOKUP(C2926,[1]AttributeName!$C:$C,[1]AttributeName!$B:$B),"")</f>
        <v>10304</v>
      </c>
      <c r="P2926" s="10"/>
      <c r="Q2926">
        <v>0.39</v>
      </c>
      <c r="R2926">
        <v>0.47</v>
      </c>
      <c r="S2926" cm="1">
        <f t="array" ref="S2926">IFERROR(_xlfn.SWITCH(L2926,1,_xlfn.XLOOKUP(O2926,[1]AttributeName!$B:$B,[1]AttributeName!$D:$D),2,_xlfn.XLOOKUP(C2926,#REF!,#REF!),3,_xlfn.XLOOKUP(C2926,#REF!,#REF!)),0)</f>
        <v>2</v>
      </c>
      <c r="T2926" cm="1">
        <f t="array" ref="T2926">IFERROR(_xlfn.SWITCH(L2926,1,_xlfn.XLOOKUP(O2926,[1]AttributeName!$B:$B,[1]AttributeName!$E:$E),2,_xlfn.XLOOKUP(C2926,#REF!,#REF!),3,_xlfn.XLOOKUP(C2926,#REF!,#REF!)),0)</f>
        <v>2</v>
      </c>
    </row>
    <row r="2927" customFormat="1" spans="1:20">
      <c r="A2927">
        <f t="shared" si="118"/>
        <v>1208</v>
      </c>
      <c r="B2927">
        <v>6</v>
      </c>
      <c r="C2927" t="s">
        <v>385</v>
      </c>
      <c r="D2927" t="s">
        <v>21</v>
      </c>
      <c r="E2927" t="s">
        <v>378</v>
      </c>
      <c r="G2927">
        <v>1</v>
      </c>
      <c r="H2927">
        <v>1000</v>
      </c>
      <c r="J2927" cm="1">
        <f t="array" ref="J2927">_xlfn.SWITCH(B2927,1,75,2,61,3,49,4,37,5,25,6,13,7,4,8,1)</f>
        <v>13</v>
      </c>
      <c r="K2927" t="str" cm="1">
        <f t="array" ref="K2927">IFERROR(_xlfn.SWITCH(L2927,2,_xlfn.XLOOKUP(C2927,[1]ModifierDes!$B:$B,[1]ModifierDes!$C:$C),3,_xlfn.XLOOKUP(C2927,[1]StuntDes!$B:$B,[1]StuntDes!$C:$C)),"")</f>
        <v/>
      </c>
      <c r="L2927">
        <f t="shared" si="119"/>
        <v>1</v>
      </c>
      <c r="M2927" s="10" t="str">
        <f>IFERROR(_xlfn.XLOOKUP(C2927,[1]StuntDes!$B:$B,[1]StuntDes!$A:$A),"")</f>
        <v/>
      </c>
      <c r="N2927" s="10" t="str">
        <f>IFERROR(_xlfn.XLOOKUP(C2927,[1]ModifierDes!$B:$B,[1]ModifierDes!$A:$A),"")</f>
        <v/>
      </c>
      <c r="O2927" s="10">
        <f>IFERROR(_xlfn.XLOOKUP(C2927,[1]AttributeName!$C:$C,[1]AttributeName!$B:$B),"")</f>
        <v>10304</v>
      </c>
      <c r="P2927" s="10"/>
      <c r="Q2927">
        <v>0.3</v>
      </c>
      <c r="R2927">
        <v>0.38</v>
      </c>
      <c r="S2927" cm="1">
        <f t="array" ref="S2927">IFERROR(_xlfn.SWITCH(L2927,1,_xlfn.XLOOKUP(O2927,[1]AttributeName!$B:$B,[1]AttributeName!$D:$D),2,_xlfn.XLOOKUP(C2927,#REF!,#REF!),3,_xlfn.XLOOKUP(C2927,#REF!,#REF!)),0)</f>
        <v>2</v>
      </c>
      <c r="T2927" cm="1">
        <f t="array" ref="T2927">IFERROR(_xlfn.SWITCH(L2927,1,_xlfn.XLOOKUP(O2927,[1]AttributeName!$B:$B,[1]AttributeName!$E:$E),2,_xlfn.XLOOKUP(C2927,#REF!,#REF!),3,_xlfn.XLOOKUP(C2927,#REF!,#REF!)),0)</f>
        <v>2</v>
      </c>
    </row>
    <row r="2928" customFormat="1" spans="1:20">
      <c r="A2928">
        <f t="shared" si="118"/>
        <v>1208</v>
      </c>
      <c r="B2928">
        <v>7</v>
      </c>
      <c r="C2928" t="s">
        <v>385</v>
      </c>
      <c r="D2928" t="s">
        <v>21</v>
      </c>
      <c r="E2928" t="s">
        <v>378</v>
      </c>
      <c r="G2928">
        <v>1</v>
      </c>
      <c r="H2928">
        <v>1000</v>
      </c>
      <c r="J2928" cm="1">
        <f t="array" ref="J2928">_xlfn.SWITCH(B2928,1,75,2,61,3,49,4,37,5,25,6,13,7,4,8,1)</f>
        <v>4</v>
      </c>
      <c r="K2928" t="str" cm="1">
        <f t="array" ref="K2928">IFERROR(_xlfn.SWITCH(L2928,2,_xlfn.XLOOKUP(C2928,[1]ModifierDes!$B:$B,[1]ModifierDes!$C:$C),3,_xlfn.XLOOKUP(C2928,[1]StuntDes!$B:$B,[1]StuntDes!$C:$C)),"")</f>
        <v/>
      </c>
      <c r="L2928">
        <f t="shared" si="119"/>
        <v>1</v>
      </c>
      <c r="M2928" s="10" t="str">
        <f>IFERROR(_xlfn.XLOOKUP(C2928,[1]StuntDes!$B:$B,[1]StuntDes!$A:$A),"")</f>
        <v/>
      </c>
      <c r="N2928" s="10" t="str">
        <f>IFERROR(_xlfn.XLOOKUP(C2928,[1]ModifierDes!$B:$B,[1]ModifierDes!$A:$A),"")</f>
        <v/>
      </c>
      <c r="O2928" s="10">
        <f>IFERROR(_xlfn.XLOOKUP(C2928,[1]AttributeName!$C:$C,[1]AttributeName!$B:$B),"")</f>
        <v>10304</v>
      </c>
      <c r="P2928" s="10"/>
      <c r="Q2928">
        <v>0.21</v>
      </c>
      <c r="R2928">
        <v>0.29</v>
      </c>
      <c r="S2928" cm="1">
        <f t="array" ref="S2928">IFERROR(_xlfn.SWITCH(L2928,1,_xlfn.XLOOKUP(O2928,[1]AttributeName!$B:$B,[1]AttributeName!$D:$D),2,_xlfn.XLOOKUP(C2928,#REF!,#REF!),3,_xlfn.XLOOKUP(C2928,#REF!,#REF!)),0)</f>
        <v>2</v>
      </c>
      <c r="T2928" cm="1">
        <f t="array" ref="T2928">IFERROR(_xlfn.SWITCH(L2928,1,_xlfn.XLOOKUP(O2928,[1]AttributeName!$B:$B,[1]AttributeName!$E:$E),2,_xlfn.XLOOKUP(C2928,#REF!,#REF!),3,_xlfn.XLOOKUP(C2928,#REF!,#REF!)),0)</f>
        <v>2</v>
      </c>
    </row>
    <row r="2929" customFormat="1" spans="1:20">
      <c r="A2929">
        <f t="shared" si="118"/>
        <v>1208</v>
      </c>
      <c r="B2929">
        <v>8</v>
      </c>
      <c r="C2929" t="s">
        <v>385</v>
      </c>
      <c r="D2929" t="s">
        <v>21</v>
      </c>
      <c r="E2929" t="s">
        <v>378</v>
      </c>
      <c r="G2929">
        <v>1</v>
      </c>
      <c r="H2929">
        <v>1000</v>
      </c>
      <c r="J2929" cm="1">
        <f t="array" ref="J2929">_xlfn.SWITCH(B2929,1,75,2,61,3,49,4,37,5,25,6,13,7,4,8,1)</f>
        <v>1</v>
      </c>
      <c r="K2929" t="str" cm="1">
        <f t="array" ref="K2929">IFERROR(_xlfn.SWITCH(L2929,2,_xlfn.XLOOKUP(C2929,[1]ModifierDes!$B:$B,[1]ModifierDes!$C:$C),3,_xlfn.XLOOKUP(C2929,[1]StuntDes!$B:$B,[1]StuntDes!$C:$C)),"")</f>
        <v/>
      </c>
      <c r="L2929">
        <f t="shared" si="119"/>
        <v>1</v>
      </c>
      <c r="M2929" s="10" t="str">
        <f>IFERROR(_xlfn.XLOOKUP(C2929,[1]StuntDes!$B:$B,[1]StuntDes!$A:$A),"")</f>
        <v/>
      </c>
      <c r="N2929" s="10" t="str">
        <f>IFERROR(_xlfn.XLOOKUP(C2929,[1]ModifierDes!$B:$B,[1]ModifierDes!$A:$A),"")</f>
        <v/>
      </c>
      <c r="O2929" s="10">
        <f>IFERROR(_xlfn.XLOOKUP(C2929,[1]AttributeName!$C:$C,[1]AttributeName!$B:$B),"")</f>
        <v>10304</v>
      </c>
      <c r="P2929" s="10"/>
      <c r="Q2929">
        <v>0.12</v>
      </c>
      <c r="R2929">
        <v>0.2</v>
      </c>
      <c r="S2929" cm="1">
        <f t="array" ref="S2929">IFERROR(_xlfn.SWITCH(L2929,1,_xlfn.XLOOKUP(O2929,[1]AttributeName!$B:$B,[1]AttributeName!$D:$D),2,_xlfn.XLOOKUP(C2929,#REF!,#REF!),3,_xlfn.XLOOKUP(C2929,#REF!,#REF!)),0)</f>
        <v>2</v>
      </c>
      <c r="T2929" cm="1">
        <f t="array" ref="T2929">IFERROR(_xlfn.SWITCH(L2929,1,_xlfn.XLOOKUP(O2929,[1]AttributeName!$B:$B,[1]AttributeName!$E:$E),2,_xlfn.XLOOKUP(C2929,#REF!,#REF!),3,_xlfn.XLOOKUP(C2929,#REF!,#REF!)),0)</f>
        <v>2</v>
      </c>
    </row>
    <row r="2930" customFormat="1" spans="1:20">
      <c r="A2930">
        <f t="shared" si="118"/>
        <v>1209</v>
      </c>
      <c r="B2930">
        <v>1</v>
      </c>
      <c r="C2930" t="s">
        <v>386</v>
      </c>
      <c r="D2930" t="s">
        <v>21</v>
      </c>
      <c r="E2930" t="s">
        <v>378</v>
      </c>
      <c r="G2930">
        <v>1</v>
      </c>
      <c r="H2930">
        <v>100</v>
      </c>
      <c r="J2930" cm="1">
        <f t="array" ref="J2930">_xlfn.SWITCH(B2930,1,75,2,61,3,49,4,37,5,25,6,13,7,4,8,1)</f>
        <v>75</v>
      </c>
      <c r="K2930" t="str" cm="1">
        <f t="array" ref="K2930">IFERROR(_xlfn.SWITCH(L2930,2,_xlfn.XLOOKUP(C2930,[1]ModifierDes!$B:$B,[1]ModifierDes!$C:$C),3,_xlfn.XLOOKUP(C2930,[1]StuntDes!$B:$B,[1]StuntDes!$C:$C)),"")</f>
        <v/>
      </c>
      <c r="L2930">
        <f t="shared" si="119"/>
        <v>1</v>
      </c>
      <c r="M2930" s="10" t="str">
        <f>IFERROR(_xlfn.XLOOKUP(C2930,[1]StuntDes!$B:$B,[1]StuntDes!$A:$A),"")</f>
        <v/>
      </c>
      <c r="N2930" s="10" t="str">
        <f>IFERROR(_xlfn.XLOOKUP(C2930,[1]ModifierDes!$B:$B,[1]ModifierDes!$A:$A),"")</f>
        <v/>
      </c>
      <c r="O2930" s="10">
        <f>IFERROR(_xlfn.XLOOKUP(C2930,[1]AttributeName!$C:$C,[1]AttributeName!$B:$B),"")</f>
        <v>10305</v>
      </c>
      <c r="P2930" s="10"/>
      <c r="Q2930">
        <v>0.75</v>
      </c>
      <c r="R2930">
        <v>1</v>
      </c>
      <c r="S2930" cm="1">
        <f t="array" ref="S2930">IFERROR(_xlfn.SWITCH(L2930,1,_xlfn.XLOOKUP(O2930,[1]AttributeName!$B:$B,[1]AttributeName!$D:$D),2,_xlfn.XLOOKUP(C2930,#REF!,#REF!),3,_xlfn.XLOOKUP(C2930,#REF!,#REF!)),0)</f>
        <v>2</v>
      </c>
      <c r="T2930" cm="1">
        <f t="array" ref="T2930">IFERROR(_xlfn.SWITCH(L2930,1,_xlfn.XLOOKUP(O2930,[1]AttributeName!$B:$B,[1]AttributeName!$E:$E),2,_xlfn.XLOOKUP(C2930,#REF!,#REF!),3,_xlfn.XLOOKUP(C2930,#REF!,#REF!)),0)</f>
        <v>2</v>
      </c>
    </row>
    <row r="2931" customFormat="1" spans="1:20">
      <c r="A2931">
        <f t="shared" si="118"/>
        <v>1209</v>
      </c>
      <c r="B2931">
        <v>2</v>
      </c>
      <c r="C2931" t="s">
        <v>386</v>
      </c>
      <c r="D2931" t="s">
        <v>21</v>
      </c>
      <c r="E2931" t="s">
        <v>378</v>
      </c>
      <c r="G2931">
        <v>1</v>
      </c>
      <c r="H2931">
        <v>200</v>
      </c>
      <c r="J2931" cm="1">
        <f t="array" ref="J2931">_xlfn.SWITCH(B2931,1,75,2,61,3,49,4,37,5,25,6,13,7,4,8,1)</f>
        <v>61</v>
      </c>
      <c r="K2931" t="str" cm="1">
        <f t="array" ref="K2931">IFERROR(_xlfn.SWITCH(L2931,2,_xlfn.XLOOKUP(C2931,[1]ModifierDes!$B:$B,[1]ModifierDes!$C:$C),3,_xlfn.XLOOKUP(C2931,[1]StuntDes!$B:$B,[1]StuntDes!$C:$C)),"")</f>
        <v/>
      </c>
      <c r="L2931">
        <f t="shared" si="119"/>
        <v>1</v>
      </c>
      <c r="M2931" s="10" t="str">
        <f>IFERROR(_xlfn.XLOOKUP(C2931,[1]StuntDes!$B:$B,[1]StuntDes!$A:$A),"")</f>
        <v/>
      </c>
      <c r="N2931" s="10" t="str">
        <f>IFERROR(_xlfn.XLOOKUP(C2931,[1]ModifierDes!$B:$B,[1]ModifierDes!$A:$A),"")</f>
        <v/>
      </c>
      <c r="O2931" s="10">
        <f>IFERROR(_xlfn.XLOOKUP(C2931,[1]AttributeName!$C:$C,[1]AttributeName!$B:$B),"")</f>
        <v>10305</v>
      </c>
      <c r="P2931" s="10"/>
      <c r="Q2931">
        <v>0.66</v>
      </c>
      <c r="R2931">
        <v>0.74</v>
      </c>
      <c r="S2931" cm="1">
        <f t="array" ref="S2931">IFERROR(_xlfn.SWITCH(L2931,1,_xlfn.XLOOKUP(O2931,[1]AttributeName!$B:$B,[1]AttributeName!$D:$D),2,_xlfn.XLOOKUP(C2931,#REF!,#REF!),3,_xlfn.XLOOKUP(C2931,#REF!,#REF!)),0)</f>
        <v>2</v>
      </c>
      <c r="T2931" cm="1">
        <f t="array" ref="T2931">IFERROR(_xlfn.SWITCH(L2931,1,_xlfn.XLOOKUP(O2931,[1]AttributeName!$B:$B,[1]AttributeName!$E:$E),2,_xlfn.XLOOKUP(C2931,#REF!,#REF!),3,_xlfn.XLOOKUP(C2931,#REF!,#REF!)),0)</f>
        <v>2</v>
      </c>
    </row>
    <row r="2932" customFormat="1" spans="1:20">
      <c r="A2932">
        <f t="shared" si="118"/>
        <v>1209</v>
      </c>
      <c r="B2932">
        <v>3</v>
      </c>
      <c r="C2932" t="s">
        <v>386</v>
      </c>
      <c r="D2932" t="s">
        <v>21</v>
      </c>
      <c r="E2932" t="s">
        <v>378</v>
      </c>
      <c r="G2932">
        <v>1</v>
      </c>
      <c r="H2932">
        <v>500</v>
      </c>
      <c r="J2932" cm="1">
        <f t="array" ref="J2932">_xlfn.SWITCH(B2932,1,75,2,61,3,49,4,37,5,25,6,13,7,4,8,1)</f>
        <v>49</v>
      </c>
      <c r="K2932" t="str" cm="1">
        <f t="array" ref="K2932">IFERROR(_xlfn.SWITCH(L2932,2,_xlfn.XLOOKUP(C2932,[1]ModifierDes!$B:$B,[1]ModifierDes!$C:$C),3,_xlfn.XLOOKUP(C2932,[1]StuntDes!$B:$B,[1]StuntDes!$C:$C)),"")</f>
        <v/>
      </c>
      <c r="L2932">
        <f t="shared" si="119"/>
        <v>1</v>
      </c>
      <c r="M2932" s="10" t="str">
        <f>IFERROR(_xlfn.XLOOKUP(C2932,[1]StuntDes!$B:$B,[1]StuntDes!$A:$A),"")</f>
        <v/>
      </c>
      <c r="N2932" s="10" t="str">
        <f>IFERROR(_xlfn.XLOOKUP(C2932,[1]ModifierDes!$B:$B,[1]ModifierDes!$A:$A),"")</f>
        <v/>
      </c>
      <c r="O2932" s="10">
        <f>IFERROR(_xlfn.XLOOKUP(C2932,[1]AttributeName!$C:$C,[1]AttributeName!$B:$B),"")</f>
        <v>10305</v>
      </c>
      <c r="P2932" s="10"/>
      <c r="Q2932">
        <v>0.57</v>
      </c>
      <c r="R2932">
        <v>0.65</v>
      </c>
      <c r="S2932" cm="1">
        <f t="array" ref="S2932">IFERROR(_xlfn.SWITCH(L2932,1,_xlfn.XLOOKUP(O2932,[1]AttributeName!$B:$B,[1]AttributeName!$D:$D),2,_xlfn.XLOOKUP(C2932,#REF!,#REF!),3,_xlfn.XLOOKUP(C2932,#REF!,#REF!)),0)</f>
        <v>2</v>
      </c>
      <c r="T2932" cm="1">
        <f t="array" ref="T2932">IFERROR(_xlfn.SWITCH(L2932,1,_xlfn.XLOOKUP(O2932,[1]AttributeName!$B:$B,[1]AttributeName!$E:$E),2,_xlfn.XLOOKUP(C2932,#REF!,#REF!),3,_xlfn.XLOOKUP(C2932,#REF!,#REF!)),0)</f>
        <v>2</v>
      </c>
    </row>
    <row r="2933" customFormat="1" spans="1:20">
      <c r="A2933">
        <f t="shared" si="118"/>
        <v>1209</v>
      </c>
      <c r="B2933">
        <v>4</v>
      </c>
      <c r="C2933" t="s">
        <v>386</v>
      </c>
      <c r="D2933" t="s">
        <v>21</v>
      </c>
      <c r="E2933" t="s">
        <v>378</v>
      </c>
      <c r="G2933">
        <v>1</v>
      </c>
      <c r="H2933">
        <v>1000</v>
      </c>
      <c r="J2933" cm="1">
        <f t="array" ref="J2933">_xlfn.SWITCH(B2933,1,75,2,61,3,49,4,37,5,25,6,13,7,4,8,1)</f>
        <v>37</v>
      </c>
      <c r="K2933" t="str" cm="1">
        <f t="array" ref="K2933">IFERROR(_xlfn.SWITCH(L2933,2,_xlfn.XLOOKUP(C2933,[1]ModifierDes!$B:$B,[1]ModifierDes!$C:$C),3,_xlfn.XLOOKUP(C2933,[1]StuntDes!$B:$B,[1]StuntDes!$C:$C)),"")</f>
        <v/>
      </c>
      <c r="L2933">
        <f t="shared" si="119"/>
        <v>1</v>
      </c>
      <c r="M2933" s="10" t="str">
        <f>IFERROR(_xlfn.XLOOKUP(C2933,[1]StuntDes!$B:$B,[1]StuntDes!$A:$A),"")</f>
        <v/>
      </c>
      <c r="N2933" s="10" t="str">
        <f>IFERROR(_xlfn.XLOOKUP(C2933,[1]ModifierDes!$B:$B,[1]ModifierDes!$A:$A),"")</f>
        <v/>
      </c>
      <c r="O2933" s="10">
        <f>IFERROR(_xlfn.XLOOKUP(C2933,[1]AttributeName!$C:$C,[1]AttributeName!$B:$B),"")</f>
        <v>10305</v>
      </c>
      <c r="P2933" s="10"/>
      <c r="Q2933">
        <v>0.48</v>
      </c>
      <c r="R2933">
        <v>0.56</v>
      </c>
      <c r="S2933" cm="1">
        <f t="array" ref="S2933">IFERROR(_xlfn.SWITCH(L2933,1,_xlfn.XLOOKUP(O2933,[1]AttributeName!$B:$B,[1]AttributeName!$D:$D),2,_xlfn.XLOOKUP(C2933,#REF!,#REF!),3,_xlfn.XLOOKUP(C2933,#REF!,#REF!)),0)</f>
        <v>2</v>
      </c>
      <c r="T2933" cm="1">
        <f t="array" ref="T2933">IFERROR(_xlfn.SWITCH(L2933,1,_xlfn.XLOOKUP(O2933,[1]AttributeName!$B:$B,[1]AttributeName!$E:$E),2,_xlfn.XLOOKUP(C2933,#REF!,#REF!),3,_xlfn.XLOOKUP(C2933,#REF!,#REF!)),0)</f>
        <v>2</v>
      </c>
    </row>
    <row r="2934" customFormat="1" spans="1:20">
      <c r="A2934">
        <f t="shared" si="118"/>
        <v>1209</v>
      </c>
      <c r="B2934">
        <v>5</v>
      </c>
      <c r="C2934" t="s">
        <v>386</v>
      </c>
      <c r="D2934" t="s">
        <v>21</v>
      </c>
      <c r="E2934" t="s">
        <v>378</v>
      </c>
      <c r="G2934">
        <v>1</v>
      </c>
      <c r="H2934">
        <v>1000</v>
      </c>
      <c r="J2934" cm="1">
        <f t="array" ref="J2934">_xlfn.SWITCH(B2934,1,75,2,61,3,49,4,37,5,25,6,13,7,4,8,1)</f>
        <v>25</v>
      </c>
      <c r="K2934" t="str" cm="1">
        <f t="array" ref="K2934">IFERROR(_xlfn.SWITCH(L2934,2,_xlfn.XLOOKUP(C2934,[1]ModifierDes!$B:$B,[1]ModifierDes!$C:$C),3,_xlfn.XLOOKUP(C2934,[1]StuntDes!$B:$B,[1]StuntDes!$C:$C)),"")</f>
        <v/>
      </c>
      <c r="L2934">
        <f t="shared" si="119"/>
        <v>1</v>
      </c>
      <c r="M2934" s="10" t="str">
        <f>IFERROR(_xlfn.XLOOKUP(C2934,[1]StuntDes!$B:$B,[1]StuntDes!$A:$A),"")</f>
        <v/>
      </c>
      <c r="N2934" s="10" t="str">
        <f>IFERROR(_xlfn.XLOOKUP(C2934,[1]ModifierDes!$B:$B,[1]ModifierDes!$A:$A),"")</f>
        <v/>
      </c>
      <c r="O2934" s="10">
        <f>IFERROR(_xlfn.XLOOKUP(C2934,[1]AttributeName!$C:$C,[1]AttributeName!$B:$B),"")</f>
        <v>10305</v>
      </c>
      <c r="P2934" s="10"/>
      <c r="Q2934">
        <v>0.39</v>
      </c>
      <c r="R2934">
        <v>0.47</v>
      </c>
      <c r="S2934" cm="1">
        <f t="array" ref="S2934">IFERROR(_xlfn.SWITCH(L2934,1,_xlfn.XLOOKUP(O2934,[1]AttributeName!$B:$B,[1]AttributeName!$D:$D),2,_xlfn.XLOOKUP(C2934,#REF!,#REF!),3,_xlfn.XLOOKUP(C2934,#REF!,#REF!)),0)</f>
        <v>2</v>
      </c>
      <c r="T2934" cm="1">
        <f t="array" ref="T2934">IFERROR(_xlfn.SWITCH(L2934,1,_xlfn.XLOOKUP(O2934,[1]AttributeName!$B:$B,[1]AttributeName!$E:$E),2,_xlfn.XLOOKUP(C2934,#REF!,#REF!),3,_xlfn.XLOOKUP(C2934,#REF!,#REF!)),0)</f>
        <v>2</v>
      </c>
    </row>
    <row r="2935" customFormat="1" spans="1:20">
      <c r="A2935">
        <f t="shared" si="118"/>
        <v>1209</v>
      </c>
      <c r="B2935">
        <v>6</v>
      </c>
      <c r="C2935" t="s">
        <v>386</v>
      </c>
      <c r="D2935" t="s">
        <v>21</v>
      </c>
      <c r="E2935" t="s">
        <v>378</v>
      </c>
      <c r="G2935">
        <v>1</v>
      </c>
      <c r="H2935">
        <v>1000</v>
      </c>
      <c r="J2935" cm="1">
        <f t="array" ref="J2935">_xlfn.SWITCH(B2935,1,75,2,61,3,49,4,37,5,25,6,13,7,4,8,1)</f>
        <v>13</v>
      </c>
      <c r="K2935" t="str" cm="1">
        <f t="array" ref="K2935">IFERROR(_xlfn.SWITCH(L2935,2,_xlfn.XLOOKUP(C2935,[1]ModifierDes!$B:$B,[1]ModifierDes!$C:$C),3,_xlfn.XLOOKUP(C2935,[1]StuntDes!$B:$B,[1]StuntDes!$C:$C)),"")</f>
        <v/>
      </c>
      <c r="L2935">
        <f t="shared" si="119"/>
        <v>1</v>
      </c>
      <c r="M2935" s="10" t="str">
        <f>IFERROR(_xlfn.XLOOKUP(C2935,[1]StuntDes!$B:$B,[1]StuntDes!$A:$A),"")</f>
        <v/>
      </c>
      <c r="N2935" s="10" t="str">
        <f>IFERROR(_xlfn.XLOOKUP(C2935,[1]ModifierDes!$B:$B,[1]ModifierDes!$A:$A),"")</f>
        <v/>
      </c>
      <c r="O2935" s="10">
        <f>IFERROR(_xlfn.XLOOKUP(C2935,[1]AttributeName!$C:$C,[1]AttributeName!$B:$B),"")</f>
        <v>10305</v>
      </c>
      <c r="P2935" s="10"/>
      <c r="Q2935">
        <v>0.3</v>
      </c>
      <c r="R2935">
        <v>0.38</v>
      </c>
      <c r="S2935" cm="1">
        <f t="array" ref="S2935">IFERROR(_xlfn.SWITCH(L2935,1,_xlfn.XLOOKUP(O2935,[1]AttributeName!$B:$B,[1]AttributeName!$D:$D),2,_xlfn.XLOOKUP(C2935,#REF!,#REF!),3,_xlfn.XLOOKUP(C2935,#REF!,#REF!)),0)</f>
        <v>2</v>
      </c>
      <c r="T2935" cm="1">
        <f t="array" ref="T2935">IFERROR(_xlfn.SWITCH(L2935,1,_xlfn.XLOOKUP(O2935,[1]AttributeName!$B:$B,[1]AttributeName!$E:$E),2,_xlfn.XLOOKUP(C2935,#REF!,#REF!),3,_xlfn.XLOOKUP(C2935,#REF!,#REF!)),0)</f>
        <v>2</v>
      </c>
    </row>
    <row r="2936" customFormat="1" spans="1:20">
      <c r="A2936">
        <f t="shared" si="118"/>
        <v>1209</v>
      </c>
      <c r="B2936">
        <v>7</v>
      </c>
      <c r="C2936" t="s">
        <v>386</v>
      </c>
      <c r="D2936" t="s">
        <v>21</v>
      </c>
      <c r="E2936" t="s">
        <v>378</v>
      </c>
      <c r="G2936">
        <v>1</v>
      </c>
      <c r="H2936">
        <v>1000</v>
      </c>
      <c r="J2936" cm="1">
        <f t="array" ref="J2936">_xlfn.SWITCH(B2936,1,75,2,61,3,49,4,37,5,25,6,13,7,4,8,1)</f>
        <v>4</v>
      </c>
      <c r="K2936" t="str" cm="1">
        <f t="array" ref="K2936">IFERROR(_xlfn.SWITCH(L2936,2,_xlfn.XLOOKUP(C2936,[1]ModifierDes!$B:$B,[1]ModifierDes!$C:$C),3,_xlfn.XLOOKUP(C2936,[1]StuntDes!$B:$B,[1]StuntDes!$C:$C)),"")</f>
        <v/>
      </c>
      <c r="L2936">
        <f t="shared" si="119"/>
        <v>1</v>
      </c>
      <c r="M2936" s="10" t="str">
        <f>IFERROR(_xlfn.XLOOKUP(C2936,[1]StuntDes!$B:$B,[1]StuntDes!$A:$A),"")</f>
        <v/>
      </c>
      <c r="N2936" s="10" t="str">
        <f>IFERROR(_xlfn.XLOOKUP(C2936,[1]ModifierDes!$B:$B,[1]ModifierDes!$A:$A),"")</f>
        <v/>
      </c>
      <c r="O2936" s="10">
        <f>IFERROR(_xlfn.XLOOKUP(C2936,[1]AttributeName!$C:$C,[1]AttributeName!$B:$B),"")</f>
        <v>10305</v>
      </c>
      <c r="P2936" s="10"/>
      <c r="Q2936">
        <v>0.21</v>
      </c>
      <c r="R2936">
        <v>0.29</v>
      </c>
      <c r="S2936" cm="1">
        <f t="array" ref="S2936">IFERROR(_xlfn.SWITCH(L2936,1,_xlfn.XLOOKUP(O2936,[1]AttributeName!$B:$B,[1]AttributeName!$D:$D),2,_xlfn.XLOOKUP(C2936,#REF!,#REF!),3,_xlfn.XLOOKUP(C2936,#REF!,#REF!)),0)</f>
        <v>2</v>
      </c>
      <c r="T2936" cm="1">
        <f t="array" ref="T2936">IFERROR(_xlfn.SWITCH(L2936,1,_xlfn.XLOOKUP(O2936,[1]AttributeName!$B:$B,[1]AttributeName!$E:$E),2,_xlfn.XLOOKUP(C2936,#REF!,#REF!),3,_xlfn.XLOOKUP(C2936,#REF!,#REF!)),0)</f>
        <v>2</v>
      </c>
    </row>
    <row r="2937" customFormat="1" spans="1:20">
      <c r="A2937">
        <f t="shared" si="118"/>
        <v>1209</v>
      </c>
      <c r="B2937">
        <v>8</v>
      </c>
      <c r="C2937" t="s">
        <v>386</v>
      </c>
      <c r="D2937" t="s">
        <v>21</v>
      </c>
      <c r="E2937" t="s">
        <v>378</v>
      </c>
      <c r="G2937">
        <v>1</v>
      </c>
      <c r="H2937">
        <v>1000</v>
      </c>
      <c r="J2937" cm="1">
        <f t="array" ref="J2937">_xlfn.SWITCH(B2937,1,75,2,61,3,49,4,37,5,25,6,13,7,4,8,1)</f>
        <v>1</v>
      </c>
      <c r="K2937" t="str" cm="1">
        <f t="array" ref="K2937">IFERROR(_xlfn.SWITCH(L2937,2,_xlfn.XLOOKUP(C2937,[1]ModifierDes!$B:$B,[1]ModifierDes!$C:$C),3,_xlfn.XLOOKUP(C2937,[1]StuntDes!$B:$B,[1]StuntDes!$C:$C)),"")</f>
        <v/>
      </c>
      <c r="L2937">
        <f t="shared" si="119"/>
        <v>1</v>
      </c>
      <c r="M2937" s="10" t="str">
        <f>IFERROR(_xlfn.XLOOKUP(C2937,[1]StuntDes!$B:$B,[1]StuntDes!$A:$A),"")</f>
        <v/>
      </c>
      <c r="N2937" s="10" t="str">
        <f>IFERROR(_xlfn.XLOOKUP(C2937,[1]ModifierDes!$B:$B,[1]ModifierDes!$A:$A),"")</f>
        <v/>
      </c>
      <c r="O2937" s="10">
        <f>IFERROR(_xlfn.XLOOKUP(C2937,[1]AttributeName!$C:$C,[1]AttributeName!$B:$B),"")</f>
        <v>10305</v>
      </c>
      <c r="P2937" s="10"/>
      <c r="Q2937">
        <v>0.12</v>
      </c>
      <c r="R2937">
        <v>0.2</v>
      </c>
      <c r="S2937" cm="1">
        <f t="array" ref="S2937">IFERROR(_xlfn.SWITCH(L2937,1,_xlfn.XLOOKUP(O2937,[1]AttributeName!$B:$B,[1]AttributeName!$D:$D),2,_xlfn.XLOOKUP(C2937,#REF!,#REF!),3,_xlfn.XLOOKUP(C2937,#REF!,#REF!)),0)</f>
        <v>2</v>
      </c>
      <c r="T2937" cm="1">
        <f t="array" ref="T2937">IFERROR(_xlfn.SWITCH(L2937,1,_xlfn.XLOOKUP(O2937,[1]AttributeName!$B:$B,[1]AttributeName!$E:$E),2,_xlfn.XLOOKUP(C2937,#REF!,#REF!),3,_xlfn.XLOOKUP(C2937,#REF!,#REF!)),0)</f>
        <v>2</v>
      </c>
    </row>
    <row r="2938" customFormat="1" spans="1:20">
      <c r="A2938">
        <f t="shared" ref="A2938:A2969" si="120">A2930+1</f>
        <v>1210</v>
      </c>
      <c r="B2938">
        <v>1</v>
      </c>
      <c r="C2938" t="s">
        <v>387</v>
      </c>
      <c r="D2938" t="s">
        <v>21</v>
      </c>
      <c r="E2938" t="s">
        <v>378</v>
      </c>
      <c r="G2938">
        <v>1</v>
      </c>
      <c r="H2938">
        <v>100</v>
      </c>
      <c r="J2938" cm="1">
        <f t="array" ref="J2938">_xlfn.SWITCH(B2938,1,75,2,61,3,49,4,37,5,25,6,13,7,4,8,1)</f>
        <v>75</v>
      </c>
      <c r="K2938" t="str" cm="1">
        <f t="array" ref="K2938">IFERROR(_xlfn.SWITCH(L2938,2,_xlfn.XLOOKUP(C2938,[1]ModifierDes!$B:$B,[1]ModifierDes!$C:$C),3,_xlfn.XLOOKUP(C2938,[1]StuntDes!$B:$B,[1]StuntDes!$C:$C)),"")</f>
        <v/>
      </c>
      <c r="L2938">
        <f t="shared" si="119"/>
        <v>1</v>
      </c>
      <c r="M2938" s="10" t="str">
        <f>IFERROR(_xlfn.XLOOKUP(C2938,[1]StuntDes!$B:$B,[1]StuntDes!$A:$A),"")</f>
        <v/>
      </c>
      <c r="N2938" s="10" t="str">
        <f>IFERROR(_xlfn.XLOOKUP(C2938,[1]ModifierDes!$B:$B,[1]ModifierDes!$A:$A),"")</f>
        <v/>
      </c>
      <c r="O2938" s="10">
        <f>IFERROR(_xlfn.XLOOKUP(C2938,[1]AttributeName!$C:$C,[1]AttributeName!$B:$B),"")</f>
        <v>10306</v>
      </c>
      <c r="P2938" s="10"/>
      <c r="Q2938">
        <v>0.75</v>
      </c>
      <c r="R2938">
        <v>1</v>
      </c>
      <c r="S2938" cm="1">
        <f t="array" ref="S2938">IFERROR(_xlfn.SWITCH(L2938,1,_xlfn.XLOOKUP(O2938,[1]AttributeName!$B:$B,[1]AttributeName!$D:$D),2,_xlfn.XLOOKUP(C2938,#REF!,#REF!),3,_xlfn.XLOOKUP(C2938,#REF!,#REF!)),0)</f>
        <v>2</v>
      </c>
      <c r="T2938" cm="1">
        <f t="array" ref="T2938">IFERROR(_xlfn.SWITCH(L2938,1,_xlfn.XLOOKUP(O2938,[1]AttributeName!$B:$B,[1]AttributeName!$E:$E),2,_xlfn.XLOOKUP(C2938,#REF!,#REF!),3,_xlfn.XLOOKUP(C2938,#REF!,#REF!)),0)</f>
        <v>2</v>
      </c>
    </row>
    <row r="2939" customFormat="1" spans="1:20">
      <c r="A2939">
        <f t="shared" si="120"/>
        <v>1210</v>
      </c>
      <c r="B2939">
        <v>2</v>
      </c>
      <c r="C2939" t="s">
        <v>387</v>
      </c>
      <c r="D2939" t="s">
        <v>21</v>
      </c>
      <c r="E2939" t="s">
        <v>378</v>
      </c>
      <c r="G2939">
        <v>1</v>
      </c>
      <c r="H2939">
        <v>200</v>
      </c>
      <c r="J2939" cm="1">
        <f t="array" ref="J2939">_xlfn.SWITCH(B2939,1,75,2,61,3,49,4,37,5,25,6,13,7,4,8,1)</f>
        <v>61</v>
      </c>
      <c r="K2939" t="str" cm="1">
        <f t="array" ref="K2939">IFERROR(_xlfn.SWITCH(L2939,2,_xlfn.XLOOKUP(C2939,[1]ModifierDes!$B:$B,[1]ModifierDes!$C:$C),3,_xlfn.XLOOKUP(C2939,[1]StuntDes!$B:$B,[1]StuntDes!$C:$C)),"")</f>
        <v/>
      </c>
      <c r="L2939">
        <f t="shared" si="119"/>
        <v>1</v>
      </c>
      <c r="M2939" s="10" t="str">
        <f>IFERROR(_xlfn.XLOOKUP(C2939,[1]StuntDes!$B:$B,[1]StuntDes!$A:$A),"")</f>
        <v/>
      </c>
      <c r="N2939" s="10" t="str">
        <f>IFERROR(_xlfn.XLOOKUP(C2939,[1]ModifierDes!$B:$B,[1]ModifierDes!$A:$A),"")</f>
        <v/>
      </c>
      <c r="O2939" s="10">
        <f>IFERROR(_xlfn.XLOOKUP(C2939,[1]AttributeName!$C:$C,[1]AttributeName!$B:$B),"")</f>
        <v>10306</v>
      </c>
      <c r="P2939" s="10"/>
      <c r="Q2939">
        <v>0.66</v>
      </c>
      <c r="R2939">
        <v>0.74</v>
      </c>
      <c r="S2939" cm="1">
        <f t="array" ref="S2939">IFERROR(_xlfn.SWITCH(L2939,1,_xlfn.XLOOKUP(O2939,[1]AttributeName!$B:$B,[1]AttributeName!$D:$D),2,_xlfn.XLOOKUP(C2939,#REF!,#REF!),3,_xlfn.XLOOKUP(C2939,#REF!,#REF!)),0)</f>
        <v>2</v>
      </c>
      <c r="T2939" cm="1">
        <f t="array" ref="T2939">IFERROR(_xlfn.SWITCH(L2939,1,_xlfn.XLOOKUP(O2939,[1]AttributeName!$B:$B,[1]AttributeName!$E:$E),2,_xlfn.XLOOKUP(C2939,#REF!,#REF!),3,_xlfn.XLOOKUP(C2939,#REF!,#REF!)),0)</f>
        <v>2</v>
      </c>
    </row>
    <row r="2940" customFormat="1" spans="1:20">
      <c r="A2940">
        <f t="shared" si="120"/>
        <v>1210</v>
      </c>
      <c r="B2940">
        <v>3</v>
      </c>
      <c r="C2940" t="s">
        <v>387</v>
      </c>
      <c r="D2940" t="s">
        <v>21</v>
      </c>
      <c r="E2940" t="s">
        <v>378</v>
      </c>
      <c r="G2940">
        <v>1</v>
      </c>
      <c r="H2940">
        <v>500</v>
      </c>
      <c r="J2940" cm="1">
        <f t="array" ref="J2940">_xlfn.SWITCH(B2940,1,75,2,61,3,49,4,37,5,25,6,13,7,4,8,1)</f>
        <v>49</v>
      </c>
      <c r="K2940" t="str" cm="1">
        <f t="array" ref="K2940">IFERROR(_xlfn.SWITCH(L2940,2,_xlfn.XLOOKUP(C2940,[1]ModifierDes!$B:$B,[1]ModifierDes!$C:$C),3,_xlfn.XLOOKUP(C2940,[1]StuntDes!$B:$B,[1]StuntDes!$C:$C)),"")</f>
        <v/>
      </c>
      <c r="L2940">
        <f t="shared" si="119"/>
        <v>1</v>
      </c>
      <c r="M2940" s="10" t="str">
        <f>IFERROR(_xlfn.XLOOKUP(C2940,[1]StuntDes!$B:$B,[1]StuntDes!$A:$A),"")</f>
        <v/>
      </c>
      <c r="N2940" s="10" t="str">
        <f>IFERROR(_xlfn.XLOOKUP(C2940,[1]ModifierDes!$B:$B,[1]ModifierDes!$A:$A),"")</f>
        <v/>
      </c>
      <c r="O2940" s="10">
        <f>IFERROR(_xlfn.XLOOKUP(C2940,[1]AttributeName!$C:$C,[1]AttributeName!$B:$B),"")</f>
        <v>10306</v>
      </c>
      <c r="P2940" s="10"/>
      <c r="Q2940">
        <v>0.57</v>
      </c>
      <c r="R2940">
        <v>0.65</v>
      </c>
      <c r="S2940" cm="1">
        <f t="array" ref="S2940">IFERROR(_xlfn.SWITCH(L2940,1,_xlfn.XLOOKUP(O2940,[1]AttributeName!$B:$B,[1]AttributeName!$D:$D),2,_xlfn.XLOOKUP(C2940,#REF!,#REF!),3,_xlfn.XLOOKUP(C2940,#REF!,#REF!)),0)</f>
        <v>2</v>
      </c>
      <c r="T2940" cm="1">
        <f t="array" ref="T2940">IFERROR(_xlfn.SWITCH(L2940,1,_xlfn.XLOOKUP(O2940,[1]AttributeName!$B:$B,[1]AttributeName!$E:$E),2,_xlfn.XLOOKUP(C2940,#REF!,#REF!),3,_xlfn.XLOOKUP(C2940,#REF!,#REF!)),0)</f>
        <v>2</v>
      </c>
    </row>
    <row r="2941" customFormat="1" spans="1:20">
      <c r="A2941">
        <f t="shared" si="120"/>
        <v>1210</v>
      </c>
      <c r="B2941">
        <v>4</v>
      </c>
      <c r="C2941" t="s">
        <v>387</v>
      </c>
      <c r="D2941" t="s">
        <v>21</v>
      </c>
      <c r="E2941" t="s">
        <v>378</v>
      </c>
      <c r="G2941">
        <v>1</v>
      </c>
      <c r="H2941">
        <v>1000</v>
      </c>
      <c r="J2941" cm="1">
        <f t="array" ref="J2941">_xlfn.SWITCH(B2941,1,75,2,61,3,49,4,37,5,25,6,13,7,4,8,1)</f>
        <v>37</v>
      </c>
      <c r="K2941" t="str" cm="1">
        <f t="array" ref="K2941">IFERROR(_xlfn.SWITCH(L2941,2,_xlfn.XLOOKUP(C2941,[1]ModifierDes!$B:$B,[1]ModifierDes!$C:$C),3,_xlfn.XLOOKUP(C2941,[1]StuntDes!$B:$B,[1]StuntDes!$C:$C)),"")</f>
        <v/>
      </c>
      <c r="L2941">
        <f t="shared" si="119"/>
        <v>1</v>
      </c>
      <c r="M2941" s="10" t="str">
        <f>IFERROR(_xlfn.XLOOKUP(C2941,[1]StuntDes!$B:$B,[1]StuntDes!$A:$A),"")</f>
        <v/>
      </c>
      <c r="N2941" s="10" t="str">
        <f>IFERROR(_xlfn.XLOOKUP(C2941,[1]ModifierDes!$B:$B,[1]ModifierDes!$A:$A),"")</f>
        <v/>
      </c>
      <c r="O2941" s="10">
        <f>IFERROR(_xlfn.XLOOKUP(C2941,[1]AttributeName!$C:$C,[1]AttributeName!$B:$B),"")</f>
        <v>10306</v>
      </c>
      <c r="P2941" s="10"/>
      <c r="Q2941">
        <v>0.48</v>
      </c>
      <c r="R2941">
        <v>0.56</v>
      </c>
      <c r="S2941" cm="1">
        <f t="array" ref="S2941">IFERROR(_xlfn.SWITCH(L2941,1,_xlfn.XLOOKUP(O2941,[1]AttributeName!$B:$B,[1]AttributeName!$D:$D),2,_xlfn.XLOOKUP(C2941,#REF!,#REF!),3,_xlfn.XLOOKUP(C2941,#REF!,#REF!)),0)</f>
        <v>2</v>
      </c>
      <c r="T2941" cm="1">
        <f t="array" ref="T2941">IFERROR(_xlfn.SWITCH(L2941,1,_xlfn.XLOOKUP(O2941,[1]AttributeName!$B:$B,[1]AttributeName!$E:$E),2,_xlfn.XLOOKUP(C2941,#REF!,#REF!),3,_xlfn.XLOOKUP(C2941,#REF!,#REF!)),0)</f>
        <v>2</v>
      </c>
    </row>
    <row r="2942" customFormat="1" spans="1:20">
      <c r="A2942">
        <f t="shared" si="120"/>
        <v>1210</v>
      </c>
      <c r="B2942">
        <v>5</v>
      </c>
      <c r="C2942" t="s">
        <v>387</v>
      </c>
      <c r="D2942" t="s">
        <v>21</v>
      </c>
      <c r="E2942" t="s">
        <v>378</v>
      </c>
      <c r="G2942">
        <v>1</v>
      </c>
      <c r="H2942">
        <v>1000</v>
      </c>
      <c r="J2942" cm="1">
        <f t="array" ref="J2942">_xlfn.SWITCH(B2942,1,75,2,61,3,49,4,37,5,25,6,13,7,4,8,1)</f>
        <v>25</v>
      </c>
      <c r="K2942" t="str" cm="1">
        <f t="array" ref="K2942">IFERROR(_xlfn.SWITCH(L2942,2,_xlfn.XLOOKUP(C2942,[1]ModifierDes!$B:$B,[1]ModifierDes!$C:$C),3,_xlfn.XLOOKUP(C2942,[1]StuntDes!$B:$B,[1]StuntDes!$C:$C)),"")</f>
        <v/>
      </c>
      <c r="L2942">
        <f t="shared" si="119"/>
        <v>1</v>
      </c>
      <c r="M2942" s="10" t="str">
        <f>IFERROR(_xlfn.XLOOKUP(C2942,[1]StuntDes!$B:$B,[1]StuntDes!$A:$A),"")</f>
        <v/>
      </c>
      <c r="N2942" s="10" t="str">
        <f>IFERROR(_xlfn.XLOOKUP(C2942,[1]ModifierDes!$B:$B,[1]ModifierDes!$A:$A),"")</f>
        <v/>
      </c>
      <c r="O2942" s="10">
        <f>IFERROR(_xlfn.XLOOKUP(C2942,[1]AttributeName!$C:$C,[1]AttributeName!$B:$B),"")</f>
        <v>10306</v>
      </c>
      <c r="P2942" s="10"/>
      <c r="Q2942">
        <v>0.39</v>
      </c>
      <c r="R2942">
        <v>0.47</v>
      </c>
      <c r="S2942" cm="1">
        <f t="array" ref="S2942">IFERROR(_xlfn.SWITCH(L2942,1,_xlfn.XLOOKUP(O2942,[1]AttributeName!$B:$B,[1]AttributeName!$D:$D),2,_xlfn.XLOOKUP(C2942,#REF!,#REF!),3,_xlfn.XLOOKUP(C2942,#REF!,#REF!)),0)</f>
        <v>2</v>
      </c>
      <c r="T2942" cm="1">
        <f t="array" ref="T2942">IFERROR(_xlfn.SWITCH(L2942,1,_xlfn.XLOOKUP(O2942,[1]AttributeName!$B:$B,[1]AttributeName!$E:$E),2,_xlfn.XLOOKUP(C2942,#REF!,#REF!),3,_xlfn.XLOOKUP(C2942,#REF!,#REF!)),0)</f>
        <v>2</v>
      </c>
    </row>
    <row r="2943" customFormat="1" spans="1:20">
      <c r="A2943">
        <f t="shared" si="120"/>
        <v>1210</v>
      </c>
      <c r="B2943">
        <v>6</v>
      </c>
      <c r="C2943" t="s">
        <v>387</v>
      </c>
      <c r="D2943" t="s">
        <v>21</v>
      </c>
      <c r="E2943" t="s">
        <v>378</v>
      </c>
      <c r="G2943">
        <v>1</v>
      </c>
      <c r="H2943">
        <v>1000</v>
      </c>
      <c r="J2943" cm="1">
        <f t="array" ref="J2943">_xlfn.SWITCH(B2943,1,75,2,61,3,49,4,37,5,25,6,13,7,4,8,1)</f>
        <v>13</v>
      </c>
      <c r="K2943" t="str" cm="1">
        <f t="array" ref="K2943">IFERROR(_xlfn.SWITCH(L2943,2,_xlfn.XLOOKUP(C2943,[1]ModifierDes!$B:$B,[1]ModifierDes!$C:$C),3,_xlfn.XLOOKUP(C2943,[1]StuntDes!$B:$B,[1]StuntDes!$C:$C)),"")</f>
        <v/>
      </c>
      <c r="L2943">
        <f t="shared" si="119"/>
        <v>1</v>
      </c>
      <c r="M2943" s="10" t="str">
        <f>IFERROR(_xlfn.XLOOKUP(C2943,[1]StuntDes!$B:$B,[1]StuntDes!$A:$A),"")</f>
        <v/>
      </c>
      <c r="N2943" s="10" t="str">
        <f>IFERROR(_xlfn.XLOOKUP(C2943,[1]ModifierDes!$B:$B,[1]ModifierDes!$A:$A),"")</f>
        <v/>
      </c>
      <c r="O2943" s="10">
        <f>IFERROR(_xlfn.XLOOKUP(C2943,[1]AttributeName!$C:$C,[1]AttributeName!$B:$B),"")</f>
        <v>10306</v>
      </c>
      <c r="P2943" s="10"/>
      <c r="Q2943">
        <v>0.3</v>
      </c>
      <c r="R2943">
        <v>0.38</v>
      </c>
      <c r="S2943" cm="1">
        <f t="array" ref="S2943">IFERROR(_xlfn.SWITCH(L2943,1,_xlfn.XLOOKUP(O2943,[1]AttributeName!$B:$B,[1]AttributeName!$D:$D),2,_xlfn.XLOOKUP(C2943,#REF!,#REF!),3,_xlfn.XLOOKUP(C2943,#REF!,#REF!)),0)</f>
        <v>2</v>
      </c>
      <c r="T2943" cm="1">
        <f t="array" ref="T2943">IFERROR(_xlfn.SWITCH(L2943,1,_xlfn.XLOOKUP(O2943,[1]AttributeName!$B:$B,[1]AttributeName!$E:$E),2,_xlfn.XLOOKUP(C2943,#REF!,#REF!),3,_xlfn.XLOOKUP(C2943,#REF!,#REF!)),0)</f>
        <v>2</v>
      </c>
    </row>
    <row r="2944" customFormat="1" spans="1:20">
      <c r="A2944">
        <f t="shared" si="120"/>
        <v>1210</v>
      </c>
      <c r="B2944">
        <v>7</v>
      </c>
      <c r="C2944" t="s">
        <v>387</v>
      </c>
      <c r="D2944" t="s">
        <v>21</v>
      </c>
      <c r="E2944" t="s">
        <v>378</v>
      </c>
      <c r="G2944">
        <v>1</v>
      </c>
      <c r="H2944">
        <v>1000</v>
      </c>
      <c r="J2944" cm="1">
        <f t="array" ref="J2944">_xlfn.SWITCH(B2944,1,75,2,61,3,49,4,37,5,25,6,13,7,4,8,1)</f>
        <v>4</v>
      </c>
      <c r="K2944" t="str" cm="1">
        <f t="array" ref="K2944">IFERROR(_xlfn.SWITCH(L2944,2,_xlfn.XLOOKUP(C2944,[1]ModifierDes!$B:$B,[1]ModifierDes!$C:$C),3,_xlfn.XLOOKUP(C2944,[1]StuntDes!$B:$B,[1]StuntDes!$C:$C)),"")</f>
        <v/>
      </c>
      <c r="L2944">
        <f t="shared" si="119"/>
        <v>1</v>
      </c>
      <c r="M2944" s="10" t="str">
        <f>IFERROR(_xlfn.XLOOKUP(C2944,[1]StuntDes!$B:$B,[1]StuntDes!$A:$A),"")</f>
        <v/>
      </c>
      <c r="N2944" s="10" t="str">
        <f>IFERROR(_xlfn.XLOOKUP(C2944,[1]ModifierDes!$B:$B,[1]ModifierDes!$A:$A),"")</f>
        <v/>
      </c>
      <c r="O2944" s="10">
        <f>IFERROR(_xlfn.XLOOKUP(C2944,[1]AttributeName!$C:$C,[1]AttributeName!$B:$B),"")</f>
        <v>10306</v>
      </c>
      <c r="P2944" s="10"/>
      <c r="Q2944">
        <v>0.21</v>
      </c>
      <c r="R2944">
        <v>0.29</v>
      </c>
      <c r="S2944" cm="1">
        <f t="array" ref="S2944">IFERROR(_xlfn.SWITCH(L2944,1,_xlfn.XLOOKUP(O2944,[1]AttributeName!$B:$B,[1]AttributeName!$D:$D),2,_xlfn.XLOOKUP(C2944,#REF!,#REF!),3,_xlfn.XLOOKUP(C2944,#REF!,#REF!)),0)</f>
        <v>2</v>
      </c>
      <c r="T2944" cm="1">
        <f t="array" ref="T2944">IFERROR(_xlfn.SWITCH(L2944,1,_xlfn.XLOOKUP(O2944,[1]AttributeName!$B:$B,[1]AttributeName!$E:$E),2,_xlfn.XLOOKUP(C2944,#REF!,#REF!),3,_xlfn.XLOOKUP(C2944,#REF!,#REF!)),0)</f>
        <v>2</v>
      </c>
    </row>
    <row r="2945" customFormat="1" spans="1:20">
      <c r="A2945">
        <f t="shared" si="120"/>
        <v>1210</v>
      </c>
      <c r="B2945">
        <v>8</v>
      </c>
      <c r="C2945" t="s">
        <v>387</v>
      </c>
      <c r="D2945" t="s">
        <v>21</v>
      </c>
      <c r="E2945" t="s">
        <v>378</v>
      </c>
      <c r="G2945">
        <v>1</v>
      </c>
      <c r="H2945">
        <v>1000</v>
      </c>
      <c r="J2945" cm="1">
        <f t="array" ref="J2945">_xlfn.SWITCH(B2945,1,75,2,61,3,49,4,37,5,25,6,13,7,4,8,1)</f>
        <v>1</v>
      </c>
      <c r="K2945" t="str" cm="1">
        <f t="array" ref="K2945">IFERROR(_xlfn.SWITCH(L2945,2,_xlfn.XLOOKUP(C2945,[1]ModifierDes!$B:$B,[1]ModifierDes!$C:$C),3,_xlfn.XLOOKUP(C2945,[1]StuntDes!$B:$B,[1]StuntDes!$C:$C)),"")</f>
        <v/>
      </c>
      <c r="L2945">
        <f t="shared" si="119"/>
        <v>1</v>
      </c>
      <c r="M2945" s="10" t="str">
        <f>IFERROR(_xlfn.XLOOKUP(C2945,[1]StuntDes!$B:$B,[1]StuntDes!$A:$A),"")</f>
        <v/>
      </c>
      <c r="N2945" s="10" t="str">
        <f>IFERROR(_xlfn.XLOOKUP(C2945,[1]ModifierDes!$B:$B,[1]ModifierDes!$A:$A),"")</f>
        <v/>
      </c>
      <c r="O2945" s="10">
        <f>IFERROR(_xlfn.XLOOKUP(C2945,[1]AttributeName!$C:$C,[1]AttributeName!$B:$B),"")</f>
        <v>10306</v>
      </c>
      <c r="P2945" s="10"/>
      <c r="Q2945">
        <v>0.12</v>
      </c>
      <c r="R2945">
        <v>0.2</v>
      </c>
      <c r="S2945" cm="1">
        <f t="array" ref="S2945">IFERROR(_xlfn.SWITCH(L2945,1,_xlfn.XLOOKUP(O2945,[1]AttributeName!$B:$B,[1]AttributeName!$D:$D),2,_xlfn.XLOOKUP(C2945,#REF!,#REF!),3,_xlfn.XLOOKUP(C2945,#REF!,#REF!)),0)</f>
        <v>2</v>
      </c>
      <c r="T2945" cm="1">
        <f t="array" ref="T2945">IFERROR(_xlfn.SWITCH(L2945,1,_xlfn.XLOOKUP(O2945,[1]AttributeName!$B:$B,[1]AttributeName!$E:$E),2,_xlfn.XLOOKUP(C2945,#REF!,#REF!),3,_xlfn.XLOOKUP(C2945,#REF!,#REF!)),0)</f>
        <v>2</v>
      </c>
    </row>
    <row r="2946" customFormat="1" spans="1:20">
      <c r="A2946">
        <f t="shared" si="120"/>
        <v>1211</v>
      </c>
      <c r="B2946">
        <v>1</v>
      </c>
      <c r="C2946" t="s">
        <v>388</v>
      </c>
      <c r="D2946" t="s">
        <v>21</v>
      </c>
      <c r="E2946" t="s">
        <v>378</v>
      </c>
      <c r="G2946">
        <v>1</v>
      </c>
      <c r="H2946">
        <v>100</v>
      </c>
      <c r="J2946" cm="1">
        <f t="array" ref="J2946">_xlfn.SWITCH(B2946,1,75,2,61,3,49,4,37,5,25,6,13,7,4,8,1)</f>
        <v>75</v>
      </c>
      <c r="K2946" t="str" cm="1">
        <f t="array" ref="K2946">IFERROR(_xlfn.SWITCH(L2946,2,_xlfn.XLOOKUP(C2946,[1]ModifierDes!$B:$B,[1]ModifierDes!$C:$C),3,_xlfn.XLOOKUP(C2946,[1]StuntDes!$B:$B,[1]StuntDes!$C:$C)),"")</f>
        <v/>
      </c>
      <c r="L2946">
        <f t="shared" si="119"/>
        <v>1</v>
      </c>
      <c r="M2946" s="10" t="str">
        <f>IFERROR(_xlfn.XLOOKUP(C2946,[1]StuntDes!$B:$B,[1]StuntDes!$A:$A),"")</f>
        <v/>
      </c>
      <c r="N2946" s="10" t="str">
        <f>IFERROR(_xlfn.XLOOKUP(C2946,[1]ModifierDes!$B:$B,[1]ModifierDes!$A:$A),"")</f>
        <v/>
      </c>
      <c r="O2946" s="10">
        <f>IFERROR(_xlfn.XLOOKUP(C2946,[1]AttributeName!$C:$C,[1]AttributeName!$B:$B),"")</f>
        <v>10307</v>
      </c>
      <c r="P2946" s="10"/>
      <c r="Q2946">
        <v>0.75</v>
      </c>
      <c r="R2946">
        <v>1</v>
      </c>
      <c r="S2946" cm="1">
        <f t="array" ref="S2946">IFERROR(_xlfn.SWITCH(L2946,1,_xlfn.XLOOKUP(O2946,[1]AttributeName!$B:$B,[1]AttributeName!$D:$D),2,_xlfn.XLOOKUP(C2946,#REF!,#REF!),3,_xlfn.XLOOKUP(C2946,#REF!,#REF!)),0)</f>
        <v>2</v>
      </c>
      <c r="T2946" cm="1">
        <f t="array" ref="T2946">IFERROR(_xlfn.SWITCH(L2946,1,_xlfn.XLOOKUP(O2946,[1]AttributeName!$B:$B,[1]AttributeName!$E:$E),2,_xlfn.XLOOKUP(C2946,#REF!,#REF!),3,_xlfn.XLOOKUP(C2946,#REF!,#REF!)),0)</f>
        <v>2</v>
      </c>
    </row>
    <row r="2947" customFormat="1" spans="1:20">
      <c r="A2947">
        <f t="shared" si="120"/>
        <v>1211</v>
      </c>
      <c r="B2947">
        <v>2</v>
      </c>
      <c r="C2947" t="s">
        <v>388</v>
      </c>
      <c r="D2947" t="s">
        <v>21</v>
      </c>
      <c r="E2947" t="s">
        <v>378</v>
      </c>
      <c r="G2947">
        <v>1</v>
      </c>
      <c r="H2947">
        <v>200</v>
      </c>
      <c r="J2947" cm="1">
        <f t="array" ref="J2947">_xlfn.SWITCH(B2947,1,75,2,61,3,49,4,37,5,25,6,13,7,4,8,1)</f>
        <v>61</v>
      </c>
      <c r="K2947" t="str" cm="1">
        <f t="array" ref="K2947">IFERROR(_xlfn.SWITCH(L2947,2,_xlfn.XLOOKUP(C2947,[1]ModifierDes!$B:$B,[1]ModifierDes!$C:$C),3,_xlfn.XLOOKUP(C2947,[1]StuntDes!$B:$B,[1]StuntDes!$C:$C)),"")</f>
        <v/>
      </c>
      <c r="L2947">
        <f t="shared" si="119"/>
        <v>1</v>
      </c>
      <c r="M2947" s="10" t="str">
        <f>IFERROR(_xlfn.XLOOKUP(C2947,[1]StuntDes!$B:$B,[1]StuntDes!$A:$A),"")</f>
        <v/>
      </c>
      <c r="N2947" s="10" t="str">
        <f>IFERROR(_xlfn.XLOOKUP(C2947,[1]ModifierDes!$B:$B,[1]ModifierDes!$A:$A),"")</f>
        <v/>
      </c>
      <c r="O2947" s="10">
        <f>IFERROR(_xlfn.XLOOKUP(C2947,[1]AttributeName!$C:$C,[1]AttributeName!$B:$B),"")</f>
        <v>10307</v>
      </c>
      <c r="P2947" s="10"/>
      <c r="Q2947">
        <v>0.66</v>
      </c>
      <c r="R2947">
        <v>0.74</v>
      </c>
      <c r="S2947" cm="1">
        <f t="array" ref="S2947">IFERROR(_xlfn.SWITCH(L2947,1,_xlfn.XLOOKUP(O2947,[1]AttributeName!$B:$B,[1]AttributeName!$D:$D),2,_xlfn.XLOOKUP(C2947,#REF!,#REF!),3,_xlfn.XLOOKUP(C2947,#REF!,#REF!)),0)</f>
        <v>2</v>
      </c>
      <c r="T2947" cm="1">
        <f t="array" ref="T2947">IFERROR(_xlfn.SWITCH(L2947,1,_xlfn.XLOOKUP(O2947,[1]AttributeName!$B:$B,[1]AttributeName!$E:$E),2,_xlfn.XLOOKUP(C2947,#REF!,#REF!),3,_xlfn.XLOOKUP(C2947,#REF!,#REF!)),0)</f>
        <v>2</v>
      </c>
    </row>
    <row r="2948" customFormat="1" spans="1:20">
      <c r="A2948">
        <f t="shared" si="120"/>
        <v>1211</v>
      </c>
      <c r="B2948">
        <v>3</v>
      </c>
      <c r="C2948" t="s">
        <v>388</v>
      </c>
      <c r="D2948" t="s">
        <v>21</v>
      </c>
      <c r="E2948" t="s">
        <v>378</v>
      </c>
      <c r="G2948">
        <v>1</v>
      </c>
      <c r="H2948">
        <v>500</v>
      </c>
      <c r="J2948" cm="1">
        <f t="array" ref="J2948">_xlfn.SWITCH(B2948,1,75,2,61,3,49,4,37,5,25,6,13,7,4,8,1)</f>
        <v>49</v>
      </c>
      <c r="K2948" t="str" cm="1">
        <f t="array" ref="K2948">IFERROR(_xlfn.SWITCH(L2948,2,_xlfn.XLOOKUP(C2948,[1]ModifierDes!$B:$B,[1]ModifierDes!$C:$C),3,_xlfn.XLOOKUP(C2948,[1]StuntDes!$B:$B,[1]StuntDes!$C:$C)),"")</f>
        <v/>
      </c>
      <c r="L2948">
        <f t="shared" ref="L2948:L3011" si="121">IF(M2948="",IF(N2948="",1,2),3)</f>
        <v>1</v>
      </c>
      <c r="M2948" s="10" t="str">
        <f>IFERROR(_xlfn.XLOOKUP(C2948,[1]StuntDes!$B:$B,[1]StuntDes!$A:$A),"")</f>
        <v/>
      </c>
      <c r="N2948" s="10" t="str">
        <f>IFERROR(_xlfn.XLOOKUP(C2948,[1]ModifierDes!$B:$B,[1]ModifierDes!$A:$A),"")</f>
        <v/>
      </c>
      <c r="O2948" s="10">
        <f>IFERROR(_xlfn.XLOOKUP(C2948,[1]AttributeName!$C:$C,[1]AttributeName!$B:$B),"")</f>
        <v>10307</v>
      </c>
      <c r="P2948" s="10"/>
      <c r="Q2948">
        <v>0.57</v>
      </c>
      <c r="R2948">
        <v>0.65</v>
      </c>
      <c r="S2948" cm="1">
        <f t="array" ref="S2948">IFERROR(_xlfn.SWITCH(L2948,1,_xlfn.XLOOKUP(O2948,[1]AttributeName!$B:$B,[1]AttributeName!$D:$D),2,_xlfn.XLOOKUP(C2948,#REF!,#REF!),3,_xlfn.XLOOKUP(C2948,#REF!,#REF!)),0)</f>
        <v>2</v>
      </c>
      <c r="T2948" cm="1">
        <f t="array" ref="T2948">IFERROR(_xlfn.SWITCH(L2948,1,_xlfn.XLOOKUP(O2948,[1]AttributeName!$B:$B,[1]AttributeName!$E:$E),2,_xlfn.XLOOKUP(C2948,#REF!,#REF!),3,_xlfn.XLOOKUP(C2948,#REF!,#REF!)),0)</f>
        <v>2</v>
      </c>
    </row>
    <row r="2949" customFormat="1" spans="1:20">
      <c r="A2949">
        <f t="shared" si="120"/>
        <v>1211</v>
      </c>
      <c r="B2949">
        <v>4</v>
      </c>
      <c r="C2949" t="s">
        <v>388</v>
      </c>
      <c r="D2949" t="s">
        <v>21</v>
      </c>
      <c r="E2949" t="s">
        <v>378</v>
      </c>
      <c r="G2949">
        <v>1</v>
      </c>
      <c r="H2949">
        <v>1000</v>
      </c>
      <c r="J2949" cm="1">
        <f t="array" ref="J2949">_xlfn.SWITCH(B2949,1,75,2,61,3,49,4,37,5,25,6,13,7,4,8,1)</f>
        <v>37</v>
      </c>
      <c r="K2949" t="str" cm="1">
        <f t="array" ref="K2949">IFERROR(_xlfn.SWITCH(L2949,2,_xlfn.XLOOKUP(C2949,[1]ModifierDes!$B:$B,[1]ModifierDes!$C:$C),3,_xlfn.XLOOKUP(C2949,[1]StuntDes!$B:$B,[1]StuntDes!$C:$C)),"")</f>
        <v/>
      </c>
      <c r="L2949">
        <f t="shared" si="121"/>
        <v>1</v>
      </c>
      <c r="M2949" s="10" t="str">
        <f>IFERROR(_xlfn.XLOOKUP(C2949,[1]StuntDes!$B:$B,[1]StuntDes!$A:$A),"")</f>
        <v/>
      </c>
      <c r="N2949" s="10" t="str">
        <f>IFERROR(_xlfn.XLOOKUP(C2949,[1]ModifierDes!$B:$B,[1]ModifierDes!$A:$A),"")</f>
        <v/>
      </c>
      <c r="O2949" s="10">
        <f>IFERROR(_xlfn.XLOOKUP(C2949,[1]AttributeName!$C:$C,[1]AttributeName!$B:$B),"")</f>
        <v>10307</v>
      </c>
      <c r="P2949" s="10"/>
      <c r="Q2949">
        <v>0.48</v>
      </c>
      <c r="R2949">
        <v>0.56</v>
      </c>
      <c r="S2949" cm="1">
        <f t="array" ref="S2949">IFERROR(_xlfn.SWITCH(L2949,1,_xlfn.XLOOKUP(O2949,[1]AttributeName!$B:$B,[1]AttributeName!$D:$D),2,_xlfn.XLOOKUP(C2949,#REF!,#REF!),3,_xlfn.XLOOKUP(C2949,#REF!,#REF!)),0)</f>
        <v>2</v>
      </c>
      <c r="T2949" cm="1">
        <f t="array" ref="T2949">IFERROR(_xlfn.SWITCH(L2949,1,_xlfn.XLOOKUP(O2949,[1]AttributeName!$B:$B,[1]AttributeName!$E:$E),2,_xlfn.XLOOKUP(C2949,#REF!,#REF!),3,_xlfn.XLOOKUP(C2949,#REF!,#REF!)),0)</f>
        <v>2</v>
      </c>
    </row>
    <row r="2950" customFormat="1" spans="1:20">
      <c r="A2950">
        <f t="shared" si="120"/>
        <v>1211</v>
      </c>
      <c r="B2950">
        <v>5</v>
      </c>
      <c r="C2950" t="s">
        <v>388</v>
      </c>
      <c r="D2950" t="s">
        <v>21</v>
      </c>
      <c r="E2950" t="s">
        <v>378</v>
      </c>
      <c r="G2950">
        <v>1</v>
      </c>
      <c r="H2950">
        <v>1000</v>
      </c>
      <c r="J2950" cm="1">
        <f t="array" ref="J2950">_xlfn.SWITCH(B2950,1,75,2,61,3,49,4,37,5,25,6,13,7,4,8,1)</f>
        <v>25</v>
      </c>
      <c r="K2950" t="str" cm="1">
        <f t="array" ref="K2950">IFERROR(_xlfn.SWITCH(L2950,2,_xlfn.XLOOKUP(C2950,[1]ModifierDes!$B:$B,[1]ModifierDes!$C:$C),3,_xlfn.XLOOKUP(C2950,[1]StuntDes!$B:$B,[1]StuntDes!$C:$C)),"")</f>
        <v/>
      </c>
      <c r="L2950">
        <f t="shared" si="121"/>
        <v>1</v>
      </c>
      <c r="M2950" s="10" t="str">
        <f>IFERROR(_xlfn.XLOOKUP(C2950,[1]StuntDes!$B:$B,[1]StuntDes!$A:$A),"")</f>
        <v/>
      </c>
      <c r="N2950" s="10" t="str">
        <f>IFERROR(_xlfn.XLOOKUP(C2950,[1]ModifierDes!$B:$B,[1]ModifierDes!$A:$A),"")</f>
        <v/>
      </c>
      <c r="O2950" s="10">
        <f>IFERROR(_xlfn.XLOOKUP(C2950,[1]AttributeName!$C:$C,[1]AttributeName!$B:$B),"")</f>
        <v>10307</v>
      </c>
      <c r="P2950" s="10"/>
      <c r="Q2950">
        <v>0.39</v>
      </c>
      <c r="R2950">
        <v>0.47</v>
      </c>
      <c r="S2950" cm="1">
        <f t="array" ref="S2950">IFERROR(_xlfn.SWITCH(L2950,1,_xlfn.XLOOKUP(O2950,[1]AttributeName!$B:$B,[1]AttributeName!$D:$D),2,_xlfn.XLOOKUP(C2950,#REF!,#REF!),3,_xlfn.XLOOKUP(C2950,#REF!,#REF!)),0)</f>
        <v>2</v>
      </c>
      <c r="T2950" cm="1">
        <f t="array" ref="T2950">IFERROR(_xlfn.SWITCH(L2950,1,_xlfn.XLOOKUP(O2950,[1]AttributeName!$B:$B,[1]AttributeName!$E:$E),2,_xlfn.XLOOKUP(C2950,#REF!,#REF!),3,_xlfn.XLOOKUP(C2950,#REF!,#REF!)),0)</f>
        <v>2</v>
      </c>
    </row>
    <row r="2951" customFormat="1" spans="1:20">
      <c r="A2951">
        <f t="shared" si="120"/>
        <v>1211</v>
      </c>
      <c r="B2951">
        <v>6</v>
      </c>
      <c r="C2951" t="s">
        <v>388</v>
      </c>
      <c r="D2951" t="s">
        <v>21</v>
      </c>
      <c r="E2951" t="s">
        <v>378</v>
      </c>
      <c r="G2951">
        <v>1</v>
      </c>
      <c r="H2951">
        <v>1000</v>
      </c>
      <c r="J2951" cm="1">
        <f t="array" ref="J2951">_xlfn.SWITCH(B2951,1,75,2,61,3,49,4,37,5,25,6,13,7,4,8,1)</f>
        <v>13</v>
      </c>
      <c r="K2951" t="str" cm="1">
        <f t="array" ref="K2951">IFERROR(_xlfn.SWITCH(L2951,2,_xlfn.XLOOKUP(C2951,[1]ModifierDes!$B:$B,[1]ModifierDes!$C:$C),3,_xlfn.XLOOKUP(C2951,[1]StuntDes!$B:$B,[1]StuntDes!$C:$C)),"")</f>
        <v/>
      </c>
      <c r="L2951">
        <f t="shared" si="121"/>
        <v>1</v>
      </c>
      <c r="M2951" s="10" t="str">
        <f>IFERROR(_xlfn.XLOOKUP(C2951,[1]StuntDes!$B:$B,[1]StuntDes!$A:$A),"")</f>
        <v/>
      </c>
      <c r="N2951" s="10" t="str">
        <f>IFERROR(_xlfn.XLOOKUP(C2951,[1]ModifierDes!$B:$B,[1]ModifierDes!$A:$A),"")</f>
        <v/>
      </c>
      <c r="O2951" s="10">
        <f>IFERROR(_xlfn.XLOOKUP(C2951,[1]AttributeName!$C:$C,[1]AttributeName!$B:$B),"")</f>
        <v>10307</v>
      </c>
      <c r="P2951" s="10"/>
      <c r="Q2951">
        <v>0.3</v>
      </c>
      <c r="R2951">
        <v>0.38</v>
      </c>
      <c r="S2951" cm="1">
        <f t="array" ref="S2951">IFERROR(_xlfn.SWITCH(L2951,1,_xlfn.XLOOKUP(O2951,[1]AttributeName!$B:$B,[1]AttributeName!$D:$D),2,_xlfn.XLOOKUP(C2951,#REF!,#REF!),3,_xlfn.XLOOKUP(C2951,#REF!,#REF!)),0)</f>
        <v>2</v>
      </c>
      <c r="T2951" cm="1">
        <f t="array" ref="T2951">IFERROR(_xlfn.SWITCH(L2951,1,_xlfn.XLOOKUP(O2951,[1]AttributeName!$B:$B,[1]AttributeName!$E:$E),2,_xlfn.XLOOKUP(C2951,#REF!,#REF!),3,_xlfn.XLOOKUP(C2951,#REF!,#REF!)),0)</f>
        <v>2</v>
      </c>
    </row>
    <row r="2952" customFormat="1" spans="1:20">
      <c r="A2952">
        <f t="shared" si="120"/>
        <v>1211</v>
      </c>
      <c r="B2952">
        <v>7</v>
      </c>
      <c r="C2952" t="s">
        <v>388</v>
      </c>
      <c r="D2952" t="s">
        <v>21</v>
      </c>
      <c r="E2952" t="s">
        <v>378</v>
      </c>
      <c r="G2952">
        <v>1</v>
      </c>
      <c r="H2952">
        <v>1000</v>
      </c>
      <c r="J2952" cm="1">
        <f t="array" ref="J2952">_xlfn.SWITCH(B2952,1,75,2,61,3,49,4,37,5,25,6,13,7,4,8,1)</f>
        <v>4</v>
      </c>
      <c r="K2952" t="str" cm="1">
        <f t="array" ref="K2952">IFERROR(_xlfn.SWITCH(L2952,2,_xlfn.XLOOKUP(C2952,[1]ModifierDes!$B:$B,[1]ModifierDes!$C:$C),3,_xlfn.XLOOKUP(C2952,[1]StuntDes!$B:$B,[1]StuntDes!$C:$C)),"")</f>
        <v/>
      </c>
      <c r="L2952">
        <f t="shared" si="121"/>
        <v>1</v>
      </c>
      <c r="M2952" s="10" t="str">
        <f>IFERROR(_xlfn.XLOOKUP(C2952,[1]StuntDes!$B:$B,[1]StuntDes!$A:$A),"")</f>
        <v/>
      </c>
      <c r="N2952" s="10" t="str">
        <f>IFERROR(_xlfn.XLOOKUP(C2952,[1]ModifierDes!$B:$B,[1]ModifierDes!$A:$A),"")</f>
        <v/>
      </c>
      <c r="O2952" s="10">
        <f>IFERROR(_xlfn.XLOOKUP(C2952,[1]AttributeName!$C:$C,[1]AttributeName!$B:$B),"")</f>
        <v>10307</v>
      </c>
      <c r="P2952" s="10"/>
      <c r="Q2952">
        <v>0.21</v>
      </c>
      <c r="R2952">
        <v>0.29</v>
      </c>
      <c r="S2952" cm="1">
        <f t="array" ref="S2952">IFERROR(_xlfn.SWITCH(L2952,1,_xlfn.XLOOKUP(O2952,[1]AttributeName!$B:$B,[1]AttributeName!$D:$D),2,_xlfn.XLOOKUP(C2952,#REF!,#REF!),3,_xlfn.XLOOKUP(C2952,#REF!,#REF!)),0)</f>
        <v>2</v>
      </c>
      <c r="T2952" cm="1">
        <f t="array" ref="T2952">IFERROR(_xlfn.SWITCH(L2952,1,_xlfn.XLOOKUP(O2952,[1]AttributeName!$B:$B,[1]AttributeName!$E:$E),2,_xlfn.XLOOKUP(C2952,#REF!,#REF!),3,_xlfn.XLOOKUP(C2952,#REF!,#REF!)),0)</f>
        <v>2</v>
      </c>
    </row>
    <row r="2953" customFormat="1" spans="1:20">
      <c r="A2953">
        <f t="shared" si="120"/>
        <v>1211</v>
      </c>
      <c r="B2953">
        <v>8</v>
      </c>
      <c r="C2953" t="s">
        <v>388</v>
      </c>
      <c r="D2953" t="s">
        <v>21</v>
      </c>
      <c r="E2953" t="s">
        <v>378</v>
      </c>
      <c r="G2953">
        <v>1</v>
      </c>
      <c r="H2953">
        <v>1000</v>
      </c>
      <c r="J2953" cm="1">
        <f t="array" ref="J2953">_xlfn.SWITCH(B2953,1,75,2,61,3,49,4,37,5,25,6,13,7,4,8,1)</f>
        <v>1</v>
      </c>
      <c r="K2953" t="str" cm="1">
        <f t="array" ref="K2953">IFERROR(_xlfn.SWITCH(L2953,2,_xlfn.XLOOKUP(C2953,[1]ModifierDes!$B:$B,[1]ModifierDes!$C:$C),3,_xlfn.XLOOKUP(C2953,[1]StuntDes!$B:$B,[1]StuntDes!$C:$C)),"")</f>
        <v/>
      </c>
      <c r="L2953">
        <f t="shared" si="121"/>
        <v>1</v>
      </c>
      <c r="M2953" s="10" t="str">
        <f>IFERROR(_xlfn.XLOOKUP(C2953,[1]StuntDes!$B:$B,[1]StuntDes!$A:$A),"")</f>
        <v/>
      </c>
      <c r="N2953" s="10" t="str">
        <f>IFERROR(_xlfn.XLOOKUP(C2953,[1]ModifierDes!$B:$B,[1]ModifierDes!$A:$A),"")</f>
        <v/>
      </c>
      <c r="O2953" s="10">
        <f>IFERROR(_xlfn.XLOOKUP(C2953,[1]AttributeName!$C:$C,[1]AttributeName!$B:$B),"")</f>
        <v>10307</v>
      </c>
      <c r="P2953" s="10"/>
      <c r="Q2953">
        <v>0.12</v>
      </c>
      <c r="R2953">
        <v>0.2</v>
      </c>
      <c r="S2953" cm="1">
        <f t="array" ref="S2953">IFERROR(_xlfn.SWITCH(L2953,1,_xlfn.XLOOKUP(O2953,[1]AttributeName!$B:$B,[1]AttributeName!$D:$D),2,_xlfn.XLOOKUP(C2953,#REF!,#REF!),3,_xlfn.XLOOKUP(C2953,#REF!,#REF!)),0)</f>
        <v>2</v>
      </c>
      <c r="T2953" cm="1">
        <f t="array" ref="T2953">IFERROR(_xlfn.SWITCH(L2953,1,_xlfn.XLOOKUP(O2953,[1]AttributeName!$B:$B,[1]AttributeName!$E:$E),2,_xlfn.XLOOKUP(C2953,#REF!,#REF!),3,_xlfn.XLOOKUP(C2953,#REF!,#REF!)),0)</f>
        <v>2</v>
      </c>
    </row>
    <row r="2954" customFormat="1" spans="1:20">
      <c r="A2954">
        <f t="shared" si="120"/>
        <v>1212</v>
      </c>
      <c r="B2954">
        <v>1</v>
      </c>
      <c r="C2954" t="s">
        <v>389</v>
      </c>
      <c r="D2954" t="s">
        <v>21</v>
      </c>
      <c r="E2954" t="s">
        <v>378</v>
      </c>
      <c r="G2954">
        <v>1</v>
      </c>
      <c r="H2954">
        <v>1000</v>
      </c>
      <c r="J2954" cm="1">
        <f t="array" ref="J2954">_xlfn.SWITCH(B2954,1,75,2,61,3,49,4,37,5,25,6,13,7,4,8,1)</f>
        <v>75</v>
      </c>
      <c r="K2954" t="str" cm="1">
        <f t="array" ref="K2954">IFERROR(_xlfn.SWITCH(L2954,2,_xlfn.XLOOKUP(C2954,[1]ModifierDes!$B:$B,[1]ModifierDes!$C:$C),3,_xlfn.XLOOKUP(C2954,[1]StuntDes!$B:$B,[1]StuntDes!$C:$C)),"")</f>
        <v/>
      </c>
      <c r="L2954">
        <f t="shared" si="121"/>
        <v>1</v>
      </c>
      <c r="M2954" s="10" t="str">
        <f>IFERROR(_xlfn.XLOOKUP(C2954,[1]StuntDes!$B:$B,[1]StuntDes!$A:$A),"")</f>
        <v/>
      </c>
      <c r="N2954" s="10" t="str">
        <f>IFERROR(_xlfn.XLOOKUP(C2954,[1]ModifierDes!$B:$B,[1]ModifierDes!$A:$A),"")</f>
        <v/>
      </c>
      <c r="O2954" s="10">
        <f>IFERROR(_xlfn.XLOOKUP(C2954,[1]AttributeName!$C:$C,[1]AttributeName!$B:$B),"")</f>
        <v>10001</v>
      </c>
      <c r="P2954" s="10"/>
      <c r="Q2954">
        <v>271</v>
      </c>
      <c r="R2954">
        <v>300</v>
      </c>
      <c r="S2954" cm="1">
        <f t="array" ref="S2954">IFERROR(_xlfn.SWITCH(L2954,1,_xlfn.XLOOKUP(O2954,[1]AttributeName!$B:$B,[1]AttributeName!$D:$D),2,_xlfn.XLOOKUP(C2954,#REF!,#REF!),3,_xlfn.XLOOKUP(C2954,#REF!,#REF!)),0)</f>
        <v>0</v>
      </c>
      <c r="T2954" cm="1">
        <f t="array" ref="T2954">IFERROR(_xlfn.SWITCH(L2954,1,_xlfn.XLOOKUP(O2954,[1]AttributeName!$B:$B,[1]AttributeName!$E:$E),2,_xlfn.XLOOKUP(C2954,#REF!,#REF!),3,_xlfn.XLOOKUP(C2954,#REF!,#REF!)),0)</f>
        <v>1</v>
      </c>
    </row>
    <row r="2955" customFormat="1" spans="1:20">
      <c r="A2955">
        <f t="shared" si="120"/>
        <v>1212</v>
      </c>
      <c r="B2955">
        <v>2</v>
      </c>
      <c r="C2955" t="s">
        <v>389</v>
      </c>
      <c r="D2955" t="s">
        <v>21</v>
      </c>
      <c r="E2955" t="s">
        <v>378</v>
      </c>
      <c r="G2955">
        <v>1</v>
      </c>
      <c r="H2955">
        <v>1000</v>
      </c>
      <c r="J2955" cm="1">
        <f t="array" ref="J2955">_xlfn.SWITCH(B2955,1,75,2,61,3,49,4,37,5,25,6,13,7,4,8,1)</f>
        <v>61</v>
      </c>
      <c r="K2955" t="str" cm="1">
        <f t="array" ref="K2955">IFERROR(_xlfn.SWITCH(L2955,2,_xlfn.XLOOKUP(C2955,[1]ModifierDes!$B:$B,[1]ModifierDes!$C:$C),3,_xlfn.XLOOKUP(C2955,[1]StuntDes!$B:$B,[1]StuntDes!$C:$C)),"")</f>
        <v/>
      </c>
      <c r="L2955">
        <f t="shared" si="121"/>
        <v>1</v>
      </c>
      <c r="M2955" s="10" t="str">
        <f>IFERROR(_xlfn.XLOOKUP(C2955,[1]StuntDes!$B:$B,[1]StuntDes!$A:$A),"")</f>
        <v/>
      </c>
      <c r="N2955" s="10" t="str">
        <f>IFERROR(_xlfn.XLOOKUP(C2955,[1]ModifierDes!$B:$B,[1]ModifierDes!$A:$A),"")</f>
        <v/>
      </c>
      <c r="O2955" s="10">
        <f>IFERROR(_xlfn.XLOOKUP(C2955,[1]AttributeName!$C:$C,[1]AttributeName!$B:$B),"")</f>
        <v>10001</v>
      </c>
      <c r="P2955" s="10"/>
      <c r="Q2955">
        <v>241</v>
      </c>
      <c r="R2955">
        <v>270</v>
      </c>
      <c r="S2955" cm="1">
        <f t="array" ref="S2955">IFERROR(_xlfn.SWITCH(L2955,1,_xlfn.XLOOKUP(O2955,[1]AttributeName!$B:$B,[1]AttributeName!$D:$D),2,_xlfn.XLOOKUP(C2955,#REF!,#REF!),3,_xlfn.XLOOKUP(C2955,#REF!,#REF!)),0)</f>
        <v>0</v>
      </c>
      <c r="T2955" cm="1">
        <f t="array" ref="T2955">IFERROR(_xlfn.SWITCH(L2955,1,_xlfn.XLOOKUP(O2955,[1]AttributeName!$B:$B,[1]AttributeName!$E:$E),2,_xlfn.XLOOKUP(C2955,#REF!,#REF!),3,_xlfn.XLOOKUP(C2955,#REF!,#REF!)),0)</f>
        <v>1</v>
      </c>
    </row>
    <row r="2956" customFormat="1" spans="1:20">
      <c r="A2956">
        <f t="shared" si="120"/>
        <v>1212</v>
      </c>
      <c r="B2956">
        <v>3</v>
      </c>
      <c r="C2956" t="s">
        <v>389</v>
      </c>
      <c r="D2956" t="s">
        <v>21</v>
      </c>
      <c r="E2956" t="s">
        <v>378</v>
      </c>
      <c r="G2956">
        <v>1</v>
      </c>
      <c r="H2956">
        <v>1000</v>
      </c>
      <c r="J2956" cm="1">
        <f t="array" ref="J2956">_xlfn.SWITCH(B2956,1,75,2,61,3,49,4,37,5,25,6,13,7,4,8,1)</f>
        <v>49</v>
      </c>
      <c r="K2956" t="str" cm="1">
        <f t="array" ref="K2956">IFERROR(_xlfn.SWITCH(L2956,2,_xlfn.XLOOKUP(C2956,[1]ModifierDes!$B:$B,[1]ModifierDes!$C:$C),3,_xlfn.XLOOKUP(C2956,[1]StuntDes!$B:$B,[1]StuntDes!$C:$C)),"")</f>
        <v/>
      </c>
      <c r="L2956">
        <f t="shared" si="121"/>
        <v>1</v>
      </c>
      <c r="M2956" s="10" t="str">
        <f>IFERROR(_xlfn.XLOOKUP(C2956,[1]StuntDes!$B:$B,[1]StuntDes!$A:$A),"")</f>
        <v/>
      </c>
      <c r="N2956" s="10" t="str">
        <f>IFERROR(_xlfn.XLOOKUP(C2956,[1]ModifierDes!$B:$B,[1]ModifierDes!$A:$A),"")</f>
        <v/>
      </c>
      <c r="O2956" s="10">
        <f>IFERROR(_xlfn.XLOOKUP(C2956,[1]AttributeName!$C:$C,[1]AttributeName!$B:$B),"")</f>
        <v>10001</v>
      </c>
      <c r="P2956" s="10"/>
      <c r="Q2956">
        <v>211</v>
      </c>
      <c r="R2956">
        <v>240</v>
      </c>
      <c r="S2956" cm="1">
        <f t="array" ref="S2956">IFERROR(_xlfn.SWITCH(L2956,1,_xlfn.XLOOKUP(O2956,[1]AttributeName!$B:$B,[1]AttributeName!$D:$D),2,_xlfn.XLOOKUP(C2956,#REF!,#REF!),3,_xlfn.XLOOKUP(C2956,#REF!,#REF!)),0)</f>
        <v>0</v>
      </c>
      <c r="T2956" cm="1">
        <f t="array" ref="T2956">IFERROR(_xlfn.SWITCH(L2956,1,_xlfn.XLOOKUP(O2956,[1]AttributeName!$B:$B,[1]AttributeName!$E:$E),2,_xlfn.XLOOKUP(C2956,#REF!,#REF!),3,_xlfn.XLOOKUP(C2956,#REF!,#REF!)),0)</f>
        <v>1</v>
      </c>
    </row>
    <row r="2957" customFormat="1" spans="1:20">
      <c r="A2957">
        <f t="shared" si="120"/>
        <v>1212</v>
      </c>
      <c r="B2957">
        <v>4</v>
      </c>
      <c r="C2957" t="s">
        <v>389</v>
      </c>
      <c r="D2957" t="s">
        <v>21</v>
      </c>
      <c r="E2957" t="s">
        <v>378</v>
      </c>
      <c r="G2957">
        <v>1</v>
      </c>
      <c r="H2957">
        <v>1000</v>
      </c>
      <c r="J2957" cm="1">
        <f t="array" ref="J2957">_xlfn.SWITCH(B2957,1,75,2,61,3,49,4,37,5,25,6,13,7,4,8,1)</f>
        <v>37</v>
      </c>
      <c r="K2957" t="str" cm="1">
        <f t="array" ref="K2957">IFERROR(_xlfn.SWITCH(L2957,2,_xlfn.XLOOKUP(C2957,[1]ModifierDes!$B:$B,[1]ModifierDes!$C:$C),3,_xlfn.XLOOKUP(C2957,[1]StuntDes!$B:$B,[1]StuntDes!$C:$C)),"")</f>
        <v/>
      </c>
      <c r="L2957">
        <f t="shared" si="121"/>
        <v>1</v>
      </c>
      <c r="M2957" s="10" t="str">
        <f>IFERROR(_xlfn.XLOOKUP(C2957,[1]StuntDes!$B:$B,[1]StuntDes!$A:$A),"")</f>
        <v/>
      </c>
      <c r="N2957" s="10" t="str">
        <f>IFERROR(_xlfn.XLOOKUP(C2957,[1]ModifierDes!$B:$B,[1]ModifierDes!$A:$A),"")</f>
        <v/>
      </c>
      <c r="O2957" s="10">
        <f>IFERROR(_xlfn.XLOOKUP(C2957,[1]AttributeName!$C:$C,[1]AttributeName!$B:$B),"")</f>
        <v>10001</v>
      </c>
      <c r="P2957" s="10"/>
      <c r="Q2957">
        <v>181</v>
      </c>
      <c r="R2957">
        <v>210</v>
      </c>
      <c r="S2957" cm="1">
        <f t="array" ref="S2957">IFERROR(_xlfn.SWITCH(L2957,1,_xlfn.XLOOKUP(O2957,[1]AttributeName!$B:$B,[1]AttributeName!$D:$D),2,_xlfn.XLOOKUP(C2957,#REF!,#REF!),3,_xlfn.XLOOKUP(C2957,#REF!,#REF!)),0)</f>
        <v>0</v>
      </c>
      <c r="T2957" cm="1">
        <f t="array" ref="T2957">IFERROR(_xlfn.SWITCH(L2957,1,_xlfn.XLOOKUP(O2957,[1]AttributeName!$B:$B,[1]AttributeName!$E:$E),2,_xlfn.XLOOKUP(C2957,#REF!,#REF!),3,_xlfn.XLOOKUP(C2957,#REF!,#REF!)),0)</f>
        <v>1</v>
      </c>
    </row>
    <row r="2958" customFormat="1" spans="1:20">
      <c r="A2958">
        <f t="shared" si="120"/>
        <v>1212</v>
      </c>
      <c r="B2958">
        <v>5</v>
      </c>
      <c r="C2958" t="s">
        <v>389</v>
      </c>
      <c r="D2958" t="s">
        <v>21</v>
      </c>
      <c r="E2958" t="s">
        <v>378</v>
      </c>
      <c r="G2958">
        <v>1</v>
      </c>
      <c r="H2958">
        <v>1000</v>
      </c>
      <c r="J2958" cm="1">
        <f t="array" ref="J2958">_xlfn.SWITCH(B2958,1,75,2,61,3,49,4,37,5,25,6,13,7,4,8,1)</f>
        <v>25</v>
      </c>
      <c r="K2958" t="str" cm="1">
        <f t="array" ref="K2958">IFERROR(_xlfn.SWITCH(L2958,2,_xlfn.XLOOKUP(C2958,[1]ModifierDes!$B:$B,[1]ModifierDes!$C:$C),3,_xlfn.XLOOKUP(C2958,[1]StuntDes!$B:$B,[1]StuntDes!$C:$C)),"")</f>
        <v/>
      </c>
      <c r="L2958">
        <f t="shared" si="121"/>
        <v>1</v>
      </c>
      <c r="M2958" s="10" t="str">
        <f>IFERROR(_xlfn.XLOOKUP(C2958,[1]StuntDes!$B:$B,[1]StuntDes!$A:$A),"")</f>
        <v/>
      </c>
      <c r="N2958" s="10" t="str">
        <f>IFERROR(_xlfn.XLOOKUP(C2958,[1]ModifierDes!$B:$B,[1]ModifierDes!$A:$A),"")</f>
        <v/>
      </c>
      <c r="O2958" s="10">
        <f>IFERROR(_xlfn.XLOOKUP(C2958,[1]AttributeName!$C:$C,[1]AttributeName!$B:$B),"")</f>
        <v>10001</v>
      </c>
      <c r="P2958" s="10"/>
      <c r="Q2958">
        <v>151</v>
      </c>
      <c r="R2958">
        <v>180</v>
      </c>
      <c r="S2958" cm="1">
        <f t="array" ref="S2958">IFERROR(_xlfn.SWITCH(L2958,1,_xlfn.XLOOKUP(O2958,[1]AttributeName!$B:$B,[1]AttributeName!$D:$D),2,_xlfn.XLOOKUP(C2958,#REF!,#REF!),3,_xlfn.XLOOKUP(C2958,#REF!,#REF!)),0)</f>
        <v>0</v>
      </c>
      <c r="T2958" cm="1">
        <f t="array" ref="T2958">IFERROR(_xlfn.SWITCH(L2958,1,_xlfn.XLOOKUP(O2958,[1]AttributeName!$B:$B,[1]AttributeName!$E:$E),2,_xlfn.XLOOKUP(C2958,#REF!,#REF!),3,_xlfn.XLOOKUP(C2958,#REF!,#REF!)),0)</f>
        <v>1</v>
      </c>
    </row>
    <row r="2959" customFormat="1" spans="1:20">
      <c r="A2959">
        <f t="shared" si="120"/>
        <v>1212</v>
      </c>
      <c r="B2959">
        <v>6</v>
      </c>
      <c r="C2959" t="s">
        <v>389</v>
      </c>
      <c r="D2959" t="s">
        <v>21</v>
      </c>
      <c r="E2959" t="s">
        <v>378</v>
      </c>
      <c r="G2959">
        <v>1</v>
      </c>
      <c r="H2959">
        <v>1000</v>
      </c>
      <c r="J2959" cm="1">
        <f t="array" ref="J2959">_xlfn.SWITCH(B2959,1,75,2,61,3,49,4,37,5,25,6,13,7,4,8,1)</f>
        <v>13</v>
      </c>
      <c r="K2959" t="str" cm="1">
        <f t="array" ref="K2959">IFERROR(_xlfn.SWITCH(L2959,2,_xlfn.XLOOKUP(C2959,[1]ModifierDes!$B:$B,[1]ModifierDes!$C:$C),3,_xlfn.XLOOKUP(C2959,[1]StuntDes!$B:$B,[1]StuntDes!$C:$C)),"")</f>
        <v/>
      </c>
      <c r="L2959">
        <f t="shared" si="121"/>
        <v>1</v>
      </c>
      <c r="M2959" s="10" t="str">
        <f>IFERROR(_xlfn.XLOOKUP(C2959,[1]StuntDes!$B:$B,[1]StuntDes!$A:$A),"")</f>
        <v/>
      </c>
      <c r="N2959" s="10" t="str">
        <f>IFERROR(_xlfn.XLOOKUP(C2959,[1]ModifierDes!$B:$B,[1]ModifierDes!$A:$A),"")</f>
        <v/>
      </c>
      <c r="O2959" s="10">
        <f>IFERROR(_xlfn.XLOOKUP(C2959,[1]AttributeName!$C:$C,[1]AttributeName!$B:$B),"")</f>
        <v>10001</v>
      </c>
      <c r="P2959" s="10"/>
      <c r="Q2959">
        <v>121</v>
      </c>
      <c r="R2959">
        <v>150</v>
      </c>
      <c r="S2959" cm="1">
        <f t="array" ref="S2959">IFERROR(_xlfn.SWITCH(L2959,1,_xlfn.XLOOKUP(O2959,[1]AttributeName!$B:$B,[1]AttributeName!$D:$D),2,_xlfn.XLOOKUP(C2959,#REF!,#REF!),3,_xlfn.XLOOKUP(C2959,#REF!,#REF!)),0)</f>
        <v>0</v>
      </c>
      <c r="T2959" cm="1">
        <f t="array" ref="T2959">IFERROR(_xlfn.SWITCH(L2959,1,_xlfn.XLOOKUP(O2959,[1]AttributeName!$B:$B,[1]AttributeName!$E:$E),2,_xlfn.XLOOKUP(C2959,#REF!,#REF!),3,_xlfn.XLOOKUP(C2959,#REF!,#REF!)),0)</f>
        <v>1</v>
      </c>
    </row>
    <row r="2960" customFormat="1" spans="1:20">
      <c r="A2960">
        <f t="shared" si="120"/>
        <v>1212</v>
      </c>
      <c r="B2960">
        <v>7</v>
      </c>
      <c r="C2960" t="s">
        <v>389</v>
      </c>
      <c r="D2960" t="s">
        <v>21</v>
      </c>
      <c r="E2960" t="s">
        <v>378</v>
      </c>
      <c r="G2960">
        <v>1</v>
      </c>
      <c r="H2960">
        <v>1000</v>
      </c>
      <c r="J2960" cm="1">
        <f t="array" ref="J2960">_xlfn.SWITCH(B2960,1,75,2,61,3,49,4,37,5,25,6,13,7,4,8,1)</f>
        <v>4</v>
      </c>
      <c r="K2960" t="str" cm="1">
        <f t="array" ref="K2960">IFERROR(_xlfn.SWITCH(L2960,2,_xlfn.XLOOKUP(C2960,[1]ModifierDes!$B:$B,[1]ModifierDes!$C:$C),3,_xlfn.XLOOKUP(C2960,[1]StuntDes!$B:$B,[1]StuntDes!$C:$C)),"")</f>
        <v/>
      </c>
      <c r="L2960">
        <f t="shared" si="121"/>
        <v>1</v>
      </c>
      <c r="M2960" s="10" t="str">
        <f>IFERROR(_xlfn.XLOOKUP(C2960,[1]StuntDes!$B:$B,[1]StuntDes!$A:$A),"")</f>
        <v/>
      </c>
      <c r="N2960" s="10" t="str">
        <f>IFERROR(_xlfn.XLOOKUP(C2960,[1]ModifierDes!$B:$B,[1]ModifierDes!$A:$A),"")</f>
        <v/>
      </c>
      <c r="O2960" s="10">
        <f>IFERROR(_xlfn.XLOOKUP(C2960,[1]AttributeName!$C:$C,[1]AttributeName!$B:$B),"")</f>
        <v>10001</v>
      </c>
      <c r="P2960" s="10"/>
      <c r="Q2960">
        <v>91</v>
      </c>
      <c r="R2960">
        <v>120</v>
      </c>
      <c r="S2960" cm="1">
        <f t="array" ref="S2960">IFERROR(_xlfn.SWITCH(L2960,1,_xlfn.XLOOKUP(O2960,[1]AttributeName!$B:$B,[1]AttributeName!$D:$D),2,_xlfn.XLOOKUP(C2960,#REF!,#REF!),3,_xlfn.XLOOKUP(C2960,#REF!,#REF!)),0)</f>
        <v>0</v>
      </c>
      <c r="T2960" cm="1">
        <f t="array" ref="T2960">IFERROR(_xlfn.SWITCH(L2960,1,_xlfn.XLOOKUP(O2960,[1]AttributeName!$B:$B,[1]AttributeName!$E:$E),2,_xlfn.XLOOKUP(C2960,#REF!,#REF!),3,_xlfn.XLOOKUP(C2960,#REF!,#REF!)),0)</f>
        <v>1</v>
      </c>
    </row>
    <row r="2961" customFormat="1" spans="1:20">
      <c r="A2961">
        <f t="shared" si="120"/>
        <v>1212</v>
      </c>
      <c r="B2961">
        <v>8</v>
      </c>
      <c r="C2961" t="s">
        <v>389</v>
      </c>
      <c r="D2961" t="s">
        <v>21</v>
      </c>
      <c r="E2961" t="s">
        <v>378</v>
      </c>
      <c r="G2961">
        <v>1</v>
      </c>
      <c r="H2961">
        <v>1000</v>
      </c>
      <c r="J2961" cm="1">
        <f t="array" ref="J2961">_xlfn.SWITCH(B2961,1,75,2,61,3,49,4,37,5,25,6,13,7,4,8,1)</f>
        <v>1</v>
      </c>
      <c r="K2961" t="str" cm="1">
        <f t="array" ref="K2961">IFERROR(_xlfn.SWITCH(L2961,2,_xlfn.XLOOKUP(C2961,[1]ModifierDes!$B:$B,[1]ModifierDes!$C:$C),3,_xlfn.XLOOKUP(C2961,[1]StuntDes!$B:$B,[1]StuntDes!$C:$C)),"")</f>
        <v/>
      </c>
      <c r="L2961">
        <f t="shared" si="121"/>
        <v>1</v>
      </c>
      <c r="M2961" s="10" t="str">
        <f>IFERROR(_xlfn.XLOOKUP(C2961,[1]StuntDes!$B:$B,[1]StuntDes!$A:$A),"")</f>
        <v/>
      </c>
      <c r="N2961" s="10" t="str">
        <f>IFERROR(_xlfn.XLOOKUP(C2961,[1]ModifierDes!$B:$B,[1]ModifierDes!$A:$A),"")</f>
        <v/>
      </c>
      <c r="O2961" s="10">
        <f>IFERROR(_xlfn.XLOOKUP(C2961,[1]AttributeName!$C:$C,[1]AttributeName!$B:$B),"")</f>
        <v>10001</v>
      </c>
      <c r="P2961" s="10"/>
      <c r="Q2961">
        <v>61</v>
      </c>
      <c r="R2961">
        <v>90</v>
      </c>
      <c r="S2961" cm="1">
        <f t="array" ref="S2961">IFERROR(_xlfn.SWITCH(L2961,1,_xlfn.XLOOKUP(O2961,[1]AttributeName!$B:$B,[1]AttributeName!$D:$D),2,_xlfn.XLOOKUP(C2961,#REF!,#REF!),3,_xlfn.XLOOKUP(C2961,#REF!,#REF!)),0)</f>
        <v>0</v>
      </c>
      <c r="T2961" cm="1">
        <f t="array" ref="T2961">IFERROR(_xlfn.SWITCH(L2961,1,_xlfn.XLOOKUP(O2961,[1]AttributeName!$B:$B,[1]AttributeName!$E:$E),2,_xlfn.XLOOKUP(C2961,#REF!,#REF!),3,_xlfn.XLOOKUP(C2961,#REF!,#REF!)),0)</f>
        <v>1</v>
      </c>
    </row>
    <row r="2962" customFormat="1" spans="1:20">
      <c r="A2962">
        <f t="shared" si="120"/>
        <v>1213</v>
      </c>
      <c r="B2962">
        <v>1</v>
      </c>
      <c r="C2962" t="s">
        <v>390</v>
      </c>
      <c r="D2962" t="s">
        <v>21</v>
      </c>
      <c r="E2962" t="s">
        <v>378</v>
      </c>
      <c r="G2962">
        <v>1</v>
      </c>
      <c r="H2962">
        <v>1000</v>
      </c>
      <c r="J2962" cm="1">
        <f t="array" ref="J2962">_xlfn.SWITCH(B2962,1,75,2,61,3,49,4,37,5,25,6,13,7,4,8,1)</f>
        <v>75</v>
      </c>
      <c r="K2962" t="str" cm="1">
        <f t="array" ref="K2962">IFERROR(_xlfn.SWITCH(L2962,2,_xlfn.XLOOKUP(C2962,[1]ModifierDes!$B:$B,[1]ModifierDes!$C:$C),3,_xlfn.XLOOKUP(C2962,[1]StuntDes!$B:$B,[1]StuntDes!$C:$C)),"")</f>
        <v/>
      </c>
      <c r="L2962">
        <f t="shared" si="121"/>
        <v>1</v>
      </c>
      <c r="M2962" s="10" t="str">
        <f>IFERROR(_xlfn.XLOOKUP(C2962,[1]StuntDes!$B:$B,[1]StuntDes!$A:$A),"")</f>
        <v/>
      </c>
      <c r="N2962" s="10" t="str">
        <f>IFERROR(_xlfn.XLOOKUP(C2962,[1]ModifierDes!$B:$B,[1]ModifierDes!$A:$A),"")</f>
        <v/>
      </c>
      <c r="O2962" s="10">
        <f>IFERROR(_xlfn.XLOOKUP(C2962,[1]AttributeName!$C:$C,[1]AttributeName!$B:$B),"")</f>
        <v>10009</v>
      </c>
      <c r="P2962" s="10"/>
      <c r="Q2962">
        <v>0.36</v>
      </c>
      <c r="R2962">
        <v>0.4</v>
      </c>
      <c r="S2962" cm="1">
        <f t="array" ref="S2962">IFERROR(_xlfn.SWITCH(L2962,1,_xlfn.XLOOKUP(O2962,[1]AttributeName!$B:$B,[1]AttributeName!$D:$D),2,_xlfn.XLOOKUP(C2962,#REF!,#REF!),3,_xlfn.XLOOKUP(C2962,#REF!,#REF!)),0)</f>
        <v>2</v>
      </c>
      <c r="T2962" cm="1">
        <f t="array" ref="T2962">IFERROR(_xlfn.SWITCH(L2962,1,_xlfn.XLOOKUP(O2962,[1]AttributeName!$B:$B,[1]AttributeName!$E:$E),2,_xlfn.XLOOKUP(C2962,#REF!,#REF!),3,_xlfn.XLOOKUP(C2962,#REF!,#REF!)),0)</f>
        <v>2</v>
      </c>
    </row>
    <row r="2963" customFormat="1" spans="1:20">
      <c r="A2963">
        <f t="shared" si="120"/>
        <v>1213</v>
      </c>
      <c r="B2963">
        <v>2</v>
      </c>
      <c r="C2963" t="s">
        <v>390</v>
      </c>
      <c r="D2963" t="s">
        <v>21</v>
      </c>
      <c r="E2963" t="s">
        <v>378</v>
      </c>
      <c r="G2963">
        <v>1</v>
      </c>
      <c r="H2963">
        <v>1000</v>
      </c>
      <c r="J2963" cm="1">
        <f t="array" ref="J2963">_xlfn.SWITCH(B2963,1,75,2,61,3,49,4,37,5,25,6,13,7,4,8,1)</f>
        <v>61</v>
      </c>
      <c r="K2963" t="str" cm="1">
        <f t="array" ref="K2963">IFERROR(_xlfn.SWITCH(L2963,2,_xlfn.XLOOKUP(C2963,[1]ModifierDes!$B:$B,[1]ModifierDes!$C:$C),3,_xlfn.XLOOKUP(C2963,[1]StuntDes!$B:$B,[1]StuntDes!$C:$C)),"")</f>
        <v/>
      </c>
      <c r="L2963">
        <f t="shared" si="121"/>
        <v>1</v>
      </c>
      <c r="M2963" s="10" t="str">
        <f>IFERROR(_xlfn.XLOOKUP(C2963,[1]StuntDes!$B:$B,[1]StuntDes!$A:$A),"")</f>
        <v/>
      </c>
      <c r="N2963" s="10" t="str">
        <f>IFERROR(_xlfn.XLOOKUP(C2963,[1]ModifierDes!$B:$B,[1]ModifierDes!$A:$A),"")</f>
        <v/>
      </c>
      <c r="O2963" s="10">
        <f>IFERROR(_xlfn.XLOOKUP(C2963,[1]AttributeName!$C:$C,[1]AttributeName!$B:$B),"")</f>
        <v>10009</v>
      </c>
      <c r="P2963" s="10"/>
      <c r="Q2963">
        <v>0.31</v>
      </c>
      <c r="R2963">
        <v>0.35</v>
      </c>
      <c r="S2963" cm="1">
        <f t="array" ref="S2963">IFERROR(_xlfn.SWITCH(L2963,1,_xlfn.XLOOKUP(O2963,[1]AttributeName!$B:$B,[1]AttributeName!$D:$D),2,_xlfn.XLOOKUP(C2963,#REF!,#REF!),3,_xlfn.XLOOKUP(C2963,#REF!,#REF!)),0)</f>
        <v>2</v>
      </c>
      <c r="T2963" cm="1">
        <f t="array" ref="T2963">IFERROR(_xlfn.SWITCH(L2963,1,_xlfn.XLOOKUP(O2963,[1]AttributeName!$B:$B,[1]AttributeName!$E:$E),2,_xlfn.XLOOKUP(C2963,#REF!,#REF!),3,_xlfn.XLOOKUP(C2963,#REF!,#REF!)),0)</f>
        <v>2</v>
      </c>
    </row>
    <row r="2964" customFormat="1" spans="1:20">
      <c r="A2964">
        <f t="shared" si="120"/>
        <v>1213</v>
      </c>
      <c r="B2964">
        <v>3</v>
      </c>
      <c r="C2964" t="s">
        <v>390</v>
      </c>
      <c r="D2964" t="s">
        <v>21</v>
      </c>
      <c r="E2964" t="s">
        <v>378</v>
      </c>
      <c r="G2964">
        <v>1</v>
      </c>
      <c r="H2964">
        <v>1000</v>
      </c>
      <c r="J2964" cm="1">
        <f t="array" ref="J2964">_xlfn.SWITCH(B2964,1,75,2,61,3,49,4,37,5,25,6,13,7,4,8,1)</f>
        <v>49</v>
      </c>
      <c r="K2964" t="str" cm="1">
        <f t="array" ref="K2964">IFERROR(_xlfn.SWITCH(L2964,2,_xlfn.XLOOKUP(C2964,[1]ModifierDes!$B:$B,[1]ModifierDes!$C:$C),3,_xlfn.XLOOKUP(C2964,[1]StuntDes!$B:$B,[1]StuntDes!$C:$C)),"")</f>
        <v/>
      </c>
      <c r="L2964">
        <f t="shared" si="121"/>
        <v>1</v>
      </c>
      <c r="M2964" s="10" t="str">
        <f>IFERROR(_xlfn.XLOOKUP(C2964,[1]StuntDes!$B:$B,[1]StuntDes!$A:$A),"")</f>
        <v/>
      </c>
      <c r="N2964" s="10" t="str">
        <f>IFERROR(_xlfn.XLOOKUP(C2964,[1]ModifierDes!$B:$B,[1]ModifierDes!$A:$A),"")</f>
        <v/>
      </c>
      <c r="O2964" s="10">
        <f>IFERROR(_xlfn.XLOOKUP(C2964,[1]AttributeName!$C:$C,[1]AttributeName!$B:$B),"")</f>
        <v>10009</v>
      </c>
      <c r="P2964" s="10"/>
      <c r="Q2964">
        <v>0.26</v>
      </c>
      <c r="R2964">
        <v>0.3</v>
      </c>
      <c r="S2964" cm="1">
        <f t="array" ref="S2964">IFERROR(_xlfn.SWITCH(L2964,1,_xlfn.XLOOKUP(O2964,[1]AttributeName!$B:$B,[1]AttributeName!$D:$D),2,_xlfn.XLOOKUP(C2964,#REF!,#REF!),3,_xlfn.XLOOKUP(C2964,#REF!,#REF!)),0)</f>
        <v>2</v>
      </c>
      <c r="T2964" cm="1">
        <f t="array" ref="T2964">IFERROR(_xlfn.SWITCH(L2964,1,_xlfn.XLOOKUP(O2964,[1]AttributeName!$B:$B,[1]AttributeName!$E:$E),2,_xlfn.XLOOKUP(C2964,#REF!,#REF!),3,_xlfn.XLOOKUP(C2964,#REF!,#REF!)),0)</f>
        <v>2</v>
      </c>
    </row>
    <row r="2965" customFormat="1" spans="1:20">
      <c r="A2965">
        <f t="shared" si="120"/>
        <v>1213</v>
      </c>
      <c r="B2965">
        <v>4</v>
      </c>
      <c r="C2965" t="s">
        <v>390</v>
      </c>
      <c r="D2965" t="s">
        <v>21</v>
      </c>
      <c r="E2965" t="s">
        <v>378</v>
      </c>
      <c r="G2965">
        <v>1</v>
      </c>
      <c r="H2965">
        <v>1000</v>
      </c>
      <c r="J2965" cm="1">
        <f t="array" ref="J2965">_xlfn.SWITCH(B2965,1,75,2,61,3,49,4,37,5,25,6,13,7,4,8,1)</f>
        <v>37</v>
      </c>
      <c r="K2965" t="str" cm="1">
        <f t="array" ref="K2965">IFERROR(_xlfn.SWITCH(L2965,2,_xlfn.XLOOKUP(C2965,[1]ModifierDes!$B:$B,[1]ModifierDes!$C:$C),3,_xlfn.XLOOKUP(C2965,[1]StuntDes!$B:$B,[1]StuntDes!$C:$C)),"")</f>
        <v/>
      </c>
      <c r="L2965">
        <f t="shared" si="121"/>
        <v>1</v>
      </c>
      <c r="M2965" s="10" t="str">
        <f>IFERROR(_xlfn.XLOOKUP(C2965,[1]StuntDes!$B:$B,[1]StuntDes!$A:$A),"")</f>
        <v/>
      </c>
      <c r="N2965" s="10" t="str">
        <f>IFERROR(_xlfn.XLOOKUP(C2965,[1]ModifierDes!$B:$B,[1]ModifierDes!$A:$A),"")</f>
        <v/>
      </c>
      <c r="O2965" s="10">
        <f>IFERROR(_xlfn.XLOOKUP(C2965,[1]AttributeName!$C:$C,[1]AttributeName!$B:$B),"")</f>
        <v>10009</v>
      </c>
      <c r="P2965" s="10"/>
      <c r="Q2965">
        <v>0.21</v>
      </c>
      <c r="R2965">
        <v>0.25</v>
      </c>
      <c r="S2965" cm="1">
        <f t="array" ref="S2965">IFERROR(_xlfn.SWITCH(L2965,1,_xlfn.XLOOKUP(O2965,[1]AttributeName!$B:$B,[1]AttributeName!$D:$D),2,_xlfn.XLOOKUP(C2965,#REF!,#REF!),3,_xlfn.XLOOKUP(C2965,#REF!,#REF!)),0)</f>
        <v>2</v>
      </c>
      <c r="T2965" cm="1">
        <f t="array" ref="T2965">IFERROR(_xlfn.SWITCH(L2965,1,_xlfn.XLOOKUP(O2965,[1]AttributeName!$B:$B,[1]AttributeName!$E:$E),2,_xlfn.XLOOKUP(C2965,#REF!,#REF!),3,_xlfn.XLOOKUP(C2965,#REF!,#REF!)),0)</f>
        <v>2</v>
      </c>
    </row>
    <row r="2966" customFormat="1" spans="1:20">
      <c r="A2966">
        <f t="shared" si="120"/>
        <v>1213</v>
      </c>
      <c r="B2966">
        <v>5</v>
      </c>
      <c r="C2966" t="s">
        <v>390</v>
      </c>
      <c r="D2966" t="s">
        <v>21</v>
      </c>
      <c r="E2966" t="s">
        <v>378</v>
      </c>
      <c r="G2966">
        <v>1</v>
      </c>
      <c r="H2966">
        <v>1000</v>
      </c>
      <c r="J2966" cm="1">
        <f t="array" ref="J2966">_xlfn.SWITCH(B2966,1,75,2,61,3,49,4,37,5,25,6,13,7,4,8,1)</f>
        <v>25</v>
      </c>
      <c r="K2966" t="str" cm="1">
        <f t="array" ref="K2966">IFERROR(_xlfn.SWITCH(L2966,2,_xlfn.XLOOKUP(C2966,[1]ModifierDes!$B:$B,[1]ModifierDes!$C:$C),3,_xlfn.XLOOKUP(C2966,[1]StuntDes!$B:$B,[1]StuntDes!$C:$C)),"")</f>
        <v/>
      </c>
      <c r="L2966">
        <f t="shared" si="121"/>
        <v>1</v>
      </c>
      <c r="M2966" s="10" t="str">
        <f>IFERROR(_xlfn.XLOOKUP(C2966,[1]StuntDes!$B:$B,[1]StuntDes!$A:$A),"")</f>
        <v/>
      </c>
      <c r="N2966" s="10" t="str">
        <f>IFERROR(_xlfn.XLOOKUP(C2966,[1]ModifierDes!$B:$B,[1]ModifierDes!$A:$A),"")</f>
        <v/>
      </c>
      <c r="O2966" s="10">
        <f>IFERROR(_xlfn.XLOOKUP(C2966,[1]AttributeName!$C:$C,[1]AttributeName!$B:$B),"")</f>
        <v>10009</v>
      </c>
      <c r="P2966" s="10"/>
      <c r="Q2966">
        <v>0.16</v>
      </c>
      <c r="R2966">
        <v>0.2</v>
      </c>
      <c r="S2966" cm="1">
        <f t="array" ref="S2966">IFERROR(_xlfn.SWITCH(L2966,1,_xlfn.XLOOKUP(O2966,[1]AttributeName!$B:$B,[1]AttributeName!$D:$D),2,_xlfn.XLOOKUP(C2966,#REF!,#REF!),3,_xlfn.XLOOKUP(C2966,#REF!,#REF!)),0)</f>
        <v>2</v>
      </c>
      <c r="T2966" cm="1">
        <f t="array" ref="T2966">IFERROR(_xlfn.SWITCH(L2966,1,_xlfn.XLOOKUP(O2966,[1]AttributeName!$B:$B,[1]AttributeName!$E:$E),2,_xlfn.XLOOKUP(C2966,#REF!,#REF!),3,_xlfn.XLOOKUP(C2966,#REF!,#REF!)),0)</f>
        <v>2</v>
      </c>
    </row>
    <row r="2967" customFormat="1" spans="1:20">
      <c r="A2967">
        <f t="shared" si="120"/>
        <v>1213</v>
      </c>
      <c r="B2967">
        <v>6</v>
      </c>
      <c r="C2967" t="s">
        <v>390</v>
      </c>
      <c r="D2967" t="s">
        <v>21</v>
      </c>
      <c r="E2967" t="s">
        <v>378</v>
      </c>
      <c r="G2967">
        <v>1</v>
      </c>
      <c r="H2967">
        <v>1000</v>
      </c>
      <c r="J2967" cm="1">
        <f t="array" ref="J2967">_xlfn.SWITCH(B2967,1,75,2,61,3,49,4,37,5,25,6,13,7,4,8,1)</f>
        <v>13</v>
      </c>
      <c r="K2967" t="str" cm="1">
        <f t="array" ref="K2967">IFERROR(_xlfn.SWITCH(L2967,2,_xlfn.XLOOKUP(C2967,[1]ModifierDes!$B:$B,[1]ModifierDes!$C:$C),3,_xlfn.XLOOKUP(C2967,[1]StuntDes!$B:$B,[1]StuntDes!$C:$C)),"")</f>
        <v/>
      </c>
      <c r="L2967">
        <f t="shared" si="121"/>
        <v>1</v>
      </c>
      <c r="M2967" s="10" t="str">
        <f>IFERROR(_xlfn.XLOOKUP(C2967,[1]StuntDes!$B:$B,[1]StuntDes!$A:$A),"")</f>
        <v/>
      </c>
      <c r="N2967" s="10" t="str">
        <f>IFERROR(_xlfn.XLOOKUP(C2967,[1]ModifierDes!$B:$B,[1]ModifierDes!$A:$A),"")</f>
        <v/>
      </c>
      <c r="O2967" s="10">
        <f>IFERROR(_xlfn.XLOOKUP(C2967,[1]AttributeName!$C:$C,[1]AttributeName!$B:$B),"")</f>
        <v>10009</v>
      </c>
      <c r="P2967" s="10"/>
      <c r="Q2967">
        <v>0.11</v>
      </c>
      <c r="R2967">
        <v>0.15</v>
      </c>
      <c r="S2967" cm="1">
        <f t="array" ref="S2967">IFERROR(_xlfn.SWITCH(L2967,1,_xlfn.XLOOKUP(O2967,[1]AttributeName!$B:$B,[1]AttributeName!$D:$D),2,_xlfn.XLOOKUP(C2967,#REF!,#REF!),3,_xlfn.XLOOKUP(C2967,#REF!,#REF!)),0)</f>
        <v>2</v>
      </c>
      <c r="T2967" cm="1">
        <f t="array" ref="T2967">IFERROR(_xlfn.SWITCH(L2967,1,_xlfn.XLOOKUP(O2967,[1]AttributeName!$B:$B,[1]AttributeName!$E:$E),2,_xlfn.XLOOKUP(C2967,#REF!,#REF!),3,_xlfn.XLOOKUP(C2967,#REF!,#REF!)),0)</f>
        <v>2</v>
      </c>
    </row>
    <row r="2968" customFormat="1" spans="1:20">
      <c r="A2968">
        <f t="shared" si="120"/>
        <v>1213</v>
      </c>
      <c r="B2968">
        <v>7</v>
      </c>
      <c r="C2968" t="s">
        <v>390</v>
      </c>
      <c r="D2968" t="s">
        <v>21</v>
      </c>
      <c r="E2968" t="s">
        <v>378</v>
      </c>
      <c r="G2968">
        <v>1</v>
      </c>
      <c r="H2968">
        <v>1000</v>
      </c>
      <c r="J2968" cm="1">
        <f t="array" ref="J2968">_xlfn.SWITCH(B2968,1,75,2,61,3,49,4,37,5,25,6,13,7,4,8,1)</f>
        <v>4</v>
      </c>
      <c r="K2968" t="str" cm="1">
        <f t="array" ref="K2968">IFERROR(_xlfn.SWITCH(L2968,2,_xlfn.XLOOKUP(C2968,[1]ModifierDes!$B:$B,[1]ModifierDes!$C:$C),3,_xlfn.XLOOKUP(C2968,[1]StuntDes!$B:$B,[1]StuntDes!$C:$C)),"")</f>
        <v/>
      </c>
      <c r="L2968">
        <f t="shared" si="121"/>
        <v>1</v>
      </c>
      <c r="M2968" s="10" t="str">
        <f>IFERROR(_xlfn.XLOOKUP(C2968,[1]StuntDes!$B:$B,[1]StuntDes!$A:$A),"")</f>
        <v/>
      </c>
      <c r="N2968" s="10" t="str">
        <f>IFERROR(_xlfn.XLOOKUP(C2968,[1]ModifierDes!$B:$B,[1]ModifierDes!$A:$A),"")</f>
        <v/>
      </c>
      <c r="O2968" s="10">
        <f>IFERROR(_xlfn.XLOOKUP(C2968,[1]AttributeName!$C:$C,[1]AttributeName!$B:$B),"")</f>
        <v>10009</v>
      </c>
      <c r="P2968" s="10"/>
      <c r="Q2968">
        <v>0.05</v>
      </c>
      <c r="R2968">
        <v>0.1</v>
      </c>
      <c r="S2968" cm="1">
        <f t="array" ref="S2968">IFERROR(_xlfn.SWITCH(L2968,1,_xlfn.XLOOKUP(O2968,[1]AttributeName!$B:$B,[1]AttributeName!$D:$D),2,_xlfn.XLOOKUP(C2968,#REF!,#REF!),3,_xlfn.XLOOKUP(C2968,#REF!,#REF!)),0)</f>
        <v>2</v>
      </c>
      <c r="T2968" cm="1">
        <f t="array" ref="T2968">IFERROR(_xlfn.SWITCH(L2968,1,_xlfn.XLOOKUP(O2968,[1]AttributeName!$B:$B,[1]AttributeName!$E:$E),2,_xlfn.XLOOKUP(C2968,#REF!,#REF!),3,_xlfn.XLOOKUP(C2968,#REF!,#REF!)),0)</f>
        <v>2</v>
      </c>
    </row>
    <row r="2969" customFormat="1" spans="1:20">
      <c r="A2969">
        <f t="shared" si="120"/>
        <v>1213</v>
      </c>
      <c r="B2969">
        <v>8</v>
      </c>
      <c r="C2969" t="s">
        <v>390</v>
      </c>
      <c r="D2969" t="s">
        <v>21</v>
      </c>
      <c r="E2969" t="s">
        <v>378</v>
      </c>
      <c r="G2969">
        <v>1</v>
      </c>
      <c r="H2969">
        <v>1000</v>
      </c>
      <c r="J2969" cm="1">
        <f t="array" ref="J2969">_xlfn.SWITCH(B2969,1,75,2,61,3,49,4,37,5,25,6,13,7,4,8,1)</f>
        <v>1</v>
      </c>
      <c r="K2969" t="str" cm="1">
        <f t="array" ref="K2969">IFERROR(_xlfn.SWITCH(L2969,2,_xlfn.XLOOKUP(C2969,[1]ModifierDes!$B:$B,[1]ModifierDes!$C:$C),3,_xlfn.XLOOKUP(C2969,[1]StuntDes!$B:$B,[1]StuntDes!$C:$C)),"")</f>
        <v/>
      </c>
      <c r="L2969">
        <f t="shared" si="121"/>
        <v>1</v>
      </c>
      <c r="M2969" s="10" t="str">
        <f>IFERROR(_xlfn.XLOOKUP(C2969,[1]StuntDes!$B:$B,[1]StuntDes!$A:$A),"")</f>
        <v/>
      </c>
      <c r="N2969" s="10" t="str">
        <f>IFERROR(_xlfn.XLOOKUP(C2969,[1]ModifierDes!$B:$B,[1]ModifierDes!$A:$A),"")</f>
        <v/>
      </c>
      <c r="O2969" s="10">
        <f>IFERROR(_xlfn.XLOOKUP(C2969,[1]AttributeName!$C:$C,[1]AttributeName!$B:$B),"")</f>
        <v>10009</v>
      </c>
      <c r="P2969" s="10"/>
      <c r="Q2969">
        <v>0.03</v>
      </c>
      <c r="R2969">
        <v>0.04</v>
      </c>
      <c r="S2969" cm="1">
        <f t="array" ref="S2969">IFERROR(_xlfn.SWITCH(L2969,1,_xlfn.XLOOKUP(O2969,[1]AttributeName!$B:$B,[1]AttributeName!$D:$D),2,_xlfn.XLOOKUP(C2969,#REF!,#REF!),3,_xlfn.XLOOKUP(C2969,#REF!,#REF!)),0)</f>
        <v>2</v>
      </c>
      <c r="T2969" cm="1">
        <f t="array" ref="T2969">IFERROR(_xlfn.SWITCH(L2969,1,_xlfn.XLOOKUP(O2969,[1]AttributeName!$B:$B,[1]AttributeName!$E:$E),2,_xlfn.XLOOKUP(C2969,#REF!,#REF!),3,_xlfn.XLOOKUP(C2969,#REF!,#REF!)),0)</f>
        <v>2</v>
      </c>
    </row>
    <row r="2970" customFormat="1" spans="1:20">
      <c r="A2970">
        <v>1251</v>
      </c>
      <c r="B2970">
        <v>1</v>
      </c>
      <c r="C2970" t="s">
        <v>391</v>
      </c>
      <c r="D2970" t="s">
        <v>21</v>
      </c>
      <c r="E2970" s="13" t="s">
        <v>392</v>
      </c>
      <c r="G2970">
        <v>2</v>
      </c>
      <c r="H2970">
        <v>1000</v>
      </c>
      <c r="J2970" cm="1">
        <f t="array" ref="J2970">_xlfn.SWITCH(B2970,1,75,2,61,3,49,4,37,5,25,6,13,7,4,8,1)</f>
        <v>75</v>
      </c>
      <c r="K2970" t="str" cm="1">
        <f t="array" ref="K2970">IFERROR(_xlfn.SWITCH(L2970,2,_xlfn.XLOOKUP(C2970,[1]ModifierDes!$B:$B,[1]ModifierDes!$C:$C),3,_xlfn.XLOOKUP(C2970,[1]StuntDes!$B:$B,[1]StuntDes!$C:$C)),"")</f>
        <v>魔力回复率提高{0}</v>
      </c>
      <c r="L2970">
        <f t="shared" si="121"/>
        <v>2</v>
      </c>
      <c r="M2970" s="10" t="str">
        <f>IFERROR(_xlfn.XLOOKUP(C2970,[1]StuntDes!$B:$B,[1]StuntDes!$A:$A),"")</f>
        <v/>
      </c>
      <c r="N2970" s="10">
        <f>IFERROR(_xlfn.XLOOKUP(C2970,[1]ModifierDes!$B:$B,[1]ModifierDes!$A:$A),"")</f>
        <v>10116</v>
      </c>
      <c r="O2970" s="10" t="str">
        <f>IFERROR(_xlfn.XLOOKUP(C2970,[1]AttributeName!$C:$C,[1]AttributeName!$B:$B),"")</f>
        <v/>
      </c>
      <c r="P2970" s="10"/>
      <c r="Q2970">
        <v>0.36</v>
      </c>
      <c r="R2970">
        <v>0.4</v>
      </c>
      <c r="S2970" cm="1">
        <f t="array" ref="S2970">IFERROR(_xlfn.SWITCH(L2970,1,_xlfn.XLOOKUP(O2970,[1]AttributeName!$B:$B,[1]AttributeName!$D:$D),2,_xlfn.XLOOKUP(C2970,#REF!,#REF!),3,_xlfn.XLOOKUP(C2970,#REF!,#REF!)),0)</f>
        <v>0</v>
      </c>
      <c r="T2970" cm="1">
        <f t="array" ref="T2970">IFERROR(_xlfn.SWITCH(L2970,1,_xlfn.XLOOKUP(O2970,[1]AttributeName!$B:$B,[1]AttributeName!$E:$E),2,_xlfn.XLOOKUP(C2970,#REF!,#REF!),3,_xlfn.XLOOKUP(C2970,#REF!,#REF!)),0)</f>
        <v>0</v>
      </c>
    </row>
    <row r="2971" customFormat="1" spans="1:20">
      <c r="A2971">
        <v>1251</v>
      </c>
      <c r="B2971">
        <v>2</v>
      </c>
      <c r="C2971" t="s">
        <v>391</v>
      </c>
      <c r="D2971" t="s">
        <v>21</v>
      </c>
      <c r="E2971" s="13" t="s">
        <v>392</v>
      </c>
      <c r="G2971">
        <v>2</v>
      </c>
      <c r="H2971">
        <v>1000</v>
      </c>
      <c r="J2971" cm="1">
        <f t="array" ref="J2971">_xlfn.SWITCH(B2971,1,75,2,61,3,49,4,37,5,25,6,13,7,4,8,1)</f>
        <v>61</v>
      </c>
      <c r="K2971" t="str" cm="1">
        <f t="array" ref="K2971">IFERROR(_xlfn.SWITCH(L2971,2,_xlfn.XLOOKUP(C2971,[1]ModifierDes!$B:$B,[1]ModifierDes!$C:$C),3,_xlfn.XLOOKUP(C2971,[1]StuntDes!$B:$B,[1]StuntDes!$C:$C)),"")</f>
        <v>魔力回复率提高{0}</v>
      </c>
      <c r="L2971">
        <f t="shared" si="121"/>
        <v>2</v>
      </c>
      <c r="M2971" s="10" t="str">
        <f>IFERROR(_xlfn.XLOOKUP(C2971,[1]StuntDes!$B:$B,[1]StuntDes!$A:$A),"")</f>
        <v/>
      </c>
      <c r="N2971" s="10">
        <f>IFERROR(_xlfn.XLOOKUP(C2971,[1]ModifierDes!$B:$B,[1]ModifierDes!$A:$A),"")</f>
        <v>10116</v>
      </c>
      <c r="O2971" s="10" t="str">
        <f>IFERROR(_xlfn.XLOOKUP(C2971,[1]AttributeName!$C:$C,[1]AttributeName!$B:$B),"")</f>
        <v/>
      </c>
      <c r="P2971" s="10"/>
      <c r="Q2971">
        <v>0.31</v>
      </c>
      <c r="R2971">
        <v>0.35</v>
      </c>
      <c r="S2971" cm="1">
        <f t="array" ref="S2971">IFERROR(_xlfn.SWITCH(L2971,1,_xlfn.XLOOKUP(O2971,[1]AttributeName!$B:$B,[1]AttributeName!$D:$D),2,_xlfn.XLOOKUP(C2971,#REF!,#REF!),3,_xlfn.XLOOKUP(C2971,#REF!,#REF!)),0)</f>
        <v>0</v>
      </c>
      <c r="T2971" cm="1">
        <f t="array" ref="T2971">IFERROR(_xlfn.SWITCH(L2971,1,_xlfn.XLOOKUP(O2971,[1]AttributeName!$B:$B,[1]AttributeName!$E:$E),2,_xlfn.XLOOKUP(C2971,#REF!,#REF!),3,_xlfn.XLOOKUP(C2971,#REF!,#REF!)),0)</f>
        <v>0</v>
      </c>
    </row>
    <row r="2972" customFormat="1" spans="1:20">
      <c r="A2972">
        <v>1251</v>
      </c>
      <c r="B2972">
        <v>3</v>
      </c>
      <c r="C2972" t="s">
        <v>391</v>
      </c>
      <c r="D2972" t="s">
        <v>21</v>
      </c>
      <c r="E2972" s="13" t="s">
        <v>392</v>
      </c>
      <c r="G2972">
        <v>2</v>
      </c>
      <c r="H2972">
        <v>1000</v>
      </c>
      <c r="J2972" cm="1">
        <f t="array" ref="J2972">_xlfn.SWITCH(B2972,1,75,2,61,3,49,4,37,5,25,6,13,7,4,8,1)</f>
        <v>49</v>
      </c>
      <c r="K2972" t="str" cm="1">
        <f t="array" ref="K2972">IFERROR(_xlfn.SWITCH(L2972,2,_xlfn.XLOOKUP(C2972,[1]ModifierDes!$B:$B,[1]ModifierDes!$C:$C),3,_xlfn.XLOOKUP(C2972,[1]StuntDes!$B:$B,[1]StuntDes!$C:$C)),"")</f>
        <v>魔力回复率提高{0}</v>
      </c>
      <c r="L2972">
        <f t="shared" si="121"/>
        <v>2</v>
      </c>
      <c r="M2972" s="10" t="str">
        <f>IFERROR(_xlfn.XLOOKUP(C2972,[1]StuntDes!$B:$B,[1]StuntDes!$A:$A),"")</f>
        <v/>
      </c>
      <c r="N2972" s="10">
        <f>IFERROR(_xlfn.XLOOKUP(C2972,[1]ModifierDes!$B:$B,[1]ModifierDes!$A:$A),"")</f>
        <v>10116</v>
      </c>
      <c r="O2972" s="10" t="str">
        <f>IFERROR(_xlfn.XLOOKUP(C2972,[1]AttributeName!$C:$C,[1]AttributeName!$B:$B),"")</f>
        <v/>
      </c>
      <c r="P2972" s="10"/>
      <c r="Q2972">
        <v>0.26</v>
      </c>
      <c r="R2972">
        <v>0.3</v>
      </c>
      <c r="S2972" cm="1">
        <f t="array" ref="S2972">IFERROR(_xlfn.SWITCH(L2972,1,_xlfn.XLOOKUP(O2972,[1]AttributeName!$B:$B,[1]AttributeName!$D:$D),2,_xlfn.XLOOKUP(C2972,#REF!,#REF!),3,_xlfn.XLOOKUP(C2972,#REF!,#REF!)),0)</f>
        <v>0</v>
      </c>
      <c r="T2972" cm="1">
        <f t="array" ref="T2972">IFERROR(_xlfn.SWITCH(L2972,1,_xlfn.XLOOKUP(O2972,[1]AttributeName!$B:$B,[1]AttributeName!$E:$E),2,_xlfn.XLOOKUP(C2972,#REF!,#REF!),3,_xlfn.XLOOKUP(C2972,#REF!,#REF!)),0)</f>
        <v>0</v>
      </c>
    </row>
    <row r="2973" customFormat="1" spans="1:20">
      <c r="A2973">
        <v>1251</v>
      </c>
      <c r="B2973">
        <v>4</v>
      </c>
      <c r="C2973" t="s">
        <v>391</v>
      </c>
      <c r="D2973" t="s">
        <v>21</v>
      </c>
      <c r="E2973" s="13" t="s">
        <v>392</v>
      </c>
      <c r="G2973">
        <v>2</v>
      </c>
      <c r="H2973">
        <v>1000</v>
      </c>
      <c r="J2973" cm="1">
        <f t="array" ref="J2973">_xlfn.SWITCH(B2973,1,75,2,61,3,49,4,37,5,25,6,13,7,4,8,1)</f>
        <v>37</v>
      </c>
      <c r="K2973" t="str" cm="1">
        <f t="array" ref="K2973">IFERROR(_xlfn.SWITCH(L2973,2,_xlfn.XLOOKUP(C2973,[1]ModifierDes!$B:$B,[1]ModifierDes!$C:$C),3,_xlfn.XLOOKUP(C2973,[1]StuntDes!$B:$B,[1]StuntDes!$C:$C)),"")</f>
        <v>魔力回复率提高{0}</v>
      </c>
      <c r="L2973">
        <f t="shared" si="121"/>
        <v>2</v>
      </c>
      <c r="M2973" s="10" t="str">
        <f>IFERROR(_xlfn.XLOOKUP(C2973,[1]StuntDes!$B:$B,[1]StuntDes!$A:$A),"")</f>
        <v/>
      </c>
      <c r="N2973" s="10">
        <f>IFERROR(_xlfn.XLOOKUP(C2973,[1]ModifierDes!$B:$B,[1]ModifierDes!$A:$A),"")</f>
        <v>10116</v>
      </c>
      <c r="O2973" s="10" t="str">
        <f>IFERROR(_xlfn.XLOOKUP(C2973,[1]AttributeName!$C:$C,[1]AttributeName!$B:$B),"")</f>
        <v/>
      </c>
      <c r="P2973" s="10"/>
      <c r="Q2973">
        <v>0.21</v>
      </c>
      <c r="R2973">
        <v>0.25</v>
      </c>
      <c r="S2973" cm="1">
        <f t="array" ref="S2973">IFERROR(_xlfn.SWITCH(L2973,1,_xlfn.XLOOKUP(O2973,[1]AttributeName!$B:$B,[1]AttributeName!$D:$D),2,_xlfn.XLOOKUP(C2973,#REF!,#REF!),3,_xlfn.XLOOKUP(C2973,#REF!,#REF!)),0)</f>
        <v>0</v>
      </c>
      <c r="T2973" cm="1">
        <f t="array" ref="T2973">IFERROR(_xlfn.SWITCH(L2973,1,_xlfn.XLOOKUP(O2973,[1]AttributeName!$B:$B,[1]AttributeName!$E:$E),2,_xlfn.XLOOKUP(C2973,#REF!,#REF!),3,_xlfn.XLOOKUP(C2973,#REF!,#REF!)),0)</f>
        <v>0</v>
      </c>
    </row>
    <row r="2974" customFormat="1" spans="1:20">
      <c r="A2974">
        <v>1251</v>
      </c>
      <c r="B2974">
        <v>5</v>
      </c>
      <c r="C2974" t="s">
        <v>391</v>
      </c>
      <c r="D2974" t="s">
        <v>21</v>
      </c>
      <c r="E2974" s="13" t="s">
        <v>392</v>
      </c>
      <c r="G2974">
        <v>2</v>
      </c>
      <c r="H2974">
        <v>1000</v>
      </c>
      <c r="J2974" cm="1">
        <f t="array" ref="J2974">_xlfn.SWITCH(B2974,1,75,2,61,3,49,4,37,5,25,6,13,7,4,8,1)</f>
        <v>25</v>
      </c>
      <c r="K2974" t="str" cm="1">
        <f t="array" ref="K2974">IFERROR(_xlfn.SWITCH(L2974,2,_xlfn.XLOOKUP(C2974,[1]ModifierDes!$B:$B,[1]ModifierDes!$C:$C),3,_xlfn.XLOOKUP(C2974,[1]StuntDes!$B:$B,[1]StuntDes!$C:$C)),"")</f>
        <v>魔力回复率提高{0}</v>
      </c>
      <c r="L2974">
        <f t="shared" si="121"/>
        <v>2</v>
      </c>
      <c r="M2974" s="10" t="str">
        <f>IFERROR(_xlfn.XLOOKUP(C2974,[1]StuntDes!$B:$B,[1]StuntDes!$A:$A),"")</f>
        <v/>
      </c>
      <c r="N2974" s="10">
        <f>IFERROR(_xlfn.XLOOKUP(C2974,[1]ModifierDes!$B:$B,[1]ModifierDes!$A:$A),"")</f>
        <v>10116</v>
      </c>
      <c r="O2974" s="10" t="str">
        <f>IFERROR(_xlfn.XLOOKUP(C2974,[1]AttributeName!$C:$C,[1]AttributeName!$B:$B),"")</f>
        <v/>
      </c>
      <c r="P2974" s="10"/>
      <c r="Q2974">
        <v>0.16</v>
      </c>
      <c r="R2974">
        <v>0.2</v>
      </c>
      <c r="S2974" cm="1">
        <f t="array" ref="S2974">IFERROR(_xlfn.SWITCH(L2974,1,_xlfn.XLOOKUP(O2974,[1]AttributeName!$B:$B,[1]AttributeName!$D:$D),2,_xlfn.XLOOKUP(C2974,#REF!,#REF!),3,_xlfn.XLOOKUP(C2974,#REF!,#REF!)),0)</f>
        <v>0</v>
      </c>
      <c r="T2974" cm="1">
        <f t="array" ref="T2974">IFERROR(_xlfn.SWITCH(L2974,1,_xlfn.XLOOKUP(O2974,[1]AttributeName!$B:$B,[1]AttributeName!$E:$E),2,_xlfn.XLOOKUP(C2974,#REF!,#REF!),3,_xlfn.XLOOKUP(C2974,#REF!,#REF!)),0)</f>
        <v>0</v>
      </c>
    </row>
    <row r="2975" customFormat="1" spans="1:20">
      <c r="A2975">
        <v>1251</v>
      </c>
      <c r="B2975">
        <v>6</v>
      </c>
      <c r="C2975" t="s">
        <v>391</v>
      </c>
      <c r="D2975" t="s">
        <v>21</v>
      </c>
      <c r="E2975" s="13" t="s">
        <v>392</v>
      </c>
      <c r="G2975">
        <v>2</v>
      </c>
      <c r="H2975">
        <v>1000</v>
      </c>
      <c r="J2975" cm="1">
        <f t="array" ref="J2975">_xlfn.SWITCH(B2975,1,75,2,61,3,49,4,37,5,25,6,13,7,4,8,1)</f>
        <v>13</v>
      </c>
      <c r="K2975" t="str" cm="1">
        <f t="array" ref="K2975">IFERROR(_xlfn.SWITCH(L2975,2,_xlfn.XLOOKUP(C2975,[1]ModifierDes!$B:$B,[1]ModifierDes!$C:$C),3,_xlfn.XLOOKUP(C2975,[1]StuntDes!$B:$B,[1]StuntDes!$C:$C)),"")</f>
        <v>魔力回复率提高{0}</v>
      </c>
      <c r="L2975">
        <f t="shared" si="121"/>
        <v>2</v>
      </c>
      <c r="M2975" s="10" t="str">
        <f>IFERROR(_xlfn.XLOOKUP(C2975,[1]StuntDes!$B:$B,[1]StuntDes!$A:$A),"")</f>
        <v/>
      </c>
      <c r="N2975" s="10">
        <f>IFERROR(_xlfn.XLOOKUP(C2975,[1]ModifierDes!$B:$B,[1]ModifierDes!$A:$A),"")</f>
        <v>10116</v>
      </c>
      <c r="O2975" s="10" t="str">
        <f>IFERROR(_xlfn.XLOOKUP(C2975,[1]AttributeName!$C:$C,[1]AttributeName!$B:$B),"")</f>
        <v/>
      </c>
      <c r="P2975" s="10"/>
      <c r="Q2975">
        <v>0.11</v>
      </c>
      <c r="R2975">
        <v>0.15</v>
      </c>
      <c r="S2975" cm="1">
        <f t="array" ref="S2975">IFERROR(_xlfn.SWITCH(L2975,1,_xlfn.XLOOKUP(O2975,[1]AttributeName!$B:$B,[1]AttributeName!$D:$D),2,_xlfn.XLOOKUP(C2975,#REF!,#REF!),3,_xlfn.XLOOKUP(C2975,#REF!,#REF!)),0)</f>
        <v>0</v>
      </c>
      <c r="T2975" cm="1">
        <f t="array" ref="T2975">IFERROR(_xlfn.SWITCH(L2975,1,_xlfn.XLOOKUP(O2975,[1]AttributeName!$B:$B,[1]AttributeName!$E:$E),2,_xlfn.XLOOKUP(C2975,#REF!,#REF!),3,_xlfn.XLOOKUP(C2975,#REF!,#REF!)),0)</f>
        <v>0</v>
      </c>
    </row>
    <row r="2976" customFormat="1" spans="1:20">
      <c r="A2976">
        <v>1251</v>
      </c>
      <c r="B2976">
        <v>7</v>
      </c>
      <c r="C2976" t="s">
        <v>391</v>
      </c>
      <c r="D2976" t="s">
        <v>21</v>
      </c>
      <c r="E2976" s="13" t="s">
        <v>392</v>
      </c>
      <c r="G2976">
        <v>2</v>
      </c>
      <c r="H2976">
        <v>1000</v>
      </c>
      <c r="J2976" cm="1">
        <f t="array" ref="J2976">_xlfn.SWITCH(B2976,1,75,2,61,3,49,4,37,5,25,6,13,7,4,8,1)</f>
        <v>4</v>
      </c>
      <c r="K2976" t="str" cm="1">
        <f t="array" ref="K2976">IFERROR(_xlfn.SWITCH(L2976,2,_xlfn.XLOOKUP(C2976,[1]ModifierDes!$B:$B,[1]ModifierDes!$C:$C),3,_xlfn.XLOOKUP(C2976,[1]StuntDes!$B:$B,[1]StuntDes!$C:$C)),"")</f>
        <v>魔力回复率提高{0}</v>
      </c>
      <c r="L2976">
        <f t="shared" si="121"/>
        <v>2</v>
      </c>
      <c r="M2976" s="10" t="str">
        <f>IFERROR(_xlfn.XLOOKUP(C2976,[1]StuntDes!$B:$B,[1]StuntDes!$A:$A),"")</f>
        <v/>
      </c>
      <c r="N2976" s="10">
        <f>IFERROR(_xlfn.XLOOKUP(C2976,[1]ModifierDes!$B:$B,[1]ModifierDes!$A:$A),"")</f>
        <v>10116</v>
      </c>
      <c r="O2976" s="10" t="str">
        <f>IFERROR(_xlfn.XLOOKUP(C2976,[1]AttributeName!$C:$C,[1]AttributeName!$B:$B),"")</f>
        <v/>
      </c>
      <c r="P2976" s="10"/>
      <c r="Q2976">
        <v>0.05</v>
      </c>
      <c r="R2976">
        <v>0.1</v>
      </c>
      <c r="S2976" cm="1">
        <f t="array" ref="S2976">IFERROR(_xlfn.SWITCH(L2976,1,_xlfn.XLOOKUP(O2976,[1]AttributeName!$B:$B,[1]AttributeName!$D:$D),2,_xlfn.XLOOKUP(C2976,#REF!,#REF!),3,_xlfn.XLOOKUP(C2976,#REF!,#REF!)),0)</f>
        <v>0</v>
      </c>
      <c r="T2976" cm="1">
        <f t="array" ref="T2976">IFERROR(_xlfn.SWITCH(L2976,1,_xlfn.XLOOKUP(O2976,[1]AttributeName!$B:$B,[1]AttributeName!$E:$E),2,_xlfn.XLOOKUP(C2976,#REF!,#REF!),3,_xlfn.XLOOKUP(C2976,#REF!,#REF!)),0)</f>
        <v>0</v>
      </c>
    </row>
    <row r="2977" customFormat="1" spans="1:20">
      <c r="A2977">
        <v>1251</v>
      </c>
      <c r="B2977">
        <v>8</v>
      </c>
      <c r="C2977" t="s">
        <v>391</v>
      </c>
      <c r="D2977" t="s">
        <v>21</v>
      </c>
      <c r="E2977" s="13" t="s">
        <v>392</v>
      </c>
      <c r="G2977">
        <v>2</v>
      </c>
      <c r="H2977">
        <v>1000</v>
      </c>
      <c r="J2977" cm="1">
        <f t="array" ref="J2977">_xlfn.SWITCH(B2977,1,75,2,61,3,49,4,37,5,25,6,13,7,4,8,1)</f>
        <v>1</v>
      </c>
      <c r="K2977" t="str" cm="1">
        <f t="array" ref="K2977">IFERROR(_xlfn.SWITCH(L2977,2,_xlfn.XLOOKUP(C2977,[1]ModifierDes!$B:$B,[1]ModifierDes!$C:$C),3,_xlfn.XLOOKUP(C2977,[1]StuntDes!$B:$B,[1]StuntDes!$C:$C)),"")</f>
        <v>魔力回复率提高{0}</v>
      </c>
      <c r="L2977">
        <f t="shared" si="121"/>
        <v>2</v>
      </c>
      <c r="M2977" s="10" t="str">
        <f>IFERROR(_xlfn.XLOOKUP(C2977,[1]StuntDes!$B:$B,[1]StuntDes!$A:$A),"")</f>
        <v/>
      </c>
      <c r="N2977" s="10">
        <f>IFERROR(_xlfn.XLOOKUP(C2977,[1]ModifierDes!$B:$B,[1]ModifierDes!$A:$A),"")</f>
        <v>10116</v>
      </c>
      <c r="O2977" s="10" t="str">
        <f>IFERROR(_xlfn.XLOOKUP(C2977,[1]AttributeName!$C:$C,[1]AttributeName!$B:$B),"")</f>
        <v/>
      </c>
      <c r="P2977" s="10"/>
      <c r="Q2977">
        <v>0.03</v>
      </c>
      <c r="R2977">
        <v>0.04</v>
      </c>
      <c r="S2977" cm="1">
        <f t="array" ref="S2977">IFERROR(_xlfn.SWITCH(L2977,1,_xlfn.XLOOKUP(O2977,[1]AttributeName!$B:$B,[1]AttributeName!$D:$D),2,_xlfn.XLOOKUP(C2977,#REF!,#REF!),3,_xlfn.XLOOKUP(C2977,#REF!,#REF!)),0)</f>
        <v>0</v>
      </c>
      <c r="T2977" cm="1">
        <f t="array" ref="T2977">IFERROR(_xlfn.SWITCH(L2977,1,_xlfn.XLOOKUP(O2977,[1]AttributeName!$B:$B,[1]AttributeName!$E:$E),2,_xlfn.XLOOKUP(C2977,#REF!,#REF!),3,_xlfn.XLOOKUP(C2977,#REF!,#REF!)),0)</f>
        <v>0</v>
      </c>
    </row>
    <row r="2978" customFormat="1" spans="1:20">
      <c r="A2978">
        <v>1252</v>
      </c>
      <c r="B2978">
        <v>2</v>
      </c>
      <c r="C2978" s="13" t="s">
        <v>433</v>
      </c>
      <c r="D2978" t="s">
        <v>21</v>
      </c>
      <c r="E2978" s="13" t="s">
        <v>392</v>
      </c>
      <c r="G2978">
        <v>2</v>
      </c>
      <c r="H2978">
        <v>50</v>
      </c>
      <c r="I2978">
        <v>2</v>
      </c>
      <c r="J2978" cm="1">
        <f t="array" ref="J2978">_xlfn.SWITCH(B2978,1,75,2,61,3,49,4,37,5,25,6,13,7,4,8,1)</f>
        <v>61</v>
      </c>
      <c r="K2978" t="str" cm="1">
        <f t="array" ref="K2978">IFERROR(_xlfn.SWITCH(L2978,2,_xlfn.XLOOKUP(C2978,[1]ModifierDes!$B:$B,[1]ModifierDes!$C:$C),3,_xlfn.XLOOKUP(C2978,[1]StuntDes!$B:$B,[1]StuntDes!$C:$C)),"")</f>
        <v/>
      </c>
      <c r="L2978">
        <f t="shared" si="121"/>
        <v>1</v>
      </c>
      <c r="M2978" s="10" t="str">
        <f>IFERROR(_xlfn.XLOOKUP(C2978,[1]StuntDes!$B:$B,[1]StuntDes!$A:$A),"")</f>
        <v/>
      </c>
      <c r="N2978" s="10" t="str">
        <f>IFERROR(_xlfn.XLOOKUP(C2978,[1]ModifierDes!$B:$B,[1]ModifierDes!$A:$A),"")</f>
        <v/>
      </c>
      <c r="O2978" s="10">
        <f>IFERROR(_xlfn.XLOOKUP(C2978,[1]AttributeName!$C:$C,[1]AttributeName!$B:$B),"")</f>
        <v>10402</v>
      </c>
      <c r="P2978" s="10"/>
      <c r="Q2978">
        <v>4</v>
      </c>
      <c r="R2978">
        <v>5</v>
      </c>
      <c r="S2978" cm="1">
        <f t="array" ref="S2978">IFERROR(_xlfn.SWITCH(L2978,1,_xlfn.XLOOKUP(O2978,[1]AttributeName!$B:$B,[1]AttributeName!$D:$D),2,_xlfn.XLOOKUP(C2978,#REF!,#REF!),3,_xlfn.XLOOKUP(C2978,#REF!,#REF!)),0)</f>
        <v>0</v>
      </c>
      <c r="T2978" cm="1">
        <f t="array" ref="T2978">IFERROR(_xlfn.SWITCH(L2978,1,_xlfn.XLOOKUP(O2978,[1]AttributeName!$B:$B,[1]AttributeName!$E:$E),2,_xlfn.XLOOKUP(C2978,#REF!,#REF!),3,_xlfn.XLOOKUP(C2978,#REF!,#REF!)),0)</f>
        <v>1</v>
      </c>
    </row>
    <row r="2979" customFormat="1" spans="1:20">
      <c r="A2979">
        <v>1252</v>
      </c>
      <c r="B2979">
        <v>4</v>
      </c>
      <c r="C2979" s="13" t="s">
        <v>433</v>
      </c>
      <c r="D2979" t="s">
        <v>21</v>
      </c>
      <c r="E2979" s="13" t="s">
        <v>392</v>
      </c>
      <c r="G2979">
        <v>2</v>
      </c>
      <c r="H2979">
        <v>100</v>
      </c>
      <c r="I2979">
        <v>2</v>
      </c>
      <c r="J2979" cm="1">
        <f t="array" ref="J2979">_xlfn.SWITCH(B2979,1,75,2,61,3,49,4,37,5,25,6,13,7,4,8,1)</f>
        <v>37</v>
      </c>
      <c r="K2979" t="str" cm="1">
        <f t="array" ref="K2979">IFERROR(_xlfn.SWITCH(L2979,2,_xlfn.XLOOKUP(C2979,[1]ModifierDes!$B:$B,[1]ModifierDes!$C:$C),3,_xlfn.XLOOKUP(C2979,[1]StuntDes!$B:$B,[1]StuntDes!$C:$C)),"")</f>
        <v/>
      </c>
      <c r="L2979">
        <f t="shared" si="121"/>
        <v>1</v>
      </c>
      <c r="M2979" s="10" t="str">
        <f>IFERROR(_xlfn.XLOOKUP(C2979,[1]StuntDes!$B:$B,[1]StuntDes!$A:$A),"")</f>
        <v/>
      </c>
      <c r="N2979" s="10" t="str">
        <f>IFERROR(_xlfn.XLOOKUP(C2979,[1]ModifierDes!$B:$B,[1]ModifierDes!$A:$A),"")</f>
        <v/>
      </c>
      <c r="O2979" s="10">
        <f>IFERROR(_xlfn.XLOOKUP(C2979,[1]AttributeName!$C:$C,[1]AttributeName!$B:$B),"")</f>
        <v>10402</v>
      </c>
      <c r="P2979" s="10"/>
      <c r="Q2979">
        <v>2</v>
      </c>
      <c r="R2979">
        <v>3</v>
      </c>
      <c r="S2979" cm="1">
        <f t="array" ref="S2979">IFERROR(_xlfn.SWITCH(L2979,1,_xlfn.XLOOKUP(O2979,[1]AttributeName!$B:$B,[1]AttributeName!$D:$D),2,_xlfn.XLOOKUP(C2979,#REF!,#REF!),3,_xlfn.XLOOKUP(C2979,#REF!,#REF!)),0)</f>
        <v>0</v>
      </c>
      <c r="T2979" cm="1">
        <f t="array" ref="T2979">IFERROR(_xlfn.SWITCH(L2979,1,_xlfn.XLOOKUP(O2979,[1]AttributeName!$B:$B,[1]AttributeName!$E:$E),2,_xlfn.XLOOKUP(C2979,#REF!,#REF!),3,_xlfn.XLOOKUP(C2979,#REF!,#REF!)),0)</f>
        <v>1</v>
      </c>
    </row>
    <row r="2980" customFormat="1" spans="1:20">
      <c r="A2980">
        <v>1252</v>
      </c>
      <c r="B2980">
        <v>6</v>
      </c>
      <c r="C2980" s="13" t="s">
        <v>433</v>
      </c>
      <c r="D2980" t="s">
        <v>21</v>
      </c>
      <c r="E2980" s="13" t="s">
        <v>392</v>
      </c>
      <c r="G2980">
        <v>2</v>
      </c>
      <c r="H2980">
        <v>200</v>
      </c>
      <c r="I2980">
        <v>2</v>
      </c>
      <c r="J2980" cm="1">
        <f t="array" ref="J2980">_xlfn.SWITCH(B2980,1,75,2,61,3,49,4,37,5,25,6,13,7,4,8,1)</f>
        <v>13</v>
      </c>
      <c r="K2980" t="str" cm="1">
        <f t="array" ref="K2980">IFERROR(_xlfn.SWITCH(L2980,2,_xlfn.XLOOKUP(C2980,[1]ModifierDes!$B:$B,[1]ModifierDes!$C:$C),3,_xlfn.XLOOKUP(C2980,[1]StuntDes!$B:$B,[1]StuntDes!$C:$C)),"")</f>
        <v/>
      </c>
      <c r="L2980">
        <f t="shared" si="121"/>
        <v>1</v>
      </c>
      <c r="M2980" s="10" t="str">
        <f>IFERROR(_xlfn.XLOOKUP(C2980,[1]StuntDes!$B:$B,[1]StuntDes!$A:$A),"")</f>
        <v/>
      </c>
      <c r="N2980" s="10" t="str">
        <f>IFERROR(_xlfn.XLOOKUP(C2980,[1]ModifierDes!$B:$B,[1]ModifierDes!$A:$A),"")</f>
        <v/>
      </c>
      <c r="O2980" s="10">
        <f>IFERROR(_xlfn.XLOOKUP(C2980,[1]AttributeName!$C:$C,[1]AttributeName!$B:$B),"")</f>
        <v>10402</v>
      </c>
      <c r="P2980" s="10"/>
      <c r="Q2980">
        <v>1</v>
      </c>
      <c r="R2980">
        <v>1</v>
      </c>
      <c r="S2980" cm="1">
        <f t="array" ref="S2980">IFERROR(_xlfn.SWITCH(L2980,1,_xlfn.XLOOKUP(O2980,[1]AttributeName!$B:$B,[1]AttributeName!$D:$D),2,_xlfn.XLOOKUP(C2980,#REF!,#REF!),3,_xlfn.XLOOKUP(C2980,#REF!,#REF!)),0)</f>
        <v>0</v>
      </c>
      <c r="T2980" cm="1">
        <f t="array" ref="T2980">IFERROR(_xlfn.SWITCH(L2980,1,_xlfn.XLOOKUP(O2980,[1]AttributeName!$B:$B,[1]AttributeName!$E:$E),2,_xlfn.XLOOKUP(C2980,#REF!,#REF!),3,_xlfn.XLOOKUP(C2980,#REF!,#REF!)),0)</f>
        <v>1</v>
      </c>
    </row>
    <row r="2981" customFormat="1" spans="1:20">
      <c r="A2981">
        <f t="shared" ref="A2981:A2983" si="122">A2978+1</f>
        <v>1253</v>
      </c>
      <c r="B2981">
        <v>1</v>
      </c>
      <c r="C2981" s="13" t="s">
        <v>394</v>
      </c>
      <c r="D2981" t="s">
        <v>21</v>
      </c>
      <c r="E2981" s="13" t="s">
        <v>392</v>
      </c>
      <c r="G2981">
        <v>2</v>
      </c>
      <c r="H2981">
        <v>100</v>
      </c>
      <c r="I2981">
        <v>2</v>
      </c>
      <c r="J2981" cm="1">
        <f t="array" ref="J2981">_xlfn.SWITCH(B2981,1,75,2,61,3,49,4,37,5,25,6,13,7,4,8,1)</f>
        <v>75</v>
      </c>
      <c r="K2981" t="str" cm="1">
        <f t="array" ref="K2981">IFERROR(_xlfn.SWITCH(L2981,2,_xlfn.XLOOKUP(C2981,[1]ModifierDes!$B:$B,[1]ModifierDes!$C:$C),3,_xlfn.XLOOKUP(C2981,[1]StuntDes!$B:$B,[1]StuntDes!$C:$C)),"")</f>
        <v/>
      </c>
      <c r="L2981">
        <f t="shared" si="121"/>
        <v>1</v>
      </c>
      <c r="M2981" s="10" t="str">
        <f>IFERROR(_xlfn.XLOOKUP(C2981,[1]StuntDes!$B:$B,[1]StuntDes!$A:$A),"")</f>
        <v/>
      </c>
      <c r="N2981" s="10" t="str">
        <f>IFERROR(_xlfn.XLOOKUP(C2981,[1]ModifierDes!$B:$B,[1]ModifierDes!$A:$A),"")</f>
        <v/>
      </c>
      <c r="O2981" s="10">
        <f>IFERROR(_xlfn.XLOOKUP(C2981,[1]AttributeName!$C:$C,[1]AttributeName!$B:$B),"")</f>
        <v>10403</v>
      </c>
      <c r="P2981" s="10"/>
      <c r="Q2981">
        <v>4</v>
      </c>
      <c r="R2981">
        <v>6</v>
      </c>
      <c r="S2981" cm="1">
        <f t="array" ref="S2981">IFERROR(_xlfn.SWITCH(L2981,1,_xlfn.XLOOKUP(O2981,[1]AttributeName!$B:$B,[1]AttributeName!$D:$D),2,_xlfn.XLOOKUP(C2981,#REF!,#REF!),3,_xlfn.XLOOKUP(C2981,#REF!,#REF!)),0)</f>
        <v>0</v>
      </c>
      <c r="T2981" cm="1">
        <f t="array" ref="T2981">IFERROR(_xlfn.SWITCH(L2981,1,_xlfn.XLOOKUP(O2981,[1]AttributeName!$B:$B,[1]AttributeName!$E:$E),2,_xlfn.XLOOKUP(C2981,#REF!,#REF!),3,_xlfn.XLOOKUP(C2981,#REF!,#REF!)),0)</f>
        <v>1</v>
      </c>
    </row>
    <row r="2982" customFormat="1" spans="1:20">
      <c r="A2982">
        <f t="shared" si="122"/>
        <v>1253</v>
      </c>
      <c r="B2982">
        <v>3</v>
      </c>
      <c r="C2982" s="13" t="s">
        <v>394</v>
      </c>
      <c r="D2982" t="s">
        <v>21</v>
      </c>
      <c r="E2982" s="13" t="s">
        <v>392</v>
      </c>
      <c r="G2982">
        <v>2</v>
      </c>
      <c r="H2982">
        <v>200</v>
      </c>
      <c r="I2982">
        <v>2</v>
      </c>
      <c r="J2982" cm="1">
        <f t="array" ref="J2982">_xlfn.SWITCH(B2982,1,75,2,61,3,49,4,37,5,25,6,13,7,4,8,1)</f>
        <v>49</v>
      </c>
      <c r="K2982" t="str" cm="1">
        <f t="array" ref="K2982">IFERROR(_xlfn.SWITCH(L2982,2,_xlfn.XLOOKUP(C2982,[1]ModifierDes!$B:$B,[1]ModifierDes!$C:$C),3,_xlfn.XLOOKUP(C2982,[1]StuntDes!$B:$B,[1]StuntDes!$C:$C)),"")</f>
        <v/>
      </c>
      <c r="L2982">
        <f t="shared" si="121"/>
        <v>1</v>
      </c>
      <c r="M2982" s="10" t="str">
        <f>IFERROR(_xlfn.XLOOKUP(C2982,[1]StuntDes!$B:$B,[1]StuntDes!$A:$A),"")</f>
        <v/>
      </c>
      <c r="N2982" s="10" t="str">
        <f>IFERROR(_xlfn.XLOOKUP(C2982,[1]ModifierDes!$B:$B,[1]ModifierDes!$A:$A),"")</f>
        <v/>
      </c>
      <c r="O2982" s="10">
        <f>IFERROR(_xlfn.XLOOKUP(C2982,[1]AttributeName!$C:$C,[1]AttributeName!$B:$B),"")</f>
        <v>10403</v>
      </c>
      <c r="P2982" s="10"/>
      <c r="Q2982">
        <v>2</v>
      </c>
      <c r="R2982">
        <v>3</v>
      </c>
      <c r="S2982" cm="1">
        <f t="array" ref="S2982">IFERROR(_xlfn.SWITCH(L2982,1,_xlfn.XLOOKUP(O2982,[1]AttributeName!$B:$B,[1]AttributeName!$D:$D),2,_xlfn.XLOOKUP(C2982,#REF!,#REF!),3,_xlfn.XLOOKUP(C2982,#REF!,#REF!)),0)</f>
        <v>0</v>
      </c>
      <c r="T2982" cm="1">
        <f t="array" ref="T2982">IFERROR(_xlfn.SWITCH(L2982,1,_xlfn.XLOOKUP(O2982,[1]AttributeName!$B:$B,[1]AttributeName!$E:$E),2,_xlfn.XLOOKUP(C2982,#REF!,#REF!),3,_xlfn.XLOOKUP(C2982,#REF!,#REF!)),0)</f>
        <v>1</v>
      </c>
    </row>
    <row r="2983" customFormat="1" spans="1:20">
      <c r="A2983">
        <f t="shared" si="122"/>
        <v>1253</v>
      </c>
      <c r="B2983">
        <v>5</v>
      </c>
      <c r="C2983" s="13" t="s">
        <v>394</v>
      </c>
      <c r="D2983" t="s">
        <v>21</v>
      </c>
      <c r="E2983" s="13" t="s">
        <v>392</v>
      </c>
      <c r="G2983">
        <v>2</v>
      </c>
      <c r="H2983">
        <v>500</v>
      </c>
      <c r="I2983">
        <v>2</v>
      </c>
      <c r="J2983" cm="1">
        <f t="array" ref="J2983">_xlfn.SWITCH(B2983,1,75,2,61,3,49,4,37,5,25,6,13,7,4,8,1)</f>
        <v>25</v>
      </c>
      <c r="K2983" t="str" cm="1">
        <f t="array" ref="K2983">IFERROR(_xlfn.SWITCH(L2983,2,_xlfn.XLOOKUP(C2983,[1]ModifierDes!$B:$B,[1]ModifierDes!$C:$C),3,_xlfn.XLOOKUP(C2983,[1]StuntDes!$B:$B,[1]StuntDes!$C:$C)),"")</f>
        <v/>
      </c>
      <c r="L2983">
        <f t="shared" si="121"/>
        <v>1</v>
      </c>
      <c r="M2983" s="10" t="str">
        <f>IFERROR(_xlfn.XLOOKUP(C2983,[1]StuntDes!$B:$B,[1]StuntDes!$A:$A),"")</f>
        <v/>
      </c>
      <c r="N2983" s="10" t="str">
        <f>IFERROR(_xlfn.XLOOKUP(C2983,[1]ModifierDes!$B:$B,[1]ModifierDes!$A:$A),"")</f>
        <v/>
      </c>
      <c r="O2983" s="10">
        <f>IFERROR(_xlfn.XLOOKUP(C2983,[1]AttributeName!$C:$C,[1]AttributeName!$B:$B),"")</f>
        <v>10403</v>
      </c>
      <c r="P2983" s="10"/>
      <c r="Q2983">
        <v>1</v>
      </c>
      <c r="R2983">
        <v>1</v>
      </c>
      <c r="S2983" cm="1">
        <f t="array" ref="S2983">IFERROR(_xlfn.SWITCH(L2983,1,_xlfn.XLOOKUP(O2983,[1]AttributeName!$B:$B,[1]AttributeName!$D:$D),2,_xlfn.XLOOKUP(C2983,#REF!,#REF!),3,_xlfn.XLOOKUP(C2983,#REF!,#REF!)),0)</f>
        <v>0</v>
      </c>
      <c r="T2983" cm="1">
        <f t="array" ref="T2983">IFERROR(_xlfn.SWITCH(L2983,1,_xlfn.XLOOKUP(O2983,[1]AttributeName!$B:$B,[1]AttributeName!$E:$E),2,_xlfn.XLOOKUP(C2983,#REF!,#REF!),3,_xlfn.XLOOKUP(C2983,#REF!,#REF!)),0)</f>
        <v>1</v>
      </c>
    </row>
    <row r="2984" customFormat="1" spans="1:20">
      <c r="A2984">
        <f t="shared" ref="A2981:A2995" si="123">A2981+1</f>
        <v>1254</v>
      </c>
      <c r="B2984">
        <f t="shared" ref="B2981:B2995" si="124">B2981</f>
        <v>1</v>
      </c>
      <c r="C2984" s="13" t="s">
        <v>395</v>
      </c>
      <c r="D2984" t="s">
        <v>21</v>
      </c>
      <c r="E2984" s="13" t="s">
        <v>392</v>
      </c>
      <c r="G2984">
        <v>2</v>
      </c>
      <c r="H2984">
        <v>100</v>
      </c>
      <c r="I2984">
        <v>2</v>
      </c>
      <c r="J2984" cm="1">
        <f t="array" ref="J2984">_xlfn.SWITCH(B2984,1,75,2,61,3,49,4,37,5,25,6,13,7,4,8,1)</f>
        <v>75</v>
      </c>
      <c r="K2984" t="str" cm="1">
        <f t="array" ref="K2984">IFERROR(_xlfn.SWITCH(L2984,2,_xlfn.XLOOKUP(C2984,[1]ModifierDes!$B:$B,[1]ModifierDes!$C:$C),3,_xlfn.XLOOKUP(C2984,[1]StuntDes!$B:$B,[1]StuntDes!$C:$C)),"")</f>
        <v/>
      </c>
      <c r="L2984">
        <f t="shared" si="121"/>
        <v>1</v>
      </c>
      <c r="M2984" s="10" t="str">
        <f>IFERROR(_xlfn.XLOOKUP(C2984,[1]StuntDes!$B:$B,[1]StuntDes!$A:$A),"")</f>
        <v/>
      </c>
      <c r="N2984" s="10" t="str">
        <f>IFERROR(_xlfn.XLOOKUP(C2984,[1]ModifierDes!$B:$B,[1]ModifierDes!$A:$A),"")</f>
        <v/>
      </c>
      <c r="O2984" s="10">
        <f>IFERROR(_xlfn.XLOOKUP(C2984,[1]AttributeName!$C:$C,[1]AttributeName!$B:$B),"")</f>
        <v>10404</v>
      </c>
      <c r="P2984" s="10"/>
      <c r="Q2984">
        <v>4</v>
      </c>
      <c r="R2984">
        <v>6</v>
      </c>
      <c r="S2984" cm="1">
        <f t="array" ref="S2984">IFERROR(_xlfn.SWITCH(L2984,1,_xlfn.XLOOKUP(O2984,[1]AttributeName!$B:$B,[1]AttributeName!$D:$D),2,_xlfn.XLOOKUP(C2984,#REF!,#REF!),3,_xlfn.XLOOKUP(C2984,#REF!,#REF!)),0)</f>
        <v>0</v>
      </c>
      <c r="T2984" cm="1">
        <f t="array" ref="T2984">IFERROR(_xlfn.SWITCH(L2984,1,_xlfn.XLOOKUP(O2984,[1]AttributeName!$B:$B,[1]AttributeName!$E:$E),2,_xlfn.XLOOKUP(C2984,#REF!,#REF!),3,_xlfn.XLOOKUP(C2984,#REF!,#REF!)),0)</f>
        <v>1</v>
      </c>
    </row>
    <row r="2985" customFormat="1" spans="1:20">
      <c r="A2985">
        <f t="shared" si="123"/>
        <v>1254</v>
      </c>
      <c r="B2985">
        <f t="shared" si="124"/>
        <v>3</v>
      </c>
      <c r="C2985" s="13" t="s">
        <v>395</v>
      </c>
      <c r="D2985" t="s">
        <v>21</v>
      </c>
      <c r="E2985" s="13" t="s">
        <v>392</v>
      </c>
      <c r="G2985">
        <v>2</v>
      </c>
      <c r="H2985">
        <v>200</v>
      </c>
      <c r="I2985">
        <v>2</v>
      </c>
      <c r="J2985" cm="1">
        <f t="array" ref="J2985">_xlfn.SWITCH(B2985,1,75,2,61,3,49,4,37,5,25,6,13,7,4,8,1)</f>
        <v>49</v>
      </c>
      <c r="K2985" t="str" cm="1">
        <f t="array" ref="K2985">IFERROR(_xlfn.SWITCH(L2985,2,_xlfn.XLOOKUP(C2985,[1]ModifierDes!$B:$B,[1]ModifierDes!$C:$C),3,_xlfn.XLOOKUP(C2985,[1]StuntDes!$B:$B,[1]StuntDes!$C:$C)),"")</f>
        <v/>
      </c>
      <c r="L2985">
        <f t="shared" si="121"/>
        <v>1</v>
      </c>
      <c r="M2985" s="10" t="str">
        <f>IFERROR(_xlfn.XLOOKUP(C2985,[1]StuntDes!$B:$B,[1]StuntDes!$A:$A),"")</f>
        <v/>
      </c>
      <c r="N2985" s="10" t="str">
        <f>IFERROR(_xlfn.XLOOKUP(C2985,[1]ModifierDes!$B:$B,[1]ModifierDes!$A:$A),"")</f>
        <v/>
      </c>
      <c r="O2985" s="10">
        <f>IFERROR(_xlfn.XLOOKUP(C2985,[1]AttributeName!$C:$C,[1]AttributeName!$B:$B),"")</f>
        <v>10404</v>
      </c>
      <c r="P2985" s="10"/>
      <c r="Q2985">
        <v>2</v>
      </c>
      <c r="R2985">
        <v>3</v>
      </c>
      <c r="S2985" cm="1">
        <f t="array" ref="S2985">IFERROR(_xlfn.SWITCH(L2985,1,_xlfn.XLOOKUP(O2985,[1]AttributeName!$B:$B,[1]AttributeName!$D:$D),2,_xlfn.XLOOKUP(C2985,#REF!,#REF!),3,_xlfn.XLOOKUP(C2985,#REF!,#REF!)),0)</f>
        <v>0</v>
      </c>
      <c r="T2985" cm="1">
        <f t="array" ref="T2985">IFERROR(_xlfn.SWITCH(L2985,1,_xlfn.XLOOKUP(O2985,[1]AttributeName!$B:$B,[1]AttributeName!$E:$E),2,_xlfn.XLOOKUP(C2985,#REF!,#REF!),3,_xlfn.XLOOKUP(C2985,#REF!,#REF!)),0)</f>
        <v>1</v>
      </c>
    </row>
    <row r="2986" customFormat="1" spans="1:20">
      <c r="A2986">
        <f t="shared" si="123"/>
        <v>1254</v>
      </c>
      <c r="B2986">
        <f t="shared" si="124"/>
        <v>5</v>
      </c>
      <c r="C2986" s="13" t="s">
        <v>395</v>
      </c>
      <c r="D2986" t="s">
        <v>21</v>
      </c>
      <c r="E2986" s="13" t="s">
        <v>392</v>
      </c>
      <c r="G2986">
        <v>2</v>
      </c>
      <c r="H2986">
        <v>500</v>
      </c>
      <c r="I2986">
        <v>2</v>
      </c>
      <c r="J2986" cm="1">
        <f t="array" ref="J2986">_xlfn.SWITCH(B2986,1,75,2,61,3,49,4,37,5,25,6,13,7,4,8,1)</f>
        <v>25</v>
      </c>
      <c r="K2986" t="str" cm="1">
        <f t="array" ref="K2986">IFERROR(_xlfn.SWITCH(L2986,2,_xlfn.XLOOKUP(C2986,[1]ModifierDes!$B:$B,[1]ModifierDes!$C:$C),3,_xlfn.XLOOKUP(C2986,[1]StuntDes!$B:$B,[1]StuntDes!$C:$C)),"")</f>
        <v/>
      </c>
      <c r="L2986">
        <f t="shared" si="121"/>
        <v>1</v>
      </c>
      <c r="M2986" s="10" t="str">
        <f>IFERROR(_xlfn.XLOOKUP(C2986,[1]StuntDes!$B:$B,[1]StuntDes!$A:$A),"")</f>
        <v/>
      </c>
      <c r="N2986" s="10" t="str">
        <f>IFERROR(_xlfn.XLOOKUP(C2986,[1]ModifierDes!$B:$B,[1]ModifierDes!$A:$A),"")</f>
        <v/>
      </c>
      <c r="O2986" s="10">
        <f>IFERROR(_xlfn.XLOOKUP(C2986,[1]AttributeName!$C:$C,[1]AttributeName!$B:$B),"")</f>
        <v>10404</v>
      </c>
      <c r="P2986" s="10"/>
      <c r="Q2986">
        <v>1</v>
      </c>
      <c r="R2986">
        <v>1</v>
      </c>
      <c r="S2986" cm="1">
        <f t="array" ref="S2986">IFERROR(_xlfn.SWITCH(L2986,1,_xlfn.XLOOKUP(O2986,[1]AttributeName!$B:$B,[1]AttributeName!$D:$D),2,_xlfn.XLOOKUP(C2986,#REF!,#REF!),3,_xlfn.XLOOKUP(C2986,#REF!,#REF!)),0)</f>
        <v>0</v>
      </c>
      <c r="T2986" cm="1">
        <f t="array" ref="T2986">IFERROR(_xlfn.SWITCH(L2986,1,_xlfn.XLOOKUP(O2986,[1]AttributeName!$B:$B,[1]AttributeName!$E:$E),2,_xlfn.XLOOKUP(C2986,#REF!,#REF!),3,_xlfn.XLOOKUP(C2986,#REF!,#REF!)),0)</f>
        <v>1</v>
      </c>
    </row>
    <row r="2987" customFormat="1" spans="1:20">
      <c r="A2987">
        <f t="shared" si="123"/>
        <v>1255</v>
      </c>
      <c r="B2987">
        <f t="shared" si="124"/>
        <v>1</v>
      </c>
      <c r="C2987" s="13" t="s">
        <v>396</v>
      </c>
      <c r="D2987" t="s">
        <v>21</v>
      </c>
      <c r="E2987" s="13" t="s">
        <v>392</v>
      </c>
      <c r="G2987">
        <v>2</v>
      </c>
      <c r="H2987">
        <v>100</v>
      </c>
      <c r="I2987">
        <v>2</v>
      </c>
      <c r="J2987" cm="1">
        <f t="array" ref="J2987">_xlfn.SWITCH(B2987,1,75,2,61,3,49,4,37,5,25,6,13,7,4,8,1)</f>
        <v>75</v>
      </c>
      <c r="K2987" t="str" cm="1">
        <f t="array" ref="K2987">IFERROR(_xlfn.SWITCH(L2987,2,_xlfn.XLOOKUP(C2987,[1]ModifierDes!$B:$B,[1]ModifierDes!$C:$C),3,_xlfn.XLOOKUP(C2987,[1]StuntDes!$B:$B,[1]StuntDes!$C:$C)),"")</f>
        <v/>
      </c>
      <c r="L2987">
        <f t="shared" si="121"/>
        <v>1</v>
      </c>
      <c r="M2987" s="10" t="str">
        <f>IFERROR(_xlfn.XLOOKUP(C2987,[1]StuntDes!$B:$B,[1]StuntDes!$A:$A),"")</f>
        <v/>
      </c>
      <c r="N2987" s="10" t="str">
        <f>IFERROR(_xlfn.XLOOKUP(C2987,[1]ModifierDes!$B:$B,[1]ModifierDes!$A:$A),"")</f>
        <v/>
      </c>
      <c r="O2987" s="10">
        <f>IFERROR(_xlfn.XLOOKUP(C2987,[1]AttributeName!$C:$C,[1]AttributeName!$B:$B),"")</f>
        <v>10405</v>
      </c>
      <c r="P2987" s="10"/>
      <c r="Q2987">
        <v>4</v>
      </c>
      <c r="R2987">
        <v>6</v>
      </c>
      <c r="S2987" cm="1">
        <f t="array" ref="S2987">IFERROR(_xlfn.SWITCH(L2987,1,_xlfn.XLOOKUP(O2987,[1]AttributeName!$B:$B,[1]AttributeName!$D:$D),2,_xlfn.XLOOKUP(C2987,#REF!,#REF!),3,_xlfn.XLOOKUP(C2987,#REF!,#REF!)),0)</f>
        <v>0</v>
      </c>
      <c r="T2987" cm="1">
        <f t="array" ref="T2987">IFERROR(_xlfn.SWITCH(L2987,1,_xlfn.XLOOKUP(O2987,[1]AttributeName!$B:$B,[1]AttributeName!$E:$E),2,_xlfn.XLOOKUP(C2987,#REF!,#REF!),3,_xlfn.XLOOKUP(C2987,#REF!,#REF!)),0)</f>
        <v>1</v>
      </c>
    </row>
    <row r="2988" customFormat="1" spans="1:20">
      <c r="A2988">
        <f t="shared" si="123"/>
        <v>1255</v>
      </c>
      <c r="B2988">
        <f t="shared" si="124"/>
        <v>3</v>
      </c>
      <c r="C2988" s="13" t="s">
        <v>396</v>
      </c>
      <c r="D2988" t="s">
        <v>21</v>
      </c>
      <c r="E2988" s="13" t="s">
        <v>392</v>
      </c>
      <c r="G2988">
        <v>2</v>
      </c>
      <c r="H2988">
        <v>200</v>
      </c>
      <c r="I2988">
        <v>2</v>
      </c>
      <c r="J2988" cm="1">
        <f t="array" ref="J2988">_xlfn.SWITCH(B2988,1,75,2,61,3,49,4,37,5,25,6,13,7,4,8,1)</f>
        <v>49</v>
      </c>
      <c r="K2988" t="str" cm="1">
        <f t="array" ref="K2988">IFERROR(_xlfn.SWITCH(L2988,2,_xlfn.XLOOKUP(C2988,[1]ModifierDes!$B:$B,[1]ModifierDes!$C:$C),3,_xlfn.XLOOKUP(C2988,[1]StuntDes!$B:$B,[1]StuntDes!$C:$C)),"")</f>
        <v/>
      </c>
      <c r="L2988">
        <f t="shared" si="121"/>
        <v>1</v>
      </c>
      <c r="M2988" s="10" t="str">
        <f>IFERROR(_xlfn.XLOOKUP(C2988,[1]StuntDes!$B:$B,[1]StuntDes!$A:$A),"")</f>
        <v/>
      </c>
      <c r="N2988" s="10" t="str">
        <f>IFERROR(_xlfn.XLOOKUP(C2988,[1]ModifierDes!$B:$B,[1]ModifierDes!$A:$A),"")</f>
        <v/>
      </c>
      <c r="O2988" s="10">
        <f>IFERROR(_xlfn.XLOOKUP(C2988,[1]AttributeName!$C:$C,[1]AttributeName!$B:$B),"")</f>
        <v>10405</v>
      </c>
      <c r="P2988" s="10"/>
      <c r="Q2988">
        <v>2</v>
      </c>
      <c r="R2988">
        <v>3</v>
      </c>
      <c r="S2988" cm="1">
        <f t="array" ref="S2988">IFERROR(_xlfn.SWITCH(L2988,1,_xlfn.XLOOKUP(O2988,[1]AttributeName!$B:$B,[1]AttributeName!$D:$D),2,_xlfn.XLOOKUP(C2988,#REF!,#REF!),3,_xlfn.XLOOKUP(C2988,#REF!,#REF!)),0)</f>
        <v>0</v>
      </c>
      <c r="T2988" cm="1">
        <f t="array" ref="T2988">IFERROR(_xlfn.SWITCH(L2988,1,_xlfn.XLOOKUP(O2988,[1]AttributeName!$B:$B,[1]AttributeName!$E:$E),2,_xlfn.XLOOKUP(C2988,#REF!,#REF!),3,_xlfn.XLOOKUP(C2988,#REF!,#REF!)),0)</f>
        <v>1</v>
      </c>
    </row>
    <row r="2989" customFormat="1" spans="1:20">
      <c r="A2989">
        <f t="shared" si="123"/>
        <v>1255</v>
      </c>
      <c r="B2989">
        <f t="shared" si="124"/>
        <v>5</v>
      </c>
      <c r="C2989" s="13" t="s">
        <v>396</v>
      </c>
      <c r="D2989" t="s">
        <v>21</v>
      </c>
      <c r="E2989" s="13" t="s">
        <v>392</v>
      </c>
      <c r="G2989">
        <v>2</v>
      </c>
      <c r="H2989">
        <v>500</v>
      </c>
      <c r="I2989">
        <v>2</v>
      </c>
      <c r="J2989" cm="1">
        <f t="array" ref="J2989">_xlfn.SWITCH(B2989,1,75,2,61,3,49,4,37,5,25,6,13,7,4,8,1)</f>
        <v>25</v>
      </c>
      <c r="K2989" t="str" cm="1">
        <f t="array" ref="K2989">IFERROR(_xlfn.SWITCH(L2989,2,_xlfn.XLOOKUP(C2989,[1]ModifierDes!$B:$B,[1]ModifierDes!$C:$C),3,_xlfn.XLOOKUP(C2989,[1]StuntDes!$B:$B,[1]StuntDes!$C:$C)),"")</f>
        <v/>
      </c>
      <c r="L2989">
        <f t="shared" si="121"/>
        <v>1</v>
      </c>
      <c r="M2989" s="10" t="str">
        <f>IFERROR(_xlfn.XLOOKUP(C2989,[1]StuntDes!$B:$B,[1]StuntDes!$A:$A),"")</f>
        <v/>
      </c>
      <c r="N2989" s="10" t="str">
        <f>IFERROR(_xlfn.XLOOKUP(C2989,[1]ModifierDes!$B:$B,[1]ModifierDes!$A:$A),"")</f>
        <v/>
      </c>
      <c r="O2989" s="10">
        <f>IFERROR(_xlfn.XLOOKUP(C2989,[1]AttributeName!$C:$C,[1]AttributeName!$B:$B),"")</f>
        <v>10405</v>
      </c>
      <c r="P2989" s="10"/>
      <c r="Q2989">
        <v>1</v>
      </c>
      <c r="R2989">
        <v>1</v>
      </c>
      <c r="S2989" cm="1">
        <f t="array" ref="S2989">IFERROR(_xlfn.SWITCH(L2989,1,_xlfn.XLOOKUP(O2989,[1]AttributeName!$B:$B,[1]AttributeName!$D:$D),2,_xlfn.XLOOKUP(C2989,#REF!,#REF!),3,_xlfn.XLOOKUP(C2989,#REF!,#REF!)),0)</f>
        <v>0</v>
      </c>
      <c r="T2989" cm="1">
        <f t="array" ref="T2989">IFERROR(_xlfn.SWITCH(L2989,1,_xlfn.XLOOKUP(O2989,[1]AttributeName!$B:$B,[1]AttributeName!$E:$E),2,_xlfn.XLOOKUP(C2989,#REF!,#REF!),3,_xlfn.XLOOKUP(C2989,#REF!,#REF!)),0)</f>
        <v>1</v>
      </c>
    </row>
    <row r="2990" customFormat="1" spans="1:20">
      <c r="A2990">
        <f t="shared" si="123"/>
        <v>1256</v>
      </c>
      <c r="B2990">
        <f t="shared" si="124"/>
        <v>1</v>
      </c>
      <c r="C2990" s="13" t="s">
        <v>397</v>
      </c>
      <c r="D2990" t="s">
        <v>21</v>
      </c>
      <c r="E2990" s="13" t="s">
        <v>392</v>
      </c>
      <c r="G2990">
        <v>2</v>
      </c>
      <c r="H2990">
        <v>100</v>
      </c>
      <c r="I2990">
        <v>2</v>
      </c>
      <c r="J2990" cm="1">
        <f t="array" ref="J2990">_xlfn.SWITCH(B2990,1,75,2,61,3,49,4,37,5,25,6,13,7,4,8,1)</f>
        <v>75</v>
      </c>
      <c r="K2990" t="str" cm="1">
        <f t="array" ref="K2990">IFERROR(_xlfn.SWITCH(L2990,2,_xlfn.XLOOKUP(C2990,[1]ModifierDes!$B:$B,[1]ModifierDes!$C:$C),3,_xlfn.XLOOKUP(C2990,[1]StuntDes!$B:$B,[1]StuntDes!$C:$C)),"")</f>
        <v/>
      </c>
      <c r="L2990">
        <f t="shared" si="121"/>
        <v>1</v>
      </c>
      <c r="M2990" s="10" t="str">
        <f>IFERROR(_xlfn.XLOOKUP(C2990,[1]StuntDes!$B:$B,[1]StuntDes!$A:$A),"")</f>
        <v/>
      </c>
      <c r="N2990" s="10" t="str">
        <f>IFERROR(_xlfn.XLOOKUP(C2990,[1]ModifierDes!$B:$B,[1]ModifierDes!$A:$A),"")</f>
        <v/>
      </c>
      <c r="O2990" s="10">
        <f>IFERROR(_xlfn.XLOOKUP(C2990,[1]AttributeName!$C:$C,[1]AttributeName!$B:$B),"")</f>
        <v>10406</v>
      </c>
      <c r="P2990" s="10"/>
      <c r="Q2990">
        <v>4</v>
      </c>
      <c r="R2990">
        <v>6</v>
      </c>
      <c r="S2990" cm="1">
        <f t="array" ref="S2990">IFERROR(_xlfn.SWITCH(L2990,1,_xlfn.XLOOKUP(O2990,[1]AttributeName!$B:$B,[1]AttributeName!$D:$D),2,_xlfn.XLOOKUP(C2990,#REF!,#REF!),3,_xlfn.XLOOKUP(C2990,#REF!,#REF!)),0)</f>
        <v>0</v>
      </c>
      <c r="T2990" cm="1">
        <f t="array" ref="T2990">IFERROR(_xlfn.SWITCH(L2990,1,_xlfn.XLOOKUP(O2990,[1]AttributeName!$B:$B,[1]AttributeName!$E:$E),2,_xlfn.XLOOKUP(C2990,#REF!,#REF!),3,_xlfn.XLOOKUP(C2990,#REF!,#REF!)),0)</f>
        <v>1</v>
      </c>
    </row>
    <row r="2991" customFormat="1" spans="1:20">
      <c r="A2991">
        <f t="shared" si="123"/>
        <v>1256</v>
      </c>
      <c r="B2991">
        <f t="shared" si="124"/>
        <v>3</v>
      </c>
      <c r="C2991" s="13" t="s">
        <v>397</v>
      </c>
      <c r="D2991" t="s">
        <v>21</v>
      </c>
      <c r="E2991" s="13" t="s">
        <v>392</v>
      </c>
      <c r="G2991">
        <v>2</v>
      </c>
      <c r="H2991">
        <v>200</v>
      </c>
      <c r="I2991">
        <v>2</v>
      </c>
      <c r="J2991" cm="1">
        <f t="array" ref="J2991">_xlfn.SWITCH(B2991,1,75,2,61,3,49,4,37,5,25,6,13,7,4,8,1)</f>
        <v>49</v>
      </c>
      <c r="K2991" t="str" cm="1">
        <f t="array" ref="K2991">IFERROR(_xlfn.SWITCH(L2991,2,_xlfn.XLOOKUP(C2991,[1]ModifierDes!$B:$B,[1]ModifierDes!$C:$C),3,_xlfn.XLOOKUP(C2991,[1]StuntDes!$B:$B,[1]StuntDes!$C:$C)),"")</f>
        <v/>
      </c>
      <c r="L2991">
        <f t="shared" si="121"/>
        <v>1</v>
      </c>
      <c r="M2991" s="10" t="str">
        <f>IFERROR(_xlfn.XLOOKUP(C2991,[1]StuntDes!$B:$B,[1]StuntDes!$A:$A),"")</f>
        <v/>
      </c>
      <c r="N2991" s="10" t="str">
        <f>IFERROR(_xlfn.XLOOKUP(C2991,[1]ModifierDes!$B:$B,[1]ModifierDes!$A:$A),"")</f>
        <v/>
      </c>
      <c r="O2991" s="10">
        <f>IFERROR(_xlfn.XLOOKUP(C2991,[1]AttributeName!$C:$C,[1]AttributeName!$B:$B),"")</f>
        <v>10406</v>
      </c>
      <c r="P2991" s="10"/>
      <c r="Q2991">
        <v>2</v>
      </c>
      <c r="R2991">
        <v>3</v>
      </c>
      <c r="S2991" cm="1">
        <f t="array" ref="S2991">IFERROR(_xlfn.SWITCH(L2991,1,_xlfn.XLOOKUP(O2991,[1]AttributeName!$B:$B,[1]AttributeName!$D:$D),2,_xlfn.XLOOKUP(C2991,#REF!,#REF!),3,_xlfn.XLOOKUP(C2991,#REF!,#REF!)),0)</f>
        <v>0</v>
      </c>
      <c r="T2991" cm="1">
        <f t="array" ref="T2991">IFERROR(_xlfn.SWITCH(L2991,1,_xlfn.XLOOKUP(O2991,[1]AttributeName!$B:$B,[1]AttributeName!$E:$E),2,_xlfn.XLOOKUP(C2991,#REF!,#REF!),3,_xlfn.XLOOKUP(C2991,#REF!,#REF!)),0)</f>
        <v>1</v>
      </c>
    </row>
    <row r="2992" customFormat="1" spans="1:20">
      <c r="A2992">
        <f t="shared" si="123"/>
        <v>1256</v>
      </c>
      <c r="B2992">
        <f t="shared" si="124"/>
        <v>5</v>
      </c>
      <c r="C2992" s="13" t="s">
        <v>397</v>
      </c>
      <c r="D2992" t="s">
        <v>21</v>
      </c>
      <c r="E2992" s="13" t="s">
        <v>392</v>
      </c>
      <c r="G2992">
        <v>2</v>
      </c>
      <c r="H2992">
        <v>500</v>
      </c>
      <c r="I2992">
        <v>2</v>
      </c>
      <c r="J2992" cm="1">
        <f t="array" ref="J2992">_xlfn.SWITCH(B2992,1,75,2,61,3,49,4,37,5,25,6,13,7,4,8,1)</f>
        <v>25</v>
      </c>
      <c r="K2992" t="str" cm="1">
        <f t="array" ref="K2992">IFERROR(_xlfn.SWITCH(L2992,2,_xlfn.XLOOKUP(C2992,[1]ModifierDes!$B:$B,[1]ModifierDes!$C:$C),3,_xlfn.XLOOKUP(C2992,[1]StuntDes!$B:$B,[1]StuntDes!$C:$C)),"")</f>
        <v/>
      </c>
      <c r="L2992">
        <f t="shared" si="121"/>
        <v>1</v>
      </c>
      <c r="M2992" s="10" t="str">
        <f>IFERROR(_xlfn.XLOOKUP(C2992,[1]StuntDes!$B:$B,[1]StuntDes!$A:$A),"")</f>
        <v/>
      </c>
      <c r="N2992" s="10" t="str">
        <f>IFERROR(_xlfn.XLOOKUP(C2992,[1]ModifierDes!$B:$B,[1]ModifierDes!$A:$A),"")</f>
        <v/>
      </c>
      <c r="O2992" s="10">
        <f>IFERROR(_xlfn.XLOOKUP(C2992,[1]AttributeName!$C:$C,[1]AttributeName!$B:$B),"")</f>
        <v>10406</v>
      </c>
      <c r="P2992" s="10"/>
      <c r="Q2992">
        <v>1</v>
      </c>
      <c r="R2992">
        <v>1</v>
      </c>
      <c r="S2992" cm="1">
        <f t="array" ref="S2992">IFERROR(_xlfn.SWITCH(L2992,1,_xlfn.XLOOKUP(O2992,[1]AttributeName!$B:$B,[1]AttributeName!$D:$D),2,_xlfn.XLOOKUP(C2992,#REF!,#REF!),3,_xlfn.XLOOKUP(C2992,#REF!,#REF!)),0)</f>
        <v>0</v>
      </c>
      <c r="T2992" cm="1">
        <f t="array" ref="T2992">IFERROR(_xlfn.SWITCH(L2992,1,_xlfn.XLOOKUP(O2992,[1]AttributeName!$B:$B,[1]AttributeName!$E:$E),2,_xlfn.XLOOKUP(C2992,#REF!,#REF!),3,_xlfn.XLOOKUP(C2992,#REF!,#REF!)),0)</f>
        <v>1</v>
      </c>
    </row>
    <row r="2993" customFormat="1" spans="1:20">
      <c r="A2993">
        <f t="shared" si="123"/>
        <v>1257</v>
      </c>
      <c r="B2993">
        <f t="shared" si="124"/>
        <v>1</v>
      </c>
      <c r="C2993" s="13" t="s">
        <v>398</v>
      </c>
      <c r="D2993" t="s">
        <v>21</v>
      </c>
      <c r="E2993" s="13" t="s">
        <v>392</v>
      </c>
      <c r="G2993">
        <v>2</v>
      </c>
      <c r="H2993">
        <v>100</v>
      </c>
      <c r="I2993">
        <v>2</v>
      </c>
      <c r="J2993" cm="1">
        <f t="array" ref="J2993">_xlfn.SWITCH(B2993,1,75,2,61,3,49,4,37,5,25,6,13,7,4,8,1)</f>
        <v>75</v>
      </c>
      <c r="K2993" t="str" cm="1">
        <f t="array" ref="K2993">IFERROR(_xlfn.SWITCH(L2993,2,_xlfn.XLOOKUP(C2993,[1]ModifierDes!$B:$B,[1]ModifierDes!$C:$C),3,_xlfn.XLOOKUP(C2993,[1]StuntDes!$B:$B,[1]StuntDes!$C:$C)),"")</f>
        <v/>
      </c>
      <c r="L2993">
        <f t="shared" si="121"/>
        <v>1</v>
      </c>
      <c r="M2993" s="10" t="str">
        <f>IFERROR(_xlfn.XLOOKUP(C2993,[1]StuntDes!$B:$B,[1]StuntDes!$A:$A),"")</f>
        <v/>
      </c>
      <c r="N2993" s="10" t="str">
        <f>IFERROR(_xlfn.XLOOKUP(C2993,[1]ModifierDes!$B:$B,[1]ModifierDes!$A:$A),"")</f>
        <v/>
      </c>
      <c r="O2993" s="10">
        <f>IFERROR(_xlfn.XLOOKUP(C2993,[1]AttributeName!$C:$C,[1]AttributeName!$B:$B),"")</f>
        <v>10407</v>
      </c>
      <c r="P2993" s="10"/>
      <c r="Q2993">
        <v>4</v>
      </c>
      <c r="R2993">
        <v>6</v>
      </c>
      <c r="S2993" cm="1">
        <f t="array" ref="S2993">IFERROR(_xlfn.SWITCH(L2993,1,_xlfn.XLOOKUP(O2993,[1]AttributeName!$B:$B,[1]AttributeName!$D:$D),2,_xlfn.XLOOKUP(C2993,#REF!,#REF!),3,_xlfn.XLOOKUP(C2993,#REF!,#REF!)),0)</f>
        <v>0</v>
      </c>
      <c r="T2993" cm="1">
        <f t="array" ref="T2993">IFERROR(_xlfn.SWITCH(L2993,1,_xlfn.XLOOKUP(O2993,[1]AttributeName!$B:$B,[1]AttributeName!$E:$E),2,_xlfn.XLOOKUP(C2993,#REF!,#REF!),3,_xlfn.XLOOKUP(C2993,#REF!,#REF!)),0)</f>
        <v>1</v>
      </c>
    </row>
    <row r="2994" customFormat="1" spans="1:20">
      <c r="A2994">
        <f t="shared" si="123"/>
        <v>1257</v>
      </c>
      <c r="B2994">
        <f t="shared" si="124"/>
        <v>3</v>
      </c>
      <c r="C2994" s="13" t="s">
        <v>398</v>
      </c>
      <c r="D2994" t="s">
        <v>21</v>
      </c>
      <c r="E2994" s="13" t="s">
        <v>392</v>
      </c>
      <c r="G2994">
        <v>2</v>
      </c>
      <c r="H2994">
        <v>200</v>
      </c>
      <c r="I2994">
        <v>2</v>
      </c>
      <c r="J2994" cm="1">
        <f t="array" ref="J2994">_xlfn.SWITCH(B2994,1,75,2,61,3,49,4,37,5,25,6,13,7,4,8,1)</f>
        <v>49</v>
      </c>
      <c r="K2994" t="str" cm="1">
        <f t="array" ref="K2994">IFERROR(_xlfn.SWITCH(L2994,2,_xlfn.XLOOKUP(C2994,[1]ModifierDes!$B:$B,[1]ModifierDes!$C:$C),3,_xlfn.XLOOKUP(C2994,[1]StuntDes!$B:$B,[1]StuntDes!$C:$C)),"")</f>
        <v/>
      </c>
      <c r="L2994">
        <f t="shared" si="121"/>
        <v>1</v>
      </c>
      <c r="M2994" s="10" t="str">
        <f>IFERROR(_xlfn.XLOOKUP(C2994,[1]StuntDes!$B:$B,[1]StuntDes!$A:$A),"")</f>
        <v/>
      </c>
      <c r="N2994" s="10" t="str">
        <f>IFERROR(_xlfn.XLOOKUP(C2994,[1]ModifierDes!$B:$B,[1]ModifierDes!$A:$A),"")</f>
        <v/>
      </c>
      <c r="O2994" s="10">
        <f>IFERROR(_xlfn.XLOOKUP(C2994,[1]AttributeName!$C:$C,[1]AttributeName!$B:$B),"")</f>
        <v>10407</v>
      </c>
      <c r="P2994" s="10"/>
      <c r="Q2994">
        <v>2</v>
      </c>
      <c r="R2994">
        <v>3</v>
      </c>
      <c r="S2994" cm="1">
        <f t="array" ref="S2994">IFERROR(_xlfn.SWITCH(L2994,1,_xlfn.XLOOKUP(O2994,[1]AttributeName!$B:$B,[1]AttributeName!$D:$D),2,_xlfn.XLOOKUP(C2994,#REF!,#REF!),3,_xlfn.XLOOKUP(C2994,#REF!,#REF!)),0)</f>
        <v>0</v>
      </c>
      <c r="T2994" cm="1">
        <f t="array" ref="T2994">IFERROR(_xlfn.SWITCH(L2994,1,_xlfn.XLOOKUP(O2994,[1]AttributeName!$B:$B,[1]AttributeName!$E:$E),2,_xlfn.XLOOKUP(C2994,#REF!,#REF!),3,_xlfn.XLOOKUP(C2994,#REF!,#REF!)),0)</f>
        <v>1</v>
      </c>
    </row>
    <row r="2995" customFormat="1" spans="1:20">
      <c r="A2995">
        <f t="shared" si="123"/>
        <v>1257</v>
      </c>
      <c r="B2995">
        <f t="shared" si="124"/>
        <v>5</v>
      </c>
      <c r="C2995" s="13" t="s">
        <v>398</v>
      </c>
      <c r="D2995" t="s">
        <v>21</v>
      </c>
      <c r="E2995" s="13" t="s">
        <v>392</v>
      </c>
      <c r="G2995">
        <v>2</v>
      </c>
      <c r="H2995">
        <v>500</v>
      </c>
      <c r="I2995">
        <v>2</v>
      </c>
      <c r="J2995" cm="1">
        <f t="array" ref="J2995">_xlfn.SWITCH(B2995,1,75,2,61,3,49,4,37,5,25,6,13,7,4,8,1)</f>
        <v>25</v>
      </c>
      <c r="K2995" t="str" cm="1">
        <f t="array" ref="K2995">IFERROR(_xlfn.SWITCH(L2995,2,_xlfn.XLOOKUP(C2995,[1]ModifierDes!$B:$B,[1]ModifierDes!$C:$C),3,_xlfn.XLOOKUP(C2995,[1]StuntDes!$B:$B,[1]StuntDes!$C:$C)),"")</f>
        <v/>
      </c>
      <c r="L2995">
        <f t="shared" si="121"/>
        <v>1</v>
      </c>
      <c r="M2995" s="10" t="str">
        <f>IFERROR(_xlfn.XLOOKUP(C2995,[1]StuntDes!$B:$B,[1]StuntDes!$A:$A),"")</f>
        <v/>
      </c>
      <c r="N2995" s="10" t="str">
        <f>IFERROR(_xlfn.XLOOKUP(C2995,[1]ModifierDes!$B:$B,[1]ModifierDes!$A:$A),"")</f>
        <v/>
      </c>
      <c r="O2995" s="10">
        <f>IFERROR(_xlfn.XLOOKUP(C2995,[1]AttributeName!$C:$C,[1]AttributeName!$B:$B),"")</f>
        <v>10407</v>
      </c>
      <c r="P2995" s="10"/>
      <c r="Q2995">
        <v>1</v>
      </c>
      <c r="R2995">
        <v>1</v>
      </c>
      <c r="S2995" cm="1">
        <f t="array" ref="S2995">IFERROR(_xlfn.SWITCH(L2995,1,_xlfn.XLOOKUP(O2995,[1]AttributeName!$B:$B,[1]AttributeName!$D:$D),2,_xlfn.XLOOKUP(C2995,#REF!,#REF!),3,_xlfn.XLOOKUP(C2995,#REF!,#REF!)),0)</f>
        <v>0</v>
      </c>
      <c r="T2995" cm="1">
        <f t="array" ref="T2995">IFERROR(_xlfn.SWITCH(L2995,1,_xlfn.XLOOKUP(O2995,[1]AttributeName!$B:$B,[1]AttributeName!$E:$E),2,_xlfn.XLOOKUP(C2995,#REF!,#REF!),3,_xlfn.XLOOKUP(C2995,#REF!,#REF!)),0)</f>
        <v>1</v>
      </c>
    </row>
    <row r="2996" customFormat="1" spans="1:20">
      <c r="A2996">
        <v>1258</v>
      </c>
      <c r="B2996">
        <v>1</v>
      </c>
      <c r="C2996" t="s">
        <v>435</v>
      </c>
      <c r="D2996" t="s">
        <v>21</v>
      </c>
      <c r="E2996" s="13" t="s">
        <v>392</v>
      </c>
      <c r="G2996">
        <v>2</v>
      </c>
      <c r="H2996">
        <v>100</v>
      </c>
      <c r="J2996" cm="1">
        <f t="array" ref="J2996">_xlfn.SWITCH(B2996,1,75,2,61,3,49,4,37,5,25,6,13,7,4,8,1)</f>
        <v>75</v>
      </c>
      <c r="K2996" t="str" cm="1">
        <f t="array" ref="K2996">IFERROR(_xlfn.SWITCH(L2996,2,_xlfn.XLOOKUP(C2996,[1]ModifierDes!$B:$B,[1]ModifierDes!$C:$C),3,_xlfn.XLOOKUP(C2996,[1]StuntDes!$B:$B,[1]StuntDes!$C:$C)),"")</f>
        <v/>
      </c>
      <c r="L2996">
        <f t="shared" si="121"/>
        <v>1</v>
      </c>
      <c r="M2996" s="10" t="str">
        <f>IFERROR(_xlfn.XLOOKUP(C2996,[1]StuntDes!$B:$B,[1]StuntDes!$A:$A),"")</f>
        <v/>
      </c>
      <c r="N2996" s="10" t="str">
        <f>IFERROR(_xlfn.XLOOKUP(C2996,[1]ModifierDes!$B:$B,[1]ModifierDes!$A:$A),"")</f>
        <v/>
      </c>
      <c r="O2996" s="10">
        <f>IFERROR(_xlfn.XLOOKUP(C2996,[1]AttributeName!$C:$C,[1]AttributeName!$B:$B),"")</f>
        <v>10103</v>
      </c>
      <c r="P2996" s="10"/>
      <c r="Q2996">
        <v>1.2</v>
      </c>
      <c r="R2996">
        <v>1.6</v>
      </c>
      <c r="S2996" cm="1">
        <f t="array" ref="S2996">IFERROR(_xlfn.SWITCH(L2996,1,_xlfn.XLOOKUP(O2996,[1]AttributeName!$B:$B,[1]AttributeName!$D:$D),2,_xlfn.XLOOKUP(C2996,#REF!,#REF!),3,_xlfn.XLOOKUP(C2996,#REF!,#REF!)),0)</f>
        <v>2</v>
      </c>
      <c r="T2996" cm="1">
        <f t="array" ref="T2996">IFERROR(_xlfn.SWITCH(L2996,1,_xlfn.XLOOKUP(O2996,[1]AttributeName!$B:$B,[1]AttributeName!$E:$E),2,_xlfn.XLOOKUP(C2996,#REF!,#REF!),3,_xlfn.XLOOKUP(C2996,#REF!,#REF!)),0)</f>
        <v>2</v>
      </c>
    </row>
    <row r="2997" customFormat="1" spans="1:20">
      <c r="A2997">
        <v>1258</v>
      </c>
      <c r="B2997">
        <v>2</v>
      </c>
      <c r="C2997" t="s">
        <v>435</v>
      </c>
      <c r="D2997" t="s">
        <v>21</v>
      </c>
      <c r="E2997" s="13" t="s">
        <v>392</v>
      </c>
      <c r="G2997">
        <v>2</v>
      </c>
      <c r="H2997">
        <v>200</v>
      </c>
      <c r="J2997" cm="1">
        <f t="array" ref="J2997">_xlfn.SWITCH(B2997,1,75,2,61,3,49,4,37,5,25,6,13,7,4,8,1)</f>
        <v>61</v>
      </c>
      <c r="K2997" t="str" cm="1">
        <f t="array" ref="K2997">IFERROR(_xlfn.SWITCH(L2997,2,_xlfn.XLOOKUP(C2997,[1]ModifierDes!$B:$B,[1]ModifierDes!$C:$C),3,_xlfn.XLOOKUP(C2997,[1]StuntDes!$B:$B,[1]StuntDes!$C:$C)),"")</f>
        <v/>
      </c>
      <c r="L2997">
        <f t="shared" si="121"/>
        <v>1</v>
      </c>
      <c r="M2997" s="10" t="str">
        <f>IFERROR(_xlfn.XLOOKUP(C2997,[1]StuntDes!$B:$B,[1]StuntDes!$A:$A),"")</f>
        <v/>
      </c>
      <c r="N2997" s="10" t="str">
        <f>IFERROR(_xlfn.XLOOKUP(C2997,[1]ModifierDes!$B:$B,[1]ModifierDes!$A:$A),"")</f>
        <v/>
      </c>
      <c r="O2997" s="10">
        <f>IFERROR(_xlfn.XLOOKUP(C2997,[1]AttributeName!$C:$C,[1]AttributeName!$B:$B),"")</f>
        <v>10103</v>
      </c>
      <c r="P2997" s="10"/>
      <c r="Q2997">
        <v>1.04</v>
      </c>
      <c r="R2997">
        <v>1.18</v>
      </c>
      <c r="S2997" cm="1">
        <f t="array" ref="S2997">IFERROR(_xlfn.SWITCH(L2997,1,_xlfn.XLOOKUP(O2997,[1]AttributeName!$B:$B,[1]AttributeName!$D:$D),2,_xlfn.XLOOKUP(C2997,#REF!,#REF!),3,_xlfn.XLOOKUP(C2997,#REF!,#REF!)),0)</f>
        <v>2</v>
      </c>
      <c r="T2997" cm="1">
        <f t="array" ref="T2997">IFERROR(_xlfn.SWITCH(L2997,1,_xlfn.XLOOKUP(O2997,[1]AttributeName!$B:$B,[1]AttributeName!$E:$E),2,_xlfn.XLOOKUP(C2997,#REF!,#REF!),3,_xlfn.XLOOKUP(C2997,#REF!,#REF!)),0)</f>
        <v>2</v>
      </c>
    </row>
    <row r="2998" customFormat="1" spans="1:20">
      <c r="A2998">
        <v>1258</v>
      </c>
      <c r="B2998">
        <v>3</v>
      </c>
      <c r="C2998" t="s">
        <v>435</v>
      </c>
      <c r="D2998" t="s">
        <v>21</v>
      </c>
      <c r="E2998" s="13" t="s">
        <v>392</v>
      </c>
      <c r="G2998">
        <v>2</v>
      </c>
      <c r="H2998">
        <v>500</v>
      </c>
      <c r="J2998" cm="1">
        <f t="array" ref="J2998">_xlfn.SWITCH(B2998,1,75,2,61,3,49,4,37,5,25,6,13,7,4,8,1)</f>
        <v>49</v>
      </c>
      <c r="K2998" t="str" cm="1">
        <f t="array" ref="K2998">IFERROR(_xlfn.SWITCH(L2998,2,_xlfn.XLOOKUP(C2998,[1]ModifierDes!$B:$B,[1]ModifierDes!$C:$C),3,_xlfn.XLOOKUP(C2998,[1]StuntDes!$B:$B,[1]StuntDes!$C:$C)),"")</f>
        <v/>
      </c>
      <c r="L2998">
        <f t="shared" si="121"/>
        <v>1</v>
      </c>
      <c r="M2998" s="10" t="str">
        <f>IFERROR(_xlfn.XLOOKUP(C2998,[1]StuntDes!$B:$B,[1]StuntDes!$A:$A),"")</f>
        <v/>
      </c>
      <c r="N2998" s="10" t="str">
        <f>IFERROR(_xlfn.XLOOKUP(C2998,[1]ModifierDes!$B:$B,[1]ModifierDes!$A:$A),"")</f>
        <v/>
      </c>
      <c r="O2998" s="10">
        <f>IFERROR(_xlfn.XLOOKUP(C2998,[1]AttributeName!$C:$C,[1]AttributeName!$B:$B),"")</f>
        <v>10103</v>
      </c>
      <c r="P2998" s="10"/>
      <c r="Q2998">
        <v>0.88</v>
      </c>
      <c r="R2998">
        <v>1.02</v>
      </c>
      <c r="S2998" cm="1">
        <f t="array" ref="S2998">IFERROR(_xlfn.SWITCH(L2998,1,_xlfn.XLOOKUP(O2998,[1]AttributeName!$B:$B,[1]AttributeName!$D:$D),2,_xlfn.XLOOKUP(C2998,#REF!,#REF!),3,_xlfn.XLOOKUP(C2998,#REF!,#REF!)),0)</f>
        <v>2</v>
      </c>
      <c r="T2998" cm="1">
        <f t="array" ref="T2998">IFERROR(_xlfn.SWITCH(L2998,1,_xlfn.XLOOKUP(O2998,[1]AttributeName!$B:$B,[1]AttributeName!$E:$E),2,_xlfn.XLOOKUP(C2998,#REF!,#REF!),3,_xlfn.XLOOKUP(C2998,#REF!,#REF!)),0)</f>
        <v>2</v>
      </c>
    </row>
    <row r="2999" customFormat="1" spans="1:20">
      <c r="A2999">
        <v>1258</v>
      </c>
      <c r="B2999">
        <v>4</v>
      </c>
      <c r="C2999" t="s">
        <v>435</v>
      </c>
      <c r="D2999" t="s">
        <v>21</v>
      </c>
      <c r="E2999" s="13" t="s">
        <v>392</v>
      </c>
      <c r="G2999">
        <v>2</v>
      </c>
      <c r="H2999">
        <v>1000</v>
      </c>
      <c r="J2999" cm="1">
        <f t="array" ref="J2999">_xlfn.SWITCH(B2999,1,75,2,61,3,49,4,37,5,25,6,13,7,4,8,1)</f>
        <v>37</v>
      </c>
      <c r="K2999" t="str" cm="1">
        <f t="array" ref="K2999">IFERROR(_xlfn.SWITCH(L2999,2,_xlfn.XLOOKUP(C2999,[1]ModifierDes!$B:$B,[1]ModifierDes!$C:$C),3,_xlfn.XLOOKUP(C2999,[1]StuntDes!$B:$B,[1]StuntDes!$C:$C)),"")</f>
        <v/>
      </c>
      <c r="L2999">
        <f t="shared" si="121"/>
        <v>1</v>
      </c>
      <c r="M2999" s="10" t="str">
        <f>IFERROR(_xlfn.XLOOKUP(C2999,[1]StuntDes!$B:$B,[1]StuntDes!$A:$A),"")</f>
        <v/>
      </c>
      <c r="N2999" s="10" t="str">
        <f>IFERROR(_xlfn.XLOOKUP(C2999,[1]ModifierDes!$B:$B,[1]ModifierDes!$A:$A),"")</f>
        <v/>
      </c>
      <c r="O2999" s="10">
        <f>IFERROR(_xlfn.XLOOKUP(C2999,[1]AttributeName!$C:$C,[1]AttributeName!$B:$B),"")</f>
        <v>10103</v>
      </c>
      <c r="P2999" s="10"/>
      <c r="Q2999">
        <v>0.72</v>
      </c>
      <c r="R2999">
        <v>0.86</v>
      </c>
      <c r="S2999" cm="1">
        <f t="array" ref="S2999">IFERROR(_xlfn.SWITCH(L2999,1,_xlfn.XLOOKUP(O2999,[1]AttributeName!$B:$B,[1]AttributeName!$D:$D),2,_xlfn.XLOOKUP(C2999,#REF!,#REF!),3,_xlfn.XLOOKUP(C2999,#REF!,#REF!)),0)</f>
        <v>2</v>
      </c>
      <c r="T2999" cm="1">
        <f t="array" ref="T2999">IFERROR(_xlfn.SWITCH(L2999,1,_xlfn.XLOOKUP(O2999,[1]AttributeName!$B:$B,[1]AttributeName!$E:$E),2,_xlfn.XLOOKUP(C2999,#REF!,#REF!),3,_xlfn.XLOOKUP(C2999,#REF!,#REF!)),0)</f>
        <v>2</v>
      </c>
    </row>
    <row r="3000" customFormat="1" spans="1:20">
      <c r="A3000">
        <v>1258</v>
      </c>
      <c r="B3000">
        <v>5</v>
      </c>
      <c r="C3000" t="s">
        <v>435</v>
      </c>
      <c r="D3000" t="s">
        <v>21</v>
      </c>
      <c r="E3000" s="13" t="s">
        <v>392</v>
      </c>
      <c r="G3000">
        <v>2</v>
      </c>
      <c r="H3000">
        <v>1000</v>
      </c>
      <c r="J3000" cm="1">
        <f t="array" ref="J3000">_xlfn.SWITCH(B3000,1,75,2,61,3,49,4,37,5,25,6,13,7,4,8,1)</f>
        <v>25</v>
      </c>
      <c r="K3000" t="str" cm="1">
        <f t="array" ref="K3000">IFERROR(_xlfn.SWITCH(L3000,2,_xlfn.XLOOKUP(C3000,[1]ModifierDes!$B:$B,[1]ModifierDes!$C:$C),3,_xlfn.XLOOKUP(C3000,[1]StuntDes!$B:$B,[1]StuntDes!$C:$C)),"")</f>
        <v/>
      </c>
      <c r="L3000">
        <f t="shared" si="121"/>
        <v>1</v>
      </c>
      <c r="M3000" s="10" t="str">
        <f>IFERROR(_xlfn.XLOOKUP(C3000,[1]StuntDes!$B:$B,[1]StuntDes!$A:$A),"")</f>
        <v/>
      </c>
      <c r="N3000" s="10" t="str">
        <f>IFERROR(_xlfn.XLOOKUP(C3000,[1]ModifierDes!$B:$B,[1]ModifierDes!$A:$A),"")</f>
        <v/>
      </c>
      <c r="O3000" s="10">
        <f>IFERROR(_xlfn.XLOOKUP(C3000,[1]AttributeName!$C:$C,[1]AttributeName!$B:$B),"")</f>
        <v>10103</v>
      </c>
      <c r="P3000" s="10"/>
      <c r="Q3000">
        <v>0.56</v>
      </c>
      <c r="R3000">
        <v>0.7</v>
      </c>
      <c r="S3000" cm="1">
        <f t="array" ref="S3000">IFERROR(_xlfn.SWITCH(L3000,1,_xlfn.XLOOKUP(O3000,[1]AttributeName!$B:$B,[1]AttributeName!$D:$D),2,_xlfn.XLOOKUP(C3000,#REF!,#REF!),3,_xlfn.XLOOKUP(C3000,#REF!,#REF!)),0)</f>
        <v>2</v>
      </c>
      <c r="T3000" cm="1">
        <f t="array" ref="T3000">IFERROR(_xlfn.SWITCH(L3000,1,_xlfn.XLOOKUP(O3000,[1]AttributeName!$B:$B,[1]AttributeName!$E:$E),2,_xlfn.XLOOKUP(C3000,#REF!,#REF!),3,_xlfn.XLOOKUP(C3000,#REF!,#REF!)),0)</f>
        <v>2</v>
      </c>
    </row>
    <row r="3001" customFormat="1" spans="1:20">
      <c r="A3001">
        <v>1258</v>
      </c>
      <c r="B3001">
        <v>6</v>
      </c>
      <c r="C3001" t="s">
        <v>435</v>
      </c>
      <c r="D3001" t="s">
        <v>21</v>
      </c>
      <c r="E3001" s="13" t="s">
        <v>392</v>
      </c>
      <c r="G3001">
        <v>2</v>
      </c>
      <c r="H3001">
        <v>1000</v>
      </c>
      <c r="J3001" cm="1">
        <f t="array" ref="J3001">_xlfn.SWITCH(B3001,1,75,2,61,3,49,4,37,5,25,6,13,7,4,8,1)</f>
        <v>13</v>
      </c>
      <c r="K3001" t="str" cm="1">
        <f t="array" ref="K3001">IFERROR(_xlfn.SWITCH(L3001,2,_xlfn.XLOOKUP(C3001,[1]ModifierDes!$B:$B,[1]ModifierDes!$C:$C),3,_xlfn.XLOOKUP(C3001,[1]StuntDes!$B:$B,[1]StuntDes!$C:$C)),"")</f>
        <v/>
      </c>
      <c r="L3001">
        <f t="shared" si="121"/>
        <v>1</v>
      </c>
      <c r="M3001" s="10" t="str">
        <f>IFERROR(_xlfn.XLOOKUP(C3001,[1]StuntDes!$B:$B,[1]StuntDes!$A:$A),"")</f>
        <v/>
      </c>
      <c r="N3001" s="10" t="str">
        <f>IFERROR(_xlfn.XLOOKUP(C3001,[1]ModifierDes!$B:$B,[1]ModifierDes!$A:$A),"")</f>
        <v/>
      </c>
      <c r="O3001" s="10">
        <f>IFERROR(_xlfn.XLOOKUP(C3001,[1]AttributeName!$C:$C,[1]AttributeName!$B:$B),"")</f>
        <v>10103</v>
      </c>
      <c r="P3001" s="10"/>
      <c r="Q3001">
        <v>0.4</v>
      </c>
      <c r="R3001">
        <v>0.54</v>
      </c>
      <c r="S3001" cm="1">
        <f t="array" ref="S3001">IFERROR(_xlfn.SWITCH(L3001,1,_xlfn.XLOOKUP(O3001,[1]AttributeName!$B:$B,[1]AttributeName!$D:$D),2,_xlfn.XLOOKUP(C3001,#REF!,#REF!),3,_xlfn.XLOOKUP(C3001,#REF!,#REF!)),0)</f>
        <v>2</v>
      </c>
      <c r="T3001" cm="1">
        <f t="array" ref="T3001">IFERROR(_xlfn.SWITCH(L3001,1,_xlfn.XLOOKUP(O3001,[1]AttributeName!$B:$B,[1]AttributeName!$E:$E),2,_xlfn.XLOOKUP(C3001,#REF!,#REF!),3,_xlfn.XLOOKUP(C3001,#REF!,#REF!)),0)</f>
        <v>2</v>
      </c>
    </row>
    <row r="3002" customFormat="1" spans="1:20">
      <c r="A3002">
        <v>1258</v>
      </c>
      <c r="B3002">
        <v>7</v>
      </c>
      <c r="C3002" t="s">
        <v>435</v>
      </c>
      <c r="D3002" t="s">
        <v>21</v>
      </c>
      <c r="E3002" s="13" t="s">
        <v>392</v>
      </c>
      <c r="G3002">
        <v>2</v>
      </c>
      <c r="H3002">
        <v>1000</v>
      </c>
      <c r="J3002" cm="1">
        <f t="array" ref="J3002">_xlfn.SWITCH(B3002,1,75,2,61,3,49,4,37,5,25,6,13,7,4,8,1)</f>
        <v>4</v>
      </c>
      <c r="K3002" t="str" cm="1">
        <f t="array" ref="K3002">IFERROR(_xlfn.SWITCH(L3002,2,_xlfn.XLOOKUP(C3002,[1]ModifierDes!$B:$B,[1]ModifierDes!$C:$C),3,_xlfn.XLOOKUP(C3002,[1]StuntDes!$B:$B,[1]StuntDes!$C:$C)),"")</f>
        <v/>
      </c>
      <c r="L3002">
        <f t="shared" si="121"/>
        <v>1</v>
      </c>
      <c r="M3002" s="10" t="str">
        <f>IFERROR(_xlfn.XLOOKUP(C3002,[1]StuntDes!$B:$B,[1]StuntDes!$A:$A),"")</f>
        <v/>
      </c>
      <c r="N3002" s="10" t="str">
        <f>IFERROR(_xlfn.XLOOKUP(C3002,[1]ModifierDes!$B:$B,[1]ModifierDes!$A:$A),"")</f>
        <v/>
      </c>
      <c r="O3002" s="10">
        <f>IFERROR(_xlfn.XLOOKUP(C3002,[1]AttributeName!$C:$C,[1]AttributeName!$B:$B),"")</f>
        <v>10103</v>
      </c>
      <c r="P3002" s="10"/>
      <c r="Q3002">
        <v>0.24</v>
      </c>
      <c r="R3002">
        <v>0.38</v>
      </c>
      <c r="S3002" cm="1">
        <f t="array" ref="S3002">IFERROR(_xlfn.SWITCH(L3002,1,_xlfn.XLOOKUP(O3002,[1]AttributeName!$B:$B,[1]AttributeName!$D:$D),2,_xlfn.XLOOKUP(C3002,#REF!,#REF!),3,_xlfn.XLOOKUP(C3002,#REF!,#REF!)),0)</f>
        <v>2</v>
      </c>
      <c r="T3002" cm="1">
        <f t="array" ref="T3002">IFERROR(_xlfn.SWITCH(L3002,1,_xlfn.XLOOKUP(O3002,[1]AttributeName!$B:$B,[1]AttributeName!$E:$E),2,_xlfn.XLOOKUP(C3002,#REF!,#REF!),3,_xlfn.XLOOKUP(C3002,#REF!,#REF!)),0)</f>
        <v>2</v>
      </c>
    </row>
    <row r="3003" customFormat="1" spans="1:20">
      <c r="A3003">
        <v>1258</v>
      </c>
      <c r="B3003">
        <v>8</v>
      </c>
      <c r="C3003" t="s">
        <v>435</v>
      </c>
      <c r="D3003" t="s">
        <v>21</v>
      </c>
      <c r="E3003" s="13" t="s">
        <v>392</v>
      </c>
      <c r="G3003">
        <v>2</v>
      </c>
      <c r="H3003">
        <v>1000</v>
      </c>
      <c r="J3003" cm="1">
        <f t="array" ref="J3003">_xlfn.SWITCH(B3003,1,75,2,61,3,49,4,37,5,25,6,13,7,4,8,1)</f>
        <v>1</v>
      </c>
      <c r="K3003" t="str" cm="1">
        <f t="array" ref="K3003">IFERROR(_xlfn.SWITCH(L3003,2,_xlfn.XLOOKUP(C3003,[1]ModifierDes!$B:$B,[1]ModifierDes!$C:$C),3,_xlfn.XLOOKUP(C3003,[1]StuntDes!$B:$B,[1]StuntDes!$C:$C)),"")</f>
        <v/>
      </c>
      <c r="L3003">
        <f t="shared" si="121"/>
        <v>1</v>
      </c>
      <c r="M3003" s="10" t="str">
        <f>IFERROR(_xlfn.XLOOKUP(C3003,[1]StuntDes!$B:$B,[1]StuntDes!$A:$A),"")</f>
        <v/>
      </c>
      <c r="N3003" s="10" t="str">
        <f>IFERROR(_xlfn.XLOOKUP(C3003,[1]ModifierDes!$B:$B,[1]ModifierDes!$A:$A),"")</f>
        <v/>
      </c>
      <c r="O3003" s="10">
        <f>IFERROR(_xlfn.XLOOKUP(C3003,[1]AttributeName!$C:$C,[1]AttributeName!$B:$B),"")</f>
        <v>10103</v>
      </c>
      <c r="P3003" s="10"/>
      <c r="Q3003">
        <v>0.0799999999999998</v>
      </c>
      <c r="R3003">
        <v>0.22</v>
      </c>
      <c r="S3003" cm="1">
        <f t="array" ref="S3003">IFERROR(_xlfn.SWITCH(L3003,1,_xlfn.XLOOKUP(O3003,[1]AttributeName!$B:$B,[1]AttributeName!$D:$D),2,_xlfn.XLOOKUP(C3003,#REF!,#REF!),3,_xlfn.XLOOKUP(C3003,#REF!,#REF!)),0)</f>
        <v>2</v>
      </c>
      <c r="T3003" cm="1">
        <f t="array" ref="T3003">IFERROR(_xlfn.SWITCH(L3003,1,_xlfn.XLOOKUP(O3003,[1]AttributeName!$B:$B,[1]AttributeName!$E:$E),2,_xlfn.XLOOKUP(C3003,#REF!,#REF!),3,_xlfn.XLOOKUP(C3003,#REF!,#REF!)),0)</f>
        <v>2</v>
      </c>
    </row>
    <row r="3004" customFormat="1" spans="1:20">
      <c r="A3004">
        <f t="shared" ref="A3004:A3067" si="125">A2996+1</f>
        <v>1259</v>
      </c>
      <c r="B3004">
        <v>1</v>
      </c>
      <c r="C3004" t="s">
        <v>426</v>
      </c>
      <c r="D3004" t="s">
        <v>21</v>
      </c>
      <c r="E3004" s="13" t="s">
        <v>392</v>
      </c>
      <c r="G3004">
        <v>2</v>
      </c>
      <c r="H3004">
        <v>100</v>
      </c>
      <c r="J3004" cm="1">
        <f t="array" ref="J3004">_xlfn.SWITCH(B3004,1,75,2,61,3,49,4,37,5,25,6,13,7,4,8,1)</f>
        <v>75</v>
      </c>
      <c r="K3004" t="str" cm="1">
        <f t="array" ref="K3004">IFERROR(_xlfn.SWITCH(L3004,2,_xlfn.XLOOKUP(C3004,[1]ModifierDes!$B:$B,[1]ModifierDes!$C:$C),3,_xlfn.XLOOKUP(C3004,[1]StuntDes!$B:$B,[1]StuntDes!$C:$C)),"")</f>
        <v>法术暴击伤害增加{0}</v>
      </c>
      <c r="L3004">
        <f t="shared" si="121"/>
        <v>2</v>
      </c>
      <c r="M3004" s="10" t="str">
        <f>IFERROR(_xlfn.XLOOKUP(C3004,[1]StuntDes!$B:$B,[1]StuntDes!$A:$A),"")</f>
        <v/>
      </c>
      <c r="N3004" s="10">
        <f>IFERROR(_xlfn.XLOOKUP(C3004,[1]ModifierDes!$B:$B,[1]ModifierDes!$A:$A),"")</f>
        <v>10061</v>
      </c>
      <c r="O3004" s="10"/>
      <c r="P3004" s="10"/>
      <c r="Q3004">
        <v>1.2</v>
      </c>
      <c r="R3004">
        <v>1.6</v>
      </c>
      <c r="S3004" cm="1">
        <f t="array" ref="S3004">IFERROR(_xlfn.SWITCH(L3004,1,_xlfn.XLOOKUP(O3004,[1]AttributeName!$B:$B,[1]AttributeName!$D:$D),2,_xlfn.XLOOKUP(C3004,#REF!,#REF!),3,_xlfn.XLOOKUP(C3004,#REF!,#REF!)),0)</f>
        <v>0</v>
      </c>
      <c r="T3004" cm="1">
        <f t="array" ref="T3004">IFERROR(_xlfn.SWITCH(L3004,1,_xlfn.XLOOKUP(O3004,[1]AttributeName!$B:$B,[1]AttributeName!$E:$E),2,_xlfn.XLOOKUP(C3004,#REF!,#REF!),3,_xlfn.XLOOKUP(C3004,#REF!,#REF!)),0)</f>
        <v>0</v>
      </c>
    </row>
    <row r="3005" customFormat="1" spans="1:20">
      <c r="A3005">
        <f t="shared" si="125"/>
        <v>1259</v>
      </c>
      <c r="B3005">
        <v>2</v>
      </c>
      <c r="C3005" t="s">
        <v>426</v>
      </c>
      <c r="D3005" t="s">
        <v>21</v>
      </c>
      <c r="E3005" s="13" t="s">
        <v>392</v>
      </c>
      <c r="G3005">
        <v>2</v>
      </c>
      <c r="H3005">
        <v>200</v>
      </c>
      <c r="J3005" cm="1">
        <f t="array" ref="J3005">_xlfn.SWITCH(B3005,1,75,2,61,3,49,4,37,5,25,6,13,7,4,8,1)</f>
        <v>61</v>
      </c>
      <c r="K3005" t="str" cm="1">
        <f t="array" ref="K3005">IFERROR(_xlfn.SWITCH(L3005,2,_xlfn.XLOOKUP(C3005,[1]ModifierDes!$B:$B,[1]ModifierDes!$C:$C),3,_xlfn.XLOOKUP(C3005,[1]StuntDes!$B:$B,[1]StuntDes!$C:$C)),"")</f>
        <v>法术暴击伤害增加{0}</v>
      </c>
      <c r="L3005">
        <f t="shared" si="121"/>
        <v>2</v>
      </c>
      <c r="M3005" s="10" t="str">
        <f>IFERROR(_xlfn.XLOOKUP(C3005,[1]StuntDes!$B:$B,[1]StuntDes!$A:$A),"")</f>
        <v/>
      </c>
      <c r="N3005" s="10">
        <f>IFERROR(_xlfn.XLOOKUP(C3005,[1]ModifierDes!$B:$B,[1]ModifierDes!$A:$A),"")</f>
        <v>10061</v>
      </c>
      <c r="O3005" s="10" t="str">
        <f>IFERROR(_xlfn.XLOOKUP(C3005,[1]AttributeName!$C:$C,[1]AttributeName!$B:$B),"")</f>
        <v/>
      </c>
      <c r="P3005" s="10"/>
      <c r="Q3005">
        <v>1.04</v>
      </c>
      <c r="R3005">
        <v>1.18</v>
      </c>
      <c r="S3005" cm="1">
        <f t="array" ref="S3005">IFERROR(_xlfn.SWITCH(L3005,1,_xlfn.XLOOKUP(O3005,[1]AttributeName!$B:$B,[1]AttributeName!$D:$D),2,_xlfn.XLOOKUP(C3005,#REF!,#REF!),3,_xlfn.XLOOKUP(C3005,#REF!,#REF!)),0)</f>
        <v>0</v>
      </c>
      <c r="T3005" cm="1">
        <f t="array" ref="T3005">IFERROR(_xlfn.SWITCH(L3005,1,_xlfn.XLOOKUP(O3005,[1]AttributeName!$B:$B,[1]AttributeName!$E:$E),2,_xlfn.XLOOKUP(C3005,#REF!,#REF!),3,_xlfn.XLOOKUP(C3005,#REF!,#REF!)),0)</f>
        <v>0</v>
      </c>
    </row>
    <row r="3006" customFormat="1" spans="1:20">
      <c r="A3006">
        <f t="shared" si="125"/>
        <v>1259</v>
      </c>
      <c r="B3006">
        <v>3</v>
      </c>
      <c r="C3006" t="s">
        <v>426</v>
      </c>
      <c r="D3006" t="s">
        <v>21</v>
      </c>
      <c r="E3006" s="13" t="s">
        <v>392</v>
      </c>
      <c r="G3006">
        <v>2</v>
      </c>
      <c r="H3006">
        <v>500</v>
      </c>
      <c r="J3006" cm="1">
        <f t="array" ref="J3006">_xlfn.SWITCH(B3006,1,75,2,61,3,49,4,37,5,25,6,13,7,4,8,1)</f>
        <v>49</v>
      </c>
      <c r="K3006" t="str" cm="1">
        <f t="array" ref="K3006">IFERROR(_xlfn.SWITCH(L3006,2,_xlfn.XLOOKUP(C3006,[1]ModifierDes!$B:$B,[1]ModifierDes!$C:$C),3,_xlfn.XLOOKUP(C3006,[1]StuntDes!$B:$B,[1]StuntDes!$C:$C)),"")</f>
        <v>法术暴击伤害增加{0}</v>
      </c>
      <c r="L3006">
        <f t="shared" si="121"/>
        <v>2</v>
      </c>
      <c r="M3006" s="10" t="str">
        <f>IFERROR(_xlfn.XLOOKUP(C3006,[1]StuntDes!$B:$B,[1]StuntDes!$A:$A),"")</f>
        <v/>
      </c>
      <c r="N3006" s="10">
        <f>IFERROR(_xlfn.XLOOKUP(C3006,[1]ModifierDes!$B:$B,[1]ModifierDes!$A:$A),"")</f>
        <v>10061</v>
      </c>
      <c r="O3006" s="10" t="str">
        <f>IFERROR(_xlfn.XLOOKUP(C3006,[1]AttributeName!$C:$C,[1]AttributeName!$B:$B),"")</f>
        <v/>
      </c>
      <c r="P3006" s="10"/>
      <c r="Q3006">
        <v>0.88</v>
      </c>
      <c r="R3006">
        <v>1.02</v>
      </c>
      <c r="S3006" cm="1">
        <f t="array" ref="S3006">IFERROR(_xlfn.SWITCH(L3006,1,_xlfn.XLOOKUP(O3006,[1]AttributeName!$B:$B,[1]AttributeName!$D:$D),2,_xlfn.XLOOKUP(C3006,#REF!,#REF!),3,_xlfn.XLOOKUP(C3006,#REF!,#REF!)),0)</f>
        <v>0</v>
      </c>
      <c r="T3006" cm="1">
        <f t="array" ref="T3006">IFERROR(_xlfn.SWITCH(L3006,1,_xlfn.XLOOKUP(O3006,[1]AttributeName!$B:$B,[1]AttributeName!$E:$E),2,_xlfn.XLOOKUP(C3006,#REF!,#REF!),3,_xlfn.XLOOKUP(C3006,#REF!,#REF!)),0)</f>
        <v>0</v>
      </c>
    </row>
    <row r="3007" customFormat="1" spans="1:20">
      <c r="A3007">
        <f t="shared" si="125"/>
        <v>1259</v>
      </c>
      <c r="B3007">
        <v>4</v>
      </c>
      <c r="C3007" t="s">
        <v>426</v>
      </c>
      <c r="D3007" t="s">
        <v>21</v>
      </c>
      <c r="E3007" s="13" t="s">
        <v>392</v>
      </c>
      <c r="G3007">
        <v>2</v>
      </c>
      <c r="H3007">
        <v>1000</v>
      </c>
      <c r="J3007" cm="1">
        <f t="array" ref="J3007">_xlfn.SWITCH(B3007,1,75,2,61,3,49,4,37,5,25,6,13,7,4,8,1)</f>
        <v>37</v>
      </c>
      <c r="K3007" t="str" cm="1">
        <f t="array" ref="K3007">IFERROR(_xlfn.SWITCH(L3007,2,_xlfn.XLOOKUP(C3007,[1]ModifierDes!$B:$B,[1]ModifierDes!$C:$C),3,_xlfn.XLOOKUP(C3007,[1]StuntDes!$B:$B,[1]StuntDes!$C:$C)),"")</f>
        <v>法术暴击伤害增加{0}</v>
      </c>
      <c r="L3007">
        <f t="shared" si="121"/>
        <v>2</v>
      </c>
      <c r="M3007" s="10" t="str">
        <f>IFERROR(_xlfn.XLOOKUP(C3007,[1]StuntDes!$B:$B,[1]StuntDes!$A:$A),"")</f>
        <v/>
      </c>
      <c r="N3007" s="10">
        <f>IFERROR(_xlfn.XLOOKUP(C3007,[1]ModifierDes!$B:$B,[1]ModifierDes!$A:$A),"")</f>
        <v>10061</v>
      </c>
      <c r="O3007" s="10" t="str">
        <f>IFERROR(_xlfn.XLOOKUP(C3007,[1]AttributeName!$C:$C,[1]AttributeName!$B:$B),"")</f>
        <v/>
      </c>
      <c r="P3007" s="10"/>
      <c r="Q3007">
        <v>0.72</v>
      </c>
      <c r="R3007">
        <v>0.86</v>
      </c>
      <c r="S3007" cm="1">
        <f t="array" ref="S3007">IFERROR(_xlfn.SWITCH(L3007,1,_xlfn.XLOOKUP(O3007,[1]AttributeName!$B:$B,[1]AttributeName!$D:$D),2,_xlfn.XLOOKUP(C3007,#REF!,#REF!),3,_xlfn.XLOOKUP(C3007,#REF!,#REF!)),0)</f>
        <v>0</v>
      </c>
      <c r="T3007" cm="1">
        <f t="array" ref="T3007">IFERROR(_xlfn.SWITCH(L3007,1,_xlfn.XLOOKUP(O3007,[1]AttributeName!$B:$B,[1]AttributeName!$E:$E),2,_xlfn.XLOOKUP(C3007,#REF!,#REF!),3,_xlfn.XLOOKUP(C3007,#REF!,#REF!)),0)</f>
        <v>0</v>
      </c>
    </row>
    <row r="3008" customFormat="1" spans="1:20">
      <c r="A3008">
        <f t="shared" si="125"/>
        <v>1259</v>
      </c>
      <c r="B3008">
        <v>5</v>
      </c>
      <c r="C3008" t="s">
        <v>426</v>
      </c>
      <c r="D3008" t="s">
        <v>21</v>
      </c>
      <c r="E3008" s="13" t="s">
        <v>392</v>
      </c>
      <c r="G3008">
        <v>2</v>
      </c>
      <c r="H3008">
        <v>1000</v>
      </c>
      <c r="J3008" cm="1">
        <f t="array" ref="J3008">_xlfn.SWITCH(B3008,1,75,2,61,3,49,4,37,5,25,6,13,7,4,8,1)</f>
        <v>25</v>
      </c>
      <c r="K3008" t="str" cm="1">
        <f t="array" ref="K3008">IFERROR(_xlfn.SWITCH(L3008,2,_xlfn.XLOOKUP(C3008,[1]ModifierDes!$B:$B,[1]ModifierDes!$C:$C),3,_xlfn.XLOOKUP(C3008,[1]StuntDes!$B:$B,[1]StuntDes!$C:$C)),"")</f>
        <v>法术暴击伤害增加{0}</v>
      </c>
      <c r="L3008">
        <f t="shared" si="121"/>
        <v>2</v>
      </c>
      <c r="M3008" s="10" t="str">
        <f>IFERROR(_xlfn.XLOOKUP(C3008,[1]StuntDes!$B:$B,[1]StuntDes!$A:$A),"")</f>
        <v/>
      </c>
      <c r="N3008" s="10">
        <f>IFERROR(_xlfn.XLOOKUP(C3008,[1]ModifierDes!$B:$B,[1]ModifierDes!$A:$A),"")</f>
        <v>10061</v>
      </c>
      <c r="O3008" s="10" t="str">
        <f>IFERROR(_xlfn.XLOOKUP(C3008,[1]AttributeName!$C:$C,[1]AttributeName!$B:$B),"")</f>
        <v/>
      </c>
      <c r="P3008" s="10"/>
      <c r="Q3008">
        <v>0.56</v>
      </c>
      <c r="R3008">
        <v>0.7</v>
      </c>
      <c r="S3008" cm="1">
        <f t="array" ref="S3008">IFERROR(_xlfn.SWITCH(L3008,1,_xlfn.XLOOKUP(O3008,[1]AttributeName!$B:$B,[1]AttributeName!$D:$D),2,_xlfn.XLOOKUP(C3008,#REF!,#REF!),3,_xlfn.XLOOKUP(C3008,#REF!,#REF!)),0)</f>
        <v>0</v>
      </c>
      <c r="T3008" cm="1">
        <f t="array" ref="T3008">IFERROR(_xlfn.SWITCH(L3008,1,_xlfn.XLOOKUP(O3008,[1]AttributeName!$B:$B,[1]AttributeName!$E:$E),2,_xlfn.XLOOKUP(C3008,#REF!,#REF!),3,_xlfn.XLOOKUP(C3008,#REF!,#REF!)),0)</f>
        <v>0</v>
      </c>
    </row>
    <row r="3009" customFormat="1" spans="1:20">
      <c r="A3009">
        <f t="shared" si="125"/>
        <v>1259</v>
      </c>
      <c r="B3009">
        <v>6</v>
      </c>
      <c r="C3009" t="s">
        <v>426</v>
      </c>
      <c r="D3009" t="s">
        <v>21</v>
      </c>
      <c r="E3009" s="13" t="s">
        <v>392</v>
      </c>
      <c r="G3009">
        <v>2</v>
      </c>
      <c r="H3009">
        <v>1000</v>
      </c>
      <c r="J3009" cm="1">
        <f t="array" ref="J3009">_xlfn.SWITCH(B3009,1,75,2,61,3,49,4,37,5,25,6,13,7,4,8,1)</f>
        <v>13</v>
      </c>
      <c r="K3009" t="str" cm="1">
        <f t="array" ref="K3009">IFERROR(_xlfn.SWITCH(L3009,2,_xlfn.XLOOKUP(C3009,[1]ModifierDes!$B:$B,[1]ModifierDes!$C:$C),3,_xlfn.XLOOKUP(C3009,[1]StuntDes!$B:$B,[1]StuntDes!$C:$C)),"")</f>
        <v>法术暴击伤害增加{0}</v>
      </c>
      <c r="L3009">
        <f t="shared" si="121"/>
        <v>2</v>
      </c>
      <c r="M3009" s="10" t="str">
        <f>IFERROR(_xlfn.XLOOKUP(C3009,[1]StuntDes!$B:$B,[1]StuntDes!$A:$A),"")</f>
        <v/>
      </c>
      <c r="N3009" s="10">
        <f>IFERROR(_xlfn.XLOOKUP(C3009,[1]ModifierDes!$B:$B,[1]ModifierDes!$A:$A),"")</f>
        <v>10061</v>
      </c>
      <c r="O3009" s="10" t="str">
        <f>IFERROR(_xlfn.XLOOKUP(C3009,[1]AttributeName!$C:$C,[1]AttributeName!$B:$B),"")</f>
        <v/>
      </c>
      <c r="P3009" s="10"/>
      <c r="Q3009">
        <v>0.4</v>
      </c>
      <c r="R3009">
        <v>0.54</v>
      </c>
      <c r="S3009" cm="1">
        <f t="array" ref="S3009">IFERROR(_xlfn.SWITCH(L3009,1,_xlfn.XLOOKUP(O3009,[1]AttributeName!$B:$B,[1]AttributeName!$D:$D),2,_xlfn.XLOOKUP(C3009,#REF!,#REF!),3,_xlfn.XLOOKUP(C3009,#REF!,#REF!)),0)</f>
        <v>0</v>
      </c>
      <c r="T3009" cm="1">
        <f t="array" ref="T3009">IFERROR(_xlfn.SWITCH(L3009,1,_xlfn.XLOOKUP(O3009,[1]AttributeName!$B:$B,[1]AttributeName!$E:$E),2,_xlfn.XLOOKUP(C3009,#REF!,#REF!),3,_xlfn.XLOOKUP(C3009,#REF!,#REF!)),0)</f>
        <v>0</v>
      </c>
    </row>
    <row r="3010" customFormat="1" spans="1:20">
      <c r="A3010">
        <f t="shared" si="125"/>
        <v>1259</v>
      </c>
      <c r="B3010">
        <v>7</v>
      </c>
      <c r="C3010" t="s">
        <v>426</v>
      </c>
      <c r="D3010" t="s">
        <v>21</v>
      </c>
      <c r="E3010" s="13" t="s">
        <v>392</v>
      </c>
      <c r="G3010">
        <v>2</v>
      </c>
      <c r="H3010">
        <v>1000</v>
      </c>
      <c r="J3010" cm="1">
        <f t="array" ref="J3010">_xlfn.SWITCH(B3010,1,75,2,61,3,49,4,37,5,25,6,13,7,4,8,1)</f>
        <v>4</v>
      </c>
      <c r="K3010" t="str" cm="1">
        <f t="array" ref="K3010">IFERROR(_xlfn.SWITCH(L3010,2,_xlfn.XLOOKUP(C3010,[1]ModifierDes!$B:$B,[1]ModifierDes!$C:$C),3,_xlfn.XLOOKUP(C3010,[1]StuntDes!$B:$B,[1]StuntDes!$C:$C)),"")</f>
        <v>法术暴击伤害增加{0}</v>
      </c>
      <c r="L3010">
        <f t="shared" si="121"/>
        <v>2</v>
      </c>
      <c r="M3010" s="10" t="str">
        <f>IFERROR(_xlfn.XLOOKUP(C3010,[1]StuntDes!$B:$B,[1]StuntDes!$A:$A),"")</f>
        <v/>
      </c>
      <c r="N3010" s="10">
        <f>IFERROR(_xlfn.XLOOKUP(C3010,[1]ModifierDes!$B:$B,[1]ModifierDes!$A:$A),"")</f>
        <v>10061</v>
      </c>
      <c r="O3010" s="10" t="str">
        <f>IFERROR(_xlfn.XLOOKUP(C3010,[1]AttributeName!$C:$C,[1]AttributeName!$B:$B),"")</f>
        <v/>
      </c>
      <c r="P3010" s="10"/>
      <c r="Q3010">
        <v>0.24</v>
      </c>
      <c r="R3010">
        <v>0.38</v>
      </c>
      <c r="S3010" cm="1">
        <f t="array" ref="S3010">IFERROR(_xlfn.SWITCH(L3010,1,_xlfn.XLOOKUP(O3010,[1]AttributeName!$B:$B,[1]AttributeName!$D:$D),2,_xlfn.XLOOKUP(C3010,#REF!,#REF!),3,_xlfn.XLOOKUP(C3010,#REF!,#REF!)),0)</f>
        <v>0</v>
      </c>
      <c r="T3010" cm="1">
        <f t="array" ref="T3010">IFERROR(_xlfn.SWITCH(L3010,1,_xlfn.XLOOKUP(O3010,[1]AttributeName!$B:$B,[1]AttributeName!$E:$E),2,_xlfn.XLOOKUP(C3010,#REF!,#REF!),3,_xlfn.XLOOKUP(C3010,#REF!,#REF!)),0)</f>
        <v>0</v>
      </c>
    </row>
    <row r="3011" customFormat="1" spans="1:20">
      <c r="A3011">
        <f t="shared" si="125"/>
        <v>1259</v>
      </c>
      <c r="B3011">
        <v>8</v>
      </c>
      <c r="C3011" t="s">
        <v>426</v>
      </c>
      <c r="D3011" t="s">
        <v>21</v>
      </c>
      <c r="E3011" s="13" t="s">
        <v>392</v>
      </c>
      <c r="G3011">
        <v>2</v>
      </c>
      <c r="H3011">
        <v>1000</v>
      </c>
      <c r="J3011" cm="1">
        <f t="array" ref="J3011">_xlfn.SWITCH(B3011,1,75,2,61,3,49,4,37,5,25,6,13,7,4,8,1)</f>
        <v>1</v>
      </c>
      <c r="K3011" t="str" cm="1">
        <f t="array" ref="K3011">IFERROR(_xlfn.SWITCH(L3011,2,_xlfn.XLOOKUP(C3011,[1]ModifierDes!$B:$B,[1]ModifierDes!$C:$C),3,_xlfn.XLOOKUP(C3011,[1]StuntDes!$B:$B,[1]StuntDes!$C:$C)),"")</f>
        <v>法术暴击伤害增加{0}</v>
      </c>
      <c r="L3011">
        <f t="shared" si="121"/>
        <v>2</v>
      </c>
      <c r="M3011" s="10" t="str">
        <f>IFERROR(_xlfn.XLOOKUP(C3011,[1]StuntDes!$B:$B,[1]StuntDes!$A:$A),"")</f>
        <v/>
      </c>
      <c r="N3011" s="10">
        <f>IFERROR(_xlfn.XLOOKUP(C3011,[1]ModifierDes!$B:$B,[1]ModifierDes!$A:$A),"")</f>
        <v>10061</v>
      </c>
      <c r="O3011" s="10" t="str">
        <f>IFERROR(_xlfn.XLOOKUP(C3011,[1]AttributeName!$C:$C,[1]AttributeName!$B:$B),"")</f>
        <v/>
      </c>
      <c r="P3011" s="10"/>
      <c r="Q3011">
        <v>0.0799999999999998</v>
      </c>
      <c r="R3011">
        <v>0.22</v>
      </c>
      <c r="S3011" cm="1">
        <f t="array" ref="S3011">IFERROR(_xlfn.SWITCH(L3011,1,_xlfn.XLOOKUP(O3011,[1]AttributeName!$B:$B,[1]AttributeName!$D:$D),2,_xlfn.XLOOKUP(C3011,#REF!,#REF!),3,_xlfn.XLOOKUP(C3011,#REF!,#REF!)),0)</f>
        <v>0</v>
      </c>
      <c r="T3011" cm="1">
        <f t="array" ref="T3011">IFERROR(_xlfn.SWITCH(L3011,1,_xlfn.XLOOKUP(O3011,[1]AttributeName!$B:$B,[1]AttributeName!$E:$E),2,_xlfn.XLOOKUP(C3011,#REF!,#REF!),3,_xlfn.XLOOKUP(C3011,#REF!,#REF!)),0)</f>
        <v>0</v>
      </c>
    </row>
    <row r="3012" customFormat="1" spans="1:20">
      <c r="A3012">
        <f t="shared" si="125"/>
        <v>1260</v>
      </c>
      <c r="B3012">
        <v>1</v>
      </c>
      <c r="C3012" t="s">
        <v>401</v>
      </c>
      <c r="D3012" t="s">
        <v>21</v>
      </c>
      <c r="E3012" s="13" t="s">
        <v>392</v>
      </c>
      <c r="G3012">
        <v>2</v>
      </c>
      <c r="H3012">
        <v>100</v>
      </c>
      <c r="J3012" cm="1">
        <f t="array" ref="J3012">_xlfn.SWITCH(B3012,1,75,2,61,3,49,4,37,5,25,6,13,7,4,8,1)</f>
        <v>75</v>
      </c>
      <c r="K3012" t="str" cm="1">
        <f t="array" ref="K3012">IFERROR(_xlfn.SWITCH(L3012,2,_xlfn.XLOOKUP(C3012,[1]ModifierDes!$B:$B,[1]ModifierDes!$C:$C),3,_xlfn.XLOOKUP(C3012,[1]StuntDes!$B:$B,[1]StuntDes!$C:$C)),"")</f>
        <v/>
      </c>
      <c r="L3012">
        <f t="shared" ref="L3012:L3075" si="126">IF(M3012="",IF(N3012="",1,2),3)</f>
        <v>1</v>
      </c>
      <c r="M3012" s="10" t="str">
        <f>IFERROR(_xlfn.XLOOKUP(C3012,[1]StuntDes!$B:$B,[1]StuntDes!$A:$A),"")</f>
        <v/>
      </c>
      <c r="N3012" s="10" t="str">
        <f>IFERROR(_xlfn.XLOOKUP(C3012,[1]ModifierDes!$B:$B,[1]ModifierDes!$A:$A),"")</f>
        <v/>
      </c>
      <c r="O3012" s="10">
        <f>IFERROR(_xlfn.XLOOKUP(C3012,[1]AttributeName!$C:$C,[1]AttributeName!$B:$B),"")</f>
        <v>10500</v>
      </c>
      <c r="P3012" s="10"/>
      <c r="Q3012">
        <v>0.6</v>
      </c>
      <c r="R3012">
        <v>0.8</v>
      </c>
      <c r="S3012" cm="1">
        <f t="array" ref="S3012">IFERROR(_xlfn.SWITCH(L3012,1,_xlfn.XLOOKUP(O3012,[1]AttributeName!$B:$B,[1]AttributeName!$D:$D),2,_xlfn.XLOOKUP(C3012,#REF!,#REF!),3,_xlfn.XLOOKUP(C3012,#REF!,#REF!)),0)</f>
        <v>2</v>
      </c>
      <c r="T3012" cm="1">
        <f t="array" ref="T3012">IFERROR(_xlfn.SWITCH(L3012,1,_xlfn.XLOOKUP(O3012,[1]AttributeName!$B:$B,[1]AttributeName!$E:$E),2,_xlfn.XLOOKUP(C3012,#REF!,#REF!),3,_xlfn.XLOOKUP(C3012,#REF!,#REF!)),0)</f>
        <v>2</v>
      </c>
    </row>
    <row r="3013" customFormat="1" spans="1:20">
      <c r="A3013">
        <f t="shared" si="125"/>
        <v>1260</v>
      </c>
      <c r="B3013">
        <v>2</v>
      </c>
      <c r="C3013" t="s">
        <v>401</v>
      </c>
      <c r="D3013" t="s">
        <v>21</v>
      </c>
      <c r="E3013" s="13" t="s">
        <v>392</v>
      </c>
      <c r="G3013">
        <v>2</v>
      </c>
      <c r="H3013">
        <v>200</v>
      </c>
      <c r="J3013" cm="1">
        <f t="array" ref="J3013">_xlfn.SWITCH(B3013,1,75,2,61,3,49,4,37,5,25,6,13,7,4,8,1)</f>
        <v>61</v>
      </c>
      <c r="K3013" t="str" cm="1">
        <f t="array" ref="K3013">IFERROR(_xlfn.SWITCH(L3013,2,_xlfn.XLOOKUP(C3013,[1]ModifierDes!$B:$B,[1]ModifierDes!$C:$C),3,_xlfn.XLOOKUP(C3013,[1]StuntDes!$B:$B,[1]StuntDes!$C:$C)),"")</f>
        <v/>
      </c>
      <c r="L3013">
        <f t="shared" si="126"/>
        <v>1</v>
      </c>
      <c r="M3013" s="10" t="str">
        <f>IFERROR(_xlfn.XLOOKUP(C3013,[1]StuntDes!$B:$B,[1]StuntDes!$A:$A),"")</f>
        <v/>
      </c>
      <c r="N3013" s="10" t="str">
        <f>IFERROR(_xlfn.XLOOKUP(C3013,[1]ModifierDes!$B:$B,[1]ModifierDes!$A:$A),"")</f>
        <v/>
      </c>
      <c r="O3013" s="10">
        <f>IFERROR(_xlfn.XLOOKUP(C3013,[1]AttributeName!$C:$C,[1]AttributeName!$B:$B),"")</f>
        <v>10500</v>
      </c>
      <c r="P3013" s="10"/>
      <c r="Q3013">
        <v>0.52</v>
      </c>
      <c r="R3013">
        <v>0.59</v>
      </c>
      <c r="S3013" cm="1">
        <f t="array" ref="S3013">IFERROR(_xlfn.SWITCH(L3013,1,_xlfn.XLOOKUP(O3013,[1]AttributeName!$B:$B,[1]AttributeName!$D:$D),2,_xlfn.XLOOKUP(C3013,#REF!,#REF!),3,_xlfn.XLOOKUP(C3013,#REF!,#REF!)),0)</f>
        <v>2</v>
      </c>
      <c r="T3013" cm="1">
        <f t="array" ref="T3013">IFERROR(_xlfn.SWITCH(L3013,1,_xlfn.XLOOKUP(O3013,[1]AttributeName!$B:$B,[1]AttributeName!$E:$E),2,_xlfn.XLOOKUP(C3013,#REF!,#REF!),3,_xlfn.XLOOKUP(C3013,#REF!,#REF!)),0)</f>
        <v>2</v>
      </c>
    </row>
    <row r="3014" customFormat="1" spans="1:20">
      <c r="A3014">
        <f t="shared" si="125"/>
        <v>1260</v>
      </c>
      <c r="B3014">
        <v>3</v>
      </c>
      <c r="C3014" t="s">
        <v>401</v>
      </c>
      <c r="D3014" t="s">
        <v>21</v>
      </c>
      <c r="E3014" s="13" t="s">
        <v>392</v>
      </c>
      <c r="G3014">
        <v>2</v>
      </c>
      <c r="H3014">
        <v>500</v>
      </c>
      <c r="J3014" cm="1">
        <f t="array" ref="J3014">_xlfn.SWITCH(B3014,1,75,2,61,3,49,4,37,5,25,6,13,7,4,8,1)</f>
        <v>49</v>
      </c>
      <c r="K3014" t="str" cm="1">
        <f t="array" ref="K3014">IFERROR(_xlfn.SWITCH(L3014,2,_xlfn.XLOOKUP(C3014,[1]ModifierDes!$B:$B,[1]ModifierDes!$C:$C),3,_xlfn.XLOOKUP(C3014,[1]StuntDes!$B:$B,[1]StuntDes!$C:$C)),"")</f>
        <v/>
      </c>
      <c r="L3014">
        <f t="shared" si="126"/>
        <v>1</v>
      </c>
      <c r="M3014" s="10" t="str">
        <f>IFERROR(_xlfn.XLOOKUP(C3014,[1]StuntDes!$B:$B,[1]StuntDes!$A:$A),"")</f>
        <v/>
      </c>
      <c r="N3014" s="10" t="str">
        <f>IFERROR(_xlfn.XLOOKUP(C3014,[1]ModifierDes!$B:$B,[1]ModifierDes!$A:$A),"")</f>
        <v/>
      </c>
      <c r="O3014" s="10">
        <f>IFERROR(_xlfn.XLOOKUP(C3014,[1]AttributeName!$C:$C,[1]AttributeName!$B:$B),"")</f>
        <v>10500</v>
      </c>
      <c r="P3014" s="10"/>
      <c r="Q3014">
        <v>0.44</v>
      </c>
      <c r="R3014">
        <v>0.51</v>
      </c>
      <c r="S3014" cm="1">
        <f t="array" ref="S3014">IFERROR(_xlfn.SWITCH(L3014,1,_xlfn.XLOOKUP(O3014,[1]AttributeName!$B:$B,[1]AttributeName!$D:$D),2,_xlfn.XLOOKUP(C3014,#REF!,#REF!),3,_xlfn.XLOOKUP(C3014,#REF!,#REF!)),0)</f>
        <v>2</v>
      </c>
      <c r="T3014" cm="1">
        <f t="array" ref="T3014">IFERROR(_xlfn.SWITCH(L3014,1,_xlfn.XLOOKUP(O3014,[1]AttributeName!$B:$B,[1]AttributeName!$E:$E),2,_xlfn.XLOOKUP(C3014,#REF!,#REF!),3,_xlfn.XLOOKUP(C3014,#REF!,#REF!)),0)</f>
        <v>2</v>
      </c>
    </row>
    <row r="3015" customFormat="1" spans="1:20">
      <c r="A3015">
        <f t="shared" si="125"/>
        <v>1260</v>
      </c>
      <c r="B3015">
        <v>4</v>
      </c>
      <c r="C3015" t="s">
        <v>401</v>
      </c>
      <c r="D3015" t="s">
        <v>21</v>
      </c>
      <c r="E3015" s="13" t="s">
        <v>392</v>
      </c>
      <c r="G3015">
        <v>2</v>
      </c>
      <c r="H3015">
        <v>1000</v>
      </c>
      <c r="J3015" cm="1">
        <f t="array" ref="J3015">_xlfn.SWITCH(B3015,1,75,2,61,3,49,4,37,5,25,6,13,7,4,8,1)</f>
        <v>37</v>
      </c>
      <c r="K3015" t="str" cm="1">
        <f t="array" ref="K3015">IFERROR(_xlfn.SWITCH(L3015,2,_xlfn.XLOOKUP(C3015,[1]ModifierDes!$B:$B,[1]ModifierDes!$C:$C),3,_xlfn.XLOOKUP(C3015,[1]StuntDes!$B:$B,[1]StuntDes!$C:$C)),"")</f>
        <v/>
      </c>
      <c r="L3015">
        <f t="shared" si="126"/>
        <v>1</v>
      </c>
      <c r="M3015" s="10" t="str">
        <f>IFERROR(_xlfn.XLOOKUP(C3015,[1]StuntDes!$B:$B,[1]StuntDes!$A:$A),"")</f>
        <v/>
      </c>
      <c r="N3015" s="10" t="str">
        <f>IFERROR(_xlfn.XLOOKUP(C3015,[1]ModifierDes!$B:$B,[1]ModifierDes!$A:$A),"")</f>
        <v/>
      </c>
      <c r="O3015" s="10">
        <f>IFERROR(_xlfn.XLOOKUP(C3015,[1]AttributeName!$C:$C,[1]AttributeName!$B:$B),"")</f>
        <v>10500</v>
      </c>
      <c r="P3015" s="10"/>
      <c r="Q3015">
        <v>0.36</v>
      </c>
      <c r="R3015">
        <v>0.43</v>
      </c>
      <c r="S3015" cm="1">
        <f t="array" ref="S3015">IFERROR(_xlfn.SWITCH(L3015,1,_xlfn.XLOOKUP(O3015,[1]AttributeName!$B:$B,[1]AttributeName!$D:$D),2,_xlfn.XLOOKUP(C3015,#REF!,#REF!),3,_xlfn.XLOOKUP(C3015,#REF!,#REF!)),0)</f>
        <v>2</v>
      </c>
      <c r="T3015" cm="1">
        <f t="array" ref="T3015">IFERROR(_xlfn.SWITCH(L3015,1,_xlfn.XLOOKUP(O3015,[1]AttributeName!$B:$B,[1]AttributeName!$E:$E),2,_xlfn.XLOOKUP(C3015,#REF!,#REF!),3,_xlfn.XLOOKUP(C3015,#REF!,#REF!)),0)</f>
        <v>2</v>
      </c>
    </row>
    <row r="3016" customFormat="1" spans="1:20">
      <c r="A3016">
        <f t="shared" si="125"/>
        <v>1260</v>
      </c>
      <c r="B3016">
        <v>5</v>
      </c>
      <c r="C3016" t="s">
        <v>401</v>
      </c>
      <c r="D3016" t="s">
        <v>21</v>
      </c>
      <c r="E3016" s="13" t="s">
        <v>392</v>
      </c>
      <c r="G3016">
        <v>2</v>
      </c>
      <c r="H3016">
        <v>1000</v>
      </c>
      <c r="J3016" cm="1">
        <f t="array" ref="J3016">_xlfn.SWITCH(B3016,1,75,2,61,3,49,4,37,5,25,6,13,7,4,8,1)</f>
        <v>25</v>
      </c>
      <c r="K3016" t="str" cm="1">
        <f t="array" ref="K3016">IFERROR(_xlfn.SWITCH(L3016,2,_xlfn.XLOOKUP(C3016,[1]ModifierDes!$B:$B,[1]ModifierDes!$C:$C),3,_xlfn.XLOOKUP(C3016,[1]StuntDes!$B:$B,[1]StuntDes!$C:$C)),"")</f>
        <v/>
      </c>
      <c r="L3016">
        <f t="shared" si="126"/>
        <v>1</v>
      </c>
      <c r="M3016" s="10" t="str">
        <f>IFERROR(_xlfn.XLOOKUP(C3016,[1]StuntDes!$B:$B,[1]StuntDes!$A:$A),"")</f>
        <v/>
      </c>
      <c r="N3016" s="10" t="str">
        <f>IFERROR(_xlfn.XLOOKUP(C3016,[1]ModifierDes!$B:$B,[1]ModifierDes!$A:$A),"")</f>
        <v/>
      </c>
      <c r="O3016" s="10">
        <f>IFERROR(_xlfn.XLOOKUP(C3016,[1]AttributeName!$C:$C,[1]AttributeName!$B:$B),"")</f>
        <v>10500</v>
      </c>
      <c r="P3016" s="10"/>
      <c r="Q3016">
        <v>0.28</v>
      </c>
      <c r="R3016">
        <v>0.35</v>
      </c>
      <c r="S3016" cm="1">
        <f t="array" ref="S3016">IFERROR(_xlfn.SWITCH(L3016,1,_xlfn.XLOOKUP(O3016,[1]AttributeName!$B:$B,[1]AttributeName!$D:$D),2,_xlfn.XLOOKUP(C3016,#REF!,#REF!),3,_xlfn.XLOOKUP(C3016,#REF!,#REF!)),0)</f>
        <v>2</v>
      </c>
      <c r="T3016" cm="1">
        <f t="array" ref="T3016">IFERROR(_xlfn.SWITCH(L3016,1,_xlfn.XLOOKUP(O3016,[1]AttributeName!$B:$B,[1]AttributeName!$E:$E),2,_xlfn.XLOOKUP(C3016,#REF!,#REF!),3,_xlfn.XLOOKUP(C3016,#REF!,#REF!)),0)</f>
        <v>2</v>
      </c>
    </row>
    <row r="3017" customFormat="1" spans="1:20">
      <c r="A3017">
        <f t="shared" si="125"/>
        <v>1260</v>
      </c>
      <c r="B3017">
        <v>6</v>
      </c>
      <c r="C3017" t="s">
        <v>401</v>
      </c>
      <c r="D3017" t="s">
        <v>21</v>
      </c>
      <c r="E3017" s="13" t="s">
        <v>392</v>
      </c>
      <c r="G3017">
        <v>2</v>
      </c>
      <c r="H3017">
        <v>1000</v>
      </c>
      <c r="J3017" cm="1">
        <f t="array" ref="J3017">_xlfn.SWITCH(B3017,1,75,2,61,3,49,4,37,5,25,6,13,7,4,8,1)</f>
        <v>13</v>
      </c>
      <c r="K3017" t="str" cm="1">
        <f t="array" ref="K3017">IFERROR(_xlfn.SWITCH(L3017,2,_xlfn.XLOOKUP(C3017,[1]ModifierDes!$B:$B,[1]ModifierDes!$C:$C),3,_xlfn.XLOOKUP(C3017,[1]StuntDes!$B:$B,[1]StuntDes!$C:$C)),"")</f>
        <v/>
      </c>
      <c r="L3017">
        <f t="shared" si="126"/>
        <v>1</v>
      </c>
      <c r="M3017" s="10" t="str">
        <f>IFERROR(_xlfn.XLOOKUP(C3017,[1]StuntDes!$B:$B,[1]StuntDes!$A:$A),"")</f>
        <v/>
      </c>
      <c r="N3017" s="10" t="str">
        <f>IFERROR(_xlfn.XLOOKUP(C3017,[1]ModifierDes!$B:$B,[1]ModifierDes!$A:$A),"")</f>
        <v/>
      </c>
      <c r="O3017" s="10">
        <f>IFERROR(_xlfn.XLOOKUP(C3017,[1]AttributeName!$C:$C,[1]AttributeName!$B:$B),"")</f>
        <v>10500</v>
      </c>
      <c r="P3017" s="10"/>
      <c r="Q3017">
        <v>0.2</v>
      </c>
      <c r="R3017">
        <v>0.27</v>
      </c>
      <c r="S3017" cm="1">
        <f t="array" ref="S3017">IFERROR(_xlfn.SWITCH(L3017,1,_xlfn.XLOOKUP(O3017,[1]AttributeName!$B:$B,[1]AttributeName!$D:$D),2,_xlfn.XLOOKUP(C3017,#REF!,#REF!),3,_xlfn.XLOOKUP(C3017,#REF!,#REF!)),0)</f>
        <v>2</v>
      </c>
      <c r="T3017" cm="1">
        <f t="array" ref="T3017">IFERROR(_xlfn.SWITCH(L3017,1,_xlfn.XLOOKUP(O3017,[1]AttributeName!$B:$B,[1]AttributeName!$E:$E),2,_xlfn.XLOOKUP(C3017,#REF!,#REF!),3,_xlfn.XLOOKUP(C3017,#REF!,#REF!)),0)</f>
        <v>2</v>
      </c>
    </row>
    <row r="3018" customFormat="1" spans="1:20">
      <c r="A3018">
        <f t="shared" si="125"/>
        <v>1260</v>
      </c>
      <c r="B3018">
        <v>7</v>
      </c>
      <c r="C3018" t="s">
        <v>401</v>
      </c>
      <c r="D3018" t="s">
        <v>21</v>
      </c>
      <c r="E3018" s="13" t="s">
        <v>392</v>
      </c>
      <c r="G3018">
        <v>2</v>
      </c>
      <c r="H3018">
        <v>1000</v>
      </c>
      <c r="J3018" cm="1">
        <f t="array" ref="J3018">_xlfn.SWITCH(B3018,1,75,2,61,3,49,4,37,5,25,6,13,7,4,8,1)</f>
        <v>4</v>
      </c>
      <c r="K3018" t="str" cm="1">
        <f t="array" ref="K3018">IFERROR(_xlfn.SWITCH(L3018,2,_xlfn.XLOOKUP(C3018,[1]ModifierDes!$B:$B,[1]ModifierDes!$C:$C),3,_xlfn.XLOOKUP(C3018,[1]StuntDes!$B:$B,[1]StuntDes!$C:$C)),"")</f>
        <v/>
      </c>
      <c r="L3018">
        <f t="shared" si="126"/>
        <v>1</v>
      </c>
      <c r="M3018" s="10" t="str">
        <f>IFERROR(_xlfn.XLOOKUP(C3018,[1]StuntDes!$B:$B,[1]StuntDes!$A:$A),"")</f>
        <v/>
      </c>
      <c r="N3018" s="10" t="str">
        <f>IFERROR(_xlfn.XLOOKUP(C3018,[1]ModifierDes!$B:$B,[1]ModifierDes!$A:$A),"")</f>
        <v/>
      </c>
      <c r="O3018" s="10">
        <f>IFERROR(_xlfn.XLOOKUP(C3018,[1]AttributeName!$C:$C,[1]AttributeName!$B:$B),"")</f>
        <v>10500</v>
      </c>
      <c r="P3018" s="10"/>
      <c r="Q3018">
        <v>0.12</v>
      </c>
      <c r="R3018">
        <v>0.19</v>
      </c>
      <c r="S3018" cm="1">
        <f t="array" ref="S3018">IFERROR(_xlfn.SWITCH(L3018,1,_xlfn.XLOOKUP(O3018,[1]AttributeName!$B:$B,[1]AttributeName!$D:$D),2,_xlfn.XLOOKUP(C3018,#REF!,#REF!),3,_xlfn.XLOOKUP(C3018,#REF!,#REF!)),0)</f>
        <v>2</v>
      </c>
      <c r="T3018" cm="1">
        <f t="array" ref="T3018">IFERROR(_xlfn.SWITCH(L3018,1,_xlfn.XLOOKUP(O3018,[1]AttributeName!$B:$B,[1]AttributeName!$E:$E),2,_xlfn.XLOOKUP(C3018,#REF!,#REF!),3,_xlfn.XLOOKUP(C3018,#REF!,#REF!)),0)</f>
        <v>2</v>
      </c>
    </row>
    <row r="3019" customFormat="1" spans="1:20">
      <c r="A3019">
        <f t="shared" si="125"/>
        <v>1260</v>
      </c>
      <c r="B3019">
        <v>8</v>
      </c>
      <c r="C3019" t="s">
        <v>401</v>
      </c>
      <c r="D3019" t="s">
        <v>21</v>
      </c>
      <c r="E3019" s="13" t="s">
        <v>392</v>
      </c>
      <c r="G3019">
        <v>2</v>
      </c>
      <c r="H3019">
        <v>1000</v>
      </c>
      <c r="J3019" cm="1">
        <f t="array" ref="J3019">_xlfn.SWITCH(B3019,1,75,2,61,3,49,4,37,5,25,6,13,7,4,8,1)</f>
        <v>1</v>
      </c>
      <c r="K3019" t="str" cm="1">
        <f t="array" ref="K3019">IFERROR(_xlfn.SWITCH(L3019,2,_xlfn.XLOOKUP(C3019,[1]ModifierDes!$B:$B,[1]ModifierDes!$C:$C),3,_xlfn.XLOOKUP(C3019,[1]StuntDes!$B:$B,[1]StuntDes!$C:$C)),"")</f>
        <v/>
      </c>
      <c r="L3019">
        <f t="shared" si="126"/>
        <v>1</v>
      </c>
      <c r="M3019" s="10" t="str">
        <f>IFERROR(_xlfn.XLOOKUP(C3019,[1]StuntDes!$B:$B,[1]StuntDes!$A:$A),"")</f>
        <v/>
      </c>
      <c r="N3019" s="10" t="str">
        <f>IFERROR(_xlfn.XLOOKUP(C3019,[1]ModifierDes!$B:$B,[1]ModifierDes!$A:$A),"")</f>
        <v/>
      </c>
      <c r="O3019" s="10">
        <f>IFERROR(_xlfn.XLOOKUP(C3019,[1]AttributeName!$C:$C,[1]AttributeName!$B:$B),"")</f>
        <v>10500</v>
      </c>
      <c r="P3019" s="10"/>
      <c r="Q3019">
        <v>0.0399999999999999</v>
      </c>
      <c r="R3019">
        <v>0.11</v>
      </c>
      <c r="S3019" cm="1">
        <f t="array" ref="S3019">IFERROR(_xlfn.SWITCH(L3019,1,_xlfn.XLOOKUP(O3019,[1]AttributeName!$B:$B,[1]AttributeName!$D:$D),2,_xlfn.XLOOKUP(C3019,#REF!,#REF!),3,_xlfn.XLOOKUP(C3019,#REF!,#REF!)),0)</f>
        <v>2</v>
      </c>
      <c r="T3019" cm="1">
        <f t="array" ref="T3019">IFERROR(_xlfn.SWITCH(L3019,1,_xlfn.XLOOKUP(O3019,[1]AttributeName!$B:$B,[1]AttributeName!$E:$E),2,_xlfn.XLOOKUP(C3019,#REF!,#REF!),3,_xlfn.XLOOKUP(C3019,#REF!,#REF!)),0)</f>
        <v>2</v>
      </c>
    </row>
    <row r="3020" customFormat="1" spans="1:20">
      <c r="A3020">
        <f t="shared" si="125"/>
        <v>1261</v>
      </c>
      <c r="B3020">
        <v>1</v>
      </c>
      <c r="C3020" s="14" t="s">
        <v>402</v>
      </c>
      <c r="D3020" t="s">
        <v>21</v>
      </c>
      <c r="E3020" s="13" t="s">
        <v>392</v>
      </c>
      <c r="G3020">
        <v>2</v>
      </c>
      <c r="H3020">
        <v>100</v>
      </c>
      <c r="J3020" cm="1">
        <f t="array" ref="J3020">_xlfn.SWITCH(B3020,1,75,2,61,3,49,4,37,5,25,6,13,7,4,8,1)</f>
        <v>75</v>
      </c>
      <c r="K3020" t="str" cm="1">
        <f t="array" ref="K3020">IFERROR(_xlfn.SWITCH(L3020,2,_xlfn.XLOOKUP(C3020,[1]ModifierDes!$B:$B,[1]ModifierDes!$C:$C),3,_xlfn.XLOOKUP(C3020,[1]StuntDes!$B:$B,[1]StuntDes!$C:$C)),"")</f>
        <v/>
      </c>
      <c r="L3020">
        <f t="shared" si="126"/>
        <v>1</v>
      </c>
      <c r="M3020" s="10" t="str">
        <f>IFERROR(_xlfn.XLOOKUP(C3020,[1]StuntDes!$B:$B,[1]StuntDes!$A:$A),"")</f>
        <v/>
      </c>
      <c r="N3020" s="10" t="str">
        <f>IFERROR(_xlfn.XLOOKUP(C3020,[1]ModifierDes!$B:$B,[1]ModifierDes!$A:$A),"")</f>
        <v/>
      </c>
      <c r="O3020" s="10">
        <f>IFERROR(_xlfn.XLOOKUP(C3020,[1]AttributeName!$C:$C,[1]AttributeName!$B:$B),"")</f>
        <v>10501</v>
      </c>
      <c r="P3020" s="10"/>
      <c r="Q3020">
        <v>0.6</v>
      </c>
      <c r="R3020">
        <v>0.8</v>
      </c>
      <c r="S3020" cm="1">
        <f t="array" ref="S3020">IFERROR(_xlfn.SWITCH(L3020,1,_xlfn.XLOOKUP(O3020,[1]AttributeName!$B:$B,[1]AttributeName!$D:$D),2,_xlfn.XLOOKUP(C3020,#REF!,#REF!),3,_xlfn.XLOOKUP(C3020,#REF!,#REF!)),0)</f>
        <v>2</v>
      </c>
      <c r="T3020" cm="1">
        <f t="array" ref="T3020">IFERROR(_xlfn.SWITCH(L3020,1,_xlfn.XLOOKUP(O3020,[1]AttributeName!$B:$B,[1]AttributeName!$E:$E),2,_xlfn.XLOOKUP(C3020,#REF!,#REF!),3,_xlfn.XLOOKUP(C3020,#REF!,#REF!)),0)</f>
        <v>2</v>
      </c>
    </row>
    <row r="3021" customFormat="1" spans="1:20">
      <c r="A3021">
        <f t="shared" si="125"/>
        <v>1261</v>
      </c>
      <c r="B3021">
        <v>2</v>
      </c>
      <c r="C3021" s="14" t="s">
        <v>402</v>
      </c>
      <c r="D3021" t="s">
        <v>21</v>
      </c>
      <c r="E3021" s="13" t="s">
        <v>392</v>
      </c>
      <c r="G3021">
        <v>2</v>
      </c>
      <c r="H3021">
        <v>200</v>
      </c>
      <c r="J3021" cm="1">
        <f t="array" ref="J3021">_xlfn.SWITCH(B3021,1,75,2,61,3,49,4,37,5,25,6,13,7,4,8,1)</f>
        <v>61</v>
      </c>
      <c r="K3021" t="str" cm="1">
        <f t="array" ref="K3021">IFERROR(_xlfn.SWITCH(L3021,2,_xlfn.XLOOKUP(C3021,[1]ModifierDes!$B:$B,[1]ModifierDes!$C:$C),3,_xlfn.XLOOKUP(C3021,[1]StuntDes!$B:$B,[1]StuntDes!$C:$C)),"")</f>
        <v/>
      </c>
      <c r="L3021">
        <f t="shared" si="126"/>
        <v>1</v>
      </c>
      <c r="M3021" s="10" t="str">
        <f>IFERROR(_xlfn.XLOOKUP(C3021,[1]StuntDes!$B:$B,[1]StuntDes!$A:$A),"")</f>
        <v/>
      </c>
      <c r="N3021" s="10" t="str">
        <f>IFERROR(_xlfn.XLOOKUP(C3021,[1]ModifierDes!$B:$B,[1]ModifierDes!$A:$A),"")</f>
        <v/>
      </c>
      <c r="O3021" s="10">
        <f>IFERROR(_xlfn.XLOOKUP(C3021,[1]AttributeName!$C:$C,[1]AttributeName!$B:$B),"")</f>
        <v>10501</v>
      </c>
      <c r="P3021" s="10"/>
      <c r="Q3021">
        <v>0.52</v>
      </c>
      <c r="R3021">
        <v>0.59</v>
      </c>
      <c r="S3021" cm="1">
        <f t="array" ref="S3021">IFERROR(_xlfn.SWITCH(L3021,1,_xlfn.XLOOKUP(O3021,[1]AttributeName!$B:$B,[1]AttributeName!$D:$D),2,_xlfn.XLOOKUP(C3021,#REF!,#REF!),3,_xlfn.XLOOKUP(C3021,#REF!,#REF!)),0)</f>
        <v>2</v>
      </c>
      <c r="T3021" cm="1">
        <f t="array" ref="T3021">IFERROR(_xlfn.SWITCH(L3021,1,_xlfn.XLOOKUP(O3021,[1]AttributeName!$B:$B,[1]AttributeName!$E:$E),2,_xlfn.XLOOKUP(C3021,#REF!,#REF!),3,_xlfn.XLOOKUP(C3021,#REF!,#REF!)),0)</f>
        <v>2</v>
      </c>
    </row>
    <row r="3022" customFormat="1" spans="1:20">
      <c r="A3022">
        <f t="shared" si="125"/>
        <v>1261</v>
      </c>
      <c r="B3022">
        <v>3</v>
      </c>
      <c r="C3022" s="14" t="s">
        <v>402</v>
      </c>
      <c r="D3022" t="s">
        <v>21</v>
      </c>
      <c r="E3022" s="13" t="s">
        <v>392</v>
      </c>
      <c r="G3022">
        <v>2</v>
      </c>
      <c r="H3022">
        <v>500</v>
      </c>
      <c r="J3022" cm="1">
        <f t="array" ref="J3022">_xlfn.SWITCH(B3022,1,75,2,61,3,49,4,37,5,25,6,13,7,4,8,1)</f>
        <v>49</v>
      </c>
      <c r="K3022" t="str" cm="1">
        <f t="array" ref="K3022">IFERROR(_xlfn.SWITCH(L3022,2,_xlfn.XLOOKUP(C3022,[1]ModifierDes!$B:$B,[1]ModifierDes!$C:$C),3,_xlfn.XLOOKUP(C3022,[1]StuntDes!$B:$B,[1]StuntDes!$C:$C)),"")</f>
        <v/>
      </c>
      <c r="L3022">
        <f t="shared" si="126"/>
        <v>1</v>
      </c>
      <c r="M3022" s="10" t="str">
        <f>IFERROR(_xlfn.XLOOKUP(C3022,[1]StuntDes!$B:$B,[1]StuntDes!$A:$A),"")</f>
        <v/>
      </c>
      <c r="N3022" s="10" t="str">
        <f>IFERROR(_xlfn.XLOOKUP(C3022,[1]ModifierDes!$B:$B,[1]ModifierDes!$A:$A),"")</f>
        <v/>
      </c>
      <c r="O3022" s="10">
        <f>IFERROR(_xlfn.XLOOKUP(C3022,[1]AttributeName!$C:$C,[1]AttributeName!$B:$B),"")</f>
        <v>10501</v>
      </c>
      <c r="P3022" s="10"/>
      <c r="Q3022">
        <v>0.44</v>
      </c>
      <c r="R3022">
        <v>0.51</v>
      </c>
      <c r="S3022" cm="1">
        <f t="array" ref="S3022">IFERROR(_xlfn.SWITCH(L3022,1,_xlfn.XLOOKUP(O3022,[1]AttributeName!$B:$B,[1]AttributeName!$D:$D),2,_xlfn.XLOOKUP(C3022,#REF!,#REF!),3,_xlfn.XLOOKUP(C3022,#REF!,#REF!)),0)</f>
        <v>2</v>
      </c>
      <c r="T3022" cm="1">
        <f t="array" ref="T3022">IFERROR(_xlfn.SWITCH(L3022,1,_xlfn.XLOOKUP(O3022,[1]AttributeName!$B:$B,[1]AttributeName!$E:$E),2,_xlfn.XLOOKUP(C3022,#REF!,#REF!),3,_xlfn.XLOOKUP(C3022,#REF!,#REF!)),0)</f>
        <v>2</v>
      </c>
    </row>
    <row r="3023" customFormat="1" spans="1:20">
      <c r="A3023">
        <f t="shared" si="125"/>
        <v>1261</v>
      </c>
      <c r="B3023">
        <v>4</v>
      </c>
      <c r="C3023" s="14" t="s">
        <v>402</v>
      </c>
      <c r="D3023" t="s">
        <v>21</v>
      </c>
      <c r="E3023" s="13" t="s">
        <v>392</v>
      </c>
      <c r="G3023">
        <v>2</v>
      </c>
      <c r="H3023">
        <v>1000</v>
      </c>
      <c r="J3023" cm="1">
        <f t="array" ref="J3023">_xlfn.SWITCH(B3023,1,75,2,61,3,49,4,37,5,25,6,13,7,4,8,1)</f>
        <v>37</v>
      </c>
      <c r="K3023" t="str" cm="1">
        <f t="array" ref="K3023">IFERROR(_xlfn.SWITCH(L3023,2,_xlfn.XLOOKUP(C3023,[1]ModifierDes!$B:$B,[1]ModifierDes!$C:$C),3,_xlfn.XLOOKUP(C3023,[1]StuntDes!$B:$B,[1]StuntDes!$C:$C)),"")</f>
        <v/>
      </c>
      <c r="L3023">
        <f t="shared" si="126"/>
        <v>1</v>
      </c>
      <c r="M3023" s="10" t="str">
        <f>IFERROR(_xlfn.XLOOKUP(C3023,[1]StuntDes!$B:$B,[1]StuntDes!$A:$A),"")</f>
        <v/>
      </c>
      <c r="N3023" s="10" t="str">
        <f>IFERROR(_xlfn.XLOOKUP(C3023,[1]ModifierDes!$B:$B,[1]ModifierDes!$A:$A),"")</f>
        <v/>
      </c>
      <c r="O3023" s="10">
        <f>IFERROR(_xlfn.XLOOKUP(C3023,[1]AttributeName!$C:$C,[1]AttributeName!$B:$B),"")</f>
        <v>10501</v>
      </c>
      <c r="P3023" s="10"/>
      <c r="Q3023">
        <v>0.36</v>
      </c>
      <c r="R3023">
        <v>0.43</v>
      </c>
      <c r="S3023" cm="1">
        <f t="array" ref="S3023">IFERROR(_xlfn.SWITCH(L3023,1,_xlfn.XLOOKUP(O3023,[1]AttributeName!$B:$B,[1]AttributeName!$D:$D),2,_xlfn.XLOOKUP(C3023,#REF!,#REF!),3,_xlfn.XLOOKUP(C3023,#REF!,#REF!)),0)</f>
        <v>2</v>
      </c>
      <c r="T3023" cm="1">
        <f t="array" ref="T3023">IFERROR(_xlfn.SWITCH(L3023,1,_xlfn.XLOOKUP(O3023,[1]AttributeName!$B:$B,[1]AttributeName!$E:$E),2,_xlfn.XLOOKUP(C3023,#REF!,#REF!),3,_xlfn.XLOOKUP(C3023,#REF!,#REF!)),0)</f>
        <v>2</v>
      </c>
    </row>
    <row r="3024" customFormat="1" spans="1:20">
      <c r="A3024">
        <f t="shared" si="125"/>
        <v>1261</v>
      </c>
      <c r="B3024">
        <v>5</v>
      </c>
      <c r="C3024" s="14" t="s">
        <v>402</v>
      </c>
      <c r="D3024" t="s">
        <v>21</v>
      </c>
      <c r="E3024" s="13" t="s">
        <v>392</v>
      </c>
      <c r="G3024">
        <v>2</v>
      </c>
      <c r="H3024">
        <v>1000</v>
      </c>
      <c r="J3024" cm="1">
        <f t="array" ref="J3024">_xlfn.SWITCH(B3024,1,75,2,61,3,49,4,37,5,25,6,13,7,4,8,1)</f>
        <v>25</v>
      </c>
      <c r="K3024" t="str" cm="1">
        <f t="array" ref="K3024">IFERROR(_xlfn.SWITCH(L3024,2,_xlfn.XLOOKUP(C3024,[1]ModifierDes!$B:$B,[1]ModifierDes!$C:$C),3,_xlfn.XLOOKUP(C3024,[1]StuntDes!$B:$B,[1]StuntDes!$C:$C)),"")</f>
        <v/>
      </c>
      <c r="L3024">
        <f t="shared" si="126"/>
        <v>1</v>
      </c>
      <c r="M3024" s="10" t="str">
        <f>IFERROR(_xlfn.XLOOKUP(C3024,[1]StuntDes!$B:$B,[1]StuntDes!$A:$A),"")</f>
        <v/>
      </c>
      <c r="N3024" s="10" t="str">
        <f>IFERROR(_xlfn.XLOOKUP(C3024,[1]ModifierDes!$B:$B,[1]ModifierDes!$A:$A),"")</f>
        <v/>
      </c>
      <c r="O3024" s="10">
        <f>IFERROR(_xlfn.XLOOKUP(C3024,[1]AttributeName!$C:$C,[1]AttributeName!$B:$B),"")</f>
        <v>10501</v>
      </c>
      <c r="P3024" s="10"/>
      <c r="Q3024">
        <v>0.28</v>
      </c>
      <c r="R3024">
        <v>0.35</v>
      </c>
      <c r="S3024" cm="1">
        <f t="array" ref="S3024">IFERROR(_xlfn.SWITCH(L3024,1,_xlfn.XLOOKUP(O3024,[1]AttributeName!$B:$B,[1]AttributeName!$D:$D),2,_xlfn.XLOOKUP(C3024,#REF!,#REF!),3,_xlfn.XLOOKUP(C3024,#REF!,#REF!)),0)</f>
        <v>2</v>
      </c>
      <c r="T3024" cm="1">
        <f t="array" ref="T3024">IFERROR(_xlfn.SWITCH(L3024,1,_xlfn.XLOOKUP(O3024,[1]AttributeName!$B:$B,[1]AttributeName!$E:$E),2,_xlfn.XLOOKUP(C3024,#REF!,#REF!),3,_xlfn.XLOOKUP(C3024,#REF!,#REF!)),0)</f>
        <v>2</v>
      </c>
    </row>
    <row r="3025" customFormat="1" spans="1:20">
      <c r="A3025">
        <f t="shared" si="125"/>
        <v>1261</v>
      </c>
      <c r="B3025">
        <v>6</v>
      </c>
      <c r="C3025" s="14" t="s">
        <v>402</v>
      </c>
      <c r="D3025" t="s">
        <v>21</v>
      </c>
      <c r="E3025" s="13" t="s">
        <v>392</v>
      </c>
      <c r="G3025">
        <v>2</v>
      </c>
      <c r="H3025">
        <v>1000</v>
      </c>
      <c r="J3025" cm="1">
        <f t="array" ref="J3025">_xlfn.SWITCH(B3025,1,75,2,61,3,49,4,37,5,25,6,13,7,4,8,1)</f>
        <v>13</v>
      </c>
      <c r="K3025" t="str" cm="1">
        <f t="array" ref="K3025">IFERROR(_xlfn.SWITCH(L3025,2,_xlfn.XLOOKUP(C3025,[1]ModifierDes!$B:$B,[1]ModifierDes!$C:$C),3,_xlfn.XLOOKUP(C3025,[1]StuntDes!$B:$B,[1]StuntDes!$C:$C)),"")</f>
        <v/>
      </c>
      <c r="L3025">
        <f t="shared" si="126"/>
        <v>1</v>
      </c>
      <c r="M3025" s="10" t="str">
        <f>IFERROR(_xlfn.XLOOKUP(C3025,[1]StuntDes!$B:$B,[1]StuntDes!$A:$A),"")</f>
        <v/>
      </c>
      <c r="N3025" s="10" t="str">
        <f>IFERROR(_xlfn.XLOOKUP(C3025,[1]ModifierDes!$B:$B,[1]ModifierDes!$A:$A),"")</f>
        <v/>
      </c>
      <c r="O3025" s="10">
        <f>IFERROR(_xlfn.XLOOKUP(C3025,[1]AttributeName!$C:$C,[1]AttributeName!$B:$B),"")</f>
        <v>10501</v>
      </c>
      <c r="P3025" s="10"/>
      <c r="Q3025">
        <v>0.2</v>
      </c>
      <c r="R3025">
        <v>0.27</v>
      </c>
      <c r="S3025" cm="1">
        <f t="array" ref="S3025">IFERROR(_xlfn.SWITCH(L3025,1,_xlfn.XLOOKUP(O3025,[1]AttributeName!$B:$B,[1]AttributeName!$D:$D),2,_xlfn.XLOOKUP(C3025,#REF!,#REF!),3,_xlfn.XLOOKUP(C3025,#REF!,#REF!)),0)</f>
        <v>2</v>
      </c>
      <c r="T3025" cm="1">
        <f t="array" ref="T3025">IFERROR(_xlfn.SWITCH(L3025,1,_xlfn.XLOOKUP(O3025,[1]AttributeName!$B:$B,[1]AttributeName!$E:$E),2,_xlfn.XLOOKUP(C3025,#REF!,#REF!),3,_xlfn.XLOOKUP(C3025,#REF!,#REF!)),0)</f>
        <v>2</v>
      </c>
    </row>
    <row r="3026" customFormat="1" spans="1:20">
      <c r="A3026">
        <f t="shared" si="125"/>
        <v>1261</v>
      </c>
      <c r="B3026">
        <v>7</v>
      </c>
      <c r="C3026" s="14" t="s">
        <v>402</v>
      </c>
      <c r="D3026" t="s">
        <v>21</v>
      </c>
      <c r="E3026" s="13" t="s">
        <v>392</v>
      </c>
      <c r="G3026">
        <v>2</v>
      </c>
      <c r="H3026">
        <v>1000</v>
      </c>
      <c r="J3026" cm="1">
        <f t="array" ref="J3026">_xlfn.SWITCH(B3026,1,75,2,61,3,49,4,37,5,25,6,13,7,4,8,1)</f>
        <v>4</v>
      </c>
      <c r="K3026" t="str" cm="1">
        <f t="array" ref="K3026">IFERROR(_xlfn.SWITCH(L3026,2,_xlfn.XLOOKUP(C3026,[1]ModifierDes!$B:$B,[1]ModifierDes!$C:$C),3,_xlfn.XLOOKUP(C3026,[1]StuntDes!$B:$B,[1]StuntDes!$C:$C)),"")</f>
        <v/>
      </c>
      <c r="L3026">
        <f t="shared" si="126"/>
        <v>1</v>
      </c>
      <c r="M3026" s="10" t="str">
        <f>IFERROR(_xlfn.XLOOKUP(C3026,[1]StuntDes!$B:$B,[1]StuntDes!$A:$A),"")</f>
        <v/>
      </c>
      <c r="N3026" s="10" t="str">
        <f>IFERROR(_xlfn.XLOOKUP(C3026,[1]ModifierDes!$B:$B,[1]ModifierDes!$A:$A),"")</f>
        <v/>
      </c>
      <c r="O3026" s="10">
        <f>IFERROR(_xlfn.XLOOKUP(C3026,[1]AttributeName!$C:$C,[1]AttributeName!$B:$B),"")</f>
        <v>10501</v>
      </c>
      <c r="P3026" s="10"/>
      <c r="Q3026">
        <v>0.12</v>
      </c>
      <c r="R3026">
        <v>0.19</v>
      </c>
      <c r="S3026" cm="1">
        <f t="array" ref="S3026">IFERROR(_xlfn.SWITCH(L3026,1,_xlfn.XLOOKUP(O3026,[1]AttributeName!$B:$B,[1]AttributeName!$D:$D),2,_xlfn.XLOOKUP(C3026,#REF!,#REF!),3,_xlfn.XLOOKUP(C3026,#REF!,#REF!)),0)</f>
        <v>2</v>
      </c>
      <c r="T3026" cm="1">
        <f t="array" ref="T3026">IFERROR(_xlfn.SWITCH(L3026,1,_xlfn.XLOOKUP(O3026,[1]AttributeName!$B:$B,[1]AttributeName!$E:$E),2,_xlfn.XLOOKUP(C3026,#REF!,#REF!),3,_xlfn.XLOOKUP(C3026,#REF!,#REF!)),0)</f>
        <v>2</v>
      </c>
    </row>
    <row r="3027" customFormat="1" spans="1:20">
      <c r="A3027">
        <f t="shared" si="125"/>
        <v>1261</v>
      </c>
      <c r="B3027">
        <v>8</v>
      </c>
      <c r="C3027" s="14" t="s">
        <v>402</v>
      </c>
      <c r="D3027" t="s">
        <v>21</v>
      </c>
      <c r="E3027" s="13" t="s">
        <v>392</v>
      </c>
      <c r="G3027">
        <v>2</v>
      </c>
      <c r="H3027">
        <v>1000</v>
      </c>
      <c r="J3027" cm="1">
        <f t="array" ref="J3027">_xlfn.SWITCH(B3027,1,75,2,61,3,49,4,37,5,25,6,13,7,4,8,1)</f>
        <v>1</v>
      </c>
      <c r="K3027" t="str" cm="1">
        <f t="array" ref="K3027">IFERROR(_xlfn.SWITCH(L3027,2,_xlfn.XLOOKUP(C3027,[1]ModifierDes!$B:$B,[1]ModifierDes!$C:$C),3,_xlfn.XLOOKUP(C3027,[1]StuntDes!$B:$B,[1]StuntDes!$C:$C)),"")</f>
        <v/>
      </c>
      <c r="L3027">
        <f t="shared" si="126"/>
        <v>1</v>
      </c>
      <c r="M3027" s="10" t="str">
        <f>IFERROR(_xlfn.XLOOKUP(C3027,[1]StuntDes!$B:$B,[1]StuntDes!$A:$A),"")</f>
        <v/>
      </c>
      <c r="N3027" s="10" t="str">
        <f>IFERROR(_xlfn.XLOOKUP(C3027,[1]ModifierDes!$B:$B,[1]ModifierDes!$A:$A),"")</f>
        <v/>
      </c>
      <c r="O3027" s="10">
        <f>IFERROR(_xlfn.XLOOKUP(C3027,[1]AttributeName!$C:$C,[1]AttributeName!$B:$B),"")</f>
        <v>10501</v>
      </c>
      <c r="P3027" s="10"/>
      <c r="Q3027">
        <v>0.0399999999999999</v>
      </c>
      <c r="R3027">
        <v>0.11</v>
      </c>
      <c r="S3027" cm="1">
        <f t="array" ref="S3027">IFERROR(_xlfn.SWITCH(L3027,1,_xlfn.XLOOKUP(O3027,[1]AttributeName!$B:$B,[1]AttributeName!$D:$D),2,_xlfn.XLOOKUP(C3027,#REF!,#REF!),3,_xlfn.XLOOKUP(C3027,#REF!,#REF!)),0)</f>
        <v>2</v>
      </c>
      <c r="T3027" cm="1">
        <f t="array" ref="T3027">IFERROR(_xlfn.SWITCH(L3027,1,_xlfn.XLOOKUP(O3027,[1]AttributeName!$B:$B,[1]AttributeName!$E:$E),2,_xlfn.XLOOKUP(C3027,#REF!,#REF!),3,_xlfn.XLOOKUP(C3027,#REF!,#REF!)),0)</f>
        <v>2</v>
      </c>
    </row>
    <row r="3028" customFormat="1" spans="1:20">
      <c r="A3028">
        <f t="shared" si="125"/>
        <v>1262</v>
      </c>
      <c r="B3028">
        <v>1</v>
      </c>
      <c r="C3028" t="s">
        <v>403</v>
      </c>
      <c r="D3028" t="s">
        <v>21</v>
      </c>
      <c r="E3028" s="13" t="s">
        <v>392</v>
      </c>
      <c r="G3028">
        <v>2</v>
      </c>
      <c r="H3028">
        <v>100</v>
      </c>
      <c r="J3028" cm="1">
        <f t="array" ref="J3028">_xlfn.SWITCH(B3028,1,75,2,61,3,49,4,37,5,25,6,13,7,4,8,1)</f>
        <v>75</v>
      </c>
      <c r="K3028" t="str" cm="1">
        <f t="array" ref="K3028">IFERROR(_xlfn.SWITCH(L3028,2,_xlfn.XLOOKUP(C3028,[1]ModifierDes!$B:$B,[1]ModifierDes!$C:$C),3,_xlfn.XLOOKUP(C3028,[1]StuntDes!$B:$B,[1]StuntDes!$C:$C)),"")</f>
        <v/>
      </c>
      <c r="L3028">
        <f t="shared" si="126"/>
        <v>1</v>
      </c>
      <c r="M3028" s="10" t="str">
        <f>IFERROR(_xlfn.XLOOKUP(C3028,[1]StuntDes!$B:$B,[1]StuntDes!$A:$A),"")</f>
        <v/>
      </c>
      <c r="N3028" s="10" t="str">
        <f>IFERROR(_xlfn.XLOOKUP(C3028,[1]ModifierDes!$B:$B,[1]ModifierDes!$A:$A),"")</f>
        <v/>
      </c>
      <c r="O3028" s="10">
        <f>IFERROR(_xlfn.XLOOKUP(C3028,[1]AttributeName!$C:$C,[1]AttributeName!$B:$B),"")</f>
        <v>10502</v>
      </c>
      <c r="P3028" s="10"/>
      <c r="Q3028">
        <v>0.6</v>
      </c>
      <c r="R3028">
        <v>0.8</v>
      </c>
      <c r="S3028" cm="1">
        <f t="array" ref="S3028">IFERROR(_xlfn.SWITCH(L3028,1,_xlfn.XLOOKUP(O3028,[1]AttributeName!$B:$B,[1]AttributeName!$D:$D),2,_xlfn.XLOOKUP(C3028,#REF!,#REF!),3,_xlfn.XLOOKUP(C3028,#REF!,#REF!)),0)</f>
        <v>2</v>
      </c>
      <c r="T3028" cm="1">
        <f t="array" ref="T3028">IFERROR(_xlfn.SWITCH(L3028,1,_xlfn.XLOOKUP(O3028,[1]AttributeName!$B:$B,[1]AttributeName!$E:$E),2,_xlfn.XLOOKUP(C3028,#REF!,#REF!),3,_xlfn.XLOOKUP(C3028,#REF!,#REF!)),0)</f>
        <v>2</v>
      </c>
    </row>
    <row r="3029" customFormat="1" spans="1:20">
      <c r="A3029">
        <f t="shared" si="125"/>
        <v>1262</v>
      </c>
      <c r="B3029">
        <v>2</v>
      </c>
      <c r="C3029" t="s">
        <v>403</v>
      </c>
      <c r="D3029" t="s">
        <v>21</v>
      </c>
      <c r="E3029" s="13" t="s">
        <v>392</v>
      </c>
      <c r="G3029">
        <v>2</v>
      </c>
      <c r="H3029">
        <v>200</v>
      </c>
      <c r="J3029" cm="1">
        <f t="array" ref="J3029">_xlfn.SWITCH(B3029,1,75,2,61,3,49,4,37,5,25,6,13,7,4,8,1)</f>
        <v>61</v>
      </c>
      <c r="K3029" t="str" cm="1">
        <f t="array" ref="K3029">IFERROR(_xlfn.SWITCH(L3029,2,_xlfn.XLOOKUP(C3029,[1]ModifierDes!$B:$B,[1]ModifierDes!$C:$C),3,_xlfn.XLOOKUP(C3029,[1]StuntDes!$B:$B,[1]StuntDes!$C:$C)),"")</f>
        <v/>
      </c>
      <c r="L3029">
        <f t="shared" si="126"/>
        <v>1</v>
      </c>
      <c r="M3029" s="10" t="str">
        <f>IFERROR(_xlfn.XLOOKUP(C3029,[1]StuntDes!$B:$B,[1]StuntDes!$A:$A),"")</f>
        <v/>
      </c>
      <c r="N3029" s="10" t="str">
        <f>IFERROR(_xlfn.XLOOKUP(C3029,[1]ModifierDes!$B:$B,[1]ModifierDes!$A:$A),"")</f>
        <v/>
      </c>
      <c r="O3029" s="10">
        <f>IFERROR(_xlfn.XLOOKUP(C3029,[1]AttributeName!$C:$C,[1]AttributeName!$B:$B),"")</f>
        <v>10502</v>
      </c>
      <c r="P3029" s="10"/>
      <c r="Q3029">
        <v>0.52</v>
      </c>
      <c r="R3029">
        <v>0.59</v>
      </c>
      <c r="S3029" cm="1">
        <f t="array" ref="S3029">IFERROR(_xlfn.SWITCH(L3029,1,_xlfn.XLOOKUP(O3029,[1]AttributeName!$B:$B,[1]AttributeName!$D:$D),2,_xlfn.XLOOKUP(C3029,#REF!,#REF!),3,_xlfn.XLOOKUP(C3029,#REF!,#REF!)),0)</f>
        <v>2</v>
      </c>
      <c r="T3029" cm="1">
        <f t="array" ref="T3029">IFERROR(_xlfn.SWITCH(L3029,1,_xlfn.XLOOKUP(O3029,[1]AttributeName!$B:$B,[1]AttributeName!$E:$E),2,_xlfn.XLOOKUP(C3029,#REF!,#REF!),3,_xlfn.XLOOKUP(C3029,#REF!,#REF!)),0)</f>
        <v>2</v>
      </c>
    </row>
    <row r="3030" customFormat="1" spans="1:20">
      <c r="A3030">
        <f t="shared" si="125"/>
        <v>1262</v>
      </c>
      <c r="B3030">
        <v>3</v>
      </c>
      <c r="C3030" t="s">
        <v>403</v>
      </c>
      <c r="D3030" t="s">
        <v>21</v>
      </c>
      <c r="E3030" s="13" t="s">
        <v>392</v>
      </c>
      <c r="G3030">
        <v>2</v>
      </c>
      <c r="H3030">
        <v>500</v>
      </c>
      <c r="J3030" cm="1">
        <f t="array" ref="J3030">_xlfn.SWITCH(B3030,1,75,2,61,3,49,4,37,5,25,6,13,7,4,8,1)</f>
        <v>49</v>
      </c>
      <c r="K3030" t="str" cm="1">
        <f t="array" ref="K3030">IFERROR(_xlfn.SWITCH(L3030,2,_xlfn.XLOOKUP(C3030,[1]ModifierDes!$B:$B,[1]ModifierDes!$C:$C),3,_xlfn.XLOOKUP(C3030,[1]StuntDes!$B:$B,[1]StuntDes!$C:$C)),"")</f>
        <v/>
      </c>
      <c r="L3030">
        <f t="shared" si="126"/>
        <v>1</v>
      </c>
      <c r="M3030" s="10" t="str">
        <f>IFERROR(_xlfn.XLOOKUP(C3030,[1]StuntDes!$B:$B,[1]StuntDes!$A:$A),"")</f>
        <v/>
      </c>
      <c r="N3030" s="10" t="str">
        <f>IFERROR(_xlfn.XLOOKUP(C3030,[1]ModifierDes!$B:$B,[1]ModifierDes!$A:$A),"")</f>
        <v/>
      </c>
      <c r="O3030" s="10">
        <f>IFERROR(_xlfn.XLOOKUP(C3030,[1]AttributeName!$C:$C,[1]AttributeName!$B:$B),"")</f>
        <v>10502</v>
      </c>
      <c r="P3030" s="10"/>
      <c r="Q3030">
        <v>0.44</v>
      </c>
      <c r="R3030">
        <v>0.51</v>
      </c>
      <c r="S3030" cm="1">
        <f t="array" ref="S3030">IFERROR(_xlfn.SWITCH(L3030,1,_xlfn.XLOOKUP(O3030,[1]AttributeName!$B:$B,[1]AttributeName!$D:$D),2,_xlfn.XLOOKUP(C3030,#REF!,#REF!),3,_xlfn.XLOOKUP(C3030,#REF!,#REF!)),0)</f>
        <v>2</v>
      </c>
      <c r="T3030" cm="1">
        <f t="array" ref="T3030">IFERROR(_xlfn.SWITCH(L3030,1,_xlfn.XLOOKUP(O3030,[1]AttributeName!$B:$B,[1]AttributeName!$E:$E),2,_xlfn.XLOOKUP(C3030,#REF!,#REF!),3,_xlfn.XLOOKUP(C3030,#REF!,#REF!)),0)</f>
        <v>2</v>
      </c>
    </row>
    <row r="3031" customFormat="1" spans="1:20">
      <c r="A3031">
        <f t="shared" si="125"/>
        <v>1262</v>
      </c>
      <c r="B3031">
        <v>4</v>
      </c>
      <c r="C3031" t="s">
        <v>403</v>
      </c>
      <c r="D3031" t="s">
        <v>21</v>
      </c>
      <c r="E3031" s="13" t="s">
        <v>392</v>
      </c>
      <c r="G3031">
        <v>2</v>
      </c>
      <c r="H3031">
        <v>1000</v>
      </c>
      <c r="J3031" cm="1">
        <f t="array" ref="J3031">_xlfn.SWITCH(B3031,1,75,2,61,3,49,4,37,5,25,6,13,7,4,8,1)</f>
        <v>37</v>
      </c>
      <c r="K3031" t="str" cm="1">
        <f t="array" ref="K3031">IFERROR(_xlfn.SWITCH(L3031,2,_xlfn.XLOOKUP(C3031,[1]ModifierDes!$B:$B,[1]ModifierDes!$C:$C),3,_xlfn.XLOOKUP(C3031,[1]StuntDes!$B:$B,[1]StuntDes!$C:$C)),"")</f>
        <v/>
      </c>
      <c r="L3031">
        <f t="shared" si="126"/>
        <v>1</v>
      </c>
      <c r="M3031" s="10" t="str">
        <f>IFERROR(_xlfn.XLOOKUP(C3031,[1]StuntDes!$B:$B,[1]StuntDes!$A:$A),"")</f>
        <v/>
      </c>
      <c r="N3031" s="10" t="str">
        <f>IFERROR(_xlfn.XLOOKUP(C3031,[1]ModifierDes!$B:$B,[1]ModifierDes!$A:$A),"")</f>
        <v/>
      </c>
      <c r="O3031" s="10">
        <f>IFERROR(_xlfn.XLOOKUP(C3031,[1]AttributeName!$C:$C,[1]AttributeName!$B:$B),"")</f>
        <v>10502</v>
      </c>
      <c r="P3031" s="10"/>
      <c r="Q3031">
        <v>0.36</v>
      </c>
      <c r="R3031">
        <v>0.43</v>
      </c>
      <c r="S3031" cm="1">
        <f t="array" ref="S3031">IFERROR(_xlfn.SWITCH(L3031,1,_xlfn.XLOOKUP(O3031,[1]AttributeName!$B:$B,[1]AttributeName!$D:$D),2,_xlfn.XLOOKUP(C3031,#REF!,#REF!),3,_xlfn.XLOOKUP(C3031,#REF!,#REF!)),0)</f>
        <v>2</v>
      </c>
      <c r="T3031" cm="1">
        <f t="array" ref="T3031">IFERROR(_xlfn.SWITCH(L3031,1,_xlfn.XLOOKUP(O3031,[1]AttributeName!$B:$B,[1]AttributeName!$E:$E),2,_xlfn.XLOOKUP(C3031,#REF!,#REF!),3,_xlfn.XLOOKUP(C3031,#REF!,#REF!)),0)</f>
        <v>2</v>
      </c>
    </row>
    <row r="3032" customFormat="1" spans="1:20">
      <c r="A3032">
        <f t="shared" si="125"/>
        <v>1262</v>
      </c>
      <c r="B3032">
        <v>5</v>
      </c>
      <c r="C3032" t="s">
        <v>403</v>
      </c>
      <c r="D3032" t="s">
        <v>21</v>
      </c>
      <c r="E3032" s="13" t="s">
        <v>392</v>
      </c>
      <c r="G3032">
        <v>2</v>
      </c>
      <c r="H3032">
        <v>1000</v>
      </c>
      <c r="J3032" cm="1">
        <f t="array" ref="J3032">_xlfn.SWITCH(B3032,1,75,2,61,3,49,4,37,5,25,6,13,7,4,8,1)</f>
        <v>25</v>
      </c>
      <c r="K3032" t="str" cm="1">
        <f t="array" ref="K3032">IFERROR(_xlfn.SWITCH(L3032,2,_xlfn.XLOOKUP(C3032,[1]ModifierDes!$B:$B,[1]ModifierDes!$C:$C),3,_xlfn.XLOOKUP(C3032,[1]StuntDes!$B:$B,[1]StuntDes!$C:$C)),"")</f>
        <v/>
      </c>
      <c r="L3032">
        <f t="shared" si="126"/>
        <v>1</v>
      </c>
      <c r="M3032" s="10" t="str">
        <f>IFERROR(_xlfn.XLOOKUP(C3032,[1]StuntDes!$B:$B,[1]StuntDes!$A:$A),"")</f>
        <v/>
      </c>
      <c r="N3032" s="10" t="str">
        <f>IFERROR(_xlfn.XLOOKUP(C3032,[1]ModifierDes!$B:$B,[1]ModifierDes!$A:$A),"")</f>
        <v/>
      </c>
      <c r="O3032" s="10">
        <f>IFERROR(_xlfn.XLOOKUP(C3032,[1]AttributeName!$C:$C,[1]AttributeName!$B:$B),"")</f>
        <v>10502</v>
      </c>
      <c r="P3032" s="10"/>
      <c r="Q3032">
        <v>0.28</v>
      </c>
      <c r="R3032">
        <v>0.35</v>
      </c>
      <c r="S3032" cm="1">
        <f t="array" ref="S3032">IFERROR(_xlfn.SWITCH(L3032,1,_xlfn.XLOOKUP(O3032,[1]AttributeName!$B:$B,[1]AttributeName!$D:$D),2,_xlfn.XLOOKUP(C3032,#REF!,#REF!),3,_xlfn.XLOOKUP(C3032,#REF!,#REF!)),0)</f>
        <v>2</v>
      </c>
      <c r="T3032" cm="1">
        <f t="array" ref="T3032">IFERROR(_xlfn.SWITCH(L3032,1,_xlfn.XLOOKUP(O3032,[1]AttributeName!$B:$B,[1]AttributeName!$E:$E),2,_xlfn.XLOOKUP(C3032,#REF!,#REF!),3,_xlfn.XLOOKUP(C3032,#REF!,#REF!)),0)</f>
        <v>2</v>
      </c>
    </row>
    <row r="3033" customFormat="1" spans="1:20">
      <c r="A3033">
        <f t="shared" si="125"/>
        <v>1262</v>
      </c>
      <c r="B3033">
        <v>6</v>
      </c>
      <c r="C3033" t="s">
        <v>403</v>
      </c>
      <c r="D3033" t="s">
        <v>21</v>
      </c>
      <c r="E3033" s="13" t="s">
        <v>392</v>
      </c>
      <c r="G3033">
        <v>2</v>
      </c>
      <c r="H3033">
        <v>1000</v>
      </c>
      <c r="J3033" cm="1">
        <f t="array" ref="J3033">_xlfn.SWITCH(B3033,1,75,2,61,3,49,4,37,5,25,6,13,7,4,8,1)</f>
        <v>13</v>
      </c>
      <c r="K3033" t="str" cm="1">
        <f t="array" ref="K3033">IFERROR(_xlfn.SWITCH(L3033,2,_xlfn.XLOOKUP(C3033,[1]ModifierDes!$B:$B,[1]ModifierDes!$C:$C),3,_xlfn.XLOOKUP(C3033,[1]StuntDes!$B:$B,[1]StuntDes!$C:$C)),"")</f>
        <v/>
      </c>
      <c r="L3033">
        <f t="shared" si="126"/>
        <v>1</v>
      </c>
      <c r="M3033" s="10" t="str">
        <f>IFERROR(_xlfn.XLOOKUP(C3033,[1]StuntDes!$B:$B,[1]StuntDes!$A:$A),"")</f>
        <v/>
      </c>
      <c r="N3033" s="10" t="str">
        <f>IFERROR(_xlfn.XLOOKUP(C3033,[1]ModifierDes!$B:$B,[1]ModifierDes!$A:$A),"")</f>
        <v/>
      </c>
      <c r="O3033" s="10">
        <f>IFERROR(_xlfn.XLOOKUP(C3033,[1]AttributeName!$C:$C,[1]AttributeName!$B:$B),"")</f>
        <v>10502</v>
      </c>
      <c r="P3033" s="10"/>
      <c r="Q3033">
        <v>0.2</v>
      </c>
      <c r="R3033">
        <v>0.27</v>
      </c>
      <c r="S3033" cm="1">
        <f t="array" ref="S3033">IFERROR(_xlfn.SWITCH(L3033,1,_xlfn.XLOOKUP(O3033,[1]AttributeName!$B:$B,[1]AttributeName!$D:$D),2,_xlfn.XLOOKUP(C3033,#REF!,#REF!),3,_xlfn.XLOOKUP(C3033,#REF!,#REF!)),0)</f>
        <v>2</v>
      </c>
      <c r="T3033" cm="1">
        <f t="array" ref="T3033">IFERROR(_xlfn.SWITCH(L3033,1,_xlfn.XLOOKUP(O3033,[1]AttributeName!$B:$B,[1]AttributeName!$E:$E),2,_xlfn.XLOOKUP(C3033,#REF!,#REF!),3,_xlfn.XLOOKUP(C3033,#REF!,#REF!)),0)</f>
        <v>2</v>
      </c>
    </row>
    <row r="3034" customFormat="1" spans="1:20">
      <c r="A3034">
        <f t="shared" si="125"/>
        <v>1262</v>
      </c>
      <c r="B3034">
        <v>7</v>
      </c>
      <c r="C3034" t="s">
        <v>403</v>
      </c>
      <c r="D3034" t="s">
        <v>21</v>
      </c>
      <c r="E3034" s="13" t="s">
        <v>392</v>
      </c>
      <c r="G3034">
        <v>2</v>
      </c>
      <c r="H3034">
        <v>1000</v>
      </c>
      <c r="J3034" cm="1">
        <f t="array" ref="J3034">_xlfn.SWITCH(B3034,1,75,2,61,3,49,4,37,5,25,6,13,7,4,8,1)</f>
        <v>4</v>
      </c>
      <c r="K3034" t="str" cm="1">
        <f t="array" ref="K3034">IFERROR(_xlfn.SWITCH(L3034,2,_xlfn.XLOOKUP(C3034,[1]ModifierDes!$B:$B,[1]ModifierDes!$C:$C),3,_xlfn.XLOOKUP(C3034,[1]StuntDes!$B:$B,[1]StuntDes!$C:$C)),"")</f>
        <v/>
      </c>
      <c r="L3034">
        <f t="shared" si="126"/>
        <v>1</v>
      </c>
      <c r="M3034" s="10" t="str">
        <f>IFERROR(_xlfn.XLOOKUP(C3034,[1]StuntDes!$B:$B,[1]StuntDes!$A:$A),"")</f>
        <v/>
      </c>
      <c r="N3034" s="10" t="str">
        <f>IFERROR(_xlfn.XLOOKUP(C3034,[1]ModifierDes!$B:$B,[1]ModifierDes!$A:$A),"")</f>
        <v/>
      </c>
      <c r="O3034" s="10">
        <f>IFERROR(_xlfn.XLOOKUP(C3034,[1]AttributeName!$C:$C,[1]AttributeName!$B:$B),"")</f>
        <v>10502</v>
      </c>
      <c r="P3034" s="10"/>
      <c r="Q3034">
        <v>0.12</v>
      </c>
      <c r="R3034">
        <v>0.19</v>
      </c>
      <c r="S3034" cm="1">
        <f t="array" ref="S3034">IFERROR(_xlfn.SWITCH(L3034,1,_xlfn.XLOOKUP(O3034,[1]AttributeName!$B:$B,[1]AttributeName!$D:$D),2,_xlfn.XLOOKUP(C3034,#REF!,#REF!),3,_xlfn.XLOOKUP(C3034,#REF!,#REF!)),0)</f>
        <v>2</v>
      </c>
      <c r="T3034" cm="1">
        <f t="array" ref="T3034">IFERROR(_xlfn.SWITCH(L3034,1,_xlfn.XLOOKUP(O3034,[1]AttributeName!$B:$B,[1]AttributeName!$E:$E),2,_xlfn.XLOOKUP(C3034,#REF!,#REF!),3,_xlfn.XLOOKUP(C3034,#REF!,#REF!)),0)</f>
        <v>2</v>
      </c>
    </row>
    <row r="3035" customFormat="1" spans="1:20">
      <c r="A3035">
        <f t="shared" si="125"/>
        <v>1262</v>
      </c>
      <c r="B3035">
        <v>8</v>
      </c>
      <c r="C3035" t="s">
        <v>403</v>
      </c>
      <c r="D3035" t="s">
        <v>21</v>
      </c>
      <c r="E3035" s="13" t="s">
        <v>392</v>
      </c>
      <c r="G3035">
        <v>2</v>
      </c>
      <c r="H3035">
        <v>1000</v>
      </c>
      <c r="J3035" cm="1">
        <f t="array" ref="J3035">_xlfn.SWITCH(B3035,1,75,2,61,3,49,4,37,5,25,6,13,7,4,8,1)</f>
        <v>1</v>
      </c>
      <c r="K3035" t="str" cm="1">
        <f t="array" ref="K3035">IFERROR(_xlfn.SWITCH(L3035,2,_xlfn.XLOOKUP(C3035,[1]ModifierDes!$B:$B,[1]ModifierDes!$C:$C),3,_xlfn.XLOOKUP(C3035,[1]StuntDes!$B:$B,[1]StuntDes!$C:$C)),"")</f>
        <v/>
      </c>
      <c r="L3035">
        <f t="shared" si="126"/>
        <v>1</v>
      </c>
      <c r="M3035" s="10" t="str">
        <f>IFERROR(_xlfn.XLOOKUP(C3035,[1]StuntDes!$B:$B,[1]StuntDes!$A:$A),"")</f>
        <v/>
      </c>
      <c r="N3035" s="10" t="str">
        <f>IFERROR(_xlfn.XLOOKUP(C3035,[1]ModifierDes!$B:$B,[1]ModifierDes!$A:$A),"")</f>
        <v/>
      </c>
      <c r="O3035" s="10">
        <f>IFERROR(_xlfn.XLOOKUP(C3035,[1]AttributeName!$C:$C,[1]AttributeName!$B:$B),"")</f>
        <v>10502</v>
      </c>
      <c r="P3035" s="10"/>
      <c r="Q3035">
        <v>0.0399999999999999</v>
      </c>
      <c r="R3035">
        <v>0.11</v>
      </c>
      <c r="S3035" cm="1">
        <f t="array" ref="S3035">IFERROR(_xlfn.SWITCH(L3035,1,_xlfn.XLOOKUP(O3035,[1]AttributeName!$B:$B,[1]AttributeName!$D:$D),2,_xlfn.XLOOKUP(C3035,#REF!,#REF!),3,_xlfn.XLOOKUP(C3035,#REF!,#REF!)),0)</f>
        <v>2</v>
      </c>
      <c r="T3035" cm="1">
        <f t="array" ref="T3035">IFERROR(_xlfn.SWITCH(L3035,1,_xlfn.XLOOKUP(O3035,[1]AttributeName!$B:$B,[1]AttributeName!$E:$E),2,_xlfn.XLOOKUP(C3035,#REF!,#REF!),3,_xlfn.XLOOKUP(C3035,#REF!,#REF!)),0)</f>
        <v>2</v>
      </c>
    </row>
    <row r="3036" customFormat="1" spans="1:20">
      <c r="A3036">
        <f t="shared" si="125"/>
        <v>1263</v>
      </c>
      <c r="B3036">
        <v>1</v>
      </c>
      <c r="C3036" s="14" t="s">
        <v>404</v>
      </c>
      <c r="D3036" t="s">
        <v>21</v>
      </c>
      <c r="E3036" s="13" t="s">
        <v>392</v>
      </c>
      <c r="G3036">
        <v>2</v>
      </c>
      <c r="H3036">
        <v>100</v>
      </c>
      <c r="J3036" cm="1">
        <f t="array" ref="J3036">_xlfn.SWITCH(B3036,1,75,2,61,3,49,4,37,5,25,6,13,7,4,8,1)</f>
        <v>75</v>
      </c>
      <c r="K3036" t="str" cm="1">
        <f t="array" ref="K3036">IFERROR(_xlfn.SWITCH(L3036,2,_xlfn.XLOOKUP(C3036,[1]ModifierDes!$B:$B,[1]ModifierDes!$C:$C),3,_xlfn.XLOOKUP(C3036,[1]StuntDes!$B:$B,[1]StuntDes!$C:$C)),"")</f>
        <v/>
      </c>
      <c r="L3036">
        <f t="shared" si="126"/>
        <v>1</v>
      </c>
      <c r="M3036" s="10" t="str">
        <f>IFERROR(_xlfn.XLOOKUP(C3036,[1]StuntDes!$B:$B,[1]StuntDes!$A:$A),"")</f>
        <v/>
      </c>
      <c r="N3036" s="10" t="str">
        <f>IFERROR(_xlfn.XLOOKUP(C3036,[1]ModifierDes!$B:$B,[1]ModifierDes!$A:$A),"")</f>
        <v/>
      </c>
      <c r="O3036" s="10">
        <f>IFERROR(_xlfn.XLOOKUP(C3036,[1]AttributeName!$C:$C,[1]AttributeName!$B:$B),"")</f>
        <v>10503</v>
      </c>
      <c r="P3036" s="10"/>
      <c r="Q3036">
        <v>0.6</v>
      </c>
      <c r="R3036">
        <v>0.8</v>
      </c>
      <c r="S3036" cm="1">
        <f t="array" ref="S3036">IFERROR(_xlfn.SWITCH(L3036,1,_xlfn.XLOOKUP(O3036,[1]AttributeName!$B:$B,[1]AttributeName!$D:$D),2,_xlfn.XLOOKUP(C3036,#REF!,#REF!),3,_xlfn.XLOOKUP(C3036,#REF!,#REF!)),0)</f>
        <v>2</v>
      </c>
      <c r="T3036" cm="1">
        <f t="array" ref="T3036">IFERROR(_xlfn.SWITCH(L3036,1,_xlfn.XLOOKUP(O3036,[1]AttributeName!$B:$B,[1]AttributeName!$E:$E),2,_xlfn.XLOOKUP(C3036,#REF!,#REF!),3,_xlfn.XLOOKUP(C3036,#REF!,#REF!)),0)</f>
        <v>2</v>
      </c>
    </row>
    <row r="3037" customFormat="1" spans="1:20">
      <c r="A3037">
        <f t="shared" si="125"/>
        <v>1263</v>
      </c>
      <c r="B3037">
        <v>2</v>
      </c>
      <c r="C3037" s="14" t="s">
        <v>404</v>
      </c>
      <c r="D3037" t="s">
        <v>21</v>
      </c>
      <c r="E3037" s="13" t="s">
        <v>392</v>
      </c>
      <c r="G3037">
        <v>2</v>
      </c>
      <c r="H3037">
        <v>200</v>
      </c>
      <c r="J3037" cm="1">
        <f t="array" ref="J3037">_xlfn.SWITCH(B3037,1,75,2,61,3,49,4,37,5,25,6,13,7,4,8,1)</f>
        <v>61</v>
      </c>
      <c r="K3037" t="str" cm="1">
        <f t="array" ref="K3037">IFERROR(_xlfn.SWITCH(L3037,2,_xlfn.XLOOKUP(C3037,[1]ModifierDes!$B:$B,[1]ModifierDes!$C:$C),3,_xlfn.XLOOKUP(C3037,[1]StuntDes!$B:$B,[1]StuntDes!$C:$C)),"")</f>
        <v/>
      </c>
      <c r="L3037">
        <f t="shared" si="126"/>
        <v>1</v>
      </c>
      <c r="M3037" s="10" t="str">
        <f>IFERROR(_xlfn.XLOOKUP(C3037,[1]StuntDes!$B:$B,[1]StuntDes!$A:$A),"")</f>
        <v/>
      </c>
      <c r="N3037" s="10" t="str">
        <f>IFERROR(_xlfn.XLOOKUP(C3037,[1]ModifierDes!$B:$B,[1]ModifierDes!$A:$A),"")</f>
        <v/>
      </c>
      <c r="O3037" s="10">
        <f>IFERROR(_xlfn.XLOOKUP(C3037,[1]AttributeName!$C:$C,[1]AttributeName!$B:$B),"")</f>
        <v>10503</v>
      </c>
      <c r="P3037" s="10"/>
      <c r="Q3037">
        <v>0.52</v>
      </c>
      <c r="R3037">
        <v>0.59</v>
      </c>
      <c r="S3037" cm="1">
        <f t="array" ref="S3037">IFERROR(_xlfn.SWITCH(L3037,1,_xlfn.XLOOKUP(O3037,[1]AttributeName!$B:$B,[1]AttributeName!$D:$D),2,_xlfn.XLOOKUP(C3037,#REF!,#REF!),3,_xlfn.XLOOKUP(C3037,#REF!,#REF!)),0)</f>
        <v>2</v>
      </c>
      <c r="T3037" cm="1">
        <f t="array" ref="T3037">IFERROR(_xlfn.SWITCH(L3037,1,_xlfn.XLOOKUP(O3037,[1]AttributeName!$B:$B,[1]AttributeName!$E:$E),2,_xlfn.XLOOKUP(C3037,#REF!,#REF!),3,_xlfn.XLOOKUP(C3037,#REF!,#REF!)),0)</f>
        <v>2</v>
      </c>
    </row>
    <row r="3038" customFormat="1" spans="1:20">
      <c r="A3038">
        <f t="shared" si="125"/>
        <v>1263</v>
      </c>
      <c r="B3038">
        <v>3</v>
      </c>
      <c r="C3038" s="14" t="s">
        <v>404</v>
      </c>
      <c r="D3038" t="s">
        <v>21</v>
      </c>
      <c r="E3038" s="13" t="s">
        <v>392</v>
      </c>
      <c r="G3038">
        <v>2</v>
      </c>
      <c r="H3038">
        <v>500</v>
      </c>
      <c r="J3038" cm="1">
        <f t="array" ref="J3038">_xlfn.SWITCH(B3038,1,75,2,61,3,49,4,37,5,25,6,13,7,4,8,1)</f>
        <v>49</v>
      </c>
      <c r="K3038" t="str" cm="1">
        <f t="array" ref="K3038">IFERROR(_xlfn.SWITCH(L3038,2,_xlfn.XLOOKUP(C3038,[1]ModifierDes!$B:$B,[1]ModifierDes!$C:$C),3,_xlfn.XLOOKUP(C3038,[1]StuntDes!$B:$B,[1]StuntDes!$C:$C)),"")</f>
        <v/>
      </c>
      <c r="L3038">
        <f t="shared" si="126"/>
        <v>1</v>
      </c>
      <c r="M3038" s="10" t="str">
        <f>IFERROR(_xlfn.XLOOKUP(C3038,[1]StuntDes!$B:$B,[1]StuntDes!$A:$A),"")</f>
        <v/>
      </c>
      <c r="N3038" s="10" t="str">
        <f>IFERROR(_xlfn.XLOOKUP(C3038,[1]ModifierDes!$B:$B,[1]ModifierDes!$A:$A),"")</f>
        <v/>
      </c>
      <c r="O3038" s="10">
        <f>IFERROR(_xlfn.XLOOKUP(C3038,[1]AttributeName!$C:$C,[1]AttributeName!$B:$B),"")</f>
        <v>10503</v>
      </c>
      <c r="P3038" s="10"/>
      <c r="Q3038">
        <v>0.44</v>
      </c>
      <c r="R3038">
        <v>0.51</v>
      </c>
      <c r="S3038" cm="1">
        <f t="array" ref="S3038">IFERROR(_xlfn.SWITCH(L3038,1,_xlfn.XLOOKUP(O3038,[1]AttributeName!$B:$B,[1]AttributeName!$D:$D),2,_xlfn.XLOOKUP(C3038,#REF!,#REF!),3,_xlfn.XLOOKUP(C3038,#REF!,#REF!)),0)</f>
        <v>2</v>
      </c>
      <c r="T3038" cm="1">
        <f t="array" ref="T3038">IFERROR(_xlfn.SWITCH(L3038,1,_xlfn.XLOOKUP(O3038,[1]AttributeName!$B:$B,[1]AttributeName!$E:$E),2,_xlfn.XLOOKUP(C3038,#REF!,#REF!),3,_xlfn.XLOOKUP(C3038,#REF!,#REF!)),0)</f>
        <v>2</v>
      </c>
    </row>
    <row r="3039" customFormat="1" spans="1:20">
      <c r="A3039">
        <f t="shared" si="125"/>
        <v>1263</v>
      </c>
      <c r="B3039">
        <v>4</v>
      </c>
      <c r="C3039" s="14" t="s">
        <v>404</v>
      </c>
      <c r="D3039" t="s">
        <v>21</v>
      </c>
      <c r="E3039" s="13" t="s">
        <v>392</v>
      </c>
      <c r="G3039">
        <v>2</v>
      </c>
      <c r="H3039">
        <v>1000</v>
      </c>
      <c r="J3039" cm="1">
        <f t="array" ref="J3039">_xlfn.SWITCH(B3039,1,75,2,61,3,49,4,37,5,25,6,13,7,4,8,1)</f>
        <v>37</v>
      </c>
      <c r="K3039" t="str" cm="1">
        <f t="array" ref="K3039">IFERROR(_xlfn.SWITCH(L3039,2,_xlfn.XLOOKUP(C3039,[1]ModifierDes!$B:$B,[1]ModifierDes!$C:$C),3,_xlfn.XLOOKUP(C3039,[1]StuntDes!$B:$B,[1]StuntDes!$C:$C)),"")</f>
        <v/>
      </c>
      <c r="L3039">
        <f t="shared" si="126"/>
        <v>1</v>
      </c>
      <c r="M3039" s="10" t="str">
        <f>IFERROR(_xlfn.XLOOKUP(C3039,[1]StuntDes!$B:$B,[1]StuntDes!$A:$A),"")</f>
        <v/>
      </c>
      <c r="N3039" s="10" t="str">
        <f>IFERROR(_xlfn.XLOOKUP(C3039,[1]ModifierDes!$B:$B,[1]ModifierDes!$A:$A),"")</f>
        <v/>
      </c>
      <c r="O3039" s="10">
        <f>IFERROR(_xlfn.XLOOKUP(C3039,[1]AttributeName!$C:$C,[1]AttributeName!$B:$B),"")</f>
        <v>10503</v>
      </c>
      <c r="P3039" s="10"/>
      <c r="Q3039">
        <v>0.36</v>
      </c>
      <c r="R3039">
        <v>0.43</v>
      </c>
      <c r="S3039" cm="1">
        <f t="array" ref="S3039">IFERROR(_xlfn.SWITCH(L3039,1,_xlfn.XLOOKUP(O3039,[1]AttributeName!$B:$B,[1]AttributeName!$D:$D),2,_xlfn.XLOOKUP(C3039,#REF!,#REF!),3,_xlfn.XLOOKUP(C3039,#REF!,#REF!)),0)</f>
        <v>2</v>
      </c>
      <c r="T3039" cm="1">
        <f t="array" ref="T3039">IFERROR(_xlfn.SWITCH(L3039,1,_xlfn.XLOOKUP(O3039,[1]AttributeName!$B:$B,[1]AttributeName!$E:$E),2,_xlfn.XLOOKUP(C3039,#REF!,#REF!),3,_xlfn.XLOOKUP(C3039,#REF!,#REF!)),0)</f>
        <v>2</v>
      </c>
    </row>
    <row r="3040" customFormat="1" spans="1:20">
      <c r="A3040">
        <f t="shared" si="125"/>
        <v>1263</v>
      </c>
      <c r="B3040">
        <v>5</v>
      </c>
      <c r="C3040" s="14" t="s">
        <v>404</v>
      </c>
      <c r="D3040" t="s">
        <v>21</v>
      </c>
      <c r="E3040" s="13" t="s">
        <v>392</v>
      </c>
      <c r="G3040">
        <v>2</v>
      </c>
      <c r="H3040">
        <v>1000</v>
      </c>
      <c r="J3040" cm="1">
        <f t="array" ref="J3040">_xlfn.SWITCH(B3040,1,75,2,61,3,49,4,37,5,25,6,13,7,4,8,1)</f>
        <v>25</v>
      </c>
      <c r="K3040" t="str" cm="1">
        <f t="array" ref="K3040">IFERROR(_xlfn.SWITCH(L3040,2,_xlfn.XLOOKUP(C3040,[1]ModifierDes!$B:$B,[1]ModifierDes!$C:$C),3,_xlfn.XLOOKUP(C3040,[1]StuntDes!$B:$B,[1]StuntDes!$C:$C)),"")</f>
        <v/>
      </c>
      <c r="L3040">
        <f t="shared" si="126"/>
        <v>1</v>
      </c>
      <c r="M3040" s="10" t="str">
        <f>IFERROR(_xlfn.XLOOKUP(C3040,[1]StuntDes!$B:$B,[1]StuntDes!$A:$A),"")</f>
        <v/>
      </c>
      <c r="N3040" s="10" t="str">
        <f>IFERROR(_xlfn.XLOOKUP(C3040,[1]ModifierDes!$B:$B,[1]ModifierDes!$A:$A),"")</f>
        <v/>
      </c>
      <c r="O3040" s="10">
        <f>IFERROR(_xlfn.XLOOKUP(C3040,[1]AttributeName!$C:$C,[1]AttributeName!$B:$B),"")</f>
        <v>10503</v>
      </c>
      <c r="P3040" s="10"/>
      <c r="Q3040">
        <v>0.28</v>
      </c>
      <c r="R3040">
        <v>0.35</v>
      </c>
      <c r="S3040" cm="1">
        <f t="array" ref="S3040">IFERROR(_xlfn.SWITCH(L3040,1,_xlfn.XLOOKUP(O3040,[1]AttributeName!$B:$B,[1]AttributeName!$D:$D),2,_xlfn.XLOOKUP(C3040,#REF!,#REF!),3,_xlfn.XLOOKUP(C3040,#REF!,#REF!)),0)</f>
        <v>2</v>
      </c>
      <c r="T3040" cm="1">
        <f t="array" ref="T3040">IFERROR(_xlfn.SWITCH(L3040,1,_xlfn.XLOOKUP(O3040,[1]AttributeName!$B:$B,[1]AttributeName!$E:$E),2,_xlfn.XLOOKUP(C3040,#REF!,#REF!),3,_xlfn.XLOOKUP(C3040,#REF!,#REF!)),0)</f>
        <v>2</v>
      </c>
    </row>
    <row r="3041" customFormat="1" spans="1:20">
      <c r="A3041">
        <f t="shared" si="125"/>
        <v>1263</v>
      </c>
      <c r="B3041">
        <v>6</v>
      </c>
      <c r="C3041" s="14" t="s">
        <v>404</v>
      </c>
      <c r="D3041" t="s">
        <v>21</v>
      </c>
      <c r="E3041" s="13" t="s">
        <v>392</v>
      </c>
      <c r="G3041">
        <v>2</v>
      </c>
      <c r="H3041">
        <v>1000</v>
      </c>
      <c r="J3041" cm="1">
        <f t="array" ref="J3041">_xlfn.SWITCH(B3041,1,75,2,61,3,49,4,37,5,25,6,13,7,4,8,1)</f>
        <v>13</v>
      </c>
      <c r="K3041" t="str" cm="1">
        <f t="array" ref="K3041">IFERROR(_xlfn.SWITCH(L3041,2,_xlfn.XLOOKUP(C3041,[1]ModifierDes!$B:$B,[1]ModifierDes!$C:$C),3,_xlfn.XLOOKUP(C3041,[1]StuntDes!$B:$B,[1]StuntDes!$C:$C)),"")</f>
        <v/>
      </c>
      <c r="L3041">
        <f t="shared" si="126"/>
        <v>1</v>
      </c>
      <c r="M3041" s="10" t="str">
        <f>IFERROR(_xlfn.XLOOKUP(C3041,[1]StuntDes!$B:$B,[1]StuntDes!$A:$A),"")</f>
        <v/>
      </c>
      <c r="N3041" s="10" t="str">
        <f>IFERROR(_xlfn.XLOOKUP(C3041,[1]ModifierDes!$B:$B,[1]ModifierDes!$A:$A),"")</f>
        <v/>
      </c>
      <c r="O3041" s="10">
        <f>IFERROR(_xlfn.XLOOKUP(C3041,[1]AttributeName!$C:$C,[1]AttributeName!$B:$B),"")</f>
        <v>10503</v>
      </c>
      <c r="P3041" s="10"/>
      <c r="Q3041">
        <v>0.2</v>
      </c>
      <c r="R3041">
        <v>0.27</v>
      </c>
      <c r="S3041" cm="1">
        <f t="array" ref="S3041">IFERROR(_xlfn.SWITCH(L3041,1,_xlfn.XLOOKUP(O3041,[1]AttributeName!$B:$B,[1]AttributeName!$D:$D),2,_xlfn.XLOOKUP(C3041,#REF!,#REF!),3,_xlfn.XLOOKUP(C3041,#REF!,#REF!)),0)</f>
        <v>2</v>
      </c>
      <c r="T3041" cm="1">
        <f t="array" ref="T3041">IFERROR(_xlfn.SWITCH(L3041,1,_xlfn.XLOOKUP(O3041,[1]AttributeName!$B:$B,[1]AttributeName!$E:$E),2,_xlfn.XLOOKUP(C3041,#REF!,#REF!),3,_xlfn.XLOOKUP(C3041,#REF!,#REF!)),0)</f>
        <v>2</v>
      </c>
    </row>
    <row r="3042" customFormat="1" spans="1:20">
      <c r="A3042">
        <f t="shared" si="125"/>
        <v>1263</v>
      </c>
      <c r="B3042">
        <v>7</v>
      </c>
      <c r="C3042" s="14" t="s">
        <v>404</v>
      </c>
      <c r="D3042" t="s">
        <v>21</v>
      </c>
      <c r="E3042" s="13" t="s">
        <v>392</v>
      </c>
      <c r="G3042">
        <v>2</v>
      </c>
      <c r="H3042">
        <v>1000</v>
      </c>
      <c r="J3042" cm="1">
        <f t="array" ref="J3042">_xlfn.SWITCH(B3042,1,75,2,61,3,49,4,37,5,25,6,13,7,4,8,1)</f>
        <v>4</v>
      </c>
      <c r="K3042" t="str" cm="1">
        <f t="array" ref="K3042">IFERROR(_xlfn.SWITCH(L3042,2,_xlfn.XLOOKUP(C3042,[1]ModifierDes!$B:$B,[1]ModifierDes!$C:$C),3,_xlfn.XLOOKUP(C3042,[1]StuntDes!$B:$B,[1]StuntDes!$C:$C)),"")</f>
        <v/>
      </c>
      <c r="L3042">
        <f t="shared" si="126"/>
        <v>1</v>
      </c>
      <c r="M3042" s="10" t="str">
        <f>IFERROR(_xlfn.XLOOKUP(C3042,[1]StuntDes!$B:$B,[1]StuntDes!$A:$A),"")</f>
        <v/>
      </c>
      <c r="N3042" s="10" t="str">
        <f>IFERROR(_xlfn.XLOOKUP(C3042,[1]ModifierDes!$B:$B,[1]ModifierDes!$A:$A),"")</f>
        <v/>
      </c>
      <c r="O3042" s="10">
        <f>IFERROR(_xlfn.XLOOKUP(C3042,[1]AttributeName!$C:$C,[1]AttributeName!$B:$B),"")</f>
        <v>10503</v>
      </c>
      <c r="P3042" s="10"/>
      <c r="Q3042">
        <v>0.12</v>
      </c>
      <c r="R3042">
        <v>0.19</v>
      </c>
      <c r="S3042" cm="1">
        <f t="array" ref="S3042">IFERROR(_xlfn.SWITCH(L3042,1,_xlfn.XLOOKUP(O3042,[1]AttributeName!$B:$B,[1]AttributeName!$D:$D),2,_xlfn.XLOOKUP(C3042,#REF!,#REF!),3,_xlfn.XLOOKUP(C3042,#REF!,#REF!)),0)</f>
        <v>2</v>
      </c>
      <c r="T3042" cm="1">
        <f t="array" ref="T3042">IFERROR(_xlfn.SWITCH(L3042,1,_xlfn.XLOOKUP(O3042,[1]AttributeName!$B:$B,[1]AttributeName!$E:$E),2,_xlfn.XLOOKUP(C3042,#REF!,#REF!),3,_xlfn.XLOOKUP(C3042,#REF!,#REF!)),0)</f>
        <v>2</v>
      </c>
    </row>
    <row r="3043" customFormat="1" spans="1:20">
      <c r="A3043">
        <f t="shared" si="125"/>
        <v>1263</v>
      </c>
      <c r="B3043">
        <v>8</v>
      </c>
      <c r="C3043" s="14" t="s">
        <v>404</v>
      </c>
      <c r="D3043" t="s">
        <v>21</v>
      </c>
      <c r="E3043" s="13" t="s">
        <v>392</v>
      </c>
      <c r="G3043">
        <v>2</v>
      </c>
      <c r="H3043">
        <v>1000</v>
      </c>
      <c r="J3043" cm="1">
        <f t="array" ref="J3043">_xlfn.SWITCH(B3043,1,75,2,61,3,49,4,37,5,25,6,13,7,4,8,1)</f>
        <v>1</v>
      </c>
      <c r="K3043" t="str" cm="1">
        <f t="array" ref="K3043">IFERROR(_xlfn.SWITCH(L3043,2,_xlfn.XLOOKUP(C3043,[1]ModifierDes!$B:$B,[1]ModifierDes!$C:$C),3,_xlfn.XLOOKUP(C3043,[1]StuntDes!$B:$B,[1]StuntDes!$C:$C)),"")</f>
        <v/>
      </c>
      <c r="L3043">
        <f t="shared" si="126"/>
        <v>1</v>
      </c>
      <c r="M3043" s="10" t="str">
        <f>IFERROR(_xlfn.XLOOKUP(C3043,[1]StuntDes!$B:$B,[1]StuntDes!$A:$A),"")</f>
        <v/>
      </c>
      <c r="N3043" s="10" t="str">
        <f>IFERROR(_xlfn.XLOOKUP(C3043,[1]ModifierDes!$B:$B,[1]ModifierDes!$A:$A),"")</f>
        <v/>
      </c>
      <c r="O3043" s="10">
        <f>IFERROR(_xlfn.XLOOKUP(C3043,[1]AttributeName!$C:$C,[1]AttributeName!$B:$B),"")</f>
        <v>10503</v>
      </c>
      <c r="P3043" s="10"/>
      <c r="Q3043">
        <v>0.0399999999999999</v>
      </c>
      <c r="R3043">
        <v>0.11</v>
      </c>
      <c r="S3043" cm="1">
        <f t="array" ref="S3043">IFERROR(_xlfn.SWITCH(L3043,1,_xlfn.XLOOKUP(O3043,[1]AttributeName!$B:$B,[1]AttributeName!$D:$D),2,_xlfn.XLOOKUP(C3043,#REF!,#REF!),3,_xlfn.XLOOKUP(C3043,#REF!,#REF!)),0)</f>
        <v>2</v>
      </c>
      <c r="T3043" cm="1">
        <f t="array" ref="T3043">IFERROR(_xlfn.SWITCH(L3043,1,_xlfn.XLOOKUP(O3043,[1]AttributeName!$B:$B,[1]AttributeName!$E:$E),2,_xlfn.XLOOKUP(C3043,#REF!,#REF!),3,_xlfn.XLOOKUP(C3043,#REF!,#REF!)),0)</f>
        <v>2</v>
      </c>
    </row>
    <row r="3044" customFormat="1" spans="1:20">
      <c r="A3044">
        <f t="shared" si="125"/>
        <v>1264</v>
      </c>
      <c r="B3044">
        <v>1</v>
      </c>
      <c r="C3044" s="14" t="s">
        <v>405</v>
      </c>
      <c r="D3044" t="s">
        <v>21</v>
      </c>
      <c r="E3044" s="13" t="s">
        <v>392</v>
      </c>
      <c r="G3044">
        <v>2</v>
      </c>
      <c r="H3044">
        <v>100</v>
      </c>
      <c r="J3044" cm="1">
        <f t="array" ref="J3044">_xlfn.SWITCH(B3044,1,75,2,61,3,49,4,37,5,25,6,13,7,4,8,1)</f>
        <v>75</v>
      </c>
      <c r="K3044" t="str" cm="1">
        <f t="array" ref="K3044">IFERROR(_xlfn.SWITCH(L3044,2,_xlfn.XLOOKUP(C3044,[1]ModifierDes!$B:$B,[1]ModifierDes!$C:$C),3,_xlfn.XLOOKUP(C3044,[1]StuntDes!$B:$B,[1]StuntDes!$C:$C)),"")</f>
        <v/>
      </c>
      <c r="L3044">
        <f t="shared" si="126"/>
        <v>1</v>
      </c>
      <c r="M3044" s="10" t="str">
        <f>IFERROR(_xlfn.XLOOKUP(C3044,[1]StuntDes!$B:$B,[1]StuntDes!$A:$A),"")</f>
        <v/>
      </c>
      <c r="N3044" s="10" t="str">
        <f>IFERROR(_xlfn.XLOOKUP(C3044,[1]ModifierDes!$B:$B,[1]ModifierDes!$A:$A),"")</f>
        <v/>
      </c>
      <c r="O3044" s="10">
        <f>IFERROR(_xlfn.XLOOKUP(C3044,[1]AttributeName!$C:$C,[1]AttributeName!$B:$B),"")</f>
        <v>10504</v>
      </c>
      <c r="P3044" s="10"/>
      <c r="Q3044">
        <v>0.6</v>
      </c>
      <c r="R3044">
        <v>0.8</v>
      </c>
      <c r="S3044" cm="1">
        <f t="array" ref="S3044">IFERROR(_xlfn.SWITCH(L3044,1,_xlfn.XLOOKUP(O3044,[1]AttributeName!$B:$B,[1]AttributeName!$D:$D),2,_xlfn.XLOOKUP(C3044,#REF!,#REF!),3,_xlfn.XLOOKUP(C3044,#REF!,#REF!)),0)</f>
        <v>2</v>
      </c>
      <c r="T3044" cm="1">
        <f t="array" ref="T3044">IFERROR(_xlfn.SWITCH(L3044,1,_xlfn.XLOOKUP(O3044,[1]AttributeName!$B:$B,[1]AttributeName!$E:$E),2,_xlfn.XLOOKUP(C3044,#REF!,#REF!),3,_xlfn.XLOOKUP(C3044,#REF!,#REF!)),0)</f>
        <v>2</v>
      </c>
    </row>
    <row r="3045" customFormat="1" spans="1:20">
      <c r="A3045">
        <f t="shared" si="125"/>
        <v>1264</v>
      </c>
      <c r="B3045">
        <v>2</v>
      </c>
      <c r="C3045" s="14" t="s">
        <v>405</v>
      </c>
      <c r="D3045" t="s">
        <v>21</v>
      </c>
      <c r="E3045" s="13" t="s">
        <v>392</v>
      </c>
      <c r="G3045">
        <v>2</v>
      </c>
      <c r="H3045">
        <v>200</v>
      </c>
      <c r="J3045" cm="1">
        <f t="array" ref="J3045">_xlfn.SWITCH(B3045,1,75,2,61,3,49,4,37,5,25,6,13,7,4,8,1)</f>
        <v>61</v>
      </c>
      <c r="K3045" t="str" cm="1">
        <f t="array" ref="K3045">IFERROR(_xlfn.SWITCH(L3045,2,_xlfn.XLOOKUP(C3045,[1]ModifierDes!$B:$B,[1]ModifierDes!$C:$C),3,_xlfn.XLOOKUP(C3045,[1]StuntDes!$B:$B,[1]StuntDes!$C:$C)),"")</f>
        <v/>
      </c>
      <c r="L3045">
        <f t="shared" si="126"/>
        <v>1</v>
      </c>
      <c r="M3045" s="10" t="str">
        <f>IFERROR(_xlfn.XLOOKUP(C3045,[1]StuntDes!$B:$B,[1]StuntDes!$A:$A),"")</f>
        <v/>
      </c>
      <c r="N3045" s="10" t="str">
        <f>IFERROR(_xlfn.XLOOKUP(C3045,[1]ModifierDes!$B:$B,[1]ModifierDes!$A:$A),"")</f>
        <v/>
      </c>
      <c r="O3045" s="10">
        <f>IFERROR(_xlfn.XLOOKUP(C3045,[1]AttributeName!$C:$C,[1]AttributeName!$B:$B),"")</f>
        <v>10504</v>
      </c>
      <c r="P3045" s="10"/>
      <c r="Q3045">
        <v>0.52</v>
      </c>
      <c r="R3045">
        <v>0.59</v>
      </c>
      <c r="S3045" cm="1">
        <f t="array" ref="S3045">IFERROR(_xlfn.SWITCH(L3045,1,_xlfn.XLOOKUP(O3045,[1]AttributeName!$B:$B,[1]AttributeName!$D:$D),2,_xlfn.XLOOKUP(C3045,#REF!,#REF!),3,_xlfn.XLOOKUP(C3045,#REF!,#REF!)),0)</f>
        <v>2</v>
      </c>
      <c r="T3045" cm="1">
        <f t="array" ref="T3045">IFERROR(_xlfn.SWITCH(L3045,1,_xlfn.XLOOKUP(O3045,[1]AttributeName!$B:$B,[1]AttributeName!$E:$E),2,_xlfn.XLOOKUP(C3045,#REF!,#REF!),3,_xlfn.XLOOKUP(C3045,#REF!,#REF!)),0)</f>
        <v>2</v>
      </c>
    </row>
    <row r="3046" customFormat="1" spans="1:20">
      <c r="A3046">
        <f t="shared" si="125"/>
        <v>1264</v>
      </c>
      <c r="B3046">
        <v>3</v>
      </c>
      <c r="C3046" s="14" t="s">
        <v>405</v>
      </c>
      <c r="D3046" t="s">
        <v>21</v>
      </c>
      <c r="E3046" s="13" t="s">
        <v>392</v>
      </c>
      <c r="G3046">
        <v>2</v>
      </c>
      <c r="H3046">
        <v>500</v>
      </c>
      <c r="J3046" cm="1">
        <f t="array" ref="J3046">_xlfn.SWITCH(B3046,1,75,2,61,3,49,4,37,5,25,6,13,7,4,8,1)</f>
        <v>49</v>
      </c>
      <c r="K3046" t="str" cm="1">
        <f t="array" ref="K3046">IFERROR(_xlfn.SWITCH(L3046,2,_xlfn.XLOOKUP(C3046,[1]ModifierDes!$B:$B,[1]ModifierDes!$C:$C),3,_xlfn.XLOOKUP(C3046,[1]StuntDes!$B:$B,[1]StuntDes!$C:$C)),"")</f>
        <v/>
      </c>
      <c r="L3046">
        <f t="shared" si="126"/>
        <v>1</v>
      </c>
      <c r="M3046" s="10" t="str">
        <f>IFERROR(_xlfn.XLOOKUP(C3046,[1]StuntDes!$B:$B,[1]StuntDes!$A:$A),"")</f>
        <v/>
      </c>
      <c r="N3046" s="10" t="str">
        <f>IFERROR(_xlfn.XLOOKUP(C3046,[1]ModifierDes!$B:$B,[1]ModifierDes!$A:$A),"")</f>
        <v/>
      </c>
      <c r="O3046" s="10">
        <f>IFERROR(_xlfn.XLOOKUP(C3046,[1]AttributeName!$C:$C,[1]AttributeName!$B:$B),"")</f>
        <v>10504</v>
      </c>
      <c r="P3046" s="10"/>
      <c r="Q3046">
        <v>0.44</v>
      </c>
      <c r="R3046">
        <v>0.51</v>
      </c>
      <c r="S3046" cm="1">
        <f t="array" ref="S3046">IFERROR(_xlfn.SWITCH(L3046,1,_xlfn.XLOOKUP(O3046,[1]AttributeName!$B:$B,[1]AttributeName!$D:$D),2,_xlfn.XLOOKUP(C3046,#REF!,#REF!),3,_xlfn.XLOOKUP(C3046,#REF!,#REF!)),0)</f>
        <v>2</v>
      </c>
      <c r="T3046" cm="1">
        <f t="array" ref="T3046">IFERROR(_xlfn.SWITCH(L3046,1,_xlfn.XLOOKUP(O3046,[1]AttributeName!$B:$B,[1]AttributeName!$E:$E),2,_xlfn.XLOOKUP(C3046,#REF!,#REF!),3,_xlfn.XLOOKUP(C3046,#REF!,#REF!)),0)</f>
        <v>2</v>
      </c>
    </row>
    <row r="3047" customFormat="1" spans="1:20">
      <c r="A3047">
        <f t="shared" si="125"/>
        <v>1264</v>
      </c>
      <c r="B3047">
        <v>4</v>
      </c>
      <c r="C3047" s="14" t="s">
        <v>405</v>
      </c>
      <c r="D3047" t="s">
        <v>21</v>
      </c>
      <c r="E3047" s="13" t="s">
        <v>392</v>
      </c>
      <c r="G3047">
        <v>2</v>
      </c>
      <c r="H3047">
        <v>1000</v>
      </c>
      <c r="J3047" cm="1">
        <f t="array" ref="J3047">_xlfn.SWITCH(B3047,1,75,2,61,3,49,4,37,5,25,6,13,7,4,8,1)</f>
        <v>37</v>
      </c>
      <c r="K3047" t="str" cm="1">
        <f t="array" ref="K3047">IFERROR(_xlfn.SWITCH(L3047,2,_xlfn.XLOOKUP(C3047,[1]ModifierDes!$B:$B,[1]ModifierDes!$C:$C),3,_xlfn.XLOOKUP(C3047,[1]StuntDes!$B:$B,[1]StuntDes!$C:$C)),"")</f>
        <v/>
      </c>
      <c r="L3047">
        <f t="shared" si="126"/>
        <v>1</v>
      </c>
      <c r="M3047" s="10" t="str">
        <f>IFERROR(_xlfn.XLOOKUP(C3047,[1]StuntDes!$B:$B,[1]StuntDes!$A:$A),"")</f>
        <v/>
      </c>
      <c r="N3047" s="10" t="str">
        <f>IFERROR(_xlfn.XLOOKUP(C3047,[1]ModifierDes!$B:$B,[1]ModifierDes!$A:$A),"")</f>
        <v/>
      </c>
      <c r="O3047" s="10">
        <f>IFERROR(_xlfn.XLOOKUP(C3047,[1]AttributeName!$C:$C,[1]AttributeName!$B:$B),"")</f>
        <v>10504</v>
      </c>
      <c r="P3047" s="10"/>
      <c r="Q3047">
        <v>0.36</v>
      </c>
      <c r="R3047">
        <v>0.43</v>
      </c>
      <c r="S3047" cm="1">
        <f t="array" ref="S3047">IFERROR(_xlfn.SWITCH(L3047,1,_xlfn.XLOOKUP(O3047,[1]AttributeName!$B:$B,[1]AttributeName!$D:$D),2,_xlfn.XLOOKUP(C3047,#REF!,#REF!),3,_xlfn.XLOOKUP(C3047,#REF!,#REF!)),0)</f>
        <v>2</v>
      </c>
      <c r="T3047" cm="1">
        <f t="array" ref="T3047">IFERROR(_xlfn.SWITCH(L3047,1,_xlfn.XLOOKUP(O3047,[1]AttributeName!$B:$B,[1]AttributeName!$E:$E),2,_xlfn.XLOOKUP(C3047,#REF!,#REF!),3,_xlfn.XLOOKUP(C3047,#REF!,#REF!)),0)</f>
        <v>2</v>
      </c>
    </row>
    <row r="3048" customFormat="1" spans="1:20">
      <c r="A3048">
        <f t="shared" si="125"/>
        <v>1264</v>
      </c>
      <c r="B3048">
        <v>5</v>
      </c>
      <c r="C3048" s="14" t="s">
        <v>405</v>
      </c>
      <c r="D3048" t="s">
        <v>21</v>
      </c>
      <c r="E3048" s="13" t="s">
        <v>392</v>
      </c>
      <c r="G3048">
        <v>2</v>
      </c>
      <c r="H3048">
        <v>1000</v>
      </c>
      <c r="J3048" cm="1">
        <f t="array" ref="J3048">_xlfn.SWITCH(B3048,1,75,2,61,3,49,4,37,5,25,6,13,7,4,8,1)</f>
        <v>25</v>
      </c>
      <c r="K3048" t="str" cm="1">
        <f t="array" ref="K3048">IFERROR(_xlfn.SWITCH(L3048,2,_xlfn.XLOOKUP(C3048,[1]ModifierDes!$B:$B,[1]ModifierDes!$C:$C),3,_xlfn.XLOOKUP(C3048,[1]StuntDes!$B:$B,[1]StuntDes!$C:$C)),"")</f>
        <v/>
      </c>
      <c r="L3048">
        <f t="shared" si="126"/>
        <v>1</v>
      </c>
      <c r="M3048" s="10" t="str">
        <f>IFERROR(_xlfn.XLOOKUP(C3048,[1]StuntDes!$B:$B,[1]StuntDes!$A:$A),"")</f>
        <v/>
      </c>
      <c r="N3048" s="10" t="str">
        <f>IFERROR(_xlfn.XLOOKUP(C3048,[1]ModifierDes!$B:$B,[1]ModifierDes!$A:$A),"")</f>
        <v/>
      </c>
      <c r="O3048" s="10">
        <f>IFERROR(_xlfn.XLOOKUP(C3048,[1]AttributeName!$C:$C,[1]AttributeName!$B:$B),"")</f>
        <v>10504</v>
      </c>
      <c r="P3048" s="10"/>
      <c r="Q3048">
        <v>0.28</v>
      </c>
      <c r="R3048">
        <v>0.35</v>
      </c>
      <c r="S3048" cm="1">
        <f t="array" ref="S3048">IFERROR(_xlfn.SWITCH(L3048,1,_xlfn.XLOOKUP(O3048,[1]AttributeName!$B:$B,[1]AttributeName!$D:$D),2,_xlfn.XLOOKUP(C3048,#REF!,#REF!),3,_xlfn.XLOOKUP(C3048,#REF!,#REF!)),0)</f>
        <v>2</v>
      </c>
      <c r="T3048" cm="1">
        <f t="array" ref="T3048">IFERROR(_xlfn.SWITCH(L3048,1,_xlfn.XLOOKUP(O3048,[1]AttributeName!$B:$B,[1]AttributeName!$E:$E),2,_xlfn.XLOOKUP(C3048,#REF!,#REF!),3,_xlfn.XLOOKUP(C3048,#REF!,#REF!)),0)</f>
        <v>2</v>
      </c>
    </row>
    <row r="3049" customFormat="1" spans="1:20">
      <c r="A3049">
        <f t="shared" si="125"/>
        <v>1264</v>
      </c>
      <c r="B3049">
        <v>6</v>
      </c>
      <c r="C3049" s="14" t="s">
        <v>405</v>
      </c>
      <c r="D3049" t="s">
        <v>21</v>
      </c>
      <c r="E3049" s="13" t="s">
        <v>392</v>
      </c>
      <c r="G3049">
        <v>2</v>
      </c>
      <c r="H3049">
        <v>1000</v>
      </c>
      <c r="J3049" cm="1">
        <f t="array" ref="J3049">_xlfn.SWITCH(B3049,1,75,2,61,3,49,4,37,5,25,6,13,7,4,8,1)</f>
        <v>13</v>
      </c>
      <c r="K3049" t="str" cm="1">
        <f t="array" ref="K3049">IFERROR(_xlfn.SWITCH(L3049,2,_xlfn.XLOOKUP(C3049,[1]ModifierDes!$B:$B,[1]ModifierDes!$C:$C),3,_xlfn.XLOOKUP(C3049,[1]StuntDes!$B:$B,[1]StuntDes!$C:$C)),"")</f>
        <v/>
      </c>
      <c r="L3049">
        <f t="shared" si="126"/>
        <v>1</v>
      </c>
      <c r="M3049" s="10" t="str">
        <f>IFERROR(_xlfn.XLOOKUP(C3049,[1]StuntDes!$B:$B,[1]StuntDes!$A:$A),"")</f>
        <v/>
      </c>
      <c r="N3049" s="10" t="str">
        <f>IFERROR(_xlfn.XLOOKUP(C3049,[1]ModifierDes!$B:$B,[1]ModifierDes!$A:$A),"")</f>
        <v/>
      </c>
      <c r="O3049" s="10">
        <f>IFERROR(_xlfn.XLOOKUP(C3049,[1]AttributeName!$C:$C,[1]AttributeName!$B:$B),"")</f>
        <v>10504</v>
      </c>
      <c r="P3049" s="10"/>
      <c r="Q3049">
        <v>0.2</v>
      </c>
      <c r="R3049">
        <v>0.27</v>
      </c>
      <c r="S3049" cm="1">
        <f t="array" ref="S3049">IFERROR(_xlfn.SWITCH(L3049,1,_xlfn.XLOOKUP(O3049,[1]AttributeName!$B:$B,[1]AttributeName!$D:$D),2,_xlfn.XLOOKUP(C3049,#REF!,#REF!),3,_xlfn.XLOOKUP(C3049,#REF!,#REF!)),0)</f>
        <v>2</v>
      </c>
      <c r="T3049" cm="1">
        <f t="array" ref="T3049">IFERROR(_xlfn.SWITCH(L3049,1,_xlfn.XLOOKUP(O3049,[1]AttributeName!$B:$B,[1]AttributeName!$E:$E),2,_xlfn.XLOOKUP(C3049,#REF!,#REF!),3,_xlfn.XLOOKUP(C3049,#REF!,#REF!)),0)</f>
        <v>2</v>
      </c>
    </row>
    <row r="3050" customFormat="1" spans="1:20">
      <c r="A3050">
        <f t="shared" si="125"/>
        <v>1264</v>
      </c>
      <c r="B3050">
        <v>7</v>
      </c>
      <c r="C3050" s="14" t="s">
        <v>405</v>
      </c>
      <c r="D3050" t="s">
        <v>21</v>
      </c>
      <c r="E3050" s="13" t="s">
        <v>392</v>
      </c>
      <c r="G3050">
        <v>2</v>
      </c>
      <c r="H3050">
        <v>1000</v>
      </c>
      <c r="J3050" cm="1">
        <f t="array" ref="J3050">_xlfn.SWITCH(B3050,1,75,2,61,3,49,4,37,5,25,6,13,7,4,8,1)</f>
        <v>4</v>
      </c>
      <c r="K3050" t="str" cm="1">
        <f t="array" ref="K3050">IFERROR(_xlfn.SWITCH(L3050,2,_xlfn.XLOOKUP(C3050,[1]ModifierDes!$B:$B,[1]ModifierDes!$C:$C),3,_xlfn.XLOOKUP(C3050,[1]StuntDes!$B:$B,[1]StuntDes!$C:$C)),"")</f>
        <v/>
      </c>
      <c r="L3050">
        <f t="shared" si="126"/>
        <v>1</v>
      </c>
      <c r="M3050" s="10" t="str">
        <f>IFERROR(_xlfn.XLOOKUP(C3050,[1]StuntDes!$B:$B,[1]StuntDes!$A:$A),"")</f>
        <v/>
      </c>
      <c r="N3050" s="10" t="str">
        <f>IFERROR(_xlfn.XLOOKUP(C3050,[1]ModifierDes!$B:$B,[1]ModifierDes!$A:$A),"")</f>
        <v/>
      </c>
      <c r="O3050" s="10">
        <f>IFERROR(_xlfn.XLOOKUP(C3050,[1]AttributeName!$C:$C,[1]AttributeName!$B:$B),"")</f>
        <v>10504</v>
      </c>
      <c r="P3050" s="10"/>
      <c r="Q3050">
        <v>0.12</v>
      </c>
      <c r="R3050">
        <v>0.19</v>
      </c>
      <c r="S3050" cm="1">
        <f t="array" ref="S3050">IFERROR(_xlfn.SWITCH(L3050,1,_xlfn.XLOOKUP(O3050,[1]AttributeName!$B:$B,[1]AttributeName!$D:$D),2,_xlfn.XLOOKUP(C3050,#REF!,#REF!),3,_xlfn.XLOOKUP(C3050,#REF!,#REF!)),0)</f>
        <v>2</v>
      </c>
      <c r="T3050" cm="1">
        <f t="array" ref="T3050">IFERROR(_xlfn.SWITCH(L3050,1,_xlfn.XLOOKUP(O3050,[1]AttributeName!$B:$B,[1]AttributeName!$E:$E),2,_xlfn.XLOOKUP(C3050,#REF!,#REF!),3,_xlfn.XLOOKUP(C3050,#REF!,#REF!)),0)</f>
        <v>2</v>
      </c>
    </row>
    <row r="3051" customFormat="1" spans="1:20">
      <c r="A3051">
        <f t="shared" si="125"/>
        <v>1264</v>
      </c>
      <c r="B3051">
        <v>8</v>
      </c>
      <c r="C3051" s="14" t="s">
        <v>405</v>
      </c>
      <c r="D3051" t="s">
        <v>21</v>
      </c>
      <c r="E3051" s="13" t="s">
        <v>392</v>
      </c>
      <c r="G3051">
        <v>2</v>
      </c>
      <c r="H3051">
        <v>1000</v>
      </c>
      <c r="J3051" cm="1">
        <f t="array" ref="J3051">_xlfn.SWITCH(B3051,1,75,2,61,3,49,4,37,5,25,6,13,7,4,8,1)</f>
        <v>1</v>
      </c>
      <c r="K3051" t="str" cm="1">
        <f t="array" ref="K3051">IFERROR(_xlfn.SWITCH(L3051,2,_xlfn.XLOOKUP(C3051,[1]ModifierDes!$B:$B,[1]ModifierDes!$C:$C),3,_xlfn.XLOOKUP(C3051,[1]StuntDes!$B:$B,[1]StuntDes!$C:$C)),"")</f>
        <v/>
      </c>
      <c r="L3051">
        <f t="shared" si="126"/>
        <v>1</v>
      </c>
      <c r="M3051" s="10" t="str">
        <f>IFERROR(_xlfn.XLOOKUP(C3051,[1]StuntDes!$B:$B,[1]StuntDes!$A:$A),"")</f>
        <v/>
      </c>
      <c r="N3051" s="10" t="str">
        <f>IFERROR(_xlfn.XLOOKUP(C3051,[1]ModifierDes!$B:$B,[1]ModifierDes!$A:$A),"")</f>
        <v/>
      </c>
      <c r="O3051" s="10">
        <f>IFERROR(_xlfn.XLOOKUP(C3051,[1]AttributeName!$C:$C,[1]AttributeName!$B:$B),"")</f>
        <v>10504</v>
      </c>
      <c r="P3051" s="10"/>
      <c r="Q3051">
        <v>0.0399999999999999</v>
      </c>
      <c r="R3051">
        <v>0.11</v>
      </c>
      <c r="S3051" cm="1">
        <f t="array" ref="S3051">IFERROR(_xlfn.SWITCH(L3051,1,_xlfn.XLOOKUP(O3051,[1]AttributeName!$B:$B,[1]AttributeName!$D:$D),2,_xlfn.XLOOKUP(C3051,#REF!,#REF!),3,_xlfn.XLOOKUP(C3051,#REF!,#REF!)),0)</f>
        <v>2</v>
      </c>
      <c r="T3051" cm="1">
        <f t="array" ref="T3051">IFERROR(_xlfn.SWITCH(L3051,1,_xlfn.XLOOKUP(O3051,[1]AttributeName!$B:$B,[1]AttributeName!$E:$E),2,_xlfn.XLOOKUP(C3051,#REF!,#REF!),3,_xlfn.XLOOKUP(C3051,#REF!,#REF!)),0)</f>
        <v>2</v>
      </c>
    </row>
    <row r="3052" customFormat="1" spans="1:20">
      <c r="A3052">
        <f t="shared" si="125"/>
        <v>1265</v>
      </c>
      <c r="B3052">
        <v>1</v>
      </c>
      <c r="C3052" t="s">
        <v>444</v>
      </c>
      <c r="D3052" t="s">
        <v>21</v>
      </c>
      <c r="E3052" s="13" t="s">
        <v>392</v>
      </c>
      <c r="G3052">
        <v>2</v>
      </c>
      <c r="H3052">
        <v>250</v>
      </c>
      <c r="J3052" cm="1">
        <f t="array" ref="J3052">_xlfn.SWITCH(B3052,1,75,2,61,3,49,4,37,5,25,6,13,7,4,8,1)</f>
        <v>75</v>
      </c>
      <c r="K3052" t="str" cm="1">
        <f t="array" ref="K3052">IFERROR(_xlfn.SWITCH(L3052,2,_xlfn.XLOOKUP(C3052,[1]ModifierDes!$B:$B,[1]ModifierDes!$C:$C),3,_xlfn.XLOOKUP(C3052,[1]StuntDes!$B:$B,[1]StuntDes!$C:$C)),"")</f>
        <v>施法速度提高{0}</v>
      </c>
      <c r="L3052">
        <f t="shared" si="126"/>
        <v>2</v>
      </c>
      <c r="M3052" s="10" t="str">
        <f>IFERROR(_xlfn.XLOOKUP(C3052,[1]StuntDes!$B:$B,[1]StuntDes!$A:$A),"")</f>
        <v/>
      </c>
      <c r="N3052" s="10">
        <f>IFERROR(_xlfn.XLOOKUP(C3052,[1]ModifierDes!$B:$B,[1]ModifierDes!$A:$A),"")</f>
        <v>10050</v>
      </c>
      <c r="O3052" s="10" t="str">
        <f>IFERROR(_xlfn.XLOOKUP(C3052,[1]AttributeName!$C:$C,[1]AttributeName!$B:$B),"")</f>
        <v/>
      </c>
      <c r="P3052" s="10"/>
      <c r="Q3052">
        <v>0.22</v>
      </c>
      <c r="R3052">
        <v>0.24</v>
      </c>
      <c r="S3052" cm="1">
        <f t="array" ref="S3052">IFERROR(_xlfn.SWITCH(L3052,1,_xlfn.XLOOKUP(O3052,[1]AttributeName!$B:$B,[1]AttributeName!$D:$D),2,_xlfn.XLOOKUP(C3052,#REF!,#REF!),3,_xlfn.XLOOKUP(C3052,#REF!,#REF!)),0)</f>
        <v>0</v>
      </c>
      <c r="T3052" cm="1">
        <f t="array" ref="T3052">IFERROR(_xlfn.SWITCH(L3052,1,_xlfn.XLOOKUP(O3052,[1]AttributeName!$B:$B,[1]AttributeName!$E:$E),2,_xlfn.XLOOKUP(C3052,#REF!,#REF!),3,_xlfn.XLOOKUP(C3052,#REF!,#REF!)),0)</f>
        <v>0</v>
      </c>
    </row>
    <row r="3053" customFormat="1" spans="1:20">
      <c r="A3053">
        <f t="shared" si="125"/>
        <v>1265</v>
      </c>
      <c r="B3053">
        <v>2</v>
      </c>
      <c r="C3053" t="s">
        <v>444</v>
      </c>
      <c r="D3053" t="s">
        <v>21</v>
      </c>
      <c r="E3053" s="13" t="s">
        <v>392</v>
      </c>
      <c r="G3053">
        <v>2</v>
      </c>
      <c r="H3053">
        <v>500</v>
      </c>
      <c r="J3053" cm="1">
        <f t="array" ref="J3053">_xlfn.SWITCH(B3053,1,75,2,61,3,49,4,37,5,25,6,13,7,4,8,1)</f>
        <v>61</v>
      </c>
      <c r="K3053" t="str" cm="1">
        <f t="array" ref="K3053">IFERROR(_xlfn.SWITCH(L3053,2,_xlfn.XLOOKUP(C3053,[1]ModifierDes!$B:$B,[1]ModifierDes!$C:$C),3,_xlfn.XLOOKUP(C3053,[1]StuntDes!$B:$B,[1]StuntDes!$C:$C)),"")</f>
        <v>施法速度提高{0}</v>
      </c>
      <c r="L3053">
        <f t="shared" si="126"/>
        <v>2</v>
      </c>
      <c r="M3053" s="10" t="str">
        <f>IFERROR(_xlfn.XLOOKUP(C3053,[1]StuntDes!$B:$B,[1]StuntDes!$A:$A),"")</f>
        <v/>
      </c>
      <c r="N3053" s="10">
        <f>IFERROR(_xlfn.XLOOKUP(C3053,[1]ModifierDes!$B:$B,[1]ModifierDes!$A:$A),"")</f>
        <v>10050</v>
      </c>
      <c r="O3053" s="10" t="str">
        <f>IFERROR(_xlfn.XLOOKUP(C3053,[1]AttributeName!$C:$C,[1]AttributeName!$B:$B),"")</f>
        <v/>
      </c>
      <c r="P3053" s="10"/>
      <c r="Q3053">
        <v>0.19</v>
      </c>
      <c r="R3053">
        <v>0.21</v>
      </c>
      <c r="S3053" cm="1">
        <f t="array" ref="S3053">IFERROR(_xlfn.SWITCH(L3053,1,_xlfn.XLOOKUP(O3053,[1]AttributeName!$B:$B,[1]AttributeName!$D:$D),2,_xlfn.XLOOKUP(C3053,#REF!,#REF!),3,_xlfn.XLOOKUP(C3053,#REF!,#REF!)),0)</f>
        <v>0</v>
      </c>
      <c r="T3053" cm="1">
        <f t="array" ref="T3053">IFERROR(_xlfn.SWITCH(L3053,1,_xlfn.XLOOKUP(O3053,[1]AttributeName!$B:$B,[1]AttributeName!$E:$E),2,_xlfn.XLOOKUP(C3053,#REF!,#REF!),3,_xlfn.XLOOKUP(C3053,#REF!,#REF!)),0)</f>
        <v>0</v>
      </c>
    </row>
    <row r="3054" customFormat="1" spans="1:20">
      <c r="A3054">
        <f t="shared" si="125"/>
        <v>1265</v>
      </c>
      <c r="B3054">
        <v>3</v>
      </c>
      <c r="C3054" t="s">
        <v>444</v>
      </c>
      <c r="D3054" t="s">
        <v>21</v>
      </c>
      <c r="E3054" s="13" t="s">
        <v>392</v>
      </c>
      <c r="G3054">
        <v>2</v>
      </c>
      <c r="H3054">
        <v>750</v>
      </c>
      <c r="J3054" cm="1">
        <f t="array" ref="J3054">_xlfn.SWITCH(B3054,1,75,2,61,3,49,4,37,5,25,6,13,7,4,8,1)</f>
        <v>49</v>
      </c>
      <c r="K3054" t="str" cm="1">
        <f t="array" ref="K3054">IFERROR(_xlfn.SWITCH(L3054,2,_xlfn.XLOOKUP(C3054,[1]ModifierDes!$B:$B,[1]ModifierDes!$C:$C),3,_xlfn.XLOOKUP(C3054,[1]StuntDes!$B:$B,[1]StuntDes!$C:$C)),"")</f>
        <v>施法速度提高{0}</v>
      </c>
      <c r="L3054">
        <f t="shared" si="126"/>
        <v>2</v>
      </c>
      <c r="M3054" s="10" t="str">
        <f>IFERROR(_xlfn.XLOOKUP(C3054,[1]StuntDes!$B:$B,[1]StuntDes!$A:$A),"")</f>
        <v/>
      </c>
      <c r="N3054" s="10">
        <f>IFERROR(_xlfn.XLOOKUP(C3054,[1]ModifierDes!$B:$B,[1]ModifierDes!$A:$A),"")</f>
        <v>10050</v>
      </c>
      <c r="O3054" s="10" t="str">
        <f>IFERROR(_xlfn.XLOOKUP(C3054,[1]AttributeName!$C:$C,[1]AttributeName!$B:$B),"")</f>
        <v/>
      </c>
      <c r="P3054" s="10"/>
      <c r="Q3054">
        <v>0.16</v>
      </c>
      <c r="R3054">
        <v>0.18</v>
      </c>
      <c r="S3054" cm="1">
        <f t="array" ref="S3054">IFERROR(_xlfn.SWITCH(L3054,1,_xlfn.XLOOKUP(O3054,[1]AttributeName!$B:$B,[1]AttributeName!$D:$D),2,_xlfn.XLOOKUP(C3054,#REF!,#REF!),3,_xlfn.XLOOKUP(C3054,#REF!,#REF!)),0)</f>
        <v>0</v>
      </c>
      <c r="T3054" cm="1">
        <f t="array" ref="T3054">IFERROR(_xlfn.SWITCH(L3054,1,_xlfn.XLOOKUP(O3054,[1]AttributeName!$B:$B,[1]AttributeName!$E:$E),2,_xlfn.XLOOKUP(C3054,#REF!,#REF!),3,_xlfn.XLOOKUP(C3054,#REF!,#REF!)),0)</f>
        <v>0</v>
      </c>
    </row>
    <row r="3055" customFormat="1" spans="1:20">
      <c r="A3055">
        <f t="shared" si="125"/>
        <v>1265</v>
      </c>
      <c r="B3055">
        <v>4</v>
      </c>
      <c r="C3055" t="s">
        <v>444</v>
      </c>
      <c r="D3055" t="s">
        <v>21</v>
      </c>
      <c r="E3055" s="13" t="s">
        <v>392</v>
      </c>
      <c r="G3055">
        <v>2</v>
      </c>
      <c r="H3055">
        <v>1000</v>
      </c>
      <c r="J3055" cm="1">
        <f t="array" ref="J3055">_xlfn.SWITCH(B3055,1,75,2,61,3,49,4,37,5,25,6,13,7,4,8,1)</f>
        <v>37</v>
      </c>
      <c r="K3055" t="str" cm="1">
        <f t="array" ref="K3055">IFERROR(_xlfn.SWITCH(L3055,2,_xlfn.XLOOKUP(C3055,[1]ModifierDes!$B:$B,[1]ModifierDes!$C:$C),3,_xlfn.XLOOKUP(C3055,[1]StuntDes!$B:$B,[1]StuntDes!$C:$C)),"")</f>
        <v>施法速度提高{0}</v>
      </c>
      <c r="L3055">
        <f t="shared" si="126"/>
        <v>2</v>
      </c>
      <c r="M3055" s="10" t="str">
        <f>IFERROR(_xlfn.XLOOKUP(C3055,[1]StuntDes!$B:$B,[1]StuntDes!$A:$A),"")</f>
        <v/>
      </c>
      <c r="N3055" s="10">
        <f>IFERROR(_xlfn.XLOOKUP(C3055,[1]ModifierDes!$B:$B,[1]ModifierDes!$A:$A),"")</f>
        <v>10050</v>
      </c>
      <c r="O3055" s="10" t="str">
        <f>IFERROR(_xlfn.XLOOKUP(C3055,[1]AttributeName!$C:$C,[1]AttributeName!$B:$B),"")</f>
        <v/>
      </c>
      <c r="P3055" s="10"/>
      <c r="Q3055">
        <v>0.13</v>
      </c>
      <c r="R3055">
        <v>0.15</v>
      </c>
      <c r="S3055" cm="1">
        <f t="array" ref="S3055">IFERROR(_xlfn.SWITCH(L3055,1,_xlfn.XLOOKUP(O3055,[1]AttributeName!$B:$B,[1]AttributeName!$D:$D),2,_xlfn.XLOOKUP(C3055,#REF!,#REF!),3,_xlfn.XLOOKUP(C3055,#REF!,#REF!)),0)</f>
        <v>0</v>
      </c>
      <c r="T3055" cm="1">
        <f t="array" ref="T3055">IFERROR(_xlfn.SWITCH(L3055,1,_xlfn.XLOOKUP(O3055,[1]AttributeName!$B:$B,[1]AttributeName!$E:$E),2,_xlfn.XLOOKUP(C3055,#REF!,#REF!),3,_xlfn.XLOOKUP(C3055,#REF!,#REF!)),0)</f>
        <v>0</v>
      </c>
    </row>
    <row r="3056" customFormat="1" spans="1:20">
      <c r="A3056">
        <f t="shared" si="125"/>
        <v>1265</v>
      </c>
      <c r="B3056">
        <v>5</v>
      </c>
      <c r="C3056" t="s">
        <v>444</v>
      </c>
      <c r="D3056" t="s">
        <v>21</v>
      </c>
      <c r="E3056" s="13" t="s">
        <v>392</v>
      </c>
      <c r="G3056">
        <v>2</v>
      </c>
      <c r="H3056">
        <v>1000</v>
      </c>
      <c r="J3056" cm="1">
        <f t="array" ref="J3056">_xlfn.SWITCH(B3056,1,75,2,61,3,49,4,37,5,25,6,13,7,4,8,1)</f>
        <v>25</v>
      </c>
      <c r="K3056" t="str" cm="1">
        <f t="array" ref="K3056">IFERROR(_xlfn.SWITCH(L3056,2,_xlfn.XLOOKUP(C3056,[1]ModifierDes!$B:$B,[1]ModifierDes!$C:$C),3,_xlfn.XLOOKUP(C3056,[1]StuntDes!$B:$B,[1]StuntDes!$C:$C)),"")</f>
        <v>施法速度提高{0}</v>
      </c>
      <c r="L3056">
        <f t="shared" si="126"/>
        <v>2</v>
      </c>
      <c r="M3056" s="10" t="str">
        <f>IFERROR(_xlfn.XLOOKUP(C3056,[1]StuntDes!$B:$B,[1]StuntDes!$A:$A),"")</f>
        <v/>
      </c>
      <c r="N3056" s="10">
        <f>IFERROR(_xlfn.XLOOKUP(C3056,[1]ModifierDes!$B:$B,[1]ModifierDes!$A:$A),"")</f>
        <v>10050</v>
      </c>
      <c r="O3056" s="10" t="str">
        <f>IFERROR(_xlfn.XLOOKUP(C3056,[1]AttributeName!$C:$C,[1]AttributeName!$B:$B),"")</f>
        <v/>
      </c>
      <c r="P3056" s="10"/>
      <c r="Q3056">
        <v>0.1</v>
      </c>
      <c r="R3056">
        <v>0.12</v>
      </c>
      <c r="S3056" cm="1">
        <f t="array" ref="S3056">IFERROR(_xlfn.SWITCH(L3056,1,_xlfn.XLOOKUP(O3056,[1]AttributeName!$B:$B,[1]AttributeName!$D:$D),2,_xlfn.XLOOKUP(C3056,#REF!,#REF!),3,_xlfn.XLOOKUP(C3056,#REF!,#REF!)),0)</f>
        <v>0</v>
      </c>
      <c r="T3056" cm="1">
        <f t="array" ref="T3056">IFERROR(_xlfn.SWITCH(L3056,1,_xlfn.XLOOKUP(O3056,[1]AttributeName!$B:$B,[1]AttributeName!$E:$E),2,_xlfn.XLOOKUP(C3056,#REF!,#REF!),3,_xlfn.XLOOKUP(C3056,#REF!,#REF!)),0)</f>
        <v>0</v>
      </c>
    </row>
    <row r="3057" customFormat="1" spans="1:20">
      <c r="A3057">
        <f t="shared" si="125"/>
        <v>1265</v>
      </c>
      <c r="B3057">
        <v>6</v>
      </c>
      <c r="C3057" t="s">
        <v>444</v>
      </c>
      <c r="D3057" t="s">
        <v>21</v>
      </c>
      <c r="E3057" s="13" t="s">
        <v>392</v>
      </c>
      <c r="G3057">
        <v>2</v>
      </c>
      <c r="H3057">
        <v>1000</v>
      </c>
      <c r="J3057" cm="1">
        <f t="array" ref="J3057">_xlfn.SWITCH(B3057,1,75,2,61,3,49,4,37,5,25,6,13,7,4,8,1)</f>
        <v>13</v>
      </c>
      <c r="K3057" t="str" cm="1">
        <f t="array" ref="K3057">IFERROR(_xlfn.SWITCH(L3057,2,_xlfn.XLOOKUP(C3057,[1]ModifierDes!$B:$B,[1]ModifierDes!$C:$C),3,_xlfn.XLOOKUP(C3057,[1]StuntDes!$B:$B,[1]StuntDes!$C:$C)),"")</f>
        <v>施法速度提高{0}</v>
      </c>
      <c r="L3057">
        <f t="shared" si="126"/>
        <v>2</v>
      </c>
      <c r="M3057" s="10" t="str">
        <f>IFERROR(_xlfn.XLOOKUP(C3057,[1]StuntDes!$B:$B,[1]StuntDes!$A:$A),"")</f>
        <v/>
      </c>
      <c r="N3057" s="10">
        <f>IFERROR(_xlfn.XLOOKUP(C3057,[1]ModifierDes!$B:$B,[1]ModifierDes!$A:$A),"")</f>
        <v>10050</v>
      </c>
      <c r="O3057" s="10" t="str">
        <f>IFERROR(_xlfn.XLOOKUP(C3057,[1]AttributeName!$C:$C,[1]AttributeName!$B:$B),"")</f>
        <v/>
      </c>
      <c r="P3057" s="10"/>
      <c r="Q3057">
        <v>0.07</v>
      </c>
      <c r="R3057">
        <v>0.09</v>
      </c>
      <c r="S3057" cm="1">
        <f t="array" ref="S3057">IFERROR(_xlfn.SWITCH(L3057,1,_xlfn.XLOOKUP(O3057,[1]AttributeName!$B:$B,[1]AttributeName!$D:$D),2,_xlfn.XLOOKUP(C3057,#REF!,#REF!),3,_xlfn.XLOOKUP(C3057,#REF!,#REF!)),0)</f>
        <v>0</v>
      </c>
      <c r="T3057" cm="1">
        <f t="array" ref="T3057">IFERROR(_xlfn.SWITCH(L3057,1,_xlfn.XLOOKUP(O3057,[1]AttributeName!$B:$B,[1]AttributeName!$E:$E),2,_xlfn.XLOOKUP(C3057,#REF!,#REF!),3,_xlfn.XLOOKUP(C3057,#REF!,#REF!)),0)</f>
        <v>0</v>
      </c>
    </row>
    <row r="3058" customFormat="1" spans="1:20">
      <c r="A3058">
        <f t="shared" si="125"/>
        <v>1265</v>
      </c>
      <c r="B3058">
        <v>7</v>
      </c>
      <c r="C3058" t="s">
        <v>444</v>
      </c>
      <c r="D3058" t="s">
        <v>21</v>
      </c>
      <c r="E3058" s="13" t="s">
        <v>392</v>
      </c>
      <c r="G3058">
        <v>2</v>
      </c>
      <c r="H3058">
        <v>1000</v>
      </c>
      <c r="J3058" cm="1">
        <f t="array" ref="J3058">_xlfn.SWITCH(B3058,1,75,2,61,3,49,4,37,5,25,6,13,7,4,8,1)</f>
        <v>4</v>
      </c>
      <c r="K3058" t="str" cm="1">
        <f t="array" ref="K3058">IFERROR(_xlfn.SWITCH(L3058,2,_xlfn.XLOOKUP(C3058,[1]ModifierDes!$B:$B,[1]ModifierDes!$C:$C),3,_xlfn.XLOOKUP(C3058,[1]StuntDes!$B:$B,[1]StuntDes!$C:$C)),"")</f>
        <v>施法速度提高{0}</v>
      </c>
      <c r="L3058">
        <f t="shared" si="126"/>
        <v>2</v>
      </c>
      <c r="M3058" s="10" t="str">
        <f>IFERROR(_xlfn.XLOOKUP(C3058,[1]StuntDes!$B:$B,[1]StuntDes!$A:$A),"")</f>
        <v/>
      </c>
      <c r="N3058" s="10">
        <f>IFERROR(_xlfn.XLOOKUP(C3058,[1]ModifierDes!$B:$B,[1]ModifierDes!$A:$A),"")</f>
        <v>10050</v>
      </c>
      <c r="O3058" s="10" t="str">
        <f>IFERROR(_xlfn.XLOOKUP(C3058,[1]AttributeName!$C:$C,[1]AttributeName!$B:$B),"")</f>
        <v/>
      </c>
      <c r="P3058" s="10"/>
      <c r="Q3058">
        <v>0.04</v>
      </c>
      <c r="R3058">
        <v>0.07</v>
      </c>
      <c r="S3058" cm="1">
        <f t="array" ref="S3058">IFERROR(_xlfn.SWITCH(L3058,1,_xlfn.XLOOKUP(O3058,[1]AttributeName!$B:$B,[1]AttributeName!$D:$D),2,_xlfn.XLOOKUP(C3058,#REF!,#REF!),3,_xlfn.XLOOKUP(C3058,#REF!,#REF!)),0)</f>
        <v>0</v>
      </c>
      <c r="T3058" cm="1">
        <f t="array" ref="T3058">IFERROR(_xlfn.SWITCH(L3058,1,_xlfn.XLOOKUP(O3058,[1]AttributeName!$B:$B,[1]AttributeName!$E:$E),2,_xlfn.XLOOKUP(C3058,#REF!,#REF!),3,_xlfn.XLOOKUP(C3058,#REF!,#REF!)),0)</f>
        <v>0</v>
      </c>
    </row>
    <row r="3059" customFormat="1" spans="1:20">
      <c r="A3059">
        <f t="shared" si="125"/>
        <v>1265</v>
      </c>
      <c r="B3059">
        <v>8</v>
      </c>
      <c r="C3059" t="s">
        <v>444</v>
      </c>
      <c r="D3059" t="s">
        <v>21</v>
      </c>
      <c r="E3059" s="13" t="s">
        <v>392</v>
      </c>
      <c r="G3059">
        <v>2</v>
      </c>
      <c r="H3059">
        <v>1000</v>
      </c>
      <c r="J3059" cm="1">
        <f t="array" ref="J3059">_xlfn.SWITCH(B3059,1,75,2,61,3,49,4,37,5,25,6,13,7,4,8,1)</f>
        <v>1</v>
      </c>
      <c r="K3059" t="str" cm="1">
        <f t="array" ref="K3059">IFERROR(_xlfn.SWITCH(L3059,2,_xlfn.XLOOKUP(C3059,[1]ModifierDes!$B:$B,[1]ModifierDes!$C:$C),3,_xlfn.XLOOKUP(C3059,[1]StuntDes!$B:$B,[1]StuntDes!$C:$C)),"")</f>
        <v>施法速度提高{0}</v>
      </c>
      <c r="L3059">
        <f t="shared" si="126"/>
        <v>2</v>
      </c>
      <c r="M3059" s="10" t="str">
        <f>IFERROR(_xlfn.XLOOKUP(C3059,[1]StuntDes!$B:$B,[1]StuntDes!$A:$A),"")</f>
        <v/>
      </c>
      <c r="N3059" s="10">
        <f>IFERROR(_xlfn.XLOOKUP(C3059,[1]ModifierDes!$B:$B,[1]ModifierDes!$A:$A),"")</f>
        <v>10050</v>
      </c>
      <c r="O3059" s="10" t="str">
        <f>IFERROR(_xlfn.XLOOKUP(C3059,[1]AttributeName!$C:$C,[1]AttributeName!$B:$B),"")</f>
        <v/>
      </c>
      <c r="P3059" s="10"/>
      <c r="Q3059">
        <v>0.01</v>
      </c>
      <c r="R3059">
        <v>0.03</v>
      </c>
      <c r="S3059" cm="1">
        <f t="array" ref="S3059">IFERROR(_xlfn.SWITCH(L3059,1,_xlfn.XLOOKUP(O3059,[1]AttributeName!$B:$B,[1]AttributeName!$D:$D),2,_xlfn.XLOOKUP(C3059,#REF!,#REF!),3,_xlfn.XLOOKUP(C3059,#REF!,#REF!)),0)</f>
        <v>0</v>
      </c>
      <c r="T3059" cm="1">
        <f t="array" ref="T3059">IFERROR(_xlfn.SWITCH(L3059,1,_xlfn.XLOOKUP(O3059,[1]AttributeName!$B:$B,[1]AttributeName!$E:$E),2,_xlfn.XLOOKUP(C3059,#REF!,#REF!),3,_xlfn.XLOOKUP(C3059,#REF!,#REF!)),0)</f>
        <v>0</v>
      </c>
    </row>
    <row r="3060" customFormat="1" spans="1:20">
      <c r="A3060">
        <f t="shared" si="125"/>
        <v>1266</v>
      </c>
      <c r="B3060">
        <v>1</v>
      </c>
      <c r="C3060" t="s">
        <v>407</v>
      </c>
      <c r="D3060" t="s">
        <v>21</v>
      </c>
      <c r="E3060" s="13" t="s">
        <v>392</v>
      </c>
      <c r="G3060">
        <v>2</v>
      </c>
      <c r="H3060">
        <v>500</v>
      </c>
      <c r="J3060" cm="1">
        <f t="array" ref="J3060">_xlfn.SWITCH(B3060,1,75,2,61,3,49,4,37,5,25,6,13,7,4,8,1)</f>
        <v>75</v>
      </c>
      <c r="K3060" t="str" cm="1">
        <f t="array" ref="K3060">IFERROR(_xlfn.SWITCH(L3060,2,_xlfn.XLOOKUP(C3060,[1]ModifierDes!$B:$B,[1]ModifierDes!$C:$C),3,_xlfn.XLOOKUP(C3060,[1]StuntDes!$B:$B,[1]StuntDes!$C:$C)),"")</f>
        <v/>
      </c>
      <c r="L3060">
        <f t="shared" si="126"/>
        <v>1</v>
      </c>
      <c r="M3060" s="10" t="str">
        <f>IFERROR(_xlfn.XLOOKUP(C3060,[1]StuntDes!$B:$B,[1]StuntDes!$A:$A),"")</f>
        <v/>
      </c>
      <c r="N3060" s="10" t="str">
        <f>IFERROR(_xlfn.XLOOKUP(C3060,[1]ModifierDes!$B:$B,[1]ModifierDes!$A:$A),"")</f>
        <v/>
      </c>
      <c r="O3060" s="10">
        <f>IFERROR(_xlfn.XLOOKUP(C3060,[1]AttributeName!$C:$C,[1]AttributeName!$B:$B),"")</f>
        <v>11006</v>
      </c>
      <c r="P3060" s="10"/>
      <c r="Q3060">
        <v>0.71</v>
      </c>
      <c r="R3060">
        <v>0.8</v>
      </c>
      <c r="S3060" cm="1">
        <f t="array" ref="S3060">IFERROR(_xlfn.SWITCH(L3060,1,_xlfn.XLOOKUP(O3060,[1]AttributeName!$B:$B,[1]AttributeName!$D:$D),2,_xlfn.XLOOKUP(C3060,#REF!,#REF!),3,_xlfn.XLOOKUP(C3060,#REF!,#REF!)),0)</f>
        <v>2</v>
      </c>
      <c r="T3060" cm="1">
        <f t="array" ref="T3060">IFERROR(_xlfn.SWITCH(L3060,1,_xlfn.XLOOKUP(O3060,[1]AttributeName!$B:$B,[1]AttributeName!$E:$E),2,_xlfn.XLOOKUP(C3060,#REF!,#REF!),3,_xlfn.XLOOKUP(C3060,#REF!,#REF!)),0)</f>
        <v>2</v>
      </c>
    </row>
    <row r="3061" customFormat="1" spans="1:20">
      <c r="A3061">
        <f t="shared" si="125"/>
        <v>1266</v>
      </c>
      <c r="B3061">
        <v>2</v>
      </c>
      <c r="C3061" t="s">
        <v>407</v>
      </c>
      <c r="D3061" t="s">
        <v>21</v>
      </c>
      <c r="E3061" s="13" t="s">
        <v>392</v>
      </c>
      <c r="G3061">
        <v>2</v>
      </c>
      <c r="H3061">
        <v>500</v>
      </c>
      <c r="J3061" cm="1">
        <f t="array" ref="J3061">_xlfn.SWITCH(B3061,1,75,2,61,3,49,4,37,5,25,6,13,7,4,8,1)</f>
        <v>61</v>
      </c>
      <c r="K3061" t="str" cm="1">
        <f t="array" ref="K3061">IFERROR(_xlfn.SWITCH(L3061,2,_xlfn.XLOOKUP(C3061,[1]ModifierDes!$B:$B,[1]ModifierDes!$C:$C),3,_xlfn.XLOOKUP(C3061,[1]StuntDes!$B:$B,[1]StuntDes!$C:$C)),"")</f>
        <v/>
      </c>
      <c r="L3061">
        <f t="shared" si="126"/>
        <v>1</v>
      </c>
      <c r="M3061" s="10" t="str">
        <f>IFERROR(_xlfn.XLOOKUP(C3061,[1]StuntDes!$B:$B,[1]StuntDes!$A:$A),"")</f>
        <v/>
      </c>
      <c r="N3061" s="10" t="str">
        <f>IFERROR(_xlfn.XLOOKUP(C3061,[1]ModifierDes!$B:$B,[1]ModifierDes!$A:$A),"")</f>
        <v/>
      </c>
      <c r="O3061" s="10">
        <f>IFERROR(_xlfn.XLOOKUP(C3061,[1]AttributeName!$C:$C,[1]AttributeName!$B:$B),"")</f>
        <v>11006</v>
      </c>
      <c r="P3061" s="10"/>
      <c r="Q3061">
        <v>0.61</v>
      </c>
      <c r="R3061">
        <v>0.7</v>
      </c>
      <c r="S3061" cm="1">
        <f t="array" ref="S3061">IFERROR(_xlfn.SWITCH(L3061,1,_xlfn.XLOOKUP(O3061,[1]AttributeName!$B:$B,[1]AttributeName!$D:$D),2,_xlfn.XLOOKUP(C3061,#REF!,#REF!),3,_xlfn.XLOOKUP(C3061,#REF!,#REF!)),0)</f>
        <v>2</v>
      </c>
      <c r="T3061" cm="1">
        <f t="array" ref="T3061">IFERROR(_xlfn.SWITCH(L3061,1,_xlfn.XLOOKUP(O3061,[1]AttributeName!$B:$B,[1]AttributeName!$E:$E),2,_xlfn.XLOOKUP(C3061,#REF!,#REF!),3,_xlfn.XLOOKUP(C3061,#REF!,#REF!)),0)</f>
        <v>2</v>
      </c>
    </row>
    <row r="3062" customFormat="1" spans="1:20">
      <c r="A3062">
        <f t="shared" si="125"/>
        <v>1266</v>
      </c>
      <c r="B3062">
        <v>3</v>
      </c>
      <c r="C3062" t="s">
        <v>407</v>
      </c>
      <c r="D3062" t="s">
        <v>21</v>
      </c>
      <c r="E3062" s="13" t="s">
        <v>392</v>
      </c>
      <c r="G3062">
        <v>2</v>
      </c>
      <c r="H3062">
        <v>1000</v>
      </c>
      <c r="J3062" cm="1">
        <f t="array" ref="J3062">_xlfn.SWITCH(B3062,1,75,2,61,3,49,4,37,5,25,6,13,7,4,8,1)</f>
        <v>49</v>
      </c>
      <c r="K3062" t="str" cm="1">
        <f t="array" ref="K3062">IFERROR(_xlfn.SWITCH(L3062,2,_xlfn.XLOOKUP(C3062,[1]ModifierDes!$B:$B,[1]ModifierDes!$C:$C),3,_xlfn.XLOOKUP(C3062,[1]StuntDes!$B:$B,[1]StuntDes!$C:$C)),"")</f>
        <v/>
      </c>
      <c r="L3062">
        <f t="shared" si="126"/>
        <v>1</v>
      </c>
      <c r="M3062" s="10" t="str">
        <f>IFERROR(_xlfn.XLOOKUP(C3062,[1]StuntDes!$B:$B,[1]StuntDes!$A:$A),"")</f>
        <v/>
      </c>
      <c r="N3062" s="10" t="str">
        <f>IFERROR(_xlfn.XLOOKUP(C3062,[1]ModifierDes!$B:$B,[1]ModifierDes!$A:$A),"")</f>
        <v/>
      </c>
      <c r="O3062" s="10">
        <f>IFERROR(_xlfn.XLOOKUP(C3062,[1]AttributeName!$C:$C,[1]AttributeName!$B:$B),"")</f>
        <v>11006</v>
      </c>
      <c r="P3062" s="10"/>
      <c r="Q3062">
        <v>0.51</v>
      </c>
      <c r="R3062">
        <v>0.6</v>
      </c>
      <c r="S3062" cm="1">
        <f t="array" ref="S3062">IFERROR(_xlfn.SWITCH(L3062,1,_xlfn.XLOOKUP(O3062,[1]AttributeName!$B:$B,[1]AttributeName!$D:$D),2,_xlfn.XLOOKUP(C3062,#REF!,#REF!),3,_xlfn.XLOOKUP(C3062,#REF!,#REF!)),0)</f>
        <v>2</v>
      </c>
      <c r="T3062" cm="1">
        <f t="array" ref="T3062">IFERROR(_xlfn.SWITCH(L3062,1,_xlfn.XLOOKUP(O3062,[1]AttributeName!$B:$B,[1]AttributeName!$E:$E),2,_xlfn.XLOOKUP(C3062,#REF!,#REF!),3,_xlfn.XLOOKUP(C3062,#REF!,#REF!)),0)</f>
        <v>2</v>
      </c>
    </row>
    <row r="3063" customFormat="1" spans="1:20">
      <c r="A3063">
        <f t="shared" si="125"/>
        <v>1266</v>
      </c>
      <c r="B3063">
        <v>4</v>
      </c>
      <c r="C3063" t="s">
        <v>407</v>
      </c>
      <c r="D3063" t="s">
        <v>21</v>
      </c>
      <c r="E3063" s="13" t="s">
        <v>392</v>
      </c>
      <c r="G3063">
        <v>2</v>
      </c>
      <c r="H3063">
        <v>1000</v>
      </c>
      <c r="J3063" cm="1">
        <f t="array" ref="J3063">_xlfn.SWITCH(B3063,1,75,2,61,3,49,4,37,5,25,6,13,7,4,8,1)</f>
        <v>37</v>
      </c>
      <c r="K3063" t="str" cm="1">
        <f t="array" ref="K3063">IFERROR(_xlfn.SWITCH(L3063,2,_xlfn.XLOOKUP(C3063,[1]ModifierDes!$B:$B,[1]ModifierDes!$C:$C),3,_xlfn.XLOOKUP(C3063,[1]StuntDes!$B:$B,[1]StuntDes!$C:$C)),"")</f>
        <v/>
      </c>
      <c r="L3063">
        <f t="shared" si="126"/>
        <v>1</v>
      </c>
      <c r="M3063" s="10" t="str">
        <f>IFERROR(_xlfn.XLOOKUP(C3063,[1]StuntDes!$B:$B,[1]StuntDes!$A:$A),"")</f>
        <v/>
      </c>
      <c r="N3063" s="10" t="str">
        <f>IFERROR(_xlfn.XLOOKUP(C3063,[1]ModifierDes!$B:$B,[1]ModifierDes!$A:$A),"")</f>
        <v/>
      </c>
      <c r="O3063" s="10">
        <f>IFERROR(_xlfn.XLOOKUP(C3063,[1]AttributeName!$C:$C,[1]AttributeName!$B:$B),"")</f>
        <v>11006</v>
      </c>
      <c r="P3063" s="10"/>
      <c r="Q3063">
        <v>0.41</v>
      </c>
      <c r="R3063">
        <v>0.5</v>
      </c>
      <c r="S3063" cm="1">
        <f t="array" ref="S3063">IFERROR(_xlfn.SWITCH(L3063,1,_xlfn.XLOOKUP(O3063,[1]AttributeName!$B:$B,[1]AttributeName!$D:$D),2,_xlfn.XLOOKUP(C3063,#REF!,#REF!),3,_xlfn.XLOOKUP(C3063,#REF!,#REF!)),0)</f>
        <v>2</v>
      </c>
      <c r="T3063" cm="1">
        <f t="array" ref="T3063">IFERROR(_xlfn.SWITCH(L3063,1,_xlfn.XLOOKUP(O3063,[1]AttributeName!$B:$B,[1]AttributeName!$E:$E),2,_xlfn.XLOOKUP(C3063,#REF!,#REF!),3,_xlfn.XLOOKUP(C3063,#REF!,#REF!)),0)</f>
        <v>2</v>
      </c>
    </row>
    <row r="3064" customFormat="1" spans="1:20">
      <c r="A3064">
        <f t="shared" si="125"/>
        <v>1266</v>
      </c>
      <c r="B3064">
        <v>5</v>
      </c>
      <c r="C3064" t="s">
        <v>407</v>
      </c>
      <c r="D3064" t="s">
        <v>21</v>
      </c>
      <c r="E3064" s="13" t="s">
        <v>392</v>
      </c>
      <c r="G3064">
        <v>2</v>
      </c>
      <c r="H3064">
        <v>1000</v>
      </c>
      <c r="J3064" cm="1">
        <f t="array" ref="J3064">_xlfn.SWITCH(B3064,1,75,2,61,3,49,4,37,5,25,6,13,7,4,8,1)</f>
        <v>25</v>
      </c>
      <c r="K3064" t="str" cm="1">
        <f t="array" ref="K3064">IFERROR(_xlfn.SWITCH(L3064,2,_xlfn.XLOOKUP(C3064,[1]ModifierDes!$B:$B,[1]ModifierDes!$C:$C),3,_xlfn.XLOOKUP(C3064,[1]StuntDes!$B:$B,[1]StuntDes!$C:$C)),"")</f>
        <v/>
      </c>
      <c r="L3064">
        <f t="shared" si="126"/>
        <v>1</v>
      </c>
      <c r="M3064" s="10" t="str">
        <f>IFERROR(_xlfn.XLOOKUP(C3064,[1]StuntDes!$B:$B,[1]StuntDes!$A:$A),"")</f>
        <v/>
      </c>
      <c r="N3064" s="10" t="str">
        <f>IFERROR(_xlfn.XLOOKUP(C3064,[1]ModifierDes!$B:$B,[1]ModifierDes!$A:$A),"")</f>
        <v/>
      </c>
      <c r="O3064" s="10">
        <f>IFERROR(_xlfn.XLOOKUP(C3064,[1]AttributeName!$C:$C,[1]AttributeName!$B:$B),"")</f>
        <v>11006</v>
      </c>
      <c r="P3064" s="10"/>
      <c r="Q3064">
        <v>0.31</v>
      </c>
      <c r="R3064">
        <v>0.4</v>
      </c>
      <c r="S3064" cm="1">
        <f t="array" ref="S3064">IFERROR(_xlfn.SWITCH(L3064,1,_xlfn.XLOOKUP(O3064,[1]AttributeName!$B:$B,[1]AttributeName!$D:$D),2,_xlfn.XLOOKUP(C3064,#REF!,#REF!),3,_xlfn.XLOOKUP(C3064,#REF!,#REF!)),0)</f>
        <v>2</v>
      </c>
      <c r="T3064" cm="1">
        <f t="array" ref="T3064">IFERROR(_xlfn.SWITCH(L3064,1,_xlfn.XLOOKUP(O3064,[1]AttributeName!$B:$B,[1]AttributeName!$E:$E),2,_xlfn.XLOOKUP(C3064,#REF!,#REF!),3,_xlfn.XLOOKUP(C3064,#REF!,#REF!)),0)</f>
        <v>2</v>
      </c>
    </row>
    <row r="3065" customFormat="1" spans="1:20">
      <c r="A3065">
        <f t="shared" si="125"/>
        <v>1266</v>
      </c>
      <c r="B3065">
        <v>6</v>
      </c>
      <c r="C3065" t="s">
        <v>407</v>
      </c>
      <c r="D3065" t="s">
        <v>21</v>
      </c>
      <c r="E3065" s="13" t="s">
        <v>392</v>
      </c>
      <c r="G3065">
        <v>2</v>
      </c>
      <c r="H3065">
        <v>1000</v>
      </c>
      <c r="J3065" cm="1">
        <f t="array" ref="J3065">_xlfn.SWITCH(B3065,1,75,2,61,3,49,4,37,5,25,6,13,7,4,8,1)</f>
        <v>13</v>
      </c>
      <c r="K3065" t="str" cm="1">
        <f t="array" ref="K3065">IFERROR(_xlfn.SWITCH(L3065,2,_xlfn.XLOOKUP(C3065,[1]ModifierDes!$B:$B,[1]ModifierDes!$C:$C),3,_xlfn.XLOOKUP(C3065,[1]StuntDes!$B:$B,[1]StuntDes!$C:$C)),"")</f>
        <v/>
      </c>
      <c r="L3065">
        <f t="shared" si="126"/>
        <v>1</v>
      </c>
      <c r="M3065" s="10" t="str">
        <f>IFERROR(_xlfn.XLOOKUP(C3065,[1]StuntDes!$B:$B,[1]StuntDes!$A:$A),"")</f>
        <v/>
      </c>
      <c r="N3065" s="10" t="str">
        <f>IFERROR(_xlfn.XLOOKUP(C3065,[1]ModifierDes!$B:$B,[1]ModifierDes!$A:$A),"")</f>
        <v/>
      </c>
      <c r="O3065" s="10">
        <f>IFERROR(_xlfn.XLOOKUP(C3065,[1]AttributeName!$C:$C,[1]AttributeName!$B:$B),"")</f>
        <v>11006</v>
      </c>
      <c r="P3065" s="10"/>
      <c r="Q3065">
        <v>0.21</v>
      </c>
      <c r="R3065">
        <v>0.3</v>
      </c>
      <c r="S3065" cm="1">
        <f t="array" ref="S3065">IFERROR(_xlfn.SWITCH(L3065,1,_xlfn.XLOOKUP(O3065,[1]AttributeName!$B:$B,[1]AttributeName!$D:$D),2,_xlfn.XLOOKUP(C3065,#REF!,#REF!),3,_xlfn.XLOOKUP(C3065,#REF!,#REF!)),0)</f>
        <v>2</v>
      </c>
      <c r="T3065" cm="1">
        <f t="array" ref="T3065">IFERROR(_xlfn.SWITCH(L3065,1,_xlfn.XLOOKUP(O3065,[1]AttributeName!$B:$B,[1]AttributeName!$E:$E),2,_xlfn.XLOOKUP(C3065,#REF!,#REF!),3,_xlfn.XLOOKUP(C3065,#REF!,#REF!)),0)</f>
        <v>2</v>
      </c>
    </row>
    <row r="3066" customFormat="1" spans="1:20">
      <c r="A3066">
        <f t="shared" si="125"/>
        <v>1266</v>
      </c>
      <c r="B3066">
        <v>7</v>
      </c>
      <c r="C3066" t="s">
        <v>407</v>
      </c>
      <c r="D3066" t="s">
        <v>21</v>
      </c>
      <c r="E3066" s="13" t="s">
        <v>392</v>
      </c>
      <c r="G3066">
        <v>2</v>
      </c>
      <c r="H3066">
        <v>1000</v>
      </c>
      <c r="J3066" cm="1">
        <f t="array" ref="J3066">_xlfn.SWITCH(B3066,1,75,2,61,3,49,4,37,5,25,6,13,7,4,8,1)</f>
        <v>4</v>
      </c>
      <c r="K3066" t="str" cm="1">
        <f t="array" ref="K3066">IFERROR(_xlfn.SWITCH(L3066,2,_xlfn.XLOOKUP(C3066,[1]ModifierDes!$B:$B,[1]ModifierDes!$C:$C),3,_xlfn.XLOOKUP(C3066,[1]StuntDes!$B:$B,[1]StuntDes!$C:$C)),"")</f>
        <v/>
      </c>
      <c r="L3066">
        <f t="shared" si="126"/>
        <v>1</v>
      </c>
      <c r="M3066" s="10" t="str">
        <f>IFERROR(_xlfn.XLOOKUP(C3066,[1]StuntDes!$B:$B,[1]StuntDes!$A:$A),"")</f>
        <v/>
      </c>
      <c r="N3066" s="10" t="str">
        <f>IFERROR(_xlfn.XLOOKUP(C3066,[1]ModifierDes!$B:$B,[1]ModifierDes!$A:$A),"")</f>
        <v/>
      </c>
      <c r="O3066" s="10">
        <f>IFERROR(_xlfn.XLOOKUP(C3066,[1]AttributeName!$C:$C,[1]AttributeName!$B:$B),"")</f>
        <v>11006</v>
      </c>
      <c r="P3066" s="10"/>
      <c r="Q3066">
        <v>0.11</v>
      </c>
      <c r="R3066">
        <v>0.2</v>
      </c>
      <c r="S3066" cm="1">
        <f t="array" ref="S3066">IFERROR(_xlfn.SWITCH(L3066,1,_xlfn.XLOOKUP(O3066,[1]AttributeName!$B:$B,[1]AttributeName!$D:$D),2,_xlfn.XLOOKUP(C3066,#REF!,#REF!),3,_xlfn.XLOOKUP(C3066,#REF!,#REF!)),0)</f>
        <v>2</v>
      </c>
      <c r="T3066" cm="1">
        <f t="array" ref="T3066">IFERROR(_xlfn.SWITCH(L3066,1,_xlfn.XLOOKUP(O3066,[1]AttributeName!$B:$B,[1]AttributeName!$E:$E),2,_xlfn.XLOOKUP(C3066,#REF!,#REF!),3,_xlfn.XLOOKUP(C3066,#REF!,#REF!)),0)</f>
        <v>2</v>
      </c>
    </row>
    <row r="3067" customFormat="1" spans="1:20">
      <c r="A3067">
        <f t="shared" si="125"/>
        <v>1266</v>
      </c>
      <c r="B3067">
        <v>8</v>
      </c>
      <c r="C3067" t="s">
        <v>407</v>
      </c>
      <c r="D3067" t="s">
        <v>21</v>
      </c>
      <c r="E3067" s="13" t="s">
        <v>392</v>
      </c>
      <c r="G3067">
        <v>2</v>
      </c>
      <c r="H3067">
        <v>1000</v>
      </c>
      <c r="J3067" cm="1">
        <f t="array" ref="J3067">_xlfn.SWITCH(B3067,1,75,2,61,3,49,4,37,5,25,6,13,7,4,8,1)</f>
        <v>1</v>
      </c>
      <c r="K3067" t="str" cm="1">
        <f t="array" ref="K3067">IFERROR(_xlfn.SWITCH(L3067,2,_xlfn.XLOOKUP(C3067,[1]ModifierDes!$B:$B,[1]ModifierDes!$C:$C),3,_xlfn.XLOOKUP(C3067,[1]StuntDes!$B:$B,[1]StuntDes!$C:$C)),"")</f>
        <v/>
      </c>
      <c r="L3067">
        <f t="shared" si="126"/>
        <v>1</v>
      </c>
      <c r="M3067" s="10" t="str">
        <f>IFERROR(_xlfn.XLOOKUP(C3067,[1]StuntDes!$B:$B,[1]StuntDes!$A:$A),"")</f>
        <v/>
      </c>
      <c r="N3067" s="10" t="str">
        <f>IFERROR(_xlfn.XLOOKUP(C3067,[1]ModifierDes!$B:$B,[1]ModifierDes!$A:$A),"")</f>
        <v/>
      </c>
      <c r="O3067" s="10">
        <f>IFERROR(_xlfn.XLOOKUP(C3067,[1]AttributeName!$C:$C,[1]AttributeName!$B:$B),"")</f>
        <v>11006</v>
      </c>
      <c r="P3067" s="10"/>
      <c r="Q3067">
        <v>0.0100000000000001</v>
      </c>
      <c r="R3067">
        <v>0.0999999999999994</v>
      </c>
      <c r="S3067" cm="1">
        <f t="array" ref="S3067">IFERROR(_xlfn.SWITCH(L3067,1,_xlfn.XLOOKUP(O3067,[1]AttributeName!$B:$B,[1]AttributeName!$D:$D),2,_xlfn.XLOOKUP(C3067,#REF!,#REF!),3,_xlfn.XLOOKUP(C3067,#REF!,#REF!)),0)</f>
        <v>2</v>
      </c>
      <c r="T3067" cm="1">
        <f t="array" ref="T3067">IFERROR(_xlfn.SWITCH(L3067,1,_xlfn.XLOOKUP(O3067,[1]AttributeName!$B:$B,[1]AttributeName!$E:$E),2,_xlfn.XLOOKUP(C3067,#REF!,#REF!),3,_xlfn.XLOOKUP(C3067,#REF!,#REF!)),0)</f>
        <v>2</v>
      </c>
    </row>
    <row r="3068" customFormat="1" spans="1:20">
      <c r="A3068">
        <f t="shared" ref="A3068:A3123" si="127">A3060+1</f>
        <v>1267</v>
      </c>
      <c r="B3068">
        <v>1</v>
      </c>
      <c r="C3068" t="s">
        <v>408</v>
      </c>
      <c r="D3068" t="s">
        <v>21</v>
      </c>
      <c r="E3068" s="13" t="s">
        <v>392</v>
      </c>
      <c r="G3068">
        <v>2</v>
      </c>
      <c r="H3068">
        <v>500</v>
      </c>
      <c r="J3068" cm="1">
        <f t="array" ref="J3068">_xlfn.SWITCH(B3068,1,75,2,61,3,49,4,37,5,25,6,13,7,4,8,1)</f>
        <v>75</v>
      </c>
      <c r="K3068" t="str" cm="1">
        <f t="array" ref="K3068">IFERROR(_xlfn.SWITCH(L3068,2,_xlfn.XLOOKUP(C3068,[1]ModifierDes!$B:$B,[1]ModifierDes!$C:$C),3,_xlfn.XLOOKUP(C3068,[1]StuntDes!$B:$B,[1]StuntDes!$C:$C)),"")</f>
        <v/>
      </c>
      <c r="L3068">
        <f t="shared" si="126"/>
        <v>1</v>
      </c>
      <c r="M3068" s="10" t="str">
        <f>IFERROR(_xlfn.XLOOKUP(C3068,[1]StuntDes!$B:$B,[1]StuntDes!$A:$A),"")</f>
        <v/>
      </c>
      <c r="N3068" s="10" t="str">
        <f>IFERROR(_xlfn.XLOOKUP(C3068,[1]ModifierDes!$B:$B,[1]ModifierDes!$A:$A),"")</f>
        <v/>
      </c>
      <c r="O3068" s="10">
        <f>IFERROR(_xlfn.XLOOKUP(C3068,[1]AttributeName!$C:$C,[1]AttributeName!$B:$B),"")</f>
        <v>10801</v>
      </c>
      <c r="P3068" s="10"/>
      <c r="Q3068">
        <v>0.71</v>
      </c>
      <c r="R3068">
        <v>0.8</v>
      </c>
      <c r="S3068" cm="1">
        <f t="array" ref="S3068">IFERROR(_xlfn.SWITCH(L3068,1,_xlfn.XLOOKUP(O3068,[1]AttributeName!$B:$B,[1]AttributeName!$D:$D),2,_xlfn.XLOOKUP(C3068,#REF!,#REF!),3,_xlfn.XLOOKUP(C3068,#REF!,#REF!)),0)</f>
        <v>2</v>
      </c>
      <c r="T3068" cm="1">
        <f t="array" ref="T3068">IFERROR(_xlfn.SWITCH(L3068,1,_xlfn.XLOOKUP(O3068,[1]AttributeName!$B:$B,[1]AttributeName!$E:$E),2,_xlfn.XLOOKUP(C3068,#REF!,#REF!),3,_xlfn.XLOOKUP(C3068,#REF!,#REF!)),0)</f>
        <v>2</v>
      </c>
    </row>
    <row r="3069" customFormat="1" spans="1:20">
      <c r="A3069">
        <f t="shared" si="127"/>
        <v>1267</v>
      </c>
      <c r="B3069">
        <v>2</v>
      </c>
      <c r="C3069" t="s">
        <v>408</v>
      </c>
      <c r="D3069" t="s">
        <v>21</v>
      </c>
      <c r="E3069" s="13" t="s">
        <v>392</v>
      </c>
      <c r="G3069">
        <v>2</v>
      </c>
      <c r="H3069">
        <v>500</v>
      </c>
      <c r="J3069" cm="1">
        <f t="array" ref="J3069">_xlfn.SWITCH(B3069,1,75,2,61,3,49,4,37,5,25,6,13,7,4,8,1)</f>
        <v>61</v>
      </c>
      <c r="K3069" t="str" cm="1">
        <f t="array" ref="K3069">IFERROR(_xlfn.SWITCH(L3069,2,_xlfn.XLOOKUP(C3069,[1]ModifierDes!$B:$B,[1]ModifierDes!$C:$C),3,_xlfn.XLOOKUP(C3069,[1]StuntDes!$B:$B,[1]StuntDes!$C:$C)),"")</f>
        <v/>
      </c>
      <c r="L3069">
        <f t="shared" si="126"/>
        <v>1</v>
      </c>
      <c r="M3069" s="10" t="str">
        <f>IFERROR(_xlfn.XLOOKUP(C3069,[1]StuntDes!$B:$B,[1]StuntDes!$A:$A),"")</f>
        <v/>
      </c>
      <c r="N3069" s="10" t="str">
        <f>IFERROR(_xlfn.XLOOKUP(C3069,[1]ModifierDes!$B:$B,[1]ModifierDes!$A:$A),"")</f>
        <v/>
      </c>
      <c r="O3069" s="10">
        <f>IFERROR(_xlfn.XLOOKUP(C3069,[1]AttributeName!$C:$C,[1]AttributeName!$B:$B),"")</f>
        <v>10801</v>
      </c>
      <c r="P3069" s="10"/>
      <c r="Q3069">
        <v>0.61</v>
      </c>
      <c r="R3069">
        <v>0.7</v>
      </c>
      <c r="S3069" cm="1">
        <f t="array" ref="S3069">IFERROR(_xlfn.SWITCH(L3069,1,_xlfn.XLOOKUP(O3069,[1]AttributeName!$B:$B,[1]AttributeName!$D:$D),2,_xlfn.XLOOKUP(C3069,#REF!,#REF!),3,_xlfn.XLOOKUP(C3069,#REF!,#REF!)),0)</f>
        <v>2</v>
      </c>
      <c r="T3069" cm="1">
        <f t="array" ref="T3069">IFERROR(_xlfn.SWITCH(L3069,1,_xlfn.XLOOKUP(O3069,[1]AttributeName!$B:$B,[1]AttributeName!$E:$E),2,_xlfn.XLOOKUP(C3069,#REF!,#REF!),3,_xlfn.XLOOKUP(C3069,#REF!,#REF!)),0)</f>
        <v>2</v>
      </c>
    </row>
    <row r="3070" customFormat="1" spans="1:20">
      <c r="A3070">
        <f t="shared" si="127"/>
        <v>1267</v>
      </c>
      <c r="B3070">
        <v>3</v>
      </c>
      <c r="C3070" t="s">
        <v>408</v>
      </c>
      <c r="D3070" t="s">
        <v>21</v>
      </c>
      <c r="E3070" s="13" t="s">
        <v>392</v>
      </c>
      <c r="G3070">
        <v>2</v>
      </c>
      <c r="H3070">
        <v>1000</v>
      </c>
      <c r="J3070" cm="1">
        <f t="array" ref="J3070">_xlfn.SWITCH(B3070,1,75,2,61,3,49,4,37,5,25,6,13,7,4,8,1)</f>
        <v>49</v>
      </c>
      <c r="K3070" t="str" cm="1">
        <f t="array" ref="K3070">IFERROR(_xlfn.SWITCH(L3070,2,_xlfn.XLOOKUP(C3070,[1]ModifierDes!$B:$B,[1]ModifierDes!$C:$C),3,_xlfn.XLOOKUP(C3070,[1]StuntDes!$B:$B,[1]StuntDes!$C:$C)),"")</f>
        <v/>
      </c>
      <c r="L3070">
        <f t="shared" si="126"/>
        <v>1</v>
      </c>
      <c r="M3070" s="10" t="str">
        <f>IFERROR(_xlfn.XLOOKUP(C3070,[1]StuntDes!$B:$B,[1]StuntDes!$A:$A),"")</f>
        <v/>
      </c>
      <c r="N3070" s="10" t="str">
        <f>IFERROR(_xlfn.XLOOKUP(C3070,[1]ModifierDes!$B:$B,[1]ModifierDes!$A:$A),"")</f>
        <v/>
      </c>
      <c r="O3070" s="10">
        <f>IFERROR(_xlfn.XLOOKUP(C3070,[1]AttributeName!$C:$C,[1]AttributeName!$B:$B),"")</f>
        <v>10801</v>
      </c>
      <c r="P3070" s="10"/>
      <c r="Q3070">
        <v>0.51</v>
      </c>
      <c r="R3070">
        <v>0.6</v>
      </c>
      <c r="S3070" cm="1">
        <f t="array" ref="S3070">IFERROR(_xlfn.SWITCH(L3070,1,_xlfn.XLOOKUP(O3070,[1]AttributeName!$B:$B,[1]AttributeName!$D:$D),2,_xlfn.XLOOKUP(C3070,#REF!,#REF!),3,_xlfn.XLOOKUP(C3070,#REF!,#REF!)),0)</f>
        <v>2</v>
      </c>
      <c r="T3070" cm="1">
        <f t="array" ref="T3070">IFERROR(_xlfn.SWITCH(L3070,1,_xlfn.XLOOKUP(O3070,[1]AttributeName!$B:$B,[1]AttributeName!$E:$E),2,_xlfn.XLOOKUP(C3070,#REF!,#REF!),3,_xlfn.XLOOKUP(C3070,#REF!,#REF!)),0)</f>
        <v>2</v>
      </c>
    </row>
    <row r="3071" customFormat="1" spans="1:20">
      <c r="A3071">
        <f t="shared" si="127"/>
        <v>1267</v>
      </c>
      <c r="B3071">
        <v>4</v>
      </c>
      <c r="C3071" t="s">
        <v>408</v>
      </c>
      <c r="D3071" t="s">
        <v>21</v>
      </c>
      <c r="E3071" s="13" t="s">
        <v>392</v>
      </c>
      <c r="G3071">
        <v>2</v>
      </c>
      <c r="H3071">
        <v>1000</v>
      </c>
      <c r="J3071" cm="1">
        <f t="array" ref="J3071">_xlfn.SWITCH(B3071,1,75,2,61,3,49,4,37,5,25,6,13,7,4,8,1)</f>
        <v>37</v>
      </c>
      <c r="K3071" t="str" cm="1">
        <f t="array" ref="K3071">IFERROR(_xlfn.SWITCH(L3071,2,_xlfn.XLOOKUP(C3071,[1]ModifierDes!$B:$B,[1]ModifierDes!$C:$C),3,_xlfn.XLOOKUP(C3071,[1]StuntDes!$B:$B,[1]StuntDes!$C:$C)),"")</f>
        <v/>
      </c>
      <c r="L3071">
        <f t="shared" si="126"/>
        <v>1</v>
      </c>
      <c r="M3071" s="10" t="str">
        <f>IFERROR(_xlfn.XLOOKUP(C3071,[1]StuntDes!$B:$B,[1]StuntDes!$A:$A),"")</f>
        <v/>
      </c>
      <c r="N3071" s="10" t="str">
        <f>IFERROR(_xlfn.XLOOKUP(C3071,[1]ModifierDes!$B:$B,[1]ModifierDes!$A:$A),"")</f>
        <v/>
      </c>
      <c r="O3071" s="10">
        <f>IFERROR(_xlfn.XLOOKUP(C3071,[1]AttributeName!$C:$C,[1]AttributeName!$B:$B),"")</f>
        <v>10801</v>
      </c>
      <c r="P3071" s="10"/>
      <c r="Q3071">
        <v>0.41</v>
      </c>
      <c r="R3071">
        <v>0.5</v>
      </c>
      <c r="S3071" cm="1">
        <f t="array" ref="S3071">IFERROR(_xlfn.SWITCH(L3071,1,_xlfn.XLOOKUP(O3071,[1]AttributeName!$B:$B,[1]AttributeName!$D:$D),2,_xlfn.XLOOKUP(C3071,#REF!,#REF!),3,_xlfn.XLOOKUP(C3071,#REF!,#REF!)),0)</f>
        <v>2</v>
      </c>
      <c r="T3071" cm="1">
        <f t="array" ref="T3071">IFERROR(_xlfn.SWITCH(L3071,1,_xlfn.XLOOKUP(O3071,[1]AttributeName!$B:$B,[1]AttributeName!$E:$E),2,_xlfn.XLOOKUP(C3071,#REF!,#REF!),3,_xlfn.XLOOKUP(C3071,#REF!,#REF!)),0)</f>
        <v>2</v>
      </c>
    </row>
    <row r="3072" customFormat="1" spans="1:20">
      <c r="A3072">
        <f t="shared" si="127"/>
        <v>1267</v>
      </c>
      <c r="B3072">
        <v>5</v>
      </c>
      <c r="C3072" t="s">
        <v>408</v>
      </c>
      <c r="D3072" t="s">
        <v>21</v>
      </c>
      <c r="E3072" s="13" t="s">
        <v>392</v>
      </c>
      <c r="G3072">
        <v>2</v>
      </c>
      <c r="H3072">
        <v>1000</v>
      </c>
      <c r="J3072" cm="1">
        <f t="array" ref="J3072">_xlfn.SWITCH(B3072,1,75,2,61,3,49,4,37,5,25,6,13,7,4,8,1)</f>
        <v>25</v>
      </c>
      <c r="K3072" t="str" cm="1">
        <f t="array" ref="K3072">IFERROR(_xlfn.SWITCH(L3072,2,_xlfn.XLOOKUP(C3072,[1]ModifierDes!$B:$B,[1]ModifierDes!$C:$C),3,_xlfn.XLOOKUP(C3072,[1]StuntDes!$B:$B,[1]StuntDes!$C:$C)),"")</f>
        <v/>
      </c>
      <c r="L3072">
        <f t="shared" si="126"/>
        <v>1</v>
      </c>
      <c r="M3072" s="10" t="str">
        <f>IFERROR(_xlfn.XLOOKUP(C3072,[1]StuntDes!$B:$B,[1]StuntDes!$A:$A),"")</f>
        <v/>
      </c>
      <c r="N3072" s="10" t="str">
        <f>IFERROR(_xlfn.XLOOKUP(C3072,[1]ModifierDes!$B:$B,[1]ModifierDes!$A:$A),"")</f>
        <v/>
      </c>
      <c r="O3072" s="10">
        <f>IFERROR(_xlfn.XLOOKUP(C3072,[1]AttributeName!$C:$C,[1]AttributeName!$B:$B),"")</f>
        <v>10801</v>
      </c>
      <c r="P3072" s="10"/>
      <c r="Q3072">
        <v>0.31</v>
      </c>
      <c r="R3072">
        <v>0.4</v>
      </c>
      <c r="S3072" cm="1">
        <f t="array" ref="S3072">IFERROR(_xlfn.SWITCH(L3072,1,_xlfn.XLOOKUP(O3072,[1]AttributeName!$B:$B,[1]AttributeName!$D:$D),2,_xlfn.XLOOKUP(C3072,#REF!,#REF!),3,_xlfn.XLOOKUP(C3072,#REF!,#REF!)),0)</f>
        <v>2</v>
      </c>
      <c r="T3072" cm="1">
        <f t="array" ref="T3072">IFERROR(_xlfn.SWITCH(L3072,1,_xlfn.XLOOKUP(O3072,[1]AttributeName!$B:$B,[1]AttributeName!$E:$E),2,_xlfn.XLOOKUP(C3072,#REF!,#REF!),3,_xlfn.XLOOKUP(C3072,#REF!,#REF!)),0)</f>
        <v>2</v>
      </c>
    </row>
    <row r="3073" customFormat="1" spans="1:20">
      <c r="A3073">
        <f t="shared" si="127"/>
        <v>1267</v>
      </c>
      <c r="B3073">
        <v>6</v>
      </c>
      <c r="C3073" t="s">
        <v>408</v>
      </c>
      <c r="D3073" t="s">
        <v>21</v>
      </c>
      <c r="E3073" s="13" t="s">
        <v>392</v>
      </c>
      <c r="G3073">
        <v>2</v>
      </c>
      <c r="H3073">
        <v>1000</v>
      </c>
      <c r="J3073" cm="1">
        <f t="array" ref="J3073">_xlfn.SWITCH(B3073,1,75,2,61,3,49,4,37,5,25,6,13,7,4,8,1)</f>
        <v>13</v>
      </c>
      <c r="K3073" t="str" cm="1">
        <f t="array" ref="K3073">IFERROR(_xlfn.SWITCH(L3073,2,_xlfn.XLOOKUP(C3073,[1]ModifierDes!$B:$B,[1]ModifierDes!$C:$C),3,_xlfn.XLOOKUP(C3073,[1]StuntDes!$B:$B,[1]StuntDes!$C:$C)),"")</f>
        <v/>
      </c>
      <c r="L3073">
        <f t="shared" si="126"/>
        <v>1</v>
      </c>
      <c r="M3073" s="10" t="str">
        <f>IFERROR(_xlfn.XLOOKUP(C3073,[1]StuntDes!$B:$B,[1]StuntDes!$A:$A),"")</f>
        <v/>
      </c>
      <c r="N3073" s="10" t="str">
        <f>IFERROR(_xlfn.XLOOKUP(C3073,[1]ModifierDes!$B:$B,[1]ModifierDes!$A:$A),"")</f>
        <v/>
      </c>
      <c r="O3073" s="10">
        <f>IFERROR(_xlfn.XLOOKUP(C3073,[1]AttributeName!$C:$C,[1]AttributeName!$B:$B),"")</f>
        <v>10801</v>
      </c>
      <c r="P3073" s="10"/>
      <c r="Q3073">
        <v>0.21</v>
      </c>
      <c r="R3073">
        <v>0.3</v>
      </c>
      <c r="S3073" cm="1">
        <f t="array" ref="S3073">IFERROR(_xlfn.SWITCH(L3073,1,_xlfn.XLOOKUP(O3073,[1]AttributeName!$B:$B,[1]AttributeName!$D:$D),2,_xlfn.XLOOKUP(C3073,#REF!,#REF!),3,_xlfn.XLOOKUP(C3073,#REF!,#REF!)),0)</f>
        <v>2</v>
      </c>
      <c r="T3073" cm="1">
        <f t="array" ref="T3073">IFERROR(_xlfn.SWITCH(L3073,1,_xlfn.XLOOKUP(O3073,[1]AttributeName!$B:$B,[1]AttributeName!$E:$E),2,_xlfn.XLOOKUP(C3073,#REF!,#REF!),3,_xlfn.XLOOKUP(C3073,#REF!,#REF!)),0)</f>
        <v>2</v>
      </c>
    </row>
    <row r="3074" customFormat="1" spans="1:20">
      <c r="A3074">
        <f t="shared" si="127"/>
        <v>1267</v>
      </c>
      <c r="B3074">
        <v>7</v>
      </c>
      <c r="C3074" t="s">
        <v>408</v>
      </c>
      <c r="D3074" t="s">
        <v>21</v>
      </c>
      <c r="E3074" s="13" t="s">
        <v>392</v>
      </c>
      <c r="G3074">
        <v>2</v>
      </c>
      <c r="H3074">
        <v>1000</v>
      </c>
      <c r="J3074" cm="1">
        <f t="array" ref="J3074">_xlfn.SWITCH(B3074,1,75,2,61,3,49,4,37,5,25,6,13,7,4,8,1)</f>
        <v>4</v>
      </c>
      <c r="K3074" t="str" cm="1">
        <f t="array" ref="K3074">IFERROR(_xlfn.SWITCH(L3074,2,_xlfn.XLOOKUP(C3074,[1]ModifierDes!$B:$B,[1]ModifierDes!$C:$C),3,_xlfn.XLOOKUP(C3074,[1]StuntDes!$B:$B,[1]StuntDes!$C:$C)),"")</f>
        <v/>
      </c>
      <c r="L3074">
        <f t="shared" si="126"/>
        <v>1</v>
      </c>
      <c r="M3074" s="10" t="str">
        <f>IFERROR(_xlfn.XLOOKUP(C3074,[1]StuntDes!$B:$B,[1]StuntDes!$A:$A),"")</f>
        <v/>
      </c>
      <c r="N3074" s="10" t="str">
        <f>IFERROR(_xlfn.XLOOKUP(C3074,[1]ModifierDes!$B:$B,[1]ModifierDes!$A:$A),"")</f>
        <v/>
      </c>
      <c r="O3074" s="10">
        <f>IFERROR(_xlfn.XLOOKUP(C3074,[1]AttributeName!$C:$C,[1]AttributeName!$B:$B),"")</f>
        <v>10801</v>
      </c>
      <c r="P3074" s="10"/>
      <c r="Q3074">
        <v>0.11</v>
      </c>
      <c r="R3074">
        <v>0.2</v>
      </c>
      <c r="S3074" cm="1">
        <f t="array" ref="S3074">IFERROR(_xlfn.SWITCH(L3074,1,_xlfn.XLOOKUP(O3074,[1]AttributeName!$B:$B,[1]AttributeName!$D:$D),2,_xlfn.XLOOKUP(C3074,#REF!,#REF!),3,_xlfn.XLOOKUP(C3074,#REF!,#REF!)),0)</f>
        <v>2</v>
      </c>
      <c r="T3074" cm="1">
        <f t="array" ref="T3074">IFERROR(_xlfn.SWITCH(L3074,1,_xlfn.XLOOKUP(O3074,[1]AttributeName!$B:$B,[1]AttributeName!$E:$E),2,_xlfn.XLOOKUP(C3074,#REF!,#REF!),3,_xlfn.XLOOKUP(C3074,#REF!,#REF!)),0)</f>
        <v>2</v>
      </c>
    </row>
    <row r="3075" customFormat="1" spans="1:20">
      <c r="A3075">
        <f t="shared" si="127"/>
        <v>1267</v>
      </c>
      <c r="B3075">
        <v>8</v>
      </c>
      <c r="C3075" t="s">
        <v>408</v>
      </c>
      <c r="D3075" t="s">
        <v>21</v>
      </c>
      <c r="E3075" s="13" t="s">
        <v>392</v>
      </c>
      <c r="G3075">
        <v>2</v>
      </c>
      <c r="H3075">
        <v>1000</v>
      </c>
      <c r="J3075" cm="1">
        <f t="array" ref="J3075">_xlfn.SWITCH(B3075,1,75,2,61,3,49,4,37,5,25,6,13,7,4,8,1)</f>
        <v>1</v>
      </c>
      <c r="K3075" t="str" cm="1">
        <f t="array" ref="K3075">IFERROR(_xlfn.SWITCH(L3075,2,_xlfn.XLOOKUP(C3075,[1]ModifierDes!$B:$B,[1]ModifierDes!$C:$C),3,_xlfn.XLOOKUP(C3075,[1]StuntDes!$B:$B,[1]StuntDes!$C:$C)),"")</f>
        <v/>
      </c>
      <c r="L3075">
        <f t="shared" si="126"/>
        <v>1</v>
      </c>
      <c r="M3075" s="10" t="str">
        <f>IFERROR(_xlfn.XLOOKUP(C3075,[1]StuntDes!$B:$B,[1]StuntDes!$A:$A),"")</f>
        <v/>
      </c>
      <c r="N3075" s="10" t="str">
        <f>IFERROR(_xlfn.XLOOKUP(C3075,[1]ModifierDes!$B:$B,[1]ModifierDes!$A:$A),"")</f>
        <v/>
      </c>
      <c r="O3075" s="10">
        <f>IFERROR(_xlfn.XLOOKUP(C3075,[1]AttributeName!$C:$C,[1]AttributeName!$B:$B),"")</f>
        <v>10801</v>
      </c>
      <c r="P3075" s="10"/>
      <c r="Q3075">
        <v>0.0100000000000001</v>
      </c>
      <c r="R3075">
        <v>0.0999999999999994</v>
      </c>
      <c r="S3075" cm="1">
        <f t="array" ref="S3075">IFERROR(_xlfn.SWITCH(L3075,1,_xlfn.XLOOKUP(O3075,[1]AttributeName!$B:$B,[1]AttributeName!$D:$D),2,_xlfn.XLOOKUP(C3075,#REF!,#REF!),3,_xlfn.XLOOKUP(C3075,#REF!,#REF!)),0)</f>
        <v>2</v>
      </c>
      <c r="T3075" cm="1">
        <f t="array" ref="T3075">IFERROR(_xlfn.SWITCH(L3075,1,_xlfn.XLOOKUP(O3075,[1]AttributeName!$B:$B,[1]AttributeName!$E:$E),2,_xlfn.XLOOKUP(C3075,#REF!,#REF!),3,_xlfn.XLOOKUP(C3075,#REF!,#REF!)),0)</f>
        <v>2</v>
      </c>
    </row>
    <row r="3076" customFormat="1" spans="1:20">
      <c r="A3076">
        <f t="shared" si="127"/>
        <v>1268</v>
      </c>
      <c r="B3076">
        <v>1</v>
      </c>
      <c r="C3076" t="s">
        <v>409</v>
      </c>
      <c r="D3076" t="s">
        <v>21</v>
      </c>
      <c r="E3076" s="13" t="s">
        <v>392</v>
      </c>
      <c r="G3076">
        <v>2</v>
      </c>
      <c r="H3076">
        <v>500</v>
      </c>
      <c r="J3076" cm="1">
        <f t="array" ref="J3076">_xlfn.SWITCH(B3076,1,75,2,61,3,49,4,37,5,25,6,13,7,4,8,1)</f>
        <v>75</v>
      </c>
      <c r="K3076" t="str" cm="1">
        <f t="array" ref="K3076">IFERROR(_xlfn.SWITCH(L3076,2,_xlfn.XLOOKUP(C3076,[1]ModifierDes!$B:$B,[1]ModifierDes!$C:$C),3,_xlfn.XLOOKUP(C3076,[1]StuntDes!$B:$B,[1]StuntDes!$C:$C)),"")</f>
        <v/>
      </c>
      <c r="L3076">
        <f t="shared" ref="L3076:L3139" si="128">IF(M3076="",IF(N3076="",1,2),3)</f>
        <v>1</v>
      </c>
      <c r="M3076" s="10" t="str">
        <f>IFERROR(_xlfn.XLOOKUP(C3076,[1]StuntDes!$B:$B,[1]StuntDes!$A:$A),"")</f>
        <v/>
      </c>
      <c r="N3076" s="10" t="str">
        <f>IFERROR(_xlfn.XLOOKUP(C3076,[1]ModifierDes!$B:$B,[1]ModifierDes!$A:$A),"")</f>
        <v/>
      </c>
      <c r="O3076" s="10">
        <f>IFERROR(_xlfn.XLOOKUP(C3076,[1]AttributeName!$C:$C,[1]AttributeName!$B:$B),"")</f>
        <v>11009</v>
      </c>
      <c r="P3076" s="10"/>
      <c r="Q3076">
        <v>0.71</v>
      </c>
      <c r="R3076">
        <v>0.8</v>
      </c>
      <c r="S3076" cm="1">
        <f t="array" ref="S3076">IFERROR(_xlfn.SWITCH(L3076,1,_xlfn.XLOOKUP(O3076,[1]AttributeName!$B:$B,[1]AttributeName!$D:$D),2,_xlfn.XLOOKUP(C3076,#REF!,#REF!),3,_xlfn.XLOOKUP(C3076,#REF!,#REF!)),0)</f>
        <v>2</v>
      </c>
      <c r="T3076" cm="1">
        <f t="array" ref="T3076">IFERROR(_xlfn.SWITCH(L3076,1,_xlfn.XLOOKUP(O3076,[1]AttributeName!$B:$B,[1]AttributeName!$E:$E),2,_xlfn.XLOOKUP(C3076,#REF!,#REF!),3,_xlfn.XLOOKUP(C3076,#REF!,#REF!)),0)</f>
        <v>2</v>
      </c>
    </row>
    <row r="3077" customFormat="1" spans="1:20">
      <c r="A3077">
        <f t="shared" si="127"/>
        <v>1268</v>
      </c>
      <c r="B3077">
        <v>2</v>
      </c>
      <c r="C3077" t="s">
        <v>409</v>
      </c>
      <c r="D3077" t="s">
        <v>21</v>
      </c>
      <c r="E3077" s="13" t="s">
        <v>392</v>
      </c>
      <c r="G3077">
        <v>2</v>
      </c>
      <c r="H3077">
        <v>500</v>
      </c>
      <c r="J3077" cm="1">
        <f t="array" ref="J3077">_xlfn.SWITCH(B3077,1,75,2,61,3,49,4,37,5,25,6,13,7,4,8,1)</f>
        <v>61</v>
      </c>
      <c r="K3077" t="str" cm="1">
        <f t="array" ref="K3077">IFERROR(_xlfn.SWITCH(L3077,2,_xlfn.XLOOKUP(C3077,[1]ModifierDes!$B:$B,[1]ModifierDes!$C:$C),3,_xlfn.XLOOKUP(C3077,[1]StuntDes!$B:$B,[1]StuntDes!$C:$C)),"")</f>
        <v/>
      </c>
      <c r="L3077">
        <f t="shared" si="128"/>
        <v>1</v>
      </c>
      <c r="M3077" s="10" t="str">
        <f>IFERROR(_xlfn.XLOOKUP(C3077,[1]StuntDes!$B:$B,[1]StuntDes!$A:$A),"")</f>
        <v/>
      </c>
      <c r="N3077" s="10" t="str">
        <f>IFERROR(_xlfn.XLOOKUP(C3077,[1]ModifierDes!$B:$B,[1]ModifierDes!$A:$A),"")</f>
        <v/>
      </c>
      <c r="O3077" s="10">
        <f>IFERROR(_xlfn.XLOOKUP(C3077,[1]AttributeName!$C:$C,[1]AttributeName!$B:$B),"")</f>
        <v>11009</v>
      </c>
      <c r="P3077" s="10"/>
      <c r="Q3077">
        <v>0.61</v>
      </c>
      <c r="R3077">
        <v>0.7</v>
      </c>
      <c r="S3077" cm="1">
        <f t="array" ref="S3077">IFERROR(_xlfn.SWITCH(L3077,1,_xlfn.XLOOKUP(O3077,[1]AttributeName!$B:$B,[1]AttributeName!$D:$D),2,_xlfn.XLOOKUP(C3077,#REF!,#REF!),3,_xlfn.XLOOKUP(C3077,#REF!,#REF!)),0)</f>
        <v>2</v>
      </c>
      <c r="T3077" cm="1">
        <f t="array" ref="T3077">IFERROR(_xlfn.SWITCH(L3077,1,_xlfn.XLOOKUP(O3077,[1]AttributeName!$B:$B,[1]AttributeName!$E:$E),2,_xlfn.XLOOKUP(C3077,#REF!,#REF!),3,_xlfn.XLOOKUP(C3077,#REF!,#REF!)),0)</f>
        <v>2</v>
      </c>
    </row>
    <row r="3078" customFormat="1" spans="1:20">
      <c r="A3078">
        <f t="shared" si="127"/>
        <v>1268</v>
      </c>
      <c r="B3078">
        <v>3</v>
      </c>
      <c r="C3078" t="s">
        <v>409</v>
      </c>
      <c r="D3078" t="s">
        <v>21</v>
      </c>
      <c r="E3078" s="13" t="s">
        <v>392</v>
      </c>
      <c r="G3078">
        <v>2</v>
      </c>
      <c r="H3078">
        <v>1000</v>
      </c>
      <c r="J3078" cm="1">
        <f t="array" ref="J3078">_xlfn.SWITCH(B3078,1,75,2,61,3,49,4,37,5,25,6,13,7,4,8,1)</f>
        <v>49</v>
      </c>
      <c r="K3078" t="str" cm="1">
        <f t="array" ref="K3078">IFERROR(_xlfn.SWITCH(L3078,2,_xlfn.XLOOKUP(C3078,[1]ModifierDes!$B:$B,[1]ModifierDes!$C:$C),3,_xlfn.XLOOKUP(C3078,[1]StuntDes!$B:$B,[1]StuntDes!$C:$C)),"")</f>
        <v/>
      </c>
      <c r="L3078">
        <f t="shared" si="128"/>
        <v>1</v>
      </c>
      <c r="M3078" s="10" t="str">
        <f>IFERROR(_xlfn.XLOOKUP(C3078,[1]StuntDes!$B:$B,[1]StuntDes!$A:$A),"")</f>
        <v/>
      </c>
      <c r="N3078" s="10" t="str">
        <f>IFERROR(_xlfn.XLOOKUP(C3078,[1]ModifierDes!$B:$B,[1]ModifierDes!$A:$A),"")</f>
        <v/>
      </c>
      <c r="O3078" s="10">
        <f>IFERROR(_xlfn.XLOOKUP(C3078,[1]AttributeName!$C:$C,[1]AttributeName!$B:$B),"")</f>
        <v>11009</v>
      </c>
      <c r="P3078" s="10"/>
      <c r="Q3078">
        <v>0.51</v>
      </c>
      <c r="R3078">
        <v>0.6</v>
      </c>
      <c r="S3078" cm="1">
        <f t="array" ref="S3078">IFERROR(_xlfn.SWITCH(L3078,1,_xlfn.XLOOKUP(O3078,[1]AttributeName!$B:$B,[1]AttributeName!$D:$D),2,_xlfn.XLOOKUP(C3078,#REF!,#REF!),3,_xlfn.XLOOKUP(C3078,#REF!,#REF!)),0)</f>
        <v>2</v>
      </c>
      <c r="T3078" cm="1">
        <f t="array" ref="T3078">IFERROR(_xlfn.SWITCH(L3078,1,_xlfn.XLOOKUP(O3078,[1]AttributeName!$B:$B,[1]AttributeName!$E:$E),2,_xlfn.XLOOKUP(C3078,#REF!,#REF!),3,_xlfn.XLOOKUP(C3078,#REF!,#REF!)),0)</f>
        <v>2</v>
      </c>
    </row>
    <row r="3079" customFormat="1" spans="1:20">
      <c r="A3079">
        <f t="shared" si="127"/>
        <v>1268</v>
      </c>
      <c r="B3079">
        <v>4</v>
      </c>
      <c r="C3079" t="s">
        <v>409</v>
      </c>
      <c r="D3079" t="s">
        <v>21</v>
      </c>
      <c r="E3079" s="13" t="s">
        <v>392</v>
      </c>
      <c r="G3079">
        <v>2</v>
      </c>
      <c r="H3079">
        <v>1000</v>
      </c>
      <c r="J3079" cm="1">
        <f t="array" ref="J3079">_xlfn.SWITCH(B3079,1,75,2,61,3,49,4,37,5,25,6,13,7,4,8,1)</f>
        <v>37</v>
      </c>
      <c r="K3079" t="str" cm="1">
        <f t="array" ref="K3079">IFERROR(_xlfn.SWITCH(L3079,2,_xlfn.XLOOKUP(C3079,[1]ModifierDes!$B:$B,[1]ModifierDes!$C:$C),3,_xlfn.XLOOKUP(C3079,[1]StuntDes!$B:$B,[1]StuntDes!$C:$C)),"")</f>
        <v/>
      </c>
      <c r="L3079">
        <f t="shared" si="128"/>
        <v>1</v>
      </c>
      <c r="M3079" s="10" t="str">
        <f>IFERROR(_xlfn.XLOOKUP(C3079,[1]StuntDes!$B:$B,[1]StuntDes!$A:$A),"")</f>
        <v/>
      </c>
      <c r="N3079" s="10" t="str">
        <f>IFERROR(_xlfn.XLOOKUP(C3079,[1]ModifierDes!$B:$B,[1]ModifierDes!$A:$A),"")</f>
        <v/>
      </c>
      <c r="O3079" s="10">
        <f>IFERROR(_xlfn.XLOOKUP(C3079,[1]AttributeName!$C:$C,[1]AttributeName!$B:$B),"")</f>
        <v>11009</v>
      </c>
      <c r="P3079" s="10"/>
      <c r="Q3079">
        <v>0.41</v>
      </c>
      <c r="R3079">
        <v>0.5</v>
      </c>
      <c r="S3079" cm="1">
        <f t="array" ref="S3079">IFERROR(_xlfn.SWITCH(L3079,1,_xlfn.XLOOKUP(O3079,[1]AttributeName!$B:$B,[1]AttributeName!$D:$D),2,_xlfn.XLOOKUP(C3079,#REF!,#REF!),3,_xlfn.XLOOKUP(C3079,#REF!,#REF!)),0)</f>
        <v>2</v>
      </c>
      <c r="T3079" cm="1">
        <f t="array" ref="T3079">IFERROR(_xlfn.SWITCH(L3079,1,_xlfn.XLOOKUP(O3079,[1]AttributeName!$B:$B,[1]AttributeName!$E:$E),2,_xlfn.XLOOKUP(C3079,#REF!,#REF!),3,_xlfn.XLOOKUP(C3079,#REF!,#REF!)),0)</f>
        <v>2</v>
      </c>
    </row>
    <row r="3080" customFormat="1" spans="1:20">
      <c r="A3080">
        <f t="shared" si="127"/>
        <v>1268</v>
      </c>
      <c r="B3080">
        <v>5</v>
      </c>
      <c r="C3080" t="s">
        <v>409</v>
      </c>
      <c r="D3080" t="s">
        <v>21</v>
      </c>
      <c r="E3080" s="13" t="s">
        <v>392</v>
      </c>
      <c r="G3080">
        <v>2</v>
      </c>
      <c r="H3080">
        <v>1000</v>
      </c>
      <c r="J3080" cm="1">
        <f t="array" ref="J3080">_xlfn.SWITCH(B3080,1,75,2,61,3,49,4,37,5,25,6,13,7,4,8,1)</f>
        <v>25</v>
      </c>
      <c r="K3080" t="str" cm="1">
        <f t="array" ref="K3080">IFERROR(_xlfn.SWITCH(L3080,2,_xlfn.XLOOKUP(C3080,[1]ModifierDes!$B:$B,[1]ModifierDes!$C:$C),3,_xlfn.XLOOKUP(C3080,[1]StuntDes!$B:$B,[1]StuntDes!$C:$C)),"")</f>
        <v/>
      </c>
      <c r="L3080">
        <f t="shared" si="128"/>
        <v>1</v>
      </c>
      <c r="M3080" s="10" t="str">
        <f>IFERROR(_xlfn.XLOOKUP(C3080,[1]StuntDes!$B:$B,[1]StuntDes!$A:$A),"")</f>
        <v/>
      </c>
      <c r="N3080" s="10" t="str">
        <f>IFERROR(_xlfn.XLOOKUP(C3080,[1]ModifierDes!$B:$B,[1]ModifierDes!$A:$A),"")</f>
        <v/>
      </c>
      <c r="O3080" s="10">
        <f>IFERROR(_xlfn.XLOOKUP(C3080,[1]AttributeName!$C:$C,[1]AttributeName!$B:$B),"")</f>
        <v>11009</v>
      </c>
      <c r="P3080" s="10"/>
      <c r="Q3080">
        <v>0.31</v>
      </c>
      <c r="R3080">
        <v>0.4</v>
      </c>
      <c r="S3080" cm="1">
        <f t="array" ref="S3080">IFERROR(_xlfn.SWITCH(L3080,1,_xlfn.XLOOKUP(O3080,[1]AttributeName!$B:$B,[1]AttributeName!$D:$D),2,_xlfn.XLOOKUP(C3080,#REF!,#REF!),3,_xlfn.XLOOKUP(C3080,#REF!,#REF!)),0)</f>
        <v>2</v>
      </c>
      <c r="T3080" cm="1">
        <f t="array" ref="T3080">IFERROR(_xlfn.SWITCH(L3080,1,_xlfn.XLOOKUP(O3080,[1]AttributeName!$B:$B,[1]AttributeName!$E:$E),2,_xlfn.XLOOKUP(C3080,#REF!,#REF!),3,_xlfn.XLOOKUP(C3080,#REF!,#REF!)),0)</f>
        <v>2</v>
      </c>
    </row>
    <row r="3081" customFormat="1" spans="1:20">
      <c r="A3081">
        <f t="shared" si="127"/>
        <v>1268</v>
      </c>
      <c r="B3081">
        <v>6</v>
      </c>
      <c r="C3081" t="s">
        <v>409</v>
      </c>
      <c r="D3081" t="s">
        <v>21</v>
      </c>
      <c r="E3081" s="13" t="s">
        <v>392</v>
      </c>
      <c r="G3081">
        <v>2</v>
      </c>
      <c r="H3081">
        <v>1000</v>
      </c>
      <c r="J3081" cm="1">
        <f t="array" ref="J3081">_xlfn.SWITCH(B3081,1,75,2,61,3,49,4,37,5,25,6,13,7,4,8,1)</f>
        <v>13</v>
      </c>
      <c r="K3081" t="str" cm="1">
        <f t="array" ref="K3081">IFERROR(_xlfn.SWITCH(L3081,2,_xlfn.XLOOKUP(C3081,[1]ModifierDes!$B:$B,[1]ModifierDes!$C:$C),3,_xlfn.XLOOKUP(C3081,[1]StuntDes!$B:$B,[1]StuntDes!$C:$C)),"")</f>
        <v/>
      </c>
      <c r="L3081">
        <f t="shared" si="128"/>
        <v>1</v>
      </c>
      <c r="M3081" s="10" t="str">
        <f>IFERROR(_xlfn.XLOOKUP(C3081,[1]StuntDes!$B:$B,[1]StuntDes!$A:$A),"")</f>
        <v/>
      </c>
      <c r="N3081" s="10" t="str">
        <f>IFERROR(_xlfn.XLOOKUP(C3081,[1]ModifierDes!$B:$B,[1]ModifierDes!$A:$A),"")</f>
        <v/>
      </c>
      <c r="O3081" s="10">
        <f>IFERROR(_xlfn.XLOOKUP(C3081,[1]AttributeName!$C:$C,[1]AttributeName!$B:$B),"")</f>
        <v>11009</v>
      </c>
      <c r="P3081" s="10"/>
      <c r="Q3081">
        <v>0.21</v>
      </c>
      <c r="R3081">
        <v>0.3</v>
      </c>
      <c r="S3081" cm="1">
        <f t="array" ref="S3081">IFERROR(_xlfn.SWITCH(L3081,1,_xlfn.XLOOKUP(O3081,[1]AttributeName!$B:$B,[1]AttributeName!$D:$D),2,_xlfn.XLOOKUP(C3081,#REF!,#REF!),3,_xlfn.XLOOKUP(C3081,#REF!,#REF!)),0)</f>
        <v>2</v>
      </c>
      <c r="T3081" cm="1">
        <f t="array" ref="T3081">IFERROR(_xlfn.SWITCH(L3081,1,_xlfn.XLOOKUP(O3081,[1]AttributeName!$B:$B,[1]AttributeName!$E:$E),2,_xlfn.XLOOKUP(C3081,#REF!,#REF!),3,_xlfn.XLOOKUP(C3081,#REF!,#REF!)),0)</f>
        <v>2</v>
      </c>
    </row>
    <row r="3082" customFormat="1" spans="1:20">
      <c r="A3082">
        <f t="shared" si="127"/>
        <v>1268</v>
      </c>
      <c r="B3082">
        <v>7</v>
      </c>
      <c r="C3082" t="s">
        <v>409</v>
      </c>
      <c r="D3082" t="s">
        <v>21</v>
      </c>
      <c r="E3082" s="13" t="s">
        <v>392</v>
      </c>
      <c r="G3082">
        <v>2</v>
      </c>
      <c r="H3082">
        <v>1000</v>
      </c>
      <c r="J3082" cm="1">
        <f t="array" ref="J3082">_xlfn.SWITCH(B3082,1,75,2,61,3,49,4,37,5,25,6,13,7,4,8,1)</f>
        <v>4</v>
      </c>
      <c r="K3082" t="str" cm="1">
        <f t="array" ref="K3082">IFERROR(_xlfn.SWITCH(L3082,2,_xlfn.XLOOKUP(C3082,[1]ModifierDes!$B:$B,[1]ModifierDes!$C:$C),3,_xlfn.XLOOKUP(C3082,[1]StuntDes!$B:$B,[1]StuntDes!$C:$C)),"")</f>
        <v/>
      </c>
      <c r="L3082">
        <f t="shared" si="128"/>
        <v>1</v>
      </c>
      <c r="M3082" s="10" t="str">
        <f>IFERROR(_xlfn.XLOOKUP(C3082,[1]StuntDes!$B:$B,[1]StuntDes!$A:$A),"")</f>
        <v/>
      </c>
      <c r="N3082" s="10" t="str">
        <f>IFERROR(_xlfn.XLOOKUP(C3082,[1]ModifierDes!$B:$B,[1]ModifierDes!$A:$A),"")</f>
        <v/>
      </c>
      <c r="O3082" s="10">
        <f>IFERROR(_xlfn.XLOOKUP(C3082,[1]AttributeName!$C:$C,[1]AttributeName!$B:$B),"")</f>
        <v>11009</v>
      </c>
      <c r="P3082" s="10"/>
      <c r="Q3082">
        <v>0.11</v>
      </c>
      <c r="R3082">
        <v>0.2</v>
      </c>
      <c r="S3082" cm="1">
        <f t="array" ref="S3082">IFERROR(_xlfn.SWITCH(L3082,1,_xlfn.XLOOKUP(O3082,[1]AttributeName!$B:$B,[1]AttributeName!$D:$D),2,_xlfn.XLOOKUP(C3082,#REF!,#REF!),3,_xlfn.XLOOKUP(C3082,#REF!,#REF!)),0)</f>
        <v>2</v>
      </c>
      <c r="T3082" cm="1">
        <f t="array" ref="T3082">IFERROR(_xlfn.SWITCH(L3082,1,_xlfn.XLOOKUP(O3082,[1]AttributeName!$B:$B,[1]AttributeName!$E:$E),2,_xlfn.XLOOKUP(C3082,#REF!,#REF!),3,_xlfn.XLOOKUP(C3082,#REF!,#REF!)),0)</f>
        <v>2</v>
      </c>
    </row>
    <row r="3083" customFormat="1" spans="1:20">
      <c r="A3083">
        <f t="shared" si="127"/>
        <v>1268</v>
      </c>
      <c r="B3083">
        <v>8</v>
      </c>
      <c r="C3083" t="s">
        <v>409</v>
      </c>
      <c r="D3083" t="s">
        <v>21</v>
      </c>
      <c r="E3083" s="13" t="s">
        <v>392</v>
      </c>
      <c r="G3083">
        <v>2</v>
      </c>
      <c r="H3083">
        <v>1000</v>
      </c>
      <c r="J3083" cm="1">
        <f t="array" ref="J3083">_xlfn.SWITCH(B3083,1,75,2,61,3,49,4,37,5,25,6,13,7,4,8,1)</f>
        <v>1</v>
      </c>
      <c r="K3083" t="str" cm="1">
        <f t="array" ref="K3083">IFERROR(_xlfn.SWITCH(L3083,2,_xlfn.XLOOKUP(C3083,[1]ModifierDes!$B:$B,[1]ModifierDes!$C:$C),3,_xlfn.XLOOKUP(C3083,[1]StuntDes!$B:$B,[1]StuntDes!$C:$C)),"")</f>
        <v/>
      </c>
      <c r="L3083">
        <f t="shared" si="128"/>
        <v>1</v>
      </c>
      <c r="M3083" s="10" t="str">
        <f>IFERROR(_xlfn.XLOOKUP(C3083,[1]StuntDes!$B:$B,[1]StuntDes!$A:$A),"")</f>
        <v/>
      </c>
      <c r="N3083" s="10" t="str">
        <f>IFERROR(_xlfn.XLOOKUP(C3083,[1]ModifierDes!$B:$B,[1]ModifierDes!$A:$A),"")</f>
        <v/>
      </c>
      <c r="O3083" s="10">
        <f>IFERROR(_xlfn.XLOOKUP(C3083,[1]AttributeName!$C:$C,[1]AttributeName!$B:$B),"")</f>
        <v>11009</v>
      </c>
      <c r="P3083" s="10"/>
      <c r="Q3083">
        <v>0.0100000000000001</v>
      </c>
      <c r="R3083">
        <v>0.0999999999999994</v>
      </c>
      <c r="S3083" cm="1">
        <f t="array" ref="S3083">IFERROR(_xlfn.SWITCH(L3083,1,_xlfn.XLOOKUP(O3083,[1]AttributeName!$B:$B,[1]AttributeName!$D:$D),2,_xlfn.XLOOKUP(C3083,#REF!,#REF!),3,_xlfn.XLOOKUP(C3083,#REF!,#REF!)),0)</f>
        <v>2</v>
      </c>
      <c r="T3083" cm="1">
        <f t="array" ref="T3083">IFERROR(_xlfn.SWITCH(L3083,1,_xlfn.XLOOKUP(O3083,[1]AttributeName!$B:$B,[1]AttributeName!$E:$E),2,_xlfn.XLOOKUP(C3083,#REF!,#REF!),3,_xlfn.XLOOKUP(C3083,#REF!,#REF!)),0)</f>
        <v>2</v>
      </c>
    </row>
    <row r="3084" customFormat="1" spans="1:20">
      <c r="A3084">
        <f t="shared" si="127"/>
        <v>1269</v>
      </c>
      <c r="B3084">
        <v>1</v>
      </c>
      <c r="C3084" t="s">
        <v>410</v>
      </c>
      <c r="D3084" t="s">
        <v>21</v>
      </c>
      <c r="E3084" s="13" t="s">
        <v>392</v>
      </c>
      <c r="G3084">
        <v>2</v>
      </c>
      <c r="H3084">
        <v>500</v>
      </c>
      <c r="J3084" cm="1">
        <f t="array" ref="J3084">_xlfn.SWITCH(B3084,1,75,2,61,3,49,4,37,5,25,6,13,7,4,8,1)</f>
        <v>75</v>
      </c>
      <c r="K3084" t="str" cm="1">
        <f t="array" ref="K3084">IFERROR(_xlfn.SWITCH(L3084,2,_xlfn.XLOOKUP(C3084,[1]ModifierDes!$B:$B,[1]ModifierDes!$C:$C),3,_xlfn.XLOOKUP(C3084,[1]StuntDes!$B:$B,[1]StuntDes!$C:$C)),"")</f>
        <v/>
      </c>
      <c r="L3084">
        <f t="shared" si="128"/>
        <v>1</v>
      </c>
      <c r="M3084" s="10" t="str">
        <f>IFERROR(_xlfn.XLOOKUP(C3084,[1]StuntDes!$B:$B,[1]StuntDes!$A:$A),"")</f>
        <v/>
      </c>
      <c r="N3084" s="10" t="str">
        <f>IFERROR(_xlfn.XLOOKUP(C3084,[1]ModifierDes!$B:$B,[1]ModifierDes!$A:$A),"")</f>
        <v/>
      </c>
      <c r="O3084" s="10">
        <f>IFERROR(_xlfn.XLOOKUP(C3084,[1]AttributeName!$C:$C,[1]AttributeName!$B:$B),"")</f>
        <v>10803</v>
      </c>
      <c r="P3084" s="10"/>
      <c r="Q3084">
        <v>0.71</v>
      </c>
      <c r="R3084">
        <v>0.8</v>
      </c>
      <c r="S3084" cm="1">
        <f t="array" ref="S3084">IFERROR(_xlfn.SWITCH(L3084,1,_xlfn.XLOOKUP(O3084,[1]AttributeName!$B:$B,[1]AttributeName!$D:$D),2,_xlfn.XLOOKUP(C3084,#REF!,#REF!),3,_xlfn.XLOOKUP(C3084,#REF!,#REF!)),0)</f>
        <v>2</v>
      </c>
      <c r="T3084" cm="1">
        <f t="array" ref="T3084">IFERROR(_xlfn.SWITCH(L3084,1,_xlfn.XLOOKUP(O3084,[1]AttributeName!$B:$B,[1]AttributeName!$E:$E),2,_xlfn.XLOOKUP(C3084,#REF!,#REF!),3,_xlfn.XLOOKUP(C3084,#REF!,#REF!)),0)</f>
        <v>2</v>
      </c>
    </row>
    <row r="3085" customFormat="1" spans="1:20">
      <c r="A3085">
        <f t="shared" si="127"/>
        <v>1269</v>
      </c>
      <c r="B3085">
        <v>2</v>
      </c>
      <c r="C3085" t="s">
        <v>410</v>
      </c>
      <c r="D3085" t="s">
        <v>21</v>
      </c>
      <c r="E3085" s="13" t="s">
        <v>392</v>
      </c>
      <c r="G3085">
        <v>2</v>
      </c>
      <c r="H3085">
        <v>500</v>
      </c>
      <c r="J3085" cm="1">
        <f t="array" ref="J3085">_xlfn.SWITCH(B3085,1,75,2,61,3,49,4,37,5,25,6,13,7,4,8,1)</f>
        <v>61</v>
      </c>
      <c r="K3085" t="str" cm="1">
        <f t="array" ref="K3085">IFERROR(_xlfn.SWITCH(L3085,2,_xlfn.XLOOKUP(C3085,[1]ModifierDes!$B:$B,[1]ModifierDes!$C:$C),3,_xlfn.XLOOKUP(C3085,[1]StuntDes!$B:$B,[1]StuntDes!$C:$C)),"")</f>
        <v/>
      </c>
      <c r="L3085">
        <f t="shared" si="128"/>
        <v>1</v>
      </c>
      <c r="M3085" s="10" t="str">
        <f>IFERROR(_xlfn.XLOOKUP(C3085,[1]StuntDes!$B:$B,[1]StuntDes!$A:$A),"")</f>
        <v/>
      </c>
      <c r="N3085" s="10" t="str">
        <f>IFERROR(_xlfn.XLOOKUP(C3085,[1]ModifierDes!$B:$B,[1]ModifierDes!$A:$A),"")</f>
        <v/>
      </c>
      <c r="O3085" s="10">
        <f>IFERROR(_xlfn.XLOOKUP(C3085,[1]AttributeName!$C:$C,[1]AttributeName!$B:$B),"")</f>
        <v>10803</v>
      </c>
      <c r="P3085" s="10"/>
      <c r="Q3085">
        <v>0.61</v>
      </c>
      <c r="R3085">
        <v>0.7</v>
      </c>
      <c r="S3085" cm="1">
        <f t="array" ref="S3085">IFERROR(_xlfn.SWITCH(L3085,1,_xlfn.XLOOKUP(O3085,[1]AttributeName!$B:$B,[1]AttributeName!$D:$D),2,_xlfn.XLOOKUP(C3085,#REF!,#REF!),3,_xlfn.XLOOKUP(C3085,#REF!,#REF!)),0)</f>
        <v>2</v>
      </c>
      <c r="T3085" cm="1">
        <f t="array" ref="T3085">IFERROR(_xlfn.SWITCH(L3085,1,_xlfn.XLOOKUP(O3085,[1]AttributeName!$B:$B,[1]AttributeName!$E:$E),2,_xlfn.XLOOKUP(C3085,#REF!,#REF!),3,_xlfn.XLOOKUP(C3085,#REF!,#REF!)),0)</f>
        <v>2</v>
      </c>
    </row>
    <row r="3086" customFormat="1" spans="1:20">
      <c r="A3086">
        <f t="shared" si="127"/>
        <v>1269</v>
      </c>
      <c r="B3086">
        <v>3</v>
      </c>
      <c r="C3086" t="s">
        <v>410</v>
      </c>
      <c r="D3086" t="s">
        <v>21</v>
      </c>
      <c r="E3086" s="13" t="s">
        <v>392</v>
      </c>
      <c r="G3086">
        <v>2</v>
      </c>
      <c r="H3086">
        <v>1000</v>
      </c>
      <c r="J3086" cm="1">
        <f t="array" ref="J3086">_xlfn.SWITCH(B3086,1,75,2,61,3,49,4,37,5,25,6,13,7,4,8,1)</f>
        <v>49</v>
      </c>
      <c r="K3086" t="str" cm="1">
        <f t="array" ref="K3086">IFERROR(_xlfn.SWITCH(L3086,2,_xlfn.XLOOKUP(C3086,[1]ModifierDes!$B:$B,[1]ModifierDes!$C:$C),3,_xlfn.XLOOKUP(C3086,[1]StuntDes!$B:$B,[1]StuntDes!$C:$C)),"")</f>
        <v/>
      </c>
      <c r="L3086">
        <f t="shared" si="128"/>
        <v>1</v>
      </c>
      <c r="M3086" s="10" t="str">
        <f>IFERROR(_xlfn.XLOOKUP(C3086,[1]StuntDes!$B:$B,[1]StuntDes!$A:$A),"")</f>
        <v/>
      </c>
      <c r="N3086" s="10" t="str">
        <f>IFERROR(_xlfn.XLOOKUP(C3086,[1]ModifierDes!$B:$B,[1]ModifierDes!$A:$A),"")</f>
        <v/>
      </c>
      <c r="O3086" s="10">
        <f>IFERROR(_xlfn.XLOOKUP(C3086,[1]AttributeName!$C:$C,[1]AttributeName!$B:$B),"")</f>
        <v>10803</v>
      </c>
      <c r="P3086" s="10"/>
      <c r="Q3086">
        <v>0.51</v>
      </c>
      <c r="R3086">
        <v>0.6</v>
      </c>
      <c r="S3086" cm="1">
        <f t="array" ref="S3086">IFERROR(_xlfn.SWITCH(L3086,1,_xlfn.XLOOKUP(O3086,[1]AttributeName!$B:$B,[1]AttributeName!$D:$D),2,_xlfn.XLOOKUP(C3086,#REF!,#REF!),3,_xlfn.XLOOKUP(C3086,#REF!,#REF!)),0)</f>
        <v>2</v>
      </c>
      <c r="T3086" cm="1">
        <f t="array" ref="T3086">IFERROR(_xlfn.SWITCH(L3086,1,_xlfn.XLOOKUP(O3086,[1]AttributeName!$B:$B,[1]AttributeName!$E:$E),2,_xlfn.XLOOKUP(C3086,#REF!,#REF!),3,_xlfn.XLOOKUP(C3086,#REF!,#REF!)),0)</f>
        <v>2</v>
      </c>
    </row>
    <row r="3087" customFormat="1" spans="1:20">
      <c r="A3087">
        <f t="shared" si="127"/>
        <v>1269</v>
      </c>
      <c r="B3087">
        <v>4</v>
      </c>
      <c r="C3087" t="s">
        <v>410</v>
      </c>
      <c r="D3087" t="s">
        <v>21</v>
      </c>
      <c r="E3087" s="13" t="s">
        <v>392</v>
      </c>
      <c r="G3087">
        <v>2</v>
      </c>
      <c r="H3087">
        <v>1000</v>
      </c>
      <c r="J3087" cm="1">
        <f t="array" ref="J3087">_xlfn.SWITCH(B3087,1,75,2,61,3,49,4,37,5,25,6,13,7,4,8,1)</f>
        <v>37</v>
      </c>
      <c r="K3087" t="str" cm="1">
        <f t="array" ref="K3087">IFERROR(_xlfn.SWITCH(L3087,2,_xlfn.XLOOKUP(C3087,[1]ModifierDes!$B:$B,[1]ModifierDes!$C:$C),3,_xlfn.XLOOKUP(C3087,[1]StuntDes!$B:$B,[1]StuntDes!$C:$C)),"")</f>
        <v/>
      </c>
      <c r="L3087">
        <f t="shared" si="128"/>
        <v>1</v>
      </c>
      <c r="M3087" s="10" t="str">
        <f>IFERROR(_xlfn.XLOOKUP(C3087,[1]StuntDes!$B:$B,[1]StuntDes!$A:$A),"")</f>
        <v/>
      </c>
      <c r="N3087" s="10" t="str">
        <f>IFERROR(_xlfn.XLOOKUP(C3087,[1]ModifierDes!$B:$B,[1]ModifierDes!$A:$A),"")</f>
        <v/>
      </c>
      <c r="O3087" s="10">
        <f>IFERROR(_xlfn.XLOOKUP(C3087,[1]AttributeName!$C:$C,[1]AttributeName!$B:$B),"")</f>
        <v>10803</v>
      </c>
      <c r="P3087" s="10"/>
      <c r="Q3087">
        <v>0.41</v>
      </c>
      <c r="R3087">
        <v>0.5</v>
      </c>
      <c r="S3087" cm="1">
        <f t="array" ref="S3087">IFERROR(_xlfn.SWITCH(L3087,1,_xlfn.XLOOKUP(O3087,[1]AttributeName!$B:$B,[1]AttributeName!$D:$D),2,_xlfn.XLOOKUP(C3087,#REF!,#REF!),3,_xlfn.XLOOKUP(C3087,#REF!,#REF!)),0)</f>
        <v>2</v>
      </c>
      <c r="T3087" cm="1">
        <f t="array" ref="T3087">IFERROR(_xlfn.SWITCH(L3087,1,_xlfn.XLOOKUP(O3087,[1]AttributeName!$B:$B,[1]AttributeName!$E:$E),2,_xlfn.XLOOKUP(C3087,#REF!,#REF!),3,_xlfn.XLOOKUP(C3087,#REF!,#REF!)),0)</f>
        <v>2</v>
      </c>
    </row>
    <row r="3088" customFormat="1" spans="1:20">
      <c r="A3088">
        <f t="shared" si="127"/>
        <v>1269</v>
      </c>
      <c r="B3088">
        <v>5</v>
      </c>
      <c r="C3088" t="s">
        <v>410</v>
      </c>
      <c r="D3088" t="s">
        <v>21</v>
      </c>
      <c r="E3088" s="13" t="s">
        <v>392</v>
      </c>
      <c r="G3088">
        <v>2</v>
      </c>
      <c r="H3088">
        <v>1000</v>
      </c>
      <c r="J3088" cm="1">
        <f t="array" ref="J3088">_xlfn.SWITCH(B3088,1,75,2,61,3,49,4,37,5,25,6,13,7,4,8,1)</f>
        <v>25</v>
      </c>
      <c r="K3088" t="str" cm="1">
        <f t="array" ref="K3088">IFERROR(_xlfn.SWITCH(L3088,2,_xlfn.XLOOKUP(C3088,[1]ModifierDes!$B:$B,[1]ModifierDes!$C:$C),3,_xlfn.XLOOKUP(C3088,[1]StuntDes!$B:$B,[1]StuntDes!$C:$C)),"")</f>
        <v/>
      </c>
      <c r="L3088">
        <f t="shared" si="128"/>
        <v>1</v>
      </c>
      <c r="M3088" s="10" t="str">
        <f>IFERROR(_xlfn.XLOOKUP(C3088,[1]StuntDes!$B:$B,[1]StuntDes!$A:$A),"")</f>
        <v/>
      </c>
      <c r="N3088" s="10" t="str">
        <f>IFERROR(_xlfn.XLOOKUP(C3088,[1]ModifierDes!$B:$B,[1]ModifierDes!$A:$A),"")</f>
        <v/>
      </c>
      <c r="O3088" s="10">
        <f>IFERROR(_xlfn.XLOOKUP(C3088,[1]AttributeName!$C:$C,[1]AttributeName!$B:$B),"")</f>
        <v>10803</v>
      </c>
      <c r="P3088" s="10"/>
      <c r="Q3088">
        <v>0.31</v>
      </c>
      <c r="R3088">
        <v>0.4</v>
      </c>
      <c r="S3088" cm="1">
        <f t="array" ref="S3088">IFERROR(_xlfn.SWITCH(L3088,1,_xlfn.XLOOKUP(O3088,[1]AttributeName!$B:$B,[1]AttributeName!$D:$D),2,_xlfn.XLOOKUP(C3088,#REF!,#REF!),3,_xlfn.XLOOKUP(C3088,#REF!,#REF!)),0)</f>
        <v>2</v>
      </c>
      <c r="T3088" cm="1">
        <f t="array" ref="T3088">IFERROR(_xlfn.SWITCH(L3088,1,_xlfn.XLOOKUP(O3088,[1]AttributeName!$B:$B,[1]AttributeName!$E:$E),2,_xlfn.XLOOKUP(C3088,#REF!,#REF!),3,_xlfn.XLOOKUP(C3088,#REF!,#REF!)),0)</f>
        <v>2</v>
      </c>
    </row>
    <row r="3089" customFormat="1" spans="1:20">
      <c r="A3089">
        <f t="shared" si="127"/>
        <v>1269</v>
      </c>
      <c r="B3089">
        <v>6</v>
      </c>
      <c r="C3089" t="s">
        <v>410</v>
      </c>
      <c r="D3089" t="s">
        <v>21</v>
      </c>
      <c r="E3089" s="13" t="s">
        <v>392</v>
      </c>
      <c r="G3089">
        <v>2</v>
      </c>
      <c r="H3089">
        <v>1000</v>
      </c>
      <c r="J3089" cm="1">
        <f t="array" ref="J3089">_xlfn.SWITCH(B3089,1,75,2,61,3,49,4,37,5,25,6,13,7,4,8,1)</f>
        <v>13</v>
      </c>
      <c r="K3089" t="str" cm="1">
        <f t="array" ref="K3089">IFERROR(_xlfn.SWITCH(L3089,2,_xlfn.XLOOKUP(C3089,[1]ModifierDes!$B:$B,[1]ModifierDes!$C:$C),3,_xlfn.XLOOKUP(C3089,[1]StuntDes!$B:$B,[1]StuntDes!$C:$C)),"")</f>
        <v/>
      </c>
      <c r="L3089">
        <f t="shared" si="128"/>
        <v>1</v>
      </c>
      <c r="M3089" s="10" t="str">
        <f>IFERROR(_xlfn.XLOOKUP(C3089,[1]StuntDes!$B:$B,[1]StuntDes!$A:$A),"")</f>
        <v/>
      </c>
      <c r="N3089" s="10" t="str">
        <f>IFERROR(_xlfn.XLOOKUP(C3089,[1]ModifierDes!$B:$B,[1]ModifierDes!$A:$A),"")</f>
        <v/>
      </c>
      <c r="O3089" s="10">
        <f>IFERROR(_xlfn.XLOOKUP(C3089,[1]AttributeName!$C:$C,[1]AttributeName!$B:$B),"")</f>
        <v>10803</v>
      </c>
      <c r="P3089" s="10"/>
      <c r="Q3089">
        <v>0.21</v>
      </c>
      <c r="R3089">
        <v>0.3</v>
      </c>
      <c r="S3089" cm="1">
        <f t="array" ref="S3089">IFERROR(_xlfn.SWITCH(L3089,1,_xlfn.XLOOKUP(O3089,[1]AttributeName!$B:$B,[1]AttributeName!$D:$D),2,_xlfn.XLOOKUP(C3089,#REF!,#REF!),3,_xlfn.XLOOKUP(C3089,#REF!,#REF!)),0)</f>
        <v>2</v>
      </c>
      <c r="T3089" cm="1">
        <f t="array" ref="T3089">IFERROR(_xlfn.SWITCH(L3089,1,_xlfn.XLOOKUP(O3089,[1]AttributeName!$B:$B,[1]AttributeName!$E:$E),2,_xlfn.XLOOKUP(C3089,#REF!,#REF!),3,_xlfn.XLOOKUP(C3089,#REF!,#REF!)),0)</f>
        <v>2</v>
      </c>
    </row>
    <row r="3090" customFormat="1" spans="1:20">
      <c r="A3090">
        <f t="shared" si="127"/>
        <v>1269</v>
      </c>
      <c r="B3090">
        <v>7</v>
      </c>
      <c r="C3090" t="s">
        <v>410</v>
      </c>
      <c r="D3090" t="s">
        <v>21</v>
      </c>
      <c r="E3090" s="13" t="s">
        <v>392</v>
      </c>
      <c r="G3090">
        <v>2</v>
      </c>
      <c r="H3090">
        <v>1000</v>
      </c>
      <c r="J3090" cm="1">
        <f t="array" ref="J3090">_xlfn.SWITCH(B3090,1,75,2,61,3,49,4,37,5,25,6,13,7,4,8,1)</f>
        <v>4</v>
      </c>
      <c r="K3090" t="str" cm="1">
        <f t="array" ref="K3090">IFERROR(_xlfn.SWITCH(L3090,2,_xlfn.XLOOKUP(C3090,[1]ModifierDes!$B:$B,[1]ModifierDes!$C:$C),3,_xlfn.XLOOKUP(C3090,[1]StuntDes!$B:$B,[1]StuntDes!$C:$C)),"")</f>
        <v/>
      </c>
      <c r="L3090">
        <f t="shared" si="128"/>
        <v>1</v>
      </c>
      <c r="M3090" s="10" t="str">
        <f>IFERROR(_xlfn.XLOOKUP(C3090,[1]StuntDes!$B:$B,[1]StuntDes!$A:$A),"")</f>
        <v/>
      </c>
      <c r="N3090" s="10" t="str">
        <f>IFERROR(_xlfn.XLOOKUP(C3090,[1]ModifierDes!$B:$B,[1]ModifierDes!$A:$A),"")</f>
        <v/>
      </c>
      <c r="O3090" s="10">
        <f>IFERROR(_xlfn.XLOOKUP(C3090,[1]AttributeName!$C:$C,[1]AttributeName!$B:$B),"")</f>
        <v>10803</v>
      </c>
      <c r="P3090" s="10"/>
      <c r="Q3090">
        <v>0.11</v>
      </c>
      <c r="R3090">
        <v>0.2</v>
      </c>
      <c r="S3090" cm="1">
        <f t="array" ref="S3090">IFERROR(_xlfn.SWITCH(L3090,1,_xlfn.XLOOKUP(O3090,[1]AttributeName!$B:$B,[1]AttributeName!$D:$D),2,_xlfn.XLOOKUP(C3090,#REF!,#REF!),3,_xlfn.XLOOKUP(C3090,#REF!,#REF!)),0)</f>
        <v>2</v>
      </c>
      <c r="T3090" cm="1">
        <f t="array" ref="T3090">IFERROR(_xlfn.SWITCH(L3090,1,_xlfn.XLOOKUP(O3090,[1]AttributeName!$B:$B,[1]AttributeName!$E:$E),2,_xlfn.XLOOKUP(C3090,#REF!,#REF!),3,_xlfn.XLOOKUP(C3090,#REF!,#REF!)),0)</f>
        <v>2</v>
      </c>
    </row>
    <row r="3091" customFormat="1" spans="1:20">
      <c r="A3091">
        <f t="shared" si="127"/>
        <v>1269</v>
      </c>
      <c r="B3091">
        <v>8</v>
      </c>
      <c r="C3091" t="s">
        <v>410</v>
      </c>
      <c r="D3091" t="s">
        <v>21</v>
      </c>
      <c r="E3091" s="13" t="s">
        <v>392</v>
      </c>
      <c r="G3091">
        <v>2</v>
      </c>
      <c r="H3091">
        <v>1000</v>
      </c>
      <c r="J3091" cm="1">
        <f t="array" ref="J3091">_xlfn.SWITCH(B3091,1,75,2,61,3,49,4,37,5,25,6,13,7,4,8,1)</f>
        <v>1</v>
      </c>
      <c r="K3091" t="str" cm="1">
        <f t="array" ref="K3091">IFERROR(_xlfn.SWITCH(L3091,2,_xlfn.XLOOKUP(C3091,[1]ModifierDes!$B:$B,[1]ModifierDes!$C:$C),3,_xlfn.XLOOKUP(C3091,[1]StuntDes!$B:$B,[1]StuntDes!$C:$C)),"")</f>
        <v/>
      </c>
      <c r="L3091">
        <f t="shared" si="128"/>
        <v>1</v>
      </c>
      <c r="M3091" s="10" t="str">
        <f>IFERROR(_xlfn.XLOOKUP(C3091,[1]StuntDes!$B:$B,[1]StuntDes!$A:$A),"")</f>
        <v/>
      </c>
      <c r="N3091" s="10" t="str">
        <f>IFERROR(_xlfn.XLOOKUP(C3091,[1]ModifierDes!$B:$B,[1]ModifierDes!$A:$A),"")</f>
        <v/>
      </c>
      <c r="O3091" s="10">
        <f>IFERROR(_xlfn.XLOOKUP(C3091,[1]AttributeName!$C:$C,[1]AttributeName!$B:$B),"")</f>
        <v>10803</v>
      </c>
      <c r="P3091" s="10"/>
      <c r="Q3091">
        <v>0.0100000000000001</v>
      </c>
      <c r="R3091">
        <v>0.0999999999999994</v>
      </c>
      <c r="S3091" cm="1">
        <f t="array" ref="S3091">IFERROR(_xlfn.SWITCH(L3091,1,_xlfn.XLOOKUP(O3091,[1]AttributeName!$B:$B,[1]AttributeName!$D:$D),2,_xlfn.XLOOKUP(C3091,#REF!,#REF!),3,_xlfn.XLOOKUP(C3091,#REF!,#REF!)),0)</f>
        <v>2</v>
      </c>
      <c r="T3091" cm="1">
        <f t="array" ref="T3091">IFERROR(_xlfn.SWITCH(L3091,1,_xlfn.XLOOKUP(O3091,[1]AttributeName!$B:$B,[1]AttributeName!$E:$E),2,_xlfn.XLOOKUP(C3091,#REF!,#REF!),3,_xlfn.XLOOKUP(C3091,#REF!,#REF!)),0)</f>
        <v>2</v>
      </c>
    </row>
    <row r="3092" customFormat="1" spans="1:20">
      <c r="A3092">
        <f t="shared" si="127"/>
        <v>1270</v>
      </c>
      <c r="B3092">
        <v>1</v>
      </c>
      <c r="C3092" t="s">
        <v>411</v>
      </c>
      <c r="D3092" t="s">
        <v>21</v>
      </c>
      <c r="E3092" s="13" t="s">
        <v>392</v>
      </c>
      <c r="G3092">
        <v>2</v>
      </c>
      <c r="H3092">
        <v>500</v>
      </c>
      <c r="J3092" cm="1">
        <f t="array" ref="J3092">_xlfn.SWITCH(B3092,1,75,2,61,3,49,4,37,5,25,6,13,7,4,8,1)</f>
        <v>75</v>
      </c>
      <c r="K3092" t="str" cm="1">
        <f t="array" ref="K3092">IFERROR(_xlfn.SWITCH(L3092,2,_xlfn.XLOOKUP(C3092,[1]ModifierDes!$B:$B,[1]ModifierDes!$C:$C),3,_xlfn.XLOOKUP(C3092,[1]StuntDes!$B:$B,[1]StuntDes!$C:$C)),"")</f>
        <v/>
      </c>
      <c r="L3092">
        <f t="shared" si="128"/>
        <v>1</v>
      </c>
      <c r="M3092" s="10" t="str">
        <f>IFERROR(_xlfn.XLOOKUP(C3092,[1]StuntDes!$B:$B,[1]StuntDes!$A:$A),"")</f>
        <v/>
      </c>
      <c r="N3092" s="10" t="str">
        <f>IFERROR(_xlfn.XLOOKUP(C3092,[1]ModifierDes!$B:$B,[1]ModifierDes!$A:$A),"")</f>
        <v/>
      </c>
      <c r="O3092" s="10">
        <f>IFERROR(_xlfn.XLOOKUP(C3092,[1]AttributeName!$C:$C,[1]AttributeName!$B:$B),"")</f>
        <v>10804</v>
      </c>
      <c r="P3092" s="10"/>
      <c r="Q3092">
        <v>0.71</v>
      </c>
      <c r="R3092">
        <v>0.8</v>
      </c>
      <c r="S3092" cm="1">
        <f t="array" ref="S3092">IFERROR(_xlfn.SWITCH(L3092,1,_xlfn.XLOOKUP(O3092,[1]AttributeName!$B:$B,[1]AttributeName!$D:$D),2,_xlfn.XLOOKUP(C3092,#REF!,#REF!),3,_xlfn.XLOOKUP(C3092,#REF!,#REF!)),0)</f>
        <v>2</v>
      </c>
      <c r="T3092" cm="1">
        <f t="array" ref="T3092">IFERROR(_xlfn.SWITCH(L3092,1,_xlfn.XLOOKUP(O3092,[1]AttributeName!$B:$B,[1]AttributeName!$E:$E),2,_xlfn.XLOOKUP(C3092,#REF!,#REF!),3,_xlfn.XLOOKUP(C3092,#REF!,#REF!)),0)</f>
        <v>2</v>
      </c>
    </row>
    <row r="3093" customFormat="1" spans="1:20">
      <c r="A3093">
        <f t="shared" si="127"/>
        <v>1270</v>
      </c>
      <c r="B3093">
        <v>2</v>
      </c>
      <c r="C3093" t="s">
        <v>411</v>
      </c>
      <c r="D3093" t="s">
        <v>21</v>
      </c>
      <c r="E3093" s="13" t="s">
        <v>392</v>
      </c>
      <c r="G3093">
        <v>2</v>
      </c>
      <c r="H3093">
        <v>500</v>
      </c>
      <c r="J3093" cm="1">
        <f t="array" ref="J3093">_xlfn.SWITCH(B3093,1,75,2,61,3,49,4,37,5,25,6,13,7,4,8,1)</f>
        <v>61</v>
      </c>
      <c r="K3093" t="str" cm="1">
        <f t="array" ref="K3093">IFERROR(_xlfn.SWITCH(L3093,2,_xlfn.XLOOKUP(C3093,[1]ModifierDes!$B:$B,[1]ModifierDes!$C:$C),3,_xlfn.XLOOKUP(C3093,[1]StuntDes!$B:$B,[1]StuntDes!$C:$C)),"")</f>
        <v/>
      </c>
      <c r="L3093">
        <f t="shared" si="128"/>
        <v>1</v>
      </c>
      <c r="M3093" s="10" t="str">
        <f>IFERROR(_xlfn.XLOOKUP(C3093,[1]StuntDes!$B:$B,[1]StuntDes!$A:$A),"")</f>
        <v/>
      </c>
      <c r="N3093" s="10" t="str">
        <f>IFERROR(_xlfn.XLOOKUP(C3093,[1]ModifierDes!$B:$B,[1]ModifierDes!$A:$A),"")</f>
        <v/>
      </c>
      <c r="O3093" s="10">
        <f>IFERROR(_xlfn.XLOOKUP(C3093,[1]AttributeName!$C:$C,[1]AttributeName!$B:$B),"")</f>
        <v>10804</v>
      </c>
      <c r="P3093" s="10"/>
      <c r="Q3093">
        <v>0.61</v>
      </c>
      <c r="R3093">
        <v>0.7</v>
      </c>
      <c r="S3093" cm="1">
        <f t="array" ref="S3093">IFERROR(_xlfn.SWITCH(L3093,1,_xlfn.XLOOKUP(O3093,[1]AttributeName!$B:$B,[1]AttributeName!$D:$D),2,_xlfn.XLOOKUP(C3093,#REF!,#REF!),3,_xlfn.XLOOKUP(C3093,#REF!,#REF!)),0)</f>
        <v>2</v>
      </c>
      <c r="T3093" cm="1">
        <f t="array" ref="T3093">IFERROR(_xlfn.SWITCH(L3093,1,_xlfn.XLOOKUP(O3093,[1]AttributeName!$B:$B,[1]AttributeName!$E:$E),2,_xlfn.XLOOKUP(C3093,#REF!,#REF!),3,_xlfn.XLOOKUP(C3093,#REF!,#REF!)),0)</f>
        <v>2</v>
      </c>
    </row>
    <row r="3094" customFormat="1" spans="1:20">
      <c r="A3094">
        <f t="shared" si="127"/>
        <v>1270</v>
      </c>
      <c r="B3094">
        <v>3</v>
      </c>
      <c r="C3094" t="s">
        <v>411</v>
      </c>
      <c r="D3094" t="s">
        <v>21</v>
      </c>
      <c r="E3094" s="13" t="s">
        <v>392</v>
      </c>
      <c r="G3094">
        <v>2</v>
      </c>
      <c r="H3094">
        <v>1000</v>
      </c>
      <c r="J3094" cm="1">
        <f t="array" ref="J3094">_xlfn.SWITCH(B3094,1,75,2,61,3,49,4,37,5,25,6,13,7,4,8,1)</f>
        <v>49</v>
      </c>
      <c r="K3094" t="str" cm="1">
        <f t="array" ref="K3094">IFERROR(_xlfn.SWITCH(L3094,2,_xlfn.XLOOKUP(C3094,[1]ModifierDes!$B:$B,[1]ModifierDes!$C:$C),3,_xlfn.XLOOKUP(C3094,[1]StuntDes!$B:$B,[1]StuntDes!$C:$C)),"")</f>
        <v/>
      </c>
      <c r="L3094">
        <f t="shared" si="128"/>
        <v>1</v>
      </c>
      <c r="M3094" s="10" t="str">
        <f>IFERROR(_xlfn.XLOOKUP(C3094,[1]StuntDes!$B:$B,[1]StuntDes!$A:$A),"")</f>
        <v/>
      </c>
      <c r="N3094" s="10" t="str">
        <f>IFERROR(_xlfn.XLOOKUP(C3094,[1]ModifierDes!$B:$B,[1]ModifierDes!$A:$A),"")</f>
        <v/>
      </c>
      <c r="O3094" s="10">
        <f>IFERROR(_xlfn.XLOOKUP(C3094,[1]AttributeName!$C:$C,[1]AttributeName!$B:$B),"")</f>
        <v>10804</v>
      </c>
      <c r="P3094" s="10"/>
      <c r="Q3094">
        <v>0.51</v>
      </c>
      <c r="R3094">
        <v>0.6</v>
      </c>
      <c r="S3094" cm="1">
        <f t="array" ref="S3094">IFERROR(_xlfn.SWITCH(L3094,1,_xlfn.XLOOKUP(O3094,[1]AttributeName!$B:$B,[1]AttributeName!$D:$D),2,_xlfn.XLOOKUP(C3094,#REF!,#REF!),3,_xlfn.XLOOKUP(C3094,#REF!,#REF!)),0)</f>
        <v>2</v>
      </c>
      <c r="T3094" cm="1">
        <f t="array" ref="T3094">IFERROR(_xlfn.SWITCH(L3094,1,_xlfn.XLOOKUP(O3094,[1]AttributeName!$B:$B,[1]AttributeName!$E:$E),2,_xlfn.XLOOKUP(C3094,#REF!,#REF!),3,_xlfn.XLOOKUP(C3094,#REF!,#REF!)),0)</f>
        <v>2</v>
      </c>
    </row>
    <row r="3095" customFormat="1" spans="1:20">
      <c r="A3095">
        <f t="shared" si="127"/>
        <v>1270</v>
      </c>
      <c r="B3095">
        <v>4</v>
      </c>
      <c r="C3095" t="s">
        <v>411</v>
      </c>
      <c r="D3095" t="s">
        <v>21</v>
      </c>
      <c r="E3095" s="13" t="s">
        <v>392</v>
      </c>
      <c r="G3095">
        <v>2</v>
      </c>
      <c r="H3095">
        <v>1000</v>
      </c>
      <c r="J3095" cm="1">
        <f t="array" ref="J3095">_xlfn.SWITCH(B3095,1,75,2,61,3,49,4,37,5,25,6,13,7,4,8,1)</f>
        <v>37</v>
      </c>
      <c r="K3095" t="str" cm="1">
        <f t="array" ref="K3095">IFERROR(_xlfn.SWITCH(L3095,2,_xlfn.XLOOKUP(C3095,[1]ModifierDes!$B:$B,[1]ModifierDes!$C:$C),3,_xlfn.XLOOKUP(C3095,[1]StuntDes!$B:$B,[1]StuntDes!$C:$C)),"")</f>
        <v/>
      </c>
      <c r="L3095">
        <f t="shared" si="128"/>
        <v>1</v>
      </c>
      <c r="M3095" s="10" t="str">
        <f>IFERROR(_xlfn.XLOOKUP(C3095,[1]StuntDes!$B:$B,[1]StuntDes!$A:$A),"")</f>
        <v/>
      </c>
      <c r="N3095" s="10" t="str">
        <f>IFERROR(_xlfn.XLOOKUP(C3095,[1]ModifierDes!$B:$B,[1]ModifierDes!$A:$A),"")</f>
        <v/>
      </c>
      <c r="O3095" s="10">
        <f>IFERROR(_xlfn.XLOOKUP(C3095,[1]AttributeName!$C:$C,[1]AttributeName!$B:$B),"")</f>
        <v>10804</v>
      </c>
      <c r="P3095" s="10"/>
      <c r="Q3095">
        <v>0.41</v>
      </c>
      <c r="R3095">
        <v>0.5</v>
      </c>
      <c r="S3095" cm="1">
        <f t="array" ref="S3095">IFERROR(_xlfn.SWITCH(L3095,1,_xlfn.XLOOKUP(O3095,[1]AttributeName!$B:$B,[1]AttributeName!$D:$D),2,_xlfn.XLOOKUP(C3095,#REF!,#REF!),3,_xlfn.XLOOKUP(C3095,#REF!,#REF!)),0)</f>
        <v>2</v>
      </c>
      <c r="T3095" cm="1">
        <f t="array" ref="T3095">IFERROR(_xlfn.SWITCH(L3095,1,_xlfn.XLOOKUP(O3095,[1]AttributeName!$B:$B,[1]AttributeName!$E:$E),2,_xlfn.XLOOKUP(C3095,#REF!,#REF!),3,_xlfn.XLOOKUP(C3095,#REF!,#REF!)),0)</f>
        <v>2</v>
      </c>
    </row>
    <row r="3096" customFormat="1" spans="1:20">
      <c r="A3096">
        <f t="shared" si="127"/>
        <v>1270</v>
      </c>
      <c r="B3096">
        <v>5</v>
      </c>
      <c r="C3096" t="s">
        <v>411</v>
      </c>
      <c r="D3096" t="s">
        <v>21</v>
      </c>
      <c r="E3096" s="13" t="s">
        <v>392</v>
      </c>
      <c r="G3096">
        <v>2</v>
      </c>
      <c r="H3096">
        <v>1000</v>
      </c>
      <c r="J3096" cm="1">
        <f t="array" ref="J3096">_xlfn.SWITCH(B3096,1,75,2,61,3,49,4,37,5,25,6,13,7,4,8,1)</f>
        <v>25</v>
      </c>
      <c r="K3096" t="str" cm="1">
        <f t="array" ref="K3096">IFERROR(_xlfn.SWITCH(L3096,2,_xlfn.XLOOKUP(C3096,[1]ModifierDes!$B:$B,[1]ModifierDes!$C:$C),3,_xlfn.XLOOKUP(C3096,[1]StuntDes!$B:$B,[1]StuntDes!$C:$C)),"")</f>
        <v/>
      </c>
      <c r="L3096">
        <f t="shared" si="128"/>
        <v>1</v>
      </c>
      <c r="M3096" s="10" t="str">
        <f>IFERROR(_xlfn.XLOOKUP(C3096,[1]StuntDes!$B:$B,[1]StuntDes!$A:$A),"")</f>
        <v/>
      </c>
      <c r="N3096" s="10" t="str">
        <f>IFERROR(_xlfn.XLOOKUP(C3096,[1]ModifierDes!$B:$B,[1]ModifierDes!$A:$A),"")</f>
        <v/>
      </c>
      <c r="O3096" s="10">
        <f>IFERROR(_xlfn.XLOOKUP(C3096,[1]AttributeName!$C:$C,[1]AttributeName!$B:$B),"")</f>
        <v>10804</v>
      </c>
      <c r="P3096" s="10"/>
      <c r="Q3096">
        <v>0.31</v>
      </c>
      <c r="R3096">
        <v>0.4</v>
      </c>
      <c r="S3096" cm="1">
        <f t="array" ref="S3096">IFERROR(_xlfn.SWITCH(L3096,1,_xlfn.XLOOKUP(O3096,[1]AttributeName!$B:$B,[1]AttributeName!$D:$D),2,_xlfn.XLOOKUP(C3096,#REF!,#REF!),3,_xlfn.XLOOKUP(C3096,#REF!,#REF!)),0)</f>
        <v>2</v>
      </c>
      <c r="T3096" cm="1">
        <f t="array" ref="T3096">IFERROR(_xlfn.SWITCH(L3096,1,_xlfn.XLOOKUP(O3096,[1]AttributeName!$B:$B,[1]AttributeName!$E:$E),2,_xlfn.XLOOKUP(C3096,#REF!,#REF!),3,_xlfn.XLOOKUP(C3096,#REF!,#REF!)),0)</f>
        <v>2</v>
      </c>
    </row>
    <row r="3097" customFormat="1" spans="1:20">
      <c r="A3097">
        <f t="shared" si="127"/>
        <v>1270</v>
      </c>
      <c r="B3097">
        <v>6</v>
      </c>
      <c r="C3097" t="s">
        <v>411</v>
      </c>
      <c r="D3097" t="s">
        <v>21</v>
      </c>
      <c r="E3097" s="13" t="s">
        <v>392</v>
      </c>
      <c r="G3097">
        <v>2</v>
      </c>
      <c r="H3097">
        <v>1000</v>
      </c>
      <c r="J3097" cm="1">
        <f t="array" ref="J3097">_xlfn.SWITCH(B3097,1,75,2,61,3,49,4,37,5,25,6,13,7,4,8,1)</f>
        <v>13</v>
      </c>
      <c r="K3097" t="str" cm="1">
        <f t="array" ref="K3097">IFERROR(_xlfn.SWITCH(L3097,2,_xlfn.XLOOKUP(C3097,[1]ModifierDes!$B:$B,[1]ModifierDes!$C:$C),3,_xlfn.XLOOKUP(C3097,[1]StuntDes!$B:$B,[1]StuntDes!$C:$C)),"")</f>
        <v/>
      </c>
      <c r="L3097">
        <f t="shared" si="128"/>
        <v>1</v>
      </c>
      <c r="M3097" s="10" t="str">
        <f>IFERROR(_xlfn.XLOOKUP(C3097,[1]StuntDes!$B:$B,[1]StuntDes!$A:$A),"")</f>
        <v/>
      </c>
      <c r="N3097" s="10" t="str">
        <f>IFERROR(_xlfn.XLOOKUP(C3097,[1]ModifierDes!$B:$B,[1]ModifierDes!$A:$A),"")</f>
        <v/>
      </c>
      <c r="O3097" s="10">
        <f>IFERROR(_xlfn.XLOOKUP(C3097,[1]AttributeName!$C:$C,[1]AttributeName!$B:$B),"")</f>
        <v>10804</v>
      </c>
      <c r="P3097" s="10"/>
      <c r="Q3097">
        <v>0.21</v>
      </c>
      <c r="R3097">
        <v>0.3</v>
      </c>
      <c r="S3097" cm="1">
        <f t="array" ref="S3097">IFERROR(_xlfn.SWITCH(L3097,1,_xlfn.XLOOKUP(O3097,[1]AttributeName!$B:$B,[1]AttributeName!$D:$D),2,_xlfn.XLOOKUP(C3097,#REF!,#REF!),3,_xlfn.XLOOKUP(C3097,#REF!,#REF!)),0)</f>
        <v>2</v>
      </c>
      <c r="T3097" cm="1">
        <f t="array" ref="T3097">IFERROR(_xlfn.SWITCH(L3097,1,_xlfn.XLOOKUP(O3097,[1]AttributeName!$B:$B,[1]AttributeName!$E:$E),2,_xlfn.XLOOKUP(C3097,#REF!,#REF!),3,_xlfn.XLOOKUP(C3097,#REF!,#REF!)),0)</f>
        <v>2</v>
      </c>
    </row>
    <row r="3098" customFormat="1" spans="1:20">
      <c r="A3098">
        <f t="shared" si="127"/>
        <v>1270</v>
      </c>
      <c r="B3098">
        <v>7</v>
      </c>
      <c r="C3098" t="s">
        <v>411</v>
      </c>
      <c r="D3098" t="s">
        <v>21</v>
      </c>
      <c r="E3098" s="13" t="s">
        <v>392</v>
      </c>
      <c r="G3098">
        <v>2</v>
      </c>
      <c r="H3098">
        <v>1000</v>
      </c>
      <c r="J3098" cm="1">
        <f t="array" ref="J3098">_xlfn.SWITCH(B3098,1,75,2,61,3,49,4,37,5,25,6,13,7,4,8,1)</f>
        <v>4</v>
      </c>
      <c r="K3098" t="str" cm="1">
        <f t="array" ref="K3098">IFERROR(_xlfn.SWITCH(L3098,2,_xlfn.XLOOKUP(C3098,[1]ModifierDes!$B:$B,[1]ModifierDes!$C:$C),3,_xlfn.XLOOKUP(C3098,[1]StuntDes!$B:$B,[1]StuntDes!$C:$C)),"")</f>
        <v/>
      </c>
      <c r="L3098">
        <f t="shared" si="128"/>
        <v>1</v>
      </c>
      <c r="M3098" s="10" t="str">
        <f>IFERROR(_xlfn.XLOOKUP(C3098,[1]StuntDes!$B:$B,[1]StuntDes!$A:$A),"")</f>
        <v/>
      </c>
      <c r="N3098" s="10" t="str">
        <f>IFERROR(_xlfn.XLOOKUP(C3098,[1]ModifierDes!$B:$B,[1]ModifierDes!$A:$A),"")</f>
        <v/>
      </c>
      <c r="O3098" s="10">
        <f>IFERROR(_xlfn.XLOOKUP(C3098,[1]AttributeName!$C:$C,[1]AttributeName!$B:$B),"")</f>
        <v>10804</v>
      </c>
      <c r="P3098" s="10"/>
      <c r="Q3098">
        <v>0.11</v>
      </c>
      <c r="R3098">
        <v>0.2</v>
      </c>
      <c r="S3098" cm="1">
        <f t="array" ref="S3098">IFERROR(_xlfn.SWITCH(L3098,1,_xlfn.XLOOKUP(O3098,[1]AttributeName!$B:$B,[1]AttributeName!$D:$D),2,_xlfn.XLOOKUP(C3098,#REF!,#REF!),3,_xlfn.XLOOKUP(C3098,#REF!,#REF!)),0)</f>
        <v>2</v>
      </c>
      <c r="T3098" cm="1">
        <f t="array" ref="T3098">IFERROR(_xlfn.SWITCH(L3098,1,_xlfn.XLOOKUP(O3098,[1]AttributeName!$B:$B,[1]AttributeName!$E:$E),2,_xlfn.XLOOKUP(C3098,#REF!,#REF!),3,_xlfn.XLOOKUP(C3098,#REF!,#REF!)),0)</f>
        <v>2</v>
      </c>
    </row>
    <row r="3099" customFormat="1" spans="1:20">
      <c r="A3099">
        <f t="shared" si="127"/>
        <v>1270</v>
      </c>
      <c r="B3099">
        <v>8</v>
      </c>
      <c r="C3099" t="s">
        <v>411</v>
      </c>
      <c r="D3099" t="s">
        <v>21</v>
      </c>
      <c r="E3099" s="13" t="s">
        <v>392</v>
      </c>
      <c r="G3099">
        <v>2</v>
      </c>
      <c r="H3099">
        <v>1000</v>
      </c>
      <c r="J3099" cm="1">
        <f t="array" ref="J3099">_xlfn.SWITCH(B3099,1,75,2,61,3,49,4,37,5,25,6,13,7,4,8,1)</f>
        <v>1</v>
      </c>
      <c r="K3099" t="str" cm="1">
        <f t="array" ref="K3099">IFERROR(_xlfn.SWITCH(L3099,2,_xlfn.XLOOKUP(C3099,[1]ModifierDes!$B:$B,[1]ModifierDes!$C:$C),3,_xlfn.XLOOKUP(C3099,[1]StuntDes!$B:$B,[1]StuntDes!$C:$C)),"")</f>
        <v/>
      </c>
      <c r="L3099">
        <f t="shared" si="128"/>
        <v>1</v>
      </c>
      <c r="M3099" s="10" t="str">
        <f>IFERROR(_xlfn.XLOOKUP(C3099,[1]StuntDes!$B:$B,[1]StuntDes!$A:$A),"")</f>
        <v/>
      </c>
      <c r="N3099" s="10" t="str">
        <f>IFERROR(_xlfn.XLOOKUP(C3099,[1]ModifierDes!$B:$B,[1]ModifierDes!$A:$A),"")</f>
        <v/>
      </c>
      <c r="O3099" s="10">
        <f>IFERROR(_xlfn.XLOOKUP(C3099,[1]AttributeName!$C:$C,[1]AttributeName!$B:$B),"")</f>
        <v>10804</v>
      </c>
      <c r="P3099" s="10"/>
      <c r="Q3099">
        <v>0.0100000000000001</v>
      </c>
      <c r="R3099">
        <v>0.0999999999999994</v>
      </c>
      <c r="S3099" cm="1">
        <f t="array" ref="S3099">IFERROR(_xlfn.SWITCH(L3099,1,_xlfn.XLOOKUP(O3099,[1]AttributeName!$B:$B,[1]AttributeName!$D:$D),2,_xlfn.XLOOKUP(C3099,#REF!,#REF!),3,_xlfn.XLOOKUP(C3099,#REF!,#REF!)),0)</f>
        <v>2</v>
      </c>
      <c r="T3099" cm="1">
        <f t="array" ref="T3099">IFERROR(_xlfn.SWITCH(L3099,1,_xlfn.XLOOKUP(O3099,[1]AttributeName!$B:$B,[1]AttributeName!$E:$E),2,_xlfn.XLOOKUP(C3099,#REF!,#REF!),3,_xlfn.XLOOKUP(C3099,#REF!,#REF!)),0)</f>
        <v>2</v>
      </c>
    </row>
    <row r="3100" customFormat="1" spans="1:20">
      <c r="A3100">
        <f t="shared" si="127"/>
        <v>1271</v>
      </c>
      <c r="B3100">
        <v>1</v>
      </c>
      <c r="C3100" t="s">
        <v>412</v>
      </c>
      <c r="D3100" t="s">
        <v>21</v>
      </c>
      <c r="E3100" s="13" t="s">
        <v>392</v>
      </c>
      <c r="G3100">
        <v>2</v>
      </c>
      <c r="H3100">
        <v>1000</v>
      </c>
      <c r="J3100" cm="1">
        <f t="array" ref="J3100">_xlfn.SWITCH(B3100,1,75,2,61,3,49,4,37,5,25,6,13,7,4,8,1)</f>
        <v>75</v>
      </c>
      <c r="K3100" t="str" cm="1">
        <f t="array" ref="K3100">IFERROR(_xlfn.SWITCH(L3100,2,_xlfn.XLOOKUP(C3100,[1]ModifierDes!$B:$B,[1]ModifierDes!$C:$C),3,_xlfn.XLOOKUP(C3100,[1]StuntDes!$B:$B,[1]StuntDes!$C:$C)),"")</f>
        <v/>
      </c>
      <c r="L3100">
        <f t="shared" si="128"/>
        <v>1</v>
      </c>
      <c r="M3100" s="10" t="str">
        <f>IFERROR(_xlfn.XLOOKUP(C3100,[1]StuntDes!$B:$B,[1]StuntDes!$A:$A),"")</f>
        <v/>
      </c>
      <c r="N3100" s="10" t="str">
        <f>IFERROR(_xlfn.XLOOKUP(C3100,[1]ModifierDes!$B:$B,[1]ModifierDes!$A:$A),"")</f>
        <v/>
      </c>
      <c r="O3100" s="10">
        <f>IFERROR(_xlfn.XLOOKUP(C3100,[1]AttributeName!$C:$C,[1]AttributeName!$B:$B),"")</f>
        <v>10019</v>
      </c>
      <c r="P3100" s="10"/>
      <c r="Q3100">
        <v>28</v>
      </c>
      <c r="R3100">
        <v>31</v>
      </c>
      <c r="S3100" cm="1">
        <f t="array" ref="S3100">IFERROR(_xlfn.SWITCH(L3100,1,_xlfn.XLOOKUP(O3100,[1]AttributeName!$B:$B,[1]AttributeName!$D:$D),2,_xlfn.XLOOKUP(C3100,#REF!,#REF!),3,_xlfn.XLOOKUP(C3100,#REF!,#REF!)),0)</f>
        <v>0</v>
      </c>
      <c r="T3100" cm="1">
        <f t="array" ref="T3100">IFERROR(_xlfn.SWITCH(L3100,1,_xlfn.XLOOKUP(O3100,[1]AttributeName!$B:$B,[1]AttributeName!$E:$E),2,_xlfn.XLOOKUP(C3100,#REF!,#REF!),3,_xlfn.XLOOKUP(C3100,#REF!,#REF!)),0)</f>
        <v>1</v>
      </c>
    </row>
    <row r="3101" customFormat="1" spans="1:20">
      <c r="A3101">
        <f t="shared" si="127"/>
        <v>1271</v>
      </c>
      <c r="B3101">
        <v>2</v>
      </c>
      <c r="C3101" t="s">
        <v>412</v>
      </c>
      <c r="D3101" t="s">
        <v>21</v>
      </c>
      <c r="E3101" s="13" t="s">
        <v>392</v>
      </c>
      <c r="G3101">
        <v>2</v>
      </c>
      <c r="H3101">
        <v>1000</v>
      </c>
      <c r="J3101" cm="1">
        <f t="array" ref="J3101">_xlfn.SWITCH(B3101,1,75,2,61,3,49,4,37,5,25,6,13,7,4,8,1)</f>
        <v>61</v>
      </c>
      <c r="K3101" t="str" cm="1">
        <f t="array" ref="K3101">IFERROR(_xlfn.SWITCH(L3101,2,_xlfn.XLOOKUP(C3101,[1]ModifierDes!$B:$B,[1]ModifierDes!$C:$C),3,_xlfn.XLOOKUP(C3101,[1]StuntDes!$B:$B,[1]StuntDes!$C:$C)),"")</f>
        <v/>
      </c>
      <c r="L3101">
        <f t="shared" si="128"/>
        <v>1</v>
      </c>
      <c r="M3101" s="10" t="str">
        <f>IFERROR(_xlfn.XLOOKUP(C3101,[1]StuntDes!$B:$B,[1]StuntDes!$A:$A),"")</f>
        <v/>
      </c>
      <c r="N3101" s="10" t="str">
        <f>IFERROR(_xlfn.XLOOKUP(C3101,[1]ModifierDes!$B:$B,[1]ModifierDes!$A:$A),"")</f>
        <v/>
      </c>
      <c r="O3101" s="10">
        <f>IFERROR(_xlfn.XLOOKUP(C3101,[1]AttributeName!$C:$C,[1]AttributeName!$B:$B),"")</f>
        <v>10019</v>
      </c>
      <c r="P3101" s="10"/>
      <c r="Q3101">
        <v>24</v>
      </c>
      <c r="R3101">
        <v>27</v>
      </c>
      <c r="S3101" cm="1">
        <f t="array" ref="S3101">IFERROR(_xlfn.SWITCH(L3101,1,_xlfn.XLOOKUP(O3101,[1]AttributeName!$B:$B,[1]AttributeName!$D:$D),2,_xlfn.XLOOKUP(C3101,#REF!,#REF!),3,_xlfn.XLOOKUP(C3101,#REF!,#REF!)),0)</f>
        <v>0</v>
      </c>
      <c r="T3101" cm="1">
        <f t="array" ref="T3101">IFERROR(_xlfn.SWITCH(L3101,1,_xlfn.XLOOKUP(O3101,[1]AttributeName!$B:$B,[1]AttributeName!$E:$E),2,_xlfn.XLOOKUP(C3101,#REF!,#REF!),3,_xlfn.XLOOKUP(C3101,#REF!,#REF!)),0)</f>
        <v>1</v>
      </c>
    </row>
    <row r="3102" customFormat="1" spans="1:20">
      <c r="A3102">
        <f t="shared" si="127"/>
        <v>1271</v>
      </c>
      <c r="B3102">
        <v>3</v>
      </c>
      <c r="C3102" t="s">
        <v>412</v>
      </c>
      <c r="D3102" t="s">
        <v>21</v>
      </c>
      <c r="E3102" s="13" t="s">
        <v>392</v>
      </c>
      <c r="G3102">
        <v>2</v>
      </c>
      <c r="H3102">
        <v>1000</v>
      </c>
      <c r="J3102" cm="1">
        <f t="array" ref="J3102">_xlfn.SWITCH(B3102,1,75,2,61,3,49,4,37,5,25,6,13,7,4,8,1)</f>
        <v>49</v>
      </c>
      <c r="K3102" t="str" cm="1">
        <f t="array" ref="K3102">IFERROR(_xlfn.SWITCH(L3102,2,_xlfn.XLOOKUP(C3102,[1]ModifierDes!$B:$B,[1]ModifierDes!$C:$C),3,_xlfn.XLOOKUP(C3102,[1]StuntDes!$B:$B,[1]StuntDes!$C:$C)),"")</f>
        <v/>
      </c>
      <c r="L3102">
        <f t="shared" si="128"/>
        <v>1</v>
      </c>
      <c r="M3102" s="10" t="str">
        <f>IFERROR(_xlfn.XLOOKUP(C3102,[1]StuntDes!$B:$B,[1]StuntDes!$A:$A),"")</f>
        <v/>
      </c>
      <c r="N3102" s="10" t="str">
        <f>IFERROR(_xlfn.XLOOKUP(C3102,[1]ModifierDes!$B:$B,[1]ModifierDes!$A:$A),"")</f>
        <v/>
      </c>
      <c r="O3102" s="10">
        <f>IFERROR(_xlfn.XLOOKUP(C3102,[1]AttributeName!$C:$C,[1]AttributeName!$B:$B),"")</f>
        <v>10019</v>
      </c>
      <c r="P3102" s="10"/>
      <c r="Q3102">
        <v>20</v>
      </c>
      <c r="R3102">
        <v>23</v>
      </c>
      <c r="S3102" cm="1">
        <f t="array" ref="S3102">IFERROR(_xlfn.SWITCH(L3102,1,_xlfn.XLOOKUP(O3102,[1]AttributeName!$B:$B,[1]AttributeName!$D:$D),2,_xlfn.XLOOKUP(C3102,#REF!,#REF!),3,_xlfn.XLOOKUP(C3102,#REF!,#REF!)),0)</f>
        <v>0</v>
      </c>
      <c r="T3102" cm="1">
        <f t="array" ref="T3102">IFERROR(_xlfn.SWITCH(L3102,1,_xlfn.XLOOKUP(O3102,[1]AttributeName!$B:$B,[1]AttributeName!$E:$E),2,_xlfn.XLOOKUP(C3102,#REF!,#REF!),3,_xlfn.XLOOKUP(C3102,#REF!,#REF!)),0)</f>
        <v>1</v>
      </c>
    </row>
    <row r="3103" customFormat="1" spans="1:20">
      <c r="A3103">
        <f t="shared" si="127"/>
        <v>1271</v>
      </c>
      <c r="B3103">
        <v>4</v>
      </c>
      <c r="C3103" t="s">
        <v>412</v>
      </c>
      <c r="D3103" t="s">
        <v>21</v>
      </c>
      <c r="E3103" s="13" t="s">
        <v>392</v>
      </c>
      <c r="G3103">
        <v>2</v>
      </c>
      <c r="H3103">
        <v>1000</v>
      </c>
      <c r="J3103" cm="1">
        <f t="array" ref="J3103">_xlfn.SWITCH(B3103,1,75,2,61,3,49,4,37,5,25,6,13,7,4,8,1)</f>
        <v>37</v>
      </c>
      <c r="K3103" t="str" cm="1">
        <f t="array" ref="K3103">IFERROR(_xlfn.SWITCH(L3103,2,_xlfn.XLOOKUP(C3103,[1]ModifierDes!$B:$B,[1]ModifierDes!$C:$C),3,_xlfn.XLOOKUP(C3103,[1]StuntDes!$B:$B,[1]StuntDes!$C:$C)),"")</f>
        <v/>
      </c>
      <c r="L3103">
        <f t="shared" si="128"/>
        <v>1</v>
      </c>
      <c r="M3103" s="10" t="str">
        <f>IFERROR(_xlfn.XLOOKUP(C3103,[1]StuntDes!$B:$B,[1]StuntDes!$A:$A),"")</f>
        <v/>
      </c>
      <c r="N3103" s="10" t="str">
        <f>IFERROR(_xlfn.XLOOKUP(C3103,[1]ModifierDes!$B:$B,[1]ModifierDes!$A:$A),"")</f>
        <v/>
      </c>
      <c r="O3103" s="10">
        <f>IFERROR(_xlfn.XLOOKUP(C3103,[1]AttributeName!$C:$C,[1]AttributeName!$B:$B),"")</f>
        <v>10019</v>
      </c>
      <c r="P3103" s="10"/>
      <c r="Q3103">
        <v>16</v>
      </c>
      <c r="R3103">
        <v>19</v>
      </c>
      <c r="S3103" cm="1">
        <f t="array" ref="S3103">IFERROR(_xlfn.SWITCH(L3103,1,_xlfn.XLOOKUP(O3103,[1]AttributeName!$B:$B,[1]AttributeName!$D:$D),2,_xlfn.XLOOKUP(C3103,#REF!,#REF!),3,_xlfn.XLOOKUP(C3103,#REF!,#REF!)),0)</f>
        <v>0</v>
      </c>
      <c r="T3103" cm="1">
        <f t="array" ref="T3103">IFERROR(_xlfn.SWITCH(L3103,1,_xlfn.XLOOKUP(O3103,[1]AttributeName!$B:$B,[1]AttributeName!$E:$E),2,_xlfn.XLOOKUP(C3103,#REF!,#REF!),3,_xlfn.XLOOKUP(C3103,#REF!,#REF!)),0)</f>
        <v>1</v>
      </c>
    </row>
    <row r="3104" customFormat="1" spans="1:20">
      <c r="A3104">
        <f t="shared" si="127"/>
        <v>1271</v>
      </c>
      <c r="B3104">
        <v>5</v>
      </c>
      <c r="C3104" t="s">
        <v>412</v>
      </c>
      <c r="D3104" t="s">
        <v>21</v>
      </c>
      <c r="E3104" s="13" t="s">
        <v>392</v>
      </c>
      <c r="G3104">
        <v>2</v>
      </c>
      <c r="H3104">
        <v>1000</v>
      </c>
      <c r="J3104" cm="1">
        <f t="array" ref="J3104">_xlfn.SWITCH(B3104,1,75,2,61,3,49,4,37,5,25,6,13,7,4,8,1)</f>
        <v>25</v>
      </c>
      <c r="K3104" t="str" cm="1">
        <f t="array" ref="K3104">IFERROR(_xlfn.SWITCH(L3104,2,_xlfn.XLOOKUP(C3104,[1]ModifierDes!$B:$B,[1]ModifierDes!$C:$C),3,_xlfn.XLOOKUP(C3104,[1]StuntDes!$B:$B,[1]StuntDes!$C:$C)),"")</f>
        <v/>
      </c>
      <c r="L3104">
        <f t="shared" si="128"/>
        <v>1</v>
      </c>
      <c r="M3104" s="10" t="str">
        <f>IFERROR(_xlfn.XLOOKUP(C3104,[1]StuntDes!$B:$B,[1]StuntDes!$A:$A),"")</f>
        <v/>
      </c>
      <c r="N3104" s="10" t="str">
        <f>IFERROR(_xlfn.XLOOKUP(C3104,[1]ModifierDes!$B:$B,[1]ModifierDes!$A:$A),"")</f>
        <v/>
      </c>
      <c r="O3104" s="10">
        <f>IFERROR(_xlfn.XLOOKUP(C3104,[1]AttributeName!$C:$C,[1]AttributeName!$B:$B),"")</f>
        <v>10019</v>
      </c>
      <c r="P3104" s="10"/>
      <c r="Q3104">
        <v>12</v>
      </c>
      <c r="R3104">
        <v>15</v>
      </c>
      <c r="S3104" cm="1">
        <f t="array" ref="S3104">IFERROR(_xlfn.SWITCH(L3104,1,_xlfn.XLOOKUP(O3104,[1]AttributeName!$B:$B,[1]AttributeName!$D:$D),2,_xlfn.XLOOKUP(C3104,#REF!,#REF!),3,_xlfn.XLOOKUP(C3104,#REF!,#REF!)),0)</f>
        <v>0</v>
      </c>
      <c r="T3104" cm="1">
        <f t="array" ref="T3104">IFERROR(_xlfn.SWITCH(L3104,1,_xlfn.XLOOKUP(O3104,[1]AttributeName!$B:$B,[1]AttributeName!$E:$E),2,_xlfn.XLOOKUP(C3104,#REF!,#REF!),3,_xlfn.XLOOKUP(C3104,#REF!,#REF!)),0)</f>
        <v>1</v>
      </c>
    </row>
    <row r="3105" customFormat="1" spans="1:20">
      <c r="A3105">
        <f t="shared" si="127"/>
        <v>1271</v>
      </c>
      <c r="B3105">
        <v>6</v>
      </c>
      <c r="C3105" t="s">
        <v>412</v>
      </c>
      <c r="D3105" t="s">
        <v>21</v>
      </c>
      <c r="E3105" s="13" t="s">
        <v>392</v>
      </c>
      <c r="G3105">
        <v>2</v>
      </c>
      <c r="H3105">
        <v>1000</v>
      </c>
      <c r="J3105" cm="1">
        <f t="array" ref="J3105">_xlfn.SWITCH(B3105,1,75,2,61,3,49,4,37,5,25,6,13,7,4,8,1)</f>
        <v>13</v>
      </c>
      <c r="K3105" t="str" cm="1">
        <f t="array" ref="K3105">IFERROR(_xlfn.SWITCH(L3105,2,_xlfn.XLOOKUP(C3105,[1]ModifierDes!$B:$B,[1]ModifierDes!$C:$C),3,_xlfn.XLOOKUP(C3105,[1]StuntDes!$B:$B,[1]StuntDes!$C:$C)),"")</f>
        <v/>
      </c>
      <c r="L3105">
        <f t="shared" si="128"/>
        <v>1</v>
      </c>
      <c r="M3105" s="10" t="str">
        <f>IFERROR(_xlfn.XLOOKUP(C3105,[1]StuntDes!$B:$B,[1]StuntDes!$A:$A),"")</f>
        <v/>
      </c>
      <c r="N3105" s="10" t="str">
        <f>IFERROR(_xlfn.XLOOKUP(C3105,[1]ModifierDes!$B:$B,[1]ModifierDes!$A:$A),"")</f>
        <v/>
      </c>
      <c r="O3105" s="10">
        <f>IFERROR(_xlfn.XLOOKUP(C3105,[1]AttributeName!$C:$C,[1]AttributeName!$B:$B),"")</f>
        <v>10019</v>
      </c>
      <c r="P3105" s="10"/>
      <c r="Q3105">
        <v>8</v>
      </c>
      <c r="R3105">
        <v>11</v>
      </c>
      <c r="S3105" cm="1">
        <f t="array" ref="S3105">IFERROR(_xlfn.SWITCH(L3105,1,_xlfn.XLOOKUP(O3105,[1]AttributeName!$B:$B,[1]AttributeName!$D:$D),2,_xlfn.XLOOKUP(C3105,#REF!,#REF!),3,_xlfn.XLOOKUP(C3105,#REF!,#REF!)),0)</f>
        <v>0</v>
      </c>
      <c r="T3105" cm="1">
        <f t="array" ref="T3105">IFERROR(_xlfn.SWITCH(L3105,1,_xlfn.XLOOKUP(O3105,[1]AttributeName!$B:$B,[1]AttributeName!$E:$E),2,_xlfn.XLOOKUP(C3105,#REF!,#REF!),3,_xlfn.XLOOKUP(C3105,#REF!,#REF!)),0)</f>
        <v>1</v>
      </c>
    </row>
    <row r="3106" customFormat="1" spans="1:20">
      <c r="A3106">
        <f t="shared" si="127"/>
        <v>1271</v>
      </c>
      <c r="B3106">
        <v>7</v>
      </c>
      <c r="C3106" t="s">
        <v>412</v>
      </c>
      <c r="D3106" t="s">
        <v>21</v>
      </c>
      <c r="E3106" s="13" t="s">
        <v>392</v>
      </c>
      <c r="G3106">
        <v>2</v>
      </c>
      <c r="H3106">
        <v>1000</v>
      </c>
      <c r="J3106" cm="1">
        <f t="array" ref="J3106">_xlfn.SWITCH(B3106,1,75,2,61,3,49,4,37,5,25,6,13,7,4,8,1)</f>
        <v>4</v>
      </c>
      <c r="K3106" t="str" cm="1">
        <f t="array" ref="K3106">IFERROR(_xlfn.SWITCH(L3106,2,_xlfn.XLOOKUP(C3106,[1]ModifierDes!$B:$B,[1]ModifierDes!$C:$C),3,_xlfn.XLOOKUP(C3106,[1]StuntDes!$B:$B,[1]StuntDes!$C:$C)),"")</f>
        <v/>
      </c>
      <c r="L3106">
        <f t="shared" si="128"/>
        <v>1</v>
      </c>
      <c r="M3106" s="10" t="str">
        <f>IFERROR(_xlfn.XLOOKUP(C3106,[1]StuntDes!$B:$B,[1]StuntDes!$A:$A),"")</f>
        <v/>
      </c>
      <c r="N3106" s="10" t="str">
        <f>IFERROR(_xlfn.XLOOKUP(C3106,[1]ModifierDes!$B:$B,[1]ModifierDes!$A:$A),"")</f>
        <v/>
      </c>
      <c r="O3106" s="10">
        <f>IFERROR(_xlfn.XLOOKUP(C3106,[1]AttributeName!$C:$C,[1]AttributeName!$B:$B),"")</f>
        <v>10019</v>
      </c>
      <c r="P3106" s="10"/>
      <c r="Q3106">
        <v>4</v>
      </c>
      <c r="R3106">
        <v>7</v>
      </c>
      <c r="S3106" cm="1">
        <f t="array" ref="S3106">IFERROR(_xlfn.SWITCH(L3106,1,_xlfn.XLOOKUP(O3106,[1]AttributeName!$B:$B,[1]AttributeName!$D:$D),2,_xlfn.XLOOKUP(C3106,#REF!,#REF!),3,_xlfn.XLOOKUP(C3106,#REF!,#REF!)),0)</f>
        <v>0</v>
      </c>
      <c r="T3106" cm="1">
        <f t="array" ref="T3106">IFERROR(_xlfn.SWITCH(L3106,1,_xlfn.XLOOKUP(O3106,[1]AttributeName!$B:$B,[1]AttributeName!$E:$E),2,_xlfn.XLOOKUP(C3106,#REF!,#REF!),3,_xlfn.XLOOKUP(C3106,#REF!,#REF!)),0)</f>
        <v>1</v>
      </c>
    </row>
    <row r="3107" customFormat="1" spans="1:20">
      <c r="A3107">
        <f t="shared" si="127"/>
        <v>1271</v>
      </c>
      <c r="B3107">
        <v>8</v>
      </c>
      <c r="C3107" t="s">
        <v>412</v>
      </c>
      <c r="D3107" t="s">
        <v>21</v>
      </c>
      <c r="E3107" s="13" t="s">
        <v>392</v>
      </c>
      <c r="G3107">
        <v>2</v>
      </c>
      <c r="H3107">
        <v>1000</v>
      </c>
      <c r="J3107" cm="1">
        <f t="array" ref="J3107">_xlfn.SWITCH(B3107,1,75,2,61,3,49,4,37,5,25,6,13,7,4,8,1)</f>
        <v>1</v>
      </c>
      <c r="K3107" t="str" cm="1">
        <f t="array" ref="K3107">IFERROR(_xlfn.SWITCH(L3107,2,_xlfn.XLOOKUP(C3107,[1]ModifierDes!$B:$B,[1]ModifierDes!$C:$C),3,_xlfn.XLOOKUP(C3107,[1]StuntDes!$B:$B,[1]StuntDes!$C:$C)),"")</f>
        <v/>
      </c>
      <c r="L3107">
        <f t="shared" si="128"/>
        <v>1</v>
      </c>
      <c r="M3107" s="10" t="str">
        <f>IFERROR(_xlfn.XLOOKUP(C3107,[1]StuntDes!$B:$B,[1]StuntDes!$A:$A),"")</f>
        <v/>
      </c>
      <c r="N3107" s="10" t="str">
        <f>IFERROR(_xlfn.XLOOKUP(C3107,[1]ModifierDes!$B:$B,[1]ModifierDes!$A:$A),"")</f>
        <v/>
      </c>
      <c r="O3107" s="10">
        <f>IFERROR(_xlfn.XLOOKUP(C3107,[1]AttributeName!$C:$C,[1]AttributeName!$B:$B),"")</f>
        <v>10019</v>
      </c>
      <c r="P3107" s="10"/>
      <c r="Q3107">
        <v>1</v>
      </c>
      <c r="R3107">
        <v>3</v>
      </c>
      <c r="S3107" cm="1">
        <f t="array" ref="S3107">IFERROR(_xlfn.SWITCH(L3107,1,_xlfn.XLOOKUP(O3107,[1]AttributeName!$B:$B,[1]AttributeName!$D:$D),2,_xlfn.XLOOKUP(C3107,#REF!,#REF!),3,_xlfn.XLOOKUP(C3107,#REF!,#REF!)),0)</f>
        <v>0</v>
      </c>
      <c r="T3107" cm="1">
        <f t="array" ref="T3107">IFERROR(_xlfn.SWITCH(L3107,1,_xlfn.XLOOKUP(O3107,[1]AttributeName!$B:$B,[1]AttributeName!$E:$E),2,_xlfn.XLOOKUP(C3107,#REF!,#REF!),3,_xlfn.XLOOKUP(C3107,#REF!,#REF!)),0)</f>
        <v>1</v>
      </c>
    </row>
    <row r="3108" customFormat="1" spans="1:20">
      <c r="A3108">
        <f t="shared" si="127"/>
        <v>1272</v>
      </c>
      <c r="B3108">
        <v>1</v>
      </c>
      <c r="C3108" t="s">
        <v>413</v>
      </c>
      <c r="D3108" t="s">
        <v>21</v>
      </c>
      <c r="E3108" s="13" t="s">
        <v>392</v>
      </c>
      <c r="G3108">
        <v>2</v>
      </c>
      <c r="H3108">
        <v>1000</v>
      </c>
      <c r="J3108" cm="1">
        <f t="array" ref="J3108">_xlfn.SWITCH(B3108,1,75,2,61,3,49,4,37,5,25,6,13,7,4,8,1)</f>
        <v>75</v>
      </c>
      <c r="K3108" t="str" cm="1">
        <f t="array" ref="K3108">IFERROR(_xlfn.SWITCH(L3108,2,_xlfn.XLOOKUP(C3108,[1]ModifierDes!$B:$B,[1]ModifierDes!$C:$C),3,_xlfn.XLOOKUP(C3108,[1]StuntDes!$B:$B,[1]StuntDes!$C:$C)),"")</f>
        <v/>
      </c>
      <c r="L3108">
        <f t="shared" si="128"/>
        <v>1</v>
      </c>
      <c r="M3108" s="10" t="str">
        <f>IFERROR(_xlfn.XLOOKUP(C3108,[1]StuntDes!$B:$B,[1]StuntDes!$A:$A),"")</f>
        <v/>
      </c>
      <c r="N3108" s="10" t="str">
        <f>IFERROR(_xlfn.XLOOKUP(C3108,[1]ModifierDes!$B:$B,[1]ModifierDes!$A:$A),"")</f>
        <v/>
      </c>
      <c r="O3108" s="10">
        <f>IFERROR(_xlfn.XLOOKUP(C3108,[1]AttributeName!$C:$C,[1]AttributeName!$B:$B),"")</f>
        <v>10020</v>
      </c>
      <c r="P3108" s="10"/>
      <c r="Q3108">
        <v>28</v>
      </c>
      <c r="R3108">
        <v>31</v>
      </c>
      <c r="S3108" cm="1">
        <f t="array" ref="S3108">IFERROR(_xlfn.SWITCH(L3108,1,_xlfn.XLOOKUP(O3108,[1]AttributeName!$B:$B,[1]AttributeName!$D:$D),2,_xlfn.XLOOKUP(C3108,#REF!,#REF!),3,_xlfn.XLOOKUP(C3108,#REF!,#REF!)),0)</f>
        <v>0</v>
      </c>
      <c r="T3108" cm="1">
        <f t="array" ref="T3108">IFERROR(_xlfn.SWITCH(L3108,1,_xlfn.XLOOKUP(O3108,[1]AttributeName!$B:$B,[1]AttributeName!$E:$E),2,_xlfn.XLOOKUP(C3108,#REF!,#REF!),3,_xlfn.XLOOKUP(C3108,#REF!,#REF!)),0)</f>
        <v>1</v>
      </c>
    </row>
    <row r="3109" customFormat="1" spans="1:20">
      <c r="A3109">
        <f t="shared" si="127"/>
        <v>1272</v>
      </c>
      <c r="B3109">
        <v>2</v>
      </c>
      <c r="C3109" t="s">
        <v>413</v>
      </c>
      <c r="D3109" t="s">
        <v>21</v>
      </c>
      <c r="E3109" s="13" t="s">
        <v>392</v>
      </c>
      <c r="G3109">
        <v>2</v>
      </c>
      <c r="H3109">
        <v>1000</v>
      </c>
      <c r="J3109" cm="1">
        <f t="array" ref="J3109">_xlfn.SWITCH(B3109,1,75,2,61,3,49,4,37,5,25,6,13,7,4,8,1)</f>
        <v>61</v>
      </c>
      <c r="K3109" t="str" cm="1">
        <f t="array" ref="K3109">IFERROR(_xlfn.SWITCH(L3109,2,_xlfn.XLOOKUP(C3109,[1]ModifierDes!$B:$B,[1]ModifierDes!$C:$C),3,_xlfn.XLOOKUP(C3109,[1]StuntDes!$B:$B,[1]StuntDes!$C:$C)),"")</f>
        <v/>
      </c>
      <c r="L3109">
        <f t="shared" si="128"/>
        <v>1</v>
      </c>
      <c r="M3109" s="10" t="str">
        <f>IFERROR(_xlfn.XLOOKUP(C3109,[1]StuntDes!$B:$B,[1]StuntDes!$A:$A),"")</f>
        <v/>
      </c>
      <c r="N3109" s="10" t="str">
        <f>IFERROR(_xlfn.XLOOKUP(C3109,[1]ModifierDes!$B:$B,[1]ModifierDes!$A:$A),"")</f>
        <v/>
      </c>
      <c r="O3109" s="10">
        <f>IFERROR(_xlfn.XLOOKUP(C3109,[1]AttributeName!$C:$C,[1]AttributeName!$B:$B),"")</f>
        <v>10020</v>
      </c>
      <c r="P3109" s="10"/>
      <c r="Q3109">
        <v>24</v>
      </c>
      <c r="R3109">
        <v>27</v>
      </c>
      <c r="S3109" cm="1">
        <f t="array" ref="S3109">IFERROR(_xlfn.SWITCH(L3109,1,_xlfn.XLOOKUP(O3109,[1]AttributeName!$B:$B,[1]AttributeName!$D:$D),2,_xlfn.XLOOKUP(C3109,#REF!,#REF!),3,_xlfn.XLOOKUP(C3109,#REF!,#REF!)),0)</f>
        <v>0</v>
      </c>
      <c r="T3109" cm="1">
        <f t="array" ref="T3109">IFERROR(_xlfn.SWITCH(L3109,1,_xlfn.XLOOKUP(O3109,[1]AttributeName!$B:$B,[1]AttributeName!$E:$E),2,_xlfn.XLOOKUP(C3109,#REF!,#REF!),3,_xlfn.XLOOKUP(C3109,#REF!,#REF!)),0)</f>
        <v>1</v>
      </c>
    </row>
    <row r="3110" customFormat="1" spans="1:20">
      <c r="A3110">
        <f t="shared" si="127"/>
        <v>1272</v>
      </c>
      <c r="B3110">
        <v>3</v>
      </c>
      <c r="C3110" t="s">
        <v>413</v>
      </c>
      <c r="D3110" t="s">
        <v>21</v>
      </c>
      <c r="E3110" s="13" t="s">
        <v>392</v>
      </c>
      <c r="G3110">
        <v>2</v>
      </c>
      <c r="H3110">
        <v>1000</v>
      </c>
      <c r="J3110" cm="1">
        <f t="array" ref="J3110">_xlfn.SWITCH(B3110,1,75,2,61,3,49,4,37,5,25,6,13,7,4,8,1)</f>
        <v>49</v>
      </c>
      <c r="K3110" t="str" cm="1">
        <f t="array" ref="K3110">IFERROR(_xlfn.SWITCH(L3110,2,_xlfn.XLOOKUP(C3110,[1]ModifierDes!$B:$B,[1]ModifierDes!$C:$C),3,_xlfn.XLOOKUP(C3110,[1]StuntDes!$B:$B,[1]StuntDes!$C:$C)),"")</f>
        <v/>
      </c>
      <c r="L3110">
        <f t="shared" si="128"/>
        <v>1</v>
      </c>
      <c r="M3110" s="10" t="str">
        <f>IFERROR(_xlfn.XLOOKUP(C3110,[1]StuntDes!$B:$B,[1]StuntDes!$A:$A),"")</f>
        <v/>
      </c>
      <c r="N3110" s="10" t="str">
        <f>IFERROR(_xlfn.XLOOKUP(C3110,[1]ModifierDes!$B:$B,[1]ModifierDes!$A:$A),"")</f>
        <v/>
      </c>
      <c r="O3110" s="10">
        <f>IFERROR(_xlfn.XLOOKUP(C3110,[1]AttributeName!$C:$C,[1]AttributeName!$B:$B),"")</f>
        <v>10020</v>
      </c>
      <c r="P3110" s="10"/>
      <c r="Q3110">
        <v>20</v>
      </c>
      <c r="R3110">
        <v>23</v>
      </c>
      <c r="S3110" cm="1">
        <f t="array" ref="S3110">IFERROR(_xlfn.SWITCH(L3110,1,_xlfn.XLOOKUP(O3110,[1]AttributeName!$B:$B,[1]AttributeName!$D:$D),2,_xlfn.XLOOKUP(C3110,#REF!,#REF!),3,_xlfn.XLOOKUP(C3110,#REF!,#REF!)),0)</f>
        <v>0</v>
      </c>
      <c r="T3110" cm="1">
        <f t="array" ref="T3110">IFERROR(_xlfn.SWITCH(L3110,1,_xlfn.XLOOKUP(O3110,[1]AttributeName!$B:$B,[1]AttributeName!$E:$E),2,_xlfn.XLOOKUP(C3110,#REF!,#REF!),3,_xlfn.XLOOKUP(C3110,#REF!,#REF!)),0)</f>
        <v>1</v>
      </c>
    </row>
    <row r="3111" customFormat="1" spans="1:20">
      <c r="A3111">
        <f t="shared" si="127"/>
        <v>1272</v>
      </c>
      <c r="B3111">
        <v>4</v>
      </c>
      <c r="C3111" t="s">
        <v>413</v>
      </c>
      <c r="D3111" t="s">
        <v>21</v>
      </c>
      <c r="E3111" s="13" t="s">
        <v>392</v>
      </c>
      <c r="G3111">
        <v>2</v>
      </c>
      <c r="H3111">
        <v>1000</v>
      </c>
      <c r="J3111" cm="1">
        <f t="array" ref="J3111">_xlfn.SWITCH(B3111,1,75,2,61,3,49,4,37,5,25,6,13,7,4,8,1)</f>
        <v>37</v>
      </c>
      <c r="K3111" t="str" cm="1">
        <f t="array" ref="K3111">IFERROR(_xlfn.SWITCH(L3111,2,_xlfn.XLOOKUP(C3111,[1]ModifierDes!$B:$B,[1]ModifierDes!$C:$C),3,_xlfn.XLOOKUP(C3111,[1]StuntDes!$B:$B,[1]StuntDes!$C:$C)),"")</f>
        <v/>
      </c>
      <c r="L3111">
        <f t="shared" si="128"/>
        <v>1</v>
      </c>
      <c r="M3111" s="10" t="str">
        <f>IFERROR(_xlfn.XLOOKUP(C3111,[1]StuntDes!$B:$B,[1]StuntDes!$A:$A),"")</f>
        <v/>
      </c>
      <c r="N3111" s="10" t="str">
        <f>IFERROR(_xlfn.XLOOKUP(C3111,[1]ModifierDes!$B:$B,[1]ModifierDes!$A:$A),"")</f>
        <v/>
      </c>
      <c r="O3111" s="10">
        <f>IFERROR(_xlfn.XLOOKUP(C3111,[1]AttributeName!$C:$C,[1]AttributeName!$B:$B),"")</f>
        <v>10020</v>
      </c>
      <c r="P3111" s="10"/>
      <c r="Q3111">
        <v>16</v>
      </c>
      <c r="R3111">
        <v>19</v>
      </c>
      <c r="S3111" cm="1">
        <f t="array" ref="S3111">IFERROR(_xlfn.SWITCH(L3111,1,_xlfn.XLOOKUP(O3111,[1]AttributeName!$B:$B,[1]AttributeName!$D:$D),2,_xlfn.XLOOKUP(C3111,#REF!,#REF!),3,_xlfn.XLOOKUP(C3111,#REF!,#REF!)),0)</f>
        <v>0</v>
      </c>
      <c r="T3111" cm="1">
        <f t="array" ref="T3111">IFERROR(_xlfn.SWITCH(L3111,1,_xlfn.XLOOKUP(O3111,[1]AttributeName!$B:$B,[1]AttributeName!$E:$E),2,_xlfn.XLOOKUP(C3111,#REF!,#REF!),3,_xlfn.XLOOKUP(C3111,#REF!,#REF!)),0)</f>
        <v>1</v>
      </c>
    </row>
    <row r="3112" customFormat="1" spans="1:20">
      <c r="A3112">
        <f t="shared" si="127"/>
        <v>1272</v>
      </c>
      <c r="B3112">
        <v>5</v>
      </c>
      <c r="C3112" t="s">
        <v>413</v>
      </c>
      <c r="D3112" t="s">
        <v>21</v>
      </c>
      <c r="E3112" s="13" t="s">
        <v>392</v>
      </c>
      <c r="G3112">
        <v>2</v>
      </c>
      <c r="H3112">
        <v>1000</v>
      </c>
      <c r="J3112" cm="1">
        <f t="array" ref="J3112">_xlfn.SWITCH(B3112,1,75,2,61,3,49,4,37,5,25,6,13,7,4,8,1)</f>
        <v>25</v>
      </c>
      <c r="K3112" t="str" cm="1">
        <f t="array" ref="K3112">IFERROR(_xlfn.SWITCH(L3112,2,_xlfn.XLOOKUP(C3112,[1]ModifierDes!$B:$B,[1]ModifierDes!$C:$C),3,_xlfn.XLOOKUP(C3112,[1]StuntDes!$B:$B,[1]StuntDes!$C:$C)),"")</f>
        <v/>
      </c>
      <c r="L3112">
        <f t="shared" si="128"/>
        <v>1</v>
      </c>
      <c r="M3112" s="10" t="str">
        <f>IFERROR(_xlfn.XLOOKUP(C3112,[1]StuntDes!$B:$B,[1]StuntDes!$A:$A),"")</f>
        <v/>
      </c>
      <c r="N3112" s="10" t="str">
        <f>IFERROR(_xlfn.XLOOKUP(C3112,[1]ModifierDes!$B:$B,[1]ModifierDes!$A:$A),"")</f>
        <v/>
      </c>
      <c r="O3112" s="10">
        <f>IFERROR(_xlfn.XLOOKUP(C3112,[1]AttributeName!$C:$C,[1]AttributeName!$B:$B),"")</f>
        <v>10020</v>
      </c>
      <c r="P3112" s="10"/>
      <c r="Q3112">
        <v>12</v>
      </c>
      <c r="R3112">
        <v>15</v>
      </c>
      <c r="S3112" cm="1">
        <f t="array" ref="S3112">IFERROR(_xlfn.SWITCH(L3112,1,_xlfn.XLOOKUP(O3112,[1]AttributeName!$B:$B,[1]AttributeName!$D:$D),2,_xlfn.XLOOKUP(C3112,#REF!,#REF!),3,_xlfn.XLOOKUP(C3112,#REF!,#REF!)),0)</f>
        <v>0</v>
      </c>
      <c r="T3112" cm="1">
        <f t="array" ref="T3112">IFERROR(_xlfn.SWITCH(L3112,1,_xlfn.XLOOKUP(O3112,[1]AttributeName!$B:$B,[1]AttributeName!$E:$E),2,_xlfn.XLOOKUP(C3112,#REF!,#REF!),3,_xlfn.XLOOKUP(C3112,#REF!,#REF!)),0)</f>
        <v>1</v>
      </c>
    </row>
    <row r="3113" customFormat="1" spans="1:20">
      <c r="A3113">
        <f t="shared" si="127"/>
        <v>1272</v>
      </c>
      <c r="B3113">
        <v>6</v>
      </c>
      <c r="C3113" t="s">
        <v>413</v>
      </c>
      <c r="D3113" t="s">
        <v>21</v>
      </c>
      <c r="E3113" s="13" t="s">
        <v>392</v>
      </c>
      <c r="G3113">
        <v>2</v>
      </c>
      <c r="H3113">
        <v>1000</v>
      </c>
      <c r="J3113" cm="1">
        <f t="array" ref="J3113">_xlfn.SWITCH(B3113,1,75,2,61,3,49,4,37,5,25,6,13,7,4,8,1)</f>
        <v>13</v>
      </c>
      <c r="K3113" t="str" cm="1">
        <f t="array" ref="K3113">IFERROR(_xlfn.SWITCH(L3113,2,_xlfn.XLOOKUP(C3113,[1]ModifierDes!$B:$B,[1]ModifierDes!$C:$C),3,_xlfn.XLOOKUP(C3113,[1]StuntDes!$B:$B,[1]StuntDes!$C:$C)),"")</f>
        <v/>
      </c>
      <c r="L3113">
        <f t="shared" si="128"/>
        <v>1</v>
      </c>
      <c r="M3113" s="10" t="str">
        <f>IFERROR(_xlfn.XLOOKUP(C3113,[1]StuntDes!$B:$B,[1]StuntDes!$A:$A),"")</f>
        <v/>
      </c>
      <c r="N3113" s="10" t="str">
        <f>IFERROR(_xlfn.XLOOKUP(C3113,[1]ModifierDes!$B:$B,[1]ModifierDes!$A:$A),"")</f>
        <v/>
      </c>
      <c r="O3113" s="10">
        <f>IFERROR(_xlfn.XLOOKUP(C3113,[1]AttributeName!$C:$C,[1]AttributeName!$B:$B),"")</f>
        <v>10020</v>
      </c>
      <c r="P3113" s="10"/>
      <c r="Q3113">
        <v>8</v>
      </c>
      <c r="R3113">
        <v>11</v>
      </c>
      <c r="S3113" cm="1">
        <f t="array" ref="S3113">IFERROR(_xlfn.SWITCH(L3113,1,_xlfn.XLOOKUP(O3113,[1]AttributeName!$B:$B,[1]AttributeName!$D:$D),2,_xlfn.XLOOKUP(C3113,#REF!,#REF!),3,_xlfn.XLOOKUP(C3113,#REF!,#REF!)),0)</f>
        <v>0</v>
      </c>
      <c r="T3113" cm="1">
        <f t="array" ref="T3113">IFERROR(_xlfn.SWITCH(L3113,1,_xlfn.XLOOKUP(O3113,[1]AttributeName!$B:$B,[1]AttributeName!$E:$E),2,_xlfn.XLOOKUP(C3113,#REF!,#REF!),3,_xlfn.XLOOKUP(C3113,#REF!,#REF!)),0)</f>
        <v>1</v>
      </c>
    </row>
    <row r="3114" customFormat="1" spans="1:20">
      <c r="A3114">
        <f t="shared" si="127"/>
        <v>1272</v>
      </c>
      <c r="B3114">
        <v>7</v>
      </c>
      <c r="C3114" t="s">
        <v>413</v>
      </c>
      <c r="D3114" t="s">
        <v>21</v>
      </c>
      <c r="E3114" s="13" t="s">
        <v>392</v>
      </c>
      <c r="G3114">
        <v>2</v>
      </c>
      <c r="H3114">
        <v>1000</v>
      </c>
      <c r="J3114" cm="1">
        <f t="array" ref="J3114">_xlfn.SWITCH(B3114,1,75,2,61,3,49,4,37,5,25,6,13,7,4,8,1)</f>
        <v>4</v>
      </c>
      <c r="K3114" t="str" cm="1">
        <f t="array" ref="K3114">IFERROR(_xlfn.SWITCH(L3114,2,_xlfn.XLOOKUP(C3114,[1]ModifierDes!$B:$B,[1]ModifierDes!$C:$C),3,_xlfn.XLOOKUP(C3114,[1]StuntDes!$B:$B,[1]StuntDes!$C:$C)),"")</f>
        <v/>
      </c>
      <c r="L3114">
        <f t="shared" si="128"/>
        <v>1</v>
      </c>
      <c r="M3114" s="10" t="str">
        <f>IFERROR(_xlfn.XLOOKUP(C3114,[1]StuntDes!$B:$B,[1]StuntDes!$A:$A),"")</f>
        <v/>
      </c>
      <c r="N3114" s="10" t="str">
        <f>IFERROR(_xlfn.XLOOKUP(C3114,[1]ModifierDes!$B:$B,[1]ModifierDes!$A:$A),"")</f>
        <v/>
      </c>
      <c r="O3114" s="10">
        <f>IFERROR(_xlfn.XLOOKUP(C3114,[1]AttributeName!$C:$C,[1]AttributeName!$B:$B),"")</f>
        <v>10020</v>
      </c>
      <c r="P3114" s="10"/>
      <c r="Q3114">
        <v>4</v>
      </c>
      <c r="R3114">
        <v>7</v>
      </c>
      <c r="S3114" cm="1">
        <f t="array" ref="S3114">IFERROR(_xlfn.SWITCH(L3114,1,_xlfn.XLOOKUP(O3114,[1]AttributeName!$B:$B,[1]AttributeName!$D:$D),2,_xlfn.XLOOKUP(C3114,#REF!,#REF!),3,_xlfn.XLOOKUP(C3114,#REF!,#REF!)),0)</f>
        <v>0</v>
      </c>
      <c r="T3114" cm="1">
        <f t="array" ref="T3114">IFERROR(_xlfn.SWITCH(L3114,1,_xlfn.XLOOKUP(O3114,[1]AttributeName!$B:$B,[1]AttributeName!$E:$E),2,_xlfn.XLOOKUP(C3114,#REF!,#REF!),3,_xlfn.XLOOKUP(C3114,#REF!,#REF!)),0)</f>
        <v>1</v>
      </c>
    </row>
    <row r="3115" customFormat="1" spans="1:20">
      <c r="A3115">
        <f t="shared" si="127"/>
        <v>1272</v>
      </c>
      <c r="B3115">
        <v>8</v>
      </c>
      <c r="C3115" t="s">
        <v>413</v>
      </c>
      <c r="D3115" t="s">
        <v>21</v>
      </c>
      <c r="E3115" s="13" t="s">
        <v>392</v>
      </c>
      <c r="G3115">
        <v>2</v>
      </c>
      <c r="H3115">
        <v>1000</v>
      </c>
      <c r="J3115" cm="1">
        <f t="array" ref="J3115">_xlfn.SWITCH(B3115,1,75,2,61,3,49,4,37,5,25,6,13,7,4,8,1)</f>
        <v>1</v>
      </c>
      <c r="K3115" t="str" cm="1">
        <f t="array" ref="K3115">IFERROR(_xlfn.SWITCH(L3115,2,_xlfn.XLOOKUP(C3115,[1]ModifierDes!$B:$B,[1]ModifierDes!$C:$C),3,_xlfn.XLOOKUP(C3115,[1]StuntDes!$B:$B,[1]StuntDes!$C:$C)),"")</f>
        <v/>
      </c>
      <c r="L3115">
        <f t="shared" si="128"/>
        <v>1</v>
      </c>
      <c r="M3115" s="10" t="str">
        <f>IFERROR(_xlfn.XLOOKUP(C3115,[1]StuntDes!$B:$B,[1]StuntDes!$A:$A),"")</f>
        <v/>
      </c>
      <c r="N3115" s="10" t="str">
        <f>IFERROR(_xlfn.XLOOKUP(C3115,[1]ModifierDes!$B:$B,[1]ModifierDes!$A:$A),"")</f>
        <v/>
      </c>
      <c r="O3115" s="10">
        <f>IFERROR(_xlfn.XLOOKUP(C3115,[1]AttributeName!$C:$C,[1]AttributeName!$B:$B),"")</f>
        <v>10020</v>
      </c>
      <c r="P3115" s="10"/>
      <c r="Q3115">
        <v>1</v>
      </c>
      <c r="R3115">
        <v>3</v>
      </c>
      <c r="S3115" cm="1">
        <f t="array" ref="S3115">IFERROR(_xlfn.SWITCH(L3115,1,_xlfn.XLOOKUP(O3115,[1]AttributeName!$B:$B,[1]AttributeName!$D:$D),2,_xlfn.XLOOKUP(C3115,#REF!,#REF!),3,_xlfn.XLOOKUP(C3115,#REF!,#REF!)),0)</f>
        <v>0</v>
      </c>
      <c r="T3115" cm="1">
        <f t="array" ref="T3115">IFERROR(_xlfn.SWITCH(L3115,1,_xlfn.XLOOKUP(O3115,[1]AttributeName!$B:$B,[1]AttributeName!$E:$E),2,_xlfn.XLOOKUP(C3115,#REF!,#REF!),3,_xlfn.XLOOKUP(C3115,#REF!,#REF!)),0)</f>
        <v>1</v>
      </c>
    </row>
    <row r="3116" customFormat="1" spans="1:20">
      <c r="A3116">
        <f t="shared" si="127"/>
        <v>1273</v>
      </c>
      <c r="B3116">
        <v>1</v>
      </c>
      <c r="C3116" t="s">
        <v>414</v>
      </c>
      <c r="D3116" t="s">
        <v>21</v>
      </c>
      <c r="E3116" s="13" t="s">
        <v>392</v>
      </c>
      <c r="G3116">
        <v>2</v>
      </c>
      <c r="H3116">
        <v>1000</v>
      </c>
      <c r="J3116" cm="1">
        <f t="array" ref="J3116">_xlfn.SWITCH(B3116,1,75,2,61,3,49,4,37,5,25,6,13,7,4,8,1)</f>
        <v>75</v>
      </c>
      <c r="K3116" t="str" cm="1">
        <f t="array" ref="K3116">IFERROR(_xlfn.SWITCH(L3116,2,_xlfn.XLOOKUP(C3116,[1]ModifierDes!$B:$B,[1]ModifierDes!$C:$C),3,_xlfn.XLOOKUP(C3116,[1]StuntDes!$B:$B,[1]StuntDes!$C:$C)),"")</f>
        <v/>
      </c>
      <c r="L3116">
        <f t="shared" si="128"/>
        <v>1</v>
      </c>
      <c r="M3116" s="10" t="str">
        <f>IFERROR(_xlfn.XLOOKUP(C3116,[1]StuntDes!$B:$B,[1]StuntDes!$A:$A),"")</f>
        <v/>
      </c>
      <c r="N3116" s="10" t="str">
        <f>IFERROR(_xlfn.XLOOKUP(C3116,[1]ModifierDes!$B:$B,[1]ModifierDes!$A:$A),"")</f>
        <v/>
      </c>
      <c r="O3116" s="10">
        <f>IFERROR(_xlfn.XLOOKUP(C3116,[1]AttributeName!$C:$C,[1]AttributeName!$B:$B),"")</f>
        <v>10900</v>
      </c>
      <c r="P3116" s="10"/>
      <c r="Q3116">
        <v>15</v>
      </c>
      <c r="R3116">
        <v>16</v>
      </c>
      <c r="S3116" cm="1">
        <f t="array" ref="S3116">IFERROR(_xlfn.SWITCH(L3116,1,_xlfn.XLOOKUP(O3116,[1]AttributeName!$B:$B,[1]AttributeName!$D:$D),2,_xlfn.XLOOKUP(C3116,#REF!,#REF!),3,_xlfn.XLOOKUP(C3116,#REF!,#REF!)),0)</f>
        <v>0</v>
      </c>
      <c r="T3116" cm="1">
        <f t="array" ref="T3116">IFERROR(_xlfn.SWITCH(L3116,1,_xlfn.XLOOKUP(O3116,[1]AttributeName!$B:$B,[1]AttributeName!$E:$E),2,_xlfn.XLOOKUP(C3116,#REF!,#REF!),3,_xlfn.XLOOKUP(C3116,#REF!,#REF!)),0)</f>
        <v>1</v>
      </c>
    </row>
    <row r="3117" customFormat="1" spans="1:20">
      <c r="A3117">
        <f t="shared" si="127"/>
        <v>1273</v>
      </c>
      <c r="B3117">
        <v>2</v>
      </c>
      <c r="C3117" t="s">
        <v>414</v>
      </c>
      <c r="D3117" t="s">
        <v>21</v>
      </c>
      <c r="E3117" s="13" t="s">
        <v>392</v>
      </c>
      <c r="G3117">
        <v>2</v>
      </c>
      <c r="H3117">
        <v>1000</v>
      </c>
      <c r="J3117" cm="1">
        <f t="array" ref="J3117">_xlfn.SWITCH(B3117,1,75,2,61,3,49,4,37,5,25,6,13,7,4,8,1)</f>
        <v>61</v>
      </c>
      <c r="K3117" t="str" cm="1">
        <f t="array" ref="K3117">IFERROR(_xlfn.SWITCH(L3117,2,_xlfn.XLOOKUP(C3117,[1]ModifierDes!$B:$B,[1]ModifierDes!$C:$C),3,_xlfn.XLOOKUP(C3117,[1]StuntDes!$B:$B,[1]StuntDes!$C:$C)),"")</f>
        <v/>
      </c>
      <c r="L3117">
        <f t="shared" si="128"/>
        <v>1</v>
      </c>
      <c r="M3117" s="10" t="str">
        <f>IFERROR(_xlfn.XLOOKUP(C3117,[1]StuntDes!$B:$B,[1]StuntDes!$A:$A),"")</f>
        <v/>
      </c>
      <c r="N3117" s="10" t="str">
        <f>IFERROR(_xlfn.XLOOKUP(C3117,[1]ModifierDes!$B:$B,[1]ModifierDes!$A:$A),"")</f>
        <v/>
      </c>
      <c r="O3117" s="10">
        <f>IFERROR(_xlfn.XLOOKUP(C3117,[1]AttributeName!$C:$C,[1]AttributeName!$B:$B),"")</f>
        <v>10900</v>
      </c>
      <c r="P3117" s="10"/>
      <c r="Q3117">
        <v>13</v>
      </c>
      <c r="R3117">
        <v>14</v>
      </c>
      <c r="S3117" cm="1">
        <f t="array" ref="S3117">IFERROR(_xlfn.SWITCH(L3117,1,_xlfn.XLOOKUP(O3117,[1]AttributeName!$B:$B,[1]AttributeName!$D:$D),2,_xlfn.XLOOKUP(C3117,#REF!,#REF!),3,_xlfn.XLOOKUP(C3117,#REF!,#REF!)),0)</f>
        <v>0</v>
      </c>
      <c r="T3117" cm="1">
        <f t="array" ref="T3117">IFERROR(_xlfn.SWITCH(L3117,1,_xlfn.XLOOKUP(O3117,[1]AttributeName!$B:$B,[1]AttributeName!$E:$E),2,_xlfn.XLOOKUP(C3117,#REF!,#REF!),3,_xlfn.XLOOKUP(C3117,#REF!,#REF!)),0)</f>
        <v>1</v>
      </c>
    </row>
    <row r="3118" customFormat="1" spans="1:20">
      <c r="A3118">
        <f t="shared" si="127"/>
        <v>1273</v>
      </c>
      <c r="B3118">
        <v>3</v>
      </c>
      <c r="C3118" t="s">
        <v>414</v>
      </c>
      <c r="D3118" t="s">
        <v>21</v>
      </c>
      <c r="E3118" s="13" t="s">
        <v>392</v>
      </c>
      <c r="G3118">
        <v>2</v>
      </c>
      <c r="H3118">
        <v>1000</v>
      </c>
      <c r="J3118" cm="1">
        <f t="array" ref="J3118">_xlfn.SWITCH(B3118,1,75,2,61,3,49,4,37,5,25,6,13,7,4,8,1)</f>
        <v>49</v>
      </c>
      <c r="K3118" t="str" cm="1">
        <f t="array" ref="K3118">IFERROR(_xlfn.SWITCH(L3118,2,_xlfn.XLOOKUP(C3118,[1]ModifierDes!$B:$B,[1]ModifierDes!$C:$C),3,_xlfn.XLOOKUP(C3118,[1]StuntDes!$B:$B,[1]StuntDes!$C:$C)),"")</f>
        <v/>
      </c>
      <c r="L3118">
        <f t="shared" si="128"/>
        <v>1</v>
      </c>
      <c r="M3118" s="10" t="str">
        <f>IFERROR(_xlfn.XLOOKUP(C3118,[1]StuntDes!$B:$B,[1]StuntDes!$A:$A),"")</f>
        <v/>
      </c>
      <c r="N3118" s="10" t="str">
        <f>IFERROR(_xlfn.XLOOKUP(C3118,[1]ModifierDes!$B:$B,[1]ModifierDes!$A:$A),"")</f>
        <v/>
      </c>
      <c r="O3118" s="10">
        <f>IFERROR(_xlfn.XLOOKUP(C3118,[1]AttributeName!$C:$C,[1]AttributeName!$B:$B),"")</f>
        <v>10900</v>
      </c>
      <c r="P3118" s="10"/>
      <c r="Q3118">
        <v>11</v>
      </c>
      <c r="R3118">
        <v>12</v>
      </c>
      <c r="S3118" cm="1">
        <f t="array" ref="S3118">IFERROR(_xlfn.SWITCH(L3118,1,_xlfn.XLOOKUP(O3118,[1]AttributeName!$B:$B,[1]AttributeName!$D:$D),2,_xlfn.XLOOKUP(C3118,#REF!,#REF!),3,_xlfn.XLOOKUP(C3118,#REF!,#REF!)),0)</f>
        <v>0</v>
      </c>
      <c r="T3118" cm="1">
        <f t="array" ref="T3118">IFERROR(_xlfn.SWITCH(L3118,1,_xlfn.XLOOKUP(O3118,[1]AttributeName!$B:$B,[1]AttributeName!$E:$E),2,_xlfn.XLOOKUP(C3118,#REF!,#REF!),3,_xlfn.XLOOKUP(C3118,#REF!,#REF!)),0)</f>
        <v>1</v>
      </c>
    </row>
    <row r="3119" customFormat="1" spans="1:20">
      <c r="A3119">
        <f t="shared" si="127"/>
        <v>1273</v>
      </c>
      <c r="B3119">
        <v>4</v>
      </c>
      <c r="C3119" t="s">
        <v>414</v>
      </c>
      <c r="D3119" t="s">
        <v>21</v>
      </c>
      <c r="E3119" s="13" t="s">
        <v>392</v>
      </c>
      <c r="G3119">
        <v>2</v>
      </c>
      <c r="H3119">
        <v>1000</v>
      </c>
      <c r="J3119" cm="1">
        <f t="array" ref="J3119">_xlfn.SWITCH(B3119,1,75,2,61,3,49,4,37,5,25,6,13,7,4,8,1)</f>
        <v>37</v>
      </c>
      <c r="K3119" t="str" cm="1">
        <f t="array" ref="K3119">IFERROR(_xlfn.SWITCH(L3119,2,_xlfn.XLOOKUP(C3119,[1]ModifierDes!$B:$B,[1]ModifierDes!$C:$C),3,_xlfn.XLOOKUP(C3119,[1]StuntDes!$B:$B,[1]StuntDes!$C:$C)),"")</f>
        <v/>
      </c>
      <c r="L3119">
        <f t="shared" si="128"/>
        <v>1</v>
      </c>
      <c r="M3119" s="10" t="str">
        <f>IFERROR(_xlfn.XLOOKUP(C3119,[1]StuntDes!$B:$B,[1]StuntDes!$A:$A),"")</f>
        <v/>
      </c>
      <c r="N3119" s="10" t="str">
        <f>IFERROR(_xlfn.XLOOKUP(C3119,[1]ModifierDes!$B:$B,[1]ModifierDes!$A:$A),"")</f>
        <v/>
      </c>
      <c r="O3119" s="10">
        <f>IFERROR(_xlfn.XLOOKUP(C3119,[1]AttributeName!$C:$C,[1]AttributeName!$B:$B),"")</f>
        <v>10900</v>
      </c>
      <c r="P3119" s="10"/>
      <c r="Q3119">
        <v>9</v>
      </c>
      <c r="R3119">
        <v>10</v>
      </c>
      <c r="S3119" cm="1">
        <f t="array" ref="S3119">IFERROR(_xlfn.SWITCH(L3119,1,_xlfn.XLOOKUP(O3119,[1]AttributeName!$B:$B,[1]AttributeName!$D:$D),2,_xlfn.XLOOKUP(C3119,#REF!,#REF!),3,_xlfn.XLOOKUP(C3119,#REF!,#REF!)),0)</f>
        <v>0</v>
      </c>
      <c r="T3119" cm="1">
        <f t="array" ref="T3119">IFERROR(_xlfn.SWITCH(L3119,1,_xlfn.XLOOKUP(O3119,[1]AttributeName!$B:$B,[1]AttributeName!$E:$E),2,_xlfn.XLOOKUP(C3119,#REF!,#REF!),3,_xlfn.XLOOKUP(C3119,#REF!,#REF!)),0)</f>
        <v>1</v>
      </c>
    </row>
    <row r="3120" customFormat="1" spans="1:20">
      <c r="A3120">
        <f t="shared" si="127"/>
        <v>1273</v>
      </c>
      <c r="B3120">
        <v>5</v>
      </c>
      <c r="C3120" t="s">
        <v>414</v>
      </c>
      <c r="D3120" t="s">
        <v>21</v>
      </c>
      <c r="E3120" s="13" t="s">
        <v>392</v>
      </c>
      <c r="G3120">
        <v>2</v>
      </c>
      <c r="H3120">
        <v>1000</v>
      </c>
      <c r="J3120" cm="1">
        <f t="array" ref="J3120">_xlfn.SWITCH(B3120,1,75,2,61,3,49,4,37,5,25,6,13,7,4,8,1)</f>
        <v>25</v>
      </c>
      <c r="K3120" t="str" cm="1">
        <f t="array" ref="K3120">IFERROR(_xlfn.SWITCH(L3120,2,_xlfn.XLOOKUP(C3120,[1]ModifierDes!$B:$B,[1]ModifierDes!$C:$C),3,_xlfn.XLOOKUP(C3120,[1]StuntDes!$B:$B,[1]StuntDes!$C:$C)),"")</f>
        <v/>
      </c>
      <c r="L3120">
        <f t="shared" si="128"/>
        <v>1</v>
      </c>
      <c r="M3120" s="10" t="str">
        <f>IFERROR(_xlfn.XLOOKUP(C3120,[1]StuntDes!$B:$B,[1]StuntDes!$A:$A),"")</f>
        <v/>
      </c>
      <c r="N3120" s="10" t="str">
        <f>IFERROR(_xlfn.XLOOKUP(C3120,[1]ModifierDes!$B:$B,[1]ModifierDes!$A:$A),"")</f>
        <v/>
      </c>
      <c r="O3120" s="10">
        <f>IFERROR(_xlfn.XLOOKUP(C3120,[1]AttributeName!$C:$C,[1]AttributeName!$B:$B),"")</f>
        <v>10900</v>
      </c>
      <c r="P3120" s="10"/>
      <c r="Q3120">
        <v>7</v>
      </c>
      <c r="R3120">
        <v>8</v>
      </c>
      <c r="S3120" cm="1">
        <f t="array" ref="S3120">IFERROR(_xlfn.SWITCH(L3120,1,_xlfn.XLOOKUP(O3120,[1]AttributeName!$B:$B,[1]AttributeName!$D:$D),2,_xlfn.XLOOKUP(C3120,#REF!,#REF!),3,_xlfn.XLOOKUP(C3120,#REF!,#REF!)),0)</f>
        <v>0</v>
      </c>
      <c r="T3120" cm="1">
        <f t="array" ref="T3120">IFERROR(_xlfn.SWITCH(L3120,1,_xlfn.XLOOKUP(O3120,[1]AttributeName!$B:$B,[1]AttributeName!$E:$E),2,_xlfn.XLOOKUP(C3120,#REF!,#REF!),3,_xlfn.XLOOKUP(C3120,#REF!,#REF!)),0)</f>
        <v>1</v>
      </c>
    </row>
    <row r="3121" customFormat="1" spans="1:20">
      <c r="A3121">
        <f t="shared" si="127"/>
        <v>1273</v>
      </c>
      <c r="B3121">
        <v>6</v>
      </c>
      <c r="C3121" t="s">
        <v>414</v>
      </c>
      <c r="D3121" t="s">
        <v>21</v>
      </c>
      <c r="E3121" s="13" t="s">
        <v>392</v>
      </c>
      <c r="G3121">
        <v>2</v>
      </c>
      <c r="H3121">
        <v>1000</v>
      </c>
      <c r="J3121" cm="1">
        <f t="array" ref="J3121">_xlfn.SWITCH(B3121,1,75,2,61,3,49,4,37,5,25,6,13,7,4,8,1)</f>
        <v>13</v>
      </c>
      <c r="K3121" t="str" cm="1">
        <f t="array" ref="K3121">IFERROR(_xlfn.SWITCH(L3121,2,_xlfn.XLOOKUP(C3121,[1]ModifierDes!$B:$B,[1]ModifierDes!$C:$C),3,_xlfn.XLOOKUP(C3121,[1]StuntDes!$B:$B,[1]StuntDes!$C:$C)),"")</f>
        <v/>
      </c>
      <c r="L3121">
        <f t="shared" si="128"/>
        <v>1</v>
      </c>
      <c r="M3121" s="10" t="str">
        <f>IFERROR(_xlfn.XLOOKUP(C3121,[1]StuntDes!$B:$B,[1]StuntDes!$A:$A),"")</f>
        <v/>
      </c>
      <c r="N3121" s="10" t="str">
        <f>IFERROR(_xlfn.XLOOKUP(C3121,[1]ModifierDes!$B:$B,[1]ModifierDes!$A:$A),"")</f>
        <v/>
      </c>
      <c r="O3121" s="10">
        <f>IFERROR(_xlfn.XLOOKUP(C3121,[1]AttributeName!$C:$C,[1]AttributeName!$B:$B),"")</f>
        <v>10900</v>
      </c>
      <c r="P3121" s="10"/>
      <c r="Q3121">
        <v>5</v>
      </c>
      <c r="R3121">
        <v>6</v>
      </c>
      <c r="S3121" cm="1">
        <f t="array" ref="S3121">IFERROR(_xlfn.SWITCH(L3121,1,_xlfn.XLOOKUP(O3121,[1]AttributeName!$B:$B,[1]AttributeName!$D:$D),2,_xlfn.XLOOKUP(C3121,#REF!,#REF!),3,_xlfn.XLOOKUP(C3121,#REF!,#REF!)),0)</f>
        <v>0</v>
      </c>
      <c r="T3121" cm="1">
        <f t="array" ref="T3121">IFERROR(_xlfn.SWITCH(L3121,1,_xlfn.XLOOKUP(O3121,[1]AttributeName!$B:$B,[1]AttributeName!$E:$E),2,_xlfn.XLOOKUP(C3121,#REF!,#REF!),3,_xlfn.XLOOKUP(C3121,#REF!,#REF!)),0)</f>
        <v>1</v>
      </c>
    </row>
    <row r="3122" customFormat="1" spans="1:20">
      <c r="A3122">
        <f t="shared" si="127"/>
        <v>1273</v>
      </c>
      <c r="B3122">
        <v>7</v>
      </c>
      <c r="C3122" t="s">
        <v>414</v>
      </c>
      <c r="D3122" t="s">
        <v>21</v>
      </c>
      <c r="E3122" s="13" t="s">
        <v>392</v>
      </c>
      <c r="G3122">
        <v>2</v>
      </c>
      <c r="H3122">
        <v>1000</v>
      </c>
      <c r="J3122" cm="1">
        <f t="array" ref="J3122">_xlfn.SWITCH(B3122,1,75,2,61,3,49,4,37,5,25,6,13,7,4,8,1)</f>
        <v>4</v>
      </c>
      <c r="K3122" t="str" cm="1">
        <f t="array" ref="K3122">IFERROR(_xlfn.SWITCH(L3122,2,_xlfn.XLOOKUP(C3122,[1]ModifierDes!$B:$B,[1]ModifierDes!$C:$C),3,_xlfn.XLOOKUP(C3122,[1]StuntDes!$B:$B,[1]StuntDes!$C:$C)),"")</f>
        <v/>
      </c>
      <c r="L3122">
        <f t="shared" si="128"/>
        <v>1</v>
      </c>
      <c r="M3122" s="10" t="str">
        <f>IFERROR(_xlfn.XLOOKUP(C3122,[1]StuntDes!$B:$B,[1]StuntDes!$A:$A),"")</f>
        <v/>
      </c>
      <c r="N3122" s="10" t="str">
        <f>IFERROR(_xlfn.XLOOKUP(C3122,[1]ModifierDes!$B:$B,[1]ModifierDes!$A:$A),"")</f>
        <v/>
      </c>
      <c r="O3122" s="10">
        <f>IFERROR(_xlfn.XLOOKUP(C3122,[1]AttributeName!$C:$C,[1]AttributeName!$B:$B),"")</f>
        <v>10900</v>
      </c>
      <c r="P3122" s="10"/>
      <c r="Q3122">
        <v>3</v>
      </c>
      <c r="R3122">
        <v>4</v>
      </c>
      <c r="S3122" cm="1">
        <f t="array" ref="S3122">IFERROR(_xlfn.SWITCH(L3122,1,_xlfn.XLOOKUP(O3122,[1]AttributeName!$B:$B,[1]AttributeName!$D:$D),2,_xlfn.XLOOKUP(C3122,#REF!,#REF!),3,_xlfn.XLOOKUP(C3122,#REF!,#REF!)),0)</f>
        <v>0</v>
      </c>
      <c r="T3122" cm="1">
        <f t="array" ref="T3122">IFERROR(_xlfn.SWITCH(L3122,1,_xlfn.XLOOKUP(O3122,[1]AttributeName!$B:$B,[1]AttributeName!$E:$E),2,_xlfn.XLOOKUP(C3122,#REF!,#REF!),3,_xlfn.XLOOKUP(C3122,#REF!,#REF!)),0)</f>
        <v>1</v>
      </c>
    </row>
    <row r="3123" customFormat="1" spans="1:20">
      <c r="A3123">
        <f t="shared" si="127"/>
        <v>1273</v>
      </c>
      <c r="B3123">
        <v>8</v>
      </c>
      <c r="C3123" t="s">
        <v>414</v>
      </c>
      <c r="D3123" t="s">
        <v>21</v>
      </c>
      <c r="E3123" s="13" t="s">
        <v>392</v>
      </c>
      <c r="G3123">
        <v>2</v>
      </c>
      <c r="H3123">
        <v>1000</v>
      </c>
      <c r="J3123" cm="1">
        <f t="array" ref="J3123">_xlfn.SWITCH(B3123,1,75,2,61,3,49,4,37,5,25,6,13,7,4,8,1)</f>
        <v>1</v>
      </c>
      <c r="K3123" t="str" cm="1">
        <f t="array" ref="K3123">IFERROR(_xlfn.SWITCH(L3123,2,_xlfn.XLOOKUP(C3123,[1]ModifierDes!$B:$B,[1]ModifierDes!$C:$C),3,_xlfn.XLOOKUP(C3123,[1]StuntDes!$B:$B,[1]StuntDes!$C:$C)),"")</f>
        <v/>
      </c>
      <c r="L3123">
        <f t="shared" si="128"/>
        <v>1</v>
      </c>
      <c r="M3123" s="10" t="str">
        <f>IFERROR(_xlfn.XLOOKUP(C3123,[1]StuntDes!$B:$B,[1]StuntDes!$A:$A),"")</f>
        <v/>
      </c>
      <c r="N3123" s="10" t="str">
        <f>IFERROR(_xlfn.XLOOKUP(C3123,[1]ModifierDes!$B:$B,[1]ModifierDes!$A:$A),"")</f>
        <v/>
      </c>
      <c r="O3123" s="10">
        <f>IFERROR(_xlfn.XLOOKUP(C3123,[1]AttributeName!$C:$C,[1]AttributeName!$B:$B),"")</f>
        <v>10900</v>
      </c>
      <c r="P3123" s="10"/>
      <c r="Q3123">
        <v>1</v>
      </c>
      <c r="R3123">
        <v>2</v>
      </c>
      <c r="S3123" cm="1">
        <f t="array" ref="S3123">IFERROR(_xlfn.SWITCH(L3123,1,_xlfn.XLOOKUP(O3123,[1]AttributeName!$B:$B,[1]AttributeName!$D:$D),2,_xlfn.XLOOKUP(C3123,#REF!,#REF!),3,_xlfn.XLOOKUP(C3123,#REF!,#REF!)),0)</f>
        <v>0</v>
      </c>
      <c r="T3123" cm="1">
        <f t="array" ref="T3123">IFERROR(_xlfn.SWITCH(L3123,1,_xlfn.XLOOKUP(O3123,[1]AttributeName!$B:$B,[1]AttributeName!$E:$E),2,_xlfn.XLOOKUP(C3123,#REF!,#REF!),3,_xlfn.XLOOKUP(C3123,#REF!,#REF!)),0)</f>
        <v>1</v>
      </c>
    </row>
    <row r="3124" customFormat="1" spans="1:20">
      <c r="A3124">
        <v>90001</v>
      </c>
      <c r="B3124">
        <v>1</v>
      </c>
      <c r="C3124" t="s">
        <v>377</v>
      </c>
      <c r="D3124" t="s">
        <v>132</v>
      </c>
      <c r="E3124" t="s">
        <v>378</v>
      </c>
      <c r="H3124">
        <v>1000</v>
      </c>
      <c r="J3124">
        <v>1</v>
      </c>
      <c r="K3124" t="str" cm="1">
        <f t="array" ref="K3124">IFERROR(_xlfn.SWITCH(L3124,2,_xlfn.XLOOKUP(C3124,[1]ModifierDes!$B:$B,[1]ModifierDes!$C:$C),3,_xlfn.XLOOKUP(C3124,[1]StuntDes!$B:$B,[1]StuntDes!$C:$C)),"")</f>
        <v>物理伤害倍率增加{0}</v>
      </c>
      <c r="L3124">
        <f t="shared" si="128"/>
        <v>2</v>
      </c>
      <c r="M3124" s="10" t="str">
        <f>IFERROR(_xlfn.XLOOKUP(C3124,[1]StuntDes!$B:$B,[1]StuntDes!$A:$A),"")</f>
        <v/>
      </c>
      <c r="N3124" s="10">
        <f>IFERROR(_xlfn.XLOOKUP(C3124,[1]ModifierDes!$B:$B,[1]ModifierDes!$A:$A),"")</f>
        <v>10056</v>
      </c>
      <c r="O3124" s="10" t="str">
        <f>IFERROR(_xlfn.XLOOKUP(C3124,[1]AttributeName!$C:$C,[1]AttributeName!$B:$B),"")</f>
        <v/>
      </c>
      <c r="P3124" s="10"/>
      <c r="Q3124">
        <v>0.4</v>
      </c>
      <c r="R3124">
        <v>0.6</v>
      </c>
      <c r="S3124" cm="1">
        <f t="array" ref="S3124">IFERROR(_xlfn.SWITCH(L3124,1,_xlfn.XLOOKUP(O3124,[1]AttributeName!$B:$B,[1]AttributeName!$D:$D),2,_xlfn.XLOOKUP(C3124,#REF!,#REF!),3,_xlfn.XLOOKUP(C3124,#REF!,#REF!)),0)</f>
        <v>0</v>
      </c>
      <c r="T3124" cm="1">
        <f t="array" ref="T3124">IFERROR(_xlfn.SWITCH(L3124,1,_xlfn.XLOOKUP(O3124,[1]AttributeName!$B:$B,[1]AttributeName!$E:$E),2,_xlfn.XLOOKUP(C3124,#REF!,#REF!),3,_xlfn.XLOOKUP(C3124,#REF!,#REF!)),0)</f>
        <v>0</v>
      </c>
    </row>
    <row r="3125" customFormat="1" spans="1:20">
      <c r="A3125">
        <v>90002</v>
      </c>
      <c r="B3125">
        <v>1</v>
      </c>
      <c r="C3125" t="s">
        <v>385</v>
      </c>
      <c r="D3125" t="s">
        <v>132</v>
      </c>
      <c r="E3125" t="s">
        <v>378</v>
      </c>
      <c r="H3125">
        <v>1000</v>
      </c>
      <c r="J3125">
        <v>1</v>
      </c>
      <c r="K3125" t="str" cm="1">
        <f t="array" ref="K3125">IFERROR(_xlfn.SWITCH(L3125,2,_xlfn.XLOOKUP(C3125,[1]ModifierDes!$B:$B,[1]ModifierDes!$C:$C),3,_xlfn.XLOOKUP(C3125,[1]StuntDes!$B:$B,[1]StuntDes!$C:$C)),"")</f>
        <v/>
      </c>
      <c r="L3125">
        <f t="shared" si="128"/>
        <v>1</v>
      </c>
      <c r="M3125" s="10" t="str">
        <f>IFERROR(_xlfn.XLOOKUP(C3125,[1]StuntDes!$B:$B,[1]StuntDes!$A:$A),"")</f>
        <v/>
      </c>
      <c r="N3125" s="10" t="str">
        <f>IFERROR(_xlfn.XLOOKUP(C3125,[1]ModifierDes!$B:$B,[1]ModifierDes!$A:$A),"")</f>
        <v/>
      </c>
      <c r="O3125" s="10">
        <f>IFERROR(_xlfn.XLOOKUP(C3125,[1]AttributeName!$C:$C,[1]AttributeName!$B:$B),"")</f>
        <v>10304</v>
      </c>
      <c r="P3125" s="10"/>
      <c r="Q3125">
        <v>0.4</v>
      </c>
      <c r="R3125">
        <v>0.6</v>
      </c>
      <c r="S3125" cm="1">
        <f t="array" ref="S3125">IFERROR(_xlfn.SWITCH(L3125,1,_xlfn.XLOOKUP(O3125,[1]AttributeName!$B:$B,[1]AttributeName!$D:$D),2,_xlfn.XLOOKUP(C3125,#REF!,#REF!),3,_xlfn.XLOOKUP(C3125,#REF!,#REF!)),0)</f>
        <v>2</v>
      </c>
      <c r="T3125" cm="1">
        <f t="array" ref="T3125">IFERROR(_xlfn.SWITCH(L3125,1,_xlfn.XLOOKUP(O3125,[1]AttributeName!$B:$B,[1]AttributeName!$E:$E),2,_xlfn.XLOOKUP(C3125,#REF!,#REF!),3,_xlfn.XLOOKUP(C3125,#REF!,#REF!)),0)</f>
        <v>2</v>
      </c>
    </row>
    <row r="3126" customFormat="1" spans="1:20">
      <c r="A3126">
        <v>90003</v>
      </c>
      <c r="B3126">
        <v>1</v>
      </c>
      <c r="C3126" s="13" t="s">
        <v>445</v>
      </c>
      <c r="D3126" t="s">
        <v>132</v>
      </c>
      <c r="E3126" t="s">
        <v>378</v>
      </c>
      <c r="H3126">
        <v>1000</v>
      </c>
      <c r="J3126">
        <v>1</v>
      </c>
      <c r="K3126" t="str" cm="1">
        <f t="array" ref="K3126">IFERROR(_xlfn.SWITCH(L3126,2,_xlfn.XLOOKUP(C3126,[1]ModifierDes!$B:$B,[1]ModifierDes!$C:$C),3,_xlfn.XLOOKUP(C3126,[1]StuntDes!$B:$B,[1]StuntDes!$C:$C)),"")</f>
        <v/>
      </c>
      <c r="L3126">
        <f t="shared" si="128"/>
        <v>1</v>
      </c>
      <c r="M3126" s="10" t="str">
        <f>IFERROR(_xlfn.XLOOKUP(C3126,[1]StuntDes!$B:$B,[1]StuntDes!$A:$A),"")</f>
        <v/>
      </c>
      <c r="N3126" s="10" t="str">
        <f>IFERROR(_xlfn.XLOOKUP(C3126,[1]ModifierDes!$B:$B,[1]ModifierDes!$A:$A),"")</f>
        <v/>
      </c>
      <c r="O3126" s="10">
        <f>IFERROR(_xlfn.XLOOKUP(C3126,[1]AttributeName!$C:$C,[1]AttributeName!$B:$B),"")</f>
        <v>10300</v>
      </c>
      <c r="P3126" s="10"/>
      <c r="Q3126">
        <v>0.2</v>
      </c>
      <c r="R3126">
        <v>0.4</v>
      </c>
      <c r="S3126" cm="1">
        <f t="array" ref="S3126">IFERROR(_xlfn.SWITCH(L3126,1,_xlfn.XLOOKUP(O3126,[1]AttributeName!$B:$B,[1]AttributeName!$D:$D),2,_xlfn.XLOOKUP(C3126,#REF!,#REF!),3,_xlfn.XLOOKUP(C3126,#REF!,#REF!)),0)</f>
        <v>2</v>
      </c>
      <c r="T3126" cm="1">
        <f t="array" ref="T3126">IFERROR(_xlfn.SWITCH(L3126,1,_xlfn.XLOOKUP(O3126,[1]AttributeName!$B:$B,[1]AttributeName!$E:$E),2,_xlfn.XLOOKUP(C3126,#REF!,#REF!),3,_xlfn.XLOOKUP(C3126,#REF!,#REF!)),0)</f>
        <v>2</v>
      </c>
    </row>
    <row r="3127" customFormat="1" spans="1:20">
      <c r="A3127">
        <v>90004</v>
      </c>
      <c r="B3127">
        <v>1</v>
      </c>
      <c r="C3127" t="s">
        <v>406</v>
      </c>
      <c r="D3127" t="s">
        <v>132</v>
      </c>
      <c r="E3127" t="s">
        <v>392</v>
      </c>
      <c r="H3127">
        <v>1000</v>
      </c>
      <c r="J3127">
        <v>1</v>
      </c>
      <c r="K3127" t="str" cm="1">
        <f t="array" ref="K3127">IFERROR(_xlfn.SWITCH(L3127,2,_xlfn.XLOOKUP(C3127,[1]ModifierDes!$B:$B,[1]ModifierDes!$C:$C),3,_xlfn.XLOOKUP(C3127,[1]StuntDes!$B:$B,[1]StuntDes!$C:$C)),"")</f>
        <v>攻击速度提高{0}</v>
      </c>
      <c r="L3127">
        <f t="shared" si="128"/>
        <v>2</v>
      </c>
      <c r="M3127" s="10" t="str">
        <f>IFERROR(_xlfn.XLOOKUP(C3127,[1]StuntDes!$B:$B,[1]StuntDes!$A:$A),"")</f>
        <v/>
      </c>
      <c r="N3127" s="10">
        <f>IFERROR(_xlfn.XLOOKUP(C3127,[1]ModifierDes!$B:$B,[1]ModifierDes!$A:$A),"")</f>
        <v>10031</v>
      </c>
      <c r="O3127" s="10" t="str">
        <f>IFERROR(_xlfn.XLOOKUP(C3127,[1]AttributeName!$C:$C,[1]AttributeName!$B:$B),"")</f>
        <v/>
      </c>
      <c r="P3127" s="10"/>
      <c r="Q3127">
        <v>0.1</v>
      </c>
      <c r="R3127">
        <v>0.2</v>
      </c>
      <c r="S3127" cm="1">
        <f t="array" ref="S3127">IFERROR(_xlfn.SWITCH(L3127,1,_xlfn.XLOOKUP(O3127,[1]AttributeName!$B:$B,[1]AttributeName!$D:$D),2,_xlfn.XLOOKUP(C3127,#REF!,#REF!),3,_xlfn.XLOOKUP(C3127,#REF!,#REF!)),0)</f>
        <v>0</v>
      </c>
      <c r="T3127" cm="1">
        <f t="array" ref="T3127">IFERROR(_xlfn.SWITCH(L3127,1,_xlfn.XLOOKUP(O3127,[1]AttributeName!$B:$B,[1]AttributeName!$E:$E),2,_xlfn.XLOOKUP(C3127,#REF!,#REF!),3,_xlfn.XLOOKUP(C3127,#REF!,#REF!)),0)</f>
        <v>0</v>
      </c>
    </row>
    <row r="3128" customFormat="1" spans="1:20">
      <c r="A3128">
        <v>90005</v>
      </c>
      <c r="B3128">
        <v>1</v>
      </c>
      <c r="C3128" t="s">
        <v>394</v>
      </c>
      <c r="D3128" t="s">
        <v>132</v>
      </c>
      <c r="E3128" t="s">
        <v>392</v>
      </c>
      <c r="H3128">
        <v>1000</v>
      </c>
      <c r="J3128">
        <v>1</v>
      </c>
      <c r="K3128" t="str" cm="1">
        <f t="array" ref="K3128">IFERROR(_xlfn.SWITCH(L3128,2,_xlfn.XLOOKUP(C3128,[1]ModifierDes!$B:$B,[1]ModifierDes!$C:$C),3,_xlfn.XLOOKUP(C3128,[1]StuntDes!$B:$B,[1]StuntDes!$C:$C)),"")</f>
        <v/>
      </c>
      <c r="L3128">
        <f t="shared" si="128"/>
        <v>1</v>
      </c>
      <c r="M3128" s="10" t="str">
        <f>IFERROR(_xlfn.XLOOKUP(C3128,[1]StuntDes!$B:$B,[1]StuntDes!$A:$A),"")</f>
        <v/>
      </c>
      <c r="N3128" s="10" t="str">
        <f>IFERROR(_xlfn.XLOOKUP(C3128,[1]ModifierDes!$B:$B,[1]ModifierDes!$A:$A),"")</f>
        <v/>
      </c>
      <c r="O3128" s="10">
        <f>IFERROR(_xlfn.XLOOKUP(C3128,[1]AttributeName!$C:$C,[1]AttributeName!$B:$B),"")</f>
        <v>10403</v>
      </c>
      <c r="P3128" s="10"/>
      <c r="Q3128">
        <v>2</v>
      </c>
      <c r="R3128">
        <v>3</v>
      </c>
      <c r="S3128" cm="1">
        <f t="array" ref="S3128">IFERROR(_xlfn.SWITCH(L3128,1,_xlfn.XLOOKUP(O3128,[1]AttributeName!$B:$B,[1]AttributeName!$D:$D),2,_xlfn.XLOOKUP(C3128,#REF!,#REF!),3,_xlfn.XLOOKUP(C3128,#REF!,#REF!)),0)</f>
        <v>0</v>
      </c>
      <c r="T3128" cm="1">
        <f t="array" ref="T3128">IFERROR(_xlfn.SWITCH(L3128,1,_xlfn.XLOOKUP(O3128,[1]AttributeName!$B:$B,[1]AttributeName!$E:$E),2,_xlfn.XLOOKUP(C3128,#REF!,#REF!),3,_xlfn.XLOOKUP(C3128,#REF!,#REF!)),0)</f>
        <v>1</v>
      </c>
    </row>
    <row r="3129" customFormat="1" spans="1:20">
      <c r="A3129">
        <v>90006</v>
      </c>
      <c r="B3129">
        <v>1</v>
      </c>
      <c r="C3129" t="s">
        <v>399</v>
      </c>
      <c r="D3129" t="s">
        <v>132</v>
      </c>
      <c r="E3129" t="s">
        <v>392</v>
      </c>
      <c r="H3129">
        <v>1000</v>
      </c>
      <c r="J3129">
        <v>1</v>
      </c>
      <c r="K3129" t="str" cm="1">
        <f t="array" ref="K3129">IFERROR(_xlfn.SWITCH(L3129,2,_xlfn.XLOOKUP(C3129,[1]ModifierDes!$B:$B,[1]ModifierDes!$C:$C),3,_xlfn.XLOOKUP(C3129,[1]StuntDes!$B:$B,[1]StuntDes!$C:$C)),"")</f>
        <v/>
      </c>
      <c r="L3129">
        <f t="shared" si="128"/>
        <v>1</v>
      </c>
      <c r="M3129" s="10" t="str">
        <f>IFERROR(_xlfn.XLOOKUP(C3129,[1]StuntDes!$B:$B,[1]StuntDes!$A:$A),"")</f>
        <v/>
      </c>
      <c r="N3129" s="10" t="str">
        <f>IFERROR(_xlfn.XLOOKUP(C3129,[1]ModifierDes!$B:$B,[1]ModifierDes!$A:$A),"")</f>
        <v/>
      </c>
      <c r="O3129" s="10">
        <f>IFERROR(_xlfn.XLOOKUP(C3129,[1]AttributeName!$C:$C,[1]AttributeName!$B:$B),"")</f>
        <v>10102</v>
      </c>
      <c r="P3129" s="10"/>
      <c r="Q3129">
        <v>0.3</v>
      </c>
      <c r="R3129">
        <v>0.5</v>
      </c>
      <c r="S3129" cm="1">
        <f t="array" ref="S3129">IFERROR(_xlfn.SWITCH(L3129,1,_xlfn.XLOOKUP(O3129,[1]AttributeName!$B:$B,[1]AttributeName!$D:$D),2,_xlfn.XLOOKUP(C3129,#REF!,#REF!),3,_xlfn.XLOOKUP(C3129,#REF!,#REF!)),0)</f>
        <v>2</v>
      </c>
      <c r="T3129" cm="1">
        <f t="array" ref="T3129">IFERROR(_xlfn.SWITCH(L3129,1,_xlfn.XLOOKUP(O3129,[1]AttributeName!$B:$B,[1]AttributeName!$E:$E),2,_xlfn.XLOOKUP(C3129,#REF!,#REF!),3,_xlfn.XLOOKUP(C3129,#REF!,#REF!)),0)</f>
        <v>2</v>
      </c>
    </row>
    <row r="3130" spans="1:20">
      <c r="A3130">
        <v>90007</v>
      </c>
      <c r="B3130">
        <v>1</v>
      </c>
      <c r="C3130" s="13" t="s">
        <v>445</v>
      </c>
      <c r="D3130" t="s">
        <v>202</v>
      </c>
      <c r="E3130" t="s">
        <v>378</v>
      </c>
      <c r="H3130">
        <v>1000</v>
      </c>
      <c r="J3130">
        <v>1</v>
      </c>
      <c r="K3130" t="str" cm="1">
        <f t="array" ref="K3130">IFERROR(_xlfn.SWITCH(L3130,2,_xlfn.XLOOKUP(C3130,[1]ModifierDes!$B:$B,[1]ModifierDes!$C:$C),3,_xlfn.XLOOKUP(C3130,[1]StuntDes!$B:$B,[1]StuntDes!$C:$C)),"")</f>
        <v/>
      </c>
      <c r="L3130">
        <f t="shared" si="128"/>
        <v>1</v>
      </c>
      <c r="M3130" s="10" t="str">
        <f>IFERROR(_xlfn.XLOOKUP(C3130,[1]StuntDes!$B:$B,[1]StuntDes!$A:$A),"")</f>
        <v/>
      </c>
      <c r="N3130" s="10" t="str">
        <f>IFERROR(_xlfn.XLOOKUP(C3130,[1]ModifierDes!$B:$B,[1]ModifierDes!$A:$A),"")</f>
        <v/>
      </c>
      <c r="O3130" s="10">
        <f>IFERROR(_xlfn.XLOOKUP(C3130,[1]AttributeName!$C:$C,[1]AttributeName!$B:$B),"")</f>
        <v>10300</v>
      </c>
      <c r="P3130" s="10"/>
      <c r="Q3130">
        <v>0.1</v>
      </c>
      <c r="R3130">
        <v>0.3</v>
      </c>
      <c r="S3130" cm="1">
        <f t="array" ref="S3130">IFERROR(_xlfn.SWITCH(L3130,1,_xlfn.XLOOKUP(O3130,[1]AttributeName!$B:$B,[1]AttributeName!$D:$D),2,_xlfn.XLOOKUP(C3130,#REF!,#REF!),3,_xlfn.XLOOKUP(C3130,#REF!,#REF!)),0)</f>
        <v>2</v>
      </c>
      <c r="T3130" cm="1">
        <f t="array" ref="T3130">IFERROR(_xlfn.SWITCH(L3130,1,_xlfn.XLOOKUP(O3130,[1]AttributeName!$B:$B,[1]AttributeName!$E:$E),2,_xlfn.XLOOKUP(C3130,#REF!,#REF!),3,_xlfn.XLOOKUP(C3130,#REF!,#REF!)),0)</f>
        <v>2</v>
      </c>
    </row>
    <row r="3131" spans="1:20">
      <c r="A3131">
        <v>90008</v>
      </c>
      <c r="B3131">
        <v>1</v>
      </c>
      <c r="C3131" t="s">
        <v>389</v>
      </c>
      <c r="D3131" t="s">
        <v>202</v>
      </c>
      <c r="E3131" t="s">
        <v>378</v>
      </c>
      <c r="H3131">
        <v>1000</v>
      </c>
      <c r="J3131">
        <v>1</v>
      </c>
      <c r="K3131" t="str" cm="1">
        <f t="array" ref="K3131">IFERROR(_xlfn.SWITCH(L3131,2,_xlfn.XLOOKUP(C3131,[1]ModifierDes!$B:$B,[1]ModifierDes!$C:$C),3,_xlfn.XLOOKUP(C3131,[1]StuntDes!$B:$B,[1]StuntDes!$C:$C)),"")</f>
        <v/>
      </c>
      <c r="L3131">
        <f t="shared" si="128"/>
        <v>1</v>
      </c>
      <c r="M3131" s="10" t="str">
        <f>IFERROR(_xlfn.XLOOKUP(C3131,[1]StuntDes!$B:$B,[1]StuntDes!$A:$A),"")</f>
        <v/>
      </c>
      <c r="N3131" s="10" t="str">
        <f>IFERROR(_xlfn.XLOOKUP(C3131,[1]ModifierDes!$B:$B,[1]ModifierDes!$A:$A),"")</f>
        <v/>
      </c>
      <c r="O3131" s="10">
        <f>IFERROR(_xlfn.XLOOKUP(C3131,[1]AttributeName!$C:$C,[1]AttributeName!$B:$B),"")</f>
        <v>10001</v>
      </c>
      <c r="P3131" s="10"/>
      <c r="Q3131">
        <v>100</v>
      </c>
      <c r="R3131">
        <v>200</v>
      </c>
      <c r="S3131" cm="1">
        <f t="array" ref="S3131">IFERROR(_xlfn.SWITCH(L3131,1,_xlfn.XLOOKUP(O3131,[1]AttributeName!$B:$B,[1]AttributeName!$D:$D),2,_xlfn.XLOOKUP(C3131,#REF!,#REF!),3,_xlfn.XLOOKUP(C3131,#REF!,#REF!)),0)</f>
        <v>0</v>
      </c>
      <c r="T3131" cm="1">
        <f t="array" ref="T3131">IFERROR(_xlfn.SWITCH(L3131,1,_xlfn.XLOOKUP(O3131,[1]AttributeName!$B:$B,[1]AttributeName!$E:$E),2,_xlfn.XLOOKUP(C3131,#REF!,#REF!),3,_xlfn.XLOOKUP(C3131,#REF!,#REF!)),0)</f>
        <v>1</v>
      </c>
    </row>
    <row r="3132" spans="1:20">
      <c r="A3132">
        <v>90009</v>
      </c>
      <c r="B3132">
        <v>1</v>
      </c>
      <c r="C3132" t="s">
        <v>446</v>
      </c>
      <c r="D3132" t="s">
        <v>202</v>
      </c>
      <c r="E3132" t="s">
        <v>378</v>
      </c>
      <c r="H3132">
        <v>1000</v>
      </c>
      <c r="J3132">
        <v>1</v>
      </c>
      <c r="K3132" t="str" cm="1">
        <f t="array" ref="K3132">IFERROR(_xlfn.SWITCH(L3132,2,_xlfn.XLOOKUP(C3132,[1]ModifierDes!$B:$B,[1]ModifierDes!$C:$C),3,_xlfn.XLOOKUP(C3132,[1]StuntDes!$B:$B,[1]StuntDes!$C:$C)),"")</f>
        <v/>
      </c>
      <c r="L3132">
        <f t="shared" si="128"/>
        <v>1</v>
      </c>
      <c r="M3132" s="10" t="str">
        <f>IFERROR(_xlfn.XLOOKUP(C3132,[1]StuntDes!$B:$B,[1]StuntDes!$A:$A),"")</f>
        <v/>
      </c>
      <c r="N3132" s="10" t="str">
        <f>IFERROR(_xlfn.XLOOKUP(C3132,[1]ModifierDes!$B:$B,[1]ModifierDes!$A:$A),"")</f>
        <v/>
      </c>
      <c r="O3132" s="10">
        <f>IFERROR(_xlfn.XLOOKUP(C3132,[1]AttributeName!$C:$C,[1]AttributeName!$B:$B),"")</f>
        <v>10316</v>
      </c>
      <c r="P3132" s="10"/>
      <c r="Q3132">
        <v>0.1</v>
      </c>
      <c r="R3132">
        <v>0.2</v>
      </c>
      <c r="S3132" cm="1">
        <f t="array" ref="S3132">IFERROR(_xlfn.SWITCH(L3132,1,_xlfn.XLOOKUP(O3132,[1]AttributeName!$B:$B,[1]AttributeName!$D:$D),2,_xlfn.XLOOKUP(C3132,#REF!,#REF!),3,_xlfn.XLOOKUP(C3132,#REF!,#REF!)),0)</f>
        <v>2</v>
      </c>
      <c r="T3132" cm="1">
        <f t="array" ref="T3132">IFERROR(_xlfn.SWITCH(L3132,1,_xlfn.XLOOKUP(O3132,[1]AttributeName!$B:$B,[1]AttributeName!$E:$E),2,_xlfn.XLOOKUP(C3132,#REF!,#REF!),3,_xlfn.XLOOKUP(C3132,#REF!,#REF!)),0)</f>
        <v>2</v>
      </c>
    </row>
    <row r="3133" spans="1:20">
      <c r="A3133">
        <v>90010</v>
      </c>
      <c r="B3133">
        <v>1</v>
      </c>
      <c r="C3133" t="s">
        <v>447</v>
      </c>
      <c r="D3133" t="s">
        <v>202</v>
      </c>
      <c r="E3133" t="s">
        <v>392</v>
      </c>
      <c r="H3133">
        <v>1000</v>
      </c>
      <c r="J3133">
        <v>1</v>
      </c>
      <c r="K3133" t="str" cm="1">
        <f t="array" ref="K3133">IFERROR(_xlfn.SWITCH(L3133,2,_xlfn.XLOOKUP(C3133,[1]ModifierDes!$B:$B,[1]ModifierDes!$C:$C),3,_xlfn.XLOOKUP(C3133,[1]StuntDes!$B:$B,[1]StuntDes!$C:$C)),"")</f>
        <v>旋风斩无cd,伤害减少{0}倍率</v>
      </c>
      <c r="L3133">
        <f t="shared" si="128"/>
        <v>2</v>
      </c>
      <c r="M3133" s="10" t="str">
        <f>IFERROR(_xlfn.XLOOKUP(C3133,[1]StuntDes!$B:$B,[1]StuntDes!$A:$A),"")</f>
        <v/>
      </c>
      <c r="N3133" s="10">
        <f>IFERROR(_xlfn.XLOOKUP(C3133,[1]ModifierDes!$B:$B,[1]ModifierDes!$A:$A),"")</f>
        <v>10078</v>
      </c>
      <c r="O3133" s="10" t="str">
        <f>IFERROR(_xlfn.XLOOKUP(C3133,[1]AttributeName!$C:$C,[1]AttributeName!$B:$B),"")</f>
        <v/>
      </c>
      <c r="P3133" s="10"/>
      <c r="Q3133">
        <v>0</v>
      </c>
      <c r="R3133">
        <v>0</v>
      </c>
      <c r="S3133" cm="1">
        <f t="array" ref="S3133">IFERROR(_xlfn.SWITCH(L3133,1,_xlfn.XLOOKUP(O3133,[1]AttributeName!$B:$B,[1]AttributeName!$D:$D),2,_xlfn.XLOOKUP(C3133,#REF!,#REF!),3,_xlfn.XLOOKUP(C3133,#REF!,#REF!)),0)</f>
        <v>0</v>
      </c>
      <c r="T3133" cm="1">
        <f t="array" ref="T3133">IFERROR(_xlfn.SWITCH(L3133,1,_xlfn.XLOOKUP(O3133,[1]AttributeName!$B:$B,[1]AttributeName!$E:$E),2,_xlfn.XLOOKUP(C3133,#REF!,#REF!),3,_xlfn.XLOOKUP(C3133,#REF!,#REF!)),0)</f>
        <v>0</v>
      </c>
    </row>
    <row r="3134" spans="1:20">
      <c r="A3134">
        <v>90011</v>
      </c>
      <c r="B3134">
        <v>1</v>
      </c>
      <c r="C3134" t="s">
        <v>448</v>
      </c>
      <c r="D3134" t="s">
        <v>202</v>
      </c>
      <c r="E3134" t="s">
        <v>392</v>
      </c>
      <c r="H3134">
        <v>1000</v>
      </c>
      <c r="J3134">
        <v>1</v>
      </c>
      <c r="K3134" t="str" cm="1">
        <f t="array" ref="K3134">IFERROR(_xlfn.SWITCH(L3134,2,_xlfn.XLOOKUP(C3134,[1]ModifierDes!$B:$B,[1]ModifierDes!$C:$C),3,_xlfn.XLOOKUP(C3134,[1]StuntDes!$B:$B,[1]StuntDes!$C:$C)),"")</f>
        <v>范围效果提高{0}</v>
      </c>
      <c r="L3134">
        <f t="shared" si="128"/>
        <v>2</v>
      </c>
      <c r="M3134" s="10" t="str">
        <f>IFERROR(_xlfn.XLOOKUP(C3134,[1]StuntDes!$B:$B,[1]StuntDes!$A:$A),"")</f>
        <v/>
      </c>
      <c r="N3134" s="10">
        <f>IFERROR(_xlfn.XLOOKUP(C3134,[1]ModifierDes!$B:$B,[1]ModifierDes!$A:$A),"")</f>
        <v>10032</v>
      </c>
      <c r="Q3134">
        <v>0.1</v>
      </c>
      <c r="R3134">
        <v>0.1</v>
      </c>
      <c r="S3134" cm="1">
        <f t="array" ref="S3134">IFERROR(_xlfn.SWITCH(L3134,1,_xlfn.XLOOKUP(O3134,[1]AttributeName!$B:$B,[1]AttributeName!$D:$D),2,_xlfn.XLOOKUP(C3134,#REF!,#REF!),3,_xlfn.XLOOKUP(C3134,#REF!,#REF!)),0)</f>
        <v>0</v>
      </c>
      <c r="T3134" cm="1">
        <f t="array" ref="T3134">IFERROR(_xlfn.SWITCH(L3134,1,_xlfn.XLOOKUP(O3134,[1]AttributeName!$B:$B,[1]AttributeName!$E:$E),2,_xlfn.XLOOKUP(C3134,#REF!,#REF!),3,_xlfn.XLOOKUP(C3134,#REF!,#REF!)),0)</f>
        <v>0</v>
      </c>
    </row>
    <row r="3135" spans="1:20">
      <c r="A3135">
        <v>90012</v>
      </c>
      <c r="B3135">
        <v>1</v>
      </c>
      <c r="C3135" t="s">
        <v>449</v>
      </c>
      <c r="D3135" t="s">
        <v>202</v>
      </c>
      <c r="E3135" t="s">
        <v>392</v>
      </c>
      <c r="H3135">
        <v>1000</v>
      </c>
      <c r="J3135">
        <v>1</v>
      </c>
      <c r="K3135" t="str" cm="1">
        <f t="array" ref="K3135">IFERROR(_xlfn.SWITCH(L3135,2,_xlfn.XLOOKUP(C3135,[1]ModifierDes!$B:$B,[1]ModifierDes!$C:$C),3,_xlfn.XLOOKUP(C3135,[1]StuntDes!$B:$B,[1]StuntDes!$C:$C)),"")</f>
        <v/>
      </c>
      <c r="L3135">
        <f t="shared" si="128"/>
        <v>1</v>
      </c>
      <c r="M3135" s="10" t="str">
        <f>IFERROR(_xlfn.XLOOKUP(C3135,[1]StuntDes!$B:$B,[1]StuntDes!$A:$A),"")</f>
        <v/>
      </c>
      <c r="N3135" s="10" t="str">
        <f>IFERROR(_xlfn.XLOOKUP(C3135,[1]ModifierDes!$B:$B,[1]ModifierDes!$A:$A),"")</f>
        <v/>
      </c>
      <c r="O3135" s="10" t="str">
        <f>IFERROR(_xlfn.XLOOKUP(C3135,[1]AttributeName!$C:$C,[1]AttributeName!$B:$B),"")</f>
        <v/>
      </c>
      <c r="P3135" s="10"/>
      <c r="Q3135">
        <v>0.1</v>
      </c>
      <c r="R3135">
        <v>0.2</v>
      </c>
      <c r="S3135" cm="1">
        <f t="array" ref="S3135">IFERROR(_xlfn.SWITCH(L3135,1,_xlfn.XLOOKUP(O3135,[1]AttributeName!$B:$B,[1]AttributeName!$D:$D),2,_xlfn.XLOOKUP(C3135,#REF!,#REF!),3,_xlfn.XLOOKUP(C3135,#REF!,#REF!)),0)</f>
        <v>0</v>
      </c>
      <c r="T3135" cm="1">
        <f t="array" ref="T3135">IFERROR(_xlfn.SWITCH(L3135,1,_xlfn.XLOOKUP(O3135,[1]AttributeName!$B:$B,[1]AttributeName!$E:$E),2,_xlfn.XLOOKUP(C3135,#REF!,#REF!),3,_xlfn.XLOOKUP(C3135,#REF!,#REF!)),0)</f>
        <v>0</v>
      </c>
    </row>
    <row r="3136" customFormat="1" spans="1:20">
      <c r="A3136">
        <v>90013</v>
      </c>
      <c r="B3136">
        <v>1</v>
      </c>
      <c r="C3136" t="s">
        <v>389</v>
      </c>
      <c r="D3136" t="s">
        <v>151</v>
      </c>
      <c r="E3136" t="s">
        <v>378</v>
      </c>
      <c r="H3136">
        <v>1000</v>
      </c>
      <c r="J3136">
        <v>1</v>
      </c>
      <c r="K3136" t="str" cm="1">
        <f t="array" ref="K3136">IFERROR(_xlfn.SWITCH(L3136,2,_xlfn.XLOOKUP(C3136,[1]ModifierDes!$B:$B,[1]ModifierDes!$C:$C),3,_xlfn.XLOOKUP(C3136,[1]StuntDes!$B:$B,[1]StuntDes!$C:$C)),"")</f>
        <v/>
      </c>
      <c r="L3136">
        <f t="shared" si="128"/>
        <v>1</v>
      </c>
      <c r="M3136" s="10" t="str">
        <f>IFERROR(_xlfn.XLOOKUP(C3136,[1]StuntDes!$B:$B,[1]StuntDes!$A:$A),"")</f>
        <v/>
      </c>
      <c r="N3136" s="10" t="str">
        <f>IFERROR(_xlfn.XLOOKUP(C3136,[1]ModifierDes!$B:$B,[1]ModifierDes!$A:$A),"")</f>
        <v/>
      </c>
      <c r="O3136" s="10">
        <f>IFERROR(_xlfn.XLOOKUP(C3136,[1]AttributeName!$C:$C,[1]AttributeName!$B:$B),"")</f>
        <v>10001</v>
      </c>
      <c r="P3136" s="10"/>
      <c r="Q3136">
        <v>60</v>
      </c>
      <c r="R3136">
        <v>100</v>
      </c>
      <c r="S3136" cm="1">
        <f t="array" ref="S3136">IFERROR(_xlfn.SWITCH(L3136,1,_xlfn.XLOOKUP(O3136,[1]AttributeName!$B:$B,[1]AttributeName!$D:$D),2,_xlfn.XLOOKUP(C3136,#REF!,#REF!),3,_xlfn.XLOOKUP(C3136,#REF!,#REF!)),0)</f>
        <v>0</v>
      </c>
      <c r="T3136" cm="1">
        <f t="array" ref="T3136">IFERROR(_xlfn.SWITCH(L3136,1,_xlfn.XLOOKUP(O3136,[1]AttributeName!$B:$B,[1]AttributeName!$E:$E),2,_xlfn.XLOOKUP(C3136,#REF!,#REF!),3,_xlfn.XLOOKUP(C3136,#REF!,#REF!)),0)</f>
        <v>1</v>
      </c>
    </row>
    <row r="3137" customFormat="1" spans="1:20">
      <c r="A3137">
        <v>90014</v>
      </c>
      <c r="B3137">
        <v>1</v>
      </c>
      <c r="C3137" t="s">
        <v>446</v>
      </c>
      <c r="D3137" t="s">
        <v>151</v>
      </c>
      <c r="E3137" t="s">
        <v>378</v>
      </c>
      <c r="H3137">
        <v>1000</v>
      </c>
      <c r="J3137">
        <v>1</v>
      </c>
      <c r="K3137" t="str" cm="1">
        <f t="array" ref="K3137">IFERROR(_xlfn.SWITCH(L3137,2,_xlfn.XLOOKUP(C3137,[1]ModifierDes!$B:$B,[1]ModifierDes!$C:$C),3,_xlfn.XLOOKUP(C3137,[1]StuntDes!$B:$B,[1]StuntDes!$C:$C)),"")</f>
        <v/>
      </c>
      <c r="L3137">
        <f t="shared" si="128"/>
        <v>1</v>
      </c>
      <c r="M3137" s="10" t="str">
        <f>IFERROR(_xlfn.XLOOKUP(C3137,[1]StuntDes!$B:$B,[1]StuntDes!$A:$A),"")</f>
        <v/>
      </c>
      <c r="N3137" s="10" t="str">
        <f>IFERROR(_xlfn.XLOOKUP(C3137,[1]ModifierDes!$B:$B,[1]ModifierDes!$A:$A),"")</f>
        <v/>
      </c>
      <c r="O3137" s="10">
        <f>IFERROR(_xlfn.XLOOKUP(C3137,[1]AttributeName!$C:$C,[1]AttributeName!$B:$B),"")</f>
        <v>10316</v>
      </c>
      <c r="P3137" s="10"/>
      <c r="Q3137">
        <v>0.05</v>
      </c>
      <c r="R3137">
        <v>0.1</v>
      </c>
      <c r="S3137" cm="1">
        <f t="array" ref="S3137">IFERROR(_xlfn.SWITCH(L3137,1,_xlfn.XLOOKUP(O3137,[1]AttributeName!$B:$B,[1]AttributeName!$D:$D),2,_xlfn.XLOOKUP(C3137,#REF!,#REF!),3,_xlfn.XLOOKUP(C3137,#REF!,#REF!)),0)</f>
        <v>2</v>
      </c>
      <c r="T3137" cm="1">
        <f t="array" ref="T3137">IFERROR(_xlfn.SWITCH(L3137,1,_xlfn.XLOOKUP(O3137,[1]AttributeName!$B:$B,[1]AttributeName!$E:$E),2,_xlfn.XLOOKUP(C3137,#REF!,#REF!),3,_xlfn.XLOOKUP(C3137,#REF!,#REF!)),0)</f>
        <v>2</v>
      </c>
    </row>
    <row r="3138" customFormat="1" spans="1:20">
      <c r="A3138">
        <v>90015</v>
      </c>
      <c r="B3138">
        <v>1</v>
      </c>
      <c r="C3138" t="s">
        <v>449</v>
      </c>
      <c r="D3138" t="s">
        <v>151</v>
      </c>
      <c r="E3138" t="s">
        <v>378</v>
      </c>
      <c r="H3138">
        <v>1000</v>
      </c>
      <c r="J3138">
        <v>1</v>
      </c>
      <c r="K3138" t="str" cm="1">
        <f t="array" ref="K3138">IFERROR(_xlfn.SWITCH(L3138,2,_xlfn.XLOOKUP(C3138,[1]ModifierDes!$B:$B,[1]ModifierDes!$C:$C),3,_xlfn.XLOOKUP(C3138,[1]StuntDes!$B:$B,[1]StuntDes!$C:$C)),"")</f>
        <v/>
      </c>
      <c r="L3138">
        <f t="shared" si="128"/>
        <v>1</v>
      </c>
      <c r="M3138" s="10" t="str">
        <f>IFERROR(_xlfn.XLOOKUP(C3138,[1]StuntDes!$B:$B,[1]StuntDes!$A:$A),"")</f>
        <v/>
      </c>
      <c r="N3138" s="10" t="str">
        <f>IFERROR(_xlfn.XLOOKUP(C3138,[1]ModifierDes!$B:$B,[1]ModifierDes!$A:$A),"")</f>
        <v/>
      </c>
      <c r="O3138" s="10" t="str">
        <f>IFERROR(_xlfn.XLOOKUP(C3138,[1]AttributeName!$C:$C,[1]AttributeName!$B:$B),"")</f>
        <v/>
      </c>
      <c r="P3138" s="10"/>
      <c r="Q3138">
        <v>0</v>
      </c>
      <c r="R3138">
        <v>0</v>
      </c>
      <c r="S3138" cm="1">
        <f t="array" ref="S3138">IFERROR(_xlfn.SWITCH(L3138,1,_xlfn.XLOOKUP(O3138,[1]AttributeName!$B:$B,[1]AttributeName!$D:$D),2,_xlfn.XLOOKUP(C3138,#REF!,#REF!),3,_xlfn.XLOOKUP(C3138,#REF!,#REF!)),0)</f>
        <v>0</v>
      </c>
      <c r="T3138" cm="1">
        <f t="array" ref="T3138">IFERROR(_xlfn.SWITCH(L3138,1,_xlfn.XLOOKUP(O3138,[1]AttributeName!$B:$B,[1]AttributeName!$E:$E),2,_xlfn.XLOOKUP(C3138,#REF!,#REF!),3,_xlfn.XLOOKUP(C3138,#REF!,#REF!)),0)</f>
        <v>0</v>
      </c>
    </row>
    <row r="3139" customFormat="1" spans="1:20">
      <c r="A3139">
        <v>90016</v>
      </c>
      <c r="B3139">
        <v>1</v>
      </c>
      <c r="C3139" s="13" t="s">
        <v>450</v>
      </c>
      <c r="D3139" t="s">
        <v>151</v>
      </c>
      <c r="E3139" t="s">
        <v>392</v>
      </c>
      <c r="H3139">
        <v>1000</v>
      </c>
      <c r="J3139">
        <v>1</v>
      </c>
      <c r="K3139" t="str" cm="1">
        <f t="array" ref="K3139">IFERROR(_xlfn.SWITCH(L3139,2,_xlfn.XLOOKUP(C3139,[1]ModifierDes!$B:$B,[1]ModifierDes!$C:$C),3,_xlfn.XLOOKUP(C3139,[1]StuntDes!$B:$B,[1]StuntDes!$C:$C)),"")</f>
        <v>装备时获得“闪电之捷”</v>
      </c>
      <c r="L3139">
        <f t="shared" si="128"/>
        <v>3</v>
      </c>
      <c r="M3139" s="10">
        <f>IFERROR(_xlfn.XLOOKUP(C3139,[1]StuntDes!$B:$B,[1]StuntDes!$A:$A),"")</f>
        <v>2110000010</v>
      </c>
      <c r="N3139" s="10" t="str">
        <f>IFERROR(_xlfn.XLOOKUP(C3139,[1]ModifierDes!$B:$B,[1]ModifierDes!$A:$A),"")</f>
        <v/>
      </c>
      <c r="O3139" s="10" t="str">
        <f>IFERROR(_xlfn.XLOOKUP(C3139,[1]AttributeName!$C:$C,[1]AttributeName!$B:$B),"")</f>
        <v/>
      </c>
      <c r="P3139" s="10"/>
      <c r="Q3139">
        <v>0</v>
      </c>
      <c r="R3139">
        <v>0</v>
      </c>
      <c r="S3139" cm="1">
        <f t="array" ref="S3139">IFERROR(_xlfn.SWITCH(L3139,1,_xlfn.XLOOKUP(O3139,[1]AttributeName!$B:$B,[1]AttributeName!$D:$D),2,_xlfn.XLOOKUP(C3139,#REF!,#REF!),3,_xlfn.XLOOKUP(C3139,#REF!,#REF!)),0)</f>
        <v>0</v>
      </c>
      <c r="T3139" cm="1">
        <f t="array" ref="T3139">IFERROR(_xlfn.SWITCH(L3139,1,_xlfn.XLOOKUP(O3139,[1]AttributeName!$B:$B,[1]AttributeName!$E:$E),2,_xlfn.XLOOKUP(C3139,#REF!,#REF!),3,_xlfn.XLOOKUP(C3139,#REF!,#REF!)),0)</f>
        <v>0</v>
      </c>
    </row>
    <row r="3140" customFormat="1" spans="1:20">
      <c r="A3140">
        <v>90017</v>
      </c>
      <c r="B3140">
        <v>1</v>
      </c>
      <c r="C3140" t="s">
        <v>451</v>
      </c>
      <c r="D3140" t="s">
        <v>151</v>
      </c>
      <c r="E3140" t="s">
        <v>392</v>
      </c>
      <c r="H3140">
        <v>1000</v>
      </c>
      <c r="J3140">
        <v>1</v>
      </c>
      <c r="K3140" t="str" cm="1">
        <f t="array" ref="K3140">IFERROR(_xlfn.SWITCH(L3140,2,_xlfn.XLOOKUP(C3140,[1]ModifierDes!$B:$B,[1]ModifierDes!$C:$C),3,_xlfn.XLOOKUP(C3140,[1]StuntDes!$B:$B,[1]StuntDes!$C:$C)),"")</f>
        <v>装备时获得“火焰之捷”</v>
      </c>
      <c r="L3140">
        <f t="shared" ref="L3140:L3203" si="129">IF(M3140="",IF(N3140="",1,2),3)</f>
        <v>3</v>
      </c>
      <c r="M3140" s="10">
        <f>IFERROR(_xlfn.XLOOKUP(C3140,[1]StuntDes!$B:$B,[1]StuntDes!$A:$A),"")</f>
        <v>2110000020</v>
      </c>
      <c r="N3140" s="10" t="str">
        <f>IFERROR(_xlfn.XLOOKUP(C3140,[1]ModifierDes!$B:$B,[1]ModifierDes!$A:$A),"")</f>
        <v/>
      </c>
      <c r="O3140" s="10" t="str">
        <f>IFERROR(_xlfn.XLOOKUP(C3140,[1]AttributeName!$C:$C,[1]AttributeName!$B:$B),"")</f>
        <v/>
      </c>
      <c r="P3140" s="10"/>
      <c r="Q3140">
        <v>0</v>
      </c>
      <c r="R3140">
        <v>0</v>
      </c>
      <c r="S3140" cm="1">
        <f t="array" ref="S3140">IFERROR(_xlfn.SWITCH(L3140,1,_xlfn.XLOOKUP(O3140,[1]AttributeName!$B:$B,[1]AttributeName!$D:$D),2,_xlfn.XLOOKUP(C3140,#REF!,#REF!),3,_xlfn.XLOOKUP(C3140,#REF!,#REF!)),0)</f>
        <v>0</v>
      </c>
      <c r="T3140" cm="1">
        <f t="array" ref="T3140">IFERROR(_xlfn.SWITCH(L3140,1,_xlfn.XLOOKUP(O3140,[1]AttributeName!$B:$B,[1]AttributeName!$E:$E),2,_xlfn.XLOOKUP(C3140,#REF!,#REF!),3,_xlfn.XLOOKUP(C3140,#REF!,#REF!)),0)</f>
        <v>0</v>
      </c>
    </row>
    <row r="3141" customFormat="1" spans="1:20">
      <c r="A3141">
        <v>90018</v>
      </c>
      <c r="B3141">
        <v>1</v>
      </c>
      <c r="C3141" t="s">
        <v>452</v>
      </c>
      <c r="D3141" t="s">
        <v>151</v>
      </c>
      <c r="E3141" t="s">
        <v>392</v>
      </c>
      <c r="H3141">
        <v>1000</v>
      </c>
      <c r="J3141">
        <v>1</v>
      </c>
      <c r="K3141" t="str" cm="1">
        <f t="array" ref="K3141">IFERROR(_xlfn.SWITCH(L3141,2,_xlfn.XLOOKUP(C3141,[1]ModifierDes!$B:$B,[1]ModifierDes!$C:$C),3,_xlfn.XLOOKUP(C3141,[1]StuntDes!$B:$B,[1]StuntDes!$C:$C)),"")</f>
        <v>装备时获得“冰霜之捷”</v>
      </c>
      <c r="L3141">
        <f t="shared" si="129"/>
        <v>3</v>
      </c>
      <c r="M3141" s="10">
        <f>IFERROR(_xlfn.XLOOKUP(C3141,[1]StuntDes!$B:$B,[1]StuntDes!$A:$A),"")</f>
        <v>2110000030</v>
      </c>
      <c r="N3141" s="10" t="str">
        <f>IFERROR(_xlfn.XLOOKUP(C3141,[1]ModifierDes!$B:$B,[1]ModifierDes!$A:$A),"")</f>
        <v/>
      </c>
      <c r="O3141" s="10" t="str">
        <f>IFERROR(_xlfn.XLOOKUP(C3141,[1]AttributeName!$C:$C,[1]AttributeName!$B:$B),"")</f>
        <v/>
      </c>
      <c r="P3141" s="10"/>
      <c r="Q3141">
        <v>0</v>
      </c>
      <c r="R3141">
        <v>0</v>
      </c>
      <c r="S3141" cm="1">
        <f t="array" ref="S3141">IFERROR(_xlfn.SWITCH(L3141,1,_xlfn.XLOOKUP(O3141,[1]AttributeName!$B:$B,[1]AttributeName!$D:$D),2,_xlfn.XLOOKUP(C3141,#REF!,#REF!),3,_xlfn.XLOOKUP(C3141,#REF!,#REF!)),0)</f>
        <v>0</v>
      </c>
      <c r="T3141" cm="1">
        <f t="array" ref="T3141">IFERROR(_xlfn.SWITCH(L3141,1,_xlfn.XLOOKUP(O3141,[1]AttributeName!$B:$B,[1]AttributeName!$E:$E),2,_xlfn.XLOOKUP(C3141,#REF!,#REF!),3,_xlfn.XLOOKUP(C3141,#REF!,#REF!)),0)</f>
        <v>0</v>
      </c>
    </row>
    <row r="3142" customFormat="1" spans="1:20">
      <c r="A3142">
        <v>90019</v>
      </c>
      <c r="B3142">
        <v>1</v>
      </c>
      <c r="C3142" s="13" t="s">
        <v>389</v>
      </c>
      <c r="D3142" t="s">
        <v>162</v>
      </c>
      <c r="E3142" t="s">
        <v>378</v>
      </c>
      <c r="H3142">
        <v>1000</v>
      </c>
      <c r="J3142">
        <v>1</v>
      </c>
      <c r="K3142" t="str" cm="1">
        <f t="array" ref="K3142">IFERROR(_xlfn.SWITCH(L3142,2,_xlfn.XLOOKUP(C3142,[1]ModifierDes!$B:$B,[1]ModifierDes!$C:$C),3,_xlfn.XLOOKUP(C3142,[1]StuntDes!$B:$B,[1]StuntDes!$C:$C)),"")</f>
        <v/>
      </c>
      <c r="L3142">
        <f t="shared" si="129"/>
        <v>1</v>
      </c>
      <c r="M3142" s="10" t="str">
        <f>IFERROR(_xlfn.XLOOKUP(C3142,[1]StuntDes!$B:$B,[1]StuntDes!$A:$A),"")</f>
        <v/>
      </c>
      <c r="N3142" s="10" t="str">
        <f>IFERROR(_xlfn.XLOOKUP(C3142,[1]ModifierDes!$B:$B,[1]ModifierDes!$A:$A),"")</f>
        <v/>
      </c>
      <c r="O3142" s="10">
        <f>IFERROR(_xlfn.XLOOKUP(C3142,[1]AttributeName!$C:$C,[1]AttributeName!$B:$B),"")</f>
        <v>10001</v>
      </c>
      <c r="P3142" s="10"/>
      <c r="Q3142">
        <v>950</v>
      </c>
      <c r="R3142">
        <v>1050</v>
      </c>
      <c r="S3142" cm="1">
        <f t="array" ref="S3142">IFERROR(_xlfn.SWITCH(L3142,1,_xlfn.XLOOKUP(O3142,[1]AttributeName!$B:$B,[1]AttributeName!$D:$D),2,_xlfn.XLOOKUP(C3142,#REF!,#REF!),3,_xlfn.XLOOKUP(C3142,#REF!,#REF!)),0)</f>
        <v>0</v>
      </c>
      <c r="T3142" cm="1">
        <f t="array" ref="T3142">IFERROR(_xlfn.SWITCH(L3142,1,_xlfn.XLOOKUP(O3142,[1]AttributeName!$B:$B,[1]AttributeName!$E:$E),2,_xlfn.XLOOKUP(C3142,#REF!,#REF!),3,_xlfn.XLOOKUP(C3142,#REF!,#REF!)),0)</f>
        <v>1</v>
      </c>
    </row>
    <row r="3143" customFormat="1" spans="1:20">
      <c r="A3143">
        <v>90020</v>
      </c>
      <c r="B3143">
        <v>1</v>
      </c>
      <c r="C3143" t="s">
        <v>416</v>
      </c>
      <c r="D3143" t="s">
        <v>162</v>
      </c>
      <c r="E3143" t="s">
        <v>378</v>
      </c>
      <c r="H3143">
        <v>1000</v>
      </c>
      <c r="J3143">
        <v>1</v>
      </c>
      <c r="K3143" t="str" cm="1">
        <f t="array" ref="K3143">IFERROR(_xlfn.SWITCH(L3143,2,_xlfn.XLOOKUP(C3143,[1]ModifierDes!$B:$B,[1]ModifierDes!$C:$C),3,_xlfn.XLOOKUP(C3143,[1]StuntDes!$B:$B,[1]StuntDes!$C:$C)),"")</f>
        <v/>
      </c>
      <c r="L3143">
        <f t="shared" si="129"/>
        <v>1</v>
      </c>
      <c r="M3143" s="10" t="str">
        <f>IFERROR(_xlfn.XLOOKUP(C3143,[1]StuntDes!$B:$B,[1]StuntDes!$A:$A),"")</f>
        <v/>
      </c>
      <c r="N3143" s="10" t="str">
        <f>IFERROR(_xlfn.XLOOKUP(C3143,[1]ModifierDes!$B:$B,[1]ModifierDes!$A:$A),"")</f>
        <v/>
      </c>
      <c r="O3143" s="10">
        <f>IFERROR(_xlfn.XLOOKUP(C3143,[1]AttributeName!$C:$C,[1]AttributeName!$B:$B),"")</f>
        <v>10002</v>
      </c>
      <c r="P3143" s="10"/>
      <c r="Q3143">
        <v>70</v>
      </c>
      <c r="R3143">
        <v>100</v>
      </c>
      <c r="S3143" cm="1">
        <f t="array" ref="S3143">IFERROR(_xlfn.SWITCH(L3143,1,_xlfn.XLOOKUP(O3143,[1]AttributeName!$B:$B,[1]AttributeName!$D:$D),2,_xlfn.XLOOKUP(C3143,#REF!,#REF!),3,_xlfn.XLOOKUP(C3143,#REF!,#REF!)),0)</f>
        <v>0</v>
      </c>
      <c r="T3143" cm="1">
        <f t="array" ref="T3143">IFERROR(_xlfn.SWITCH(L3143,1,_xlfn.XLOOKUP(O3143,[1]AttributeName!$B:$B,[1]AttributeName!$E:$E),2,_xlfn.XLOOKUP(C3143,#REF!,#REF!),3,_xlfn.XLOOKUP(C3143,#REF!,#REF!)),0)</f>
        <v>1</v>
      </c>
    </row>
    <row r="3144" customFormat="1" spans="1:20">
      <c r="A3144">
        <v>90021</v>
      </c>
      <c r="B3144">
        <v>1</v>
      </c>
      <c r="C3144" t="s">
        <v>449</v>
      </c>
      <c r="D3144" t="s">
        <v>162</v>
      </c>
      <c r="E3144" t="s">
        <v>378</v>
      </c>
      <c r="H3144">
        <v>1000</v>
      </c>
      <c r="J3144">
        <v>1</v>
      </c>
      <c r="K3144" t="str" cm="1">
        <f t="array" ref="K3144">IFERROR(_xlfn.SWITCH(L3144,2,_xlfn.XLOOKUP(C3144,[1]ModifierDes!$B:$B,[1]ModifierDes!$C:$C),3,_xlfn.XLOOKUP(C3144,[1]StuntDes!$B:$B,[1]StuntDes!$C:$C)),"")</f>
        <v/>
      </c>
      <c r="L3144">
        <f t="shared" si="129"/>
        <v>1</v>
      </c>
      <c r="M3144" s="10" t="str">
        <f>IFERROR(_xlfn.XLOOKUP(C3144,[1]StuntDes!$B:$B,[1]StuntDes!$A:$A),"")</f>
        <v/>
      </c>
      <c r="N3144" s="10" t="str">
        <f>IFERROR(_xlfn.XLOOKUP(C3144,[1]ModifierDes!$B:$B,[1]ModifierDes!$A:$A),"")</f>
        <v/>
      </c>
      <c r="O3144" s="10" t="str">
        <f>IFERROR(_xlfn.XLOOKUP(C3144,[1]AttributeName!$C:$C,[1]AttributeName!$B:$B),"")</f>
        <v/>
      </c>
      <c r="P3144" s="10"/>
      <c r="Q3144">
        <v>0</v>
      </c>
      <c r="R3144">
        <v>0</v>
      </c>
      <c r="S3144" cm="1">
        <f t="array" ref="S3144">IFERROR(_xlfn.SWITCH(L3144,1,_xlfn.XLOOKUP(O3144,[1]AttributeName!$B:$B,[1]AttributeName!$D:$D),2,_xlfn.XLOOKUP(C3144,#REF!,#REF!),3,_xlfn.XLOOKUP(C3144,#REF!,#REF!)),0)</f>
        <v>0</v>
      </c>
      <c r="T3144" cm="1">
        <f t="array" ref="T3144">IFERROR(_xlfn.SWITCH(L3144,1,_xlfn.XLOOKUP(O3144,[1]AttributeName!$B:$B,[1]AttributeName!$E:$E),2,_xlfn.XLOOKUP(C3144,#REF!,#REF!),3,_xlfn.XLOOKUP(C3144,#REF!,#REF!)),0)</f>
        <v>0</v>
      </c>
    </row>
    <row r="3145" customFormat="1" spans="1:20">
      <c r="A3145">
        <v>90022</v>
      </c>
      <c r="B3145">
        <v>1</v>
      </c>
      <c r="C3145" s="13" t="s">
        <v>453</v>
      </c>
      <c r="D3145" t="s">
        <v>162</v>
      </c>
      <c r="E3145" t="s">
        <v>392</v>
      </c>
      <c r="H3145">
        <v>1000</v>
      </c>
      <c r="J3145">
        <v>1</v>
      </c>
      <c r="K3145" t="str" cm="1">
        <f t="array" ref="K3145">IFERROR(_xlfn.SWITCH(L3145,2,_xlfn.XLOOKUP(C3145,[1]ModifierDes!$B:$B,[1]ModifierDes!$C:$C),3,_xlfn.XLOOKUP(C3145,[1]StuntDes!$B:$B,[1]StuntDes!$C:$C)),"")</f>
        <v/>
      </c>
      <c r="L3145">
        <f t="shared" si="129"/>
        <v>1</v>
      </c>
      <c r="M3145" s="10" t="str">
        <f>IFERROR(_xlfn.XLOOKUP(C3145,[1]StuntDes!$B:$B,[1]StuntDes!$A:$A),"")</f>
        <v/>
      </c>
      <c r="N3145" s="10" t="str">
        <f>IFERROR(_xlfn.XLOOKUP(C3145,[1]ModifierDes!$B:$B,[1]ModifierDes!$A:$A),"")</f>
        <v/>
      </c>
      <c r="O3145" s="10">
        <f>IFERROR(_xlfn.XLOOKUP(C3145,[1]AttributeName!$C:$C,[1]AttributeName!$B:$B),"")</f>
        <v>10007</v>
      </c>
      <c r="P3145" s="10"/>
      <c r="Q3145">
        <v>0.6</v>
      </c>
      <c r="R3145">
        <v>1</v>
      </c>
      <c r="S3145" cm="1">
        <f t="array" ref="S3145">IFERROR(_xlfn.SWITCH(L3145,1,_xlfn.XLOOKUP(O3145,[1]AttributeName!$B:$B,[1]AttributeName!$D:$D),2,_xlfn.XLOOKUP(C3145,#REF!,#REF!),3,_xlfn.XLOOKUP(C3145,#REF!,#REF!)),0)</f>
        <v>2</v>
      </c>
      <c r="T3145" cm="1">
        <f t="array" ref="T3145">IFERROR(_xlfn.SWITCH(L3145,1,_xlfn.XLOOKUP(O3145,[1]AttributeName!$B:$B,[1]AttributeName!$E:$E),2,_xlfn.XLOOKUP(C3145,#REF!,#REF!),3,_xlfn.XLOOKUP(C3145,#REF!,#REF!)),0)</f>
        <v>2</v>
      </c>
    </row>
    <row r="3146" customFormat="1" spans="1:20">
      <c r="A3146">
        <v>90023</v>
      </c>
      <c r="B3146">
        <v>1</v>
      </c>
      <c r="C3146" s="13" t="s">
        <v>423</v>
      </c>
      <c r="D3146" t="s">
        <v>162</v>
      </c>
      <c r="E3146" t="s">
        <v>392</v>
      </c>
      <c r="H3146">
        <v>1000</v>
      </c>
      <c r="J3146">
        <v>1</v>
      </c>
      <c r="K3146" t="str" cm="1">
        <f t="array" ref="K3146">IFERROR(_xlfn.SWITCH(L3146,2,_xlfn.XLOOKUP(C3146,[1]ModifierDes!$B:$B,[1]ModifierDes!$C:$C),3,_xlfn.XLOOKUP(C3146,[1]StuntDes!$B:$B,[1]StuntDes!$C:$C)),"")</f>
        <v/>
      </c>
      <c r="L3146">
        <f t="shared" si="129"/>
        <v>1</v>
      </c>
      <c r="M3146" s="10" t="str">
        <f>IFERROR(_xlfn.XLOOKUP(C3146,[1]StuntDes!$B:$B,[1]StuntDes!$A:$A),"")</f>
        <v/>
      </c>
      <c r="N3146" s="10" t="str">
        <f>IFERROR(_xlfn.XLOOKUP(C3146,[1]ModifierDes!$B:$B,[1]ModifierDes!$A:$A),"")</f>
        <v/>
      </c>
      <c r="O3146" s="10">
        <f>IFERROR(_xlfn.XLOOKUP(C3146,[1]AttributeName!$C:$C,[1]AttributeName!$B:$B),"")</f>
        <v>10312</v>
      </c>
      <c r="P3146" s="10"/>
      <c r="Q3146">
        <v>0.3</v>
      </c>
      <c r="R3146">
        <v>0.4</v>
      </c>
      <c r="S3146" cm="1">
        <f t="array" ref="S3146">IFERROR(_xlfn.SWITCH(L3146,1,_xlfn.XLOOKUP(O3146,[1]AttributeName!$B:$B,[1]AttributeName!$D:$D),2,_xlfn.XLOOKUP(C3146,#REF!,#REF!),3,_xlfn.XLOOKUP(C3146,#REF!,#REF!)),0)</f>
        <v>2</v>
      </c>
      <c r="T3146" cm="1">
        <f t="array" ref="T3146">IFERROR(_xlfn.SWITCH(L3146,1,_xlfn.XLOOKUP(O3146,[1]AttributeName!$B:$B,[1]AttributeName!$E:$E),2,_xlfn.XLOOKUP(C3146,#REF!,#REF!),3,_xlfn.XLOOKUP(C3146,#REF!,#REF!)),0)</f>
        <v>2</v>
      </c>
    </row>
    <row r="3147" customFormat="1" spans="1:20">
      <c r="A3147">
        <v>90024</v>
      </c>
      <c r="B3147">
        <v>1</v>
      </c>
      <c r="C3147" t="s">
        <v>449</v>
      </c>
      <c r="D3147" t="s">
        <v>162</v>
      </c>
      <c r="E3147" t="s">
        <v>392</v>
      </c>
      <c r="H3147">
        <v>1000</v>
      </c>
      <c r="J3147">
        <v>1</v>
      </c>
      <c r="K3147" t="str" cm="1">
        <f t="array" ref="K3147">IFERROR(_xlfn.SWITCH(L3147,2,_xlfn.XLOOKUP(C3147,[1]ModifierDes!$B:$B,[1]ModifierDes!$C:$C),3,_xlfn.XLOOKUP(C3147,[1]StuntDes!$B:$B,[1]StuntDes!$C:$C)),"")</f>
        <v/>
      </c>
      <c r="L3147">
        <f t="shared" si="129"/>
        <v>1</v>
      </c>
      <c r="M3147" s="10" t="str">
        <f>IFERROR(_xlfn.XLOOKUP(C3147,[1]StuntDes!$B:$B,[1]StuntDes!$A:$A),"")</f>
        <v/>
      </c>
      <c r="N3147" s="10" t="str">
        <f>IFERROR(_xlfn.XLOOKUP(C3147,[1]ModifierDes!$B:$B,[1]ModifierDes!$A:$A),"")</f>
        <v/>
      </c>
      <c r="O3147" s="10" t="str">
        <f>IFERROR(_xlfn.XLOOKUP(C3147,[1]AttributeName!$C:$C,[1]AttributeName!$B:$B),"")</f>
        <v/>
      </c>
      <c r="P3147" s="10"/>
      <c r="Q3147">
        <v>0</v>
      </c>
      <c r="R3147">
        <v>0</v>
      </c>
      <c r="S3147" cm="1">
        <f t="array" ref="S3147">IFERROR(_xlfn.SWITCH(L3147,1,_xlfn.XLOOKUP(O3147,[1]AttributeName!$B:$B,[1]AttributeName!$D:$D),2,_xlfn.XLOOKUP(C3147,#REF!,#REF!),3,_xlfn.XLOOKUP(C3147,#REF!,#REF!)),0)</f>
        <v>0</v>
      </c>
      <c r="T3147" cm="1">
        <f t="array" ref="T3147">IFERROR(_xlfn.SWITCH(L3147,1,_xlfn.XLOOKUP(O3147,[1]AttributeName!$B:$B,[1]AttributeName!$E:$E),2,_xlfn.XLOOKUP(C3147,#REF!,#REF!),3,_xlfn.XLOOKUP(C3147,#REF!,#REF!)),0)</f>
        <v>0</v>
      </c>
    </row>
    <row r="3148" customFormat="1" spans="1:20">
      <c r="A3148">
        <v>90025</v>
      </c>
      <c r="B3148">
        <v>1</v>
      </c>
      <c r="C3148" s="13" t="s">
        <v>381</v>
      </c>
      <c r="D3148" t="s">
        <v>174</v>
      </c>
      <c r="E3148" t="s">
        <v>378</v>
      </c>
      <c r="H3148">
        <v>1000</v>
      </c>
      <c r="J3148">
        <v>1</v>
      </c>
      <c r="K3148" t="str" cm="1">
        <f t="array" ref="K3148">IFERROR(_xlfn.SWITCH(L3148,2,_xlfn.XLOOKUP(C3148,[1]ModifierDes!$B:$B,[1]ModifierDes!$C:$C),3,_xlfn.XLOOKUP(C3148,[1]StuntDes!$B:$B,[1]StuntDes!$C:$C)),"")</f>
        <v>闪电伤害倍率增加{0}</v>
      </c>
      <c r="L3148">
        <f t="shared" si="129"/>
        <v>2</v>
      </c>
      <c r="M3148" s="10" t="str">
        <f>IFERROR(_xlfn.XLOOKUP(C3148,[1]StuntDes!$B:$B,[1]StuntDes!$A:$A),"")</f>
        <v/>
      </c>
      <c r="N3148" s="10">
        <f>IFERROR(_xlfn.XLOOKUP(C3148,[1]ModifierDes!$B:$B,[1]ModifierDes!$A:$A),"")</f>
        <v>10059</v>
      </c>
      <c r="O3148" s="10" t="str">
        <f>IFERROR(_xlfn.XLOOKUP(C3148,[1]AttributeName!$C:$C,[1]AttributeName!$B:$B),"")</f>
        <v/>
      </c>
      <c r="P3148" s="10"/>
      <c r="Q3148">
        <v>0.25</v>
      </c>
      <c r="R3148">
        <v>0.35</v>
      </c>
      <c r="S3148" cm="1">
        <f t="array" ref="S3148">IFERROR(_xlfn.SWITCH(L3148,1,_xlfn.XLOOKUP(O3148,[1]AttributeName!$B:$B,[1]AttributeName!$D:$D),2,_xlfn.XLOOKUP(C3148,#REF!,#REF!),3,_xlfn.XLOOKUP(C3148,#REF!,#REF!)),0)</f>
        <v>0</v>
      </c>
      <c r="T3148" cm="1">
        <f t="array" ref="T3148">IFERROR(_xlfn.SWITCH(L3148,1,_xlfn.XLOOKUP(O3148,[1]AttributeName!$B:$B,[1]AttributeName!$E:$E),2,_xlfn.XLOOKUP(C3148,#REF!,#REF!),3,_xlfn.XLOOKUP(C3148,#REF!,#REF!)),0)</f>
        <v>0</v>
      </c>
    </row>
    <row r="3149" customFormat="1" spans="1:20">
      <c r="A3149">
        <v>90026</v>
      </c>
      <c r="B3149">
        <v>1</v>
      </c>
      <c r="C3149" t="s">
        <v>406</v>
      </c>
      <c r="D3149" t="s">
        <v>174</v>
      </c>
      <c r="E3149" t="s">
        <v>378</v>
      </c>
      <c r="H3149">
        <v>1000</v>
      </c>
      <c r="J3149">
        <v>1</v>
      </c>
      <c r="K3149" t="str" cm="1">
        <f t="array" ref="K3149">IFERROR(_xlfn.SWITCH(L3149,2,_xlfn.XLOOKUP(C3149,[1]ModifierDes!$B:$B,[1]ModifierDes!$C:$C),3,_xlfn.XLOOKUP(C3149,[1]StuntDes!$B:$B,[1]StuntDes!$C:$C)),"")</f>
        <v>攻击速度提高{0}</v>
      </c>
      <c r="L3149">
        <f t="shared" si="129"/>
        <v>2</v>
      </c>
      <c r="M3149" s="10" t="str">
        <f>IFERROR(_xlfn.XLOOKUP(C3149,[1]StuntDes!$B:$B,[1]StuntDes!$A:$A),"")</f>
        <v/>
      </c>
      <c r="N3149" s="10">
        <f>IFERROR(_xlfn.XLOOKUP(C3149,[1]ModifierDes!$B:$B,[1]ModifierDes!$A:$A),"")</f>
        <v>10031</v>
      </c>
      <c r="O3149" s="10"/>
      <c r="P3149" s="10"/>
      <c r="Q3149">
        <v>0.3</v>
      </c>
      <c r="R3149">
        <v>0.4</v>
      </c>
      <c r="S3149" cm="1">
        <f t="array" ref="S3149">IFERROR(_xlfn.SWITCH(L3149,1,_xlfn.XLOOKUP(O3149,[1]AttributeName!$B:$B,[1]AttributeName!$D:$D),2,_xlfn.XLOOKUP(C3149,#REF!,#REF!),3,_xlfn.XLOOKUP(C3149,#REF!,#REF!)),0)</f>
        <v>0</v>
      </c>
      <c r="T3149" cm="1">
        <f t="array" ref="T3149">IFERROR(_xlfn.SWITCH(L3149,1,_xlfn.XLOOKUP(O3149,[1]AttributeName!$B:$B,[1]AttributeName!$E:$E),2,_xlfn.XLOOKUP(C3149,#REF!,#REF!),3,_xlfn.XLOOKUP(C3149,#REF!,#REF!)),0)</f>
        <v>0</v>
      </c>
    </row>
    <row r="3150" customFormat="1" spans="1:20">
      <c r="A3150">
        <v>90027</v>
      </c>
      <c r="B3150">
        <v>1</v>
      </c>
      <c r="C3150" t="s">
        <v>449</v>
      </c>
      <c r="D3150" t="s">
        <v>174</v>
      </c>
      <c r="E3150" t="s">
        <v>378</v>
      </c>
      <c r="H3150">
        <v>1000</v>
      </c>
      <c r="J3150">
        <v>1</v>
      </c>
      <c r="K3150" t="str" cm="1">
        <f t="array" ref="K3150">IFERROR(_xlfn.SWITCH(L3150,2,_xlfn.XLOOKUP(C3150,[1]ModifierDes!$B:$B,[1]ModifierDes!$C:$C),3,_xlfn.XLOOKUP(C3150,[1]StuntDes!$B:$B,[1]StuntDes!$C:$C)),"")</f>
        <v/>
      </c>
      <c r="L3150">
        <f t="shared" si="129"/>
        <v>1</v>
      </c>
      <c r="M3150" s="10" t="str">
        <f>IFERROR(_xlfn.XLOOKUP(C3150,[1]StuntDes!$B:$B,[1]StuntDes!$A:$A),"")</f>
        <v/>
      </c>
      <c r="N3150" s="10" t="str">
        <f>IFERROR(_xlfn.XLOOKUP(C3150,[1]ModifierDes!$B:$B,[1]ModifierDes!$A:$A),"")</f>
        <v/>
      </c>
      <c r="O3150" s="10" t="str">
        <f>IFERROR(_xlfn.XLOOKUP(C3150,[1]AttributeName!$C:$C,[1]AttributeName!$B:$B),"")</f>
        <v/>
      </c>
      <c r="P3150" s="10"/>
      <c r="Q3150">
        <v>0</v>
      </c>
      <c r="R3150">
        <v>0</v>
      </c>
      <c r="S3150" cm="1">
        <f t="array" ref="S3150">IFERROR(_xlfn.SWITCH(L3150,1,_xlfn.XLOOKUP(O3150,[1]AttributeName!$B:$B,[1]AttributeName!$D:$D),2,_xlfn.XLOOKUP(C3150,#REF!,#REF!),3,_xlfn.XLOOKUP(C3150,#REF!,#REF!)),0)</f>
        <v>0</v>
      </c>
      <c r="T3150" cm="1">
        <f t="array" ref="T3150">IFERROR(_xlfn.SWITCH(L3150,1,_xlfn.XLOOKUP(O3150,[1]AttributeName!$B:$B,[1]AttributeName!$E:$E),2,_xlfn.XLOOKUP(C3150,#REF!,#REF!),3,_xlfn.XLOOKUP(C3150,#REF!,#REF!)),0)</f>
        <v>0</v>
      </c>
    </row>
    <row r="3151" customFormat="1" spans="1:20">
      <c r="A3151">
        <v>90028</v>
      </c>
      <c r="B3151">
        <v>1</v>
      </c>
      <c r="C3151" s="13" t="s">
        <v>409</v>
      </c>
      <c r="D3151" t="s">
        <v>174</v>
      </c>
      <c r="E3151" t="s">
        <v>392</v>
      </c>
      <c r="H3151">
        <v>1000</v>
      </c>
      <c r="J3151">
        <v>1</v>
      </c>
      <c r="K3151" t="str" cm="1">
        <f t="array" ref="K3151">IFERROR(_xlfn.SWITCH(L3151,2,_xlfn.XLOOKUP(C3151,[1]ModifierDes!$B:$B,[1]ModifierDes!$C:$C),3,_xlfn.XLOOKUP(C3151,[1]StuntDes!$B:$B,[1]StuntDes!$C:$C)),"")</f>
        <v/>
      </c>
      <c r="L3151">
        <f t="shared" si="129"/>
        <v>1</v>
      </c>
      <c r="M3151" s="10" t="str">
        <f>IFERROR(_xlfn.XLOOKUP(C3151,[1]StuntDes!$B:$B,[1]StuntDes!$A:$A),"")</f>
        <v/>
      </c>
      <c r="N3151" s="10" t="str">
        <f>IFERROR(_xlfn.XLOOKUP(C3151,[1]ModifierDes!$B:$B,[1]ModifierDes!$A:$A),"")</f>
        <v/>
      </c>
      <c r="O3151" s="10">
        <f>IFERROR(_xlfn.XLOOKUP(C3151,[1]AttributeName!$C:$C,[1]AttributeName!$B:$B),"")</f>
        <v>11009</v>
      </c>
      <c r="P3151" s="10"/>
      <c r="Q3151">
        <v>0.6</v>
      </c>
      <c r="R3151">
        <v>1</v>
      </c>
      <c r="S3151" cm="1">
        <f t="array" ref="S3151">IFERROR(_xlfn.SWITCH(L3151,1,_xlfn.XLOOKUP(O3151,[1]AttributeName!$B:$B,[1]AttributeName!$D:$D),2,_xlfn.XLOOKUP(C3151,#REF!,#REF!),3,_xlfn.XLOOKUP(C3151,#REF!,#REF!)),0)</f>
        <v>2</v>
      </c>
      <c r="T3151" cm="1">
        <f t="array" ref="T3151">IFERROR(_xlfn.SWITCH(L3151,1,_xlfn.XLOOKUP(O3151,[1]AttributeName!$B:$B,[1]AttributeName!$E:$E),2,_xlfn.XLOOKUP(C3151,#REF!,#REF!),3,_xlfn.XLOOKUP(C3151,#REF!,#REF!)),0)</f>
        <v>2</v>
      </c>
    </row>
    <row r="3152" customFormat="1" spans="1:20">
      <c r="A3152">
        <v>90029</v>
      </c>
      <c r="B3152">
        <v>1</v>
      </c>
      <c r="C3152" s="13" t="s">
        <v>454</v>
      </c>
      <c r="D3152" t="s">
        <v>174</v>
      </c>
      <c r="E3152" t="s">
        <v>392</v>
      </c>
      <c r="H3152">
        <v>1000</v>
      </c>
      <c r="J3152">
        <v>1</v>
      </c>
      <c r="K3152" t="str" cm="1">
        <f t="array" ref="K3152">IFERROR(_xlfn.SWITCH(L3152,2,_xlfn.XLOOKUP(C3152,[1]ModifierDes!$B:$B,[1]ModifierDes!$C:$C),3,_xlfn.XLOOKUP(C3152,[1]StuntDes!$B:$B,[1]StuntDes!$C:$C)),"")</f>
        <v/>
      </c>
      <c r="L3152">
        <f t="shared" si="129"/>
        <v>1</v>
      </c>
      <c r="M3152" s="10" t="str">
        <f>IFERROR(_xlfn.XLOOKUP(C3152,[1]StuntDes!$B:$B,[1]StuntDes!$A:$A),"")</f>
        <v/>
      </c>
      <c r="N3152" s="10" t="str">
        <f>IFERROR(_xlfn.XLOOKUP(C3152,[1]ModifierDes!$B:$B,[1]ModifierDes!$A:$A),"")</f>
        <v/>
      </c>
      <c r="O3152" s="10">
        <f>IFERROR(_xlfn.XLOOKUP(C3152,[1]AttributeName!$C:$C,[1]AttributeName!$B:$B),"")</f>
        <v>11010</v>
      </c>
      <c r="P3152" s="10"/>
      <c r="Q3152">
        <v>0.6</v>
      </c>
      <c r="R3152">
        <v>1</v>
      </c>
      <c r="S3152" cm="1">
        <f t="array" ref="S3152">IFERROR(_xlfn.SWITCH(L3152,1,_xlfn.XLOOKUP(O3152,[1]AttributeName!$B:$B,[1]AttributeName!$D:$D),2,_xlfn.XLOOKUP(C3152,#REF!,#REF!),3,_xlfn.XLOOKUP(C3152,#REF!,#REF!)),0)</f>
        <v>2</v>
      </c>
      <c r="T3152" cm="1">
        <f t="array" ref="T3152">IFERROR(_xlfn.SWITCH(L3152,1,_xlfn.XLOOKUP(O3152,[1]AttributeName!$B:$B,[1]AttributeName!$E:$E),2,_xlfn.XLOOKUP(C3152,#REF!,#REF!),3,_xlfn.XLOOKUP(C3152,#REF!,#REF!)),0)</f>
        <v>2</v>
      </c>
    </row>
    <row r="3153" customFormat="1" spans="1:20">
      <c r="A3153">
        <v>90030</v>
      </c>
      <c r="B3153">
        <v>1</v>
      </c>
      <c r="C3153" t="s">
        <v>397</v>
      </c>
      <c r="D3153" t="s">
        <v>174</v>
      </c>
      <c r="E3153" t="s">
        <v>392</v>
      </c>
      <c r="H3153">
        <v>1000</v>
      </c>
      <c r="J3153">
        <v>1</v>
      </c>
      <c r="K3153" t="str" cm="1">
        <f t="array" ref="K3153">IFERROR(_xlfn.SWITCH(L3153,2,_xlfn.XLOOKUP(C3153,[1]ModifierDes!$B:$B,[1]ModifierDes!$C:$C),3,_xlfn.XLOOKUP(C3153,[1]StuntDes!$B:$B,[1]StuntDes!$C:$C)),"")</f>
        <v/>
      </c>
      <c r="L3153">
        <f t="shared" si="129"/>
        <v>1</v>
      </c>
      <c r="M3153" s="10" t="str">
        <f>IFERROR(_xlfn.XLOOKUP(C3153,[1]StuntDes!$B:$B,[1]StuntDes!$A:$A),"")</f>
        <v/>
      </c>
      <c r="N3153" s="10" t="str">
        <f>IFERROR(_xlfn.XLOOKUP(C3153,[1]ModifierDes!$B:$B,[1]ModifierDes!$A:$A),"")</f>
        <v/>
      </c>
      <c r="O3153" s="10">
        <f>IFERROR(_xlfn.XLOOKUP(C3153,[1]AttributeName!$C:$C,[1]AttributeName!$B:$B),"")</f>
        <v>10406</v>
      </c>
      <c r="P3153" s="10"/>
      <c r="Q3153">
        <v>2</v>
      </c>
      <c r="R3153">
        <v>3</v>
      </c>
      <c r="S3153" cm="1">
        <f t="array" ref="S3153">IFERROR(_xlfn.SWITCH(L3153,1,_xlfn.XLOOKUP(O3153,[1]AttributeName!$B:$B,[1]AttributeName!$D:$D),2,_xlfn.XLOOKUP(C3153,#REF!,#REF!),3,_xlfn.XLOOKUP(C3153,#REF!,#REF!)),0)</f>
        <v>0</v>
      </c>
      <c r="T3153" cm="1">
        <f t="array" ref="T3153">IFERROR(_xlfn.SWITCH(L3153,1,_xlfn.XLOOKUP(O3153,[1]AttributeName!$B:$B,[1]AttributeName!$E:$E),2,_xlfn.XLOOKUP(C3153,#REF!,#REF!),3,_xlfn.XLOOKUP(C3153,#REF!,#REF!)),0)</f>
        <v>1</v>
      </c>
    </row>
    <row r="3154" customFormat="1" spans="1:20">
      <c r="A3154">
        <v>90031</v>
      </c>
      <c r="B3154">
        <v>1</v>
      </c>
      <c r="C3154" s="13" t="s">
        <v>377</v>
      </c>
      <c r="D3154" t="s">
        <v>178</v>
      </c>
      <c r="E3154" t="s">
        <v>378</v>
      </c>
      <c r="H3154">
        <v>1000</v>
      </c>
      <c r="J3154">
        <v>1</v>
      </c>
      <c r="K3154" t="str" cm="1">
        <f t="array" ref="K3154">IFERROR(_xlfn.SWITCH(L3154,2,_xlfn.XLOOKUP(C3154,[1]ModifierDes!$B:$B,[1]ModifierDes!$C:$C),3,_xlfn.XLOOKUP(C3154,[1]StuntDes!$B:$B,[1]StuntDes!$C:$C)),"")</f>
        <v>物理伤害倍率增加{0}</v>
      </c>
      <c r="L3154">
        <f t="shared" si="129"/>
        <v>2</v>
      </c>
      <c r="M3154" s="10" t="str">
        <f>IFERROR(_xlfn.XLOOKUP(C3154,[1]StuntDes!$B:$B,[1]StuntDes!$A:$A),"")</f>
        <v/>
      </c>
      <c r="N3154" s="10">
        <f>IFERROR(_xlfn.XLOOKUP(C3154,[1]ModifierDes!$B:$B,[1]ModifierDes!$A:$A),"")</f>
        <v>10056</v>
      </c>
      <c r="O3154" s="10" t="str">
        <f>IFERROR(_xlfn.XLOOKUP(C3154,[1]AttributeName!$C:$C,[1]AttributeName!$B:$B),"")</f>
        <v/>
      </c>
      <c r="P3154" s="10"/>
      <c r="Q3154">
        <v>0.25</v>
      </c>
      <c r="R3154">
        <v>0.35</v>
      </c>
      <c r="S3154" cm="1">
        <f t="array" ref="S3154">IFERROR(_xlfn.SWITCH(L3154,1,_xlfn.XLOOKUP(O3154,[1]AttributeName!$B:$B,[1]AttributeName!$D:$D),2,_xlfn.XLOOKUP(C3154,#REF!,#REF!),3,_xlfn.XLOOKUP(C3154,#REF!,#REF!)),0)</f>
        <v>0</v>
      </c>
      <c r="T3154" cm="1">
        <f t="array" ref="T3154">IFERROR(_xlfn.SWITCH(L3154,1,_xlfn.XLOOKUP(O3154,[1]AttributeName!$B:$B,[1]AttributeName!$E:$E),2,_xlfn.XLOOKUP(C3154,#REF!,#REF!),3,_xlfn.XLOOKUP(C3154,#REF!,#REF!)),0)</f>
        <v>0</v>
      </c>
    </row>
    <row r="3155" customFormat="1" spans="1:20">
      <c r="A3155">
        <v>90032</v>
      </c>
      <c r="B3155">
        <v>1</v>
      </c>
      <c r="C3155" t="s">
        <v>394</v>
      </c>
      <c r="D3155" t="s">
        <v>178</v>
      </c>
      <c r="E3155" t="s">
        <v>378</v>
      </c>
      <c r="H3155">
        <v>1000</v>
      </c>
      <c r="J3155">
        <v>1</v>
      </c>
      <c r="K3155" t="str" cm="1">
        <f t="array" ref="K3155">IFERROR(_xlfn.SWITCH(L3155,2,_xlfn.XLOOKUP(C3155,[1]ModifierDes!$B:$B,[1]ModifierDes!$C:$C),3,_xlfn.XLOOKUP(C3155,[1]StuntDes!$B:$B,[1]StuntDes!$C:$C)),"")</f>
        <v/>
      </c>
      <c r="L3155">
        <f t="shared" si="129"/>
        <v>1</v>
      </c>
      <c r="M3155" s="10" t="str">
        <f>IFERROR(_xlfn.XLOOKUP(C3155,[1]StuntDes!$B:$B,[1]StuntDes!$A:$A),"")</f>
        <v/>
      </c>
      <c r="N3155" s="10" t="str">
        <f>IFERROR(_xlfn.XLOOKUP(C3155,[1]ModifierDes!$B:$B,[1]ModifierDes!$A:$A),"")</f>
        <v/>
      </c>
      <c r="O3155" s="10">
        <f>IFERROR(_xlfn.XLOOKUP(C3155,[1]AttributeName!$C:$C,[1]AttributeName!$B:$B),"")</f>
        <v>10403</v>
      </c>
      <c r="P3155" s="10"/>
      <c r="Q3155">
        <v>1</v>
      </c>
      <c r="R3155">
        <v>2</v>
      </c>
      <c r="S3155" cm="1">
        <f t="array" ref="S3155">IFERROR(_xlfn.SWITCH(L3155,1,_xlfn.XLOOKUP(O3155,[1]AttributeName!$B:$B,[1]AttributeName!$D:$D),2,_xlfn.XLOOKUP(C3155,#REF!,#REF!),3,_xlfn.XLOOKUP(C3155,#REF!,#REF!)),0)</f>
        <v>0</v>
      </c>
      <c r="T3155" cm="1">
        <f t="array" ref="T3155">IFERROR(_xlfn.SWITCH(L3155,1,_xlfn.XLOOKUP(O3155,[1]AttributeName!$B:$B,[1]AttributeName!$E:$E),2,_xlfn.XLOOKUP(C3155,#REF!,#REF!),3,_xlfn.XLOOKUP(C3155,#REF!,#REF!)),0)</f>
        <v>1</v>
      </c>
    </row>
    <row r="3156" customFormat="1" spans="1:20">
      <c r="A3156">
        <v>90033</v>
      </c>
      <c r="B3156">
        <v>1</v>
      </c>
      <c r="C3156" t="s">
        <v>449</v>
      </c>
      <c r="D3156" t="s">
        <v>178</v>
      </c>
      <c r="E3156" t="s">
        <v>378</v>
      </c>
      <c r="H3156">
        <v>1000</v>
      </c>
      <c r="J3156">
        <v>1</v>
      </c>
      <c r="K3156" t="str" cm="1">
        <f t="array" ref="K3156">IFERROR(_xlfn.SWITCH(L3156,2,_xlfn.XLOOKUP(C3156,[1]ModifierDes!$B:$B,[1]ModifierDes!$C:$C),3,_xlfn.XLOOKUP(C3156,[1]StuntDes!$B:$B,[1]StuntDes!$C:$C)),"")</f>
        <v/>
      </c>
      <c r="L3156">
        <f t="shared" si="129"/>
        <v>1</v>
      </c>
      <c r="M3156" s="10" t="str">
        <f>IFERROR(_xlfn.XLOOKUP(C3156,[1]StuntDes!$B:$B,[1]StuntDes!$A:$A),"")</f>
        <v/>
      </c>
      <c r="N3156" s="10" t="str">
        <f>IFERROR(_xlfn.XLOOKUP(C3156,[1]ModifierDes!$B:$B,[1]ModifierDes!$A:$A),"")</f>
        <v/>
      </c>
      <c r="O3156" s="10" t="str">
        <f>IFERROR(_xlfn.XLOOKUP(C3156,[1]AttributeName!$C:$C,[1]AttributeName!$B:$B),"")</f>
        <v/>
      </c>
      <c r="P3156" s="10"/>
      <c r="Q3156">
        <v>0</v>
      </c>
      <c r="R3156">
        <v>0</v>
      </c>
      <c r="S3156" cm="1">
        <f t="array" ref="S3156">IFERROR(_xlfn.SWITCH(L3156,1,_xlfn.XLOOKUP(O3156,[1]AttributeName!$B:$B,[1]AttributeName!$D:$D),2,_xlfn.XLOOKUP(C3156,#REF!,#REF!),3,_xlfn.XLOOKUP(C3156,#REF!,#REF!)),0)</f>
        <v>0</v>
      </c>
      <c r="T3156" cm="1">
        <f t="array" ref="T3156">IFERROR(_xlfn.SWITCH(L3156,1,_xlfn.XLOOKUP(O3156,[1]AttributeName!$B:$B,[1]AttributeName!$E:$E),2,_xlfn.XLOOKUP(C3156,#REF!,#REF!),3,_xlfn.XLOOKUP(C3156,#REF!,#REF!)),0)</f>
        <v>0</v>
      </c>
    </row>
    <row r="3157" customFormat="1" spans="1:20">
      <c r="A3157">
        <v>90034</v>
      </c>
      <c r="B3157">
        <v>1</v>
      </c>
      <c r="C3157" s="13" t="s">
        <v>455</v>
      </c>
      <c r="D3157" t="s">
        <v>178</v>
      </c>
      <c r="E3157" t="s">
        <v>392</v>
      </c>
      <c r="H3157">
        <v>1000</v>
      </c>
      <c r="J3157">
        <v>1</v>
      </c>
      <c r="K3157" t="str" cm="1">
        <f t="array" ref="K3157">IFERROR(_xlfn.SWITCH(L3157,2,_xlfn.XLOOKUP(C3157,[1]ModifierDes!$B:$B,[1]ModifierDes!$C:$C),3,_xlfn.XLOOKUP(C3157,[1]StuntDes!$B:$B,[1]StuntDes!$C:$C)),"")</f>
        <v>物理伤害转冰冷伤害增加{0}</v>
      </c>
      <c r="L3157">
        <f t="shared" si="129"/>
        <v>2</v>
      </c>
      <c r="M3157" s="10" t="str">
        <f>IFERROR(_xlfn.XLOOKUP(C3157,[1]StuntDes!$B:$B,[1]StuntDes!$A:$A),"")</f>
        <v/>
      </c>
      <c r="N3157" s="10">
        <f>IFERROR(_xlfn.XLOOKUP(C3157,[1]ModifierDes!$B:$B,[1]ModifierDes!$A:$A),"")</f>
        <v>10070</v>
      </c>
      <c r="O3157" s="10" t="str">
        <f>IFERROR(_xlfn.XLOOKUP(C3157,[1]AttributeName!$C:$C,[1]AttributeName!$B:$B),"")</f>
        <v/>
      </c>
      <c r="P3157" s="10"/>
      <c r="Q3157">
        <v>1</v>
      </c>
      <c r="R3157">
        <v>1</v>
      </c>
      <c r="S3157" cm="1">
        <f t="array" ref="S3157">IFERROR(_xlfn.SWITCH(L3157,1,_xlfn.XLOOKUP(O3157,[1]AttributeName!$B:$B,[1]AttributeName!$D:$D),2,_xlfn.XLOOKUP(C3157,#REF!,#REF!),3,_xlfn.XLOOKUP(C3157,#REF!,#REF!)),0)</f>
        <v>0</v>
      </c>
      <c r="T3157" cm="1">
        <f t="array" ref="T3157">IFERROR(_xlfn.SWITCH(L3157,1,_xlfn.XLOOKUP(O3157,[1]AttributeName!$B:$B,[1]AttributeName!$E:$E),2,_xlfn.XLOOKUP(C3157,#REF!,#REF!),3,_xlfn.XLOOKUP(C3157,#REF!,#REF!)),0)</f>
        <v>0</v>
      </c>
    </row>
    <row r="3158" customFormat="1" spans="1:20">
      <c r="A3158">
        <v>90035</v>
      </c>
      <c r="B3158">
        <v>1</v>
      </c>
      <c r="C3158" s="13" t="s">
        <v>456</v>
      </c>
      <c r="D3158" t="s">
        <v>178</v>
      </c>
      <c r="E3158" t="s">
        <v>392</v>
      </c>
      <c r="H3158">
        <v>1000</v>
      </c>
      <c r="J3158">
        <v>1</v>
      </c>
      <c r="K3158" t="str" cm="1">
        <f t="array" ref="K3158">IFERROR(_xlfn.SWITCH(L3158,2,_xlfn.XLOOKUP(C3158,[1]ModifierDes!$B:$B,[1]ModifierDes!$C:$C),3,_xlfn.XLOOKUP(C3158,[1]StuntDes!$B:$B,[1]StuntDes!$C:$C)),"")</f>
        <v>物理伤害转火焰伤害增加{0}</v>
      </c>
      <c r="L3158">
        <f t="shared" si="129"/>
        <v>2</v>
      </c>
      <c r="M3158" s="10" t="str">
        <f>IFERROR(_xlfn.XLOOKUP(C3158,[1]StuntDes!$B:$B,[1]StuntDes!$A:$A),"")</f>
        <v/>
      </c>
      <c r="N3158" s="10">
        <f>IFERROR(_xlfn.XLOOKUP(C3158,[1]ModifierDes!$B:$B,[1]ModifierDes!$A:$A),"")</f>
        <v>10069</v>
      </c>
      <c r="O3158" s="10" t="str">
        <f>IFERROR(_xlfn.XLOOKUP(C3158,[1]AttributeName!$C:$C,[1]AttributeName!$B:$B),"")</f>
        <v/>
      </c>
      <c r="P3158" s="10"/>
      <c r="Q3158">
        <v>1</v>
      </c>
      <c r="R3158">
        <v>1</v>
      </c>
      <c r="S3158" cm="1">
        <f t="array" ref="S3158">IFERROR(_xlfn.SWITCH(L3158,1,_xlfn.XLOOKUP(O3158,[1]AttributeName!$B:$B,[1]AttributeName!$D:$D),2,_xlfn.XLOOKUP(C3158,#REF!,#REF!),3,_xlfn.XLOOKUP(C3158,#REF!,#REF!)),0)</f>
        <v>0</v>
      </c>
      <c r="T3158" cm="1">
        <f t="array" ref="T3158">IFERROR(_xlfn.SWITCH(L3158,1,_xlfn.XLOOKUP(O3158,[1]AttributeName!$B:$B,[1]AttributeName!$E:$E),2,_xlfn.XLOOKUP(C3158,#REF!,#REF!),3,_xlfn.XLOOKUP(C3158,#REF!,#REF!)),0)</f>
        <v>0</v>
      </c>
    </row>
    <row r="3159" customFormat="1" spans="1:20">
      <c r="A3159">
        <v>90036</v>
      </c>
      <c r="B3159">
        <v>1</v>
      </c>
      <c r="C3159" t="s">
        <v>457</v>
      </c>
      <c r="D3159" t="s">
        <v>178</v>
      </c>
      <c r="E3159" t="s">
        <v>392</v>
      </c>
      <c r="H3159">
        <v>1000</v>
      </c>
      <c r="J3159">
        <v>1</v>
      </c>
      <c r="K3159" t="str" cm="1">
        <f t="array" ref="K3159">IFERROR(_xlfn.SWITCH(L3159,2,_xlfn.XLOOKUP(C3159,[1]ModifierDes!$B:$B,[1]ModifierDes!$C:$C),3,_xlfn.XLOOKUP(C3159,[1]StuntDes!$B:$B,[1]StuntDes!$C:$C)),"")</f>
        <v>物理伤害转闪电伤害增加{0}</v>
      </c>
      <c r="L3159">
        <f t="shared" si="129"/>
        <v>2</v>
      </c>
      <c r="M3159" s="10" t="str">
        <f>IFERROR(_xlfn.XLOOKUP(C3159,[1]StuntDes!$B:$B,[1]StuntDes!$A:$A),"")</f>
        <v/>
      </c>
      <c r="N3159" s="10">
        <f>IFERROR(_xlfn.XLOOKUP(C3159,[1]ModifierDes!$B:$B,[1]ModifierDes!$A:$A),"")</f>
        <v>10071</v>
      </c>
      <c r="O3159" s="10" t="str">
        <f>IFERROR(_xlfn.XLOOKUP(C3159,[1]AttributeName!$C:$C,[1]AttributeName!$B:$B),"")</f>
        <v/>
      </c>
      <c r="P3159" s="10"/>
      <c r="Q3159">
        <v>1</v>
      </c>
      <c r="R3159">
        <v>1</v>
      </c>
      <c r="S3159" cm="1">
        <f t="array" ref="S3159">IFERROR(_xlfn.SWITCH(L3159,1,_xlfn.XLOOKUP(O3159,[1]AttributeName!$B:$B,[1]AttributeName!$D:$D),2,_xlfn.XLOOKUP(C3159,#REF!,#REF!),3,_xlfn.XLOOKUP(C3159,#REF!,#REF!)),0)</f>
        <v>0</v>
      </c>
      <c r="T3159" cm="1">
        <f t="array" ref="T3159">IFERROR(_xlfn.SWITCH(L3159,1,_xlfn.XLOOKUP(O3159,[1]AttributeName!$B:$B,[1]AttributeName!$E:$E),2,_xlfn.XLOOKUP(C3159,#REF!,#REF!),3,_xlfn.XLOOKUP(C3159,#REF!,#REF!)),0)</f>
        <v>0</v>
      </c>
    </row>
    <row r="3160" customFormat="1" spans="1:20">
      <c r="A3160">
        <v>90037</v>
      </c>
      <c r="B3160">
        <v>1</v>
      </c>
      <c r="C3160" s="13" t="s">
        <v>389</v>
      </c>
      <c r="D3160" t="s">
        <v>144</v>
      </c>
      <c r="E3160" t="s">
        <v>378</v>
      </c>
      <c r="H3160">
        <v>1000</v>
      </c>
      <c r="J3160">
        <v>1</v>
      </c>
      <c r="K3160" t="str" cm="1">
        <f t="array" ref="K3160">IFERROR(_xlfn.SWITCH(L3160,2,_xlfn.XLOOKUP(C3160,[1]ModifierDes!$B:$B,[1]ModifierDes!$C:$C),3,_xlfn.XLOOKUP(C3160,[1]StuntDes!$B:$B,[1]StuntDes!$C:$C)),"")</f>
        <v/>
      </c>
      <c r="L3160">
        <f t="shared" si="129"/>
        <v>1</v>
      </c>
      <c r="M3160" s="10" t="str">
        <f>IFERROR(_xlfn.XLOOKUP(C3160,[1]StuntDes!$B:$B,[1]StuntDes!$A:$A),"")</f>
        <v/>
      </c>
      <c r="N3160" s="10" t="str">
        <f>IFERROR(_xlfn.XLOOKUP(C3160,[1]ModifierDes!$B:$B,[1]ModifierDes!$A:$A),"")</f>
        <v/>
      </c>
      <c r="O3160" s="10">
        <f>IFERROR(_xlfn.XLOOKUP(C3160,[1]AttributeName!$C:$C,[1]AttributeName!$B:$B),"")</f>
        <v>10001</v>
      </c>
      <c r="P3160" s="10"/>
      <c r="Q3160">
        <v>950</v>
      </c>
      <c r="R3160">
        <v>1050</v>
      </c>
      <c r="S3160" cm="1">
        <f t="array" ref="S3160">IFERROR(_xlfn.SWITCH(L3160,1,_xlfn.XLOOKUP(O3160,[1]AttributeName!$B:$B,[1]AttributeName!$D:$D),2,_xlfn.XLOOKUP(C3160,#REF!,#REF!),3,_xlfn.XLOOKUP(C3160,#REF!,#REF!)),0)</f>
        <v>0</v>
      </c>
      <c r="T3160" cm="1">
        <f t="array" ref="T3160">IFERROR(_xlfn.SWITCH(L3160,1,_xlfn.XLOOKUP(O3160,[1]AttributeName!$B:$B,[1]AttributeName!$E:$E),2,_xlfn.XLOOKUP(C3160,#REF!,#REF!),3,_xlfn.XLOOKUP(C3160,#REF!,#REF!)),0)</f>
        <v>1</v>
      </c>
    </row>
    <row r="3161" customFormat="1" spans="1:20">
      <c r="A3161">
        <v>90038</v>
      </c>
      <c r="B3161">
        <v>1</v>
      </c>
      <c r="C3161" t="s">
        <v>422</v>
      </c>
      <c r="D3161" t="s">
        <v>144</v>
      </c>
      <c r="E3161" t="s">
        <v>378</v>
      </c>
      <c r="H3161">
        <v>1000</v>
      </c>
      <c r="J3161">
        <v>1</v>
      </c>
      <c r="K3161" t="str" cm="1">
        <f t="array" ref="K3161">IFERROR(_xlfn.SWITCH(L3161,2,_xlfn.XLOOKUP(C3161,[1]ModifierDes!$B:$B,[1]ModifierDes!$C:$C),3,_xlfn.XLOOKUP(C3161,[1]StuntDes!$B:$B,[1]StuntDes!$C:$C)),"")</f>
        <v/>
      </c>
      <c r="L3161">
        <f t="shared" si="129"/>
        <v>1</v>
      </c>
      <c r="M3161" s="10" t="str">
        <f>IFERROR(_xlfn.XLOOKUP(C3161,[1]StuntDes!$B:$B,[1]StuntDes!$A:$A),"")</f>
        <v/>
      </c>
      <c r="N3161" s="10" t="str">
        <f>IFERROR(_xlfn.XLOOKUP(C3161,[1]ModifierDes!$B:$B,[1]ModifierDes!$A:$A),"")</f>
        <v/>
      </c>
      <c r="O3161" s="10">
        <f>IFERROR(_xlfn.XLOOKUP(C3161,[1]AttributeName!$C:$C,[1]AttributeName!$B:$B),"")</f>
        <v>10011</v>
      </c>
      <c r="P3161" s="10"/>
      <c r="Q3161">
        <v>0.08</v>
      </c>
      <c r="R3161">
        <v>0.1</v>
      </c>
      <c r="S3161" cm="1">
        <f t="array" ref="S3161">IFERROR(_xlfn.SWITCH(L3161,1,_xlfn.XLOOKUP(O3161,[1]AttributeName!$B:$B,[1]AttributeName!$D:$D),2,_xlfn.XLOOKUP(C3161,#REF!,#REF!),3,_xlfn.XLOOKUP(C3161,#REF!,#REF!)),0)</f>
        <v>2</v>
      </c>
      <c r="T3161" cm="1">
        <f t="array" ref="T3161">IFERROR(_xlfn.SWITCH(L3161,1,_xlfn.XLOOKUP(O3161,[1]AttributeName!$B:$B,[1]AttributeName!$E:$E),2,_xlfn.XLOOKUP(C3161,#REF!,#REF!),3,_xlfn.XLOOKUP(C3161,#REF!,#REF!)),0)</f>
        <v>2</v>
      </c>
    </row>
    <row r="3162" customFormat="1" spans="1:20">
      <c r="A3162">
        <v>90039</v>
      </c>
      <c r="B3162">
        <v>1</v>
      </c>
      <c r="C3162" t="s">
        <v>449</v>
      </c>
      <c r="D3162" t="s">
        <v>144</v>
      </c>
      <c r="E3162" t="s">
        <v>378</v>
      </c>
      <c r="H3162">
        <v>1000</v>
      </c>
      <c r="J3162">
        <v>1</v>
      </c>
      <c r="K3162" t="str" cm="1">
        <f t="array" ref="K3162">IFERROR(_xlfn.SWITCH(L3162,2,_xlfn.XLOOKUP(C3162,[1]ModifierDes!$B:$B,[1]ModifierDes!$C:$C),3,_xlfn.XLOOKUP(C3162,[1]StuntDes!$B:$B,[1]StuntDes!$C:$C)),"")</f>
        <v/>
      </c>
      <c r="L3162">
        <f t="shared" si="129"/>
        <v>1</v>
      </c>
      <c r="M3162" s="10" t="str">
        <f>IFERROR(_xlfn.XLOOKUP(C3162,[1]StuntDes!$B:$B,[1]StuntDes!$A:$A),"")</f>
        <v/>
      </c>
      <c r="N3162" s="10" t="str">
        <f>IFERROR(_xlfn.XLOOKUP(C3162,[1]ModifierDes!$B:$B,[1]ModifierDes!$A:$A),"")</f>
        <v/>
      </c>
      <c r="O3162" s="10" t="str">
        <f>IFERROR(_xlfn.XLOOKUP(C3162,[1]AttributeName!$C:$C,[1]AttributeName!$B:$B),"")</f>
        <v/>
      </c>
      <c r="P3162" s="10"/>
      <c r="Q3162">
        <v>0</v>
      </c>
      <c r="R3162">
        <v>0</v>
      </c>
      <c r="S3162" cm="1">
        <f t="array" ref="S3162">IFERROR(_xlfn.SWITCH(L3162,1,_xlfn.XLOOKUP(O3162,[1]AttributeName!$B:$B,[1]AttributeName!$D:$D),2,_xlfn.XLOOKUP(C3162,#REF!,#REF!),3,_xlfn.XLOOKUP(C3162,#REF!,#REF!)),0)</f>
        <v>0</v>
      </c>
      <c r="T3162" cm="1">
        <f t="array" ref="T3162">IFERROR(_xlfn.SWITCH(L3162,1,_xlfn.XLOOKUP(O3162,[1]AttributeName!$B:$B,[1]AttributeName!$E:$E),2,_xlfn.XLOOKUP(C3162,#REF!,#REF!),3,_xlfn.XLOOKUP(C3162,#REF!,#REF!)),0)</f>
        <v>0</v>
      </c>
    </row>
    <row r="3163" customFormat="1" spans="1:20">
      <c r="A3163">
        <v>90040</v>
      </c>
      <c r="B3163">
        <v>1</v>
      </c>
      <c r="C3163" t="s">
        <v>458</v>
      </c>
      <c r="D3163" t="s">
        <v>144</v>
      </c>
      <c r="E3163" t="s">
        <v>392</v>
      </c>
      <c r="H3163">
        <v>1000</v>
      </c>
      <c r="J3163">
        <v>1</v>
      </c>
      <c r="K3163" t="str" cm="1">
        <f t="array" ref="K3163">IFERROR(_xlfn.SWITCH(L3163,2,_xlfn.XLOOKUP(C3163,[1]ModifierDes!$B:$B,[1]ModifierDes!$C:$C),3,_xlfn.XLOOKUP(C3163,[1]StuntDes!$B:$B,[1]StuntDes!$C:$C)),"")</f>
        <v/>
      </c>
      <c r="L3163">
        <f t="shared" si="129"/>
        <v>1</v>
      </c>
      <c r="M3163" s="10" t="str">
        <f>IFERROR(_xlfn.XLOOKUP(C3163,[1]StuntDes!$B:$B,[1]StuntDes!$A:$A),"")</f>
        <v/>
      </c>
      <c r="N3163" s="10" t="str">
        <f>IFERROR(_xlfn.XLOOKUP(C3163,[1]ModifierDes!$B:$B,[1]ModifierDes!$A:$A),"")</f>
        <v/>
      </c>
      <c r="O3163" s="10" t="str">
        <f>IFERROR(_xlfn.XLOOKUP(C3163,[1]AttributeName!$C:$C,[1]AttributeName!$B:$B),"")</f>
        <v/>
      </c>
      <c r="P3163" s="10"/>
      <c r="Q3163">
        <v>0.7</v>
      </c>
      <c r="R3163">
        <v>1</v>
      </c>
      <c r="S3163" cm="1">
        <f t="array" ref="S3163">IFERROR(_xlfn.SWITCH(L3163,1,_xlfn.XLOOKUP(O3163,[1]AttributeName!$B:$B,[1]AttributeName!$D:$D),2,_xlfn.XLOOKUP(C3163,#REF!,#REF!),3,_xlfn.XLOOKUP(C3163,#REF!,#REF!)),0)</f>
        <v>0</v>
      </c>
      <c r="T3163" cm="1">
        <f t="array" ref="T3163">IFERROR(_xlfn.SWITCH(L3163,1,_xlfn.XLOOKUP(O3163,[1]AttributeName!$B:$B,[1]AttributeName!$E:$E),2,_xlfn.XLOOKUP(C3163,#REF!,#REF!),3,_xlfn.XLOOKUP(C3163,#REF!,#REF!)),0)</f>
        <v>0</v>
      </c>
    </row>
    <row r="3164" customFormat="1" spans="1:20">
      <c r="A3164">
        <v>90041</v>
      </c>
      <c r="B3164">
        <v>1</v>
      </c>
      <c r="C3164" s="13" t="s">
        <v>455</v>
      </c>
      <c r="D3164" t="s">
        <v>144</v>
      </c>
      <c r="E3164" t="s">
        <v>392</v>
      </c>
      <c r="H3164">
        <v>1000</v>
      </c>
      <c r="J3164">
        <v>1</v>
      </c>
      <c r="K3164" t="str" cm="1">
        <f t="array" ref="K3164">IFERROR(_xlfn.SWITCH(L3164,2,_xlfn.XLOOKUP(C3164,[1]ModifierDes!$B:$B,[1]ModifierDes!$C:$C),3,_xlfn.XLOOKUP(C3164,[1]StuntDes!$B:$B,[1]StuntDes!$C:$C)),"")</f>
        <v>物理伤害转冰冷伤害增加{0}</v>
      </c>
      <c r="L3164">
        <f t="shared" si="129"/>
        <v>2</v>
      </c>
      <c r="M3164" s="10" t="str">
        <f>IFERROR(_xlfn.XLOOKUP(C3164,[1]StuntDes!$B:$B,[1]StuntDes!$A:$A),"")</f>
        <v/>
      </c>
      <c r="N3164" s="10">
        <f>IFERROR(_xlfn.XLOOKUP(C3164,[1]ModifierDes!$B:$B,[1]ModifierDes!$A:$A),"")</f>
        <v>10070</v>
      </c>
      <c r="O3164" s="10" t="str">
        <f>IFERROR(_xlfn.XLOOKUP(C3164,[1]AttributeName!$C:$C,[1]AttributeName!$B:$B),"")</f>
        <v/>
      </c>
      <c r="P3164" s="10"/>
      <c r="Q3164">
        <v>0.7</v>
      </c>
      <c r="R3164">
        <v>1</v>
      </c>
      <c r="S3164" cm="1">
        <f t="array" ref="S3164">IFERROR(_xlfn.SWITCH(L3164,1,_xlfn.XLOOKUP(O3164,[1]AttributeName!$B:$B,[1]AttributeName!$D:$D),2,_xlfn.XLOOKUP(C3164,#REF!,#REF!),3,_xlfn.XLOOKUP(C3164,#REF!,#REF!)),0)</f>
        <v>0</v>
      </c>
      <c r="T3164" cm="1">
        <f t="array" ref="T3164">IFERROR(_xlfn.SWITCH(L3164,1,_xlfn.XLOOKUP(O3164,[1]AttributeName!$B:$B,[1]AttributeName!$E:$E),2,_xlfn.XLOOKUP(C3164,#REF!,#REF!),3,_xlfn.XLOOKUP(C3164,#REF!,#REF!)),0)</f>
        <v>0</v>
      </c>
    </row>
    <row r="3165" customFormat="1" spans="1:20">
      <c r="A3165">
        <v>90042</v>
      </c>
      <c r="B3165">
        <v>1</v>
      </c>
      <c r="C3165" t="s">
        <v>424</v>
      </c>
      <c r="D3165" t="s">
        <v>144</v>
      </c>
      <c r="E3165" t="s">
        <v>392</v>
      </c>
      <c r="H3165">
        <v>1000</v>
      </c>
      <c r="J3165">
        <v>1</v>
      </c>
      <c r="K3165" t="str" cm="1">
        <f t="array" ref="K3165">IFERROR(_xlfn.SWITCH(L3165,2,_xlfn.XLOOKUP(C3165,[1]ModifierDes!$B:$B,[1]ModifierDes!$C:$C),3,_xlfn.XLOOKUP(C3165,[1]StuntDes!$B:$B,[1]StuntDes!$C:$C)),"")</f>
        <v/>
      </c>
      <c r="L3165">
        <f t="shared" si="129"/>
        <v>1</v>
      </c>
      <c r="M3165" s="10" t="str">
        <f>IFERROR(_xlfn.XLOOKUP(C3165,[1]StuntDes!$B:$B,[1]StuntDes!$A:$A),"")</f>
        <v/>
      </c>
      <c r="N3165" s="10" t="str">
        <f>IFERROR(_xlfn.XLOOKUP(C3165,[1]ModifierDes!$B:$B,[1]ModifierDes!$A:$A),"")</f>
        <v/>
      </c>
      <c r="O3165" s="10">
        <f>IFERROR(_xlfn.XLOOKUP(C3165,[1]AttributeName!$C:$C,[1]AttributeName!$B:$B),"")</f>
        <v>10313</v>
      </c>
      <c r="P3165" s="10"/>
      <c r="Q3165">
        <v>0.3</v>
      </c>
      <c r="R3165">
        <v>0.4</v>
      </c>
      <c r="S3165" cm="1">
        <f t="array" ref="S3165">IFERROR(_xlfn.SWITCH(L3165,1,_xlfn.XLOOKUP(O3165,[1]AttributeName!$B:$B,[1]AttributeName!$D:$D),2,_xlfn.XLOOKUP(C3165,#REF!,#REF!),3,_xlfn.XLOOKUP(C3165,#REF!,#REF!)),0)</f>
        <v>2</v>
      </c>
      <c r="T3165" cm="1">
        <f t="array" ref="T3165">IFERROR(_xlfn.SWITCH(L3165,1,_xlfn.XLOOKUP(O3165,[1]AttributeName!$B:$B,[1]AttributeName!$E:$E),2,_xlfn.XLOOKUP(C3165,#REF!,#REF!),3,_xlfn.XLOOKUP(C3165,#REF!,#REF!)),0)</f>
        <v>2</v>
      </c>
    </row>
    <row r="3166" customFormat="1" spans="1:20">
      <c r="A3166">
        <v>90043</v>
      </c>
      <c r="B3166">
        <v>1</v>
      </c>
      <c r="C3166" s="13" t="s">
        <v>380</v>
      </c>
      <c r="D3166" t="s">
        <v>182</v>
      </c>
      <c r="E3166" t="s">
        <v>378</v>
      </c>
      <c r="H3166">
        <v>1000</v>
      </c>
      <c r="J3166">
        <v>1</v>
      </c>
      <c r="K3166" t="str" cm="1">
        <f t="array" ref="K3166">IFERROR(_xlfn.SWITCH(L3166,2,_xlfn.XLOOKUP(C3166,[1]ModifierDes!$B:$B,[1]ModifierDes!$C:$C),3,_xlfn.XLOOKUP(C3166,[1]StuntDes!$B:$B,[1]StuntDes!$C:$C)),"")</f>
        <v>冰冷伤害倍率增加{0}</v>
      </c>
      <c r="L3166">
        <f t="shared" si="129"/>
        <v>2</v>
      </c>
      <c r="M3166" s="10" t="str">
        <f>IFERROR(_xlfn.XLOOKUP(C3166,[1]StuntDes!$B:$B,[1]StuntDes!$A:$A),"")</f>
        <v/>
      </c>
      <c r="N3166" s="10">
        <f>IFERROR(_xlfn.XLOOKUP(C3166,[1]ModifierDes!$B:$B,[1]ModifierDes!$A:$A),"")</f>
        <v>10058</v>
      </c>
      <c r="O3166" s="10" t="str">
        <f>IFERROR(_xlfn.XLOOKUP(C3166,[1]AttributeName!$C:$C,[1]AttributeName!$B:$B),"")</f>
        <v/>
      </c>
      <c r="P3166" s="10"/>
      <c r="Q3166">
        <v>0.5</v>
      </c>
      <c r="R3166">
        <v>0.7</v>
      </c>
      <c r="S3166" cm="1">
        <f t="array" ref="S3166">IFERROR(_xlfn.SWITCH(L3166,1,_xlfn.XLOOKUP(O3166,[1]AttributeName!$B:$B,[1]AttributeName!$D:$D),2,_xlfn.XLOOKUP(C3166,#REF!,#REF!),3,_xlfn.XLOOKUP(C3166,#REF!,#REF!)),0)</f>
        <v>0</v>
      </c>
      <c r="T3166" cm="1">
        <f t="array" ref="T3166">IFERROR(_xlfn.SWITCH(L3166,1,_xlfn.XLOOKUP(O3166,[1]AttributeName!$B:$B,[1]AttributeName!$E:$E),2,_xlfn.XLOOKUP(C3166,#REF!,#REF!),3,_xlfn.XLOOKUP(C3166,#REF!,#REF!)),0)</f>
        <v>0</v>
      </c>
    </row>
    <row r="3167" customFormat="1" spans="1:20">
      <c r="A3167">
        <v>90044</v>
      </c>
      <c r="B3167">
        <v>1</v>
      </c>
      <c r="C3167" t="s">
        <v>399</v>
      </c>
      <c r="D3167" t="s">
        <v>182</v>
      </c>
      <c r="E3167" t="s">
        <v>378</v>
      </c>
      <c r="H3167">
        <v>1000</v>
      </c>
      <c r="J3167">
        <v>1</v>
      </c>
      <c r="K3167" t="str" cm="1">
        <f t="array" ref="K3167">IFERROR(_xlfn.SWITCH(L3167,2,_xlfn.XLOOKUP(C3167,[1]ModifierDes!$B:$B,[1]ModifierDes!$C:$C),3,_xlfn.XLOOKUP(C3167,[1]StuntDes!$B:$B,[1]StuntDes!$C:$C)),"")</f>
        <v/>
      </c>
      <c r="L3167">
        <f t="shared" si="129"/>
        <v>1</v>
      </c>
      <c r="M3167" s="10" t="str">
        <f>IFERROR(_xlfn.XLOOKUP(C3167,[1]StuntDes!$B:$B,[1]StuntDes!$A:$A),"")</f>
        <v/>
      </c>
      <c r="N3167" s="10" t="str">
        <f>IFERROR(_xlfn.XLOOKUP(C3167,[1]ModifierDes!$B:$B,[1]ModifierDes!$A:$A),"")</f>
        <v/>
      </c>
      <c r="O3167" s="10">
        <f>IFERROR(_xlfn.XLOOKUP(C3167,[1]AttributeName!$C:$C,[1]AttributeName!$B:$B),"")</f>
        <v>10102</v>
      </c>
      <c r="P3167" s="10"/>
      <c r="Q3167">
        <v>0.6</v>
      </c>
      <c r="R3167">
        <v>0.8</v>
      </c>
      <c r="S3167" cm="1">
        <f t="array" ref="S3167">IFERROR(_xlfn.SWITCH(L3167,1,_xlfn.XLOOKUP(O3167,[1]AttributeName!$B:$B,[1]AttributeName!$D:$D),2,_xlfn.XLOOKUP(C3167,#REF!,#REF!),3,_xlfn.XLOOKUP(C3167,#REF!,#REF!)),0)</f>
        <v>2</v>
      </c>
      <c r="T3167" cm="1">
        <f t="array" ref="T3167">IFERROR(_xlfn.SWITCH(L3167,1,_xlfn.XLOOKUP(O3167,[1]AttributeName!$B:$B,[1]AttributeName!$E:$E),2,_xlfn.XLOOKUP(C3167,#REF!,#REF!),3,_xlfn.XLOOKUP(C3167,#REF!,#REF!)),0)</f>
        <v>2</v>
      </c>
    </row>
    <row r="3168" customFormat="1" spans="1:20">
      <c r="A3168">
        <v>90045</v>
      </c>
      <c r="B3168">
        <v>1</v>
      </c>
      <c r="C3168" t="s">
        <v>449</v>
      </c>
      <c r="D3168" t="s">
        <v>182</v>
      </c>
      <c r="E3168" t="s">
        <v>378</v>
      </c>
      <c r="H3168">
        <v>1000</v>
      </c>
      <c r="J3168">
        <v>1</v>
      </c>
      <c r="K3168" t="str" cm="1">
        <f t="array" ref="K3168">IFERROR(_xlfn.SWITCH(L3168,2,_xlfn.XLOOKUP(C3168,[1]ModifierDes!$B:$B,[1]ModifierDes!$C:$C),3,_xlfn.XLOOKUP(C3168,[1]StuntDes!$B:$B,[1]StuntDes!$C:$C)),"")</f>
        <v/>
      </c>
      <c r="L3168">
        <f t="shared" si="129"/>
        <v>1</v>
      </c>
      <c r="M3168" s="10" t="str">
        <f>IFERROR(_xlfn.XLOOKUP(C3168,[1]StuntDes!$B:$B,[1]StuntDes!$A:$A),"")</f>
        <v/>
      </c>
      <c r="N3168" s="10" t="str">
        <f>IFERROR(_xlfn.XLOOKUP(C3168,[1]ModifierDes!$B:$B,[1]ModifierDes!$A:$A),"")</f>
        <v/>
      </c>
      <c r="O3168" s="10" t="str">
        <f>IFERROR(_xlfn.XLOOKUP(C3168,[1]AttributeName!$C:$C,[1]AttributeName!$B:$B),"")</f>
        <v/>
      </c>
      <c r="P3168" s="10"/>
      <c r="Q3168">
        <v>0</v>
      </c>
      <c r="R3168">
        <v>0</v>
      </c>
      <c r="S3168" cm="1">
        <f t="array" ref="S3168">IFERROR(_xlfn.SWITCH(L3168,1,_xlfn.XLOOKUP(O3168,[1]AttributeName!$B:$B,[1]AttributeName!$D:$D),2,_xlfn.XLOOKUP(C3168,#REF!,#REF!),3,_xlfn.XLOOKUP(C3168,#REF!,#REF!)),0)</f>
        <v>0</v>
      </c>
      <c r="T3168" cm="1">
        <f t="array" ref="T3168">IFERROR(_xlfn.SWITCH(L3168,1,_xlfn.XLOOKUP(O3168,[1]AttributeName!$B:$B,[1]AttributeName!$E:$E),2,_xlfn.XLOOKUP(C3168,#REF!,#REF!),3,_xlfn.XLOOKUP(C3168,#REF!,#REF!)),0)</f>
        <v>0</v>
      </c>
    </row>
    <row r="3169" customFormat="1" spans="1:20">
      <c r="A3169">
        <v>90046</v>
      </c>
      <c r="B3169">
        <v>1</v>
      </c>
      <c r="C3169" t="s">
        <v>459</v>
      </c>
      <c r="D3169" t="s">
        <v>182</v>
      </c>
      <c r="E3169" t="s">
        <v>392</v>
      </c>
      <c r="H3169">
        <v>1000</v>
      </c>
      <c r="J3169">
        <v>1</v>
      </c>
      <c r="K3169" t="str" cm="1">
        <f t="array" ref="K3169">IFERROR(_xlfn.SWITCH(L3169,2,_xlfn.XLOOKUP(C3169,[1]ModifierDes!$B:$B,[1]ModifierDes!$C:$C),3,_xlfn.XLOOKUP(C3169,[1]StuntDes!$B:$B,[1]StuntDes!$C:$C)),"")</f>
        <v/>
      </c>
      <c r="L3169">
        <f t="shared" si="129"/>
        <v>1</v>
      </c>
      <c r="M3169" s="10" t="str">
        <f>IFERROR(_xlfn.XLOOKUP(C3169,[1]StuntDes!$B:$B,[1]StuntDes!$A:$A),"")</f>
        <v/>
      </c>
      <c r="N3169" s="10" t="str">
        <f>IFERROR(_xlfn.XLOOKUP(C3169,[1]ModifierDes!$B:$B,[1]ModifierDes!$A:$A),"")</f>
        <v/>
      </c>
      <c r="O3169" s="10" t="str">
        <f>IFERROR(_xlfn.XLOOKUP(C3169,[1]AttributeName!$C:$C,[1]AttributeName!$B:$B),"")</f>
        <v/>
      </c>
      <c r="P3169" s="10"/>
      <c r="Q3169">
        <v>0.2</v>
      </c>
      <c r="R3169">
        <v>0.3</v>
      </c>
      <c r="S3169" cm="1">
        <f t="array" ref="S3169">IFERROR(_xlfn.SWITCH(L3169,1,_xlfn.XLOOKUP(O3169,[1]AttributeName!$B:$B,[1]AttributeName!$D:$D),2,_xlfn.XLOOKUP(C3169,#REF!,#REF!),3,_xlfn.XLOOKUP(C3169,#REF!,#REF!)),0)</f>
        <v>0</v>
      </c>
      <c r="T3169" cm="1">
        <f t="array" ref="T3169">IFERROR(_xlfn.SWITCH(L3169,1,_xlfn.XLOOKUP(O3169,[1]AttributeName!$B:$B,[1]AttributeName!$E:$E),2,_xlfn.XLOOKUP(C3169,#REF!,#REF!),3,_xlfn.XLOOKUP(C3169,#REF!,#REF!)),0)</f>
        <v>0</v>
      </c>
    </row>
    <row r="3170" customFormat="1" spans="1:20">
      <c r="A3170">
        <v>90047</v>
      </c>
      <c r="B3170">
        <v>1</v>
      </c>
      <c r="C3170" s="13" t="s">
        <v>396</v>
      </c>
      <c r="D3170" t="s">
        <v>182</v>
      </c>
      <c r="E3170" t="s">
        <v>392</v>
      </c>
      <c r="H3170">
        <v>1000</v>
      </c>
      <c r="J3170">
        <v>1</v>
      </c>
      <c r="K3170" t="str" cm="1">
        <f t="array" ref="K3170">IFERROR(_xlfn.SWITCH(L3170,2,_xlfn.XLOOKUP(C3170,[1]ModifierDes!$B:$B,[1]ModifierDes!$C:$C),3,_xlfn.XLOOKUP(C3170,[1]StuntDes!$B:$B,[1]StuntDes!$C:$C)),"")</f>
        <v/>
      </c>
      <c r="L3170">
        <f t="shared" si="129"/>
        <v>1</v>
      </c>
      <c r="M3170" s="10" t="str">
        <f>IFERROR(_xlfn.XLOOKUP(C3170,[1]StuntDes!$B:$B,[1]StuntDes!$A:$A),"")</f>
        <v/>
      </c>
      <c r="N3170" s="10" t="str">
        <f>IFERROR(_xlfn.XLOOKUP(C3170,[1]ModifierDes!$B:$B,[1]ModifierDes!$A:$A),"")</f>
        <v/>
      </c>
      <c r="O3170" s="10">
        <f>IFERROR(_xlfn.XLOOKUP(C3170,[1]AttributeName!$C:$C,[1]AttributeName!$B:$B),"")</f>
        <v>10405</v>
      </c>
      <c r="P3170" s="10"/>
      <c r="Q3170">
        <v>2</v>
      </c>
      <c r="R3170">
        <v>3</v>
      </c>
      <c r="S3170" cm="1">
        <f t="array" ref="S3170">IFERROR(_xlfn.SWITCH(L3170,1,_xlfn.XLOOKUP(O3170,[1]AttributeName!$B:$B,[1]AttributeName!$D:$D),2,_xlfn.XLOOKUP(C3170,#REF!,#REF!),3,_xlfn.XLOOKUP(C3170,#REF!,#REF!)),0)</f>
        <v>0</v>
      </c>
      <c r="T3170" cm="1">
        <f t="array" ref="T3170">IFERROR(_xlfn.SWITCH(L3170,1,_xlfn.XLOOKUP(O3170,[1]AttributeName!$B:$B,[1]AttributeName!$E:$E),2,_xlfn.XLOOKUP(C3170,#REF!,#REF!),3,_xlfn.XLOOKUP(C3170,#REF!,#REF!)),0)</f>
        <v>1</v>
      </c>
    </row>
    <row r="3171" customFormat="1" spans="1:20">
      <c r="A3171">
        <v>90048</v>
      </c>
      <c r="B3171">
        <v>1</v>
      </c>
      <c r="C3171" t="s">
        <v>400</v>
      </c>
      <c r="D3171" t="s">
        <v>182</v>
      </c>
      <c r="E3171" t="s">
        <v>392</v>
      </c>
      <c r="H3171">
        <v>1000</v>
      </c>
      <c r="J3171">
        <v>1</v>
      </c>
      <c r="K3171" t="str" cm="1">
        <f t="array" ref="K3171">IFERROR(_xlfn.SWITCH(L3171,2,_xlfn.XLOOKUP(C3171,[1]ModifierDes!$B:$B,[1]ModifierDes!$C:$C),3,_xlfn.XLOOKUP(C3171,[1]StuntDes!$B:$B,[1]StuntDes!$C:$C)),"")</f>
        <v>攻击暴击伤害增加{0}</v>
      </c>
      <c r="L3171">
        <f t="shared" si="129"/>
        <v>2</v>
      </c>
      <c r="M3171" s="10" t="str">
        <f>IFERROR(_xlfn.XLOOKUP(C3171,[1]StuntDes!$B:$B,[1]StuntDes!$A:$A),"")</f>
        <v/>
      </c>
      <c r="N3171" s="10">
        <f>IFERROR(_xlfn.XLOOKUP(C3171,[1]ModifierDes!$B:$B,[1]ModifierDes!$A:$A),"")</f>
        <v>10060</v>
      </c>
      <c r="O3171" s="10" t="str">
        <f>IFERROR(_xlfn.XLOOKUP(C3171,[1]AttributeName!$C:$C,[1]AttributeName!$B:$B),"")</f>
        <v/>
      </c>
      <c r="P3171" s="10"/>
      <c r="Q3171">
        <v>0.45</v>
      </c>
      <c r="R3171">
        <v>0.6</v>
      </c>
      <c r="S3171" cm="1">
        <f t="array" ref="S3171">IFERROR(_xlfn.SWITCH(L3171,1,_xlfn.XLOOKUP(O3171,[1]AttributeName!$B:$B,[1]AttributeName!$D:$D),2,_xlfn.XLOOKUP(C3171,#REF!,#REF!),3,_xlfn.XLOOKUP(C3171,#REF!,#REF!)),0)</f>
        <v>0</v>
      </c>
      <c r="T3171" cm="1">
        <f t="array" ref="T3171">IFERROR(_xlfn.SWITCH(L3171,1,_xlfn.XLOOKUP(O3171,[1]AttributeName!$B:$B,[1]AttributeName!$E:$E),2,_xlfn.XLOOKUP(C3171,#REF!,#REF!),3,_xlfn.XLOOKUP(C3171,#REF!,#REF!)),0)</f>
        <v>0</v>
      </c>
    </row>
    <row r="3172" customFormat="1" spans="1:20">
      <c r="A3172">
        <v>90049</v>
      </c>
      <c r="B3172">
        <v>1</v>
      </c>
      <c r="C3172" s="13" t="s">
        <v>377</v>
      </c>
      <c r="D3172" t="s">
        <v>213</v>
      </c>
      <c r="E3172" t="s">
        <v>378</v>
      </c>
      <c r="H3172">
        <v>1000</v>
      </c>
      <c r="J3172">
        <v>1</v>
      </c>
      <c r="K3172" t="str" cm="1">
        <f t="array" ref="K3172">IFERROR(_xlfn.SWITCH(L3172,2,_xlfn.XLOOKUP(C3172,[1]ModifierDes!$B:$B,[1]ModifierDes!$C:$C),3,_xlfn.XLOOKUP(C3172,[1]StuntDes!$B:$B,[1]StuntDes!$C:$C)),"")</f>
        <v>物理伤害倍率增加{0}</v>
      </c>
      <c r="L3172">
        <f t="shared" si="129"/>
        <v>2</v>
      </c>
      <c r="M3172" s="10" t="str">
        <f>IFERROR(_xlfn.XLOOKUP(C3172,[1]StuntDes!$B:$B,[1]StuntDes!$A:$A),"")</f>
        <v/>
      </c>
      <c r="N3172" s="10">
        <f>IFERROR(_xlfn.XLOOKUP(C3172,[1]ModifierDes!$B:$B,[1]ModifierDes!$A:$A),"")</f>
        <v>10056</v>
      </c>
      <c r="O3172" s="10" t="str">
        <f>IFERROR(_xlfn.XLOOKUP(C3172,[1]AttributeName!$C:$C,[1]AttributeName!$B:$B),"")</f>
        <v/>
      </c>
      <c r="P3172" s="10"/>
      <c r="Q3172">
        <v>0.5</v>
      </c>
      <c r="R3172">
        <v>0.7</v>
      </c>
      <c r="S3172" cm="1">
        <f t="array" ref="S3172">IFERROR(_xlfn.SWITCH(L3172,1,_xlfn.XLOOKUP(O3172,[1]AttributeName!$B:$B,[1]AttributeName!$D:$D),2,_xlfn.XLOOKUP(C3172,#REF!,#REF!),3,_xlfn.XLOOKUP(C3172,#REF!,#REF!)),0)</f>
        <v>0</v>
      </c>
      <c r="T3172" cm="1">
        <f t="array" ref="T3172">IFERROR(_xlfn.SWITCH(L3172,1,_xlfn.XLOOKUP(O3172,[1]AttributeName!$B:$B,[1]AttributeName!$E:$E),2,_xlfn.XLOOKUP(C3172,#REF!,#REF!),3,_xlfn.XLOOKUP(C3172,#REF!,#REF!)),0)</f>
        <v>0</v>
      </c>
    </row>
    <row r="3173" customFormat="1" spans="1:20">
      <c r="A3173">
        <v>90050</v>
      </c>
      <c r="B3173">
        <v>1</v>
      </c>
      <c r="C3173" t="s">
        <v>460</v>
      </c>
      <c r="D3173" t="s">
        <v>213</v>
      </c>
      <c r="E3173" t="s">
        <v>378</v>
      </c>
      <c r="H3173">
        <v>1000</v>
      </c>
      <c r="J3173">
        <v>1</v>
      </c>
      <c r="K3173" t="str" cm="1">
        <f t="array" ref="K3173">IFERROR(_xlfn.SWITCH(L3173,2,_xlfn.XLOOKUP(C3173,[1]ModifierDes!$B:$B,[1]ModifierDes!$C:$C),3,_xlfn.XLOOKUP(C3173,[1]StuntDes!$B:$B,[1]StuntDes!$C:$C)),"")</f>
        <v/>
      </c>
      <c r="L3173">
        <f t="shared" si="129"/>
        <v>1</v>
      </c>
      <c r="M3173" s="10" t="str">
        <f>IFERROR(_xlfn.XLOOKUP(C3173,[1]StuntDes!$B:$B,[1]StuntDes!$A:$A),"")</f>
        <v/>
      </c>
      <c r="N3173" s="10" t="str">
        <f>IFERROR(_xlfn.XLOOKUP(C3173,[1]ModifierDes!$B:$B,[1]ModifierDes!$A:$A),"")</f>
        <v/>
      </c>
      <c r="O3173" s="10">
        <f>IFERROR(_xlfn.XLOOKUP(C3173,[1]AttributeName!$C:$C,[1]AttributeName!$B:$B),"")</f>
        <v>11037</v>
      </c>
      <c r="P3173" s="10"/>
      <c r="Q3173">
        <v>0.15</v>
      </c>
      <c r="R3173">
        <v>0.25</v>
      </c>
      <c r="S3173" cm="1">
        <f t="array" ref="S3173">IFERROR(_xlfn.SWITCH(L3173,1,_xlfn.XLOOKUP(O3173,[1]AttributeName!$B:$B,[1]AttributeName!$D:$D),2,_xlfn.XLOOKUP(C3173,#REF!,#REF!),3,_xlfn.XLOOKUP(C3173,#REF!,#REF!)),0)</f>
        <v>2</v>
      </c>
      <c r="T3173" cm="1">
        <f t="array" ref="T3173">IFERROR(_xlfn.SWITCH(L3173,1,_xlfn.XLOOKUP(O3173,[1]AttributeName!$B:$B,[1]AttributeName!$E:$E),2,_xlfn.XLOOKUP(C3173,#REF!,#REF!),3,_xlfn.XLOOKUP(C3173,#REF!,#REF!)),0)</f>
        <v>2</v>
      </c>
    </row>
    <row r="3174" customFormat="1" spans="1:20">
      <c r="A3174">
        <v>90051</v>
      </c>
      <c r="B3174">
        <v>1</v>
      </c>
      <c r="C3174" t="s">
        <v>449</v>
      </c>
      <c r="D3174" t="s">
        <v>213</v>
      </c>
      <c r="E3174" t="s">
        <v>378</v>
      </c>
      <c r="H3174">
        <v>1000</v>
      </c>
      <c r="J3174">
        <v>1</v>
      </c>
      <c r="K3174" t="str" cm="1">
        <f t="array" ref="K3174">IFERROR(_xlfn.SWITCH(L3174,2,_xlfn.XLOOKUP(C3174,[1]ModifierDes!$B:$B,[1]ModifierDes!$C:$C),3,_xlfn.XLOOKUP(C3174,[1]StuntDes!$B:$B,[1]StuntDes!$C:$C)),"")</f>
        <v/>
      </c>
      <c r="L3174">
        <f t="shared" si="129"/>
        <v>1</v>
      </c>
      <c r="M3174" s="10" t="str">
        <f>IFERROR(_xlfn.XLOOKUP(C3174,[1]StuntDes!$B:$B,[1]StuntDes!$A:$A),"")</f>
        <v/>
      </c>
      <c r="N3174" s="10" t="str">
        <f>IFERROR(_xlfn.XLOOKUP(C3174,[1]ModifierDes!$B:$B,[1]ModifierDes!$A:$A),"")</f>
        <v/>
      </c>
      <c r="O3174" s="10" t="str">
        <f>IFERROR(_xlfn.XLOOKUP(C3174,[1]AttributeName!$C:$C,[1]AttributeName!$B:$B),"")</f>
        <v/>
      </c>
      <c r="P3174" s="10"/>
      <c r="Q3174">
        <v>0</v>
      </c>
      <c r="R3174">
        <v>0</v>
      </c>
      <c r="S3174" cm="1">
        <f t="array" ref="S3174">IFERROR(_xlfn.SWITCH(L3174,1,_xlfn.XLOOKUP(O3174,[1]AttributeName!$B:$B,[1]AttributeName!$D:$D),2,_xlfn.XLOOKUP(C3174,#REF!,#REF!),3,_xlfn.XLOOKUP(C3174,#REF!,#REF!)),0)</f>
        <v>0</v>
      </c>
      <c r="T3174" cm="1">
        <f t="array" ref="T3174">IFERROR(_xlfn.SWITCH(L3174,1,_xlfn.XLOOKUP(O3174,[1]AttributeName!$B:$B,[1]AttributeName!$E:$E),2,_xlfn.XLOOKUP(C3174,#REF!,#REF!),3,_xlfn.XLOOKUP(C3174,#REF!,#REF!)),0)</f>
        <v>0</v>
      </c>
    </row>
    <row r="3175" customFormat="1" spans="1:20">
      <c r="A3175">
        <v>90052</v>
      </c>
      <c r="B3175">
        <v>1</v>
      </c>
      <c r="C3175" t="s">
        <v>461</v>
      </c>
      <c r="D3175" t="s">
        <v>213</v>
      </c>
      <c r="E3175" t="s">
        <v>392</v>
      </c>
      <c r="H3175">
        <v>1000</v>
      </c>
      <c r="J3175">
        <v>1</v>
      </c>
      <c r="K3175" t="str" cm="1">
        <f t="array" ref="K3175">IFERROR(_xlfn.SWITCH(L3175,2,_xlfn.XLOOKUP(C3175,[1]ModifierDes!$B:$B,[1]ModifierDes!$C:$C),3,_xlfn.XLOOKUP(C3175,[1]StuntDes!$B:$B,[1]StuntDes!$C:$C)),"")</f>
        <v>持续时间提高{0}</v>
      </c>
      <c r="L3175">
        <f t="shared" si="129"/>
        <v>2</v>
      </c>
      <c r="M3175" s="10" t="str">
        <f>IFERROR(_xlfn.XLOOKUP(C3175,[1]StuntDes!$B:$B,[1]StuntDes!$A:$A),"")</f>
        <v/>
      </c>
      <c r="N3175" s="10">
        <f>IFERROR(_xlfn.XLOOKUP(C3175,[1]ModifierDes!$B:$B,[1]ModifierDes!$A:$A),"")</f>
        <v>10034</v>
      </c>
      <c r="O3175" s="10" t="str">
        <f>IFERROR(_xlfn.XLOOKUP(C3175,[1]AttributeName!$C:$C,[1]AttributeName!$B:$B),"")</f>
        <v/>
      </c>
      <c r="P3175" s="10"/>
      <c r="Q3175">
        <v>0.25</v>
      </c>
      <c r="R3175">
        <v>0.4</v>
      </c>
      <c r="S3175" cm="1">
        <f t="array" ref="S3175">IFERROR(_xlfn.SWITCH(L3175,1,_xlfn.XLOOKUP(O3175,[1]AttributeName!$B:$B,[1]AttributeName!$D:$D),2,_xlfn.XLOOKUP(C3175,#REF!,#REF!),3,_xlfn.XLOOKUP(C3175,#REF!,#REF!)),0)</f>
        <v>0</v>
      </c>
      <c r="T3175" cm="1">
        <f t="array" ref="T3175">IFERROR(_xlfn.SWITCH(L3175,1,_xlfn.XLOOKUP(O3175,[1]AttributeName!$B:$B,[1]AttributeName!$E:$E),2,_xlfn.XLOOKUP(C3175,#REF!,#REF!),3,_xlfn.XLOOKUP(C3175,#REF!,#REF!)),0)</f>
        <v>0</v>
      </c>
    </row>
    <row r="3176" customFormat="1" spans="1:20">
      <c r="A3176">
        <v>90053</v>
      </c>
      <c r="B3176">
        <v>1</v>
      </c>
      <c r="C3176" t="s">
        <v>399</v>
      </c>
      <c r="D3176" t="s">
        <v>213</v>
      </c>
      <c r="E3176" t="s">
        <v>392</v>
      </c>
      <c r="H3176">
        <v>1000</v>
      </c>
      <c r="J3176">
        <v>1</v>
      </c>
      <c r="K3176" t="str" cm="1">
        <f t="array" ref="K3176">IFERROR(_xlfn.SWITCH(L3176,2,_xlfn.XLOOKUP(C3176,[1]ModifierDes!$B:$B,[1]ModifierDes!$C:$C),3,_xlfn.XLOOKUP(C3176,[1]StuntDes!$B:$B,[1]StuntDes!$C:$C)),"")</f>
        <v/>
      </c>
      <c r="L3176">
        <f t="shared" si="129"/>
        <v>1</v>
      </c>
      <c r="M3176" s="10" t="str">
        <f>IFERROR(_xlfn.XLOOKUP(C3176,[1]StuntDes!$B:$B,[1]StuntDes!$A:$A),"")</f>
        <v/>
      </c>
      <c r="N3176" s="10" t="str">
        <f>IFERROR(_xlfn.XLOOKUP(C3176,[1]ModifierDes!$B:$B,[1]ModifierDes!$A:$A),"")</f>
        <v/>
      </c>
      <c r="O3176" s="10">
        <f>IFERROR(_xlfn.XLOOKUP(C3176,[1]AttributeName!$C:$C,[1]AttributeName!$B:$B),"")</f>
        <v>10102</v>
      </c>
      <c r="P3176" s="10"/>
      <c r="Q3176">
        <v>0.6</v>
      </c>
      <c r="R3176">
        <v>0.8</v>
      </c>
      <c r="S3176" cm="1">
        <f t="array" ref="S3176">IFERROR(_xlfn.SWITCH(L3176,1,_xlfn.XLOOKUP(O3176,[1]AttributeName!$B:$B,[1]AttributeName!$D:$D),2,_xlfn.XLOOKUP(C3176,#REF!,#REF!),3,_xlfn.XLOOKUP(C3176,#REF!,#REF!)),0)</f>
        <v>2</v>
      </c>
      <c r="T3176" cm="1">
        <f t="array" ref="T3176">IFERROR(_xlfn.SWITCH(L3176,1,_xlfn.XLOOKUP(O3176,[1]AttributeName!$B:$B,[1]AttributeName!$E:$E),2,_xlfn.XLOOKUP(C3176,#REF!,#REF!),3,_xlfn.XLOOKUP(C3176,#REF!,#REF!)),0)</f>
        <v>2</v>
      </c>
    </row>
    <row r="3177" customFormat="1" spans="1:20">
      <c r="A3177">
        <v>90054</v>
      </c>
      <c r="B3177">
        <v>1</v>
      </c>
      <c r="C3177" t="s">
        <v>400</v>
      </c>
      <c r="D3177" t="s">
        <v>213</v>
      </c>
      <c r="E3177" t="s">
        <v>392</v>
      </c>
      <c r="H3177">
        <v>1000</v>
      </c>
      <c r="J3177">
        <v>1</v>
      </c>
      <c r="K3177" t="str" cm="1">
        <f t="array" ref="K3177">IFERROR(_xlfn.SWITCH(L3177,2,_xlfn.XLOOKUP(C3177,[1]ModifierDes!$B:$B,[1]ModifierDes!$C:$C),3,_xlfn.XLOOKUP(C3177,[1]StuntDes!$B:$B,[1]StuntDes!$C:$C)),"")</f>
        <v>攻击暴击伤害增加{0}</v>
      </c>
      <c r="L3177">
        <f t="shared" si="129"/>
        <v>2</v>
      </c>
      <c r="M3177" s="10" t="str">
        <f>IFERROR(_xlfn.XLOOKUP(C3177,[1]StuntDes!$B:$B,[1]StuntDes!$A:$A),"")</f>
        <v/>
      </c>
      <c r="N3177" s="10">
        <f>IFERROR(_xlfn.XLOOKUP(C3177,[1]ModifierDes!$B:$B,[1]ModifierDes!$A:$A),"")</f>
        <v>10060</v>
      </c>
      <c r="O3177" s="10" t="str">
        <f>IFERROR(_xlfn.XLOOKUP(C3177,[1]AttributeName!$C:$C,[1]AttributeName!$B:$B),"")</f>
        <v/>
      </c>
      <c r="P3177" s="10"/>
      <c r="Q3177">
        <v>0.5</v>
      </c>
      <c r="R3177">
        <v>0.7</v>
      </c>
      <c r="S3177" cm="1">
        <f t="array" ref="S3177">IFERROR(_xlfn.SWITCH(L3177,1,_xlfn.XLOOKUP(O3177,[1]AttributeName!$B:$B,[1]AttributeName!$D:$D),2,_xlfn.XLOOKUP(C3177,#REF!,#REF!),3,_xlfn.XLOOKUP(C3177,#REF!,#REF!)),0)</f>
        <v>0</v>
      </c>
      <c r="T3177" cm="1">
        <f t="array" ref="T3177">IFERROR(_xlfn.SWITCH(L3177,1,_xlfn.XLOOKUP(O3177,[1]AttributeName!$B:$B,[1]AttributeName!$E:$E),2,_xlfn.XLOOKUP(C3177,#REF!,#REF!),3,_xlfn.XLOOKUP(C3177,#REF!,#REF!)),0)</f>
        <v>0</v>
      </c>
    </row>
    <row r="3178" customFormat="1" spans="1:20">
      <c r="A3178">
        <v>90055</v>
      </c>
      <c r="B3178">
        <v>1</v>
      </c>
      <c r="C3178" s="13" t="s">
        <v>380</v>
      </c>
      <c r="D3178" t="s">
        <v>136</v>
      </c>
      <c r="E3178" t="s">
        <v>378</v>
      </c>
      <c r="H3178">
        <v>1000</v>
      </c>
      <c r="J3178">
        <v>1</v>
      </c>
      <c r="K3178" t="str" cm="1">
        <f t="array" ref="K3178">IFERROR(_xlfn.SWITCH(L3178,2,_xlfn.XLOOKUP(C3178,[1]ModifierDes!$B:$B,[1]ModifierDes!$C:$C),3,_xlfn.XLOOKUP(C3178,[1]StuntDes!$B:$B,[1]StuntDes!$C:$C)),"")</f>
        <v>冰冷伤害倍率增加{0}</v>
      </c>
      <c r="L3178">
        <f t="shared" si="129"/>
        <v>2</v>
      </c>
      <c r="M3178" s="10" t="str">
        <f>IFERROR(_xlfn.XLOOKUP(C3178,[1]StuntDes!$B:$B,[1]StuntDes!$A:$A),"")</f>
        <v/>
      </c>
      <c r="N3178" s="10">
        <f>IFERROR(_xlfn.XLOOKUP(C3178,[1]ModifierDes!$B:$B,[1]ModifierDes!$A:$A),"")</f>
        <v>10058</v>
      </c>
      <c r="O3178" s="10" t="str">
        <f>IFERROR(_xlfn.XLOOKUP(C3178,[1]AttributeName!$C:$C,[1]AttributeName!$B:$B),"")</f>
        <v/>
      </c>
      <c r="P3178" s="10"/>
      <c r="Q3178">
        <v>0.5</v>
      </c>
      <c r="R3178">
        <v>0.7</v>
      </c>
      <c r="S3178" cm="1">
        <f t="array" ref="S3178">IFERROR(_xlfn.SWITCH(L3178,1,_xlfn.XLOOKUP(O3178,[1]AttributeName!$B:$B,[1]AttributeName!$D:$D),2,_xlfn.XLOOKUP(C3178,#REF!,#REF!),3,_xlfn.XLOOKUP(C3178,#REF!,#REF!)),0)</f>
        <v>0</v>
      </c>
      <c r="T3178" cm="1">
        <f t="array" ref="T3178">IFERROR(_xlfn.SWITCH(L3178,1,_xlfn.XLOOKUP(O3178,[1]AttributeName!$B:$B,[1]AttributeName!$E:$E),2,_xlfn.XLOOKUP(C3178,#REF!,#REF!),3,_xlfn.XLOOKUP(C3178,#REF!,#REF!)),0)</f>
        <v>0</v>
      </c>
    </row>
    <row r="3179" customFormat="1" spans="1:20">
      <c r="A3179">
        <v>90056</v>
      </c>
      <c r="B3179">
        <v>1</v>
      </c>
      <c r="C3179" t="s">
        <v>386</v>
      </c>
      <c r="D3179" t="s">
        <v>136</v>
      </c>
      <c r="E3179" t="s">
        <v>378</v>
      </c>
      <c r="H3179">
        <v>1000</v>
      </c>
      <c r="J3179">
        <v>1</v>
      </c>
      <c r="K3179" t="str" cm="1">
        <f t="array" ref="K3179">IFERROR(_xlfn.SWITCH(L3179,2,_xlfn.XLOOKUP(C3179,[1]ModifierDes!$B:$B,[1]ModifierDes!$C:$C),3,_xlfn.XLOOKUP(C3179,[1]StuntDes!$B:$B,[1]StuntDes!$C:$C)),"")</f>
        <v/>
      </c>
      <c r="L3179">
        <f t="shared" si="129"/>
        <v>1</v>
      </c>
      <c r="M3179" s="10" t="str">
        <f>IFERROR(_xlfn.XLOOKUP(C3179,[1]StuntDes!$B:$B,[1]StuntDes!$A:$A),"")</f>
        <v/>
      </c>
      <c r="N3179" s="10" t="str">
        <f>IFERROR(_xlfn.XLOOKUP(C3179,[1]ModifierDes!$B:$B,[1]ModifierDes!$A:$A),"")</f>
        <v/>
      </c>
      <c r="O3179" s="10">
        <f>IFERROR(_xlfn.XLOOKUP(C3179,[1]AttributeName!$C:$C,[1]AttributeName!$B:$B),"")</f>
        <v>10305</v>
      </c>
      <c r="P3179" s="10"/>
      <c r="Q3179">
        <v>0.75</v>
      </c>
      <c r="R3179">
        <v>1</v>
      </c>
      <c r="S3179" cm="1">
        <f t="array" ref="S3179">IFERROR(_xlfn.SWITCH(L3179,1,_xlfn.XLOOKUP(O3179,[1]AttributeName!$B:$B,[1]AttributeName!$D:$D),2,_xlfn.XLOOKUP(C3179,#REF!,#REF!),3,_xlfn.XLOOKUP(C3179,#REF!,#REF!)),0)</f>
        <v>2</v>
      </c>
      <c r="T3179" cm="1">
        <f t="array" ref="T3179">IFERROR(_xlfn.SWITCH(L3179,1,_xlfn.XLOOKUP(O3179,[1]AttributeName!$B:$B,[1]AttributeName!$E:$E),2,_xlfn.XLOOKUP(C3179,#REF!,#REF!),3,_xlfn.XLOOKUP(C3179,#REF!,#REF!)),0)</f>
        <v>2</v>
      </c>
    </row>
    <row r="3180" customFormat="1" spans="1:20">
      <c r="A3180">
        <v>90057</v>
      </c>
      <c r="B3180">
        <v>1</v>
      </c>
      <c r="C3180" t="s">
        <v>377</v>
      </c>
      <c r="D3180" t="s">
        <v>136</v>
      </c>
      <c r="E3180" t="s">
        <v>378</v>
      </c>
      <c r="H3180">
        <v>1000</v>
      </c>
      <c r="J3180">
        <v>1</v>
      </c>
      <c r="K3180" t="str" cm="1">
        <f t="array" ref="K3180">IFERROR(_xlfn.SWITCH(L3180,2,_xlfn.XLOOKUP(C3180,[1]ModifierDes!$B:$B,[1]ModifierDes!$C:$C),3,_xlfn.XLOOKUP(C3180,[1]StuntDes!$B:$B,[1]StuntDes!$C:$C)),"")</f>
        <v>物理伤害倍率增加{0}</v>
      </c>
      <c r="L3180">
        <f t="shared" si="129"/>
        <v>2</v>
      </c>
      <c r="M3180" s="10" t="str">
        <f>IFERROR(_xlfn.XLOOKUP(C3180,[1]StuntDes!$B:$B,[1]StuntDes!$A:$A),"")</f>
        <v/>
      </c>
      <c r="N3180" s="10">
        <f>IFERROR(_xlfn.XLOOKUP(C3180,[1]ModifierDes!$B:$B,[1]ModifierDes!$A:$A),"")</f>
        <v>10056</v>
      </c>
      <c r="O3180" s="10" t="str">
        <f>IFERROR(_xlfn.XLOOKUP(C3180,[1]AttributeName!$C:$C,[1]AttributeName!$B:$B),"")</f>
        <v/>
      </c>
      <c r="P3180" s="10"/>
      <c r="Q3180">
        <v>0.5</v>
      </c>
      <c r="R3180">
        <v>0.7</v>
      </c>
      <c r="S3180" cm="1">
        <f t="array" ref="S3180">IFERROR(_xlfn.SWITCH(L3180,1,_xlfn.XLOOKUP(O3180,[1]AttributeName!$B:$B,[1]AttributeName!$D:$D),2,_xlfn.XLOOKUP(C3180,#REF!,#REF!),3,_xlfn.XLOOKUP(C3180,#REF!,#REF!)),0)</f>
        <v>0</v>
      </c>
      <c r="T3180" cm="1">
        <f t="array" ref="T3180">IFERROR(_xlfn.SWITCH(L3180,1,_xlfn.XLOOKUP(O3180,[1]AttributeName!$B:$B,[1]AttributeName!$E:$E),2,_xlfn.XLOOKUP(C3180,#REF!,#REF!),3,_xlfn.XLOOKUP(C3180,#REF!,#REF!)),0)</f>
        <v>0</v>
      </c>
    </row>
    <row r="3181" customFormat="1" spans="1:20">
      <c r="A3181">
        <v>90058</v>
      </c>
      <c r="B3181">
        <v>1</v>
      </c>
      <c r="C3181" t="s">
        <v>455</v>
      </c>
      <c r="D3181" t="s">
        <v>136</v>
      </c>
      <c r="E3181" t="s">
        <v>392</v>
      </c>
      <c r="H3181">
        <v>1000</v>
      </c>
      <c r="J3181">
        <v>1</v>
      </c>
      <c r="K3181" t="str" cm="1">
        <f t="array" ref="K3181">IFERROR(_xlfn.SWITCH(L3181,2,_xlfn.XLOOKUP(C3181,[1]ModifierDes!$B:$B,[1]ModifierDes!$C:$C),3,_xlfn.XLOOKUP(C3181,[1]StuntDes!$B:$B,[1]StuntDes!$C:$C)),"")</f>
        <v>物理伤害转冰冷伤害增加{0}</v>
      </c>
      <c r="L3181">
        <f t="shared" si="129"/>
        <v>2</v>
      </c>
      <c r="M3181" s="10" t="str">
        <f>IFERROR(_xlfn.XLOOKUP(C3181,[1]StuntDes!$B:$B,[1]StuntDes!$A:$A),"")</f>
        <v/>
      </c>
      <c r="N3181" s="10">
        <f>IFERROR(_xlfn.XLOOKUP(C3181,[1]ModifierDes!$B:$B,[1]ModifierDes!$A:$A),"")</f>
        <v>10070</v>
      </c>
      <c r="O3181" s="10" t="str">
        <f>IFERROR(_xlfn.XLOOKUP(C3181,[1]AttributeName!$C:$C,[1]AttributeName!$B:$B),"")</f>
        <v/>
      </c>
      <c r="P3181" s="10"/>
      <c r="Q3181">
        <v>0.75</v>
      </c>
      <c r="R3181">
        <v>1</v>
      </c>
      <c r="S3181" cm="1">
        <f t="array" ref="S3181">IFERROR(_xlfn.SWITCH(L3181,1,_xlfn.XLOOKUP(O3181,[1]AttributeName!$B:$B,[1]AttributeName!$D:$D),2,_xlfn.XLOOKUP(C3181,#REF!,#REF!),3,_xlfn.XLOOKUP(C3181,#REF!,#REF!)),0)</f>
        <v>0</v>
      </c>
      <c r="T3181" cm="1">
        <f t="array" ref="T3181">IFERROR(_xlfn.SWITCH(L3181,1,_xlfn.XLOOKUP(O3181,[1]AttributeName!$B:$B,[1]AttributeName!$E:$E),2,_xlfn.XLOOKUP(C3181,#REF!,#REF!),3,_xlfn.XLOOKUP(C3181,#REF!,#REF!)),0)</f>
        <v>0</v>
      </c>
    </row>
    <row r="3182" customFormat="1" spans="1:20">
      <c r="A3182">
        <v>90059</v>
      </c>
      <c r="B3182">
        <v>1</v>
      </c>
      <c r="C3182" t="s">
        <v>396</v>
      </c>
      <c r="D3182" t="s">
        <v>136</v>
      </c>
      <c r="E3182" t="s">
        <v>392</v>
      </c>
      <c r="H3182">
        <v>1000</v>
      </c>
      <c r="J3182">
        <v>1</v>
      </c>
      <c r="K3182" t="str" cm="1">
        <f t="array" ref="K3182">IFERROR(_xlfn.SWITCH(L3182,2,_xlfn.XLOOKUP(C3182,[1]ModifierDes!$B:$B,[1]ModifierDes!$C:$C),3,_xlfn.XLOOKUP(C3182,[1]StuntDes!$B:$B,[1]StuntDes!$C:$C)),"")</f>
        <v/>
      </c>
      <c r="L3182">
        <f t="shared" si="129"/>
        <v>1</v>
      </c>
      <c r="M3182" s="10" t="str">
        <f>IFERROR(_xlfn.XLOOKUP(C3182,[1]StuntDes!$B:$B,[1]StuntDes!$A:$A),"")</f>
        <v/>
      </c>
      <c r="N3182" s="10" t="str">
        <f>IFERROR(_xlfn.XLOOKUP(C3182,[1]ModifierDes!$B:$B,[1]ModifierDes!$A:$A),"")</f>
        <v/>
      </c>
      <c r="O3182" s="10">
        <f>IFERROR(_xlfn.XLOOKUP(C3182,[1]AttributeName!$C:$C,[1]AttributeName!$B:$B),"")</f>
        <v>10405</v>
      </c>
      <c r="P3182" s="10"/>
      <c r="Q3182">
        <v>4</v>
      </c>
      <c r="R3182">
        <v>6</v>
      </c>
      <c r="S3182" cm="1">
        <f t="array" ref="S3182">IFERROR(_xlfn.SWITCH(L3182,1,_xlfn.XLOOKUP(O3182,[1]AttributeName!$B:$B,[1]AttributeName!$D:$D),2,_xlfn.XLOOKUP(C3182,#REF!,#REF!),3,_xlfn.XLOOKUP(C3182,#REF!,#REF!)),0)</f>
        <v>0</v>
      </c>
      <c r="T3182" cm="1">
        <f t="array" ref="T3182">IFERROR(_xlfn.SWITCH(L3182,1,_xlfn.XLOOKUP(O3182,[1]AttributeName!$B:$B,[1]AttributeName!$E:$E),2,_xlfn.XLOOKUP(C3182,#REF!,#REF!),3,_xlfn.XLOOKUP(C3182,#REF!,#REF!)),0)</f>
        <v>1</v>
      </c>
    </row>
    <row r="3183" customFormat="1" spans="1:20">
      <c r="A3183">
        <v>90060</v>
      </c>
      <c r="B3183">
        <v>1</v>
      </c>
      <c r="C3183" t="s">
        <v>403</v>
      </c>
      <c r="D3183" t="s">
        <v>136</v>
      </c>
      <c r="E3183" t="s">
        <v>392</v>
      </c>
      <c r="H3183">
        <v>1000</v>
      </c>
      <c r="J3183">
        <v>1</v>
      </c>
      <c r="K3183" t="str" cm="1">
        <f t="array" ref="K3183">IFERROR(_xlfn.SWITCH(L3183,2,_xlfn.XLOOKUP(C3183,[1]ModifierDes!$B:$B,[1]ModifierDes!$C:$C),3,_xlfn.XLOOKUP(C3183,[1]StuntDes!$B:$B,[1]StuntDes!$C:$C)),"")</f>
        <v/>
      </c>
      <c r="L3183">
        <f t="shared" si="129"/>
        <v>1</v>
      </c>
      <c r="M3183" s="10" t="str">
        <f>IFERROR(_xlfn.XLOOKUP(C3183,[1]StuntDes!$B:$B,[1]StuntDes!$A:$A),"")</f>
        <v/>
      </c>
      <c r="N3183" s="10" t="str">
        <f>IFERROR(_xlfn.XLOOKUP(C3183,[1]ModifierDes!$B:$B,[1]ModifierDes!$A:$A),"")</f>
        <v/>
      </c>
      <c r="O3183" s="10">
        <f>IFERROR(_xlfn.XLOOKUP(C3183,[1]AttributeName!$C:$C,[1]AttributeName!$B:$B),"")</f>
        <v>10502</v>
      </c>
      <c r="P3183" s="10"/>
      <c r="Q3183">
        <v>0.6</v>
      </c>
      <c r="R3183">
        <v>0.8</v>
      </c>
      <c r="S3183" cm="1">
        <f t="array" ref="S3183">IFERROR(_xlfn.SWITCH(L3183,1,_xlfn.XLOOKUP(O3183,[1]AttributeName!$B:$B,[1]AttributeName!$D:$D),2,_xlfn.XLOOKUP(C3183,#REF!,#REF!),3,_xlfn.XLOOKUP(C3183,#REF!,#REF!)),0)</f>
        <v>2</v>
      </c>
      <c r="T3183" cm="1">
        <f t="array" ref="T3183">IFERROR(_xlfn.SWITCH(L3183,1,_xlfn.XLOOKUP(O3183,[1]AttributeName!$B:$B,[1]AttributeName!$E:$E),2,_xlfn.XLOOKUP(C3183,#REF!,#REF!),3,_xlfn.XLOOKUP(C3183,#REF!,#REF!)),0)</f>
        <v>2</v>
      </c>
    </row>
    <row r="3184" customFormat="1" spans="1:20">
      <c r="A3184">
        <v>90061</v>
      </c>
      <c r="B3184">
        <v>1</v>
      </c>
      <c r="C3184" s="13" t="s">
        <v>389</v>
      </c>
      <c r="D3184" t="s">
        <v>148</v>
      </c>
      <c r="E3184" t="s">
        <v>378</v>
      </c>
      <c r="H3184">
        <v>1000</v>
      </c>
      <c r="J3184">
        <v>1</v>
      </c>
      <c r="K3184" t="str" cm="1">
        <f t="array" ref="K3184">IFERROR(_xlfn.SWITCH(L3184,2,_xlfn.XLOOKUP(C3184,[1]ModifierDes!$B:$B,[1]ModifierDes!$C:$C),3,_xlfn.XLOOKUP(C3184,[1]StuntDes!$B:$B,[1]StuntDes!$C:$C)),"")</f>
        <v/>
      </c>
      <c r="L3184">
        <f t="shared" si="129"/>
        <v>1</v>
      </c>
      <c r="M3184" s="10" t="str">
        <f>IFERROR(_xlfn.XLOOKUP(C3184,[1]StuntDes!$B:$B,[1]StuntDes!$A:$A),"")</f>
        <v/>
      </c>
      <c r="N3184" s="10" t="str">
        <f>IFERROR(_xlfn.XLOOKUP(C3184,[1]ModifierDes!$B:$B,[1]ModifierDes!$A:$A),"")</f>
        <v/>
      </c>
      <c r="O3184" s="10">
        <f>IFERROR(_xlfn.XLOOKUP(C3184,[1]AttributeName!$C:$C,[1]AttributeName!$B:$B),"")</f>
        <v>10001</v>
      </c>
      <c r="P3184" s="10"/>
      <c r="Q3184">
        <v>950</v>
      </c>
      <c r="R3184">
        <v>1050</v>
      </c>
      <c r="S3184" cm="1">
        <f t="array" ref="S3184">IFERROR(_xlfn.SWITCH(L3184,1,_xlfn.XLOOKUP(O3184,[1]AttributeName!$B:$B,[1]AttributeName!$D:$D),2,_xlfn.XLOOKUP(C3184,#REF!,#REF!),3,_xlfn.XLOOKUP(C3184,#REF!,#REF!)),0)</f>
        <v>0</v>
      </c>
      <c r="T3184" cm="1">
        <f t="array" ref="T3184">IFERROR(_xlfn.SWITCH(L3184,1,_xlfn.XLOOKUP(O3184,[1]AttributeName!$B:$B,[1]AttributeName!$E:$E),2,_xlfn.XLOOKUP(C3184,#REF!,#REF!),3,_xlfn.XLOOKUP(C3184,#REF!,#REF!)),0)</f>
        <v>1</v>
      </c>
    </row>
    <row r="3185" customFormat="1" spans="1:20">
      <c r="A3185">
        <v>90062</v>
      </c>
      <c r="B3185">
        <v>1</v>
      </c>
      <c r="C3185" t="s">
        <v>416</v>
      </c>
      <c r="D3185" t="s">
        <v>148</v>
      </c>
      <c r="E3185" t="s">
        <v>378</v>
      </c>
      <c r="H3185">
        <v>1000</v>
      </c>
      <c r="J3185">
        <v>1</v>
      </c>
      <c r="K3185" t="str" cm="1">
        <f t="array" ref="K3185">IFERROR(_xlfn.SWITCH(L3185,2,_xlfn.XLOOKUP(C3185,[1]ModifierDes!$B:$B,[1]ModifierDes!$C:$C),3,_xlfn.XLOOKUP(C3185,[1]StuntDes!$B:$B,[1]StuntDes!$C:$C)),"")</f>
        <v/>
      </c>
      <c r="L3185">
        <f t="shared" si="129"/>
        <v>1</v>
      </c>
      <c r="M3185" s="10" t="str">
        <f>IFERROR(_xlfn.XLOOKUP(C3185,[1]StuntDes!$B:$B,[1]StuntDes!$A:$A),"")</f>
        <v/>
      </c>
      <c r="N3185" s="10" t="str">
        <f>IFERROR(_xlfn.XLOOKUP(C3185,[1]ModifierDes!$B:$B,[1]ModifierDes!$A:$A),"")</f>
        <v/>
      </c>
      <c r="O3185" s="10">
        <f>IFERROR(_xlfn.XLOOKUP(C3185,[1]AttributeName!$C:$C,[1]AttributeName!$B:$B),"")</f>
        <v>10002</v>
      </c>
      <c r="P3185" s="10"/>
      <c r="Q3185">
        <v>71</v>
      </c>
      <c r="R3185">
        <v>80</v>
      </c>
      <c r="S3185" cm="1">
        <f t="array" ref="S3185">IFERROR(_xlfn.SWITCH(L3185,1,_xlfn.XLOOKUP(O3185,[1]AttributeName!$B:$B,[1]AttributeName!$D:$D),2,_xlfn.XLOOKUP(C3185,#REF!,#REF!),3,_xlfn.XLOOKUP(C3185,#REF!,#REF!)),0)</f>
        <v>0</v>
      </c>
      <c r="T3185" cm="1">
        <f t="array" ref="T3185">IFERROR(_xlfn.SWITCH(L3185,1,_xlfn.XLOOKUP(O3185,[1]AttributeName!$B:$B,[1]AttributeName!$E:$E),2,_xlfn.XLOOKUP(C3185,#REF!,#REF!),3,_xlfn.XLOOKUP(C3185,#REF!,#REF!)),0)</f>
        <v>1</v>
      </c>
    </row>
    <row r="3186" customFormat="1" spans="1:20">
      <c r="A3186">
        <v>90063</v>
      </c>
      <c r="B3186">
        <v>1</v>
      </c>
      <c r="C3186" t="s">
        <v>449</v>
      </c>
      <c r="D3186" t="s">
        <v>148</v>
      </c>
      <c r="E3186" t="s">
        <v>378</v>
      </c>
      <c r="H3186">
        <v>1000</v>
      </c>
      <c r="J3186">
        <v>1</v>
      </c>
      <c r="K3186" t="str" cm="1">
        <f t="array" ref="K3186">IFERROR(_xlfn.SWITCH(L3186,2,_xlfn.XLOOKUP(C3186,[1]ModifierDes!$B:$B,[1]ModifierDes!$C:$C),3,_xlfn.XLOOKUP(C3186,[1]StuntDes!$B:$B,[1]StuntDes!$C:$C)),"")</f>
        <v/>
      </c>
      <c r="L3186">
        <f t="shared" si="129"/>
        <v>1</v>
      </c>
      <c r="M3186" s="10" t="str">
        <f>IFERROR(_xlfn.XLOOKUP(C3186,[1]StuntDes!$B:$B,[1]StuntDes!$A:$A),"")</f>
        <v/>
      </c>
      <c r="N3186" s="10" t="str">
        <f>IFERROR(_xlfn.XLOOKUP(C3186,[1]ModifierDes!$B:$B,[1]ModifierDes!$A:$A),"")</f>
        <v/>
      </c>
      <c r="O3186" s="10" t="str">
        <f>IFERROR(_xlfn.XLOOKUP(C3186,[1]AttributeName!$C:$C,[1]AttributeName!$B:$B),"")</f>
        <v/>
      </c>
      <c r="P3186" s="10"/>
      <c r="Q3186">
        <v>0</v>
      </c>
      <c r="R3186">
        <v>0</v>
      </c>
      <c r="S3186" cm="1">
        <f t="array" ref="S3186">IFERROR(_xlfn.SWITCH(L3186,1,_xlfn.XLOOKUP(O3186,[1]AttributeName!$B:$B,[1]AttributeName!$D:$D),2,_xlfn.XLOOKUP(C3186,#REF!,#REF!),3,_xlfn.XLOOKUP(C3186,#REF!,#REF!)),0)</f>
        <v>0</v>
      </c>
      <c r="T3186" cm="1">
        <f t="array" ref="T3186">IFERROR(_xlfn.SWITCH(L3186,1,_xlfn.XLOOKUP(O3186,[1]AttributeName!$B:$B,[1]AttributeName!$E:$E),2,_xlfn.XLOOKUP(C3186,#REF!,#REF!),3,_xlfn.XLOOKUP(C3186,#REF!,#REF!)),0)</f>
        <v>0</v>
      </c>
    </row>
    <row r="3187" customFormat="1" spans="1:20">
      <c r="A3187">
        <v>90064</v>
      </c>
      <c r="B3187">
        <v>1</v>
      </c>
      <c r="C3187" t="s">
        <v>462</v>
      </c>
      <c r="D3187" t="s">
        <v>148</v>
      </c>
      <c r="E3187" t="s">
        <v>392</v>
      </c>
      <c r="H3187">
        <v>1000</v>
      </c>
      <c r="J3187">
        <v>1</v>
      </c>
      <c r="K3187" t="str" cm="1">
        <f t="array" ref="K3187">IFERROR(_xlfn.SWITCH(L3187,2,_xlfn.XLOOKUP(C3187,[1]ModifierDes!$B:$B,[1]ModifierDes!$C:$C),3,_xlfn.XLOOKUP(C3187,[1]StuntDes!$B:$B,[1]StuntDes!$C:$C)),"")</f>
        <v>攻击一定会暴击，暴击伤害降低{0}</v>
      </c>
      <c r="L3187">
        <f t="shared" si="129"/>
        <v>2</v>
      </c>
      <c r="M3187" s="10" t="str">
        <f>IFERROR(_xlfn.XLOOKUP(C3187,[1]StuntDes!$B:$B,[1]StuntDes!$A:$A),"")</f>
        <v/>
      </c>
      <c r="N3187" s="10">
        <f>IFERROR(_xlfn.XLOOKUP(C3187,[1]ModifierDes!$B:$B,[1]ModifierDes!$A:$A),"")</f>
        <v>10079</v>
      </c>
      <c r="O3187" s="10" t="str">
        <f>IFERROR(_xlfn.XLOOKUP(C3187,[1]AttributeName!$C:$C,[1]AttributeName!$B:$B),"")</f>
        <v/>
      </c>
      <c r="P3187" s="10"/>
      <c r="Q3187">
        <v>0.4</v>
      </c>
      <c r="R3187">
        <v>0.6</v>
      </c>
      <c r="S3187" cm="1">
        <f t="array" ref="S3187">IFERROR(_xlfn.SWITCH(L3187,1,_xlfn.XLOOKUP(O3187,[1]AttributeName!$B:$B,[1]AttributeName!$D:$D),2,_xlfn.XLOOKUP(C3187,#REF!,#REF!),3,_xlfn.XLOOKUP(C3187,#REF!,#REF!)),0)</f>
        <v>0</v>
      </c>
      <c r="T3187" cm="1">
        <f t="array" ref="T3187">IFERROR(_xlfn.SWITCH(L3187,1,_xlfn.XLOOKUP(O3187,[1]AttributeName!$B:$B,[1]AttributeName!$E:$E),2,_xlfn.XLOOKUP(C3187,#REF!,#REF!),3,_xlfn.XLOOKUP(C3187,#REF!,#REF!)),0)</f>
        <v>0</v>
      </c>
    </row>
    <row r="3188" customFormat="1" spans="1:20">
      <c r="A3188">
        <v>90065</v>
      </c>
      <c r="B3188">
        <v>1</v>
      </c>
      <c r="C3188" s="13" t="s">
        <v>423</v>
      </c>
      <c r="D3188" t="s">
        <v>148</v>
      </c>
      <c r="E3188" t="s">
        <v>392</v>
      </c>
      <c r="H3188">
        <v>1000</v>
      </c>
      <c r="J3188">
        <v>1</v>
      </c>
      <c r="K3188" t="str" cm="1">
        <f t="array" ref="K3188">IFERROR(_xlfn.SWITCH(L3188,2,_xlfn.XLOOKUP(C3188,[1]ModifierDes!$B:$B,[1]ModifierDes!$C:$C),3,_xlfn.XLOOKUP(C3188,[1]StuntDes!$B:$B,[1]StuntDes!$C:$C)),"")</f>
        <v/>
      </c>
      <c r="L3188">
        <f t="shared" si="129"/>
        <v>1</v>
      </c>
      <c r="M3188" s="10" t="str">
        <f>IFERROR(_xlfn.XLOOKUP(C3188,[1]StuntDes!$B:$B,[1]StuntDes!$A:$A),"")</f>
        <v/>
      </c>
      <c r="N3188" s="10" t="str">
        <f>IFERROR(_xlfn.XLOOKUP(C3188,[1]ModifierDes!$B:$B,[1]ModifierDes!$A:$A),"")</f>
        <v/>
      </c>
      <c r="O3188" s="10">
        <f>IFERROR(_xlfn.XLOOKUP(C3188,[1]AttributeName!$C:$C,[1]AttributeName!$B:$B),"")</f>
        <v>10312</v>
      </c>
      <c r="P3188" s="10"/>
      <c r="Q3188">
        <v>0.3</v>
      </c>
      <c r="R3188">
        <v>0.4</v>
      </c>
      <c r="S3188" cm="1">
        <f t="array" ref="S3188">IFERROR(_xlfn.SWITCH(L3188,1,_xlfn.XLOOKUP(O3188,[1]AttributeName!$B:$B,[1]AttributeName!$D:$D),2,_xlfn.XLOOKUP(C3188,#REF!,#REF!),3,_xlfn.XLOOKUP(C3188,#REF!,#REF!)),0)</f>
        <v>2</v>
      </c>
      <c r="T3188" cm="1">
        <f t="array" ref="T3188">IFERROR(_xlfn.SWITCH(L3188,1,_xlfn.XLOOKUP(O3188,[1]AttributeName!$B:$B,[1]AttributeName!$E:$E),2,_xlfn.XLOOKUP(C3188,#REF!,#REF!),3,_xlfn.XLOOKUP(C3188,#REF!,#REF!)),0)</f>
        <v>2</v>
      </c>
    </row>
    <row r="3189" customFormat="1" spans="1:20">
      <c r="A3189">
        <v>90066</v>
      </c>
      <c r="B3189">
        <v>1</v>
      </c>
      <c r="C3189" t="s">
        <v>425</v>
      </c>
      <c r="D3189" t="s">
        <v>148</v>
      </c>
      <c r="E3189" t="s">
        <v>392</v>
      </c>
      <c r="H3189">
        <v>1000</v>
      </c>
      <c r="J3189">
        <v>1</v>
      </c>
      <c r="K3189" t="str" cm="1">
        <f t="array" ref="K3189">IFERROR(_xlfn.SWITCH(L3189,2,_xlfn.XLOOKUP(C3189,[1]ModifierDes!$B:$B,[1]ModifierDes!$C:$C),3,_xlfn.XLOOKUP(C3189,[1]StuntDes!$B:$B,[1]StuntDes!$C:$C)),"")</f>
        <v/>
      </c>
      <c r="L3189">
        <f t="shared" si="129"/>
        <v>1</v>
      </c>
      <c r="M3189" s="10" t="str">
        <f>IFERROR(_xlfn.XLOOKUP(C3189,[1]StuntDes!$B:$B,[1]StuntDes!$A:$A),"")</f>
        <v/>
      </c>
      <c r="N3189" s="10" t="str">
        <f>IFERROR(_xlfn.XLOOKUP(C3189,[1]ModifierDes!$B:$B,[1]ModifierDes!$A:$A),"")</f>
        <v/>
      </c>
      <c r="O3189" s="10">
        <f>IFERROR(_xlfn.XLOOKUP(C3189,[1]AttributeName!$C:$C,[1]AttributeName!$B:$B),"")</f>
        <v>10314</v>
      </c>
      <c r="P3189" s="10"/>
      <c r="Q3189">
        <v>0.3</v>
      </c>
      <c r="R3189">
        <v>0.4</v>
      </c>
      <c r="S3189" cm="1">
        <f t="array" ref="S3189">IFERROR(_xlfn.SWITCH(L3189,1,_xlfn.XLOOKUP(O3189,[1]AttributeName!$B:$B,[1]AttributeName!$D:$D),2,_xlfn.XLOOKUP(C3189,#REF!,#REF!),3,_xlfn.XLOOKUP(C3189,#REF!,#REF!)),0)</f>
        <v>2</v>
      </c>
      <c r="T3189" cm="1">
        <f t="array" ref="T3189">IFERROR(_xlfn.SWITCH(L3189,1,_xlfn.XLOOKUP(O3189,[1]AttributeName!$B:$B,[1]AttributeName!$E:$E),2,_xlfn.XLOOKUP(C3189,#REF!,#REF!),3,_xlfn.XLOOKUP(C3189,#REF!,#REF!)),0)</f>
        <v>2</v>
      </c>
    </row>
    <row r="3190" customFormat="1" spans="1:20">
      <c r="A3190">
        <v>90067</v>
      </c>
      <c r="B3190">
        <v>1</v>
      </c>
      <c r="C3190" s="13" t="s">
        <v>377</v>
      </c>
      <c r="D3190" t="s">
        <v>186</v>
      </c>
      <c r="E3190" t="s">
        <v>378</v>
      </c>
      <c r="H3190">
        <v>1000</v>
      </c>
      <c r="J3190">
        <v>1</v>
      </c>
      <c r="K3190" t="str" cm="1">
        <f t="array" ref="K3190">IFERROR(_xlfn.SWITCH(L3190,2,_xlfn.XLOOKUP(C3190,[1]ModifierDes!$B:$B,[1]ModifierDes!$C:$C),3,_xlfn.XLOOKUP(C3190,[1]StuntDes!$B:$B,[1]StuntDes!$C:$C)),"")</f>
        <v>物理伤害倍率增加{0}</v>
      </c>
      <c r="L3190">
        <f t="shared" si="129"/>
        <v>2</v>
      </c>
      <c r="M3190" s="10" t="str">
        <f>IFERROR(_xlfn.XLOOKUP(C3190,[1]StuntDes!$B:$B,[1]StuntDes!$A:$A),"")</f>
        <v/>
      </c>
      <c r="N3190" s="10">
        <f>IFERROR(_xlfn.XLOOKUP(C3190,[1]ModifierDes!$B:$B,[1]ModifierDes!$A:$A),"")</f>
        <v>10056</v>
      </c>
      <c r="O3190" s="10" t="str">
        <f>IFERROR(_xlfn.XLOOKUP(C3190,[1]AttributeName!$C:$C,[1]AttributeName!$B:$B),"")</f>
        <v/>
      </c>
      <c r="P3190" s="10"/>
      <c r="Q3190">
        <v>0.25</v>
      </c>
      <c r="R3190">
        <v>0.35</v>
      </c>
      <c r="S3190" cm="1">
        <f t="array" ref="S3190">IFERROR(_xlfn.SWITCH(L3190,1,_xlfn.XLOOKUP(O3190,[1]AttributeName!$B:$B,[1]AttributeName!$D:$D),2,_xlfn.XLOOKUP(C3190,#REF!,#REF!),3,_xlfn.XLOOKUP(C3190,#REF!,#REF!)),0)</f>
        <v>0</v>
      </c>
      <c r="T3190" cm="1">
        <f t="array" ref="T3190">IFERROR(_xlfn.SWITCH(L3190,1,_xlfn.XLOOKUP(O3190,[1]AttributeName!$B:$B,[1]AttributeName!$E:$E),2,_xlfn.XLOOKUP(C3190,#REF!,#REF!),3,_xlfn.XLOOKUP(C3190,#REF!,#REF!)),0)</f>
        <v>0</v>
      </c>
    </row>
    <row r="3191" customFormat="1" spans="1:20">
      <c r="A3191">
        <v>90068</v>
      </c>
      <c r="B3191">
        <v>1</v>
      </c>
      <c r="C3191" t="s">
        <v>406</v>
      </c>
      <c r="D3191" t="s">
        <v>186</v>
      </c>
      <c r="E3191" t="s">
        <v>378</v>
      </c>
      <c r="H3191">
        <v>1000</v>
      </c>
      <c r="J3191">
        <v>1</v>
      </c>
      <c r="K3191" t="str" cm="1">
        <f t="array" ref="K3191">IFERROR(_xlfn.SWITCH(L3191,2,_xlfn.XLOOKUP(C3191,[1]ModifierDes!$B:$B,[1]ModifierDes!$C:$C),3,_xlfn.XLOOKUP(C3191,[1]StuntDes!$B:$B,[1]StuntDes!$C:$C)),"")</f>
        <v>攻击速度提高{0}</v>
      </c>
      <c r="L3191">
        <f t="shared" si="129"/>
        <v>2</v>
      </c>
      <c r="M3191" s="10" t="str">
        <f>IFERROR(_xlfn.XLOOKUP(C3191,[1]StuntDes!$B:$B,[1]StuntDes!$A:$A),"")</f>
        <v/>
      </c>
      <c r="N3191" s="10">
        <f>IFERROR(_xlfn.XLOOKUP(C3191,[1]ModifierDes!$B:$B,[1]ModifierDes!$A:$A),"")</f>
        <v>10031</v>
      </c>
      <c r="O3191" s="10"/>
      <c r="P3191" s="10"/>
      <c r="Q3191">
        <v>-0.3</v>
      </c>
      <c r="R3191">
        <v>-0.2</v>
      </c>
      <c r="S3191" cm="1">
        <f t="array" ref="S3191">IFERROR(_xlfn.SWITCH(L3191,1,_xlfn.XLOOKUP(O3191,[1]AttributeName!$B:$B,[1]AttributeName!$D:$D),2,_xlfn.XLOOKUP(C3191,#REF!,#REF!),3,_xlfn.XLOOKUP(C3191,#REF!,#REF!)),0)</f>
        <v>0</v>
      </c>
      <c r="T3191" cm="1">
        <f t="array" ref="T3191">IFERROR(_xlfn.SWITCH(L3191,1,_xlfn.XLOOKUP(O3191,[1]AttributeName!$B:$B,[1]AttributeName!$E:$E),2,_xlfn.XLOOKUP(C3191,#REF!,#REF!),3,_xlfn.XLOOKUP(C3191,#REF!,#REF!)),0)</f>
        <v>0</v>
      </c>
    </row>
    <row r="3192" customFormat="1" spans="1:20">
      <c r="A3192">
        <v>90069</v>
      </c>
      <c r="B3192">
        <v>1</v>
      </c>
      <c r="C3192" t="s">
        <v>463</v>
      </c>
      <c r="D3192" t="s">
        <v>186</v>
      </c>
      <c r="E3192" t="s">
        <v>378</v>
      </c>
      <c r="H3192">
        <v>1000</v>
      </c>
      <c r="J3192">
        <v>1</v>
      </c>
      <c r="K3192" t="str" cm="1">
        <f t="array" ref="K3192">IFERROR(_xlfn.SWITCH(L3192,2,_xlfn.XLOOKUP(C3192,[1]ModifierDes!$B:$B,[1]ModifierDes!$C:$C),3,_xlfn.XLOOKUP(C3192,[1]StuntDes!$B:$B,[1]StuntDes!$C:$C)),"")</f>
        <v>元素伤害提高{0}</v>
      </c>
      <c r="L3192">
        <f t="shared" si="129"/>
        <v>2</v>
      </c>
      <c r="M3192" s="10" t="str">
        <f>IFERROR(_xlfn.XLOOKUP(C3192,[1]StuntDes!$B:$B,[1]StuntDes!$A:$A),"")</f>
        <v/>
      </c>
      <c r="N3192" s="10">
        <f>IFERROR(_xlfn.XLOOKUP(C3192,[1]ModifierDes!$B:$B,[1]ModifierDes!$A:$A),"")</f>
        <v>10120</v>
      </c>
      <c r="O3192" s="10">
        <f>IFERROR(_xlfn.XLOOKUP(C3192,[1]AttributeName!$C:$C,[1]AttributeName!$B:$B),"")</f>
        <v>10308</v>
      </c>
      <c r="P3192" s="10"/>
      <c r="Q3192">
        <v>0.25</v>
      </c>
      <c r="R3192">
        <v>0.35</v>
      </c>
      <c r="S3192" cm="1">
        <f t="array" ref="S3192">IFERROR(_xlfn.SWITCH(L3192,1,_xlfn.XLOOKUP(O3192,[1]AttributeName!$B:$B,[1]AttributeName!$D:$D),2,_xlfn.XLOOKUP(C3192,#REF!,#REF!),3,_xlfn.XLOOKUP(C3192,#REF!,#REF!)),0)</f>
        <v>0</v>
      </c>
      <c r="T3192" cm="1">
        <f t="array" ref="T3192">IFERROR(_xlfn.SWITCH(L3192,1,_xlfn.XLOOKUP(O3192,[1]AttributeName!$B:$B,[1]AttributeName!$E:$E),2,_xlfn.XLOOKUP(C3192,#REF!,#REF!),3,_xlfn.XLOOKUP(C3192,#REF!,#REF!)),0)</f>
        <v>0</v>
      </c>
    </row>
    <row r="3193" customFormat="1" spans="1:20">
      <c r="A3193">
        <v>90070</v>
      </c>
      <c r="B3193">
        <v>1</v>
      </c>
      <c r="C3193" s="13" t="s">
        <v>464</v>
      </c>
      <c r="D3193" t="s">
        <v>186</v>
      </c>
      <c r="E3193" t="s">
        <v>392</v>
      </c>
      <c r="H3193">
        <v>1000</v>
      </c>
      <c r="J3193">
        <v>1</v>
      </c>
      <c r="K3193" t="str" cm="1">
        <f t="array" ref="K3193">IFERROR(_xlfn.SWITCH(L3193,2,_xlfn.XLOOKUP(C3193,[1]ModifierDes!$B:$B,[1]ModifierDes!$C:$C),3,_xlfn.XLOOKUP(C3193,[1]StuntDes!$B:$B,[1]StuntDes!$C:$C)),"")</f>
        <v>近战技能范围效果增加{0}</v>
      </c>
      <c r="L3193">
        <f t="shared" si="129"/>
        <v>2</v>
      </c>
      <c r="M3193" s="10" t="str">
        <f>IFERROR(_xlfn.XLOOKUP(C3193,[1]StuntDes!$B:$B,[1]StuntDes!$A:$A),"")</f>
        <v/>
      </c>
      <c r="N3193" s="10">
        <f>IFERROR(_xlfn.XLOOKUP(C3193,[1]ModifierDes!$B:$B,[1]ModifierDes!$A:$A),"")</f>
        <v>10080</v>
      </c>
      <c r="O3193" s="10" t="str">
        <f>IFERROR(_xlfn.XLOOKUP(C3193,[1]AttributeName!$C:$C,[1]AttributeName!$B:$B),"")</f>
        <v/>
      </c>
      <c r="P3193" s="10"/>
      <c r="Q3193">
        <v>0.6</v>
      </c>
      <c r="R3193">
        <v>1</v>
      </c>
      <c r="S3193" cm="1">
        <f t="array" ref="S3193">IFERROR(_xlfn.SWITCH(L3193,1,_xlfn.XLOOKUP(O3193,[1]AttributeName!$B:$B,[1]AttributeName!$D:$D),2,_xlfn.XLOOKUP(C3193,#REF!,#REF!),3,_xlfn.XLOOKUP(C3193,#REF!,#REF!)),0)</f>
        <v>0</v>
      </c>
      <c r="T3193" cm="1">
        <f t="array" ref="T3193">IFERROR(_xlfn.SWITCH(L3193,1,_xlfn.XLOOKUP(O3193,[1]AttributeName!$B:$B,[1]AttributeName!$E:$E),2,_xlfn.XLOOKUP(C3193,#REF!,#REF!),3,_xlfn.XLOOKUP(C3193,#REF!,#REF!)),0)</f>
        <v>0</v>
      </c>
    </row>
    <row r="3194" customFormat="1" spans="1:20">
      <c r="A3194">
        <v>90071</v>
      </c>
      <c r="B3194">
        <v>1</v>
      </c>
      <c r="C3194" s="13" t="s">
        <v>465</v>
      </c>
      <c r="D3194" t="s">
        <v>186</v>
      </c>
      <c r="E3194" t="s">
        <v>392</v>
      </c>
      <c r="H3194">
        <v>1000</v>
      </c>
      <c r="J3194">
        <v>1</v>
      </c>
      <c r="K3194" t="str" cm="1">
        <f t="array" ref="K3194">IFERROR(_xlfn.SWITCH(L3194,2,_xlfn.XLOOKUP(C3194,[1]ModifierDes!$B:$B,[1]ModifierDes!$C:$C),3,_xlfn.XLOOKUP(C3194,[1]StuntDes!$B:$B,[1]StuntDes!$C:$C)),"")</f>
        <v>攻击命中时有20%概率施加元素曝露，使元素抗性降低50%</v>
      </c>
      <c r="L3194">
        <f t="shared" si="129"/>
        <v>3</v>
      </c>
      <c r="M3194" s="10">
        <f>IFERROR(_xlfn.XLOOKUP(C3194,[1]StuntDes!$B:$B,[1]StuntDes!$A:$A),"")</f>
        <v>2140000090</v>
      </c>
      <c r="N3194" s="10" t="str">
        <f>IFERROR(_xlfn.XLOOKUP(C3194,[1]ModifierDes!$B:$B,[1]ModifierDes!$A:$A),"")</f>
        <v/>
      </c>
      <c r="O3194" s="10" t="str">
        <f>IFERROR(_xlfn.XLOOKUP(C3194,[1]AttributeName!$C:$C,[1]AttributeName!$B:$B),"")</f>
        <v/>
      </c>
      <c r="P3194" s="10"/>
      <c r="Q3194">
        <v>0</v>
      </c>
      <c r="R3194">
        <v>0</v>
      </c>
      <c r="S3194" cm="1">
        <f t="array" ref="S3194">IFERROR(_xlfn.SWITCH(L3194,1,_xlfn.XLOOKUP(O3194,[1]AttributeName!$B:$B,[1]AttributeName!$D:$D),2,_xlfn.XLOOKUP(C3194,#REF!,#REF!),3,_xlfn.XLOOKUP(C3194,#REF!,#REF!)),0)</f>
        <v>0</v>
      </c>
      <c r="T3194" cm="1">
        <f t="array" ref="T3194">IFERROR(_xlfn.SWITCH(L3194,1,_xlfn.XLOOKUP(O3194,[1]AttributeName!$B:$B,[1]AttributeName!$E:$E),2,_xlfn.XLOOKUP(C3194,#REF!,#REF!),3,_xlfn.XLOOKUP(C3194,#REF!,#REF!)),0)</f>
        <v>0</v>
      </c>
    </row>
    <row r="3195" customFormat="1" spans="1:20">
      <c r="A3195">
        <v>90072</v>
      </c>
      <c r="B3195">
        <v>1</v>
      </c>
      <c r="C3195" t="s">
        <v>449</v>
      </c>
      <c r="D3195" t="s">
        <v>186</v>
      </c>
      <c r="E3195" t="s">
        <v>392</v>
      </c>
      <c r="H3195">
        <v>1000</v>
      </c>
      <c r="J3195">
        <v>1</v>
      </c>
      <c r="K3195" t="str" cm="1">
        <f t="array" ref="K3195">IFERROR(_xlfn.SWITCH(L3195,2,_xlfn.XLOOKUP(C3195,[1]ModifierDes!$B:$B,[1]ModifierDes!$C:$C),3,_xlfn.XLOOKUP(C3195,[1]StuntDes!$B:$B,[1]StuntDes!$C:$C)),"")</f>
        <v/>
      </c>
      <c r="L3195">
        <f t="shared" si="129"/>
        <v>1</v>
      </c>
      <c r="M3195" s="10" t="str">
        <f>IFERROR(_xlfn.XLOOKUP(C3195,[1]StuntDes!$B:$B,[1]StuntDes!$A:$A),"")</f>
        <v/>
      </c>
      <c r="N3195" s="10" t="str">
        <f>IFERROR(_xlfn.XLOOKUP(C3195,[1]ModifierDes!$B:$B,[1]ModifierDes!$A:$A),"")</f>
        <v/>
      </c>
      <c r="O3195" s="10" t="str">
        <f>IFERROR(_xlfn.XLOOKUP(C3195,[1]AttributeName!$C:$C,[1]AttributeName!$B:$B),"")</f>
        <v/>
      </c>
      <c r="P3195" s="10"/>
      <c r="Q3195">
        <v>0</v>
      </c>
      <c r="R3195">
        <v>0</v>
      </c>
      <c r="S3195" cm="1">
        <f t="array" ref="S3195">IFERROR(_xlfn.SWITCH(L3195,1,_xlfn.XLOOKUP(O3195,[1]AttributeName!$B:$B,[1]AttributeName!$D:$D),2,_xlfn.XLOOKUP(C3195,#REF!,#REF!),3,_xlfn.XLOOKUP(C3195,#REF!,#REF!)),0)</f>
        <v>0</v>
      </c>
      <c r="T3195" cm="1">
        <f t="array" ref="T3195">IFERROR(_xlfn.SWITCH(L3195,1,_xlfn.XLOOKUP(O3195,[1]AttributeName!$B:$B,[1]AttributeName!$E:$E),2,_xlfn.XLOOKUP(C3195,#REF!,#REF!),3,_xlfn.XLOOKUP(C3195,#REF!,#REF!)),0)</f>
        <v>0</v>
      </c>
    </row>
    <row r="3196" customFormat="1" spans="1:20">
      <c r="A3196">
        <v>90073</v>
      </c>
      <c r="B3196">
        <v>1</v>
      </c>
      <c r="C3196" s="13" t="s">
        <v>466</v>
      </c>
      <c r="D3196" t="s">
        <v>155</v>
      </c>
      <c r="E3196" t="s">
        <v>378</v>
      </c>
      <c r="H3196">
        <v>1000</v>
      </c>
      <c r="J3196">
        <v>1</v>
      </c>
      <c r="K3196" t="str" cm="1">
        <f t="array" ref="K3196">IFERROR(_xlfn.SWITCH(L3196,2,_xlfn.XLOOKUP(C3196,[1]ModifierDes!$B:$B,[1]ModifierDes!$C:$C),3,_xlfn.XLOOKUP(C3196,[1]StuntDes!$B:$B,[1]StuntDes!$C:$C)),"")</f>
        <v>当生命大于2000时，中毒伤害提高{0}</v>
      </c>
      <c r="L3196">
        <f t="shared" si="129"/>
        <v>3</v>
      </c>
      <c r="M3196" s="10">
        <f>IFERROR(_xlfn.XLOOKUP(C3196,[1]StuntDes!$B:$B,[1]StuntDes!$A:$A),"")</f>
        <v>2340000020</v>
      </c>
      <c r="N3196" s="10" t="str">
        <f>IFERROR(_xlfn.XLOOKUP(C3196,[1]ModifierDes!$B:$B,[1]ModifierDes!$A:$A),"")</f>
        <v/>
      </c>
      <c r="O3196" s="10" t="str">
        <f>IFERROR(_xlfn.XLOOKUP(C3196,[1]AttributeName!$C:$C,[1]AttributeName!$B:$B),"")</f>
        <v/>
      </c>
      <c r="P3196" s="10"/>
      <c r="Q3196">
        <v>0.5</v>
      </c>
      <c r="R3196">
        <v>1</v>
      </c>
      <c r="S3196" cm="1">
        <f t="array" ref="S3196">IFERROR(_xlfn.SWITCH(L3196,1,_xlfn.XLOOKUP(O3196,[1]AttributeName!$B:$B,[1]AttributeName!$D:$D),2,_xlfn.XLOOKUP(C3196,#REF!,#REF!),3,_xlfn.XLOOKUP(C3196,#REF!,#REF!)),0)</f>
        <v>0</v>
      </c>
      <c r="T3196" cm="1">
        <f t="array" ref="T3196">IFERROR(_xlfn.SWITCH(L3196,1,_xlfn.XLOOKUP(O3196,[1]AttributeName!$B:$B,[1]AttributeName!$E:$E),2,_xlfn.XLOOKUP(C3196,#REF!,#REF!),3,_xlfn.XLOOKUP(C3196,#REF!,#REF!)),0)</f>
        <v>0</v>
      </c>
    </row>
    <row r="3197" customFormat="1" spans="1:20">
      <c r="A3197">
        <v>90074</v>
      </c>
      <c r="B3197">
        <v>1</v>
      </c>
      <c r="C3197" t="s">
        <v>467</v>
      </c>
      <c r="D3197" t="s">
        <v>155</v>
      </c>
      <c r="E3197" t="s">
        <v>378</v>
      </c>
      <c r="H3197">
        <v>1000</v>
      </c>
      <c r="J3197">
        <v>1</v>
      </c>
      <c r="K3197" t="str" cm="1">
        <f t="array" ref="K3197">IFERROR(_xlfn.SWITCH(L3197,2,_xlfn.XLOOKUP(C3197,[1]ModifierDes!$B:$B,[1]ModifierDes!$C:$C),3,_xlfn.XLOOKUP(C3197,[1]StuntDes!$B:$B,[1]StuntDes!$C:$C)),"")</f>
        <v>当冷却回复效率高于40%时，中毒持续时间增加{0}</v>
      </c>
      <c r="L3197">
        <f t="shared" si="129"/>
        <v>3</v>
      </c>
      <c r="M3197" s="10">
        <f>IFERROR(_xlfn.XLOOKUP(C3197,[1]StuntDes!$B:$B,[1]StuntDes!$A:$A),"")</f>
        <v>2340000030</v>
      </c>
      <c r="N3197" s="10" t="str">
        <f>IFERROR(_xlfn.XLOOKUP(C3197,[1]ModifierDes!$B:$B,[1]ModifierDes!$A:$A),"")</f>
        <v/>
      </c>
      <c r="O3197" s="10"/>
      <c r="P3197" s="10"/>
      <c r="Q3197">
        <v>0.5</v>
      </c>
      <c r="R3197">
        <v>1</v>
      </c>
      <c r="S3197" cm="1">
        <f t="array" ref="S3197">IFERROR(_xlfn.SWITCH(L3197,1,_xlfn.XLOOKUP(O3197,[1]AttributeName!$B:$B,[1]AttributeName!$D:$D),2,_xlfn.XLOOKUP(C3197,#REF!,#REF!),3,_xlfn.XLOOKUP(C3197,#REF!,#REF!)),0)</f>
        <v>0</v>
      </c>
      <c r="T3197" cm="1">
        <f t="array" ref="T3197">IFERROR(_xlfn.SWITCH(L3197,1,_xlfn.XLOOKUP(O3197,[1]AttributeName!$B:$B,[1]AttributeName!$E:$E),2,_xlfn.XLOOKUP(C3197,#REF!,#REF!),3,_xlfn.XLOOKUP(C3197,#REF!,#REF!)),0)</f>
        <v>0</v>
      </c>
    </row>
    <row r="3198" customFormat="1" spans="1:20">
      <c r="A3198">
        <v>90075</v>
      </c>
      <c r="B3198">
        <v>1</v>
      </c>
      <c r="C3198" t="s">
        <v>449</v>
      </c>
      <c r="D3198" t="s">
        <v>155</v>
      </c>
      <c r="E3198" t="s">
        <v>378</v>
      </c>
      <c r="H3198">
        <v>1000</v>
      </c>
      <c r="J3198">
        <v>1</v>
      </c>
      <c r="K3198" t="str" cm="1">
        <f t="array" ref="K3198">IFERROR(_xlfn.SWITCH(L3198,2,_xlfn.XLOOKUP(C3198,[1]ModifierDes!$B:$B,[1]ModifierDes!$C:$C),3,_xlfn.XLOOKUP(C3198,[1]StuntDes!$B:$B,[1]StuntDes!$C:$C)),"")</f>
        <v/>
      </c>
      <c r="L3198">
        <f t="shared" si="129"/>
        <v>1</v>
      </c>
      <c r="M3198" s="10" t="str">
        <f>IFERROR(_xlfn.XLOOKUP(C3198,[1]StuntDes!$B:$B,[1]StuntDes!$A:$A),"")</f>
        <v/>
      </c>
      <c r="N3198" s="10" t="str">
        <f>IFERROR(_xlfn.XLOOKUP(C3198,[1]ModifierDes!$B:$B,[1]ModifierDes!$A:$A),"")</f>
        <v/>
      </c>
      <c r="O3198" s="10" t="str">
        <f>IFERROR(_xlfn.XLOOKUP(C3198,[1]AttributeName!$C:$C,[1]AttributeName!$B:$B),"")</f>
        <v/>
      </c>
      <c r="P3198" s="10"/>
      <c r="Q3198">
        <v>0</v>
      </c>
      <c r="R3198">
        <v>0</v>
      </c>
      <c r="S3198" cm="1">
        <f t="array" ref="S3198">IFERROR(_xlfn.SWITCH(L3198,1,_xlfn.XLOOKUP(O3198,[1]AttributeName!$B:$B,[1]AttributeName!$D:$D),2,_xlfn.XLOOKUP(C3198,#REF!,#REF!),3,_xlfn.XLOOKUP(C3198,#REF!,#REF!)),0)</f>
        <v>0</v>
      </c>
      <c r="T3198" cm="1">
        <f t="array" ref="T3198">IFERROR(_xlfn.SWITCH(L3198,1,_xlfn.XLOOKUP(O3198,[1]AttributeName!$B:$B,[1]AttributeName!$E:$E),2,_xlfn.XLOOKUP(C3198,#REF!,#REF!),3,_xlfn.XLOOKUP(C3198,#REF!,#REF!)),0)</f>
        <v>0</v>
      </c>
    </row>
    <row r="3199" customFormat="1" spans="1:20">
      <c r="A3199">
        <v>90076</v>
      </c>
      <c r="B3199">
        <v>1</v>
      </c>
      <c r="C3199" s="13" t="s">
        <v>82</v>
      </c>
      <c r="D3199" t="s">
        <v>155</v>
      </c>
      <c r="E3199" t="s">
        <v>392</v>
      </c>
      <c r="H3199">
        <v>1000</v>
      </c>
      <c r="J3199">
        <v>1</v>
      </c>
      <c r="K3199" t="str" cm="1">
        <f t="array" ref="K3199">IFERROR(_xlfn.SWITCH(L3199,2,_xlfn.XLOOKUP(C3199,[1]ModifierDes!$B:$B,[1]ModifierDes!$C:$C),3,_xlfn.XLOOKUP(C3199,[1]StuntDes!$B:$B,[1]StuntDes!$C:$C)),"")</f>
        <v/>
      </c>
      <c r="L3199">
        <f t="shared" si="129"/>
        <v>1</v>
      </c>
      <c r="M3199" s="10" t="str">
        <f>IFERROR(_xlfn.XLOOKUP(C3199,[1]StuntDes!$B:$B,[1]StuntDes!$A:$A),"")</f>
        <v/>
      </c>
      <c r="N3199" s="10" t="str">
        <f>IFERROR(_xlfn.XLOOKUP(C3199,[1]ModifierDes!$B:$B,[1]ModifierDes!$A:$A),"")</f>
        <v/>
      </c>
      <c r="O3199" s="10">
        <f>IFERROR(_xlfn.XLOOKUP(C3199,[1]AttributeName!$C:$C,[1]AttributeName!$B:$B),"")</f>
        <v>10315</v>
      </c>
      <c r="P3199" s="10"/>
      <c r="Q3199">
        <v>0.4</v>
      </c>
      <c r="R3199">
        <v>0.5</v>
      </c>
      <c r="S3199" cm="1">
        <f t="array" ref="S3199">IFERROR(_xlfn.SWITCH(L3199,1,_xlfn.XLOOKUP(O3199,[1]AttributeName!$B:$B,[1]AttributeName!$D:$D),2,_xlfn.XLOOKUP(C3199,#REF!,#REF!),3,_xlfn.XLOOKUP(C3199,#REF!,#REF!)),0)</f>
        <v>2</v>
      </c>
      <c r="T3199" cm="1">
        <f t="array" ref="T3199">IFERROR(_xlfn.SWITCH(L3199,1,_xlfn.XLOOKUP(O3199,[1]AttributeName!$B:$B,[1]AttributeName!$E:$E),2,_xlfn.XLOOKUP(C3199,#REF!,#REF!),3,_xlfn.XLOOKUP(C3199,#REF!,#REF!)),0)</f>
        <v>2</v>
      </c>
    </row>
    <row r="3200" customFormat="1" spans="1:20">
      <c r="A3200">
        <v>90077</v>
      </c>
      <c r="B3200">
        <v>1</v>
      </c>
      <c r="C3200" s="13" t="s">
        <v>389</v>
      </c>
      <c r="D3200" t="s">
        <v>155</v>
      </c>
      <c r="E3200" t="s">
        <v>392</v>
      </c>
      <c r="H3200">
        <v>1000</v>
      </c>
      <c r="J3200">
        <v>1</v>
      </c>
      <c r="K3200" t="str" cm="1">
        <f t="array" ref="K3200">IFERROR(_xlfn.SWITCH(L3200,2,_xlfn.XLOOKUP(C3200,[1]ModifierDes!$B:$B,[1]ModifierDes!$C:$C),3,_xlfn.XLOOKUP(C3200,[1]StuntDes!$B:$B,[1]StuntDes!$C:$C)),"")</f>
        <v/>
      </c>
      <c r="L3200">
        <f t="shared" si="129"/>
        <v>1</v>
      </c>
      <c r="M3200" s="10" t="str">
        <f>IFERROR(_xlfn.XLOOKUP(C3200,[1]StuntDes!$B:$B,[1]StuntDes!$A:$A),"")</f>
        <v/>
      </c>
      <c r="N3200" s="10" t="str">
        <f>IFERROR(_xlfn.XLOOKUP(C3200,[1]ModifierDes!$B:$B,[1]ModifierDes!$A:$A),"")</f>
        <v/>
      </c>
      <c r="O3200" s="10">
        <f>IFERROR(_xlfn.XLOOKUP(C3200,[1]AttributeName!$C:$C,[1]AttributeName!$B:$B),"")</f>
        <v>10001</v>
      </c>
      <c r="P3200" s="10"/>
      <c r="Q3200">
        <v>1000</v>
      </c>
      <c r="R3200">
        <v>1200</v>
      </c>
      <c r="S3200" cm="1">
        <f t="array" ref="S3200">IFERROR(_xlfn.SWITCH(L3200,1,_xlfn.XLOOKUP(O3200,[1]AttributeName!$B:$B,[1]AttributeName!$D:$D),2,_xlfn.XLOOKUP(C3200,#REF!,#REF!),3,_xlfn.XLOOKUP(C3200,#REF!,#REF!)),0)</f>
        <v>0</v>
      </c>
      <c r="T3200" cm="1">
        <f t="array" ref="T3200">IFERROR(_xlfn.SWITCH(L3200,1,_xlfn.XLOOKUP(O3200,[1]AttributeName!$B:$B,[1]AttributeName!$E:$E),2,_xlfn.XLOOKUP(C3200,#REF!,#REF!),3,_xlfn.XLOOKUP(C3200,#REF!,#REF!)),0)</f>
        <v>1</v>
      </c>
    </row>
    <row r="3201" customFormat="1" spans="1:20">
      <c r="A3201">
        <v>90078</v>
      </c>
      <c r="B3201">
        <v>1</v>
      </c>
      <c r="C3201" t="s">
        <v>449</v>
      </c>
      <c r="D3201" t="s">
        <v>155</v>
      </c>
      <c r="E3201" t="s">
        <v>392</v>
      </c>
      <c r="H3201">
        <v>1000</v>
      </c>
      <c r="J3201">
        <v>1</v>
      </c>
      <c r="K3201" t="str" cm="1">
        <f t="array" ref="K3201">IFERROR(_xlfn.SWITCH(L3201,2,_xlfn.XLOOKUP(C3201,[1]ModifierDes!$B:$B,[1]ModifierDes!$C:$C),3,_xlfn.XLOOKUP(C3201,[1]StuntDes!$B:$B,[1]StuntDes!$C:$C)),"")</f>
        <v/>
      </c>
      <c r="L3201">
        <f t="shared" si="129"/>
        <v>1</v>
      </c>
      <c r="M3201" s="10" t="str">
        <f>IFERROR(_xlfn.XLOOKUP(C3201,[1]StuntDes!$B:$B,[1]StuntDes!$A:$A),"")</f>
        <v/>
      </c>
      <c r="N3201" s="10" t="str">
        <f>IFERROR(_xlfn.XLOOKUP(C3201,[1]ModifierDes!$B:$B,[1]ModifierDes!$A:$A),"")</f>
        <v/>
      </c>
      <c r="O3201" s="10" t="str">
        <f>IFERROR(_xlfn.XLOOKUP(C3201,[1]AttributeName!$C:$C,[1]AttributeName!$B:$B),"")</f>
        <v/>
      </c>
      <c r="P3201" s="10"/>
      <c r="Q3201">
        <v>0</v>
      </c>
      <c r="R3201">
        <v>0</v>
      </c>
      <c r="S3201" cm="1">
        <f t="array" ref="S3201">IFERROR(_xlfn.SWITCH(L3201,1,_xlfn.XLOOKUP(O3201,[1]AttributeName!$B:$B,[1]AttributeName!$D:$D),2,_xlfn.XLOOKUP(C3201,#REF!,#REF!),3,_xlfn.XLOOKUP(C3201,#REF!,#REF!)),0)</f>
        <v>0</v>
      </c>
      <c r="T3201" cm="1">
        <f t="array" ref="T3201">IFERROR(_xlfn.SWITCH(L3201,1,_xlfn.XLOOKUP(O3201,[1]AttributeName!$B:$B,[1]AttributeName!$E:$E),2,_xlfn.XLOOKUP(C3201,#REF!,#REF!),3,_xlfn.XLOOKUP(C3201,#REF!,#REF!)),0)</f>
        <v>0</v>
      </c>
    </row>
    <row r="3202" customFormat="1" spans="1:20">
      <c r="A3202">
        <v>90079</v>
      </c>
      <c r="B3202">
        <v>1</v>
      </c>
      <c r="C3202" s="13" t="s">
        <v>468</v>
      </c>
      <c r="D3202" t="s">
        <v>190</v>
      </c>
      <c r="E3202" t="s">
        <v>378</v>
      </c>
      <c r="H3202">
        <v>1000</v>
      </c>
      <c r="J3202">
        <v>1</v>
      </c>
      <c r="K3202" t="str" cm="1">
        <f t="array" ref="K3202">IFERROR(_xlfn.SWITCH(L3202,2,_xlfn.XLOOKUP(C3202,[1]ModifierDes!$B:$B,[1]ModifierDes!$C:$C),3,_xlfn.XLOOKUP(C3202,[1]StuntDes!$B:$B,[1]StuntDes!$C:$C)),"")</f>
        <v>击败冰结的敌人，回复位移技能的15%当前冷却时间</v>
      </c>
      <c r="L3202">
        <f t="shared" si="129"/>
        <v>3</v>
      </c>
      <c r="M3202" s="10">
        <f>IFERROR(_xlfn.XLOOKUP(C3202,[1]StuntDes!$B:$B,[1]StuntDes!$A:$A),"")</f>
        <v>2340000010</v>
      </c>
      <c r="N3202" s="10" t="str">
        <f>IFERROR(_xlfn.XLOOKUP(C3202,[1]ModifierDes!$B:$B,[1]ModifierDes!$A:$A),"")</f>
        <v/>
      </c>
      <c r="O3202" s="10" t="str">
        <f>IFERROR(_xlfn.XLOOKUP(C3202,[1]AttributeName!$C:$C,[1]AttributeName!$B:$B),"")</f>
        <v/>
      </c>
      <c r="P3202" s="10"/>
      <c r="Q3202">
        <v>0</v>
      </c>
      <c r="R3202">
        <v>0</v>
      </c>
      <c r="S3202" cm="1">
        <f t="array" ref="S3202">IFERROR(_xlfn.SWITCH(L3202,1,_xlfn.XLOOKUP(O3202,[1]AttributeName!$B:$B,[1]AttributeName!$D:$D),2,_xlfn.XLOOKUP(C3202,#REF!,#REF!),3,_xlfn.XLOOKUP(C3202,#REF!,#REF!)),0)</f>
        <v>0</v>
      </c>
      <c r="T3202" cm="1">
        <f t="array" ref="T3202">IFERROR(_xlfn.SWITCH(L3202,1,_xlfn.XLOOKUP(O3202,[1]AttributeName!$B:$B,[1]AttributeName!$E:$E),2,_xlfn.XLOOKUP(C3202,#REF!,#REF!),3,_xlfn.XLOOKUP(C3202,#REF!,#REF!)),0)</f>
        <v>0</v>
      </c>
    </row>
    <row r="3203" customFormat="1" spans="1:20">
      <c r="A3203">
        <v>90080</v>
      </c>
      <c r="B3203">
        <v>1</v>
      </c>
      <c r="C3203" t="s">
        <v>389</v>
      </c>
      <c r="D3203" t="s">
        <v>190</v>
      </c>
      <c r="E3203" t="s">
        <v>378</v>
      </c>
      <c r="H3203">
        <v>1000</v>
      </c>
      <c r="J3203">
        <v>1</v>
      </c>
      <c r="K3203" t="str" cm="1">
        <f t="array" ref="K3203">IFERROR(_xlfn.SWITCH(L3203,2,_xlfn.XLOOKUP(C3203,[1]ModifierDes!$B:$B,[1]ModifierDes!$C:$C),3,_xlfn.XLOOKUP(C3203,[1]StuntDes!$B:$B,[1]StuntDes!$C:$C)),"")</f>
        <v/>
      </c>
      <c r="L3203">
        <f t="shared" si="129"/>
        <v>1</v>
      </c>
      <c r="M3203" s="10" t="str">
        <f>IFERROR(_xlfn.XLOOKUP(C3203,[1]StuntDes!$B:$B,[1]StuntDes!$A:$A),"")</f>
        <v/>
      </c>
      <c r="N3203" s="10" t="str">
        <f>IFERROR(_xlfn.XLOOKUP(C3203,[1]ModifierDes!$B:$B,[1]ModifierDes!$A:$A),"")</f>
        <v/>
      </c>
      <c r="O3203" s="10">
        <f>IFERROR(_xlfn.XLOOKUP(C3203,[1]AttributeName!$C:$C,[1]AttributeName!$B:$B),"")</f>
        <v>10001</v>
      </c>
      <c r="P3203" s="10"/>
      <c r="Q3203">
        <v>1000</v>
      </c>
      <c r="R3203">
        <v>1200</v>
      </c>
      <c r="S3203" cm="1">
        <f t="array" ref="S3203">IFERROR(_xlfn.SWITCH(L3203,1,_xlfn.XLOOKUP(O3203,[1]AttributeName!$B:$B,[1]AttributeName!$D:$D),2,_xlfn.XLOOKUP(C3203,#REF!,#REF!),3,_xlfn.XLOOKUP(C3203,#REF!,#REF!)),0)</f>
        <v>0</v>
      </c>
      <c r="T3203" cm="1">
        <f t="array" ref="T3203">IFERROR(_xlfn.SWITCH(L3203,1,_xlfn.XLOOKUP(O3203,[1]AttributeName!$B:$B,[1]AttributeName!$E:$E),2,_xlfn.XLOOKUP(C3203,#REF!,#REF!),3,_xlfn.XLOOKUP(C3203,#REF!,#REF!)),0)</f>
        <v>1</v>
      </c>
    </row>
    <row r="3204" customFormat="1" spans="1:20">
      <c r="A3204">
        <v>90081</v>
      </c>
      <c r="B3204">
        <v>1</v>
      </c>
      <c r="C3204" t="s">
        <v>449</v>
      </c>
      <c r="D3204" t="s">
        <v>190</v>
      </c>
      <c r="E3204" t="s">
        <v>378</v>
      </c>
      <c r="H3204">
        <v>1000</v>
      </c>
      <c r="J3204">
        <v>1</v>
      </c>
      <c r="K3204" t="str" cm="1">
        <f t="array" ref="K3204">IFERROR(_xlfn.SWITCH(L3204,2,_xlfn.XLOOKUP(C3204,[1]ModifierDes!$B:$B,[1]ModifierDes!$C:$C),3,_xlfn.XLOOKUP(C3204,[1]StuntDes!$B:$B,[1]StuntDes!$C:$C)),"")</f>
        <v/>
      </c>
      <c r="L3204">
        <f t="shared" ref="L3204:L3267" si="130">IF(M3204="",IF(N3204="",1,2),3)</f>
        <v>1</v>
      </c>
      <c r="M3204" s="10" t="str">
        <f>IFERROR(_xlfn.XLOOKUP(C3204,[1]StuntDes!$B:$B,[1]StuntDes!$A:$A),"")</f>
        <v/>
      </c>
      <c r="N3204" s="10" t="str">
        <f>IFERROR(_xlfn.XLOOKUP(C3204,[1]ModifierDes!$B:$B,[1]ModifierDes!$A:$A),"")</f>
        <v/>
      </c>
      <c r="O3204" s="10" t="str">
        <f>IFERROR(_xlfn.XLOOKUP(C3204,[1]AttributeName!$C:$C,[1]AttributeName!$B:$B),"")</f>
        <v/>
      </c>
      <c r="P3204" s="10"/>
      <c r="Q3204">
        <v>0</v>
      </c>
      <c r="R3204">
        <v>0</v>
      </c>
      <c r="S3204" cm="1">
        <f t="array" ref="S3204">IFERROR(_xlfn.SWITCH(L3204,1,_xlfn.XLOOKUP(O3204,[1]AttributeName!$B:$B,[1]AttributeName!$D:$D),2,_xlfn.XLOOKUP(C3204,#REF!,#REF!),3,_xlfn.XLOOKUP(C3204,#REF!,#REF!)),0)</f>
        <v>0</v>
      </c>
      <c r="T3204" cm="1">
        <f t="array" ref="T3204">IFERROR(_xlfn.SWITCH(L3204,1,_xlfn.XLOOKUP(O3204,[1]AttributeName!$B:$B,[1]AttributeName!$E:$E),2,_xlfn.XLOOKUP(C3204,#REF!,#REF!),3,_xlfn.XLOOKUP(C3204,#REF!,#REF!)),0)</f>
        <v>0</v>
      </c>
    </row>
    <row r="3205" customFormat="1" spans="1:20">
      <c r="A3205">
        <v>90082</v>
      </c>
      <c r="B3205">
        <v>1</v>
      </c>
      <c r="C3205" s="13" t="s">
        <v>418</v>
      </c>
      <c r="D3205" t="s">
        <v>190</v>
      </c>
      <c r="E3205" t="s">
        <v>392</v>
      </c>
      <c r="H3205">
        <v>1000</v>
      </c>
      <c r="J3205">
        <v>1</v>
      </c>
      <c r="K3205" t="str" cm="1">
        <f t="array" ref="K3205">IFERROR(_xlfn.SWITCH(L3205,2,_xlfn.XLOOKUP(C3205,[1]ModifierDes!$B:$B,[1]ModifierDes!$C:$C),3,_xlfn.XLOOKUP(C3205,[1]StuntDes!$B:$B,[1]StuntDes!$C:$C)),"")</f>
        <v>法术伤害提高{0}</v>
      </c>
      <c r="L3205">
        <f t="shared" si="130"/>
        <v>2</v>
      </c>
      <c r="M3205" s="10" t="str">
        <f>IFERROR(_xlfn.XLOOKUP(C3205,[1]StuntDes!$B:$B,[1]StuntDes!$A:$A),"")</f>
        <v/>
      </c>
      <c r="N3205" s="10">
        <f>IFERROR(_xlfn.XLOOKUP(C3205,[1]ModifierDes!$B:$B,[1]ModifierDes!$A:$A),"")</f>
        <v>10067</v>
      </c>
      <c r="O3205" s="10" t="str">
        <f>IFERROR(_xlfn.XLOOKUP(C3205,[1]AttributeName!$C:$C,[1]AttributeName!$B:$B),"")</f>
        <v/>
      </c>
      <c r="P3205" s="10"/>
      <c r="Q3205">
        <v>0.4</v>
      </c>
      <c r="R3205">
        <v>0.5</v>
      </c>
      <c r="S3205" cm="1">
        <f t="array" ref="S3205">IFERROR(_xlfn.SWITCH(L3205,1,_xlfn.XLOOKUP(O3205,[1]AttributeName!$B:$B,[1]AttributeName!$D:$D),2,_xlfn.XLOOKUP(C3205,#REF!,#REF!),3,_xlfn.XLOOKUP(C3205,#REF!,#REF!)),0)</f>
        <v>0</v>
      </c>
      <c r="T3205" cm="1">
        <f t="array" ref="T3205">IFERROR(_xlfn.SWITCH(L3205,1,_xlfn.XLOOKUP(O3205,[1]AttributeName!$B:$B,[1]AttributeName!$E:$E),2,_xlfn.XLOOKUP(C3205,#REF!,#REF!),3,_xlfn.XLOOKUP(C3205,#REF!,#REF!)),0)</f>
        <v>0</v>
      </c>
    </row>
    <row r="3206" customFormat="1" spans="1:20">
      <c r="A3206">
        <v>90083</v>
      </c>
      <c r="B3206">
        <v>1</v>
      </c>
      <c r="C3206" s="13" t="s">
        <v>469</v>
      </c>
      <c r="D3206" t="s">
        <v>190</v>
      </c>
      <c r="E3206" t="s">
        <v>392</v>
      </c>
      <c r="H3206">
        <v>1000</v>
      </c>
      <c r="J3206">
        <v>1</v>
      </c>
      <c r="K3206" t="str" cm="1">
        <f t="array" ref="K3206">IFERROR(_xlfn.SWITCH(L3206,2,_xlfn.XLOOKUP(C3206,[1]ModifierDes!$B:$B,[1]ModifierDes!$C:$C),3,_xlfn.XLOOKUP(C3206,[1]StuntDes!$B:$B,[1]StuntDes!$C:$C)),"")</f>
        <v/>
      </c>
      <c r="L3206">
        <f t="shared" si="130"/>
        <v>1</v>
      </c>
      <c r="M3206" s="10" t="str">
        <f>IFERROR(_xlfn.XLOOKUP(C3206,[1]StuntDes!$B:$B,[1]StuntDes!$A:$A),"")</f>
        <v/>
      </c>
      <c r="N3206" s="10" t="str">
        <f>IFERROR(_xlfn.XLOOKUP(C3206,[1]ModifierDes!$B:$B,[1]ModifierDes!$A:$A),"")</f>
        <v/>
      </c>
      <c r="O3206" s="10">
        <f>IFERROR(_xlfn.XLOOKUP(C3206,[1]AttributeName!$C:$C,[1]AttributeName!$B:$B),"")</f>
        <v>11008</v>
      </c>
      <c r="P3206" s="10"/>
      <c r="Q3206">
        <v>0.3</v>
      </c>
      <c r="R3206">
        <v>0.4</v>
      </c>
      <c r="S3206" cm="1">
        <f t="array" ref="S3206">IFERROR(_xlfn.SWITCH(L3206,1,_xlfn.XLOOKUP(O3206,[1]AttributeName!$B:$B,[1]AttributeName!$D:$D),2,_xlfn.XLOOKUP(C3206,#REF!,#REF!),3,_xlfn.XLOOKUP(C3206,#REF!,#REF!)),0)</f>
        <v>2</v>
      </c>
      <c r="T3206" cm="1">
        <f t="array" ref="T3206">IFERROR(_xlfn.SWITCH(L3206,1,_xlfn.XLOOKUP(O3206,[1]AttributeName!$B:$B,[1]AttributeName!$E:$E),2,_xlfn.XLOOKUP(C3206,#REF!,#REF!),3,_xlfn.XLOOKUP(C3206,#REF!,#REF!)),0)</f>
        <v>2</v>
      </c>
    </row>
    <row r="3207" customFormat="1" spans="1:20">
      <c r="A3207">
        <v>90084</v>
      </c>
      <c r="B3207">
        <v>1</v>
      </c>
      <c r="C3207" t="s">
        <v>449</v>
      </c>
      <c r="D3207" t="s">
        <v>190</v>
      </c>
      <c r="E3207" t="s">
        <v>392</v>
      </c>
      <c r="H3207">
        <v>1000</v>
      </c>
      <c r="J3207">
        <v>1</v>
      </c>
      <c r="K3207" t="str" cm="1">
        <f t="array" ref="K3207">IFERROR(_xlfn.SWITCH(L3207,2,_xlfn.XLOOKUP(C3207,[1]ModifierDes!$B:$B,[1]ModifierDes!$C:$C),3,_xlfn.XLOOKUP(C3207,[1]StuntDes!$B:$B,[1]StuntDes!$C:$C)),"")</f>
        <v/>
      </c>
      <c r="L3207">
        <f t="shared" si="130"/>
        <v>1</v>
      </c>
      <c r="M3207" s="10" t="str">
        <f>IFERROR(_xlfn.XLOOKUP(C3207,[1]StuntDes!$B:$B,[1]StuntDes!$A:$A),"")</f>
        <v/>
      </c>
      <c r="N3207" s="10" t="str">
        <f>IFERROR(_xlfn.XLOOKUP(C3207,[1]ModifierDes!$B:$B,[1]ModifierDes!$A:$A),"")</f>
        <v/>
      </c>
      <c r="O3207" s="10" t="str">
        <f>IFERROR(_xlfn.XLOOKUP(C3207,[1]AttributeName!$C:$C,[1]AttributeName!$B:$B),"")</f>
        <v/>
      </c>
      <c r="P3207" s="10"/>
      <c r="Q3207">
        <v>0</v>
      </c>
      <c r="R3207">
        <v>0</v>
      </c>
      <c r="S3207" cm="1">
        <f t="array" ref="S3207">IFERROR(_xlfn.SWITCH(L3207,1,_xlfn.XLOOKUP(O3207,[1]AttributeName!$B:$B,[1]AttributeName!$D:$D),2,_xlfn.XLOOKUP(C3207,#REF!,#REF!),3,_xlfn.XLOOKUP(C3207,#REF!,#REF!)),0)</f>
        <v>0</v>
      </c>
      <c r="T3207" cm="1">
        <f t="array" ref="T3207">IFERROR(_xlfn.SWITCH(L3207,1,_xlfn.XLOOKUP(O3207,[1]AttributeName!$B:$B,[1]AttributeName!$E:$E),2,_xlfn.XLOOKUP(C3207,#REF!,#REF!),3,_xlfn.XLOOKUP(C3207,#REF!,#REF!)),0)</f>
        <v>0</v>
      </c>
    </row>
    <row r="3208" customFormat="1" spans="1:20">
      <c r="A3208">
        <v>90085</v>
      </c>
      <c r="B3208">
        <v>1</v>
      </c>
      <c r="C3208" t="s">
        <v>470</v>
      </c>
      <c r="D3208" t="s">
        <v>194</v>
      </c>
      <c r="E3208" t="s">
        <v>378</v>
      </c>
      <c r="H3208">
        <v>1000</v>
      </c>
      <c r="J3208">
        <v>1</v>
      </c>
      <c r="K3208" t="str" cm="1">
        <f t="array" ref="K3208">IFERROR(_xlfn.SWITCH(L3208,2,_xlfn.XLOOKUP(C3208,[1]ModifierDes!$B:$B,[1]ModifierDes!$C:$C),3,_xlfn.XLOOKUP(C3208,[1]StuntDes!$B:$B,[1]StuntDes!$C:$C)),"")</f>
        <v>中毒层数上限增加{0}</v>
      </c>
      <c r="L3208">
        <f t="shared" si="130"/>
        <v>2</v>
      </c>
      <c r="M3208" s="10" t="str">
        <f>IFERROR(_xlfn.XLOOKUP(C3208,[1]StuntDes!$B:$B,[1]StuntDes!$A:$A),"")</f>
        <v/>
      </c>
      <c r="N3208" s="10">
        <f>IFERROR(_xlfn.XLOOKUP(C3208,[1]ModifierDes!$B:$B,[1]ModifierDes!$A:$A),"")</f>
        <v>10053</v>
      </c>
      <c r="O3208" s="10">
        <f>IFERROR(_xlfn.XLOOKUP(C3208,[1]AttributeName!$C:$C,[1]AttributeName!$B:$B),"")</f>
        <v>11046</v>
      </c>
      <c r="P3208" s="10"/>
      <c r="Q3208">
        <v>1</v>
      </c>
      <c r="R3208">
        <v>3</v>
      </c>
      <c r="S3208" cm="1">
        <f t="array" ref="S3208">IFERROR(_xlfn.SWITCH(L3208,1,_xlfn.XLOOKUP(O3208,[1]AttributeName!$B:$B,[1]AttributeName!$D:$D),2,_xlfn.XLOOKUP(C3208,#REF!,#REF!),3,_xlfn.XLOOKUP(C3208,#REF!,#REF!)),0)</f>
        <v>0</v>
      </c>
      <c r="T3208" cm="1">
        <f t="array" ref="T3208">IFERROR(_xlfn.SWITCH(L3208,1,_xlfn.XLOOKUP(O3208,[1]AttributeName!$B:$B,[1]AttributeName!$E:$E),2,_xlfn.XLOOKUP(C3208,#REF!,#REF!),3,_xlfn.XLOOKUP(C3208,#REF!,#REF!)),0)</f>
        <v>0</v>
      </c>
    </row>
    <row r="3209" customFormat="1" spans="1:20">
      <c r="A3209">
        <v>90086</v>
      </c>
      <c r="B3209">
        <v>1</v>
      </c>
      <c r="C3209" t="s">
        <v>389</v>
      </c>
      <c r="D3209" t="s">
        <v>194</v>
      </c>
      <c r="E3209" t="s">
        <v>378</v>
      </c>
      <c r="H3209">
        <v>1000</v>
      </c>
      <c r="J3209">
        <v>1</v>
      </c>
      <c r="K3209" t="str" cm="1">
        <f t="array" ref="K3209">IFERROR(_xlfn.SWITCH(L3209,2,_xlfn.XLOOKUP(C3209,[1]ModifierDes!$B:$B,[1]ModifierDes!$C:$C),3,_xlfn.XLOOKUP(C3209,[1]StuntDes!$B:$B,[1]StuntDes!$C:$C)),"")</f>
        <v/>
      </c>
      <c r="L3209">
        <f t="shared" si="130"/>
        <v>1</v>
      </c>
      <c r="M3209" s="10" t="str">
        <f>IFERROR(_xlfn.XLOOKUP(C3209,[1]StuntDes!$B:$B,[1]StuntDes!$A:$A),"")</f>
        <v/>
      </c>
      <c r="N3209" s="10" t="str">
        <f>IFERROR(_xlfn.XLOOKUP(C3209,[1]ModifierDes!$B:$B,[1]ModifierDes!$A:$A),"")</f>
        <v/>
      </c>
      <c r="O3209" s="10">
        <f>IFERROR(_xlfn.XLOOKUP(C3209,[1]AttributeName!$C:$C,[1]AttributeName!$B:$B),"")</f>
        <v>10001</v>
      </c>
      <c r="P3209" s="10"/>
      <c r="Q3209">
        <v>1000</v>
      </c>
      <c r="R3209">
        <v>1200</v>
      </c>
      <c r="S3209" cm="1">
        <f t="array" ref="S3209">IFERROR(_xlfn.SWITCH(L3209,1,_xlfn.XLOOKUP(O3209,[1]AttributeName!$B:$B,[1]AttributeName!$D:$D),2,_xlfn.XLOOKUP(C3209,#REF!,#REF!),3,_xlfn.XLOOKUP(C3209,#REF!,#REF!)),0)</f>
        <v>0</v>
      </c>
      <c r="T3209" cm="1">
        <f t="array" ref="T3209">IFERROR(_xlfn.SWITCH(L3209,1,_xlfn.XLOOKUP(O3209,[1]AttributeName!$B:$B,[1]AttributeName!$E:$E),2,_xlfn.XLOOKUP(C3209,#REF!,#REF!),3,_xlfn.XLOOKUP(C3209,#REF!,#REF!)),0)</f>
        <v>1</v>
      </c>
    </row>
    <row r="3210" customFormat="1" spans="1:20">
      <c r="A3210">
        <v>90087</v>
      </c>
      <c r="B3210">
        <v>1</v>
      </c>
      <c r="C3210" t="s">
        <v>449</v>
      </c>
      <c r="D3210" t="s">
        <v>194</v>
      </c>
      <c r="E3210" t="s">
        <v>378</v>
      </c>
      <c r="H3210">
        <v>1000</v>
      </c>
      <c r="J3210">
        <v>1</v>
      </c>
      <c r="K3210" t="str" cm="1">
        <f t="array" ref="K3210">IFERROR(_xlfn.SWITCH(L3210,2,_xlfn.XLOOKUP(C3210,[1]ModifierDes!$B:$B,[1]ModifierDes!$C:$C),3,_xlfn.XLOOKUP(C3210,[1]StuntDes!$B:$B,[1]StuntDes!$C:$C)),"")</f>
        <v/>
      </c>
      <c r="L3210">
        <f t="shared" si="130"/>
        <v>1</v>
      </c>
      <c r="M3210" s="10" t="str">
        <f>IFERROR(_xlfn.XLOOKUP(C3210,[1]StuntDes!$B:$B,[1]StuntDes!$A:$A),"")</f>
        <v/>
      </c>
      <c r="N3210" s="10" t="str">
        <f>IFERROR(_xlfn.XLOOKUP(C3210,[1]ModifierDes!$B:$B,[1]ModifierDes!$A:$A),"")</f>
        <v/>
      </c>
      <c r="O3210" s="10" t="str">
        <f>IFERROR(_xlfn.XLOOKUP(C3210,[1]AttributeName!$C:$C,[1]AttributeName!$B:$B),"")</f>
        <v/>
      </c>
      <c r="P3210" s="10"/>
      <c r="Q3210">
        <v>0</v>
      </c>
      <c r="R3210">
        <v>0</v>
      </c>
      <c r="S3210" cm="1">
        <f t="array" ref="S3210">IFERROR(_xlfn.SWITCH(L3210,1,_xlfn.XLOOKUP(O3210,[1]AttributeName!$B:$B,[1]AttributeName!$D:$D),2,_xlfn.XLOOKUP(C3210,#REF!,#REF!),3,_xlfn.XLOOKUP(C3210,#REF!,#REF!)),0)</f>
        <v>0</v>
      </c>
      <c r="T3210" cm="1">
        <f t="array" ref="T3210">IFERROR(_xlfn.SWITCH(L3210,1,_xlfn.XLOOKUP(O3210,[1]AttributeName!$B:$B,[1]AttributeName!$E:$E),2,_xlfn.XLOOKUP(C3210,#REF!,#REF!),3,_xlfn.XLOOKUP(C3210,#REF!,#REF!)),0)</f>
        <v>0</v>
      </c>
    </row>
    <row r="3211" customFormat="1" spans="1:20">
      <c r="A3211">
        <v>90088</v>
      </c>
      <c r="B3211">
        <v>1</v>
      </c>
      <c r="C3211" s="13" t="s">
        <v>418</v>
      </c>
      <c r="D3211" t="s">
        <v>194</v>
      </c>
      <c r="E3211" t="s">
        <v>392</v>
      </c>
      <c r="H3211">
        <v>1000</v>
      </c>
      <c r="J3211">
        <v>1</v>
      </c>
      <c r="K3211" t="str" cm="1">
        <f t="array" ref="K3211">IFERROR(_xlfn.SWITCH(L3211,2,_xlfn.XLOOKUP(C3211,[1]ModifierDes!$B:$B,[1]ModifierDes!$C:$C),3,_xlfn.XLOOKUP(C3211,[1]StuntDes!$B:$B,[1]StuntDes!$C:$C)),"")</f>
        <v>法术伤害提高{0}</v>
      </c>
      <c r="L3211">
        <f t="shared" si="130"/>
        <v>2</v>
      </c>
      <c r="M3211" s="10" t="str">
        <f>IFERROR(_xlfn.XLOOKUP(C3211,[1]StuntDes!$B:$B,[1]StuntDes!$A:$A),"")</f>
        <v/>
      </c>
      <c r="N3211" s="10">
        <f>IFERROR(_xlfn.XLOOKUP(C3211,[1]ModifierDes!$B:$B,[1]ModifierDes!$A:$A),"")</f>
        <v>10067</v>
      </c>
      <c r="O3211" s="10" t="str">
        <f>IFERROR(_xlfn.XLOOKUP(C3211,[1]AttributeName!$C:$C,[1]AttributeName!$B:$B),"")</f>
        <v/>
      </c>
      <c r="P3211" s="10"/>
      <c r="Q3211">
        <v>0.2</v>
      </c>
      <c r="R3211">
        <v>0.3</v>
      </c>
      <c r="S3211" cm="1">
        <f t="array" ref="S3211">IFERROR(_xlfn.SWITCH(L3211,1,_xlfn.XLOOKUP(O3211,[1]AttributeName!$B:$B,[1]AttributeName!$D:$D),2,_xlfn.XLOOKUP(C3211,#REF!,#REF!),3,_xlfn.XLOOKUP(C3211,#REF!,#REF!)),0)</f>
        <v>0</v>
      </c>
      <c r="T3211" cm="1">
        <f t="array" ref="T3211">IFERROR(_xlfn.SWITCH(L3211,1,_xlfn.XLOOKUP(O3211,[1]AttributeName!$B:$B,[1]AttributeName!$E:$E),2,_xlfn.XLOOKUP(C3211,#REF!,#REF!),3,_xlfn.XLOOKUP(C3211,#REF!,#REF!)),0)</f>
        <v>0</v>
      </c>
    </row>
    <row r="3212" customFormat="1" spans="1:20">
      <c r="A3212">
        <v>90089</v>
      </c>
      <c r="B3212">
        <v>1</v>
      </c>
      <c r="C3212" s="13" t="s">
        <v>471</v>
      </c>
      <c r="D3212" t="s">
        <v>194</v>
      </c>
      <c r="E3212" t="s">
        <v>392</v>
      </c>
      <c r="H3212">
        <v>1000</v>
      </c>
      <c r="J3212">
        <v>1</v>
      </c>
      <c r="K3212" t="str" cm="1">
        <f t="array" ref="K3212">IFERROR(_xlfn.SWITCH(L3212,2,_xlfn.XLOOKUP(C3212,[1]ModifierDes!$B:$B,[1]ModifierDes!$C:$C),3,_xlfn.XLOOKUP(C3212,[1]StuntDes!$B:$B,[1]StuntDes!$C:$C)),"")</f>
        <v/>
      </c>
      <c r="L3212">
        <f t="shared" si="130"/>
        <v>1</v>
      </c>
      <c r="M3212" s="10" t="str">
        <f>IFERROR(_xlfn.XLOOKUP(C3212,[1]StuntDes!$B:$B,[1]StuntDes!$A:$A),"")</f>
        <v/>
      </c>
      <c r="N3212" s="10" t="str">
        <f>IFERROR(_xlfn.XLOOKUP(C3212,[1]ModifierDes!$B:$B,[1]ModifierDes!$A:$A),"")</f>
        <v/>
      </c>
      <c r="O3212" s="10">
        <f>IFERROR(_xlfn.XLOOKUP(C3212,[1]AttributeName!$C:$C,[1]AttributeName!$B:$B),"")</f>
        <v>11040</v>
      </c>
      <c r="P3212" s="10"/>
      <c r="Q3212">
        <v>0.2</v>
      </c>
      <c r="R3212">
        <v>0.3</v>
      </c>
      <c r="S3212" cm="1">
        <f t="array" ref="S3212">IFERROR(_xlfn.SWITCH(L3212,1,_xlfn.XLOOKUP(O3212,[1]AttributeName!$B:$B,[1]AttributeName!$D:$D),2,_xlfn.XLOOKUP(C3212,#REF!,#REF!),3,_xlfn.XLOOKUP(C3212,#REF!,#REF!)),0)</f>
        <v>2</v>
      </c>
      <c r="T3212" cm="1">
        <f t="array" ref="T3212">IFERROR(_xlfn.SWITCH(L3212,1,_xlfn.XLOOKUP(O3212,[1]AttributeName!$B:$B,[1]AttributeName!$E:$E),2,_xlfn.XLOOKUP(C3212,#REF!,#REF!),3,_xlfn.XLOOKUP(C3212,#REF!,#REF!)),0)</f>
        <v>2</v>
      </c>
    </row>
    <row r="3213" customFormat="1" spans="1:20">
      <c r="A3213">
        <v>90090</v>
      </c>
      <c r="B3213">
        <v>1</v>
      </c>
      <c r="C3213" t="s">
        <v>449</v>
      </c>
      <c r="D3213" t="s">
        <v>194</v>
      </c>
      <c r="E3213" t="s">
        <v>392</v>
      </c>
      <c r="H3213">
        <v>1000</v>
      </c>
      <c r="J3213">
        <v>1</v>
      </c>
      <c r="K3213" t="str" cm="1">
        <f t="array" ref="K3213">IFERROR(_xlfn.SWITCH(L3213,2,_xlfn.XLOOKUP(C3213,[1]ModifierDes!$B:$B,[1]ModifierDes!$C:$C),3,_xlfn.XLOOKUP(C3213,[1]StuntDes!$B:$B,[1]StuntDes!$C:$C)),"")</f>
        <v/>
      </c>
      <c r="L3213">
        <f t="shared" si="130"/>
        <v>1</v>
      </c>
      <c r="M3213" s="10" t="str">
        <f>IFERROR(_xlfn.XLOOKUP(C3213,[1]StuntDes!$B:$B,[1]StuntDes!$A:$A),"")</f>
        <v/>
      </c>
      <c r="N3213" s="10" t="str">
        <f>IFERROR(_xlfn.XLOOKUP(C3213,[1]ModifierDes!$B:$B,[1]ModifierDes!$A:$A),"")</f>
        <v/>
      </c>
      <c r="O3213" s="10" t="str">
        <f>IFERROR(_xlfn.XLOOKUP(C3213,[1]AttributeName!$C:$C,[1]AttributeName!$B:$B),"")</f>
        <v/>
      </c>
      <c r="P3213" s="10"/>
      <c r="Q3213">
        <v>0</v>
      </c>
      <c r="R3213">
        <v>0</v>
      </c>
      <c r="S3213" cm="1">
        <f t="array" ref="S3213">IFERROR(_xlfn.SWITCH(L3213,1,_xlfn.XLOOKUP(O3213,[1]AttributeName!$B:$B,[1]AttributeName!$D:$D),2,_xlfn.XLOOKUP(C3213,#REF!,#REF!),3,_xlfn.XLOOKUP(C3213,#REF!,#REF!)),0)</f>
        <v>0</v>
      </c>
      <c r="T3213" cm="1">
        <f t="array" ref="T3213">IFERROR(_xlfn.SWITCH(L3213,1,_xlfn.XLOOKUP(O3213,[1]AttributeName!$B:$B,[1]AttributeName!$E:$E),2,_xlfn.XLOOKUP(C3213,#REF!,#REF!),3,_xlfn.XLOOKUP(C3213,#REF!,#REF!)),0)</f>
        <v>0</v>
      </c>
    </row>
    <row r="3214" customFormat="1" spans="1:20">
      <c r="A3214">
        <v>90091</v>
      </c>
      <c r="B3214">
        <v>1</v>
      </c>
      <c r="C3214" t="s">
        <v>472</v>
      </c>
      <c r="D3214" t="s">
        <v>205</v>
      </c>
      <c r="E3214" t="s">
        <v>378</v>
      </c>
      <c r="H3214">
        <v>1000</v>
      </c>
      <c r="J3214">
        <v>1</v>
      </c>
      <c r="K3214" t="str" cm="1">
        <f t="array" ref="K3214">IFERROR(_xlfn.SWITCH(L3214,2,_xlfn.XLOOKUP(C3214,[1]ModifierDes!$B:$B,[1]ModifierDes!$C:$C),3,_xlfn.XLOOKUP(C3214,[1]StuntDes!$B:$B,[1]StuntDes!$C:$C)),"")</f>
        <v>幻影数量增加{0}</v>
      </c>
      <c r="L3214">
        <f t="shared" si="130"/>
        <v>2</v>
      </c>
      <c r="M3214" s="10" t="str">
        <f>IFERROR(_xlfn.XLOOKUP(C3214,[1]StuntDes!$B:$B,[1]StuntDes!$A:$A),"")</f>
        <v/>
      </c>
      <c r="N3214" s="10">
        <f>IFERROR(_xlfn.XLOOKUP(C3214,[1]ModifierDes!$B:$B,[1]ModifierDes!$A:$A),"")</f>
        <v>10077</v>
      </c>
      <c r="O3214" s="10" t="str">
        <f>IFERROR(_xlfn.XLOOKUP(C3214,[1]AttributeName!$C:$C,[1]AttributeName!$B:$B),"")</f>
        <v/>
      </c>
      <c r="P3214" s="10"/>
      <c r="Q3214">
        <v>0</v>
      </c>
      <c r="R3214">
        <v>2</v>
      </c>
      <c r="S3214" cm="1">
        <f t="array" ref="S3214">IFERROR(_xlfn.SWITCH(L3214,1,_xlfn.XLOOKUP(O3214,[1]AttributeName!$B:$B,[1]AttributeName!$D:$D),2,_xlfn.XLOOKUP(C3214,#REF!,#REF!),3,_xlfn.XLOOKUP(C3214,#REF!,#REF!)),0)</f>
        <v>0</v>
      </c>
      <c r="T3214" cm="1">
        <f t="array" ref="T3214">IFERROR(_xlfn.SWITCH(L3214,1,_xlfn.XLOOKUP(O3214,[1]AttributeName!$B:$B,[1]AttributeName!$E:$E),2,_xlfn.XLOOKUP(C3214,#REF!,#REF!),3,_xlfn.XLOOKUP(C3214,#REF!,#REF!)),0)</f>
        <v>0</v>
      </c>
    </row>
    <row r="3215" customFormat="1" spans="1:20">
      <c r="A3215">
        <v>90092</v>
      </c>
      <c r="B3215">
        <v>1</v>
      </c>
      <c r="C3215" t="s">
        <v>473</v>
      </c>
      <c r="D3215" t="s">
        <v>205</v>
      </c>
      <c r="E3215" t="s">
        <v>378</v>
      </c>
      <c r="H3215">
        <v>1000</v>
      </c>
      <c r="J3215">
        <v>1</v>
      </c>
      <c r="K3215" t="str" cm="1">
        <f t="array" ref="K3215">IFERROR(_xlfn.SWITCH(L3215,2,_xlfn.XLOOKUP(C3215,[1]ModifierDes!$B:$B,[1]ModifierDes!$C:$C),3,_xlfn.XLOOKUP(C3215,[1]StuntDes!$B:$B,[1]StuntDes!$C:$C)),"")</f>
        <v>幻影持续时间提高{0}</v>
      </c>
      <c r="L3215">
        <f t="shared" si="130"/>
        <v>2</v>
      </c>
      <c r="M3215" s="10" t="str">
        <f>IFERROR(_xlfn.XLOOKUP(C3215,[1]StuntDes!$B:$B,[1]StuntDes!$A:$A),"")</f>
        <v/>
      </c>
      <c r="N3215" s="10">
        <f>IFERROR(_xlfn.XLOOKUP(C3215,[1]ModifierDes!$B:$B,[1]ModifierDes!$A:$A),"")</f>
        <v>10123</v>
      </c>
      <c r="O3215" s="10"/>
      <c r="P3215" s="10"/>
      <c r="Q3215">
        <v>0</v>
      </c>
      <c r="R3215">
        <v>1</v>
      </c>
      <c r="S3215" cm="1">
        <f t="array" ref="S3215">IFERROR(_xlfn.SWITCH(L3215,1,_xlfn.XLOOKUP(O3215,[1]AttributeName!$B:$B,[1]AttributeName!$D:$D),2,_xlfn.XLOOKUP(C3215,#REF!,#REF!),3,_xlfn.XLOOKUP(C3215,#REF!,#REF!)),0)</f>
        <v>0</v>
      </c>
      <c r="T3215" cm="1">
        <f t="array" ref="T3215">IFERROR(_xlfn.SWITCH(L3215,1,_xlfn.XLOOKUP(O3215,[1]AttributeName!$B:$B,[1]AttributeName!$E:$E),2,_xlfn.XLOOKUP(C3215,#REF!,#REF!),3,_xlfn.XLOOKUP(C3215,#REF!,#REF!)),0)</f>
        <v>0</v>
      </c>
    </row>
    <row r="3216" customFormat="1" spans="1:20">
      <c r="A3216">
        <v>90093</v>
      </c>
      <c r="B3216">
        <v>1</v>
      </c>
      <c r="C3216" t="s">
        <v>416</v>
      </c>
      <c r="D3216" t="s">
        <v>205</v>
      </c>
      <c r="E3216" t="s">
        <v>378</v>
      </c>
      <c r="H3216">
        <v>1000</v>
      </c>
      <c r="J3216">
        <v>1</v>
      </c>
      <c r="K3216" t="str" cm="1">
        <f t="array" ref="K3216">IFERROR(_xlfn.SWITCH(L3216,2,_xlfn.XLOOKUP(C3216,[1]ModifierDes!$B:$B,[1]ModifierDes!$C:$C),3,_xlfn.XLOOKUP(C3216,[1]StuntDes!$B:$B,[1]StuntDes!$C:$C)),"")</f>
        <v/>
      </c>
      <c r="L3216">
        <f t="shared" si="130"/>
        <v>1</v>
      </c>
      <c r="M3216" s="10" t="str">
        <f>IFERROR(_xlfn.XLOOKUP(C3216,[1]StuntDes!$B:$B,[1]StuntDes!$A:$A),"")</f>
        <v/>
      </c>
      <c r="N3216" s="10" t="str">
        <f>IFERROR(_xlfn.XLOOKUP(C3216,[1]ModifierDes!$B:$B,[1]ModifierDes!$A:$A),"")</f>
        <v/>
      </c>
      <c r="O3216" s="10">
        <f>IFERROR(_xlfn.XLOOKUP(C3216,[1]AttributeName!$C:$C,[1]AttributeName!$B:$B),"")</f>
        <v>10002</v>
      </c>
      <c r="P3216" s="10"/>
      <c r="Q3216">
        <v>50</v>
      </c>
      <c r="R3216">
        <v>100</v>
      </c>
      <c r="S3216" cm="1">
        <f t="array" ref="S3216">IFERROR(_xlfn.SWITCH(L3216,1,_xlfn.XLOOKUP(O3216,[1]AttributeName!$B:$B,[1]AttributeName!$D:$D),2,_xlfn.XLOOKUP(C3216,#REF!,#REF!),3,_xlfn.XLOOKUP(C3216,#REF!,#REF!)),0)</f>
        <v>0</v>
      </c>
      <c r="T3216" cm="1">
        <f t="array" ref="T3216">IFERROR(_xlfn.SWITCH(L3216,1,_xlfn.XLOOKUP(O3216,[1]AttributeName!$B:$B,[1]AttributeName!$E:$E),2,_xlfn.XLOOKUP(C3216,#REF!,#REF!),3,_xlfn.XLOOKUP(C3216,#REF!,#REF!)),0)</f>
        <v>1</v>
      </c>
    </row>
    <row r="3217" customFormat="1" spans="1:20">
      <c r="A3217">
        <v>90094</v>
      </c>
      <c r="B3217">
        <v>1</v>
      </c>
      <c r="C3217" s="13" t="s">
        <v>418</v>
      </c>
      <c r="D3217" t="s">
        <v>205</v>
      </c>
      <c r="E3217" t="s">
        <v>392</v>
      </c>
      <c r="H3217">
        <v>1000</v>
      </c>
      <c r="J3217">
        <v>1</v>
      </c>
      <c r="K3217" t="str" cm="1">
        <f t="array" ref="K3217">IFERROR(_xlfn.SWITCH(L3217,2,_xlfn.XLOOKUP(C3217,[1]ModifierDes!$B:$B,[1]ModifierDes!$C:$C),3,_xlfn.XLOOKUP(C3217,[1]StuntDes!$B:$B,[1]StuntDes!$C:$C)),"")</f>
        <v>法术伤害提高{0}</v>
      </c>
      <c r="L3217">
        <f t="shared" si="130"/>
        <v>2</v>
      </c>
      <c r="M3217" s="10" t="str">
        <f>IFERROR(_xlfn.XLOOKUP(C3217,[1]StuntDes!$B:$B,[1]StuntDes!$A:$A),"")</f>
        <v/>
      </c>
      <c r="N3217" s="10">
        <f>IFERROR(_xlfn.XLOOKUP(C3217,[1]ModifierDes!$B:$B,[1]ModifierDes!$A:$A),"")</f>
        <v>10067</v>
      </c>
      <c r="O3217" s="10" t="str">
        <f>IFERROR(_xlfn.XLOOKUP(C3217,[1]AttributeName!$C:$C,[1]AttributeName!$B:$B),"")</f>
        <v/>
      </c>
      <c r="P3217" s="10"/>
      <c r="Q3217">
        <v>0.2</v>
      </c>
      <c r="R3217">
        <v>0.3</v>
      </c>
      <c r="S3217" cm="1">
        <f t="array" ref="S3217">IFERROR(_xlfn.SWITCH(L3217,1,_xlfn.XLOOKUP(O3217,[1]AttributeName!$B:$B,[1]AttributeName!$D:$D),2,_xlfn.XLOOKUP(C3217,#REF!,#REF!),3,_xlfn.XLOOKUP(C3217,#REF!,#REF!)),0)</f>
        <v>0</v>
      </c>
      <c r="T3217" cm="1">
        <f t="array" ref="T3217">IFERROR(_xlfn.SWITCH(L3217,1,_xlfn.XLOOKUP(O3217,[1]AttributeName!$B:$B,[1]AttributeName!$E:$E),2,_xlfn.XLOOKUP(C3217,#REF!,#REF!),3,_xlfn.XLOOKUP(C3217,#REF!,#REF!)),0)</f>
        <v>0</v>
      </c>
    </row>
    <row r="3218" customFormat="1" spans="1:20">
      <c r="A3218">
        <v>90095</v>
      </c>
      <c r="B3218">
        <v>1</v>
      </c>
      <c r="C3218" t="s">
        <v>474</v>
      </c>
      <c r="D3218" t="s">
        <v>205</v>
      </c>
      <c r="E3218" t="s">
        <v>392</v>
      </c>
      <c r="H3218">
        <v>1000</v>
      </c>
      <c r="J3218">
        <v>1</v>
      </c>
      <c r="K3218" t="str" cm="1">
        <f t="array" ref="K3218">IFERROR(_xlfn.SWITCH(L3218,2,_xlfn.XLOOKUP(C3218,[1]ModifierDes!$B:$B,[1]ModifierDes!$C:$C),3,_xlfn.XLOOKUP(C3218,[1]StuntDes!$B:$B,[1]StuntDes!$C:$C)),"")</f>
        <v>幻影数量上限增加{0}</v>
      </c>
      <c r="L3218">
        <f t="shared" si="130"/>
        <v>2</v>
      </c>
      <c r="M3218" s="10" t="str">
        <f>IFERROR(_xlfn.XLOOKUP(C3218,[1]StuntDes!$B:$B,[1]StuntDes!$A:$A),"")</f>
        <v/>
      </c>
      <c r="N3218" s="10">
        <f>IFERROR(_xlfn.XLOOKUP(C3218,[1]ModifierDes!$B:$B,[1]ModifierDes!$A:$A),"")</f>
        <v>10122</v>
      </c>
      <c r="O3218" s="10" t="str">
        <f>IFERROR(_xlfn.XLOOKUP(C3218,[1]AttributeName!$C:$C,[1]AttributeName!$B:$B),"")</f>
        <v/>
      </c>
      <c r="P3218" s="10"/>
      <c r="Q3218">
        <v>1</v>
      </c>
      <c r="R3218">
        <v>1</v>
      </c>
      <c r="S3218" cm="1">
        <f t="array" ref="S3218">IFERROR(_xlfn.SWITCH(L3218,1,_xlfn.XLOOKUP(O3218,[1]AttributeName!$B:$B,[1]AttributeName!$D:$D),2,_xlfn.XLOOKUP(C3218,#REF!,#REF!),3,_xlfn.XLOOKUP(C3218,#REF!,#REF!)),0)</f>
        <v>0</v>
      </c>
      <c r="T3218" cm="1">
        <f t="array" ref="T3218">IFERROR(_xlfn.SWITCH(L3218,1,_xlfn.XLOOKUP(O3218,[1]AttributeName!$B:$B,[1]AttributeName!$E:$E),2,_xlfn.XLOOKUP(C3218,#REF!,#REF!),3,_xlfn.XLOOKUP(C3218,#REF!,#REF!)),0)</f>
        <v>0</v>
      </c>
    </row>
    <row r="3219" customFormat="1" spans="1:20">
      <c r="A3219">
        <v>90096</v>
      </c>
      <c r="B3219">
        <v>1</v>
      </c>
      <c r="C3219" t="s">
        <v>449</v>
      </c>
      <c r="D3219" t="s">
        <v>205</v>
      </c>
      <c r="E3219" t="s">
        <v>392</v>
      </c>
      <c r="H3219">
        <v>1000</v>
      </c>
      <c r="J3219">
        <v>1</v>
      </c>
      <c r="K3219" t="str" cm="1">
        <f t="array" ref="K3219">IFERROR(_xlfn.SWITCH(L3219,2,_xlfn.XLOOKUP(C3219,[1]ModifierDes!$B:$B,[1]ModifierDes!$C:$C),3,_xlfn.XLOOKUP(C3219,[1]StuntDes!$B:$B,[1]StuntDes!$C:$C)),"")</f>
        <v/>
      </c>
      <c r="L3219">
        <f t="shared" si="130"/>
        <v>1</v>
      </c>
      <c r="M3219" s="10" t="str">
        <f>IFERROR(_xlfn.XLOOKUP(C3219,[1]StuntDes!$B:$B,[1]StuntDes!$A:$A),"")</f>
        <v/>
      </c>
      <c r="N3219" s="10" t="str">
        <f>IFERROR(_xlfn.XLOOKUP(C3219,[1]ModifierDes!$B:$B,[1]ModifierDes!$A:$A),"")</f>
        <v/>
      </c>
      <c r="O3219" s="10" t="str">
        <f>IFERROR(_xlfn.XLOOKUP(C3219,[1]AttributeName!$C:$C,[1]AttributeName!$B:$B),"")</f>
        <v/>
      </c>
      <c r="P3219" s="10"/>
      <c r="Q3219">
        <v>0</v>
      </c>
      <c r="R3219">
        <v>0</v>
      </c>
      <c r="S3219" cm="1">
        <f t="array" ref="S3219">IFERROR(_xlfn.SWITCH(L3219,1,_xlfn.XLOOKUP(O3219,[1]AttributeName!$B:$B,[1]AttributeName!$D:$D),2,_xlfn.XLOOKUP(C3219,#REF!,#REF!),3,_xlfn.XLOOKUP(C3219,#REF!,#REF!)),0)</f>
        <v>0</v>
      </c>
      <c r="T3219" cm="1">
        <f t="array" ref="T3219">IFERROR(_xlfn.SWITCH(L3219,1,_xlfn.XLOOKUP(O3219,[1]AttributeName!$B:$B,[1]AttributeName!$E:$E),2,_xlfn.XLOOKUP(C3219,#REF!,#REF!),3,_xlfn.XLOOKUP(C3219,#REF!,#REF!)),0)</f>
        <v>0</v>
      </c>
    </row>
    <row r="3220" customFormat="1" spans="1:20">
      <c r="A3220">
        <v>90097</v>
      </c>
      <c r="B3220">
        <v>1</v>
      </c>
      <c r="C3220" t="s">
        <v>381</v>
      </c>
      <c r="D3220" t="s">
        <v>128</v>
      </c>
      <c r="E3220" t="s">
        <v>378</v>
      </c>
      <c r="H3220">
        <v>1000</v>
      </c>
      <c r="J3220">
        <v>1</v>
      </c>
      <c r="K3220" t="str" cm="1">
        <f t="array" ref="K3220">IFERROR(_xlfn.SWITCH(L3220,2,_xlfn.XLOOKUP(C3220,[1]ModifierDes!$B:$B,[1]ModifierDes!$C:$C),3,_xlfn.XLOOKUP(C3220,[1]StuntDes!$B:$B,[1]StuntDes!$C:$C)),"")</f>
        <v>闪电伤害倍率增加{0}</v>
      </c>
      <c r="L3220">
        <f t="shared" si="130"/>
        <v>2</v>
      </c>
      <c r="M3220" s="10" t="str">
        <f>IFERROR(_xlfn.XLOOKUP(C3220,[1]StuntDes!$B:$B,[1]StuntDes!$A:$A),"")</f>
        <v/>
      </c>
      <c r="N3220" s="10">
        <f>IFERROR(_xlfn.XLOOKUP(C3220,[1]ModifierDes!$B:$B,[1]ModifierDes!$A:$A),"")</f>
        <v>10059</v>
      </c>
      <c r="O3220" s="10" t="str">
        <f>IFERROR(_xlfn.XLOOKUP(C3220,[1]AttributeName!$C:$C,[1]AttributeName!$B:$B),"")</f>
        <v/>
      </c>
      <c r="P3220" s="10"/>
      <c r="Q3220">
        <v>0.2</v>
      </c>
      <c r="R3220">
        <v>0.4</v>
      </c>
      <c r="S3220" cm="1">
        <f t="array" ref="S3220">IFERROR(_xlfn.SWITCH(L3220,1,_xlfn.XLOOKUP(O3220,[1]AttributeName!$B:$B,[1]AttributeName!$D:$D),2,_xlfn.XLOOKUP(C3220,#REF!,#REF!),3,_xlfn.XLOOKUP(C3220,#REF!,#REF!)),0)</f>
        <v>0</v>
      </c>
      <c r="T3220" cm="1">
        <f t="array" ref="T3220">IFERROR(_xlfn.SWITCH(L3220,1,_xlfn.XLOOKUP(O3220,[1]AttributeName!$B:$B,[1]AttributeName!$E:$E),2,_xlfn.XLOOKUP(C3220,#REF!,#REF!),3,_xlfn.XLOOKUP(C3220,#REF!,#REF!)),0)</f>
        <v>0</v>
      </c>
    </row>
    <row r="3221" customFormat="1" spans="1:20">
      <c r="A3221">
        <v>90098</v>
      </c>
      <c r="B3221">
        <v>1</v>
      </c>
      <c r="C3221" t="s">
        <v>380</v>
      </c>
      <c r="D3221" t="s">
        <v>128</v>
      </c>
      <c r="E3221" t="s">
        <v>378</v>
      </c>
      <c r="H3221">
        <v>1000</v>
      </c>
      <c r="J3221">
        <v>1</v>
      </c>
      <c r="K3221" t="str" cm="1">
        <f t="array" ref="K3221">IFERROR(_xlfn.SWITCH(L3221,2,_xlfn.XLOOKUP(C3221,[1]ModifierDes!$B:$B,[1]ModifierDes!$C:$C),3,_xlfn.XLOOKUP(C3221,[1]StuntDes!$B:$B,[1]StuntDes!$C:$C)),"")</f>
        <v>冰冷伤害倍率增加{0}</v>
      </c>
      <c r="L3221">
        <f t="shared" si="130"/>
        <v>2</v>
      </c>
      <c r="M3221" s="10" t="str">
        <f>IFERROR(_xlfn.XLOOKUP(C3221,[1]StuntDes!$B:$B,[1]StuntDes!$A:$A),"")</f>
        <v/>
      </c>
      <c r="N3221" s="10">
        <f>IFERROR(_xlfn.XLOOKUP(C3221,[1]ModifierDes!$B:$B,[1]ModifierDes!$A:$A),"")</f>
        <v>10058</v>
      </c>
      <c r="O3221" s="10"/>
      <c r="P3221" s="10"/>
      <c r="Q3221">
        <v>0.5</v>
      </c>
      <c r="R3221">
        <v>0.7</v>
      </c>
      <c r="S3221" cm="1">
        <f t="array" ref="S3221">IFERROR(_xlfn.SWITCH(L3221,1,_xlfn.XLOOKUP(O3221,[1]AttributeName!$B:$B,[1]AttributeName!$D:$D),2,_xlfn.XLOOKUP(C3221,#REF!,#REF!),3,_xlfn.XLOOKUP(C3221,#REF!,#REF!)),0)</f>
        <v>0</v>
      </c>
      <c r="T3221" cm="1">
        <f t="array" ref="T3221">IFERROR(_xlfn.SWITCH(L3221,1,_xlfn.XLOOKUP(O3221,[1]AttributeName!$B:$B,[1]AttributeName!$E:$E),2,_xlfn.XLOOKUP(C3221,#REF!,#REF!),3,_xlfn.XLOOKUP(C3221,#REF!,#REF!)),0)</f>
        <v>0</v>
      </c>
    </row>
    <row r="3222" customFormat="1" spans="1:20">
      <c r="A3222">
        <v>90099</v>
      </c>
      <c r="B3222">
        <v>1</v>
      </c>
      <c r="C3222" t="s">
        <v>416</v>
      </c>
      <c r="D3222" t="s">
        <v>128</v>
      </c>
      <c r="E3222" t="s">
        <v>378</v>
      </c>
      <c r="H3222">
        <v>1000</v>
      </c>
      <c r="J3222">
        <v>1</v>
      </c>
      <c r="K3222" t="str" cm="1">
        <f t="array" ref="K3222">IFERROR(_xlfn.SWITCH(L3222,2,_xlfn.XLOOKUP(C3222,[1]ModifierDes!$B:$B,[1]ModifierDes!$C:$C),3,_xlfn.XLOOKUP(C3222,[1]StuntDes!$B:$B,[1]StuntDes!$C:$C)),"")</f>
        <v/>
      </c>
      <c r="L3222">
        <f t="shared" si="130"/>
        <v>1</v>
      </c>
      <c r="M3222" s="10" t="str">
        <f>IFERROR(_xlfn.XLOOKUP(C3222,[1]StuntDes!$B:$B,[1]StuntDes!$A:$A),"")</f>
        <v/>
      </c>
      <c r="N3222" s="10" t="str">
        <f>IFERROR(_xlfn.XLOOKUP(C3222,[1]ModifierDes!$B:$B,[1]ModifierDes!$A:$A),"")</f>
        <v/>
      </c>
      <c r="O3222" s="10">
        <f>IFERROR(_xlfn.XLOOKUP(C3222,[1]AttributeName!$C:$C,[1]AttributeName!$B:$B),"")</f>
        <v>10002</v>
      </c>
      <c r="P3222" s="10"/>
      <c r="Q3222">
        <v>50</v>
      </c>
      <c r="R3222">
        <v>100</v>
      </c>
      <c r="S3222" cm="1">
        <f t="array" ref="S3222">IFERROR(_xlfn.SWITCH(L3222,1,_xlfn.XLOOKUP(O3222,[1]AttributeName!$B:$B,[1]AttributeName!$D:$D),2,_xlfn.XLOOKUP(C3222,#REF!,#REF!),3,_xlfn.XLOOKUP(C3222,#REF!,#REF!)),0)</f>
        <v>0</v>
      </c>
      <c r="T3222" cm="1">
        <f t="array" ref="T3222">IFERROR(_xlfn.SWITCH(L3222,1,_xlfn.XLOOKUP(O3222,[1]AttributeName!$B:$B,[1]AttributeName!$E:$E),2,_xlfn.XLOOKUP(C3222,#REF!,#REF!),3,_xlfn.XLOOKUP(C3222,#REF!,#REF!)),0)</f>
        <v>1</v>
      </c>
    </row>
    <row r="3223" customFormat="1" spans="1:20">
      <c r="A3223">
        <v>90100</v>
      </c>
      <c r="B3223">
        <v>1</v>
      </c>
      <c r="C3223" t="s">
        <v>475</v>
      </c>
      <c r="D3223" t="s">
        <v>128</v>
      </c>
      <c r="E3223" t="s">
        <v>392</v>
      </c>
      <c r="H3223">
        <v>1000</v>
      </c>
      <c r="J3223">
        <v>1</v>
      </c>
      <c r="K3223" t="str" cm="1">
        <f t="array" ref="K3223">IFERROR(_xlfn.SWITCH(L3223,2,_xlfn.XLOOKUP(C3223,[1]ModifierDes!$B:$B,[1]ModifierDes!$C:$C),3,_xlfn.XLOOKUP(C3223,[1]StuntDes!$B:$B,[1]StuntDes!$C:$C)),"")</f>
        <v>投射物速度提高{0}</v>
      </c>
      <c r="L3223">
        <f t="shared" si="130"/>
        <v>2</v>
      </c>
      <c r="M3223" s="10" t="str">
        <f>IFERROR(_xlfn.XLOOKUP(C3223,[1]StuntDes!$B:$B,[1]StuntDes!$A:$A),"")</f>
        <v/>
      </c>
      <c r="N3223" s="10">
        <f>IFERROR(_xlfn.XLOOKUP(C3223,[1]ModifierDes!$B:$B,[1]ModifierDes!$A:$A),"")</f>
        <v>10049</v>
      </c>
      <c r="O3223" s="10" t="str">
        <f>IFERROR(_xlfn.XLOOKUP(C3223,[1]AttributeName!$C:$C,[1]AttributeName!$B:$B),"")</f>
        <v/>
      </c>
      <c r="P3223" s="10"/>
      <c r="Q3223">
        <v>0.2</v>
      </c>
      <c r="R3223">
        <v>0.5</v>
      </c>
      <c r="S3223" cm="1">
        <f t="array" ref="S3223">IFERROR(_xlfn.SWITCH(L3223,1,_xlfn.XLOOKUP(O3223,[1]AttributeName!$B:$B,[1]AttributeName!$D:$D),2,_xlfn.XLOOKUP(C3223,#REF!,#REF!),3,_xlfn.XLOOKUP(C3223,#REF!,#REF!)),0)</f>
        <v>0</v>
      </c>
      <c r="T3223" cm="1">
        <f t="array" ref="T3223">IFERROR(_xlfn.SWITCH(L3223,1,_xlfn.XLOOKUP(O3223,[1]AttributeName!$B:$B,[1]AttributeName!$E:$E),2,_xlfn.XLOOKUP(C3223,#REF!,#REF!),3,_xlfn.XLOOKUP(C3223,#REF!,#REF!)),0)</f>
        <v>0</v>
      </c>
    </row>
    <row r="3224" customFormat="1" spans="1:20">
      <c r="A3224">
        <v>90101</v>
      </c>
      <c r="B3224">
        <v>1</v>
      </c>
      <c r="C3224" t="s">
        <v>476</v>
      </c>
      <c r="D3224" t="s">
        <v>128</v>
      </c>
      <c r="E3224" t="s">
        <v>392</v>
      </c>
      <c r="H3224">
        <v>1000</v>
      </c>
      <c r="J3224">
        <v>1</v>
      </c>
      <c r="K3224" t="str" cm="1">
        <f t="array" ref="K3224">IFERROR(_xlfn.SWITCH(L3224,2,_xlfn.XLOOKUP(C3224,[1]ModifierDes!$B:$B,[1]ModifierDes!$C:$C),3,_xlfn.XLOOKUP(C3224,[1]StuntDes!$B:$B,[1]StuntDes!$C:$C)),"")</f>
        <v>投射物数量增加{0}</v>
      </c>
      <c r="L3224">
        <f t="shared" si="130"/>
        <v>2</v>
      </c>
      <c r="M3224" s="10" t="str">
        <f>IFERROR(_xlfn.XLOOKUP(C3224,[1]StuntDes!$B:$B,[1]StuntDes!$A:$A),"")</f>
        <v/>
      </c>
      <c r="N3224" s="10">
        <f>IFERROR(_xlfn.XLOOKUP(C3224,[1]ModifierDes!$B:$B,[1]ModifierDes!$A:$A),"")</f>
        <v>10038</v>
      </c>
      <c r="O3224" s="10" t="str">
        <f>IFERROR(_xlfn.XLOOKUP(C3224,[1]AttributeName!$C:$C,[1]AttributeName!$B:$B),"")</f>
        <v/>
      </c>
      <c r="P3224" s="10"/>
      <c r="Q3224">
        <v>1</v>
      </c>
      <c r="R3224">
        <v>2</v>
      </c>
      <c r="S3224" cm="1">
        <f t="array" ref="S3224">IFERROR(_xlfn.SWITCH(L3224,1,_xlfn.XLOOKUP(O3224,[1]AttributeName!$B:$B,[1]AttributeName!$D:$D),2,_xlfn.XLOOKUP(C3224,#REF!,#REF!),3,_xlfn.XLOOKUP(C3224,#REF!,#REF!)),0)</f>
        <v>0</v>
      </c>
      <c r="T3224" cm="1">
        <f t="array" ref="T3224">IFERROR(_xlfn.SWITCH(L3224,1,_xlfn.XLOOKUP(O3224,[1]AttributeName!$B:$B,[1]AttributeName!$E:$E),2,_xlfn.XLOOKUP(C3224,#REF!,#REF!),3,_xlfn.XLOOKUP(C3224,#REF!,#REF!)),0)</f>
        <v>0</v>
      </c>
    </row>
    <row r="3225" customFormat="1" spans="1:20">
      <c r="A3225">
        <v>90102</v>
      </c>
      <c r="B3225">
        <v>1</v>
      </c>
      <c r="C3225" t="s">
        <v>433</v>
      </c>
      <c r="D3225" t="s">
        <v>128</v>
      </c>
      <c r="E3225" t="s">
        <v>392</v>
      </c>
      <c r="H3225">
        <v>1000</v>
      </c>
      <c r="J3225">
        <v>1</v>
      </c>
      <c r="K3225" t="str" cm="1">
        <f t="array" ref="K3225">IFERROR(_xlfn.SWITCH(L3225,2,_xlfn.XLOOKUP(C3225,[1]ModifierDes!$B:$B,[1]ModifierDes!$C:$C),3,_xlfn.XLOOKUP(C3225,[1]StuntDes!$B:$B,[1]StuntDes!$C:$C)),"")</f>
        <v/>
      </c>
      <c r="L3225">
        <f t="shared" si="130"/>
        <v>1</v>
      </c>
      <c r="M3225" s="10" t="str">
        <f>IFERROR(_xlfn.XLOOKUP(C3225,[1]StuntDes!$B:$B,[1]StuntDes!$A:$A),"")</f>
        <v/>
      </c>
      <c r="N3225" s="10" t="str">
        <f>IFERROR(_xlfn.XLOOKUP(C3225,[1]ModifierDes!$B:$B,[1]ModifierDes!$A:$A),"")</f>
        <v/>
      </c>
      <c r="O3225" s="10">
        <f>IFERROR(_xlfn.XLOOKUP(C3225,[1]AttributeName!$C:$C,[1]AttributeName!$B:$B),"")</f>
        <v>10402</v>
      </c>
      <c r="P3225" s="10"/>
      <c r="Q3225">
        <v>2</v>
      </c>
      <c r="R3225">
        <v>4</v>
      </c>
      <c r="S3225" cm="1">
        <f t="array" ref="S3225">IFERROR(_xlfn.SWITCH(L3225,1,_xlfn.XLOOKUP(O3225,[1]AttributeName!$B:$B,[1]AttributeName!$D:$D),2,_xlfn.XLOOKUP(C3225,#REF!,#REF!),3,_xlfn.XLOOKUP(C3225,#REF!,#REF!)),0)</f>
        <v>0</v>
      </c>
      <c r="T3225" cm="1">
        <f t="array" ref="T3225">IFERROR(_xlfn.SWITCH(L3225,1,_xlfn.XLOOKUP(O3225,[1]AttributeName!$B:$B,[1]AttributeName!$E:$E),2,_xlfn.XLOOKUP(C3225,#REF!,#REF!),3,_xlfn.XLOOKUP(C3225,#REF!,#REF!)),0)</f>
        <v>1</v>
      </c>
    </row>
    <row r="3226" customFormat="1" spans="1:20">
      <c r="A3226">
        <v>90103</v>
      </c>
      <c r="B3226">
        <v>1</v>
      </c>
      <c r="C3226" t="s">
        <v>416</v>
      </c>
      <c r="D3226" t="s">
        <v>159</v>
      </c>
      <c r="E3226" t="s">
        <v>378</v>
      </c>
      <c r="H3226">
        <v>1000</v>
      </c>
      <c r="J3226">
        <v>1</v>
      </c>
      <c r="K3226" t="str" cm="1">
        <f t="array" ref="K3226">IFERROR(_xlfn.SWITCH(L3226,2,_xlfn.XLOOKUP(C3226,[1]ModifierDes!$B:$B,[1]ModifierDes!$C:$C),3,_xlfn.XLOOKUP(C3226,[1]StuntDes!$B:$B,[1]StuntDes!$C:$C)),"")</f>
        <v/>
      </c>
      <c r="L3226">
        <f t="shared" si="130"/>
        <v>1</v>
      </c>
      <c r="M3226" s="10" t="str">
        <f>IFERROR(_xlfn.XLOOKUP(C3226,[1]StuntDes!$B:$B,[1]StuntDes!$A:$A),"")</f>
        <v/>
      </c>
      <c r="N3226" s="10" t="str">
        <f>IFERROR(_xlfn.XLOOKUP(C3226,[1]ModifierDes!$B:$B,[1]ModifierDes!$A:$A),"")</f>
        <v/>
      </c>
      <c r="O3226" s="10">
        <f>IFERROR(_xlfn.XLOOKUP(C3226,[1]AttributeName!$C:$C,[1]AttributeName!$B:$B),"")</f>
        <v>10002</v>
      </c>
      <c r="P3226" s="10"/>
      <c r="Q3226">
        <v>100</v>
      </c>
      <c r="R3226">
        <v>200</v>
      </c>
      <c r="S3226" cm="1">
        <f t="array" ref="S3226">IFERROR(_xlfn.SWITCH(L3226,1,_xlfn.XLOOKUP(O3226,[1]AttributeName!$B:$B,[1]AttributeName!$D:$D),2,_xlfn.XLOOKUP(C3226,#REF!,#REF!),3,_xlfn.XLOOKUP(C3226,#REF!,#REF!)),0)</f>
        <v>0</v>
      </c>
      <c r="T3226" cm="1">
        <f t="array" ref="T3226">IFERROR(_xlfn.SWITCH(L3226,1,_xlfn.XLOOKUP(O3226,[1]AttributeName!$B:$B,[1]AttributeName!$E:$E),2,_xlfn.XLOOKUP(C3226,#REF!,#REF!),3,_xlfn.XLOOKUP(C3226,#REF!,#REF!)),0)</f>
        <v>1</v>
      </c>
    </row>
    <row r="3227" customFormat="1" spans="1:20">
      <c r="A3227">
        <v>90104</v>
      </c>
      <c r="B3227">
        <v>1</v>
      </c>
      <c r="C3227" t="s">
        <v>418</v>
      </c>
      <c r="D3227" t="s">
        <v>159</v>
      </c>
      <c r="E3227" t="s">
        <v>378</v>
      </c>
      <c r="H3227">
        <v>1000</v>
      </c>
      <c r="J3227">
        <v>1</v>
      </c>
      <c r="K3227" t="str" cm="1">
        <f t="array" ref="K3227">IFERROR(_xlfn.SWITCH(L3227,2,_xlfn.XLOOKUP(C3227,[1]ModifierDes!$B:$B,[1]ModifierDes!$C:$C),3,_xlfn.XLOOKUP(C3227,[1]StuntDes!$B:$B,[1]StuntDes!$C:$C)),"")</f>
        <v>法术伤害提高{0}</v>
      </c>
      <c r="L3227">
        <f t="shared" si="130"/>
        <v>2</v>
      </c>
      <c r="M3227" s="10" t="str">
        <f>IFERROR(_xlfn.XLOOKUP(C3227,[1]StuntDes!$B:$B,[1]StuntDes!$A:$A),"")</f>
        <v/>
      </c>
      <c r="N3227" s="10">
        <f>IFERROR(_xlfn.XLOOKUP(C3227,[1]ModifierDes!$B:$B,[1]ModifierDes!$A:$A),"")</f>
        <v>10067</v>
      </c>
      <c r="O3227" s="10"/>
      <c r="P3227" s="10"/>
      <c r="Q3227">
        <v>0.4</v>
      </c>
      <c r="R3227">
        <v>0.5</v>
      </c>
      <c r="S3227" cm="1">
        <f t="array" ref="S3227">IFERROR(_xlfn.SWITCH(L3227,1,_xlfn.XLOOKUP(O3227,[1]AttributeName!$B:$B,[1]AttributeName!$D:$D),2,_xlfn.XLOOKUP(C3227,#REF!,#REF!),3,_xlfn.XLOOKUP(C3227,#REF!,#REF!)),0)</f>
        <v>0</v>
      </c>
      <c r="T3227" cm="1">
        <f t="array" ref="T3227">IFERROR(_xlfn.SWITCH(L3227,1,_xlfn.XLOOKUP(O3227,[1]AttributeName!$B:$B,[1]AttributeName!$E:$E),2,_xlfn.XLOOKUP(C3227,#REF!,#REF!),3,_xlfn.XLOOKUP(C3227,#REF!,#REF!)),0)</f>
        <v>0</v>
      </c>
    </row>
    <row r="3228" customFormat="1" spans="1:20">
      <c r="A3228">
        <v>90105</v>
      </c>
      <c r="B3228">
        <v>1</v>
      </c>
      <c r="C3228" t="s">
        <v>449</v>
      </c>
      <c r="D3228" t="s">
        <v>159</v>
      </c>
      <c r="E3228" t="s">
        <v>378</v>
      </c>
      <c r="H3228">
        <v>1000</v>
      </c>
      <c r="J3228">
        <v>1</v>
      </c>
      <c r="K3228" t="str" cm="1">
        <f t="array" ref="K3228">IFERROR(_xlfn.SWITCH(L3228,2,_xlfn.XLOOKUP(C3228,[1]ModifierDes!$B:$B,[1]ModifierDes!$C:$C),3,_xlfn.XLOOKUP(C3228,[1]StuntDes!$B:$B,[1]StuntDes!$C:$C)),"")</f>
        <v/>
      </c>
      <c r="L3228">
        <f t="shared" si="130"/>
        <v>1</v>
      </c>
      <c r="M3228" s="10" t="str">
        <f>IFERROR(_xlfn.XLOOKUP(C3228,[1]StuntDes!$B:$B,[1]StuntDes!$A:$A),"")</f>
        <v/>
      </c>
      <c r="N3228" s="10" t="str">
        <f>IFERROR(_xlfn.XLOOKUP(C3228,[1]ModifierDes!$B:$B,[1]ModifierDes!$A:$A),"")</f>
        <v/>
      </c>
      <c r="O3228" s="10" t="str">
        <f>IFERROR(_xlfn.XLOOKUP(C3228,[1]AttributeName!$C:$C,[1]AttributeName!$B:$B),"")</f>
        <v/>
      </c>
      <c r="P3228" s="10"/>
      <c r="Q3228">
        <v>0</v>
      </c>
      <c r="R3228">
        <v>0</v>
      </c>
      <c r="S3228" cm="1">
        <f t="array" ref="S3228">IFERROR(_xlfn.SWITCH(L3228,1,_xlfn.XLOOKUP(O3228,[1]AttributeName!$B:$B,[1]AttributeName!$D:$D),2,_xlfn.XLOOKUP(C3228,#REF!,#REF!),3,_xlfn.XLOOKUP(C3228,#REF!,#REF!)),0)</f>
        <v>0</v>
      </c>
      <c r="T3228" cm="1">
        <f t="array" ref="T3228">IFERROR(_xlfn.SWITCH(L3228,1,_xlfn.XLOOKUP(O3228,[1]AttributeName!$B:$B,[1]AttributeName!$E:$E),2,_xlfn.XLOOKUP(C3228,#REF!,#REF!),3,_xlfn.XLOOKUP(C3228,#REF!,#REF!)),0)</f>
        <v>0</v>
      </c>
    </row>
    <row r="3229" customFormat="1" spans="1:20">
      <c r="A3229">
        <v>90106</v>
      </c>
      <c r="B3229">
        <v>1</v>
      </c>
      <c r="C3229" t="s">
        <v>477</v>
      </c>
      <c r="D3229" t="s">
        <v>159</v>
      </c>
      <c r="E3229" t="s">
        <v>392</v>
      </c>
      <c r="H3229">
        <v>1000</v>
      </c>
      <c r="J3229">
        <v>1</v>
      </c>
      <c r="K3229" t="str" cm="1">
        <f t="array" ref="K3229">IFERROR(_xlfn.SWITCH(L3229,2,_xlfn.XLOOKUP(C3229,[1]ModifierDes!$B:$B,[1]ModifierDes!$C:$C),3,_xlfn.XLOOKUP(C3229,[1]StuntDes!$B:$B,[1]StuntDes!$C:$C)),"")</f>
        <v>魔力回复率额外提高{0}</v>
      </c>
      <c r="L3229">
        <f t="shared" si="130"/>
        <v>2</v>
      </c>
      <c r="M3229" s="10" t="str">
        <f>IFERROR(_xlfn.XLOOKUP(C3229,[1]StuntDes!$B:$B,[1]StuntDes!$A:$A),"")</f>
        <v/>
      </c>
      <c r="N3229" s="10">
        <f>IFERROR(_xlfn.XLOOKUP(C3229,[1]ModifierDes!$B:$B,[1]ModifierDes!$A:$A),"")</f>
        <v>10108</v>
      </c>
      <c r="O3229" s="10" t="str">
        <f>IFERROR(_xlfn.XLOOKUP(C3229,[1]AttributeName!$C:$C,[1]AttributeName!$B:$B),"")</f>
        <v/>
      </c>
      <c r="P3229" s="10"/>
      <c r="Q3229">
        <v>0.5</v>
      </c>
      <c r="R3229">
        <v>1</v>
      </c>
      <c r="S3229" cm="1">
        <f t="array" ref="S3229">IFERROR(_xlfn.SWITCH(L3229,1,_xlfn.XLOOKUP(O3229,[1]AttributeName!$B:$B,[1]AttributeName!$D:$D),2,_xlfn.XLOOKUP(C3229,#REF!,#REF!),3,_xlfn.XLOOKUP(C3229,#REF!,#REF!)),0)</f>
        <v>0</v>
      </c>
      <c r="T3229" cm="1">
        <f t="array" ref="T3229">IFERROR(_xlfn.SWITCH(L3229,1,_xlfn.XLOOKUP(O3229,[1]AttributeName!$B:$B,[1]AttributeName!$E:$E),2,_xlfn.XLOOKUP(C3229,#REF!,#REF!),3,_xlfn.XLOOKUP(C3229,#REF!,#REF!)),0)</f>
        <v>0</v>
      </c>
    </row>
    <row r="3230" customFormat="1" spans="1:20">
      <c r="A3230">
        <v>90107</v>
      </c>
      <c r="B3230">
        <v>1</v>
      </c>
      <c r="C3230" t="s">
        <v>478</v>
      </c>
      <c r="D3230" t="s">
        <v>159</v>
      </c>
      <c r="E3230" t="s">
        <v>392</v>
      </c>
      <c r="H3230">
        <v>1000</v>
      </c>
      <c r="J3230">
        <v>1</v>
      </c>
      <c r="K3230" t="str" cm="1">
        <f t="array" ref="K3230">IFERROR(_xlfn.SWITCH(L3230,2,_xlfn.XLOOKUP(C3230,[1]ModifierDes!$B:$B,[1]ModifierDes!$C:$C),3,_xlfn.XLOOKUP(C3230,[1]StuntDes!$B:$B,[1]StuntDes!$C:$C)),"")</f>
        <v>魔力每秒恢复增加{0}</v>
      </c>
      <c r="L3230">
        <f t="shared" si="130"/>
        <v>2</v>
      </c>
      <c r="M3230" s="10" t="str">
        <f>IFERROR(_xlfn.XLOOKUP(C3230,[1]StuntDes!$B:$B,[1]StuntDes!$A:$A),"")</f>
        <v/>
      </c>
      <c r="N3230" s="10">
        <f>IFERROR(_xlfn.XLOOKUP(C3230,[1]ModifierDes!$B:$B,[1]ModifierDes!$A:$A),"")</f>
        <v>10117</v>
      </c>
      <c r="O3230" s="10" t="str">
        <f>IFERROR(_xlfn.XLOOKUP(C3230,[1]AttributeName!$C:$C,[1]AttributeName!$B:$B),"")</f>
        <v/>
      </c>
      <c r="P3230" s="10"/>
      <c r="Q3230">
        <v>5</v>
      </c>
      <c r="R3230">
        <v>10</v>
      </c>
      <c r="S3230" cm="1">
        <f t="array" ref="S3230">IFERROR(_xlfn.SWITCH(L3230,1,_xlfn.XLOOKUP(O3230,[1]AttributeName!$B:$B,[1]AttributeName!$D:$D),2,_xlfn.XLOOKUP(C3230,#REF!,#REF!),3,_xlfn.XLOOKUP(C3230,#REF!,#REF!)),0)</f>
        <v>0</v>
      </c>
      <c r="T3230" cm="1">
        <f t="array" ref="T3230">IFERROR(_xlfn.SWITCH(L3230,1,_xlfn.XLOOKUP(O3230,[1]AttributeName!$B:$B,[1]AttributeName!$E:$E),2,_xlfn.XLOOKUP(C3230,#REF!,#REF!),3,_xlfn.XLOOKUP(C3230,#REF!,#REF!)),0)</f>
        <v>0</v>
      </c>
    </row>
    <row r="3231" customFormat="1" spans="1:20">
      <c r="A3231">
        <v>90108</v>
      </c>
      <c r="B3231">
        <v>1</v>
      </c>
      <c r="C3231" t="s">
        <v>479</v>
      </c>
      <c r="D3231" t="s">
        <v>159</v>
      </c>
      <c r="E3231" t="s">
        <v>392</v>
      </c>
      <c r="H3231">
        <v>1000</v>
      </c>
      <c r="J3231">
        <v>1</v>
      </c>
      <c r="K3231" t="str" cm="1">
        <f t="array" ref="K3231">IFERROR(_xlfn.SWITCH(L3231,2,_xlfn.XLOOKUP(C3231,[1]ModifierDes!$B:$B,[1]ModifierDes!$C:$C),3,_xlfn.XLOOKUP(C3231,[1]StuntDes!$B:$B,[1]StuntDes!$C:$C)),"")</f>
        <v>注能持续时间提高{0}</v>
      </c>
      <c r="L3231">
        <f t="shared" si="130"/>
        <v>2</v>
      </c>
      <c r="M3231" s="10" t="str">
        <f>IFERROR(_xlfn.XLOOKUP(C3231,[1]StuntDes!$B:$B,[1]StuntDes!$A:$A),"")</f>
        <v/>
      </c>
      <c r="N3231" s="10">
        <f>IFERROR(_xlfn.XLOOKUP(C3231,[1]ModifierDes!$B:$B,[1]ModifierDes!$A:$A),"")</f>
        <v>10142</v>
      </c>
      <c r="O3231" s="10" t="str">
        <f>IFERROR(_xlfn.XLOOKUP(C3231,[1]AttributeName!$C:$C,[1]AttributeName!$B:$B),"")</f>
        <v/>
      </c>
      <c r="P3231" s="10"/>
      <c r="Q3231">
        <v>0.5</v>
      </c>
      <c r="R3231">
        <v>1</v>
      </c>
      <c r="S3231" cm="1">
        <f t="array" ref="S3231">IFERROR(_xlfn.SWITCH(L3231,1,_xlfn.XLOOKUP(O3231,[1]AttributeName!$B:$B,[1]AttributeName!$D:$D),2,_xlfn.XLOOKUP(C3231,#REF!,#REF!),3,_xlfn.XLOOKUP(C3231,#REF!,#REF!)),0)</f>
        <v>0</v>
      </c>
      <c r="T3231" cm="1">
        <f t="array" ref="T3231">IFERROR(_xlfn.SWITCH(L3231,1,_xlfn.XLOOKUP(O3231,[1]AttributeName!$B:$B,[1]AttributeName!$E:$E),2,_xlfn.XLOOKUP(C3231,#REF!,#REF!),3,_xlfn.XLOOKUP(C3231,#REF!,#REF!)),0)</f>
        <v>0</v>
      </c>
    </row>
    <row r="3232" customFormat="1" spans="1:20">
      <c r="A3232">
        <v>90109</v>
      </c>
      <c r="B3232">
        <v>1</v>
      </c>
      <c r="C3232" t="s">
        <v>453</v>
      </c>
      <c r="D3232" t="s">
        <v>166</v>
      </c>
      <c r="E3232" t="s">
        <v>378</v>
      </c>
      <c r="H3232">
        <v>1000</v>
      </c>
      <c r="J3232">
        <v>1</v>
      </c>
      <c r="K3232" t="str" cm="1">
        <f t="array" ref="K3232">IFERROR(_xlfn.SWITCH(L3232,2,_xlfn.XLOOKUP(C3232,[1]ModifierDes!$B:$B,[1]ModifierDes!$C:$C),3,_xlfn.XLOOKUP(C3232,[1]StuntDes!$B:$B,[1]StuntDes!$C:$C)),"")</f>
        <v/>
      </c>
      <c r="L3232">
        <f t="shared" si="130"/>
        <v>1</v>
      </c>
      <c r="M3232" s="10" t="str">
        <f>IFERROR(_xlfn.XLOOKUP(C3232,[1]StuntDes!$B:$B,[1]StuntDes!$A:$A),"")</f>
        <v/>
      </c>
      <c r="N3232" s="10" t="str">
        <f>IFERROR(_xlfn.XLOOKUP(C3232,[1]ModifierDes!$B:$B,[1]ModifierDes!$A:$A),"")</f>
        <v/>
      </c>
      <c r="O3232" s="10">
        <f>IFERROR(_xlfn.XLOOKUP(C3232,[1]AttributeName!$C:$C,[1]AttributeName!$B:$B),"")</f>
        <v>10007</v>
      </c>
      <c r="P3232" s="10"/>
      <c r="Q3232">
        <v>0.1</v>
      </c>
      <c r="R3232">
        <v>0.15</v>
      </c>
      <c r="S3232" cm="1">
        <f t="array" ref="S3232">IFERROR(_xlfn.SWITCH(L3232,1,_xlfn.XLOOKUP(O3232,[1]AttributeName!$B:$B,[1]AttributeName!$D:$D),2,_xlfn.XLOOKUP(C3232,#REF!,#REF!),3,_xlfn.XLOOKUP(C3232,#REF!,#REF!)),0)</f>
        <v>2</v>
      </c>
      <c r="T3232" cm="1">
        <f t="array" ref="T3232">IFERROR(_xlfn.SWITCH(L3232,1,_xlfn.XLOOKUP(O3232,[1]AttributeName!$B:$B,[1]AttributeName!$E:$E),2,_xlfn.XLOOKUP(C3232,#REF!,#REF!),3,_xlfn.XLOOKUP(C3232,#REF!,#REF!)),0)</f>
        <v>2</v>
      </c>
    </row>
    <row r="3233" customFormat="1" spans="1:20">
      <c r="A3233">
        <v>90110</v>
      </c>
      <c r="B3233">
        <v>1</v>
      </c>
      <c r="C3233" t="s">
        <v>385</v>
      </c>
      <c r="D3233" t="s">
        <v>166</v>
      </c>
      <c r="E3233" t="s">
        <v>378</v>
      </c>
      <c r="H3233">
        <v>1000</v>
      </c>
      <c r="J3233">
        <v>1</v>
      </c>
      <c r="K3233" t="str" cm="1">
        <f t="array" ref="K3233">IFERROR(_xlfn.SWITCH(L3233,2,_xlfn.XLOOKUP(C3233,[1]ModifierDes!$B:$B,[1]ModifierDes!$C:$C),3,_xlfn.XLOOKUP(C3233,[1]StuntDes!$B:$B,[1]StuntDes!$C:$C)),"")</f>
        <v/>
      </c>
      <c r="L3233">
        <f t="shared" si="130"/>
        <v>1</v>
      </c>
      <c r="M3233" s="10" t="str">
        <f>IFERROR(_xlfn.XLOOKUP(C3233,[1]StuntDes!$B:$B,[1]StuntDes!$A:$A),"")</f>
        <v/>
      </c>
      <c r="N3233" s="10" t="str">
        <f>IFERROR(_xlfn.XLOOKUP(C3233,[1]ModifierDes!$B:$B,[1]ModifierDes!$A:$A),"")</f>
        <v/>
      </c>
      <c r="O3233" s="10">
        <f>IFERROR(_xlfn.XLOOKUP(C3233,[1]AttributeName!$C:$C,[1]AttributeName!$B:$B),"")</f>
        <v>10304</v>
      </c>
      <c r="P3233" s="10"/>
      <c r="Q3233">
        <v>0.15</v>
      </c>
      <c r="R3233">
        <v>0.25</v>
      </c>
      <c r="S3233" cm="1">
        <f t="array" ref="S3233">IFERROR(_xlfn.SWITCH(L3233,1,_xlfn.XLOOKUP(O3233,[1]AttributeName!$B:$B,[1]AttributeName!$D:$D),2,_xlfn.XLOOKUP(C3233,#REF!,#REF!),3,_xlfn.XLOOKUP(C3233,#REF!,#REF!)),0)</f>
        <v>2</v>
      </c>
      <c r="T3233" cm="1">
        <f t="array" ref="T3233">IFERROR(_xlfn.SWITCH(L3233,1,_xlfn.XLOOKUP(O3233,[1]AttributeName!$B:$B,[1]AttributeName!$E:$E),2,_xlfn.XLOOKUP(C3233,#REF!,#REF!),3,_xlfn.XLOOKUP(C3233,#REF!,#REF!)),0)</f>
        <v>2</v>
      </c>
    </row>
    <row r="3234" customFormat="1" spans="1:20">
      <c r="A3234">
        <v>90111</v>
      </c>
      <c r="B3234">
        <v>1</v>
      </c>
      <c r="C3234" t="s">
        <v>449</v>
      </c>
      <c r="D3234" t="s">
        <v>166</v>
      </c>
      <c r="E3234" t="s">
        <v>378</v>
      </c>
      <c r="H3234">
        <v>1000</v>
      </c>
      <c r="J3234">
        <v>1</v>
      </c>
      <c r="K3234" t="str" cm="1">
        <f t="array" ref="K3234">IFERROR(_xlfn.SWITCH(L3234,2,_xlfn.XLOOKUP(C3234,[1]ModifierDes!$B:$B,[1]ModifierDes!$C:$C),3,_xlfn.XLOOKUP(C3234,[1]StuntDes!$B:$B,[1]StuntDes!$C:$C)),"")</f>
        <v/>
      </c>
      <c r="L3234">
        <f t="shared" si="130"/>
        <v>1</v>
      </c>
      <c r="M3234" s="10" t="str">
        <f>IFERROR(_xlfn.XLOOKUP(C3234,[1]StuntDes!$B:$B,[1]StuntDes!$A:$A),"")</f>
        <v/>
      </c>
      <c r="N3234" s="10" t="str">
        <f>IFERROR(_xlfn.XLOOKUP(C3234,[1]ModifierDes!$B:$B,[1]ModifierDes!$A:$A),"")</f>
        <v/>
      </c>
      <c r="O3234" s="10" t="str">
        <f>IFERROR(_xlfn.XLOOKUP(C3234,[1]AttributeName!$C:$C,[1]AttributeName!$B:$B),"")</f>
        <v/>
      </c>
      <c r="P3234" s="10"/>
      <c r="Q3234">
        <v>0</v>
      </c>
      <c r="R3234">
        <v>0</v>
      </c>
      <c r="S3234" cm="1">
        <f t="array" ref="S3234">IFERROR(_xlfn.SWITCH(L3234,1,_xlfn.XLOOKUP(O3234,[1]AttributeName!$B:$B,[1]AttributeName!$D:$D),2,_xlfn.XLOOKUP(C3234,#REF!,#REF!),3,_xlfn.XLOOKUP(C3234,#REF!,#REF!)),0)</f>
        <v>0</v>
      </c>
      <c r="T3234" cm="1">
        <f t="array" ref="T3234">IFERROR(_xlfn.SWITCH(L3234,1,_xlfn.XLOOKUP(O3234,[1]AttributeName!$B:$B,[1]AttributeName!$E:$E),2,_xlfn.XLOOKUP(C3234,#REF!,#REF!),3,_xlfn.XLOOKUP(C3234,#REF!,#REF!)),0)</f>
        <v>0</v>
      </c>
    </row>
    <row r="3235" customFormat="1" spans="1:20">
      <c r="A3235">
        <v>90112</v>
      </c>
      <c r="B3235">
        <v>1</v>
      </c>
      <c r="C3235" t="s">
        <v>423</v>
      </c>
      <c r="D3235" t="s">
        <v>166</v>
      </c>
      <c r="E3235" t="s">
        <v>392</v>
      </c>
      <c r="H3235">
        <v>1000</v>
      </c>
      <c r="J3235">
        <v>1</v>
      </c>
      <c r="K3235" t="str" cm="1">
        <f t="array" ref="K3235">IFERROR(_xlfn.SWITCH(L3235,2,_xlfn.XLOOKUP(C3235,[1]ModifierDes!$B:$B,[1]ModifierDes!$C:$C),3,_xlfn.XLOOKUP(C3235,[1]StuntDes!$B:$B,[1]StuntDes!$C:$C)),"")</f>
        <v/>
      </c>
      <c r="L3235">
        <f t="shared" si="130"/>
        <v>1</v>
      </c>
      <c r="M3235" s="10" t="str">
        <f>IFERROR(_xlfn.XLOOKUP(C3235,[1]StuntDes!$B:$B,[1]StuntDes!$A:$A),"")</f>
        <v/>
      </c>
      <c r="N3235" s="10" t="str">
        <f>IFERROR(_xlfn.XLOOKUP(C3235,[1]ModifierDes!$B:$B,[1]ModifierDes!$A:$A),"")</f>
        <v/>
      </c>
      <c r="O3235" s="10">
        <f>IFERROR(_xlfn.XLOOKUP(C3235,[1]AttributeName!$C:$C,[1]AttributeName!$B:$B),"")</f>
        <v>10312</v>
      </c>
      <c r="P3235" s="10"/>
      <c r="Q3235">
        <v>0.2</v>
      </c>
      <c r="R3235">
        <v>0.4</v>
      </c>
      <c r="S3235" cm="1">
        <f t="array" ref="S3235">IFERROR(_xlfn.SWITCH(L3235,1,_xlfn.XLOOKUP(O3235,[1]AttributeName!$B:$B,[1]AttributeName!$D:$D),2,_xlfn.XLOOKUP(C3235,#REF!,#REF!),3,_xlfn.XLOOKUP(C3235,#REF!,#REF!)),0)</f>
        <v>2</v>
      </c>
      <c r="T3235" cm="1">
        <f t="array" ref="T3235">IFERROR(_xlfn.SWITCH(L3235,1,_xlfn.XLOOKUP(O3235,[1]AttributeName!$B:$B,[1]AttributeName!$E:$E),2,_xlfn.XLOOKUP(C3235,#REF!,#REF!),3,_xlfn.XLOOKUP(C3235,#REF!,#REF!)),0)</f>
        <v>2</v>
      </c>
    </row>
    <row r="3236" customFormat="1" spans="1:20">
      <c r="A3236">
        <v>90113</v>
      </c>
      <c r="B3236">
        <v>1</v>
      </c>
      <c r="C3236" t="s">
        <v>480</v>
      </c>
      <c r="D3236" t="s">
        <v>166</v>
      </c>
      <c r="E3236" t="s">
        <v>392</v>
      </c>
      <c r="H3236">
        <v>1000</v>
      </c>
      <c r="J3236">
        <v>1</v>
      </c>
      <c r="K3236" t="str" cm="1">
        <f t="array" ref="K3236">IFERROR(_xlfn.SWITCH(L3236,2,_xlfn.XLOOKUP(C3236,[1]ModifierDes!$B:$B,[1]ModifierDes!$C:$C),3,_xlfn.XLOOKUP(C3236,[1]StuntDes!$B:$B,[1]StuntDes!$C:$C)),"")</f>
        <v>每隔5秒在脚下生成一片火焰地面，造成相当于20%攻击力的点燃伤害</v>
      </c>
      <c r="L3236">
        <f t="shared" si="130"/>
        <v>3</v>
      </c>
      <c r="M3236" s="10">
        <f>IFERROR(_xlfn.XLOOKUP(C3236,[1]StuntDes!$B:$B,[1]StuntDes!$A:$A),"")</f>
        <v>2340000040</v>
      </c>
      <c r="N3236" s="10" t="str">
        <f>IFERROR(_xlfn.XLOOKUP(C3236,[1]ModifierDes!$B:$B,[1]ModifierDes!$A:$A),"")</f>
        <v/>
      </c>
      <c r="O3236" s="10" t="str">
        <f>IFERROR(_xlfn.XLOOKUP(C3236,[1]AttributeName!$C:$C,[1]AttributeName!$B:$B),"")</f>
        <v/>
      </c>
      <c r="P3236" s="10"/>
      <c r="Q3236">
        <v>0.2</v>
      </c>
      <c r="R3236">
        <v>0.2</v>
      </c>
      <c r="S3236" cm="1">
        <f t="array" ref="S3236">IFERROR(_xlfn.SWITCH(L3236,1,_xlfn.XLOOKUP(O3236,[1]AttributeName!$B:$B,[1]AttributeName!$D:$D),2,_xlfn.XLOOKUP(C3236,#REF!,#REF!),3,_xlfn.XLOOKUP(C3236,#REF!,#REF!)),0)</f>
        <v>0</v>
      </c>
      <c r="T3236" cm="1">
        <f t="array" ref="T3236">IFERROR(_xlfn.SWITCH(L3236,1,_xlfn.XLOOKUP(O3236,[1]AttributeName!$B:$B,[1]AttributeName!$E:$E),2,_xlfn.XLOOKUP(C3236,#REF!,#REF!),3,_xlfn.XLOOKUP(C3236,#REF!,#REF!)),0)</f>
        <v>0</v>
      </c>
    </row>
    <row r="3237" customFormat="1" spans="1:20">
      <c r="A3237">
        <v>90114</v>
      </c>
      <c r="B3237">
        <v>1</v>
      </c>
      <c r="C3237" t="s">
        <v>449</v>
      </c>
      <c r="D3237" t="s">
        <v>166</v>
      </c>
      <c r="E3237" t="s">
        <v>392</v>
      </c>
      <c r="H3237">
        <v>1000</v>
      </c>
      <c r="J3237">
        <v>1</v>
      </c>
      <c r="K3237" t="str" cm="1">
        <f t="array" ref="K3237">IFERROR(_xlfn.SWITCH(L3237,2,_xlfn.XLOOKUP(C3237,[1]ModifierDes!$B:$B,[1]ModifierDes!$C:$C),3,_xlfn.XLOOKUP(C3237,[1]StuntDes!$B:$B,[1]StuntDes!$C:$C)),"")</f>
        <v/>
      </c>
      <c r="L3237">
        <f t="shared" si="130"/>
        <v>1</v>
      </c>
      <c r="M3237" s="10" t="str">
        <f>IFERROR(_xlfn.XLOOKUP(C3237,[1]StuntDes!$B:$B,[1]StuntDes!$A:$A),"")</f>
        <v/>
      </c>
      <c r="N3237" s="10" t="str">
        <f>IFERROR(_xlfn.XLOOKUP(C3237,[1]ModifierDes!$B:$B,[1]ModifierDes!$A:$A),"")</f>
        <v/>
      </c>
      <c r="O3237" s="10" t="str">
        <f>IFERROR(_xlfn.XLOOKUP(C3237,[1]AttributeName!$C:$C,[1]AttributeName!$B:$B),"")</f>
        <v/>
      </c>
      <c r="P3237" s="10"/>
      <c r="Q3237">
        <v>0</v>
      </c>
      <c r="R3237">
        <v>0</v>
      </c>
      <c r="S3237" cm="1">
        <f t="array" ref="S3237">IFERROR(_xlfn.SWITCH(L3237,1,_xlfn.XLOOKUP(O3237,[1]AttributeName!$B:$B,[1]AttributeName!$D:$D),2,_xlfn.XLOOKUP(C3237,#REF!,#REF!),3,_xlfn.XLOOKUP(C3237,#REF!,#REF!)),0)</f>
        <v>0</v>
      </c>
      <c r="T3237" cm="1">
        <f t="array" ref="T3237">IFERROR(_xlfn.SWITCH(L3237,1,_xlfn.XLOOKUP(O3237,[1]AttributeName!$B:$B,[1]AttributeName!$E:$E),2,_xlfn.XLOOKUP(C3237,#REF!,#REF!),3,_xlfn.XLOOKUP(C3237,#REF!,#REF!)),0)</f>
        <v>0</v>
      </c>
    </row>
    <row r="3238" customFormat="1" spans="1:20">
      <c r="A3238">
        <v>90115</v>
      </c>
      <c r="B3238">
        <v>1</v>
      </c>
      <c r="C3238" t="s">
        <v>453</v>
      </c>
      <c r="D3238" t="s">
        <v>170</v>
      </c>
      <c r="E3238" t="s">
        <v>378</v>
      </c>
      <c r="H3238">
        <v>1000</v>
      </c>
      <c r="J3238">
        <v>1</v>
      </c>
      <c r="K3238" t="str" cm="1">
        <f t="array" ref="K3238">IFERROR(_xlfn.SWITCH(L3238,2,_xlfn.XLOOKUP(C3238,[1]ModifierDes!$B:$B,[1]ModifierDes!$C:$C),3,_xlfn.XLOOKUP(C3238,[1]StuntDes!$B:$B,[1]StuntDes!$C:$C)),"")</f>
        <v/>
      </c>
      <c r="L3238">
        <f t="shared" si="130"/>
        <v>1</v>
      </c>
      <c r="M3238" s="10" t="str">
        <f>IFERROR(_xlfn.XLOOKUP(C3238,[1]StuntDes!$B:$B,[1]StuntDes!$A:$A),"")</f>
        <v/>
      </c>
      <c r="N3238" s="10" t="str">
        <f>IFERROR(_xlfn.XLOOKUP(C3238,[1]ModifierDes!$B:$B,[1]ModifierDes!$A:$A),"")</f>
        <v/>
      </c>
      <c r="O3238" s="10">
        <f>IFERROR(_xlfn.XLOOKUP(C3238,[1]AttributeName!$C:$C,[1]AttributeName!$B:$B),"")</f>
        <v>10007</v>
      </c>
      <c r="P3238" s="10"/>
      <c r="Q3238">
        <v>0.15</v>
      </c>
      <c r="R3238">
        <v>0.2</v>
      </c>
      <c r="S3238" cm="1">
        <f t="array" ref="S3238">IFERROR(_xlfn.SWITCH(L3238,1,_xlfn.XLOOKUP(O3238,[1]AttributeName!$B:$B,[1]AttributeName!$D:$D),2,_xlfn.XLOOKUP(C3238,#REF!,#REF!),3,_xlfn.XLOOKUP(C3238,#REF!,#REF!)),0)</f>
        <v>2</v>
      </c>
      <c r="T3238" cm="1">
        <f t="array" ref="T3238">IFERROR(_xlfn.SWITCH(L3238,1,_xlfn.XLOOKUP(O3238,[1]AttributeName!$B:$B,[1]AttributeName!$E:$E),2,_xlfn.XLOOKUP(C3238,#REF!,#REF!),3,_xlfn.XLOOKUP(C3238,#REF!,#REF!)),0)</f>
        <v>2</v>
      </c>
    </row>
    <row r="3239" customFormat="1" spans="1:20">
      <c r="A3239">
        <v>90116</v>
      </c>
      <c r="B3239">
        <v>1</v>
      </c>
      <c r="C3239" t="s">
        <v>445</v>
      </c>
      <c r="D3239" t="s">
        <v>170</v>
      </c>
      <c r="E3239" t="s">
        <v>378</v>
      </c>
      <c r="H3239">
        <v>1000</v>
      </c>
      <c r="J3239">
        <v>1</v>
      </c>
      <c r="K3239" t="str" cm="1">
        <f t="array" ref="K3239">IFERROR(_xlfn.SWITCH(L3239,2,_xlfn.XLOOKUP(C3239,[1]ModifierDes!$B:$B,[1]ModifierDes!$C:$C),3,_xlfn.XLOOKUP(C3239,[1]StuntDes!$B:$B,[1]StuntDes!$C:$C)),"")</f>
        <v/>
      </c>
      <c r="L3239">
        <f t="shared" si="130"/>
        <v>1</v>
      </c>
      <c r="M3239" s="10" t="str">
        <f>IFERROR(_xlfn.XLOOKUP(C3239,[1]StuntDes!$B:$B,[1]StuntDes!$A:$A),"")</f>
        <v/>
      </c>
      <c r="N3239" s="10" t="str">
        <f>IFERROR(_xlfn.XLOOKUP(C3239,[1]ModifierDes!$B:$B,[1]ModifierDes!$A:$A),"")</f>
        <v/>
      </c>
      <c r="O3239" s="10"/>
      <c r="P3239" s="10"/>
      <c r="Q3239">
        <v>0.1</v>
      </c>
      <c r="R3239">
        <v>0.2</v>
      </c>
      <c r="S3239" cm="1">
        <f t="array" ref="S3239">IFERROR(_xlfn.SWITCH(L3239,1,_xlfn.XLOOKUP(O3239,[1]AttributeName!$B:$B,[1]AttributeName!$D:$D),2,_xlfn.XLOOKUP(C3239,#REF!,#REF!),3,_xlfn.XLOOKUP(C3239,#REF!,#REF!)),0)</f>
        <v>0</v>
      </c>
      <c r="T3239" cm="1">
        <f t="array" ref="T3239">IFERROR(_xlfn.SWITCH(L3239,1,_xlfn.XLOOKUP(O3239,[1]AttributeName!$B:$B,[1]AttributeName!$E:$E),2,_xlfn.XLOOKUP(C3239,#REF!,#REF!),3,_xlfn.XLOOKUP(C3239,#REF!,#REF!)),0)</f>
        <v>0</v>
      </c>
    </row>
    <row r="3240" customFormat="1" spans="1:20">
      <c r="A3240">
        <v>90117</v>
      </c>
      <c r="B3240">
        <v>1</v>
      </c>
      <c r="C3240" t="s">
        <v>449</v>
      </c>
      <c r="D3240" t="s">
        <v>170</v>
      </c>
      <c r="E3240" t="s">
        <v>378</v>
      </c>
      <c r="H3240">
        <v>1000</v>
      </c>
      <c r="J3240">
        <v>1</v>
      </c>
      <c r="K3240" t="str" cm="1">
        <f t="array" ref="K3240">IFERROR(_xlfn.SWITCH(L3240,2,_xlfn.XLOOKUP(C3240,[1]ModifierDes!$B:$B,[1]ModifierDes!$C:$C),3,_xlfn.XLOOKUP(C3240,[1]StuntDes!$B:$B,[1]StuntDes!$C:$C)),"")</f>
        <v/>
      </c>
      <c r="L3240">
        <f t="shared" si="130"/>
        <v>1</v>
      </c>
      <c r="M3240" s="10" t="str">
        <f>IFERROR(_xlfn.XLOOKUP(C3240,[1]StuntDes!$B:$B,[1]StuntDes!$A:$A),"")</f>
        <v/>
      </c>
      <c r="N3240" s="10" t="str">
        <f>IFERROR(_xlfn.XLOOKUP(C3240,[1]ModifierDes!$B:$B,[1]ModifierDes!$A:$A),"")</f>
        <v/>
      </c>
      <c r="O3240" s="10" t="str">
        <f>IFERROR(_xlfn.XLOOKUP(C3240,[1]AttributeName!$C:$C,[1]AttributeName!$B:$B),"")</f>
        <v/>
      </c>
      <c r="P3240" s="10"/>
      <c r="Q3240">
        <v>0</v>
      </c>
      <c r="R3240">
        <v>0</v>
      </c>
      <c r="S3240" cm="1">
        <f t="array" ref="S3240">IFERROR(_xlfn.SWITCH(L3240,1,_xlfn.XLOOKUP(O3240,[1]AttributeName!$B:$B,[1]AttributeName!$D:$D),2,_xlfn.XLOOKUP(C3240,#REF!,#REF!),3,_xlfn.XLOOKUP(C3240,#REF!,#REF!)),0)</f>
        <v>0</v>
      </c>
      <c r="T3240" cm="1">
        <f t="array" ref="T3240">IFERROR(_xlfn.SWITCH(L3240,1,_xlfn.XLOOKUP(O3240,[1]AttributeName!$B:$B,[1]AttributeName!$E:$E),2,_xlfn.XLOOKUP(C3240,#REF!,#REF!),3,_xlfn.XLOOKUP(C3240,#REF!,#REF!)),0)</f>
        <v>0</v>
      </c>
    </row>
    <row r="3241" customFormat="1" spans="1:20">
      <c r="A3241">
        <v>90118</v>
      </c>
      <c r="B3241">
        <v>1</v>
      </c>
      <c r="C3241" t="s">
        <v>481</v>
      </c>
      <c r="D3241" t="s">
        <v>170</v>
      </c>
      <c r="E3241" t="s">
        <v>392</v>
      </c>
      <c r="H3241">
        <v>1000</v>
      </c>
      <c r="J3241">
        <v>1</v>
      </c>
      <c r="K3241" t="str" cm="1">
        <f t="array" ref="K3241">IFERROR(_xlfn.SWITCH(L3241,2,_xlfn.XLOOKUP(C3241,[1]ModifierDes!$B:$B,[1]ModifierDes!$C:$C),3,_xlfn.XLOOKUP(C3241,[1]StuntDes!$B:$B,[1]StuntDes!$C:$C)),"")</f>
        <v/>
      </c>
      <c r="L3241">
        <f t="shared" si="130"/>
        <v>1</v>
      </c>
      <c r="M3241" s="10" t="str">
        <f>IFERROR(_xlfn.XLOOKUP(C3241,[1]StuntDes!$B:$B,[1]StuntDes!$A:$A),"")</f>
        <v/>
      </c>
      <c r="N3241" s="10" t="str">
        <f>IFERROR(_xlfn.XLOOKUP(C3241,[1]ModifierDes!$B:$B,[1]ModifierDes!$A:$A),"")</f>
        <v/>
      </c>
      <c r="O3241" s="10" t="str">
        <f>IFERROR(_xlfn.XLOOKUP(C3241,[1]AttributeName!$C:$C,[1]AttributeName!$B:$B),"")</f>
        <v/>
      </c>
      <c r="P3241" s="10"/>
      <c r="Q3241">
        <v>0.2</v>
      </c>
      <c r="R3241">
        <v>0.4</v>
      </c>
      <c r="S3241" cm="1">
        <f t="array" ref="S3241">IFERROR(_xlfn.SWITCH(L3241,1,_xlfn.XLOOKUP(O3241,[1]AttributeName!$B:$B,[1]AttributeName!$D:$D),2,_xlfn.XLOOKUP(C3241,#REF!,#REF!),3,_xlfn.XLOOKUP(C3241,#REF!,#REF!)),0)</f>
        <v>0</v>
      </c>
      <c r="T3241" cm="1">
        <f t="array" ref="T3241">IFERROR(_xlfn.SWITCH(L3241,1,_xlfn.XLOOKUP(O3241,[1]AttributeName!$B:$B,[1]AttributeName!$E:$E),2,_xlfn.XLOOKUP(C3241,#REF!,#REF!),3,_xlfn.XLOOKUP(C3241,#REF!,#REF!)),0)</f>
        <v>0</v>
      </c>
    </row>
    <row r="3242" customFormat="1" spans="1:20">
      <c r="A3242">
        <v>90119</v>
      </c>
      <c r="B3242">
        <v>1</v>
      </c>
      <c r="C3242" t="s">
        <v>482</v>
      </c>
      <c r="D3242" t="s">
        <v>170</v>
      </c>
      <c r="E3242" t="s">
        <v>392</v>
      </c>
      <c r="H3242">
        <v>1000</v>
      </c>
      <c r="J3242">
        <v>1</v>
      </c>
      <c r="K3242" t="str" cm="1">
        <f t="array" ref="K3242">IFERROR(_xlfn.SWITCH(L3242,2,_xlfn.XLOOKUP(C3242,[1]ModifierDes!$B:$B,[1]ModifierDes!$C:$C),3,_xlfn.XLOOKUP(C3242,[1]StuntDes!$B:$B,[1]StuntDes!$C:$C)),"")</f>
        <v>每移动20米可以获得1层毁灭注能</v>
      </c>
      <c r="L3242">
        <f t="shared" si="130"/>
        <v>3</v>
      </c>
      <c r="M3242" s="10">
        <f>IFERROR(_xlfn.XLOOKUP(C3242,[1]StuntDes!$B:$B,[1]StuntDes!$A:$A),"")</f>
        <v>2340000050</v>
      </c>
      <c r="N3242" s="10" t="str">
        <f>IFERROR(_xlfn.XLOOKUP(C3242,[1]ModifierDes!$B:$B,[1]ModifierDes!$A:$A),"")</f>
        <v/>
      </c>
      <c r="O3242" s="10" t="str">
        <f>IFERROR(_xlfn.XLOOKUP(C3242,[1]AttributeName!$C:$C,[1]AttributeName!$B:$B),"")</f>
        <v/>
      </c>
      <c r="P3242" s="10"/>
      <c r="Q3242">
        <v>1</v>
      </c>
      <c r="R3242">
        <v>1</v>
      </c>
      <c r="S3242" cm="1">
        <f t="array" ref="S3242">IFERROR(_xlfn.SWITCH(L3242,1,_xlfn.XLOOKUP(O3242,[1]AttributeName!$B:$B,[1]AttributeName!$D:$D),2,_xlfn.XLOOKUP(C3242,#REF!,#REF!),3,_xlfn.XLOOKUP(C3242,#REF!,#REF!)),0)</f>
        <v>0</v>
      </c>
      <c r="T3242" cm="1">
        <f t="array" ref="T3242">IFERROR(_xlfn.SWITCH(L3242,1,_xlfn.XLOOKUP(O3242,[1]AttributeName!$B:$B,[1]AttributeName!$E:$E),2,_xlfn.XLOOKUP(C3242,#REF!,#REF!),3,_xlfn.XLOOKUP(C3242,#REF!,#REF!)),0)</f>
        <v>0</v>
      </c>
    </row>
    <row r="3243" customFormat="1" spans="1:20">
      <c r="A3243">
        <v>90120</v>
      </c>
      <c r="B3243">
        <v>1</v>
      </c>
      <c r="C3243" t="s">
        <v>449</v>
      </c>
      <c r="D3243" t="s">
        <v>170</v>
      </c>
      <c r="E3243" t="s">
        <v>392</v>
      </c>
      <c r="H3243">
        <v>1000</v>
      </c>
      <c r="J3243">
        <v>1</v>
      </c>
      <c r="K3243" t="str" cm="1">
        <f t="array" ref="K3243">IFERROR(_xlfn.SWITCH(L3243,2,_xlfn.XLOOKUP(C3243,[1]ModifierDes!$B:$B,[1]ModifierDes!$C:$C),3,_xlfn.XLOOKUP(C3243,[1]StuntDes!$B:$B,[1]StuntDes!$C:$C)),"")</f>
        <v/>
      </c>
      <c r="L3243">
        <f t="shared" si="130"/>
        <v>1</v>
      </c>
      <c r="M3243" s="10" t="str">
        <f>IFERROR(_xlfn.XLOOKUP(C3243,[1]StuntDes!$B:$B,[1]StuntDes!$A:$A),"")</f>
        <v/>
      </c>
      <c r="N3243" s="10" t="str">
        <f>IFERROR(_xlfn.XLOOKUP(C3243,[1]ModifierDes!$B:$B,[1]ModifierDes!$A:$A),"")</f>
        <v/>
      </c>
      <c r="O3243" s="10" t="str">
        <f>IFERROR(_xlfn.XLOOKUP(C3243,[1]AttributeName!$C:$C,[1]AttributeName!$B:$B),"")</f>
        <v/>
      </c>
      <c r="P3243" s="10"/>
      <c r="Q3243">
        <v>0</v>
      </c>
      <c r="R3243">
        <v>0</v>
      </c>
      <c r="S3243" cm="1">
        <f t="array" ref="S3243">IFERROR(_xlfn.SWITCH(L3243,1,_xlfn.XLOOKUP(O3243,[1]AttributeName!$B:$B,[1]AttributeName!$D:$D),2,_xlfn.XLOOKUP(C3243,#REF!,#REF!),3,_xlfn.XLOOKUP(C3243,#REF!,#REF!)),0)</f>
        <v>0</v>
      </c>
      <c r="T3243" cm="1">
        <f t="array" ref="T3243">IFERROR(_xlfn.SWITCH(L3243,1,_xlfn.XLOOKUP(O3243,[1]AttributeName!$B:$B,[1]AttributeName!$E:$E),2,_xlfn.XLOOKUP(C3243,#REF!,#REF!),3,_xlfn.XLOOKUP(C3243,#REF!,#REF!)),0)</f>
        <v>0</v>
      </c>
    </row>
    <row r="3244" customFormat="1" spans="1:20">
      <c r="A3244">
        <v>90121</v>
      </c>
      <c r="B3244">
        <v>1</v>
      </c>
      <c r="C3244" t="s">
        <v>404</v>
      </c>
      <c r="D3244" t="s">
        <v>209</v>
      </c>
      <c r="E3244" t="s">
        <v>378</v>
      </c>
      <c r="H3244">
        <v>1000</v>
      </c>
      <c r="J3244">
        <v>1</v>
      </c>
      <c r="K3244" t="str" cm="1">
        <f t="array" ref="K3244">IFERROR(_xlfn.SWITCH(L3244,2,_xlfn.XLOOKUP(C3244,[1]ModifierDes!$B:$B,[1]ModifierDes!$C:$C),3,_xlfn.XLOOKUP(C3244,[1]StuntDes!$B:$B,[1]StuntDes!$C:$C)),"")</f>
        <v/>
      </c>
      <c r="L3244">
        <f t="shared" si="130"/>
        <v>1</v>
      </c>
      <c r="M3244" s="10" t="str">
        <f>IFERROR(_xlfn.XLOOKUP(C3244,[1]StuntDes!$B:$B,[1]StuntDes!$A:$A),"")</f>
        <v/>
      </c>
      <c r="N3244" s="10" t="str">
        <f>IFERROR(_xlfn.XLOOKUP(C3244,[1]ModifierDes!$B:$B,[1]ModifierDes!$A:$A),"")</f>
        <v/>
      </c>
      <c r="O3244" s="10">
        <f>IFERROR(_xlfn.XLOOKUP(C3244,[1]AttributeName!$C:$C,[1]AttributeName!$B:$B),"")</f>
        <v>10503</v>
      </c>
      <c r="P3244" s="10"/>
      <c r="Q3244">
        <v>0.3</v>
      </c>
      <c r="R3244">
        <v>0.35</v>
      </c>
      <c r="S3244" cm="1">
        <f t="array" ref="S3244">IFERROR(_xlfn.SWITCH(L3244,1,_xlfn.XLOOKUP(O3244,[1]AttributeName!$B:$B,[1]AttributeName!$D:$D),2,_xlfn.XLOOKUP(C3244,#REF!,#REF!),3,_xlfn.XLOOKUP(C3244,#REF!,#REF!)),0)</f>
        <v>2</v>
      </c>
      <c r="T3244" cm="1">
        <f t="array" ref="T3244">IFERROR(_xlfn.SWITCH(L3244,1,_xlfn.XLOOKUP(O3244,[1]AttributeName!$B:$B,[1]AttributeName!$E:$E),2,_xlfn.XLOOKUP(C3244,#REF!,#REF!),3,_xlfn.XLOOKUP(C3244,#REF!,#REF!)),0)</f>
        <v>2</v>
      </c>
    </row>
    <row r="3245" customFormat="1" spans="1:20">
      <c r="A3245">
        <v>90122</v>
      </c>
      <c r="B3245">
        <v>1</v>
      </c>
      <c r="C3245" t="s">
        <v>387</v>
      </c>
      <c r="D3245" t="s">
        <v>209</v>
      </c>
      <c r="E3245" t="s">
        <v>378</v>
      </c>
      <c r="H3245">
        <v>1000</v>
      </c>
      <c r="J3245">
        <v>1</v>
      </c>
      <c r="K3245" t="str" cm="1">
        <f t="array" ref="K3245">IFERROR(_xlfn.SWITCH(L3245,2,_xlfn.XLOOKUP(C3245,[1]ModifierDes!$B:$B,[1]ModifierDes!$C:$C),3,_xlfn.XLOOKUP(C3245,[1]StuntDes!$B:$B,[1]StuntDes!$C:$C)),"")</f>
        <v/>
      </c>
      <c r="L3245">
        <f t="shared" si="130"/>
        <v>1</v>
      </c>
      <c r="M3245" s="10" t="str">
        <f>IFERROR(_xlfn.XLOOKUP(C3245,[1]StuntDes!$B:$B,[1]StuntDes!$A:$A),"")</f>
        <v/>
      </c>
      <c r="N3245" s="10" t="str">
        <f>IFERROR(_xlfn.XLOOKUP(C3245,[1]ModifierDes!$B:$B,[1]ModifierDes!$A:$A),"")</f>
        <v/>
      </c>
      <c r="O3245" s="10">
        <f>IFERROR(_xlfn.XLOOKUP(C3245,[1]AttributeName!$C:$C,[1]AttributeName!$B:$B),"")</f>
        <v>10306</v>
      </c>
      <c r="P3245" s="10"/>
      <c r="Q3245">
        <v>0.4</v>
      </c>
      <c r="R3245">
        <v>0.6</v>
      </c>
      <c r="S3245" cm="1">
        <f t="array" ref="S3245">IFERROR(_xlfn.SWITCH(L3245,1,_xlfn.XLOOKUP(O3245,[1]AttributeName!$B:$B,[1]AttributeName!$D:$D),2,_xlfn.XLOOKUP(C3245,#REF!,#REF!),3,_xlfn.XLOOKUP(C3245,#REF!,#REF!)),0)</f>
        <v>2</v>
      </c>
      <c r="T3245" cm="1">
        <f t="array" ref="T3245">IFERROR(_xlfn.SWITCH(L3245,1,_xlfn.XLOOKUP(O3245,[1]AttributeName!$B:$B,[1]AttributeName!$E:$E),2,_xlfn.XLOOKUP(C3245,#REF!,#REF!),3,_xlfn.XLOOKUP(C3245,#REF!,#REF!)),0)</f>
        <v>2</v>
      </c>
    </row>
    <row r="3246" customFormat="1" spans="1:20">
      <c r="A3246">
        <v>90123</v>
      </c>
      <c r="B3246">
        <v>1</v>
      </c>
      <c r="C3246" t="s">
        <v>449</v>
      </c>
      <c r="D3246" t="s">
        <v>209</v>
      </c>
      <c r="E3246" t="s">
        <v>378</v>
      </c>
      <c r="H3246">
        <v>1000</v>
      </c>
      <c r="J3246">
        <v>1</v>
      </c>
      <c r="K3246" t="str" cm="1">
        <f t="array" ref="K3246">IFERROR(_xlfn.SWITCH(L3246,2,_xlfn.XLOOKUP(C3246,[1]ModifierDes!$B:$B,[1]ModifierDes!$C:$C),3,_xlfn.XLOOKUP(C3246,[1]StuntDes!$B:$B,[1]StuntDes!$C:$C)),"")</f>
        <v/>
      </c>
      <c r="L3246">
        <f t="shared" si="130"/>
        <v>1</v>
      </c>
      <c r="M3246" s="10" t="str">
        <f>IFERROR(_xlfn.XLOOKUP(C3246,[1]StuntDes!$B:$B,[1]StuntDes!$A:$A),"")</f>
        <v/>
      </c>
      <c r="N3246" s="10" t="str">
        <f>IFERROR(_xlfn.XLOOKUP(C3246,[1]ModifierDes!$B:$B,[1]ModifierDes!$A:$A),"")</f>
        <v/>
      </c>
      <c r="O3246" s="10" t="str">
        <f>IFERROR(_xlfn.XLOOKUP(C3246,[1]AttributeName!$C:$C,[1]AttributeName!$B:$B),"")</f>
        <v/>
      </c>
      <c r="P3246" s="10"/>
      <c r="Q3246">
        <v>0</v>
      </c>
      <c r="R3246">
        <v>0</v>
      </c>
      <c r="S3246" cm="1">
        <f t="array" ref="S3246">IFERROR(_xlfn.SWITCH(L3246,1,_xlfn.XLOOKUP(O3246,[1]AttributeName!$B:$B,[1]AttributeName!$D:$D),2,_xlfn.XLOOKUP(C3246,#REF!,#REF!),3,_xlfn.XLOOKUP(C3246,#REF!,#REF!)),0)</f>
        <v>0</v>
      </c>
      <c r="T3246" cm="1">
        <f t="array" ref="T3246">IFERROR(_xlfn.SWITCH(L3246,1,_xlfn.XLOOKUP(O3246,[1]AttributeName!$B:$B,[1]AttributeName!$E:$E),2,_xlfn.XLOOKUP(C3246,#REF!,#REF!),3,_xlfn.XLOOKUP(C3246,#REF!,#REF!)),0)</f>
        <v>0</v>
      </c>
    </row>
    <row r="3247" customFormat="1" spans="1:20">
      <c r="A3247">
        <v>90124</v>
      </c>
      <c r="B3247">
        <v>1</v>
      </c>
      <c r="C3247" t="s">
        <v>425</v>
      </c>
      <c r="D3247" t="s">
        <v>209</v>
      </c>
      <c r="E3247" t="s">
        <v>392</v>
      </c>
      <c r="H3247">
        <v>1000</v>
      </c>
      <c r="J3247">
        <v>1</v>
      </c>
      <c r="K3247" t="str" cm="1">
        <f t="array" ref="K3247">IFERROR(_xlfn.SWITCH(L3247,2,_xlfn.XLOOKUP(C3247,[1]ModifierDes!$B:$B,[1]ModifierDes!$C:$C),3,_xlfn.XLOOKUP(C3247,[1]StuntDes!$B:$B,[1]StuntDes!$C:$C)),"")</f>
        <v/>
      </c>
      <c r="L3247">
        <f t="shared" si="130"/>
        <v>1</v>
      </c>
      <c r="M3247" s="10" t="str">
        <f>IFERROR(_xlfn.XLOOKUP(C3247,[1]StuntDes!$B:$B,[1]StuntDes!$A:$A),"")</f>
        <v/>
      </c>
      <c r="N3247" s="10" t="str">
        <f>IFERROR(_xlfn.XLOOKUP(C3247,[1]ModifierDes!$B:$B,[1]ModifierDes!$A:$A),"")</f>
        <v/>
      </c>
      <c r="O3247" s="10">
        <f>IFERROR(_xlfn.XLOOKUP(C3247,[1]AttributeName!$C:$C,[1]AttributeName!$B:$B),"")</f>
        <v>10314</v>
      </c>
      <c r="P3247" s="10"/>
      <c r="Q3247">
        <v>0.3</v>
      </c>
      <c r="R3247">
        <v>0.5</v>
      </c>
      <c r="S3247" cm="1">
        <f t="array" ref="S3247">IFERROR(_xlfn.SWITCH(L3247,1,_xlfn.XLOOKUP(O3247,[1]AttributeName!$B:$B,[1]AttributeName!$D:$D),2,_xlfn.XLOOKUP(C3247,#REF!,#REF!),3,_xlfn.XLOOKUP(C3247,#REF!,#REF!)),0)</f>
        <v>2</v>
      </c>
      <c r="T3247" cm="1">
        <f t="array" ref="T3247">IFERROR(_xlfn.SWITCH(L3247,1,_xlfn.XLOOKUP(O3247,[1]AttributeName!$B:$B,[1]AttributeName!$E:$E),2,_xlfn.XLOOKUP(C3247,#REF!,#REF!),3,_xlfn.XLOOKUP(C3247,#REF!,#REF!)),0)</f>
        <v>2</v>
      </c>
    </row>
    <row r="3248" customFormat="1" spans="1:20">
      <c r="A3248">
        <v>90125</v>
      </c>
      <c r="B3248">
        <v>1</v>
      </c>
      <c r="C3248" t="s">
        <v>483</v>
      </c>
      <c r="D3248" t="s">
        <v>209</v>
      </c>
      <c r="E3248" t="s">
        <v>392</v>
      </c>
      <c r="H3248">
        <v>1000</v>
      </c>
      <c r="J3248">
        <v>1</v>
      </c>
      <c r="K3248" t="str" cm="1">
        <f t="array" ref="K3248">IFERROR(_xlfn.SWITCH(L3248,2,_xlfn.XLOOKUP(C3248,[1]ModifierDes!$B:$B,[1]ModifierDes!$C:$C),3,_xlfn.XLOOKUP(C3248,[1]StuntDes!$B:$B,[1]StuntDes!$C:$C)),"")</f>
        <v>旋风技能视为被闪电浸染{0}</v>
      </c>
      <c r="L3248">
        <f t="shared" si="130"/>
        <v>2</v>
      </c>
      <c r="M3248" s="10" t="str">
        <f>IFERROR(_xlfn.XLOOKUP(C3248,[1]StuntDes!$B:$B,[1]StuntDes!$A:$A),"")</f>
        <v/>
      </c>
      <c r="N3248" s="10">
        <f>IFERROR(_xlfn.XLOOKUP(C3248,[1]ModifierDes!$B:$B,[1]ModifierDes!$A:$A),"")</f>
        <v>10148</v>
      </c>
      <c r="O3248" s="10" t="str">
        <f>IFERROR(_xlfn.XLOOKUP(C3248,[1]AttributeName!$C:$C,[1]AttributeName!$B:$B),"")</f>
        <v/>
      </c>
      <c r="P3248" s="10"/>
      <c r="Q3248">
        <v>1</v>
      </c>
      <c r="R3248">
        <v>1</v>
      </c>
      <c r="S3248" cm="1">
        <f t="array" ref="S3248">IFERROR(_xlfn.SWITCH(L3248,1,_xlfn.XLOOKUP(O3248,[1]AttributeName!$B:$B,[1]AttributeName!$D:$D),2,_xlfn.XLOOKUP(C3248,#REF!,#REF!),3,_xlfn.XLOOKUP(C3248,#REF!,#REF!)),0)</f>
        <v>0</v>
      </c>
      <c r="T3248" cm="1">
        <f t="array" ref="T3248">IFERROR(_xlfn.SWITCH(L3248,1,_xlfn.XLOOKUP(O3248,[1]AttributeName!$B:$B,[1]AttributeName!$E:$E),2,_xlfn.XLOOKUP(C3248,#REF!,#REF!),3,_xlfn.XLOOKUP(C3248,#REF!,#REF!)),0)</f>
        <v>0</v>
      </c>
    </row>
    <row r="3249" customFormat="1" spans="1:20">
      <c r="A3249">
        <v>90126</v>
      </c>
      <c r="B3249">
        <v>1</v>
      </c>
      <c r="C3249" t="s">
        <v>73</v>
      </c>
      <c r="D3249" t="s">
        <v>209</v>
      </c>
      <c r="E3249" t="s">
        <v>392</v>
      </c>
      <c r="H3249">
        <v>1000</v>
      </c>
      <c r="J3249">
        <v>1</v>
      </c>
      <c r="K3249" t="str" cm="1">
        <f t="array" ref="K3249">IFERROR(_xlfn.SWITCH(L3249,2,_xlfn.XLOOKUP(C3249,[1]ModifierDes!$B:$B,[1]ModifierDes!$C:$C),3,_xlfn.XLOOKUP(C3249,[1]StuntDes!$B:$B,[1]StuntDes!$C:$C)),"")</f>
        <v/>
      </c>
      <c r="L3249">
        <f t="shared" si="130"/>
        <v>1</v>
      </c>
      <c r="M3249" s="10" t="str">
        <f>IFERROR(_xlfn.XLOOKUP(C3249,[1]StuntDes!$B:$B,[1]StuntDes!$A:$A),"")</f>
        <v/>
      </c>
      <c r="N3249" s="10" t="str">
        <f>IFERROR(_xlfn.XLOOKUP(C3249,[1]ModifierDes!$B:$B,[1]ModifierDes!$A:$A),"")</f>
        <v/>
      </c>
      <c r="O3249" s="10">
        <f>IFERROR(_xlfn.XLOOKUP(C3249,[1]AttributeName!$C:$C,[1]AttributeName!$B:$B),"")</f>
        <v>10311</v>
      </c>
      <c r="P3249" s="10"/>
      <c r="Q3249">
        <v>0.3</v>
      </c>
      <c r="R3249">
        <v>0.5</v>
      </c>
      <c r="S3249" cm="1">
        <f t="array" ref="S3249">IFERROR(_xlfn.SWITCH(L3249,1,_xlfn.XLOOKUP(O3249,[1]AttributeName!$B:$B,[1]AttributeName!$D:$D),2,_xlfn.XLOOKUP(C3249,#REF!,#REF!),3,_xlfn.XLOOKUP(C3249,#REF!,#REF!)),0)</f>
        <v>2</v>
      </c>
      <c r="T3249" cm="1">
        <f t="array" ref="T3249">IFERROR(_xlfn.SWITCH(L3249,1,_xlfn.XLOOKUP(O3249,[1]AttributeName!$B:$B,[1]AttributeName!$E:$E),2,_xlfn.XLOOKUP(C3249,#REF!,#REF!),3,_xlfn.XLOOKUP(C3249,#REF!,#REF!)),0)</f>
        <v>2</v>
      </c>
    </row>
    <row r="3250" customFormat="1" spans="1:20">
      <c r="A3250">
        <v>90127</v>
      </c>
      <c r="B3250">
        <v>1</v>
      </c>
      <c r="C3250" t="s">
        <v>444</v>
      </c>
      <c r="D3250" t="s">
        <v>217</v>
      </c>
      <c r="E3250" t="s">
        <v>378</v>
      </c>
      <c r="H3250">
        <v>1000</v>
      </c>
      <c r="J3250">
        <v>1</v>
      </c>
      <c r="K3250" t="str" cm="1">
        <f t="array" ref="K3250">IFERROR(_xlfn.SWITCH(L3250,2,_xlfn.XLOOKUP(C3250,[1]ModifierDes!$B:$B,[1]ModifierDes!$C:$C),3,_xlfn.XLOOKUP(C3250,[1]StuntDes!$B:$B,[1]StuntDes!$C:$C)),"")</f>
        <v>施法速度提高{0}</v>
      </c>
      <c r="L3250">
        <f t="shared" si="130"/>
        <v>2</v>
      </c>
      <c r="M3250" s="10" t="str">
        <f>IFERROR(_xlfn.XLOOKUP(C3250,[1]StuntDes!$B:$B,[1]StuntDes!$A:$A),"")</f>
        <v/>
      </c>
      <c r="N3250" s="10">
        <f>IFERROR(_xlfn.XLOOKUP(C3250,[1]ModifierDes!$B:$B,[1]ModifierDes!$A:$A),"")</f>
        <v>10050</v>
      </c>
      <c r="O3250" s="10" t="str">
        <f>IFERROR(_xlfn.XLOOKUP(C3250,[1]AttributeName!$C:$C,[1]AttributeName!$B:$B),"")</f>
        <v/>
      </c>
      <c r="P3250" s="10"/>
      <c r="Q3250">
        <v>0.1</v>
      </c>
      <c r="R3250">
        <v>0.15</v>
      </c>
      <c r="S3250" cm="1">
        <f t="array" ref="S3250">IFERROR(_xlfn.SWITCH(L3250,1,_xlfn.XLOOKUP(O3250,[1]AttributeName!$B:$B,[1]AttributeName!$D:$D),2,_xlfn.XLOOKUP(C3250,#REF!,#REF!),3,_xlfn.XLOOKUP(C3250,#REF!,#REF!)),0)</f>
        <v>0</v>
      </c>
      <c r="T3250" cm="1">
        <f t="array" ref="T3250">IFERROR(_xlfn.SWITCH(L3250,1,_xlfn.XLOOKUP(O3250,[1]AttributeName!$B:$B,[1]AttributeName!$E:$E),2,_xlfn.XLOOKUP(C3250,#REF!,#REF!),3,_xlfn.XLOOKUP(C3250,#REF!,#REF!)),0)</f>
        <v>0</v>
      </c>
    </row>
    <row r="3251" customFormat="1" spans="1:20">
      <c r="A3251">
        <v>90128</v>
      </c>
      <c r="B3251">
        <v>1</v>
      </c>
      <c r="C3251" t="s">
        <v>484</v>
      </c>
      <c r="D3251" t="s">
        <v>217</v>
      </c>
      <c r="E3251" t="s">
        <v>378</v>
      </c>
      <c r="H3251">
        <v>1000</v>
      </c>
      <c r="J3251">
        <v>1</v>
      </c>
      <c r="K3251" t="str" cm="1">
        <f t="array" ref="K3251">IFERROR(_xlfn.SWITCH(L3251,2,_xlfn.XLOOKUP(C3251,[1]ModifierDes!$B:$B,[1]ModifierDes!$C:$C),3,_xlfn.XLOOKUP(C3251,[1]StuntDes!$B:$B,[1]StuntDes!$C:$C)),"")</f>
        <v>范围伤害提高{0}</v>
      </c>
      <c r="L3251">
        <f t="shared" si="130"/>
        <v>2</v>
      </c>
      <c r="M3251" s="10" t="str">
        <f>IFERROR(_xlfn.XLOOKUP(C3251,[1]StuntDes!$B:$B,[1]StuntDes!$A:$A),"")</f>
        <v/>
      </c>
      <c r="N3251" s="10">
        <f>IFERROR(_xlfn.XLOOKUP(C3251,[1]ModifierDes!$B:$B,[1]ModifierDes!$A:$A),"")</f>
        <v>10062</v>
      </c>
      <c r="O3251" s="10" t="str">
        <f>IFERROR(_xlfn.XLOOKUP(C3251,[1]AttributeName!$C:$C,[1]AttributeName!$B:$B),"")</f>
        <v/>
      </c>
      <c r="P3251" s="10"/>
      <c r="Q3251">
        <v>0.3</v>
      </c>
      <c r="R3251">
        <v>0.5</v>
      </c>
      <c r="S3251" cm="1">
        <f t="array" ref="S3251">IFERROR(_xlfn.SWITCH(L3251,1,_xlfn.XLOOKUP(O3251,[1]AttributeName!$B:$B,[1]AttributeName!$D:$D),2,_xlfn.XLOOKUP(C3251,#REF!,#REF!),3,_xlfn.XLOOKUP(C3251,#REF!,#REF!)),0)</f>
        <v>0</v>
      </c>
      <c r="T3251" cm="1">
        <f t="array" ref="T3251">IFERROR(_xlfn.SWITCH(L3251,1,_xlfn.XLOOKUP(O3251,[1]AttributeName!$B:$B,[1]AttributeName!$E:$E),2,_xlfn.XLOOKUP(C3251,#REF!,#REF!),3,_xlfn.XLOOKUP(C3251,#REF!,#REF!)),0)</f>
        <v>0</v>
      </c>
    </row>
    <row r="3252" customFormat="1" spans="1:20">
      <c r="A3252">
        <v>90129</v>
      </c>
      <c r="B3252">
        <v>1</v>
      </c>
      <c r="C3252" t="s">
        <v>449</v>
      </c>
      <c r="D3252" t="s">
        <v>217</v>
      </c>
      <c r="E3252" t="s">
        <v>378</v>
      </c>
      <c r="H3252">
        <v>1000</v>
      </c>
      <c r="J3252">
        <v>1</v>
      </c>
      <c r="K3252" t="str" cm="1">
        <f t="array" ref="K3252">IFERROR(_xlfn.SWITCH(L3252,2,_xlfn.XLOOKUP(C3252,[1]ModifierDes!$B:$B,[1]ModifierDes!$C:$C),3,_xlfn.XLOOKUP(C3252,[1]StuntDes!$B:$B,[1]StuntDes!$C:$C)),"")</f>
        <v/>
      </c>
      <c r="L3252">
        <f t="shared" si="130"/>
        <v>1</v>
      </c>
      <c r="M3252" s="10" t="str">
        <f>IFERROR(_xlfn.XLOOKUP(C3252,[1]StuntDes!$B:$B,[1]StuntDes!$A:$A),"")</f>
        <v/>
      </c>
      <c r="N3252" s="10" t="str">
        <f>IFERROR(_xlfn.XLOOKUP(C3252,[1]ModifierDes!$B:$B,[1]ModifierDes!$A:$A),"")</f>
        <v/>
      </c>
      <c r="O3252" s="10" t="str">
        <f>IFERROR(_xlfn.XLOOKUP(C3252,[1]AttributeName!$C:$C,[1]AttributeName!$B:$B),"")</f>
        <v/>
      </c>
      <c r="P3252" s="10"/>
      <c r="Q3252">
        <v>0</v>
      </c>
      <c r="R3252">
        <v>0</v>
      </c>
      <c r="S3252" cm="1">
        <f t="array" ref="S3252">IFERROR(_xlfn.SWITCH(L3252,1,_xlfn.XLOOKUP(O3252,[1]AttributeName!$B:$B,[1]AttributeName!$D:$D),2,_xlfn.XLOOKUP(C3252,#REF!,#REF!),3,_xlfn.XLOOKUP(C3252,#REF!,#REF!)),0)</f>
        <v>0</v>
      </c>
      <c r="T3252" cm="1">
        <f t="array" ref="T3252">IFERROR(_xlfn.SWITCH(L3252,1,_xlfn.XLOOKUP(O3252,[1]AttributeName!$B:$B,[1]AttributeName!$E:$E),2,_xlfn.XLOOKUP(C3252,#REF!,#REF!),3,_xlfn.XLOOKUP(C3252,#REF!,#REF!)),0)</f>
        <v>0</v>
      </c>
    </row>
    <row r="3253" customFormat="1" spans="1:20">
      <c r="A3253">
        <v>90130</v>
      </c>
      <c r="B3253">
        <v>1</v>
      </c>
      <c r="C3253" t="s">
        <v>485</v>
      </c>
      <c r="D3253" t="s">
        <v>217</v>
      </c>
      <c r="E3253" t="s">
        <v>392</v>
      </c>
      <c r="H3253">
        <v>1000</v>
      </c>
      <c r="J3253">
        <v>1</v>
      </c>
      <c r="K3253" t="str" cm="1">
        <f t="array" ref="K3253">IFERROR(_xlfn.SWITCH(L3253,2,_xlfn.XLOOKUP(C3253,[1]ModifierDes!$B:$B,[1]ModifierDes!$C:$C),3,_xlfn.XLOOKUP(C3253,[1]StuntDes!$B:$B,[1]StuntDes!$C:$C)),"")</f>
        <v>毁灭注能层数增加{0}</v>
      </c>
      <c r="L3253">
        <f t="shared" si="130"/>
        <v>2</v>
      </c>
      <c r="M3253" s="10" t="str">
        <f>IFERROR(_xlfn.XLOOKUP(C3253,[1]StuntDes!$B:$B,[1]StuntDes!$A:$A),"")</f>
        <v/>
      </c>
      <c r="N3253" s="10">
        <f>IFERROR(_xlfn.XLOOKUP(C3253,[1]ModifierDes!$B:$B,[1]ModifierDes!$A:$A),"")</f>
        <v>10149</v>
      </c>
      <c r="O3253" s="10" t="str">
        <f>IFERROR(_xlfn.XLOOKUP(C3253,[1]AttributeName!$C:$C,[1]AttributeName!$B:$B),"")</f>
        <v/>
      </c>
      <c r="P3253" s="10"/>
      <c r="Q3253">
        <v>1</v>
      </c>
      <c r="R3253">
        <v>1</v>
      </c>
      <c r="S3253" cm="1">
        <f t="array" ref="S3253">IFERROR(_xlfn.SWITCH(L3253,1,_xlfn.XLOOKUP(O3253,[1]AttributeName!$B:$B,[1]AttributeName!$D:$D),2,_xlfn.XLOOKUP(C3253,#REF!,#REF!),3,_xlfn.XLOOKUP(C3253,#REF!,#REF!)),0)</f>
        <v>0</v>
      </c>
      <c r="T3253" cm="1">
        <f t="array" ref="T3253">IFERROR(_xlfn.SWITCH(L3253,1,_xlfn.XLOOKUP(O3253,[1]AttributeName!$B:$B,[1]AttributeName!$E:$E),2,_xlfn.XLOOKUP(C3253,#REF!,#REF!),3,_xlfn.XLOOKUP(C3253,#REF!,#REF!)),0)</f>
        <v>0</v>
      </c>
    </row>
    <row r="3254" customFormat="1" spans="1:20">
      <c r="A3254">
        <v>90131</v>
      </c>
      <c r="B3254">
        <v>1</v>
      </c>
      <c r="C3254" t="s">
        <v>433</v>
      </c>
      <c r="D3254" t="s">
        <v>217</v>
      </c>
      <c r="E3254" t="s">
        <v>392</v>
      </c>
      <c r="H3254">
        <v>1000</v>
      </c>
      <c r="J3254">
        <v>1</v>
      </c>
      <c r="K3254" t="str" cm="1">
        <f t="array" ref="K3254">IFERROR(_xlfn.SWITCH(L3254,2,_xlfn.XLOOKUP(C3254,[1]ModifierDes!$B:$B,[1]ModifierDes!$C:$C),3,_xlfn.XLOOKUP(C3254,[1]StuntDes!$B:$B,[1]StuntDes!$C:$C)),"")</f>
        <v/>
      </c>
      <c r="L3254">
        <f t="shared" si="130"/>
        <v>1</v>
      </c>
      <c r="M3254" s="10" t="str">
        <f>IFERROR(_xlfn.XLOOKUP(C3254,[1]StuntDes!$B:$B,[1]StuntDes!$A:$A),"")</f>
        <v/>
      </c>
      <c r="N3254" s="10" t="str">
        <f>IFERROR(_xlfn.XLOOKUP(C3254,[1]ModifierDes!$B:$B,[1]ModifierDes!$A:$A),"")</f>
        <v/>
      </c>
      <c r="O3254" s="10">
        <f>IFERROR(_xlfn.XLOOKUP(C3254,[1]AttributeName!$C:$C,[1]AttributeName!$B:$B),"")</f>
        <v>10402</v>
      </c>
      <c r="P3254" s="10"/>
      <c r="Q3254">
        <v>1</v>
      </c>
      <c r="R3254">
        <v>2</v>
      </c>
      <c r="S3254" cm="1">
        <f t="array" ref="S3254">IFERROR(_xlfn.SWITCH(L3254,1,_xlfn.XLOOKUP(O3254,[1]AttributeName!$B:$B,[1]AttributeName!$D:$D),2,_xlfn.XLOOKUP(C3254,#REF!,#REF!),3,_xlfn.XLOOKUP(C3254,#REF!,#REF!)),0)</f>
        <v>0</v>
      </c>
      <c r="T3254" cm="1">
        <f t="array" ref="T3254">IFERROR(_xlfn.SWITCH(L3254,1,_xlfn.XLOOKUP(O3254,[1]AttributeName!$B:$B,[1]AttributeName!$E:$E),2,_xlfn.XLOOKUP(C3254,#REF!,#REF!),3,_xlfn.XLOOKUP(C3254,#REF!,#REF!)),0)</f>
        <v>1</v>
      </c>
    </row>
    <row r="3255" customFormat="1" spans="1:20">
      <c r="A3255">
        <v>90132</v>
      </c>
      <c r="B3255">
        <v>1</v>
      </c>
      <c r="C3255" t="s">
        <v>449</v>
      </c>
      <c r="D3255" t="s">
        <v>217</v>
      </c>
      <c r="E3255" t="s">
        <v>392</v>
      </c>
      <c r="H3255">
        <v>1000</v>
      </c>
      <c r="J3255">
        <v>1</v>
      </c>
      <c r="K3255" t="str" cm="1">
        <f t="array" ref="K3255">IFERROR(_xlfn.SWITCH(L3255,2,_xlfn.XLOOKUP(C3255,[1]ModifierDes!$B:$B,[1]ModifierDes!$C:$C),3,_xlfn.XLOOKUP(C3255,[1]StuntDes!$B:$B,[1]StuntDes!$C:$C)),"")</f>
        <v/>
      </c>
      <c r="L3255">
        <f t="shared" si="130"/>
        <v>1</v>
      </c>
      <c r="M3255" s="10" t="str">
        <f>IFERROR(_xlfn.XLOOKUP(C3255,[1]StuntDes!$B:$B,[1]StuntDes!$A:$A),"")</f>
        <v/>
      </c>
      <c r="N3255" s="10" t="str">
        <f>IFERROR(_xlfn.XLOOKUP(C3255,[1]ModifierDes!$B:$B,[1]ModifierDes!$A:$A),"")</f>
        <v/>
      </c>
      <c r="O3255" s="10" t="str">
        <f>IFERROR(_xlfn.XLOOKUP(C3255,[1]AttributeName!$C:$C,[1]AttributeName!$B:$B),"")</f>
        <v/>
      </c>
      <c r="P3255" s="10"/>
      <c r="Q3255">
        <v>0</v>
      </c>
      <c r="R3255">
        <v>0</v>
      </c>
      <c r="S3255" cm="1">
        <f t="array" ref="S3255">IFERROR(_xlfn.SWITCH(L3255,1,_xlfn.XLOOKUP(O3255,[1]AttributeName!$B:$B,[1]AttributeName!$D:$D),2,_xlfn.XLOOKUP(C3255,#REF!,#REF!),3,_xlfn.XLOOKUP(C3255,#REF!,#REF!)),0)</f>
        <v>0</v>
      </c>
      <c r="T3255" cm="1">
        <f t="array" ref="T3255">IFERROR(_xlfn.SWITCH(L3255,1,_xlfn.XLOOKUP(O3255,[1]AttributeName!$B:$B,[1]AttributeName!$E:$E),2,_xlfn.XLOOKUP(C3255,#REF!,#REF!),3,_xlfn.XLOOKUP(C3255,#REF!,#REF!)),0)</f>
        <v>0</v>
      </c>
    </row>
    <row r="3256" customFormat="1" spans="1:20">
      <c r="A3256">
        <v>90133</v>
      </c>
      <c r="B3256">
        <v>1</v>
      </c>
      <c r="C3256" t="s">
        <v>403</v>
      </c>
      <c r="D3256" t="s">
        <v>221</v>
      </c>
      <c r="E3256" t="s">
        <v>378</v>
      </c>
      <c r="H3256">
        <v>1000</v>
      </c>
      <c r="J3256">
        <v>1</v>
      </c>
      <c r="K3256" t="str" cm="1">
        <f t="array" ref="K3256">IFERROR(_xlfn.SWITCH(L3256,2,_xlfn.XLOOKUP(C3256,[1]ModifierDes!$B:$B,[1]ModifierDes!$C:$C),3,_xlfn.XLOOKUP(C3256,[1]StuntDes!$B:$B,[1]StuntDes!$C:$C)),"")</f>
        <v/>
      </c>
      <c r="L3256">
        <f t="shared" si="130"/>
        <v>1</v>
      </c>
      <c r="M3256" s="10" t="str">
        <f>IFERROR(_xlfn.XLOOKUP(C3256,[1]StuntDes!$B:$B,[1]StuntDes!$A:$A),"")</f>
        <v/>
      </c>
      <c r="N3256" s="10" t="str">
        <f>IFERROR(_xlfn.XLOOKUP(C3256,[1]ModifierDes!$B:$B,[1]ModifierDes!$A:$A),"")</f>
        <v/>
      </c>
      <c r="O3256" s="10">
        <f>IFERROR(_xlfn.XLOOKUP(C3256,[1]AttributeName!$C:$C,[1]AttributeName!$B:$B),"")</f>
        <v>10502</v>
      </c>
      <c r="P3256" s="10"/>
      <c r="Q3256">
        <v>0.2</v>
      </c>
      <c r="R3256">
        <v>0.4</v>
      </c>
      <c r="S3256" cm="1">
        <f t="array" ref="S3256">IFERROR(_xlfn.SWITCH(L3256,1,_xlfn.XLOOKUP(O3256,[1]AttributeName!$B:$B,[1]AttributeName!$D:$D),2,_xlfn.XLOOKUP(C3256,#REF!,#REF!),3,_xlfn.XLOOKUP(C3256,#REF!,#REF!)),0)</f>
        <v>2</v>
      </c>
      <c r="T3256" cm="1">
        <f t="array" ref="T3256">IFERROR(_xlfn.SWITCH(L3256,1,_xlfn.XLOOKUP(O3256,[1]AttributeName!$B:$B,[1]AttributeName!$E:$E),2,_xlfn.XLOOKUP(C3256,#REF!,#REF!),3,_xlfn.XLOOKUP(C3256,#REF!,#REF!)),0)</f>
        <v>2</v>
      </c>
    </row>
    <row r="3257" customFormat="1" spans="1:20">
      <c r="A3257">
        <v>90134</v>
      </c>
      <c r="B3257">
        <v>1</v>
      </c>
      <c r="C3257" t="s">
        <v>386</v>
      </c>
      <c r="D3257" t="s">
        <v>221</v>
      </c>
      <c r="E3257" t="s">
        <v>378</v>
      </c>
      <c r="H3257">
        <v>1000</v>
      </c>
      <c r="J3257">
        <v>1</v>
      </c>
      <c r="K3257" t="str" cm="1">
        <f t="array" ref="K3257">IFERROR(_xlfn.SWITCH(L3257,2,_xlfn.XLOOKUP(C3257,[1]ModifierDes!$B:$B,[1]ModifierDes!$C:$C),3,_xlfn.XLOOKUP(C3257,[1]StuntDes!$B:$B,[1]StuntDes!$C:$C)),"")</f>
        <v/>
      </c>
      <c r="L3257">
        <f t="shared" si="130"/>
        <v>1</v>
      </c>
      <c r="M3257" s="10" t="str">
        <f>IFERROR(_xlfn.XLOOKUP(C3257,[1]StuntDes!$B:$B,[1]StuntDes!$A:$A),"")</f>
        <v/>
      </c>
      <c r="N3257" s="10" t="str">
        <f>IFERROR(_xlfn.XLOOKUP(C3257,[1]ModifierDes!$B:$B,[1]ModifierDes!$A:$A),"")</f>
        <v/>
      </c>
      <c r="O3257" s="10"/>
      <c r="P3257" s="10"/>
      <c r="Q3257">
        <v>0.3</v>
      </c>
      <c r="R3257">
        <v>0.5</v>
      </c>
      <c r="S3257" cm="1">
        <f t="array" ref="S3257">IFERROR(_xlfn.SWITCH(L3257,1,_xlfn.XLOOKUP(O3257,[1]AttributeName!$B:$B,[1]AttributeName!$D:$D),2,_xlfn.XLOOKUP(C3257,#REF!,#REF!),3,_xlfn.XLOOKUP(C3257,#REF!,#REF!)),0)</f>
        <v>0</v>
      </c>
      <c r="T3257" cm="1">
        <f t="array" ref="T3257">IFERROR(_xlfn.SWITCH(L3257,1,_xlfn.XLOOKUP(O3257,[1]AttributeName!$B:$B,[1]AttributeName!$E:$E),2,_xlfn.XLOOKUP(C3257,#REF!,#REF!),3,_xlfn.XLOOKUP(C3257,#REF!,#REF!)),0)</f>
        <v>0</v>
      </c>
    </row>
    <row r="3258" customFormat="1" spans="1:20">
      <c r="A3258">
        <v>90135</v>
      </c>
      <c r="B3258">
        <v>1</v>
      </c>
      <c r="C3258" t="s">
        <v>449</v>
      </c>
      <c r="D3258" t="s">
        <v>221</v>
      </c>
      <c r="E3258" t="s">
        <v>378</v>
      </c>
      <c r="H3258">
        <v>1000</v>
      </c>
      <c r="J3258">
        <v>1</v>
      </c>
      <c r="K3258" t="str" cm="1">
        <f t="array" ref="K3258">IFERROR(_xlfn.SWITCH(L3258,2,_xlfn.XLOOKUP(C3258,[1]ModifierDes!$B:$B,[1]ModifierDes!$C:$C),3,_xlfn.XLOOKUP(C3258,[1]StuntDes!$B:$B,[1]StuntDes!$C:$C)),"")</f>
        <v/>
      </c>
      <c r="L3258">
        <f t="shared" si="130"/>
        <v>1</v>
      </c>
      <c r="M3258" s="10" t="str">
        <f>IFERROR(_xlfn.XLOOKUP(C3258,[1]StuntDes!$B:$B,[1]StuntDes!$A:$A),"")</f>
        <v/>
      </c>
      <c r="N3258" s="10" t="str">
        <f>IFERROR(_xlfn.XLOOKUP(C3258,[1]ModifierDes!$B:$B,[1]ModifierDes!$A:$A),"")</f>
        <v/>
      </c>
      <c r="O3258" s="10" t="str">
        <f>IFERROR(_xlfn.XLOOKUP(C3258,[1]AttributeName!$C:$C,[1]AttributeName!$B:$B),"")</f>
        <v/>
      </c>
      <c r="P3258" s="10"/>
      <c r="Q3258">
        <v>0</v>
      </c>
      <c r="R3258">
        <v>0</v>
      </c>
      <c r="S3258" cm="1">
        <f t="array" ref="S3258">IFERROR(_xlfn.SWITCH(L3258,1,_xlfn.XLOOKUP(O3258,[1]AttributeName!$B:$B,[1]AttributeName!$D:$D),2,_xlfn.XLOOKUP(C3258,#REF!,#REF!),3,_xlfn.XLOOKUP(C3258,#REF!,#REF!)),0)</f>
        <v>0</v>
      </c>
      <c r="T3258" cm="1">
        <f t="array" ref="T3258">IFERROR(_xlfn.SWITCH(L3258,1,_xlfn.XLOOKUP(O3258,[1]AttributeName!$B:$B,[1]AttributeName!$E:$E),2,_xlfn.XLOOKUP(C3258,#REF!,#REF!),3,_xlfn.XLOOKUP(C3258,#REF!,#REF!)),0)</f>
        <v>0</v>
      </c>
    </row>
    <row r="3259" customFormat="1" spans="1:20">
      <c r="A3259">
        <v>90136</v>
      </c>
      <c r="B3259">
        <v>1</v>
      </c>
      <c r="C3259" t="s">
        <v>455</v>
      </c>
      <c r="D3259" t="s">
        <v>221</v>
      </c>
      <c r="E3259" t="s">
        <v>392</v>
      </c>
      <c r="H3259">
        <v>1000</v>
      </c>
      <c r="J3259">
        <v>1</v>
      </c>
      <c r="K3259" t="str" cm="1">
        <f t="array" ref="K3259">IFERROR(_xlfn.SWITCH(L3259,2,_xlfn.XLOOKUP(C3259,[1]ModifierDes!$B:$B,[1]ModifierDes!$C:$C),3,_xlfn.XLOOKUP(C3259,[1]StuntDes!$B:$B,[1]StuntDes!$C:$C)),"")</f>
        <v>物理伤害转冰冷伤害增加{0}</v>
      </c>
      <c r="L3259">
        <f t="shared" si="130"/>
        <v>2</v>
      </c>
      <c r="M3259" s="10" t="str">
        <f>IFERROR(_xlfn.XLOOKUP(C3259,[1]StuntDes!$B:$B,[1]StuntDes!$A:$A),"")</f>
        <v/>
      </c>
      <c r="N3259" s="10">
        <f>IFERROR(_xlfn.XLOOKUP(C3259,[1]ModifierDes!$B:$B,[1]ModifierDes!$A:$A),"")</f>
        <v>10070</v>
      </c>
      <c r="O3259" s="10" t="str">
        <f>IFERROR(_xlfn.XLOOKUP(C3259,[1]AttributeName!$C:$C,[1]AttributeName!$B:$B),"")</f>
        <v/>
      </c>
      <c r="P3259" s="10"/>
      <c r="Q3259">
        <v>1</v>
      </c>
      <c r="R3259">
        <v>1</v>
      </c>
      <c r="S3259" cm="1">
        <f t="array" ref="S3259">IFERROR(_xlfn.SWITCH(L3259,1,_xlfn.XLOOKUP(O3259,[1]AttributeName!$B:$B,[1]AttributeName!$D:$D),2,_xlfn.XLOOKUP(C3259,#REF!,#REF!),3,_xlfn.XLOOKUP(C3259,#REF!,#REF!)),0)</f>
        <v>0</v>
      </c>
      <c r="T3259" cm="1">
        <f t="array" ref="T3259">IFERROR(_xlfn.SWITCH(L3259,1,_xlfn.XLOOKUP(O3259,[1]AttributeName!$B:$B,[1]AttributeName!$E:$E),2,_xlfn.XLOOKUP(C3259,#REF!,#REF!),3,_xlfn.XLOOKUP(C3259,#REF!,#REF!)),0)</f>
        <v>0</v>
      </c>
    </row>
    <row r="3260" customFormat="1" spans="1:20">
      <c r="A3260">
        <v>90137</v>
      </c>
      <c r="B3260">
        <v>1</v>
      </c>
      <c r="C3260" t="s">
        <v>486</v>
      </c>
      <c r="D3260" t="s">
        <v>221</v>
      </c>
      <c r="E3260" t="s">
        <v>392</v>
      </c>
      <c r="H3260">
        <v>1000</v>
      </c>
      <c r="J3260">
        <v>1</v>
      </c>
      <c r="K3260" t="str" cm="1">
        <f t="array" ref="K3260">IFERROR(_xlfn.SWITCH(L3260,2,_xlfn.XLOOKUP(C3260,[1]ModifierDes!$B:$B,[1]ModifierDes!$C:$C),3,_xlfn.XLOOKUP(C3260,[1]StuntDes!$B:$B,[1]StuntDes!$C:$C)),"")</f>
        <v>冻结效果额外提高{0}</v>
      </c>
      <c r="L3260">
        <f t="shared" si="130"/>
        <v>2</v>
      </c>
      <c r="M3260" s="10" t="str">
        <f>IFERROR(_xlfn.XLOOKUP(C3260,[1]StuntDes!$B:$B,[1]StuntDes!$A:$A),"")</f>
        <v/>
      </c>
      <c r="N3260" s="10">
        <f>IFERROR(_xlfn.XLOOKUP(C3260,[1]ModifierDes!$B:$B,[1]ModifierDes!$A:$A),"")</f>
        <v>10033</v>
      </c>
      <c r="O3260" s="10" t="str">
        <f>IFERROR(_xlfn.XLOOKUP(C3260,[1]AttributeName!$C:$C,[1]AttributeName!$B:$B),"")</f>
        <v/>
      </c>
      <c r="P3260" s="10"/>
      <c r="Q3260">
        <v>0.3</v>
      </c>
      <c r="R3260">
        <v>0.5</v>
      </c>
      <c r="S3260" cm="1">
        <f t="array" ref="S3260">IFERROR(_xlfn.SWITCH(L3260,1,_xlfn.XLOOKUP(O3260,[1]AttributeName!$B:$B,[1]AttributeName!$D:$D),2,_xlfn.XLOOKUP(C3260,#REF!,#REF!),3,_xlfn.XLOOKUP(C3260,#REF!,#REF!)),0)</f>
        <v>0</v>
      </c>
      <c r="T3260" cm="1">
        <f t="array" ref="T3260">IFERROR(_xlfn.SWITCH(L3260,1,_xlfn.XLOOKUP(O3260,[1]AttributeName!$B:$B,[1]AttributeName!$E:$E),2,_xlfn.XLOOKUP(C3260,#REF!,#REF!),3,_xlfn.XLOOKUP(C3260,#REF!,#REF!)),0)</f>
        <v>0</v>
      </c>
    </row>
    <row r="3261" customFormat="1" spans="1:20">
      <c r="A3261">
        <v>90138</v>
      </c>
      <c r="B3261">
        <v>1</v>
      </c>
      <c r="C3261" t="s">
        <v>396</v>
      </c>
      <c r="D3261" t="s">
        <v>221</v>
      </c>
      <c r="E3261" t="s">
        <v>392</v>
      </c>
      <c r="H3261">
        <v>1000</v>
      </c>
      <c r="J3261">
        <v>1</v>
      </c>
      <c r="K3261" t="str" cm="1">
        <f t="array" ref="K3261">IFERROR(_xlfn.SWITCH(L3261,2,_xlfn.XLOOKUP(C3261,[1]ModifierDes!$B:$B,[1]ModifierDes!$C:$C),3,_xlfn.XLOOKUP(C3261,[1]StuntDes!$B:$B,[1]StuntDes!$C:$C)),"")</f>
        <v/>
      </c>
      <c r="L3261">
        <f t="shared" si="130"/>
        <v>1</v>
      </c>
      <c r="M3261" s="10" t="str">
        <f>IFERROR(_xlfn.XLOOKUP(C3261,[1]StuntDes!$B:$B,[1]StuntDes!$A:$A),"")</f>
        <v/>
      </c>
      <c r="N3261" s="10" t="str">
        <f>IFERROR(_xlfn.XLOOKUP(C3261,[1]ModifierDes!$B:$B,[1]ModifierDes!$A:$A),"")</f>
        <v/>
      </c>
      <c r="O3261" s="10">
        <f>IFERROR(_xlfn.XLOOKUP(C3261,[1]AttributeName!$C:$C,[1]AttributeName!$B:$B),"")</f>
        <v>10405</v>
      </c>
      <c r="P3261" s="10"/>
      <c r="Q3261">
        <v>1</v>
      </c>
      <c r="R3261">
        <v>1</v>
      </c>
      <c r="S3261" cm="1">
        <f t="array" ref="S3261">IFERROR(_xlfn.SWITCH(L3261,1,_xlfn.XLOOKUP(O3261,[1]AttributeName!$B:$B,[1]AttributeName!$D:$D),2,_xlfn.XLOOKUP(C3261,#REF!,#REF!),3,_xlfn.XLOOKUP(C3261,#REF!,#REF!)),0)</f>
        <v>0</v>
      </c>
      <c r="T3261" cm="1">
        <f t="array" ref="T3261">IFERROR(_xlfn.SWITCH(L3261,1,_xlfn.XLOOKUP(O3261,[1]AttributeName!$B:$B,[1]AttributeName!$E:$E),2,_xlfn.XLOOKUP(C3261,#REF!,#REF!),3,_xlfn.XLOOKUP(C3261,#REF!,#REF!)),0)</f>
        <v>1</v>
      </c>
    </row>
    <row r="3262" customFormat="1" spans="1:20">
      <c r="A3262">
        <v>90139</v>
      </c>
      <c r="B3262">
        <v>1</v>
      </c>
      <c r="C3262" t="s">
        <v>406</v>
      </c>
      <c r="D3262" t="s">
        <v>198</v>
      </c>
      <c r="E3262"/>
      <c r="H3262">
        <v>1000</v>
      </c>
      <c r="J3262">
        <v>1</v>
      </c>
      <c r="K3262" t="str" cm="1">
        <f t="array" ref="K3262">IFERROR(_xlfn.SWITCH(L3262,2,_xlfn.XLOOKUP(C3262,[1]ModifierDes!$B:$B,[1]ModifierDes!$C:$C),3,_xlfn.XLOOKUP(C3262,[1]StuntDes!$B:$B,[1]StuntDes!$C:$C)),"")</f>
        <v>攻击速度提高{0}</v>
      </c>
      <c r="L3262">
        <f t="shared" si="130"/>
        <v>2</v>
      </c>
      <c r="M3262" s="10" t="str">
        <f>IFERROR(_xlfn.XLOOKUP(C3262,[1]StuntDes!$B:$B,[1]StuntDes!$A:$A),"")</f>
        <v/>
      </c>
      <c r="N3262" s="10">
        <f>IFERROR(_xlfn.XLOOKUP(C3262,[1]ModifierDes!$B:$B,[1]ModifierDes!$A:$A),"")</f>
        <v>10031</v>
      </c>
      <c r="O3262" s="10" t="str">
        <f>IFERROR(_xlfn.XLOOKUP(C3262,[1]AttributeName!$C:$C,[1]AttributeName!$B:$B),"")</f>
        <v/>
      </c>
      <c r="P3262" s="10"/>
      <c r="Q3262">
        <v>0.2</v>
      </c>
      <c r="R3262">
        <v>0.4</v>
      </c>
      <c r="S3262" cm="1">
        <f t="array" ref="S3262">IFERROR(_xlfn.SWITCH(L3262,1,_xlfn.XLOOKUP(O3262,[1]AttributeName!$B:$B,[1]AttributeName!$D:$D),2,_xlfn.XLOOKUP(C3262,#REF!,#REF!),3,_xlfn.XLOOKUP(C3262,#REF!,#REF!)),0)</f>
        <v>0</v>
      </c>
      <c r="T3262" cm="1">
        <f t="array" ref="T3262">IFERROR(_xlfn.SWITCH(L3262,1,_xlfn.XLOOKUP(O3262,[1]AttributeName!$B:$B,[1]AttributeName!$E:$E),2,_xlfn.XLOOKUP(C3262,#REF!,#REF!),3,_xlfn.XLOOKUP(C3262,#REF!,#REF!)),0)</f>
        <v>0</v>
      </c>
    </row>
    <row r="3263" customFormat="1" spans="1:20">
      <c r="A3263">
        <v>90139</v>
      </c>
      <c r="B3263">
        <v>2</v>
      </c>
      <c r="C3263" t="s">
        <v>444</v>
      </c>
      <c r="D3263" t="s">
        <v>198</v>
      </c>
      <c r="E3263"/>
      <c r="H3263">
        <v>1000</v>
      </c>
      <c r="J3263">
        <v>1</v>
      </c>
      <c r="K3263" t="str" cm="1">
        <f t="array" ref="K3263">IFERROR(_xlfn.SWITCH(L3263,2,_xlfn.XLOOKUP(C3263,[1]ModifierDes!$B:$B,[1]ModifierDes!$C:$C),3,_xlfn.XLOOKUP(C3263,[1]StuntDes!$B:$B,[1]StuntDes!$C:$C)),"")</f>
        <v>施法速度提高{0}</v>
      </c>
      <c r="L3263">
        <f t="shared" si="130"/>
        <v>2</v>
      </c>
      <c r="M3263" s="10" t="str">
        <f>IFERROR(_xlfn.XLOOKUP(C3263,[1]StuntDes!$B:$B,[1]StuntDes!$A:$A),"")</f>
        <v/>
      </c>
      <c r="N3263" s="10">
        <f>IFERROR(_xlfn.XLOOKUP(C3263,[1]ModifierDes!$B:$B,[1]ModifierDes!$A:$A),"")</f>
        <v>10050</v>
      </c>
      <c r="O3263" s="10" t="str">
        <f>IFERROR(_xlfn.XLOOKUP(C3263,[1]AttributeName!$C:$C,[1]AttributeName!$B:$B),"")</f>
        <v/>
      </c>
      <c r="P3263" s="10"/>
      <c r="Q3263">
        <v>0.2</v>
      </c>
      <c r="R3263">
        <v>0.4</v>
      </c>
      <c r="S3263" cm="1">
        <f t="array" ref="S3263">IFERROR(_xlfn.SWITCH(L3263,1,_xlfn.XLOOKUP(O3263,[1]AttributeName!$B:$B,[1]AttributeName!$D:$D),2,_xlfn.XLOOKUP(C3263,#REF!,#REF!),3,_xlfn.XLOOKUP(C3263,#REF!,#REF!)),0)</f>
        <v>0</v>
      </c>
      <c r="T3263" cm="1">
        <f t="array" ref="T3263">IFERROR(_xlfn.SWITCH(L3263,1,_xlfn.XLOOKUP(O3263,[1]AttributeName!$B:$B,[1]AttributeName!$E:$E),2,_xlfn.XLOOKUP(C3263,#REF!,#REF!),3,_xlfn.XLOOKUP(C3263,#REF!,#REF!)),0)</f>
        <v>0</v>
      </c>
    </row>
    <row r="3264" customFormat="1" spans="1:20">
      <c r="A3264">
        <v>90140</v>
      </c>
      <c r="B3264">
        <v>1</v>
      </c>
      <c r="C3264" t="s">
        <v>377</v>
      </c>
      <c r="D3264" t="s">
        <v>198</v>
      </c>
      <c r="H3264">
        <v>1000</v>
      </c>
      <c r="J3264">
        <v>1</v>
      </c>
      <c r="K3264" t="str" cm="1">
        <f t="array" ref="K3264">IFERROR(_xlfn.SWITCH(L3264,2,_xlfn.XLOOKUP(C3264,[1]ModifierDes!$B:$B,[1]ModifierDes!$C:$C),3,_xlfn.XLOOKUP(C3264,[1]StuntDes!$B:$B,[1]StuntDes!$C:$C)),"")</f>
        <v>物理伤害倍率增加{0}</v>
      </c>
      <c r="L3264">
        <f t="shared" si="130"/>
        <v>2</v>
      </c>
      <c r="M3264" s="10" t="str">
        <f>IFERROR(_xlfn.XLOOKUP(C3264,[1]StuntDes!$B:$B,[1]StuntDes!$A:$A),"")</f>
        <v/>
      </c>
      <c r="N3264" s="10">
        <f>IFERROR(_xlfn.XLOOKUP(C3264,[1]ModifierDes!$B:$B,[1]ModifierDes!$A:$A),"")</f>
        <v>10056</v>
      </c>
      <c r="O3264" s="10" t="str">
        <f>IFERROR(_xlfn.XLOOKUP(C3264,[1]AttributeName!$C:$C,[1]AttributeName!$B:$B),"")</f>
        <v/>
      </c>
      <c r="P3264" s="10"/>
      <c r="Q3264">
        <v>1.1</v>
      </c>
      <c r="R3264">
        <v>2.1</v>
      </c>
      <c r="S3264" cm="1">
        <f t="array" ref="S3264">IFERROR(_xlfn.SWITCH(L3264,1,_xlfn.XLOOKUP(O3264,[1]AttributeName!$B:$B,[1]AttributeName!$D:$D),2,_xlfn.XLOOKUP(C3264,#REF!,#REF!),3,_xlfn.XLOOKUP(C3264,#REF!,#REF!)),0)</f>
        <v>0</v>
      </c>
      <c r="T3264" cm="1">
        <f t="array" ref="T3264">IFERROR(_xlfn.SWITCH(L3264,1,_xlfn.XLOOKUP(O3264,[1]AttributeName!$B:$B,[1]AttributeName!$E:$E),2,_xlfn.XLOOKUP(C3264,#REF!,#REF!),3,_xlfn.XLOOKUP(C3264,#REF!,#REF!)),0)</f>
        <v>0</v>
      </c>
    </row>
    <row r="3265" customFormat="1" spans="1:20">
      <c r="A3265">
        <v>90140</v>
      </c>
      <c r="B3265">
        <v>2</v>
      </c>
      <c r="C3265" t="s">
        <v>379</v>
      </c>
      <c r="D3265" t="s">
        <v>198</v>
      </c>
      <c r="H3265">
        <v>1000</v>
      </c>
      <c r="J3265">
        <v>1</v>
      </c>
      <c r="K3265" t="str" cm="1">
        <f t="array" ref="K3265">IFERROR(_xlfn.SWITCH(L3265,2,_xlfn.XLOOKUP(C3265,[1]ModifierDes!$B:$B,[1]ModifierDes!$C:$C),3,_xlfn.XLOOKUP(C3265,[1]StuntDes!$B:$B,[1]StuntDes!$C:$C)),"")</f>
        <v>火焰伤害倍率增加{0}</v>
      </c>
      <c r="L3265">
        <f t="shared" si="130"/>
        <v>2</v>
      </c>
      <c r="M3265" s="10" t="str">
        <f>IFERROR(_xlfn.XLOOKUP(C3265,[1]StuntDes!$B:$B,[1]StuntDes!$A:$A),"")</f>
        <v/>
      </c>
      <c r="N3265" s="10">
        <f>IFERROR(_xlfn.XLOOKUP(C3265,[1]ModifierDes!$B:$B,[1]ModifierDes!$A:$A),"")</f>
        <v>10057</v>
      </c>
      <c r="O3265" s="10" t="str">
        <f>IFERROR(_xlfn.XLOOKUP(C3265,[1]AttributeName!$C:$C,[1]AttributeName!$B:$B),"")</f>
        <v/>
      </c>
      <c r="P3265" s="10"/>
      <c r="Q3265">
        <v>1.1</v>
      </c>
      <c r="R3265">
        <v>2.1</v>
      </c>
      <c r="S3265" cm="1">
        <f t="array" ref="S3265">IFERROR(_xlfn.SWITCH(L3265,1,_xlfn.XLOOKUP(O3265,[1]AttributeName!$B:$B,[1]AttributeName!$D:$D),2,_xlfn.XLOOKUP(C3265,#REF!,#REF!),3,_xlfn.XLOOKUP(C3265,#REF!,#REF!)),0)</f>
        <v>0</v>
      </c>
      <c r="T3265" cm="1">
        <f t="array" ref="T3265">IFERROR(_xlfn.SWITCH(L3265,1,_xlfn.XLOOKUP(O3265,[1]AttributeName!$B:$B,[1]AttributeName!$E:$E),2,_xlfn.XLOOKUP(C3265,#REF!,#REF!),3,_xlfn.XLOOKUP(C3265,#REF!,#REF!)),0)</f>
        <v>0</v>
      </c>
    </row>
    <row r="3266" customFormat="1" spans="1:20">
      <c r="A3266">
        <v>90140</v>
      </c>
      <c r="B3266">
        <v>3</v>
      </c>
      <c r="C3266" t="s">
        <v>380</v>
      </c>
      <c r="D3266" t="s">
        <v>198</v>
      </c>
      <c r="H3266">
        <v>1000</v>
      </c>
      <c r="J3266">
        <v>1</v>
      </c>
      <c r="K3266" t="str" cm="1">
        <f t="array" ref="K3266">IFERROR(_xlfn.SWITCH(L3266,2,_xlfn.XLOOKUP(C3266,[1]ModifierDes!$B:$B,[1]ModifierDes!$C:$C),3,_xlfn.XLOOKUP(C3266,[1]StuntDes!$B:$B,[1]StuntDes!$C:$C)),"")</f>
        <v>冰冷伤害倍率增加{0}</v>
      </c>
      <c r="L3266">
        <f t="shared" si="130"/>
        <v>2</v>
      </c>
      <c r="M3266" s="10" t="str">
        <f>IFERROR(_xlfn.XLOOKUP(C3266,[1]StuntDes!$B:$B,[1]StuntDes!$A:$A),"")</f>
        <v/>
      </c>
      <c r="N3266" s="10">
        <f>IFERROR(_xlfn.XLOOKUP(C3266,[1]ModifierDes!$B:$B,[1]ModifierDes!$A:$A),"")</f>
        <v>10058</v>
      </c>
      <c r="O3266" s="10" t="str">
        <f>IFERROR(_xlfn.XLOOKUP(C3266,[1]AttributeName!$C:$C,[1]AttributeName!$B:$B),"")</f>
        <v/>
      </c>
      <c r="P3266" s="10"/>
      <c r="Q3266">
        <v>1.1</v>
      </c>
      <c r="R3266">
        <v>2.1</v>
      </c>
      <c r="S3266" cm="1">
        <f t="array" ref="S3266">IFERROR(_xlfn.SWITCH(L3266,1,_xlfn.XLOOKUP(O3266,[1]AttributeName!$B:$B,[1]AttributeName!$D:$D),2,_xlfn.XLOOKUP(C3266,#REF!,#REF!),3,_xlfn.XLOOKUP(C3266,#REF!,#REF!)),0)</f>
        <v>0</v>
      </c>
      <c r="T3266" cm="1">
        <f t="array" ref="T3266">IFERROR(_xlfn.SWITCH(L3266,1,_xlfn.XLOOKUP(O3266,[1]AttributeName!$B:$B,[1]AttributeName!$E:$E),2,_xlfn.XLOOKUP(C3266,#REF!,#REF!),3,_xlfn.XLOOKUP(C3266,#REF!,#REF!)),0)</f>
        <v>0</v>
      </c>
    </row>
    <row r="3267" customFormat="1" spans="1:20">
      <c r="A3267">
        <v>90140</v>
      </c>
      <c r="B3267">
        <v>4</v>
      </c>
      <c r="C3267" t="s">
        <v>381</v>
      </c>
      <c r="D3267" t="s">
        <v>198</v>
      </c>
      <c r="H3267">
        <v>1000</v>
      </c>
      <c r="J3267">
        <v>1</v>
      </c>
      <c r="K3267" t="str" cm="1">
        <f t="array" ref="K3267">IFERROR(_xlfn.SWITCH(L3267,2,_xlfn.XLOOKUP(C3267,[1]ModifierDes!$B:$B,[1]ModifierDes!$C:$C),3,_xlfn.XLOOKUP(C3267,[1]StuntDes!$B:$B,[1]StuntDes!$C:$C)),"")</f>
        <v>闪电伤害倍率增加{0}</v>
      </c>
      <c r="L3267">
        <f t="shared" si="130"/>
        <v>2</v>
      </c>
      <c r="M3267" s="10" t="str">
        <f>IFERROR(_xlfn.XLOOKUP(C3267,[1]StuntDes!$B:$B,[1]StuntDes!$A:$A),"")</f>
        <v/>
      </c>
      <c r="N3267" s="10">
        <f>IFERROR(_xlfn.XLOOKUP(C3267,[1]ModifierDes!$B:$B,[1]ModifierDes!$A:$A),"")</f>
        <v>10059</v>
      </c>
      <c r="O3267" s="10" t="str">
        <f>IFERROR(_xlfn.XLOOKUP(C3267,[1]AttributeName!$C:$C,[1]AttributeName!$B:$B),"")</f>
        <v/>
      </c>
      <c r="P3267" s="10"/>
      <c r="Q3267">
        <v>1.1</v>
      </c>
      <c r="R3267">
        <v>2.1</v>
      </c>
      <c r="S3267" cm="1">
        <f t="array" ref="S3267">IFERROR(_xlfn.SWITCH(L3267,1,_xlfn.XLOOKUP(O3267,[1]AttributeName!$B:$B,[1]AttributeName!$D:$D),2,_xlfn.XLOOKUP(C3267,#REF!,#REF!),3,_xlfn.XLOOKUP(C3267,#REF!,#REF!)),0)</f>
        <v>0</v>
      </c>
      <c r="T3267" cm="1">
        <f t="array" ref="T3267">IFERROR(_xlfn.SWITCH(L3267,1,_xlfn.XLOOKUP(O3267,[1]AttributeName!$B:$B,[1]AttributeName!$E:$E),2,_xlfn.XLOOKUP(C3267,#REF!,#REF!),3,_xlfn.XLOOKUP(C3267,#REF!,#REF!)),0)</f>
        <v>0</v>
      </c>
    </row>
    <row r="3268" customFormat="1" spans="1:20">
      <c r="A3268">
        <v>90140</v>
      </c>
      <c r="B3268">
        <v>5</v>
      </c>
      <c r="C3268" t="s">
        <v>382</v>
      </c>
      <c r="D3268" t="s">
        <v>198</v>
      </c>
      <c r="H3268">
        <v>1000</v>
      </c>
      <c r="J3268">
        <v>1</v>
      </c>
      <c r="K3268" t="str" cm="1">
        <f t="array" ref="K3268">IFERROR(_xlfn.SWITCH(L3268,2,_xlfn.XLOOKUP(C3268,[1]ModifierDes!$B:$B,[1]ModifierDes!$C:$C),3,_xlfn.XLOOKUP(C3268,[1]StuntDes!$B:$B,[1]StuntDes!$C:$C)),"")</f>
        <v>混沌伤害倍率增加{0}</v>
      </c>
      <c r="L3268">
        <f t="shared" ref="L3268:L3287" si="131">IF(M3268="",IF(N3268="",1,2),3)</f>
        <v>2</v>
      </c>
      <c r="M3268" s="10" t="str">
        <f>IFERROR(_xlfn.XLOOKUP(C3268,[1]StuntDes!$B:$B,[1]StuntDes!$A:$A),"")</f>
        <v/>
      </c>
      <c r="N3268" s="10">
        <f>IFERROR(_xlfn.XLOOKUP(C3268,[1]ModifierDes!$B:$B,[1]ModifierDes!$A:$A),"")</f>
        <v>10052</v>
      </c>
      <c r="O3268" s="10" t="str">
        <f>IFERROR(_xlfn.XLOOKUP(C3268,[1]AttributeName!$C:$C,[1]AttributeName!$B:$B),"")</f>
        <v/>
      </c>
      <c r="P3268" s="10"/>
      <c r="Q3268">
        <v>1.1</v>
      </c>
      <c r="R3268">
        <v>2.1</v>
      </c>
      <c r="S3268" cm="1">
        <f t="array" ref="S3268">IFERROR(_xlfn.SWITCH(L3268,1,_xlfn.XLOOKUP(O3268,[1]AttributeName!$B:$B,[1]AttributeName!$D:$D),2,_xlfn.XLOOKUP(C3268,#REF!,#REF!),3,_xlfn.XLOOKUP(C3268,#REF!,#REF!)),0)</f>
        <v>0</v>
      </c>
      <c r="T3268" cm="1">
        <f t="array" ref="T3268">IFERROR(_xlfn.SWITCH(L3268,1,_xlfn.XLOOKUP(O3268,[1]AttributeName!$B:$B,[1]AttributeName!$E:$E),2,_xlfn.XLOOKUP(C3268,#REF!,#REF!),3,_xlfn.XLOOKUP(C3268,#REF!,#REF!)),0)</f>
        <v>0</v>
      </c>
    </row>
    <row r="3269" customFormat="1" spans="1:20">
      <c r="A3269">
        <v>90141</v>
      </c>
      <c r="B3269">
        <v>1</v>
      </c>
      <c r="C3269" t="s">
        <v>384</v>
      </c>
      <c r="D3269" t="s">
        <v>198</v>
      </c>
      <c r="H3269">
        <v>1000</v>
      </c>
      <c r="J3269">
        <v>1</v>
      </c>
      <c r="K3269" t="str" cm="1">
        <f t="array" ref="K3269">IFERROR(_xlfn.SWITCH(L3269,2,_xlfn.XLOOKUP(C3269,[1]ModifierDes!$B:$B,[1]ModifierDes!$C:$C),3,_xlfn.XLOOKUP(C3269,[1]StuntDes!$B:$B,[1]StuntDes!$C:$C)),"")</f>
        <v/>
      </c>
      <c r="L3269">
        <f t="shared" si="131"/>
        <v>1</v>
      </c>
      <c r="M3269" s="10" t="str">
        <f>IFERROR(_xlfn.XLOOKUP(C3269,[1]StuntDes!$B:$B,[1]StuntDes!$A:$A),"")</f>
        <v/>
      </c>
      <c r="N3269" s="10" t="str">
        <f>IFERROR(_xlfn.XLOOKUP(C3269,[1]ModifierDes!$B:$B,[1]ModifierDes!$A:$A),"")</f>
        <v/>
      </c>
      <c r="O3269" s="10">
        <f>IFERROR(_xlfn.XLOOKUP(C3269,[1]AttributeName!$C:$C,[1]AttributeName!$B:$B),"")</f>
        <v>10303</v>
      </c>
      <c r="P3269" s="10"/>
      <c r="Q3269">
        <v>1</v>
      </c>
      <c r="R3269">
        <v>1.5</v>
      </c>
      <c r="S3269" cm="1">
        <f t="array" ref="S3269">IFERROR(_xlfn.SWITCH(L3269,1,_xlfn.XLOOKUP(O3269,[1]AttributeName!$B:$B,[1]AttributeName!$D:$D),2,_xlfn.XLOOKUP(C3269,#REF!,#REF!),3,_xlfn.XLOOKUP(C3269,#REF!,#REF!)),0)</f>
        <v>2</v>
      </c>
      <c r="T3269" cm="1">
        <f t="array" ref="T3269">IFERROR(_xlfn.SWITCH(L3269,1,_xlfn.XLOOKUP(O3269,[1]AttributeName!$B:$B,[1]AttributeName!$E:$E),2,_xlfn.XLOOKUP(C3269,#REF!,#REF!),3,_xlfn.XLOOKUP(C3269,#REF!,#REF!)),0)</f>
        <v>2</v>
      </c>
    </row>
    <row r="3270" customFormat="1" spans="1:20">
      <c r="A3270">
        <v>90141</v>
      </c>
      <c r="B3270">
        <v>2</v>
      </c>
      <c r="C3270" t="s">
        <v>385</v>
      </c>
      <c r="D3270" t="s">
        <v>198</v>
      </c>
      <c r="H3270">
        <v>1000</v>
      </c>
      <c r="J3270">
        <v>1</v>
      </c>
      <c r="K3270" t="str" cm="1">
        <f t="array" ref="K3270">IFERROR(_xlfn.SWITCH(L3270,2,_xlfn.XLOOKUP(C3270,[1]ModifierDes!$B:$B,[1]ModifierDes!$C:$C),3,_xlfn.XLOOKUP(C3270,[1]StuntDes!$B:$B,[1]StuntDes!$C:$C)),"")</f>
        <v/>
      </c>
      <c r="L3270">
        <f t="shared" si="131"/>
        <v>1</v>
      </c>
      <c r="M3270" s="10" t="str">
        <f>IFERROR(_xlfn.XLOOKUP(C3270,[1]StuntDes!$B:$B,[1]StuntDes!$A:$A),"")</f>
        <v/>
      </c>
      <c r="N3270" s="10" t="str">
        <f>IFERROR(_xlfn.XLOOKUP(C3270,[1]ModifierDes!$B:$B,[1]ModifierDes!$A:$A),"")</f>
        <v/>
      </c>
      <c r="O3270" s="10">
        <f>IFERROR(_xlfn.XLOOKUP(C3270,[1]AttributeName!$C:$C,[1]AttributeName!$B:$B),"")</f>
        <v>10304</v>
      </c>
      <c r="P3270" s="10"/>
      <c r="Q3270">
        <v>1</v>
      </c>
      <c r="R3270">
        <v>1.5</v>
      </c>
      <c r="S3270" cm="1">
        <f t="array" ref="S3270">IFERROR(_xlfn.SWITCH(L3270,1,_xlfn.XLOOKUP(O3270,[1]AttributeName!$B:$B,[1]AttributeName!$D:$D),2,_xlfn.XLOOKUP(C3270,#REF!,#REF!),3,_xlfn.XLOOKUP(C3270,#REF!,#REF!)),0)</f>
        <v>2</v>
      </c>
      <c r="T3270" cm="1">
        <f t="array" ref="T3270">IFERROR(_xlfn.SWITCH(L3270,1,_xlfn.XLOOKUP(O3270,[1]AttributeName!$B:$B,[1]AttributeName!$E:$E),2,_xlfn.XLOOKUP(C3270,#REF!,#REF!),3,_xlfn.XLOOKUP(C3270,#REF!,#REF!)),0)</f>
        <v>2</v>
      </c>
    </row>
    <row r="3271" customFormat="1" spans="1:20">
      <c r="A3271">
        <v>90141</v>
      </c>
      <c r="B3271">
        <v>3</v>
      </c>
      <c r="C3271" t="s">
        <v>386</v>
      </c>
      <c r="D3271" t="s">
        <v>198</v>
      </c>
      <c r="H3271">
        <v>1000</v>
      </c>
      <c r="J3271">
        <v>1</v>
      </c>
      <c r="K3271" t="str" cm="1">
        <f t="array" ref="K3271">IFERROR(_xlfn.SWITCH(L3271,2,_xlfn.XLOOKUP(C3271,[1]ModifierDes!$B:$B,[1]ModifierDes!$C:$C),3,_xlfn.XLOOKUP(C3271,[1]StuntDes!$B:$B,[1]StuntDes!$C:$C)),"")</f>
        <v/>
      </c>
      <c r="L3271">
        <f t="shared" si="131"/>
        <v>1</v>
      </c>
      <c r="M3271" s="10" t="str">
        <f>IFERROR(_xlfn.XLOOKUP(C3271,[1]StuntDes!$B:$B,[1]StuntDes!$A:$A),"")</f>
        <v/>
      </c>
      <c r="N3271" s="10" t="str">
        <f>IFERROR(_xlfn.XLOOKUP(C3271,[1]ModifierDes!$B:$B,[1]ModifierDes!$A:$A),"")</f>
        <v/>
      </c>
      <c r="O3271" s="10">
        <f>IFERROR(_xlfn.XLOOKUP(C3271,[1]AttributeName!$C:$C,[1]AttributeName!$B:$B),"")</f>
        <v>10305</v>
      </c>
      <c r="P3271" s="10"/>
      <c r="Q3271">
        <v>1</v>
      </c>
      <c r="R3271">
        <v>1.5</v>
      </c>
      <c r="S3271" cm="1">
        <f t="array" ref="S3271">IFERROR(_xlfn.SWITCH(L3271,1,_xlfn.XLOOKUP(O3271,[1]AttributeName!$B:$B,[1]AttributeName!$D:$D),2,_xlfn.XLOOKUP(C3271,#REF!,#REF!),3,_xlfn.XLOOKUP(C3271,#REF!,#REF!)),0)</f>
        <v>2</v>
      </c>
      <c r="T3271" cm="1">
        <f t="array" ref="T3271">IFERROR(_xlfn.SWITCH(L3271,1,_xlfn.XLOOKUP(O3271,[1]AttributeName!$B:$B,[1]AttributeName!$E:$E),2,_xlfn.XLOOKUP(C3271,#REF!,#REF!),3,_xlfn.XLOOKUP(C3271,#REF!,#REF!)),0)</f>
        <v>2</v>
      </c>
    </row>
    <row r="3272" customFormat="1" spans="1:20">
      <c r="A3272">
        <v>90141</v>
      </c>
      <c r="B3272">
        <v>4</v>
      </c>
      <c r="C3272" t="s">
        <v>387</v>
      </c>
      <c r="D3272" t="s">
        <v>198</v>
      </c>
      <c r="H3272">
        <v>1000</v>
      </c>
      <c r="J3272">
        <v>1</v>
      </c>
      <c r="K3272" t="str" cm="1">
        <f t="array" ref="K3272">IFERROR(_xlfn.SWITCH(L3272,2,_xlfn.XLOOKUP(C3272,[1]ModifierDes!$B:$B,[1]ModifierDes!$C:$C),3,_xlfn.XLOOKUP(C3272,[1]StuntDes!$B:$B,[1]StuntDes!$C:$C)),"")</f>
        <v/>
      </c>
      <c r="L3272">
        <f t="shared" si="131"/>
        <v>1</v>
      </c>
      <c r="M3272" s="10" t="str">
        <f>IFERROR(_xlfn.XLOOKUP(C3272,[1]StuntDes!$B:$B,[1]StuntDes!$A:$A),"")</f>
        <v/>
      </c>
      <c r="N3272" s="10" t="str">
        <f>IFERROR(_xlfn.XLOOKUP(C3272,[1]ModifierDes!$B:$B,[1]ModifierDes!$A:$A),"")</f>
        <v/>
      </c>
      <c r="O3272" s="10">
        <f>IFERROR(_xlfn.XLOOKUP(C3272,[1]AttributeName!$C:$C,[1]AttributeName!$B:$B),"")</f>
        <v>10306</v>
      </c>
      <c r="P3272" s="10"/>
      <c r="Q3272">
        <v>1</v>
      </c>
      <c r="R3272">
        <v>1.5</v>
      </c>
      <c r="S3272" cm="1">
        <f t="array" ref="S3272">IFERROR(_xlfn.SWITCH(L3272,1,_xlfn.XLOOKUP(O3272,[1]AttributeName!$B:$B,[1]AttributeName!$D:$D),2,_xlfn.XLOOKUP(C3272,#REF!,#REF!),3,_xlfn.XLOOKUP(C3272,#REF!,#REF!)),0)</f>
        <v>2</v>
      </c>
      <c r="T3272" cm="1">
        <f t="array" ref="T3272">IFERROR(_xlfn.SWITCH(L3272,1,_xlfn.XLOOKUP(O3272,[1]AttributeName!$B:$B,[1]AttributeName!$E:$E),2,_xlfn.XLOOKUP(C3272,#REF!,#REF!),3,_xlfn.XLOOKUP(C3272,#REF!,#REF!)),0)</f>
        <v>2</v>
      </c>
    </row>
    <row r="3273" customFormat="1" spans="1:20">
      <c r="A3273">
        <v>90141</v>
      </c>
      <c r="B3273">
        <v>5</v>
      </c>
      <c r="C3273" t="s">
        <v>388</v>
      </c>
      <c r="D3273" t="s">
        <v>198</v>
      </c>
      <c r="H3273">
        <v>1000</v>
      </c>
      <c r="J3273">
        <v>1</v>
      </c>
      <c r="K3273" t="str" cm="1">
        <f t="array" ref="K3273">IFERROR(_xlfn.SWITCH(L3273,2,_xlfn.XLOOKUP(C3273,[1]ModifierDes!$B:$B,[1]ModifierDes!$C:$C),3,_xlfn.XLOOKUP(C3273,[1]StuntDes!$B:$B,[1]StuntDes!$C:$C)),"")</f>
        <v/>
      </c>
      <c r="L3273">
        <f t="shared" si="131"/>
        <v>1</v>
      </c>
      <c r="M3273" s="10" t="str">
        <f>IFERROR(_xlfn.XLOOKUP(C3273,[1]StuntDes!$B:$B,[1]StuntDes!$A:$A),"")</f>
        <v/>
      </c>
      <c r="N3273" s="10" t="str">
        <f>IFERROR(_xlfn.XLOOKUP(C3273,[1]ModifierDes!$B:$B,[1]ModifierDes!$A:$A),"")</f>
        <v/>
      </c>
      <c r="O3273" s="10">
        <f>IFERROR(_xlfn.XLOOKUP(C3273,[1]AttributeName!$C:$C,[1]AttributeName!$B:$B),"")</f>
        <v>10307</v>
      </c>
      <c r="P3273" s="10"/>
      <c r="Q3273">
        <v>1</v>
      </c>
      <c r="R3273">
        <v>1.5</v>
      </c>
      <c r="S3273" cm="1">
        <f t="array" ref="S3273">IFERROR(_xlfn.SWITCH(L3273,1,_xlfn.XLOOKUP(O3273,[1]AttributeName!$B:$B,[1]AttributeName!$D:$D),2,_xlfn.XLOOKUP(C3273,#REF!,#REF!),3,_xlfn.XLOOKUP(C3273,#REF!,#REF!)),0)</f>
        <v>2</v>
      </c>
      <c r="T3273" cm="1">
        <f t="array" ref="T3273">IFERROR(_xlfn.SWITCH(L3273,1,_xlfn.XLOOKUP(O3273,[1]AttributeName!$B:$B,[1]AttributeName!$E:$E),2,_xlfn.XLOOKUP(C3273,#REF!,#REF!),3,_xlfn.XLOOKUP(C3273,#REF!,#REF!)),0)</f>
        <v>2</v>
      </c>
    </row>
    <row r="3274" customFormat="1" spans="1:20">
      <c r="A3274">
        <v>90142</v>
      </c>
      <c r="B3274">
        <v>1</v>
      </c>
      <c r="C3274" t="s">
        <v>400</v>
      </c>
      <c r="D3274" t="s">
        <v>198</v>
      </c>
      <c r="H3274">
        <v>1000</v>
      </c>
      <c r="J3274">
        <v>1</v>
      </c>
      <c r="K3274" t="str" cm="1">
        <f t="array" ref="K3274">IFERROR(_xlfn.SWITCH(L3274,2,_xlfn.XLOOKUP(C3274,[1]ModifierDes!$B:$B,[1]ModifierDes!$C:$C),3,_xlfn.XLOOKUP(C3274,[1]StuntDes!$B:$B,[1]StuntDes!$C:$C)),"")</f>
        <v>攻击暴击伤害增加{0}</v>
      </c>
      <c r="L3274">
        <f t="shared" si="131"/>
        <v>2</v>
      </c>
      <c r="M3274" s="10" t="str">
        <f>IFERROR(_xlfn.XLOOKUP(C3274,[1]StuntDes!$B:$B,[1]StuntDes!$A:$A),"")</f>
        <v/>
      </c>
      <c r="N3274" s="10">
        <f>IFERROR(_xlfn.XLOOKUP(C3274,[1]ModifierDes!$B:$B,[1]ModifierDes!$A:$A),"")</f>
        <v>10060</v>
      </c>
      <c r="O3274" s="10" t="str">
        <f>IFERROR(_xlfn.XLOOKUP(C3274,[1]AttributeName!$C:$C,[1]AttributeName!$B:$B),"")</f>
        <v/>
      </c>
      <c r="P3274" s="10"/>
      <c r="Q3274">
        <v>0.6</v>
      </c>
      <c r="R3274">
        <v>1.2</v>
      </c>
      <c r="S3274" cm="1">
        <f t="array" ref="S3274">IFERROR(_xlfn.SWITCH(L3274,1,_xlfn.XLOOKUP(O3274,[1]AttributeName!$B:$B,[1]AttributeName!$D:$D),2,_xlfn.XLOOKUP(C3274,#REF!,#REF!),3,_xlfn.XLOOKUP(C3274,#REF!,#REF!)),0)</f>
        <v>0</v>
      </c>
      <c r="T3274" cm="1">
        <f t="array" ref="T3274">IFERROR(_xlfn.SWITCH(L3274,1,_xlfn.XLOOKUP(O3274,[1]AttributeName!$B:$B,[1]AttributeName!$E:$E),2,_xlfn.XLOOKUP(C3274,#REF!,#REF!),3,_xlfn.XLOOKUP(C3274,#REF!,#REF!)),0)</f>
        <v>0</v>
      </c>
    </row>
    <row r="3275" customFormat="1" spans="1:20">
      <c r="A3275">
        <v>90142</v>
      </c>
      <c r="B3275">
        <v>2</v>
      </c>
      <c r="C3275" t="s">
        <v>426</v>
      </c>
      <c r="D3275" t="s">
        <v>198</v>
      </c>
      <c r="H3275">
        <v>1000</v>
      </c>
      <c r="J3275">
        <v>1</v>
      </c>
      <c r="K3275" t="str" cm="1">
        <f t="array" ref="K3275">IFERROR(_xlfn.SWITCH(L3275,2,_xlfn.XLOOKUP(C3275,[1]ModifierDes!$B:$B,[1]ModifierDes!$C:$C),3,_xlfn.XLOOKUP(C3275,[1]StuntDes!$B:$B,[1]StuntDes!$C:$C)),"")</f>
        <v>法术暴击伤害增加{0}</v>
      </c>
      <c r="L3275">
        <f t="shared" si="131"/>
        <v>2</v>
      </c>
      <c r="M3275" s="10" t="str">
        <f>IFERROR(_xlfn.XLOOKUP(C3275,[1]StuntDes!$B:$B,[1]StuntDes!$A:$A),"")</f>
        <v/>
      </c>
      <c r="N3275" s="10">
        <f>IFERROR(_xlfn.XLOOKUP(C3275,[1]ModifierDes!$B:$B,[1]ModifierDes!$A:$A),"")</f>
        <v>10061</v>
      </c>
      <c r="O3275" s="10" t="str">
        <f>IFERROR(_xlfn.XLOOKUP(C3275,[1]AttributeName!$C:$C,[1]AttributeName!$B:$B),"")</f>
        <v/>
      </c>
      <c r="P3275" s="10"/>
      <c r="Q3275">
        <v>0.6</v>
      </c>
      <c r="R3275">
        <v>1.2</v>
      </c>
      <c r="S3275" cm="1">
        <f t="array" ref="S3275">IFERROR(_xlfn.SWITCH(L3275,1,_xlfn.XLOOKUP(O3275,[1]AttributeName!$B:$B,[1]AttributeName!$D:$D),2,_xlfn.XLOOKUP(C3275,#REF!,#REF!),3,_xlfn.XLOOKUP(C3275,#REF!,#REF!)),0)</f>
        <v>0</v>
      </c>
      <c r="T3275" cm="1">
        <f t="array" ref="T3275">IFERROR(_xlfn.SWITCH(L3275,1,_xlfn.XLOOKUP(O3275,[1]AttributeName!$B:$B,[1]AttributeName!$E:$E),2,_xlfn.XLOOKUP(C3275,#REF!,#REF!),3,_xlfn.XLOOKUP(C3275,#REF!,#REF!)),0)</f>
        <v>0</v>
      </c>
    </row>
    <row r="3276" customFormat="1" spans="1:20">
      <c r="A3276">
        <v>90143</v>
      </c>
      <c r="B3276">
        <v>1</v>
      </c>
      <c r="C3276" t="s">
        <v>401</v>
      </c>
      <c r="D3276" t="s">
        <v>198</v>
      </c>
      <c r="H3276">
        <v>1000</v>
      </c>
      <c r="J3276">
        <v>1</v>
      </c>
      <c r="K3276" t="str" cm="1">
        <f t="array" ref="K3276">IFERROR(_xlfn.SWITCH(L3276,2,_xlfn.XLOOKUP(C3276,[1]ModifierDes!$B:$B,[1]ModifierDes!$C:$C),3,_xlfn.XLOOKUP(C3276,[1]StuntDes!$B:$B,[1]StuntDes!$C:$C)),"")</f>
        <v/>
      </c>
      <c r="L3276">
        <f t="shared" si="131"/>
        <v>1</v>
      </c>
      <c r="M3276" s="10" t="str">
        <f>IFERROR(_xlfn.XLOOKUP(C3276,[1]StuntDes!$B:$B,[1]StuntDes!$A:$A),"")</f>
        <v/>
      </c>
      <c r="N3276" s="10" t="str">
        <f>IFERROR(_xlfn.XLOOKUP(C3276,[1]ModifierDes!$B:$B,[1]ModifierDes!$A:$A),"")</f>
        <v/>
      </c>
      <c r="O3276" s="10">
        <f>IFERROR(_xlfn.XLOOKUP(C3276,[1]AttributeName!$C:$C,[1]AttributeName!$B:$B),"")</f>
        <v>10500</v>
      </c>
      <c r="P3276" s="10"/>
      <c r="Q3276">
        <v>0.4</v>
      </c>
      <c r="R3276">
        <v>0.8</v>
      </c>
      <c r="S3276" cm="1">
        <f t="array" ref="S3276">IFERROR(_xlfn.SWITCH(L3276,1,_xlfn.XLOOKUP(O3276,[1]AttributeName!$B:$B,[1]AttributeName!$D:$D),2,_xlfn.XLOOKUP(C3276,#REF!,#REF!),3,_xlfn.XLOOKUP(C3276,#REF!,#REF!)),0)</f>
        <v>2</v>
      </c>
      <c r="T3276" cm="1">
        <f t="array" ref="T3276">IFERROR(_xlfn.SWITCH(L3276,1,_xlfn.XLOOKUP(O3276,[1]AttributeName!$B:$B,[1]AttributeName!$E:$E),2,_xlfn.XLOOKUP(C3276,#REF!,#REF!),3,_xlfn.XLOOKUP(C3276,#REF!,#REF!)),0)</f>
        <v>2</v>
      </c>
    </row>
    <row r="3277" customFormat="1" spans="1:20">
      <c r="A3277">
        <v>90143</v>
      </c>
      <c r="B3277">
        <v>2</v>
      </c>
      <c r="C3277" t="s">
        <v>402</v>
      </c>
      <c r="D3277" t="s">
        <v>198</v>
      </c>
      <c r="H3277">
        <v>1000</v>
      </c>
      <c r="J3277">
        <v>1</v>
      </c>
      <c r="K3277" t="str" cm="1">
        <f t="array" ref="K3277">IFERROR(_xlfn.SWITCH(L3277,2,_xlfn.XLOOKUP(C3277,[1]ModifierDes!$B:$B,[1]ModifierDes!$C:$C),3,_xlfn.XLOOKUP(C3277,[1]StuntDes!$B:$B,[1]StuntDes!$C:$C)),"")</f>
        <v/>
      </c>
      <c r="L3277">
        <f t="shared" si="131"/>
        <v>1</v>
      </c>
      <c r="M3277" s="10" t="str">
        <f>IFERROR(_xlfn.XLOOKUP(C3277,[1]StuntDes!$B:$B,[1]StuntDes!$A:$A),"")</f>
        <v/>
      </c>
      <c r="N3277" s="10" t="str">
        <f>IFERROR(_xlfn.XLOOKUP(C3277,[1]ModifierDes!$B:$B,[1]ModifierDes!$A:$A),"")</f>
        <v/>
      </c>
      <c r="O3277" s="10">
        <f>IFERROR(_xlfn.XLOOKUP(C3277,[1]AttributeName!$C:$C,[1]AttributeName!$B:$B),"")</f>
        <v>10501</v>
      </c>
      <c r="P3277" s="10"/>
      <c r="Q3277">
        <v>0.4</v>
      </c>
      <c r="R3277">
        <v>0.8</v>
      </c>
      <c r="S3277" cm="1">
        <f t="array" ref="S3277">IFERROR(_xlfn.SWITCH(L3277,1,_xlfn.XLOOKUP(O3277,[1]AttributeName!$B:$B,[1]AttributeName!$D:$D),2,_xlfn.XLOOKUP(C3277,#REF!,#REF!),3,_xlfn.XLOOKUP(C3277,#REF!,#REF!)),0)</f>
        <v>2</v>
      </c>
      <c r="T3277" cm="1">
        <f t="array" ref="T3277">IFERROR(_xlfn.SWITCH(L3277,1,_xlfn.XLOOKUP(O3277,[1]AttributeName!$B:$B,[1]AttributeName!$E:$E),2,_xlfn.XLOOKUP(C3277,#REF!,#REF!),3,_xlfn.XLOOKUP(C3277,#REF!,#REF!)),0)</f>
        <v>2</v>
      </c>
    </row>
    <row r="3278" customFormat="1" spans="1:20">
      <c r="A3278">
        <v>90143</v>
      </c>
      <c r="B3278">
        <v>3</v>
      </c>
      <c r="C3278" t="s">
        <v>403</v>
      </c>
      <c r="D3278" t="s">
        <v>198</v>
      </c>
      <c r="H3278">
        <v>1000</v>
      </c>
      <c r="J3278">
        <v>1</v>
      </c>
      <c r="K3278" t="str" cm="1">
        <f t="array" ref="K3278">IFERROR(_xlfn.SWITCH(L3278,2,_xlfn.XLOOKUP(C3278,[1]ModifierDes!$B:$B,[1]ModifierDes!$C:$C),3,_xlfn.XLOOKUP(C3278,[1]StuntDes!$B:$B,[1]StuntDes!$C:$C)),"")</f>
        <v/>
      </c>
      <c r="L3278">
        <f t="shared" si="131"/>
        <v>1</v>
      </c>
      <c r="M3278" s="10" t="str">
        <f>IFERROR(_xlfn.XLOOKUP(C3278,[1]StuntDes!$B:$B,[1]StuntDes!$A:$A),"")</f>
        <v/>
      </c>
      <c r="N3278" s="10" t="str">
        <f>IFERROR(_xlfn.XLOOKUP(C3278,[1]ModifierDes!$B:$B,[1]ModifierDes!$A:$A),"")</f>
        <v/>
      </c>
      <c r="O3278" s="10">
        <f>IFERROR(_xlfn.XLOOKUP(C3278,[1]AttributeName!$C:$C,[1]AttributeName!$B:$B),"")</f>
        <v>10502</v>
      </c>
      <c r="P3278" s="10"/>
      <c r="Q3278">
        <v>0.4</v>
      </c>
      <c r="R3278">
        <v>0.8</v>
      </c>
      <c r="S3278" cm="1">
        <f t="array" ref="S3278">IFERROR(_xlfn.SWITCH(L3278,1,_xlfn.XLOOKUP(O3278,[1]AttributeName!$B:$B,[1]AttributeName!$D:$D),2,_xlfn.XLOOKUP(C3278,#REF!,#REF!),3,_xlfn.XLOOKUP(C3278,#REF!,#REF!)),0)</f>
        <v>2</v>
      </c>
      <c r="T3278" cm="1">
        <f t="array" ref="T3278">IFERROR(_xlfn.SWITCH(L3278,1,_xlfn.XLOOKUP(O3278,[1]AttributeName!$B:$B,[1]AttributeName!$E:$E),2,_xlfn.XLOOKUP(C3278,#REF!,#REF!),3,_xlfn.XLOOKUP(C3278,#REF!,#REF!)),0)</f>
        <v>2</v>
      </c>
    </row>
    <row r="3279" customFormat="1" spans="1:20">
      <c r="A3279">
        <v>90143</v>
      </c>
      <c r="B3279">
        <v>4</v>
      </c>
      <c r="C3279" t="s">
        <v>404</v>
      </c>
      <c r="D3279" t="s">
        <v>198</v>
      </c>
      <c r="H3279">
        <v>1000</v>
      </c>
      <c r="J3279">
        <v>1</v>
      </c>
      <c r="K3279" t="str" cm="1">
        <f t="array" ref="K3279">IFERROR(_xlfn.SWITCH(L3279,2,_xlfn.XLOOKUP(C3279,[1]ModifierDes!$B:$B,[1]ModifierDes!$C:$C),3,_xlfn.XLOOKUP(C3279,[1]StuntDes!$B:$B,[1]StuntDes!$C:$C)),"")</f>
        <v/>
      </c>
      <c r="L3279">
        <f t="shared" si="131"/>
        <v>1</v>
      </c>
      <c r="M3279" s="10" t="str">
        <f>IFERROR(_xlfn.XLOOKUP(C3279,[1]StuntDes!$B:$B,[1]StuntDes!$A:$A),"")</f>
        <v/>
      </c>
      <c r="N3279" s="10" t="str">
        <f>IFERROR(_xlfn.XLOOKUP(C3279,[1]ModifierDes!$B:$B,[1]ModifierDes!$A:$A),"")</f>
        <v/>
      </c>
      <c r="O3279" s="10">
        <f>IFERROR(_xlfn.XLOOKUP(C3279,[1]AttributeName!$C:$C,[1]AttributeName!$B:$B),"")</f>
        <v>10503</v>
      </c>
      <c r="P3279" s="10"/>
      <c r="Q3279">
        <v>0.4</v>
      </c>
      <c r="R3279">
        <v>0.8</v>
      </c>
      <c r="S3279" cm="1">
        <f t="array" ref="S3279">IFERROR(_xlfn.SWITCH(L3279,1,_xlfn.XLOOKUP(O3279,[1]AttributeName!$B:$B,[1]AttributeName!$D:$D),2,_xlfn.XLOOKUP(C3279,#REF!,#REF!),3,_xlfn.XLOOKUP(C3279,#REF!,#REF!)),0)</f>
        <v>2</v>
      </c>
      <c r="T3279" cm="1">
        <f t="array" ref="T3279">IFERROR(_xlfn.SWITCH(L3279,1,_xlfn.XLOOKUP(O3279,[1]AttributeName!$B:$B,[1]AttributeName!$E:$E),2,_xlfn.XLOOKUP(C3279,#REF!,#REF!),3,_xlfn.XLOOKUP(C3279,#REF!,#REF!)),0)</f>
        <v>2</v>
      </c>
    </row>
    <row r="3280" customFormat="1" spans="1:20">
      <c r="A3280">
        <v>90143</v>
      </c>
      <c r="B3280">
        <v>5</v>
      </c>
      <c r="C3280" t="s">
        <v>405</v>
      </c>
      <c r="D3280" t="s">
        <v>198</v>
      </c>
      <c r="H3280">
        <v>1000</v>
      </c>
      <c r="J3280">
        <v>1</v>
      </c>
      <c r="K3280" t="str" cm="1">
        <f t="array" ref="K3280">IFERROR(_xlfn.SWITCH(L3280,2,_xlfn.XLOOKUP(C3280,[1]ModifierDes!$B:$B,[1]ModifierDes!$C:$C),3,_xlfn.XLOOKUP(C3280,[1]StuntDes!$B:$B,[1]StuntDes!$C:$C)),"")</f>
        <v/>
      </c>
      <c r="L3280">
        <f t="shared" si="131"/>
        <v>1</v>
      </c>
      <c r="M3280" s="10" t="str">
        <f>IFERROR(_xlfn.XLOOKUP(C3280,[1]StuntDes!$B:$B,[1]StuntDes!$A:$A),"")</f>
        <v/>
      </c>
      <c r="N3280" s="10" t="str">
        <f>IFERROR(_xlfn.XLOOKUP(C3280,[1]ModifierDes!$B:$B,[1]ModifierDes!$A:$A),"")</f>
        <v/>
      </c>
      <c r="O3280" s="10">
        <f>IFERROR(_xlfn.XLOOKUP(C3280,[1]AttributeName!$C:$C,[1]AttributeName!$B:$B),"")</f>
        <v>10504</v>
      </c>
      <c r="P3280" s="10"/>
      <c r="Q3280">
        <v>0.4</v>
      </c>
      <c r="R3280">
        <v>0.8</v>
      </c>
      <c r="S3280" cm="1">
        <f t="array" ref="S3280">IFERROR(_xlfn.SWITCH(L3280,1,_xlfn.XLOOKUP(O3280,[1]AttributeName!$B:$B,[1]AttributeName!$D:$D),2,_xlfn.XLOOKUP(C3280,#REF!,#REF!),3,_xlfn.XLOOKUP(C3280,#REF!,#REF!)),0)</f>
        <v>2</v>
      </c>
      <c r="T3280" cm="1">
        <f t="array" ref="T3280">IFERROR(_xlfn.SWITCH(L3280,1,_xlfn.XLOOKUP(O3280,[1]AttributeName!$B:$B,[1]AttributeName!$E:$E),2,_xlfn.XLOOKUP(C3280,#REF!,#REF!),3,_xlfn.XLOOKUP(C3280,#REF!,#REF!)),0)</f>
        <v>2</v>
      </c>
    </row>
    <row r="3281" customFormat="1" spans="1:20">
      <c r="A3281">
        <v>90144</v>
      </c>
      <c r="B3281">
        <v>1</v>
      </c>
      <c r="C3281" t="s">
        <v>449</v>
      </c>
      <c r="D3281" t="s">
        <v>198</v>
      </c>
      <c r="H3281">
        <v>1000</v>
      </c>
      <c r="J3281">
        <v>1</v>
      </c>
      <c r="K3281" t="str" cm="1">
        <f t="array" ref="K3281">IFERROR(_xlfn.SWITCH(L3281,2,_xlfn.XLOOKUP(C3281,[1]ModifierDes!$B:$B,[1]ModifierDes!$C:$C),3,_xlfn.XLOOKUP(C3281,[1]StuntDes!$B:$B,[1]StuntDes!$C:$C)),"")</f>
        <v/>
      </c>
      <c r="L3281">
        <f t="shared" si="131"/>
        <v>1</v>
      </c>
      <c r="M3281" s="10" t="str">
        <f>IFERROR(_xlfn.XLOOKUP(C3281,[1]StuntDes!$B:$B,[1]StuntDes!$A:$A),"")</f>
        <v/>
      </c>
      <c r="N3281" s="10" t="str">
        <f>IFERROR(_xlfn.XLOOKUP(C3281,[1]ModifierDes!$B:$B,[1]ModifierDes!$A:$A),"")</f>
        <v/>
      </c>
      <c r="O3281" s="10" t="str">
        <f>IFERROR(_xlfn.XLOOKUP(C3281,[1]AttributeName!$C:$C,[1]AttributeName!$B:$B),"")</f>
        <v/>
      </c>
      <c r="P3281" s="10"/>
      <c r="Q3281">
        <v>0</v>
      </c>
      <c r="R3281">
        <v>0</v>
      </c>
      <c r="S3281" cm="1">
        <f t="array" ref="S3281">IFERROR(_xlfn.SWITCH(L3281,1,_xlfn.XLOOKUP(O3281,[1]AttributeName!$B:$B,[1]AttributeName!$D:$D),2,_xlfn.XLOOKUP(C3281,#REF!,#REF!),3,_xlfn.XLOOKUP(C3281,#REF!,#REF!)),0)</f>
        <v>0</v>
      </c>
      <c r="T3281" cm="1">
        <f t="array" ref="T3281">IFERROR(_xlfn.SWITCH(L3281,1,_xlfn.XLOOKUP(O3281,[1]AttributeName!$B:$B,[1]AttributeName!$E:$E),2,_xlfn.XLOOKUP(C3281,#REF!,#REF!),3,_xlfn.XLOOKUP(C3281,#REF!,#REF!)),0)</f>
        <v>0</v>
      </c>
    </row>
    <row r="3282" customFormat="1" spans="1:20">
      <c r="A3282">
        <v>90145</v>
      </c>
      <c r="B3282">
        <v>1</v>
      </c>
      <c r="C3282" t="s">
        <v>389</v>
      </c>
      <c r="D3282" t="s">
        <v>140</v>
      </c>
      <c r="E3282" t="s">
        <v>378</v>
      </c>
      <c r="H3282">
        <v>1000</v>
      </c>
      <c r="J3282">
        <v>1</v>
      </c>
      <c r="K3282" t="str" cm="1">
        <f t="array" ref="K3282">IFERROR(_xlfn.SWITCH(L3282,2,_xlfn.XLOOKUP(C3282,[1]ModifierDes!$B:$B,[1]ModifierDes!$C:$C),3,_xlfn.XLOOKUP(C3282,[1]StuntDes!$B:$B,[1]StuntDes!$C:$C)),"")</f>
        <v/>
      </c>
      <c r="L3282">
        <f t="shared" si="131"/>
        <v>1</v>
      </c>
      <c r="M3282" s="10" t="str">
        <f>IFERROR(_xlfn.XLOOKUP(C3282,[1]StuntDes!$B:$B,[1]StuntDes!$A:$A),"")</f>
        <v/>
      </c>
      <c r="N3282" s="10" t="str">
        <f>IFERROR(_xlfn.XLOOKUP(C3282,[1]ModifierDes!$B:$B,[1]ModifierDes!$A:$A),"")</f>
        <v/>
      </c>
      <c r="O3282" s="10">
        <f>IFERROR(_xlfn.XLOOKUP(C3282,[1]AttributeName!$C:$C,[1]AttributeName!$B:$B),"")</f>
        <v>10001</v>
      </c>
      <c r="P3282" s="10"/>
      <c r="Q3282">
        <v>1500</v>
      </c>
      <c r="R3282">
        <v>2000</v>
      </c>
      <c r="S3282" cm="1">
        <f t="array" ref="S3282">IFERROR(_xlfn.SWITCH(L3282,1,_xlfn.XLOOKUP(O3282,[1]AttributeName!$B:$B,[1]AttributeName!$D:$D),2,_xlfn.XLOOKUP(C3282,#REF!,#REF!),3,_xlfn.XLOOKUP(C3282,#REF!,#REF!)),0)</f>
        <v>0</v>
      </c>
      <c r="T3282" cm="1">
        <f t="array" ref="T3282">IFERROR(_xlfn.SWITCH(L3282,1,_xlfn.XLOOKUP(O3282,[1]AttributeName!$B:$B,[1]AttributeName!$E:$E),2,_xlfn.XLOOKUP(C3282,#REF!,#REF!),3,_xlfn.XLOOKUP(C3282,#REF!,#REF!)),0)</f>
        <v>1</v>
      </c>
    </row>
    <row r="3283" customFormat="1" spans="1:20">
      <c r="A3283">
        <v>90146</v>
      </c>
      <c r="B3283">
        <v>1</v>
      </c>
      <c r="C3283" t="s">
        <v>385</v>
      </c>
      <c r="D3283" t="s">
        <v>140</v>
      </c>
      <c r="E3283" t="s">
        <v>378</v>
      </c>
      <c r="H3283">
        <v>1000</v>
      </c>
      <c r="J3283">
        <v>1</v>
      </c>
      <c r="K3283" t="str" cm="1">
        <f t="array" ref="K3283">IFERROR(_xlfn.SWITCH(L3283,2,_xlfn.XLOOKUP(C3283,[1]ModifierDes!$B:$B,[1]ModifierDes!$C:$C),3,_xlfn.XLOOKUP(C3283,[1]StuntDes!$B:$B,[1]StuntDes!$C:$C)),"")</f>
        <v/>
      </c>
      <c r="L3283">
        <f t="shared" si="131"/>
        <v>1</v>
      </c>
      <c r="M3283" s="10" t="str">
        <f>IFERROR(_xlfn.XLOOKUP(C3283,[1]StuntDes!$B:$B,[1]StuntDes!$A:$A),"")</f>
        <v/>
      </c>
      <c r="N3283" s="10" t="str">
        <f>IFERROR(_xlfn.XLOOKUP(C3283,[1]ModifierDes!$B:$B,[1]ModifierDes!$A:$A),"")</f>
        <v/>
      </c>
      <c r="O3283" s="10">
        <f>IFERROR(_xlfn.XLOOKUP(C3283,[1]AttributeName!$C:$C,[1]AttributeName!$B:$B),"")</f>
        <v>10304</v>
      </c>
      <c r="P3283" s="10"/>
      <c r="Q3283">
        <v>0.4</v>
      </c>
      <c r="R3283">
        <v>0.6</v>
      </c>
      <c r="S3283" cm="1">
        <f t="array" ref="S3283">IFERROR(_xlfn.SWITCH(L3283,1,_xlfn.XLOOKUP(O3283,[1]AttributeName!$B:$B,[1]AttributeName!$D:$D),2,_xlfn.XLOOKUP(C3283,#REF!,#REF!),3,_xlfn.XLOOKUP(C3283,#REF!,#REF!)),0)</f>
        <v>2</v>
      </c>
      <c r="T3283" cm="1">
        <f t="array" ref="T3283">IFERROR(_xlfn.SWITCH(L3283,1,_xlfn.XLOOKUP(O3283,[1]AttributeName!$B:$B,[1]AttributeName!$E:$E),2,_xlfn.XLOOKUP(C3283,#REF!,#REF!),3,_xlfn.XLOOKUP(C3283,#REF!,#REF!)),0)</f>
        <v>2</v>
      </c>
    </row>
    <row r="3284" customFormat="1" spans="1:20">
      <c r="A3284">
        <v>90147</v>
      </c>
      <c r="B3284">
        <v>1</v>
      </c>
      <c r="C3284" t="s">
        <v>427</v>
      </c>
      <c r="D3284" t="s">
        <v>140</v>
      </c>
      <c r="E3284" t="s">
        <v>378</v>
      </c>
      <c r="H3284">
        <v>1000</v>
      </c>
      <c r="J3284">
        <v>1</v>
      </c>
      <c r="K3284" t="str" cm="1">
        <f t="array" ref="K3284">IFERROR(_xlfn.SWITCH(L3284,2,_xlfn.XLOOKUP(C3284,[1]ModifierDes!$B:$B,[1]ModifierDes!$C:$C),3,_xlfn.XLOOKUP(C3284,[1]StuntDes!$B:$B,[1]StuntDes!$C:$C)),"")</f>
        <v/>
      </c>
      <c r="L3284">
        <f t="shared" si="131"/>
        <v>1</v>
      </c>
      <c r="M3284" s="10" t="str">
        <f>IFERROR(_xlfn.XLOOKUP(C3284,[1]StuntDes!$B:$B,[1]StuntDes!$A:$A),"")</f>
        <v/>
      </c>
      <c r="N3284" s="10" t="str">
        <f>IFERROR(_xlfn.XLOOKUP(C3284,[1]ModifierDes!$B:$B,[1]ModifierDes!$A:$A),"")</f>
        <v/>
      </c>
      <c r="O3284" s="10">
        <f>IFERROR(_xlfn.XLOOKUP(C3284,[1]AttributeName!$C:$C,[1]AttributeName!$B:$B),"")</f>
        <v>10003</v>
      </c>
      <c r="P3284" s="10"/>
      <c r="Q3284">
        <v>5</v>
      </c>
      <c r="R3284">
        <v>15</v>
      </c>
      <c r="S3284" cm="1">
        <f t="array" ref="S3284">IFERROR(_xlfn.SWITCH(L3284,1,_xlfn.XLOOKUP(O3284,[1]AttributeName!$B:$B,[1]AttributeName!$D:$D),2,_xlfn.XLOOKUP(C3284,#REF!,#REF!),3,_xlfn.XLOOKUP(C3284,#REF!,#REF!)),0)</f>
        <v>0</v>
      </c>
      <c r="T3284" cm="1">
        <f t="array" ref="T3284">IFERROR(_xlfn.SWITCH(L3284,1,_xlfn.XLOOKUP(O3284,[1]AttributeName!$B:$B,[1]AttributeName!$E:$E),2,_xlfn.XLOOKUP(C3284,#REF!,#REF!),3,_xlfn.XLOOKUP(C3284,#REF!,#REF!)),0)</f>
        <v>1</v>
      </c>
    </row>
    <row r="3285" customFormat="1" spans="1:20">
      <c r="A3285">
        <v>90148</v>
      </c>
      <c r="B3285">
        <v>1</v>
      </c>
      <c r="C3285" t="s">
        <v>487</v>
      </c>
      <c r="D3285" t="s">
        <v>140</v>
      </c>
      <c r="E3285" t="s">
        <v>392</v>
      </c>
      <c r="H3285">
        <v>1000</v>
      </c>
      <c r="J3285">
        <v>1</v>
      </c>
      <c r="K3285" t="str" cm="1">
        <f t="array" ref="K3285">IFERROR(_xlfn.SWITCH(L3285,2,_xlfn.XLOOKUP(C3285,[1]ModifierDes!$B:$B,[1]ModifierDes!$C:$C),3,_xlfn.XLOOKUP(C3285,[1]StuntDes!$B:$B,[1]StuntDes!$C:$C)),"")</f>
        <v>周围敌人受到生命值上限1%的点燃强度的点燃</v>
      </c>
      <c r="L3285">
        <f t="shared" si="131"/>
        <v>3</v>
      </c>
      <c r="M3285" s="10">
        <f>IFERROR(_xlfn.XLOOKUP(C3285,[1]StuntDes!$B:$B,[1]StuntDes!$A:$A),"")</f>
        <v>2340000080</v>
      </c>
      <c r="N3285" s="10" t="str">
        <f>IFERROR(_xlfn.XLOOKUP(C3285,[1]ModifierDes!$B:$B,[1]ModifierDes!$A:$A),"")</f>
        <v/>
      </c>
      <c r="O3285" s="10" t="str">
        <f>IFERROR(_xlfn.XLOOKUP(C3285,[1]AttributeName!$C:$C,[1]AttributeName!$B:$B),"")</f>
        <v/>
      </c>
      <c r="P3285" s="10"/>
      <c r="Q3285">
        <v>0.01</v>
      </c>
      <c r="R3285">
        <v>0.01</v>
      </c>
      <c r="S3285" cm="1">
        <f t="array" ref="S3285">IFERROR(_xlfn.SWITCH(L3285,1,_xlfn.XLOOKUP(O3285,[1]AttributeName!$B:$B,[1]AttributeName!$D:$D),2,_xlfn.XLOOKUP(C3285,#REF!,#REF!),3,_xlfn.XLOOKUP(C3285,#REF!,#REF!)),0)</f>
        <v>0</v>
      </c>
      <c r="T3285" cm="1">
        <f t="array" ref="T3285">IFERROR(_xlfn.SWITCH(L3285,1,_xlfn.XLOOKUP(O3285,[1]AttributeName!$B:$B,[1]AttributeName!$E:$E),2,_xlfn.XLOOKUP(C3285,#REF!,#REF!),3,_xlfn.XLOOKUP(C3285,#REF!,#REF!)),0)</f>
        <v>0</v>
      </c>
    </row>
    <row r="3286" customFormat="1" spans="1:20">
      <c r="A3286">
        <v>90149</v>
      </c>
      <c r="B3286">
        <v>1</v>
      </c>
      <c r="C3286" t="s">
        <v>423</v>
      </c>
      <c r="D3286" t="s">
        <v>140</v>
      </c>
      <c r="E3286" t="s">
        <v>392</v>
      </c>
      <c r="H3286">
        <v>1000</v>
      </c>
      <c r="J3286">
        <v>1</v>
      </c>
      <c r="K3286" t="str" cm="1">
        <f t="array" ref="K3286">IFERROR(_xlfn.SWITCH(L3286,2,_xlfn.XLOOKUP(C3286,[1]ModifierDes!$B:$B,[1]ModifierDes!$C:$C),3,_xlfn.XLOOKUP(C3286,[1]StuntDes!$B:$B,[1]StuntDes!$C:$C)),"")</f>
        <v/>
      </c>
      <c r="L3286">
        <f t="shared" si="131"/>
        <v>1</v>
      </c>
      <c r="M3286" s="10" t="str">
        <f>IFERROR(_xlfn.XLOOKUP(C3286,[1]StuntDes!$B:$B,[1]StuntDes!$A:$A),"")</f>
        <v/>
      </c>
      <c r="N3286" s="10" t="str">
        <f>IFERROR(_xlfn.XLOOKUP(C3286,[1]ModifierDes!$B:$B,[1]ModifierDes!$A:$A),"")</f>
        <v/>
      </c>
      <c r="O3286" s="10">
        <f>IFERROR(_xlfn.XLOOKUP(C3286,[1]AttributeName!$C:$C,[1]AttributeName!$B:$B),"")</f>
        <v>10312</v>
      </c>
      <c r="P3286" s="10"/>
      <c r="Q3286">
        <v>0.3</v>
      </c>
      <c r="R3286">
        <v>0.5</v>
      </c>
      <c r="S3286" cm="1">
        <f t="array" ref="S3286">IFERROR(_xlfn.SWITCH(L3286,1,_xlfn.XLOOKUP(O3286,[1]AttributeName!$B:$B,[1]AttributeName!$D:$D),2,_xlfn.XLOOKUP(C3286,#REF!,#REF!),3,_xlfn.XLOOKUP(C3286,#REF!,#REF!)),0)</f>
        <v>2</v>
      </c>
      <c r="T3286" cm="1">
        <f t="array" ref="T3286">IFERROR(_xlfn.SWITCH(L3286,1,_xlfn.XLOOKUP(O3286,[1]AttributeName!$B:$B,[1]AttributeName!$E:$E),2,_xlfn.XLOOKUP(C3286,#REF!,#REF!),3,_xlfn.XLOOKUP(C3286,#REF!,#REF!)),0)</f>
        <v>2</v>
      </c>
    </row>
    <row r="3287" customFormat="1" spans="1:20">
      <c r="A3287">
        <v>90150</v>
      </c>
      <c r="B3287">
        <v>1</v>
      </c>
      <c r="C3287" t="s">
        <v>449</v>
      </c>
      <c r="D3287" t="s">
        <v>140</v>
      </c>
      <c r="E3287" t="s">
        <v>392</v>
      </c>
      <c r="H3287">
        <v>1000</v>
      </c>
      <c r="J3287">
        <v>1</v>
      </c>
      <c r="K3287" t="str" cm="1">
        <f t="array" ref="K3287">IFERROR(_xlfn.SWITCH(L3287,2,_xlfn.XLOOKUP(C3287,[1]ModifierDes!$B:$B,[1]ModifierDes!$C:$C),3,_xlfn.XLOOKUP(C3287,[1]StuntDes!$B:$B,[1]StuntDes!$C:$C)),"")</f>
        <v/>
      </c>
      <c r="L3287">
        <f t="shared" si="131"/>
        <v>1</v>
      </c>
      <c r="M3287" s="10" t="str">
        <f>IFERROR(_xlfn.XLOOKUP(C3287,[1]StuntDes!$B:$B,[1]StuntDes!$A:$A),"")</f>
        <v/>
      </c>
      <c r="N3287" s="10" t="str">
        <f>IFERROR(_xlfn.XLOOKUP(C3287,[1]ModifierDes!$B:$B,[1]ModifierDes!$A:$A),"")</f>
        <v/>
      </c>
      <c r="O3287" s="10" t="str">
        <f>IFERROR(_xlfn.XLOOKUP(C3287,[1]AttributeName!$C:$C,[1]AttributeName!$B:$B),"")</f>
        <v/>
      </c>
      <c r="P3287" s="10"/>
      <c r="Q3287">
        <v>0</v>
      </c>
      <c r="R3287">
        <v>0</v>
      </c>
      <c r="S3287" cm="1">
        <f t="array" ref="S3287">IFERROR(_xlfn.SWITCH(L3287,1,_xlfn.XLOOKUP(O3287,[1]AttributeName!$B:$B,[1]AttributeName!$D:$D),2,_xlfn.XLOOKUP(C3287,#REF!,#REF!),3,_xlfn.XLOOKUP(C3287,#REF!,#REF!)),0)</f>
        <v>0</v>
      </c>
      <c r="T3287" cm="1">
        <f t="array" ref="T3287">IFERROR(_xlfn.SWITCH(L3287,1,_xlfn.XLOOKUP(O3287,[1]AttributeName!$B:$B,[1]AttributeName!$E:$E),2,_xlfn.XLOOKUP(C3287,#REF!,#REF!),3,_xlfn.XLOOKUP(C3287,#REF!,#REF!)),0)</f>
        <v>0</v>
      </c>
    </row>
    <row r="3288" spans="1:20">
      <c r="A3288">
        <v>1100101</v>
      </c>
      <c r="B3288">
        <v>1</v>
      </c>
      <c r="C3288" t="s">
        <v>379</v>
      </c>
      <c r="D3288" t="s">
        <v>52</v>
      </c>
      <c r="K3288" t="s">
        <v>488</v>
      </c>
      <c r="L3288">
        <f t="shared" ref="L3288:L3330" si="132">IF(M3288="",IF(N3288="",1,2),3)</f>
        <v>2</v>
      </c>
      <c r="M3288" s="10" t="str">
        <f>IFERROR(_xlfn.XLOOKUP(C3288,[1]StuntDes!$B:$B,[1]StuntDes!$A:$A),"")</f>
        <v/>
      </c>
      <c r="N3288" s="10">
        <f>IFERROR(_xlfn.XLOOKUP(C3288,[1]ModifierDes!$B:$B,[1]ModifierDes!$A:$A),"")</f>
        <v>10057</v>
      </c>
      <c r="O3288" s="10" t="str">
        <f>IFERROR(_xlfn.XLOOKUP(C3288,[1]AttributeName!$C:$C,[1]AttributeName!$B:$B),"")</f>
        <v/>
      </c>
      <c r="P3288" s="10"/>
      <c r="Q3288">
        <v>0.15</v>
      </c>
      <c r="R3288">
        <v>0.15</v>
      </c>
      <c r="S3288" cm="1">
        <f t="array" ref="S3288">IFERROR(_xlfn.SWITCH(L3288,1,_xlfn.XLOOKUP(O3288,[1]AttributeName!$B:$B,[1]AttributeName!$D:$D),2,_xlfn.XLOOKUP(C3288,#REF!,#REF!),3,_xlfn.XLOOKUP(C3288,#REF!,#REF!)),0)</f>
        <v>0</v>
      </c>
      <c r="T3288">
        <v>2</v>
      </c>
    </row>
    <row r="3289" spans="1:20">
      <c r="A3289">
        <v>1100102</v>
      </c>
      <c r="B3289">
        <v>1</v>
      </c>
      <c r="C3289" t="s">
        <v>380</v>
      </c>
      <c r="D3289" t="s">
        <v>489</v>
      </c>
      <c r="K3289" t="s">
        <v>490</v>
      </c>
      <c r="L3289">
        <f t="shared" si="132"/>
        <v>2</v>
      </c>
      <c r="M3289" s="10" t="str">
        <f>IFERROR(_xlfn.XLOOKUP(C3289,[1]StuntDes!$B:$B,[1]StuntDes!$A:$A),"")</f>
        <v/>
      </c>
      <c r="N3289" s="10">
        <f>IFERROR(_xlfn.XLOOKUP(C3289,[1]ModifierDes!$B:$B,[1]ModifierDes!$A:$A),"")</f>
        <v>10058</v>
      </c>
      <c r="O3289" s="10" t="str">
        <f>IFERROR(_xlfn.XLOOKUP(C3289,[1]AttributeName!$C:$C,[1]AttributeName!$B:$B),"")</f>
        <v/>
      </c>
      <c r="P3289" s="10"/>
      <c r="Q3289">
        <v>0.15</v>
      </c>
      <c r="R3289">
        <v>0.15</v>
      </c>
      <c r="S3289" cm="1">
        <f t="array" ref="S3289">IFERROR(_xlfn.SWITCH(L3289,1,_xlfn.XLOOKUP(O3289,[1]AttributeName!$B:$B,[1]AttributeName!$D:$D),2,_xlfn.XLOOKUP(C3289,#REF!,#REF!),3,_xlfn.XLOOKUP(C3289,#REF!,#REF!)),0)</f>
        <v>0</v>
      </c>
      <c r="T3289">
        <v>2</v>
      </c>
    </row>
    <row r="3290" spans="1:20">
      <c r="A3290">
        <v>1100103</v>
      </c>
      <c r="B3290">
        <v>1</v>
      </c>
      <c r="C3290" t="s">
        <v>381</v>
      </c>
      <c r="D3290" t="s">
        <v>491</v>
      </c>
      <c r="K3290" t="s">
        <v>492</v>
      </c>
      <c r="L3290">
        <f t="shared" si="132"/>
        <v>2</v>
      </c>
      <c r="M3290" s="10" t="str">
        <f>IFERROR(_xlfn.XLOOKUP(C3290,[1]StuntDes!$B:$B,[1]StuntDes!$A:$A),"")</f>
        <v/>
      </c>
      <c r="N3290" s="10">
        <f>IFERROR(_xlfn.XLOOKUP(C3290,[1]ModifierDes!$B:$B,[1]ModifierDes!$A:$A),"")</f>
        <v>10059</v>
      </c>
      <c r="O3290" s="10" t="str">
        <f>IFERROR(_xlfn.XLOOKUP(C3290,[1]AttributeName!$C:$C,[1]AttributeName!$B:$B),"")</f>
        <v/>
      </c>
      <c r="P3290" s="10"/>
      <c r="Q3290">
        <v>0.15</v>
      </c>
      <c r="R3290">
        <v>0.15</v>
      </c>
      <c r="S3290" cm="1">
        <f t="array" ref="S3290">IFERROR(_xlfn.SWITCH(L3290,1,_xlfn.XLOOKUP(O3290,[1]AttributeName!$B:$B,[1]AttributeName!$D:$D),2,_xlfn.XLOOKUP(C3290,#REF!,#REF!),3,_xlfn.XLOOKUP(C3290,#REF!,#REF!)),0)</f>
        <v>0</v>
      </c>
      <c r="T3290" cm="1">
        <f t="array" ref="T3290">IFERROR(_xlfn.SWITCH(L3290,1,_xlfn.XLOOKUP(O3290,[1]AttributeName!$B:$B,[1]AttributeName!$E:$E),2,_xlfn.XLOOKUP(C3290,#REF!,#REF!),3,_xlfn.XLOOKUP(C3290,#REF!,#REF!)),0)</f>
        <v>0</v>
      </c>
    </row>
    <row r="3291" customFormat="1" spans="1:20">
      <c r="A3291">
        <v>1100201</v>
      </c>
      <c r="B3291">
        <v>1</v>
      </c>
      <c r="C3291" t="s">
        <v>377</v>
      </c>
      <c r="D3291" t="s">
        <v>55</v>
      </c>
      <c r="K3291" t="s">
        <v>493</v>
      </c>
      <c r="L3291">
        <f t="shared" si="132"/>
        <v>2</v>
      </c>
      <c r="M3291" s="10" t="str">
        <f>IFERROR(_xlfn.XLOOKUP(C3291,[1]StuntDes!$B:$B,[1]StuntDes!$A:$A),"")</f>
        <v/>
      </c>
      <c r="N3291" s="10">
        <f>IFERROR(_xlfn.XLOOKUP(C3291,[1]ModifierDes!$B:$B,[1]ModifierDes!$A:$A),"")</f>
        <v>10056</v>
      </c>
      <c r="O3291" s="10" t="str">
        <f>IFERROR(_xlfn.XLOOKUP(C3291,[1]AttributeName!$C:$C,[1]AttributeName!$B:$B),"")</f>
        <v/>
      </c>
      <c r="P3291" s="10"/>
      <c r="Q3291">
        <v>0.15</v>
      </c>
      <c r="R3291">
        <v>0.15</v>
      </c>
      <c r="S3291" cm="1">
        <f t="array" ref="S3291">IFERROR(_xlfn.SWITCH(L3291,1,_xlfn.XLOOKUP(O3291,[1]AttributeName!$B:$B,[1]AttributeName!$D:$D),2,_xlfn.XLOOKUP(C3291,#REF!,#REF!),3,_xlfn.XLOOKUP(C3291,#REF!,#REF!)),0)</f>
        <v>0</v>
      </c>
      <c r="T3291" cm="1">
        <f t="array" ref="T3291">IFERROR(_xlfn.SWITCH(L3291,1,_xlfn.XLOOKUP(O3291,[1]AttributeName!$B:$B,[1]AttributeName!$E:$E),2,_xlfn.XLOOKUP(C3291,#REF!,#REF!),3,_xlfn.XLOOKUP(C3291,#REF!,#REF!)),0)</f>
        <v>0</v>
      </c>
    </row>
    <row r="3292" spans="1:20">
      <c r="A3292">
        <v>1100202</v>
      </c>
      <c r="B3292">
        <v>1</v>
      </c>
      <c r="C3292" t="s">
        <v>380</v>
      </c>
      <c r="D3292" t="s">
        <v>56</v>
      </c>
      <c r="K3292" t="s">
        <v>490</v>
      </c>
      <c r="L3292">
        <f t="shared" si="132"/>
        <v>2</v>
      </c>
      <c r="M3292" s="10" t="str">
        <f>IFERROR(_xlfn.XLOOKUP(C3292,[1]StuntDes!$B:$B,[1]StuntDes!$A:$A),"")</f>
        <v/>
      </c>
      <c r="N3292" s="10">
        <f>IFERROR(_xlfn.XLOOKUP(C3292,[1]ModifierDes!$B:$B,[1]ModifierDes!$A:$A),"")</f>
        <v>10058</v>
      </c>
      <c r="O3292" s="10" t="str">
        <f>IFERROR(_xlfn.XLOOKUP(C3292,[1]AttributeName!$C:$C,[1]AttributeName!$B:$B),"")</f>
        <v/>
      </c>
      <c r="P3292" s="10"/>
      <c r="Q3292">
        <v>0.15</v>
      </c>
      <c r="R3292">
        <v>0.15</v>
      </c>
      <c r="S3292" cm="1">
        <f t="array" ref="S3292">IFERROR(_xlfn.SWITCH(L3292,1,_xlfn.XLOOKUP(O3292,[1]AttributeName!$B:$B,[1]AttributeName!$D:$D),2,_xlfn.XLOOKUP(C3292,#REF!,#REF!),3,_xlfn.XLOOKUP(C3292,#REF!,#REF!)),0)</f>
        <v>0</v>
      </c>
      <c r="T3292" cm="1">
        <f t="array" ref="T3292">IFERROR(_xlfn.SWITCH(L3292,1,_xlfn.XLOOKUP(O3292,[1]AttributeName!$B:$B,[1]AttributeName!$E:$E),2,_xlfn.XLOOKUP(C3292,#REF!,#REF!),3,_xlfn.XLOOKUP(C3292,#REF!,#REF!)),0)</f>
        <v>0</v>
      </c>
    </row>
    <row r="3293" customFormat="1" spans="1:20">
      <c r="A3293">
        <v>1100203</v>
      </c>
      <c r="B3293">
        <v>1</v>
      </c>
      <c r="C3293" t="s">
        <v>381</v>
      </c>
      <c r="D3293" t="s">
        <v>57</v>
      </c>
      <c r="K3293" t="s">
        <v>492</v>
      </c>
      <c r="L3293">
        <f t="shared" si="132"/>
        <v>2</v>
      </c>
      <c r="M3293" s="10" t="str">
        <f>IFERROR(_xlfn.XLOOKUP(C3293,[1]StuntDes!$B:$B,[1]StuntDes!$A:$A),"")</f>
        <v/>
      </c>
      <c r="N3293" s="10">
        <f>IFERROR(_xlfn.XLOOKUP(C3293,[1]ModifierDes!$B:$B,[1]ModifierDes!$A:$A),"")</f>
        <v>10059</v>
      </c>
      <c r="O3293" s="10" t="str">
        <f>IFERROR(_xlfn.XLOOKUP(C3293,[1]AttributeName!$C:$C,[1]AttributeName!$B:$B),"")</f>
        <v/>
      </c>
      <c r="P3293" s="10"/>
      <c r="Q3293">
        <v>0.15</v>
      </c>
      <c r="R3293">
        <v>0.15</v>
      </c>
      <c r="S3293" cm="1">
        <f t="array" ref="S3293">IFERROR(_xlfn.SWITCH(L3293,1,_xlfn.XLOOKUP(O3293,[1]AttributeName!$B:$B,[1]AttributeName!$D:$D),2,_xlfn.XLOOKUP(C3293,#REF!,#REF!),3,_xlfn.XLOOKUP(C3293,#REF!,#REF!)),0)</f>
        <v>0</v>
      </c>
      <c r="T3293" cm="1">
        <f t="array" ref="T3293">IFERROR(_xlfn.SWITCH(L3293,1,_xlfn.XLOOKUP(O3293,[1]AttributeName!$B:$B,[1]AttributeName!$E:$E),2,_xlfn.XLOOKUP(C3293,#REF!,#REF!),3,_xlfn.XLOOKUP(C3293,#REF!,#REF!)),0)</f>
        <v>0</v>
      </c>
    </row>
    <row r="3294" spans="1:20">
      <c r="A3294">
        <v>1100301</v>
      </c>
      <c r="B3294">
        <v>1</v>
      </c>
      <c r="C3294" t="s">
        <v>382</v>
      </c>
      <c r="D3294" t="s">
        <v>58</v>
      </c>
      <c r="K3294" t="s">
        <v>494</v>
      </c>
      <c r="L3294">
        <f t="shared" si="132"/>
        <v>2</v>
      </c>
      <c r="M3294" s="10" t="str">
        <f>IFERROR(_xlfn.XLOOKUP(C3294,[1]StuntDes!$B:$B,[1]StuntDes!$A:$A),"")</f>
        <v/>
      </c>
      <c r="N3294" s="10">
        <f>IFERROR(_xlfn.XLOOKUP(C3294,[1]ModifierDes!$B:$B,[1]ModifierDes!$A:$A),"")</f>
        <v>10052</v>
      </c>
      <c r="O3294" s="10" t="str">
        <f>IFERROR(_xlfn.XLOOKUP(C3294,[1]AttributeName!$C:$C,[1]AttributeName!$B:$B),"")</f>
        <v/>
      </c>
      <c r="P3294" s="10"/>
      <c r="Q3294">
        <v>0.15</v>
      </c>
      <c r="R3294">
        <v>0.15</v>
      </c>
      <c r="S3294" cm="1">
        <f t="array" ref="S3294">IFERROR(_xlfn.SWITCH(L3294,1,_xlfn.XLOOKUP(O3294,[1]AttributeName!$B:$B,[1]AttributeName!$D:$D),2,_xlfn.XLOOKUP(C3294,#REF!,#REF!),3,_xlfn.XLOOKUP(C3294,#REF!,#REF!)),0)</f>
        <v>0</v>
      </c>
      <c r="T3294" cm="1">
        <f t="array" ref="T3294">IFERROR(_xlfn.SWITCH(L3294,1,_xlfn.XLOOKUP(O3294,[1]AttributeName!$B:$B,[1]AttributeName!$E:$E),2,_xlfn.XLOOKUP(C3294,#REF!,#REF!),3,_xlfn.XLOOKUP(C3294,#REF!,#REF!)),0)</f>
        <v>0</v>
      </c>
    </row>
    <row r="3295" spans="1:20">
      <c r="A3295">
        <v>1100302</v>
      </c>
      <c r="B3295">
        <v>1</v>
      </c>
      <c r="C3295" t="s">
        <v>379</v>
      </c>
      <c r="D3295" t="s">
        <v>59</v>
      </c>
      <c r="K3295" t="s">
        <v>488</v>
      </c>
      <c r="L3295">
        <f t="shared" si="132"/>
        <v>2</v>
      </c>
      <c r="M3295" s="10" t="str">
        <f>IFERROR(_xlfn.XLOOKUP(C3295,[1]StuntDes!$B:$B,[1]StuntDes!$A:$A),"")</f>
        <v/>
      </c>
      <c r="N3295" s="10">
        <f>IFERROR(_xlfn.XLOOKUP(C3295,[1]ModifierDes!$B:$B,[1]ModifierDes!$A:$A),"")</f>
        <v>10057</v>
      </c>
      <c r="O3295" s="10" t="str">
        <f>IFERROR(_xlfn.XLOOKUP(C3295,[1]AttributeName!$C:$C,[1]AttributeName!$B:$B),"")</f>
        <v/>
      </c>
      <c r="P3295" s="10"/>
      <c r="Q3295">
        <v>0.15</v>
      </c>
      <c r="R3295">
        <v>0.15</v>
      </c>
      <c r="S3295" cm="1">
        <f t="array" ref="S3295">IFERROR(_xlfn.SWITCH(L3295,1,_xlfn.XLOOKUP(O3295,[1]AttributeName!$B:$B,[1]AttributeName!$D:$D),2,_xlfn.XLOOKUP(C3295,#REF!,#REF!),3,_xlfn.XLOOKUP(C3295,#REF!,#REF!)),0)</f>
        <v>0</v>
      </c>
      <c r="T3295" cm="1">
        <f t="array" ref="T3295">IFERROR(_xlfn.SWITCH(L3295,1,_xlfn.XLOOKUP(O3295,[1]AttributeName!$B:$B,[1]AttributeName!$E:$E),2,_xlfn.XLOOKUP(C3295,#REF!,#REF!),3,_xlfn.XLOOKUP(C3295,#REF!,#REF!)),0)</f>
        <v>0</v>
      </c>
    </row>
    <row r="3296" spans="1:20">
      <c r="A3296">
        <v>1100303</v>
      </c>
      <c r="B3296">
        <v>1</v>
      </c>
      <c r="C3296" t="s">
        <v>380</v>
      </c>
      <c r="D3296" t="s">
        <v>60</v>
      </c>
      <c r="K3296" t="s">
        <v>490</v>
      </c>
      <c r="L3296">
        <f t="shared" si="132"/>
        <v>2</v>
      </c>
      <c r="M3296" s="10" t="str">
        <f>IFERROR(_xlfn.XLOOKUP(C3296,[1]StuntDes!$B:$B,[1]StuntDes!$A:$A),"")</f>
        <v/>
      </c>
      <c r="N3296" s="10">
        <f>IFERROR(_xlfn.XLOOKUP(C3296,[1]ModifierDes!$B:$B,[1]ModifierDes!$A:$A),"")</f>
        <v>10058</v>
      </c>
      <c r="O3296" s="10" t="str">
        <f>IFERROR(_xlfn.XLOOKUP(C3296,[1]AttributeName!$C:$C,[1]AttributeName!$B:$B),"")</f>
        <v/>
      </c>
      <c r="P3296" s="10"/>
      <c r="Q3296">
        <v>0.15</v>
      </c>
      <c r="R3296">
        <v>0.15</v>
      </c>
      <c r="S3296" cm="1">
        <f t="array" ref="S3296">IFERROR(_xlfn.SWITCH(L3296,1,_xlfn.XLOOKUP(O3296,[1]AttributeName!$B:$B,[1]AttributeName!$D:$D),2,_xlfn.XLOOKUP(C3296,#REF!,#REF!),3,_xlfn.XLOOKUP(C3296,#REF!,#REF!)),0)</f>
        <v>0</v>
      </c>
      <c r="T3296" cm="1">
        <f t="array" ref="T3296">IFERROR(_xlfn.SWITCH(L3296,1,_xlfn.XLOOKUP(O3296,[1]AttributeName!$B:$B,[1]AttributeName!$E:$E),2,_xlfn.XLOOKUP(C3296,#REF!,#REF!),3,_xlfn.XLOOKUP(C3296,#REF!,#REF!)),0)</f>
        <v>0</v>
      </c>
    </row>
    <row r="3297" spans="1:20">
      <c r="A3297">
        <v>1200101</v>
      </c>
      <c r="B3297">
        <v>1</v>
      </c>
      <c r="C3297" t="s">
        <v>402</v>
      </c>
      <c r="D3297" t="s">
        <v>61</v>
      </c>
      <c r="K3297" t="s">
        <v>495</v>
      </c>
      <c r="L3297">
        <f t="shared" si="132"/>
        <v>1</v>
      </c>
      <c r="M3297" s="10" t="str">
        <f>IFERROR(_xlfn.XLOOKUP(C3297,[1]StuntDes!$B:$B,[1]StuntDes!$A:$A),"")</f>
        <v/>
      </c>
      <c r="N3297" s="10" t="str">
        <f>IFERROR(_xlfn.XLOOKUP(C3297,[1]ModifierDes!$B:$B,[1]ModifierDes!$A:$A),"")</f>
        <v/>
      </c>
      <c r="O3297" s="10">
        <f>IFERROR(_xlfn.XLOOKUP(C3297,[1]AttributeName!$C:$C,[1]AttributeName!$B:$B),"")</f>
        <v>10501</v>
      </c>
      <c r="P3297" s="10"/>
      <c r="Q3297">
        <v>0.2</v>
      </c>
      <c r="R3297">
        <v>0.2</v>
      </c>
      <c r="S3297" cm="1">
        <f t="array" ref="S3297">IFERROR(_xlfn.SWITCH(L3297,1,_xlfn.XLOOKUP(O3297,[1]AttributeName!$B:$B,[1]AttributeName!$D:$D),2,_xlfn.XLOOKUP(C3297,#REF!,#REF!),3,_xlfn.XLOOKUP(C3297,#REF!,#REF!)),0)</f>
        <v>2</v>
      </c>
      <c r="T3297" cm="1">
        <f t="array" ref="T3297">IFERROR(_xlfn.SWITCH(L3297,1,_xlfn.XLOOKUP(O3297,[1]AttributeName!$B:$B,[1]AttributeName!$E:$E),2,_xlfn.XLOOKUP(C3297,#REF!,#REF!),3,_xlfn.XLOOKUP(C3297,#REF!,#REF!)),0)</f>
        <v>2</v>
      </c>
    </row>
    <row r="3298" spans="1:20">
      <c r="A3298">
        <v>1200102</v>
      </c>
      <c r="B3298">
        <v>1</v>
      </c>
      <c r="C3298" t="s">
        <v>403</v>
      </c>
      <c r="D3298" t="s">
        <v>64</v>
      </c>
      <c r="K3298" t="s">
        <v>496</v>
      </c>
      <c r="L3298">
        <f t="shared" si="132"/>
        <v>1</v>
      </c>
      <c r="M3298" s="10" t="str">
        <f>IFERROR(_xlfn.XLOOKUP(C3298,[1]StuntDes!$B:$B,[1]StuntDes!$A:$A),"")</f>
        <v/>
      </c>
      <c r="N3298" s="10" t="str">
        <f>IFERROR(_xlfn.XLOOKUP(C3298,[1]ModifierDes!$B:$B,[1]ModifierDes!$A:$A),"")</f>
        <v/>
      </c>
      <c r="O3298" s="10">
        <f>IFERROR(_xlfn.XLOOKUP(C3298,[1]AttributeName!$C:$C,[1]AttributeName!$B:$B),"")</f>
        <v>10502</v>
      </c>
      <c r="P3298" s="10"/>
      <c r="Q3298">
        <v>0.2</v>
      </c>
      <c r="R3298">
        <v>0.2</v>
      </c>
      <c r="S3298" cm="1">
        <f t="array" ref="S3298">IFERROR(_xlfn.SWITCH(L3298,1,_xlfn.XLOOKUP(O3298,[1]AttributeName!$B:$B,[1]AttributeName!$D:$D),2,_xlfn.XLOOKUP(C3298,#REF!,#REF!),3,_xlfn.XLOOKUP(C3298,#REF!,#REF!)),0)</f>
        <v>2</v>
      </c>
      <c r="T3298" cm="1">
        <f t="array" ref="T3298">IFERROR(_xlfn.SWITCH(L3298,1,_xlfn.XLOOKUP(O3298,[1]AttributeName!$B:$B,[1]AttributeName!$E:$E),2,_xlfn.XLOOKUP(C3298,#REF!,#REF!),3,_xlfn.XLOOKUP(C3298,#REF!,#REF!)),0)</f>
        <v>2</v>
      </c>
    </row>
    <row r="3299" customFormat="1" spans="1:20">
      <c r="A3299">
        <v>1200103</v>
      </c>
      <c r="B3299">
        <v>1</v>
      </c>
      <c r="C3299" t="s">
        <v>404</v>
      </c>
      <c r="D3299" t="s">
        <v>64</v>
      </c>
      <c r="K3299" t="s">
        <v>497</v>
      </c>
      <c r="L3299">
        <f t="shared" si="132"/>
        <v>1</v>
      </c>
      <c r="M3299" s="10" t="str">
        <f>IFERROR(_xlfn.XLOOKUP(C3299,[1]StuntDes!$B:$B,[1]StuntDes!$A:$A),"")</f>
        <v/>
      </c>
      <c r="N3299" s="10" t="str">
        <f>IFERROR(_xlfn.XLOOKUP(C3299,[1]ModifierDes!$B:$B,[1]ModifierDes!$A:$A),"")</f>
        <v/>
      </c>
      <c r="O3299" s="10">
        <f>IFERROR(_xlfn.XLOOKUP(C3299,[1]AttributeName!$C:$C,[1]AttributeName!$B:$B),"")</f>
        <v>10503</v>
      </c>
      <c r="P3299" s="10"/>
      <c r="Q3299">
        <v>0.2</v>
      </c>
      <c r="R3299">
        <v>0.2</v>
      </c>
      <c r="S3299" cm="1">
        <f t="array" ref="S3299">IFERROR(_xlfn.SWITCH(L3299,1,_xlfn.XLOOKUP(O3299,[1]AttributeName!$B:$B,[1]AttributeName!$D:$D),2,_xlfn.XLOOKUP(C3299,#REF!,#REF!),3,_xlfn.XLOOKUP(C3299,#REF!,#REF!)),0)</f>
        <v>2</v>
      </c>
      <c r="T3299" cm="1">
        <f t="array" ref="T3299">IFERROR(_xlfn.SWITCH(L3299,1,_xlfn.XLOOKUP(O3299,[1]AttributeName!$B:$B,[1]AttributeName!$E:$E),2,_xlfn.XLOOKUP(C3299,#REF!,#REF!),3,_xlfn.XLOOKUP(C3299,#REF!,#REF!)),0)</f>
        <v>2</v>
      </c>
    </row>
    <row r="3300" spans="1:20">
      <c r="A3300">
        <v>1300101</v>
      </c>
      <c r="B3300">
        <v>1</v>
      </c>
      <c r="C3300" t="s">
        <v>401</v>
      </c>
      <c r="D3300" t="s">
        <v>68</v>
      </c>
      <c r="K3300" t="s">
        <v>498</v>
      </c>
      <c r="L3300">
        <f t="shared" si="132"/>
        <v>1</v>
      </c>
      <c r="M3300" s="10" t="str">
        <f>IFERROR(_xlfn.XLOOKUP(C3300,[1]StuntDes!$B:$B,[1]StuntDes!$A:$A),"")</f>
        <v/>
      </c>
      <c r="N3300" s="10" t="str">
        <f>IFERROR(_xlfn.XLOOKUP(C3300,[1]ModifierDes!$B:$B,[1]ModifierDes!$A:$A),"")</f>
        <v/>
      </c>
      <c r="O3300" s="10">
        <f>IFERROR(_xlfn.XLOOKUP(C3300,[1]AttributeName!$C:$C,[1]AttributeName!$B:$B),"")</f>
        <v>10500</v>
      </c>
      <c r="P3300" s="10"/>
      <c r="Q3300">
        <v>0.2</v>
      </c>
      <c r="R3300">
        <v>0.2</v>
      </c>
      <c r="S3300" cm="1">
        <f t="array" ref="S3300">IFERROR(_xlfn.SWITCH(L3300,1,_xlfn.XLOOKUP(O3300,[1]AttributeName!$B:$B,[1]AttributeName!$D:$D),2,_xlfn.XLOOKUP(C3300,#REF!,#REF!),3,_xlfn.XLOOKUP(C3300,#REF!,#REF!)),0)</f>
        <v>2</v>
      </c>
      <c r="T3300" cm="1">
        <f t="array" ref="T3300">IFERROR(_xlfn.SWITCH(L3300,1,_xlfn.XLOOKUP(O3300,[1]AttributeName!$B:$B,[1]AttributeName!$E:$E),2,_xlfn.XLOOKUP(C3300,#REF!,#REF!),3,_xlfn.XLOOKUP(C3300,#REF!,#REF!)),0)</f>
        <v>2</v>
      </c>
    </row>
    <row r="3301" spans="1:20">
      <c r="A3301">
        <v>1300102</v>
      </c>
      <c r="B3301">
        <v>1</v>
      </c>
      <c r="C3301" t="s">
        <v>405</v>
      </c>
      <c r="D3301" t="s">
        <v>68</v>
      </c>
      <c r="K3301" t="s">
        <v>499</v>
      </c>
      <c r="L3301">
        <f t="shared" si="132"/>
        <v>1</v>
      </c>
      <c r="M3301" s="10" t="str">
        <f>IFERROR(_xlfn.XLOOKUP(C3301,[1]StuntDes!$B:$B,[1]StuntDes!$A:$A),"")</f>
        <v/>
      </c>
      <c r="N3301" s="10" t="str">
        <f>IFERROR(_xlfn.XLOOKUP(C3301,[1]ModifierDes!$B:$B,[1]ModifierDes!$A:$A),"")</f>
        <v/>
      </c>
      <c r="O3301" s="10">
        <f>IFERROR(_xlfn.XLOOKUP(C3301,[1]AttributeName!$C:$C,[1]AttributeName!$B:$B),"")</f>
        <v>10504</v>
      </c>
      <c r="P3301" s="10"/>
      <c r="Q3301">
        <v>0.2</v>
      </c>
      <c r="R3301">
        <v>0.2</v>
      </c>
      <c r="S3301" cm="1">
        <f t="array" ref="S3301">IFERROR(_xlfn.SWITCH(L3301,1,_xlfn.XLOOKUP(O3301,[1]AttributeName!$B:$B,[1]AttributeName!$D:$D),2,_xlfn.XLOOKUP(C3301,#REF!,#REF!),3,_xlfn.XLOOKUP(C3301,#REF!,#REF!)),0)</f>
        <v>2</v>
      </c>
      <c r="T3301" cm="1">
        <f t="array" ref="T3301">IFERROR(_xlfn.SWITCH(L3301,1,_xlfn.XLOOKUP(O3301,[1]AttributeName!$B:$B,[1]AttributeName!$E:$E),2,_xlfn.XLOOKUP(C3301,#REF!,#REF!),3,_xlfn.XLOOKUP(C3301,#REF!,#REF!)),0)</f>
        <v>2</v>
      </c>
    </row>
    <row r="3302" customFormat="1" spans="1:20">
      <c r="A3302">
        <v>1300103</v>
      </c>
      <c r="B3302">
        <v>1</v>
      </c>
      <c r="C3302" t="s">
        <v>73</v>
      </c>
      <c r="D3302" t="s">
        <v>68</v>
      </c>
      <c r="K3302" t="s">
        <v>500</v>
      </c>
      <c r="L3302">
        <f t="shared" si="132"/>
        <v>1</v>
      </c>
      <c r="M3302" s="10" t="str">
        <f>IFERROR(_xlfn.XLOOKUP(C3302,[1]StuntDes!$B:$B,[1]StuntDes!$A:$A),"")</f>
        <v/>
      </c>
      <c r="N3302" s="10" t="str">
        <f>IFERROR(_xlfn.XLOOKUP(C3302,[1]ModifierDes!$B:$B,[1]ModifierDes!$A:$A),"")</f>
        <v/>
      </c>
      <c r="O3302" s="10">
        <f>IFERROR(_xlfn.XLOOKUP(C3302,[1]AttributeName!$C:$C,[1]AttributeName!$B:$B),"")</f>
        <v>10311</v>
      </c>
      <c r="P3302" s="10"/>
      <c r="Q3302">
        <v>0.2</v>
      </c>
      <c r="R3302">
        <v>0.2</v>
      </c>
      <c r="S3302" cm="1">
        <f t="array" ref="S3302">IFERROR(_xlfn.SWITCH(L3302,1,_xlfn.XLOOKUP(O3302,[1]AttributeName!$B:$B,[1]AttributeName!$D:$D),2,_xlfn.XLOOKUP(C3302,#REF!,#REF!),3,_xlfn.XLOOKUP(C3302,#REF!,#REF!)),0)</f>
        <v>2</v>
      </c>
      <c r="T3302" cm="1">
        <f t="array" ref="T3302">IFERROR(_xlfn.SWITCH(L3302,1,_xlfn.XLOOKUP(O3302,[1]AttributeName!$B:$B,[1]AttributeName!$E:$E),2,_xlfn.XLOOKUP(C3302,#REF!,#REF!),3,_xlfn.XLOOKUP(C3302,#REF!,#REF!)),0)</f>
        <v>2</v>
      </c>
    </row>
    <row r="3303" customFormat="1" spans="1:20">
      <c r="A3303">
        <v>1400101</v>
      </c>
      <c r="B3303">
        <v>1</v>
      </c>
      <c r="C3303" t="s">
        <v>423</v>
      </c>
      <c r="D3303" t="s">
        <v>74</v>
      </c>
      <c r="K3303" t="s">
        <v>501</v>
      </c>
      <c r="L3303">
        <f t="shared" si="132"/>
        <v>1</v>
      </c>
      <c r="M3303" s="10" t="str">
        <f>IFERROR(_xlfn.XLOOKUP(C3303,[1]StuntDes!$B:$B,[1]StuntDes!$A:$A),"")</f>
        <v/>
      </c>
      <c r="N3303" s="10" t="str">
        <f>IFERROR(_xlfn.XLOOKUP(C3303,[1]ModifierDes!$B:$B,[1]ModifierDes!$A:$A),"")</f>
        <v/>
      </c>
      <c r="O3303" s="10">
        <f>IFERROR(_xlfn.XLOOKUP(C3303,[1]AttributeName!$C:$C,[1]AttributeName!$B:$B),"")</f>
        <v>10312</v>
      </c>
      <c r="P3303" s="10"/>
      <c r="Q3303">
        <v>0.2</v>
      </c>
      <c r="R3303">
        <v>0.2</v>
      </c>
      <c r="S3303" cm="1">
        <f t="array" ref="S3303">IFERROR(_xlfn.SWITCH(L3303,1,_xlfn.XLOOKUP(O3303,[1]AttributeName!$B:$B,[1]AttributeName!$D:$D),2,_xlfn.XLOOKUP(C3303,#REF!,#REF!),3,_xlfn.XLOOKUP(C3303,#REF!,#REF!)),0)</f>
        <v>2</v>
      </c>
      <c r="T3303" cm="1">
        <f t="array" ref="T3303">IFERROR(_xlfn.SWITCH(L3303,1,_xlfn.XLOOKUP(O3303,[1]AttributeName!$B:$B,[1]AttributeName!$E:$E),2,_xlfn.XLOOKUP(C3303,#REF!,#REF!),3,_xlfn.XLOOKUP(C3303,#REF!,#REF!)),0)</f>
        <v>2</v>
      </c>
    </row>
    <row r="3304" spans="1:20">
      <c r="A3304">
        <v>1400102</v>
      </c>
      <c r="B3304">
        <v>1</v>
      </c>
      <c r="C3304" t="s">
        <v>424</v>
      </c>
      <c r="D3304" t="s">
        <v>74</v>
      </c>
      <c r="K3304" t="s">
        <v>502</v>
      </c>
      <c r="L3304">
        <f t="shared" si="132"/>
        <v>1</v>
      </c>
      <c r="M3304" s="10" t="str">
        <f>IFERROR(_xlfn.XLOOKUP(C3304,[1]StuntDes!$B:$B,[1]StuntDes!$A:$A),"")</f>
        <v/>
      </c>
      <c r="N3304" s="10" t="str">
        <f>IFERROR(_xlfn.XLOOKUP(C3304,[1]ModifierDes!$B:$B,[1]ModifierDes!$A:$A),"")</f>
        <v/>
      </c>
      <c r="O3304" s="10">
        <f>IFERROR(_xlfn.XLOOKUP(C3304,[1]AttributeName!$C:$C,[1]AttributeName!$B:$B),"")</f>
        <v>10313</v>
      </c>
      <c r="P3304" s="10"/>
      <c r="Q3304">
        <v>0.2</v>
      </c>
      <c r="R3304">
        <v>0.2</v>
      </c>
      <c r="S3304" cm="1">
        <f t="array" ref="S3304">IFERROR(_xlfn.SWITCH(L3304,1,_xlfn.XLOOKUP(O3304,[1]AttributeName!$B:$B,[1]AttributeName!$D:$D),2,_xlfn.XLOOKUP(C3304,#REF!,#REF!),3,_xlfn.XLOOKUP(C3304,#REF!,#REF!)),0)</f>
        <v>2</v>
      </c>
      <c r="T3304" cm="1">
        <f t="array" ref="T3304">IFERROR(_xlfn.SWITCH(L3304,1,_xlfn.XLOOKUP(O3304,[1]AttributeName!$B:$B,[1]AttributeName!$E:$E),2,_xlfn.XLOOKUP(C3304,#REF!,#REF!),3,_xlfn.XLOOKUP(C3304,#REF!,#REF!)),0)</f>
        <v>2</v>
      </c>
    </row>
    <row r="3305" customFormat="1" spans="1:20">
      <c r="A3305">
        <v>1400103</v>
      </c>
      <c r="B3305">
        <v>1</v>
      </c>
      <c r="C3305" t="s">
        <v>425</v>
      </c>
      <c r="D3305" t="s">
        <v>74</v>
      </c>
      <c r="K3305" t="s">
        <v>503</v>
      </c>
      <c r="L3305">
        <f t="shared" si="132"/>
        <v>1</v>
      </c>
      <c r="M3305" s="10" t="str">
        <f>IFERROR(_xlfn.XLOOKUP(C3305,[1]StuntDes!$B:$B,[1]StuntDes!$A:$A),"")</f>
        <v/>
      </c>
      <c r="N3305" s="10" t="str">
        <f>IFERROR(_xlfn.XLOOKUP(C3305,[1]ModifierDes!$B:$B,[1]ModifierDes!$A:$A),"")</f>
        <v/>
      </c>
      <c r="O3305" s="10">
        <f>IFERROR(_xlfn.XLOOKUP(C3305,[1]AttributeName!$C:$C,[1]AttributeName!$B:$B),"")</f>
        <v>10314</v>
      </c>
      <c r="P3305" s="10"/>
      <c r="Q3305">
        <v>0.2</v>
      </c>
      <c r="R3305">
        <v>0.2</v>
      </c>
      <c r="S3305" cm="1">
        <f t="array" ref="S3305">IFERROR(_xlfn.SWITCH(L3305,1,_xlfn.XLOOKUP(O3305,[1]AttributeName!$B:$B,[1]AttributeName!$D:$D),2,_xlfn.XLOOKUP(C3305,#REF!,#REF!),3,_xlfn.XLOOKUP(C3305,#REF!,#REF!)),0)</f>
        <v>2</v>
      </c>
      <c r="T3305" cm="1">
        <f t="array" ref="T3305">IFERROR(_xlfn.SWITCH(L3305,1,_xlfn.XLOOKUP(O3305,[1]AttributeName!$B:$B,[1]AttributeName!$E:$E),2,_xlfn.XLOOKUP(C3305,#REF!,#REF!),3,_xlfn.XLOOKUP(C3305,#REF!,#REF!)),0)</f>
        <v>2</v>
      </c>
    </row>
    <row r="3306" customFormat="1" spans="1:20">
      <c r="A3306">
        <v>1500101</v>
      </c>
      <c r="B3306">
        <v>1</v>
      </c>
      <c r="C3306" t="s">
        <v>400</v>
      </c>
      <c r="D3306" t="s">
        <v>78</v>
      </c>
      <c r="K3306" t="s">
        <v>504</v>
      </c>
      <c r="L3306">
        <f t="shared" si="132"/>
        <v>2</v>
      </c>
      <c r="M3306" s="10" t="str">
        <f>IFERROR(_xlfn.XLOOKUP(C3306,[1]StuntDes!$B:$B,[1]StuntDes!$A:$A),"")</f>
        <v/>
      </c>
      <c r="N3306" s="10">
        <f>IFERROR(_xlfn.XLOOKUP(C3306,[1]ModifierDes!$B:$B,[1]ModifierDes!$A:$A),"")</f>
        <v>10060</v>
      </c>
      <c r="O3306" s="10" t="str">
        <f>IFERROR(_xlfn.XLOOKUP(C3306,[1]AttributeName!$C:$C,[1]AttributeName!$B:$B),"")</f>
        <v/>
      </c>
      <c r="P3306" s="10"/>
      <c r="Q3306">
        <v>0.25</v>
      </c>
      <c r="R3306">
        <v>0.25</v>
      </c>
      <c r="S3306" cm="1">
        <f t="array" ref="S3306">IFERROR(_xlfn.SWITCH(L3306,1,_xlfn.XLOOKUP(O3306,[1]AttributeName!$B:$B,[1]AttributeName!$D:$D),2,_xlfn.XLOOKUP(C3306,#REF!,#REF!),3,_xlfn.XLOOKUP(C3306,#REF!,#REF!)),0)</f>
        <v>0</v>
      </c>
      <c r="T3306" cm="1">
        <f t="array" ref="T3306">IFERROR(_xlfn.SWITCH(L3306,1,_xlfn.XLOOKUP(O3306,[1]AttributeName!$B:$B,[1]AttributeName!$E:$E),2,_xlfn.XLOOKUP(C3306,#REF!,#REF!),3,_xlfn.XLOOKUP(C3306,#REF!,#REF!)),0)</f>
        <v>0</v>
      </c>
    </row>
    <row r="3307" customFormat="1" spans="1:20">
      <c r="A3307">
        <v>1500102</v>
      </c>
      <c r="B3307">
        <v>1</v>
      </c>
      <c r="C3307" t="s">
        <v>426</v>
      </c>
      <c r="D3307" t="s">
        <v>78</v>
      </c>
      <c r="K3307" t="s">
        <v>505</v>
      </c>
      <c r="L3307">
        <f t="shared" si="132"/>
        <v>2</v>
      </c>
      <c r="M3307" s="10" t="str">
        <f>IFERROR(_xlfn.XLOOKUP(C3307,[1]StuntDes!$B:$B,[1]StuntDes!$A:$A),"")</f>
        <v/>
      </c>
      <c r="N3307" s="10">
        <f>IFERROR(_xlfn.XLOOKUP(C3307,[1]ModifierDes!$B:$B,[1]ModifierDes!$A:$A),"")</f>
        <v>10061</v>
      </c>
      <c r="O3307" s="10" t="str">
        <f>IFERROR(_xlfn.XLOOKUP(C3307,[1]AttributeName!$C:$C,[1]AttributeName!$B:$B),"")</f>
        <v/>
      </c>
      <c r="P3307" s="10"/>
      <c r="Q3307">
        <v>0.25</v>
      </c>
      <c r="R3307">
        <v>0.25</v>
      </c>
      <c r="S3307" cm="1">
        <f t="array" ref="S3307">IFERROR(_xlfn.SWITCH(L3307,1,_xlfn.XLOOKUP(O3307,[1]AttributeName!$B:$B,[1]AttributeName!$D:$D),2,_xlfn.XLOOKUP(C3307,#REF!,#REF!),3,_xlfn.XLOOKUP(C3307,#REF!,#REF!)),0)</f>
        <v>0</v>
      </c>
      <c r="T3307" cm="1">
        <f t="array" ref="T3307">IFERROR(_xlfn.SWITCH(L3307,1,_xlfn.XLOOKUP(O3307,[1]AttributeName!$B:$B,[1]AttributeName!$E:$E),2,_xlfn.XLOOKUP(C3307,#REF!,#REF!),3,_xlfn.XLOOKUP(C3307,#REF!,#REF!)),0)</f>
        <v>0</v>
      </c>
    </row>
    <row r="3308" customFormat="1" spans="1:20">
      <c r="A3308">
        <v>1500103</v>
      </c>
      <c r="B3308">
        <v>1</v>
      </c>
      <c r="C3308" t="s">
        <v>82</v>
      </c>
      <c r="D3308" t="s">
        <v>78</v>
      </c>
      <c r="K3308" t="s">
        <v>506</v>
      </c>
      <c r="L3308">
        <f t="shared" si="132"/>
        <v>1</v>
      </c>
      <c r="M3308" s="10" t="str">
        <f>IFERROR(_xlfn.XLOOKUP(C3308,[1]StuntDes!$B:$B,[1]StuntDes!$A:$A),"")</f>
        <v/>
      </c>
      <c r="N3308" s="10" t="str">
        <f>IFERROR(_xlfn.XLOOKUP(C3308,[1]ModifierDes!$B:$B,[1]ModifierDes!$A:$A),"")</f>
        <v/>
      </c>
      <c r="O3308" s="10">
        <f>IFERROR(_xlfn.XLOOKUP(C3308,[1]AttributeName!$C:$C,[1]AttributeName!$B:$B),"")</f>
        <v>10315</v>
      </c>
      <c r="P3308" s="10"/>
      <c r="Q3308">
        <v>0.15</v>
      </c>
      <c r="R3308">
        <v>0.15</v>
      </c>
      <c r="S3308" cm="1">
        <f t="array" ref="S3308">IFERROR(_xlfn.SWITCH(L3308,1,_xlfn.XLOOKUP(O3308,[1]AttributeName!$B:$B,[1]AttributeName!$D:$D),2,_xlfn.XLOOKUP(C3308,#REF!,#REF!),3,_xlfn.XLOOKUP(C3308,#REF!,#REF!)),0)</f>
        <v>2</v>
      </c>
      <c r="T3308" cm="1">
        <f t="array" ref="T3308">IFERROR(_xlfn.SWITCH(L3308,1,_xlfn.XLOOKUP(O3308,[1]AttributeName!$B:$B,[1]AttributeName!$E:$E),2,_xlfn.XLOOKUP(C3308,#REF!,#REF!),3,_xlfn.XLOOKUP(C3308,#REF!,#REF!)),0)</f>
        <v>2</v>
      </c>
    </row>
    <row r="3309" customFormat="1" spans="1:20">
      <c r="A3309">
        <v>1600101</v>
      </c>
      <c r="B3309">
        <v>1</v>
      </c>
      <c r="C3309" t="s">
        <v>406</v>
      </c>
      <c r="D3309" t="s">
        <v>83</v>
      </c>
      <c r="K3309" t="s">
        <v>507</v>
      </c>
      <c r="L3309">
        <f t="shared" si="132"/>
        <v>2</v>
      </c>
      <c r="M3309" s="10" t="str">
        <f>IFERROR(_xlfn.XLOOKUP(C3309,[1]StuntDes!$B:$B,[1]StuntDes!$A:$A),"")</f>
        <v/>
      </c>
      <c r="N3309" s="10">
        <f>IFERROR(_xlfn.XLOOKUP(C3309,[1]ModifierDes!$B:$B,[1]ModifierDes!$A:$A),"")</f>
        <v>10031</v>
      </c>
      <c r="O3309" s="10" t="str">
        <f>IFERROR(_xlfn.XLOOKUP(C3309,[1]AttributeName!$C:$C,[1]AttributeName!$B:$B),"")</f>
        <v/>
      </c>
      <c r="P3309" s="10"/>
      <c r="Q3309">
        <v>0.15</v>
      </c>
      <c r="R3309">
        <v>0.15</v>
      </c>
      <c r="S3309" cm="1">
        <f t="array" ref="S3309">IFERROR(_xlfn.SWITCH(L3309,1,_xlfn.XLOOKUP(O3309,[1]AttributeName!$B:$B,[1]AttributeName!$D:$D),2,_xlfn.XLOOKUP(C3309,#REF!,#REF!),3,_xlfn.XLOOKUP(C3309,#REF!,#REF!)),0)</f>
        <v>0</v>
      </c>
      <c r="T3309" cm="1">
        <f t="array" ref="T3309">IFERROR(_xlfn.SWITCH(L3309,1,_xlfn.XLOOKUP(O3309,[1]AttributeName!$B:$B,[1]AttributeName!$E:$E),2,_xlfn.XLOOKUP(C3309,#REF!,#REF!),3,_xlfn.XLOOKUP(C3309,#REF!,#REF!)),0)</f>
        <v>0</v>
      </c>
    </row>
    <row r="3310" customFormat="1" spans="1:20">
      <c r="A3310">
        <v>1600102</v>
      </c>
      <c r="B3310">
        <v>1</v>
      </c>
      <c r="C3310" t="s">
        <v>444</v>
      </c>
      <c r="D3310" t="s">
        <v>508</v>
      </c>
      <c r="K3310" t="s">
        <v>509</v>
      </c>
      <c r="L3310">
        <f t="shared" si="132"/>
        <v>2</v>
      </c>
      <c r="M3310" s="10" t="str">
        <f>IFERROR(_xlfn.XLOOKUP(C3310,[1]StuntDes!$B:$B,[1]StuntDes!$A:$A),"")</f>
        <v/>
      </c>
      <c r="N3310" s="10">
        <f>IFERROR(_xlfn.XLOOKUP(C3310,[1]ModifierDes!$B:$B,[1]ModifierDes!$A:$A),"")</f>
        <v>10050</v>
      </c>
      <c r="O3310" s="10" t="str">
        <f>IFERROR(_xlfn.XLOOKUP(C3310,[1]AttributeName!$C:$C,[1]AttributeName!$B:$B),"")</f>
        <v/>
      </c>
      <c r="P3310" s="10"/>
      <c r="Q3310">
        <v>0.15</v>
      </c>
      <c r="R3310">
        <v>0.15</v>
      </c>
      <c r="S3310" cm="1">
        <f t="array" ref="S3310">IFERROR(_xlfn.SWITCH(L3310,1,_xlfn.XLOOKUP(O3310,[1]AttributeName!$B:$B,[1]AttributeName!$D:$D),2,_xlfn.XLOOKUP(C3310,#REF!,#REF!),3,_xlfn.XLOOKUP(C3310,#REF!,#REF!)),0)</f>
        <v>0</v>
      </c>
      <c r="T3310" cm="1">
        <f t="array" ref="T3310">IFERROR(_xlfn.SWITCH(L3310,1,_xlfn.XLOOKUP(O3310,[1]AttributeName!$B:$B,[1]AttributeName!$E:$E),2,_xlfn.XLOOKUP(C3310,#REF!,#REF!),3,_xlfn.XLOOKUP(C3310,#REF!,#REF!)),0)</f>
        <v>0</v>
      </c>
    </row>
    <row r="3311" spans="1:20">
      <c r="A3311">
        <v>1600103</v>
      </c>
      <c r="B3311">
        <v>1</v>
      </c>
      <c r="C3311" t="s">
        <v>510</v>
      </c>
      <c r="D3311" t="s">
        <v>87</v>
      </c>
      <c r="K3311" t="s">
        <v>511</v>
      </c>
      <c r="L3311">
        <f t="shared" si="132"/>
        <v>1</v>
      </c>
      <c r="M3311" s="10" t="str">
        <f>IFERROR(_xlfn.XLOOKUP(C3311,[1]StuntDes!$B:$B,[1]StuntDes!$A:$A),"")</f>
        <v/>
      </c>
      <c r="N3311" s="10" t="str">
        <f>IFERROR(_xlfn.XLOOKUP(C3311,[1]ModifierDes!$B:$B,[1]ModifierDes!$A:$A),"")</f>
        <v/>
      </c>
      <c r="O3311" s="10">
        <f>IFERROR(_xlfn.XLOOKUP(C3311,[1]AttributeName!$C:$C,[1]AttributeName!$B:$B),"")</f>
        <v>10033</v>
      </c>
      <c r="P3311" s="10"/>
      <c r="Q3311">
        <v>0.15</v>
      </c>
      <c r="R3311">
        <v>0.15</v>
      </c>
      <c r="S3311" cm="1">
        <f t="array" ref="S3311">IFERROR(_xlfn.SWITCH(L3311,1,_xlfn.XLOOKUP(O3311,[1]AttributeName!$B:$B,[1]AttributeName!$D:$D),2,_xlfn.XLOOKUP(C3311,#REF!,#REF!),3,_xlfn.XLOOKUP(C3311,#REF!,#REF!)),0)</f>
        <v>0</v>
      </c>
      <c r="T3311" cm="1">
        <f t="array" ref="T3311">IFERROR(_xlfn.SWITCH(L3311,1,_xlfn.XLOOKUP(O3311,[1]AttributeName!$B:$B,[1]AttributeName!$E:$E),2,_xlfn.XLOOKUP(C3311,#REF!,#REF!),3,_xlfn.XLOOKUP(C3311,#REF!,#REF!)),0)</f>
        <v>1</v>
      </c>
    </row>
    <row r="3312" spans="1:20">
      <c r="A3312">
        <v>1700101</v>
      </c>
      <c r="B3312">
        <v>1</v>
      </c>
      <c r="C3312" t="s">
        <v>384</v>
      </c>
      <c r="D3312" t="s">
        <v>89</v>
      </c>
      <c r="K3312" t="s">
        <v>512</v>
      </c>
      <c r="L3312">
        <f t="shared" si="132"/>
        <v>1</v>
      </c>
      <c r="M3312" s="10" t="str">
        <f>IFERROR(_xlfn.XLOOKUP(C3312,[1]StuntDes!$B:$B,[1]StuntDes!$A:$A),"")</f>
        <v/>
      </c>
      <c r="N3312" s="10" t="str">
        <f>IFERROR(_xlfn.XLOOKUP(C3312,[1]ModifierDes!$B:$B,[1]ModifierDes!$A:$A),"")</f>
        <v/>
      </c>
      <c r="O3312" s="10">
        <f>IFERROR(_xlfn.XLOOKUP(C3312,[1]AttributeName!$C:$C,[1]AttributeName!$B:$B),"")</f>
        <v>10303</v>
      </c>
      <c r="P3312" s="10"/>
      <c r="Q3312">
        <v>0.3</v>
      </c>
      <c r="R3312">
        <v>0.3</v>
      </c>
      <c r="S3312" cm="1">
        <f t="array" ref="S3312">IFERROR(_xlfn.SWITCH(L3312,1,_xlfn.XLOOKUP(O3312,[1]AttributeName!$B:$B,[1]AttributeName!$D:$D),2,_xlfn.XLOOKUP(C3312,#REF!,#REF!),3,_xlfn.XLOOKUP(C3312,#REF!,#REF!)),0)</f>
        <v>2</v>
      </c>
      <c r="T3312" cm="1">
        <f t="array" ref="T3312">IFERROR(_xlfn.SWITCH(L3312,1,_xlfn.XLOOKUP(O3312,[1]AttributeName!$B:$B,[1]AttributeName!$E:$E),2,_xlfn.XLOOKUP(C3312,#REF!,#REF!),3,_xlfn.XLOOKUP(C3312,#REF!,#REF!)),0)</f>
        <v>2</v>
      </c>
    </row>
    <row r="3313" spans="1:20">
      <c r="A3313">
        <v>1700102</v>
      </c>
      <c r="B3313">
        <v>1</v>
      </c>
      <c r="C3313" t="s">
        <v>385</v>
      </c>
      <c r="D3313" t="s">
        <v>91</v>
      </c>
      <c r="K3313" t="s">
        <v>513</v>
      </c>
      <c r="L3313">
        <f t="shared" si="132"/>
        <v>1</v>
      </c>
      <c r="M3313" s="10" t="str">
        <f>IFERROR(_xlfn.XLOOKUP(C3313,[1]StuntDes!$B:$B,[1]StuntDes!$A:$A),"")</f>
        <v/>
      </c>
      <c r="N3313" s="10" t="str">
        <f>IFERROR(_xlfn.XLOOKUP(C3313,[1]ModifierDes!$B:$B,[1]ModifierDes!$A:$A),"")</f>
        <v/>
      </c>
      <c r="O3313" s="10">
        <f>IFERROR(_xlfn.XLOOKUP(C3313,[1]AttributeName!$C:$C,[1]AttributeName!$B:$B),"")</f>
        <v>10304</v>
      </c>
      <c r="P3313" s="10"/>
      <c r="Q3313">
        <v>0.3</v>
      </c>
      <c r="R3313">
        <v>0.3</v>
      </c>
      <c r="S3313" cm="1">
        <f t="array" ref="S3313">IFERROR(_xlfn.SWITCH(L3313,1,_xlfn.XLOOKUP(O3313,[1]AttributeName!$B:$B,[1]AttributeName!$D:$D),2,_xlfn.XLOOKUP(C3313,#REF!,#REF!),3,_xlfn.XLOOKUP(C3313,#REF!,#REF!)),0)</f>
        <v>2</v>
      </c>
      <c r="T3313" cm="1">
        <f t="array" ref="T3313">IFERROR(_xlfn.SWITCH(L3313,1,_xlfn.XLOOKUP(O3313,[1]AttributeName!$B:$B,[1]AttributeName!$E:$E),2,_xlfn.XLOOKUP(C3313,#REF!,#REF!),3,_xlfn.XLOOKUP(C3313,#REF!,#REF!)),0)</f>
        <v>2</v>
      </c>
    </row>
    <row r="3314" spans="1:20">
      <c r="A3314">
        <v>1700103</v>
      </c>
      <c r="B3314">
        <v>1</v>
      </c>
      <c r="C3314" t="s">
        <v>386</v>
      </c>
      <c r="D3314" t="s">
        <v>91</v>
      </c>
      <c r="K3314" t="s">
        <v>514</v>
      </c>
      <c r="L3314">
        <f t="shared" si="132"/>
        <v>1</v>
      </c>
      <c r="M3314" s="10" t="str">
        <f>IFERROR(_xlfn.XLOOKUP(C3314,[1]StuntDes!$B:$B,[1]StuntDes!$A:$A),"")</f>
        <v/>
      </c>
      <c r="N3314" s="10" t="str">
        <f>IFERROR(_xlfn.XLOOKUP(C3314,[1]ModifierDes!$B:$B,[1]ModifierDes!$A:$A),"")</f>
        <v/>
      </c>
      <c r="O3314" s="10">
        <f>IFERROR(_xlfn.XLOOKUP(C3314,[1]AttributeName!$C:$C,[1]AttributeName!$B:$B),"")</f>
        <v>10305</v>
      </c>
      <c r="P3314" s="10"/>
      <c r="Q3314">
        <v>0.3</v>
      </c>
      <c r="R3314">
        <v>0.3</v>
      </c>
      <c r="S3314" cm="1">
        <f t="array" ref="S3314">IFERROR(_xlfn.SWITCH(L3314,1,_xlfn.XLOOKUP(O3314,[1]AttributeName!$B:$B,[1]AttributeName!$D:$D),2,_xlfn.XLOOKUP(C3314,#REF!,#REF!),3,_xlfn.XLOOKUP(C3314,#REF!,#REF!)),0)</f>
        <v>2</v>
      </c>
      <c r="T3314" cm="1">
        <f t="array" ref="T3314">IFERROR(_xlfn.SWITCH(L3314,1,_xlfn.XLOOKUP(O3314,[1]AttributeName!$B:$B,[1]AttributeName!$E:$E),2,_xlfn.XLOOKUP(C3314,#REF!,#REF!),3,_xlfn.XLOOKUP(C3314,#REF!,#REF!)),0)</f>
        <v>2</v>
      </c>
    </row>
    <row r="3315" spans="1:20">
      <c r="A3315">
        <v>1700104</v>
      </c>
      <c r="B3315">
        <v>1</v>
      </c>
      <c r="C3315" t="s">
        <v>387</v>
      </c>
      <c r="D3315" t="s">
        <v>91</v>
      </c>
      <c r="K3315" t="s">
        <v>515</v>
      </c>
      <c r="L3315">
        <f t="shared" si="132"/>
        <v>1</v>
      </c>
      <c r="M3315" s="10" t="str">
        <f>IFERROR(_xlfn.XLOOKUP(C3315,[1]StuntDes!$B:$B,[1]StuntDes!$A:$A),"")</f>
        <v/>
      </c>
      <c r="N3315" s="10" t="str">
        <f>IFERROR(_xlfn.XLOOKUP(C3315,[1]ModifierDes!$B:$B,[1]ModifierDes!$A:$A),"")</f>
        <v/>
      </c>
      <c r="O3315" s="10">
        <f>IFERROR(_xlfn.XLOOKUP(C3315,[1]AttributeName!$C:$C,[1]AttributeName!$B:$B),"")</f>
        <v>10306</v>
      </c>
      <c r="P3315" s="10"/>
      <c r="Q3315">
        <v>0.3</v>
      </c>
      <c r="R3315">
        <v>0.3</v>
      </c>
      <c r="S3315" cm="1">
        <f t="array" ref="S3315">IFERROR(_xlfn.SWITCH(L3315,1,_xlfn.XLOOKUP(O3315,[1]AttributeName!$B:$B,[1]AttributeName!$D:$D),2,_xlfn.XLOOKUP(C3315,#REF!,#REF!),3,_xlfn.XLOOKUP(C3315,#REF!,#REF!)),0)</f>
        <v>2</v>
      </c>
      <c r="T3315" cm="1">
        <f t="array" ref="T3315">IFERROR(_xlfn.SWITCH(L3315,1,_xlfn.XLOOKUP(O3315,[1]AttributeName!$B:$B,[1]AttributeName!$E:$E),2,_xlfn.XLOOKUP(C3315,#REF!,#REF!),3,_xlfn.XLOOKUP(C3315,#REF!,#REF!)),0)</f>
        <v>2</v>
      </c>
    </row>
    <row r="3316" spans="1:20">
      <c r="A3316">
        <v>1700105</v>
      </c>
      <c r="B3316">
        <v>1</v>
      </c>
      <c r="C3316" t="s">
        <v>388</v>
      </c>
      <c r="D3316" t="s">
        <v>91</v>
      </c>
      <c r="K3316" t="s">
        <v>516</v>
      </c>
      <c r="L3316">
        <f t="shared" si="132"/>
        <v>1</v>
      </c>
      <c r="M3316" s="10" t="str">
        <f>IFERROR(_xlfn.XLOOKUP(C3316,[1]StuntDes!$B:$B,[1]StuntDes!$A:$A),"")</f>
        <v/>
      </c>
      <c r="N3316" s="10" t="str">
        <f>IFERROR(_xlfn.XLOOKUP(C3316,[1]ModifierDes!$B:$B,[1]ModifierDes!$A:$A),"")</f>
        <v/>
      </c>
      <c r="O3316" s="10">
        <f>IFERROR(_xlfn.XLOOKUP(C3316,[1]AttributeName!$C:$C,[1]AttributeName!$B:$B),"")</f>
        <v>10307</v>
      </c>
      <c r="P3316" s="10"/>
      <c r="Q3316">
        <v>0.3</v>
      </c>
      <c r="R3316">
        <v>0.3</v>
      </c>
      <c r="S3316" cm="1">
        <f t="array" ref="S3316">IFERROR(_xlfn.SWITCH(L3316,1,_xlfn.XLOOKUP(O3316,[1]AttributeName!$B:$B,[1]AttributeName!$D:$D),2,_xlfn.XLOOKUP(C3316,#REF!,#REF!),3,_xlfn.XLOOKUP(C3316,#REF!,#REF!)),0)</f>
        <v>2</v>
      </c>
      <c r="T3316" cm="1">
        <f t="array" ref="T3316">IFERROR(_xlfn.SWITCH(L3316,1,_xlfn.XLOOKUP(O3316,[1]AttributeName!$B:$B,[1]AttributeName!$E:$E),2,_xlfn.XLOOKUP(C3316,#REF!,#REF!),3,_xlfn.XLOOKUP(C3316,#REF!,#REF!)),0)</f>
        <v>2</v>
      </c>
    </row>
    <row r="3317" customFormat="1" spans="1:20">
      <c r="A3317">
        <v>1700106</v>
      </c>
      <c r="B3317">
        <v>1</v>
      </c>
      <c r="C3317" t="s">
        <v>445</v>
      </c>
      <c r="D3317" t="s">
        <v>96</v>
      </c>
      <c r="K3317" t="s">
        <v>517</v>
      </c>
      <c r="L3317">
        <f t="shared" si="132"/>
        <v>1</v>
      </c>
      <c r="M3317" s="10" t="str">
        <f>IFERROR(_xlfn.XLOOKUP(C3317,[1]StuntDes!$B:$B,[1]StuntDes!$A:$A),"")</f>
        <v/>
      </c>
      <c r="N3317" s="10" t="str">
        <f>IFERROR(_xlfn.XLOOKUP(C3317,[1]ModifierDes!$B:$B,[1]ModifierDes!$A:$A),"")</f>
        <v/>
      </c>
      <c r="O3317" s="10">
        <f>IFERROR(_xlfn.XLOOKUP(C3317,[1]AttributeName!$C:$C,[1]AttributeName!$B:$B),"")</f>
        <v>10300</v>
      </c>
      <c r="P3317" s="10"/>
      <c r="Q3317">
        <v>0.15</v>
      </c>
      <c r="R3317">
        <v>0.15</v>
      </c>
      <c r="S3317" cm="1">
        <f t="array" ref="S3317">IFERROR(_xlfn.SWITCH(L3317,1,_xlfn.XLOOKUP(O3317,[1]AttributeName!$B:$B,[1]AttributeName!$D:$D),2,_xlfn.XLOOKUP(C3317,#REF!,#REF!),3,_xlfn.XLOOKUP(C3317,#REF!,#REF!)),0)</f>
        <v>2</v>
      </c>
      <c r="T3317" cm="1">
        <f t="array" ref="T3317">IFERROR(_xlfn.SWITCH(L3317,1,_xlfn.XLOOKUP(O3317,[1]AttributeName!$B:$B,[1]AttributeName!$E:$E),2,_xlfn.XLOOKUP(C3317,#REF!,#REF!),3,_xlfn.XLOOKUP(C3317,#REF!,#REF!)),0)</f>
        <v>2</v>
      </c>
    </row>
    <row r="3318" spans="1:20">
      <c r="A3318">
        <v>1800101</v>
      </c>
      <c r="B3318">
        <v>1</v>
      </c>
      <c r="C3318" t="s">
        <v>518</v>
      </c>
      <c r="D3318" t="s">
        <v>98</v>
      </c>
      <c r="K3318" t="s">
        <v>519</v>
      </c>
      <c r="L3318">
        <f t="shared" si="132"/>
        <v>1</v>
      </c>
      <c r="M3318" s="10" t="str">
        <f>IFERROR(_xlfn.XLOOKUP(C3318,[1]StuntDes!$B:$B,[1]StuntDes!$A:$A),"")</f>
        <v/>
      </c>
      <c r="N3318" s="10" t="str">
        <f>IFERROR(_xlfn.XLOOKUP(C3318,[1]ModifierDes!$B:$B,[1]ModifierDes!$A:$A),"")</f>
        <v/>
      </c>
      <c r="O3318" s="10">
        <f>IFERROR(_xlfn.XLOOKUP(C3318,[1]AttributeName!$C:$C,[1]AttributeName!$B:$B),"")</f>
        <v>11007</v>
      </c>
      <c r="P3318" s="10"/>
      <c r="Q3318">
        <v>0.2</v>
      </c>
      <c r="R3318">
        <v>0.2</v>
      </c>
      <c r="S3318" cm="1">
        <f t="array" ref="S3318">IFERROR(_xlfn.SWITCH(L3318,1,_xlfn.XLOOKUP(O3318,[1]AttributeName!$B:$B,[1]AttributeName!$D:$D),2,_xlfn.XLOOKUP(C3318,#REF!,#REF!),3,_xlfn.XLOOKUP(C3318,#REF!,#REF!)),0)</f>
        <v>2</v>
      </c>
      <c r="T3318" cm="1">
        <f t="array" ref="T3318">IFERROR(_xlfn.SWITCH(L3318,1,_xlfn.XLOOKUP(O3318,[1]AttributeName!$B:$B,[1]AttributeName!$E:$E),2,_xlfn.XLOOKUP(C3318,#REF!,#REF!),3,_xlfn.XLOOKUP(C3318,#REF!,#REF!)),0)</f>
        <v>2</v>
      </c>
    </row>
    <row r="3319" spans="1:20">
      <c r="A3319">
        <v>1800102</v>
      </c>
      <c r="B3319">
        <v>1</v>
      </c>
      <c r="C3319" t="s">
        <v>469</v>
      </c>
      <c r="D3319" t="s">
        <v>100</v>
      </c>
      <c r="K3319" t="s">
        <v>520</v>
      </c>
      <c r="L3319">
        <f t="shared" si="132"/>
        <v>1</v>
      </c>
      <c r="M3319" s="10" t="str">
        <f>IFERROR(_xlfn.XLOOKUP(C3319,[1]StuntDes!$B:$B,[1]StuntDes!$A:$A),"")</f>
        <v/>
      </c>
      <c r="N3319" s="10" t="str">
        <f>IFERROR(_xlfn.XLOOKUP(C3319,[1]ModifierDes!$B:$B,[1]ModifierDes!$A:$A),"")</f>
        <v/>
      </c>
      <c r="O3319" s="10">
        <f>IFERROR(_xlfn.XLOOKUP(C3319,[1]AttributeName!$C:$C,[1]AttributeName!$B:$B),"")</f>
        <v>11008</v>
      </c>
      <c r="P3319" s="10"/>
      <c r="Q3319">
        <v>0.2</v>
      </c>
      <c r="R3319">
        <v>0.2</v>
      </c>
      <c r="S3319" cm="1">
        <f t="array" ref="S3319">IFERROR(_xlfn.SWITCH(L3319,1,_xlfn.XLOOKUP(O3319,[1]AttributeName!$B:$B,[1]AttributeName!$D:$D),2,_xlfn.XLOOKUP(C3319,#REF!,#REF!),3,_xlfn.XLOOKUP(C3319,#REF!,#REF!)),0)</f>
        <v>2</v>
      </c>
      <c r="T3319" cm="1">
        <f t="array" ref="T3319">IFERROR(_xlfn.SWITCH(L3319,1,_xlfn.XLOOKUP(O3319,[1]AttributeName!$B:$B,[1]AttributeName!$E:$E),2,_xlfn.XLOOKUP(C3319,#REF!,#REF!),3,_xlfn.XLOOKUP(C3319,#REF!,#REF!)),0)</f>
        <v>2</v>
      </c>
    </row>
    <row r="3320" spans="1:20">
      <c r="A3320">
        <v>1800103</v>
      </c>
      <c r="B3320">
        <v>1</v>
      </c>
      <c r="C3320" t="s">
        <v>454</v>
      </c>
      <c r="D3320" t="s">
        <v>100</v>
      </c>
      <c r="K3320" t="s">
        <v>521</v>
      </c>
      <c r="L3320">
        <f t="shared" si="132"/>
        <v>1</v>
      </c>
      <c r="M3320" s="10" t="str">
        <f>IFERROR(_xlfn.XLOOKUP(C3320,[1]StuntDes!$B:$B,[1]StuntDes!$A:$A),"")</f>
        <v/>
      </c>
      <c r="N3320" s="10" t="str">
        <f>IFERROR(_xlfn.XLOOKUP(C3320,[1]ModifierDes!$B:$B,[1]ModifierDes!$A:$A),"")</f>
        <v/>
      </c>
      <c r="O3320" s="10">
        <f>IFERROR(_xlfn.XLOOKUP(C3320,[1]AttributeName!$C:$C,[1]AttributeName!$B:$B),"")</f>
        <v>11010</v>
      </c>
      <c r="P3320" s="10"/>
      <c r="Q3320">
        <v>0.2</v>
      </c>
      <c r="R3320">
        <v>0.2</v>
      </c>
      <c r="S3320" cm="1">
        <f t="array" ref="S3320">IFERROR(_xlfn.SWITCH(L3320,1,_xlfn.XLOOKUP(O3320,[1]AttributeName!$B:$B,[1]AttributeName!$D:$D),2,_xlfn.XLOOKUP(C3320,#REF!,#REF!),3,_xlfn.XLOOKUP(C3320,#REF!,#REF!)),0)</f>
        <v>2</v>
      </c>
      <c r="T3320" cm="1">
        <f t="array" ref="T3320">IFERROR(_xlfn.SWITCH(L3320,1,_xlfn.XLOOKUP(O3320,[1]AttributeName!$B:$B,[1]AttributeName!$E:$E),2,_xlfn.XLOOKUP(C3320,#REF!,#REF!),3,_xlfn.XLOOKUP(C3320,#REF!,#REF!)),0)</f>
        <v>2</v>
      </c>
    </row>
    <row r="3321" spans="1:20">
      <c r="A3321">
        <v>1800104</v>
      </c>
      <c r="B3321">
        <v>1</v>
      </c>
      <c r="C3321" t="s">
        <v>522</v>
      </c>
      <c r="D3321" t="s">
        <v>100</v>
      </c>
      <c r="K3321" t="s">
        <v>523</v>
      </c>
      <c r="L3321">
        <f t="shared" si="132"/>
        <v>1</v>
      </c>
      <c r="M3321" s="10" t="str">
        <f>IFERROR(_xlfn.XLOOKUP(C3321,[1]StuntDes!$B:$B,[1]StuntDes!$A:$A),"")</f>
        <v/>
      </c>
      <c r="N3321" s="10" t="str">
        <f>IFERROR(_xlfn.XLOOKUP(C3321,[1]ModifierDes!$B:$B,[1]ModifierDes!$A:$A),"")</f>
        <v/>
      </c>
      <c r="O3321" s="10">
        <f>IFERROR(_xlfn.XLOOKUP(C3321,[1]AttributeName!$C:$C,[1]AttributeName!$B:$B),"")</f>
        <v>11039</v>
      </c>
      <c r="P3321" s="10"/>
      <c r="Q3321">
        <v>0.2</v>
      </c>
      <c r="R3321">
        <v>0.2</v>
      </c>
      <c r="S3321" cm="1">
        <f t="array" ref="S3321">IFERROR(_xlfn.SWITCH(L3321,1,_xlfn.XLOOKUP(O3321,[1]AttributeName!$B:$B,[1]AttributeName!$D:$D),2,_xlfn.XLOOKUP(C3321,#REF!,#REF!),3,_xlfn.XLOOKUP(C3321,#REF!,#REF!)),0)</f>
        <v>2</v>
      </c>
      <c r="T3321" cm="1">
        <f t="array" ref="T3321">IFERROR(_xlfn.SWITCH(L3321,1,_xlfn.XLOOKUP(O3321,[1]AttributeName!$B:$B,[1]AttributeName!$E:$E),2,_xlfn.XLOOKUP(C3321,#REF!,#REF!),3,_xlfn.XLOOKUP(C3321,#REF!,#REF!)),0)</f>
        <v>2</v>
      </c>
    </row>
    <row r="3322" spans="1:20">
      <c r="A3322">
        <v>1900101</v>
      </c>
      <c r="B3322">
        <v>1</v>
      </c>
      <c r="C3322" t="s">
        <v>484</v>
      </c>
      <c r="D3322" t="s">
        <v>103</v>
      </c>
      <c r="K3322" t="s">
        <v>524</v>
      </c>
      <c r="L3322">
        <f t="shared" si="132"/>
        <v>2</v>
      </c>
      <c r="M3322" s="10" t="str">
        <f>IFERROR(_xlfn.XLOOKUP(C3322,[1]StuntDes!$B:$B,[1]StuntDes!$A:$A),"")</f>
        <v/>
      </c>
      <c r="N3322" s="10">
        <f>IFERROR(_xlfn.XLOOKUP(C3322,[1]ModifierDes!$B:$B,[1]ModifierDes!$A:$A),"")</f>
        <v>10062</v>
      </c>
      <c r="O3322" s="10" t="str">
        <f>IFERROR(_xlfn.XLOOKUP(C3322,[1]AttributeName!$C:$C,[1]AttributeName!$B:$B),"")</f>
        <v/>
      </c>
      <c r="P3322" s="10"/>
      <c r="Q3322">
        <v>0.2</v>
      </c>
      <c r="R3322">
        <v>0.2</v>
      </c>
      <c r="S3322" cm="1">
        <f t="array" ref="S3322">IFERROR(_xlfn.SWITCH(L3322,1,_xlfn.XLOOKUP(O3322,[1]AttributeName!$B:$B,[1]AttributeName!$D:$D),2,_xlfn.XLOOKUP(C3322,#REF!,#REF!),3,_xlfn.XLOOKUP(C3322,#REF!,#REF!)),0)</f>
        <v>0</v>
      </c>
      <c r="T3322" cm="1">
        <f t="array" ref="T3322">IFERROR(_xlfn.SWITCH(L3322,1,_xlfn.XLOOKUP(O3322,[1]AttributeName!$B:$B,[1]AttributeName!$E:$E),2,_xlfn.XLOOKUP(C3322,#REF!,#REF!),3,_xlfn.XLOOKUP(C3322,#REF!,#REF!)),0)</f>
        <v>0</v>
      </c>
    </row>
    <row r="3323" spans="1:20">
      <c r="A3323">
        <v>1900102</v>
      </c>
      <c r="B3323">
        <v>1</v>
      </c>
      <c r="C3323" t="s">
        <v>525</v>
      </c>
      <c r="D3323" t="s">
        <v>105</v>
      </c>
      <c r="K3323" t="s">
        <v>526</v>
      </c>
      <c r="L3323">
        <f t="shared" si="132"/>
        <v>2</v>
      </c>
      <c r="M3323" s="10" t="str">
        <f>IFERROR(_xlfn.XLOOKUP(C3323,[1]StuntDes!$B:$B,[1]StuntDes!$A:$A),"")</f>
        <v/>
      </c>
      <c r="N3323" s="10">
        <f>IFERROR(_xlfn.XLOOKUP(C3323,[1]ModifierDes!$B:$B,[1]ModifierDes!$A:$A),"")</f>
        <v>10063</v>
      </c>
      <c r="O3323" s="10" t="str">
        <f>IFERROR(_xlfn.XLOOKUP(C3323,[1]AttributeName!$C:$C,[1]AttributeName!$B:$B),"")</f>
        <v/>
      </c>
      <c r="P3323" s="10"/>
      <c r="Q3323">
        <v>0.2</v>
      </c>
      <c r="R3323">
        <v>0.2</v>
      </c>
      <c r="S3323" cm="1">
        <f t="array" ref="S3323">IFERROR(_xlfn.SWITCH(L3323,1,_xlfn.XLOOKUP(O3323,[1]AttributeName!$B:$B,[1]AttributeName!$D:$D),2,_xlfn.XLOOKUP(C3323,#REF!,#REF!),3,_xlfn.XLOOKUP(C3323,#REF!,#REF!)),0)</f>
        <v>0</v>
      </c>
      <c r="T3323" cm="1">
        <f t="array" ref="T3323">IFERROR(_xlfn.SWITCH(L3323,1,_xlfn.XLOOKUP(O3323,[1]AttributeName!$B:$B,[1]AttributeName!$E:$E),2,_xlfn.XLOOKUP(C3323,#REF!,#REF!),3,_xlfn.XLOOKUP(C3323,#REF!,#REF!)),0)</f>
        <v>0</v>
      </c>
    </row>
    <row r="3324" spans="1:20">
      <c r="A3324">
        <v>1900103</v>
      </c>
      <c r="B3324">
        <v>1</v>
      </c>
      <c r="C3324" t="s">
        <v>527</v>
      </c>
      <c r="D3324" t="s">
        <v>105</v>
      </c>
      <c r="K3324" t="s">
        <v>528</v>
      </c>
      <c r="L3324">
        <f t="shared" si="132"/>
        <v>2</v>
      </c>
      <c r="M3324" s="10" t="str">
        <f>IFERROR(_xlfn.XLOOKUP(C3324,[1]StuntDes!$B:$B,[1]StuntDes!$A:$A),"")</f>
        <v/>
      </c>
      <c r="N3324" s="10">
        <f>IFERROR(_xlfn.XLOOKUP(C3324,[1]ModifierDes!$B:$B,[1]ModifierDes!$A:$A),"")</f>
        <v>10064</v>
      </c>
      <c r="O3324" s="10" t="str">
        <f>IFERROR(_xlfn.XLOOKUP(C3324,[1]AttributeName!$C:$C,[1]AttributeName!$B:$B),"")</f>
        <v/>
      </c>
      <c r="P3324" s="10"/>
      <c r="Q3324">
        <v>0.2</v>
      </c>
      <c r="R3324">
        <v>0.2</v>
      </c>
      <c r="S3324" cm="1">
        <f t="array" ref="S3324">IFERROR(_xlfn.SWITCH(L3324,1,_xlfn.XLOOKUP(O3324,[1]AttributeName!$B:$B,[1]AttributeName!$D:$D),2,_xlfn.XLOOKUP(C3324,#REF!,#REF!),3,_xlfn.XLOOKUP(C3324,#REF!,#REF!)),0)</f>
        <v>0</v>
      </c>
      <c r="T3324" cm="1">
        <f t="array" ref="T3324">IFERROR(_xlfn.SWITCH(L3324,1,_xlfn.XLOOKUP(O3324,[1]AttributeName!$B:$B,[1]AttributeName!$E:$E),2,_xlfn.XLOOKUP(C3324,#REF!,#REF!),3,_xlfn.XLOOKUP(C3324,#REF!,#REF!)),0)</f>
        <v>0</v>
      </c>
    </row>
    <row r="3325" spans="1:20">
      <c r="A3325">
        <v>2000101</v>
      </c>
      <c r="B3325">
        <v>1</v>
      </c>
      <c r="C3325" t="s">
        <v>383</v>
      </c>
      <c r="D3325" t="s">
        <v>108</v>
      </c>
      <c r="K3325" t="s">
        <v>529</v>
      </c>
      <c r="L3325">
        <f t="shared" si="132"/>
        <v>2</v>
      </c>
      <c r="M3325" s="10" t="str">
        <f>IFERROR(_xlfn.XLOOKUP(C3325,[1]StuntDes!$B:$B,[1]StuntDes!$A:$A),"")</f>
        <v/>
      </c>
      <c r="N3325" s="10">
        <f>IFERROR(_xlfn.XLOOKUP(C3325,[1]ModifierDes!$B:$B,[1]ModifierDes!$A:$A),"")</f>
        <v>10066</v>
      </c>
      <c r="O3325" s="10" t="str">
        <f>IFERROR(_xlfn.XLOOKUP(C3325,[1]AttributeName!$C:$C,[1]AttributeName!$B:$B),"")</f>
        <v/>
      </c>
      <c r="P3325" s="10"/>
      <c r="Q3325">
        <v>0.2</v>
      </c>
      <c r="R3325">
        <v>0.2</v>
      </c>
      <c r="S3325" cm="1">
        <f t="array" ref="S3325">IFERROR(_xlfn.SWITCH(L3325,1,_xlfn.XLOOKUP(O3325,[1]AttributeName!$B:$B,[1]AttributeName!$D:$D),2,_xlfn.XLOOKUP(C3325,#REF!,#REF!),3,_xlfn.XLOOKUP(C3325,#REF!,#REF!)),0)</f>
        <v>0</v>
      </c>
      <c r="T3325" cm="1">
        <f t="array" ref="T3325">IFERROR(_xlfn.SWITCH(L3325,1,_xlfn.XLOOKUP(O3325,[1]AttributeName!$B:$B,[1]AttributeName!$E:$E),2,_xlfn.XLOOKUP(C3325,#REF!,#REF!),3,_xlfn.XLOOKUP(C3325,#REF!,#REF!)),0)</f>
        <v>0</v>
      </c>
    </row>
    <row r="3326" spans="1:20">
      <c r="A3326">
        <v>2000102</v>
      </c>
      <c r="B3326">
        <v>1</v>
      </c>
      <c r="C3326" t="s">
        <v>418</v>
      </c>
      <c r="D3326" t="s">
        <v>108</v>
      </c>
      <c r="K3326" t="s">
        <v>530</v>
      </c>
      <c r="L3326">
        <f t="shared" si="132"/>
        <v>2</v>
      </c>
      <c r="M3326" s="10" t="str">
        <f>IFERROR(_xlfn.XLOOKUP(C3326,[1]StuntDes!$B:$B,[1]StuntDes!$A:$A),"")</f>
        <v/>
      </c>
      <c r="N3326" s="10">
        <f>IFERROR(_xlfn.XLOOKUP(C3326,[1]ModifierDes!$B:$B,[1]ModifierDes!$A:$A),"")</f>
        <v>10067</v>
      </c>
      <c r="O3326" s="10" t="str">
        <f>IFERROR(_xlfn.XLOOKUP(C3326,[1]AttributeName!$C:$C,[1]AttributeName!$B:$B),"")</f>
        <v/>
      </c>
      <c r="P3326" s="10"/>
      <c r="Q3326">
        <v>0.2</v>
      </c>
      <c r="R3326">
        <v>0.2</v>
      </c>
      <c r="S3326" cm="1">
        <f t="array" ref="S3326">IFERROR(_xlfn.SWITCH(L3326,1,_xlfn.XLOOKUP(O3326,[1]AttributeName!$B:$B,[1]AttributeName!$D:$D),2,_xlfn.XLOOKUP(C3326,#REF!,#REF!),3,_xlfn.XLOOKUP(C3326,#REF!,#REF!)),0)</f>
        <v>0</v>
      </c>
      <c r="T3326" cm="1">
        <f t="array" ref="T3326">IFERROR(_xlfn.SWITCH(L3326,1,_xlfn.XLOOKUP(O3326,[1]AttributeName!$B:$B,[1]AttributeName!$E:$E),2,_xlfn.XLOOKUP(C3326,#REF!,#REF!),3,_xlfn.XLOOKUP(C3326,#REF!,#REF!)),0)</f>
        <v>0</v>
      </c>
    </row>
    <row r="3327" spans="1:20">
      <c r="A3327">
        <v>2000103</v>
      </c>
      <c r="B3327">
        <v>1</v>
      </c>
      <c r="C3327" t="s">
        <v>531</v>
      </c>
      <c r="D3327" t="s">
        <v>108</v>
      </c>
      <c r="K3327" t="s">
        <v>532</v>
      </c>
      <c r="L3327">
        <f t="shared" si="132"/>
        <v>1</v>
      </c>
      <c r="M3327" s="10" t="str">
        <f>IFERROR(_xlfn.XLOOKUP(C3327,[1]StuntDes!$B:$B,[1]StuntDes!$A:$A),"")</f>
        <v/>
      </c>
      <c r="N3327" s="10" t="str">
        <f>IFERROR(_xlfn.XLOOKUP(C3327,[1]ModifierDes!$B:$B,[1]ModifierDes!$A:$A),"")</f>
        <v/>
      </c>
      <c r="O3327" s="10" t="str">
        <f>IFERROR(_xlfn.XLOOKUP(C3327,[1]AttributeName!$C:$C,[1]AttributeName!$B:$B),"")</f>
        <v/>
      </c>
      <c r="P3327" s="10"/>
      <c r="Q3327">
        <v>0.2</v>
      </c>
      <c r="R3327">
        <v>0.2</v>
      </c>
      <c r="S3327" cm="1">
        <f t="array" ref="S3327">IFERROR(_xlfn.SWITCH(L3327,1,_xlfn.XLOOKUP(O3327,[1]AttributeName!$B:$B,[1]AttributeName!$D:$D),2,_xlfn.XLOOKUP(C3327,#REF!,#REF!),3,_xlfn.XLOOKUP(C3327,#REF!,#REF!)),0)</f>
        <v>0</v>
      </c>
      <c r="T3327" cm="1">
        <f t="array" ref="T3327">IFERROR(_xlfn.SWITCH(L3327,1,_xlfn.XLOOKUP(O3327,[1]AttributeName!$B:$B,[1]AttributeName!$E:$E),2,_xlfn.XLOOKUP(C3327,#REF!,#REF!),3,_xlfn.XLOOKUP(C3327,#REF!,#REF!)),0)</f>
        <v>0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B11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3.5" outlineLevelCol="1"/>
  <cols>
    <col min="1" max="1" width="11" customWidth="1"/>
    <col min="2" max="2" width="16.375" style="4" customWidth="1"/>
  </cols>
  <sheetData>
    <row r="1" ht="16.5" spans="1:2">
      <c r="A1" s="5" t="s">
        <v>533</v>
      </c>
      <c r="B1" s="6" t="s">
        <v>534</v>
      </c>
    </row>
    <row r="2" ht="16.5" spans="1:2">
      <c r="A2" s="7" t="s">
        <v>365</v>
      </c>
      <c r="B2" s="8" t="s">
        <v>535</v>
      </c>
    </row>
    <row r="3" ht="16.5" spans="1:2">
      <c r="A3" s="9" t="s">
        <v>18</v>
      </c>
      <c r="B3" s="9" t="s">
        <v>20</v>
      </c>
    </row>
    <row r="4" spans="1:2">
      <c r="A4">
        <v>1</v>
      </c>
      <c r="B4" s="4">
        <v>30</v>
      </c>
    </row>
    <row r="5" spans="1:2">
      <c r="A5">
        <v>2</v>
      </c>
      <c r="B5" s="4">
        <v>15</v>
      </c>
    </row>
    <row r="6" spans="1:2">
      <c r="A6">
        <v>3</v>
      </c>
      <c r="B6" s="4">
        <v>9</v>
      </c>
    </row>
    <row r="7" spans="1:2">
      <c r="A7">
        <v>4</v>
      </c>
      <c r="B7" s="4">
        <v>5</v>
      </c>
    </row>
    <row r="8" spans="1:2">
      <c r="A8">
        <v>5</v>
      </c>
      <c r="B8" s="4">
        <v>3</v>
      </c>
    </row>
    <row r="9" spans="1:2">
      <c r="A9">
        <v>6</v>
      </c>
      <c r="B9" s="4">
        <v>2</v>
      </c>
    </row>
    <row r="10" spans="1:2">
      <c r="A10">
        <v>7</v>
      </c>
      <c r="B10" s="4">
        <v>1</v>
      </c>
    </row>
    <row r="11" spans="1:2">
      <c r="A11">
        <v>8</v>
      </c>
      <c r="B11" s="4">
        <v>0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15" zoomScaleNormal="115" workbookViewId="0">
      <selection activeCell="D16" sqref="D16"/>
    </sheetView>
  </sheetViews>
  <sheetFormatPr defaultColWidth="9" defaultRowHeight="13.5" outlineLevelCol="3"/>
  <sheetData>
    <row r="1" spans="1:4">
      <c r="A1" t="s">
        <v>348</v>
      </c>
      <c r="B1" t="s">
        <v>536</v>
      </c>
      <c r="C1" t="s">
        <v>537</v>
      </c>
      <c r="D1" t="s">
        <v>538</v>
      </c>
    </row>
    <row r="2" spans="1:4">
      <c r="A2" s="2" t="s">
        <v>365</v>
      </c>
      <c r="B2" s="2" t="s">
        <v>539</v>
      </c>
      <c r="C2" s="2" t="s">
        <v>540</v>
      </c>
      <c r="D2" s="2" t="s">
        <v>541</v>
      </c>
    </row>
    <row r="3" spans="1:4">
      <c r="A3" s="3" t="s">
        <v>18</v>
      </c>
      <c r="B3" s="3" t="s">
        <v>19</v>
      </c>
      <c r="C3" s="3" t="s">
        <v>19</v>
      </c>
      <c r="D3" s="3" t="s">
        <v>19</v>
      </c>
    </row>
    <row r="4" spans="1:4">
      <c r="A4">
        <v>0</v>
      </c>
      <c r="B4">
        <v>8</v>
      </c>
      <c r="C4" t="s">
        <v>542</v>
      </c>
      <c r="D4" t="s">
        <v>543</v>
      </c>
    </row>
    <row r="5" spans="1:4">
      <c r="A5">
        <v>1</v>
      </c>
      <c r="B5">
        <v>6</v>
      </c>
      <c r="C5" t="s">
        <v>542</v>
      </c>
      <c r="D5" t="s">
        <v>544</v>
      </c>
    </row>
    <row r="6" spans="1:4">
      <c r="A6">
        <v>2</v>
      </c>
      <c r="B6">
        <f>B5</f>
        <v>6</v>
      </c>
      <c r="C6" t="str">
        <f>C5</f>
        <v>FFF6E4</v>
      </c>
      <c r="D6" t="str">
        <f>D5</f>
        <v>A65310</v>
      </c>
    </row>
    <row r="7" spans="1:4">
      <c r="A7">
        <v>3</v>
      </c>
      <c r="B7">
        <v>5</v>
      </c>
      <c r="C7" t="s">
        <v>545</v>
      </c>
      <c r="D7" t="s">
        <v>546</v>
      </c>
    </row>
    <row r="8" spans="1:4">
      <c r="A8">
        <v>4</v>
      </c>
      <c r="B8">
        <f>B7</f>
        <v>5</v>
      </c>
      <c r="C8" t="str">
        <f>C7</f>
        <v>FEEAEA</v>
      </c>
      <c r="D8" t="str">
        <f>D7</f>
        <v>A95B00</v>
      </c>
    </row>
    <row r="9" spans="1:4">
      <c r="A9">
        <v>5</v>
      </c>
      <c r="B9">
        <v>4</v>
      </c>
      <c r="C9" t="s">
        <v>547</v>
      </c>
      <c r="D9" t="s">
        <v>548</v>
      </c>
    </row>
    <row r="10" spans="1:4">
      <c r="A10">
        <v>6</v>
      </c>
      <c r="B10">
        <v>4</v>
      </c>
      <c r="C10" t="str">
        <f>C9</f>
        <v>FEE9FF</v>
      </c>
      <c r="D10" t="str">
        <f>D9</f>
        <v>8426AC</v>
      </c>
    </row>
    <row r="11" spans="1:4">
      <c r="A11">
        <v>7</v>
      </c>
      <c r="B11">
        <v>3</v>
      </c>
      <c r="C11" t="s">
        <v>549</v>
      </c>
      <c r="D11" t="s">
        <v>550</v>
      </c>
    </row>
    <row r="12" spans="1:4">
      <c r="A12">
        <v>8</v>
      </c>
      <c r="B12">
        <v>3</v>
      </c>
      <c r="C12" t="str">
        <f>C11</f>
        <v>E7F9FF</v>
      </c>
      <c r="D12" t="str">
        <f>D11</f>
        <v>2D56AB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58"/>
  <sheetViews>
    <sheetView topLeftCell="A40" workbookViewId="0">
      <selection activeCell="G72" sqref="G72"/>
    </sheetView>
  </sheetViews>
  <sheetFormatPr defaultColWidth="9" defaultRowHeight="13.5" outlineLevelCol="3"/>
  <cols>
    <col min="1" max="1" width="16.875"/>
    <col min="2" max="2" width="17.125"/>
    <col min="3" max="3" width="7.375"/>
    <col min="4" max="4" width="12.75"/>
    <col min="5" max="7" width="9" customWidth="1"/>
  </cols>
  <sheetData>
    <row r="2" spans="1:4">
      <c r="A2" t="s">
        <v>349</v>
      </c>
      <c r="B2" t="s">
        <v>551</v>
      </c>
    </row>
    <row r="3" spans="1:4">
      <c r="A3" t="s">
        <v>350</v>
      </c>
      <c r="B3" t="s">
        <v>392</v>
      </c>
    </row>
    <row r="5" spans="1:4">
      <c r="A5" t="s">
        <v>290</v>
      </c>
      <c r="B5" t="s">
        <v>291</v>
      </c>
      <c r="C5" t="s">
        <v>348</v>
      </c>
      <c r="D5" t="s">
        <v>552</v>
      </c>
    </row>
    <row r="6" spans="1:4">
      <c r="A6">
        <v>11501</v>
      </c>
      <c r="D6" s="1">
        <v>0.00552486187845304</v>
      </c>
    </row>
    <row r="7" spans="1:4">
      <c r="B7" t="s">
        <v>434</v>
      </c>
      <c r="D7" s="1">
        <v>0.00552486187845304</v>
      </c>
    </row>
    <row r="8" spans="1:4">
      <c r="C8">
        <v>1</v>
      </c>
      <c r="D8" s="1">
        <v>0.00184162062615101</v>
      </c>
    </row>
    <row r="9" spans="1:4">
      <c r="C9">
        <v>3</v>
      </c>
      <c r="D9" s="1">
        <v>0.00368324125230203</v>
      </c>
    </row>
    <row r="10" spans="1:4">
      <c r="A10">
        <v>11502</v>
      </c>
      <c r="D10" s="1">
        <v>0.00276243093922652</v>
      </c>
    </row>
    <row r="11" spans="1:4">
      <c r="B11" t="s">
        <v>393</v>
      </c>
      <c r="D11" s="1">
        <v>0.00276243093922652</v>
      </c>
    </row>
    <row r="12" spans="1:4">
      <c r="C12">
        <v>1</v>
      </c>
      <c r="D12" s="1">
        <v>0.000920810313075507</v>
      </c>
    </row>
    <row r="13" spans="1:4">
      <c r="C13">
        <v>3</v>
      </c>
      <c r="D13" s="1">
        <v>0.00184162062615101</v>
      </c>
    </row>
    <row r="14" spans="1:4">
      <c r="A14">
        <v>11503</v>
      </c>
      <c r="D14" s="1">
        <v>0.00276243093922652</v>
      </c>
    </row>
    <row r="15" spans="1:4">
      <c r="B15" t="s">
        <v>433</v>
      </c>
      <c r="D15" s="1">
        <v>0.00276243093922652</v>
      </c>
    </row>
    <row r="16" spans="1:4">
      <c r="C16">
        <v>1</v>
      </c>
      <c r="D16" s="1">
        <v>0.000920810313075507</v>
      </c>
    </row>
    <row r="17" spans="1:4">
      <c r="C17">
        <v>3</v>
      </c>
      <c r="D17" s="1">
        <v>0.00184162062615101</v>
      </c>
    </row>
    <row r="18" spans="1:4">
      <c r="A18">
        <v>11504</v>
      </c>
      <c r="D18" s="1">
        <v>0.00552486187845304</v>
      </c>
    </row>
    <row r="19" spans="1:4">
      <c r="B19" t="s">
        <v>394</v>
      </c>
      <c r="D19" s="1">
        <v>0.00552486187845304</v>
      </c>
    </row>
    <row r="20" spans="1:4">
      <c r="C20">
        <v>1</v>
      </c>
      <c r="D20" s="1">
        <v>0.00184162062615101</v>
      </c>
    </row>
    <row r="21" spans="1:4">
      <c r="C21">
        <v>3</v>
      </c>
      <c r="D21" s="1">
        <v>0.00368324125230203</v>
      </c>
    </row>
    <row r="22" spans="1:4">
      <c r="A22">
        <v>11505</v>
      </c>
      <c r="D22" s="1">
        <v>0.00552486187845304</v>
      </c>
    </row>
    <row r="23" spans="1:4">
      <c r="B23" t="s">
        <v>395</v>
      </c>
      <c r="D23" s="1">
        <v>0.00552486187845304</v>
      </c>
    </row>
    <row r="24" spans="1:4">
      <c r="C24">
        <v>1</v>
      </c>
      <c r="D24" s="1">
        <v>0.00184162062615101</v>
      </c>
    </row>
    <row r="25" spans="1:4">
      <c r="C25">
        <v>3</v>
      </c>
      <c r="D25" s="1">
        <v>0.00368324125230203</v>
      </c>
    </row>
    <row r="26" spans="1:4">
      <c r="A26">
        <v>11506</v>
      </c>
      <c r="D26" s="1">
        <v>0.00552486187845304</v>
      </c>
    </row>
    <row r="27" spans="1:4">
      <c r="B27" t="s">
        <v>553</v>
      </c>
      <c r="D27" s="1">
        <v>0.00552486187845304</v>
      </c>
    </row>
    <row r="28" spans="1:4">
      <c r="C28">
        <v>1</v>
      </c>
      <c r="D28" s="1">
        <v>0.00184162062615101</v>
      </c>
    </row>
    <row r="29" spans="1:4">
      <c r="C29">
        <v>3</v>
      </c>
      <c r="D29" s="1">
        <v>0.00368324125230203</v>
      </c>
    </row>
    <row r="30" spans="1:4">
      <c r="A30">
        <v>11507</v>
      </c>
      <c r="D30" s="1">
        <v>0.00552486187845304</v>
      </c>
    </row>
    <row r="31" spans="1:4">
      <c r="B31" t="s">
        <v>397</v>
      </c>
      <c r="D31" s="1">
        <v>0.00552486187845304</v>
      </c>
    </row>
    <row r="32" spans="1:4">
      <c r="C32">
        <v>1</v>
      </c>
      <c r="D32" s="1">
        <v>0.00184162062615101</v>
      </c>
    </row>
    <row r="33" spans="1:4">
      <c r="C33">
        <v>3</v>
      </c>
      <c r="D33" s="1">
        <v>0.00368324125230203</v>
      </c>
    </row>
    <row r="34" spans="1:4">
      <c r="A34">
        <v>11508</v>
      </c>
      <c r="D34" s="1">
        <v>0.00552486187845304</v>
      </c>
    </row>
    <row r="35" spans="1:4">
      <c r="B35" t="s">
        <v>398</v>
      </c>
      <c r="D35" s="1">
        <v>0.00552486187845304</v>
      </c>
    </row>
    <row r="36" spans="1:4">
      <c r="C36">
        <v>1</v>
      </c>
      <c r="D36" s="1">
        <v>0.00184162062615101</v>
      </c>
    </row>
    <row r="37" spans="1:4">
      <c r="C37">
        <v>3</v>
      </c>
      <c r="D37" s="1">
        <v>0.00368324125230203</v>
      </c>
    </row>
    <row r="38" spans="1:4">
      <c r="A38">
        <v>11509</v>
      </c>
      <c r="D38" s="1">
        <v>0.0331491712707182</v>
      </c>
    </row>
    <row r="39" spans="1:4">
      <c r="B39" t="s">
        <v>554</v>
      </c>
      <c r="D39" s="1">
        <v>0.0331491712707182</v>
      </c>
    </row>
    <row r="40" spans="1:4">
      <c r="C40">
        <v>1</v>
      </c>
      <c r="D40" s="1">
        <v>0.00184162062615101</v>
      </c>
    </row>
    <row r="41" spans="1:4">
      <c r="C41">
        <v>2</v>
      </c>
      <c r="D41" s="1">
        <v>0.00368324125230203</v>
      </c>
    </row>
    <row r="42" spans="1:4">
      <c r="C42">
        <v>3</v>
      </c>
      <c r="D42" s="1">
        <v>0.00920810313075507</v>
      </c>
    </row>
    <row r="43" spans="1:4">
      <c r="C43">
        <v>4</v>
      </c>
      <c r="D43" s="1">
        <v>0.0184162062615101</v>
      </c>
    </row>
    <row r="44" spans="1:4">
      <c r="A44">
        <v>11510</v>
      </c>
      <c r="D44" s="1">
        <v>0.0331491712707182</v>
      </c>
    </row>
    <row r="45" spans="1:4">
      <c r="B45" t="s">
        <v>555</v>
      </c>
      <c r="D45" s="1">
        <v>0.0331491712707182</v>
      </c>
    </row>
    <row r="46" spans="1:4">
      <c r="C46">
        <v>1</v>
      </c>
      <c r="D46" s="1">
        <v>0.00184162062615101</v>
      </c>
    </row>
    <row r="47" spans="1:4">
      <c r="C47">
        <v>2</v>
      </c>
      <c r="D47" s="1">
        <v>0.00368324125230203</v>
      </c>
    </row>
    <row r="48" spans="1:4">
      <c r="C48">
        <v>3</v>
      </c>
      <c r="D48" s="1">
        <v>0.00920810313075507</v>
      </c>
    </row>
    <row r="49" spans="1:4">
      <c r="C49">
        <v>4</v>
      </c>
      <c r="D49" s="1">
        <v>0.0184162062615101</v>
      </c>
    </row>
    <row r="50" spans="1:4">
      <c r="A50">
        <v>11511</v>
      </c>
      <c r="D50" s="1">
        <v>0.0331491712707182</v>
      </c>
    </row>
    <row r="51" spans="1:4">
      <c r="B51" t="s">
        <v>556</v>
      </c>
      <c r="D51" s="1">
        <v>0.0331491712707182</v>
      </c>
    </row>
    <row r="52" spans="1:4">
      <c r="C52">
        <v>1</v>
      </c>
      <c r="D52" s="1">
        <v>0.00184162062615101</v>
      </c>
    </row>
    <row r="53" spans="1:4">
      <c r="C53">
        <v>2</v>
      </c>
      <c r="D53" s="1">
        <v>0.00368324125230203</v>
      </c>
    </row>
    <row r="54" spans="1:4">
      <c r="C54">
        <v>3</v>
      </c>
      <c r="D54" s="1">
        <v>0.00920810313075507</v>
      </c>
    </row>
    <row r="55" spans="1:4">
      <c r="C55">
        <v>4</v>
      </c>
      <c r="D55" s="1">
        <v>0.0184162062615101</v>
      </c>
    </row>
    <row r="56" spans="1:4">
      <c r="A56">
        <v>11512</v>
      </c>
      <c r="D56" s="1">
        <v>0.0331491712707182</v>
      </c>
    </row>
    <row r="57" spans="1:4">
      <c r="B57" t="s">
        <v>557</v>
      </c>
      <c r="D57" s="1">
        <v>0.0331491712707182</v>
      </c>
    </row>
    <row r="58" spans="1:4">
      <c r="C58">
        <v>1</v>
      </c>
      <c r="D58" s="1">
        <v>0.00184162062615101</v>
      </c>
    </row>
    <row r="59" spans="1:4">
      <c r="C59">
        <v>2</v>
      </c>
      <c r="D59" s="1">
        <v>0.00368324125230203</v>
      </c>
    </row>
    <row r="60" spans="1:4">
      <c r="C60">
        <v>3</v>
      </c>
      <c r="D60" s="1">
        <v>0.00920810313075507</v>
      </c>
    </row>
    <row r="61" spans="1:4">
      <c r="C61">
        <v>4</v>
      </c>
      <c r="D61" s="1">
        <v>0.0184162062615101</v>
      </c>
    </row>
    <row r="62" spans="1:4">
      <c r="A62">
        <v>11513</v>
      </c>
      <c r="D62" s="1">
        <v>0.0331491712707182</v>
      </c>
    </row>
    <row r="63" spans="1:4">
      <c r="B63" t="s">
        <v>558</v>
      </c>
      <c r="D63" s="1">
        <v>0.0331491712707182</v>
      </c>
    </row>
    <row r="64" spans="1:4">
      <c r="C64">
        <v>1</v>
      </c>
      <c r="D64" s="1">
        <v>0.00184162062615101</v>
      </c>
    </row>
    <row r="65" spans="1:4">
      <c r="C65">
        <v>2</v>
      </c>
      <c r="D65" s="1">
        <v>0.00368324125230203</v>
      </c>
    </row>
    <row r="66" spans="1:4">
      <c r="C66">
        <v>3</v>
      </c>
      <c r="D66" s="1">
        <v>0.00920810313075507</v>
      </c>
    </row>
    <row r="67" spans="1:4">
      <c r="C67">
        <v>4</v>
      </c>
      <c r="D67" s="1">
        <v>0.0184162062615101</v>
      </c>
    </row>
    <row r="68" spans="1:4">
      <c r="A68">
        <v>11514</v>
      </c>
      <c r="D68" s="1">
        <v>0.0331491712707182</v>
      </c>
    </row>
    <row r="69" spans="1:4">
      <c r="B69" t="s">
        <v>559</v>
      </c>
      <c r="D69" s="1">
        <v>0.0331491712707182</v>
      </c>
    </row>
    <row r="70" spans="1:4">
      <c r="C70">
        <v>1</v>
      </c>
      <c r="D70" s="1">
        <v>0.00184162062615101</v>
      </c>
    </row>
    <row r="71" spans="1:4">
      <c r="C71">
        <v>2</v>
      </c>
      <c r="D71" s="1">
        <v>0.00368324125230203</v>
      </c>
    </row>
    <row r="72" spans="1:4">
      <c r="C72">
        <v>3</v>
      </c>
      <c r="D72" s="1">
        <v>0.00920810313075507</v>
      </c>
    </row>
    <row r="73" spans="1:4">
      <c r="C73">
        <v>4</v>
      </c>
      <c r="D73" s="1">
        <v>0.0184162062615101</v>
      </c>
    </row>
    <row r="74" spans="1:4">
      <c r="A74">
        <v>11515</v>
      </c>
      <c r="D74" s="1">
        <v>0.0331491712707182</v>
      </c>
    </row>
    <row r="75" spans="1:4">
      <c r="B75" t="s">
        <v>560</v>
      </c>
      <c r="D75" s="1">
        <v>0.0331491712707182</v>
      </c>
    </row>
    <row r="76" spans="1:4">
      <c r="C76">
        <v>1</v>
      </c>
      <c r="D76" s="1">
        <v>0.00184162062615101</v>
      </c>
    </row>
    <row r="77" spans="1:4">
      <c r="C77">
        <v>2</v>
      </c>
      <c r="D77" s="1">
        <v>0.00368324125230203</v>
      </c>
    </row>
    <row r="78" spans="1:4">
      <c r="C78">
        <v>3</v>
      </c>
      <c r="D78" s="1">
        <v>0.00920810313075507</v>
      </c>
    </row>
    <row r="79" spans="1:4">
      <c r="C79">
        <v>4</v>
      </c>
      <c r="D79" s="1">
        <v>0.0184162062615101</v>
      </c>
    </row>
    <row r="80" spans="1:4">
      <c r="A80">
        <v>11516</v>
      </c>
      <c r="D80" s="1">
        <v>0.0331491712707182</v>
      </c>
    </row>
    <row r="81" spans="1:4">
      <c r="B81" t="s">
        <v>561</v>
      </c>
      <c r="D81" s="1">
        <v>0.0331491712707182</v>
      </c>
    </row>
    <row r="82" spans="1:4">
      <c r="C82">
        <v>1</v>
      </c>
      <c r="D82" s="1">
        <v>0.00184162062615101</v>
      </c>
    </row>
    <row r="83" spans="1:4">
      <c r="C83">
        <v>2</v>
      </c>
      <c r="D83" s="1">
        <v>0.00368324125230203</v>
      </c>
    </row>
    <row r="84" spans="1:4">
      <c r="C84">
        <v>3</v>
      </c>
      <c r="D84" s="1">
        <v>0.00920810313075507</v>
      </c>
    </row>
    <row r="85" spans="1:4">
      <c r="C85">
        <v>4</v>
      </c>
      <c r="D85" s="1">
        <v>0.0184162062615101</v>
      </c>
    </row>
    <row r="86" spans="1:4">
      <c r="A86">
        <v>11517</v>
      </c>
      <c r="D86" s="1">
        <v>0.0331491712707182</v>
      </c>
    </row>
    <row r="87" spans="1:4">
      <c r="B87" t="s">
        <v>562</v>
      </c>
      <c r="D87" s="1">
        <v>0.0331491712707182</v>
      </c>
    </row>
    <row r="88" spans="1:4">
      <c r="C88">
        <v>1</v>
      </c>
      <c r="D88" s="1">
        <v>0.00184162062615101</v>
      </c>
    </row>
    <row r="89" spans="1:4">
      <c r="C89">
        <v>2</v>
      </c>
      <c r="D89" s="1">
        <v>0.00368324125230203</v>
      </c>
    </row>
    <row r="90" spans="1:4">
      <c r="C90">
        <v>3</v>
      </c>
      <c r="D90" s="1">
        <v>0.00920810313075507</v>
      </c>
    </row>
    <row r="91" spans="1:4">
      <c r="C91">
        <v>4</v>
      </c>
      <c r="D91" s="1">
        <v>0.0184162062615101</v>
      </c>
    </row>
    <row r="92" spans="1:4">
      <c r="A92">
        <v>11518</v>
      </c>
      <c r="D92" s="1">
        <v>0.0460405156537753</v>
      </c>
    </row>
    <row r="93" spans="1:4">
      <c r="B93" t="s">
        <v>84</v>
      </c>
      <c r="D93" s="1">
        <v>0.0460405156537753</v>
      </c>
    </row>
    <row r="94" spans="1:4">
      <c r="C94">
        <v>1</v>
      </c>
      <c r="D94" s="1">
        <v>0.00460405156537753</v>
      </c>
    </row>
    <row r="95" spans="1:4">
      <c r="C95">
        <v>2</v>
      </c>
      <c r="D95" s="1">
        <v>0.00920810313075507</v>
      </c>
    </row>
    <row r="96" spans="1:4">
      <c r="C96">
        <v>3</v>
      </c>
      <c r="D96" s="1">
        <v>0.0138121546961326</v>
      </c>
    </row>
    <row r="97" spans="1:4">
      <c r="C97">
        <v>4</v>
      </c>
      <c r="D97" s="1">
        <v>0.0184162062615101</v>
      </c>
    </row>
    <row r="98" spans="1:4">
      <c r="A98">
        <v>11519</v>
      </c>
      <c r="D98" s="1">
        <v>0.0460405156537753</v>
      </c>
    </row>
    <row r="99" spans="1:4">
      <c r="B99" t="s">
        <v>86</v>
      </c>
      <c r="D99" s="1">
        <v>0.0460405156537753</v>
      </c>
    </row>
    <row r="100" spans="1:4">
      <c r="C100">
        <v>1</v>
      </c>
      <c r="D100" s="1">
        <v>0.00460405156537753</v>
      </c>
    </row>
    <row r="101" spans="1:4">
      <c r="C101">
        <v>2</v>
      </c>
      <c r="D101" s="1">
        <v>0.00920810313075507</v>
      </c>
    </row>
    <row r="102" spans="1:4">
      <c r="C102">
        <v>3</v>
      </c>
      <c r="D102" s="1">
        <v>0.0138121546961326</v>
      </c>
    </row>
    <row r="103" spans="1:4">
      <c r="C103">
        <v>4</v>
      </c>
      <c r="D103" s="1">
        <v>0.0184162062615101</v>
      </c>
    </row>
    <row r="104" spans="1:4">
      <c r="A104">
        <v>11520</v>
      </c>
      <c r="D104" s="1">
        <v>0.0552486187845304</v>
      </c>
    </row>
    <row r="105" spans="1:4">
      <c r="B105" t="s">
        <v>563</v>
      </c>
      <c r="D105" s="1">
        <v>0.0552486187845304</v>
      </c>
    </row>
    <row r="106" spans="1:4">
      <c r="C106">
        <v>1</v>
      </c>
      <c r="D106" s="1">
        <v>0.00920810313075507</v>
      </c>
    </row>
    <row r="107" spans="1:4">
      <c r="C107">
        <v>2</v>
      </c>
      <c r="D107" s="1">
        <v>0.00920810313075507</v>
      </c>
    </row>
    <row r="108" spans="1:4">
      <c r="C108">
        <v>3</v>
      </c>
      <c r="D108" s="1">
        <v>0.0184162062615101</v>
      </c>
    </row>
    <row r="109" spans="1:4">
      <c r="C109">
        <v>4</v>
      </c>
      <c r="D109" s="1">
        <v>0.0184162062615101</v>
      </c>
    </row>
    <row r="110" spans="1:4">
      <c r="A110">
        <v>11521</v>
      </c>
      <c r="D110" s="1">
        <v>0.0552486187845304</v>
      </c>
    </row>
    <row r="111" spans="1:4">
      <c r="B111" t="s">
        <v>408</v>
      </c>
      <c r="D111" s="1">
        <v>0.0552486187845304</v>
      </c>
    </row>
    <row r="112" spans="1:4">
      <c r="C112">
        <v>1</v>
      </c>
      <c r="D112" s="1">
        <v>0.00920810313075507</v>
      </c>
    </row>
    <row r="113" spans="1:4">
      <c r="C113">
        <v>2</v>
      </c>
      <c r="D113" s="1">
        <v>0.00920810313075507</v>
      </c>
    </row>
    <row r="114" spans="1:4">
      <c r="C114">
        <v>3</v>
      </c>
      <c r="D114" s="1">
        <v>0.0184162062615101</v>
      </c>
    </row>
    <row r="115" spans="1:4">
      <c r="C115">
        <v>4</v>
      </c>
      <c r="D115" s="1">
        <v>0.0184162062615101</v>
      </c>
    </row>
    <row r="116" spans="1:4">
      <c r="A116">
        <v>11522</v>
      </c>
      <c r="D116" s="1">
        <v>0.0552486187845304</v>
      </c>
    </row>
    <row r="117" spans="1:4">
      <c r="B117" t="s">
        <v>564</v>
      </c>
      <c r="D117" s="1">
        <v>0.0552486187845304</v>
      </c>
    </row>
    <row r="118" spans="1:4">
      <c r="C118">
        <v>1</v>
      </c>
      <c r="D118" s="1">
        <v>0.00920810313075507</v>
      </c>
    </row>
    <row r="119" spans="1:4">
      <c r="C119">
        <v>2</v>
      </c>
      <c r="D119" s="1">
        <v>0.00920810313075507</v>
      </c>
    </row>
    <row r="120" spans="1:4">
      <c r="C120">
        <v>3</v>
      </c>
      <c r="D120" s="1">
        <v>0.0184162062615101</v>
      </c>
    </row>
    <row r="121" spans="1:4">
      <c r="C121">
        <v>4</v>
      </c>
      <c r="D121" s="1">
        <v>0.0184162062615101</v>
      </c>
    </row>
    <row r="122" spans="1:4">
      <c r="A122">
        <v>11523</v>
      </c>
      <c r="D122" s="1">
        <v>0.0552486187845304</v>
      </c>
    </row>
    <row r="123" spans="1:4">
      <c r="B123" t="s">
        <v>410</v>
      </c>
      <c r="D123" s="1">
        <v>0.0552486187845304</v>
      </c>
    </row>
    <row r="124" spans="1:4">
      <c r="C124">
        <v>1</v>
      </c>
      <c r="D124" s="1">
        <v>0.00920810313075507</v>
      </c>
    </row>
    <row r="125" spans="1:4">
      <c r="C125">
        <v>2</v>
      </c>
      <c r="D125" s="1">
        <v>0.00920810313075507</v>
      </c>
    </row>
    <row r="126" spans="1:4">
      <c r="C126">
        <v>3</v>
      </c>
      <c r="D126" s="1">
        <v>0.0184162062615101</v>
      </c>
    </row>
    <row r="127" spans="1:4">
      <c r="C127">
        <v>4</v>
      </c>
      <c r="D127" s="1">
        <v>0.0184162062615101</v>
      </c>
    </row>
    <row r="128" spans="1:4">
      <c r="A128">
        <v>11524</v>
      </c>
      <c r="D128" s="1">
        <v>0.0552486187845304</v>
      </c>
    </row>
    <row r="129" spans="1:4">
      <c r="B129" t="s">
        <v>411</v>
      </c>
      <c r="D129" s="1">
        <v>0.0552486187845304</v>
      </c>
    </row>
    <row r="130" spans="1:4">
      <c r="C130">
        <v>1</v>
      </c>
      <c r="D130" s="1">
        <v>0.00920810313075507</v>
      </c>
    </row>
    <row r="131" spans="1:4">
      <c r="C131">
        <v>2</v>
      </c>
      <c r="D131" s="1">
        <v>0.00920810313075507</v>
      </c>
    </row>
    <row r="132" spans="1:4">
      <c r="C132">
        <v>3</v>
      </c>
      <c r="D132" s="1">
        <v>0.0184162062615101</v>
      </c>
    </row>
    <row r="133" spans="1:4">
      <c r="C133">
        <v>4</v>
      </c>
      <c r="D133" s="1">
        <v>0.0184162062615101</v>
      </c>
    </row>
    <row r="134" spans="1:4">
      <c r="A134">
        <v>11525</v>
      </c>
      <c r="D134" s="1">
        <v>0.0736648250460405</v>
      </c>
    </row>
    <row r="135" spans="1:4">
      <c r="B135" t="s">
        <v>412</v>
      </c>
      <c r="D135" s="1">
        <v>0.0736648250460405</v>
      </c>
    </row>
    <row r="136" spans="1:4">
      <c r="C136">
        <v>1</v>
      </c>
      <c r="D136" s="1">
        <v>0.0184162062615101</v>
      </c>
    </row>
    <row r="137" spans="1:4">
      <c r="C137">
        <v>2</v>
      </c>
      <c r="D137" s="1">
        <v>0.0184162062615101</v>
      </c>
    </row>
    <row r="138" spans="1:4">
      <c r="C138">
        <v>3</v>
      </c>
      <c r="D138" s="1">
        <v>0.0184162062615101</v>
      </c>
    </row>
    <row r="139" spans="1:4">
      <c r="C139">
        <v>4</v>
      </c>
      <c r="D139" s="1">
        <v>0.0184162062615101</v>
      </c>
    </row>
    <row r="140" spans="1:4">
      <c r="A140">
        <v>11526</v>
      </c>
      <c r="D140" s="1">
        <v>0.0736648250460405</v>
      </c>
    </row>
    <row r="141" spans="1:4">
      <c r="B141" t="s">
        <v>413</v>
      </c>
      <c r="D141" s="1">
        <v>0.0736648250460405</v>
      </c>
    </row>
    <row r="142" spans="1:4">
      <c r="C142">
        <v>1</v>
      </c>
      <c r="D142" s="1">
        <v>0.0184162062615101</v>
      </c>
    </row>
    <row r="143" spans="1:4">
      <c r="C143">
        <v>2</v>
      </c>
      <c r="D143" s="1">
        <v>0.0184162062615101</v>
      </c>
    </row>
    <row r="144" spans="1:4">
      <c r="C144">
        <v>3</v>
      </c>
      <c r="D144" s="1">
        <v>0.0184162062615101</v>
      </c>
    </row>
    <row r="145" spans="1:4">
      <c r="C145">
        <v>4</v>
      </c>
      <c r="D145" s="1">
        <v>0.0184162062615101</v>
      </c>
    </row>
    <row r="146" spans="1:4">
      <c r="A146">
        <v>11527</v>
      </c>
      <c r="D146" s="1">
        <v>0.0736648250460405</v>
      </c>
    </row>
    <row r="147" spans="1:4">
      <c r="B147" t="s">
        <v>417</v>
      </c>
      <c r="D147" s="1">
        <v>0.0736648250460405</v>
      </c>
    </row>
    <row r="148" spans="1:4">
      <c r="C148">
        <v>1</v>
      </c>
      <c r="D148" s="1">
        <v>0.0184162062615101</v>
      </c>
    </row>
    <row r="149" spans="1:4">
      <c r="C149">
        <v>2</v>
      </c>
      <c r="D149" s="1">
        <v>0.0184162062615101</v>
      </c>
    </row>
    <row r="150" spans="1:4">
      <c r="C150">
        <v>3</v>
      </c>
      <c r="D150" s="1">
        <v>0.0184162062615101</v>
      </c>
    </row>
    <row r="151" spans="1:4">
      <c r="C151">
        <v>4</v>
      </c>
      <c r="D151" s="1">
        <v>0.0184162062615101</v>
      </c>
    </row>
    <row r="152" spans="1:4">
      <c r="A152">
        <v>11500</v>
      </c>
      <c r="D152" s="1">
        <v>0.0736648250460405</v>
      </c>
    </row>
    <row r="153" spans="1:4">
      <c r="B153" t="s">
        <v>565</v>
      </c>
      <c r="D153" s="1">
        <v>0.0736648250460405</v>
      </c>
    </row>
    <row r="154" spans="1:4">
      <c r="C154">
        <v>1</v>
      </c>
      <c r="D154" s="1">
        <v>0.0184162062615101</v>
      </c>
    </row>
    <row r="155" spans="1:4">
      <c r="C155">
        <v>2</v>
      </c>
      <c r="D155" s="1">
        <v>0.0184162062615101</v>
      </c>
    </row>
    <row r="156" spans="1:4">
      <c r="C156">
        <v>3</v>
      </c>
      <c r="D156" s="1">
        <v>0.0184162062615101</v>
      </c>
    </row>
    <row r="157" spans="1:4">
      <c r="C157">
        <v>4</v>
      </c>
      <c r="D157" s="1">
        <v>0.0184162062615101</v>
      </c>
    </row>
    <row r="158" spans="1:4">
      <c r="A158" t="s">
        <v>566</v>
      </c>
      <c r="D158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EquipType</vt:lpstr>
      <vt:lpstr>Equip</vt:lpstr>
      <vt:lpstr>LegendEquip</vt:lpstr>
      <vt:lpstr>EquipQuality</vt:lpstr>
      <vt:lpstr>Attr</vt:lpstr>
      <vt:lpstr>ModifierPool</vt:lpstr>
      <vt:lpstr>Modifier</vt:lpstr>
      <vt:lpstr>EquipModifierValue</vt:lpstr>
      <vt:lpstr>ModifierTier</vt:lpstr>
      <vt:lpstr>|词缀透视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沾下酱</cp:lastModifiedBy>
  <dcterms:created xsi:type="dcterms:W3CDTF">2023-07-17T09:03:00Z</dcterms:created>
  <dcterms:modified xsi:type="dcterms:W3CDTF">2026-08-05T11:45:04Z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0993FFE729A14ABDB7F97D69FBC346C3_13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