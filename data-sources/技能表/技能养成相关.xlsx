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4"/>
  </bookViews>
  <sheets>
    <sheet name="SkillActive" sheetId="1" r:id="rId1"/>
    <sheet name="SkillSlot" sheetId="14" r:id="rId2"/>
    <sheet name="SkillGem" sheetId="12" r:id="rId3"/>
    <sheet name="SkillBook" sheetId="13" r:id="rId4"/>
    <sheet name="SkillPassive" sheetId="10" r:id="rId5"/>
    <sheet name="SkillPassiveOptional" sheetId="17" r:id="rId6"/>
    <sheet name="SkillSet" sheetId="15" r:id="rId7"/>
    <sheet name="SkillSect" sheetId="11" r:id="rId8"/>
    <sheet name="SkillSelectBox" sheetId="16" r:id="rId9"/>
  </sheets>
  <definedNames>
    <definedName name="_xlnm._FilterDatabase" localSheetId="4" hidden="1">SkillPassive!$F$1:$F$193</definedName>
    <definedName name="_xlnm._FilterDatabase" localSheetId="7" hidden="1">SkillSect!$A$1:$V$183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4399-5080</author>
    <author>1250</author>
    <author>PC-7020</author>
  </authors>
  <commentList>
    <comment ref="A1" authorId="0">
      <text>
        <r>
          <rPr>
            <sz val="9"/>
            <rFont val="宋体"/>
            <charset val="134"/>
          </rPr>
          <t>第一位	职业id
第三位	主动技能类型</t>
        </r>
      </text>
    </comment>
    <comment ref="C1" authorId="0">
      <text>
        <r>
          <rPr>
            <b/>
            <sz val="9"/>
            <rFont val="宋体"/>
            <charset val="134"/>
          </rPr>
          <t>关联职业表
Rolejobs
1狂战
2剑客
3灵使</t>
        </r>
      </text>
    </comment>
    <comment ref="D1" authorId="1">
      <text>
        <r>
          <rPr>
            <b/>
            <sz val="9"/>
            <rFont val="宋体"/>
            <charset val="134"/>
          </rPr>
          <t>1250:</t>
        </r>
        <r>
          <rPr>
            <sz val="9"/>
            <rFont val="宋体"/>
            <charset val="134"/>
          </rPr>
          <t xml:space="preserve">
0：空手也生效的技能
11001：要求法杖
11002：要求长剑</t>
        </r>
      </text>
    </comment>
    <comment ref="F1" authorId="2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1-攻击
2-法术
3-召唤
4-增益
5-暂定战吼</t>
        </r>
      </text>
    </comment>
  </commentList>
</comments>
</file>

<file path=xl/comments2.xml><?xml version="1.0" encoding="utf-8"?>
<comments xmlns="http://schemas.openxmlformats.org/spreadsheetml/2006/main">
  <authors>
    <author>4399-5080</author>
  </authors>
  <commentList>
    <comment ref="A1" authorId="0">
      <text>
        <r>
          <rPr>
            <sz val="10"/>
            <rFont val="微软雅黑"/>
            <charset val="134"/>
          </rPr>
          <t>a+bbb+cc
a为职业id
bbbb为宝石组：根据不同宝石组定id，同一宝石组基础效果相同
cc为宝石等级</t>
        </r>
      </text>
    </comment>
  </commentList>
</comments>
</file>

<file path=xl/comments3.xml><?xml version="1.0" encoding="utf-8"?>
<comments xmlns="http://schemas.openxmlformats.org/spreadsheetml/2006/main">
  <authors>
    <author>5000PC</author>
    <author>4399-5080</author>
  </authors>
  <commentList>
    <comment ref="A1" authorId="0">
      <text>
        <r>
          <rPr>
            <sz val="9"/>
            <rFont val="宋体"/>
            <charset val="134"/>
          </rPr>
          <t xml:space="preserve">a+bb+ccc+dd
a为技能等阶
bb为技能类型
ccc为等阶内技能序号
dd为技能等级
</t>
        </r>
      </text>
    </comment>
    <comment ref="B1" authorId="1">
      <text>
        <r>
          <rPr>
            <b/>
            <sz val="9"/>
            <rFont val="宋体"/>
            <charset val="134"/>
          </rPr>
          <t>关联职业表
Rolejobs
1狂战
2剑客
3灵使</t>
        </r>
      </text>
    </comment>
  </commentList>
</comments>
</file>

<file path=xl/comments4.xml><?xml version="1.0" encoding="utf-8"?>
<comments xmlns="http://schemas.openxmlformats.org/spreadsheetml/2006/main">
  <authors>
    <author>4399-5080</author>
    <author>PC-7020</author>
    <author>5000PC</author>
    <author>1250c</author>
  </authors>
  <commentList>
    <comment ref="A1" authorId="0">
      <text>
        <r>
          <rPr>
            <sz val="9"/>
            <rFont val="宋体"/>
            <charset val="134"/>
          </rPr>
          <t xml:space="preserve">第一位	固定位1
第二位	职业id 通用填0
第三、四位	序号
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 xml:space="preserve">
</t>
        </r>
      </text>
    </comment>
    <comment ref="C1" authorId="0">
      <text>
        <r>
          <rPr>
            <b/>
            <sz val="9"/>
            <rFont val="宋体"/>
            <charset val="134"/>
          </rPr>
          <t>关联职业表
Rolejobs
0 通用
1 狂战
2 剑客
3 灵使</t>
        </r>
      </text>
    </comment>
    <comment ref="D1" authorId="1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这个节点连那个技能节点</t>
        </r>
      </text>
    </comment>
    <comment ref="E1" authorId="1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横轴|纵轴</t>
        </r>
      </text>
    </comment>
    <comment ref="F1" authorId="2">
      <text>
        <r>
          <rPr>
            <sz val="9"/>
            <rFont val="宋体"/>
            <charset val="134"/>
          </rPr>
          <t>1 小
2 中
3 大</t>
        </r>
      </text>
    </comment>
    <comment ref="K2" authorId="3">
      <text>
        <r>
          <rPr>
            <b/>
            <sz val="9"/>
            <rFont val="宋体"/>
            <charset val="134"/>
          </rPr>
          <t>1250c:</t>
        </r>
        <r>
          <rPr>
            <sz val="9"/>
            <rFont val="宋体"/>
            <charset val="134"/>
          </rPr>
          <t xml:space="preserve">
词缀V值填入规则
默认按照顺序对词缀ID字段中的词缀依次插入数值
如词缀ID为XXX1,XXX2</t>
        </r>
      </text>
    </comment>
  </commentList>
</comments>
</file>

<file path=xl/comments5.xml><?xml version="1.0" encoding="utf-8"?>
<comments xmlns="http://schemas.openxmlformats.org/spreadsheetml/2006/main">
  <authors>
    <author>4399-5080</author>
    <author>PC-7020</author>
  </authors>
  <commentList>
    <comment ref="A1" authorId="0">
      <text>
        <r>
          <rPr>
            <sz val="9"/>
            <rFont val="宋体"/>
            <charset val="134"/>
          </rPr>
          <t xml:space="preserve">第一位	固定位1
第二位	职业id 通用填0
第三、四位	序号
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 xml:space="preserve">
</t>
        </r>
      </text>
    </comment>
    <comment ref="C1" authorId="0">
      <text>
        <r>
          <rPr>
            <b/>
            <sz val="9"/>
            <rFont val="宋体"/>
            <charset val="134"/>
          </rPr>
          <t>关联职业表
Rolejobs
0 通用
1 狂战
2 剑客
3 灵使</t>
        </r>
      </text>
    </comment>
    <comment ref="D1" authorId="1">
      <text>
        <r>
          <rPr>
            <b/>
            <sz val="9"/>
            <rFont val="宋体"/>
            <charset val="134"/>
          </rPr>
          <t>PC-7020:</t>
        </r>
        <r>
          <rPr>
            <sz val="9"/>
            <rFont val="宋体"/>
            <charset val="134"/>
          </rPr>
          <t xml:space="preserve">
第几个天赋大节点解锁</t>
        </r>
      </text>
    </comment>
  </commentList>
</comments>
</file>

<file path=xl/comments6.xml><?xml version="1.0" encoding="utf-8"?>
<comments xmlns="http://schemas.openxmlformats.org/spreadsheetml/2006/main">
  <authors>
    <author>4399-5080</author>
  </authors>
  <commentList>
    <comment ref="A1" authorId="0">
      <text>
        <r>
          <rPr>
            <b/>
            <sz val="9"/>
            <rFont val="宋体"/>
            <charset val="134"/>
          </rPr>
          <t xml:space="preserve">10000 常规行动及衍生攻击
</t>
        </r>
        <r>
          <rPr>
            <sz val="9"/>
            <rFont val="宋体"/>
            <charset val="134"/>
          </rPr>
          <t xml:space="preserve">1+职业（2位数）+技能id（2位数）
技能00-20为普攻、30-50为重击、60-70为跳跃、80-90为翻滚
</t>
        </r>
        <r>
          <rPr>
            <b/>
            <sz val="9"/>
            <rFont val="宋体"/>
            <charset val="134"/>
          </rPr>
          <t xml:space="preserve">
20000 主动技能
</t>
        </r>
        <r>
          <rPr>
            <sz val="9"/>
            <rFont val="宋体"/>
            <charset val="134"/>
          </rPr>
          <t xml:space="preserve">2+职业（2位数）+技能id（2位数）
</t>
        </r>
        <r>
          <rPr>
            <b/>
            <sz val="9"/>
            <rFont val="宋体"/>
            <charset val="134"/>
          </rPr>
          <t>30000 QTE技能+被动</t>
        </r>
        <r>
          <rPr>
            <sz val="9"/>
            <rFont val="宋体"/>
            <charset val="134"/>
          </rPr>
          <t xml:space="preserve">
3+职业（2位数）+技能id（2位数）
0-40前为QTE 50-90为被动
</t>
        </r>
        <r>
          <rPr>
            <b/>
            <sz val="9"/>
            <rFont val="宋体"/>
            <charset val="134"/>
          </rPr>
          <t>60000 转职后 常规行动及衍生攻击</t>
        </r>
        <r>
          <rPr>
            <sz val="9"/>
            <rFont val="宋体"/>
            <charset val="134"/>
          </rPr>
          <t xml:space="preserve">
6+职业（2位数）+技能id（2位数）
</t>
        </r>
        <r>
          <rPr>
            <b/>
            <sz val="9"/>
            <rFont val="宋体"/>
            <charset val="134"/>
          </rPr>
          <t>70000 转职后 主动技能</t>
        </r>
        <r>
          <rPr>
            <sz val="9"/>
            <rFont val="宋体"/>
            <charset val="134"/>
          </rPr>
          <t xml:space="preserve">
7+职业（2位数）+技能id（2位数）
</t>
        </r>
        <r>
          <rPr>
            <b/>
            <sz val="9"/>
            <rFont val="宋体"/>
            <charset val="134"/>
          </rPr>
          <t>80000 转职后 QTE技能+被动</t>
        </r>
        <r>
          <rPr>
            <sz val="9"/>
            <rFont val="宋体"/>
            <charset val="134"/>
          </rPr>
          <t xml:space="preserve">
8+职业（2位数）+技能id（2位数）
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<sst xmlns="http://schemas.openxmlformats.org/spreadsheetml/2006/main" count="4003" uniqueCount="1715">
  <si>
    <t>技能</t>
  </si>
  <si>
    <t>(nouse)策划说明</t>
  </si>
  <si>
    <t>职业</t>
  </si>
  <si>
    <t>武器类型</t>
  </si>
  <si>
    <t>(nouse)等阶</t>
  </si>
  <si>
    <t>(nouse)类型</t>
  </si>
  <si>
    <t>(nouse)编号</t>
  </si>
  <si>
    <t>对应战斗技能表id</t>
  </si>
  <si>
    <t>对应特技id</t>
  </si>
  <si>
    <t>对应技能书组</t>
  </si>
  <si>
    <t>可镶嵌的技能宝石组</t>
  </si>
  <si>
    <t>未解锁提示</t>
  </si>
  <si>
    <t>id.p</t>
  </si>
  <si>
    <t>desc999</t>
  </si>
  <si>
    <t>occupation</t>
  </si>
  <si>
    <t>weaponType</t>
  </si>
  <si>
    <t>rank</t>
  </si>
  <si>
    <t>type</t>
  </si>
  <si>
    <t>order</t>
  </si>
  <si>
    <t>skill</t>
  </si>
  <si>
    <t>stunt</t>
  </si>
  <si>
    <t>skillBook</t>
  </si>
  <si>
    <t>skillGem</t>
  </si>
  <si>
    <t>lockTip</t>
  </si>
  <si>
    <t>number</t>
  </si>
  <si>
    <t>string</t>
  </si>
  <si>
    <t>numberArr</t>
  </si>
  <si>
    <t>number2</t>
  </si>
  <si>
    <t>专注斩</t>
  </si>
  <si>
    <t>1|2|3|4|5|6|7</t>
  </si>
  <si>
    <t>1|2|3|4|5|6|7|8|9|10|11|12|13|14|15|16|17|18|19|20|21|22|23</t>
  </si>
  <si>
    <t>旋风斩</t>
  </si>
  <si>
    <t>月光斩</t>
  </si>
  <si>
    <t>混沌刺击</t>
  </si>
  <si>
    <t>冥地喷涌</t>
  </si>
  <si>
    <t>冰霜新星</t>
  </si>
  <si>
    <t>移形换影</t>
  </si>
  <si>
    <t>11001|11002|11003</t>
  </si>
  <si>
    <t>法术旋龙</t>
  </si>
  <si>
    <t>火球术</t>
  </si>
  <si>
    <t>混沌陨星</t>
  </si>
  <si>
    <t>闪电之捷</t>
  </si>
  <si>
    <t>拔刀斩</t>
  </si>
  <si>
    <t>气刃纵斩</t>
  </si>
  <si>
    <t>回旋龙卷</t>
  </si>
  <si>
    <t>魔力满溢</t>
  </si>
  <si>
    <t>灰烬之捷</t>
  </si>
  <si>
    <t>月神赐福</t>
  </si>
  <si>
    <t>回响</t>
  </si>
  <si>
    <t>极地战吼</t>
  </si>
  <si>
    <t>冰霜之捷</t>
  </si>
  <si>
    <t>大地之怒</t>
  </si>
  <si>
    <t>元素脉冲</t>
  </si>
  <si>
    <t>毁灭意志</t>
  </si>
  <si>
    <t>迅捷</t>
  </si>
  <si>
    <t>吞噬</t>
  </si>
  <si>
    <t>精准投射</t>
  </si>
  <si>
    <t>领域扩张</t>
  </si>
  <si>
    <t>狂暴</t>
  </si>
  <si>
    <t>生命再生</t>
  </si>
  <si>
    <t>id</t>
  </si>
  <si>
    <t>解锁等级</t>
  </si>
  <si>
    <t>备注(nouse)</t>
  </si>
  <si>
    <t>优先级</t>
  </si>
  <si>
    <t>level</t>
  </si>
  <si>
    <t>priority</t>
  </si>
  <si>
    <t>槽位1</t>
  </si>
  <si>
    <t>槽位2</t>
  </si>
  <si>
    <t>槽位3</t>
  </si>
  <si>
    <t>槽位4</t>
  </si>
  <si>
    <t>槽位5</t>
  </si>
  <si>
    <t>技能宝石id</t>
  </si>
  <si>
    <t>宝石组id</t>
  </si>
  <si>
    <t>宝石等级(废弃)</t>
  </si>
  <si>
    <t>图标</t>
  </si>
  <si>
    <t>名称</t>
  </si>
  <si>
    <t>描述</t>
  </si>
  <si>
    <t>词缀id</t>
  </si>
  <si>
    <t>词缀数值</t>
  </si>
  <si>
    <t>被动表id</t>
  </si>
  <si>
    <t>提供属性-启用加属性</t>
  </si>
  <si>
    <t>自选箱最低可选等级</t>
  </si>
  <si>
    <t>所属阶级</t>
  </si>
  <si>
    <t>group</t>
  </si>
  <si>
    <t>icon</t>
  </si>
  <si>
    <t>name</t>
  </si>
  <si>
    <t>desc</t>
  </si>
  <si>
    <t>skillAffix</t>
  </si>
  <si>
    <t>affixValue</t>
  </si>
  <si>
    <t>stuntValue</t>
  </si>
  <si>
    <t>attr</t>
  </si>
  <si>
    <t>selectLimitLevel</t>
  </si>
  <si>
    <t>stageLevel</t>
  </si>
  <si>
    <t>object</t>
  </si>
  <si>
    <t>skill/sect/101101</t>
  </si>
  <si>
    <t>范围扩大·一</t>
  </si>
  <si>
    <t>辅助有范围标签的技能，范围效果扩大25%</t>
  </si>
  <si>
    <t>[[0.25]]</t>
  </si>
  <si>
    <t>skill/sect/101102</t>
  </si>
  <si>
    <t>范围扩大·二</t>
  </si>
  <si>
    <t>辅助有范围标签的技能，范围效果扩大50%</t>
  </si>
  <si>
    <t>[[0.5]]</t>
  </si>
  <si>
    <t>skill/sect/101201</t>
  </si>
  <si>
    <t>投射物增加·一</t>
  </si>
  <si>
    <t>辅助有投射物标签的技能，使其生成的投射物数量+1，造成的伤害额外降低30%</t>
  </si>
  <si>
    <t>10038|10046</t>
  </si>
  <si>
    <t>[[1],[-0.3]]</t>
  </si>
  <si>
    <t>投射物增加·二</t>
  </si>
  <si>
    <t>辅助有投射物标签的技能，使其生成的投射物数量+2，造成的伤害额外降低30%</t>
  </si>
  <si>
    <t>[[2],[-0.3]]</t>
  </si>
  <si>
    <t>新星投射物</t>
  </si>
  <si>
    <t>投射物数量+5，投射物变更为环形发射，投射物伤害总降50%</t>
  </si>
  <si>
    <t>skill/sect/101301</t>
  </si>
  <si>
    <t>快速攻击·一</t>
  </si>
  <si>
    <t>辅助有攻击标签的技能，攻击速度提高15%</t>
  </si>
  <si>
    <t>[[0.15]]</t>
  </si>
  <si>
    <t>skill/sect/101302</t>
  </si>
  <si>
    <t>快速攻击·二</t>
  </si>
  <si>
    <t>辅助有攻击标签的技能，攻击速度提高30%</t>
  </si>
  <si>
    <t>[[0.3]]</t>
  </si>
  <si>
    <t>skill/sect/102101</t>
  </si>
  <si>
    <t>范围集中·一</t>
  </si>
  <si>
    <t>辅助有范围标签的技能，使其范围总降50%，伤害额外提高15%</t>
  </si>
  <si>
    <t>skill/sect/102102</t>
  </si>
  <si>
    <t>范围集中·二</t>
  </si>
  <si>
    <t>辅助有范围标签的技能，使其范围总降50%，伤害额外提高30%</t>
  </si>
  <si>
    <t>skill/sect/102103</t>
  </si>
  <si>
    <t>冻结·一</t>
  </si>
  <si>
    <t>辅助有冰霜标签的技能，使其冻结的积蓄值额外提高25%</t>
  </si>
  <si>
    <t>skill/sect/102104</t>
  </si>
  <si>
    <t>冻结·二</t>
  </si>
  <si>
    <t>辅助有冰霜标签的技能，使其冻结的积蓄值额外提高50%</t>
  </si>
  <si>
    <t>持续时间延长·一</t>
  </si>
  <si>
    <t>辅助有持续性技能标签的技能，使其持续时间提高20%</t>
  </si>
  <si>
    <t>[[0.2]]</t>
  </si>
  <si>
    <t>skill/sect/102201</t>
  </si>
  <si>
    <t>持续时间延长·二</t>
  </si>
  <si>
    <t>辅助有持续性技能标签的技能，使其持续时间提高30%</t>
  </si>
  <si>
    <t>skill/sect/102202</t>
  </si>
  <si>
    <t>冷却回复·一</t>
  </si>
  <si>
    <t>辅助技能，使其冷却回复率增加15%</t>
  </si>
  <si>
    <t>skill/sect/102203</t>
  </si>
  <si>
    <t>冷却回复·二</t>
  </si>
  <si>
    <t>辅助技能，使其冷却回复率增加25%</t>
  </si>
  <si>
    <t>skill/sect/102204</t>
  </si>
  <si>
    <t>多重范围释放</t>
  </si>
  <si>
    <t>辅助有触发标签的技能，使其伤害总降20%，重复使用技能3次，不能对同一目标使用</t>
  </si>
  <si>
    <t>无边能量·一</t>
  </si>
  <si>
    <t>使获得的能量提高25%</t>
  </si>
  <si>
    <t>无边能量·二</t>
  </si>
  <si>
    <t>使获得的能量提高50%</t>
  </si>
  <si>
    <t>冻结时间增加·一</t>
  </si>
  <si>
    <t>被冰冻敌人的冻结时间额外提高25%</t>
  </si>
  <si>
    <t>冻结时间增加·二</t>
  </si>
  <si>
    <t>被冰冻敌人的冻结时间额外提高50%</t>
  </si>
  <si>
    <t>元素军械·一</t>
  </si>
  <si>
    <t>元素伤害额外提高15%</t>
  </si>
  <si>
    <t>元素军械·二</t>
  </si>
  <si>
    <t>元素伤害额外提高25%</t>
  </si>
  <si>
    <t>闪电偏转</t>
  </si>
  <si>
    <t>闪电倍率提高25%，火焰倍率和冰冷倍率下降25%</t>
  </si>
  <si>
    <t>冰冷偏转</t>
  </si>
  <si>
    <t>冰冷倍率提高25%，火焰倍率和闪电倍率下降25%</t>
  </si>
  <si>
    <t>火焰偏转</t>
  </si>
  <si>
    <t>火焰倍率提高25%，闪电倍率和冰冷倍率下降25%</t>
  </si>
  <si>
    <t>沉重挥舞·一</t>
  </si>
  <si>
    <t>攻击速度降低10%，近战物理伤害额外提高15%</t>
  </si>
  <si>
    <t>沉重挥舞·二</t>
  </si>
  <si>
    <t>攻击速度降低10%，近战物理伤害额外提高30%</t>
  </si>
  <si>
    <t>迎寒而上·一</t>
  </si>
  <si>
    <t>被辅助技能冻结敌人时，获得15%的额外冰冷伤害，持续6秒</t>
  </si>
  <si>
    <t>迎寒而上·二</t>
  </si>
  <si>
    <t>被辅助技能冻结敌人时，获得25%的额外冰冷伤害，持续6秒</t>
  </si>
  <si>
    <t>猛毒·一</t>
  </si>
  <si>
    <t>被辅助技能，击中中毒目标时，每层中毒效果伤害额外提高3%，上限5层</t>
  </si>
  <si>
    <t>[[0.03]]</t>
  </si>
  <si>
    <t>猛毒·二</t>
  </si>
  <si>
    <t>被辅助技能，击中中毒目标时，每层中毒效果伤害额外提高5%，上限5层</t>
  </si>
  <si>
    <t>[[0.05]]</t>
  </si>
  <si>
    <t>毒化·一</t>
  </si>
  <si>
    <t>被辅助技能，混沌伤害额外提高10% ，中毒几率增加20%</t>
  </si>
  <si>
    <t>10128|10051</t>
  </si>
  <si>
    <t>[[0.10],[0.20]]</t>
  </si>
  <si>
    <t>毒化·二</t>
  </si>
  <si>
    <t>被辅助技能，混沌伤害额外提高20% ，中毒几率增加40%</t>
  </si>
  <si>
    <t>[[0.20],[0.40]]</t>
  </si>
  <si>
    <t>包围·一</t>
  </si>
  <si>
    <t>辅助有环绕标签的技能，环绕子弹数量+1，造成的伤害额外降低30%</t>
  </si>
  <si>
    <t>10131|10046</t>
  </si>
  <si>
    <t>包围·二</t>
  </si>
  <si>
    <t>辅助有环绕标签的技能，环绕子弹数量+1</t>
  </si>
  <si>
    <t>[[1]]</t>
  </si>
  <si>
    <t>盘旋·一</t>
  </si>
  <si>
    <t>辅助有环绕标签的技能，被辅助技能的环绕子弹速度提高30%</t>
  </si>
  <si>
    <t>盘旋·二</t>
  </si>
  <si>
    <t>辅助有环绕标签的技能，被辅助技能的环绕子弹速度提高50%</t>
  </si>
  <si>
    <t>投射物加速·一</t>
  </si>
  <si>
    <t>辅助有投射物标签的技能，使其生成的投射物飞行速度额外加快20%</t>
  </si>
  <si>
    <t>投射物加速·二</t>
  </si>
  <si>
    <t>辅助有投射物标签的技能，使其生成的投射物飞行速度额外加快40%</t>
  </si>
  <si>
    <t>[[0.4]]</t>
  </si>
  <si>
    <t>投射物加速·三</t>
  </si>
  <si>
    <t>辅助有投射物标签的技能，使其生成的投射物飞行速度额外加快40%。投射物伤害增加30%</t>
  </si>
  <si>
    <t>10147|10064</t>
  </si>
  <si>
    <t>[[0.4],[0.3]]</t>
  </si>
  <si>
    <t>封冻枢纽</t>
  </si>
  <si>
    <t>被辅助技能冻结敌人时，在被冻结者脚底生成一片冰冷地面</t>
  </si>
  <si>
    <t>快速施法·一</t>
  </si>
  <si>
    <t>辅助有法术标签的技能，法术释放速度提高15%</t>
  </si>
  <si>
    <t>快速施法·二</t>
  </si>
  <si>
    <t>辅助有法术标签的技能，法术施放速度提高30%</t>
  </si>
  <si>
    <t>技能书id</t>
  </si>
  <si>
    <t>技能书组</t>
  </si>
  <si>
    <t>等级</t>
  </si>
  <si>
    <t>关联的节点id</t>
  </si>
  <si>
    <t>技能界面位置</t>
  </si>
  <si>
    <t>节点大小</t>
  </si>
  <si>
    <t>词缀值</t>
  </si>
  <si>
    <t>linkPoint</t>
  </si>
  <si>
    <t>viewPos</t>
  </si>
  <si>
    <t>size</t>
  </si>
  <si>
    <t>通用-天赋1</t>
  </si>
  <si>
    <t>0|319.773</t>
  </si>
  <si>
    <t>talent/attribute/shengming</t>
  </si>
  <si>
    <t>生命值</t>
  </si>
  <si>
    <t>生命值+5</t>
  </si>
  <si>
    <t>[[10001,5]]</t>
  </si>
  <si>
    <t>通用-天赋2</t>
  </si>
  <si>
    <t>1000001|1000003</t>
  </si>
  <si>
    <t>0|515.601</t>
  </si>
  <si>
    <t>通用-天赋3</t>
  </si>
  <si>
    <t>1000002|1000004|1000008|1000013|1000018|1000023</t>
  </si>
  <si>
    <t>0|714.659</t>
  </si>
  <si>
    <t>通用-天赋4</t>
  </si>
  <si>
    <t>1000003|1000005</t>
  </si>
  <si>
    <t>0|915.031</t>
  </si>
  <si>
    <t>通用-天赋5</t>
  </si>
  <si>
    <t>1000004|1000006</t>
  </si>
  <si>
    <t>0|1115.499</t>
  </si>
  <si>
    <t>通用-天赋6</t>
  </si>
  <si>
    <t>1000005|1000007</t>
  </si>
  <si>
    <t>0|1315.561</t>
  </si>
  <si>
    <t>通用-天赋7</t>
  </si>
  <si>
    <t>1000006|1000012|1000017|1000022|1000027|1000028|1000032</t>
  </si>
  <si>
    <t>0|1659.996</t>
  </si>
  <si>
    <t>talent/attribute/tianfu</t>
  </si>
  <si>
    <t>可选天赋</t>
  </si>
  <si>
    <t>激活一个可选天赋</t>
  </si>
  <si>
    <t>通用-天赋8</t>
  </si>
  <si>
    <t>1000003|1000009</t>
  </si>
  <si>
    <t>153.553|654.916</t>
  </si>
  <si>
    <t>talent/attribute/bingkang</t>
  </si>
  <si>
    <t>冰冷抗性</t>
  </si>
  <si>
    <t>冰冷抗性+2%</t>
  </si>
  <si>
    <t>[[10313,0.02]]</t>
  </si>
  <si>
    <t>通用-天赋9</t>
  </si>
  <si>
    <t>1000008|1000010</t>
  </si>
  <si>
    <t>153.553|861.848</t>
  </si>
  <si>
    <t>冰冷抗性+4%</t>
  </si>
  <si>
    <t>[[10313,0.04]]</t>
  </si>
  <si>
    <t>通用-天赋10</t>
  </si>
  <si>
    <t>1000009|1000011</t>
  </si>
  <si>
    <t>153.553|1064.205</t>
  </si>
  <si>
    <t>冰冷抗性+10%</t>
  </si>
  <si>
    <t>[[10313,0.1]]</t>
  </si>
  <si>
    <t>通用-天赋11</t>
  </si>
  <si>
    <t>1000010|1000012</t>
  </si>
  <si>
    <t>153.553|1252.904</t>
  </si>
  <si>
    <t>通用-天赋12</t>
  </si>
  <si>
    <t>1000007|1000011</t>
  </si>
  <si>
    <t>153.553|1452.97</t>
  </si>
  <si>
    <t>通用-天赋13</t>
  </si>
  <si>
    <t>1000003|1000014</t>
  </si>
  <si>
    <t>307.106|654.916</t>
  </si>
  <si>
    <t>talent/attribute/huokang</t>
  </si>
  <si>
    <t>火焰抗性</t>
  </si>
  <si>
    <t>火焰抗性+2%</t>
  </si>
  <si>
    <t>[[10312,0.02]]</t>
  </si>
  <si>
    <t>通用-天赋14</t>
  </si>
  <si>
    <t>1000013|1000015</t>
  </si>
  <si>
    <t>307.106|861.848</t>
  </si>
  <si>
    <t>火焰抗性+4%</t>
  </si>
  <si>
    <t>[[10312,0.04]]</t>
  </si>
  <si>
    <t>通用-天赋15</t>
  </si>
  <si>
    <t>1000014|1000016</t>
  </si>
  <si>
    <t>307.106|1064.205</t>
  </si>
  <si>
    <t>火焰抗性+10%</t>
  </si>
  <si>
    <t>[[10312,0.1]]</t>
  </si>
  <si>
    <t>通用-天赋16</t>
  </si>
  <si>
    <t>1000015|1000017</t>
  </si>
  <si>
    <t>307.106|1252.904</t>
  </si>
  <si>
    <t>通用-天赋17</t>
  </si>
  <si>
    <t>1000007|1000016</t>
  </si>
  <si>
    <t>307.106|1452.97</t>
  </si>
  <si>
    <t>通用-天赋18</t>
  </si>
  <si>
    <t>1000003|1000019</t>
  </si>
  <si>
    <t>-153.553|654.916</t>
  </si>
  <si>
    <t>talent/attribute/diankang</t>
  </si>
  <si>
    <t>闪电抗性</t>
  </si>
  <si>
    <t>闪电抗性+2%</t>
  </si>
  <si>
    <t>[[10314,0.02]]</t>
  </si>
  <si>
    <t>通用-天赋19</t>
  </si>
  <si>
    <t>1000018|1000020</t>
  </si>
  <si>
    <t>-153.553|861.848</t>
  </si>
  <si>
    <t>闪电抗性+4%</t>
  </si>
  <si>
    <t>[[10314,0.04]]</t>
  </si>
  <si>
    <t>通用-天赋20</t>
  </si>
  <si>
    <t>1000019|1000021</t>
  </si>
  <si>
    <t>-153.553|1064.205</t>
  </si>
  <si>
    <t>闪电抗性+10%</t>
  </si>
  <si>
    <t>[[10314,0.1]]</t>
  </si>
  <si>
    <t>通用-天赋21</t>
  </si>
  <si>
    <t>1000020|1000022</t>
  </si>
  <si>
    <t>-153.553|1252.904</t>
  </si>
  <si>
    <t>通用-天赋22</t>
  </si>
  <si>
    <t>1000007|1000021</t>
  </si>
  <si>
    <t>-153.553|1452.97</t>
  </si>
  <si>
    <t>通用-天赋23</t>
  </si>
  <si>
    <t>1000003|1000024</t>
  </si>
  <si>
    <t>-307.106|654.916</t>
  </si>
  <si>
    <t>talent/attribute/wukang</t>
  </si>
  <si>
    <t>物理抗性</t>
  </si>
  <si>
    <t>物理抗性+2%</t>
  </si>
  <si>
    <t>[[10311,0.02]]</t>
  </si>
  <si>
    <t>通用-天赋24</t>
  </si>
  <si>
    <t>1000023|1000025</t>
  </si>
  <si>
    <t>-307.106|861.848</t>
  </si>
  <si>
    <t>物理抗性+4%</t>
  </si>
  <si>
    <t>[[10311,0.04]]</t>
  </si>
  <si>
    <t>通用-天赋25</t>
  </si>
  <si>
    <t>1000024|1000026</t>
  </si>
  <si>
    <t>-307.106|1064.205</t>
  </si>
  <si>
    <t>物理抗性+10%</t>
  </si>
  <si>
    <t>[[10311,0.1]]</t>
  </si>
  <si>
    <t>通用-天赋26</t>
  </si>
  <si>
    <t>1000025|1000027</t>
  </si>
  <si>
    <t>-307.106|1252.904</t>
  </si>
  <si>
    <t>通用-天赋27</t>
  </si>
  <si>
    <t>1000007|1000026</t>
  </si>
  <si>
    <t>-307.106|1452.97</t>
  </si>
  <si>
    <t>通用-天赋28</t>
  </si>
  <si>
    <t>1000007|1000029</t>
  </si>
  <si>
    <t>0|1851.145</t>
  </si>
  <si>
    <t>通用-天赋29</t>
  </si>
  <si>
    <t>1000028|1000030|1000033|1000038|1000043|1000048</t>
  </si>
  <si>
    <t>0|2052.314</t>
  </si>
  <si>
    <t>通用-天赋30</t>
  </si>
  <si>
    <t>1000029|1000031</t>
  </si>
  <si>
    <t>0|2250.981</t>
  </si>
  <si>
    <t>通用-天赋31</t>
  </si>
  <si>
    <t>1000030|1000032</t>
  </si>
  <si>
    <t>0|2450.858</t>
  </si>
  <si>
    <t>通用-天赋32</t>
  </si>
  <si>
    <t>1000031|1000053</t>
  </si>
  <si>
    <t>0|2645.472</t>
  </si>
  <si>
    <t>通用-天赋33</t>
  </si>
  <si>
    <t>1000029|1000034</t>
  </si>
  <si>
    <t>153.553|1991.499</t>
  </si>
  <si>
    <t>talent/attribute/bingshang</t>
  </si>
  <si>
    <t>冰冷伤害</t>
  </si>
  <si>
    <t>冰冷伤害+10%</t>
  </si>
  <si>
    <t>[[10305,0.1]]</t>
  </si>
  <si>
    <t>通用-天赋34</t>
  </si>
  <si>
    <t>1000033|1000035</t>
  </si>
  <si>
    <t>153.553|2188.794</t>
  </si>
  <si>
    <t>冰冷伤害+15%</t>
  </si>
  <si>
    <t>[[10305,0.15]]</t>
  </si>
  <si>
    <t>通用-天赋35</t>
  </si>
  <si>
    <t>1000034|1000036</t>
  </si>
  <si>
    <t>153.553|2385.825</t>
  </si>
  <si>
    <t>talent/attribute/wuzhuanbing</t>
  </si>
  <si>
    <t>物转冰伤</t>
  </si>
  <si>
    <t>50%物理伤害转换为冰冷伤害</t>
  </si>
  <si>
    <t>[[11021,0.5]]</t>
  </si>
  <si>
    <t>通用-天赋36</t>
  </si>
  <si>
    <t>1000035|1000037</t>
  </si>
  <si>
    <t>153.553|2581.959</t>
  </si>
  <si>
    <t>通用-天赋37</t>
  </si>
  <si>
    <t>1000036|1000053</t>
  </si>
  <si>
    <t>153.553|2782.945</t>
  </si>
  <si>
    <t>通用-天赋38</t>
  </si>
  <si>
    <t>1000029|1000039</t>
  </si>
  <si>
    <t>307.106|1991.499</t>
  </si>
  <si>
    <t>talent/attribute/huoshang</t>
  </si>
  <si>
    <t>火焰伤害</t>
  </si>
  <si>
    <t>火焰伤害+10%</t>
  </si>
  <si>
    <t>[[10304,0.1]]</t>
  </si>
  <si>
    <t>通用-天赋39</t>
  </si>
  <si>
    <t>1000038|1000040</t>
  </si>
  <si>
    <t>307.106|2188.794</t>
  </si>
  <si>
    <t>火焰伤害+15%</t>
  </si>
  <si>
    <t>[[10304,0.15]]</t>
  </si>
  <si>
    <t>通用-天赋40</t>
  </si>
  <si>
    <t>1000039|1000041</t>
  </si>
  <si>
    <t>307.106|2385.825</t>
  </si>
  <si>
    <t>talent/attribute/wuzhuanhuo</t>
  </si>
  <si>
    <t>物转火伤</t>
  </si>
  <si>
    <t>50%物理伤害转换为火焰伤害</t>
  </si>
  <si>
    <t>[[11022,0.5]]</t>
  </si>
  <si>
    <t>通用-天赋41</t>
  </si>
  <si>
    <t>1000040|1000042</t>
  </si>
  <si>
    <t>307.106|2581.959</t>
  </si>
  <si>
    <t>通用-天赋42</t>
  </si>
  <si>
    <t>1000041|1000053</t>
  </si>
  <si>
    <t>307.106|2782.945</t>
  </si>
  <si>
    <t>通用-天赋43</t>
  </si>
  <si>
    <t>1000029|1000044</t>
  </si>
  <si>
    <t>-153.553|1991.499</t>
  </si>
  <si>
    <t>talent/attribute/dianshang</t>
  </si>
  <si>
    <t>闪电伤害</t>
  </si>
  <si>
    <t>闪电伤害+10%</t>
  </si>
  <si>
    <t>[[10306,0.1]]</t>
  </si>
  <si>
    <t>通用-天赋44</t>
  </si>
  <si>
    <t>1000043|1000045</t>
  </si>
  <si>
    <t>-153.553|2188.794</t>
  </si>
  <si>
    <t>闪电伤害+15%</t>
  </si>
  <si>
    <t>[[10306,0.15]]</t>
  </si>
  <si>
    <t>通用-天赋45</t>
  </si>
  <si>
    <t>1000044|1000046</t>
  </si>
  <si>
    <t>-153.553|2385.825</t>
  </si>
  <si>
    <t>talent/attribute/wuzhuandian</t>
  </si>
  <si>
    <t>物转电伤</t>
  </si>
  <si>
    <t>50%物理伤害转换为闪电伤害</t>
  </si>
  <si>
    <t>[[11020,0.5]]</t>
  </si>
  <si>
    <t>通用-天赋46</t>
  </si>
  <si>
    <t>1000045|1000047</t>
  </si>
  <si>
    <t>-153.553|2581.959</t>
  </si>
  <si>
    <t>通用-天赋47</t>
  </si>
  <si>
    <t>1000046|1000053</t>
  </si>
  <si>
    <t>-153.553|2782.945</t>
  </si>
  <si>
    <t>通用-天赋48</t>
  </si>
  <si>
    <t>1000029|1000049</t>
  </si>
  <si>
    <t>-307.106|1991.499</t>
  </si>
  <si>
    <t>talent/attribute/wushang</t>
  </si>
  <si>
    <t>物理伤害</t>
  </si>
  <si>
    <t>物理伤害+10%</t>
  </si>
  <si>
    <t>[[10303,0.1]]</t>
  </si>
  <si>
    <t>通用-天赋49</t>
  </si>
  <si>
    <t>1000048|1000050</t>
  </si>
  <si>
    <t>-307.106|2188.794</t>
  </si>
  <si>
    <t>物理伤害+15%</t>
  </si>
  <si>
    <t>[[10303,0.15]]</t>
  </si>
  <si>
    <t>通用-天赋50</t>
  </si>
  <si>
    <t>1000049|1000051</t>
  </si>
  <si>
    <t>-307.106|2385.825</t>
  </si>
  <si>
    <t>talent/attribute/ewaiwushang</t>
  </si>
  <si>
    <t>额外物伤</t>
  </si>
  <si>
    <t>额外10%物理伤害</t>
  </si>
  <si>
    <t>[[10500,0.1]]</t>
  </si>
  <si>
    <t>通用-天赋51</t>
  </si>
  <si>
    <t>1000050|1000052</t>
  </si>
  <si>
    <t>-307.106|2581.959</t>
  </si>
  <si>
    <t>通用-天赋52</t>
  </si>
  <si>
    <t>1000051|1000053</t>
  </si>
  <si>
    <t>-307.106|2782.945</t>
  </si>
  <si>
    <t>通用-天赋53</t>
  </si>
  <si>
    <t>1000032|1000037|1000042|1000047|1000052</t>
  </si>
  <si>
    <t>0|2945.874</t>
  </si>
  <si>
    <t>剑客-天赋1（旧版）</t>
  </si>
  <si>
    <t>talent/attribute/gongshang</t>
  </si>
  <si>
    <t>攻击伤害</t>
  </si>
  <si>
    <t>攻击伤害+5%</t>
  </si>
  <si>
    <t>[[10301,0.05]]</t>
  </si>
  <si>
    <t>剑客-天赋2（旧版）</t>
  </si>
  <si>
    <t>1002001|1002003</t>
  </si>
  <si>
    <t>剑客-天赋3（旧版）</t>
  </si>
  <si>
    <t>1002002|1002004|1002008|1002013|1002018|1002023</t>
  </si>
  <si>
    <t>剑客-天赋4（旧版）</t>
  </si>
  <si>
    <t>1002003|1002005</t>
  </si>
  <si>
    <t>剑客-天赋5（旧版）</t>
  </si>
  <si>
    <t>1002004|1002006</t>
  </si>
  <si>
    <t>剑客-天赋6（旧版）</t>
  </si>
  <si>
    <t>1002005|1002007</t>
  </si>
  <si>
    <t>剑客-天赋7（旧版）</t>
  </si>
  <si>
    <t>1002006|1002012|1002017|1002022|1002027|1002028|1002032</t>
  </si>
  <si>
    <t>剑客-天赋8（旧版）</t>
  </si>
  <si>
    <t>1002003|1002009</t>
  </si>
  <si>
    <t>talent/attribute/tousheshanghai</t>
  </si>
  <si>
    <t>投射伤害</t>
  </si>
  <si>
    <t>投射物伤害+10%</t>
  </si>
  <si>
    <t>剑客-天赋9（旧版）</t>
  </si>
  <si>
    <t>1002008|100201</t>
  </si>
  <si>
    <t>投射物伤害+15%</t>
  </si>
  <si>
    <t>剑客-天赋10（旧版）</t>
  </si>
  <si>
    <t>1002009|1002011</t>
  </si>
  <si>
    <t>剑客-天赋11（旧版）</t>
  </si>
  <si>
    <t>100201|1002012</t>
  </si>
  <si>
    <t>剑客-天赋12（旧版）</t>
  </si>
  <si>
    <t>1002007|1002011</t>
  </si>
  <si>
    <t>剑客-天赋13（旧版）</t>
  </si>
  <si>
    <t>1002003|1002014</t>
  </si>
  <si>
    <t>talent/attribute/jinzhanshanghai</t>
  </si>
  <si>
    <t>近战伤害</t>
  </si>
  <si>
    <t>近战伤害+10%</t>
  </si>
  <si>
    <t>剑客-天赋14（旧版）</t>
  </si>
  <si>
    <t>1002013|1002015</t>
  </si>
  <si>
    <t>近战伤害+15%</t>
  </si>
  <si>
    <t>剑客-天赋15（旧版）</t>
  </si>
  <si>
    <t>1002014|1002016</t>
  </si>
  <si>
    <t>剑客-天赋16（旧版）</t>
  </si>
  <si>
    <t>1002015|1002017</t>
  </si>
  <si>
    <t>剑客-天赋17（旧版）</t>
  </si>
  <si>
    <t>1002007|1002016</t>
  </si>
  <si>
    <t>剑客-天赋18（旧版）</t>
  </si>
  <si>
    <t>1002003|1002019</t>
  </si>
  <si>
    <t>talent/attribute/yuansushanghai</t>
  </si>
  <si>
    <t>元素伤害</t>
  </si>
  <si>
    <t>元素伤害+7%</t>
  </si>
  <si>
    <t>[[10308,0.07]]</t>
  </si>
  <si>
    <t>剑客-天赋19（旧版）</t>
  </si>
  <si>
    <t>1002018|1002020</t>
  </si>
  <si>
    <t>元素伤害+10%</t>
  </si>
  <si>
    <t>[[10308,0.1]]</t>
  </si>
  <si>
    <t>剑客-天赋20（旧版）</t>
  </si>
  <si>
    <t>1002019|1002021</t>
  </si>
  <si>
    <t>元素伤害+15%</t>
  </si>
  <si>
    <t>[[10308,0.15]]</t>
  </si>
  <si>
    <t>剑客-天赋21（旧版）</t>
  </si>
  <si>
    <t>1002020|1002022</t>
  </si>
  <si>
    <t>剑客-天赋22（旧版）</t>
  </si>
  <si>
    <t>1002007|1002021</t>
  </si>
  <si>
    <t>剑客-天赋23（旧版）</t>
  </si>
  <si>
    <t>1002003|1002024</t>
  </si>
  <si>
    <t>talent/attribute/fanweishanghai</t>
  </si>
  <si>
    <t>范围伤害</t>
  </si>
  <si>
    <t>范围伤害+10%</t>
  </si>
  <si>
    <t>剑客-天赋24（旧版）</t>
  </si>
  <si>
    <t>1002023|1002025</t>
  </si>
  <si>
    <t>范围伤害+15%</t>
  </si>
  <si>
    <t>剑客-天赋25（旧版）</t>
  </si>
  <si>
    <t>1002024|1002026</t>
  </si>
  <si>
    <t>剑客-天赋26（旧版）</t>
  </si>
  <si>
    <t>1002025|1002027</t>
  </si>
  <si>
    <t>剑客-天赋27（旧版）</t>
  </si>
  <si>
    <t>1002007|1002026</t>
  </si>
  <si>
    <t>剑客-天赋28（旧版）</t>
  </si>
  <si>
    <t>1002007|1002029</t>
  </si>
  <si>
    <t>talent/attribute/gongsu</t>
  </si>
  <si>
    <t>攻击速度</t>
  </si>
  <si>
    <t>攻击速度+3%</t>
  </si>
  <si>
    <t>剑客-天赋29（旧版）</t>
  </si>
  <si>
    <t>1002028|1002030|1002033|1002038|1002043|1002048</t>
  </si>
  <si>
    <t>剑客-天赋30（旧版）</t>
  </si>
  <si>
    <t>1002029|1002031</t>
  </si>
  <si>
    <t>剑客-天赋31（旧版）</t>
  </si>
  <si>
    <t>1002030|1002032</t>
  </si>
  <si>
    <t>剑客-天赋32（旧版）</t>
  </si>
  <si>
    <t>1002031|1002053</t>
  </si>
  <si>
    <t>剑客-天赋33（旧版）</t>
  </si>
  <si>
    <t>1002029|1002034</t>
  </si>
  <si>
    <t>talent/attribute/yisu</t>
  </si>
  <si>
    <t>移动速度</t>
  </si>
  <si>
    <t>移动速度+3%</t>
  </si>
  <si>
    <t>[[10007,0.03]]</t>
  </si>
  <si>
    <t>剑客-天赋34（旧版）</t>
  </si>
  <si>
    <t>1002033|1002035</t>
  </si>
  <si>
    <t>移动速度+5%</t>
  </si>
  <si>
    <t>[[10007,0.05]]</t>
  </si>
  <si>
    <t>剑客-天赋35（旧版）</t>
  </si>
  <si>
    <t>1002034|1002036</t>
  </si>
  <si>
    <t>移动速度+10%</t>
  </si>
  <si>
    <t>[[10007,0.1]]</t>
  </si>
  <si>
    <t>剑客-天赋36（旧版）</t>
  </si>
  <si>
    <t>1002035|1002037</t>
  </si>
  <si>
    <t>剑客-天赋37（旧版）</t>
  </si>
  <si>
    <t>1002036|1002053</t>
  </si>
  <si>
    <t>剑客-天赋38（旧版）</t>
  </si>
  <si>
    <t>1002029|1002039</t>
  </si>
  <si>
    <t>talent/attribute/dongjie</t>
  </si>
  <si>
    <t>冻结</t>
  </si>
  <si>
    <t>冻结积蓄+10%</t>
  </si>
  <si>
    <t>剑客-天赋39（旧版）</t>
  </si>
  <si>
    <t>1002038|1002040</t>
  </si>
  <si>
    <t>冻结积蓄+20%</t>
  </si>
  <si>
    <t>剑客-天赋40（旧版）</t>
  </si>
  <si>
    <t>1002039|1002041</t>
  </si>
  <si>
    <t>talent/attribute/huodebingshang</t>
  </si>
  <si>
    <t>获得冰冷伤害</t>
  </si>
  <si>
    <t>获得相当于伤害5%的冰冷伤害</t>
  </si>
  <si>
    <t>[[10502,0.05]]</t>
  </si>
  <si>
    <t>剑客-天赋41（旧版）</t>
  </si>
  <si>
    <t>1002040|1002042</t>
  </si>
  <si>
    <t>剑客-天赋42（旧版）</t>
  </si>
  <si>
    <t>1002041|1002053</t>
  </si>
  <si>
    <t>剑客-天赋43（旧版）</t>
  </si>
  <si>
    <t>1002029|1002044</t>
  </si>
  <si>
    <t>talent/attribute/baoji</t>
  </si>
  <si>
    <t>暴击增加</t>
  </si>
  <si>
    <t>暴击率增加10%</t>
  </si>
  <si>
    <t>剑客-天赋44（旧版）</t>
  </si>
  <si>
    <t>1002043|1002045</t>
  </si>
  <si>
    <t>暴击率增加15%</t>
  </si>
  <si>
    <t>剑客-天赋45（旧版）</t>
  </si>
  <si>
    <t>1002044|1002046</t>
  </si>
  <si>
    <t>暴击率</t>
  </si>
  <si>
    <t>暴击率+1%</t>
  </si>
  <si>
    <t>[[10100,0.01]]</t>
  </si>
  <si>
    <t>剑客-天赋46（旧版）</t>
  </si>
  <si>
    <t>1002045|1002047</t>
  </si>
  <si>
    <t>剑客-天赋47（旧版）</t>
  </si>
  <si>
    <t>1002046|1002053</t>
  </si>
  <si>
    <t>剑客-天赋48（旧版）</t>
  </si>
  <si>
    <t>1002029|1002049</t>
  </si>
  <si>
    <t>talent/attribute/baojishanghai</t>
  </si>
  <si>
    <t>暴伤增加</t>
  </si>
  <si>
    <t>暴击伤害增加10%</t>
  </si>
  <si>
    <t>剑客-天赋49（旧版）</t>
  </si>
  <si>
    <t>1002048|1002050</t>
  </si>
  <si>
    <t>暴击伤害增加15%</t>
  </si>
  <si>
    <t>剑客-天赋50（旧版）</t>
  </si>
  <si>
    <t>1002049|1002051</t>
  </si>
  <si>
    <t>暴击伤害</t>
  </si>
  <si>
    <t>暴击伤害+20%</t>
  </si>
  <si>
    <t>[[10200,0.2]]</t>
  </si>
  <si>
    <t>剑客-天赋51（旧版）</t>
  </si>
  <si>
    <t>1002050|1002052</t>
  </si>
  <si>
    <t>剑客-天赋52（旧版）</t>
  </si>
  <si>
    <t>1002051|1002053</t>
  </si>
  <si>
    <t>剑客-天赋53（旧版）</t>
  </si>
  <si>
    <t>1002032|1002037|1002042|1002047|1002052</t>
  </si>
  <si>
    <t>剑客1-天赋1</t>
  </si>
  <si>
    <t>0|320</t>
  </si>
  <si>
    <t>攻击速度+5%</t>
  </si>
  <si>
    <t>剑客1-天赋2</t>
  </si>
  <si>
    <t>1003001|1003003|1003005|1003011</t>
  </si>
  <si>
    <t>0|640</t>
  </si>
  <si>
    <t>talent/skill/kuaigong</t>
  </si>
  <si>
    <t>快攻</t>
  </si>
  <si>
    <t>第一个技能获得攻击速度额外提高20%</t>
  </si>
  <si>
    <t>剑客1-天赋3</t>
  </si>
  <si>
    <t>1003002|1003004</t>
  </si>
  <si>
    <t>150|640</t>
  </si>
  <si>
    <t>剑客1-天赋4</t>
  </si>
  <si>
    <t>1003003|1003009</t>
  </si>
  <si>
    <t>300|640</t>
  </si>
  <si>
    <t>talent/skill/kanpo</t>
  </si>
  <si>
    <t>看破</t>
  </si>
  <si>
    <t>基础暴击率+8%</t>
  </si>
  <si>
    <t>[[10100,0.08]]</t>
  </si>
  <si>
    <t>剑客1-天赋5</t>
  </si>
  <si>
    <t>1003002|1003006</t>
  </si>
  <si>
    <t>-150|640</t>
  </si>
  <si>
    <t>剑客1-天赋6</t>
  </si>
  <si>
    <t>1003005|1003007</t>
  </si>
  <si>
    <t>-300|640</t>
  </si>
  <si>
    <t>talent/skill/liufeng</t>
  </si>
  <si>
    <t>流风增击</t>
  </si>
  <si>
    <t>对于移动速度的增加或减少的20% 同时作用于额外攻击伤害，最多额外+30% 攻击伤害</t>
  </si>
  <si>
    <t>剑客1-天赋7</t>
  </si>
  <si>
    <t>1003006|1003008</t>
  </si>
  <si>
    <t>-300|960</t>
  </si>
  <si>
    <t>剑客1-天赋8</t>
  </si>
  <si>
    <t>-300|1280</t>
  </si>
  <si>
    <t>talent/skill/baoxue</t>
  </si>
  <si>
    <t>暴血</t>
  </si>
  <si>
    <t>每拥有1%的暴击率，就会增加2%的攻击伤害，最多增加200%的攻击伤害</t>
  </si>
  <si>
    <t>[[2]]</t>
  </si>
  <si>
    <t>剑客1-天赋9</t>
  </si>
  <si>
    <t>1003004|1003010</t>
  </si>
  <si>
    <t>300|960</t>
  </si>
  <si>
    <t>剑客1-天赋10</t>
  </si>
  <si>
    <t>300|1280</t>
  </si>
  <si>
    <t>talent/skill/jihan</t>
  </si>
  <si>
    <t>极寒侵体</t>
  </si>
  <si>
    <t>被冻结敌人的元素抗性会降低40%，持续6秒</t>
  </si>
  <si>
    <t>剑客1-天赋11</t>
  </si>
  <si>
    <t>1003002|1003012</t>
  </si>
  <si>
    <t>0|960</t>
  </si>
  <si>
    <t>剑客1-天赋12</t>
  </si>
  <si>
    <t>1003011|1003013</t>
  </si>
  <si>
    <t>0|1280</t>
  </si>
  <si>
    <t>talent/skill/xinyan</t>
  </si>
  <si>
    <t>心眼</t>
  </si>
  <si>
    <t>10秒内连续释放4次攻击技能时获得[心眼]状态\n[心眼]：攻击速度额外增加8%；技能范围额外增加8%，上限为3层，持续2秒</t>
  </si>
  <si>
    <t>剑客1-天赋13</t>
  </si>
  <si>
    <t>1003012|1003014</t>
  </si>
  <si>
    <t>0|1600</t>
  </si>
  <si>
    <t>剑客1-天赋14</t>
  </si>
  <si>
    <t>0|1920</t>
  </si>
  <si>
    <t>talent/skill/wuxin</t>
  </si>
  <si>
    <t>无心则利刃</t>
  </si>
  <si>
    <t>心眼达到层数上限时，获得[巅峰]\n[巅峰]:向前斩击造成1000%的攻击物理伤害，冷却时间5秒</t>
  </si>
  <si>
    <t>巫术魔典-天赋1</t>
  </si>
  <si>
    <t>talent/skill/zhongdu01</t>
  </si>
  <si>
    <t>中毒几率</t>
  </si>
  <si>
    <t>中毒几率+5%</t>
  </si>
  <si>
    <t>巫术魔典-天赋2</t>
  </si>
  <si>
    <t>1005001|1005003|1005007|1005009</t>
  </si>
  <si>
    <t>talent/skill/zhongdu07</t>
  </si>
  <si>
    <t>毒爆蔓延</t>
  </si>
  <si>
    <t>中毒目标被击败时10%几率爆炸，对半径3米内的敌人造成被击败的敌人最大生命 125% 的混沌伤害</t>
  </si>
  <si>
    <t>巫术魔典-天赋3</t>
  </si>
  <si>
    <t>1005002|1005004</t>
  </si>
  <si>
    <t>巫术魔典-天赋4</t>
  </si>
  <si>
    <t>1005003|1005005</t>
  </si>
  <si>
    <t>talent/skill/zhongdu03</t>
  </si>
  <si>
    <t>剧毒倍化</t>
  </si>
  <si>
    <t>中毒层数上限翻倍，中毒持续时间总降 50%</t>
  </si>
  <si>
    <t>巫术魔典-天赋5</t>
  </si>
  <si>
    <t>1005004|1005006|1005011|1005013</t>
  </si>
  <si>
    <t>巫术魔典-天赋6</t>
  </si>
  <si>
    <t>talent/skill/zhongdu08</t>
  </si>
  <si>
    <t>万伤成毒</t>
  </si>
  <si>
    <t>所有伤害均造成中毒</t>
  </si>
  <si>
    <t>巫术魔典-天赋7</t>
  </si>
  <si>
    <t>1005002|1005008</t>
  </si>
  <si>
    <t>-200|640</t>
  </si>
  <si>
    <t>巫术魔典-天赋8</t>
  </si>
  <si>
    <t>-300|800</t>
  </si>
  <si>
    <t>talent/skill/zhongdu05</t>
  </si>
  <si>
    <t>伤势缓冲</t>
  </si>
  <si>
    <t>获得30%的受伤缓冲</t>
  </si>
  <si>
    <t>[[11042,0.3]]</t>
  </si>
  <si>
    <t>巫术魔典-天赋9</t>
  </si>
  <si>
    <t>1005002|1005010</t>
  </si>
  <si>
    <t>200|640</t>
  </si>
  <si>
    <t>巫术魔典-天赋10</t>
  </si>
  <si>
    <t>300|800</t>
  </si>
  <si>
    <t>talent/skill/zhongdu06</t>
  </si>
  <si>
    <t>剧毒加深</t>
  </si>
  <si>
    <t>中毒层数上限+1</t>
  </si>
  <si>
    <t>[[11046,1]]</t>
  </si>
  <si>
    <t>巫术魔典-天赋11</t>
  </si>
  <si>
    <t>1005005|1005012</t>
  </si>
  <si>
    <t>-140|1600</t>
  </si>
  <si>
    <t>巫术魔典-天赋12</t>
  </si>
  <si>
    <t>-240|1696</t>
  </si>
  <si>
    <t>talent/skill/zhongdu02</t>
  </si>
  <si>
    <t>余响复诵</t>
  </si>
  <si>
    <t>可“回响”的技能有20%产生回响</t>
  </si>
  <si>
    <t>巫术魔典-天赋13</t>
  </si>
  <si>
    <t>1005005|1005014</t>
  </si>
  <si>
    <t>140|1600</t>
  </si>
  <si>
    <t>巫术魔典-天赋14</t>
  </si>
  <si>
    <t>240|1696</t>
  </si>
  <si>
    <t>talent/skill/zhongdu04</t>
  </si>
  <si>
    <t>毒咒侵蚀</t>
  </si>
  <si>
    <t>法术击中时+25%中毒几率，中毒效果额外提高40%</t>
  </si>
  <si>
    <t>幻影魔典-天赋1</t>
  </si>
  <si>
    <t>talent/skill/huanying01</t>
  </si>
  <si>
    <t>冷却回复率</t>
  </si>
  <si>
    <t>冷却回复率+3%</t>
  </si>
  <si>
    <t>幻影魔典-天赋2</t>
  </si>
  <si>
    <t>1004001|1004003|1004011|1004013</t>
  </si>
  <si>
    <t>talent/skill/huanying02</t>
  </si>
  <si>
    <t>幻影残响</t>
  </si>
  <si>
    <t>使用法术技能造成伤害后，在原地生成“幻影”，持续4秒，冷却10秒，幻影上限为1</t>
  </si>
  <si>
    <t>幻影魔典-天赋3</t>
  </si>
  <si>
    <t>1004002|1004004</t>
  </si>
  <si>
    <t>幻影魔典-天赋4</t>
  </si>
  <si>
    <t>1004003|1004005</t>
  </si>
  <si>
    <t>talent/skill/huanying03</t>
  </si>
  <si>
    <t>急速回流</t>
  </si>
  <si>
    <t>每有 +5% 冷却回复速度，+8%施法速度，上限50%</t>
  </si>
  <si>
    <t>幻影魔典-天赋5</t>
  </si>
  <si>
    <t>1004004|1004006|1004007|1004009</t>
  </si>
  <si>
    <t>幻影魔典-天赋6</t>
  </si>
  <si>
    <t>talent/skill/huanying04</t>
  </si>
  <si>
    <t>常驻分身</t>
  </si>
  <si>
    <t>自身无法释放核心技能，[幻影残响]产生的幻影变更为常驻形态，且所有幻影跟随移动并释放核心技能1，幻影残响的幻影上限+1</t>
  </si>
  <si>
    <t>10098|10134</t>
  </si>
  <si>
    <t>幻影魔典-天赋7</t>
  </si>
  <si>
    <t>1004005|1004008</t>
  </si>
  <si>
    <t>-200|1600</t>
  </si>
  <si>
    <t>幻影魔典-天赋8</t>
  </si>
  <si>
    <t>-300|1344</t>
  </si>
  <si>
    <t>talent/skill/huanying05</t>
  </si>
  <si>
    <t>虚影增幅</t>
  </si>
  <si>
    <t>对于施法速度加成的50%同样作用于幻影的额外伤害，上限 300%</t>
  </si>
  <si>
    <t>幻影魔典-天赋9</t>
  </si>
  <si>
    <t>1004005|1004010</t>
  </si>
  <si>
    <t>200|1600</t>
  </si>
  <si>
    <t>幻影魔典-天赋10</t>
  </si>
  <si>
    <t>300|1344</t>
  </si>
  <si>
    <t>talent/skill/huanying06</t>
  </si>
  <si>
    <t>幻影重重</t>
  </si>
  <si>
    <t>幻影数量+1</t>
  </si>
  <si>
    <t>幻影魔典-天赋11</t>
  </si>
  <si>
    <t>1004002|1004012</t>
  </si>
  <si>
    <t>-120|480</t>
  </si>
  <si>
    <t>幻影魔典-天赋12</t>
  </si>
  <si>
    <t>-160|160</t>
  </si>
  <si>
    <t>talent/skill/huanying07</t>
  </si>
  <si>
    <t>幻影疾咏</t>
  </si>
  <si>
    <t>+40% “幻影”的施法速度</t>
  </si>
  <si>
    <t>幻影魔典-天赋13</t>
  </si>
  <si>
    <t>1004002|1004014</t>
  </si>
  <si>
    <t>120|480</t>
  </si>
  <si>
    <t>幻影魔典-天赋14</t>
  </si>
  <si>
    <t>160|160</t>
  </si>
  <si>
    <t>talent/skill/huanying08</t>
  </si>
  <si>
    <t>共鸣耗魔</t>
  </si>
  <si>
    <t>幻影释放技能时会消耗你的魔力，其数值释放技能的魔力消耗，每次消耗技能额外增加5%你和幻影造成的伤害，上限为10层</t>
  </si>
  <si>
    <t>塑能法杖-天赋1</t>
  </si>
  <si>
    <t>180|30</t>
  </si>
  <si>
    <t>talent/yuansu/yuansu10</t>
  </si>
  <si>
    <t>裂碎</t>
  </si>
  <si>
    <t>投射物伤害提高20%</t>
  </si>
  <si>
    <t>塑能法杖-天赋2</t>
  </si>
  <si>
    <t>1006001|1006003|1006007|1006009|1006011|1006013</t>
  </si>
  <si>
    <t>195|230</t>
  </si>
  <si>
    <t>talent/yuansu/yuansu02</t>
  </si>
  <si>
    <t>升环法术</t>
  </si>
  <si>
    <t>使用投射物技能时额外增加1个</t>
  </si>
  <si>
    <t>塑能法杖-天赋3</t>
  </si>
  <si>
    <t>1006002|1006004</t>
  </si>
  <si>
    <t>227|410</t>
  </si>
  <si>
    <t>塑能法杖-天赋4</t>
  </si>
  <si>
    <t>285|600</t>
  </si>
  <si>
    <t>talent/yuansu/yuansu03</t>
  </si>
  <si>
    <t>原爆点</t>
  </si>
  <si>
    <t>投射物飞行结束后会触发1次100%法术物理伤害的冲击波</t>
  </si>
  <si>
    <t>塑能法杖-天赋5</t>
  </si>
  <si>
    <t>1006004|1006006</t>
  </si>
  <si>
    <t>80|900</t>
  </si>
  <si>
    <t>talent/yuansu/yuansu09</t>
  </si>
  <si>
    <t>升流</t>
  </si>
  <si>
    <t>投射物速度提高20%</t>
  </si>
  <si>
    <t>塑能法杖-天赋6</t>
  </si>
  <si>
    <t>-190|1220</t>
  </si>
  <si>
    <t>talent/yuansu/yuansu01</t>
  </si>
  <si>
    <t>狂风</t>
  </si>
  <si>
    <t>移动速度加成同样作用于投射物速度加成，最多提高30%</t>
  </si>
  <si>
    <t>塑能法杖-天赋7</t>
  </si>
  <si>
    <t>1006002|1006008</t>
  </si>
  <si>
    <t>30|700</t>
  </si>
  <si>
    <t>talent/yuansu/yuansu11</t>
  </si>
  <si>
    <t>法术暴击</t>
  </si>
  <si>
    <t>暴击率提高12%</t>
  </si>
  <si>
    <t>[[0.12]]</t>
  </si>
  <si>
    <t>塑能法杖-天赋8</t>
  </si>
  <si>
    <t>-250|950</t>
  </si>
  <si>
    <t>talent/yuansu/yuansu04</t>
  </si>
  <si>
    <t>法术迸发</t>
  </si>
  <si>
    <t>塑能法杖-天赋9</t>
  </si>
  <si>
    <t>1006002|1006010</t>
  </si>
  <si>
    <t>0|530</t>
  </si>
  <si>
    <t>talent/yuansu/yuansu12</t>
  </si>
  <si>
    <t>元素增幅</t>
  </si>
  <si>
    <t>元素伤害提高20%</t>
  </si>
  <si>
    <t>塑能法杖-天赋10</t>
  </si>
  <si>
    <t>-277|650</t>
  </si>
  <si>
    <t>talent/yuansu/yuansu05</t>
  </si>
  <si>
    <t>元素之子</t>
  </si>
  <si>
    <t>站在元素地面上时，可以获得对应元素50%的伤害</t>
  </si>
  <si>
    <t>塑能法杖-天赋11</t>
  </si>
  <si>
    <t>1006002|1006012</t>
  </si>
  <si>
    <t>0|360</t>
  </si>
  <si>
    <t>塑能法杖-天赋12</t>
  </si>
  <si>
    <t>-250|430</t>
  </si>
  <si>
    <t>talent/yuansu/yuansu06</t>
  </si>
  <si>
    <t>元素掌握</t>
  </si>
  <si>
    <t>敌人处于元素异常状态时，可以使敌人对该类型元素的抗性降低40%</t>
  </si>
  <si>
    <t>2150000080|2150100080|2150200080</t>
  </si>
  <si>
    <t>塑能法杖-天赋13</t>
  </si>
  <si>
    <t>1006002|1006014</t>
  </si>
  <si>
    <t>15|200</t>
  </si>
  <si>
    <t>talent/yuansu/yuansu08</t>
  </si>
  <si>
    <t>注能持续</t>
  </si>
  <si>
    <t>注能持续时间提高10%</t>
  </si>
  <si>
    <t>[[0.1]]</t>
  </si>
  <si>
    <t>塑能法杖-天赋14</t>
  </si>
  <si>
    <t>-125|280</t>
  </si>
  <si>
    <t>talent/yuansu/yuansu07</t>
  </si>
  <si>
    <t>注能循环</t>
  </si>
  <si>
    <t>获得注能时，额外获得一层注能</t>
  </si>
  <si>
    <t>2150000060|2150100060|2150200060|2150300060|2150400060</t>
  </si>
  <si>
    <t>元素法杖-天赋1</t>
  </si>
  <si>
    <t>1007002|1007007|1007011</t>
  </si>
  <si>
    <t>0|-70</t>
  </si>
  <si>
    <t>talent/zhuneng/zhuneng08</t>
  </si>
  <si>
    <t>元素法杖-天赋2</t>
  </si>
  <si>
    <t>1007001|1007003</t>
  </si>
  <si>
    <t>0|100</t>
  </si>
  <si>
    <t>talent/zhuneng/zhuneng01</t>
  </si>
  <si>
    <t>注能轮转</t>
  </si>
  <si>
    <t>每6秒获得一层随机注能，注能的持续时间额外降低20%</t>
  </si>
  <si>
    <t>[[-0.2]]</t>
  </si>
  <si>
    <t>元素法杖-天赋3</t>
  </si>
  <si>
    <t>1007002|1007004</t>
  </si>
  <si>
    <t>0|300</t>
  </si>
  <si>
    <t>元素法杖-天赋4</t>
  </si>
  <si>
    <t>1007003|1007005</t>
  </si>
  <si>
    <t>0|500</t>
  </si>
  <si>
    <t>talent/zhuneng/zhuneng03</t>
  </si>
  <si>
    <t>轮转一心</t>
  </si>
  <si>
    <t>注能轮转的冷却时间变为3秒</t>
  </si>
  <si>
    <t>元素法杖-天赋5</t>
  </si>
  <si>
    <t>1007004|1007006</t>
  </si>
  <si>
    <t>0|750</t>
  </si>
  <si>
    <t>元素法杖-天赋6</t>
  </si>
  <si>
    <t>0|1000</t>
  </si>
  <si>
    <t>talent/zhuneng/zhuneng02</t>
  </si>
  <si>
    <t>注能亲和</t>
  </si>
  <si>
    <t>所有注能的上限层数+1</t>
  </si>
  <si>
    <t>元素法杖-天赋7</t>
  </si>
  <si>
    <t>1007001|1007008</t>
  </si>
  <si>
    <t>-250|200</t>
  </si>
  <si>
    <t>talent/zhuneng/zhuneng04</t>
  </si>
  <si>
    <t>强效施法</t>
  </si>
  <si>
    <t>使用强化技能时，有50%的概率不消耗额外资源即可触发最低限度的强化效果</t>
  </si>
  <si>
    <t>元素法杖-天赋8</t>
  </si>
  <si>
    <t>1007007|1007009</t>
  </si>
  <si>
    <t>-150|500</t>
  </si>
  <si>
    <t>talent/zhuneng/zhuneng10</t>
  </si>
  <si>
    <t>强化增强</t>
  </si>
  <si>
    <t>强化技能的伤害提高20%</t>
  </si>
  <si>
    <t>元素法杖-天赋9</t>
  </si>
  <si>
    <t>1007008|1007010</t>
  </si>
  <si>
    <t>-300|600</t>
  </si>
  <si>
    <t>元素法杖-天赋10</t>
  </si>
  <si>
    <t>-150|700</t>
  </si>
  <si>
    <t>talent/zhuneng/zhuneng05</t>
  </si>
  <si>
    <t>强化之力</t>
  </si>
  <si>
    <t>每成功触发一次强化技能，可以获得一层强化之力，提高20%的伤害，最大可以获得5层，持续6秒</t>
  </si>
  <si>
    <t>元素法杖-天赋11</t>
  </si>
  <si>
    <t>1007001|1007012</t>
  </si>
  <si>
    <t>250|200</t>
  </si>
  <si>
    <t>talent/zhuneng/zhuneng06</t>
  </si>
  <si>
    <t>共鸣</t>
  </si>
  <si>
    <t>技能所需的特定注能可以用其他类型的注能替代，只可以被一种注能替代</t>
  </si>
  <si>
    <t>元素法杖-天赋12</t>
  </si>
  <si>
    <t>1007011|1007013</t>
  </si>
  <si>
    <t>150|500</t>
  </si>
  <si>
    <t>talent/zhuneng/zhuneng09</t>
  </si>
  <si>
    <t>魔力上限</t>
  </si>
  <si>
    <t>魔力上限提高3%</t>
  </si>
  <si>
    <t>元素法杖-天赋13</t>
  </si>
  <si>
    <t>1007012|1007014</t>
  </si>
  <si>
    <t>300|600</t>
  </si>
  <si>
    <t>元素法杖-天赋14</t>
  </si>
  <si>
    <t>150|700</t>
  </si>
  <si>
    <t>talent/zhuneng/zhuneng07</t>
  </si>
  <si>
    <t>深度聚集</t>
  </si>
  <si>
    <t>每拥有一种不同种类的注能，法术伤害总增10%，魔力回复率提高20%。</t>
  </si>
  <si>
    <t>2150000090|2150100090|2150200090|2150300090|2150400090|2150000091|2150100091|2150200091|2150300091|2150400091</t>
  </si>
  <si>
    <t>冰刀-天赋1</t>
  </si>
  <si>
    <t>冰刀-天赋2</t>
  </si>
  <si>
    <t>1008001|1008003|1008005|1008011</t>
  </si>
  <si>
    <t>刺骨寒意</t>
  </si>
  <si>
    <t>第一个技能的冻结积蓄值总增100%</t>
  </si>
  <si>
    <t>冰刀-天赋3</t>
  </si>
  <si>
    <t>1008002|1008004</t>
  </si>
  <si>
    <t>冰刀-天赋4</t>
  </si>
  <si>
    <t>1008003|1008009</t>
  </si>
  <si>
    <t>冰刀-天赋5</t>
  </si>
  <si>
    <t>1008002|1008006</t>
  </si>
  <si>
    <t>冰刀-天赋6</t>
  </si>
  <si>
    <t>1008005|1008007</t>
  </si>
  <si>
    <t>冰刀-天赋7</t>
  </si>
  <si>
    <t>1008006|1008008</t>
  </si>
  <si>
    <t>冰刀-天赋8</t>
  </si>
  <si>
    <t>冰刀-天赋9</t>
  </si>
  <si>
    <t>1008004|1008010</t>
  </si>
  <si>
    <t>冰刀-天赋10</t>
  </si>
  <si>
    <t>冰刀-天赋11</t>
  </si>
  <si>
    <t>1008002|1008012</t>
  </si>
  <si>
    <t>冰刀-天赋12</t>
  </si>
  <si>
    <t>1008011|1008013</t>
  </si>
  <si>
    <t>冰刀-天赋13</t>
  </si>
  <si>
    <t>1008012|1008014</t>
  </si>
  <si>
    <t>冰刀-天赋14</t>
  </si>
  <si>
    <t>阶段-天赋大节点解锁</t>
  </si>
  <si>
    <t>stage</t>
  </si>
  <si>
    <t>通用1-天赋1</t>
  </si>
  <si>
    <t>talent/skill/dikang</t>
  </si>
  <si>
    <t>抵抗</t>
  </si>
  <si>
    <r>
      <rPr>
        <sz val="11"/>
        <color rgb="FF000000"/>
        <rFont val="宋体"/>
        <charset val="134"/>
      </rPr>
      <t>每有1%混沌</t>
    </r>
    <r>
      <rPr>
        <sz val="11"/>
        <color theme="1"/>
        <rFont val="宋体"/>
        <charset val="134"/>
      </rPr>
      <t>抗性，+1%元素异常状态抵抗</t>
    </r>
  </si>
  <si>
    <t>通用1-天赋2</t>
  </si>
  <si>
    <t>talent/skill/huoli</t>
  </si>
  <si>
    <t>活力</t>
  </si>
  <si>
    <t>每秒回复25点生命值</t>
  </si>
  <si>
    <t>通用2-天赋1</t>
  </si>
  <si>
    <t>talent/skill/leishen</t>
  </si>
  <si>
    <t>雷神</t>
  </si>
  <si>
    <t>击中的闪电伤害额外提高25%，闪电伤害有30%几率附带触电累积</t>
  </si>
  <si>
    <t>通用2-天赋2</t>
  </si>
  <si>
    <t>talent/skill/huoshen</t>
  </si>
  <si>
    <t>火神</t>
  </si>
  <si>
    <t>击中的火焰伤害额外提高25%，火焰伤害使敌人的火焰抗性-20%</t>
  </si>
  <si>
    <t>通用2-天赋3</t>
  </si>
  <si>
    <t>talent/skill/bingshen</t>
  </si>
  <si>
    <t>冰神</t>
  </si>
  <si>
    <t>击中的冰冷伤害额外提高25%，冰冻累积效果额外提高50%</t>
  </si>
  <si>
    <t>talent/skill/cigu</t>
  </si>
  <si>
    <t>第一个技能获得10级攻速增加效果</t>
  </si>
  <si>
    <t>技能宝石槽位解锁对应技能等级</t>
  </si>
  <si>
    <t>slotUnlockLevel</t>
  </si>
  <si>
    <t>1|4|6|9</t>
  </si>
  <si>
    <t>秘籍id</t>
  </si>
  <si>
    <t>序号</t>
  </si>
  <si>
    <t>品质id</t>
  </si>
  <si>
    <t>解锁道具id</t>
  </si>
  <si>
    <t>修炼道具id</t>
  </si>
  <si>
    <t>升阶道具id</t>
  </si>
  <si>
    <t>已拥有转化成材料</t>
  </si>
  <si>
    <t>每一阶提供属性</t>
  </si>
  <si>
    <t>提供属性-点击激活加属性</t>
  </si>
  <si>
    <t>提供属性-图鉴激活加属性</t>
  </si>
  <si>
    <t>激活奖励</t>
  </si>
  <si>
    <t>启用秘籍战力值</t>
  </si>
  <si>
    <t>外显标签</t>
  </si>
  <si>
    <t>外显底图资源</t>
  </si>
  <si>
    <t>未获得时是否显示</t>
  </si>
  <si>
    <t>num.p</t>
  </si>
  <si>
    <t>quality</t>
  </si>
  <si>
    <t>unlockItem</t>
  </si>
  <si>
    <t>proficiencyItem</t>
  </si>
  <si>
    <t>breakItem</t>
  </si>
  <si>
    <t>trans</t>
  </si>
  <si>
    <t>breakAttr</t>
  </si>
  <si>
    <t>attr1</t>
  </si>
  <si>
    <t>attr2</t>
  </si>
  <si>
    <t>reward</t>
  </si>
  <si>
    <t>power</t>
  </si>
  <si>
    <t>frameRes</t>
  </si>
  <si>
    <t>isShow</t>
  </si>
  <si>
    <t>stringArr</t>
  </si>
  <si>
    <t>普通攻击</t>
  </si>
  <si>
    <t>101110</t>
  </si>
  <si>
    <t>[[101110,300]]</t>
  </si>
  <si>
    <t>崩裂击</t>
  </si>
  <si>
    <t>角色暴击率提高&lt;color=be7013&gt;5%&lt;/color&gt;</t>
  </si>
  <si>
    <t>[[3014,0.05]]</t>
  </si>
  <si>
    <t>[[3059,0.02]]</t>
  </si>
  <si>
    <t>[[3009,0.01],[3010,0.01],[3011,0.01]]</t>
  </si>
  <si>
    <t>[[3001,1],[3002,1],[3003,100]]</t>
  </si>
  <si>
    <t>[[103,10]]</t>
  </si>
  <si>
    <t>增益</t>
  </si>
  <si>
    <t>skill_affix/hong</t>
  </si>
  <si>
    <t>[[101110,600]]</t>
  </si>
  <si>
    <t>击碎强化为血蚀击碎，平均每秒对敌人造成&lt;color=be7013&gt;7&lt;/color&gt;%物理伤害与&lt;color=be7013&gt;40&lt;/color&gt;%创伤伤害</t>
  </si>
  <si>
    <t>[[3009,0.02],[3010,0.02],[3011,0.02]]</t>
  </si>
  <si>
    <t>[[3001,5],[3002,1],[3003,500]]</t>
  </si>
  <si>
    <t>创伤|增益</t>
  </si>
  <si>
    <t>skill_affix/huang|skill_affix/hong</t>
  </si>
  <si>
    <t>[[101110,900]]</t>
  </si>
  <si>
    <t>skill/sect/101103</t>
  </si>
  <si>
    <t>角色最终减伤提高&lt;color=be7013&gt;5%&lt;/color&gt;</t>
  </si>
  <si>
    <t>[[3014,0.05],[3060,0.05]]</t>
  </si>
  <si>
    <t>[[3009,0.03],[3010,0.03],[3011,0.03]]</t>
  </si>
  <si>
    <t>[[3001,10],[3002,2],[3003,1000]]</t>
  </si>
  <si>
    <t>101120</t>
  </si>
  <si>
    <t>[[101120,1]]</t>
  </si>
  <si>
    <t>skill/sect/101104</t>
  </si>
  <si>
    <t>击碎命中敌人有&lt;color=be7013&gt;20%&lt;/color&gt;概率施加&lt;u color=4169E1 size=2&gt;&lt;a href=30018&gt;重伤&lt;/a&gt;&lt;/u&gt;，持续&lt;color=be7013&gt;3&lt;/color&gt;秒</t>
  </si>
  <si>
    <t>[[3009,0.04],[3010,0.04],[3011,0.04]]</t>
  </si>
  <si>
    <t>[[3001,50],[3002,10],[3003,5000]]</t>
  </si>
  <si>
    <t>101210</t>
  </si>
  <si>
    <t>[[101210,300]]</t>
  </si>
  <si>
    <t>癫狂击</t>
  </si>
  <si>
    <t>释放击碎额外恢复&lt;color=be7013&gt;1&lt;/color&gt;点战意</t>
  </si>
  <si>
    <t>充能</t>
  </si>
  <si>
    <t>[[101210,600]]</t>
  </si>
  <si>
    <t>skill/sect/101202</t>
  </si>
  <si>
    <t>释放击碎有20%概率获得&lt;u color=4169E1 size=2&gt;&lt;a href=30019&gt;狂热&lt;/a&gt;&lt;/u&gt;，持续&lt;color=be7013&gt;3&lt;/color&gt;秒</t>
  </si>
  <si>
    <t>120121000|120122000</t>
  </si>
  <si>
    <t>追击|充能</t>
  </si>
  <si>
    <t>[[101210,900]]</t>
  </si>
  <si>
    <t>skill/sect/101203</t>
  </si>
  <si>
    <t>角色战意充能提高&lt;color=be7013&gt;17.5%&lt;/color&gt;</t>
  </si>
  <si>
    <t>[[3005,0.175]]</t>
  </si>
  <si>
    <t>101220</t>
  </si>
  <si>
    <t>[[101220,1]]</t>
  </si>
  <si>
    <t>skill/sect/101204</t>
  </si>
  <si>
    <t>&lt;u color=4169E1 size=2&gt;&lt;a href=30019&gt;狂热&lt;/a&gt;&lt;/u&gt;强化为&lt;u color=4169E1 size=2&gt;&lt;a href=30020&gt;极端狂热&lt;/a&gt;&lt;/u&gt;，物理伤害加成提高至&lt;color=be7013&gt;10%&lt;/color&gt;</t>
  </si>
  <si>
    <t>120121000|120124000</t>
  </si>
  <si>
    <t>雷霆击</t>
  </si>
  <si>
    <t>角色魔法增伤提高&lt;color=be7013&gt;5%&lt;/color&gt;</t>
  </si>
  <si>
    <t>[[3023,0.05]]</t>
  </si>
  <si>
    <t>普攻命中&lt;color=be7013&gt;20%&lt;/color&gt;概率给敌人施加雷电之种，延迟2秒后爆炸造成&lt;color=be7013&gt;31%&lt;/color&gt;魔法伤害</t>
  </si>
  <si>
    <t>引爆|增益</t>
  </si>
  <si>
    <t>[[3023,0.05],[3060,0.05]]</t>
  </si>
  <si>
    <t>提高雷电之种施加概率至&lt;color=be7013&gt;30%&lt;/color&gt;，爆炸伤害提高至&lt;color=be7013&gt;42%&lt;/color&gt;</t>
  </si>
  <si>
    <t>核心技能</t>
  </si>
  <si>
    <t>102110</t>
  </si>
  <si>
    <t>[[102110,300]]</t>
  </si>
  <si>
    <t>熔血重斩</t>
  </si>
  <si>
    <t>角色创伤伤害提高&lt;color=be7013&gt;7.5%&lt;/color&gt;</t>
  </si>
  <si>
    <t>[[3033,0.075]]</t>
  </si>
  <si>
    <t>创伤</t>
  </si>
  <si>
    <t>skill_affix/huang</t>
  </si>
  <si>
    <t>[[102110,600]]</t>
  </si>
  <si>
    <t>裂地斩击强化为血焰斩击，命中时对目标造成&lt;color=be7013&gt;73%&lt;/color&gt;物理伤害与&lt;color=be7013&gt;442%&lt;/color&gt;创伤伤害</t>
  </si>
  <si>
    <t>创伤|减益</t>
  </si>
  <si>
    <t>skill_affix/huang|skill_affix/qing</t>
  </si>
  <si>
    <t>[[102110,900]]</t>
  </si>
  <si>
    <t>释放核心技能时为自身施加&lt;color=be7013&gt;1&lt;/color&gt;层&lt;u color=4169E1 size=2&gt;&lt;a href=30021&gt;血印&lt;/a&gt;&lt;/u&gt;，最多&lt;color=be7013&gt;4&lt;/color&gt;层</t>
  </si>
  <si>
    <t>102120</t>
  </si>
  <si>
    <t>[[102120,1]]</t>
  </si>
  <si>
    <t>血焰爆裂留下持续&lt;color=be7013&gt;5&lt;/color&gt;秒的血池，对周围每秒造成&lt;color=be7013&gt;13%&lt;/color&gt;物理伤害与&lt;color=be7013&gt;79%&lt;/color&gt;创伤伤害</t>
  </si>
  <si>
    <t>102210</t>
  </si>
  <si>
    <t>[[102210,300]]</t>
  </si>
  <si>
    <t>燃火重斩</t>
  </si>
  <si>
    <t>裂地斩击耗能降低&lt;color=be7013&gt;6&lt;/color&gt;点</t>
  </si>
  <si>
    <t>降耗</t>
  </si>
  <si>
    <t>[[102210,600]]</t>
  </si>
  <si>
    <t>裂地斩击伤害提升至&lt;color=be7013&gt;252%&lt;/color&gt;物理伤害，同时每次释放裂地斩击时在周围随机敌人处生成火焰喷流造成&lt;color=be7013&gt;111%&lt;/color&gt;魔法伤害</t>
  </si>
  <si>
    <t>追击|降耗</t>
  </si>
  <si>
    <t>[[102210,900]]</t>
  </si>
  <si>
    <t>裂地斩击伤害提高&lt;color=be7013&gt;40%&lt;/color&gt;</t>
  </si>
  <si>
    <t>[[3097,0.4]]</t>
  </si>
  <si>
    <t>102220</t>
  </si>
  <si>
    <t>[[102220,1]]</t>
  </si>
  <si>
    <t>裂地斩击伤害提升至&lt;color=be7013&gt;485%&lt;/color&gt;物理伤害，火焰喷流强化为熔岩喷发对更大范围敌人造成&lt;color=be7013&gt;205%&lt;/color&gt;魔法伤害</t>
  </si>
  <si>
    <t>怒雷横扫</t>
  </si>
  <si>
    <t>暴击</t>
  </si>
  <si>
    <t>释放核心技能给自身施加雷电领域，雷电领域持续5秒，对范围内敌人每秒造成&lt;color=be7013&gt;34%&lt;/color&gt;魔法伤害并施加&lt;u color=4169E1 size=2&gt;&lt;a href=30037&gt;感电&lt;/a&gt;&lt;/u&gt;</t>
  </si>
  <si>
    <t>引爆|暴击</t>
  </si>
  <si>
    <t>角色暴击伤害提高&lt;color=be7013&gt;30%&lt;/color&gt;</t>
  </si>
  <si>
    <t>[[3014,0.05],[3015,0.3]]</t>
  </si>
  <si>
    <t>雷电领域获得强化，每秒造成&lt;color=be7013&gt;60%&lt;/color&gt;魔法伤害，持续时间延长至8秒</t>
  </si>
  <si>
    <t>位移技能</t>
  </si>
  <si>
    <t>103110</t>
  </si>
  <si>
    <t>[[103110,300]]</t>
  </si>
  <si>
    <t>skill/sect/103101</t>
  </si>
  <si>
    <t>压制冲刺</t>
  </si>
  <si>
    <t>狂野冲锋冷却时间缩减&lt;color=be7013&gt;15%&lt;/color&gt;</t>
  </si>
  <si>
    <t>[[3249,0.15]]</t>
  </si>
  <si>
    <t>位移</t>
  </si>
  <si>
    <t>skill_affix/lv</t>
  </si>
  <si>
    <t>[[103110,600]]</t>
  </si>
  <si>
    <t>skill/sect/103102</t>
  </si>
  <si>
    <t>狂野冲锋结束后额外进行一段上挑攻击，造成&lt;color=be7013&gt;233%&lt;/color&gt;物理伤害并附带&lt;color=be7013&gt;0.5&lt;/color&gt;秒&lt;u color=4169E1 size=2&gt;&lt;a href=30022&gt;眩晕&lt;/a&gt;&lt;/u&gt;</t>
  </si>
  <si>
    <t>位移|控制</t>
  </si>
  <si>
    <t>skill_affix/lv|skill_affix/zi</t>
  </si>
  <si>
    <t>[[103110,900]]</t>
  </si>
  <si>
    <t>skill/sect/103103</t>
  </si>
  <si>
    <t>角色最终增伤提高&lt;color=be7013&gt;5%&lt;/color&gt;</t>
  </si>
  <si>
    <t>[[3249,0.15],[3059,0.05]]</t>
  </si>
  <si>
    <t>103120</t>
  </si>
  <si>
    <t>[[103120,1]]</t>
  </si>
  <si>
    <t>skill/sect/103104</t>
  </si>
  <si>
    <t>狂野冲锋上挑伤害提高至&lt;color=be7013&gt;300&lt;/color&gt;%物理伤害，且&lt;u color=4169E1 size=2&gt;&lt;a href=30022&gt;眩晕&lt;/a&gt;&lt;/u&gt;延长至&lt;color=be7013&gt;1.5&lt;/color&gt;秒</t>
  </si>
  <si>
    <t>103210</t>
  </si>
  <si>
    <t>[[103210,300]]</t>
  </si>
  <si>
    <t>skill/sect/103201</t>
  </si>
  <si>
    <t>复仇冲锋</t>
  </si>
  <si>
    <t>角色反击率提高&lt;color=be7013&gt;5%&lt;/color&gt;</t>
  </si>
  <si>
    <t>[[3025,0.05]]</t>
  </si>
  <si>
    <t>反击</t>
  </si>
  <si>
    <t>[[103210,600]]</t>
  </si>
  <si>
    <t>skill/sect/103202</t>
  </si>
  <si>
    <t>狂野冲锋结束时，若面前还有敌人则追加快速冲锋造成&lt;color=be7013&gt;209%&lt;/color&gt;物理伤害并给自身施加&lt;color=be7013&gt;15%&lt;/color&gt;最大生命护盾</t>
  </si>
  <si>
    <t>反击|护盾</t>
  </si>
  <si>
    <t>skill_affix/hong|skill_affix/lan</t>
  </si>
  <si>
    <t>[[103210,900]]</t>
  </si>
  <si>
    <t>skill/sect/103203</t>
  </si>
  <si>
    <t>角色反击伤害提高&lt;color=be7013&gt;10%&lt;/color&gt;</t>
  </si>
  <si>
    <t>[[3025,0.05],[3027,0.1]]</t>
  </si>
  <si>
    <t>103220</t>
  </si>
  <si>
    <t>[[103220,1]]</t>
  </si>
  <si>
    <t>skill/sect/103204</t>
  </si>
  <si>
    <t>狂野冲锋每命中一个敌人，给自身施加&lt;u color=4169E1 size=2&gt;&lt;a href=30023&gt;无双&lt;/a&gt;&lt;/u&gt;，上限&lt;color=be7013&gt;5&lt;/color&gt;层，持续&lt;color=be7013&gt;10&lt;/color&gt;秒</t>
  </si>
  <si>
    <t>震慑冲锋</t>
  </si>
  <si>
    <t>角色掌控技能增伤提高&lt;color=be7013&gt;25%&lt;/color&gt;</t>
  </si>
  <si>
    <t>[[3041,0.25]]</t>
  </si>
  <si>
    <t>冲锋命中对敌人施加&lt;u color=4169E1 size=2&gt;&lt;a href=30038&gt;电压&lt;/a&gt;&lt;/u&gt;</t>
  </si>
  <si>
    <t>角色战意充能提高&lt;color=be7013&gt;5%&lt;/color&gt;</t>
  </si>
  <si>
    <t>[[3041,0.25],[3005,0.05]]</t>
  </si>
  <si>
    <t>冲锋命中对敌人施加&lt;u color=4169E1 size=2&gt;&lt;a href=30039&gt;强力电压&lt;/a&gt;&lt;/u&gt;</t>
  </si>
  <si>
    <t>BUFF技能</t>
  </si>
  <si>
    <t>104110</t>
  </si>
  <si>
    <t>[[104110,300]]</t>
  </si>
  <si>
    <t>skill/sect/104101</t>
  </si>
  <si>
    <t>无畏之躯</t>
  </si>
  <si>
    <t>战斗怒火冷却时间缩减&lt;color=be7013&gt;15%&lt;/color&gt;</t>
  </si>
  <si>
    <t>[[3256,0.15]]</t>
  </si>
  <si>
    <t>[[104110,600]]</t>
  </si>
  <si>
    <t>skill/sect/104102</t>
  </si>
  <si>
    <t>狂暴期间免控</t>
  </si>
  <si>
    <t>增益|免控</t>
  </si>
  <si>
    <t>skill_affix/hong|skill_affix/hong</t>
  </si>
  <si>
    <t>[[104110,900]]</t>
  </si>
  <si>
    <t>skill/sect/104103</t>
  </si>
  <si>
    <t>[[3256,0.15],[3060,0.05]]</t>
  </si>
  <si>
    <t>104120</t>
  </si>
  <si>
    <t>[[104120,1]]</t>
  </si>
  <si>
    <t>skill/sect/104104</t>
  </si>
  <si>
    <t>狂暴持续时间延长至&lt;color=be7013&gt;8&lt;/color&gt;秒</t>
  </si>
  <si>
    <t>104210</t>
  </si>
  <si>
    <t>[[104210,300]]</t>
  </si>
  <si>
    <t>skill/sect/104201</t>
  </si>
  <si>
    <t>怒意回响</t>
  </si>
  <si>
    <t>角色格挡率提高&lt;color=be7013&gt;5%&lt;/color&gt;</t>
  </si>
  <si>
    <t>[[10010,0.05]]</t>
  </si>
  <si>
    <t>格挡</t>
  </si>
  <si>
    <t>skill_affix/zong</t>
  </si>
  <si>
    <t>[[104210,600]]</t>
  </si>
  <si>
    <t>skill/sect/104202</t>
  </si>
  <si>
    <t>狂暴期间战意充能提升&lt;color=be7013&gt;50%&lt;/color&gt;</t>
  </si>
  <si>
    <t>格挡|充能</t>
  </si>
  <si>
    <t>skill_affix/zong|skill_affix/hong</t>
  </si>
  <si>
    <t>[[104210,900]]</t>
  </si>
  <si>
    <t>skill/sect/104203</t>
  </si>
  <si>
    <t>角色格挡减伤提高&lt;color=be7013&gt;50%&lt;/color&gt;</t>
  </si>
  <si>
    <t>[[10010,0.05],[10011,0.5]]</t>
  </si>
  <si>
    <t>104220</t>
  </si>
  <si>
    <t>[[104220,1]]</t>
  </si>
  <si>
    <t>skill/sect/104204</t>
  </si>
  <si>
    <t>狂暴期间击杀敌人恢复&lt;color=be7013&gt;3&lt;/color&gt;点战意</t>
  </si>
  <si>
    <t>残影替身</t>
  </si>
  <si>
    <t>释放战斗怒火时在原地召唤替身嘲讽敌人，替身继承本体&lt;color=be7013&gt;10%&lt;/color&gt;生命，持续存在5秒后消失</t>
  </si>
  <si>
    <t>格挡|控制</t>
  </si>
  <si>
    <t>skill_affix/zong|skill_affix/zi</t>
  </si>
  <si>
    <t>[[10010,0.05],[3060,0.05]]</t>
  </si>
  <si>
    <t>替身死亡或消失后友方恢复&lt;color=be7013&gt;10%&lt;/color&gt;生命</t>
  </si>
  <si>
    <t>终极技能</t>
  </si>
  <si>
    <t>105110</t>
  </si>
  <si>
    <t>[[105110,300]]</t>
  </si>
  <si>
    <t>skill/sect/105101</t>
  </si>
  <si>
    <t>狂血震爆</t>
  </si>
  <si>
    <t>裂石穿云冷却时间缩减&lt;color=be7013&gt;6.3%&lt;/color&gt;</t>
  </si>
  <si>
    <t>[[3263,0.063]]</t>
  </si>
  <si>
    <t>[[105110,600]]</t>
  </si>
  <si>
    <t>skill/sect/105102</t>
  </si>
  <si>
    <t>裂石穿云强化为嗜血斩杀，命中时对敌人造成&lt;color=be7013&gt;3段&lt;/color&gt;共计&lt;color=be7013&gt;110%&lt;/color&gt;物理伤害与&lt;color=be7013&gt;670%&lt;/color&gt;创伤伤害。释放技能时召唤一群蝙蝠穿过战场对敌人造成&lt;color=be7013&gt;79%&lt;/color&gt;物理伤害与&lt;color=be7013&gt;480%&lt;/color&gt;创伤伤害</t>
  </si>
  <si>
    <t>[[105110,900]]</t>
  </si>
  <si>
    <t>skill/sect/105103</t>
  </si>
  <si>
    <t>角色创伤伤害提高&lt;color=be7013&gt;15%&lt;/color&gt;</t>
  </si>
  <si>
    <t>[[3263,0.063],[3033,0.15]]</t>
  </si>
  <si>
    <t>105120</t>
  </si>
  <si>
    <t>[[105120,1]]</t>
  </si>
  <si>
    <t>skill/sect/105104</t>
  </si>
  <si>
    <t>吸血蝙蝠将往返穿过战场造成两次伤害效果</t>
  </si>
  <si>
    <t>105210</t>
  </si>
  <si>
    <t>[[105210,300]]</t>
  </si>
  <si>
    <t>skill/sect/105201</t>
  </si>
  <si>
    <t>幻影终结</t>
  </si>
  <si>
    <t>裂石穿云伤害提高&lt;color=be7013&gt;20%&lt;/color&gt;</t>
  </si>
  <si>
    <t>[[3264,0.2]]</t>
  </si>
  <si>
    <t>[[105210,600]]</t>
  </si>
  <si>
    <t>skill/sect/105202</t>
  </si>
  <si>
    <t>释放技能时不再跳斩，改为在身前召唤审判巨斧攻击造成&lt;color=be7013&gt;404%&lt;/color&gt;物理伤害，同时给自身施加&lt;u color=4169E1 size=2&gt;&lt;a href=30024&gt;幻影追击&lt;/a&gt;&lt;/u&gt;，持续&lt;color=be7013&gt;5&lt;/color&gt;秒</t>
  </si>
  <si>
    <t>追击|增益</t>
  </si>
  <si>
    <t>[[105210,900]]</t>
  </si>
  <si>
    <t>skill/sect/105203</t>
  </si>
  <si>
    <t>角色技能冷却时间缩减&lt;color=be7013&gt;10%&lt;/color&gt;</t>
  </si>
  <si>
    <t>[[3264,0.2],[3068,0.1]]</t>
  </si>
  <si>
    <t>105220</t>
  </si>
  <si>
    <t>[[105220,1]]</t>
  </si>
  <si>
    <t>skill/sect/105204</t>
  </si>
  <si>
    <t>审判巨斧强化为神圣巨斧，对敌人造成&lt;color=be7013&gt;469%&lt;/color&gt;物理伤害，&lt;u color=4169E1 size=2&gt;&lt;a href=30024&gt;幻影追击&lt;/a&gt;&lt;/u&gt;持续时间延长至&lt;color=be7013&gt;8&lt;/color&gt;秒</t>
  </si>
  <si>
    <t>炼狱雷光</t>
  </si>
  <si>
    <t>[[3059,0.05]]</t>
  </si>
  <si>
    <t>漂浮而起凝聚雷电砸下持续轰击敌人，造成&lt;color=be7013&gt;632%&lt;/color&gt;魔法伤害并施加&lt;u color=4169E1 size=2&gt;&lt;a href=30040&gt;战栗&lt;/a&gt;&lt;/u&gt;</t>
  </si>
  <si>
    <t>角色急速提高&lt;color=be7013&gt;20%&lt;/color&gt;</t>
  </si>
  <si>
    <t>[[3059,0.05],[3074,0.2]]</t>
  </si>
  <si>
    <t>释放终极技能后召唤追踪雷云每秒造成&lt;color=be7013&gt;169%&lt;/color&gt;魔法伤害，持续6秒</t>
  </si>
  <si>
    <t>201110</t>
  </si>
  <si>
    <t>[[201110,300]]</t>
  </si>
  <si>
    <t>skill/sect/201101</t>
  </si>
  <si>
    <t>割裂之刃</t>
  </si>
  <si>
    <t>角色创伤伤害提高&lt;color=be7013&gt;7.5%&lt;/color&gt;。</t>
  </si>
  <si>
    <t>[[201110,600]]</t>
  </si>
  <si>
    <t>skill/sect/201102</t>
  </si>
  <si>
    <t>普通攻击命中敌人时将附加每秒&lt;color=be7013&gt;36%&lt;/color&gt;攻击力的创伤伤害，但直接伤害降低至每秒&lt;color=be7013&gt;6%&lt;/color&gt;。</t>
  </si>
  <si>
    <t>[[201110,900]]</t>
  </si>
  <si>
    <t>skill/sect/201103</t>
  </si>
  <si>
    <t>角色最终减伤提高&lt;color=be7013&gt;5%&lt;/color&gt;。</t>
  </si>
  <si>
    <t>[[3033,0.075],[3060,0.05]]</t>
  </si>
  <si>
    <t>201120</t>
  </si>
  <si>
    <t>[[201120,1]]</t>
  </si>
  <si>
    <t>skill/sect/201104</t>
  </si>
  <si>
    <t>普通攻击对受到创伤的敌人造成伤害时有&lt;color=be7013&gt;20%&lt;/color&gt;的概率恢复&lt;color=be7013&gt;0.5&lt;/color&gt;%已损失生命值。</t>
  </si>
  <si>
    <t>创伤|回血</t>
  </si>
  <si>
    <t>skill_affix/huang|skill_affix/lv</t>
  </si>
  <si>
    <t>201210</t>
  </si>
  <si>
    <t>[[201210,300]]</t>
  </si>
  <si>
    <t>skill/sect/201201</t>
  </si>
  <si>
    <t>破绽追击</t>
  </si>
  <si>
    <t>普通攻击附伤概率提高&lt;color=be7013&gt;8%&lt;/color&gt;。</t>
  </si>
  <si>
    <t>[[3093,0.08]]</t>
  </si>
  <si>
    <t>附伤</t>
  </si>
  <si>
    <t>[[201210,600]]</t>
  </si>
  <si>
    <t>skill/sect/201202</t>
  </si>
  <si>
    <t>普通攻击命中时有&lt;color=be7013&gt;10%&lt;/color&gt;概率使目标进入&lt;u color=4169E1 size=2&gt;&lt;a href=30009&gt;破甲状态&lt;/a&gt;&lt;/u&gt;，持续&lt;color=be7013&gt;2&lt;/color&gt;秒。</t>
  </si>
  <si>
    <t>附伤|减益</t>
  </si>
  <si>
    <t>[[201210,900]]</t>
  </si>
  <si>
    <t>skill/sect/201203</t>
  </si>
  <si>
    <t>角色附伤伤害提高&lt;color=be7013&gt;10%&lt;/color&gt;。</t>
  </si>
  <si>
    <t>[[3093,0.08],[3031,0.1]]</t>
  </si>
  <si>
    <t>201220</t>
  </si>
  <si>
    <t>[[201220,1]]</t>
  </si>
  <si>
    <t>skill/sect/201204</t>
  </si>
  <si>
    <t>破甲状态受到伤害增加提高至&lt;color=be7013&gt;13%&lt;/color&gt;。</t>
  </si>
  <si>
    <t>致命恩典</t>
  </si>
  <si>
    <t>角色的物理伤害提高&lt;color=be7013&gt;5%&lt;/color&gt;。</t>
  </si>
  <si>
    <t>[[3021,0.05]]</t>
  </si>
  <si>
    <t>对敌人造成伤害时有40%概率获得一层&lt;u color=4169E1 size=2&gt;&lt;a href=30034&gt;裁决&lt;/a&gt;&lt;/u&gt;。</t>
  </si>
  <si>
    <t>角色暴击率提高&lt;color=be7013&gt;5%&lt;/color&gt;。</t>
  </si>
  <si>
    <t>[[3021,0.05],[3014,0.05]]</t>
  </si>
  <si>
    <t>普通攻击触发暴击时有40%的概率将额外获得一层&lt;u color=4169E1 size=2&gt;&lt;a href=30034&gt;裁决&lt;/a&gt;&lt;/u&gt;。</t>
  </si>
  <si>
    <t>100132000|100134000</t>
  </si>
  <si>
    <t>202110</t>
  </si>
  <si>
    <t>[[202110,300]]</t>
  </si>
  <si>
    <t>skill/sect/202101</t>
  </si>
  <si>
    <t>刻痕斩</t>
  </si>
  <si>
    <t>疾速连击所需战意降低&lt;color=be7013&gt;6&lt;/color&gt;点。</t>
  </si>
  <si>
    <t>[[202110,600]]</t>
  </si>
  <si>
    <t>skill/sect/202102</t>
  </si>
  <si>
    <t>疾速连击向前方释放六道斩击和一道剑气，造成总计&lt;color=be7013&gt;72%&lt;/color&gt;攻击力的物理伤害和&lt;color=be7013&gt;259%&lt;/color&gt;攻击力的创伤伤害。</t>
  </si>
  <si>
    <t>[[202110,900]]</t>
  </si>
  <si>
    <t>skill/sect/202103</t>
  </si>
  <si>
    <t>疾速连击暴击率提高&lt;color=be7013&gt;40%&lt;/color&gt;。</t>
  </si>
  <si>
    <t>[[3099,0.4]]</t>
  </si>
  <si>
    <t>202120</t>
  </si>
  <si>
    <t>[[202120,1]]</t>
  </si>
  <si>
    <t>skill/sect/202104</t>
  </si>
  <si>
    <t>疾速连击触发暴击时将施加&lt;color=be7013&gt;2.15&lt;/color&gt;倍创伤效果。</t>
  </si>
  <si>
    <t>202210</t>
  </si>
  <si>
    <t>[[202210,300]]</t>
  </si>
  <si>
    <t>skill/sect/202201</t>
  </si>
  <si>
    <t>千刃破</t>
  </si>
  <si>
    <t>[[3031,0.1]]</t>
  </si>
  <si>
    <t>[[202210,600]]</t>
  </si>
  <si>
    <t>skill/sect/202202</t>
  </si>
  <si>
    <t>疾速连击造成伤害时有&lt;color=be7013&gt;40%&lt;/color&gt;概率释放一道闪电，造成&lt;color=be7013&gt;48.6%&lt;/color&gt;攻击力的伤害并造成&lt;u color=4169E1 size=2&gt;&lt;a href=30007&gt;麻痹&lt;/a&gt;&lt;/u&gt;。</t>
  </si>
  <si>
    <t>[[202210,900]]</t>
  </si>
  <si>
    <t>skill/sect/202203</t>
  </si>
  <si>
    <t>角色附伤概率提高&lt;color=be7013&gt;15%&lt;/color&gt;。</t>
  </si>
  <si>
    <t>[[3031,0.1],[3029,0.15]]</t>
  </si>
  <si>
    <t>202220</t>
  </si>
  <si>
    <t>[[202220,1]]</t>
  </si>
  <si>
    <t>skill/sect/202204</t>
  </si>
  <si>
    <t>疾速连击的打击次数提高至&lt;color=be7013&gt;10&lt;/color&gt;次。</t>
  </si>
  <si>
    <t>断罪舞</t>
  </si>
  <si>
    <t>疾速连击伤害提高&lt;color=be7013&gt;10%&lt;/color&gt;。</t>
  </si>
  <si>
    <t>[[3208,0.1]]</t>
  </si>
  <si>
    <t>不再进行连击，而是向前释放两段斩击造成总计&lt;color=be7013&gt;195%&lt;/color&gt;攻击力的伤害，释放斩击时获得2层&lt;u color=4169E1 size=2&gt;&lt;a href=30034&gt;裁决&lt;/a&gt;&lt;/u&gt;，若&lt;u color=4169E1 size=2&gt;&lt;a href=30034&gt;裁决&lt;/a&gt;&lt;/u&gt;达到10层将清空当前所有&lt;u color=4169E1 size=2&gt;&lt;a href=30034&gt;裁决&lt;/a&gt;&lt;/u&gt;，并进入5s&lt;u color=4169E1 size=2&gt;&lt;a href=30035&gt;裁决时刻&lt;/a&gt;&lt;/u&gt;。</t>
  </si>
  <si>
    <t>疾速连击暴击伤害提高&lt;color=be7013&gt;60%&lt;/color&gt;。</t>
  </si>
  <si>
    <t>[[3208,0.1],[3212,0.6]]</t>
  </si>
  <si>
    <t>额外释放一段斩击造成&lt;color=be7013&gt;146%&lt;/color&gt;攻击力的伤害。进入&lt;u color=4169E1 size=2&gt;&lt;a href=30035&gt;裁决时刻&lt;/a&gt;&lt;/u&gt;状态时每触发一次暴击将额外释放一道斩击波造成&lt;color=be7013&gt;18%&lt;/color&gt;攻击力的伤害。</t>
  </si>
  <si>
    <t>203110</t>
  </si>
  <si>
    <t>[[203110,300]]</t>
  </si>
  <si>
    <t>skill/sect/203101</t>
  </si>
  <si>
    <t>破甲冲刺</t>
  </si>
  <si>
    <t>风驰霆击冷却时间缩减&lt;color=be7013&gt;15%&lt;/color&gt;。</t>
  </si>
  <si>
    <t>[[3214,0.15]]</t>
  </si>
  <si>
    <t>skill_affix/lan</t>
  </si>
  <si>
    <t>[[203110,600]]</t>
  </si>
  <si>
    <t>skill/sect/203102</t>
  </si>
  <si>
    <t>冲锋时角色将进入无敌状态，冲锋结束后获得&lt;color=be7013&gt;35%&lt;/color&gt;的最终减伤，持续&lt;color=be7013&gt;2&lt;/color&gt;秒。</t>
  </si>
  <si>
    <t>位移|增益</t>
  </si>
  <si>
    <t>skill_affix/lan|skill_affix/hong</t>
  </si>
  <si>
    <t>[[203110,900]]</t>
  </si>
  <si>
    <t>skill/sect/203103</t>
  </si>
  <si>
    <t>角色战意充能提高&lt;color=be7013&gt;17%&lt;/color&gt;。</t>
  </si>
  <si>
    <t>[[3214,0.15],[3005,0.17]]</t>
  </si>
  <si>
    <t>203120</t>
  </si>
  <si>
    <t>[[203120,1]]</t>
  </si>
  <si>
    <t>skill/sect/203104</t>
  </si>
  <si>
    <t>冲锋时角色进入无敌状态，冲锋结束后获得&lt;color=be7013&gt;50%&lt;/color&gt;的最终减伤，持续&lt;color=be7013&gt;2&lt;/color&gt;秒。</t>
  </si>
  <si>
    <t>203210</t>
  </si>
  <si>
    <t>[[203210,300]]</t>
  </si>
  <si>
    <t>skill/sect/203201</t>
  </si>
  <si>
    <t>幻影飓风</t>
  </si>
  <si>
    <t>控制</t>
  </si>
  <si>
    <t>skill_affix/zi</t>
  </si>
  <si>
    <t>[[203210,600]]</t>
  </si>
  <si>
    <t>skill/sect/203202</t>
  </si>
  <si>
    <t>风驰霆击不再进行冲锋，而是召唤一个幻影冲锋，随后生成一道持续&lt;color=be7013&gt;1.5&lt;/color&gt;秒的龙卷风，吸附周围敌人并&lt;color=be7013&gt;0.5&lt;/color&gt;秒造成一次&lt;color=be7013&gt;40.7&lt;/color&gt;%攻击力的物理伤害。</t>
  </si>
  <si>
    <t>[[203210,900]]</t>
  </si>
  <si>
    <t>skill/sect/203203</t>
  </si>
  <si>
    <t>[[3014,0.05],[3033,0.075]]</t>
  </si>
  <si>
    <t>203220</t>
  </si>
  <si>
    <t>[[203220,1]]</t>
  </si>
  <si>
    <t>skill/sect/203204</t>
  </si>
  <si>
    <t>龙卷风半径增加&lt;color=be7013&gt;30%&lt;/color&gt;，持续时间翻倍且伤害提升至&lt;color=be7013&gt;81.4%&lt;/color&gt;。</t>
  </si>
  <si>
    <t>狼袭瞬影</t>
  </si>
  <si>
    <t>角色的急速提高&lt;color=be7013&gt;10%&lt;/color&gt;。</t>
  </si>
  <si>
    <t>[[3074,0.1]]</t>
  </si>
  <si>
    <t>风驰霆击不再进行冲锋，而是跳向最近的敌人，落地后造成&lt;color=be7013&gt;196%&lt;/color&gt;攻击力的伤害。并提高&lt;color=be7013&gt;25%&lt;/color&gt;最终伤害，持续5秒。</t>
  </si>
  <si>
    <t>风驰霆击伤害提高&lt;color=be7013&gt;25%&lt;/color&gt;。</t>
  </si>
  <si>
    <t>[[3074,0.1],[3215,0.25]]</t>
  </si>
  <si>
    <t>最终伤害加成提升至&lt;color=be7013&gt;43%&lt;/color&gt;。</t>
  </si>
  <si>
    <t>204110</t>
  </si>
  <si>
    <t>[[204110,300]]</t>
  </si>
  <si>
    <t>skill/sect/204101</t>
  </si>
  <si>
    <t>怒影疾步</t>
  </si>
  <si>
    <t>角色格挡率提高&lt;color=be7013&gt;5%&lt;/color&gt;。</t>
  </si>
  <si>
    <t>[[204110,600]]</t>
  </si>
  <si>
    <t>skill/sect/204102</t>
  </si>
  <si>
    <t>怒吼持续期间每次造成伤害将提升&lt;color=be7013&gt;17%&lt;/color&gt;的格挡减伤持续&lt;color=be7013&gt;5&lt;/color&gt;秒，最多叠加&lt;color=be7013&gt;10&lt;/color&gt;层。</t>
  </si>
  <si>
    <t>[[204110,900]]</t>
  </si>
  <si>
    <t>skill/sect/204103</t>
  </si>
  <si>
    <t>角色格挡减伤提高&lt;color=be7013&gt;50%&lt;/color&gt;。</t>
  </si>
  <si>
    <t>204120</t>
  </si>
  <si>
    <t>[[204120,1]]</t>
  </si>
  <si>
    <t>skill/sect/204104</t>
  </si>
  <si>
    <t>怒吼的持续时间提高至&lt;color=be7013&gt;8&lt;/color&gt;秒，且每层格挡减伤提升至&lt;color=be7013&gt;34%&lt;/color&gt;。</t>
  </si>
  <si>
    <t>204210</t>
  </si>
  <si>
    <t>[[204210,300]]</t>
  </si>
  <si>
    <t>skill/sect/204201</t>
  </si>
  <si>
    <t>暴戾战吼</t>
  </si>
  <si>
    <t>减益</t>
  </si>
  <si>
    <t>skill_affix/qing</t>
  </si>
  <si>
    <t>[[204210,600]]</t>
  </si>
  <si>
    <t>skill/sect/204202</t>
  </si>
  <si>
    <t>每道刀光命中敌人时附带&lt;color=be7013&gt;1&lt;/color&gt;层&lt;u color=4169E1 size=2&gt;&lt;a href=30003&gt;易伤&lt;/a&gt;&lt;/u&gt;。</t>
  </si>
  <si>
    <t>[[204210,900]]</t>
  </si>
  <si>
    <t>skill/sect/204203</t>
  </si>
  <si>
    <t>角色暴击伤害提高&lt;color=be7013&gt;10%&lt;/color&gt;。</t>
  </si>
  <si>
    <t>[[3014,0.05],[3015,0.1]]</t>
  </si>
  <si>
    <t>204220</t>
  </si>
  <si>
    <t>[[204220,1]]</t>
  </si>
  <si>
    <t>skill/sect/204204</t>
  </si>
  <si>
    <t>每道刀光命中敌人时附带&lt;color=be7013&gt;3&lt;/color&gt;层&lt;u color=4169E1 size=2&gt;&lt;a href=30003&gt;易伤&lt;/a&gt;&lt;/u&gt;。</t>
  </si>
  <si>
    <t>衰败斩击</t>
  </si>
  <si>
    <t>光翼重击冷却时间缩减&lt;color=be7013&gt;15%&lt;/color&gt;。</t>
  </si>
  <si>
    <t>[[3221,0.15]]</t>
  </si>
  <si>
    <t>刀光命中敌人时降低其&lt;color=be7013&gt;27%&lt;/color&gt;的最终伤害，持续5秒。</t>
  </si>
  <si>
    <t>角色的战意充能提高&lt;color=be7013&gt;5%&lt;/color&gt;。</t>
  </si>
  <si>
    <t>[[3221,0.15],[3005,0.05]]</t>
  </si>
  <si>
    <t>最终伤害削弱提升至&lt;color=be7013&gt;36%&lt;/color&gt;。</t>
  </si>
  <si>
    <t>205110</t>
  </si>
  <si>
    <t>[[205110,300]]</t>
  </si>
  <si>
    <t>skill/sect/205101</t>
  </si>
  <si>
    <t>幻影剑袭</t>
  </si>
  <si>
    <t>角色急速提高&lt;color=be7013&gt;10%&lt;/color&gt;。</t>
  </si>
  <si>
    <t>[[205110,600]]</t>
  </si>
  <si>
    <t>skill/sect/205102</t>
  </si>
  <si>
    <t>刀魂获得进一步的强化，对敌人造成伤害时有&lt;color=be7013&gt;50%&lt;/color&gt;的概率将召唤一把飞剑追踪敌人，造成&lt;color=be7013&gt;31.1%&lt;/color&gt;攻击力的物理伤害，持续&lt;color=be7013&gt;8&lt;/color&gt;秒。</t>
  </si>
  <si>
    <t>[[205110,900]]</t>
  </si>
  <si>
    <t>skill/sect/205103</t>
  </si>
  <si>
    <t>角色附加伤害提高&lt;color=be7013&gt;20%&lt;/color&gt;。</t>
  </si>
  <si>
    <t>[[3074,0.1],[3031,0.2]]</t>
  </si>
  <si>
    <t>205120</t>
  </si>
  <si>
    <t>[[205120,1]]</t>
  </si>
  <si>
    <t>skill/sect/205104</t>
  </si>
  <si>
    <t>刀魂获得进一步的强化持续时间提升至&lt;color=be7013&gt;12&lt;/color&gt;秒，召唤飞剑的概率提升至&lt;color=be7013&gt;100%&lt;/color&gt;且伤害提升至&lt;color=be7013&gt;35%&lt;/color&gt;</t>
  </si>
  <si>
    <t>205210</t>
  </si>
  <si>
    <t>[[205210,300]]</t>
  </si>
  <si>
    <t>skill/sect/205201</t>
  </si>
  <si>
    <t>幻影千灭</t>
  </si>
  <si>
    <t>终极技能冷却缩减提高&lt;color=be7013&gt;6.3%&lt;/color&gt;。</t>
  </si>
  <si>
    <t>[[3110,0.063]]</t>
  </si>
  <si>
    <t>[[205210,600]]</t>
  </si>
  <si>
    <t>skill/sect/205202</t>
  </si>
  <si>
    <t>不再召唤飞剑，而是召唤召唤数道幻影对前方进行多次打击，造成总计&lt;color=be7013&gt;44.5%&lt;/color&gt;攻击力的物理伤害和&lt;color=be7013&gt;44.5%&lt;/color&gt;攻击力的创伤伤害。</t>
  </si>
  <si>
    <t>[[205210,900]]</t>
  </si>
  <si>
    <t>skill/sect/205203</t>
  </si>
  <si>
    <t>角色创伤伤害提高&lt;color=be7013&gt;10%&lt;/color&gt;。</t>
  </si>
  <si>
    <t>[[3110,0.063],[3033,0.1]]</t>
  </si>
  <si>
    <t>[[205220,1]]</t>
  </si>
  <si>
    <t>skill/sect/205204</t>
  </si>
  <si>
    <t>斩断空间周围敌人额外造成&lt;color=be7013&gt;79%%&lt;/color&gt;攻击力的物理伤害和&lt;color=be7013&gt;482%&lt;/color&gt;攻击力的创伤伤害，并对附加&lt;u color=4169E1 size=2&gt;&lt;a href=30008&gt;血毒效果&lt;/a&gt;&lt;/u&gt;，持续&lt;color=be7013&gt;5&lt;/color&gt;秒。</t>
  </si>
  <si>
    <t>圣剑裁罚</t>
  </si>
  <si>
    <t>不再释放剑阵，而是在短暂蓄力后凝聚一把巨大的光刃向前方斩击，造成&lt;color=be7013&gt;956%&lt;/color&gt;攻击力的伤害。</t>
  </si>
  <si>
    <t>角色暴击伤害提高&lt;color=be7013&gt;20%&lt;/color&gt;。</t>
  </si>
  <si>
    <t>[[3014,0.05],[3015,0.2]]</t>
  </si>
  <si>
    <t>跳至空中，短暂蓄力后凝聚一把巨大的光刃向前方斩击，造成&lt;color=be7013&gt;1242%&lt;/color&gt;攻击力的伤害，短暂延时后在原地喷出烈焰柱，造成&lt;color=be7013&gt;671%&lt;/color&gt;攻击力的伤害。</t>
  </si>
  <si>
    <t>301110</t>
  </si>
  <si>
    <t>[[301110,300]]</t>
  </si>
  <si>
    <t>skill/sect/301101</t>
  </si>
  <si>
    <t>穿骨爪</t>
  </si>
  <si>
    <t>[[301110,600]]</t>
  </si>
  <si>
    <t>skill/sect/301102</t>
  </si>
  <si>
    <t>攻击时有&lt;color=be7013&gt;10%&lt;/color&gt;概率额外使用鬼手造成一次&lt;color=be7013&gt;37.1%&lt;/color&gt;的伤害并附带一层&lt;u color=4169E1 size=2&gt;&lt;a href=30002&gt;魂噬&lt;/a&gt;&lt;/u&gt;。</t>
  </si>
  <si>
    <t>[[301110,900]]</t>
  </si>
  <si>
    <t>skill/sect/301103</t>
  </si>
  <si>
    <t>角色战意充能提高&lt;color=be7013&gt;13%&lt;/color&gt;。</t>
  </si>
  <si>
    <t>[[3093,0.08],[3005,0.13]]</t>
  </si>
  <si>
    <t>301120</t>
  </si>
  <si>
    <t>[[301120,1]]</t>
  </si>
  <si>
    <t>skill/sect/301104</t>
  </si>
  <si>
    <t>鬼手的出现概率提高至&lt;color=be7013&gt;20%&lt;/color&gt;伤害提高至&lt;color=be7013&gt;37.1%&lt;/color&gt;，且目标血量低于50%时鬼手造成的伤害提高&lt;color=be7013&gt;30%&lt;/color&gt;。</t>
  </si>
  <si>
    <t>130114000|130114001</t>
  </si>
  <si>
    <t>301210</t>
  </si>
  <si>
    <t>[[301210,300]]</t>
  </si>
  <si>
    <t>skill/sect/301201</t>
  </si>
  <si>
    <t>幽魂爪</t>
  </si>
  <si>
    <t>普通攻击伤害提高&lt;color=be7013&gt;10%&lt;/color&gt;。</t>
  </si>
  <si>
    <t>[[3090,0.1]]</t>
  </si>
  <si>
    <t>召唤</t>
  </si>
  <si>
    <t>[[301210,600]]</t>
  </si>
  <si>
    <t>skill/sect/301202</t>
  </si>
  <si>
    <t>攻击敌人时有&lt;color=be7013&gt;20%&lt;/color&gt;概率召唤一个骷髅（存在10秒，上限3个）。</t>
  </si>
  <si>
    <t>[[301210,900]]</t>
  </si>
  <si>
    <t>skill/sect/301203</t>
  </si>
  <si>
    <t>角色召唤物增伤提高&lt;color=be7013&gt;12.5%&lt;/color&gt;。</t>
  </si>
  <si>
    <t>[[3090,0.1],[3078,0.125]]</t>
  </si>
  <si>
    <t>301220</t>
  </si>
  <si>
    <t>[[301220,1]]</t>
  </si>
  <si>
    <t>skill/sect/301204</t>
  </si>
  <si>
    <t>召唤概率提升至&lt;color=be7013&gt;50%&lt;/color&gt;，骷髅上限提升至&lt;color=be7013&gt;5&lt;/color&gt;个，且骷髅消失时生成将一个骸骨。</t>
  </si>
  <si>
    <t>夺心爪</t>
  </si>
  <si>
    <t>[[3015,0.1]]</t>
  </si>
  <si>
    <t>普通攻击命中有&lt;color=be7013&gt;60%&lt;/color&gt;概率将掠夺一层&lt;u color=4169E1 size=2&gt;&lt;a href=30036&gt;生机&lt;/a&gt;&lt;/u&gt;。</t>
  </si>
  <si>
    <t>普通攻击造成暴击时额外掠夺一层&lt;u color=4169E1 size=2&gt;&lt;a href=30036&gt;生机&lt;/a&gt;&lt;/u&gt;。</t>
  </si>
  <si>
    <t>130132000|130134000</t>
  </si>
  <si>
    <t>302110</t>
  </si>
  <si>
    <t>[[302110,300]]</t>
  </si>
  <si>
    <t>skill/sect/302101</t>
  </si>
  <si>
    <t>骨蚀双震</t>
  </si>
  <si>
    <t>核心技能耗能降低&lt;color=be7013&gt;7&lt;/color&gt;点。</t>
  </si>
  <si>
    <t>[[302110,600]]</t>
  </si>
  <si>
    <t>skill/sect/302102</t>
  </si>
  <si>
    <t>幽魂爪击造成的总伤害提高至&lt;color=be7013&gt;234%&lt;/color&gt;，且骸骨爆炸将对周围的敌人附加1层&lt;u color=4169E1 size=2&gt;&lt;a href=30002&gt;魂噬&lt;/a&gt;&lt;/u&gt;。</t>
  </si>
  <si>
    <t>[[302110,900]]</t>
  </si>
  <si>
    <t>skill/sect/302103</t>
  </si>
  <si>
    <t>[[3029,0.15]]</t>
  </si>
  <si>
    <t>302120</t>
  </si>
  <si>
    <t>[[302120,1]]</t>
  </si>
  <si>
    <t>skill/sect/302104</t>
  </si>
  <si>
    <t>骸骨将额外爆炸一次，且骸骨爆炸后有&lt;color=be7013&gt;10%&lt;/color&gt;的概率不会消耗骸骨。</t>
  </si>
  <si>
    <t>302210</t>
  </si>
  <si>
    <t>[[302210,300]]</t>
  </si>
  <si>
    <t>skill/sect/302201</t>
  </si>
  <si>
    <t>咒骸殉爆</t>
  </si>
  <si>
    <t>[[302210,600]]</t>
  </si>
  <si>
    <t>skill/sect/302202</t>
  </si>
  <si>
    <t>战意消耗提高至&lt;color=be7013&gt;50&lt;/color&gt;点，且不再召唤鬼手而是消耗周围所有骸骨召唤对应数量+&lt;color=be7013&gt;4&lt;/color&gt;个自爆幽灵，自动追踪到敌人处并殉爆造成每次&lt;color=be7013&gt;86.1%&lt;/color&gt;攻击力的魔法伤害（殉爆对同一敌人造成的伤害递减，最低造成每次&lt;color=be7013&gt;13.4%&lt;/color&gt;的伤害）。</t>
  </si>
  <si>
    <t>[[302210,900]]</t>
  </si>
  <si>
    <t>skill/sect/302203</t>
  </si>
  <si>
    <t>自爆幽灵殉爆伤害提高&lt;color=be7013&gt;40%&lt;/color&gt;。</t>
  </si>
  <si>
    <t>[[3015,0.1],[3097,0.4]]</t>
  </si>
  <si>
    <t>302220</t>
  </si>
  <si>
    <t>[[302220,1]]</t>
  </si>
  <si>
    <t>skill/sect/302204</t>
  </si>
  <si>
    <t>幽灵基础召唤数提高至&lt;color=be7013&gt;8&lt;/color&gt;个，且爆炸伤害提升至&lt;color=be7013&gt;90%&lt;/color&gt;。</t>
  </si>
  <si>
    <t>骸骨拳袭</t>
  </si>
  <si>
    <t>角色核心幽魂出击伤害提高&lt;color=be7013&gt;10%&lt;/color&gt;。</t>
  </si>
  <si>
    <t>[[3278,0.1]]</t>
  </si>
  <si>
    <t>不再召唤幽魂，而是召唤5个拳头向前方造成总计&lt;color=be7013&gt;146%&lt;/color&gt;攻击力的魔法伤害，并吸收周围骸骨，每个骸骨将提供一层&lt;u color=4169E1 size=2&gt;&lt;a href=30036&gt;生机&lt;/a&gt;&lt;/u&gt;，当&lt;u color=4169E1 size=2&gt;&lt;a href=30036&gt;生机&lt;/a&gt;&lt;/u&gt;达到45/130/170层时都将额外生成2个拳头。</t>
  </si>
  <si>
    <t>战意充能提高&lt;color=be7013&gt;12.5%&lt;/color&gt;。</t>
  </si>
  <si>
    <t>[[3278,0.1],[3005,0.125]]</t>
  </si>
  <si>
    <t>额外召唤4个拳头对前方造成一次砸击，造成&lt;color=be7013&gt;219%&lt;/color&gt;攻击力的魔法伤害，并眩晕&lt;color=be7013&gt;0.8&lt;/color&gt;秒。</t>
  </si>
  <si>
    <t>303110</t>
  </si>
  <si>
    <t>[[303110,300]]</t>
  </si>
  <si>
    <t>skill/sect/303101</t>
  </si>
  <si>
    <t>枯萎缠绕</t>
  </si>
  <si>
    <t>[[3060,0.05]]</t>
  </si>
  <si>
    <t>控制|减益</t>
  </si>
  <si>
    <t>skill_affix/zi|skill_affix/qing</t>
  </si>
  <si>
    <t>[[303110,600]]</t>
  </si>
  <si>
    <t>skill/sect/303102</t>
  </si>
  <si>
    <t>枯萎造成伤害时有&lt;color=be7013&gt;50%&lt;/color&gt;的概率将对敌人附加1层&lt;u color=4169E1 size=2&gt;&lt;a href=30003&gt;易伤&lt;/a&gt;&lt;/u&gt;，释放枯萎时有&lt;color=be7013&gt;35%&lt;/color&gt;的概率从沼泽中召唤深渊触须，使被捆绑的敌人陷入无法移动的状态，持续&lt;color=be7013&gt;2&lt;/color&gt;秒。</t>
  </si>
  <si>
    <t>[[303110,900]]</t>
  </si>
  <si>
    <t>skill/sect/303103</t>
  </si>
  <si>
    <t>角色附加伤害提升&lt;color=be7013&gt;10%&lt;/color&gt;。</t>
  </si>
  <si>
    <t>[[3060,0.05],[3031,0.1]]</t>
  </si>
  <si>
    <t>303120</t>
  </si>
  <si>
    <t>[[303120,1]]</t>
  </si>
  <si>
    <t>skill/sect/303104</t>
  </si>
  <si>
    <t>枯萎造成伤害时必定对敌人附加&lt;color=be7013&gt;1&lt;/color&gt;层&lt;u color=4169E1 size=2&gt;&lt;a href=30003&gt;易伤&lt;/a&gt;&lt;/u&gt;，捆绑概率提高至&lt;color=be7013&gt;55%&lt;/color&gt;。</t>
  </si>
  <si>
    <t>303210</t>
  </si>
  <si>
    <t>[[303210,300]]</t>
  </si>
  <si>
    <t>skill/sect/303201</t>
  </si>
  <si>
    <t>腐殖盛宴</t>
  </si>
  <si>
    <t>角色最终增伤提高&lt;color=be7013&gt;5%&lt;/color&gt;。</t>
  </si>
  <si>
    <t>回血</t>
  </si>
  <si>
    <t>[[303210,600]]</t>
  </si>
  <si>
    <t>skill/sect/303202</t>
  </si>
  <si>
    <t>释放枯萎时将恢复&lt;color=be7013&gt;4%&lt;/color&gt;已损失生命值。</t>
  </si>
  <si>
    <t>[[303210,900]]</t>
  </si>
  <si>
    <t>skill/sect/303203</t>
  </si>
  <si>
    <t>角色闪避率提高&lt;color=be7013&gt;3%&lt;/color&gt;。</t>
  </si>
  <si>
    <t>[[3059,0.05],[10009,0.03]]</t>
  </si>
  <si>
    <t>303220</t>
  </si>
  <si>
    <t>[[303220,1]]</t>
  </si>
  <si>
    <t>skill/sect/303204</t>
  </si>
  <si>
    <t>释放枯萎时将恢复&lt;color=be7013&gt;8%&lt;/color&gt;已损失生命值。</t>
  </si>
  <si>
    <t>猩红巡礼</t>
  </si>
  <si>
    <t>角色魔法增伤提高&lt;color=be7013&gt;5%&lt;/color&gt;。</t>
  </si>
  <si>
    <t>位移|减益</t>
  </si>
  <si>
    <t>skill_affix/lan|skill_affix/qing</t>
  </si>
  <si>
    <t>化身血池向前移动，对经过的敌人造成&lt;color=be7013&gt;66%&lt;/color&gt;攻击力的魔法伤害并降低&lt;color=be7013&gt;10%&lt;/color&gt;魔法抗性，持续5秒，血池持续1秒期间无敌。</t>
  </si>
  <si>
    <t>枯萎冷却时间缩减&lt;color=be7013&gt;15%&lt;/color&gt;。</t>
  </si>
  <si>
    <t>[[3023,0.05],[3284,0.15]]</t>
  </si>
  <si>
    <t>猩红巡礼造成伤害提升至&lt;color=be7013&gt;121%&lt;/color&gt;，魔法抗性削弱提升至&lt;color=be7013&gt;18%&lt;/color&gt;。</t>
  </si>
  <si>
    <t>304110</t>
  </si>
  <si>
    <t>[[304110,300]]</t>
  </si>
  <si>
    <t>skill/sect/304101</t>
  </si>
  <si>
    <t>邪秽护体</t>
  </si>
  <si>
    <t>[[304110,600]]</t>
  </si>
  <si>
    <t>skill/sect/304102</t>
  </si>
  <si>
    <t>成功诅咒敌人时将获得一层自己生命上限&lt;color=be7013&gt;8.5%&lt;/color&gt;的护盾。</t>
  </si>
  <si>
    <t>减益|护盾</t>
  </si>
  <si>
    <t>skill_affix/qing|skill_affix/lv</t>
  </si>
  <si>
    <t>[[304110,900]]</t>
  </si>
  <si>
    <t>skill/sect/304103</t>
  </si>
  <si>
    <t>角色护盾强度提高&lt;color=be7013&gt;25%&lt;/color&gt;。</t>
  </si>
  <si>
    <t>[[3060,0.05],[3064,0.25]]</t>
  </si>
  <si>
    <t>304120</t>
  </si>
  <si>
    <t>[[304120,1]]</t>
  </si>
  <si>
    <t>skill/sect/304104</t>
  </si>
  <si>
    <t>成功诅咒敌人时将获得一层自己生命上限&lt;color=be7013&gt;15%&lt;/color&gt;的护盾。</t>
  </si>
  <si>
    <t>304210</t>
  </si>
  <si>
    <t>[[304210,300]]</t>
  </si>
  <si>
    <t>skill/sect/304201</t>
  </si>
  <si>
    <t>血蚀契约</t>
  </si>
  <si>
    <t>窃魂缚咒冷却时间缩减&lt;color=be7013&gt;15%&lt;/color&gt;。</t>
  </si>
  <si>
    <t>[[3291,0.15]]</t>
  </si>
  <si>
    <t>[[304210,600]]</t>
  </si>
  <si>
    <t>skill/sect/304202</t>
  </si>
  <si>
    <t>敌人不再受到迟缓诅咒而是受到&lt;u color=4169E1 size=2&gt;&lt;a href=30005&gt;血缘诅咒&lt;/a&gt;&lt;/u&gt;的影响。</t>
  </si>
  <si>
    <t>[[304210,900]]</t>
  </si>
  <si>
    <t>skill/sect/304203</t>
  </si>
  <si>
    <t>[[3291,0.15],[3015,0.1]]</t>
  </si>
  <si>
    <t>304220</t>
  </si>
  <si>
    <t>[[304220,1]]</t>
  </si>
  <si>
    <t>skill/sect/304204</t>
  </si>
  <si>
    <t>对血源诅咒目标造成伤害的友方单位获得&lt;u color=4169E1 size=2&gt;&lt;a href=30004&gt;嗜血效果&lt;/a&gt;&lt;/u&gt;。</t>
  </si>
  <si>
    <t>厄运汲取</t>
  </si>
  <si>
    <t>角色战意充能提高&lt;color=be7013&gt;5%&lt;/color&gt;。</t>
  </si>
  <si>
    <t>[[3005,0.05]]</t>
  </si>
  <si>
    <t>回能</t>
  </si>
  <si>
    <t>释放窃魂缚咒时恢复&lt;color=be7013&gt;28&lt;/color&gt;点战意。</t>
  </si>
  <si>
    <t>角色最终伤害提高&lt;color=be7013&gt;5%&lt;/color&gt;。</t>
  </si>
  <si>
    <t>[[3005,0.05],[3059,0.05]]</t>
  </si>
  <si>
    <t>释放窃魂缚咒时恢复&lt;color=be7013&gt;47&lt;/color&gt;点战意。</t>
  </si>
  <si>
    <t>305110</t>
  </si>
  <si>
    <t>[[305110,300]]</t>
  </si>
  <si>
    <t>skill/sect/305101</t>
  </si>
  <si>
    <t>灵魂射线</t>
  </si>
  <si>
    <t>亡灵之门冷却时间缩减&lt;color=be7013&gt;6.3%&lt;/color&gt;。</t>
  </si>
  <si>
    <t>[[3298,0.063]]</t>
  </si>
  <si>
    <t>[[305110,600]]</t>
  </si>
  <si>
    <t>skill/sect/305102</t>
  </si>
  <si>
    <t>从地底引导出地脉狂潮，向上喷涌&lt;color=be7013&gt;2&lt;/color&gt;秒，每秒造成3次伤害，每次造成&lt;color=be7013&gt;33.3%&lt;/color&gt;魔法伤害并附加&lt;color=be7013&gt;1&lt;/color&gt;层&lt;u color=4169E1 size=2&gt;&lt;a href=30002&gt;魂噬&lt;/a&gt;&lt;/u&gt;。</t>
  </si>
  <si>
    <t>[[305110,900]]</t>
  </si>
  <si>
    <t>skill/sect/305103</t>
  </si>
  <si>
    <t>角色最终增伤提高&lt;color=be7013&gt;10%&lt;/color&gt;。</t>
  </si>
  <si>
    <t>[[3298,0.063],[3059,0.1]]</t>
  </si>
  <si>
    <t>305120</t>
  </si>
  <si>
    <t>[[305120,1]]</t>
  </si>
  <si>
    <t>skill/sect/305104</t>
  </si>
  <si>
    <t>喷涌每秒造成&lt;color=be7013&gt;5&lt;/color&gt;次伤害，每次造成&lt;color=be7013&gt;73%&lt;/color&gt;魔法伤害并附加&lt;color=be7013&gt;2&lt;/color&gt;层&lt;u color=4169E1 size=2&gt;&lt;a href=30002&gt;魂噬&lt;/a&gt;&lt;/u&gt;。</t>
  </si>
  <si>
    <t>305210</t>
  </si>
  <si>
    <t>[[305210,300]]</t>
  </si>
  <si>
    <t>skill/sect/305201</t>
  </si>
  <si>
    <t>亡者降临</t>
  </si>
  <si>
    <t>亡灵之门伤害提高&lt;color=be7013&gt;20%&lt;/color&gt;。</t>
  </si>
  <si>
    <t>[[3111,0.2]]</t>
  </si>
  <si>
    <t>[[305210,600]]</t>
  </si>
  <si>
    <t>skill/sect/305202</t>
  </si>
  <si>
    <t>死灵之门打开时，召唤一个守护骑士拥有技能砸击和普攻继承自身&lt;color=be7013&gt;100%&lt;/color&gt;的战斗属性，存在&lt;color=be7013&gt;20&lt;/color&gt;秒。</t>
  </si>
  <si>
    <t>[[305210,900]]</t>
  </si>
  <si>
    <t>skill/sect/305203</t>
  </si>
  <si>
    <t>角色召唤物增伤提高&lt;color=be7013&gt;25%&lt;/color&gt;。</t>
  </si>
  <si>
    <t>[[3111,0.2],[3078,0.25]]</t>
  </si>
  <si>
    <t>305220</t>
  </si>
  <si>
    <t>[[305220,1]]</t>
  </si>
  <si>
    <t>skill/sect/305204</t>
  </si>
  <si>
    <t>守护骑士的技能倍率翻倍且获得一个&lt;u color=4169E1 size=2&gt;&lt;a href=30001&gt;新技能&lt;/a&gt;&lt;/u&gt;。</t>
  </si>
  <si>
    <t>冥府裁决</t>
  </si>
  <si>
    <t>变身为幽魂，获得20层&lt;u color=4169E1 size=2&gt;&lt;a href=30036&gt;生机&lt;/a&gt;&lt;/u&gt;，并使用鬼手向前方进行两次爪击，造成总计&lt;color=be7013&gt;1291%&lt;/color&gt;攻击力的魔法伤害。</t>
  </si>
  <si>
    <t>亡灵之门伤害提高&lt;color=be7013&gt;40%&lt;/color&gt;。</t>
  </si>
  <si>
    <t>[[3059,0.05],[3299,0.4]]</t>
  </si>
  <si>
    <t>变身为幽魂，获得40层&lt;u color=4169E1 size=2&gt;&lt;a href=30036&gt;生机&lt;/a&gt;&lt;/u&gt;，并使用鬼手向前方进行三次打击，造成总计&lt;color=be7013&gt;1937%&lt;/color&gt;攻击力的魔法伤害，并且每有一层&lt;u color=4169E1 size=2&gt;&lt;a href=30036&gt;生机&lt;/a&gt;&lt;/u&gt;鬼手所造成的伤害提高1%。</t>
  </si>
  <si>
    <t>自选箱类型</t>
  </si>
  <si>
    <t>自选箱等级</t>
  </si>
  <si>
    <t>是否可合成</t>
  </si>
  <si>
    <t>原料数量</t>
  </si>
  <si>
    <t>合成成功概率</t>
  </si>
  <si>
    <t>合成后道具</t>
  </si>
  <si>
    <t>ifSynthesis</t>
  </si>
  <si>
    <t>materialNum</t>
  </si>
  <si>
    <t>synthesisProb</t>
  </si>
  <si>
    <t>synthesisItem</t>
  </si>
  <si>
    <t>1001</t>
  </si>
  <si>
    <t>技能书自选箱等级1</t>
  </si>
  <si>
    <t>[[1002,1]]</t>
  </si>
  <si>
    <t>1002</t>
  </si>
  <si>
    <t>技能书自选箱等级2</t>
  </si>
  <si>
    <t>[[1003,1]]</t>
  </si>
  <si>
    <t>1003</t>
  </si>
  <si>
    <t>技能书自选箱等级3</t>
  </si>
  <si>
    <t>[[1004,1]]</t>
  </si>
  <si>
    <t>1004</t>
  </si>
  <si>
    <t>技能书自选箱等级4</t>
  </si>
  <si>
    <t>[[1005,1]]</t>
  </si>
  <si>
    <t>1005</t>
  </si>
  <si>
    <t>技能书自选箱等级5</t>
  </si>
  <si>
    <t>[[1006,1]]</t>
  </si>
  <si>
    <t>1006</t>
  </si>
  <si>
    <t>技能书自选箱等级6</t>
  </si>
  <si>
    <t>[[1007,1]]</t>
  </si>
  <si>
    <t>1007</t>
  </si>
  <si>
    <t>技能书自选箱等级7</t>
  </si>
  <si>
    <t>[[1008,1]]</t>
  </si>
  <si>
    <t>1008</t>
  </si>
  <si>
    <t>技能书自选箱等级8</t>
  </si>
  <si>
    <t>[[1009,1]]</t>
  </si>
  <si>
    <t>1009</t>
  </si>
  <si>
    <t>技能书自选箱等级9</t>
  </si>
  <si>
    <t>[[1010,1]]</t>
  </si>
  <si>
    <t>1010</t>
  </si>
  <si>
    <t>技能书自选箱等级10</t>
  </si>
  <si>
    <t>[[1011,1]]</t>
  </si>
  <si>
    <t>1011</t>
  </si>
  <si>
    <t>技能书自选箱等级11</t>
  </si>
  <si>
    <t>[[1012,1]]</t>
  </si>
  <si>
    <t>1012</t>
  </si>
  <si>
    <t>技能书自选箱等级12</t>
  </si>
  <si>
    <t>[[1013,1]]</t>
  </si>
  <si>
    <t>1013</t>
  </si>
  <si>
    <t>技能书自选箱等级13</t>
  </si>
  <si>
    <t>1014</t>
  </si>
  <si>
    <t>技能书自选箱等级14</t>
  </si>
  <si>
    <t>1015</t>
  </si>
  <si>
    <t>技能书自选箱等级15</t>
  </si>
  <si>
    <t>1016</t>
  </si>
  <si>
    <t>技能书自选箱等级16</t>
  </si>
  <si>
    <t>1101</t>
  </si>
  <si>
    <t>宝石自选箱等级1</t>
  </si>
  <si>
    <t>1102</t>
  </si>
  <si>
    <t>宝石自选箱等级2</t>
  </si>
  <si>
    <t>1103</t>
  </si>
  <si>
    <t>宝石自选箱等级3</t>
  </si>
  <si>
    <t>1104</t>
  </si>
  <si>
    <t>宝石自选箱等级4</t>
  </si>
  <si>
    <t>1105</t>
  </si>
  <si>
    <t>宝石自选箱等级5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</si>
</sst>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0.3989379558702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ont="1" applyFill="1" applyAlignment="1">
      <alignment horizontal="left" vertical="center"/>
    </xf>
    <xf numFmtId="0" fontId="0" fillId="10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>
      <alignment vertical="center"/>
    </xf>
    <xf numFmtId="0" fontId="1" fillId="9" borderId="0" xfId="0" applyFont="1" applyFill="1" applyAlignment="1">
      <alignment horizontal="left"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horizontal="left" vertical="center"/>
    </xf>
    <xf numFmtId="0" fontId="0" fillId="10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/>
    </xf>
    <xf numFmtId="0" fontId="1" fillId="11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1" fillId="4" borderId="0" xfId="0" applyFont="1" applyFill="1" quotePrefix="1">
      <alignment vertical="center"/>
    </xf>
    <xf numFmtId="0" fontId="1" fillId="5" borderId="0" xfId="0" applyFont="1" applyFill="1" quotePrefix="1">
      <alignment vertical="center"/>
    </xf>
    <xf numFmtId="0" fontId="0" fillId="8" borderId="0" xfId="0" applyFill="1" applyAlignment="1" quotePrefix="1">
      <alignment horizontal="left" vertical="center"/>
    </xf>
    <xf numFmtId="0" fontId="1" fillId="9" borderId="0" xfId="0" applyFont="1" applyFill="1" applyAlignment="1" quotePrefix="1">
      <alignment horizontal="left" vertical="center"/>
    </xf>
    <xf numFmtId="0" fontId="1" fillId="9" borderId="0" xfId="0" applyFont="1" applyFill="1" applyAlignment="1" quotePrefix="1">
      <alignment vertical="center"/>
    </xf>
    <xf numFmtId="0" fontId="0" fillId="10" borderId="0" xfId="0" applyFont="1" applyFill="1" applyAlignment="1" quotePrefix="1">
      <alignment horizontal="left" vertical="center"/>
    </xf>
    <xf numFmtId="0" fontId="1" fillId="11" borderId="0" xfId="0" applyFont="1" applyFill="1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4" xfId="52"/>
    <cellStyle name="常规 53" xfId="53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I39" sqref="I39"/>
    </sheetView>
  </sheetViews>
  <sheetFormatPr defaultColWidth="9" defaultRowHeight="13.5"/>
  <cols>
    <col min="1" max="1" width="7.5" customWidth="1"/>
    <col min="2" max="2" width="23.5" customWidth="1"/>
    <col min="3" max="3" width="25" customWidth="1"/>
    <col min="4" max="4" width="34.5" style="5" customWidth="1"/>
    <col min="5" max="5" width="8.875" customWidth="1"/>
    <col min="6" max="6" width="10" customWidth="1"/>
    <col min="7" max="7" width="8.25" customWidth="1"/>
    <col min="8" max="8" width="15.75" style="35" customWidth="1"/>
    <col min="9" max="9" width="15.75" customWidth="1"/>
    <col min="10" max="10" width="15" customWidth="1"/>
    <col min="11" max="11" width="19.125" style="5" customWidth="1"/>
    <col min="12" max="12" width="16.5" customWidth="1"/>
  </cols>
  <sheetData>
    <row r="1" s="1" customFormat="1" ht="27" spans="1:12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5" t="s">
        <v>9</v>
      </c>
      <c r="K1" s="35" t="s">
        <v>10</v>
      </c>
      <c r="L1" s="1" t="s">
        <v>11</v>
      </c>
    </row>
    <row r="2" s="35" customFormat="1" spans="1:12">
      <c r="A2" s="2" t="s">
        <v>12</v>
      </c>
      <c r="B2" s="2" t="s">
        <v>13</v>
      </c>
      <c r="C2" s="2" t="s">
        <v>14</v>
      </c>
      <c r="D2" s="7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="35" customFormat="1" spans="1:12">
      <c r="A3" s="3" t="s">
        <v>24</v>
      </c>
      <c r="B3" s="3" t="s">
        <v>25</v>
      </c>
      <c r="C3" s="3" t="s">
        <v>26</v>
      </c>
      <c r="D3" s="8" t="s">
        <v>26</v>
      </c>
      <c r="E3" s="3" t="s">
        <v>25</v>
      </c>
      <c r="F3" s="3" t="s">
        <v>25</v>
      </c>
      <c r="G3" s="3" t="s">
        <v>25</v>
      </c>
      <c r="H3" s="3" t="s">
        <v>27</v>
      </c>
      <c r="I3" s="3" t="s">
        <v>27</v>
      </c>
      <c r="J3" s="3" t="s">
        <v>24</v>
      </c>
      <c r="K3" s="3" t="s">
        <v>26</v>
      </c>
      <c r="L3" s="3" t="s">
        <v>25</v>
      </c>
    </row>
    <row r="4" spans="1:12">
      <c r="A4">
        <f>E4*100000+F4*1000+G4</f>
        <v>101001</v>
      </c>
      <c r="B4" t="s">
        <v>28</v>
      </c>
      <c r="C4" t="s">
        <v>29</v>
      </c>
      <c r="D4" s="5">
        <v>11002</v>
      </c>
      <c r="E4">
        <v>1</v>
      </c>
      <c r="F4">
        <v>1</v>
      </c>
      <c r="G4">
        <v>1</v>
      </c>
      <c r="H4" s="35">
        <v>1110000050</v>
      </c>
      <c r="J4">
        <f t="shared" ref="J4:J12" si="0">A4</f>
        <v>101001</v>
      </c>
      <c r="K4" t="s">
        <v>30</v>
      </c>
    </row>
    <row r="5" spans="1:12">
      <c r="A5">
        <f t="shared" ref="A5:A12" si="1">E5*100000+F5*1000+G5</f>
        <v>101002</v>
      </c>
      <c r="B5" t="s">
        <v>31</v>
      </c>
      <c r="C5" t="s">
        <v>29</v>
      </c>
      <c r="D5" s="5">
        <v>11002</v>
      </c>
      <c r="E5">
        <v>1</v>
      </c>
      <c r="F5">
        <v>1</v>
      </c>
      <c r="G5">
        <v>2</v>
      </c>
      <c r="H5" s="35">
        <v>1110000040</v>
      </c>
      <c r="J5">
        <f t="shared" si="0"/>
        <v>101002</v>
      </c>
      <c r="K5" t="s">
        <v>30</v>
      </c>
    </row>
    <row r="6" spans="1:12">
      <c r="A6">
        <f t="shared" si="1"/>
        <v>101003</v>
      </c>
      <c r="B6" t="s">
        <v>32</v>
      </c>
      <c r="C6" t="s">
        <v>29</v>
      </c>
      <c r="D6" s="5">
        <v>11002</v>
      </c>
      <c r="E6">
        <v>1</v>
      </c>
      <c r="F6">
        <v>1</v>
      </c>
      <c r="G6">
        <v>3</v>
      </c>
      <c r="H6" s="35">
        <v>1110000010</v>
      </c>
      <c r="J6">
        <f t="shared" si="0"/>
        <v>101003</v>
      </c>
      <c r="K6" t="s">
        <v>30</v>
      </c>
    </row>
    <row r="7" spans="1:12">
      <c r="A7">
        <f t="shared" si="1"/>
        <v>101004</v>
      </c>
      <c r="B7" t="s">
        <v>33</v>
      </c>
      <c r="C7" t="s">
        <v>29</v>
      </c>
      <c r="D7" s="5">
        <v>11002</v>
      </c>
      <c r="E7">
        <v>1</v>
      </c>
      <c r="F7">
        <v>1</v>
      </c>
      <c r="G7">
        <v>4</v>
      </c>
      <c r="H7" s="35">
        <v>1110000030</v>
      </c>
      <c r="J7">
        <f t="shared" si="0"/>
        <v>101004</v>
      </c>
      <c r="K7" t="s">
        <v>30</v>
      </c>
    </row>
    <row r="8" spans="1:12">
      <c r="A8">
        <f t="shared" si="1"/>
        <v>102001</v>
      </c>
      <c r="B8" t="s">
        <v>34</v>
      </c>
      <c r="C8" t="s">
        <v>29</v>
      </c>
      <c r="D8" s="5">
        <v>11003</v>
      </c>
      <c r="E8">
        <v>1</v>
      </c>
      <c r="F8">
        <v>2</v>
      </c>
      <c r="G8">
        <v>1</v>
      </c>
      <c r="H8" s="35">
        <v>1120000040</v>
      </c>
      <c r="J8">
        <f t="shared" si="0"/>
        <v>102001</v>
      </c>
      <c r="K8" t="s">
        <v>30</v>
      </c>
    </row>
    <row r="9" spans="1:12">
      <c r="A9">
        <f t="shared" si="1"/>
        <v>102002</v>
      </c>
      <c r="B9" t="s">
        <v>35</v>
      </c>
      <c r="C9" t="s">
        <v>29</v>
      </c>
      <c r="D9" s="5">
        <v>11001</v>
      </c>
      <c r="E9">
        <v>1</v>
      </c>
      <c r="F9">
        <v>2</v>
      </c>
      <c r="G9">
        <v>2</v>
      </c>
      <c r="H9" s="35">
        <v>1120000130</v>
      </c>
      <c r="J9">
        <f t="shared" si="0"/>
        <v>102002</v>
      </c>
      <c r="K9" t="s">
        <v>30</v>
      </c>
    </row>
    <row r="10" spans="1:12">
      <c r="A10">
        <f t="shared" si="1"/>
        <v>102003</v>
      </c>
      <c r="B10" t="s">
        <v>36</v>
      </c>
      <c r="C10" t="s">
        <v>29</v>
      </c>
      <c r="D10" s="38" t="s">
        <v>37</v>
      </c>
      <c r="E10">
        <v>1</v>
      </c>
      <c r="F10">
        <v>2</v>
      </c>
      <c r="G10">
        <v>3</v>
      </c>
      <c r="I10">
        <v>2120000011</v>
      </c>
      <c r="J10">
        <f t="shared" si="0"/>
        <v>102003</v>
      </c>
      <c r="K10" t="s">
        <v>30</v>
      </c>
    </row>
    <row r="11" spans="1:12">
      <c r="A11">
        <f t="shared" si="1"/>
        <v>102004</v>
      </c>
      <c r="B11" t="s">
        <v>38</v>
      </c>
      <c r="C11" t="s">
        <v>29</v>
      </c>
      <c r="D11" s="5">
        <v>11001</v>
      </c>
      <c r="E11">
        <v>1</v>
      </c>
      <c r="F11">
        <v>2</v>
      </c>
      <c r="G11">
        <v>4</v>
      </c>
      <c r="H11" s="35">
        <v>1120000020</v>
      </c>
      <c r="J11">
        <f t="shared" si="0"/>
        <v>102004</v>
      </c>
      <c r="K11" t="s">
        <v>30</v>
      </c>
    </row>
    <row r="12" spans="1:12">
      <c r="A12">
        <f t="shared" si="1"/>
        <v>102005</v>
      </c>
      <c r="B12" t="s">
        <v>39</v>
      </c>
      <c r="C12" t="s">
        <v>29</v>
      </c>
      <c r="D12" s="5">
        <v>11001</v>
      </c>
      <c r="E12">
        <v>1</v>
      </c>
      <c r="F12">
        <v>2</v>
      </c>
      <c r="G12">
        <v>5</v>
      </c>
      <c r="H12" s="35">
        <v>1120000080</v>
      </c>
      <c r="J12">
        <f t="shared" si="0"/>
        <v>102005</v>
      </c>
      <c r="K12" t="s">
        <v>30</v>
      </c>
    </row>
    <row r="13" spans="1:12">
      <c r="A13">
        <f t="shared" ref="A13" si="2">E13*100000+F13*1000+G13</f>
        <v>102006</v>
      </c>
      <c r="B13" s="39" t="s">
        <v>40</v>
      </c>
      <c r="C13" t="s">
        <v>29</v>
      </c>
      <c r="D13" s="5">
        <v>11003</v>
      </c>
      <c r="E13">
        <v>1</v>
      </c>
      <c r="F13">
        <v>2</v>
      </c>
      <c r="G13">
        <v>6</v>
      </c>
      <c r="H13" s="35">
        <v>1120000140</v>
      </c>
      <c r="J13">
        <f t="shared" ref="J13" si="3">A13</f>
        <v>102006</v>
      </c>
      <c r="K13" t="s">
        <v>30</v>
      </c>
    </row>
    <row r="14" spans="1:12">
      <c r="A14">
        <f t="shared" ref="A14:A18" si="4">E14*100000+F14*1000+G14</f>
        <v>201001</v>
      </c>
      <c r="B14" t="s">
        <v>41</v>
      </c>
      <c r="C14" t="s">
        <v>29</v>
      </c>
      <c r="D14" s="5" t="s">
        <v>37</v>
      </c>
      <c r="E14">
        <v>2</v>
      </c>
      <c r="F14">
        <v>1</v>
      </c>
      <c r="G14">
        <v>1</v>
      </c>
      <c r="I14">
        <v>2110000010</v>
      </c>
      <c r="J14">
        <f t="shared" ref="J14:J18" si="5">A14</f>
        <v>201001</v>
      </c>
      <c r="K14" t="s">
        <v>30</v>
      </c>
    </row>
    <row r="15" spans="1:12">
      <c r="A15">
        <f t="shared" si="4"/>
        <v>201002</v>
      </c>
      <c r="B15" t="s">
        <v>42</v>
      </c>
      <c r="C15" t="s">
        <v>29</v>
      </c>
      <c r="D15" s="5">
        <v>11002</v>
      </c>
      <c r="E15">
        <v>2</v>
      </c>
      <c r="F15">
        <v>1</v>
      </c>
      <c r="G15">
        <v>2</v>
      </c>
      <c r="H15" s="35">
        <v>1110000020</v>
      </c>
      <c r="J15">
        <f t="shared" si="5"/>
        <v>201002</v>
      </c>
      <c r="K15" t="s">
        <v>30</v>
      </c>
    </row>
    <row r="16" spans="1:12">
      <c r="A16">
        <f t="shared" si="4"/>
        <v>201003</v>
      </c>
      <c r="B16" t="s">
        <v>43</v>
      </c>
      <c r="C16" t="s">
        <v>29</v>
      </c>
      <c r="D16" s="5">
        <v>11002</v>
      </c>
      <c r="E16">
        <v>2</v>
      </c>
      <c r="F16">
        <v>1</v>
      </c>
      <c r="G16">
        <v>3</v>
      </c>
      <c r="H16" s="35">
        <v>1110000060</v>
      </c>
      <c r="J16">
        <f t="shared" si="5"/>
        <v>201003</v>
      </c>
      <c r="K16" t="s">
        <v>30</v>
      </c>
    </row>
    <row r="17" spans="1:11">
      <c r="A17">
        <f t="shared" si="4"/>
        <v>202001</v>
      </c>
      <c r="B17" t="s">
        <v>44</v>
      </c>
      <c r="C17" t="s">
        <v>29</v>
      </c>
      <c r="D17" s="5">
        <v>11001</v>
      </c>
      <c r="E17">
        <v>2</v>
      </c>
      <c r="F17">
        <v>2</v>
      </c>
      <c r="G17">
        <v>1</v>
      </c>
      <c r="H17" s="35">
        <v>1120000050</v>
      </c>
      <c r="J17">
        <f t="shared" si="5"/>
        <v>202001</v>
      </c>
      <c r="K17" t="s">
        <v>30</v>
      </c>
    </row>
    <row r="18" customFormat="1" spans="1:11">
      <c r="A18">
        <f t="shared" si="4"/>
        <v>204001</v>
      </c>
      <c r="B18" t="s">
        <v>45</v>
      </c>
      <c r="C18" t="s">
        <v>29</v>
      </c>
      <c r="D18" s="5">
        <v>0</v>
      </c>
      <c r="E18">
        <v>2</v>
      </c>
      <c r="F18">
        <v>4</v>
      </c>
      <c r="G18">
        <v>1</v>
      </c>
      <c r="H18" s="35"/>
      <c r="I18">
        <v>2140000140</v>
      </c>
      <c r="J18">
        <f t="shared" si="5"/>
        <v>204001</v>
      </c>
      <c r="K18" t="s">
        <v>30</v>
      </c>
    </row>
    <row r="19" spans="1:11">
      <c r="A19">
        <f t="shared" ref="A19:A22" si="6">E19*100000+F19*1000+G19</f>
        <v>301001</v>
      </c>
      <c r="B19" t="s">
        <v>46</v>
      </c>
      <c r="C19" t="s">
        <v>29</v>
      </c>
      <c r="D19" s="5" t="s">
        <v>37</v>
      </c>
      <c r="E19">
        <v>3</v>
      </c>
      <c r="F19">
        <v>1</v>
      </c>
      <c r="G19">
        <v>1</v>
      </c>
      <c r="I19">
        <v>2110000020</v>
      </c>
      <c r="J19">
        <f t="shared" ref="J19:J22" si="7">A19</f>
        <v>301001</v>
      </c>
      <c r="K19" t="s">
        <v>30</v>
      </c>
    </row>
    <row r="20" spans="1:11">
      <c r="A20">
        <f t="shared" si="6"/>
        <v>301002</v>
      </c>
      <c r="B20" t="s">
        <v>47</v>
      </c>
      <c r="C20" t="s">
        <v>29</v>
      </c>
      <c r="D20" s="5">
        <v>11002</v>
      </c>
      <c r="E20">
        <v>3</v>
      </c>
      <c r="F20">
        <v>1</v>
      </c>
      <c r="G20">
        <v>2</v>
      </c>
      <c r="H20" s="35">
        <v>1140000010</v>
      </c>
      <c r="J20">
        <f t="shared" si="7"/>
        <v>301002</v>
      </c>
      <c r="K20" t="s">
        <v>30</v>
      </c>
    </row>
    <row r="21" spans="1:11">
      <c r="A21">
        <f t="shared" si="6"/>
        <v>302001</v>
      </c>
      <c r="B21" t="s">
        <v>48</v>
      </c>
      <c r="C21" t="s">
        <v>29</v>
      </c>
      <c r="D21" s="5">
        <v>11001</v>
      </c>
      <c r="E21">
        <v>3</v>
      </c>
      <c r="F21">
        <v>2</v>
      </c>
      <c r="G21">
        <v>1</v>
      </c>
      <c r="H21" s="35">
        <v>1120000010</v>
      </c>
      <c r="J21">
        <f t="shared" si="7"/>
        <v>302001</v>
      </c>
      <c r="K21" t="s">
        <v>30</v>
      </c>
    </row>
    <row r="22" spans="1:11">
      <c r="A22">
        <f t="shared" si="6"/>
        <v>305001</v>
      </c>
      <c r="B22" t="s">
        <v>49</v>
      </c>
      <c r="C22" t="s">
        <v>29</v>
      </c>
      <c r="D22" s="5" t="s">
        <v>37</v>
      </c>
      <c r="E22">
        <v>3</v>
      </c>
      <c r="F22">
        <v>5</v>
      </c>
      <c r="G22">
        <v>1</v>
      </c>
      <c r="H22" s="35">
        <v>1140000020</v>
      </c>
      <c r="J22">
        <f t="shared" si="7"/>
        <v>305001</v>
      </c>
      <c r="K22" t="s">
        <v>30</v>
      </c>
    </row>
    <row r="23" spans="1:11">
      <c r="A23">
        <f t="shared" ref="A23:A26" si="8">E23*100000+F23*1000+G23</f>
        <v>401001</v>
      </c>
      <c r="B23" t="s">
        <v>50</v>
      </c>
      <c r="C23" t="s">
        <v>29</v>
      </c>
      <c r="D23" s="5" t="s">
        <v>37</v>
      </c>
      <c r="E23">
        <v>4</v>
      </c>
      <c r="F23">
        <v>1</v>
      </c>
      <c r="G23">
        <v>1</v>
      </c>
      <c r="I23">
        <v>2110000030</v>
      </c>
      <c r="J23">
        <f t="shared" ref="J23:J26" si="9">A23</f>
        <v>401001</v>
      </c>
      <c r="K23" t="s">
        <v>30</v>
      </c>
    </row>
    <row r="24" spans="1:11">
      <c r="A24">
        <f t="shared" si="8"/>
        <v>401002</v>
      </c>
      <c r="B24" t="s">
        <v>51</v>
      </c>
      <c r="C24" t="s">
        <v>29</v>
      </c>
      <c r="D24" s="5">
        <v>11001</v>
      </c>
      <c r="E24">
        <v>4</v>
      </c>
      <c r="F24">
        <v>1</v>
      </c>
      <c r="G24">
        <v>2</v>
      </c>
      <c r="I24">
        <v>2120000030</v>
      </c>
      <c r="J24">
        <f t="shared" si="9"/>
        <v>401002</v>
      </c>
      <c r="K24" t="s">
        <v>30</v>
      </c>
    </row>
    <row r="25" spans="1:11">
      <c r="A25">
        <f t="shared" si="8"/>
        <v>404001</v>
      </c>
      <c r="B25" t="s">
        <v>52</v>
      </c>
      <c r="C25" t="s">
        <v>29</v>
      </c>
      <c r="D25" s="5">
        <v>0</v>
      </c>
      <c r="E25">
        <v>4</v>
      </c>
      <c r="F25">
        <v>4</v>
      </c>
      <c r="G25">
        <v>1</v>
      </c>
      <c r="I25">
        <v>2140000080</v>
      </c>
      <c r="J25">
        <f t="shared" si="9"/>
        <v>404001</v>
      </c>
      <c r="K25" t="s">
        <v>30</v>
      </c>
    </row>
    <row r="26" customFormat="1" spans="1:11">
      <c r="A26">
        <f t="shared" si="8"/>
        <v>404002</v>
      </c>
      <c r="B26" t="s">
        <v>53</v>
      </c>
      <c r="C26" t="s">
        <v>29</v>
      </c>
      <c r="D26" s="5">
        <v>0</v>
      </c>
      <c r="E26">
        <v>4</v>
      </c>
      <c r="F26">
        <v>4</v>
      </c>
      <c r="G26">
        <v>2</v>
      </c>
      <c r="H26" s="35"/>
      <c r="I26">
        <v>2140000110</v>
      </c>
      <c r="J26">
        <f t="shared" si="9"/>
        <v>404002</v>
      </c>
      <c r="K26" t="s">
        <v>30</v>
      </c>
    </row>
    <row r="27" spans="1:11">
      <c r="A27">
        <f t="shared" ref="A27:A33" si="10">E27*100000+F27*1000+G27</f>
        <v>501001</v>
      </c>
      <c r="B27" t="s">
        <v>54</v>
      </c>
      <c r="E27">
        <v>5</v>
      </c>
      <c r="F27">
        <v>1</v>
      </c>
      <c r="G27">
        <v>1</v>
      </c>
      <c r="I27">
        <v>2114000020</v>
      </c>
      <c r="J27">
        <f t="shared" ref="J27:J33" si="11">A27</f>
        <v>501001</v>
      </c>
      <c r="K27" t="s">
        <v>30</v>
      </c>
    </row>
    <row r="28" spans="1:11">
      <c r="A28">
        <f t="shared" si="10"/>
        <v>501002</v>
      </c>
      <c r="B28" t="s">
        <v>55</v>
      </c>
      <c r="E28">
        <v>5</v>
      </c>
      <c r="F28">
        <v>1</v>
      </c>
      <c r="G28">
        <v>2</v>
      </c>
      <c r="I28">
        <v>2150000020</v>
      </c>
      <c r="J28">
        <f t="shared" si="11"/>
        <v>501002</v>
      </c>
      <c r="K28" t="s">
        <v>30</v>
      </c>
    </row>
    <row r="29" spans="1:11">
      <c r="A29">
        <f t="shared" si="10"/>
        <v>504001</v>
      </c>
      <c r="B29" t="s">
        <v>54</v>
      </c>
      <c r="C29" t="s">
        <v>29</v>
      </c>
      <c r="D29" s="5">
        <v>0</v>
      </c>
      <c r="E29">
        <v>5</v>
      </c>
      <c r="F29">
        <v>4</v>
      </c>
      <c r="G29">
        <v>1</v>
      </c>
      <c r="I29">
        <v>2114000020</v>
      </c>
      <c r="J29">
        <f t="shared" si="11"/>
        <v>504001</v>
      </c>
      <c r="K29" t="s">
        <v>30</v>
      </c>
    </row>
    <row r="30" spans="1:11">
      <c r="A30">
        <f t="shared" si="10"/>
        <v>504002</v>
      </c>
      <c r="B30" t="s">
        <v>56</v>
      </c>
      <c r="C30" t="s">
        <v>29</v>
      </c>
      <c r="D30" s="5">
        <v>0</v>
      </c>
      <c r="E30">
        <v>5</v>
      </c>
      <c r="F30">
        <v>4</v>
      </c>
      <c r="G30">
        <v>2</v>
      </c>
      <c r="I30">
        <v>2140000040</v>
      </c>
      <c r="J30">
        <f t="shared" si="11"/>
        <v>504002</v>
      </c>
      <c r="K30" t="s">
        <v>30</v>
      </c>
    </row>
    <row r="31" spans="1:11">
      <c r="A31">
        <f t="shared" si="10"/>
        <v>504003</v>
      </c>
      <c r="B31" t="s">
        <v>57</v>
      </c>
      <c r="C31" t="s">
        <v>29</v>
      </c>
      <c r="D31" s="5">
        <v>0</v>
      </c>
      <c r="E31">
        <v>5</v>
      </c>
      <c r="F31">
        <v>4</v>
      </c>
      <c r="G31">
        <v>3</v>
      </c>
      <c r="I31">
        <v>2140000050</v>
      </c>
      <c r="J31">
        <f t="shared" si="11"/>
        <v>504003</v>
      </c>
      <c r="K31" t="s">
        <v>30</v>
      </c>
    </row>
    <row r="32" spans="1:11">
      <c r="A32">
        <f t="shared" si="10"/>
        <v>504004</v>
      </c>
      <c r="B32" t="s">
        <v>58</v>
      </c>
      <c r="C32" t="s">
        <v>29</v>
      </c>
      <c r="D32" s="5">
        <v>0</v>
      </c>
      <c r="E32">
        <v>5</v>
      </c>
      <c r="F32">
        <v>4</v>
      </c>
      <c r="G32">
        <v>4</v>
      </c>
      <c r="I32">
        <v>2140000060</v>
      </c>
      <c r="J32">
        <f t="shared" si="11"/>
        <v>504004</v>
      </c>
      <c r="K32" t="s">
        <v>30</v>
      </c>
    </row>
    <row r="33" spans="1:11">
      <c r="A33">
        <f t="shared" si="10"/>
        <v>504005</v>
      </c>
      <c r="B33" t="s">
        <v>59</v>
      </c>
      <c r="C33" t="s">
        <v>29</v>
      </c>
      <c r="D33" s="5">
        <v>0</v>
      </c>
      <c r="E33">
        <v>5</v>
      </c>
      <c r="F33">
        <v>4</v>
      </c>
      <c r="G33">
        <v>5</v>
      </c>
      <c r="I33">
        <v>2140000070</v>
      </c>
      <c r="J33">
        <f t="shared" si="11"/>
        <v>504005</v>
      </c>
      <c r="K33" t="s">
        <v>30</v>
      </c>
    </row>
  </sheetData>
  <conditionalFormatting sqref="A11">
    <cfRule type="duplicateValues" dxfId="0" priority="8"/>
    <cfRule type="duplicateValues" dxfId="0" priority="9"/>
  </conditionalFormatting>
  <conditionalFormatting sqref="A15">
    <cfRule type="duplicateValues" dxfId="0" priority="21"/>
  </conditionalFormatting>
  <conditionalFormatting sqref="A16">
    <cfRule type="duplicateValues" dxfId="0" priority="13"/>
  </conditionalFormatting>
  <conditionalFormatting sqref="A17">
    <cfRule type="duplicateValues" dxfId="0" priority="5"/>
  </conditionalFormatting>
  <conditionalFormatting sqref="A18">
    <cfRule type="duplicateValues" dxfId="0" priority="2"/>
  </conditionalFormatting>
  <conditionalFormatting sqref="A20">
    <cfRule type="duplicateValues" dxfId="0" priority="20"/>
  </conditionalFormatting>
  <conditionalFormatting sqref="A21">
    <cfRule type="duplicateValues" dxfId="0" priority="3"/>
  </conditionalFormatting>
  <conditionalFormatting sqref="A22">
    <cfRule type="duplicateValues" dxfId="0" priority="12"/>
  </conditionalFormatting>
  <conditionalFormatting sqref="A24">
    <cfRule type="duplicateValues" dxfId="0" priority="19"/>
  </conditionalFormatting>
  <conditionalFormatting sqref="A25">
    <cfRule type="duplicateValues" dxfId="0" priority="11"/>
  </conditionalFormatting>
  <conditionalFormatting sqref="A26">
    <cfRule type="duplicateValues" dxfId="0" priority="1"/>
  </conditionalFormatting>
  <conditionalFormatting sqref="A31">
    <cfRule type="duplicateValues" dxfId="0" priority="16"/>
  </conditionalFormatting>
  <conditionalFormatting sqref="A32">
    <cfRule type="duplicateValues" dxfId="0" priority="15"/>
  </conditionalFormatting>
  <conditionalFormatting sqref="A33">
    <cfRule type="duplicateValues" dxfId="0" priority="14"/>
  </conditionalFormatting>
  <conditionalFormatting sqref="A1:A2">
    <cfRule type="duplicateValues" dxfId="0" priority="33"/>
  </conditionalFormatting>
  <conditionalFormatting sqref="A7:A10">
    <cfRule type="duplicateValues" dxfId="0" priority="18"/>
  </conditionalFormatting>
  <conditionalFormatting sqref="A12:A13">
    <cfRule type="duplicateValues" dxfId="0" priority="6"/>
    <cfRule type="duplicateValues" dxfId="0" priority="7"/>
  </conditionalFormatting>
  <conditionalFormatting sqref="A29:A30">
    <cfRule type="duplicateValues" dxfId="0" priority="17"/>
  </conditionalFormatting>
  <conditionalFormatting sqref="A34:A1048576">
    <cfRule type="duplicateValues" dxfId="0" priority="141"/>
  </conditionalFormatting>
  <conditionalFormatting sqref="B1:B2">
    <cfRule type="duplicateValues" dxfId="0" priority="32"/>
  </conditionalFormatting>
  <conditionalFormatting sqref="F1:F2">
    <cfRule type="duplicateValues" dxfId="0" priority="24"/>
  </conditionalFormatting>
  <conditionalFormatting sqref="J1:J2">
    <cfRule type="duplicateValues" dxfId="0" priority="26"/>
  </conditionalFormatting>
  <conditionalFormatting sqref="L1:L2">
    <cfRule type="duplicateValues" dxfId="0" priority="27"/>
  </conditionalFormatting>
  <conditionalFormatting sqref="C1:E2 G1:G2">
    <cfRule type="duplicateValues" dxfId="0" priority="31"/>
  </conditionalFormatting>
  <conditionalFormatting sqref="H1:I2 K1:K2">
    <cfRule type="duplicateValues" dxfId="0" priority="30"/>
  </conditionalFormatting>
  <conditionalFormatting sqref="A4:A5 A8 A14 A19 A23 A27:A28">
    <cfRule type="duplicateValues" dxfId="0" priority="23"/>
  </conditionalFormatting>
  <conditionalFormatting sqref="A6 A9:A10">
    <cfRule type="duplicateValues" dxfId="0" priority="22"/>
  </conditionalFormatting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8"/>
  <sheetViews>
    <sheetView workbookViewId="0">
      <selection activeCell="B11" sqref="B11"/>
    </sheetView>
  </sheetViews>
  <sheetFormatPr defaultColWidth="9" defaultRowHeight="13.5" outlineLevelRow="7" outlineLevelCol="3"/>
  <cols>
    <col min="1" max="2" width="9" style="5"/>
    <col min="3" max="3" width="12.375" style="5" customWidth="1"/>
    <col min="4" max="4" width="9.375" customWidth="1"/>
  </cols>
  <sheetData>
    <row r="1" spans="1:4">
      <c r="A1" s="6" t="s">
        <v>60</v>
      </c>
      <c r="B1" s="6" t="s">
        <v>61</v>
      </c>
      <c r="C1" s="5" t="s">
        <v>62</v>
      </c>
      <c r="D1" s="5" t="s">
        <v>63</v>
      </c>
    </row>
    <row r="2" spans="1:4">
      <c r="A2" s="7" t="s">
        <v>12</v>
      </c>
      <c r="B2" s="7" t="s">
        <v>64</v>
      </c>
      <c r="C2" s="7" t="s">
        <v>13</v>
      </c>
      <c r="D2" s="7" t="s">
        <v>65</v>
      </c>
    </row>
    <row r="3" spans="1:4">
      <c r="A3" s="8" t="s">
        <v>24</v>
      </c>
      <c r="B3" s="8" t="s">
        <v>24</v>
      </c>
      <c r="C3" s="8" t="s">
        <v>25</v>
      </c>
      <c r="D3" s="8" t="s">
        <v>24</v>
      </c>
    </row>
    <row r="4" spans="1:4">
      <c r="A4" s="5">
        <v>1</v>
      </c>
      <c r="B4" s="5">
        <v>0</v>
      </c>
      <c r="C4" s="5" t="s">
        <v>66</v>
      </c>
      <c r="D4">
        <v>5</v>
      </c>
    </row>
    <row r="5" spans="1:4">
      <c r="A5" s="5">
        <v>2</v>
      </c>
      <c r="B5" s="5">
        <v>2</v>
      </c>
      <c r="C5" s="5" t="s">
        <v>67</v>
      </c>
      <c r="D5">
        <v>4</v>
      </c>
    </row>
    <row r="6" spans="1:4">
      <c r="A6" s="5">
        <v>3</v>
      </c>
      <c r="B6" s="5">
        <v>5</v>
      </c>
      <c r="C6" s="5" t="s">
        <v>68</v>
      </c>
      <c r="D6">
        <v>3</v>
      </c>
    </row>
    <row r="7" spans="1:4">
      <c r="A7" s="5">
        <v>4</v>
      </c>
      <c r="B7" s="5">
        <v>10</v>
      </c>
      <c r="C7" s="5" t="s">
        <v>69</v>
      </c>
      <c r="D7">
        <v>2</v>
      </c>
    </row>
    <row r="8" spans="1:4">
      <c r="A8" s="5">
        <v>5</v>
      </c>
      <c r="B8" s="5">
        <v>15</v>
      </c>
      <c r="C8" s="5" t="s">
        <v>70</v>
      </c>
      <c r="D8">
        <v>1</v>
      </c>
    </row>
  </sheetData>
  <conditionalFormatting sqref="A1:A2">
    <cfRule type="duplicateValues" dxfId="0" priority="4"/>
  </conditionalFormatting>
  <conditionalFormatting sqref="B1:B2">
    <cfRule type="duplicateValues" dxfId="0" priority="3"/>
  </conditionalFormatting>
  <conditionalFormatting sqref="C1:C2">
    <cfRule type="duplicateValues" dxfId="0" priority="2"/>
  </conditionalFormatting>
  <conditionalFormatting sqref="D1:D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46"/>
  <sheetViews>
    <sheetView workbookViewId="0">
      <selection activeCell="G23" sqref="G23"/>
    </sheetView>
  </sheetViews>
  <sheetFormatPr defaultColWidth="9" defaultRowHeight="13.5"/>
  <cols>
    <col min="1" max="1" width="11" customWidth="1"/>
    <col min="4" max="4" width="16" customWidth="1"/>
    <col min="5" max="5" width="19.375" customWidth="1"/>
    <col min="6" max="6" width="15.625" customWidth="1"/>
    <col min="7" max="7" width="60.75" style="5" customWidth="1"/>
    <col min="8" max="9" width="13.125" style="35" customWidth="1"/>
    <col min="10" max="10" width="13.5" style="5" customWidth="1"/>
    <col min="11" max="11" width="12.875" style="35" customWidth="1"/>
    <col min="12" max="12" width="29.375" customWidth="1"/>
    <col min="13" max="13" width="12.625" customWidth="1"/>
    <col min="14" max="14" width="11.5" customWidth="1"/>
  </cols>
  <sheetData>
    <row r="1" ht="27" spans="1:14">
      <c r="A1" s="35" t="s">
        <v>71</v>
      </c>
      <c r="B1" s="1" t="s">
        <v>72</v>
      </c>
      <c r="C1" s="1" t="s">
        <v>6</v>
      </c>
      <c r="D1" s="1" t="s">
        <v>73</v>
      </c>
      <c r="E1" s="1" t="s">
        <v>74</v>
      </c>
      <c r="F1" s="1" t="s">
        <v>75</v>
      </c>
      <c r="G1" s="6" t="s">
        <v>76</v>
      </c>
      <c r="H1" s="1" t="s">
        <v>77</v>
      </c>
      <c r="I1" s="1" t="s">
        <v>78</v>
      </c>
      <c r="J1" s="6" t="s">
        <v>79</v>
      </c>
      <c r="K1" s="1" t="s">
        <v>78</v>
      </c>
      <c r="L1" s="1" t="s">
        <v>80</v>
      </c>
      <c r="M1" s="1" t="s">
        <v>81</v>
      </c>
      <c r="N1" s="1" t="s">
        <v>82</v>
      </c>
    </row>
    <row r="2" spans="1:14">
      <c r="A2" s="2" t="s">
        <v>12</v>
      </c>
      <c r="B2" s="2" t="s">
        <v>83</v>
      </c>
      <c r="C2" s="2" t="s">
        <v>18</v>
      </c>
      <c r="D2" s="2" t="s">
        <v>64</v>
      </c>
      <c r="E2" s="2" t="s">
        <v>84</v>
      </c>
      <c r="F2" s="2" t="s">
        <v>85</v>
      </c>
      <c r="G2" s="7" t="s">
        <v>86</v>
      </c>
      <c r="H2" s="2" t="s">
        <v>87</v>
      </c>
      <c r="I2" s="2" t="s">
        <v>88</v>
      </c>
      <c r="J2" s="7" t="s">
        <v>20</v>
      </c>
      <c r="K2" s="2" t="s">
        <v>89</v>
      </c>
      <c r="L2" s="2" t="s">
        <v>90</v>
      </c>
      <c r="M2" s="2" t="s">
        <v>91</v>
      </c>
      <c r="N2" s="2" t="s">
        <v>92</v>
      </c>
    </row>
    <row r="3" spans="1:14">
      <c r="A3" s="3" t="s">
        <v>24</v>
      </c>
      <c r="B3" s="3" t="s">
        <v>24</v>
      </c>
      <c r="C3" s="3" t="s">
        <v>25</v>
      </c>
      <c r="D3" s="3" t="s">
        <v>24</v>
      </c>
      <c r="E3" s="3" t="s">
        <v>25</v>
      </c>
      <c r="F3" s="3" t="s">
        <v>25</v>
      </c>
      <c r="G3" s="8" t="s">
        <v>25</v>
      </c>
      <c r="H3" s="8" t="s">
        <v>26</v>
      </c>
      <c r="I3" s="8" t="s">
        <v>93</v>
      </c>
      <c r="J3" s="8" t="s">
        <v>26</v>
      </c>
      <c r="K3" s="8" t="s">
        <v>93</v>
      </c>
      <c r="L3" s="3" t="s">
        <v>93</v>
      </c>
      <c r="M3" s="3" t="s">
        <v>24</v>
      </c>
      <c r="N3" s="3" t="s">
        <v>24</v>
      </c>
    </row>
    <row r="4" spans="1:14">
      <c r="A4">
        <f t="shared" ref="A4:A8" si="0">100000+B4*100+C4</f>
        <v>100101</v>
      </c>
      <c r="B4">
        <v>1</v>
      </c>
      <c r="C4">
        <v>1</v>
      </c>
      <c r="D4">
        <f>M4</f>
        <v>1</v>
      </c>
      <c r="E4" t="s">
        <v>94</v>
      </c>
      <c r="F4" t="s">
        <v>95</v>
      </c>
      <c r="G4" t="s">
        <v>96</v>
      </c>
      <c r="H4" s="35">
        <v>10032</v>
      </c>
      <c r="I4" s="35" t="s">
        <v>97</v>
      </c>
      <c r="M4">
        <v>1</v>
      </c>
      <c r="N4">
        <f t="shared" ref="N4:N9" si="1">M4</f>
        <v>1</v>
      </c>
    </row>
    <row r="5" spans="1:14">
      <c r="A5">
        <f t="shared" si="0"/>
        <v>100102</v>
      </c>
      <c r="B5">
        <v>1</v>
      </c>
      <c r="C5">
        <v>2</v>
      </c>
      <c r="D5">
        <v>2</v>
      </c>
      <c r="E5" t="s">
        <v>98</v>
      </c>
      <c r="F5" t="s">
        <v>99</v>
      </c>
      <c r="G5" t="s">
        <v>100</v>
      </c>
      <c r="H5" s="35">
        <v>10032</v>
      </c>
      <c r="I5" s="35" t="s">
        <v>101</v>
      </c>
      <c r="M5">
        <v>4</v>
      </c>
      <c r="N5">
        <v>4</v>
      </c>
    </row>
    <row r="6" spans="1:14">
      <c r="A6">
        <f t="shared" si="0"/>
        <v>100201</v>
      </c>
      <c r="B6">
        <f t="shared" ref="B6:B7" si="2">B4+1</f>
        <v>2</v>
      </c>
      <c r="C6">
        <v>1</v>
      </c>
      <c r="D6">
        <v>1</v>
      </c>
      <c r="E6" t="s">
        <v>102</v>
      </c>
      <c r="F6" t="s">
        <v>103</v>
      </c>
      <c r="G6" s="36" t="s">
        <v>104</v>
      </c>
      <c r="H6" s="37" t="s">
        <v>105</v>
      </c>
      <c r="I6" s="37" t="s">
        <v>106</v>
      </c>
      <c r="K6" s="37"/>
      <c r="M6">
        <v>1</v>
      </c>
      <c r="N6">
        <f t="shared" si="1"/>
        <v>1</v>
      </c>
    </row>
    <row r="7" spans="1:14">
      <c r="A7">
        <f t="shared" si="0"/>
        <v>100202</v>
      </c>
      <c r="B7">
        <f t="shared" si="2"/>
        <v>2</v>
      </c>
      <c r="C7">
        <v>2</v>
      </c>
      <c r="D7">
        <v>1</v>
      </c>
      <c r="E7" t="s">
        <v>102</v>
      </c>
      <c r="F7" t="s">
        <v>107</v>
      </c>
      <c r="G7" s="36" t="s">
        <v>108</v>
      </c>
      <c r="H7" s="37" t="s">
        <v>105</v>
      </c>
      <c r="I7" s="37" t="s">
        <v>109</v>
      </c>
      <c r="K7" s="37"/>
      <c r="M7">
        <v>4</v>
      </c>
      <c r="N7">
        <v>4</v>
      </c>
    </row>
    <row r="8" spans="1:14">
      <c r="A8">
        <f t="shared" si="0"/>
        <v>100204</v>
      </c>
      <c r="B8">
        <v>2</v>
      </c>
      <c r="C8">
        <v>4</v>
      </c>
      <c r="D8">
        <v>5</v>
      </c>
      <c r="E8" t="s">
        <v>102</v>
      </c>
      <c r="F8" t="s">
        <v>110</v>
      </c>
      <c r="G8" t="s">
        <v>111</v>
      </c>
      <c r="H8" s="37">
        <v>10043</v>
      </c>
      <c r="I8" s="37"/>
      <c r="K8" s="37"/>
      <c r="M8">
        <v>5</v>
      </c>
      <c r="N8">
        <f t="shared" si="1"/>
        <v>5</v>
      </c>
    </row>
    <row r="9" spans="1:14">
      <c r="A9">
        <f t="shared" ref="A9:A42" si="3">100000+B9*100+C9</f>
        <v>100301</v>
      </c>
      <c r="B9">
        <f>B6+1</f>
        <v>3</v>
      </c>
      <c r="C9">
        <v>1</v>
      </c>
      <c r="D9">
        <f>M9</f>
        <v>1</v>
      </c>
      <c r="E9" t="s">
        <v>112</v>
      </c>
      <c r="F9" t="s">
        <v>113</v>
      </c>
      <c r="G9" t="s">
        <v>114</v>
      </c>
      <c r="H9" s="35">
        <v>10031</v>
      </c>
      <c r="I9" s="35" t="s">
        <v>115</v>
      </c>
      <c r="M9">
        <v>1</v>
      </c>
      <c r="N9">
        <f t="shared" si="1"/>
        <v>1</v>
      </c>
    </row>
    <row r="10" spans="1:14">
      <c r="A10">
        <f t="shared" si="3"/>
        <v>100302</v>
      </c>
      <c r="B10">
        <v>3</v>
      </c>
      <c r="C10">
        <v>2</v>
      </c>
      <c r="D10">
        <v>2</v>
      </c>
      <c r="E10" t="s">
        <v>116</v>
      </c>
      <c r="F10" t="s">
        <v>117</v>
      </c>
      <c r="G10" t="s">
        <v>118</v>
      </c>
      <c r="H10" s="35">
        <v>10031</v>
      </c>
      <c r="I10" s="35" t="s">
        <v>119</v>
      </c>
      <c r="M10">
        <v>4</v>
      </c>
      <c r="N10">
        <v>4</v>
      </c>
    </row>
    <row r="11" spans="1:14">
      <c r="A11">
        <f t="shared" si="3"/>
        <v>100401</v>
      </c>
      <c r="B11">
        <v>4</v>
      </c>
      <c r="C11">
        <v>1</v>
      </c>
      <c r="D11">
        <v>1</v>
      </c>
      <c r="E11" t="s">
        <v>120</v>
      </c>
      <c r="F11" t="s">
        <v>121</v>
      </c>
      <c r="G11" s="10" t="s">
        <v>122</v>
      </c>
      <c r="H11" s="37">
        <v>10037</v>
      </c>
      <c r="I11" s="37" t="s">
        <v>115</v>
      </c>
      <c r="J11" s="10"/>
      <c r="K11" s="37"/>
      <c r="M11">
        <v>2</v>
      </c>
      <c r="N11">
        <f>M11</f>
        <v>2</v>
      </c>
    </row>
    <row r="12" spans="1:14">
      <c r="A12">
        <f t="shared" si="3"/>
        <v>100402</v>
      </c>
      <c r="B12">
        <v>4</v>
      </c>
      <c r="C12">
        <v>2</v>
      </c>
      <c r="D12">
        <v>2</v>
      </c>
      <c r="E12" t="s">
        <v>123</v>
      </c>
      <c r="F12" t="s">
        <v>124</v>
      </c>
      <c r="G12" s="10" t="s">
        <v>125</v>
      </c>
      <c r="H12" s="37">
        <v>10037</v>
      </c>
      <c r="I12" s="37" t="s">
        <v>119</v>
      </c>
      <c r="J12" s="10"/>
      <c r="K12" s="37"/>
      <c r="M12">
        <v>4</v>
      </c>
      <c r="N12">
        <f t="shared" ref="N12:N42" si="4">M12</f>
        <v>4</v>
      </c>
    </row>
    <row r="13" spans="1:14">
      <c r="A13">
        <f t="shared" si="3"/>
        <v>100501</v>
      </c>
      <c r="B13">
        <v>5</v>
      </c>
      <c r="C13">
        <v>1</v>
      </c>
      <c r="D13">
        <v>3</v>
      </c>
      <c r="E13" t="s">
        <v>126</v>
      </c>
      <c r="F13" t="s">
        <v>127</v>
      </c>
      <c r="G13" s="10" t="s">
        <v>128</v>
      </c>
      <c r="H13" s="37">
        <v>10033</v>
      </c>
      <c r="I13" s="37" t="s">
        <v>97</v>
      </c>
      <c r="J13" s="10"/>
      <c r="K13" s="37"/>
      <c r="M13">
        <v>2</v>
      </c>
      <c r="N13">
        <v>2</v>
      </c>
    </row>
    <row r="14" spans="1:14">
      <c r="A14">
        <f t="shared" si="3"/>
        <v>100502</v>
      </c>
      <c r="B14">
        <v>5</v>
      </c>
      <c r="C14">
        <v>2</v>
      </c>
      <c r="D14">
        <v>4</v>
      </c>
      <c r="E14" t="s">
        <v>129</v>
      </c>
      <c r="F14" t="s">
        <v>130</v>
      </c>
      <c r="G14" s="10" t="s">
        <v>131</v>
      </c>
      <c r="H14" s="37">
        <v>10033</v>
      </c>
      <c r="I14" s="37" t="s">
        <v>101</v>
      </c>
      <c r="J14" s="10"/>
      <c r="K14" s="37"/>
      <c r="M14">
        <v>5</v>
      </c>
      <c r="N14">
        <f t="shared" si="4"/>
        <v>5</v>
      </c>
    </row>
    <row r="15" spans="1:14">
      <c r="A15">
        <f t="shared" si="3"/>
        <v>100601</v>
      </c>
      <c r="B15">
        <v>6</v>
      </c>
      <c r="C15">
        <v>1</v>
      </c>
      <c r="D15">
        <v>5</v>
      </c>
      <c r="E15" t="s">
        <v>129</v>
      </c>
      <c r="F15" t="s">
        <v>132</v>
      </c>
      <c r="G15" s="10" t="s">
        <v>133</v>
      </c>
      <c r="H15" s="37">
        <v>10034</v>
      </c>
      <c r="I15" s="37" t="s">
        <v>134</v>
      </c>
      <c r="J15" s="10"/>
      <c r="K15" s="37"/>
      <c r="M15">
        <v>2</v>
      </c>
      <c r="N15">
        <f t="shared" si="4"/>
        <v>2</v>
      </c>
    </row>
    <row r="16" spans="1:14">
      <c r="A16">
        <f t="shared" si="3"/>
        <v>100602</v>
      </c>
      <c r="B16">
        <v>6</v>
      </c>
      <c r="C16">
        <v>2</v>
      </c>
      <c r="D16">
        <f t="shared" ref="D16:D19" si="5">D11</f>
        <v>1</v>
      </c>
      <c r="E16" t="s">
        <v>135</v>
      </c>
      <c r="F16" t="s">
        <v>136</v>
      </c>
      <c r="G16" s="10" t="s">
        <v>137</v>
      </c>
      <c r="H16" s="37">
        <v>10034</v>
      </c>
      <c r="I16" s="37" t="s">
        <v>119</v>
      </c>
      <c r="K16" s="37"/>
      <c r="M16">
        <v>4</v>
      </c>
      <c r="N16">
        <f t="shared" si="4"/>
        <v>4</v>
      </c>
    </row>
    <row r="17" spans="1:14">
      <c r="A17">
        <f t="shared" si="3"/>
        <v>100701</v>
      </c>
      <c r="B17">
        <v>7</v>
      </c>
      <c r="C17">
        <v>1</v>
      </c>
      <c r="D17">
        <f t="shared" si="5"/>
        <v>2</v>
      </c>
      <c r="E17" t="s">
        <v>138</v>
      </c>
      <c r="F17" t="s">
        <v>139</v>
      </c>
      <c r="G17" s="10" t="s">
        <v>140</v>
      </c>
      <c r="H17" s="37">
        <v>10106</v>
      </c>
      <c r="I17" s="37" t="s">
        <v>115</v>
      </c>
      <c r="J17" s="10"/>
      <c r="K17" s="37"/>
      <c r="M17">
        <v>2</v>
      </c>
      <c r="N17">
        <v>2</v>
      </c>
    </row>
    <row r="18" spans="1:14">
      <c r="A18">
        <f t="shared" si="3"/>
        <v>100702</v>
      </c>
      <c r="B18">
        <v>7</v>
      </c>
      <c r="C18">
        <v>2</v>
      </c>
      <c r="D18">
        <f t="shared" si="5"/>
        <v>3</v>
      </c>
      <c r="E18" t="s">
        <v>141</v>
      </c>
      <c r="F18" t="s">
        <v>142</v>
      </c>
      <c r="G18" s="10" t="s">
        <v>143</v>
      </c>
      <c r="H18" s="37">
        <v>10106</v>
      </c>
      <c r="I18" s="37" t="s">
        <v>97</v>
      </c>
      <c r="J18" s="10"/>
      <c r="K18" s="37"/>
      <c r="M18">
        <v>5</v>
      </c>
      <c r="N18">
        <f t="shared" si="4"/>
        <v>5</v>
      </c>
    </row>
    <row r="19" spans="1:14">
      <c r="A19">
        <f t="shared" si="3"/>
        <v>100801</v>
      </c>
      <c r="B19">
        <v>8</v>
      </c>
      <c r="C19">
        <v>1</v>
      </c>
      <c r="D19">
        <f t="shared" si="5"/>
        <v>4</v>
      </c>
      <c r="E19" t="s">
        <v>144</v>
      </c>
      <c r="F19" t="s">
        <v>145</v>
      </c>
      <c r="G19" s="10" t="s">
        <v>146</v>
      </c>
      <c r="H19" s="37">
        <v>10036</v>
      </c>
      <c r="I19" s="37"/>
      <c r="J19" s="10"/>
      <c r="K19" s="37"/>
      <c r="M19">
        <v>3</v>
      </c>
      <c r="N19">
        <f t="shared" si="4"/>
        <v>3</v>
      </c>
    </row>
    <row r="20" spans="1:14">
      <c r="A20">
        <f t="shared" si="3"/>
        <v>100901</v>
      </c>
      <c r="B20">
        <v>9</v>
      </c>
      <c r="C20">
        <v>1</v>
      </c>
      <c r="D20">
        <v>2</v>
      </c>
      <c r="E20" t="s">
        <v>144</v>
      </c>
      <c r="F20" t="s">
        <v>147</v>
      </c>
      <c r="G20" t="s">
        <v>148</v>
      </c>
      <c r="H20" s="37">
        <v>10040</v>
      </c>
      <c r="I20" s="37" t="s">
        <v>97</v>
      </c>
      <c r="J20" s="10"/>
      <c r="K20" s="37"/>
      <c r="M20">
        <v>2</v>
      </c>
      <c r="N20">
        <f t="shared" si="4"/>
        <v>2</v>
      </c>
    </row>
    <row r="21" spans="1:14">
      <c r="A21">
        <f t="shared" si="3"/>
        <v>100902</v>
      </c>
      <c r="B21">
        <v>9</v>
      </c>
      <c r="C21">
        <v>2</v>
      </c>
      <c r="D21">
        <v>4</v>
      </c>
      <c r="E21" t="s">
        <v>144</v>
      </c>
      <c r="F21" t="s">
        <v>149</v>
      </c>
      <c r="G21" t="s">
        <v>150</v>
      </c>
      <c r="H21" s="37">
        <v>10040</v>
      </c>
      <c r="I21" s="37" t="s">
        <v>101</v>
      </c>
      <c r="J21" s="10"/>
      <c r="K21" s="37"/>
      <c r="M21">
        <v>4</v>
      </c>
      <c r="N21">
        <f t="shared" si="4"/>
        <v>4</v>
      </c>
    </row>
    <row r="22" spans="1:14">
      <c r="A22">
        <f t="shared" si="3"/>
        <v>101001</v>
      </c>
      <c r="B22">
        <v>10</v>
      </c>
      <c r="C22">
        <v>1</v>
      </c>
      <c r="D22">
        <v>3</v>
      </c>
      <c r="E22" t="s">
        <v>144</v>
      </c>
      <c r="F22" t="s">
        <v>151</v>
      </c>
      <c r="G22" t="s">
        <v>152</v>
      </c>
      <c r="H22" s="37">
        <v>10041</v>
      </c>
      <c r="I22" s="37" t="s">
        <v>97</v>
      </c>
      <c r="J22" s="10"/>
      <c r="K22" s="37"/>
      <c r="M22">
        <v>2</v>
      </c>
      <c r="N22">
        <v>2</v>
      </c>
    </row>
    <row r="23" spans="1:14">
      <c r="A23">
        <f t="shared" si="3"/>
        <v>101002</v>
      </c>
      <c r="B23">
        <v>10</v>
      </c>
      <c r="C23">
        <v>2</v>
      </c>
      <c r="D23">
        <v>5</v>
      </c>
      <c r="E23" t="s">
        <v>144</v>
      </c>
      <c r="F23" t="s">
        <v>153</v>
      </c>
      <c r="G23" t="s">
        <v>154</v>
      </c>
      <c r="H23" s="37">
        <v>10041</v>
      </c>
      <c r="I23" s="37" t="s">
        <v>101</v>
      </c>
      <c r="J23" s="10"/>
      <c r="K23" s="37"/>
      <c r="M23">
        <v>5</v>
      </c>
      <c r="N23">
        <f t="shared" si="4"/>
        <v>5</v>
      </c>
    </row>
    <row r="24" spans="1:14">
      <c r="A24">
        <f t="shared" si="3"/>
        <v>101101</v>
      </c>
      <c r="B24">
        <v>11</v>
      </c>
      <c r="C24">
        <v>1</v>
      </c>
      <c r="D24">
        <v>2</v>
      </c>
      <c r="E24" t="s">
        <v>144</v>
      </c>
      <c r="F24" t="s">
        <v>155</v>
      </c>
      <c r="G24" t="s">
        <v>156</v>
      </c>
      <c r="H24" s="37">
        <v>10042</v>
      </c>
      <c r="I24" s="37" t="s">
        <v>115</v>
      </c>
      <c r="J24" s="10"/>
      <c r="K24" s="37"/>
      <c r="M24">
        <v>1</v>
      </c>
      <c r="N24">
        <v>1</v>
      </c>
    </row>
    <row r="25" spans="1:14">
      <c r="A25">
        <f t="shared" si="3"/>
        <v>101102</v>
      </c>
      <c r="B25">
        <v>11</v>
      </c>
      <c r="C25">
        <v>2</v>
      </c>
      <c r="D25">
        <v>5</v>
      </c>
      <c r="E25" t="s">
        <v>144</v>
      </c>
      <c r="F25" t="s">
        <v>157</v>
      </c>
      <c r="G25" t="s">
        <v>158</v>
      </c>
      <c r="H25" s="37">
        <v>10042</v>
      </c>
      <c r="I25" s="37" t="s">
        <v>97</v>
      </c>
      <c r="J25" s="10"/>
      <c r="K25" s="37"/>
      <c r="M25">
        <v>5</v>
      </c>
      <c r="N25">
        <f t="shared" si="4"/>
        <v>5</v>
      </c>
    </row>
    <row r="26" spans="1:14">
      <c r="A26">
        <f t="shared" si="3"/>
        <v>101201</v>
      </c>
      <c r="B26">
        <v>12</v>
      </c>
      <c r="C26">
        <v>1</v>
      </c>
      <c r="D26">
        <v>3</v>
      </c>
      <c r="E26" t="s">
        <v>144</v>
      </c>
      <c r="F26" t="s">
        <v>159</v>
      </c>
      <c r="G26" t="s">
        <v>160</v>
      </c>
      <c r="H26" s="37">
        <v>10044</v>
      </c>
      <c r="I26" s="37"/>
      <c r="J26" s="10"/>
      <c r="K26" s="37"/>
      <c r="M26">
        <v>1</v>
      </c>
      <c r="N26">
        <v>1</v>
      </c>
    </row>
    <row r="27" spans="1:14">
      <c r="A27">
        <f t="shared" si="3"/>
        <v>101301</v>
      </c>
      <c r="B27">
        <v>13</v>
      </c>
      <c r="C27">
        <v>1</v>
      </c>
      <c r="D27">
        <v>4</v>
      </c>
      <c r="E27" t="s">
        <v>144</v>
      </c>
      <c r="F27" t="s">
        <v>161</v>
      </c>
      <c r="G27" t="s">
        <v>162</v>
      </c>
      <c r="H27" s="37">
        <v>10045</v>
      </c>
      <c r="I27" s="37"/>
      <c r="J27" s="10"/>
      <c r="K27" s="37"/>
      <c r="M27">
        <v>1</v>
      </c>
      <c r="N27">
        <f t="shared" si="4"/>
        <v>1</v>
      </c>
    </row>
    <row r="28" spans="1:14">
      <c r="A28">
        <f t="shared" si="3"/>
        <v>101401</v>
      </c>
      <c r="B28">
        <v>14</v>
      </c>
      <c r="C28">
        <v>1</v>
      </c>
      <c r="D28">
        <v>5</v>
      </c>
      <c r="E28" t="s">
        <v>144</v>
      </c>
      <c r="F28" t="s">
        <v>163</v>
      </c>
      <c r="G28" t="s">
        <v>164</v>
      </c>
      <c r="H28" s="37">
        <v>10046</v>
      </c>
      <c r="I28" s="37"/>
      <c r="J28" s="10"/>
      <c r="K28" s="37"/>
      <c r="M28">
        <v>1</v>
      </c>
      <c r="N28">
        <v>1</v>
      </c>
    </row>
    <row r="29" spans="1:14">
      <c r="A29">
        <f t="shared" si="3"/>
        <v>101501</v>
      </c>
      <c r="B29">
        <v>15</v>
      </c>
      <c r="C29">
        <v>1</v>
      </c>
      <c r="D29">
        <v>1</v>
      </c>
      <c r="E29" t="s">
        <v>120</v>
      </c>
      <c r="F29" t="s">
        <v>165</v>
      </c>
      <c r="G29" s="10" t="s">
        <v>166</v>
      </c>
      <c r="H29" s="37">
        <v>10047</v>
      </c>
      <c r="I29" s="37" t="s">
        <v>115</v>
      </c>
      <c r="J29" s="10"/>
      <c r="K29" s="37"/>
      <c r="M29">
        <v>2</v>
      </c>
      <c r="N29">
        <v>2</v>
      </c>
    </row>
    <row r="30" spans="1:14">
      <c r="A30">
        <f t="shared" si="3"/>
        <v>101502</v>
      </c>
      <c r="B30">
        <v>15</v>
      </c>
      <c r="C30">
        <v>2</v>
      </c>
      <c r="D30">
        <v>2</v>
      </c>
      <c r="E30" t="s">
        <v>123</v>
      </c>
      <c r="F30" t="s">
        <v>167</v>
      </c>
      <c r="G30" s="10" t="s">
        <v>168</v>
      </c>
      <c r="H30" s="37">
        <v>10047</v>
      </c>
      <c r="I30" s="37" t="s">
        <v>119</v>
      </c>
      <c r="J30" s="10"/>
      <c r="K30" s="37"/>
      <c r="M30">
        <v>4</v>
      </c>
      <c r="N30">
        <f t="shared" si="4"/>
        <v>4</v>
      </c>
    </row>
    <row r="31" spans="1:14">
      <c r="A31">
        <f t="shared" si="3"/>
        <v>101601</v>
      </c>
      <c r="B31">
        <v>16</v>
      </c>
      <c r="C31">
        <v>1</v>
      </c>
      <c r="D31">
        <v>1</v>
      </c>
      <c r="E31" t="s">
        <v>120</v>
      </c>
      <c r="F31" t="s">
        <v>169</v>
      </c>
      <c r="G31" t="s">
        <v>170</v>
      </c>
      <c r="H31" s="37">
        <v>10048</v>
      </c>
      <c r="I31" s="37" t="s">
        <v>115</v>
      </c>
      <c r="J31" s="10"/>
      <c r="K31" s="37"/>
      <c r="M31">
        <v>1</v>
      </c>
      <c r="N31">
        <v>1</v>
      </c>
    </row>
    <row r="32" spans="1:14">
      <c r="A32">
        <f t="shared" si="3"/>
        <v>101602</v>
      </c>
      <c r="B32">
        <v>16</v>
      </c>
      <c r="C32">
        <v>2</v>
      </c>
      <c r="D32">
        <v>2</v>
      </c>
      <c r="E32" t="s">
        <v>123</v>
      </c>
      <c r="F32" t="s">
        <v>171</v>
      </c>
      <c r="G32" t="s">
        <v>172</v>
      </c>
      <c r="H32" s="37">
        <v>10048</v>
      </c>
      <c r="I32" s="37" t="s">
        <v>97</v>
      </c>
      <c r="J32" s="10"/>
      <c r="K32" s="37"/>
      <c r="M32">
        <v>5</v>
      </c>
      <c r="N32">
        <f t="shared" si="4"/>
        <v>5</v>
      </c>
    </row>
    <row r="33" spans="1:14">
      <c r="A33">
        <f t="shared" si="3"/>
        <v>101701</v>
      </c>
      <c r="B33">
        <v>17</v>
      </c>
      <c r="C33">
        <v>1</v>
      </c>
      <c r="D33">
        <v>1</v>
      </c>
      <c r="E33" t="s">
        <v>120</v>
      </c>
      <c r="F33" t="s">
        <v>173</v>
      </c>
      <c r="G33" t="s">
        <v>174</v>
      </c>
      <c r="H33" s="37"/>
      <c r="I33" s="37"/>
      <c r="J33">
        <v>3140000040</v>
      </c>
      <c r="K33" s="37" t="s">
        <v>175</v>
      </c>
      <c r="M33">
        <v>2</v>
      </c>
      <c r="N33">
        <v>2</v>
      </c>
    </row>
    <row r="34" spans="1:14">
      <c r="A34">
        <f t="shared" si="3"/>
        <v>101702</v>
      </c>
      <c r="B34">
        <v>17</v>
      </c>
      <c r="C34">
        <v>2</v>
      </c>
      <c r="D34">
        <v>2</v>
      </c>
      <c r="E34" t="s">
        <v>123</v>
      </c>
      <c r="F34" t="s">
        <v>176</v>
      </c>
      <c r="G34" t="s">
        <v>177</v>
      </c>
      <c r="H34" s="37"/>
      <c r="I34" s="37"/>
      <c r="J34">
        <v>3140000040</v>
      </c>
      <c r="K34" s="37" t="s">
        <v>178</v>
      </c>
      <c r="M34">
        <v>5</v>
      </c>
      <c r="N34">
        <f t="shared" si="4"/>
        <v>5</v>
      </c>
    </row>
    <row r="35" spans="1:14">
      <c r="A35">
        <f t="shared" si="3"/>
        <v>101801</v>
      </c>
      <c r="B35">
        <v>18</v>
      </c>
      <c r="C35">
        <v>1</v>
      </c>
      <c r="D35">
        <v>1</v>
      </c>
      <c r="E35" t="s">
        <v>120</v>
      </c>
      <c r="F35" t="s">
        <v>179</v>
      </c>
      <c r="G35" t="s">
        <v>180</v>
      </c>
      <c r="H35" s="37" t="s">
        <v>181</v>
      </c>
      <c r="I35" s="37" t="s">
        <v>182</v>
      </c>
      <c r="J35" s="10"/>
      <c r="K35" s="37"/>
      <c r="M35">
        <v>1</v>
      </c>
      <c r="N35">
        <v>1</v>
      </c>
    </row>
    <row r="36" spans="1:14">
      <c r="A36">
        <f t="shared" si="3"/>
        <v>101802</v>
      </c>
      <c r="B36">
        <v>18</v>
      </c>
      <c r="C36">
        <v>2</v>
      </c>
      <c r="D36">
        <v>2</v>
      </c>
      <c r="E36" t="s">
        <v>123</v>
      </c>
      <c r="F36" t="s">
        <v>183</v>
      </c>
      <c r="G36" t="s">
        <v>184</v>
      </c>
      <c r="H36" s="37" t="s">
        <v>181</v>
      </c>
      <c r="I36" s="37" t="s">
        <v>185</v>
      </c>
      <c r="J36" s="10"/>
      <c r="K36" s="37"/>
      <c r="M36">
        <v>4</v>
      </c>
      <c r="N36">
        <f t="shared" si="4"/>
        <v>4</v>
      </c>
    </row>
    <row r="37" customFormat="1" spans="1:14">
      <c r="A37">
        <f t="shared" si="3"/>
        <v>101901</v>
      </c>
      <c r="B37">
        <v>19</v>
      </c>
      <c r="C37">
        <v>1</v>
      </c>
      <c r="D37">
        <v>1</v>
      </c>
      <c r="E37" t="s">
        <v>120</v>
      </c>
      <c r="F37" t="s">
        <v>186</v>
      </c>
      <c r="G37" t="s">
        <v>187</v>
      </c>
      <c r="H37" s="37" t="s">
        <v>188</v>
      </c>
      <c r="I37" s="37" t="s">
        <v>106</v>
      </c>
      <c r="J37" s="10"/>
      <c r="K37" s="37"/>
      <c r="M37">
        <v>2</v>
      </c>
      <c r="N37">
        <v>2</v>
      </c>
    </row>
    <row r="38" customFormat="1" spans="1:14">
      <c r="A38">
        <f t="shared" si="3"/>
        <v>101902</v>
      </c>
      <c r="B38">
        <v>19</v>
      </c>
      <c r="C38">
        <v>2</v>
      </c>
      <c r="D38">
        <v>2</v>
      </c>
      <c r="E38" t="s">
        <v>123</v>
      </c>
      <c r="F38" t="s">
        <v>189</v>
      </c>
      <c r="G38" t="s">
        <v>190</v>
      </c>
      <c r="H38" s="37">
        <v>10131</v>
      </c>
      <c r="I38" s="37" t="s">
        <v>191</v>
      </c>
      <c r="J38" s="10"/>
      <c r="K38" s="37"/>
      <c r="M38">
        <v>4</v>
      </c>
      <c r="N38">
        <f t="shared" si="4"/>
        <v>4</v>
      </c>
    </row>
    <row r="39" customFormat="1" spans="1:14">
      <c r="A39">
        <f t="shared" si="3"/>
        <v>102001</v>
      </c>
      <c r="B39">
        <v>20</v>
      </c>
      <c r="C39">
        <v>1</v>
      </c>
      <c r="D39">
        <v>1</v>
      </c>
      <c r="E39" t="s">
        <v>120</v>
      </c>
      <c r="F39" t="s">
        <v>192</v>
      </c>
      <c r="G39" t="s">
        <v>193</v>
      </c>
      <c r="H39" s="37">
        <v>10132</v>
      </c>
      <c r="I39" s="37" t="s">
        <v>119</v>
      </c>
      <c r="J39" s="10"/>
      <c r="K39" s="37"/>
      <c r="M39">
        <v>2</v>
      </c>
      <c r="N39">
        <f t="shared" si="4"/>
        <v>2</v>
      </c>
    </row>
    <row r="40" customFormat="1" spans="1:14">
      <c r="A40">
        <f t="shared" si="3"/>
        <v>102002</v>
      </c>
      <c r="B40">
        <v>20</v>
      </c>
      <c r="C40">
        <v>2</v>
      </c>
      <c r="D40">
        <v>2</v>
      </c>
      <c r="E40" t="s">
        <v>123</v>
      </c>
      <c r="F40" t="s">
        <v>194</v>
      </c>
      <c r="G40" t="s">
        <v>195</v>
      </c>
      <c r="H40" s="37">
        <v>10132</v>
      </c>
      <c r="I40" s="37" t="s">
        <v>101</v>
      </c>
      <c r="J40" s="10"/>
      <c r="K40" s="37"/>
      <c r="M40">
        <v>4</v>
      </c>
      <c r="N40">
        <f t="shared" si="4"/>
        <v>4</v>
      </c>
    </row>
    <row r="41" customFormat="1" spans="1:14">
      <c r="A41">
        <f t="shared" si="3"/>
        <v>102101</v>
      </c>
      <c r="B41">
        <v>21</v>
      </c>
      <c r="C41">
        <v>1</v>
      </c>
      <c r="D41">
        <v>1</v>
      </c>
      <c r="E41" t="s">
        <v>120</v>
      </c>
      <c r="F41" t="s">
        <v>196</v>
      </c>
      <c r="G41" s="36" t="s">
        <v>197</v>
      </c>
      <c r="H41" s="37">
        <v>10147</v>
      </c>
      <c r="I41" s="37" t="s">
        <v>134</v>
      </c>
      <c r="J41" s="10"/>
      <c r="K41" s="37"/>
      <c r="M41">
        <v>1</v>
      </c>
      <c r="N41">
        <v>1</v>
      </c>
    </row>
    <row r="42" customFormat="1" spans="1:14">
      <c r="A42">
        <f t="shared" ref="A42:A46" si="6">100000+B42*100+C42</f>
        <v>102102</v>
      </c>
      <c r="B42">
        <v>21</v>
      </c>
      <c r="C42">
        <v>2</v>
      </c>
      <c r="D42">
        <v>1</v>
      </c>
      <c r="E42" t="s">
        <v>123</v>
      </c>
      <c r="F42" t="s">
        <v>198</v>
      </c>
      <c r="G42" s="36" t="s">
        <v>199</v>
      </c>
      <c r="H42" s="37">
        <v>10147</v>
      </c>
      <c r="I42" s="37" t="s">
        <v>200</v>
      </c>
      <c r="J42" s="10"/>
      <c r="K42" s="37"/>
      <c r="M42">
        <v>3</v>
      </c>
      <c r="N42">
        <v>3</v>
      </c>
    </row>
    <row r="43" spans="1:14">
      <c r="A43">
        <f t="shared" si="6"/>
        <v>102103</v>
      </c>
      <c r="B43">
        <v>21</v>
      </c>
      <c r="C43">
        <v>3</v>
      </c>
      <c r="D43">
        <v>1</v>
      </c>
      <c r="E43" t="s">
        <v>126</v>
      </c>
      <c r="F43" t="s">
        <v>201</v>
      </c>
      <c r="G43" s="36" t="s">
        <v>202</v>
      </c>
      <c r="H43" s="37" t="s">
        <v>203</v>
      </c>
      <c r="I43" s="37" t="s">
        <v>204</v>
      </c>
      <c r="J43" s="10"/>
      <c r="K43" s="37"/>
      <c r="M43">
        <v>5</v>
      </c>
      <c r="N43">
        <v>5</v>
      </c>
    </row>
    <row r="44" customFormat="1" spans="1:14">
      <c r="A44">
        <f t="shared" si="6"/>
        <v>102201</v>
      </c>
      <c r="B44">
        <v>22</v>
      </c>
      <c r="C44">
        <v>1</v>
      </c>
      <c r="D44">
        <v>1</v>
      </c>
      <c r="E44" t="s">
        <v>120</v>
      </c>
      <c r="F44" t="s">
        <v>205</v>
      </c>
      <c r="G44" t="s">
        <v>206</v>
      </c>
      <c r="H44" s="37"/>
      <c r="I44" s="37"/>
      <c r="J44" s="10">
        <v>3140000050</v>
      </c>
      <c r="K44" s="37"/>
      <c r="M44">
        <v>1</v>
      </c>
      <c r="N44">
        <v>1</v>
      </c>
    </row>
    <row r="45" customFormat="1" spans="1:14">
      <c r="A45">
        <f t="shared" si="6"/>
        <v>102301</v>
      </c>
      <c r="B45">
        <v>23</v>
      </c>
      <c r="C45">
        <v>1</v>
      </c>
      <c r="D45">
        <f>M45</f>
        <v>1</v>
      </c>
      <c r="E45" t="s">
        <v>112</v>
      </c>
      <c r="F45" t="s">
        <v>207</v>
      </c>
      <c r="G45" t="s">
        <v>208</v>
      </c>
      <c r="H45" s="35">
        <v>10050</v>
      </c>
      <c r="I45" s="35" t="s">
        <v>115</v>
      </c>
      <c r="J45" s="5"/>
      <c r="K45" s="35"/>
      <c r="M45">
        <v>1</v>
      </c>
      <c r="N45">
        <f>M45</f>
        <v>1</v>
      </c>
    </row>
    <row r="46" customFormat="1" spans="1:14">
      <c r="A46">
        <f t="shared" si="6"/>
        <v>102302</v>
      </c>
      <c r="B46">
        <v>23</v>
      </c>
      <c r="C46">
        <v>2</v>
      </c>
      <c r="D46">
        <v>2</v>
      </c>
      <c r="E46" t="s">
        <v>116</v>
      </c>
      <c r="F46" t="s">
        <v>209</v>
      </c>
      <c r="G46" t="s">
        <v>210</v>
      </c>
      <c r="H46" s="35">
        <v>10050</v>
      </c>
      <c r="I46" s="35" t="s">
        <v>119</v>
      </c>
      <c r="J46" s="5"/>
      <c r="K46" s="35"/>
      <c r="M46">
        <v>4</v>
      </c>
      <c r="N46">
        <v>4</v>
      </c>
    </row>
  </sheetData>
  <conditionalFormatting sqref="A1:A2">
    <cfRule type="duplicateValues" dxfId="0" priority="19"/>
  </conditionalFormatting>
  <conditionalFormatting sqref="B1:B2">
    <cfRule type="duplicateValues" dxfId="0" priority="12"/>
  </conditionalFormatting>
  <conditionalFormatting sqref="C1:C2">
    <cfRule type="duplicateValues" dxfId="0" priority="5"/>
  </conditionalFormatting>
  <conditionalFormatting sqref="D1:D2">
    <cfRule type="duplicateValues" dxfId="0" priority="11"/>
  </conditionalFormatting>
  <conditionalFormatting sqref="E1:E2">
    <cfRule type="duplicateValues" dxfId="0" priority="18"/>
  </conditionalFormatting>
  <conditionalFormatting sqref="F1:F2">
    <cfRule type="duplicateValues" dxfId="0" priority="17"/>
  </conditionalFormatting>
  <conditionalFormatting sqref="G1:G2">
    <cfRule type="duplicateValues" dxfId="0" priority="16"/>
  </conditionalFormatting>
  <conditionalFormatting sqref="H1:H2">
    <cfRule type="duplicateValues" dxfId="0" priority="15"/>
  </conditionalFormatting>
  <conditionalFormatting sqref="I1:I2">
    <cfRule type="duplicateValues" dxfId="0" priority="4"/>
  </conditionalFormatting>
  <conditionalFormatting sqref="J1:J2">
    <cfRule type="duplicateValues" dxfId="0" priority="1"/>
  </conditionalFormatting>
  <conditionalFormatting sqref="K1:K2">
    <cfRule type="duplicateValues" dxfId="0" priority="2"/>
  </conditionalFormatting>
  <conditionalFormatting sqref="L1:L2">
    <cfRule type="duplicateValues" dxfId="0" priority="13"/>
  </conditionalFormatting>
  <conditionalFormatting sqref="M1:M2">
    <cfRule type="duplicateValues" dxfId="0" priority="7"/>
  </conditionalFormatting>
  <conditionalFormatting sqref="N1:N2">
    <cfRule type="duplicateValues" dxfId="0" priority="6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370"/>
  <sheetViews>
    <sheetView workbookViewId="0">
      <pane ySplit="3" topLeftCell="A305" activePane="bottomLeft" state="frozen"/>
      <selection/>
      <selection pane="bottomLeft" activeCell="C1" sqref="C$1:C$1048576"/>
    </sheetView>
  </sheetViews>
  <sheetFormatPr defaultColWidth="9" defaultRowHeight="13.5" outlineLevelCol="6"/>
  <cols>
    <col min="1" max="1" width="12.25" style="5" customWidth="1"/>
    <col min="2" max="2" width="11.375" style="34" customWidth="1"/>
    <col min="3" max="3" width="24" style="5" customWidth="1"/>
    <col min="4" max="4" width="8.125" style="5" customWidth="1"/>
    <col min="5" max="5" width="12.375" style="5" customWidth="1"/>
    <col min="6" max="6" width="18.25" customWidth="1"/>
    <col min="7" max="7" width="11.5" customWidth="1"/>
  </cols>
  <sheetData>
    <row r="1" spans="1:7">
      <c r="A1" s="6" t="s">
        <v>211</v>
      </c>
      <c r="B1" s="6" t="s">
        <v>2</v>
      </c>
      <c r="C1" s="6" t="s">
        <v>212</v>
      </c>
      <c r="D1" s="6" t="s">
        <v>213</v>
      </c>
      <c r="E1" s="6" t="s">
        <v>62</v>
      </c>
      <c r="F1" s="1" t="s">
        <v>81</v>
      </c>
      <c r="G1" s="1" t="s">
        <v>82</v>
      </c>
    </row>
    <row r="2" spans="1:7">
      <c r="A2" s="7" t="s">
        <v>12</v>
      </c>
      <c r="B2" s="7" t="s">
        <v>14</v>
      </c>
      <c r="C2" s="7" t="s">
        <v>83</v>
      </c>
      <c r="D2" s="7" t="s">
        <v>64</v>
      </c>
      <c r="E2" s="7" t="s">
        <v>13</v>
      </c>
      <c r="F2" s="2" t="s">
        <v>91</v>
      </c>
      <c r="G2" s="2" t="s">
        <v>92</v>
      </c>
    </row>
    <row r="3" spans="1:7">
      <c r="A3" s="8" t="s">
        <v>24</v>
      </c>
      <c r="B3" s="8" t="s">
        <v>26</v>
      </c>
      <c r="C3" s="8" t="s">
        <v>24</v>
      </c>
      <c r="D3" s="8" t="s">
        <v>24</v>
      </c>
      <c r="E3" s="8" t="s">
        <v>25</v>
      </c>
      <c r="F3" s="3" t="s">
        <v>24</v>
      </c>
      <c r="G3" s="3" t="s">
        <v>24</v>
      </c>
    </row>
    <row r="4" spans="1:7">
      <c r="A4" s="5">
        <f t="shared" ref="A4:A67" si="0">C4*100+D4</f>
        <v>10100101</v>
      </c>
      <c r="B4" s="34" t="str">
        <f>_xlfn.XLOOKUP(C4,SkillActive!$A:$A,SkillActive!C:C,,0)</f>
        <v>1|2|3|4|5|6|7</v>
      </c>
      <c r="C4" s="5">
        <v>101001</v>
      </c>
      <c r="D4" s="5">
        <v>1</v>
      </c>
      <c r="E4" s="5" t="str">
        <f>_xlfn.XLOOKUP(C4,SkillActive!A:A,SkillActive!B:B,,,)</f>
        <v>专注斩</v>
      </c>
      <c r="F4">
        <f t="shared" ref="F4:F67" si="1">D4</f>
        <v>1</v>
      </c>
      <c r="G4">
        <f>_xlfn.XLOOKUP(C4,SkillActive!$A:$A,SkillActive!E:E,,0)</f>
        <v>1</v>
      </c>
    </row>
    <row r="5" spans="1:7">
      <c r="A5" s="5">
        <f t="shared" si="0"/>
        <v>10100102</v>
      </c>
      <c r="B5" s="34" t="str">
        <f>_xlfn.XLOOKUP(C5,SkillActive!$A:$A,SkillActive!C:C,,0)</f>
        <v>1|2|3|4|5|6|7</v>
      </c>
      <c r="C5" s="5">
        <f t="shared" ref="C5:C19" si="2">C4</f>
        <v>101001</v>
      </c>
      <c r="D5" s="5">
        <v>2</v>
      </c>
      <c r="E5" s="5" t="str">
        <f>_xlfn.XLOOKUP(C5,SkillActive!A:A,SkillActive!B:B,,,)</f>
        <v>专注斩</v>
      </c>
      <c r="F5">
        <f t="shared" si="1"/>
        <v>2</v>
      </c>
      <c r="G5">
        <f>_xlfn.XLOOKUP(C5,SkillActive!$A:$A,SkillActive!E:E,,0)</f>
        <v>1</v>
      </c>
    </row>
    <row r="6" spans="1:7">
      <c r="A6" s="5">
        <f t="shared" si="0"/>
        <v>10100103</v>
      </c>
      <c r="B6" s="34" t="str">
        <f>_xlfn.XLOOKUP(C6,SkillActive!$A:$A,SkillActive!C:C,,0)</f>
        <v>1|2|3|4|5|6|7</v>
      </c>
      <c r="C6" s="5">
        <f t="shared" si="2"/>
        <v>101001</v>
      </c>
      <c r="D6" s="5">
        <v>3</v>
      </c>
      <c r="E6" s="5" t="str">
        <f>_xlfn.XLOOKUP(C6,SkillActive!A:A,SkillActive!B:B,,,)</f>
        <v>专注斩</v>
      </c>
      <c r="F6">
        <f t="shared" si="1"/>
        <v>3</v>
      </c>
      <c r="G6">
        <f>_xlfn.XLOOKUP(C6,SkillActive!$A:$A,SkillActive!E:E,,0)</f>
        <v>1</v>
      </c>
    </row>
    <row r="7" spans="1:7">
      <c r="A7" s="5">
        <f t="shared" si="0"/>
        <v>10100104</v>
      </c>
      <c r="B7" s="34" t="str">
        <f>_xlfn.XLOOKUP(C7,SkillActive!$A:$A,SkillActive!C:C,,0)</f>
        <v>1|2|3|4|5|6|7</v>
      </c>
      <c r="C7" s="5">
        <f t="shared" si="2"/>
        <v>101001</v>
      </c>
      <c r="D7" s="5">
        <v>4</v>
      </c>
      <c r="E7" s="5" t="str">
        <f>_xlfn.XLOOKUP(C7,SkillActive!A:A,SkillActive!B:B,,,)</f>
        <v>专注斩</v>
      </c>
      <c r="F7">
        <f t="shared" si="1"/>
        <v>4</v>
      </c>
      <c r="G7">
        <f>_xlfn.XLOOKUP(C7,SkillActive!$A:$A,SkillActive!E:E,,0)</f>
        <v>1</v>
      </c>
    </row>
    <row r="8" spans="1:7">
      <c r="A8" s="5">
        <f t="shared" si="0"/>
        <v>10100105</v>
      </c>
      <c r="B8" s="34" t="str">
        <f>_xlfn.XLOOKUP(C8,SkillActive!$A:$A,SkillActive!C:C,,0)</f>
        <v>1|2|3|4|5|6|7</v>
      </c>
      <c r="C8" s="5">
        <f t="shared" si="2"/>
        <v>101001</v>
      </c>
      <c r="D8" s="5">
        <v>5</v>
      </c>
      <c r="E8" s="5" t="str">
        <f>_xlfn.XLOOKUP(C8,SkillActive!A:A,SkillActive!B:B,,,)</f>
        <v>专注斩</v>
      </c>
      <c r="F8">
        <f t="shared" si="1"/>
        <v>5</v>
      </c>
      <c r="G8">
        <f>_xlfn.XLOOKUP(C8,SkillActive!$A:$A,SkillActive!E:E,,0)</f>
        <v>1</v>
      </c>
    </row>
    <row r="9" spans="1:7">
      <c r="A9" s="5">
        <f t="shared" si="0"/>
        <v>10100106</v>
      </c>
      <c r="B9" s="34" t="str">
        <f>_xlfn.XLOOKUP(C9,SkillActive!$A:$A,SkillActive!C:C,,0)</f>
        <v>1|2|3|4|5|6|7</v>
      </c>
      <c r="C9" s="5">
        <f t="shared" si="2"/>
        <v>101001</v>
      </c>
      <c r="D9" s="5">
        <v>6</v>
      </c>
      <c r="E9" s="5" t="str">
        <f>_xlfn.XLOOKUP(C9,SkillActive!A:A,SkillActive!B:B,,,)</f>
        <v>专注斩</v>
      </c>
      <c r="F9">
        <f t="shared" si="1"/>
        <v>6</v>
      </c>
      <c r="G9">
        <f>_xlfn.XLOOKUP(C9,SkillActive!$A:$A,SkillActive!E:E,,0)</f>
        <v>1</v>
      </c>
    </row>
    <row r="10" spans="1:7">
      <c r="A10" s="5">
        <f t="shared" si="0"/>
        <v>10100107</v>
      </c>
      <c r="B10" s="34" t="str">
        <f>_xlfn.XLOOKUP(C10,SkillActive!$A:$A,SkillActive!C:C,,0)</f>
        <v>1|2|3|4|5|6|7</v>
      </c>
      <c r="C10" s="5">
        <f t="shared" si="2"/>
        <v>101001</v>
      </c>
      <c r="D10" s="5">
        <v>7</v>
      </c>
      <c r="E10" s="5" t="str">
        <f>_xlfn.XLOOKUP(C10,SkillActive!A:A,SkillActive!B:B,,,)</f>
        <v>专注斩</v>
      </c>
      <c r="F10">
        <f t="shared" si="1"/>
        <v>7</v>
      </c>
      <c r="G10">
        <f>_xlfn.XLOOKUP(C10,SkillActive!$A:$A,SkillActive!E:E,,0)</f>
        <v>1</v>
      </c>
    </row>
    <row r="11" spans="1:7">
      <c r="A11" s="5">
        <f t="shared" si="0"/>
        <v>10100108</v>
      </c>
      <c r="B11" s="34" t="str">
        <f>_xlfn.XLOOKUP(C11,SkillActive!$A:$A,SkillActive!C:C,,0)</f>
        <v>1|2|3|4|5|6|7</v>
      </c>
      <c r="C11" s="5">
        <f t="shared" si="2"/>
        <v>101001</v>
      </c>
      <c r="D11" s="5">
        <v>8</v>
      </c>
      <c r="E11" s="5" t="str">
        <f>_xlfn.XLOOKUP(C11,SkillActive!A:A,SkillActive!B:B,,,)</f>
        <v>专注斩</v>
      </c>
      <c r="F11">
        <f t="shared" si="1"/>
        <v>8</v>
      </c>
      <c r="G11">
        <f>_xlfn.XLOOKUP(C11,SkillActive!$A:$A,SkillActive!E:E,,0)</f>
        <v>1</v>
      </c>
    </row>
    <row r="12" spans="1:7">
      <c r="A12" s="5">
        <f t="shared" si="0"/>
        <v>10100109</v>
      </c>
      <c r="B12" s="34" t="str">
        <f>_xlfn.XLOOKUP(C12,SkillActive!$A:$A,SkillActive!C:C,,0)</f>
        <v>1|2|3|4|5|6|7</v>
      </c>
      <c r="C12" s="5">
        <f t="shared" si="2"/>
        <v>101001</v>
      </c>
      <c r="D12" s="5">
        <v>9</v>
      </c>
      <c r="E12" s="5" t="str">
        <f>_xlfn.XLOOKUP(C12,SkillActive!A:A,SkillActive!B:B,,,)</f>
        <v>专注斩</v>
      </c>
      <c r="F12">
        <f t="shared" si="1"/>
        <v>9</v>
      </c>
      <c r="G12">
        <f>_xlfn.XLOOKUP(C12,SkillActive!$A:$A,SkillActive!E:E,,0)</f>
        <v>1</v>
      </c>
    </row>
    <row r="13" spans="1:7">
      <c r="A13" s="5">
        <f t="shared" si="0"/>
        <v>10100110</v>
      </c>
      <c r="B13" s="34" t="str">
        <f>_xlfn.XLOOKUP(C13,SkillActive!$A:$A,SkillActive!C:C,,0)</f>
        <v>1|2|3|4|5|6|7</v>
      </c>
      <c r="C13" s="5">
        <f t="shared" si="2"/>
        <v>101001</v>
      </c>
      <c r="D13" s="5">
        <v>10</v>
      </c>
      <c r="E13" s="5" t="str">
        <f>_xlfn.XLOOKUP(C13,SkillActive!A:A,SkillActive!B:B,,,)</f>
        <v>专注斩</v>
      </c>
      <c r="F13">
        <f t="shared" si="1"/>
        <v>10</v>
      </c>
      <c r="G13">
        <f>_xlfn.XLOOKUP(C13,SkillActive!$A:$A,SkillActive!E:E,,0)</f>
        <v>1</v>
      </c>
    </row>
    <row r="14" spans="1:7">
      <c r="A14" s="5">
        <f t="shared" si="0"/>
        <v>10100111</v>
      </c>
      <c r="B14" s="34" t="str">
        <f>_xlfn.XLOOKUP(C14,SkillActive!$A:$A,SkillActive!C:C,,0)</f>
        <v>1|2|3|4|5|6|7</v>
      </c>
      <c r="C14" s="5">
        <f t="shared" si="2"/>
        <v>101001</v>
      </c>
      <c r="D14" s="5">
        <v>11</v>
      </c>
      <c r="E14" s="5" t="str">
        <f>_xlfn.XLOOKUP(C14,SkillActive!A:A,SkillActive!B:B,,,)</f>
        <v>专注斩</v>
      </c>
      <c r="F14">
        <f t="shared" si="1"/>
        <v>11</v>
      </c>
      <c r="G14">
        <f>_xlfn.XLOOKUP(C14,SkillActive!$A:$A,SkillActive!E:E,,0)</f>
        <v>1</v>
      </c>
    </row>
    <row r="15" spans="1:7">
      <c r="A15" s="5">
        <f t="shared" si="0"/>
        <v>10100112</v>
      </c>
      <c r="B15" s="34" t="str">
        <f>_xlfn.XLOOKUP(C15,SkillActive!$A:$A,SkillActive!C:C,,0)</f>
        <v>1|2|3|4|5|6|7</v>
      </c>
      <c r="C15" s="5">
        <f t="shared" si="2"/>
        <v>101001</v>
      </c>
      <c r="D15" s="5">
        <v>12</v>
      </c>
      <c r="E15" s="5" t="str">
        <f>_xlfn.XLOOKUP(C15,SkillActive!A:A,SkillActive!B:B,,,)</f>
        <v>专注斩</v>
      </c>
      <c r="F15">
        <f t="shared" si="1"/>
        <v>12</v>
      </c>
      <c r="G15">
        <f>_xlfn.XLOOKUP(C15,SkillActive!$A:$A,SkillActive!E:E,,0)</f>
        <v>1</v>
      </c>
    </row>
    <row r="16" spans="1:7">
      <c r="A16" s="5">
        <f t="shared" si="0"/>
        <v>10100113</v>
      </c>
      <c r="B16" s="34" t="str">
        <f>_xlfn.XLOOKUP(C16,SkillActive!$A:$A,SkillActive!C:C,,0)</f>
        <v>1|2|3|4|5|6|7</v>
      </c>
      <c r="C16" s="5">
        <f t="shared" si="2"/>
        <v>101001</v>
      </c>
      <c r="D16" s="5">
        <v>13</v>
      </c>
      <c r="E16" s="5" t="str">
        <f>_xlfn.XLOOKUP(C16,SkillActive!A:A,SkillActive!B:B,,,)</f>
        <v>专注斩</v>
      </c>
      <c r="F16">
        <f t="shared" si="1"/>
        <v>13</v>
      </c>
      <c r="G16">
        <f>_xlfn.XLOOKUP(C16,SkillActive!$A:$A,SkillActive!E:E,,0)</f>
        <v>1</v>
      </c>
    </row>
    <row r="17" spans="1:7">
      <c r="A17" s="5">
        <f t="shared" si="0"/>
        <v>10100114</v>
      </c>
      <c r="B17" s="34" t="str">
        <f>_xlfn.XLOOKUP(C17,SkillActive!$A:$A,SkillActive!C:C,,0)</f>
        <v>1|2|3|4|5|6|7</v>
      </c>
      <c r="C17" s="5">
        <f t="shared" si="2"/>
        <v>101001</v>
      </c>
      <c r="D17" s="5">
        <v>14</v>
      </c>
      <c r="E17" s="5" t="str">
        <f>_xlfn.XLOOKUP(C17,SkillActive!A:A,SkillActive!B:B,,,)</f>
        <v>专注斩</v>
      </c>
      <c r="F17">
        <f t="shared" si="1"/>
        <v>14</v>
      </c>
      <c r="G17">
        <f>_xlfn.XLOOKUP(C17,SkillActive!$A:$A,SkillActive!E:E,,0)</f>
        <v>1</v>
      </c>
    </row>
    <row r="18" spans="1:7">
      <c r="A18" s="5">
        <f t="shared" si="0"/>
        <v>10100115</v>
      </c>
      <c r="B18" s="34" t="str">
        <f>_xlfn.XLOOKUP(C18,SkillActive!$A:$A,SkillActive!C:C,,0)</f>
        <v>1|2|3|4|5|6|7</v>
      </c>
      <c r="C18" s="5">
        <f t="shared" si="2"/>
        <v>101001</v>
      </c>
      <c r="D18" s="5">
        <v>15</v>
      </c>
      <c r="E18" s="5" t="str">
        <f>_xlfn.XLOOKUP(C18,SkillActive!A:A,SkillActive!B:B,,,)</f>
        <v>专注斩</v>
      </c>
      <c r="F18">
        <f t="shared" si="1"/>
        <v>15</v>
      </c>
      <c r="G18">
        <f>_xlfn.XLOOKUP(C18,SkillActive!$A:$A,SkillActive!E:E,,0)</f>
        <v>1</v>
      </c>
    </row>
    <row r="19" spans="1:7">
      <c r="A19" s="5">
        <f t="shared" si="0"/>
        <v>10100116</v>
      </c>
      <c r="B19" s="34" t="str">
        <f>_xlfn.XLOOKUP(C19,SkillActive!$A:$A,SkillActive!C:C,,0)</f>
        <v>1|2|3|4|5|6|7</v>
      </c>
      <c r="C19" s="5">
        <f t="shared" si="2"/>
        <v>101001</v>
      </c>
      <c r="D19" s="5">
        <v>16</v>
      </c>
      <c r="E19" s="5" t="str">
        <f>_xlfn.XLOOKUP(C19,SkillActive!A:A,SkillActive!B:B,,,)</f>
        <v>专注斩</v>
      </c>
      <c r="F19">
        <f t="shared" si="1"/>
        <v>16</v>
      </c>
      <c r="G19">
        <f>_xlfn.XLOOKUP(C19,SkillActive!$A:$A,SkillActive!E:E,,0)</f>
        <v>1</v>
      </c>
    </row>
    <row r="20" spans="1:7">
      <c r="A20" s="5">
        <f t="shared" si="0"/>
        <v>10100201</v>
      </c>
      <c r="B20" s="34" t="str">
        <f>_xlfn.XLOOKUP(C20,SkillActive!$A:$A,SkillActive!C:C,,0)</f>
        <v>1|2|3|4|5|6|7</v>
      </c>
      <c r="C20" s="5">
        <f t="shared" ref="C20:C67" si="3">C4+1</f>
        <v>101002</v>
      </c>
      <c r="D20" s="5">
        <f t="shared" ref="D20:D83" si="4">D4</f>
        <v>1</v>
      </c>
      <c r="E20" s="5" t="str">
        <f>_xlfn.XLOOKUP(C20,SkillActive!A:A,SkillActive!B:B,,,)</f>
        <v>旋风斩</v>
      </c>
      <c r="F20">
        <f t="shared" si="1"/>
        <v>1</v>
      </c>
      <c r="G20">
        <f>_xlfn.XLOOKUP(C20,SkillActive!$A:$A,SkillActive!E:E,,0)</f>
        <v>1</v>
      </c>
    </row>
    <row r="21" spans="1:7">
      <c r="A21" s="5">
        <f t="shared" si="0"/>
        <v>10100202</v>
      </c>
      <c r="B21" s="34" t="str">
        <f>_xlfn.XLOOKUP(C21,SkillActive!$A:$A,SkillActive!C:C,,0)</f>
        <v>1|2|3|4|5|6|7</v>
      </c>
      <c r="C21" s="5">
        <f t="shared" si="3"/>
        <v>101002</v>
      </c>
      <c r="D21" s="5">
        <f t="shared" si="4"/>
        <v>2</v>
      </c>
      <c r="E21" s="5" t="str">
        <f>_xlfn.XLOOKUP(C21,SkillActive!A:A,SkillActive!B:B,,,)</f>
        <v>旋风斩</v>
      </c>
      <c r="F21">
        <f t="shared" si="1"/>
        <v>2</v>
      </c>
      <c r="G21">
        <f>_xlfn.XLOOKUP(C21,SkillActive!$A:$A,SkillActive!E:E,,0)</f>
        <v>1</v>
      </c>
    </row>
    <row r="22" spans="1:7">
      <c r="A22" s="5">
        <f t="shared" si="0"/>
        <v>10100203</v>
      </c>
      <c r="B22" s="34" t="str">
        <f>_xlfn.XLOOKUP(C22,SkillActive!$A:$A,SkillActive!C:C,,0)</f>
        <v>1|2|3|4|5|6|7</v>
      </c>
      <c r="C22" s="5">
        <f t="shared" si="3"/>
        <v>101002</v>
      </c>
      <c r="D22" s="5">
        <f t="shared" si="4"/>
        <v>3</v>
      </c>
      <c r="E22" s="5" t="str">
        <f>_xlfn.XLOOKUP(C22,SkillActive!A:A,SkillActive!B:B,,,)</f>
        <v>旋风斩</v>
      </c>
      <c r="F22">
        <f t="shared" si="1"/>
        <v>3</v>
      </c>
      <c r="G22">
        <f>_xlfn.XLOOKUP(C22,SkillActive!$A:$A,SkillActive!E:E,,0)</f>
        <v>1</v>
      </c>
    </row>
    <row r="23" spans="1:7">
      <c r="A23" s="5">
        <f t="shared" si="0"/>
        <v>10100204</v>
      </c>
      <c r="B23" s="34" t="str">
        <f>_xlfn.XLOOKUP(C23,SkillActive!$A:$A,SkillActive!C:C,,0)</f>
        <v>1|2|3|4|5|6|7</v>
      </c>
      <c r="C23" s="5">
        <f t="shared" si="3"/>
        <v>101002</v>
      </c>
      <c r="D23" s="5">
        <f t="shared" si="4"/>
        <v>4</v>
      </c>
      <c r="E23" s="5" t="str">
        <f>_xlfn.XLOOKUP(C23,SkillActive!A:A,SkillActive!B:B,,,)</f>
        <v>旋风斩</v>
      </c>
      <c r="F23">
        <f t="shared" si="1"/>
        <v>4</v>
      </c>
      <c r="G23">
        <f>_xlfn.XLOOKUP(C23,SkillActive!$A:$A,SkillActive!E:E,,0)</f>
        <v>1</v>
      </c>
    </row>
    <row r="24" spans="1:7">
      <c r="A24" s="5">
        <f t="shared" si="0"/>
        <v>10100205</v>
      </c>
      <c r="B24" s="34" t="str">
        <f>_xlfn.XLOOKUP(C24,SkillActive!$A:$A,SkillActive!C:C,,0)</f>
        <v>1|2|3|4|5|6|7</v>
      </c>
      <c r="C24" s="5">
        <f t="shared" si="3"/>
        <v>101002</v>
      </c>
      <c r="D24" s="5">
        <f t="shared" si="4"/>
        <v>5</v>
      </c>
      <c r="E24" s="5" t="str">
        <f>_xlfn.XLOOKUP(C24,SkillActive!A:A,SkillActive!B:B,,,)</f>
        <v>旋风斩</v>
      </c>
      <c r="F24">
        <f t="shared" si="1"/>
        <v>5</v>
      </c>
      <c r="G24">
        <f>_xlfn.XLOOKUP(C24,SkillActive!$A:$A,SkillActive!E:E,,0)</f>
        <v>1</v>
      </c>
    </row>
    <row r="25" spans="1:7">
      <c r="A25" s="5">
        <f t="shared" si="0"/>
        <v>10100206</v>
      </c>
      <c r="B25" s="34" t="str">
        <f>_xlfn.XLOOKUP(C25,SkillActive!$A:$A,SkillActive!C:C,,0)</f>
        <v>1|2|3|4|5|6|7</v>
      </c>
      <c r="C25" s="5">
        <f t="shared" si="3"/>
        <v>101002</v>
      </c>
      <c r="D25" s="5">
        <f t="shared" si="4"/>
        <v>6</v>
      </c>
      <c r="E25" s="5" t="str">
        <f>_xlfn.XLOOKUP(C25,SkillActive!A:A,SkillActive!B:B,,,)</f>
        <v>旋风斩</v>
      </c>
      <c r="F25">
        <f t="shared" si="1"/>
        <v>6</v>
      </c>
      <c r="G25">
        <f>_xlfn.XLOOKUP(C25,SkillActive!$A:$A,SkillActive!E:E,,0)</f>
        <v>1</v>
      </c>
    </row>
    <row r="26" spans="1:7">
      <c r="A26" s="5">
        <f t="shared" si="0"/>
        <v>10100207</v>
      </c>
      <c r="B26" s="34" t="str">
        <f>_xlfn.XLOOKUP(C26,SkillActive!$A:$A,SkillActive!C:C,,0)</f>
        <v>1|2|3|4|5|6|7</v>
      </c>
      <c r="C26" s="5">
        <f t="shared" si="3"/>
        <v>101002</v>
      </c>
      <c r="D26" s="5">
        <f t="shared" si="4"/>
        <v>7</v>
      </c>
      <c r="E26" s="5" t="str">
        <f>_xlfn.XLOOKUP(C26,SkillActive!A:A,SkillActive!B:B,,,)</f>
        <v>旋风斩</v>
      </c>
      <c r="F26">
        <f t="shared" si="1"/>
        <v>7</v>
      </c>
      <c r="G26">
        <f>_xlfn.XLOOKUP(C26,SkillActive!$A:$A,SkillActive!E:E,,0)</f>
        <v>1</v>
      </c>
    </row>
    <row r="27" spans="1:7">
      <c r="A27" s="5">
        <f t="shared" si="0"/>
        <v>10100208</v>
      </c>
      <c r="B27" s="34" t="str">
        <f>_xlfn.XLOOKUP(C27,SkillActive!$A:$A,SkillActive!C:C,,0)</f>
        <v>1|2|3|4|5|6|7</v>
      </c>
      <c r="C27" s="5">
        <f t="shared" si="3"/>
        <v>101002</v>
      </c>
      <c r="D27" s="5">
        <f t="shared" si="4"/>
        <v>8</v>
      </c>
      <c r="E27" s="5" t="str">
        <f>_xlfn.XLOOKUP(C27,SkillActive!A:A,SkillActive!B:B,,,)</f>
        <v>旋风斩</v>
      </c>
      <c r="F27">
        <f t="shared" si="1"/>
        <v>8</v>
      </c>
      <c r="G27">
        <f>_xlfn.XLOOKUP(C27,SkillActive!$A:$A,SkillActive!E:E,,0)</f>
        <v>1</v>
      </c>
    </row>
    <row r="28" spans="1:7">
      <c r="A28" s="5">
        <f t="shared" si="0"/>
        <v>10100209</v>
      </c>
      <c r="B28" s="34" t="str">
        <f>_xlfn.XLOOKUP(C28,SkillActive!$A:$A,SkillActive!C:C,,0)</f>
        <v>1|2|3|4|5|6|7</v>
      </c>
      <c r="C28" s="5">
        <f t="shared" si="3"/>
        <v>101002</v>
      </c>
      <c r="D28" s="5">
        <f t="shared" si="4"/>
        <v>9</v>
      </c>
      <c r="E28" s="5" t="str">
        <f>_xlfn.XLOOKUP(C28,SkillActive!A:A,SkillActive!B:B,,,)</f>
        <v>旋风斩</v>
      </c>
      <c r="F28">
        <f t="shared" si="1"/>
        <v>9</v>
      </c>
      <c r="G28">
        <f>_xlfn.XLOOKUP(C28,SkillActive!$A:$A,SkillActive!E:E,,0)</f>
        <v>1</v>
      </c>
    </row>
    <row r="29" spans="1:7">
      <c r="A29" s="5">
        <f t="shared" si="0"/>
        <v>10100210</v>
      </c>
      <c r="B29" s="34" t="str">
        <f>_xlfn.XLOOKUP(C29,SkillActive!$A:$A,SkillActive!C:C,,0)</f>
        <v>1|2|3|4|5|6|7</v>
      </c>
      <c r="C29" s="5">
        <f t="shared" si="3"/>
        <v>101002</v>
      </c>
      <c r="D29" s="5">
        <f t="shared" si="4"/>
        <v>10</v>
      </c>
      <c r="E29" s="5" t="str">
        <f>_xlfn.XLOOKUP(C29,SkillActive!A:A,SkillActive!B:B,,,)</f>
        <v>旋风斩</v>
      </c>
      <c r="F29">
        <f t="shared" si="1"/>
        <v>10</v>
      </c>
      <c r="G29">
        <f>_xlfn.XLOOKUP(C29,SkillActive!$A:$A,SkillActive!E:E,,0)</f>
        <v>1</v>
      </c>
    </row>
    <row r="30" spans="1:7">
      <c r="A30" s="5">
        <f t="shared" si="0"/>
        <v>10100211</v>
      </c>
      <c r="B30" s="34" t="str">
        <f>_xlfn.XLOOKUP(C30,SkillActive!$A:$A,SkillActive!C:C,,0)</f>
        <v>1|2|3|4|5|6|7</v>
      </c>
      <c r="C30" s="5">
        <f t="shared" si="3"/>
        <v>101002</v>
      </c>
      <c r="D30" s="5">
        <f t="shared" si="4"/>
        <v>11</v>
      </c>
      <c r="E30" s="5" t="str">
        <f>_xlfn.XLOOKUP(C30,SkillActive!A:A,SkillActive!B:B,,,)</f>
        <v>旋风斩</v>
      </c>
      <c r="F30">
        <f t="shared" si="1"/>
        <v>11</v>
      </c>
      <c r="G30">
        <f>_xlfn.XLOOKUP(C30,SkillActive!$A:$A,SkillActive!E:E,,0)</f>
        <v>1</v>
      </c>
    </row>
    <row r="31" spans="1:7">
      <c r="A31" s="5">
        <f t="shared" si="0"/>
        <v>10100212</v>
      </c>
      <c r="B31" s="34" t="str">
        <f>_xlfn.XLOOKUP(C31,SkillActive!$A:$A,SkillActive!C:C,,0)</f>
        <v>1|2|3|4|5|6|7</v>
      </c>
      <c r="C31" s="5">
        <f t="shared" si="3"/>
        <v>101002</v>
      </c>
      <c r="D31" s="5">
        <f t="shared" si="4"/>
        <v>12</v>
      </c>
      <c r="E31" s="5" t="str">
        <f>_xlfn.XLOOKUP(C31,SkillActive!A:A,SkillActive!B:B,,,)</f>
        <v>旋风斩</v>
      </c>
      <c r="F31">
        <f t="shared" si="1"/>
        <v>12</v>
      </c>
      <c r="G31">
        <f>_xlfn.XLOOKUP(C31,SkillActive!$A:$A,SkillActive!E:E,,0)</f>
        <v>1</v>
      </c>
    </row>
    <row r="32" spans="1:7">
      <c r="A32" s="5">
        <f t="shared" si="0"/>
        <v>10100213</v>
      </c>
      <c r="B32" s="34" t="str">
        <f>_xlfn.XLOOKUP(C32,SkillActive!$A:$A,SkillActive!C:C,,0)</f>
        <v>1|2|3|4|5|6|7</v>
      </c>
      <c r="C32" s="5">
        <f t="shared" si="3"/>
        <v>101002</v>
      </c>
      <c r="D32" s="5">
        <f t="shared" si="4"/>
        <v>13</v>
      </c>
      <c r="E32" s="5" t="str">
        <f>_xlfn.XLOOKUP(C32,SkillActive!A:A,SkillActive!B:B,,,)</f>
        <v>旋风斩</v>
      </c>
      <c r="F32">
        <f t="shared" si="1"/>
        <v>13</v>
      </c>
      <c r="G32">
        <f>_xlfn.XLOOKUP(C32,SkillActive!$A:$A,SkillActive!E:E,,0)</f>
        <v>1</v>
      </c>
    </row>
    <row r="33" spans="1:7">
      <c r="A33" s="5">
        <f t="shared" si="0"/>
        <v>10100214</v>
      </c>
      <c r="B33" s="34" t="str">
        <f>_xlfn.XLOOKUP(C33,SkillActive!$A:$A,SkillActive!C:C,,0)</f>
        <v>1|2|3|4|5|6|7</v>
      </c>
      <c r="C33" s="5">
        <f t="shared" si="3"/>
        <v>101002</v>
      </c>
      <c r="D33" s="5">
        <f t="shared" si="4"/>
        <v>14</v>
      </c>
      <c r="E33" s="5" t="str">
        <f>_xlfn.XLOOKUP(C33,SkillActive!A:A,SkillActive!B:B,,,)</f>
        <v>旋风斩</v>
      </c>
      <c r="F33">
        <f t="shared" si="1"/>
        <v>14</v>
      </c>
      <c r="G33">
        <f>_xlfn.XLOOKUP(C33,SkillActive!$A:$A,SkillActive!E:E,,0)</f>
        <v>1</v>
      </c>
    </row>
    <row r="34" spans="1:7">
      <c r="A34" s="5">
        <f t="shared" si="0"/>
        <v>10100215</v>
      </c>
      <c r="B34" s="34" t="str">
        <f>_xlfn.XLOOKUP(C34,SkillActive!$A:$A,SkillActive!C:C,,0)</f>
        <v>1|2|3|4|5|6|7</v>
      </c>
      <c r="C34" s="5">
        <f t="shared" si="3"/>
        <v>101002</v>
      </c>
      <c r="D34" s="5">
        <f t="shared" si="4"/>
        <v>15</v>
      </c>
      <c r="E34" s="5" t="str">
        <f>_xlfn.XLOOKUP(C34,SkillActive!A:A,SkillActive!B:B,,,)</f>
        <v>旋风斩</v>
      </c>
      <c r="F34">
        <f t="shared" si="1"/>
        <v>15</v>
      </c>
      <c r="G34">
        <f>_xlfn.XLOOKUP(C34,SkillActive!$A:$A,SkillActive!E:E,,0)</f>
        <v>1</v>
      </c>
    </row>
    <row r="35" spans="1:7">
      <c r="A35" s="5">
        <f t="shared" si="0"/>
        <v>10100216</v>
      </c>
      <c r="B35" s="34" t="str">
        <f>_xlfn.XLOOKUP(C35,SkillActive!$A:$A,SkillActive!C:C,,0)</f>
        <v>1|2|3|4|5|6|7</v>
      </c>
      <c r="C35" s="5">
        <f t="shared" si="3"/>
        <v>101002</v>
      </c>
      <c r="D35" s="5">
        <f t="shared" si="4"/>
        <v>16</v>
      </c>
      <c r="E35" s="5" t="str">
        <f>_xlfn.XLOOKUP(C35,SkillActive!A:A,SkillActive!B:B,,,)</f>
        <v>旋风斩</v>
      </c>
      <c r="F35">
        <f t="shared" si="1"/>
        <v>16</v>
      </c>
      <c r="G35">
        <f>_xlfn.XLOOKUP(C35,SkillActive!$A:$A,SkillActive!E:E,,0)</f>
        <v>1</v>
      </c>
    </row>
    <row r="36" spans="1:7">
      <c r="A36" s="5">
        <f t="shared" si="0"/>
        <v>10100301</v>
      </c>
      <c r="B36" s="34" t="str">
        <f>_xlfn.XLOOKUP(C36,SkillActive!$A:$A,SkillActive!C:C,,0)</f>
        <v>1|2|3|4|5|6|7</v>
      </c>
      <c r="C36" s="5">
        <f t="shared" si="3"/>
        <v>101003</v>
      </c>
      <c r="D36" s="5">
        <f t="shared" si="4"/>
        <v>1</v>
      </c>
      <c r="E36" s="5" t="str">
        <f>_xlfn.XLOOKUP(C36,SkillActive!A:A,SkillActive!B:B,,,)</f>
        <v>月光斩</v>
      </c>
      <c r="F36">
        <f t="shared" si="1"/>
        <v>1</v>
      </c>
      <c r="G36">
        <f>_xlfn.XLOOKUP(C36,SkillActive!$A:$A,SkillActive!E:E,,0)</f>
        <v>1</v>
      </c>
    </row>
    <row r="37" spans="1:7">
      <c r="A37" s="5">
        <f t="shared" si="0"/>
        <v>10100302</v>
      </c>
      <c r="B37" s="34" t="str">
        <f>_xlfn.XLOOKUP(C37,SkillActive!$A:$A,SkillActive!C:C,,0)</f>
        <v>1|2|3|4|5|6|7</v>
      </c>
      <c r="C37" s="5">
        <f t="shared" si="3"/>
        <v>101003</v>
      </c>
      <c r="D37" s="5">
        <f t="shared" si="4"/>
        <v>2</v>
      </c>
      <c r="E37" s="5" t="str">
        <f>_xlfn.XLOOKUP(C37,SkillActive!A:A,SkillActive!B:B,,,)</f>
        <v>月光斩</v>
      </c>
      <c r="F37">
        <f t="shared" si="1"/>
        <v>2</v>
      </c>
      <c r="G37">
        <f>_xlfn.XLOOKUP(C37,SkillActive!$A:$A,SkillActive!E:E,,0)</f>
        <v>1</v>
      </c>
    </row>
    <row r="38" spans="1:7">
      <c r="A38" s="5">
        <f t="shared" si="0"/>
        <v>10100303</v>
      </c>
      <c r="B38" s="34" t="str">
        <f>_xlfn.XLOOKUP(C38,SkillActive!$A:$A,SkillActive!C:C,,0)</f>
        <v>1|2|3|4|5|6|7</v>
      </c>
      <c r="C38" s="5">
        <f t="shared" si="3"/>
        <v>101003</v>
      </c>
      <c r="D38" s="5">
        <f t="shared" si="4"/>
        <v>3</v>
      </c>
      <c r="E38" s="5" t="str">
        <f>_xlfn.XLOOKUP(C38,SkillActive!A:A,SkillActive!B:B,,,)</f>
        <v>月光斩</v>
      </c>
      <c r="F38">
        <f t="shared" si="1"/>
        <v>3</v>
      </c>
      <c r="G38">
        <f>_xlfn.XLOOKUP(C38,SkillActive!$A:$A,SkillActive!E:E,,0)</f>
        <v>1</v>
      </c>
    </row>
    <row r="39" spans="1:7">
      <c r="A39" s="5">
        <f t="shared" si="0"/>
        <v>10100304</v>
      </c>
      <c r="B39" s="34" t="str">
        <f>_xlfn.XLOOKUP(C39,SkillActive!$A:$A,SkillActive!C:C,,0)</f>
        <v>1|2|3|4|5|6|7</v>
      </c>
      <c r="C39" s="5">
        <f t="shared" si="3"/>
        <v>101003</v>
      </c>
      <c r="D39" s="5">
        <f t="shared" si="4"/>
        <v>4</v>
      </c>
      <c r="E39" s="5" t="str">
        <f>_xlfn.XLOOKUP(C39,SkillActive!A:A,SkillActive!B:B,,,)</f>
        <v>月光斩</v>
      </c>
      <c r="F39">
        <f t="shared" si="1"/>
        <v>4</v>
      </c>
      <c r="G39">
        <f>_xlfn.XLOOKUP(C39,SkillActive!$A:$A,SkillActive!E:E,,0)</f>
        <v>1</v>
      </c>
    </row>
    <row r="40" spans="1:7">
      <c r="A40" s="5">
        <f t="shared" si="0"/>
        <v>10100305</v>
      </c>
      <c r="B40" s="34" t="str">
        <f>_xlfn.XLOOKUP(C40,SkillActive!$A:$A,SkillActive!C:C,,0)</f>
        <v>1|2|3|4|5|6|7</v>
      </c>
      <c r="C40" s="5">
        <f t="shared" si="3"/>
        <v>101003</v>
      </c>
      <c r="D40" s="5">
        <f t="shared" si="4"/>
        <v>5</v>
      </c>
      <c r="E40" s="5" t="str">
        <f>_xlfn.XLOOKUP(C40,SkillActive!A:A,SkillActive!B:B,,,)</f>
        <v>月光斩</v>
      </c>
      <c r="F40">
        <f t="shared" si="1"/>
        <v>5</v>
      </c>
      <c r="G40">
        <f>_xlfn.XLOOKUP(C40,SkillActive!$A:$A,SkillActive!E:E,,0)</f>
        <v>1</v>
      </c>
    </row>
    <row r="41" spans="1:7">
      <c r="A41" s="5">
        <f t="shared" si="0"/>
        <v>10100306</v>
      </c>
      <c r="B41" s="34" t="str">
        <f>_xlfn.XLOOKUP(C41,SkillActive!$A:$A,SkillActive!C:C,,0)</f>
        <v>1|2|3|4|5|6|7</v>
      </c>
      <c r="C41" s="5">
        <f t="shared" si="3"/>
        <v>101003</v>
      </c>
      <c r="D41" s="5">
        <f t="shared" si="4"/>
        <v>6</v>
      </c>
      <c r="E41" s="5" t="str">
        <f>_xlfn.XLOOKUP(C41,SkillActive!A:A,SkillActive!B:B,,,)</f>
        <v>月光斩</v>
      </c>
      <c r="F41">
        <f t="shared" si="1"/>
        <v>6</v>
      </c>
      <c r="G41">
        <f>_xlfn.XLOOKUP(C41,SkillActive!$A:$A,SkillActive!E:E,,0)</f>
        <v>1</v>
      </c>
    </row>
    <row r="42" spans="1:7">
      <c r="A42" s="5">
        <f t="shared" si="0"/>
        <v>10100307</v>
      </c>
      <c r="B42" s="34" t="str">
        <f>_xlfn.XLOOKUP(C42,SkillActive!$A:$A,SkillActive!C:C,,0)</f>
        <v>1|2|3|4|5|6|7</v>
      </c>
      <c r="C42" s="5">
        <f t="shared" si="3"/>
        <v>101003</v>
      </c>
      <c r="D42" s="5">
        <f t="shared" si="4"/>
        <v>7</v>
      </c>
      <c r="E42" s="5" t="str">
        <f>_xlfn.XLOOKUP(C42,SkillActive!A:A,SkillActive!B:B,,,)</f>
        <v>月光斩</v>
      </c>
      <c r="F42">
        <f t="shared" si="1"/>
        <v>7</v>
      </c>
      <c r="G42">
        <f>_xlfn.XLOOKUP(C42,SkillActive!$A:$A,SkillActive!E:E,,0)</f>
        <v>1</v>
      </c>
    </row>
    <row r="43" spans="1:7">
      <c r="A43" s="5">
        <f t="shared" si="0"/>
        <v>10100308</v>
      </c>
      <c r="B43" s="34" t="str">
        <f>_xlfn.XLOOKUP(C43,SkillActive!$A:$A,SkillActive!C:C,,0)</f>
        <v>1|2|3|4|5|6|7</v>
      </c>
      <c r="C43" s="5">
        <f t="shared" si="3"/>
        <v>101003</v>
      </c>
      <c r="D43" s="5">
        <f t="shared" si="4"/>
        <v>8</v>
      </c>
      <c r="E43" s="5" t="str">
        <f>_xlfn.XLOOKUP(C43,SkillActive!A:A,SkillActive!B:B,,,)</f>
        <v>月光斩</v>
      </c>
      <c r="F43">
        <f t="shared" si="1"/>
        <v>8</v>
      </c>
      <c r="G43">
        <f>_xlfn.XLOOKUP(C43,SkillActive!$A:$A,SkillActive!E:E,,0)</f>
        <v>1</v>
      </c>
    </row>
    <row r="44" spans="1:7">
      <c r="A44" s="5">
        <f t="shared" si="0"/>
        <v>10100309</v>
      </c>
      <c r="B44" s="34" t="str">
        <f>_xlfn.XLOOKUP(C44,SkillActive!$A:$A,SkillActive!C:C,,0)</f>
        <v>1|2|3|4|5|6|7</v>
      </c>
      <c r="C44" s="5">
        <f t="shared" si="3"/>
        <v>101003</v>
      </c>
      <c r="D44" s="5">
        <f t="shared" si="4"/>
        <v>9</v>
      </c>
      <c r="E44" s="5" t="str">
        <f>_xlfn.XLOOKUP(C44,SkillActive!A:A,SkillActive!B:B,,,)</f>
        <v>月光斩</v>
      </c>
      <c r="F44">
        <f t="shared" si="1"/>
        <v>9</v>
      </c>
      <c r="G44">
        <f>_xlfn.XLOOKUP(C44,SkillActive!$A:$A,SkillActive!E:E,,0)</f>
        <v>1</v>
      </c>
    </row>
    <row r="45" spans="1:7">
      <c r="A45" s="5">
        <f t="shared" si="0"/>
        <v>10100310</v>
      </c>
      <c r="B45" s="34" t="str">
        <f>_xlfn.XLOOKUP(C45,SkillActive!$A:$A,SkillActive!C:C,,0)</f>
        <v>1|2|3|4|5|6|7</v>
      </c>
      <c r="C45" s="5">
        <f t="shared" si="3"/>
        <v>101003</v>
      </c>
      <c r="D45" s="5">
        <f t="shared" si="4"/>
        <v>10</v>
      </c>
      <c r="E45" s="5" t="str">
        <f>_xlfn.XLOOKUP(C45,SkillActive!A:A,SkillActive!B:B,,,)</f>
        <v>月光斩</v>
      </c>
      <c r="F45">
        <f t="shared" si="1"/>
        <v>10</v>
      </c>
      <c r="G45">
        <f>_xlfn.XLOOKUP(C45,SkillActive!$A:$A,SkillActive!E:E,,0)</f>
        <v>1</v>
      </c>
    </row>
    <row r="46" spans="1:7">
      <c r="A46" s="5">
        <f t="shared" si="0"/>
        <v>10100311</v>
      </c>
      <c r="B46" s="34" t="str">
        <f>_xlfn.XLOOKUP(C46,SkillActive!$A:$A,SkillActive!C:C,,0)</f>
        <v>1|2|3|4|5|6|7</v>
      </c>
      <c r="C46" s="5">
        <f t="shared" si="3"/>
        <v>101003</v>
      </c>
      <c r="D46" s="5">
        <f t="shared" si="4"/>
        <v>11</v>
      </c>
      <c r="E46" s="5" t="str">
        <f>_xlfn.XLOOKUP(C46,SkillActive!A:A,SkillActive!B:B,,,)</f>
        <v>月光斩</v>
      </c>
      <c r="F46">
        <f t="shared" si="1"/>
        <v>11</v>
      </c>
      <c r="G46">
        <f>_xlfn.XLOOKUP(C46,SkillActive!$A:$A,SkillActive!E:E,,0)</f>
        <v>1</v>
      </c>
    </row>
    <row r="47" spans="1:7">
      <c r="A47" s="5">
        <f t="shared" si="0"/>
        <v>10100312</v>
      </c>
      <c r="B47" s="34" t="str">
        <f>_xlfn.XLOOKUP(C47,SkillActive!$A:$A,SkillActive!C:C,,0)</f>
        <v>1|2|3|4|5|6|7</v>
      </c>
      <c r="C47" s="5">
        <f t="shared" si="3"/>
        <v>101003</v>
      </c>
      <c r="D47" s="5">
        <f t="shared" si="4"/>
        <v>12</v>
      </c>
      <c r="E47" s="5" t="str">
        <f>_xlfn.XLOOKUP(C47,SkillActive!A:A,SkillActive!B:B,,,)</f>
        <v>月光斩</v>
      </c>
      <c r="F47">
        <f t="shared" si="1"/>
        <v>12</v>
      </c>
      <c r="G47">
        <f>_xlfn.XLOOKUP(C47,SkillActive!$A:$A,SkillActive!E:E,,0)</f>
        <v>1</v>
      </c>
    </row>
    <row r="48" spans="1:7">
      <c r="A48" s="5">
        <f t="shared" si="0"/>
        <v>10100313</v>
      </c>
      <c r="B48" s="34" t="str">
        <f>_xlfn.XLOOKUP(C48,SkillActive!$A:$A,SkillActive!C:C,,0)</f>
        <v>1|2|3|4|5|6|7</v>
      </c>
      <c r="C48" s="5">
        <f t="shared" si="3"/>
        <v>101003</v>
      </c>
      <c r="D48" s="5">
        <f t="shared" si="4"/>
        <v>13</v>
      </c>
      <c r="E48" s="5" t="str">
        <f>_xlfn.XLOOKUP(C48,SkillActive!A:A,SkillActive!B:B,,,)</f>
        <v>月光斩</v>
      </c>
      <c r="F48">
        <f t="shared" si="1"/>
        <v>13</v>
      </c>
      <c r="G48">
        <f>_xlfn.XLOOKUP(C48,SkillActive!$A:$A,SkillActive!E:E,,0)</f>
        <v>1</v>
      </c>
    </row>
    <row r="49" spans="1:7">
      <c r="A49" s="5">
        <f t="shared" si="0"/>
        <v>10100314</v>
      </c>
      <c r="B49" s="34" t="str">
        <f>_xlfn.XLOOKUP(C49,SkillActive!$A:$A,SkillActive!C:C,,0)</f>
        <v>1|2|3|4|5|6|7</v>
      </c>
      <c r="C49" s="5">
        <f t="shared" si="3"/>
        <v>101003</v>
      </c>
      <c r="D49" s="5">
        <f t="shared" si="4"/>
        <v>14</v>
      </c>
      <c r="E49" s="5" t="str">
        <f>_xlfn.XLOOKUP(C49,SkillActive!A:A,SkillActive!B:B,,,)</f>
        <v>月光斩</v>
      </c>
      <c r="F49">
        <f t="shared" si="1"/>
        <v>14</v>
      </c>
      <c r="G49">
        <f>_xlfn.XLOOKUP(C49,SkillActive!$A:$A,SkillActive!E:E,,0)</f>
        <v>1</v>
      </c>
    </row>
    <row r="50" spans="1:7">
      <c r="A50" s="5">
        <f t="shared" si="0"/>
        <v>10100315</v>
      </c>
      <c r="B50" s="34" t="str">
        <f>_xlfn.XLOOKUP(C50,SkillActive!$A:$A,SkillActive!C:C,,0)</f>
        <v>1|2|3|4|5|6|7</v>
      </c>
      <c r="C50" s="5">
        <f t="shared" si="3"/>
        <v>101003</v>
      </c>
      <c r="D50" s="5">
        <f t="shared" si="4"/>
        <v>15</v>
      </c>
      <c r="E50" s="5" t="str">
        <f>_xlfn.XLOOKUP(C50,SkillActive!A:A,SkillActive!B:B,,,)</f>
        <v>月光斩</v>
      </c>
      <c r="F50">
        <f t="shared" si="1"/>
        <v>15</v>
      </c>
      <c r="G50">
        <f>_xlfn.XLOOKUP(C50,SkillActive!$A:$A,SkillActive!E:E,,0)</f>
        <v>1</v>
      </c>
    </row>
    <row r="51" spans="1:7">
      <c r="A51" s="5">
        <f t="shared" si="0"/>
        <v>10100316</v>
      </c>
      <c r="B51" s="34" t="str">
        <f>_xlfn.XLOOKUP(C51,SkillActive!$A:$A,SkillActive!C:C,,0)</f>
        <v>1|2|3|4|5|6|7</v>
      </c>
      <c r="C51" s="5">
        <f t="shared" si="3"/>
        <v>101003</v>
      </c>
      <c r="D51" s="5">
        <f t="shared" si="4"/>
        <v>16</v>
      </c>
      <c r="E51" s="5" t="str">
        <f>_xlfn.XLOOKUP(C51,SkillActive!A:A,SkillActive!B:B,,,)</f>
        <v>月光斩</v>
      </c>
      <c r="F51">
        <f t="shared" si="1"/>
        <v>16</v>
      </c>
      <c r="G51">
        <f>_xlfn.XLOOKUP(C51,SkillActive!$A:$A,SkillActive!E:E,,0)</f>
        <v>1</v>
      </c>
    </row>
    <row r="52" spans="1:7">
      <c r="A52" s="5">
        <f t="shared" si="0"/>
        <v>10100401</v>
      </c>
      <c r="B52" s="34" t="str">
        <f>_xlfn.XLOOKUP(C52,SkillActive!$A:$A,SkillActive!C:C,,0)</f>
        <v>1|2|3|4|5|6|7</v>
      </c>
      <c r="C52" s="5">
        <f t="shared" si="3"/>
        <v>101004</v>
      </c>
      <c r="D52" s="5">
        <f t="shared" si="4"/>
        <v>1</v>
      </c>
      <c r="E52" s="5" t="str">
        <f>_xlfn.XLOOKUP(C52,SkillActive!A:A,SkillActive!B:B,,,)</f>
        <v>混沌刺击</v>
      </c>
      <c r="F52">
        <f t="shared" si="1"/>
        <v>1</v>
      </c>
      <c r="G52">
        <f>_xlfn.XLOOKUP(C52,SkillActive!$A:$A,SkillActive!E:E,,0)</f>
        <v>1</v>
      </c>
    </row>
    <row r="53" spans="1:7">
      <c r="A53" s="5">
        <f t="shared" si="0"/>
        <v>10100402</v>
      </c>
      <c r="B53" s="34" t="str">
        <f>_xlfn.XLOOKUP(C53,SkillActive!$A:$A,SkillActive!C:C,,0)</f>
        <v>1|2|3|4|5|6|7</v>
      </c>
      <c r="C53" s="5">
        <f t="shared" si="3"/>
        <v>101004</v>
      </c>
      <c r="D53" s="5">
        <f t="shared" si="4"/>
        <v>2</v>
      </c>
      <c r="E53" s="5" t="str">
        <f>_xlfn.XLOOKUP(C53,SkillActive!A:A,SkillActive!B:B,,,)</f>
        <v>混沌刺击</v>
      </c>
      <c r="F53">
        <f t="shared" si="1"/>
        <v>2</v>
      </c>
      <c r="G53">
        <f>_xlfn.XLOOKUP(C53,SkillActive!$A:$A,SkillActive!E:E,,0)</f>
        <v>1</v>
      </c>
    </row>
    <row r="54" spans="1:7">
      <c r="A54" s="5">
        <f t="shared" si="0"/>
        <v>10100403</v>
      </c>
      <c r="B54" s="34" t="str">
        <f>_xlfn.XLOOKUP(C54,SkillActive!$A:$A,SkillActive!C:C,,0)</f>
        <v>1|2|3|4|5|6|7</v>
      </c>
      <c r="C54" s="5">
        <f t="shared" si="3"/>
        <v>101004</v>
      </c>
      <c r="D54" s="5">
        <f t="shared" si="4"/>
        <v>3</v>
      </c>
      <c r="E54" s="5" t="str">
        <f>_xlfn.XLOOKUP(C54,SkillActive!A:A,SkillActive!B:B,,,)</f>
        <v>混沌刺击</v>
      </c>
      <c r="F54">
        <f t="shared" si="1"/>
        <v>3</v>
      </c>
      <c r="G54">
        <f>_xlfn.XLOOKUP(C54,SkillActive!$A:$A,SkillActive!E:E,,0)</f>
        <v>1</v>
      </c>
    </row>
    <row r="55" spans="1:7">
      <c r="A55" s="5">
        <f t="shared" si="0"/>
        <v>10100404</v>
      </c>
      <c r="B55" s="34" t="str">
        <f>_xlfn.XLOOKUP(C55,SkillActive!$A:$A,SkillActive!C:C,,0)</f>
        <v>1|2|3|4|5|6|7</v>
      </c>
      <c r="C55" s="5">
        <f t="shared" si="3"/>
        <v>101004</v>
      </c>
      <c r="D55" s="5">
        <f t="shared" si="4"/>
        <v>4</v>
      </c>
      <c r="E55" s="5" t="str">
        <f>_xlfn.XLOOKUP(C55,SkillActive!A:A,SkillActive!B:B,,,)</f>
        <v>混沌刺击</v>
      </c>
      <c r="F55">
        <f t="shared" si="1"/>
        <v>4</v>
      </c>
      <c r="G55">
        <f>_xlfn.XLOOKUP(C55,SkillActive!$A:$A,SkillActive!E:E,,0)</f>
        <v>1</v>
      </c>
    </row>
    <row r="56" spans="1:7">
      <c r="A56" s="5">
        <f t="shared" si="0"/>
        <v>10100405</v>
      </c>
      <c r="B56" s="34" t="str">
        <f>_xlfn.XLOOKUP(C56,SkillActive!$A:$A,SkillActive!C:C,,0)</f>
        <v>1|2|3|4|5|6|7</v>
      </c>
      <c r="C56" s="5">
        <f t="shared" si="3"/>
        <v>101004</v>
      </c>
      <c r="D56" s="5">
        <f t="shared" si="4"/>
        <v>5</v>
      </c>
      <c r="E56" s="5" t="str">
        <f>_xlfn.XLOOKUP(C56,SkillActive!A:A,SkillActive!B:B,,,)</f>
        <v>混沌刺击</v>
      </c>
      <c r="F56">
        <f t="shared" si="1"/>
        <v>5</v>
      </c>
      <c r="G56">
        <f>_xlfn.XLOOKUP(C56,SkillActive!$A:$A,SkillActive!E:E,,0)</f>
        <v>1</v>
      </c>
    </row>
    <row r="57" spans="1:7">
      <c r="A57" s="5">
        <f t="shared" si="0"/>
        <v>10100406</v>
      </c>
      <c r="B57" s="34" t="str">
        <f>_xlfn.XLOOKUP(C57,SkillActive!$A:$A,SkillActive!C:C,,0)</f>
        <v>1|2|3|4|5|6|7</v>
      </c>
      <c r="C57" s="5">
        <f t="shared" si="3"/>
        <v>101004</v>
      </c>
      <c r="D57" s="5">
        <f t="shared" si="4"/>
        <v>6</v>
      </c>
      <c r="E57" s="5" t="str">
        <f>_xlfn.XLOOKUP(C57,SkillActive!A:A,SkillActive!B:B,,,)</f>
        <v>混沌刺击</v>
      </c>
      <c r="F57">
        <f t="shared" si="1"/>
        <v>6</v>
      </c>
      <c r="G57">
        <f>_xlfn.XLOOKUP(C57,SkillActive!$A:$A,SkillActive!E:E,,0)</f>
        <v>1</v>
      </c>
    </row>
    <row r="58" spans="1:7">
      <c r="A58" s="5">
        <f t="shared" si="0"/>
        <v>10100407</v>
      </c>
      <c r="B58" s="34" t="str">
        <f>_xlfn.XLOOKUP(C58,SkillActive!$A:$A,SkillActive!C:C,,0)</f>
        <v>1|2|3|4|5|6|7</v>
      </c>
      <c r="C58" s="5">
        <f t="shared" si="3"/>
        <v>101004</v>
      </c>
      <c r="D58" s="5">
        <f t="shared" si="4"/>
        <v>7</v>
      </c>
      <c r="E58" s="5" t="str">
        <f>_xlfn.XLOOKUP(C58,SkillActive!A:A,SkillActive!B:B,,,)</f>
        <v>混沌刺击</v>
      </c>
      <c r="F58">
        <f t="shared" si="1"/>
        <v>7</v>
      </c>
      <c r="G58">
        <f>_xlfn.XLOOKUP(C58,SkillActive!$A:$A,SkillActive!E:E,,0)</f>
        <v>1</v>
      </c>
    </row>
    <row r="59" spans="1:7">
      <c r="A59" s="5">
        <f t="shared" si="0"/>
        <v>10100408</v>
      </c>
      <c r="B59" s="34" t="str">
        <f>_xlfn.XLOOKUP(C59,SkillActive!$A:$A,SkillActive!C:C,,0)</f>
        <v>1|2|3|4|5|6|7</v>
      </c>
      <c r="C59" s="5">
        <f t="shared" si="3"/>
        <v>101004</v>
      </c>
      <c r="D59" s="5">
        <f t="shared" si="4"/>
        <v>8</v>
      </c>
      <c r="E59" s="5" t="str">
        <f>_xlfn.XLOOKUP(C59,SkillActive!A:A,SkillActive!B:B,,,)</f>
        <v>混沌刺击</v>
      </c>
      <c r="F59">
        <f t="shared" si="1"/>
        <v>8</v>
      </c>
      <c r="G59">
        <f>_xlfn.XLOOKUP(C59,SkillActive!$A:$A,SkillActive!E:E,,0)</f>
        <v>1</v>
      </c>
    </row>
    <row r="60" spans="1:7">
      <c r="A60" s="5">
        <f t="shared" si="0"/>
        <v>10100409</v>
      </c>
      <c r="B60" s="34" t="str">
        <f>_xlfn.XLOOKUP(C60,SkillActive!$A:$A,SkillActive!C:C,,0)</f>
        <v>1|2|3|4|5|6|7</v>
      </c>
      <c r="C60" s="5">
        <f t="shared" si="3"/>
        <v>101004</v>
      </c>
      <c r="D60" s="5">
        <f t="shared" si="4"/>
        <v>9</v>
      </c>
      <c r="E60" s="5" t="str">
        <f>_xlfn.XLOOKUP(C60,SkillActive!A:A,SkillActive!B:B,,,)</f>
        <v>混沌刺击</v>
      </c>
      <c r="F60">
        <f t="shared" si="1"/>
        <v>9</v>
      </c>
      <c r="G60">
        <f>_xlfn.XLOOKUP(C60,SkillActive!$A:$A,SkillActive!E:E,,0)</f>
        <v>1</v>
      </c>
    </row>
    <row r="61" spans="1:7">
      <c r="A61" s="5">
        <f t="shared" si="0"/>
        <v>10100410</v>
      </c>
      <c r="B61" s="34" t="str">
        <f>_xlfn.XLOOKUP(C61,SkillActive!$A:$A,SkillActive!C:C,,0)</f>
        <v>1|2|3|4|5|6|7</v>
      </c>
      <c r="C61" s="5">
        <f t="shared" si="3"/>
        <v>101004</v>
      </c>
      <c r="D61" s="5">
        <f t="shared" si="4"/>
        <v>10</v>
      </c>
      <c r="E61" s="5" t="str">
        <f>_xlfn.XLOOKUP(C61,SkillActive!A:A,SkillActive!B:B,,,)</f>
        <v>混沌刺击</v>
      </c>
      <c r="F61">
        <f t="shared" si="1"/>
        <v>10</v>
      </c>
      <c r="G61">
        <f>_xlfn.XLOOKUP(C61,SkillActive!$A:$A,SkillActive!E:E,,0)</f>
        <v>1</v>
      </c>
    </row>
    <row r="62" spans="1:7">
      <c r="A62" s="5">
        <f t="shared" si="0"/>
        <v>10100411</v>
      </c>
      <c r="B62" s="34" t="str">
        <f>_xlfn.XLOOKUP(C62,SkillActive!$A:$A,SkillActive!C:C,,0)</f>
        <v>1|2|3|4|5|6|7</v>
      </c>
      <c r="C62" s="5">
        <f t="shared" si="3"/>
        <v>101004</v>
      </c>
      <c r="D62" s="5">
        <f t="shared" si="4"/>
        <v>11</v>
      </c>
      <c r="E62" s="5" t="str">
        <f>_xlfn.XLOOKUP(C62,SkillActive!A:A,SkillActive!B:B,,,)</f>
        <v>混沌刺击</v>
      </c>
      <c r="F62">
        <f t="shared" si="1"/>
        <v>11</v>
      </c>
      <c r="G62">
        <f>_xlfn.XLOOKUP(C62,SkillActive!$A:$A,SkillActive!E:E,,0)</f>
        <v>1</v>
      </c>
    </row>
    <row r="63" spans="1:7">
      <c r="A63" s="5">
        <f t="shared" si="0"/>
        <v>10100412</v>
      </c>
      <c r="B63" s="34" t="str">
        <f>_xlfn.XLOOKUP(C63,SkillActive!$A:$A,SkillActive!C:C,,0)</f>
        <v>1|2|3|4|5|6|7</v>
      </c>
      <c r="C63" s="5">
        <f t="shared" si="3"/>
        <v>101004</v>
      </c>
      <c r="D63" s="5">
        <f t="shared" si="4"/>
        <v>12</v>
      </c>
      <c r="E63" s="5" t="str">
        <f>_xlfn.XLOOKUP(C63,SkillActive!A:A,SkillActive!B:B,,,)</f>
        <v>混沌刺击</v>
      </c>
      <c r="F63">
        <f t="shared" si="1"/>
        <v>12</v>
      </c>
      <c r="G63">
        <f>_xlfn.XLOOKUP(C63,SkillActive!$A:$A,SkillActive!E:E,,0)</f>
        <v>1</v>
      </c>
    </row>
    <row r="64" spans="1:7">
      <c r="A64" s="5">
        <f t="shared" si="0"/>
        <v>10100413</v>
      </c>
      <c r="B64" s="34" t="str">
        <f>_xlfn.XLOOKUP(C64,SkillActive!$A:$A,SkillActive!C:C,,0)</f>
        <v>1|2|3|4|5|6|7</v>
      </c>
      <c r="C64" s="5">
        <f t="shared" si="3"/>
        <v>101004</v>
      </c>
      <c r="D64" s="5">
        <f t="shared" si="4"/>
        <v>13</v>
      </c>
      <c r="E64" s="5" t="str">
        <f>_xlfn.XLOOKUP(C64,SkillActive!A:A,SkillActive!B:B,,,)</f>
        <v>混沌刺击</v>
      </c>
      <c r="F64">
        <f t="shared" si="1"/>
        <v>13</v>
      </c>
      <c r="G64">
        <f>_xlfn.XLOOKUP(C64,SkillActive!$A:$A,SkillActive!E:E,,0)</f>
        <v>1</v>
      </c>
    </row>
    <row r="65" spans="1:7">
      <c r="A65" s="5">
        <f t="shared" si="0"/>
        <v>10100414</v>
      </c>
      <c r="B65" s="34" t="str">
        <f>_xlfn.XLOOKUP(C65,SkillActive!$A:$A,SkillActive!C:C,,0)</f>
        <v>1|2|3|4|5|6|7</v>
      </c>
      <c r="C65" s="5">
        <f t="shared" si="3"/>
        <v>101004</v>
      </c>
      <c r="D65" s="5">
        <f t="shared" si="4"/>
        <v>14</v>
      </c>
      <c r="E65" s="5" t="str">
        <f>_xlfn.XLOOKUP(C65,SkillActive!A:A,SkillActive!B:B,,,)</f>
        <v>混沌刺击</v>
      </c>
      <c r="F65">
        <f t="shared" si="1"/>
        <v>14</v>
      </c>
      <c r="G65">
        <f>_xlfn.XLOOKUP(C65,SkillActive!$A:$A,SkillActive!E:E,,0)</f>
        <v>1</v>
      </c>
    </row>
    <row r="66" spans="1:7">
      <c r="A66" s="5">
        <f t="shared" si="0"/>
        <v>10100415</v>
      </c>
      <c r="B66" s="34" t="str">
        <f>_xlfn.XLOOKUP(C66,SkillActive!$A:$A,SkillActive!C:C,,0)</f>
        <v>1|2|3|4|5|6|7</v>
      </c>
      <c r="C66" s="5">
        <f t="shared" si="3"/>
        <v>101004</v>
      </c>
      <c r="D66" s="5">
        <f t="shared" si="4"/>
        <v>15</v>
      </c>
      <c r="E66" s="5" t="str">
        <f>_xlfn.XLOOKUP(C66,SkillActive!A:A,SkillActive!B:B,,,)</f>
        <v>混沌刺击</v>
      </c>
      <c r="F66">
        <f t="shared" si="1"/>
        <v>15</v>
      </c>
      <c r="G66">
        <f>_xlfn.XLOOKUP(C66,SkillActive!$A:$A,SkillActive!E:E,,0)</f>
        <v>1</v>
      </c>
    </row>
    <row r="67" spans="1:7">
      <c r="A67" s="5">
        <f t="shared" si="0"/>
        <v>10100416</v>
      </c>
      <c r="B67" s="34" t="str">
        <f>_xlfn.XLOOKUP(C67,SkillActive!$A:$A,SkillActive!C:C,,0)</f>
        <v>1|2|3|4|5|6|7</v>
      </c>
      <c r="C67" s="5">
        <f t="shared" si="3"/>
        <v>101004</v>
      </c>
      <c r="D67" s="5">
        <f t="shared" si="4"/>
        <v>16</v>
      </c>
      <c r="E67" s="5" t="str">
        <f>_xlfn.XLOOKUP(C67,SkillActive!A:A,SkillActive!B:B,,,)</f>
        <v>混沌刺击</v>
      </c>
      <c r="F67">
        <f t="shared" si="1"/>
        <v>16</v>
      </c>
      <c r="G67">
        <f>_xlfn.XLOOKUP(C67,SkillActive!$A:$A,SkillActive!E:E,,0)</f>
        <v>1</v>
      </c>
    </row>
    <row r="68" spans="1:7">
      <c r="A68" s="5">
        <f t="shared" ref="A68:A84" si="5">C68*100+D68</f>
        <v>10200101</v>
      </c>
      <c r="B68" s="34" t="str">
        <f>_xlfn.XLOOKUP(C68,SkillActive!$A:$A,SkillActive!C:C,,0)</f>
        <v>1|2|3|4|5|6|7</v>
      </c>
      <c r="C68" s="5">
        <v>102001</v>
      </c>
      <c r="D68" s="5">
        <f t="shared" si="4"/>
        <v>1</v>
      </c>
      <c r="E68" s="5" t="s">
        <v>34</v>
      </c>
      <c r="F68">
        <f t="shared" ref="F68:F83" si="6">D68</f>
        <v>1</v>
      </c>
      <c r="G68">
        <v>1</v>
      </c>
    </row>
    <row r="69" spans="1:7">
      <c r="A69" s="5">
        <f t="shared" si="5"/>
        <v>10200102</v>
      </c>
      <c r="B69" s="34" t="str">
        <f>_xlfn.XLOOKUP(C69,SkillActive!$A:$A,SkillActive!C:C,,0)</f>
        <v>1|2|3|4|5|6|7</v>
      </c>
      <c r="C69" s="5">
        <v>102001</v>
      </c>
      <c r="D69" s="5">
        <f t="shared" si="4"/>
        <v>2</v>
      </c>
      <c r="E69" s="5" t="s">
        <v>34</v>
      </c>
      <c r="F69">
        <f t="shared" si="6"/>
        <v>2</v>
      </c>
      <c r="G69">
        <v>2</v>
      </c>
    </row>
    <row r="70" spans="1:7">
      <c r="A70" s="5">
        <f t="shared" si="5"/>
        <v>10200103</v>
      </c>
      <c r="B70" s="34" t="str">
        <f>_xlfn.XLOOKUP(C70,SkillActive!$A:$A,SkillActive!C:C,,0)</f>
        <v>1|2|3|4|5|6|7</v>
      </c>
      <c r="C70" s="5">
        <v>102001</v>
      </c>
      <c r="D70" s="5">
        <f t="shared" si="4"/>
        <v>3</v>
      </c>
      <c r="E70" s="5" t="s">
        <v>34</v>
      </c>
      <c r="F70">
        <f t="shared" si="6"/>
        <v>3</v>
      </c>
      <c r="G70">
        <v>3</v>
      </c>
    </row>
    <row r="71" spans="1:7">
      <c r="A71" s="5">
        <f t="shared" si="5"/>
        <v>10200104</v>
      </c>
      <c r="B71" s="34" t="str">
        <f>_xlfn.XLOOKUP(C71,SkillActive!$A:$A,SkillActive!C:C,,0)</f>
        <v>1|2|3|4|5|6|7</v>
      </c>
      <c r="C71" s="5">
        <v>102001</v>
      </c>
      <c r="D71" s="5">
        <f t="shared" si="4"/>
        <v>4</v>
      </c>
      <c r="E71" s="5" t="s">
        <v>34</v>
      </c>
      <c r="F71">
        <f t="shared" si="6"/>
        <v>4</v>
      </c>
      <c r="G71">
        <v>4</v>
      </c>
    </row>
    <row r="72" spans="1:7">
      <c r="A72" s="5">
        <f t="shared" si="5"/>
        <v>10200105</v>
      </c>
      <c r="B72" s="34" t="str">
        <f>_xlfn.XLOOKUP(C72,SkillActive!$A:$A,SkillActive!C:C,,0)</f>
        <v>1|2|3|4|5|6|7</v>
      </c>
      <c r="C72" s="5">
        <v>102001</v>
      </c>
      <c r="D72" s="5">
        <f t="shared" si="4"/>
        <v>5</v>
      </c>
      <c r="E72" s="5" t="s">
        <v>34</v>
      </c>
      <c r="F72">
        <f t="shared" si="6"/>
        <v>5</v>
      </c>
      <c r="G72">
        <v>5</v>
      </c>
    </row>
    <row r="73" spans="1:7">
      <c r="A73" s="5">
        <f t="shared" si="5"/>
        <v>10200106</v>
      </c>
      <c r="B73" s="34" t="str">
        <f>_xlfn.XLOOKUP(C73,SkillActive!$A:$A,SkillActive!C:C,,0)</f>
        <v>1|2|3|4|5|6|7</v>
      </c>
      <c r="C73" s="5">
        <v>102001</v>
      </c>
      <c r="D73" s="5">
        <f t="shared" si="4"/>
        <v>6</v>
      </c>
      <c r="E73" s="5" t="s">
        <v>34</v>
      </c>
      <c r="F73">
        <f t="shared" si="6"/>
        <v>6</v>
      </c>
      <c r="G73">
        <v>6</v>
      </c>
    </row>
    <row r="74" spans="1:7">
      <c r="A74" s="5">
        <f t="shared" si="5"/>
        <v>10200107</v>
      </c>
      <c r="B74" s="34" t="str">
        <f>_xlfn.XLOOKUP(C74,SkillActive!$A:$A,SkillActive!C:C,,0)</f>
        <v>1|2|3|4|5|6|7</v>
      </c>
      <c r="C74" s="5">
        <v>102001</v>
      </c>
      <c r="D74" s="5">
        <f t="shared" si="4"/>
        <v>7</v>
      </c>
      <c r="E74" s="5" t="s">
        <v>34</v>
      </c>
      <c r="F74">
        <f t="shared" si="6"/>
        <v>7</v>
      </c>
      <c r="G74">
        <v>7</v>
      </c>
    </row>
    <row r="75" spans="1:7">
      <c r="A75" s="5">
        <f t="shared" si="5"/>
        <v>10200108</v>
      </c>
      <c r="B75" s="34" t="str">
        <f>_xlfn.XLOOKUP(C75,SkillActive!$A:$A,SkillActive!C:C,,0)</f>
        <v>1|2|3|4|5|6|7</v>
      </c>
      <c r="C75" s="5">
        <v>102001</v>
      </c>
      <c r="D75" s="5">
        <f t="shared" si="4"/>
        <v>8</v>
      </c>
      <c r="E75" s="5" t="s">
        <v>34</v>
      </c>
      <c r="F75">
        <f t="shared" si="6"/>
        <v>8</v>
      </c>
      <c r="G75">
        <v>8</v>
      </c>
    </row>
    <row r="76" spans="1:7">
      <c r="A76" s="5">
        <f t="shared" si="5"/>
        <v>10200109</v>
      </c>
      <c r="B76" s="34" t="str">
        <f>_xlfn.XLOOKUP(C76,SkillActive!$A:$A,SkillActive!C:C,,0)</f>
        <v>1|2|3|4|5|6|7</v>
      </c>
      <c r="C76" s="5">
        <v>102001</v>
      </c>
      <c r="D76" s="5">
        <f t="shared" si="4"/>
        <v>9</v>
      </c>
      <c r="E76" s="5" t="s">
        <v>34</v>
      </c>
      <c r="F76">
        <f t="shared" si="6"/>
        <v>9</v>
      </c>
      <c r="G76">
        <v>9</v>
      </c>
    </row>
    <row r="77" spans="1:7">
      <c r="A77" s="5">
        <f t="shared" si="5"/>
        <v>10200110</v>
      </c>
      <c r="B77" s="34" t="str">
        <f>_xlfn.XLOOKUP(C77,SkillActive!$A:$A,SkillActive!C:C,,0)</f>
        <v>1|2|3|4|5|6|7</v>
      </c>
      <c r="C77" s="5">
        <v>102001</v>
      </c>
      <c r="D77" s="5">
        <f t="shared" si="4"/>
        <v>10</v>
      </c>
      <c r="E77" s="5" t="s">
        <v>34</v>
      </c>
      <c r="F77">
        <f t="shared" si="6"/>
        <v>10</v>
      </c>
      <c r="G77">
        <v>10</v>
      </c>
    </row>
    <row r="78" spans="1:7">
      <c r="A78" s="5">
        <f t="shared" si="5"/>
        <v>10200111</v>
      </c>
      <c r="B78" s="34" t="str">
        <f>_xlfn.XLOOKUP(C78,SkillActive!$A:$A,SkillActive!C:C,,0)</f>
        <v>1|2|3|4|5|6|7</v>
      </c>
      <c r="C78" s="5">
        <v>102001</v>
      </c>
      <c r="D78" s="5">
        <f t="shared" si="4"/>
        <v>11</v>
      </c>
      <c r="E78" s="5" t="s">
        <v>34</v>
      </c>
      <c r="F78">
        <f t="shared" si="6"/>
        <v>11</v>
      </c>
      <c r="G78">
        <v>11</v>
      </c>
    </row>
    <row r="79" spans="1:7">
      <c r="A79" s="5">
        <f t="shared" si="5"/>
        <v>10200112</v>
      </c>
      <c r="B79" s="34" t="str">
        <f>_xlfn.XLOOKUP(C79,SkillActive!$A:$A,SkillActive!C:C,,0)</f>
        <v>1|2|3|4|5|6|7</v>
      </c>
      <c r="C79" s="5">
        <v>102001</v>
      </c>
      <c r="D79" s="5">
        <f t="shared" si="4"/>
        <v>12</v>
      </c>
      <c r="E79" s="5" t="s">
        <v>34</v>
      </c>
      <c r="F79">
        <f t="shared" si="6"/>
        <v>12</v>
      </c>
      <c r="G79">
        <v>12</v>
      </c>
    </row>
    <row r="80" spans="1:7">
      <c r="A80" s="5">
        <f t="shared" si="5"/>
        <v>10200113</v>
      </c>
      <c r="B80" s="34" t="str">
        <f>_xlfn.XLOOKUP(C80,SkillActive!$A:$A,SkillActive!C:C,,0)</f>
        <v>1|2|3|4|5|6|7</v>
      </c>
      <c r="C80" s="5">
        <v>102001</v>
      </c>
      <c r="D80" s="5">
        <f t="shared" si="4"/>
        <v>13</v>
      </c>
      <c r="E80" s="5" t="s">
        <v>34</v>
      </c>
      <c r="F80">
        <f t="shared" si="6"/>
        <v>13</v>
      </c>
      <c r="G80">
        <v>13</v>
      </c>
    </row>
    <row r="81" spans="1:7">
      <c r="A81" s="5">
        <f t="shared" si="5"/>
        <v>10200114</v>
      </c>
      <c r="B81" s="34" t="str">
        <f>_xlfn.XLOOKUP(C81,SkillActive!$A:$A,SkillActive!C:C,,0)</f>
        <v>1|2|3|4|5|6|7</v>
      </c>
      <c r="C81" s="5">
        <v>102001</v>
      </c>
      <c r="D81" s="5">
        <f t="shared" si="4"/>
        <v>14</v>
      </c>
      <c r="E81" s="5" t="s">
        <v>34</v>
      </c>
      <c r="F81">
        <f t="shared" si="6"/>
        <v>14</v>
      </c>
      <c r="G81">
        <v>14</v>
      </c>
    </row>
    <row r="82" spans="1:7">
      <c r="A82" s="5">
        <f t="shared" si="5"/>
        <v>10200115</v>
      </c>
      <c r="B82" s="34" t="str">
        <f>_xlfn.XLOOKUP(C82,SkillActive!$A:$A,SkillActive!C:C,,0)</f>
        <v>1|2|3|4|5|6|7</v>
      </c>
      <c r="C82" s="5">
        <v>102001</v>
      </c>
      <c r="D82" s="5">
        <f t="shared" si="4"/>
        <v>15</v>
      </c>
      <c r="E82" s="5" t="s">
        <v>34</v>
      </c>
      <c r="F82">
        <f t="shared" si="6"/>
        <v>15</v>
      </c>
      <c r="G82">
        <v>15</v>
      </c>
    </row>
    <row r="83" spans="1:7">
      <c r="A83" s="5">
        <f t="shared" si="5"/>
        <v>10200116</v>
      </c>
      <c r="B83" s="34" t="str">
        <f>_xlfn.XLOOKUP(C83,SkillActive!$A:$A,SkillActive!C:C,,0)</f>
        <v>1|2|3|4|5|6|7</v>
      </c>
      <c r="C83" s="5">
        <v>102001</v>
      </c>
      <c r="D83" s="5">
        <f t="shared" si="4"/>
        <v>16</v>
      </c>
      <c r="E83" s="5" t="s">
        <v>34</v>
      </c>
      <c r="F83">
        <f t="shared" si="6"/>
        <v>16</v>
      </c>
      <c r="G83">
        <v>16</v>
      </c>
    </row>
    <row r="84" spans="1:7">
      <c r="A84" s="5">
        <f t="shared" si="5"/>
        <v>10200201</v>
      </c>
      <c r="B84" s="34" t="str">
        <f>_xlfn.XLOOKUP(C84,SkillActive!$A:$A,SkillActive!C:C,,0)</f>
        <v>1|2|3|4|5|6|7</v>
      </c>
      <c r="C84" s="5">
        <v>102002</v>
      </c>
      <c r="D84" s="5">
        <f t="shared" ref="D84:D100" si="7">D68</f>
        <v>1</v>
      </c>
      <c r="E84" s="5" t="s">
        <v>35</v>
      </c>
      <c r="F84">
        <f t="shared" ref="F84:F100" si="8">D84</f>
        <v>1</v>
      </c>
      <c r="G84">
        <v>1</v>
      </c>
    </row>
    <row r="85" spans="1:7">
      <c r="A85" s="5">
        <f t="shared" ref="A85:A99" si="9">C85*100+D85</f>
        <v>10200202</v>
      </c>
      <c r="B85" s="34" t="str">
        <f>_xlfn.XLOOKUP(C85,SkillActive!$A:$A,SkillActive!C:C,,0)</f>
        <v>1|2|3|4|5|6|7</v>
      </c>
      <c r="C85" s="5">
        <v>102002</v>
      </c>
      <c r="D85" s="5">
        <f t="shared" si="7"/>
        <v>2</v>
      </c>
      <c r="E85" s="5" t="s">
        <v>35</v>
      </c>
      <c r="F85">
        <f t="shared" si="8"/>
        <v>2</v>
      </c>
      <c r="G85">
        <v>2</v>
      </c>
    </row>
    <row r="86" spans="1:7">
      <c r="A86" s="5">
        <f t="shared" si="9"/>
        <v>10200203</v>
      </c>
      <c r="B86" s="34" t="str">
        <f>_xlfn.XLOOKUP(C86,SkillActive!$A:$A,SkillActive!C:C,,0)</f>
        <v>1|2|3|4|5|6|7</v>
      </c>
      <c r="C86" s="5">
        <v>102002</v>
      </c>
      <c r="D86" s="5">
        <f t="shared" si="7"/>
        <v>3</v>
      </c>
      <c r="E86" s="5" t="s">
        <v>35</v>
      </c>
      <c r="F86">
        <f t="shared" si="8"/>
        <v>3</v>
      </c>
      <c r="G86">
        <v>3</v>
      </c>
    </row>
    <row r="87" spans="1:7">
      <c r="A87" s="5">
        <f t="shared" si="9"/>
        <v>10200204</v>
      </c>
      <c r="B87" s="34" t="str">
        <f>_xlfn.XLOOKUP(C87,SkillActive!$A:$A,SkillActive!C:C,,0)</f>
        <v>1|2|3|4|5|6|7</v>
      </c>
      <c r="C87" s="5">
        <v>102002</v>
      </c>
      <c r="D87" s="5">
        <f t="shared" si="7"/>
        <v>4</v>
      </c>
      <c r="E87" s="5" t="s">
        <v>35</v>
      </c>
      <c r="F87">
        <f t="shared" si="8"/>
        <v>4</v>
      </c>
      <c r="G87">
        <v>4</v>
      </c>
    </row>
    <row r="88" spans="1:7">
      <c r="A88" s="5">
        <f t="shared" si="9"/>
        <v>10200205</v>
      </c>
      <c r="B88" s="34" t="str">
        <f>_xlfn.XLOOKUP(C88,SkillActive!$A:$A,SkillActive!C:C,,0)</f>
        <v>1|2|3|4|5|6|7</v>
      </c>
      <c r="C88" s="5">
        <v>102002</v>
      </c>
      <c r="D88" s="5">
        <f t="shared" si="7"/>
        <v>5</v>
      </c>
      <c r="E88" s="5" t="s">
        <v>35</v>
      </c>
      <c r="F88">
        <f t="shared" si="8"/>
        <v>5</v>
      </c>
      <c r="G88">
        <v>5</v>
      </c>
    </row>
    <row r="89" spans="1:7">
      <c r="A89" s="5">
        <f t="shared" si="9"/>
        <v>10200206</v>
      </c>
      <c r="B89" s="34" t="str">
        <f>_xlfn.XLOOKUP(C89,SkillActive!$A:$A,SkillActive!C:C,,0)</f>
        <v>1|2|3|4|5|6|7</v>
      </c>
      <c r="C89" s="5">
        <v>102002</v>
      </c>
      <c r="D89" s="5">
        <f t="shared" si="7"/>
        <v>6</v>
      </c>
      <c r="E89" s="5" t="s">
        <v>35</v>
      </c>
      <c r="F89">
        <f t="shared" si="8"/>
        <v>6</v>
      </c>
      <c r="G89">
        <v>6</v>
      </c>
    </row>
    <row r="90" spans="1:7">
      <c r="A90" s="5">
        <f t="shared" si="9"/>
        <v>10200207</v>
      </c>
      <c r="B90" s="34" t="str">
        <f>_xlfn.XLOOKUP(C90,SkillActive!$A:$A,SkillActive!C:C,,0)</f>
        <v>1|2|3|4|5|6|7</v>
      </c>
      <c r="C90" s="5">
        <v>102002</v>
      </c>
      <c r="D90" s="5">
        <f t="shared" si="7"/>
        <v>7</v>
      </c>
      <c r="E90" s="5" t="s">
        <v>35</v>
      </c>
      <c r="F90">
        <f t="shared" si="8"/>
        <v>7</v>
      </c>
      <c r="G90">
        <v>7</v>
      </c>
    </row>
    <row r="91" spans="1:7">
      <c r="A91" s="5">
        <f t="shared" si="9"/>
        <v>10200208</v>
      </c>
      <c r="B91" s="34" t="str">
        <f>_xlfn.XLOOKUP(C91,SkillActive!$A:$A,SkillActive!C:C,,0)</f>
        <v>1|2|3|4|5|6|7</v>
      </c>
      <c r="C91" s="5">
        <v>102002</v>
      </c>
      <c r="D91" s="5">
        <f t="shared" si="7"/>
        <v>8</v>
      </c>
      <c r="E91" s="5" t="s">
        <v>35</v>
      </c>
      <c r="F91">
        <f t="shared" si="8"/>
        <v>8</v>
      </c>
      <c r="G91">
        <v>8</v>
      </c>
    </row>
    <row r="92" spans="1:7">
      <c r="A92" s="5">
        <f t="shared" si="9"/>
        <v>10200209</v>
      </c>
      <c r="B92" s="34" t="str">
        <f>_xlfn.XLOOKUP(C92,SkillActive!$A:$A,SkillActive!C:C,,0)</f>
        <v>1|2|3|4|5|6|7</v>
      </c>
      <c r="C92" s="5">
        <v>102002</v>
      </c>
      <c r="D92" s="5">
        <f t="shared" si="7"/>
        <v>9</v>
      </c>
      <c r="E92" s="5" t="s">
        <v>35</v>
      </c>
      <c r="F92">
        <f t="shared" si="8"/>
        <v>9</v>
      </c>
      <c r="G92">
        <v>9</v>
      </c>
    </row>
    <row r="93" spans="1:7">
      <c r="A93" s="5">
        <f t="shared" si="9"/>
        <v>10200210</v>
      </c>
      <c r="B93" s="34" t="str">
        <f>_xlfn.XLOOKUP(C93,SkillActive!$A:$A,SkillActive!C:C,,0)</f>
        <v>1|2|3|4|5|6|7</v>
      </c>
      <c r="C93" s="5">
        <v>102002</v>
      </c>
      <c r="D93" s="5">
        <f t="shared" si="7"/>
        <v>10</v>
      </c>
      <c r="E93" s="5" t="s">
        <v>35</v>
      </c>
      <c r="F93">
        <f t="shared" si="8"/>
        <v>10</v>
      </c>
      <c r="G93">
        <v>10</v>
      </c>
    </row>
    <row r="94" spans="1:7">
      <c r="A94" s="5">
        <f t="shared" si="9"/>
        <v>10200211</v>
      </c>
      <c r="B94" s="34" t="str">
        <f>_xlfn.XLOOKUP(C94,SkillActive!$A:$A,SkillActive!C:C,,0)</f>
        <v>1|2|3|4|5|6|7</v>
      </c>
      <c r="C94" s="5">
        <v>102002</v>
      </c>
      <c r="D94" s="5">
        <f t="shared" si="7"/>
        <v>11</v>
      </c>
      <c r="E94" s="5" t="s">
        <v>35</v>
      </c>
      <c r="F94">
        <f t="shared" si="8"/>
        <v>11</v>
      </c>
      <c r="G94">
        <v>11</v>
      </c>
    </row>
    <row r="95" spans="1:7">
      <c r="A95" s="5">
        <f t="shared" si="9"/>
        <v>10200212</v>
      </c>
      <c r="B95" s="34" t="str">
        <f>_xlfn.XLOOKUP(C95,SkillActive!$A:$A,SkillActive!C:C,,0)</f>
        <v>1|2|3|4|5|6|7</v>
      </c>
      <c r="C95" s="5">
        <v>102002</v>
      </c>
      <c r="D95" s="5">
        <f t="shared" si="7"/>
        <v>12</v>
      </c>
      <c r="E95" s="5" t="s">
        <v>35</v>
      </c>
      <c r="F95">
        <f t="shared" si="8"/>
        <v>12</v>
      </c>
      <c r="G95">
        <v>12</v>
      </c>
    </row>
    <row r="96" spans="1:7">
      <c r="A96" s="5">
        <f t="shared" si="9"/>
        <v>10200213</v>
      </c>
      <c r="B96" s="34" t="str">
        <f>_xlfn.XLOOKUP(C96,SkillActive!$A:$A,SkillActive!C:C,,0)</f>
        <v>1|2|3|4|5|6|7</v>
      </c>
      <c r="C96" s="5">
        <v>102002</v>
      </c>
      <c r="D96" s="5">
        <f t="shared" si="7"/>
        <v>13</v>
      </c>
      <c r="E96" s="5" t="s">
        <v>35</v>
      </c>
      <c r="F96">
        <f t="shared" si="8"/>
        <v>13</v>
      </c>
      <c r="G96">
        <v>13</v>
      </c>
    </row>
    <row r="97" spans="1:7">
      <c r="A97" s="5">
        <f t="shared" si="9"/>
        <v>10200214</v>
      </c>
      <c r="B97" s="34" t="str">
        <f>_xlfn.XLOOKUP(C97,SkillActive!$A:$A,SkillActive!C:C,,0)</f>
        <v>1|2|3|4|5|6|7</v>
      </c>
      <c r="C97" s="5">
        <v>102002</v>
      </c>
      <c r="D97" s="5">
        <f t="shared" si="7"/>
        <v>14</v>
      </c>
      <c r="E97" s="5" t="s">
        <v>35</v>
      </c>
      <c r="F97">
        <f t="shared" si="8"/>
        <v>14</v>
      </c>
      <c r="G97">
        <v>14</v>
      </c>
    </row>
    <row r="98" spans="1:7">
      <c r="A98" s="5">
        <f t="shared" si="9"/>
        <v>10200215</v>
      </c>
      <c r="B98" s="34" t="str">
        <f>_xlfn.XLOOKUP(C98,SkillActive!$A:$A,SkillActive!C:C,,0)</f>
        <v>1|2|3|4|5|6|7</v>
      </c>
      <c r="C98" s="5">
        <v>102002</v>
      </c>
      <c r="D98" s="5">
        <f t="shared" si="7"/>
        <v>15</v>
      </c>
      <c r="E98" s="5" t="s">
        <v>35</v>
      </c>
      <c r="F98">
        <f t="shared" si="8"/>
        <v>15</v>
      </c>
      <c r="G98">
        <v>15</v>
      </c>
    </row>
    <row r="99" spans="1:7">
      <c r="A99" s="5">
        <f t="shared" si="9"/>
        <v>10200216</v>
      </c>
      <c r="B99" s="34" t="str">
        <f>_xlfn.XLOOKUP(C99,SkillActive!$A:$A,SkillActive!C:C,,0)</f>
        <v>1|2|3|4|5|6|7</v>
      </c>
      <c r="C99" s="5">
        <v>102002</v>
      </c>
      <c r="D99" s="5">
        <f t="shared" si="7"/>
        <v>16</v>
      </c>
      <c r="E99" s="5" t="s">
        <v>35</v>
      </c>
      <c r="F99">
        <f t="shared" si="8"/>
        <v>16</v>
      </c>
      <c r="G99">
        <v>16</v>
      </c>
    </row>
    <row r="100" spans="1:7">
      <c r="A100" s="5">
        <v>10200301</v>
      </c>
      <c r="B100" s="34" t="str">
        <f>_xlfn.XLOOKUP(C100,SkillActive!$A:$A,SkillActive!C:C,,0)</f>
        <v>1|2|3|4|5|6|7</v>
      </c>
      <c r="C100" s="5">
        <v>102003</v>
      </c>
      <c r="D100" s="5">
        <f t="shared" si="7"/>
        <v>1</v>
      </c>
      <c r="E100" s="5" t="s">
        <v>36</v>
      </c>
      <c r="F100">
        <f t="shared" si="8"/>
        <v>1</v>
      </c>
      <c r="G100">
        <v>1</v>
      </c>
    </row>
    <row r="101" spans="1:7">
      <c r="A101" s="5">
        <v>10200302</v>
      </c>
      <c r="B101" s="34" t="str">
        <f>_xlfn.XLOOKUP(C101,SkillActive!$A:$A,SkillActive!C:C,,0)</f>
        <v>1|2|3|4|5|6|7</v>
      </c>
      <c r="C101" s="5">
        <v>102003</v>
      </c>
      <c r="D101" s="5">
        <v>2</v>
      </c>
      <c r="E101" s="5" t="s">
        <v>36</v>
      </c>
      <c r="F101">
        <v>2</v>
      </c>
      <c r="G101">
        <v>2</v>
      </c>
    </row>
    <row r="102" spans="1:7">
      <c r="A102" s="5">
        <v>10200303</v>
      </c>
      <c r="B102" s="34" t="str">
        <f>_xlfn.XLOOKUP(C102,SkillActive!$A:$A,SkillActive!C:C,,0)</f>
        <v>1|2|3|4|5|6|7</v>
      </c>
      <c r="C102" s="5">
        <v>102003</v>
      </c>
      <c r="D102" s="5">
        <f t="shared" ref="D102:D115" si="10">D86</f>
        <v>3</v>
      </c>
      <c r="E102" s="5" t="s">
        <v>36</v>
      </c>
      <c r="F102">
        <v>3</v>
      </c>
      <c r="G102">
        <v>3</v>
      </c>
    </row>
    <row r="103" spans="1:7">
      <c r="A103" s="5">
        <v>10200304</v>
      </c>
      <c r="B103" s="34" t="str">
        <f>_xlfn.XLOOKUP(C103,SkillActive!$A:$A,SkillActive!C:C,,0)</f>
        <v>1|2|3|4|5|6|7</v>
      </c>
      <c r="C103" s="5">
        <v>102003</v>
      </c>
      <c r="D103" s="5">
        <f t="shared" si="10"/>
        <v>4</v>
      </c>
      <c r="E103" s="5" t="s">
        <v>36</v>
      </c>
      <c r="F103">
        <v>4</v>
      </c>
      <c r="G103">
        <v>4</v>
      </c>
    </row>
    <row r="104" spans="1:7">
      <c r="A104" s="5">
        <v>10200305</v>
      </c>
      <c r="B104" s="34" t="str">
        <f>_xlfn.XLOOKUP(C104,SkillActive!$A:$A,SkillActive!C:C,,0)</f>
        <v>1|2|3|4|5|6|7</v>
      </c>
      <c r="C104" s="5">
        <v>102003</v>
      </c>
      <c r="D104" s="5">
        <f t="shared" si="10"/>
        <v>5</v>
      </c>
      <c r="E104" s="5" t="s">
        <v>36</v>
      </c>
      <c r="F104">
        <v>5</v>
      </c>
      <c r="G104">
        <v>5</v>
      </c>
    </row>
    <row r="105" spans="1:7">
      <c r="A105" s="5">
        <v>10200306</v>
      </c>
      <c r="B105" s="34" t="str">
        <f>_xlfn.XLOOKUP(C105,SkillActive!$A:$A,SkillActive!C:C,,0)</f>
        <v>1|2|3|4|5|6|7</v>
      </c>
      <c r="C105" s="5">
        <v>102003</v>
      </c>
      <c r="D105" s="5">
        <f t="shared" si="10"/>
        <v>6</v>
      </c>
      <c r="E105" s="5" t="s">
        <v>36</v>
      </c>
      <c r="F105">
        <v>6</v>
      </c>
      <c r="G105">
        <v>6</v>
      </c>
    </row>
    <row r="106" spans="1:7">
      <c r="A106" s="5">
        <v>10200307</v>
      </c>
      <c r="B106" s="34" t="str">
        <f>_xlfn.XLOOKUP(C106,SkillActive!$A:$A,SkillActive!C:C,,0)</f>
        <v>1|2|3|4|5|6|7</v>
      </c>
      <c r="C106" s="5">
        <v>102003</v>
      </c>
      <c r="D106" s="5">
        <f t="shared" si="10"/>
        <v>7</v>
      </c>
      <c r="E106" s="5" t="s">
        <v>36</v>
      </c>
      <c r="F106">
        <v>7</v>
      </c>
      <c r="G106">
        <v>7</v>
      </c>
    </row>
    <row r="107" spans="1:7">
      <c r="A107" s="5">
        <v>10200308</v>
      </c>
      <c r="B107" s="34" t="str">
        <f>_xlfn.XLOOKUP(C107,SkillActive!$A:$A,SkillActive!C:C,,0)</f>
        <v>1|2|3|4|5|6|7</v>
      </c>
      <c r="C107" s="5">
        <v>102003</v>
      </c>
      <c r="D107" s="5">
        <f t="shared" si="10"/>
        <v>8</v>
      </c>
      <c r="E107" s="5" t="s">
        <v>36</v>
      </c>
      <c r="F107">
        <v>8</v>
      </c>
      <c r="G107">
        <v>8</v>
      </c>
    </row>
    <row r="108" spans="1:7">
      <c r="A108" s="5">
        <v>10200309</v>
      </c>
      <c r="B108" s="34" t="str">
        <f>_xlfn.XLOOKUP(C108,SkillActive!$A:$A,SkillActive!C:C,,0)</f>
        <v>1|2|3|4|5|6|7</v>
      </c>
      <c r="C108" s="5">
        <v>102003</v>
      </c>
      <c r="D108" s="5">
        <f t="shared" si="10"/>
        <v>9</v>
      </c>
      <c r="E108" s="5" t="s">
        <v>36</v>
      </c>
      <c r="F108">
        <v>9</v>
      </c>
      <c r="G108">
        <v>9</v>
      </c>
    </row>
    <row r="109" spans="1:7">
      <c r="A109" s="5">
        <v>10200310</v>
      </c>
      <c r="B109" s="34" t="str">
        <f>_xlfn.XLOOKUP(C109,SkillActive!$A:$A,SkillActive!C:C,,0)</f>
        <v>1|2|3|4|5|6|7</v>
      </c>
      <c r="C109" s="5">
        <v>102003</v>
      </c>
      <c r="D109" s="5">
        <f t="shared" si="10"/>
        <v>10</v>
      </c>
      <c r="E109" s="5" t="s">
        <v>36</v>
      </c>
      <c r="F109">
        <v>10</v>
      </c>
      <c r="G109">
        <v>10</v>
      </c>
    </row>
    <row r="110" spans="1:7">
      <c r="A110" s="5">
        <v>10200311</v>
      </c>
      <c r="B110" s="34" t="str">
        <f>_xlfn.XLOOKUP(C110,SkillActive!$A:$A,SkillActive!C:C,,0)</f>
        <v>1|2|3|4|5|6|7</v>
      </c>
      <c r="C110" s="5">
        <v>102003</v>
      </c>
      <c r="D110" s="5">
        <f t="shared" si="10"/>
        <v>11</v>
      </c>
      <c r="E110" s="5" t="s">
        <v>36</v>
      </c>
      <c r="F110">
        <v>11</v>
      </c>
      <c r="G110">
        <v>11</v>
      </c>
    </row>
    <row r="111" spans="1:7">
      <c r="A111" s="5">
        <v>10200312</v>
      </c>
      <c r="B111" s="34" t="str">
        <f>_xlfn.XLOOKUP(C111,SkillActive!$A:$A,SkillActive!C:C,,0)</f>
        <v>1|2|3|4|5|6|7</v>
      </c>
      <c r="C111" s="5">
        <v>102003</v>
      </c>
      <c r="D111" s="5">
        <f t="shared" si="10"/>
        <v>12</v>
      </c>
      <c r="E111" s="5" t="s">
        <v>36</v>
      </c>
      <c r="F111">
        <v>12</v>
      </c>
      <c r="G111">
        <v>12</v>
      </c>
    </row>
    <row r="112" spans="1:7">
      <c r="A112" s="5">
        <v>10200313</v>
      </c>
      <c r="B112" s="34" t="str">
        <f>_xlfn.XLOOKUP(C112,SkillActive!$A:$A,SkillActive!C:C,,0)</f>
        <v>1|2|3|4|5|6|7</v>
      </c>
      <c r="C112" s="5">
        <v>102003</v>
      </c>
      <c r="D112" s="5">
        <f t="shared" si="10"/>
        <v>13</v>
      </c>
      <c r="E112" s="5" t="s">
        <v>36</v>
      </c>
      <c r="F112">
        <v>13</v>
      </c>
      <c r="G112">
        <v>13</v>
      </c>
    </row>
    <row r="113" spans="1:7">
      <c r="A113" s="5">
        <v>10200314</v>
      </c>
      <c r="B113" s="34" t="str">
        <f>_xlfn.XLOOKUP(C113,SkillActive!$A:$A,SkillActive!C:C,,0)</f>
        <v>1|2|3|4|5|6|7</v>
      </c>
      <c r="C113" s="5">
        <v>102003</v>
      </c>
      <c r="D113" s="5">
        <f t="shared" si="10"/>
        <v>14</v>
      </c>
      <c r="E113" s="5" t="s">
        <v>36</v>
      </c>
      <c r="F113">
        <v>14</v>
      </c>
      <c r="G113">
        <v>14</v>
      </c>
    </row>
    <row r="114" spans="1:7">
      <c r="A114" s="5">
        <v>10200315</v>
      </c>
      <c r="B114" s="34" t="str">
        <f>_xlfn.XLOOKUP(C114,SkillActive!$A:$A,SkillActive!C:C,,0)</f>
        <v>1|2|3|4|5|6|7</v>
      </c>
      <c r="C114" s="5">
        <v>102003</v>
      </c>
      <c r="D114" s="5">
        <f t="shared" si="10"/>
        <v>15</v>
      </c>
      <c r="E114" s="5" t="s">
        <v>36</v>
      </c>
      <c r="F114">
        <v>15</v>
      </c>
      <c r="G114">
        <v>15</v>
      </c>
    </row>
    <row r="115" spans="1:7">
      <c r="A115" s="5">
        <v>10200316</v>
      </c>
      <c r="B115" s="34" t="str">
        <f>_xlfn.XLOOKUP(C115,SkillActive!$A:$A,SkillActive!C:C,,0)</f>
        <v>1|2|3|4|5|6|7</v>
      </c>
      <c r="C115" s="5">
        <v>102003</v>
      </c>
      <c r="D115" s="5">
        <f t="shared" si="10"/>
        <v>16</v>
      </c>
      <c r="E115" s="5" t="s">
        <v>36</v>
      </c>
      <c r="F115">
        <v>16</v>
      </c>
      <c r="G115">
        <v>16</v>
      </c>
    </row>
    <row r="116" spans="1:7">
      <c r="A116" s="5">
        <f t="shared" ref="A116:A163" si="11">C116*100+D116</f>
        <v>10200401</v>
      </c>
      <c r="B116" s="34" t="str">
        <f>_xlfn.XLOOKUP(C116,SkillActive!$A:$A,SkillActive!C:C,,0)</f>
        <v>1|2|3|4|5|6|7</v>
      </c>
      <c r="C116" s="5">
        <f t="shared" ref="C116:C163" si="12">C100+1</f>
        <v>102004</v>
      </c>
      <c r="D116" s="5">
        <f t="shared" ref="D116:D163" si="13">D100</f>
        <v>1</v>
      </c>
      <c r="E116" s="5" t="str">
        <f>_xlfn.XLOOKUP(C116,SkillActive!A:A,SkillActive!B:B,,,)</f>
        <v>法术旋龙</v>
      </c>
      <c r="F116">
        <f t="shared" ref="F116:F163" si="14">D116</f>
        <v>1</v>
      </c>
      <c r="G116">
        <f>_xlfn.XLOOKUP(C116,SkillActive!$A:$A,SkillActive!E:E,,0)</f>
        <v>1</v>
      </c>
    </row>
    <row r="117" spans="1:7">
      <c r="A117" s="5">
        <f t="shared" si="11"/>
        <v>10200402</v>
      </c>
      <c r="B117" s="34" t="str">
        <f>_xlfn.XLOOKUP(C117,SkillActive!$A:$A,SkillActive!C:C,,0)</f>
        <v>1|2|3|4|5|6|7</v>
      </c>
      <c r="C117" s="5">
        <f t="shared" si="12"/>
        <v>102004</v>
      </c>
      <c r="D117" s="5">
        <f t="shared" si="13"/>
        <v>2</v>
      </c>
      <c r="E117" s="5" t="str">
        <f>_xlfn.XLOOKUP(C117,SkillActive!A:A,SkillActive!B:B,,,)</f>
        <v>法术旋龙</v>
      </c>
      <c r="F117">
        <f t="shared" si="14"/>
        <v>2</v>
      </c>
      <c r="G117">
        <f>_xlfn.XLOOKUP(C117,SkillActive!$A:$A,SkillActive!E:E,,0)</f>
        <v>1</v>
      </c>
    </row>
    <row r="118" spans="1:7">
      <c r="A118" s="5">
        <f t="shared" si="11"/>
        <v>10200403</v>
      </c>
      <c r="B118" s="34" t="str">
        <f>_xlfn.XLOOKUP(C118,SkillActive!$A:$A,SkillActive!C:C,,0)</f>
        <v>1|2|3|4|5|6|7</v>
      </c>
      <c r="C118" s="5">
        <f t="shared" si="12"/>
        <v>102004</v>
      </c>
      <c r="D118" s="5">
        <f t="shared" si="13"/>
        <v>3</v>
      </c>
      <c r="E118" s="5" t="str">
        <f>_xlfn.XLOOKUP(C118,SkillActive!A:A,SkillActive!B:B,,,)</f>
        <v>法术旋龙</v>
      </c>
      <c r="F118">
        <f t="shared" si="14"/>
        <v>3</v>
      </c>
      <c r="G118">
        <f>_xlfn.XLOOKUP(C118,SkillActive!$A:$A,SkillActive!E:E,,0)</f>
        <v>1</v>
      </c>
    </row>
    <row r="119" spans="1:7">
      <c r="A119" s="5">
        <f t="shared" si="11"/>
        <v>10200404</v>
      </c>
      <c r="B119" s="34" t="str">
        <f>_xlfn.XLOOKUP(C119,SkillActive!$A:$A,SkillActive!C:C,,0)</f>
        <v>1|2|3|4|5|6|7</v>
      </c>
      <c r="C119" s="5">
        <f t="shared" si="12"/>
        <v>102004</v>
      </c>
      <c r="D119" s="5">
        <f t="shared" si="13"/>
        <v>4</v>
      </c>
      <c r="E119" s="5" t="str">
        <f>_xlfn.XLOOKUP(C119,SkillActive!A:A,SkillActive!B:B,,,)</f>
        <v>法术旋龙</v>
      </c>
      <c r="F119">
        <f t="shared" si="14"/>
        <v>4</v>
      </c>
      <c r="G119">
        <f>_xlfn.XLOOKUP(C119,SkillActive!$A:$A,SkillActive!E:E,,0)</f>
        <v>1</v>
      </c>
    </row>
    <row r="120" spans="1:7">
      <c r="A120" s="5">
        <f t="shared" si="11"/>
        <v>10200405</v>
      </c>
      <c r="B120" s="34" t="str">
        <f>_xlfn.XLOOKUP(C120,SkillActive!$A:$A,SkillActive!C:C,,0)</f>
        <v>1|2|3|4|5|6|7</v>
      </c>
      <c r="C120" s="5">
        <f t="shared" si="12"/>
        <v>102004</v>
      </c>
      <c r="D120" s="5">
        <f t="shared" si="13"/>
        <v>5</v>
      </c>
      <c r="E120" s="5" t="str">
        <f>_xlfn.XLOOKUP(C120,SkillActive!A:A,SkillActive!B:B,,,)</f>
        <v>法术旋龙</v>
      </c>
      <c r="F120">
        <f t="shared" si="14"/>
        <v>5</v>
      </c>
      <c r="G120">
        <f>_xlfn.XLOOKUP(C120,SkillActive!$A:$A,SkillActive!E:E,,0)</f>
        <v>1</v>
      </c>
    </row>
    <row r="121" spans="1:7">
      <c r="A121" s="5">
        <f t="shared" si="11"/>
        <v>10200406</v>
      </c>
      <c r="B121" s="34" t="str">
        <f>_xlfn.XLOOKUP(C121,SkillActive!$A:$A,SkillActive!C:C,,0)</f>
        <v>1|2|3|4|5|6|7</v>
      </c>
      <c r="C121" s="5">
        <f t="shared" si="12"/>
        <v>102004</v>
      </c>
      <c r="D121" s="5">
        <f t="shared" si="13"/>
        <v>6</v>
      </c>
      <c r="E121" s="5" t="str">
        <f>_xlfn.XLOOKUP(C121,SkillActive!A:A,SkillActive!B:B,,,)</f>
        <v>法术旋龙</v>
      </c>
      <c r="F121">
        <f t="shared" si="14"/>
        <v>6</v>
      </c>
      <c r="G121">
        <f>_xlfn.XLOOKUP(C121,SkillActive!$A:$A,SkillActive!E:E,,0)</f>
        <v>1</v>
      </c>
    </row>
    <row r="122" spans="1:7">
      <c r="A122" s="5">
        <f t="shared" si="11"/>
        <v>10200407</v>
      </c>
      <c r="B122" s="34" t="str">
        <f>_xlfn.XLOOKUP(C122,SkillActive!$A:$A,SkillActive!C:C,,0)</f>
        <v>1|2|3|4|5|6|7</v>
      </c>
      <c r="C122" s="5">
        <f t="shared" si="12"/>
        <v>102004</v>
      </c>
      <c r="D122" s="5">
        <f t="shared" si="13"/>
        <v>7</v>
      </c>
      <c r="E122" s="5" t="str">
        <f>_xlfn.XLOOKUP(C122,SkillActive!A:A,SkillActive!B:B,,,)</f>
        <v>法术旋龙</v>
      </c>
      <c r="F122">
        <f t="shared" si="14"/>
        <v>7</v>
      </c>
      <c r="G122">
        <f>_xlfn.XLOOKUP(C122,SkillActive!$A:$A,SkillActive!E:E,,0)</f>
        <v>1</v>
      </c>
    </row>
    <row r="123" spans="1:7">
      <c r="A123" s="5">
        <f t="shared" si="11"/>
        <v>10200408</v>
      </c>
      <c r="B123" s="34" t="str">
        <f>_xlfn.XLOOKUP(C123,SkillActive!$A:$A,SkillActive!C:C,,0)</f>
        <v>1|2|3|4|5|6|7</v>
      </c>
      <c r="C123" s="5">
        <f t="shared" si="12"/>
        <v>102004</v>
      </c>
      <c r="D123" s="5">
        <f t="shared" si="13"/>
        <v>8</v>
      </c>
      <c r="E123" s="5" t="str">
        <f>_xlfn.XLOOKUP(C123,SkillActive!A:A,SkillActive!B:B,,,)</f>
        <v>法术旋龙</v>
      </c>
      <c r="F123">
        <f t="shared" si="14"/>
        <v>8</v>
      </c>
      <c r="G123">
        <f>_xlfn.XLOOKUP(C123,SkillActive!$A:$A,SkillActive!E:E,,0)</f>
        <v>1</v>
      </c>
    </row>
    <row r="124" spans="1:7">
      <c r="A124" s="5">
        <f t="shared" si="11"/>
        <v>10200409</v>
      </c>
      <c r="B124" s="34" t="str">
        <f>_xlfn.XLOOKUP(C124,SkillActive!$A:$A,SkillActive!C:C,,0)</f>
        <v>1|2|3|4|5|6|7</v>
      </c>
      <c r="C124" s="5">
        <f t="shared" si="12"/>
        <v>102004</v>
      </c>
      <c r="D124" s="5">
        <f t="shared" si="13"/>
        <v>9</v>
      </c>
      <c r="E124" s="5" t="str">
        <f>_xlfn.XLOOKUP(C124,SkillActive!A:A,SkillActive!B:B,,,)</f>
        <v>法术旋龙</v>
      </c>
      <c r="F124">
        <f t="shared" si="14"/>
        <v>9</v>
      </c>
      <c r="G124">
        <f>_xlfn.XLOOKUP(C124,SkillActive!$A:$A,SkillActive!E:E,,0)</f>
        <v>1</v>
      </c>
    </row>
    <row r="125" spans="1:7">
      <c r="A125" s="5">
        <f t="shared" si="11"/>
        <v>10200410</v>
      </c>
      <c r="B125" s="34" t="str">
        <f>_xlfn.XLOOKUP(C125,SkillActive!$A:$A,SkillActive!C:C,,0)</f>
        <v>1|2|3|4|5|6|7</v>
      </c>
      <c r="C125" s="5">
        <f t="shared" si="12"/>
        <v>102004</v>
      </c>
      <c r="D125" s="5">
        <f t="shared" si="13"/>
        <v>10</v>
      </c>
      <c r="E125" s="5" t="str">
        <f>_xlfn.XLOOKUP(C125,SkillActive!A:A,SkillActive!B:B,,,)</f>
        <v>法术旋龙</v>
      </c>
      <c r="F125">
        <f t="shared" si="14"/>
        <v>10</v>
      </c>
      <c r="G125">
        <f>_xlfn.XLOOKUP(C125,SkillActive!$A:$A,SkillActive!E:E,,0)</f>
        <v>1</v>
      </c>
    </row>
    <row r="126" spans="1:7">
      <c r="A126" s="5">
        <f t="shared" si="11"/>
        <v>10200411</v>
      </c>
      <c r="B126" s="34" t="str">
        <f>_xlfn.XLOOKUP(C126,SkillActive!$A:$A,SkillActive!C:C,,0)</f>
        <v>1|2|3|4|5|6|7</v>
      </c>
      <c r="C126" s="5">
        <f t="shared" si="12"/>
        <v>102004</v>
      </c>
      <c r="D126" s="5">
        <f t="shared" si="13"/>
        <v>11</v>
      </c>
      <c r="E126" s="5" t="str">
        <f>_xlfn.XLOOKUP(C126,SkillActive!A:A,SkillActive!B:B,,,)</f>
        <v>法术旋龙</v>
      </c>
      <c r="F126">
        <f t="shared" si="14"/>
        <v>11</v>
      </c>
      <c r="G126">
        <f>_xlfn.XLOOKUP(C126,SkillActive!$A:$A,SkillActive!E:E,,0)</f>
        <v>1</v>
      </c>
    </row>
    <row r="127" spans="1:7">
      <c r="A127" s="5">
        <f t="shared" si="11"/>
        <v>10200412</v>
      </c>
      <c r="B127" s="34" t="str">
        <f>_xlfn.XLOOKUP(C127,SkillActive!$A:$A,SkillActive!C:C,,0)</f>
        <v>1|2|3|4|5|6|7</v>
      </c>
      <c r="C127" s="5">
        <f t="shared" si="12"/>
        <v>102004</v>
      </c>
      <c r="D127" s="5">
        <f t="shared" si="13"/>
        <v>12</v>
      </c>
      <c r="E127" s="5" t="str">
        <f>_xlfn.XLOOKUP(C127,SkillActive!A:A,SkillActive!B:B,,,)</f>
        <v>法术旋龙</v>
      </c>
      <c r="F127">
        <f t="shared" si="14"/>
        <v>12</v>
      </c>
      <c r="G127">
        <f>_xlfn.XLOOKUP(C127,SkillActive!$A:$A,SkillActive!E:E,,0)</f>
        <v>1</v>
      </c>
    </row>
    <row r="128" spans="1:7">
      <c r="A128" s="5">
        <f t="shared" si="11"/>
        <v>10200413</v>
      </c>
      <c r="B128" s="34" t="str">
        <f>_xlfn.XLOOKUP(C128,SkillActive!$A:$A,SkillActive!C:C,,0)</f>
        <v>1|2|3|4|5|6|7</v>
      </c>
      <c r="C128" s="5">
        <f t="shared" si="12"/>
        <v>102004</v>
      </c>
      <c r="D128" s="5">
        <f t="shared" si="13"/>
        <v>13</v>
      </c>
      <c r="E128" s="5" t="str">
        <f>_xlfn.XLOOKUP(C128,SkillActive!A:A,SkillActive!B:B,,,)</f>
        <v>法术旋龙</v>
      </c>
      <c r="F128">
        <f t="shared" si="14"/>
        <v>13</v>
      </c>
      <c r="G128">
        <f>_xlfn.XLOOKUP(C128,SkillActive!$A:$A,SkillActive!E:E,,0)</f>
        <v>1</v>
      </c>
    </row>
    <row r="129" spans="1:7">
      <c r="A129" s="5">
        <f t="shared" si="11"/>
        <v>10200414</v>
      </c>
      <c r="B129" s="34" t="str">
        <f>_xlfn.XLOOKUP(C129,SkillActive!$A:$A,SkillActive!C:C,,0)</f>
        <v>1|2|3|4|5|6|7</v>
      </c>
      <c r="C129" s="5">
        <f t="shared" si="12"/>
        <v>102004</v>
      </c>
      <c r="D129" s="5">
        <f t="shared" si="13"/>
        <v>14</v>
      </c>
      <c r="E129" s="5" t="str">
        <f>_xlfn.XLOOKUP(C129,SkillActive!A:A,SkillActive!B:B,,,)</f>
        <v>法术旋龙</v>
      </c>
      <c r="F129">
        <f t="shared" si="14"/>
        <v>14</v>
      </c>
      <c r="G129">
        <f>_xlfn.XLOOKUP(C129,SkillActive!$A:$A,SkillActive!E:E,,0)</f>
        <v>1</v>
      </c>
    </row>
    <row r="130" spans="1:7">
      <c r="A130" s="5">
        <f t="shared" si="11"/>
        <v>10200415</v>
      </c>
      <c r="B130" s="34" t="str">
        <f>_xlfn.XLOOKUP(C130,SkillActive!$A:$A,SkillActive!C:C,,0)</f>
        <v>1|2|3|4|5|6|7</v>
      </c>
      <c r="C130" s="5">
        <f t="shared" si="12"/>
        <v>102004</v>
      </c>
      <c r="D130" s="5">
        <f t="shared" si="13"/>
        <v>15</v>
      </c>
      <c r="E130" s="5" t="str">
        <f>_xlfn.XLOOKUP(C130,SkillActive!A:A,SkillActive!B:B,,,)</f>
        <v>法术旋龙</v>
      </c>
      <c r="F130">
        <f t="shared" si="14"/>
        <v>15</v>
      </c>
      <c r="G130">
        <f>_xlfn.XLOOKUP(C130,SkillActive!$A:$A,SkillActive!E:E,,0)</f>
        <v>1</v>
      </c>
    </row>
    <row r="131" spans="1:7">
      <c r="A131" s="5">
        <f t="shared" si="11"/>
        <v>10200416</v>
      </c>
      <c r="B131" s="34" t="str">
        <f>_xlfn.XLOOKUP(C131,SkillActive!$A:$A,SkillActive!C:C,,0)</f>
        <v>1|2|3|4|5|6|7</v>
      </c>
      <c r="C131" s="5">
        <f t="shared" si="12"/>
        <v>102004</v>
      </c>
      <c r="D131" s="5">
        <f t="shared" si="13"/>
        <v>16</v>
      </c>
      <c r="E131" s="5" t="str">
        <f>_xlfn.XLOOKUP(C131,SkillActive!A:A,SkillActive!B:B,,,)</f>
        <v>法术旋龙</v>
      </c>
      <c r="F131">
        <f t="shared" si="14"/>
        <v>16</v>
      </c>
      <c r="G131">
        <f>_xlfn.XLOOKUP(C131,SkillActive!$A:$A,SkillActive!E:E,,0)</f>
        <v>1</v>
      </c>
    </row>
    <row r="132" spans="1:7">
      <c r="A132" s="5">
        <f t="shared" si="11"/>
        <v>10200501</v>
      </c>
      <c r="B132" s="34" t="str">
        <f>_xlfn.XLOOKUP(C132,SkillActive!$A:$A,SkillActive!C:C,,0)</f>
        <v>1|2|3|4|5|6|7</v>
      </c>
      <c r="C132" s="5">
        <f t="shared" si="12"/>
        <v>102005</v>
      </c>
      <c r="D132" s="5">
        <f t="shared" si="13"/>
        <v>1</v>
      </c>
      <c r="E132" s="5" t="str">
        <f>_xlfn.XLOOKUP(C132,SkillActive!A:A,SkillActive!B:B,,,)</f>
        <v>火球术</v>
      </c>
      <c r="F132">
        <f t="shared" si="14"/>
        <v>1</v>
      </c>
      <c r="G132">
        <f>_xlfn.XLOOKUP(C132,SkillActive!$A:$A,SkillActive!E:E,,0)</f>
        <v>1</v>
      </c>
    </row>
    <row r="133" spans="1:7">
      <c r="A133" s="5">
        <f t="shared" si="11"/>
        <v>10200502</v>
      </c>
      <c r="B133" s="34" t="str">
        <f>_xlfn.XLOOKUP(C133,SkillActive!$A:$A,SkillActive!C:C,,0)</f>
        <v>1|2|3|4|5|6|7</v>
      </c>
      <c r="C133" s="5">
        <f t="shared" si="12"/>
        <v>102005</v>
      </c>
      <c r="D133" s="5">
        <f t="shared" si="13"/>
        <v>2</v>
      </c>
      <c r="E133" s="5" t="str">
        <f>_xlfn.XLOOKUP(C133,SkillActive!A:A,SkillActive!B:B,,,)</f>
        <v>火球术</v>
      </c>
      <c r="F133">
        <f t="shared" si="14"/>
        <v>2</v>
      </c>
      <c r="G133">
        <f>_xlfn.XLOOKUP(C133,SkillActive!$A:$A,SkillActive!E:E,,0)</f>
        <v>1</v>
      </c>
    </row>
    <row r="134" spans="1:7">
      <c r="A134" s="5">
        <f t="shared" si="11"/>
        <v>10200503</v>
      </c>
      <c r="B134" s="34" t="str">
        <f>_xlfn.XLOOKUP(C134,SkillActive!$A:$A,SkillActive!C:C,,0)</f>
        <v>1|2|3|4|5|6|7</v>
      </c>
      <c r="C134" s="5">
        <f t="shared" si="12"/>
        <v>102005</v>
      </c>
      <c r="D134" s="5">
        <f t="shared" si="13"/>
        <v>3</v>
      </c>
      <c r="E134" s="5" t="str">
        <f>_xlfn.XLOOKUP(C134,SkillActive!A:A,SkillActive!B:B,,,)</f>
        <v>火球术</v>
      </c>
      <c r="F134">
        <f t="shared" si="14"/>
        <v>3</v>
      </c>
      <c r="G134">
        <f>_xlfn.XLOOKUP(C134,SkillActive!$A:$A,SkillActive!E:E,,0)</f>
        <v>1</v>
      </c>
    </row>
    <row r="135" spans="1:7">
      <c r="A135" s="5">
        <f t="shared" si="11"/>
        <v>10200504</v>
      </c>
      <c r="B135" s="34" t="str">
        <f>_xlfn.XLOOKUP(C135,SkillActive!$A:$A,SkillActive!C:C,,0)</f>
        <v>1|2|3|4|5|6|7</v>
      </c>
      <c r="C135" s="5">
        <f t="shared" si="12"/>
        <v>102005</v>
      </c>
      <c r="D135" s="5">
        <f t="shared" si="13"/>
        <v>4</v>
      </c>
      <c r="E135" s="5" t="str">
        <f>_xlfn.XLOOKUP(C135,SkillActive!A:A,SkillActive!B:B,,,)</f>
        <v>火球术</v>
      </c>
      <c r="F135">
        <f t="shared" si="14"/>
        <v>4</v>
      </c>
      <c r="G135">
        <f>_xlfn.XLOOKUP(C135,SkillActive!$A:$A,SkillActive!E:E,,0)</f>
        <v>1</v>
      </c>
    </row>
    <row r="136" spans="1:7">
      <c r="A136" s="5">
        <f t="shared" si="11"/>
        <v>10200505</v>
      </c>
      <c r="B136" s="34" t="str">
        <f>_xlfn.XLOOKUP(C136,SkillActive!$A:$A,SkillActive!C:C,,0)</f>
        <v>1|2|3|4|5|6|7</v>
      </c>
      <c r="C136" s="5">
        <f t="shared" si="12"/>
        <v>102005</v>
      </c>
      <c r="D136" s="5">
        <f t="shared" si="13"/>
        <v>5</v>
      </c>
      <c r="E136" s="5" t="str">
        <f>_xlfn.XLOOKUP(C136,SkillActive!A:A,SkillActive!B:B,,,)</f>
        <v>火球术</v>
      </c>
      <c r="F136">
        <f t="shared" si="14"/>
        <v>5</v>
      </c>
      <c r="G136">
        <f>_xlfn.XLOOKUP(C136,SkillActive!$A:$A,SkillActive!E:E,,0)</f>
        <v>1</v>
      </c>
    </row>
    <row r="137" spans="1:7">
      <c r="A137" s="5">
        <f t="shared" si="11"/>
        <v>10200506</v>
      </c>
      <c r="B137" s="34" t="str">
        <f>_xlfn.XLOOKUP(C137,SkillActive!$A:$A,SkillActive!C:C,,0)</f>
        <v>1|2|3|4|5|6|7</v>
      </c>
      <c r="C137" s="5">
        <f t="shared" si="12"/>
        <v>102005</v>
      </c>
      <c r="D137" s="5">
        <f t="shared" si="13"/>
        <v>6</v>
      </c>
      <c r="E137" s="5" t="str">
        <f>_xlfn.XLOOKUP(C137,SkillActive!A:A,SkillActive!B:B,,,)</f>
        <v>火球术</v>
      </c>
      <c r="F137">
        <f t="shared" si="14"/>
        <v>6</v>
      </c>
      <c r="G137">
        <f>_xlfn.XLOOKUP(C137,SkillActive!$A:$A,SkillActive!E:E,,0)</f>
        <v>1</v>
      </c>
    </row>
    <row r="138" spans="1:7">
      <c r="A138" s="5">
        <f t="shared" si="11"/>
        <v>10200507</v>
      </c>
      <c r="B138" s="34" t="str">
        <f>_xlfn.XLOOKUP(C138,SkillActive!$A:$A,SkillActive!C:C,,0)</f>
        <v>1|2|3|4|5|6|7</v>
      </c>
      <c r="C138" s="5">
        <f t="shared" si="12"/>
        <v>102005</v>
      </c>
      <c r="D138" s="5">
        <f t="shared" si="13"/>
        <v>7</v>
      </c>
      <c r="E138" s="5" t="str">
        <f>_xlfn.XLOOKUP(C138,SkillActive!A:A,SkillActive!B:B,,,)</f>
        <v>火球术</v>
      </c>
      <c r="F138">
        <f t="shared" si="14"/>
        <v>7</v>
      </c>
      <c r="G138">
        <f>_xlfn.XLOOKUP(C138,SkillActive!$A:$A,SkillActive!E:E,,0)</f>
        <v>1</v>
      </c>
    </row>
    <row r="139" spans="1:7">
      <c r="A139" s="5">
        <f t="shared" si="11"/>
        <v>10200508</v>
      </c>
      <c r="B139" s="34" t="str">
        <f>_xlfn.XLOOKUP(C139,SkillActive!$A:$A,SkillActive!C:C,,0)</f>
        <v>1|2|3|4|5|6|7</v>
      </c>
      <c r="C139" s="5">
        <f t="shared" si="12"/>
        <v>102005</v>
      </c>
      <c r="D139" s="5">
        <f t="shared" si="13"/>
        <v>8</v>
      </c>
      <c r="E139" s="5" t="str">
        <f>_xlfn.XLOOKUP(C139,SkillActive!A:A,SkillActive!B:B,,,)</f>
        <v>火球术</v>
      </c>
      <c r="F139">
        <f t="shared" si="14"/>
        <v>8</v>
      </c>
      <c r="G139">
        <f>_xlfn.XLOOKUP(C139,SkillActive!$A:$A,SkillActive!E:E,,0)</f>
        <v>1</v>
      </c>
    </row>
    <row r="140" spans="1:7">
      <c r="A140" s="5">
        <f t="shared" si="11"/>
        <v>10200509</v>
      </c>
      <c r="B140" s="34" t="str">
        <f>_xlfn.XLOOKUP(C140,SkillActive!$A:$A,SkillActive!C:C,,0)</f>
        <v>1|2|3|4|5|6|7</v>
      </c>
      <c r="C140" s="5">
        <f t="shared" si="12"/>
        <v>102005</v>
      </c>
      <c r="D140" s="5">
        <f t="shared" si="13"/>
        <v>9</v>
      </c>
      <c r="E140" s="5" t="str">
        <f>_xlfn.XLOOKUP(C140,SkillActive!A:A,SkillActive!B:B,,,)</f>
        <v>火球术</v>
      </c>
      <c r="F140">
        <f t="shared" si="14"/>
        <v>9</v>
      </c>
      <c r="G140">
        <f>_xlfn.XLOOKUP(C140,SkillActive!$A:$A,SkillActive!E:E,,0)</f>
        <v>1</v>
      </c>
    </row>
    <row r="141" spans="1:7">
      <c r="A141" s="5">
        <f t="shared" si="11"/>
        <v>10200510</v>
      </c>
      <c r="B141" s="34" t="str">
        <f>_xlfn.XLOOKUP(C141,SkillActive!$A:$A,SkillActive!C:C,,0)</f>
        <v>1|2|3|4|5|6|7</v>
      </c>
      <c r="C141" s="5">
        <f t="shared" si="12"/>
        <v>102005</v>
      </c>
      <c r="D141" s="5">
        <f t="shared" si="13"/>
        <v>10</v>
      </c>
      <c r="E141" s="5" t="str">
        <f>_xlfn.XLOOKUP(C141,SkillActive!A:A,SkillActive!B:B,,,)</f>
        <v>火球术</v>
      </c>
      <c r="F141">
        <f t="shared" si="14"/>
        <v>10</v>
      </c>
      <c r="G141">
        <f>_xlfn.XLOOKUP(C141,SkillActive!$A:$A,SkillActive!E:E,,0)</f>
        <v>1</v>
      </c>
    </row>
    <row r="142" spans="1:7">
      <c r="A142" s="5">
        <f t="shared" si="11"/>
        <v>10200511</v>
      </c>
      <c r="B142" s="34" t="str">
        <f>_xlfn.XLOOKUP(C142,SkillActive!$A:$A,SkillActive!C:C,,0)</f>
        <v>1|2|3|4|5|6|7</v>
      </c>
      <c r="C142" s="5">
        <f t="shared" si="12"/>
        <v>102005</v>
      </c>
      <c r="D142" s="5">
        <f t="shared" si="13"/>
        <v>11</v>
      </c>
      <c r="E142" s="5" t="str">
        <f>_xlfn.XLOOKUP(C142,SkillActive!A:A,SkillActive!B:B,,,)</f>
        <v>火球术</v>
      </c>
      <c r="F142">
        <f t="shared" si="14"/>
        <v>11</v>
      </c>
      <c r="G142">
        <f>_xlfn.XLOOKUP(C142,SkillActive!$A:$A,SkillActive!E:E,,0)</f>
        <v>1</v>
      </c>
    </row>
    <row r="143" spans="1:7">
      <c r="A143" s="5">
        <f t="shared" si="11"/>
        <v>10200512</v>
      </c>
      <c r="B143" s="34" t="str">
        <f>_xlfn.XLOOKUP(C143,SkillActive!$A:$A,SkillActive!C:C,,0)</f>
        <v>1|2|3|4|5|6|7</v>
      </c>
      <c r="C143" s="5">
        <f t="shared" si="12"/>
        <v>102005</v>
      </c>
      <c r="D143" s="5">
        <f t="shared" si="13"/>
        <v>12</v>
      </c>
      <c r="E143" s="5" t="str">
        <f>_xlfn.XLOOKUP(C143,SkillActive!A:A,SkillActive!B:B,,,)</f>
        <v>火球术</v>
      </c>
      <c r="F143">
        <f t="shared" si="14"/>
        <v>12</v>
      </c>
      <c r="G143">
        <f>_xlfn.XLOOKUP(C143,SkillActive!$A:$A,SkillActive!E:E,,0)</f>
        <v>1</v>
      </c>
    </row>
    <row r="144" spans="1:7">
      <c r="A144" s="5">
        <f t="shared" si="11"/>
        <v>10200513</v>
      </c>
      <c r="B144" s="34" t="str">
        <f>_xlfn.XLOOKUP(C144,SkillActive!$A:$A,SkillActive!C:C,,0)</f>
        <v>1|2|3|4|5|6|7</v>
      </c>
      <c r="C144" s="5">
        <f t="shared" si="12"/>
        <v>102005</v>
      </c>
      <c r="D144" s="5">
        <f t="shared" si="13"/>
        <v>13</v>
      </c>
      <c r="E144" s="5" t="str">
        <f>_xlfn.XLOOKUP(C144,SkillActive!A:A,SkillActive!B:B,,,)</f>
        <v>火球术</v>
      </c>
      <c r="F144">
        <f t="shared" si="14"/>
        <v>13</v>
      </c>
      <c r="G144">
        <f>_xlfn.XLOOKUP(C144,SkillActive!$A:$A,SkillActive!E:E,,0)</f>
        <v>1</v>
      </c>
    </row>
    <row r="145" spans="1:7">
      <c r="A145" s="5">
        <f t="shared" si="11"/>
        <v>10200514</v>
      </c>
      <c r="B145" s="34" t="str">
        <f>_xlfn.XLOOKUP(C145,SkillActive!$A:$A,SkillActive!C:C,,0)</f>
        <v>1|2|3|4|5|6|7</v>
      </c>
      <c r="C145" s="5">
        <f t="shared" si="12"/>
        <v>102005</v>
      </c>
      <c r="D145" s="5">
        <f t="shared" si="13"/>
        <v>14</v>
      </c>
      <c r="E145" s="5" t="str">
        <f>_xlfn.XLOOKUP(C145,SkillActive!A:A,SkillActive!B:B,,,)</f>
        <v>火球术</v>
      </c>
      <c r="F145">
        <f t="shared" si="14"/>
        <v>14</v>
      </c>
      <c r="G145">
        <f>_xlfn.XLOOKUP(C145,SkillActive!$A:$A,SkillActive!E:E,,0)</f>
        <v>1</v>
      </c>
    </row>
    <row r="146" spans="1:7">
      <c r="A146" s="5">
        <f t="shared" si="11"/>
        <v>10200515</v>
      </c>
      <c r="B146" s="34" t="str">
        <f>_xlfn.XLOOKUP(C146,SkillActive!$A:$A,SkillActive!C:C,,0)</f>
        <v>1|2|3|4|5|6|7</v>
      </c>
      <c r="C146" s="5">
        <f t="shared" si="12"/>
        <v>102005</v>
      </c>
      <c r="D146" s="5">
        <f t="shared" si="13"/>
        <v>15</v>
      </c>
      <c r="E146" s="5" t="str">
        <f>_xlfn.XLOOKUP(C146,SkillActive!A:A,SkillActive!B:B,,,)</f>
        <v>火球术</v>
      </c>
      <c r="F146">
        <f t="shared" si="14"/>
        <v>15</v>
      </c>
      <c r="G146">
        <f>_xlfn.XLOOKUP(C146,SkillActive!$A:$A,SkillActive!E:E,,0)</f>
        <v>1</v>
      </c>
    </row>
    <row r="147" spans="1:7">
      <c r="A147" s="5">
        <f t="shared" si="11"/>
        <v>10200516</v>
      </c>
      <c r="B147" s="34" t="str">
        <f>_xlfn.XLOOKUP(C147,SkillActive!$A:$A,SkillActive!C:C,,0)</f>
        <v>1|2|3|4|5|6|7</v>
      </c>
      <c r="C147" s="5">
        <f t="shared" si="12"/>
        <v>102005</v>
      </c>
      <c r="D147" s="5">
        <f t="shared" si="13"/>
        <v>16</v>
      </c>
      <c r="E147" s="5" t="str">
        <f>_xlfn.XLOOKUP(C147,SkillActive!A:A,SkillActive!B:B,,,)</f>
        <v>火球术</v>
      </c>
      <c r="F147">
        <f t="shared" si="14"/>
        <v>16</v>
      </c>
      <c r="G147">
        <f>_xlfn.XLOOKUP(C147,SkillActive!$A:$A,SkillActive!E:E,,0)</f>
        <v>1</v>
      </c>
    </row>
    <row r="148" spans="1:7">
      <c r="A148" s="5">
        <f t="shared" si="11"/>
        <v>10200601</v>
      </c>
      <c r="B148" s="34" t="str">
        <f>_xlfn.XLOOKUP(C148,SkillActive!$A:$A,SkillActive!C:C,,0)</f>
        <v>1|2|3|4|5|6|7</v>
      </c>
      <c r="C148" s="5">
        <f t="shared" si="12"/>
        <v>102006</v>
      </c>
      <c r="D148" s="5">
        <f t="shared" si="13"/>
        <v>1</v>
      </c>
      <c r="E148" s="5" t="str">
        <f>_xlfn.XLOOKUP(C148,SkillActive!A:A,SkillActive!B:B,,,)</f>
        <v>混沌陨星</v>
      </c>
      <c r="F148">
        <f t="shared" si="14"/>
        <v>1</v>
      </c>
      <c r="G148">
        <f>_xlfn.XLOOKUP(C148,SkillActive!$A:$A,SkillActive!E:E,,0)</f>
        <v>1</v>
      </c>
    </row>
    <row r="149" spans="1:7">
      <c r="A149" s="5">
        <f t="shared" si="11"/>
        <v>10200602</v>
      </c>
      <c r="B149" s="34" t="str">
        <f>_xlfn.XLOOKUP(C149,SkillActive!$A:$A,SkillActive!C:C,,0)</f>
        <v>1|2|3|4|5|6|7</v>
      </c>
      <c r="C149" s="5">
        <f t="shared" si="12"/>
        <v>102006</v>
      </c>
      <c r="D149" s="5">
        <f t="shared" si="13"/>
        <v>2</v>
      </c>
      <c r="E149" s="5" t="str">
        <f>_xlfn.XLOOKUP(C149,SkillActive!A:A,SkillActive!B:B,,,)</f>
        <v>混沌陨星</v>
      </c>
      <c r="F149">
        <f t="shared" si="14"/>
        <v>2</v>
      </c>
      <c r="G149">
        <f>_xlfn.XLOOKUP(C149,SkillActive!$A:$A,SkillActive!E:E,,0)</f>
        <v>1</v>
      </c>
    </row>
    <row r="150" spans="1:7">
      <c r="A150" s="5">
        <f t="shared" si="11"/>
        <v>10200603</v>
      </c>
      <c r="B150" s="34" t="str">
        <f>_xlfn.XLOOKUP(C150,SkillActive!$A:$A,SkillActive!C:C,,0)</f>
        <v>1|2|3|4|5|6|7</v>
      </c>
      <c r="C150" s="5">
        <f t="shared" si="12"/>
        <v>102006</v>
      </c>
      <c r="D150" s="5">
        <f t="shared" si="13"/>
        <v>3</v>
      </c>
      <c r="E150" s="5" t="str">
        <f>_xlfn.XLOOKUP(C150,SkillActive!A:A,SkillActive!B:B,,,)</f>
        <v>混沌陨星</v>
      </c>
      <c r="F150">
        <f t="shared" si="14"/>
        <v>3</v>
      </c>
      <c r="G150">
        <f>_xlfn.XLOOKUP(C150,SkillActive!$A:$A,SkillActive!E:E,,0)</f>
        <v>1</v>
      </c>
    </row>
    <row r="151" spans="1:7">
      <c r="A151" s="5">
        <f t="shared" si="11"/>
        <v>10200604</v>
      </c>
      <c r="B151" s="34" t="str">
        <f>_xlfn.XLOOKUP(C151,SkillActive!$A:$A,SkillActive!C:C,,0)</f>
        <v>1|2|3|4|5|6|7</v>
      </c>
      <c r="C151" s="5">
        <f t="shared" si="12"/>
        <v>102006</v>
      </c>
      <c r="D151" s="5">
        <f t="shared" si="13"/>
        <v>4</v>
      </c>
      <c r="E151" s="5" t="str">
        <f>_xlfn.XLOOKUP(C151,SkillActive!A:A,SkillActive!B:B,,,)</f>
        <v>混沌陨星</v>
      </c>
      <c r="F151">
        <f t="shared" si="14"/>
        <v>4</v>
      </c>
      <c r="G151">
        <f>_xlfn.XLOOKUP(C151,SkillActive!$A:$A,SkillActive!E:E,,0)</f>
        <v>1</v>
      </c>
    </row>
    <row r="152" spans="1:7">
      <c r="A152" s="5">
        <f t="shared" si="11"/>
        <v>10200605</v>
      </c>
      <c r="B152" s="34" t="str">
        <f>_xlfn.XLOOKUP(C152,SkillActive!$A:$A,SkillActive!C:C,,0)</f>
        <v>1|2|3|4|5|6|7</v>
      </c>
      <c r="C152" s="5">
        <f t="shared" si="12"/>
        <v>102006</v>
      </c>
      <c r="D152" s="5">
        <f t="shared" si="13"/>
        <v>5</v>
      </c>
      <c r="E152" s="5" t="str">
        <f>_xlfn.XLOOKUP(C152,SkillActive!A:A,SkillActive!B:B,,,)</f>
        <v>混沌陨星</v>
      </c>
      <c r="F152">
        <f t="shared" si="14"/>
        <v>5</v>
      </c>
      <c r="G152">
        <f>_xlfn.XLOOKUP(C152,SkillActive!$A:$A,SkillActive!E:E,,0)</f>
        <v>1</v>
      </c>
    </row>
    <row r="153" spans="1:7">
      <c r="A153" s="5">
        <f t="shared" si="11"/>
        <v>10200606</v>
      </c>
      <c r="B153" s="34" t="str">
        <f>_xlfn.XLOOKUP(C153,SkillActive!$A:$A,SkillActive!C:C,,0)</f>
        <v>1|2|3|4|5|6|7</v>
      </c>
      <c r="C153" s="5">
        <f t="shared" si="12"/>
        <v>102006</v>
      </c>
      <c r="D153" s="5">
        <f t="shared" si="13"/>
        <v>6</v>
      </c>
      <c r="E153" s="5" t="str">
        <f>_xlfn.XLOOKUP(C153,SkillActive!A:A,SkillActive!B:B,,,)</f>
        <v>混沌陨星</v>
      </c>
      <c r="F153">
        <f t="shared" si="14"/>
        <v>6</v>
      </c>
      <c r="G153">
        <f>_xlfn.XLOOKUP(C153,SkillActive!$A:$A,SkillActive!E:E,,0)</f>
        <v>1</v>
      </c>
    </row>
    <row r="154" spans="1:7">
      <c r="A154" s="5">
        <f t="shared" si="11"/>
        <v>10200607</v>
      </c>
      <c r="B154" s="34" t="str">
        <f>_xlfn.XLOOKUP(C154,SkillActive!$A:$A,SkillActive!C:C,,0)</f>
        <v>1|2|3|4|5|6|7</v>
      </c>
      <c r="C154" s="5">
        <f t="shared" si="12"/>
        <v>102006</v>
      </c>
      <c r="D154" s="5">
        <f t="shared" si="13"/>
        <v>7</v>
      </c>
      <c r="E154" s="5" t="str">
        <f>_xlfn.XLOOKUP(C154,SkillActive!A:A,SkillActive!B:B,,,)</f>
        <v>混沌陨星</v>
      </c>
      <c r="F154">
        <f t="shared" si="14"/>
        <v>7</v>
      </c>
      <c r="G154">
        <f>_xlfn.XLOOKUP(C154,SkillActive!$A:$A,SkillActive!E:E,,0)</f>
        <v>1</v>
      </c>
    </row>
    <row r="155" spans="1:7">
      <c r="A155" s="5">
        <f t="shared" si="11"/>
        <v>10200608</v>
      </c>
      <c r="B155" s="34" t="str">
        <f>_xlfn.XLOOKUP(C155,SkillActive!$A:$A,SkillActive!C:C,,0)</f>
        <v>1|2|3|4|5|6|7</v>
      </c>
      <c r="C155" s="5">
        <f t="shared" si="12"/>
        <v>102006</v>
      </c>
      <c r="D155" s="5">
        <f t="shared" si="13"/>
        <v>8</v>
      </c>
      <c r="E155" s="5" t="str">
        <f>_xlfn.XLOOKUP(C155,SkillActive!A:A,SkillActive!B:B,,,)</f>
        <v>混沌陨星</v>
      </c>
      <c r="F155">
        <f t="shared" si="14"/>
        <v>8</v>
      </c>
      <c r="G155">
        <f>_xlfn.XLOOKUP(C155,SkillActive!$A:$A,SkillActive!E:E,,0)</f>
        <v>1</v>
      </c>
    </row>
    <row r="156" spans="1:7">
      <c r="A156" s="5">
        <f t="shared" si="11"/>
        <v>10200609</v>
      </c>
      <c r="B156" s="34" t="str">
        <f>_xlfn.XLOOKUP(C156,SkillActive!$A:$A,SkillActive!C:C,,0)</f>
        <v>1|2|3|4|5|6|7</v>
      </c>
      <c r="C156" s="5">
        <f t="shared" si="12"/>
        <v>102006</v>
      </c>
      <c r="D156" s="5">
        <f t="shared" si="13"/>
        <v>9</v>
      </c>
      <c r="E156" s="5" t="str">
        <f>_xlfn.XLOOKUP(C156,SkillActive!A:A,SkillActive!B:B,,,)</f>
        <v>混沌陨星</v>
      </c>
      <c r="F156">
        <f t="shared" si="14"/>
        <v>9</v>
      </c>
      <c r="G156">
        <f>_xlfn.XLOOKUP(C156,SkillActive!$A:$A,SkillActive!E:E,,0)</f>
        <v>1</v>
      </c>
    </row>
    <row r="157" spans="1:7">
      <c r="A157" s="5">
        <f t="shared" si="11"/>
        <v>10200610</v>
      </c>
      <c r="B157" s="34" t="str">
        <f>_xlfn.XLOOKUP(C157,SkillActive!$A:$A,SkillActive!C:C,,0)</f>
        <v>1|2|3|4|5|6|7</v>
      </c>
      <c r="C157" s="5">
        <f t="shared" si="12"/>
        <v>102006</v>
      </c>
      <c r="D157" s="5">
        <f t="shared" si="13"/>
        <v>10</v>
      </c>
      <c r="E157" s="5" t="str">
        <f>_xlfn.XLOOKUP(C157,SkillActive!A:A,SkillActive!B:B,,,)</f>
        <v>混沌陨星</v>
      </c>
      <c r="F157">
        <f t="shared" si="14"/>
        <v>10</v>
      </c>
      <c r="G157">
        <f>_xlfn.XLOOKUP(C157,SkillActive!$A:$A,SkillActive!E:E,,0)</f>
        <v>1</v>
      </c>
    </row>
    <row r="158" spans="1:7">
      <c r="A158" s="5">
        <f t="shared" si="11"/>
        <v>10200611</v>
      </c>
      <c r="B158" s="34" t="str">
        <f>_xlfn.XLOOKUP(C158,SkillActive!$A:$A,SkillActive!C:C,,0)</f>
        <v>1|2|3|4|5|6|7</v>
      </c>
      <c r="C158" s="5">
        <f t="shared" si="12"/>
        <v>102006</v>
      </c>
      <c r="D158" s="5">
        <f t="shared" si="13"/>
        <v>11</v>
      </c>
      <c r="E158" s="5" t="str">
        <f>_xlfn.XLOOKUP(C158,SkillActive!A:A,SkillActive!B:B,,,)</f>
        <v>混沌陨星</v>
      </c>
      <c r="F158">
        <f t="shared" si="14"/>
        <v>11</v>
      </c>
      <c r="G158">
        <f>_xlfn.XLOOKUP(C158,SkillActive!$A:$A,SkillActive!E:E,,0)</f>
        <v>1</v>
      </c>
    </row>
    <row r="159" spans="1:7">
      <c r="A159" s="5">
        <f t="shared" si="11"/>
        <v>10200612</v>
      </c>
      <c r="B159" s="34" t="str">
        <f>_xlfn.XLOOKUP(C159,SkillActive!$A:$A,SkillActive!C:C,,0)</f>
        <v>1|2|3|4|5|6|7</v>
      </c>
      <c r="C159" s="5">
        <f t="shared" si="12"/>
        <v>102006</v>
      </c>
      <c r="D159" s="5">
        <f t="shared" si="13"/>
        <v>12</v>
      </c>
      <c r="E159" s="5" t="str">
        <f>_xlfn.XLOOKUP(C159,SkillActive!A:A,SkillActive!B:B,,,)</f>
        <v>混沌陨星</v>
      </c>
      <c r="F159">
        <f t="shared" si="14"/>
        <v>12</v>
      </c>
      <c r="G159">
        <f>_xlfn.XLOOKUP(C159,SkillActive!$A:$A,SkillActive!E:E,,0)</f>
        <v>1</v>
      </c>
    </row>
    <row r="160" spans="1:7">
      <c r="A160" s="5">
        <f t="shared" si="11"/>
        <v>10200613</v>
      </c>
      <c r="B160" s="34" t="str">
        <f>_xlfn.XLOOKUP(C160,SkillActive!$A:$A,SkillActive!C:C,,0)</f>
        <v>1|2|3|4|5|6|7</v>
      </c>
      <c r="C160" s="5">
        <f t="shared" si="12"/>
        <v>102006</v>
      </c>
      <c r="D160" s="5">
        <f t="shared" si="13"/>
        <v>13</v>
      </c>
      <c r="E160" s="5" t="str">
        <f>_xlfn.XLOOKUP(C160,SkillActive!A:A,SkillActive!B:B,,,)</f>
        <v>混沌陨星</v>
      </c>
      <c r="F160">
        <f t="shared" si="14"/>
        <v>13</v>
      </c>
      <c r="G160">
        <f>_xlfn.XLOOKUP(C160,SkillActive!$A:$A,SkillActive!E:E,,0)</f>
        <v>1</v>
      </c>
    </row>
    <row r="161" spans="1:7">
      <c r="A161" s="5">
        <f t="shared" si="11"/>
        <v>10200614</v>
      </c>
      <c r="B161" s="34" t="str">
        <f>_xlfn.XLOOKUP(C161,SkillActive!$A:$A,SkillActive!C:C,,0)</f>
        <v>1|2|3|4|5|6|7</v>
      </c>
      <c r="C161" s="5">
        <f t="shared" si="12"/>
        <v>102006</v>
      </c>
      <c r="D161" s="5">
        <f t="shared" si="13"/>
        <v>14</v>
      </c>
      <c r="E161" s="5" t="str">
        <f>_xlfn.XLOOKUP(C161,SkillActive!A:A,SkillActive!B:B,,,)</f>
        <v>混沌陨星</v>
      </c>
      <c r="F161">
        <f t="shared" si="14"/>
        <v>14</v>
      </c>
      <c r="G161">
        <f>_xlfn.XLOOKUP(C161,SkillActive!$A:$A,SkillActive!E:E,,0)</f>
        <v>1</v>
      </c>
    </row>
    <row r="162" spans="1:7">
      <c r="A162" s="5">
        <f t="shared" si="11"/>
        <v>10200615</v>
      </c>
      <c r="B162" s="34" t="str">
        <f>_xlfn.XLOOKUP(C162,SkillActive!$A:$A,SkillActive!C:C,,0)</f>
        <v>1|2|3|4|5|6|7</v>
      </c>
      <c r="C162" s="5">
        <f t="shared" si="12"/>
        <v>102006</v>
      </c>
      <c r="D162" s="5">
        <f t="shared" si="13"/>
        <v>15</v>
      </c>
      <c r="E162" s="5" t="str">
        <f>_xlfn.XLOOKUP(C162,SkillActive!A:A,SkillActive!B:B,,,)</f>
        <v>混沌陨星</v>
      </c>
      <c r="F162">
        <f t="shared" si="14"/>
        <v>15</v>
      </c>
      <c r="G162">
        <f>_xlfn.XLOOKUP(C162,SkillActive!$A:$A,SkillActive!E:E,,0)</f>
        <v>1</v>
      </c>
    </row>
    <row r="163" spans="1:7">
      <c r="A163" s="5">
        <f t="shared" si="11"/>
        <v>10200616</v>
      </c>
      <c r="B163" s="34" t="str">
        <f>_xlfn.XLOOKUP(C163,SkillActive!$A:$A,SkillActive!C:C,,0)</f>
        <v>1|2|3|4|5|6|7</v>
      </c>
      <c r="C163" s="5">
        <f t="shared" si="12"/>
        <v>102006</v>
      </c>
      <c r="D163" s="5">
        <f t="shared" si="13"/>
        <v>16</v>
      </c>
      <c r="E163" s="5" t="str">
        <f>_xlfn.XLOOKUP(C163,SkillActive!A:A,SkillActive!B:B,,,)</f>
        <v>混沌陨星</v>
      </c>
      <c r="F163">
        <f t="shared" si="14"/>
        <v>16</v>
      </c>
      <c r="G163">
        <f>_xlfn.XLOOKUP(C163,SkillActive!$A:$A,SkillActive!E:E,,0)</f>
        <v>1</v>
      </c>
    </row>
    <row r="164" ht="12" customHeight="1" spans="1:7">
      <c r="A164" s="5">
        <f t="shared" ref="A164:A227" si="15">C164*100+D164</f>
        <v>20100103</v>
      </c>
      <c r="B164" s="34" t="str">
        <f>_xlfn.XLOOKUP(C164,SkillActive!$A:$A,SkillActive!C:C,,0)</f>
        <v>1|2|3|4|5|6|7</v>
      </c>
      <c r="C164" s="5">
        <v>201001</v>
      </c>
      <c r="D164" s="5">
        <f t="shared" ref="D164:D177" si="16">D22</f>
        <v>3</v>
      </c>
      <c r="E164" s="5" t="str">
        <f>_xlfn.XLOOKUP(C164,SkillActive!A:A,SkillActive!B:B,,,)</f>
        <v>闪电之捷</v>
      </c>
      <c r="F164">
        <f t="shared" ref="F164:F227" si="17">D164</f>
        <v>3</v>
      </c>
      <c r="G164">
        <f>_xlfn.XLOOKUP(C164,SkillActive!$A:$A,SkillActive!E:E,,0)</f>
        <v>2</v>
      </c>
    </row>
    <row r="165" spans="1:7">
      <c r="A165" s="5">
        <f t="shared" si="15"/>
        <v>20100104</v>
      </c>
      <c r="B165" s="34" t="str">
        <f>_xlfn.XLOOKUP(C165,SkillActive!$A:$A,SkillActive!C:C,,0)</f>
        <v>1|2|3|4|5|6|7</v>
      </c>
      <c r="C165" s="5">
        <v>201001</v>
      </c>
      <c r="D165" s="5">
        <f t="shared" si="16"/>
        <v>4</v>
      </c>
      <c r="E165" s="5" t="str">
        <f>_xlfn.XLOOKUP(C165,SkillActive!A:A,SkillActive!B:B,,,)</f>
        <v>闪电之捷</v>
      </c>
      <c r="F165">
        <f t="shared" si="17"/>
        <v>4</v>
      </c>
      <c r="G165">
        <f>_xlfn.XLOOKUP(C165,SkillActive!$A:$A,SkillActive!E:E,,0)</f>
        <v>2</v>
      </c>
    </row>
    <row r="166" spans="1:7">
      <c r="A166" s="5">
        <f t="shared" si="15"/>
        <v>20100105</v>
      </c>
      <c r="B166" s="34" t="str">
        <f>_xlfn.XLOOKUP(C166,SkillActive!$A:$A,SkillActive!C:C,,0)</f>
        <v>1|2|3|4|5|6|7</v>
      </c>
      <c r="C166" s="5">
        <v>201001</v>
      </c>
      <c r="D166" s="5">
        <f t="shared" si="16"/>
        <v>5</v>
      </c>
      <c r="E166" s="5" t="str">
        <f>_xlfn.XLOOKUP(C166,SkillActive!A:A,SkillActive!B:B,,,)</f>
        <v>闪电之捷</v>
      </c>
      <c r="F166">
        <f t="shared" si="17"/>
        <v>5</v>
      </c>
      <c r="G166">
        <f>_xlfn.XLOOKUP(C166,SkillActive!$A:$A,SkillActive!E:E,,0)</f>
        <v>2</v>
      </c>
    </row>
    <row r="167" spans="1:7">
      <c r="A167" s="5">
        <f t="shared" si="15"/>
        <v>20100106</v>
      </c>
      <c r="B167" s="34" t="str">
        <f>_xlfn.XLOOKUP(C167,SkillActive!$A:$A,SkillActive!C:C,,0)</f>
        <v>1|2|3|4|5|6|7</v>
      </c>
      <c r="C167" s="5">
        <v>201001</v>
      </c>
      <c r="D167" s="5">
        <f t="shared" si="16"/>
        <v>6</v>
      </c>
      <c r="E167" s="5" t="str">
        <f>_xlfn.XLOOKUP(C167,SkillActive!A:A,SkillActive!B:B,,,)</f>
        <v>闪电之捷</v>
      </c>
      <c r="F167">
        <f t="shared" si="17"/>
        <v>6</v>
      </c>
      <c r="G167">
        <f>_xlfn.XLOOKUP(C167,SkillActive!$A:$A,SkillActive!E:E,,0)</f>
        <v>2</v>
      </c>
    </row>
    <row r="168" spans="1:7">
      <c r="A168" s="5">
        <f t="shared" si="15"/>
        <v>20100107</v>
      </c>
      <c r="B168" s="34" t="str">
        <f>_xlfn.XLOOKUP(C168,SkillActive!$A:$A,SkillActive!C:C,,0)</f>
        <v>1|2|3|4|5|6|7</v>
      </c>
      <c r="C168" s="5">
        <v>201001</v>
      </c>
      <c r="D168" s="5">
        <f t="shared" si="16"/>
        <v>7</v>
      </c>
      <c r="E168" s="5" t="str">
        <f>_xlfn.XLOOKUP(C168,SkillActive!A:A,SkillActive!B:B,,,)</f>
        <v>闪电之捷</v>
      </c>
      <c r="F168">
        <f t="shared" si="17"/>
        <v>7</v>
      </c>
      <c r="G168">
        <f>_xlfn.XLOOKUP(C168,SkillActive!$A:$A,SkillActive!E:E,,0)</f>
        <v>2</v>
      </c>
    </row>
    <row r="169" spans="1:7">
      <c r="A169" s="5">
        <f t="shared" si="15"/>
        <v>20100108</v>
      </c>
      <c r="B169" s="34" t="str">
        <f>_xlfn.XLOOKUP(C169,SkillActive!$A:$A,SkillActive!C:C,,0)</f>
        <v>1|2|3|4|5|6|7</v>
      </c>
      <c r="C169" s="5">
        <v>201001</v>
      </c>
      <c r="D169" s="5">
        <f t="shared" si="16"/>
        <v>8</v>
      </c>
      <c r="E169" s="5" t="str">
        <f>_xlfn.XLOOKUP(C169,SkillActive!A:A,SkillActive!B:B,,,)</f>
        <v>闪电之捷</v>
      </c>
      <c r="F169">
        <f t="shared" si="17"/>
        <v>8</v>
      </c>
      <c r="G169">
        <f>_xlfn.XLOOKUP(C169,SkillActive!$A:$A,SkillActive!E:E,,0)</f>
        <v>2</v>
      </c>
    </row>
    <row r="170" spans="1:7">
      <c r="A170" s="5">
        <f t="shared" si="15"/>
        <v>20100109</v>
      </c>
      <c r="B170" s="34" t="str">
        <f>_xlfn.XLOOKUP(C170,SkillActive!$A:$A,SkillActive!C:C,,0)</f>
        <v>1|2|3|4|5|6|7</v>
      </c>
      <c r="C170" s="5">
        <v>201001</v>
      </c>
      <c r="D170" s="5">
        <f t="shared" si="16"/>
        <v>9</v>
      </c>
      <c r="E170" s="5" t="str">
        <f>_xlfn.XLOOKUP(C170,SkillActive!A:A,SkillActive!B:B,,,)</f>
        <v>闪电之捷</v>
      </c>
      <c r="F170">
        <f t="shared" si="17"/>
        <v>9</v>
      </c>
      <c r="G170">
        <f>_xlfn.XLOOKUP(C170,SkillActive!$A:$A,SkillActive!E:E,,0)</f>
        <v>2</v>
      </c>
    </row>
    <row r="171" spans="1:7">
      <c r="A171" s="5">
        <f t="shared" si="15"/>
        <v>20100110</v>
      </c>
      <c r="B171" s="34" t="str">
        <f>_xlfn.XLOOKUP(C171,SkillActive!$A:$A,SkillActive!C:C,,0)</f>
        <v>1|2|3|4|5|6|7</v>
      </c>
      <c r="C171" s="5">
        <v>201001</v>
      </c>
      <c r="D171" s="5">
        <f t="shared" si="16"/>
        <v>10</v>
      </c>
      <c r="E171" s="5" t="str">
        <f>_xlfn.XLOOKUP(C171,SkillActive!A:A,SkillActive!B:B,,,)</f>
        <v>闪电之捷</v>
      </c>
      <c r="F171">
        <f t="shared" si="17"/>
        <v>10</v>
      </c>
      <c r="G171">
        <f>_xlfn.XLOOKUP(C171,SkillActive!$A:$A,SkillActive!E:E,,0)</f>
        <v>2</v>
      </c>
    </row>
    <row r="172" spans="1:7">
      <c r="A172" s="5">
        <f t="shared" si="15"/>
        <v>20100111</v>
      </c>
      <c r="B172" s="34" t="str">
        <f>_xlfn.XLOOKUP(C172,SkillActive!$A:$A,SkillActive!C:C,,0)</f>
        <v>1|2|3|4|5|6|7</v>
      </c>
      <c r="C172" s="5">
        <v>201001</v>
      </c>
      <c r="D172" s="5">
        <f t="shared" si="16"/>
        <v>11</v>
      </c>
      <c r="E172" s="5" t="str">
        <f>_xlfn.XLOOKUP(C172,SkillActive!A:A,SkillActive!B:B,,,)</f>
        <v>闪电之捷</v>
      </c>
      <c r="F172">
        <f t="shared" si="17"/>
        <v>11</v>
      </c>
      <c r="G172">
        <f>_xlfn.XLOOKUP(C172,SkillActive!$A:$A,SkillActive!E:E,,0)</f>
        <v>2</v>
      </c>
    </row>
    <row r="173" spans="1:7">
      <c r="A173" s="5">
        <f t="shared" si="15"/>
        <v>20100112</v>
      </c>
      <c r="B173" s="34" t="str">
        <f>_xlfn.XLOOKUP(C173,SkillActive!$A:$A,SkillActive!C:C,,0)</f>
        <v>1|2|3|4|5|6|7</v>
      </c>
      <c r="C173" s="5">
        <v>201001</v>
      </c>
      <c r="D173" s="5">
        <f t="shared" si="16"/>
        <v>12</v>
      </c>
      <c r="E173" s="5" t="str">
        <f>_xlfn.XLOOKUP(C173,SkillActive!A:A,SkillActive!B:B,,,)</f>
        <v>闪电之捷</v>
      </c>
      <c r="F173">
        <f t="shared" si="17"/>
        <v>12</v>
      </c>
      <c r="G173">
        <f>_xlfn.XLOOKUP(C173,SkillActive!$A:$A,SkillActive!E:E,,0)</f>
        <v>2</v>
      </c>
    </row>
    <row r="174" spans="1:7">
      <c r="A174" s="5">
        <f t="shared" si="15"/>
        <v>20100113</v>
      </c>
      <c r="B174" s="34" t="str">
        <f>_xlfn.XLOOKUP(C174,SkillActive!$A:$A,SkillActive!C:C,,0)</f>
        <v>1|2|3|4|5|6|7</v>
      </c>
      <c r="C174" s="5">
        <v>201001</v>
      </c>
      <c r="D174" s="5">
        <f t="shared" si="16"/>
        <v>13</v>
      </c>
      <c r="E174" s="5" t="str">
        <f>_xlfn.XLOOKUP(C174,SkillActive!A:A,SkillActive!B:B,,,)</f>
        <v>闪电之捷</v>
      </c>
      <c r="F174">
        <f t="shared" si="17"/>
        <v>13</v>
      </c>
      <c r="G174">
        <f>_xlfn.XLOOKUP(C174,SkillActive!$A:$A,SkillActive!E:E,,0)</f>
        <v>2</v>
      </c>
    </row>
    <row r="175" spans="1:7">
      <c r="A175" s="5">
        <f t="shared" si="15"/>
        <v>20100114</v>
      </c>
      <c r="B175" s="34" t="str">
        <f>_xlfn.XLOOKUP(C175,SkillActive!$A:$A,SkillActive!C:C,,0)</f>
        <v>1|2|3|4|5|6|7</v>
      </c>
      <c r="C175" s="5">
        <v>201001</v>
      </c>
      <c r="D175" s="5">
        <f t="shared" si="16"/>
        <v>14</v>
      </c>
      <c r="E175" s="5" t="str">
        <f>_xlfn.XLOOKUP(C175,SkillActive!A:A,SkillActive!B:B,,,)</f>
        <v>闪电之捷</v>
      </c>
      <c r="F175">
        <f t="shared" si="17"/>
        <v>14</v>
      </c>
      <c r="G175">
        <f>_xlfn.XLOOKUP(C175,SkillActive!$A:$A,SkillActive!E:E,,0)</f>
        <v>2</v>
      </c>
    </row>
    <row r="176" spans="1:7">
      <c r="A176" s="5">
        <f t="shared" si="15"/>
        <v>20100115</v>
      </c>
      <c r="B176" s="34" t="str">
        <f>_xlfn.XLOOKUP(C176,SkillActive!$A:$A,SkillActive!C:C,,0)</f>
        <v>1|2|3|4|5|6|7</v>
      </c>
      <c r="C176" s="5">
        <v>201001</v>
      </c>
      <c r="D176" s="5">
        <f t="shared" si="16"/>
        <v>15</v>
      </c>
      <c r="E176" s="5" t="str">
        <f>_xlfn.XLOOKUP(C176,SkillActive!A:A,SkillActive!B:B,,,)</f>
        <v>闪电之捷</v>
      </c>
      <c r="F176">
        <f t="shared" si="17"/>
        <v>15</v>
      </c>
      <c r="G176">
        <f>_xlfn.XLOOKUP(C176,SkillActive!$A:$A,SkillActive!E:E,,0)</f>
        <v>2</v>
      </c>
    </row>
    <row r="177" spans="1:7">
      <c r="A177" s="5">
        <f t="shared" si="15"/>
        <v>20100116</v>
      </c>
      <c r="B177" s="34" t="str">
        <f>_xlfn.XLOOKUP(C177,SkillActive!$A:$A,SkillActive!C:C,,0)</f>
        <v>1|2|3|4|5|6|7</v>
      </c>
      <c r="C177" s="5">
        <v>201001</v>
      </c>
      <c r="D177" s="5">
        <f t="shared" si="16"/>
        <v>16</v>
      </c>
      <c r="E177" s="5" t="str">
        <f>_xlfn.XLOOKUP(C177,SkillActive!A:A,SkillActive!B:B,,,)</f>
        <v>闪电之捷</v>
      </c>
      <c r="F177">
        <f t="shared" si="17"/>
        <v>16</v>
      </c>
      <c r="G177">
        <f>_xlfn.XLOOKUP(C177,SkillActive!$A:$A,SkillActive!E:E,,0)</f>
        <v>2</v>
      </c>
    </row>
    <row r="178" spans="1:7">
      <c r="A178" s="5">
        <f t="shared" si="15"/>
        <v>20100203</v>
      </c>
      <c r="B178" s="34" t="str">
        <f>_xlfn.XLOOKUP(C178,SkillActive!$A:$A,SkillActive!C:C,,0)</f>
        <v>1|2|3|4|5|6|7</v>
      </c>
      <c r="C178" s="5">
        <f t="shared" ref="C178:C205" si="18">C164+1</f>
        <v>201002</v>
      </c>
      <c r="D178" s="5">
        <f t="shared" ref="D178:D233" si="19">D164</f>
        <v>3</v>
      </c>
      <c r="E178" s="5" t="str">
        <f>_xlfn.XLOOKUP(C178,SkillActive!A:A,SkillActive!B:B,,,)</f>
        <v>拔刀斩</v>
      </c>
      <c r="F178">
        <f t="shared" si="17"/>
        <v>3</v>
      </c>
      <c r="G178">
        <f>_xlfn.XLOOKUP(C178,SkillActive!$A:$A,SkillActive!E:E,,0)</f>
        <v>2</v>
      </c>
    </row>
    <row r="179" spans="1:7">
      <c r="A179" s="5">
        <f t="shared" si="15"/>
        <v>20100204</v>
      </c>
      <c r="B179" s="34" t="str">
        <f>_xlfn.XLOOKUP(C179,SkillActive!$A:$A,SkillActive!C:C,,0)</f>
        <v>1|2|3|4|5|6|7</v>
      </c>
      <c r="C179" s="5">
        <f t="shared" si="18"/>
        <v>201002</v>
      </c>
      <c r="D179" s="5">
        <f t="shared" si="19"/>
        <v>4</v>
      </c>
      <c r="E179" s="5" t="str">
        <f>_xlfn.XLOOKUP(C179,SkillActive!A:A,SkillActive!B:B,,,)</f>
        <v>拔刀斩</v>
      </c>
      <c r="F179">
        <f t="shared" si="17"/>
        <v>4</v>
      </c>
      <c r="G179">
        <f>_xlfn.XLOOKUP(C179,SkillActive!$A:$A,SkillActive!E:E,,0)</f>
        <v>2</v>
      </c>
    </row>
    <row r="180" spans="1:7">
      <c r="A180" s="5">
        <f t="shared" si="15"/>
        <v>20100205</v>
      </c>
      <c r="B180" s="34" t="str">
        <f>_xlfn.XLOOKUP(C180,SkillActive!$A:$A,SkillActive!C:C,,0)</f>
        <v>1|2|3|4|5|6|7</v>
      </c>
      <c r="C180" s="5">
        <f t="shared" si="18"/>
        <v>201002</v>
      </c>
      <c r="D180" s="5">
        <f t="shared" si="19"/>
        <v>5</v>
      </c>
      <c r="E180" s="5" t="str">
        <f>_xlfn.XLOOKUP(C180,SkillActive!A:A,SkillActive!B:B,,,)</f>
        <v>拔刀斩</v>
      </c>
      <c r="F180">
        <f t="shared" si="17"/>
        <v>5</v>
      </c>
      <c r="G180">
        <f>_xlfn.XLOOKUP(C180,SkillActive!$A:$A,SkillActive!E:E,,0)</f>
        <v>2</v>
      </c>
    </row>
    <row r="181" spans="1:7">
      <c r="A181" s="5">
        <f t="shared" si="15"/>
        <v>20100206</v>
      </c>
      <c r="B181" s="34" t="str">
        <f>_xlfn.XLOOKUP(C181,SkillActive!$A:$A,SkillActive!C:C,,0)</f>
        <v>1|2|3|4|5|6|7</v>
      </c>
      <c r="C181" s="5">
        <f t="shared" si="18"/>
        <v>201002</v>
      </c>
      <c r="D181" s="5">
        <f t="shared" si="19"/>
        <v>6</v>
      </c>
      <c r="E181" s="5" t="str">
        <f>_xlfn.XLOOKUP(C181,SkillActive!A:A,SkillActive!B:B,,,)</f>
        <v>拔刀斩</v>
      </c>
      <c r="F181">
        <f t="shared" si="17"/>
        <v>6</v>
      </c>
      <c r="G181">
        <f>_xlfn.XLOOKUP(C181,SkillActive!$A:$A,SkillActive!E:E,,0)</f>
        <v>2</v>
      </c>
    </row>
    <row r="182" spans="1:7">
      <c r="A182" s="5">
        <f t="shared" si="15"/>
        <v>20100207</v>
      </c>
      <c r="B182" s="34" t="str">
        <f>_xlfn.XLOOKUP(C182,SkillActive!$A:$A,SkillActive!C:C,,0)</f>
        <v>1|2|3|4|5|6|7</v>
      </c>
      <c r="C182" s="5">
        <f t="shared" si="18"/>
        <v>201002</v>
      </c>
      <c r="D182" s="5">
        <f t="shared" si="19"/>
        <v>7</v>
      </c>
      <c r="E182" s="5" t="str">
        <f>_xlfn.XLOOKUP(C182,SkillActive!A:A,SkillActive!B:B,,,)</f>
        <v>拔刀斩</v>
      </c>
      <c r="F182">
        <f t="shared" si="17"/>
        <v>7</v>
      </c>
      <c r="G182">
        <f>_xlfn.XLOOKUP(C182,SkillActive!$A:$A,SkillActive!E:E,,0)</f>
        <v>2</v>
      </c>
    </row>
    <row r="183" spans="1:7">
      <c r="A183" s="5">
        <f t="shared" si="15"/>
        <v>20100208</v>
      </c>
      <c r="B183" s="34" t="str">
        <f>_xlfn.XLOOKUP(C183,SkillActive!$A:$A,SkillActive!C:C,,0)</f>
        <v>1|2|3|4|5|6|7</v>
      </c>
      <c r="C183" s="5">
        <f t="shared" si="18"/>
        <v>201002</v>
      </c>
      <c r="D183" s="5">
        <f t="shared" si="19"/>
        <v>8</v>
      </c>
      <c r="E183" s="5" t="str">
        <f>_xlfn.XLOOKUP(C183,SkillActive!A:A,SkillActive!B:B,,,)</f>
        <v>拔刀斩</v>
      </c>
      <c r="F183">
        <f t="shared" si="17"/>
        <v>8</v>
      </c>
      <c r="G183">
        <f>_xlfn.XLOOKUP(C183,SkillActive!$A:$A,SkillActive!E:E,,0)</f>
        <v>2</v>
      </c>
    </row>
    <row r="184" spans="1:7">
      <c r="A184" s="5">
        <f t="shared" si="15"/>
        <v>20100209</v>
      </c>
      <c r="B184" s="34" t="str">
        <f>_xlfn.XLOOKUP(C184,SkillActive!$A:$A,SkillActive!C:C,,0)</f>
        <v>1|2|3|4|5|6|7</v>
      </c>
      <c r="C184" s="5">
        <f t="shared" si="18"/>
        <v>201002</v>
      </c>
      <c r="D184" s="5">
        <f t="shared" si="19"/>
        <v>9</v>
      </c>
      <c r="E184" s="5" t="str">
        <f>_xlfn.XLOOKUP(C184,SkillActive!A:A,SkillActive!B:B,,,)</f>
        <v>拔刀斩</v>
      </c>
      <c r="F184">
        <f t="shared" si="17"/>
        <v>9</v>
      </c>
      <c r="G184">
        <f>_xlfn.XLOOKUP(C184,SkillActive!$A:$A,SkillActive!E:E,,0)</f>
        <v>2</v>
      </c>
    </row>
    <row r="185" spans="1:7">
      <c r="A185" s="5">
        <f t="shared" si="15"/>
        <v>20100210</v>
      </c>
      <c r="B185" s="34" t="str">
        <f>_xlfn.XLOOKUP(C185,SkillActive!$A:$A,SkillActive!C:C,,0)</f>
        <v>1|2|3|4|5|6|7</v>
      </c>
      <c r="C185" s="5">
        <f t="shared" si="18"/>
        <v>201002</v>
      </c>
      <c r="D185" s="5">
        <f t="shared" si="19"/>
        <v>10</v>
      </c>
      <c r="E185" s="5" t="str">
        <f>_xlfn.XLOOKUP(C185,SkillActive!A:A,SkillActive!B:B,,,)</f>
        <v>拔刀斩</v>
      </c>
      <c r="F185">
        <f t="shared" si="17"/>
        <v>10</v>
      </c>
      <c r="G185">
        <f>_xlfn.XLOOKUP(C185,SkillActive!$A:$A,SkillActive!E:E,,0)</f>
        <v>2</v>
      </c>
    </row>
    <row r="186" spans="1:7">
      <c r="A186" s="5">
        <f t="shared" si="15"/>
        <v>20100211</v>
      </c>
      <c r="B186" s="34" t="str">
        <f>_xlfn.XLOOKUP(C186,SkillActive!$A:$A,SkillActive!C:C,,0)</f>
        <v>1|2|3|4|5|6|7</v>
      </c>
      <c r="C186" s="5">
        <f t="shared" si="18"/>
        <v>201002</v>
      </c>
      <c r="D186" s="5">
        <f t="shared" si="19"/>
        <v>11</v>
      </c>
      <c r="E186" s="5" t="str">
        <f>_xlfn.XLOOKUP(C186,SkillActive!A:A,SkillActive!B:B,,,)</f>
        <v>拔刀斩</v>
      </c>
      <c r="F186">
        <f t="shared" si="17"/>
        <v>11</v>
      </c>
      <c r="G186">
        <f>_xlfn.XLOOKUP(C186,SkillActive!$A:$A,SkillActive!E:E,,0)</f>
        <v>2</v>
      </c>
    </row>
    <row r="187" spans="1:7">
      <c r="A187" s="5">
        <f t="shared" si="15"/>
        <v>20100212</v>
      </c>
      <c r="B187" s="34" t="str">
        <f>_xlfn.XLOOKUP(C187,SkillActive!$A:$A,SkillActive!C:C,,0)</f>
        <v>1|2|3|4|5|6|7</v>
      </c>
      <c r="C187" s="5">
        <f t="shared" si="18"/>
        <v>201002</v>
      </c>
      <c r="D187" s="5">
        <f t="shared" si="19"/>
        <v>12</v>
      </c>
      <c r="E187" s="5" t="str">
        <f>_xlfn.XLOOKUP(C187,SkillActive!A:A,SkillActive!B:B,,,)</f>
        <v>拔刀斩</v>
      </c>
      <c r="F187">
        <f t="shared" si="17"/>
        <v>12</v>
      </c>
      <c r="G187">
        <f>_xlfn.XLOOKUP(C187,SkillActive!$A:$A,SkillActive!E:E,,0)</f>
        <v>2</v>
      </c>
    </row>
    <row r="188" spans="1:7">
      <c r="A188" s="5">
        <f t="shared" si="15"/>
        <v>20100213</v>
      </c>
      <c r="B188" s="34" t="str">
        <f>_xlfn.XLOOKUP(C188,SkillActive!$A:$A,SkillActive!C:C,,0)</f>
        <v>1|2|3|4|5|6|7</v>
      </c>
      <c r="C188" s="5">
        <f t="shared" si="18"/>
        <v>201002</v>
      </c>
      <c r="D188" s="5">
        <f t="shared" si="19"/>
        <v>13</v>
      </c>
      <c r="E188" s="5" t="str">
        <f>_xlfn.XLOOKUP(C188,SkillActive!A:A,SkillActive!B:B,,,)</f>
        <v>拔刀斩</v>
      </c>
      <c r="F188">
        <f t="shared" si="17"/>
        <v>13</v>
      </c>
      <c r="G188">
        <f>_xlfn.XLOOKUP(C188,SkillActive!$A:$A,SkillActive!E:E,,0)</f>
        <v>2</v>
      </c>
    </row>
    <row r="189" spans="1:7">
      <c r="A189" s="5">
        <f t="shared" si="15"/>
        <v>20100214</v>
      </c>
      <c r="B189" s="34" t="str">
        <f>_xlfn.XLOOKUP(C189,SkillActive!$A:$A,SkillActive!C:C,,0)</f>
        <v>1|2|3|4|5|6|7</v>
      </c>
      <c r="C189" s="5">
        <f t="shared" si="18"/>
        <v>201002</v>
      </c>
      <c r="D189" s="5">
        <f t="shared" si="19"/>
        <v>14</v>
      </c>
      <c r="E189" s="5" t="str">
        <f>_xlfn.XLOOKUP(C189,SkillActive!A:A,SkillActive!B:B,,,)</f>
        <v>拔刀斩</v>
      </c>
      <c r="F189">
        <f t="shared" si="17"/>
        <v>14</v>
      </c>
      <c r="G189">
        <f>_xlfn.XLOOKUP(C189,SkillActive!$A:$A,SkillActive!E:E,,0)</f>
        <v>2</v>
      </c>
    </row>
    <row r="190" spans="1:7">
      <c r="A190" s="5">
        <f t="shared" si="15"/>
        <v>20100215</v>
      </c>
      <c r="B190" s="34" t="str">
        <f>_xlfn.XLOOKUP(C190,SkillActive!$A:$A,SkillActive!C:C,,0)</f>
        <v>1|2|3|4|5|6|7</v>
      </c>
      <c r="C190" s="5">
        <f t="shared" si="18"/>
        <v>201002</v>
      </c>
      <c r="D190" s="5">
        <f t="shared" si="19"/>
        <v>15</v>
      </c>
      <c r="E190" s="5" t="str">
        <f>_xlfn.XLOOKUP(C190,SkillActive!A:A,SkillActive!B:B,,,)</f>
        <v>拔刀斩</v>
      </c>
      <c r="F190">
        <f t="shared" si="17"/>
        <v>15</v>
      </c>
      <c r="G190">
        <f>_xlfn.XLOOKUP(C190,SkillActive!$A:$A,SkillActive!E:E,,0)</f>
        <v>2</v>
      </c>
    </row>
    <row r="191" spans="1:7">
      <c r="A191" s="5">
        <f t="shared" si="15"/>
        <v>20100216</v>
      </c>
      <c r="B191" s="34" t="str">
        <f>_xlfn.XLOOKUP(C191,SkillActive!$A:$A,SkillActive!C:C,,0)</f>
        <v>1|2|3|4|5|6|7</v>
      </c>
      <c r="C191" s="5">
        <f t="shared" si="18"/>
        <v>201002</v>
      </c>
      <c r="D191" s="5">
        <f t="shared" si="19"/>
        <v>16</v>
      </c>
      <c r="E191" s="5" t="str">
        <f>_xlfn.XLOOKUP(C191,SkillActive!A:A,SkillActive!B:B,,,)</f>
        <v>拔刀斩</v>
      </c>
      <c r="F191">
        <f t="shared" si="17"/>
        <v>16</v>
      </c>
      <c r="G191">
        <f>_xlfn.XLOOKUP(C191,SkillActive!$A:$A,SkillActive!E:E,,0)</f>
        <v>2</v>
      </c>
    </row>
    <row r="192" spans="1:7">
      <c r="A192" s="5">
        <f t="shared" si="15"/>
        <v>20100303</v>
      </c>
      <c r="B192" s="34" t="str">
        <f>_xlfn.XLOOKUP(C192,SkillActive!$A:$A,SkillActive!C:C,,0)</f>
        <v>1|2|3|4|5|6|7</v>
      </c>
      <c r="C192" s="5">
        <f t="shared" si="18"/>
        <v>201003</v>
      </c>
      <c r="D192" s="5">
        <f t="shared" si="19"/>
        <v>3</v>
      </c>
      <c r="E192" s="5" t="str">
        <f>_xlfn.XLOOKUP(C192,SkillActive!A:A,SkillActive!B:B,,,)</f>
        <v>气刃纵斩</v>
      </c>
      <c r="F192">
        <f t="shared" si="17"/>
        <v>3</v>
      </c>
      <c r="G192">
        <f>_xlfn.XLOOKUP(C192,SkillActive!$A:$A,SkillActive!E:E,,0)</f>
        <v>2</v>
      </c>
    </row>
    <row r="193" spans="1:7">
      <c r="A193" s="5">
        <f t="shared" si="15"/>
        <v>20100304</v>
      </c>
      <c r="B193" s="34" t="str">
        <f>_xlfn.XLOOKUP(C193,SkillActive!$A:$A,SkillActive!C:C,,0)</f>
        <v>1|2|3|4|5|6|7</v>
      </c>
      <c r="C193" s="5">
        <f t="shared" si="18"/>
        <v>201003</v>
      </c>
      <c r="D193" s="5">
        <f t="shared" si="19"/>
        <v>4</v>
      </c>
      <c r="E193" s="5" t="str">
        <f>_xlfn.XLOOKUP(C193,SkillActive!A:A,SkillActive!B:B,,,)</f>
        <v>气刃纵斩</v>
      </c>
      <c r="F193">
        <f t="shared" si="17"/>
        <v>4</v>
      </c>
      <c r="G193">
        <f>_xlfn.XLOOKUP(C193,SkillActive!$A:$A,SkillActive!E:E,,0)</f>
        <v>2</v>
      </c>
    </row>
    <row r="194" spans="1:7">
      <c r="A194" s="5">
        <f t="shared" si="15"/>
        <v>20100305</v>
      </c>
      <c r="B194" s="34" t="str">
        <f>_xlfn.XLOOKUP(C194,SkillActive!$A:$A,SkillActive!C:C,,0)</f>
        <v>1|2|3|4|5|6|7</v>
      </c>
      <c r="C194" s="5">
        <f t="shared" si="18"/>
        <v>201003</v>
      </c>
      <c r="D194" s="5">
        <f t="shared" si="19"/>
        <v>5</v>
      </c>
      <c r="E194" s="5" t="str">
        <f>_xlfn.XLOOKUP(C194,SkillActive!A:A,SkillActive!B:B,,,)</f>
        <v>气刃纵斩</v>
      </c>
      <c r="F194">
        <f t="shared" si="17"/>
        <v>5</v>
      </c>
      <c r="G194">
        <f>_xlfn.XLOOKUP(C194,SkillActive!$A:$A,SkillActive!E:E,,0)</f>
        <v>2</v>
      </c>
    </row>
    <row r="195" spans="1:7">
      <c r="A195" s="5">
        <f t="shared" si="15"/>
        <v>20100306</v>
      </c>
      <c r="B195" s="34" t="str">
        <f>_xlfn.XLOOKUP(C195,SkillActive!$A:$A,SkillActive!C:C,,0)</f>
        <v>1|2|3|4|5|6|7</v>
      </c>
      <c r="C195" s="5">
        <f t="shared" si="18"/>
        <v>201003</v>
      </c>
      <c r="D195" s="5">
        <f t="shared" si="19"/>
        <v>6</v>
      </c>
      <c r="E195" s="5" t="str">
        <f>_xlfn.XLOOKUP(C195,SkillActive!A:A,SkillActive!B:B,,,)</f>
        <v>气刃纵斩</v>
      </c>
      <c r="F195">
        <f t="shared" si="17"/>
        <v>6</v>
      </c>
      <c r="G195">
        <f>_xlfn.XLOOKUP(C195,SkillActive!$A:$A,SkillActive!E:E,,0)</f>
        <v>2</v>
      </c>
    </row>
    <row r="196" spans="1:7">
      <c r="A196" s="5">
        <f t="shared" si="15"/>
        <v>20100307</v>
      </c>
      <c r="B196" s="34" t="str">
        <f>_xlfn.XLOOKUP(C196,SkillActive!$A:$A,SkillActive!C:C,,0)</f>
        <v>1|2|3|4|5|6|7</v>
      </c>
      <c r="C196" s="5">
        <f t="shared" si="18"/>
        <v>201003</v>
      </c>
      <c r="D196" s="5">
        <f t="shared" si="19"/>
        <v>7</v>
      </c>
      <c r="E196" s="5" t="str">
        <f>_xlfn.XLOOKUP(C196,SkillActive!A:A,SkillActive!B:B,,,)</f>
        <v>气刃纵斩</v>
      </c>
      <c r="F196">
        <f t="shared" si="17"/>
        <v>7</v>
      </c>
      <c r="G196">
        <f>_xlfn.XLOOKUP(C196,SkillActive!$A:$A,SkillActive!E:E,,0)</f>
        <v>2</v>
      </c>
    </row>
    <row r="197" spans="1:7">
      <c r="A197" s="5">
        <f t="shared" si="15"/>
        <v>20100308</v>
      </c>
      <c r="B197" s="34" t="str">
        <f>_xlfn.XLOOKUP(C197,SkillActive!$A:$A,SkillActive!C:C,,0)</f>
        <v>1|2|3|4|5|6|7</v>
      </c>
      <c r="C197" s="5">
        <f t="shared" si="18"/>
        <v>201003</v>
      </c>
      <c r="D197" s="5">
        <f t="shared" si="19"/>
        <v>8</v>
      </c>
      <c r="E197" s="5" t="str">
        <f>_xlfn.XLOOKUP(C197,SkillActive!A:A,SkillActive!B:B,,,)</f>
        <v>气刃纵斩</v>
      </c>
      <c r="F197">
        <f t="shared" si="17"/>
        <v>8</v>
      </c>
      <c r="G197">
        <f>_xlfn.XLOOKUP(C197,SkillActive!$A:$A,SkillActive!E:E,,0)</f>
        <v>2</v>
      </c>
    </row>
    <row r="198" spans="1:7">
      <c r="A198" s="5">
        <f t="shared" si="15"/>
        <v>20100309</v>
      </c>
      <c r="B198" s="34" t="str">
        <f>_xlfn.XLOOKUP(C198,SkillActive!$A:$A,SkillActive!C:C,,0)</f>
        <v>1|2|3|4|5|6|7</v>
      </c>
      <c r="C198" s="5">
        <f t="shared" si="18"/>
        <v>201003</v>
      </c>
      <c r="D198" s="5">
        <f t="shared" si="19"/>
        <v>9</v>
      </c>
      <c r="E198" s="5" t="str">
        <f>_xlfn.XLOOKUP(C198,SkillActive!A:A,SkillActive!B:B,,,)</f>
        <v>气刃纵斩</v>
      </c>
      <c r="F198">
        <f t="shared" si="17"/>
        <v>9</v>
      </c>
      <c r="G198">
        <f>_xlfn.XLOOKUP(C198,SkillActive!$A:$A,SkillActive!E:E,,0)</f>
        <v>2</v>
      </c>
    </row>
    <row r="199" spans="1:7">
      <c r="A199" s="5">
        <f t="shared" si="15"/>
        <v>20100310</v>
      </c>
      <c r="B199" s="34" t="str">
        <f>_xlfn.XLOOKUP(C199,SkillActive!$A:$A,SkillActive!C:C,,0)</f>
        <v>1|2|3|4|5|6|7</v>
      </c>
      <c r="C199" s="5">
        <f t="shared" si="18"/>
        <v>201003</v>
      </c>
      <c r="D199" s="5">
        <f t="shared" si="19"/>
        <v>10</v>
      </c>
      <c r="E199" s="5" t="str">
        <f>_xlfn.XLOOKUP(C199,SkillActive!A:A,SkillActive!B:B,,,)</f>
        <v>气刃纵斩</v>
      </c>
      <c r="F199">
        <f t="shared" si="17"/>
        <v>10</v>
      </c>
      <c r="G199">
        <f>_xlfn.XLOOKUP(C199,SkillActive!$A:$A,SkillActive!E:E,,0)</f>
        <v>2</v>
      </c>
    </row>
    <row r="200" spans="1:7">
      <c r="A200" s="5">
        <f t="shared" si="15"/>
        <v>20100311</v>
      </c>
      <c r="B200" s="34" t="str">
        <f>_xlfn.XLOOKUP(C200,SkillActive!$A:$A,SkillActive!C:C,,0)</f>
        <v>1|2|3|4|5|6|7</v>
      </c>
      <c r="C200" s="5">
        <f t="shared" si="18"/>
        <v>201003</v>
      </c>
      <c r="D200" s="5">
        <f t="shared" si="19"/>
        <v>11</v>
      </c>
      <c r="E200" s="5" t="str">
        <f>_xlfn.XLOOKUP(C200,SkillActive!A:A,SkillActive!B:B,,,)</f>
        <v>气刃纵斩</v>
      </c>
      <c r="F200">
        <f t="shared" si="17"/>
        <v>11</v>
      </c>
      <c r="G200">
        <f>_xlfn.XLOOKUP(C200,SkillActive!$A:$A,SkillActive!E:E,,0)</f>
        <v>2</v>
      </c>
    </row>
    <row r="201" spans="1:7">
      <c r="A201" s="5">
        <f t="shared" si="15"/>
        <v>20100312</v>
      </c>
      <c r="B201" s="34" t="str">
        <f>_xlfn.XLOOKUP(C201,SkillActive!$A:$A,SkillActive!C:C,,0)</f>
        <v>1|2|3|4|5|6|7</v>
      </c>
      <c r="C201" s="5">
        <f t="shared" si="18"/>
        <v>201003</v>
      </c>
      <c r="D201" s="5">
        <f t="shared" si="19"/>
        <v>12</v>
      </c>
      <c r="E201" s="5" t="str">
        <f>_xlfn.XLOOKUP(C201,SkillActive!A:A,SkillActive!B:B,,,)</f>
        <v>气刃纵斩</v>
      </c>
      <c r="F201">
        <f t="shared" si="17"/>
        <v>12</v>
      </c>
      <c r="G201">
        <f>_xlfn.XLOOKUP(C201,SkillActive!$A:$A,SkillActive!E:E,,0)</f>
        <v>2</v>
      </c>
    </row>
    <row r="202" spans="1:7">
      <c r="A202" s="5">
        <f t="shared" si="15"/>
        <v>20100313</v>
      </c>
      <c r="B202" s="34" t="str">
        <f>_xlfn.XLOOKUP(C202,SkillActive!$A:$A,SkillActive!C:C,,0)</f>
        <v>1|2|3|4|5|6|7</v>
      </c>
      <c r="C202" s="5">
        <f t="shared" si="18"/>
        <v>201003</v>
      </c>
      <c r="D202" s="5">
        <f t="shared" si="19"/>
        <v>13</v>
      </c>
      <c r="E202" s="5" t="str">
        <f>_xlfn.XLOOKUP(C202,SkillActive!A:A,SkillActive!B:B,,,)</f>
        <v>气刃纵斩</v>
      </c>
      <c r="F202">
        <f t="shared" si="17"/>
        <v>13</v>
      </c>
      <c r="G202">
        <f>_xlfn.XLOOKUP(C202,SkillActive!$A:$A,SkillActive!E:E,,0)</f>
        <v>2</v>
      </c>
    </row>
    <row r="203" spans="1:7">
      <c r="A203" s="5">
        <f t="shared" si="15"/>
        <v>20100314</v>
      </c>
      <c r="B203" s="34" t="str">
        <f>_xlfn.XLOOKUP(C203,SkillActive!$A:$A,SkillActive!C:C,,0)</f>
        <v>1|2|3|4|5|6|7</v>
      </c>
      <c r="C203" s="5">
        <f t="shared" si="18"/>
        <v>201003</v>
      </c>
      <c r="D203" s="5">
        <f t="shared" si="19"/>
        <v>14</v>
      </c>
      <c r="E203" s="5" t="str">
        <f>_xlfn.XLOOKUP(C203,SkillActive!A:A,SkillActive!B:B,,,)</f>
        <v>气刃纵斩</v>
      </c>
      <c r="F203">
        <f t="shared" si="17"/>
        <v>14</v>
      </c>
      <c r="G203">
        <f>_xlfn.XLOOKUP(C203,SkillActive!$A:$A,SkillActive!E:E,,0)</f>
        <v>2</v>
      </c>
    </row>
    <row r="204" spans="1:7">
      <c r="A204" s="5">
        <f t="shared" si="15"/>
        <v>20100315</v>
      </c>
      <c r="B204" s="34" t="str">
        <f>_xlfn.XLOOKUP(C204,SkillActive!$A:$A,SkillActive!C:C,,0)</f>
        <v>1|2|3|4|5|6|7</v>
      </c>
      <c r="C204" s="5">
        <f t="shared" si="18"/>
        <v>201003</v>
      </c>
      <c r="D204" s="5">
        <f t="shared" si="19"/>
        <v>15</v>
      </c>
      <c r="E204" s="5" t="str">
        <f>_xlfn.XLOOKUP(C204,SkillActive!A:A,SkillActive!B:B,,,)</f>
        <v>气刃纵斩</v>
      </c>
      <c r="F204">
        <f t="shared" si="17"/>
        <v>15</v>
      </c>
      <c r="G204">
        <f>_xlfn.XLOOKUP(C204,SkillActive!$A:$A,SkillActive!E:E,,0)</f>
        <v>2</v>
      </c>
    </row>
    <row r="205" spans="1:7">
      <c r="A205" s="5">
        <f t="shared" si="15"/>
        <v>20100316</v>
      </c>
      <c r="B205" s="34" t="str">
        <f>_xlfn.XLOOKUP(C205,SkillActive!$A:$A,SkillActive!C:C,,0)</f>
        <v>1|2|3|4|5|6|7</v>
      </c>
      <c r="C205" s="5">
        <f t="shared" si="18"/>
        <v>201003</v>
      </c>
      <c r="D205" s="5">
        <f t="shared" si="19"/>
        <v>16</v>
      </c>
      <c r="E205" s="5" t="str">
        <f>_xlfn.XLOOKUP(C205,SkillActive!A:A,SkillActive!B:B,,,)</f>
        <v>气刃纵斩</v>
      </c>
      <c r="F205">
        <f t="shared" si="17"/>
        <v>16</v>
      </c>
      <c r="G205">
        <f>_xlfn.XLOOKUP(C205,SkillActive!$A:$A,SkillActive!E:E,,0)</f>
        <v>2</v>
      </c>
    </row>
    <row r="206" spans="1:7">
      <c r="A206" s="5">
        <f t="shared" si="15"/>
        <v>20200103</v>
      </c>
      <c r="B206" s="34" t="str">
        <f>_xlfn.XLOOKUP(C206,SkillActive!$A:$A,SkillActive!C:C,,0)</f>
        <v>1|2|3|4|5|6|7</v>
      </c>
      <c r="C206" s="5">
        <v>202001</v>
      </c>
      <c r="D206" s="5">
        <f t="shared" si="19"/>
        <v>3</v>
      </c>
      <c r="E206" s="5" t="str">
        <f>_xlfn.XLOOKUP(C206,SkillActive!A:A,SkillActive!B:B,,,)</f>
        <v>回旋龙卷</v>
      </c>
      <c r="F206">
        <f t="shared" si="17"/>
        <v>3</v>
      </c>
      <c r="G206">
        <f>_xlfn.XLOOKUP(C206,SkillActive!$A:$A,SkillActive!E:E,,0)</f>
        <v>2</v>
      </c>
    </row>
    <row r="207" spans="1:7">
      <c r="A207" s="5">
        <f t="shared" si="15"/>
        <v>20200104</v>
      </c>
      <c r="B207" s="34" t="str">
        <f>_xlfn.XLOOKUP(C207,SkillActive!$A:$A,SkillActive!C:C,,0)</f>
        <v>1|2|3|4|5|6|7</v>
      </c>
      <c r="C207" s="5">
        <v>202001</v>
      </c>
      <c r="D207" s="5">
        <f t="shared" si="19"/>
        <v>4</v>
      </c>
      <c r="E207" s="5" t="str">
        <f>_xlfn.XLOOKUP(C207,SkillActive!A:A,SkillActive!B:B,,,)</f>
        <v>回旋龙卷</v>
      </c>
      <c r="F207">
        <f t="shared" si="17"/>
        <v>4</v>
      </c>
      <c r="G207">
        <f>_xlfn.XLOOKUP(C207,SkillActive!$A:$A,SkillActive!E:E,,0)</f>
        <v>2</v>
      </c>
    </row>
    <row r="208" spans="1:7">
      <c r="A208" s="5">
        <f t="shared" si="15"/>
        <v>20200105</v>
      </c>
      <c r="B208" s="34" t="str">
        <f>_xlfn.XLOOKUP(C208,SkillActive!$A:$A,SkillActive!C:C,,0)</f>
        <v>1|2|3|4|5|6|7</v>
      </c>
      <c r="C208" s="5">
        <v>202001</v>
      </c>
      <c r="D208" s="5">
        <f t="shared" si="19"/>
        <v>5</v>
      </c>
      <c r="E208" s="5" t="str">
        <f>_xlfn.XLOOKUP(C208,SkillActive!A:A,SkillActive!B:B,,,)</f>
        <v>回旋龙卷</v>
      </c>
      <c r="F208">
        <f t="shared" si="17"/>
        <v>5</v>
      </c>
      <c r="G208">
        <f>_xlfn.XLOOKUP(C208,SkillActive!$A:$A,SkillActive!E:E,,0)</f>
        <v>2</v>
      </c>
    </row>
    <row r="209" spans="1:7">
      <c r="A209" s="5">
        <f t="shared" si="15"/>
        <v>20200106</v>
      </c>
      <c r="B209" s="34" t="str">
        <f>_xlfn.XLOOKUP(C209,SkillActive!$A:$A,SkillActive!C:C,,0)</f>
        <v>1|2|3|4|5|6|7</v>
      </c>
      <c r="C209" s="5">
        <v>202001</v>
      </c>
      <c r="D209" s="5">
        <f t="shared" si="19"/>
        <v>6</v>
      </c>
      <c r="E209" s="5" t="str">
        <f>_xlfn.XLOOKUP(C209,SkillActive!A:A,SkillActive!B:B,,,)</f>
        <v>回旋龙卷</v>
      </c>
      <c r="F209">
        <f t="shared" si="17"/>
        <v>6</v>
      </c>
      <c r="G209">
        <f>_xlfn.XLOOKUP(C209,SkillActive!$A:$A,SkillActive!E:E,,0)</f>
        <v>2</v>
      </c>
    </row>
    <row r="210" spans="1:7">
      <c r="A210" s="5">
        <f t="shared" si="15"/>
        <v>20200107</v>
      </c>
      <c r="B210" s="34" t="str">
        <f>_xlfn.XLOOKUP(C210,SkillActive!$A:$A,SkillActive!C:C,,0)</f>
        <v>1|2|3|4|5|6|7</v>
      </c>
      <c r="C210" s="5">
        <v>202001</v>
      </c>
      <c r="D210" s="5">
        <f t="shared" si="19"/>
        <v>7</v>
      </c>
      <c r="E210" s="5" t="str">
        <f>_xlfn.XLOOKUP(C210,SkillActive!A:A,SkillActive!B:B,,,)</f>
        <v>回旋龙卷</v>
      </c>
      <c r="F210">
        <f t="shared" si="17"/>
        <v>7</v>
      </c>
      <c r="G210">
        <f>_xlfn.XLOOKUP(C210,SkillActive!$A:$A,SkillActive!E:E,,0)</f>
        <v>2</v>
      </c>
    </row>
    <row r="211" spans="1:7">
      <c r="A211" s="5">
        <f t="shared" si="15"/>
        <v>20200108</v>
      </c>
      <c r="B211" s="34" t="str">
        <f>_xlfn.XLOOKUP(C211,SkillActive!$A:$A,SkillActive!C:C,,0)</f>
        <v>1|2|3|4|5|6|7</v>
      </c>
      <c r="C211" s="5">
        <v>202001</v>
      </c>
      <c r="D211" s="5">
        <f t="shared" si="19"/>
        <v>8</v>
      </c>
      <c r="E211" s="5" t="str">
        <f>_xlfn.XLOOKUP(C211,SkillActive!A:A,SkillActive!B:B,,,)</f>
        <v>回旋龙卷</v>
      </c>
      <c r="F211">
        <f t="shared" si="17"/>
        <v>8</v>
      </c>
      <c r="G211">
        <f>_xlfn.XLOOKUP(C211,SkillActive!$A:$A,SkillActive!E:E,,0)</f>
        <v>2</v>
      </c>
    </row>
    <row r="212" spans="1:7">
      <c r="A212" s="5">
        <f t="shared" si="15"/>
        <v>20200109</v>
      </c>
      <c r="B212" s="34" t="str">
        <f>_xlfn.XLOOKUP(C212,SkillActive!$A:$A,SkillActive!C:C,,0)</f>
        <v>1|2|3|4|5|6|7</v>
      </c>
      <c r="C212" s="5">
        <v>202001</v>
      </c>
      <c r="D212" s="5">
        <f t="shared" si="19"/>
        <v>9</v>
      </c>
      <c r="E212" s="5" t="str">
        <f>_xlfn.XLOOKUP(C212,SkillActive!A:A,SkillActive!B:B,,,)</f>
        <v>回旋龙卷</v>
      </c>
      <c r="F212">
        <f t="shared" si="17"/>
        <v>9</v>
      </c>
      <c r="G212">
        <f>_xlfn.XLOOKUP(C212,SkillActive!$A:$A,SkillActive!E:E,,0)</f>
        <v>2</v>
      </c>
    </row>
    <row r="213" spans="1:7">
      <c r="A213" s="5">
        <f t="shared" si="15"/>
        <v>20200110</v>
      </c>
      <c r="B213" s="34" t="str">
        <f>_xlfn.XLOOKUP(C213,SkillActive!$A:$A,SkillActive!C:C,,0)</f>
        <v>1|2|3|4|5|6|7</v>
      </c>
      <c r="C213" s="5">
        <v>202001</v>
      </c>
      <c r="D213" s="5">
        <f t="shared" si="19"/>
        <v>10</v>
      </c>
      <c r="E213" s="5" t="str">
        <f>_xlfn.XLOOKUP(C213,SkillActive!A:A,SkillActive!B:B,,,)</f>
        <v>回旋龙卷</v>
      </c>
      <c r="F213">
        <f t="shared" si="17"/>
        <v>10</v>
      </c>
      <c r="G213">
        <f>_xlfn.XLOOKUP(C213,SkillActive!$A:$A,SkillActive!E:E,,0)</f>
        <v>2</v>
      </c>
    </row>
    <row r="214" spans="1:7">
      <c r="A214" s="5">
        <f t="shared" si="15"/>
        <v>20200111</v>
      </c>
      <c r="B214" s="34" t="str">
        <f>_xlfn.XLOOKUP(C214,SkillActive!$A:$A,SkillActive!C:C,,0)</f>
        <v>1|2|3|4|5|6|7</v>
      </c>
      <c r="C214" s="5">
        <v>202001</v>
      </c>
      <c r="D214" s="5">
        <f t="shared" si="19"/>
        <v>11</v>
      </c>
      <c r="E214" s="5" t="str">
        <f>_xlfn.XLOOKUP(C214,SkillActive!A:A,SkillActive!B:B,,,)</f>
        <v>回旋龙卷</v>
      </c>
      <c r="F214">
        <f t="shared" si="17"/>
        <v>11</v>
      </c>
      <c r="G214">
        <f>_xlfn.XLOOKUP(C214,SkillActive!$A:$A,SkillActive!E:E,,0)</f>
        <v>2</v>
      </c>
    </row>
    <row r="215" spans="1:7">
      <c r="A215" s="5">
        <f t="shared" si="15"/>
        <v>20200112</v>
      </c>
      <c r="B215" s="34" t="str">
        <f>_xlfn.XLOOKUP(C215,SkillActive!$A:$A,SkillActive!C:C,,0)</f>
        <v>1|2|3|4|5|6|7</v>
      </c>
      <c r="C215" s="5">
        <v>202001</v>
      </c>
      <c r="D215" s="5">
        <f t="shared" si="19"/>
        <v>12</v>
      </c>
      <c r="E215" s="5" t="str">
        <f>_xlfn.XLOOKUP(C215,SkillActive!A:A,SkillActive!B:B,,,)</f>
        <v>回旋龙卷</v>
      </c>
      <c r="F215">
        <f t="shared" si="17"/>
        <v>12</v>
      </c>
      <c r="G215">
        <f>_xlfn.XLOOKUP(C215,SkillActive!$A:$A,SkillActive!E:E,,0)</f>
        <v>2</v>
      </c>
    </row>
    <row r="216" spans="1:7">
      <c r="A216" s="5">
        <f t="shared" si="15"/>
        <v>20200113</v>
      </c>
      <c r="B216" s="34" t="str">
        <f>_xlfn.XLOOKUP(C216,SkillActive!$A:$A,SkillActive!C:C,,0)</f>
        <v>1|2|3|4|5|6|7</v>
      </c>
      <c r="C216" s="5">
        <v>202001</v>
      </c>
      <c r="D216" s="5">
        <f t="shared" si="19"/>
        <v>13</v>
      </c>
      <c r="E216" s="5" t="str">
        <f>_xlfn.XLOOKUP(C216,SkillActive!A:A,SkillActive!B:B,,,)</f>
        <v>回旋龙卷</v>
      </c>
      <c r="F216">
        <f t="shared" si="17"/>
        <v>13</v>
      </c>
      <c r="G216">
        <f>_xlfn.XLOOKUP(C216,SkillActive!$A:$A,SkillActive!E:E,,0)</f>
        <v>2</v>
      </c>
    </row>
    <row r="217" spans="1:7">
      <c r="A217" s="5">
        <f t="shared" si="15"/>
        <v>20200114</v>
      </c>
      <c r="B217" s="34" t="str">
        <f>_xlfn.XLOOKUP(C217,SkillActive!$A:$A,SkillActive!C:C,,0)</f>
        <v>1|2|3|4|5|6|7</v>
      </c>
      <c r="C217" s="5">
        <v>202001</v>
      </c>
      <c r="D217" s="5">
        <f t="shared" si="19"/>
        <v>14</v>
      </c>
      <c r="E217" s="5" t="str">
        <f>_xlfn.XLOOKUP(C217,SkillActive!A:A,SkillActive!B:B,,,)</f>
        <v>回旋龙卷</v>
      </c>
      <c r="F217">
        <f t="shared" si="17"/>
        <v>14</v>
      </c>
      <c r="G217">
        <f>_xlfn.XLOOKUP(C217,SkillActive!$A:$A,SkillActive!E:E,,0)</f>
        <v>2</v>
      </c>
    </row>
    <row r="218" spans="1:7">
      <c r="A218" s="5">
        <f t="shared" si="15"/>
        <v>20200115</v>
      </c>
      <c r="B218" s="34" t="str">
        <f>_xlfn.XLOOKUP(C218,SkillActive!$A:$A,SkillActive!C:C,,0)</f>
        <v>1|2|3|4|5|6|7</v>
      </c>
      <c r="C218" s="5">
        <v>202001</v>
      </c>
      <c r="D218" s="5">
        <f t="shared" si="19"/>
        <v>15</v>
      </c>
      <c r="E218" s="5" t="str">
        <f>_xlfn.XLOOKUP(C218,SkillActive!A:A,SkillActive!B:B,,,)</f>
        <v>回旋龙卷</v>
      </c>
      <c r="F218">
        <f t="shared" si="17"/>
        <v>15</v>
      </c>
      <c r="G218">
        <f>_xlfn.XLOOKUP(C218,SkillActive!$A:$A,SkillActive!E:E,,0)</f>
        <v>2</v>
      </c>
    </row>
    <row r="219" spans="1:7">
      <c r="A219" s="5">
        <f t="shared" si="15"/>
        <v>20200116</v>
      </c>
      <c r="B219" s="34" t="str">
        <f>_xlfn.XLOOKUP(C219,SkillActive!$A:$A,SkillActive!C:C,,0)</f>
        <v>1|2|3|4|5|6|7</v>
      </c>
      <c r="C219" s="5">
        <v>202001</v>
      </c>
      <c r="D219" s="5">
        <f t="shared" si="19"/>
        <v>16</v>
      </c>
      <c r="E219" s="5" t="str">
        <f>_xlfn.XLOOKUP(C219,SkillActive!A:A,SkillActive!B:B,,,)</f>
        <v>回旋龙卷</v>
      </c>
      <c r="F219">
        <f t="shared" si="17"/>
        <v>16</v>
      </c>
      <c r="G219">
        <f>_xlfn.XLOOKUP(C219,SkillActive!$A:$A,SkillActive!E:E,,0)</f>
        <v>2</v>
      </c>
    </row>
    <row r="220" spans="1:7">
      <c r="A220" s="5">
        <f t="shared" si="15"/>
        <v>20400103</v>
      </c>
      <c r="B220" s="34" t="str">
        <f>_xlfn.XLOOKUP(C220,SkillActive!$A:$A,SkillActive!C:C,,0)</f>
        <v>1|2|3|4|5|6|7</v>
      </c>
      <c r="C220" s="5">
        <v>204001</v>
      </c>
      <c r="D220" s="5">
        <f t="shared" si="19"/>
        <v>3</v>
      </c>
      <c r="E220" s="5" t="str">
        <f>_xlfn.XLOOKUP(C220,SkillActive!A:A,SkillActive!B:B,,,)</f>
        <v>魔力满溢</v>
      </c>
      <c r="F220">
        <f t="shared" si="17"/>
        <v>3</v>
      </c>
      <c r="G220">
        <f>_xlfn.XLOOKUP(C220,SkillActive!$A:$A,SkillActive!E:E,,0)</f>
        <v>2</v>
      </c>
    </row>
    <row r="221" spans="1:7">
      <c r="A221" s="5">
        <f t="shared" si="15"/>
        <v>20400104</v>
      </c>
      <c r="B221" s="34" t="str">
        <f>_xlfn.XLOOKUP(C221,SkillActive!$A:$A,SkillActive!C:C,,0)</f>
        <v>1|2|3|4|5|6|7</v>
      </c>
      <c r="C221" s="5">
        <v>204001</v>
      </c>
      <c r="D221" s="5">
        <f t="shared" si="19"/>
        <v>4</v>
      </c>
      <c r="E221" s="5" t="str">
        <f>_xlfn.XLOOKUP(C221,SkillActive!A:A,SkillActive!B:B,,,)</f>
        <v>魔力满溢</v>
      </c>
      <c r="F221">
        <f t="shared" si="17"/>
        <v>4</v>
      </c>
      <c r="G221">
        <f>_xlfn.XLOOKUP(C221,SkillActive!$A:$A,SkillActive!E:E,,0)</f>
        <v>2</v>
      </c>
    </row>
    <row r="222" spans="1:7">
      <c r="A222" s="5">
        <f t="shared" si="15"/>
        <v>20400105</v>
      </c>
      <c r="B222" s="34" t="str">
        <f>_xlfn.XLOOKUP(C222,SkillActive!$A:$A,SkillActive!C:C,,0)</f>
        <v>1|2|3|4|5|6|7</v>
      </c>
      <c r="C222" s="5">
        <v>204001</v>
      </c>
      <c r="D222" s="5">
        <f t="shared" si="19"/>
        <v>5</v>
      </c>
      <c r="E222" s="5" t="str">
        <f>_xlfn.XLOOKUP(C222,SkillActive!A:A,SkillActive!B:B,,,)</f>
        <v>魔力满溢</v>
      </c>
      <c r="F222">
        <f t="shared" si="17"/>
        <v>5</v>
      </c>
      <c r="G222">
        <f>_xlfn.XLOOKUP(C222,SkillActive!$A:$A,SkillActive!E:E,,0)</f>
        <v>2</v>
      </c>
    </row>
    <row r="223" spans="1:7">
      <c r="A223" s="5">
        <f t="shared" si="15"/>
        <v>20400106</v>
      </c>
      <c r="B223" s="34" t="str">
        <f>_xlfn.XLOOKUP(C223,SkillActive!$A:$A,SkillActive!C:C,,0)</f>
        <v>1|2|3|4|5|6|7</v>
      </c>
      <c r="C223" s="5">
        <v>204001</v>
      </c>
      <c r="D223" s="5">
        <f t="shared" si="19"/>
        <v>6</v>
      </c>
      <c r="E223" s="5" t="str">
        <f>_xlfn.XLOOKUP(C223,SkillActive!A:A,SkillActive!B:B,,,)</f>
        <v>魔力满溢</v>
      </c>
      <c r="F223">
        <f t="shared" si="17"/>
        <v>6</v>
      </c>
      <c r="G223">
        <f>_xlfn.XLOOKUP(C223,SkillActive!$A:$A,SkillActive!E:E,,0)</f>
        <v>2</v>
      </c>
    </row>
    <row r="224" spans="1:7">
      <c r="A224" s="5">
        <f t="shared" si="15"/>
        <v>20400107</v>
      </c>
      <c r="B224" s="34" t="str">
        <f>_xlfn.XLOOKUP(C224,SkillActive!$A:$A,SkillActive!C:C,,0)</f>
        <v>1|2|3|4|5|6|7</v>
      </c>
      <c r="C224" s="5">
        <v>204001</v>
      </c>
      <c r="D224" s="5">
        <f t="shared" si="19"/>
        <v>7</v>
      </c>
      <c r="E224" s="5" t="str">
        <f>_xlfn.XLOOKUP(C224,SkillActive!A:A,SkillActive!B:B,,,)</f>
        <v>魔力满溢</v>
      </c>
      <c r="F224">
        <f t="shared" si="17"/>
        <v>7</v>
      </c>
      <c r="G224">
        <f>_xlfn.XLOOKUP(C224,SkillActive!$A:$A,SkillActive!E:E,,0)</f>
        <v>2</v>
      </c>
    </row>
    <row r="225" spans="1:7">
      <c r="A225" s="5">
        <f t="shared" si="15"/>
        <v>20400108</v>
      </c>
      <c r="B225" s="34" t="str">
        <f>_xlfn.XLOOKUP(C225,SkillActive!$A:$A,SkillActive!C:C,,0)</f>
        <v>1|2|3|4|5|6|7</v>
      </c>
      <c r="C225" s="5">
        <v>204001</v>
      </c>
      <c r="D225" s="5">
        <f t="shared" si="19"/>
        <v>8</v>
      </c>
      <c r="E225" s="5" t="str">
        <f>_xlfn.XLOOKUP(C225,SkillActive!A:A,SkillActive!B:B,,,)</f>
        <v>魔力满溢</v>
      </c>
      <c r="F225">
        <f t="shared" si="17"/>
        <v>8</v>
      </c>
      <c r="G225">
        <f>_xlfn.XLOOKUP(C225,SkillActive!$A:$A,SkillActive!E:E,,0)</f>
        <v>2</v>
      </c>
    </row>
    <row r="226" spans="1:7">
      <c r="A226" s="5">
        <f t="shared" si="15"/>
        <v>20400109</v>
      </c>
      <c r="B226" s="34" t="str">
        <f>_xlfn.XLOOKUP(C226,SkillActive!$A:$A,SkillActive!C:C,,0)</f>
        <v>1|2|3|4|5|6|7</v>
      </c>
      <c r="C226" s="5">
        <v>204001</v>
      </c>
      <c r="D226" s="5">
        <f t="shared" si="19"/>
        <v>9</v>
      </c>
      <c r="E226" s="5" t="str">
        <f>_xlfn.XLOOKUP(C226,SkillActive!A:A,SkillActive!B:B,,,)</f>
        <v>魔力满溢</v>
      </c>
      <c r="F226">
        <f t="shared" si="17"/>
        <v>9</v>
      </c>
      <c r="G226">
        <f>_xlfn.XLOOKUP(C226,SkillActive!$A:$A,SkillActive!E:E,,0)</f>
        <v>2</v>
      </c>
    </row>
    <row r="227" spans="1:7">
      <c r="A227" s="5">
        <f t="shared" si="15"/>
        <v>20400110</v>
      </c>
      <c r="B227" s="34" t="str">
        <f>_xlfn.XLOOKUP(C227,SkillActive!$A:$A,SkillActive!C:C,,0)</f>
        <v>1|2|3|4|5|6|7</v>
      </c>
      <c r="C227" s="5">
        <v>204001</v>
      </c>
      <c r="D227" s="5">
        <f t="shared" si="19"/>
        <v>10</v>
      </c>
      <c r="E227" s="5" t="str">
        <f>_xlfn.XLOOKUP(C227,SkillActive!A:A,SkillActive!B:B,,,)</f>
        <v>魔力满溢</v>
      </c>
      <c r="F227">
        <f t="shared" si="17"/>
        <v>10</v>
      </c>
      <c r="G227">
        <f>_xlfn.XLOOKUP(C227,SkillActive!$A:$A,SkillActive!E:E,,0)</f>
        <v>2</v>
      </c>
    </row>
    <row r="228" spans="1:7">
      <c r="A228" s="5">
        <f t="shared" ref="A228:A233" si="20">C228*100+D228</f>
        <v>20400111</v>
      </c>
      <c r="B228" s="34" t="str">
        <f>_xlfn.XLOOKUP(C228,SkillActive!$A:$A,SkillActive!C:C,,0)</f>
        <v>1|2|3|4|5|6|7</v>
      </c>
      <c r="C228" s="5">
        <v>204001</v>
      </c>
      <c r="D228" s="5">
        <f t="shared" si="19"/>
        <v>11</v>
      </c>
      <c r="E228" s="5" t="str">
        <f>_xlfn.XLOOKUP(C228,SkillActive!A:A,SkillActive!B:B,,,)</f>
        <v>魔力满溢</v>
      </c>
      <c r="F228">
        <f t="shared" ref="F228:F233" si="21">D228</f>
        <v>11</v>
      </c>
      <c r="G228">
        <f>_xlfn.XLOOKUP(C228,SkillActive!$A:$A,SkillActive!E:E,,0)</f>
        <v>2</v>
      </c>
    </row>
    <row r="229" spans="1:7">
      <c r="A229" s="5">
        <f t="shared" si="20"/>
        <v>20400112</v>
      </c>
      <c r="B229" s="34" t="str">
        <f>_xlfn.XLOOKUP(C229,SkillActive!$A:$A,SkillActive!C:C,,0)</f>
        <v>1|2|3|4|5|6|7</v>
      </c>
      <c r="C229" s="5">
        <v>204001</v>
      </c>
      <c r="D229" s="5">
        <f t="shared" si="19"/>
        <v>12</v>
      </c>
      <c r="E229" s="5" t="str">
        <f>_xlfn.XLOOKUP(C229,SkillActive!A:A,SkillActive!B:B,,,)</f>
        <v>魔力满溢</v>
      </c>
      <c r="F229">
        <f t="shared" si="21"/>
        <v>12</v>
      </c>
      <c r="G229">
        <f>_xlfn.XLOOKUP(C229,SkillActive!$A:$A,SkillActive!E:E,,0)</f>
        <v>2</v>
      </c>
    </row>
    <row r="230" spans="1:7">
      <c r="A230" s="5">
        <f t="shared" si="20"/>
        <v>20400113</v>
      </c>
      <c r="B230" s="34" t="str">
        <f>_xlfn.XLOOKUP(C230,SkillActive!$A:$A,SkillActive!C:C,,0)</f>
        <v>1|2|3|4|5|6|7</v>
      </c>
      <c r="C230" s="5">
        <v>204001</v>
      </c>
      <c r="D230" s="5">
        <f t="shared" si="19"/>
        <v>13</v>
      </c>
      <c r="E230" s="5" t="str">
        <f>_xlfn.XLOOKUP(C230,SkillActive!A:A,SkillActive!B:B,,,)</f>
        <v>魔力满溢</v>
      </c>
      <c r="F230">
        <f t="shared" si="21"/>
        <v>13</v>
      </c>
      <c r="G230">
        <f>_xlfn.XLOOKUP(C230,SkillActive!$A:$A,SkillActive!E:E,,0)</f>
        <v>2</v>
      </c>
    </row>
    <row r="231" spans="1:7">
      <c r="A231" s="5">
        <f t="shared" si="20"/>
        <v>20400114</v>
      </c>
      <c r="B231" s="34" t="str">
        <f>_xlfn.XLOOKUP(C231,SkillActive!$A:$A,SkillActive!C:C,,0)</f>
        <v>1|2|3|4|5|6|7</v>
      </c>
      <c r="C231" s="5">
        <v>204001</v>
      </c>
      <c r="D231" s="5">
        <f t="shared" si="19"/>
        <v>14</v>
      </c>
      <c r="E231" s="5" t="str">
        <f>_xlfn.XLOOKUP(C231,SkillActive!A:A,SkillActive!B:B,,,)</f>
        <v>魔力满溢</v>
      </c>
      <c r="F231">
        <f t="shared" si="21"/>
        <v>14</v>
      </c>
      <c r="G231">
        <f>_xlfn.XLOOKUP(C231,SkillActive!$A:$A,SkillActive!E:E,,0)</f>
        <v>2</v>
      </c>
    </row>
    <row r="232" spans="1:7">
      <c r="A232" s="5">
        <f t="shared" si="20"/>
        <v>20400115</v>
      </c>
      <c r="B232" s="34" t="str">
        <f>_xlfn.XLOOKUP(C232,SkillActive!$A:$A,SkillActive!C:C,,0)</f>
        <v>1|2|3|4|5|6|7</v>
      </c>
      <c r="C232" s="5">
        <v>204001</v>
      </c>
      <c r="D232" s="5">
        <f t="shared" si="19"/>
        <v>15</v>
      </c>
      <c r="E232" s="5" t="str">
        <f>_xlfn.XLOOKUP(C232,SkillActive!A:A,SkillActive!B:B,,,)</f>
        <v>魔力满溢</v>
      </c>
      <c r="F232">
        <f t="shared" si="21"/>
        <v>15</v>
      </c>
      <c r="G232">
        <f>_xlfn.XLOOKUP(C232,SkillActive!$A:$A,SkillActive!E:E,,0)</f>
        <v>2</v>
      </c>
    </row>
    <row r="233" spans="1:7">
      <c r="A233" s="5">
        <f t="shared" si="20"/>
        <v>20400116</v>
      </c>
      <c r="B233" s="34" t="str">
        <f>_xlfn.XLOOKUP(C233,SkillActive!$A:$A,SkillActive!C:C,,0)</f>
        <v>1|2|3|4|5|6|7</v>
      </c>
      <c r="C233" s="5">
        <v>204001</v>
      </c>
      <c r="D233" s="5">
        <f t="shared" si="19"/>
        <v>16</v>
      </c>
      <c r="E233" s="5" t="str">
        <f>_xlfn.XLOOKUP(C233,SkillActive!A:A,SkillActive!B:B,,,)</f>
        <v>魔力满溢</v>
      </c>
      <c r="F233">
        <f t="shared" si="21"/>
        <v>16</v>
      </c>
      <c r="G233">
        <f>_xlfn.XLOOKUP(C233,SkillActive!$A:$A,SkillActive!E:E,,0)</f>
        <v>2</v>
      </c>
    </row>
    <row r="234" spans="1:7">
      <c r="A234" s="5">
        <f t="shared" ref="A234:A252" si="22">C234*100+D234</f>
        <v>30100105</v>
      </c>
      <c r="B234" s="34" t="str">
        <f>_xlfn.XLOOKUP(C234,SkillActive!$A:$A,SkillActive!C:C,,0)</f>
        <v>1|2|3|4|5|6|7</v>
      </c>
      <c r="C234" s="5">
        <v>301001</v>
      </c>
      <c r="D234" s="5">
        <f t="shared" ref="D234:D245" si="23">D166</f>
        <v>5</v>
      </c>
      <c r="E234" s="5" t="str">
        <f>_xlfn.XLOOKUP(C234,SkillActive!A:A,SkillActive!B:B,,,)</f>
        <v>灰烬之捷</v>
      </c>
      <c r="F234">
        <f t="shared" ref="F234:F252" si="24">D234</f>
        <v>5</v>
      </c>
      <c r="G234">
        <f>_xlfn.XLOOKUP(C234,SkillActive!$A:$A,SkillActive!E:E,,0)</f>
        <v>3</v>
      </c>
    </row>
    <row r="235" spans="1:7">
      <c r="A235" s="5">
        <f t="shared" si="22"/>
        <v>30100106</v>
      </c>
      <c r="B235" s="34" t="str">
        <f>_xlfn.XLOOKUP(C235,SkillActive!$A:$A,SkillActive!C:C,,0)</f>
        <v>1|2|3|4|5|6|7</v>
      </c>
      <c r="C235" s="5">
        <v>301001</v>
      </c>
      <c r="D235" s="5">
        <f t="shared" si="23"/>
        <v>6</v>
      </c>
      <c r="E235" s="5" t="str">
        <f>_xlfn.XLOOKUP(C235,SkillActive!A:A,SkillActive!B:B,,,)</f>
        <v>灰烬之捷</v>
      </c>
      <c r="F235">
        <f t="shared" si="24"/>
        <v>6</v>
      </c>
      <c r="G235">
        <f>_xlfn.XLOOKUP(C235,SkillActive!$A:$A,SkillActive!E:E,,0)</f>
        <v>3</v>
      </c>
    </row>
    <row r="236" spans="1:7">
      <c r="A236" s="5">
        <f t="shared" si="22"/>
        <v>30100107</v>
      </c>
      <c r="B236" s="34" t="str">
        <f>_xlfn.XLOOKUP(C236,SkillActive!$A:$A,SkillActive!C:C,,0)</f>
        <v>1|2|3|4|5|6|7</v>
      </c>
      <c r="C236" s="5">
        <v>301001</v>
      </c>
      <c r="D236" s="5">
        <f t="shared" si="23"/>
        <v>7</v>
      </c>
      <c r="E236" s="5" t="str">
        <f>_xlfn.XLOOKUP(C236,SkillActive!A:A,SkillActive!B:B,,,)</f>
        <v>灰烬之捷</v>
      </c>
      <c r="F236">
        <f t="shared" si="24"/>
        <v>7</v>
      </c>
      <c r="G236">
        <f>_xlfn.XLOOKUP(C236,SkillActive!$A:$A,SkillActive!E:E,,0)</f>
        <v>3</v>
      </c>
    </row>
    <row r="237" spans="1:7">
      <c r="A237" s="5">
        <f t="shared" si="22"/>
        <v>30100108</v>
      </c>
      <c r="B237" s="34" t="str">
        <f>_xlfn.XLOOKUP(C237,SkillActive!$A:$A,SkillActive!C:C,,0)</f>
        <v>1|2|3|4|5|6|7</v>
      </c>
      <c r="C237" s="5">
        <v>301001</v>
      </c>
      <c r="D237" s="5">
        <f t="shared" si="23"/>
        <v>8</v>
      </c>
      <c r="E237" s="5" t="str">
        <f>_xlfn.XLOOKUP(C237,SkillActive!A:A,SkillActive!B:B,,,)</f>
        <v>灰烬之捷</v>
      </c>
      <c r="F237">
        <f t="shared" si="24"/>
        <v>8</v>
      </c>
      <c r="G237">
        <f>_xlfn.XLOOKUP(C237,SkillActive!$A:$A,SkillActive!E:E,,0)</f>
        <v>3</v>
      </c>
    </row>
    <row r="238" spans="1:7">
      <c r="A238" s="5">
        <f t="shared" si="22"/>
        <v>30100109</v>
      </c>
      <c r="B238" s="34" t="str">
        <f>_xlfn.XLOOKUP(C238,SkillActive!$A:$A,SkillActive!C:C,,0)</f>
        <v>1|2|3|4|5|6|7</v>
      </c>
      <c r="C238" s="5">
        <v>301001</v>
      </c>
      <c r="D238" s="5">
        <f t="shared" si="23"/>
        <v>9</v>
      </c>
      <c r="E238" s="5" t="str">
        <f>_xlfn.XLOOKUP(C238,SkillActive!A:A,SkillActive!B:B,,,)</f>
        <v>灰烬之捷</v>
      </c>
      <c r="F238">
        <f t="shared" si="24"/>
        <v>9</v>
      </c>
      <c r="G238">
        <f>_xlfn.XLOOKUP(C238,SkillActive!$A:$A,SkillActive!E:E,,0)</f>
        <v>3</v>
      </c>
    </row>
    <row r="239" spans="1:7">
      <c r="A239" s="5">
        <f t="shared" si="22"/>
        <v>30100110</v>
      </c>
      <c r="B239" s="34" t="str">
        <f>_xlfn.XLOOKUP(C239,SkillActive!$A:$A,SkillActive!C:C,,0)</f>
        <v>1|2|3|4|5|6|7</v>
      </c>
      <c r="C239" s="5">
        <v>301001</v>
      </c>
      <c r="D239" s="5">
        <f t="shared" si="23"/>
        <v>10</v>
      </c>
      <c r="E239" s="5" t="str">
        <f>_xlfn.XLOOKUP(C239,SkillActive!A:A,SkillActive!B:B,,,)</f>
        <v>灰烬之捷</v>
      </c>
      <c r="F239">
        <f t="shared" si="24"/>
        <v>10</v>
      </c>
      <c r="G239">
        <f>_xlfn.XLOOKUP(C239,SkillActive!$A:$A,SkillActive!E:E,,0)</f>
        <v>3</v>
      </c>
    </row>
    <row r="240" spans="1:7">
      <c r="A240" s="5">
        <f t="shared" si="22"/>
        <v>30100111</v>
      </c>
      <c r="B240" s="34" t="str">
        <f>_xlfn.XLOOKUP(C240,SkillActive!$A:$A,SkillActive!C:C,,0)</f>
        <v>1|2|3|4|5|6|7</v>
      </c>
      <c r="C240" s="5">
        <v>301001</v>
      </c>
      <c r="D240" s="5">
        <f t="shared" si="23"/>
        <v>11</v>
      </c>
      <c r="E240" s="5" t="str">
        <f>_xlfn.XLOOKUP(C240,SkillActive!A:A,SkillActive!B:B,,,)</f>
        <v>灰烬之捷</v>
      </c>
      <c r="F240">
        <f t="shared" si="24"/>
        <v>11</v>
      </c>
      <c r="G240">
        <f>_xlfn.XLOOKUP(C240,SkillActive!$A:$A,SkillActive!E:E,,0)</f>
        <v>3</v>
      </c>
    </row>
    <row r="241" spans="1:7">
      <c r="A241" s="5">
        <f t="shared" si="22"/>
        <v>30100112</v>
      </c>
      <c r="B241" s="34" t="str">
        <f>_xlfn.XLOOKUP(C241,SkillActive!$A:$A,SkillActive!C:C,,0)</f>
        <v>1|2|3|4|5|6|7</v>
      </c>
      <c r="C241" s="5">
        <v>301001</v>
      </c>
      <c r="D241" s="5">
        <f t="shared" si="23"/>
        <v>12</v>
      </c>
      <c r="E241" s="5" t="str">
        <f>_xlfn.XLOOKUP(C241,SkillActive!A:A,SkillActive!B:B,,,)</f>
        <v>灰烬之捷</v>
      </c>
      <c r="F241">
        <f t="shared" si="24"/>
        <v>12</v>
      </c>
      <c r="G241">
        <f>_xlfn.XLOOKUP(C241,SkillActive!$A:$A,SkillActive!E:E,,0)</f>
        <v>3</v>
      </c>
    </row>
    <row r="242" spans="1:7">
      <c r="A242" s="5">
        <f t="shared" si="22"/>
        <v>30100113</v>
      </c>
      <c r="B242" s="34" t="str">
        <f>_xlfn.XLOOKUP(C242,SkillActive!$A:$A,SkillActive!C:C,,0)</f>
        <v>1|2|3|4|5|6|7</v>
      </c>
      <c r="C242" s="5">
        <v>301001</v>
      </c>
      <c r="D242" s="5">
        <f t="shared" si="23"/>
        <v>13</v>
      </c>
      <c r="E242" s="5" t="str">
        <f>_xlfn.XLOOKUP(C242,SkillActive!A:A,SkillActive!B:B,,,)</f>
        <v>灰烬之捷</v>
      </c>
      <c r="F242">
        <f t="shared" si="24"/>
        <v>13</v>
      </c>
      <c r="G242">
        <f>_xlfn.XLOOKUP(C242,SkillActive!$A:$A,SkillActive!E:E,,0)</f>
        <v>3</v>
      </c>
    </row>
    <row r="243" spans="1:7">
      <c r="A243" s="5">
        <f t="shared" si="22"/>
        <v>30100114</v>
      </c>
      <c r="B243" s="34" t="str">
        <f>_xlfn.XLOOKUP(C243,SkillActive!$A:$A,SkillActive!C:C,,0)</f>
        <v>1|2|3|4|5|6|7</v>
      </c>
      <c r="C243" s="5">
        <v>301001</v>
      </c>
      <c r="D243" s="5">
        <f t="shared" si="23"/>
        <v>14</v>
      </c>
      <c r="E243" s="5" t="str">
        <f>_xlfn.XLOOKUP(C243,SkillActive!A:A,SkillActive!B:B,,,)</f>
        <v>灰烬之捷</v>
      </c>
      <c r="F243">
        <f t="shared" si="24"/>
        <v>14</v>
      </c>
      <c r="G243">
        <f>_xlfn.XLOOKUP(C243,SkillActive!$A:$A,SkillActive!E:E,,0)</f>
        <v>3</v>
      </c>
    </row>
    <row r="244" spans="1:7">
      <c r="A244" s="5">
        <f t="shared" si="22"/>
        <v>30100115</v>
      </c>
      <c r="B244" s="34" t="str">
        <f>_xlfn.XLOOKUP(C244,SkillActive!$A:$A,SkillActive!C:C,,0)</f>
        <v>1|2|3|4|5|6|7</v>
      </c>
      <c r="C244" s="5">
        <v>301001</v>
      </c>
      <c r="D244" s="5">
        <f t="shared" si="23"/>
        <v>15</v>
      </c>
      <c r="E244" s="5" t="str">
        <f>_xlfn.XLOOKUP(C244,SkillActive!A:A,SkillActive!B:B,,,)</f>
        <v>灰烬之捷</v>
      </c>
      <c r="F244">
        <f t="shared" si="24"/>
        <v>15</v>
      </c>
      <c r="G244">
        <f>_xlfn.XLOOKUP(C244,SkillActive!$A:$A,SkillActive!E:E,,0)</f>
        <v>3</v>
      </c>
    </row>
    <row r="245" spans="1:7">
      <c r="A245" s="5">
        <f t="shared" si="22"/>
        <v>30100116</v>
      </c>
      <c r="B245" s="34" t="str">
        <f>_xlfn.XLOOKUP(C245,SkillActive!$A:$A,SkillActive!C:C,,0)</f>
        <v>1|2|3|4|5|6|7</v>
      </c>
      <c r="C245" s="5">
        <v>301001</v>
      </c>
      <c r="D245" s="5">
        <f t="shared" si="23"/>
        <v>16</v>
      </c>
      <c r="E245" s="5" t="str">
        <f>_xlfn.XLOOKUP(C245,SkillActive!A:A,SkillActive!B:B,,,)</f>
        <v>灰烬之捷</v>
      </c>
      <c r="F245">
        <f t="shared" si="24"/>
        <v>16</v>
      </c>
      <c r="G245">
        <f>_xlfn.XLOOKUP(C245,SkillActive!$A:$A,SkillActive!E:E,,0)</f>
        <v>3</v>
      </c>
    </row>
    <row r="246" spans="1:7">
      <c r="A246" s="5">
        <f t="shared" si="22"/>
        <v>30100205</v>
      </c>
      <c r="B246" s="34" t="str">
        <f>_xlfn.XLOOKUP(C246,SkillActive!$A:$A,SkillActive!C:C,,0)</f>
        <v>1|2|3|4|5|6|7</v>
      </c>
      <c r="C246" s="5">
        <f t="shared" ref="C246:C257" si="25">C234+1</f>
        <v>301002</v>
      </c>
      <c r="D246" s="5">
        <f>D234</f>
        <v>5</v>
      </c>
      <c r="E246" s="5" t="str">
        <f>_xlfn.XLOOKUP(C246,SkillActive!A:A,SkillActive!B:B,,,)</f>
        <v>月神赐福</v>
      </c>
      <c r="F246">
        <f t="shared" si="24"/>
        <v>5</v>
      </c>
      <c r="G246">
        <f>_xlfn.XLOOKUP(C246,SkillActive!$A:$A,SkillActive!E:E,,0)</f>
        <v>3</v>
      </c>
    </row>
    <row r="247" spans="1:7">
      <c r="A247" s="5">
        <f t="shared" si="22"/>
        <v>30100206</v>
      </c>
      <c r="B247" s="34" t="str">
        <f>_xlfn.XLOOKUP(C247,SkillActive!$A:$A,SkillActive!C:C,,0)</f>
        <v>1|2|3|4|5|6|7</v>
      </c>
      <c r="C247" s="5">
        <f t="shared" si="25"/>
        <v>301002</v>
      </c>
      <c r="D247" s="5">
        <f t="shared" ref="D247:D269" si="26">D235</f>
        <v>6</v>
      </c>
      <c r="E247" s="5" t="str">
        <f>_xlfn.XLOOKUP(C247,SkillActive!A:A,SkillActive!B:B,,,)</f>
        <v>月神赐福</v>
      </c>
      <c r="F247">
        <f t="shared" si="24"/>
        <v>6</v>
      </c>
      <c r="G247">
        <f>_xlfn.XLOOKUP(C247,SkillActive!$A:$A,SkillActive!E:E,,0)</f>
        <v>3</v>
      </c>
    </row>
    <row r="248" spans="1:7">
      <c r="A248" s="5">
        <f t="shared" si="22"/>
        <v>30100207</v>
      </c>
      <c r="B248" s="34" t="str">
        <f>_xlfn.XLOOKUP(C248,SkillActive!$A:$A,SkillActive!C:C,,0)</f>
        <v>1|2|3|4|5|6|7</v>
      </c>
      <c r="C248" s="5">
        <f t="shared" si="25"/>
        <v>301002</v>
      </c>
      <c r="D248" s="5">
        <f t="shared" si="26"/>
        <v>7</v>
      </c>
      <c r="E248" s="5" t="str">
        <f>_xlfn.XLOOKUP(C248,SkillActive!A:A,SkillActive!B:B,,,)</f>
        <v>月神赐福</v>
      </c>
      <c r="F248">
        <f t="shared" si="24"/>
        <v>7</v>
      </c>
      <c r="G248">
        <f>_xlfn.XLOOKUP(C248,SkillActive!$A:$A,SkillActive!E:E,,0)</f>
        <v>3</v>
      </c>
    </row>
    <row r="249" spans="1:7">
      <c r="A249" s="5">
        <f t="shared" si="22"/>
        <v>30100208</v>
      </c>
      <c r="B249" s="34" t="str">
        <f>_xlfn.XLOOKUP(C249,SkillActive!$A:$A,SkillActive!C:C,,0)</f>
        <v>1|2|3|4|5|6|7</v>
      </c>
      <c r="C249" s="5">
        <f t="shared" si="25"/>
        <v>301002</v>
      </c>
      <c r="D249" s="5">
        <f t="shared" si="26"/>
        <v>8</v>
      </c>
      <c r="E249" s="5" t="str">
        <f>_xlfn.XLOOKUP(C249,SkillActive!A:A,SkillActive!B:B,,,)</f>
        <v>月神赐福</v>
      </c>
      <c r="F249">
        <f t="shared" si="24"/>
        <v>8</v>
      </c>
      <c r="G249">
        <f>_xlfn.XLOOKUP(C249,SkillActive!$A:$A,SkillActive!E:E,,0)</f>
        <v>3</v>
      </c>
    </row>
    <row r="250" spans="1:7">
      <c r="A250" s="5">
        <f t="shared" si="22"/>
        <v>30100209</v>
      </c>
      <c r="B250" s="34" t="str">
        <f>_xlfn.XLOOKUP(C250,SkillActive!$A:$A,SkillActive!C:C,,0)</f>
        <v>1|2|3|4|5|6|7</v>
      </c>
      <c r="C250" s="5">
        <f t="shared" si="25"/>
        <v>301002</v>
      </c>
      <c r="D250" s="5">
        <f t="shared" si="26"/>
        <v>9</v>
      </c>
      <c r="E250" s="5" t="str">
        <f>_xlfn.XLOOKUP(C250,SkillActive!A:A,SkillActive!B:B,,,)</f>
        <v>月神赐福</v>
      </c>
      <c r="F250">
        <f t="shared" si="24"/>
        <v>9</v>
      </c>
      <c r="G250">
        <f>_xlfn.XLOOKUP(C250,SkillActive!$A:$A,SkillActive!E:E,,0)</f>
        <v>3</v>
      </c>
    </row>
    <row r="251" spans="1:7">
      <c r="A251" s="5">
        <f t="shared" si="22"/>
        <v>30100210</v>
      </c>
      <c r="B251" s="34" t="str">
        <f>_xlfn.XLOOKUP(C251,SkillActive!$A:$A,SkillActive!C:C,,0)</f>
        <v>1|2|3|4|5|6|7</v>
      </c>
      <c r="C251" s="5">
        <f t="shared" si="25"/>
        <v>301002</v>
      </c>
      <c r="D251" s="5">
        <f t="shared" si="26"/>
        <v>10</v>
      </c>
      <c r="E251" s="5" t="str">
        <f>_xlfn.XLOOKUP(C251,SkillActive!A:A,SkillActive!B:B,,,)</f>
        <v>月神赐福</v>
      </c>
      <c r="F251">
        <f t="shared" si="24"/>
        <v>10</v>
      </c>
      <c r="G251">
        <f>_xlfn.XLOOKUP(C251,SkillActive!$A:$A,SkillActive!E:E,,0)</f>
        <v>3</v>
      </c>
    </row>
    <row r="252" spans="1:7">
      <c r="A252" s="5">
        <f t="shared" si="22"/>
        <v>30100211</v>
      </c>
      <c r="B252" s="34" t="str">
        <f>_xlfn.XLOOKUP(C252,SkillActive!$A:$A,SkillActive!C:C,,0)</f>
        <v>1|2|3|4|5|6|7</v>
      </c>
      <c r="C252" s="5">
        <f t="shared" si="25"/>
        <v>301002</v>
      </c>
      <c r="D252" s="5">
        <f t="shared" si="26"/>
        <v>11</v>
      </c>
      <c r="E252" s="5" t="str">
        <f>_xlfn.XLOOKUP(C252,SkillActive!A:A,SkillActive!B:B,,,)</f>
        <v>月神赐福</v>
      </c>
      <c r="F252">
        <f t="shared" si="24"/>
        <v>11</v>
      </c>
      <c r="G252">
        <f>_xlfn.XLOOKUP(C252,SkillActive!$A:$A,SkillActive!E:E,,0)</f>
        <v>3</v>
      </c>
    </row>
    <row r="253" spans="1:7">
      <c r="A253" s="5">
        <f t="shared" ref="A253:A269" si="27">C253*100+D253</f>
        <v>30100212</v>
      </c>
      <c r="B253" s="34" t="str">
        <f>_xlfn.XLOOKUP(C253,SkillActive!$A:$A,SkillActive!C:C,,0)</f>
        <v>1|2|3|4|5|6|7</v>
      </c>
      <c r="C253" s="5">
        <f t="shared" si="25"/>
        <v>301002</v>
      </c>
      <c r="D253" s="5">
        <f t="shared" si="26"/>
        <v>12</v>
      </c>
      <c r="E253" s="5" t="str">
        <f>_xlfn.XLOOKUP(C253,SkillActive!A:A,SkillActive!B:B,,,)</f>
        <v>月神赐福</v>
      </c>
      <c r="F253">
        <f t="shared" ref="F253:F269" si="28">D253</f>
        <v>12</v>
      </c>
      <c r="G253">
        <f>_xlfn.XLOOKUP(C253,SkillActive!$A:$A,SkillActive!E:E,,0)</f>
        <v>3</v>
      </c>
    </row>
    <row r="254" spans="1:7">
      <c r="A254" s="5">
        <f t="shared" si="27"/>
        <v>30100213</v>
      </c>
      <c r="B254" s="34" t="str">
        <f>_xlfn.XLOOKUP(C254,SkillActive!$A:$A,SkillActive!C:C,,0)</f>
        <v>1|2|3|4|5|6|7</v>
      </c>
      <c r="C254" s="5">
        <f t="shared" si="25"/>
        <v>301002</v>
      </c>
      <c r="D254" s="5">
        <f t="shared" si="26"/>
        <v>13</v>
      </c>
      <c r="E254" s="5" t="str">
        <f>_xlfn.XLOOKUP(C254,SkillActive!A:A,SkillActive!B:B,,,)</f>
        <v>月神赐福</v>
      </c>
      <c r="F254">
        <f t="shared" si="28"/>
        <v>13</v>
      </c>
      <c r="G254">
        <f>_xlfn.XLOOKUP(C254,SkillActive!$A:$A,SkillActive!E:E,,0)</f>
        <v>3</v>
      </c>
    </row>
    <row r="255" spans="1:7">
      <c r="A255" s="5">
        <f t="shared" si="27"/>
        <v>30100214</v>
      </c>
      <c r="B255" s="34" t="str">
        <f>_xlfn.XLOOKUP(C255,SkillActive!$A:$A,SkillActive!C:C,,0)</f>
        <v>1|2|3|4|5|6|7</v>
      </c>
      <c r="C255" s="5">
        <f t="shared" si="25"/>
        <v>301002</v>
      </c>
      <c r="D255" s="5">
        <f t="shared" si="26"/>
        <v>14</v>
      </c>
      <c r="E255" s="5" t="str">
        <f>_xlfn.XLOOKUP(C255,SkillActive!A:A,SkillActive!B:B,,,)</f>
        <v>月神赐福</v>
      </c>
      <c r="F255">
        <f t="shared" si="28"/>
        <v>14</v>
      </c>
      <c r="G255">
        <f>_xlfn.XLOOKUP(C255,SkillActive!$A:$A,SkillActive!E:E,,0)</f>
        <v>3</v>
      </c>
    </row>
    <row r="256" spans="1:7">
      <c r="A256" s="5">
        <f t="shared" si="27"/>
        <v>30100215</v>
      </c>
      <c r="B256" s="34" t="str">
        <f>_xlfn.XLOOKUP(C256,SkillActive!$A:$A,SkillActive!C:C,,0)</f>
        <v>1|2|3|4|5|6|7</v>
      </c>
      <c r="C256" s="5">
        <f t="shared" si="25"/>
        <v>301002</v>
      </c>
      <c r="D256" s="5">
        <f t="shared" si="26"/>
        <v>15</v>
      </c>
      <c r="E256" s="5" t="str">
        <f>_xlfn.XLOOKUP(C256,SkillActive!A:A,SkillActive!B:B,,,)</f>
        <v>月神赐福</v>
      </c>
      <c r="F256">
        <f t="shared" si="28"/>
        <v>15</v>
      </c>
      <c r="G256">
        <f>_xlfn.XLOOKUP(C256,SkillActive!$A:$A,SkillActive!E:E,,0)</f>
        <v>3</v>
      </c>
    </row>
    <row r="257" spans="1:7">
      <c r="A257" s="5">
        <f t="shared" si="27"/>
        <v>30100216</v>
      </c>
      <c r="B257" s="34" t="str">
        <f>_xlfn.XLOOKUP(C257,SkillActive!$A:$A,SkillActive!C:C,,0)</f>
        <v>1|2|3|4|5|6|7</v>
      </c>
      <c r="C257" s="5">
        <f t="shared" si="25"/>
        <v>301002</v>
      </c>
      <c r="D257" s="5">
        <f t="shared" si="26"/>
        <v>16</v>
      </c>
      <c r="E257" s="5" t="str">
        <f>_xlfn.XLOOKUP(C257,SkillActive!A:A,SkillActive!B:B,,,)</f>
        <v>月神赐福</v>
      </c>
      <c r="F257">
        <f t="shared" si="28"/>
        <v>16</v>
      </c>
      <c r="G257">
        <f>_xlfn.XLOOKUP(C257,SkillActive!$A:$A,SkillActive!E:E,,0)</f>
        <v>3</v>
      </c>
    </row>
    <row r="258" spans="1:7">
      <c r="A258" s="5">
        <f t="shared" si="27"/>
        <v>30200105</v>
      </c>
      <c r="B258" s="34" t="str">
        <f>_xlfn.XLOOKUP(C258,SkillActive!$A:$A,SkillActive!C:C,,0)</f>
        <v>1|2|3|4|5|6|7</v>
      </c>
      <c r="C258" s="5">
        <v>302001</v>
      </c>
      <c r="D258" s="5">
        <f t="shared" si="26"/>
        <v>5</v>
      </c>
      <c r="E258" s="5" t="str">
        <f>_xlfn.XLOOKUP(C258,SkillActive!A:A,SkillActive!B:B,,,)</f>
        <v>回响</v>
      </c>
      <c r="F258">
        <f t="shared" si="28"/>
        <v>5</v>
      </c>
      <c r="G258">
        <f>_xlfn.XLOOKUP(C258,SkillActive!$A:$A,SkillActive!E:E,,0)</f>
        <v>3</v>
      </c>
    </row>
    <row r="259" spans="1:7">
      <c r="A259" s="5">
        <f t="shared" si="27"/>
        <v>30200106</v>
      </c>
      <c r="B259" s="34" t="str">
        <f>_xlfn.XLOOKUP(C259,SkillActive!$A:$A,SkillActive!C:C,,0)</f>
        <v>1|2|3|4|5|6|7</v>
      </c>
      <c r="C259" s="5">
        <v>302001</v>
      </c>
      <c r="D259" s="5">
        <f t="shared" si="26"/>
        <v>6</v>
      </c>
      <c r="E259" s="5" t="str">
        <f>_xlfn.XLOOKUP(C259,SkillActive!A:A,SkillActive!B:B,,,)</f>
        <v>回响</v>
      </c>
      <c r="F259">
        <f t="shared" si="28"/>
        <v>6</v>
      </c>
      <c r="G259">
        <f>_xlfn.XLOOKUP(C259,SkillActive!$A:$A,SkillActive!E:E,,0)</f>
        <v>3</v>
      </c>
    </row>
    <row r="260" spans="1:7">
      <c r="A260" s="5">
        <f t="shared" si="27"/>
        <v>30200107</v>
      </c>
      <c r="B260" s="34" t="str">
        <f>_xlfn.XLOOKUP(C260,SkillActive!$A:$A,SkillActive!C:C,,0)</f>
        <v>1|2|3|4|5|6|7</v>
      </c>
      <c r="C260" s="5">
        <v>302001</v>
      </c>
      <c r="D260" s="5">
        <f t="shared" si="26"/>
        <v>7</v>
      </c>
      <c r="E260" s="5" t="str">
        <f>_xlfn.XLOOKUP(C260,SkillActive!A:A,SkillActive!B:B,,,)</f>
        <v>回响</v>
      </c>
      <c r="F260">
        <f t="shared" si="28"/>
        <v>7</v>
      </c>
      <c r="G260">
        <f>_xlfn.XLOOKUP(C260,SkillActive!$A:$A,SkillActive!E:E,,0)</f>
        <v>3</v>
      </c>
    </row>
    <row r="261" spans="1:7">
      <c r="A261" s="5">
        <f t="shared" si="27"/>
        <v>30200108</v>
      </c>
      <c r="B261" s="34" t="str">
        <f>_xlfn.XLOOKUP(C261,SkillActive!$A:$A,SkillActive!C:C,,0)</f>
        <v>1|2|3|4|5|6|7</v>
      </c>
      <c r="C261" s="5">
        <v>302001</v>
      </c>
      <c r="D261" s="5">
        <f t="shared" si="26"/>
        <v>8</v>
      </c>
      <c r="E261" s="5" t="str">
        <f>_xlfn.XLOOKUP(C261,SkillActive!A:A,SkillActive!B:B,,,)</f>
        <v>回响</v>
      </c>
      <c r="F261">
        <f t="shared" si="28"/>
        <v>8</v>
      </c>
      <c r="G261">
        <f>_xlfn.XLOOKUP(C261,SkillActive!$A:$A,SkillActive!E:E,,0)</f>
        <v>3</v>
      </c>
    </row>
    <row r="262" spans="1:7">
      <c r="A262" s="5">
        <f t="shared" si="27"/>
        <v>30200109</v>
      </c>
      <c r="B262" s="34" t="str">
        <f>_xlfn.XLOOKUP(C262,SkillActive!$A:$A,SkillActive!C:C,,0)</f>
        <v>1|2|3|4|5|6|7</v>
      </c>
      <c r="C262" s="5">
        <v>302001</v>
      </c>
      <c r="D262" s="5">
        <f t="shared" si="26"/>
        <v>9</v>
      </c>
      <c r="E262" s="5" t="str">
        <f>_xlfn.XLOOKUP(C262,SkillActive!A:A,SkillActive!B:B,,,)</f>
        <v>回响</v>
      </c>
      <c r="F262">
        <f t="shared" si="28"/>
        <v>9</v>
      </c>
      <c r="G262">
        <f>_xlfn.XLOOKUP(C262,SkillActive!$A:$A,SkillActive!E:E,,0)</f>
        <v>3</v>
      </c>
    </row>
    <row r="263" spans="1:7">
      <c r="A263" s="5">
        <f t="shared" si="27"/>
        <v>30200110</v>
      </c>
      <c r="B263" s="34" t="str">
        <f>_xlfn.XLOOKUP(C263,SkillActive!$A:$A,SkillActive!C:C,,0)</f>
        <v>1|2|3|4|5|6|7</v>
      </c>
      <c r="C263" s="5">
        <v>302001</v>
      </c>
      <c r="D263" s="5">
        <f t="shared" si="26"/>
        <v>10</v>
      </c>
      <c r="E263" s="5" t="str">
        <f>_xlfn.XLOOKUP(C263,SkillActive!A:A,SkillActive!B:B,,,)</f>
        <v>回响</v>
      </c>
      <c r="F263">
        <f t="shared" si="28"/>
        <v>10</v>
      </c>
      <c r="G263">
        <f>_xlfn.XLOOKUP(C263,SkillActive!$A:$A,SkillActive!E:E,,0)</f>
        <v>3</v>
      </c>
    </row>
    <row r="264" spans="1:7">
      <c r="A264" s="5">
        <f t="shared" si="27"/>
        <v>30200111</v>
      </c>
      <c r="B264" s="34" t="str">
        <f>_xlfn.XLOOKUP(C264,SkillActive!$A:$A,SkillActive!C:C,,0)</f>
        <v>1|2|3|4|5|6|7</v>
      </c>
      <c r="C264" s="5">
        <v>302001</v>
      </c>
      <c r="D264" s="5">
        <f t="shared" si="26"/>
        <v>11</v>
      </c>
      <c r="E264" s="5" t="str">
        <f>_xlfn.XLOOKUP(C264,SkillActive!A:A,SkillActive!B:B,,,)</f>
        <v>回响</v>
      </c>
      <c r="F264">
        <f t="shared" si="28"/>
        <v>11</v>
      </c>
      <c r="G264">
        <f>_xlfn.XLOOKUP(C264,SkillActive!$A:$A,SkillActive!E:E,,0)</f>
        <v>3</v>
      </c>
    </row>
    <row r="265" spans="1:7">
      <c r="A265" s="5">
        <f t="shared" si="27"/>
        <v>30200112</v>
      </c>
      <c r="B265" s="34" t="str">
        <f>_xlfn.XLOOKUP(C265,SkillActive!$A:$A,SkillActive!C:C,,0)</f>
        <v>1|2|3|4|5|6|7</v>
      </c>
      <c r="C265" s="5">
        <v>302001</v>
      </c>
      <c r="D265" s="5">
        <f t="shared" si="26"/>
        <v>12</v>
      </c>
      <c r="E265" s="5" t="str">
        <f>_xlfn.XLOOKUP(C265,SkillActive!A:A,SkillActive!B:B,,,)</f>
        <v>回响</v>
      </c>
      <c r="F265">
        <f t="shared" si="28"/>
        <v>12</v>
      </c>
      <c r="G265">
        <f>_xlfn.XLOOKUP(C265,SkillActive!$A:$A,SkillActive!E:E,,0)</f>
        <v>3</v>
      </c>
    </row>
    <row r="266" spans="1:7">
      <c r="A266" s="5">
        <f t="shared" si="27"/>
        <v>30200113</v>
      </c>
      <c r="B266" s="34" t="str">
        <f>_xlfn.XLOOKUP(C266,SkillActive!$A:$A,SkillActive!C:C,,0)</f>
        <v>1|2|3|4|5|6|7</v>
      </c>
      <c r="C266" s="5">
        <v>302001</v>
      </c>
      <c r="D266" s="5">
        <f t="shared" si="26"/>
        <v>13</v>
      </c>
      <c r="E266" s="5" t="str">
        <f>_xlfn.XLOOKUP(C266,SkillActive!A:A,SkillActive!B:B,,,)</f>
        <v>回响</v>
      </c>
      <c r="F266">
        <f t="shared" si="28"/>
        <v>13</v>
      </c>
      <c r="G266">
        <f>_xlfn.XLOOKUP(C266,SkillActive!$A:$A,SkillActive!E:E,,0)</f>
        <v>3</v>
      </c>
    </row>
    <row r="267" spans="1:7">
      <c r="A267" s="5">
        <f t="shared" si="27"/>
        <v>30200114</v>
      </c>
      <c r="B267" s="34" t="str">
        <f>_xlfn.XLOOKUP(C267,SkillActive!$A:$A,SkillActive!C:C,,0)</f>
        <v>1|2|3|4|5|6|7</v>
      </c>
      <c r="C267" s="5">
        <v>302001</v>
      </c>
      <c r="D267" s="5">
        <f t="shared" si="26"/>
        <v>14</v>
      </c>
      <c r="E267" s="5" t="str">
        <f>_xlfn.XLOOKUP(C267,SkillActive!A:A,SkillActive!B:B,,,)</f>
        <v>回响</v>
      </c>
      <c r="F267">
        <f t="shared" si="28"/>
        <v>14</v>
      </c>
      <c r="G267">
        <f>_xlfn.XLOOKUP(C267,SkillActive!$A:$A,SkillActive!E:E,,0)</f>
        <v>3</v>
      </c>
    </row>
    <row r="268" spans="1:7">
      <c r="A268" s="5">
        <f t="shared" si="27"/>
        <v>30200115</v>
      </c>
      <c r="B268" s="34" t="str">
        <f>_xlfn.XLOOKUP(C268,SkillActive!$A:$A,SkillActive!C:C,,0)</f>
        <v>1|2|3|4|5|6|7</v>
      </c>
      <c r="C268" s="5">
        <v>302001</v>
      </c>
      <c r="D268" s="5">
        <f t="shared" si="26"/>
        <v>15</v>
      </c>
      <c r="E268" s="5" t="str">
        <f>_xlfn.XLOOKUP(C268,SkillActive!A:A,SkillActive!B:B,,,)</f>
        <v>回响</v>
      </c>
      <c r="F268">
        <f t="shared" si="28"/>
        <v>15</v>
      </c>
      <c r="G268">
        <f>_xlfn.XLOOKUP(C268,SkillActive!$A:$A,SkillActive!E:E,,0)</f>
        <v>3</v>
      </c>
    </row>
    <row r="269" spans="1:7">
      <c r="A269" s="5">
        <f t="shared" si="27"/>
        <v>30200116</v>
      </c>
      <c r="B269" s="34" t="str">
        <f>_xlfn.XLOOKUP(C269,SkillActive!$A:$A,SkillActive!C:C,,0)</f>
        <v>1|2|3|4|5|6|7</v>
      </c>
      <c r="C269" s="5">
        <v>302001</v>
      </c>
      <c r="D269" s="5">
        <f t="shared" si="26"/>
        <v>16</v>
      </c>
      <c r="E269" s="5" t="str">
        <f>_xlfn.XLOOKUP(C269,SkillActive!A:A,SkillActive!B:B,,,)</f>
        <v>回响</v>
      </c>
      <c r="F269">
        <f t="shared" si="28"/>
        <v>16</v>
      </c>
      <c r="G269">
        <f>_xlfn.XLOOKUP(C269,SkillActive!$A:$A,SkillActive!E:E,,0)</f>
        <v>3</v>
      </c>
    </row>
    <row r="270" spans="1:7">
      <c r="A270" s="5">
        <f t="shared" ref="A270:A333" si="29">C270*100+D270</f>
        <v>30500105</v>
      </c>
      <c r="B270" s="34" t="str">
        <f>_xlfn.XLOOKUP(C270,SkillActive!$A:$A,SkillActive!C:C,,0)</f>
        <v>1|2|3|4|5|6|7</v>
      </c>
      <c r="C270" s="5">
        <v>305001</v>
      </c>
      <c r="D270" s="5">
        <f t="shared" ref="D270:D281" si="30">D246</f>
        <v>5</v>
      </c>
      <c r="E270" s="5" t="str">
        <f>_xlfn.XLOOKUP(C270,SkillActive!A:A,SkillActive!B:B,,,)</f>
        <v>极地战吼</v>
      </c>
      <c r="F270">
        <f t="shared" ref="F270:F333" si="31">D270</f>
        <v>5</v>
      </c>
      <c r="G270">
        <f>_xlfn.XLOOKUP(C270,SkillActive!$A:$A,SkillActive!E:E,,0)</f>
        <v>3</v>
      </c>
    </row>
    <row r="271" spans="1:7">
      <c r="A271" s="5">
        <f t="shared" si="29"/>
        <v>30500106</v>
      </c>
      <c r="B271" s="34" t="str">
        <f>_xlfn.XLOOKUP(C271,SkillActive!$A:$A,SkillActive!C:C,,0)</f>
        <v>1|2|3|4|5|6|7</v>
      </c>
      <c r="C271" s="5">
        <v>305001</v>
      </c>
      <c r="D271" s="5">
        <f t="shared" si="30"/>
        <v>6</v>
      </c>
      <c r="E271" s="5" t="str">
        <f>_xlfn.XLOOKUP(C271,SkillActive!A:A,SkillActive!B:B,,,)</f>
        <v>极地战吼</v>
      </c>
      <c r="F271">
        <f t="shared" si="31"/>
        <v>6</v>
      </c>
      <c r="G271">
        <f>_xlfn.XLOOKUP(C271,SkillActive!$A:$A,SkillActive!E:E,,0)</f>
        <v>3</v>
      </c>
    </row>
    <row r="272" spans="1:7">
      <c r="A272" s="5">
        <f t="shared" si="29"/>
        <v>30500107</v>
      </c>
      <c r="B272" s="34" t="str">
        <f>_xlfn.XLOOKUP(C272,SkillActive!$A:$A,SkillActive!C:C,,0)</f>
        <v>1|2|3|4|5|6|7</v>
      </c>
      <c r="C272" s="5">
        <v>305001</v>
      </c>
      <c r="D272" s="5">
        <f t="shared" si="30"/>
        <v>7</v>
      </c>
      <c r="E272" s="5" t="str">
        <f>_xlfn.XLOOKUP(C272,SkillActive!A:A,SkillActive!B:B,,,)</f>
        <v>极地战吼</v>
      </c>
      <c r="F272">
        <f t="shared" si="31"/>
        <v>7</v>
      </c>
      <c r="G272">
        <f>_xlfn.XLOOKUP(C272,SkillActive!$A:$A,SkillActive!E:E,,0)</f>
        <v>3</v>
      </c>
    </row>
    <row r="273" spans="1:7">
      <c r="A273" s="5">
        <f t="shared" si="29"/>
        <v>30500108</v>
      </c>
      <c r="B273" s="34" t="str">
        <f>_xlfn.XLOOKUP(C273,SkillActive!$A:$A,SkillActive!C:C,,0)</f>
        <v>1|2|3|4|5|6|7</v>
      </c>
      <c r="C273" s="5">
        <v>305001</v>
      </c>
      <c r="D273" s="5">
        <f t="shared" si="30"/>
        <v>8</v>
      </c>
      <c r="E273" s="5" t="str">
        <f>_xlfn.XLOOKUP(C273,SkillActive!A:A,SkillActive!B:B,,,)</f>
        <v>极地战吼</v>
      </c>
      <c r="F273">
        <f t="shared" si="31"/>
        <v>8</v>
      </c>
      <c r="G273">
        <f>_xlfn.XLOOKUP(C273,SkillActive!$A:$A,SkillActive!E:E,,0)</f>
        <v>3</v>
      </c>
    </row>
    <row r="274" spans="1:7">
      <c r="A274" s="5">
        <f t="shared" si="29"/>
        <v>30500109</v>
      </c>
      <c r="B274" s="34" t="str">
        <f>_xlfn.XLOOKUP(C274,SkillActive!$A:$A,SkillActive!C:C,,0)</f>
        <v>1|2|3|4|5|6|7</v>
      </c>
      <c r="C274" s="5">
        <v>305001</v>
      </c>
      <c r="D274" s="5">
        <f t="shared" si="30"/>
        <v>9</v>
      </c>
      <c r="E274" s="5" t="str">
        <f>_xlfn.XLOOKUP(C274,SkillActive!A:A,SkillActive!B:B,,,)</f>
        <v>极地战吼</v>
      </c>
      <c r="F274">
        <f t="shared" si="31"/>
        <v>9</v>
      </c>
      <c r="G274">
        <f>_xlfn.XLOOKUP(C274,SkillActive!$A:$A,SkillActive!E:E,,0)</f>
        <v>3</v>
      </c>
    </row>
    <row r="275" spans="1:7">
      <c r="A275" s="5">
        <f t="shared" si="29"/>
        <v>30500110</v>
      </c>
      <c r="B275" s="34" t="str">
        <f>_xlfn.XLOOKUP(C275,SkillActive!$A:$A,SkillActive!C:C,,0)</f>
        <v>1|2|3|4|5|6|7</v>
      </c>
      <c r="C275" s="5">
        <v>305001</v>
      </c>
      <c r="D275" s="5">
        <f t="shared" si="30"/>
        <v>10</v>
      </c>
      <c r="E275" s="5" t="str">
        <f>_xlfn.XLOOKUP(C275,SkillActive!A:A,SkillActive!B:B,,,)</f>
        <v>极地战吼</v>
      </c>
      <c r="F275">
        <f t="shared" si="31"/>
        <v>10</v>
      </c>
      <c r="G275">
        <f>_xlfn.XLOOKUP(C275,SkillActive!$A:$A,SkillActive!E:E,,0)</f>
        <v>3</v>
      </c>
    </row>
    <row r="276" spans="1:7">
      <c r="A276" s="5">
        <f t="shared" si="29"/>
        <v>30500111</v>
      </c>
      <c r="B276" s="34" t="str">
        <f>_xlfn.XLOOKUP(C276,SkillActive!$A:$A,SkillActive!C:C,,0)</f>
        <v>1|2|3|4|5|6|7</v>
      </c>
      <c r="C276" s="5">
        <v>305001</v>
      </c>
      <c r="D276" s="5">
        <f t="shared" si="30"/>
        <v>11</v>
      </c>
      <c r="E276" s="5" t="str">
        <f>_xlfn.XLOOKUP(C276,SkillActive!A:A,SkillActive!B:B,,,)</f>
        <v>极地战吼</v>
      </c>
      <c r="F276">
        <f t="shared" si="31"/>
        <v>11</v>
      </c>
      <c r="G276">
        <f>_xlfn.XLOOKUP(C276,SkillActive!$A:$A,SkillActive!E:E,,0)</f>
        <v>3</v>
      </c>
    </row>
    <row r="277" spans="1:7">
      <c r="A277" s="5">
        <f t="shared" si="29"/>
        <v>30500112</v>
      </c>
      <c r="B277" s="34" t="str">
        <f>_xlfn.XLOOKUP(C277,SkillActive!$A:$A,SkillActive!C:C,,0)</f>
        <v>1|2|3|4|5|6|7</v>
      </c>
      <c r="C277" s="5">
        <v>305001</v>
      </c>
      <c r="D277" s="5">
        <f t="shared" si="30"/>
        <v>12</v>
      </c>
      <c r="E277" s="5" t="str">
        <f>_xlfn.XLOOKUP(C277,SkillActive!A:A,SkillActive!B:B,,,)</f>
        <v>极地战吼</v>
      </c>
      <c r="F277">
        <f t="shared" si="31"/>
        <v>12</v>
      </c>
      <c r="G277">
        <f>_xlfn.XLOOKUP(C277,SkillActive!$A:$A,SkillActive!E:E,,0)</f>
        <v>3</v>
      </c>
    </row>
    <row r="278" spans="1:7">
      <c r="A278" s="5">
        <f t="shared" si="29"/>
        <v>30500113</v>
      </c>
      <c r="B278" s="34" t="str">
        <f>_xlfn.XLOOKUP(C278,SkillActive!$A:$A,SkillActive!C:C,,0)</f>
        <v>1|2|3|4|5|6|7</v>
      </c>
      <c r="C278" s="5">
        <v>305001</v>
      </c>
      <c r="D278" s="5">
        <f t="shared" si="30"/>
        <v>13</v>
      </c>
      <c r="E278" s="5" t="str">
        <f>_xlfn.XLOOKUP(C278,SkillActive!A:A,SkillActive!B:B,,,)</f>
        <v>极地战吼</v>
      </c>
      <c r="F278">
        <f t="shared" si="31"/>
        <v>13</v>
      </c>
      <c r="G278">
        <f>_xlfn.XLOOKUP(C278,SkillActive!$A:$A,SkillActive!E:E,,0)</f>
        <v>3</v>
      </c>
    </row>
    <row r="279" spans="1:7">
      <c r="A279" s="5">
        <f t="shared" si="29"/>
        <v>30500114</v>
      </c>
      <c r="B279" s="34" t="str">
        <f>_xlfn.XLOOKUP(C279,SkillActive!$A:$A,SkillActive!C:C,,0)</f>
        <v>1|2|3|4|5|6|7</v>
      </c>
      <c r="C279" s="5">
        <v>305001</v>
      </c>
      <c r="D279" s="5">
        <f t="shared" si="30"/>
        <v>14</v>
      </c>
      <c r="E279" s="5" t="str">
        <f>_xlfn.XLOOKUP(C279,SkillActive!A:A,SkillActive!B:B,,,)</f>
        <v>极地战吼</v>
      </c>
      <c r="F279">
        <f t="shared" si="31"/>
        <v>14</v>
      </c>
      <c r="G279">
        <f>_xlfn.XLOOKUP(C279,SkillActive!$A:$A,SkillActive!E:E,,0)</f>
        <v>3</v>
      </c>
    </row>
    <row r="280" spans="1:7">
      <c r="A280" s="5">
        <f t="shared" si="29"/>
        <v>30500115</v>
      </c>
      <c r="B280" s="34" t="str">
        <f>_xlfn.XLOOKUP(C280,SkillActive!$A:$A,SkillActive!C:C,,0)</f>
        <v>1|2|3|4|5|6|7</v>
      </c>
      <c r="C280" s="5">
        <v>305001</v>
      </c>
      <c r="D280" s="5">
        <f t="shared" si="30"/>
        <v>15</v>
      </c>
      <c r="E280" s="5" t="str">
        <f>_xlfn.XLOOKUP(C280,SkillActive!A:A,SkillActive!B:B,,,)</f>
        <v>极地战吼</v>
      </c>
      <c r="F280">
        <f t="shared" si="31"/>
        <v>15</v>
      </c>
      <c r="G280">
        <f>_xlfn.XLOOKUP(C280,SkillActive!$A:$A,SkillActive!E:E,,0)</f>
        <v>3</v>
      </c>
    </row>
    <row r="281" spans="1:7">
      <c r="A281" s="5">
        <f t="shared" si="29"/>
        <v>30500116</v>
      </c>
      <c r="B281" s="34" t="str">
        <f>_xlfn.XLOOKUP(C281,SkillActive!$A:$A,SkillActive!C:C,,0)</f>
        <v>1|2|3|4|5|6|7</v>
      </c>
      <c r="C281" s="5">
        <v>305001</v>
      </c>
      <c r="D281" s="5">
        <f t="shared" si="30"/>
        <v>16</v>
      </c>
      <c r="E281" s="5" t="str">
        <f>_xlfn.XLOOKUP(C281,SkillActive!A:A,SkillActive!B:B,,,)</f>
        <v>极地战吼</v>
      </c>
      <c r="F281">
        <f t="shared" si="31"/>
        <v>16</v>
      </c>
      <c r="G281">
        <f>_xlfn.XLOOKUP(C281,SkillActive!$A:$A,SkillActive!E:E,,0)</f>
        <v>3</v>
      </c>
    </row>
    <row r="282" spans="1:7">
      <c r="A282" s="5">
        <f t="shared" si="29"/>
        <v>40100107</v>
      </c>
      <c r="B282" s="34" t="str">
        <f>_xlfn.XLOOKUP(C282,SkillActive!$A:$A,SkillActive!C:C,,0)</f>
        <v>1|2|3|4|5|6|7</v>
      </c>
      <c r="C282" s="5">
        <v>401001</v>
      </c>
      <c r="D282" s="5">
        <f t="shared" ref="D282:D291" si="32">D236</f>
        <v>7</v>
      </c>
      <c r="E282" s="5" t="str">
        <f>_xlfn.XLOOKUP(C282,SkillActive!A:A,SkillActive!B:B,,,)</f>
        <v>冰霜之捷</v>
      </c>
      <c r="F282">
        <f t="shared" si="31"/>
        <v>7</v>
      </c>
      <c r="G282">
        <f>_xlfn.XLOOKUP(C282,SkillActive!$A:$A,SkillActive!E:E,,0)</f>
        <v>4</v>
      </c>
    </row>
    <row r="283" spans="1:7">
      <c r="A283" s="5">
        <f t="shared" si="29"/>
        <v>40100108</v>
      </c>
      <c r="B283" s="34" t="str">
        <f>_xlfn.XLOOKUP(C283,SkillActive!$A:$A,SkillActive!C:C,,0)</f>
        <v>1|2|3|4|5|6|7</v>
      </c>
      <c r="C283" s="5">
        <v>401001</v>
      </c>
      <c r="D283" s="5">
        <f t="shared" si="32"/>
        <v>8</v>
      </c>
      <c r="E283" s="5" t="str">
        <f>_xlfn.XLOOKUP(C283,SkillActive!A:A,SkillActive!B:B,,,)</f>
        <v>冰霜之捷</v>
      </c>
      <c r="F283">
        <f t="shared" si="31"/>
        <v>8</v>
      </c>
      <c r="G283">
        <f>_xlfn.XLOOKUP(C283,SkillActive!$A:$A,SkillActive!E:E,,0)</f>
        <v>4</v>
      </c>
    </row>
    <row r="284" spans="1:7">
      <c r="A284" s="5">
        <f t="shared" si="29"/>
        <v>40100109</v>
      </c>
      <c r="B284" s="34" t="str">
        <f>_xlfn.XLOOKUP(C284,SkillActive!$A:$A,SkillActive!C:C,,0)</f>
        <v>1|2|3|4|5|6|7</v>
      </c>
      <c r="C284" s="5">
        <v>401001</v>
      </c>
      <c r="D284" s="5">
        <f t="shared" si="32"/>
        <v>9</v>
      </c>
      <c r="E284" s="5" t="str">
        <f>_xlfn.XLOOKUP(C284,SkillActive!A:A,SkillActive!B:B,,,)</f>
        <v>冰霜之捷</v>
      </c>
      <c r="F284">
        <f t="shared" si="31"/>
        <v>9</v>
      </c>
      <c r="G284">
        <f>_xlfn.XLOOKUP(C284,SkillActive!$A:$A,SkillActive!E:E,,0)</f>
        <v>4</v>
      </c>
    </row>
    <row r="285" spans="1:7">
      <c r="A285" s="5">
        <f t="shared" si="29"/>
        <v>40100110</v>
      </c>
      <c r="B285" s="34" t="str">
        <f>_xlfn.XLOOKUP(C285,SkillActive!$A:$A,SkillActive!C:C,,0)</f>
        <v>1|2|3|4|5|6|7</v>
      </c>
      <c r="C285" s="5">
        <v>401001</v>
      </c>
      <c r="D285" s="5">
        <f t="shared" si="32"/>
        <v>10</v>
      </c>
      <c r="E285" s="5" t="str">
        <f>_xlfn.XLOOKUP(C285,SkillActive!A:A,SkillActive!B:B,,,)</f>
        <v>冰霜之捷</v>
      </c>
      <c r="F285">
        <f t="shared" si="31"/>
        <v>10</v>
      </c>
      <c r="G285">
        <f>_xlfn.XLOOKUP(C285,SkillActive!$A:$A,SkillActive!E:E,,0)</f>
        <v>4</v>
      </c>
    </row>
    <row r="286" spans="1:7">
      <c r="A286" s="5">
        <f t="shared" si="29"/>
        <v>40100111</v>
      </c>
      <c r="B286" s="34" t="str">
        <f>_xlfn.XLOOKUP(C286,SkillActive!$A:$A,SkillActive!C:C,,0)</f>
        <v>1|2|3|4|5|6|7</v>
      </c>
      <c r="C286" s="5">
        <v>401001</v>
      </c>
      <c r="D286" s="5">
        <f t="shared" si="32"/>
        <v>11</v>
      </c>
      <c r="E286" s="5" t="str">
        <f>_xlfn.XLOOKUP(C286,SkillActive!A:A,SkillActive!B:B,,,)</f>
        <v>冰霜之捷</v>
      </c>
      <c r="F286">
        <f t="shared" si="31"/>
        <v>11</v>
      </c>
      <c r="G286">
        <f>_xlfn.XLOOKUP(C286,SkillActive!$A:$A,SkillActive!E:E,,0)</f>
        <v>4</v>
      </c>
    </row>
    <row r="287" spans="1:7">
      <c r="A287" s="5">
        <f t="shared" si="29"/>
        <v>40100112</v>
      </c>
      <c r="B287" s="34" t="str">
        <f>_xlfn.XLOOKUP(C287,SkillActive!$A:$A,SkillActive!C:C,,0)</f>
        <v>1|2|3|4|5|6|7</v>
      </c>
      <c r="C287" s="5">
        <v>401001</v>
      </c>
      <c r="D287" s="5">
        <f t="shared" si="32"/>
        <v>12</v>
      </c>
      <c r="E287" s="5" t="str">
        <f>_xlfn.XLOOKUP(C287,SkillActive!A:A,SkillActive!B:B,,,)</f>
        <v>冰霜之捷</v>
      </c>
      <c r="F287">
        <f t="shared" si="31"/>
        <v>12</v>
      </c>
      <c r="G287">
        <f>_xlfn.XLOOKUP(C287,SkillActive!$A:$A,SkillActive!E:E,,0)</f>
        <v>4</v>
      </c>
    </row>
    <row r="288" spans="1:7">
      <c r="A288" s="5">
        <f t="shared" si="29"/>
        <v>40100113</v>
      </c>
      <c r="B288" s="34" t="str">
        <f>_xlfn.XLOOKUP(C288,SkillActive!$A:$A,SkillActive!C:C,,0)</f>
        <v>1|2|3|4|5|6|7</v>
      </c>
      <c r="C288" s="5">
        <v>401001</v>
      </c>
      <c r="D288" s="5">
        <f t="shared" si="32"/>
        <v>13</v>
      </c>
      <c r="E288" s="5" t="str">
        <f>_xlfn.XLOOKUP(C288,SkillActive!A:A,SkillActive!B:B,,,)</f>
        <v>冰霜之捷</v>
      </c>
      <c r="F288">
        <f t="shared" si="31"/>
        <v>13</v>
      </c>
      <c r="G288">
        <f>_xlfn.XLOOKUP(C288,SkillActive!$A:$A,SkillActive!E:E,,0)</f>
        <v>4</v>
      </c>
    </row>
    <row r="289" spans="1:7">
      <c r="A289" s="5">
        <f t="shared" si="29"/>
        <v>40100114</v>
      </c>
      <c r="B289" s="34" t="str">
        <f>_xlfn.XLOOKUP(C289,SkillActive!$A:$A,SkillActive!C:C,,0)</f>
        <v>1|2|3|4|5|6|7</v>
      </c>
      <c r="C289" s="5">
        <v>401001</v>
      </c>
      <c r="D289" s="5">
        <f t="shared" si="32"/>
        <v>14</v>
      </c>
      <c r="E289" s="5" t="str">
        <f>_xlfn.XLOOKUP(C289,SkillActive!A:A,SkillActive!B:B,,,)</f>
        <v>冰霜之捷</v>
      </c>
      <c r="F289">
        <f t="shared" si="31"/>
        <v>14</v>
      </c>
      <c r="G289">
        <f>_xlfn.XLOOKUP(C289,SkillActive!$A:$A,SkillActive!E:E,,0)</f>
        <v>4</v>
      </c>
    </row>
    <row r="290" spans="1:7">
      <c r="A290" s="5">
        <f t="shared" si="29"/>
        <v>40100115</v>
      </c>
      <c r="B290" s="34" t="str">
        <f>_xlfn.XLOOKUP(C290,SkillActive!$A:$A,SkillActive!C:C,,0)</f>
        <v>1|2|3|4|5|6|7</v>
      </c>
      <c r="C290" s="5">
        <v>401001</v>
      </c>
      <c r="D290" s="5">
        <f t="shared" si="32"/>
        <v>15</v>
      </c>
      <c r="E290" s="5" t="str">
        <f>_xlfn.XLOOKUP(C290,SkillActive!A:A,SkillActive!B:B,,,)</f>
        <v>冰霜之捷</v>
      </c>
      <c r="F290">
        <f t="shared" si="31"/>
        <v>15</v>
      </c>
      <c r="G290">
        <f>_xlfn.XLOOKUP(C290,SkillActive!$A:$A,SkillActive!E:E,,0)</f>
        <v>4</v>
      </c>
    </row>
    <row r="291" spans="1:7">
      <c r="A291" s="5">
        <f t="shared" si="29"/>
        <v>40100116</v>
      </c>
      <c r="B291" s="34" t="str">
        <f>_xlfn.XLOOKUP(C291,SkillActive!$A:$A,SkillActive!C:C,,0)</f>
        <v>1|2|3|4|5|6|7</v>
      </c>
      <c r="C291" s="5">
        <v>401001</v>
      </c>
      <c r="D291" s="5">
        <f t="shared" si="32"/>
        <v>16</v>
      </c>
      <c r="E291" s="5" t="str">
        <f>_xlfn.XLOOKUP(C291,SkillActive!A:A,SkillActive!B:B,,,)</f>
        <v>冰霜之捷</v>
      </c>
      <c r="F291">
        <f t="shared" si="31"/>
        <v>16</v>
      </c>
      <c r="G291">
        <f>_xlfn.XLOOKUP(C291,SkillActive!$A:$A,SkillActive!E:E,,0)</f>
        <v>4</v>
      </c>
    </row>
    <row r="292" spans="1:7">
      <c r="A292" s="5">
        <f t="shared" si="29"/>
        <v>40100207</v>
      </c>
      <c r="B292" s="34" t="str">
        <f>_xlfn.XLOOKUP(C292,SkillActive!$A:$A,SkillActive!C:C,,0)</f>
        <v>1|2|3|4|5|6|7</v>
      </c>
      <c r="C292" s="5">
        <f t="shared" ref="C292:C301" si="33">C282+1</f>
        <v>401002</v>
      </c>
      <c r="D292" s="5">
        <f t="shared" ref="D292:D321" si="34">D282</f>
        <v>7</v>
      </c>
      <c r="E292" s="5" t="str">
        <f>_xlfn.XLOOKUP(C292,SkillActive!A:A,SkillActive!B:B,,,)</f>
        <v>大地之怒</v>
      </c>
      <c r="F292">
        <f t="shared" si="31"/>
        <v>7</v>
      </c>
      <c r="G292">
        <f>_xlfn.XLOOKUP(C292,SkillActive!$A:$A,SkillActive!E:E,,0)</f>
        <v>4</v>
      </c>
    </row>
    <row r="293" spans="1:7">
      <c r="A293" s="5">
        <f t="shared" si="29"/>
        <v>40100208</v>
      </c>
      <c r="B293" s="34" t="str">
        <f>_xlfn.XLOOKUP(C293,SkillActive!$A:$A,SkillActive!C:C,,0)</f>
        <v>1|2|3|4|5|6|7</v>
      </c>
      <c r="C293" s="5">
        <f t="shared" si="33"/>
        <v>401002</v>
      </c>
      <c r="D293" s="5">
        <f t="shared" si="34"/>
        <v>8</v>
      </c>
      <c r="E293" s="5" t="str">
        <f>_xlfn.XLOOKUP(C293,SkillActive!A:A,SkillActive!B:B,,,)</f>
        <v>大地之怒</v>
      </c>
      <c r="F293">
        <f t="shared" si="31"/>
        <v>8</v>
      </c>
      <c r="G293">
        <f>_xlfn.XLOOKUP(C293,SkillActive!$A:$A,SkillActive!E:E,,0)</f>
        <v>4</v>
      </c>
    </row>
    <row r="294" spans="1:7">
      <c r="A294" s="5">
        <f t="shared" si="29"/>
        <v>40100209</v>
      </c>
      <c r="B294" s="34" t="str">
        <f>_xlfn.XLOOKUP(C294,SkillActive!$A:$A,SkillActive!C:C,,0)</f>
        <v>1|2|3|4|5|6|7</v>
      </c>
      <c r="C294" s="5">
        <f t="shared" si="33"/>
        <v>401002</v>
      </c>
      <c r="D294" s="5">
        <f t="shared" si="34"/>
        <v>9</v>
      </c>
      <c r="E294" s="5" t="str">
        <f>_xlfn.XLOOKUP(C294,SkillActive!A:A,SkillActive!B:B,,,)</f>
        <v>大地之怒</v>
      </c>
      <c r="F294">
        <f t="shared" si="31"/>
        <v>9</v>
      </c>
      <c r="G294">
        <f>_xlfn.XLOOKUP(C294,SkillActive!$A:$A,SkillActive!E:E,,0)</f>
        <v>4</v>
      </c>
    </row>
    <row r="295" spans="1:7">
      <c r="A295" s="5">
        <f t="shared" si="29"/>
        <v>40100210</v>
      </c>
      <c r="B295" s="34" t="str">
        <f>_xlfn.XLOOKUP(C295,SkillActive!$A:$A,SkillActive!C:C,,0)</f>
        <v>1|2|3|4|5|6|7</v>
      </c>
      <c r="C295" s="5">
        <f t="shared" si="33"/>
        <v>401002</v>
      </c>
      <c r="D295" s="5">
        <f t="shared" si="34"/>
        <v>10</v>
      </c>
      <c r="E295" s="5" t="str">
        <f>_xlfn.XLOOKUP(C295,SkillActive!A:A,SkillActive!B:B,,,)</f>
        <v>大地之怒</v>
      </c>
      <c r="F295">
        <f t="shared" si="31"/>
        <v>10</v>
      </c>
      <c r="G295">
        <f>_xlfn.XLOOKUP(C295,SkillActive!$A:$A,SkillActive!E:E,,0)</f>
        <v>4</v>
      </c>
    </row>
    <row r="296" spans="1:7">
      <c r="A296" s="5">
        <f t="shared" si="29"/>
        <v>40100211</v>
      </c>
      <c r="B296" s="34" t="str">
        <f>_xlfn.XLOOKUP(C296,SkillActive!$A:$A,SkillActive!C:C,,0)</f>
        <v>1|2|3|4|5|6|7</v>
      </c>
      <c r="C296" s="5">
        <f t="shared" si="33"/>
        <v>401002</v>
      </c>
      <c r="D296" s="5">
        <f t="shared" si="34"/>
        <v>11</v>
      </c>
      <c r="E296" s="5" t="str">
        <f>_xlfn.XLOOKUP(C296,SkillActive!A:A,SkillActive!B:B,,,)</f>
        <v>大地之怒</v>
      </c>
      <c r="F296">
        <f t="shared" si="31"/>
        <v>11</v>
      </c>
      <c r="G296">
        <f>_xlfn.XLOOKUP(C296,SkillActive!$A:$A,SkillActive!E:E,,0)</f>
        <v>4</v>
      </c>
    </row>
    <row r="297" spans="1:7">
      <c r="A297" s="5">
        <f t="shared" si="29"/>
        <v>40100212</v>
      </c>
      <c r="B297" s="34" t="str">
        <f>_xlfn.XLOOKUP(C297,SkillActive!$A:$A,SkillActive!C:C,,0)</f>
        <v>1|2|3|4|5|6|7</v>
      </c>
      <c r="C297" s="5">
        <f t="shared" si="33"/>
        <v>401002</v>
      </c>
      <c r="D297" s="5">
        <f t="shared" si="34"/>
        <v>12</v>
      </c>
      <c r="E297" s="5" t="str">
        <f>_xlfn.XLOOKUP(C297,SkillActive!A:A,SkillActive!B:B,,,)</f>
        <v>大地之怒</v>
      </c>
      <c r="F297">
        <f t="shared" si="31"/>
        <v>12</v>
      </c>
      <c r="G297">
        <f>_xlfn.XLOOKUP(C297,SkillActive!$A:$A,SkillActive!E:E,,0)</f>
        <v>4</v>
      </c>
    </row>
    <row r="298" spans="1:7">
      <c r="A298" s="5">
        <f t="shared" si="29"/>
        <v>40100213</v>
      </c>
      <c r="B298" s="34" t="str">
        <f>_xlfn.XLOOKUP(C298,SkillActive!$A:$A,SkillActive!C:C,,0)</f>
        <v>1|2|3|4|5|6|7</v>
      </c>
      <c r="C298" s="5">
        <f t="shared" si="33"/>
        <v>401002</v>
      </c>
      <c r="D298" s="5">
        <f t="shared" si="34"/>
        <v>13</v>
      </c>
      <c r="E298" s="5" t="str">
        <f>_xlfn.XLOOKUP(C298,SkillActive!A:A,SkillActive!B:B,,,)</f>
        <v>大地之怒</v>
      </c>
      <c r="F298">
        <f t="shared" si="31"/>
        <v>13</v>
      </c>
      <c r="G298">
        <f>_xlfn.XLOOKUP(C298,SkillActive!$A:$A,SkillActive!E:E,,0)</f>
        <v>4</v>
      </c>
    </row>
    <row r="299" spans="1:7">
      <c r="A299" s="5">
        <f t="shared" si="29"/>
        <v>40100214</v>
      </c>
      <c r="B299" s="34" t="str">
        <f>_xlfn.XLOOKUP(C299,SkillActive!$A:$A,SkillActive!C:C,,0)</f>
        <v>1|2|3|4|5|6|7</v>
      </c>
      <c r="C299" s="5">
        <f t="shared" si="33"/>
        <v>401002</v>
      </c>
      <c r="D299" s="5">
        <f t="shared" si="34"/>
        <v>14</v>
      </c>
      <c r="E299" s="5" t="str">
        <f>_xlfn.XLOOKUP(C299,SkillActive!A:A,SkillActive!B:B,,,)</f>
        <v>大地之怒</v>
      </c>
      <c r="F299">
        <f t="shared" si="31"/>
        <v>14</v>
      </c>
      <c r="G299">
        <f>_xlfn.XLOOKUP(C299,SkillActive!$A:$A,SkillActive!E:E,,0)</f>
        <v>4</v>
      </c>
    </row>
    <row r="300" spans="1:7">
      <c r="A300" s="5">
        <f t="shared" si="29"/>
        <v>40100215</v>
      </c>
      <c r="B300" s="34" t="str">
        <f>_xlfn.XLOOKUP(C300,SkillActive!$A:$A,SkillActive!C:C,,0)</f>
        <v>1|2|3|4|5|6|7</v>
      </c>
      <c r="C300" s="5">
        <f t="shared" si="33"/>
        <v>401002</v>
      </c>
      <c r="D300" s="5">
        <f t="shared" si="34"/>
        <v>15</v>
      </c>
      <c r="E300" s="5" t="str">
        <f>_xlfn.XLOOKUP(C300,SkillActive!A:A,SkillActive!B:B,,,)</f>
        <v>大地之怒</v>
      </c>
      <c r="F300">
        <f t="shared" si="31"/>
        <v>15</v>
      </c>
      <c r="G300">
        <f>_xlfn.XLOOKUP(C300,SkillActive!$A:$A,SkillActive!E:E,,0)</f>
        <v>4</v>
      </c>
    </row>
    <row r="301" spans="1:7">
      <c r="A301" s="5">
        <f t="shared" si="29"/>
        <v>40100216</v>
      </c>
      <c r="B301" s="34" t="str">
        <f>_xlfn.XLOOKUP(C301,SkillActive!$A:$A,SkillActive!C:C,,0)</f>
        <v>1|2|3|4|5|6|7</v>
      </c>
      <c r="C301" s="5">
        <f t="shared" si="33"/>
        <v>401002</v>
      </c>
      <c r="D301" s="5">
        <f t="shared" si="34"/>
        <v>16</v>
      </c>
      <c r="E301" s="5" t="str">
        <f>_xlfn.XLOOKUP(C301,SkillActive!A:A,SkillActive!B:B,,,)</f>
        <v>大地之怒</v>
      </c>
      <c r="F301">
        <f t="shared" si="31"/>
        <v>16</v>
      </c>
      <c r="G301">
        <f>_xlfn.XLOOKUP(C301,SkillActive!$A:$A,SkillActive!E:E,,0)</f>
        <v>4</v>
      </c>
    </row>
    <row r="302" spans="1:7">
      <c r="A302" s="5">
        <f t="shared" si="29"/>
        <v>40400107</v>
      </c>
      <c r="B302" s="34" t="str">
        <f>_xlfn.XLOOKUP(C302,SkillActive!$A:$A,SkillActive!C:C,,0)</f>
        <v>1|2|3|4|5|6|7</v>
      </c>
      <c r="C302" s="5">
        <v>404001</v>
      </c>
      <c r="D302" s="5">
        <f t="shared" si="34"/>
        <v>7</v>
      </c>
      <c r="E302" s="5" t="str">
        <f>_xlfn.XLOOKUP(C302,SkillActive!A:A,SkillActive!B:B,,,)</f>
        <v>元素脉冲</v>
      </c>
      <c r="F302">
        <f t="shared" si="31"/>
        <v>7</v>
      </c>
      <c r="G302">
        <f>_xlfn.XLOOKUP(C302,SkillActive!$A:$A,SkillActive!E:E,,0)</f>
        <v>4</v>
      </c>
    </row>
    <row r="303" spans="1:7">
      <c r="A303" s="5">
        <f t="shared" si="29"/>
        <v>40400108</v>
      </c>
      <c r="B303" s="34" t="str">
        <f>_xlfn.XLOOKUP(C303,SkillActive!$A:$A,SkillActive!C:C,,0)</f>
        <v>1|2|3|4|5|6|7</v>
      </c>
      <c r="C303" s="5">
        <v>404001</v>
      </c>
      <c r="D303" s="5">
        <f t="shared" si="34"/>
        <v>8</v>
      </c>
      <c r="E303" s="5" t="str">
        <f>_xlfn.XLOOKUP(C303,SkillActive!A:A,SkillActive!B:B,,,)</f>
        <v>元素脉冲</v>
      </c>
      <c r="F303">
        <f t="shared" si="31"/>
        <v>8</v>
      </c>
      <c r="G303">
        <f>_xlfn.XLOOKUP(C303,SkillActive!$A:$A,SkillActive!E:E,,0)</f>
        <v>4</v>
      </c>
    </row>
    <row r="304" spans="1:7">
      <c r="A304" s="5">
        <f t="shared" si="29"/>
        <v>40400109</v>
      </c>
      <c r="B304" s="34" t="str">
        <f>_xlfn.XLOOKUP(C304,SkillActive!$A:$A,SkillActive!C:C,,0)</f>
        <v>1|2|3|4|5|6|7</v>
      </c>
      <c r="C304" s="5">
        <v>404001</v>
      </c>
      <c r="D304" s="5">
        <f t="shared" si="34"/>
        <v>9</v>
      </c>
      <c r="E304" s="5" t="str">
        <f>_xlfn.XLOOKUP(C304,SkillActive!A:A,SkillActive!B:B,,,)</f>
        <v>元素脉冲</v>
      </c>
      <c r="F304">
        <f t="shared" si="31"/>
        <v>9</v>
      </c>
      <c r="G304">
        <f>_xlfn.XLOOKUP(C304,SkillActive!$A:$A,SkillActive!E:E,,0)</f>
        <v>4</v>
      </c>
    </row>
    <row r="305" spans="1:7">
      <c r="A305" s="5">
        <f t="shared" si="29"/>
        <v>40400110</v>
      </c>
      <c r="B305" s="34" t="str">
        <f>_xlfn.XLOOKUP(C305,SkillActive!$A:$A,SkillActive!C:C,,0)</f>
        <v>1|2|3|4|5|6|7</v>
      </c>
      <c r="C305" s="5">
        <v>404001</v>
      </c>
      <c r="D305" s="5">
        <f t="shared" si="34"/>
        <v>10</v>
      </c>
      <c r="E305" s="5" t="str">
        <f>_xlfn.XLOOKUP(C305,SkillActive!A:A,SkillActive!B:B,,,)</f>
        <v>元素脉冲</v>
      </c>
      <c r="F305">
        <f t="shared" si="31"/>
        <v>10</v>
      </c>
      <c r="G305">
        <f>_xlfn.XLOOKUP(C305,SkillActive!$A:$A,SkillActive!E:E,,0)</f>
        <v>4</v>
      </c>
    </row>
    <row r="306" spans="1:7">
      <c r="A306" s="5">
        <f t="shared" si="29"/>
        <v>40400111</v>
      </c>
      <c r="B306" s="34" t="str">
        <f>_xlfn.XLOOKUP(C306,SkillActive!$A:$A,SkillActive!C:C,,0)</f>
        <v>1|2|3|4|5|6|7</v>
      </c>
      <c r="C306" s="5">
        <v>404001</v>
      </c>
      <c r="D306" s="5">
        <f t="shared" si="34"/>
        <v>11</v>
      </c>
      <c r="E306" s="5" t="str">
        <f>_xlfn.XLOOKUP(C306,SkillActive!A:A,SkillActive!B:B,,,)</f>
        <v>元素脉冲</v>
      </c>
      <c r="F306">
        <f t="shared" si="31"/>
        <v>11</v>
      </c>
      <c r="G306">
        <f>_xlfn.XLOOKUP(C306,SkillActive!$A:$A,SkillActive!E:E,,0)</f>
        <v>4</v>
      </c>
    </row>
    <row r="307" spans="1:7">
      <c r="A307" s="5">
        <f t="shared" si="29"/>
        <v>40400112</v>
      </c>
      <c r="B307" s="34" t="str">
        <f>_xlfn.XLOOKUP(C307,SkillActive!$A:$A,SkillActive!C:C,,0)</f>
        <v>1|2|3|4|5|6|7</v>
      </c>
      <c r="C307" s="5">
        <v>404001</v>
      </c>
      <c r="D307" s="5">
        <f t="shared" si="34"/>
        <v>12</v>
      </c>
      <c r="E307" s="5" t="str">
        <f>_xlfn.XLOOKUP(C307,SkillActive!A:A,SkillActive!B:B,,,)</f>
        <v>元素脉冲</v>
      </c>
      <c r="F307">
        <f t="shared" si="31"/>
        <v>12</v>
      </c>
      <c r="G307">
        <f>_xlfn.XLOOKUP(C307,SkillActive!$A:$A,SkillActive!E:E,,0)</f>
        <v>4</v>
      </c>
    </row>
    <row r="308" spans="1:7">
      <c r="A308" s="5">
        <f t="shared" si="29"/>
        <v>40400113</v>
      </c>
      <c r="B308" s="34" t="str">
        <f>_xlfn.XLOOKUP(C308,SkillActive!$A:$A,SkillActive!C:C,,0)</f>
        <v>1|2|3|4|5|6|7</v>
      </c>
      <c r="C308" s="5">
        <v>404001</v>
      </c>
      <c r="D308" s="5">
        <f t="shared" si="34"/>
        <v>13</v>
      </c>
      <c r="E308" s="5" t="str">
        <f>_xlfn.XLOOKUP(C308,SkillActive!A:A,SkillActive!B:B,,,)</f>
        <v>元素脉冲</v>
      </c>
      <c r="F308">
        <f t="shared" si="31"/>
        <v>13</v>
      </c>
      <c r="G308">
        <f>_xlfn.XLOOKUP(C308,SkillActive!$A:$A,SkillActive!E:E,,0)</f>
        <v>4</v>
      </c>
    </row>
    <row r="309" spans="1:7">
      <c r="A309" s="5">
        <f t="shared" si="29"/>
        <v>40400114</v>
      </c>
      <c r="B309" s="34" t="str">
        <f>_xlfn.XLOOKUP(C309,SkillActive!$A:$A,SkillActive!C:C,,0)</f>
        <v>1|2|3|4|5|6|7</v>
      </c>
      <c r="C309" s="5">
        <v>404001</v>
      </c>
      <c r="D309" s="5">
        <f t="shared" si="34"/>
        <v>14</v>
      </c>
      <c r="E309" s="5" t="str">
        <f>_xlfn.XLOOKUP(C309,SkillActive!A:A,SkillActive!B:B,,,)</f>
        <v>元素脉冲</v>
      </c>
      <c r="F309">
        <f t="shared" si="31"/>
        <v>14</v>
      </c>
      <c r="G309">
        <f>_xlfn.XLOOKUP(C309,SkillActive!$A:$A,SkillActive!E:E,,0)</f>
        <v>4</v>
      </c>
    </row>
    <row r="310" spans="1:7">
      <c r="A310" s="5">
        <f t="shared" si="29"/>
        <v>40400115</v>
      </c>
      <c r="B310" s="34" t="str">
        <f>_xlfn.XLOOKUP(C310,SkillActive!$A:$A,SkillActive!C:C,,0)</f>
        <v>1|2|3|4|5|6|7</v>
      </c>
      <c r="C310" s="5">
        <v>404001</v>
      </c>
      <c r="D310" s="5">
        <f t="shared" si="34"/>
        <v>15</v>
      </c>
      <c r="E310" s="5" t="str">
        <f>_xlfn.XLOOKUP(C310,SkillActive!A:A,SkillActive!B:B,,,)</f>
        <v>元素脉冲</v>
      </c>
      <c r="F310">
        <f t="shared" si="31"/>
        <v>15</v>
      </c>
      <c r="G310">
        <f>_xlfn.XLOOKUP(C310,SkillActive!$A:$A,SkillActive!E:E,,0)</f>
        <v>4</v>
      </c>
    </row>
    <row r="311" spans="1:7">
      <c r="A311" s="5">
        <f t="shared" si="29"/>
        <v>40400116</v>
      </c>
      <c r="B311" s="34" t="str">
        <f>_xlfn.XLOOKUP(C311,SkillActive!$A:$A,SkillActive!C:C,,0)</f>
        <v>1|2|3|4|5|6|7</v>
      </c>
      <c r="C311" s="5">
        <v>404001</v>
      </c>
      <c r="D311" s="5">
        <f t="shared" si="34"/>
        <v>16</v>
      </c>
      <c r="E311" s="5" t="str">
        <f>_xlfn.XLOOKUP(C311,SkillActive!A:A,SkillActive!B:B,,,)</f>
        <v>元素脉冲</v>
      </c>
      <c r="F311">
        <f t="shared" si="31"/>
        <v>16</v>
      </c>
      <c r="G311">
        <f>_xlfn.XLOOKUP(C311,SkillActive!$A:$A,SkillActive!E:E,,0)</f>
        <v>4</v>
      </c>
    </row>
    <row r="312" spans="1:7">
      <c r="A312" s="5">
        <f t="shared" si="29"/>
        <v>40400207</v>
      </c>
      <c r="B312" s="34" t="str">
        <f>_xlfn.XLOOKUP(C312,SkillActive!$A:$A,SkillActive!C:C,,0)</f>
        <v>1|2|3|4|5|6|7</v>
      </c>
      <c r="C312" s="5">
        <v>404002</v>
      </c>
      <c r="D312" s="5">
        <f t="shared" si="34"/>
        <v>7</v>
      </c>
      <c r="E312" s="5" t="str">
        <f>_xlfn.XLOOKUP(C312,SkillActive!A:A,SkillActive!B:B,,,)</f>
        <v>毁灭意志</v>
      </c>
      <c r="F312">
        <f t="shared" si="31"/>
        <v>7</v>
      </c>
      <c r="G312">
        <f>_xlfn.XLOOKUP(C312,SkillActive!$A:$A,SkillActive!E:E,,0)</f>
        <v>4</v>
      </c>
    </row>
    <row r="313" spans="1:7">
      <c r="A313" s="5">
        <f t="shared" si="29"/>
        <v>40400208</v>
      </c>
      <c r="B313" s="34" t="str">
        <f>_xlfn.XLOOKUP(C313,SkillActive!$A:$A,SkillActive!C:C,,0)</f>
        <v>1|2|3|4|5|6|7</v>
      </c>
      <c r="C313" s="5">
        <v>404002</v>
      </c>
      <c r="D313" s="5">
        <f t="shared" si="34"/>
        <v>8</v>
      </c>
      <c r="E313" s="5" t="str">
        <f>_xlfn.XLOOKUP(C313,SkillActive!A:A,SkillActive!B:B,,,)</f>
        <v>毁灭意志</v>
      </c>
      <c r="F313">
        <f t="shared" si="31"/>
        <v>8</v>
      </c>
      <c r="G313">
        <f>_xlfn.XLOOKUP(C313,SkillActive!$A:$A,SkillActive!E:E,,0)</f>
        <v>4</v>
      </c>
    </row>
    <row r="314" spans="1:7">
      <c r="A314" s="5">
        <f t="shared" si="29"/>
        <v>40400209</v>
      </c>
      <c r="B314" s="34" t="str">
        <f>_xlfn.XLOOKUP(C314,SkillActive!$A:$A,SkillActive!C:C,,0)</f>
        <v>1|2|3|4|5|6|7</v>
      </c>
      <c r="C314" s="5">
        <v>404002</v>
      </c>
      <c r="D314" s="5">
        <f t="shared" si="34"/>
        <v>9</v>
      </c>
      <c r="E314" s="5" t="str">
        <f>_xlfn.XLOOKUP(C314,SkillActive!A:A,SkillActive!B:B,,,)</f>
        <v>毁灭意志</v>
      </c>
      <c r="F314">
        <f t="shared" si="31"/>
        <v>9</v>
      </c>
      <c r="G314">
        <f>_xlfn.XLOOKUP(C314,SkillActive!$A:$A,SkillActive!E:E,,0)</f>
        <v>4</v>
      </c>
    </row>
    <row r="315" spans="1:7">
      <c r="A315" s="5">
        <f t="shared" si="29"/>
        <v>40400210</v>
      </c>
      <c r="B315" s="34" t="str">
        <f>_xlfn.XLOOKUP(C315,SkillActive!$A:$A,SkillActive!C:C,,0)</f>
        <v>1|2|3|4|5|6|7</v>
      </c>
      <c r="C315" s="5">
        <v>404002</v>
      </c>
      <c r="D315" s="5">
        <f t="shared" si="34"/>
        <v>10</v>
      </c>
      <c r="E315" s="5" t="str">
        <f>_xlfn.XLOOKUP(C315,SkillActive!A:A,SkillActive!B:B,,,)</f>
        <v>毁灭意志</v>
      </c>
      <c r="F315">
        <f t="shared" si="31"/>
        <v>10</v>
      </c>
      <c r="G315">
        <f>_xlfn.XLOOKUP(C315,SkillActive!$A:$A,SkillActive!E:E,,0)</f>
        <v>4</v>
      </c>
    </row>
    <row r="316" spans="1:7">
      <c r="A316" s="5">
        <f t="shared" si="29"/>
        <v>40400211</v>
      </c>
      <c r="B316" s="34" t="str">
        <f>_xlfn.XLOOKUP(C316,SkillActive!$A:$A,SkillActive!C:C,,0)</f>
        <v>1|2|3|4|5|6|7</v>
      </c>
      <c r="C316" s="5">
        <v>404002</v>
      </c>
      <c r="D316" s="5">
        <f t="shared" si="34"/>
        <v>11</v>
      </c>
      <c r="E316" s="5" t="str">
        <f>_xlfn.XLOOKUP(C316,SkillActive!A:A,SkillActive!B:B,,,)</f>
        <v>毁灭意志</v>
      </c>
      <c r="F316">
        <f t="shared" si="31"/>
        <v>11</v>
      </c>
      <c r="G316">
        <f>_xlfn.XLOOKUP(C316,SkillActive!$A:$A,SkillActive!E:E,,0)</f>
        <v>4</v>
      </c>
    </row>
    <row r="317" spans="1:7">
      <c r="A317" s="5">
        <f t="shared" si="29"/>
        <v>40400212</v>
      </c>
      <c r="B317" s="34" t="str">
        <f>_xlfn.XLOOKUP(C317,SkillActive!$A:$A,SkillActive!C:C,,0)</f>
        <v>1|2|3|4|5|6|7</v>
      </c>
      <c r="C317" s="5">
        <v>404002</v>
      </c>
      <c r="D317" s="5">
        <f t="shared" si="34"/>
        <v>12</v>
      </c>
      <c r="E317" s="5" t="str">
        <f>_xlfn.XLOOKUP(C317,SkillActive!A:A,SkillActive!B:B,,,)</f>
        <v>毁灭意志</v>
      </c>
      <c r="F317">
        <f t="shared" si="31"/>
        <v>12</v>
      </c>
      <c r="G317">
        <f>_xlfn.XLOOKUP(C317,SkillActive!$A:$A,SkillActive!E:E,,0)</f>
        <v>4</v>
      </c>
    </row>
    <row r="318" spans="1:7">
      <c r="A318" s="5">
        <f t="shared" si="29"/>
        <v>40400213</v>
      </c>
      <c r="B318" s="34" t="str">
        <f>_xlfn.XLOOKUP(C318,SkillActive!$A:$A,SkillActive!C:C,,0)</f>
        <v>1|2|3|4|5|6|7</v>
      </c>
      <c r="C318" s="5">
        <v>404002</v>
      </c>
      <c r="D318" s="5">
        <f t="shared" si="34"/>
        <v>13</v>
      </c>
      <c r="E318" s="5" t="str">
        <f>_xlfn.XLOOKUP(C318,SkillActive!A:A,SkillActive!B:B,,,)</f>
        <v>毁灭意志</v>
      </c>
      <c r="F318">
        <f t="shared" si="31"/>
        <v>13</v>
      </c>
      <c r="G318">
        <f>_xlfn.XLOOKUP(C318,SkillActive!$A:$A,SkillActive!E:E,,0)</f>
        <v>4</v>
      </c>
    </row>
    <row r="319" spans="1:7">
      <c r="A319" s="5">
        <f t="shared" si="29"/>
        <v>40400214</v>
      </c>
      <c r="B319" s="34" t="str">
        <f>_xlfn.XLOOKUP(C319,SkillActive!$A:$A,SkillActive!C:C,,0)</f>
        <v>1|2|3|4|5|6|7</v>
      </c>
      <c r="C319" s="5">
        <v>404002</v>
      </c>
      <c r="D319" s="5">
        <f t="shared" si="34"/>
        <v>14</v>
      </c>
      <c r="E319" s="5" t="str">
        <f>_xlfn.XLOOKUP(C319,SkillActive!A:A,SkillActive!B:B,,,)</f>
        <v>毁灭意志</v>
      </c>
      <c r="F319">
        <f t="shared" si="31"/>
        <v>14</v>
      </c>
      <c r="G319">
        <f>_xlfn.XLOOKUP(C319,SkillActive!$A:$A,SkillActive!E:E,,0)</f>
        <v>4</v>
      </c>
    </row>
    <row r="320" spans="1:7">
      <c r="A320" s="5">
        <f t="shared" si="29"/>
        <v>40400215</v>
      </c>
      <c r="B320" s="34" t="str">
        <f>_xlfn.XLOOKUP(C320,SkillActive!$A:$A,SkillActive!C:C,,0)</f>
        <v>1|2|3|4|5|6|7</v>
      </c>
      <c r="C320" s="5">
        <v>404002</v>
      </c>
      <c r="D320" s="5">
        <f t="shared" si="34"/>
        <v>15</v>
      </c>
      <c r="E320" s="5" t="str">
        <f>_xlfn.XLOOKUP(C320,SkillActive!A:A,SkillActive!B:B,,,)</f>
        <v>毁灭意志</v>
      </c>
      <c r="F320">
        <f t="shared" si="31"/>
        <v>15</v>
      </c>
      <c r="G320">
        <f>_xlfn.XLOOKUP(C320,SkillActive!$A:$A,SkillActive!E:E,,0)</f>
        <v>4</v>
      </c>
    </row>
    <row r="321" spans="1:7">
      <c r="A321" s="5">
        <f t="shared" si="29"/>
        <v>40400216</v>
      </c>
      <c r="B321" s="34" t="str">
        <f>_xlfn.XLOOKUP(C321,SkillActive!$A:$A,SkillActive!C:C,,0)</f>
        <v>1|2|3|4|5|6|7</v>
      </c>
      <c r="C321" s="5">
        <v>404002</v>
      </c>
      <c r="D321" s="5">
        <f t="shared" si="34"/>
        <v>16</v>
      </c>
      <c r="E321" s="5" t="str">
        <f>_xlfn.XLOOKUP(C321,SkillActive!A:A,SkillActive!B:B,,,)</f>
        <v>毁灭意志</v>
      </c>
      <c r="F321">
        <f t="shared" si="31"/>
        <v>16</v>
      </c>
      <c r="G321">
        <f>_xlfn.XLOOKUP(C321,SkillActive!$A:$A,SkillActive!E:E,,0)</f>
        <v>4</v>
      </c>
    </row>
    <row r="322" spans="1:7">
      <c r="A322" s="5">
        <f t="shared" si="29"/>
        <v>50100110</v>
      </c>
      <c r="B322" s="34">
        <f>_xlfn.XLOOKUP(C322,SkillActive!$A:$A,SkillActive!C:C,,0)</f>
        <v>0</v>
      </c>
      <c r="C322" s="5">
        <v>501001</v>
      </c>
      <c r="D322" s="5">
        <f>D285</f>
        <v>10</v>
      </c>
      <c r="E322" s="5" t="str">
        <f>_xlfn.XLOOKUP(C322,SkillActive!A:A,SkillActive!B:B,,,)</f>
        <v>迅捷</v>
      </c>
      <c r="F322">
        <f t="shared" si="31"/>
        <v>10</v>
      </c>
      <c r="G322">
        <f>_xlfn.XLOOKUP(C322,SkillActive!$A:$A,SkillActive!E:E,,0)</f>
        <v>5</v>
      </c>
    </row>
    <row r="323" spans="1:7">
      <c r="A323" s="5">
        <f t="shared" si="29"/>
        <v>50100111</v>
      </c>
      <c r="B323" s="34">
        <f>_xlfn.XLOOKUP(C323,SkillActive!$A:$A,SkillActive!C:C,,0)</f>
        <v>0</v>
      </c>
      <c r="C323" s="5">
        <v>501001</v>
      </c>
      <c r="D323" s="5">
        <f t="shared" ref="D323:D328" si="35">D286</f>
        <v>11</v>
      </c>
      <c r="E323" s="5" t="str">
        <f>_xlfn.XLOOKUP(C323,SkillActive!A:A,SkillActive!B:B,,,)</f>
        <v>迅捷</v>
      </c>
      <c r="F323">
        <f t="shared" si="31"/>
        <v>11</v>
      </c>
      <c r="G323">
        <f>_xlfn.XLOOKUP(C323,SkillActive!$A:$A,SkillActive!E:E,,0)</f>
        <v>5</v>
      </c>
    </row>
    <row r="324" spans="1:7">
      <c r="A324" s="5">
        <f t="shared" si="29"/>
        <v>50100112</v>
      </c>
      <c r="B324" s="34">
        <f>_xlfn.XLOOKUP(C324,SkillActive!$A:$A,SkillActive!C:C,,0)</f>
        <v>0</v>
      </c>
      <c r="C324" s="5">
        <v>501001</v>
      </c>
      <c r="D324" s="5">
        <f t="shared" si="35"/>
        <v>12</v>
      </c>
      <c r="E324" s="5" t="str">
        <f>_xlfn.XLOOKUP(C324,SkillActive!A:A,SkillActive!B:B,,,)</f>
        <v>迅捷</v>
      </c>
      <c r="F324">
        <f t="shared" si="31"/>
        <v>12</v>
      </c>
      <c r="G324">
        <f>_xlfn.XLOOKUP(C324,SkillActive!$A:$A,SkillActive!E:E,,0)</f>
        <v>5</v>
      </c>
    </row>
    <row r="325" spans="1:7">
      <c r="A325" s="5">
        <f t="shared" si="29"/>
        <v>50100113</v>
      </c>
      <c r="B325" s="34">
        <f>_xlfn.XLOOKUP(C325,SkillActive!$A:$A,SkillActive!C:C,,0)</f>
        <v>0</v>
      </c>
      <c r="C325" s="5">
        <v>501001</v>
      </c>
      <c r="D325" s="5">
        <f t="shared" si="35"/>
        <v>13</v>
      </c>
      <c r="E325" s="5" t="str">
        <f>_xlfn.XLOOKUP(C325,SkillActive!A:A,SkillActive!B:B,,,)</f>
        <v>迅捷</v>
      </c>
      <c r="F325">
        <f t="shared" si="31"/>
        <v>13</v>
      </c>
      <c r="G325">
        <f>_xlfn.XLOOKUP(C325,SkillActive!$A:$A,SkillActive!E:E,,0)</f>
        <v>5</v>
      </c>
    </row>
    <row r="326" spans="1:7">
      <c r="A326" s="5">
        <f t="shared" si="29"/>
        <v>50100114</v>
      </c>
      <c r="B326" s="34">
        <f>_xlfn.XLOOKUP(C326,SkillActive!$A:$A,SkillActive!C:C,,0)</f>
        <v>0</v>
      </c>
      <c r="C326" s="5">
        <v>501001</v>
      </c>
      <c r="D326" s="5">
        <f t="shared" si="35"/>
        <v>14</v>
      </c>
      <c r="E326" s="5" t="str">
        <f>_xlfn.XLOOKUP(C326,SkillActive!A:A,SkillActive!B:B,,,)</f>
        <v>迅捷</v>
      </c>
      <c r="F326">
        <f t="shared" si="31"/>
        <v>14</v>
      </c>
      <c r="G326">
        <f>_xlfn.XLOOKUP(C326,SkillActive!$A:$A,SkillActive!E:E,,0)</f>
        <v>5</v>
      </c>
    </row>
    <row r="327" spans="1:7">
      <c r="A327" s="5">
        <f t="shared" si="29"/>
        <v>50100115</v>
      </c>
      <c r="B327" s="34">
        <f>_xlfn.XLOOKUP(C327,SkillActive!$A:$A,SkillActive!C:C,,0)</f>
        <v>0</v>
      </c>
      <c r="C327" s="5">
        <v>501001</v>
      </c>
      <c r="D327" s="5">
        <f t="shared" si="35"/>
        <v>15</v>
      </c>
      <c r="E327" s="5" t="str">
        <f>_xlfn.XLOOKUP(C327,SkillActive!A:A,SkillActive!B:B,,,)</f>
        <v>迅捷</v>
      </c>
      <c r="F327">
        <f t="shared" si="31"/>
        <v>15</v>
      </c>
      <c r="G327">
        <f>_xlfn.XLOOKUP(C327,SkillActive!$A:$A,SkillActive!E:E,,0)</f>
        <v>5</v>
      </c>
    </row>
    <row r="328" spans="1:7">
      <c r="A328" s="5">
        <f t="shared" si="29"/>
        <v>50100116</v>
      </c>
      <c r="B328" s="34">
        <f>_xlfn.XLOOKUP(C328,SkillActive!$A:$A,SkillActive!C:C,,0)</f>
        <v>0</v>
      </c>
      <c r="C328" s="5">
        <v>501001</v>
      </c>
      <c r="D328" s="5">
        <f t="shared" si="35"/>
        <v>16</v>
      </c>
      <c r="E328" s="5" t="str">
        <f>_xlfn.XLOOKUP(C328,SkillActive!A:A,SkillActive!B:B,,,)</f>
        <v>迅捷</v>
      </c>
      <c r="F328">
        <f t="shared" si="31"/>
        <v>16</v>
      </c>
      <c r="G328">
        <f>_xlfn.XLOOKUP(C328,SkillActive!$A:$A,SkillActive!E:E,,0)</f>
        <v>5</v>
      </c>
    </row>
    <row r="329" spans="1:7">
      <c r="A329" s="5">
        <f t="shared" si="29"/>
        <v>50100210</v>
      </c>
      <c r="B329" s="34">
        <f>_xlfn.XLOOKUP(C329,SkillActive!$A:$A,SkillActive!C:C,,0)</f>
        <v>0</v>
      </c>
      <c r="C329" s="5">
        <f t="shared" ref="C329:C335" si="36">C322+1</f>
        <v>501002</v>
      </c>
      <c r="D329" s="5">
        <f>D322</f>
        <v>10</v>
      </c>
      <c r="E329" s="5" t="str">
        <f>_xlfn.XLOOKUP(C329,SkillActive!A:A,SkillActive!B:B,,,)</f>
        <v>吞噬</v>
      </c>
      <c r="F329">
        <f t="shared" si="31"/>
        <v>10</v>
      </c>
      <c r="G329">
        <f>_xlfn.XLOOKUP(C329,SkillActive!$A:$A,SkillActive!E:E,,0)</f>
        <v>5</v>
      </c>
    </row>
    <row r="330" spans="1:7">
      <c r="A330" s="5">
        <f t="shared" si="29"/>
        <v>50100211</v>
      </c>
      <c r="B330" s="34">
        <f>_xlfn.XLOOKUP(C330,SkillActive!$A:$A,SkillActive!C:C,,0)</f>
        <v>0</v>
      </c>
      <c r="C330" s="5">
        <f t="shared" si="36"/>
        <v>501002</v>
      </c>
      <c r="D330" s="5">
        <f t="shared" ref="D330:D349" si="37">D323</f>
        <v>11</v>
      </c>
      <c r="E330" s="5" t="str">
        <f>_xlfn.XLOOKUP(C330,SkillActive!A:A,SkillActive!B:B,,,)</f>
        <v>吞噬</v>
      </c>
      <c r="F330">
        <f t="shared" si="31"/>
        <v>11</v>
      </c>
      <c r="G330">
        <f>_xlfn.XLOOKUP(C330,SkillActive!$A:$A,SkillActive!E:E,,0)</f>
        <v>5</v>
      </c>
    </row>
    <row r="331" spans="1:7">
      <c r="A331" s="5">
        <f t="shared" si="29"/>
        <v>50100212</v>
      </c>
      <c r="B331" s="34">
        <f>_xlfn.XLOOKUP(C331,SkillActive!$A:$A,SkillActive!C:C,,0)</f>
        <v>0</v>
      </c>
      <c r="C331" s="5">
        <f t="shared" si="36"/>
        <v>501002</v>
      </c>
      <c r="D331" s="5">
        <f t="shared" si="37"/>
        <v>12</v>
      </c>
      <c r="E331" s="5" t="str">
        <f>_xlfn.XLOOKUP(C331,SkillActive!A:A,SkillActive!B:B,,,)</f>
        <v>吞噬</v>
      </c>
      <c r="F331">
        <f t="shared" si="31"/>
        <v>12</v>
      </c>
      <c r="G331">
        <f>_xlfn.XLOOKUP(C331,SkillActive!$A:$A,SkillActive!E:E,,0)</f>
        <v>5</v>
      </c>
    </row>
    <row r="332" spans="1:7">
      <c r="A332" s="5">
        <f t="shared" si="29"/>
        <v>50100213</v>
      </c>
      <c r="B332" s="34">
        <f>_xlfn.XLOOKUP(C332,SkillActive!$A:$A,SkillActive!C:C,,0)</f>
        <v>0</v>
      </c>
      <c r="C332" s="5">
        <f t="shared" si="36"/>
        <v>501002</v>
      </c>
      <c r="D332" s="5">
        <f t="shared" si="37"/>
        <v>13</v>
      </c>
      <c r="E332" s="5" t="str">
        <f>_xlfn.XLOOKUP(C332,SkillActive!A:A,SkillActive!B:B,,,)</f>
        <v>吞噬</v>
      </c>
      <c r="F332">
        <f t="shared" si="31"/>
        <v>13</v>
      </c>
      <c r="G332">
        <f>_xlfn.XLOOKUP(C332,SkillActive!$A:$A,SkillActive!E:E,,0)</f>
        <v>5</v>
      </c>
    </row>
    <row r="333" spans="1:7">
      <c r="A333" s="5">
        <f t="shared" si="29"/>
        <v>50100214</v>
      </c>
      <c r="B333" s="34">
        <f>_xlfn.XLOOKUP(C333,SkillActive!$A:$A,SkillActive!C:C,,0)</f>
        <v>0</v>
      </c>
      <c r="C333" s="5">
        <f t="shared" si="36"/>
        <v>501002</v>
      </c>
      <c r="D333" s="5">
        <f t="shared" si="37"/>
        <v>14</v>
      </c>
      <c r="E333" s="5" t="str">
        <f>_xlfn.XLOOKUP(C333,SkillActive!A:A,SkillActive!B:B,,,)</f>
        <v>吞噬</v>
      </c>
      <c r="F333">
        <f t="shared" si="31"/>
        <v>14</v>
      </c>
      <c r="G333">
        <f>_xlfn.XLOOKUP(C333,SkillActive!$A:$A,SkillActive!E:E,,0)</f>
        <v>5</v>
      </c>
    </row>
    <row r="334" spans="1:7">
      <c r="A334" s="5">
        <f t="shared" ref="A334:A341" si="38">C334*100+D334</f>
        <v>50100215</v>
      </c>
      <c r="B334" s="34">
        <f>_xlfn.XLOOKUP(C334,SkillActive!$A:$A,SkillActive!C:C,,0)</f>
        <v>0</v>
      </c>
      <c r="C334" s="5">
        <f t="shared" si="36"/>
        <v>501002</v>
      </c>
      <c r="D334" s="5">
        <f t="shared" si="37"/>
        <v>15</v>
      </c>
      <c r="E334" s="5" t="str">
        <f>_xlfn.XLOOKUP(C334,SkillActive!A:A,SkillActive!B:B,,,)</f>
        <v>吞噬</v>
      </c>
      <c r="F334">
        <f t="shared" ref="F334:F341" si="39">D334</f>
        <v>15</v>
      </c>
      <c r="G334">
        <f>_xlfn.XLOOKUP(C334,SkillActive!$A:$A,SkillActive!E:E,,0)</f>
        <v>5</v>
      </c>
    </row>
    <row r="335" spans="1:7">
      <c r="A335" s="5">
        <f t="shared" si="38"/>
        <v>50100216</v>
      </c>
      <c r="B335" s="34">
        <f>_xlfn.XLOOKUP(C335,SkillActive!$A:$A,SkillActive!C:C,,0)</f>
        <v>0</v>
      </c>
      <c r="C335" s="5">
        <f t="shared" si="36"/>
        <v>501002</v>
      </c>
      <c r="D335" s="5">
        <f t="shared" si="37"/>
        <v>16</v>
      </c>
      <c r="E335" s="5" t="str">
        <f>_xlfn.XLOOKUP(C335,SkillActive!A:A,SkillActive!B:B,,,)</f>
        <v>吞噬</v>
      </c>
      <c r="F335">
        <f t="shared" si="39"/>
        <v>16</v>
      </c>
      <c r="G335">
        <f>_xlfn.XLOOKUP(C335,SkillActive!$A:$A,SkillActive!E:E,,0)</f>
        <v>5</v>
      </c>
    </row>
    <row r="336" spans="1:7">
      <c r="A336" s="5">
        <f t="shared" si="38"/>
        <v>50400110</v>
      </c>
      <c r="B336" s="34" t="str">
        <f>_xlfn.XLOOKUP(C336,SkillActive!$A:$A,SkillActive!C:C,,0)</f>
        <v>1|2|3|4|5|6|7</v>
      </c>
      <c r="C336" s="5">
        <v>504001</v>
      </c>
      <c r="D336" s="5">
        <f t="shared" si="37"/>
        <v>10</v>
      </c>
      <c r="E336" s="5" t="str">
        <f>_xlfn.XLOOKUP(C336,SkillActive!A:A,SkillActive!B:B,,,)</f>
        <v>迅捷</v>
      </c>
      <c r="F336">
        <f t="shared" si="39"/>
        <v>10</v>
      </c>
      <c r="G336">
        <f>_xlfn.XLOOKUP(C336,SkillActive!$A:$A,SkillActive!E:E,,0)</f>
        <v>5</v>
      </c>
    </row>
    <row r="337" spans="1:7">
      <c r="A337" s="5">
        <f t="shared" si="38"/>
        <v>50400111</v>
      </c>
      <c r="B337" s="34" t="str">
        <f>_xlfn.XLOOKUP(C337,SkillActive!$A:$A,SkillActive!C:C,,0)</f>
        <v>1|2|3|4|5|6|7</v>
      </c>
      <c r="C337" s="5">
        <v>504001</v>
      </c>
      <c r="D337" s="5">
        <f t="shared" si="37"/>
        <v>11</v>
      </c>
      <c r="E337" s="5" t="str">
        <f>_xlfn.XLOOKUP(C337,SkillActive!A:A,SkillActive!B:B,,,)</f>
        <v>迅捷</v>
      </c>
      <c r="F337">
        <f t="shared" si="39"/>
        <v>11</v>
      </c>
      <c r="G337">
        <f>_xlfn.XLOOKUP(C337,SkillActive!$A:$A,SkillActive!E:E,,0)</f>
        <v>5</v>
      </c>
    </row>
    <row r="338" spans="1:7">
      <c r="A338" s="5">
        <f t="shared" si="38"/>
        <v>50400112</v>
      </c>
      <c r="B338" s="34" t="str">
        <f>_xlfn.XLOOKUP(C338,SkillActive!$A:$A,SkillActive!C:C,,0)</f>
        <v>1|2|3|4|5|6|7</v>
      </c>
      <c r="C338" s="5">
        <v>504001</v>
      </c>
      <c r="D338" s="5">
        <f t="shared" si="37"/>
        <v>12</v>
      </c>
      <c r="E338" s="5" t="str">
        <f>_xlfn.XLOOKUP(C338,SkillActive!A:A,SkillActive!B:B,,,)</f>
        <v>迅捷</v>
      </c>
      <c r="F338">
        <f t="shared" si="39"/>
        <v>12</v>
      </c>
      <c r="G338">
        <f>_xlfn.XLOOKUP(C338,SkillActive!$A:$A,SkillActive!E:E,,0)</f>
        <v>5</v>
      </c>
    </row>
    <row r="339" spans="1:7">
      <c r="A339" s="5">
        <f t="shared" si="38"/>
        <v>50400113</v>
      </c>
      <c r="B339" s="34" t="str">
        <f>_xlfn.XLOOKUP(C339,SkillActive!$A:$A,SkillActive!C:C,,0)</f>
        <v>1|2|3|4|5|6|7</v>
      </c>
      <c r="C339" s="5">
        <v>504001</v>
      </c>
      <c r="D339" s="5">
        <f t="shared" si="37"/>
        <v>13</v>
      </c>
      <c r="E339" s="5" t="str">
        <f>_xlfn.XLOOKUP(C339,SkillActive!A:A,SkillActive!B:B,,,)</f>
        <v>迅捷</v>
      </c>
      <c r="F339">
        <f t="shared" si="39"/>
        <v>13</v>
      </c>
      <c r="G339">
        <f>_xlfn.XLOOKUP(C339,SkillActive!$A:$A,SkillActive!E:E,,0)</f>
        <v>5</v>
      </c>
    </row>
    <row r="340" spans="1:7">
      <c r="A340" s="5">
        <f t="shared" si="38"/>
        <v>50400114</v>
      </c>
      <c r="B340" s="34" t="str">
        <f>_xlfn.XLOOKUP(C340,SkillActive!$A:$A,SkillActive!C:C,,0)</f>
        <v>1|2|3|4|5|6|7</v>
      </c>
      <c r="C340" s="5">
        <v>504001</v>
      </c>
      <c r="D340" s="5">
        <f t="shared" si="37"/>
        <v>14</v>
      </c>
      <c r="E340" s="5" t="str">
        <f>_xlfn.XLOOKUP(C340,SkillActive!A:A,SkillActive!B:B,,,)</f>
        <v>迅捷</v>
      </c>
      <c r="F340">
        <f t="shared" si="39"/>
        <v>14</v>
      </c>
      <c r="G340">
        <f>_xlfn.XLOOKUP(C340,SkillActive!$A:$A,SkillActive!E:E,,0)</f>
        <v>5</v>
      </c>
    </row>
    <row r="341" spans="1:7">
      <c r="A341" s="5">
        <f t="shared" si="38"/>
        <v>50400115</v>
      </c>
      <c r="B341" s="34" t="str">
        <f>_xlfn.XLOOKUP(C341,SkillActive!$A:$A,SkillActive!C:C,,0)</f>
        <v>1|2|3|4|5|6|7</v>
      </c>
      <c r="C341" s="5">
        <v>504001</v>
      </c>
      <c r="D341" s="5">
        <f t="shared" si="37"/>
        <v>15</v>
      </c>
      <c r="E341" s="5" t="str">
        <f>_xlfn.XLOOKUP(C341,SkillActive!A:A,SkillActive!B:B,,,)</f>
        <v>迅捷</v>
      </c>
      <c r="F341">
        <f t="shared" si="39"/>
        <v>15</v>
      </c>
      <c r="G341">
        <f>_xlfn.XLOOKUP(C341,SkillActive!$A:$A,SkillActive!E:E,,0)</f>
        <v>5</v>
      </c>
    </row>
    <row r="342" spans="1:7">
      <c r="A342" s="5">
        <f t="shared" ref="A342:A370" si="40">C342*100+D342</f>
        <v>50400116</v>
      </c>
      <c r="B342" s="34" t="str">
        <f>_xlfn.XLOOKUP(C342,SkillActive!$A:$A,SkillActive!C:C,,0)</f>
        <v>1|2|3|4|5|6|7</v>
      </c>
      <c r="C342" s="5">
        <v>504001</v>
      </c>
      <c r="D342" s="5">
        <f t="shared" si="37"/>
        <v>16</v>
      </c>
      <c r="E342" s="5" t="str">
        <f>_xlfn.XLOOKUP(C342,SkillActive!A:A,SkillActive!B:B,,,)</f>
        <v>迅捷</v>
      </c>
      <c r="F342">
        <f t="shared" ref="F342:F370" si="41">D342</f>
        <v>16</v>
      </c>
      <c r="G342">
        <f>_xlfn.XLOOKUP(C342,SkillActive!$A:$A,SkillActive!E:E,,0)</f>
        <v>5</v>
      </c>
    </row>
    <row r="343" spans="1:7">
      <c r="A343" s="5">
        <f t="shared" si="40"/>
        <v>50400210</v>
      </c>
      <c r="B343" s="34" t="str">
        <f>_xlfn.XLOOKUP(C343,SkillActive!$A:$A,SkillActive!C:C,,0)</f>
        <v>1|2|3|4|5|6|7</v>
      </c>
      <c r="C343" s="5">
        <f t="shared" ref="C343:C370" si="42">C336+1</f>
        <v>504002</v>
      </c>
      <c r="D343" s="5">
        <f t="shared" si="37"/>
        <v>10</v>
      </c>
      <c r="E343" s="5" t="str">
        <f>_xlfn.XLOOKUP(C343,SkillActive!A:A,SkillActive!B:B,,,)</f>
        <v>精准投射</v>
      </c>
      <c r="F343">
        <f t="shared" si="41"/>
        <v>10</v>
      </c>
      <c r="G343">
        <f>_xlfn.XLOOKUP(C343,SkillActive!$A:$A,SkillActive!E:E,,0)</f>
        <v>5</v>
      </c>
    </row>
    <row r="344" spans="1:7">
      <c r="A344" s="5">
        <f t="shared" si="40"/>
        <v>50400211</v>
      </c>
      <c r="B344" s="34" t="str">
        <f>_xlfn.XLOOKUP(C344,SkillActive!$A:$A,SkillActive!C:C,,0)</f>
        <v>1|2|3|4|5|6|7</v>
      </c>
      <c r="C344" s="5">
        <f t="shared" si="42"/>
        <v>504002</v>
      </c>
      <c r="D344" s="5">
        <f t="shared" si="37"/>
        <v>11</v>
      </c>
      <c r="E344" s="5" t="str">
        <f>_xlfn.XLOOKUP(C344,SkillActive!A:A,SkillActive!B:B,,,)</f>
        <v>精准投射</v>
      </c>
      <c r="F344">
        <f t="shared" si="41"/>
        <v>11</v>
      </c>
      <c r="G344">
        <f>_xlfn.XLOOKUP(C344,SkillActive!$A:$A,SkillActive!E:E,,0)</f>
        <v>5</v>
      </c>
    </row>
    <row r="345" spans="1:7">
      <c r="A345" s="5">
        <f t="shared" si="40"/>
        <v>50400212</v>
      </c>
      <c r="B345" s="34" t="str">
        <f>_xlfn.XLOOKUP(C345,SkillActive!$A:$A,SkillActive!C:C,,0)</f>
        <v>1|2|3|4|5|6|7</v>
      </c>
      <c r="C345" s="5">
        <f t="shared" si="42"/>
        <v>504002</v>
      </c>
      <c r="D345" s="5">
        <f t="shared" si="37"/>
        <v>12</v>
      </c>
      <c r="E345" s="5" t="str">
        <f>_xlfn.XLOOKUP(C345,SkillActive!A:A,SkillActive!B:B,,,)</f>
        <v>精准投射</v>
      </c>
      <c r="F345">
        <f t="shared" si="41"/>
        <v>12</v>
      </c>
      <c r="G345">
        <f>_xlfn.XLOOKUP(C345,SkillActive!$A:$A,SkillActive!E:E,,0)</f>
        <v>5</v>
      </c>
    </row>
    <row r="346" spans="1:7">
      <c r="A346" s="5">
        <f t="shared" si="40"/>
        <v>50400213</v>
      </c>
      <c r="B346" s="34" t="str">
        <f>_xlfn.XLOOKUP(C346,SkillActive!$A:$A,SkillActive!C:C,,0)</f>
        <v>1|2|3|4|5|6|7</v>
      </c>
      <c r="C346" s="5">
        <f t="shared" si="42"/>
        <v>504002</v>
      </c>
      <c r="D346" s="5">
        <f t="shared" si="37"/>
        <v>13</v>
      </c>
      <c r="E346" s="5" t="str">
        <f>_xlfn.XLOOKUP(C346,SkillActive!A:A,SkillActive!B:B,,,)</f>
        <v>精准投射</v>
      </c>
      <c r="F346">
        <f t="shared" si="41"/>
        <v>13</v>
      </c>
      <c r="G346">
        <f>_xlfn.XLOOKUP(C346,SkillActive!$A:$A,SkillActive!E:E,,0)</f>
        <v>5</v>
      </c>
    </row>
    <row r="347" spans="1:7">
      <c r="A347" s="5">
        <f t="shared" si="40"/>
        <v>50400214</v>
      </c>
      <c r="B347" s="34" t="str">
        <f>_xlfn.XLOOKUP(C347,SkillActive!$A:$A,SkillActive!C:C,,0)</f>
        <v>1|2|3|4|5|6|7</v>
      </c>
      <c r="C347" s="5">
        <f t="shared" si="42"/>
        <v>504002</v>
      </c>
      <c r="D347" s="5">
        <f t="shared" si="37"/>
        <v>14</v>
      </c>
      <c r="E347" s="5" t="str">
        <f>_xlfn.XLOOKUP(C347,SkillActive!A:A,SkillActive!B:B,,,)</f>
        <v>精准投射</v>
      </c>
      <c r="F347">
        <f t="shared" si="41"/>
        <v>14</v>
      </c>
      <c r="G347">
        <f>_xlfn.XLOOKUP(C347,SkillActive!$A:$A,SkillActive!E:E,,0)</f>
        <v>5</v>
      </c>
    </row>
    <row r="348" spans="1:7">
      <c r="A348" s="5">
        <f t="shared" si="40"/>
        <v>50400215</v>
      </c>
      <c r="B348" s="34" t="str">
        <f>_xlfn.XLOOKUP(C348,SkillActive!$A:$A,SkillActive!C:C,,0)</f>
        <v>1|2|3|4|5|6|7</v>
      </c>
      <c r="C348" s="5">
        <f t="shared" si="42"/>
        <v>504002</v>
      </c>
      <c r="D348" s="5">
        <f t="shared" si="37"/>
        <v>15</v>
      </c>
      <c r="E348" s="5" t="str">
        <f>_xlfn.XLOOKUP(C348,SkillActive!A:A,SkillActive!B:B,,,)</f>
        <v>精准投射</v>
      </c>
      <c r="F348">
        <f t="shared" si="41"/>
        <v>15</v>
      </c>
      <c r="G348">
        <f>_xlfn.XLOOKUP(C348,SkillActive!$A:$A,SkillActive!E:E,,0)</f>
        <v>5</v>
      </c>
    </row>
    <row r="349" spans="1:7">
      <c r="A349" s="5">
        <f t="shared" si="40"/>
        <v>50400216</v>
      </c>
      <c r="B349" s="34" t="str">
        <f>_xlfn.XLOOKUP(C349,SkillActive!$A:$A,SkillActive!C:C,,0)</f>
        <v>1|2|3|4|5|6|7</v>
      </c>
      <c r="C349" s="5">
        <f t="shared" si="42"/>
        <v>504002</v>
      </c>
      <c r="D349" s="5">
        <f t="shared" si="37"/>
        <v>16</v>
      </c>
      <c r="E349" s="5" t="str">
        <f>_xlfn.XLOOKUP(C349,SkillActive!A:A,SkillActive!B:B,,,)</f>
        <v>精准投射</v>
      </c>
      <c r="F349">
        <f t="shared" si="41"/>
        <v>16</v>
      </c>
      <c r="G349">
        <f>_xlfn.XLOOKUP(C349,SkillActive!$A:$A,SkillActive!E:E,,0)</f>
        <v>5</v>
      </c>
    </row>
    <row r="350" spans="1:7">
      <c r="A350" s="5">
        <f t="shared" si="40"/>
        <v>50400310</v>
      </c>
      <c r="B350" s="34" t="str">
        <f>_xlfn.XLOOKUP(C350,SkillActive!$A:$A,SkillActive!C:C,,0)</f>
        <v>1|2|3|4|5|6|7</v>
      </c>
      <c r="C350" s="5">
        <f t="shared" si="42"/>
        <v>504003</v>
      </c>
      <c r="D350" s="5">
        <f t="shared" ref="D350:D356" si="43">D343</f>
        <v>10</v>
      </c>
      <c r="E350" s="5" t="str">
        <f>_xlfn.XLOOKUP(C350,SkillActive!A:A,SkillActive!B:B,,,)</f>
        <v>领域扩张</v>
      </c>
      <c r="F350">
        <f t="shared" si="41"/>
        <v>10</v>
      </c>
      <c r="G350">
        <f>_xlfn.XLOOKUP(C350,SkillActive!$A:$A,SkillActive!E:E,,0)</f>
        <v>5</v>
      </c>
    </row>
    <row r="351" spans="1:7">
      <c r="A351" s="5">
        <f t="shared" si="40"/>
        <v>50400311</v>
      </c>
      <c r="B351" s="34" t="str">
        <f>_xlfn.XLOOKUP(C351,SkillActive!$A:$A,SkillActive!C:C,,0)</f>
        <v>1|2|3|4|5|6|7</v>
      </c>
      <c r="C351" s="5">
        <f t="shared" si="42"/>
        <v>504003</v>
      </c>
      <c r="D351" s="5">
        <f t="shared" si="43"/>
        <v>11</v>
      </c>
      <c r="E351" s="5" t="str">
        <f>_xlfn.XLOOKUP(C351,SkillActive!A:A,SkillActive!B:B,,,)</f>
        <v>领域扩张</v>
      </c>
      <c r="F351">
        <f t="shared" si="41"/>
        <v>11</v>
      </c>
      <c r="G351">
        <f>_xlfn.XLOOKUP(C351,SkillActive!$A:$A,SkillActive!E:E,,0)</f>
        <v>5</v>
      </c>
    </row>
    <row r="352" spans="1:7">
      <c r="A352" s="5">
        <f t="shared" si="40"/>
        <v>50400312</v>
      </c>
      <c r="B352" s="34" t="str">
        <f>_xlfn.XLOOKUP(C352,SkillActive!$A:$A,SkillActive!C:C,,0)</f>
        <v>1|2|3|4|5|6|7</v>
      </c>
      <c r="C352" s="5">
        <f t="shared" si="42"/>
        <v>504003</v>
      </c>
      <c r="D352" s="5">
        <f t="shared" si="43"/>
        <v>12</v>
      </c>
      <c r="E352" s="5" t="str">
        <f>_xlfn.XLOOKUP(C352,SkillActive!A:A,SkillActive!B:B,,,)</f>
        <v>领域扩张</v>
      </c>
      <c r="F352">
        <f t="shared" si="41"/>
        <v>12</v>
      </c>
      <c r="G352">
        <f>_xlfn.XLOOKUP(C352,SkillActive!$A:$A,SkillActive!E:E,,0)</f>
        <v>5</v>
      </c>
    </row>
    <row r="353" spans="1:7">
      <c r="A353" s="5">
        <f t="shared" si="40"/>
        <v>50400313</v>
      </c>
      <c r="B353" s="34" t="str">
        <f>_xlfn.XLOOKUP(C353,SkillActive!$A:$A,SkillActive!C:C,,0)</f>
        <v>1|2|3|4|5|6|7</v>
      </c>
      <c r="C353" s="5">
        <f t="shared" si="42"/>
        <v>504003</v>
      </c>
      <c r="D353" s="5">
        <f t="shared" si="43"/>
        <v>13</v>
      </c>
      <c r="E353" s="5" t="str">
        <f>_xlfn.XLOOKUP(C353,SkillActive!A:A,SkillActive!B:B,,,)</f>
        <v>领域扩张</v>
      </c>
      <c r="F353">
        <f t="shared" si="41"/>
        <v>13</v>
      </c>
      <c r="G353">
        <f>_xlfn.XLOOKUP(C353,SkillActive!$A:$A,SkillActive!E:E,,0)</f>
        <v>5</v>
      </c>
    </row>
    <row r="354" spans="1:7">
      <c r="A354" s="5">
        <f t="shared" si="40"/>
        <v>50400314</v>
      </c>
      <c r="B354" s="34" t="str">
        <f>_xlfn.XLOOKUP(C354,SkillActive!$A:$A,SkillActive!C:C,,0)</f>
        <v>1|2|3|4|5|6|7</v>
      </c>
      <c r="C354" s="5">
        <f t="shared" si="42"/>
        <v>504003</v>
      </c>
      <c r="D354" s="5">
        <f t="shared" si="43"/>
        <v>14</v>
      </c>
      <c r="E354" s="5" t="str">
        <f>_xlfn.XLOOKUP(C354,SkillActive!A:A,SkillActive!B:B,,,)</f>
        <v>领域扩张</v>
      </c>
      <c r="F354">
        <f t="shared" si="41"/>
        <v>14</v>
      </c>
      <c r="G354">
        <f>_xlfn.XLOOKUP(C354,SkillActive!$A:$A,SkillActive!E:E,,0)</f>
        <v>5</v>
      </c>
    </row>
    <row r="355" spans="1:7">
      <c r="A355" s="5">
        <f t="shared" si="40"/>
        <v>50400315</v>
      </c>
      <c r="B355" s="34" t="str">
        <f>_xlfn.XLOOKUP(C355,SkillActive!$A:$A,SkillActive!C:C,,0)</f>
        <v>1|2|3|4|5|6|7</v>
      </c>
      <c r="C355" s="5">
        <f t="shared" si="42"/>
        <v>504003</v>
      </c>
      <c r="D355" s="5">
        <f t="shared" si="43"/>
        <v>15</v>
      </c>
      <c r="E355" s="5" t="str">
        <f>_xlfn.XLOOKUP(C355,SkillActive!A:A,SkillActive!B:B,,,)</f>
        <v>领域扩张</v>
      </c>
      <c r="F355">
        <f t="shared" si="41"/>
        <v>15</v>
      </c>
      <c r="G355">
        <f>_xlfn.XLOOKUP(C355,SkillActive!$A:$A,SkillActive!E:E,,0)</f>
        <v>5</v>
      </c>
    </row>
    <row r="356" spans="1:7">
      <c r="A356" s="5">
        <f t="shared" si="40"/>
        <v>50400316</v>
      </c>
      <c r="B356" s="34" t="str">
        <f>_xlfn.XLOOKUP(C356,SkillActive!$A:$A,SkillActive!C:C,,0)</f>
        <v>1|2|3|4|5|6|7</v>
      </c>
      <c r="C356" s="5">
        <f t="shared" si="42"/>
        <v>504003</v>
      </c>
      <c r="D356" s="5">
        <f t="shared" si="43"/>
        <v>16</v>
      </c>
      <c r="E356" s="5" t="str">
        <f>_xlfn.XLOOKUP(C356,SkillActive!A:A,SkillActive!B:B,,,)</f>
        <v>领域扩张</v>
      </c>
      <c r="F356">
        <f t="shared" si="41"/>
        <v>16</v>
      </c>
      <c r="G356">
        <f>_xlfn.XLOOKUP(C356,SkillActive!$A:$A,SkillActive!E:E,,0)</f>
        <v>5</v>
      </c>
    </row>
    <row r="357" spans="1:7">
      <c r="A357" s="5">
        <f t="shared" si="40"/>
        <v>50400410</v>
      </c>
      <c r="B357" s="34" t="str">
        <f>_xlfn.XLOOKUP(C357,SkillActive!$A:$A,SkillActive!C:C,,0)</f>
        <v>1|2|3|4|5|6|7</v>
      </c>
      <c r="C357" s="5">
        <f t="shared" si="42"/>
        <v>504004</v>
      </c>
      <c r="D357" s="5">
        <f t="shared" ref="D357:D363" si="44">D350</f>
        <v>10</v>
      </c>
      <c r="E357" s="5" t="str">
        <f>_xlfn.XLOOKUP(C357,SkillActive!A:A,SkillActive!B:B,,,)</f>
        <v>狂暴</v>
      </c>
      <c r="F357">
        <f t="shared" si="41"/>
        <v>10</v>
      </c>
      <c r="G357">
        <f>_xlfn.XLOOKUP(C357,SkillActive!$A:$A,SkillActive!E:E,,0)</f>
        <v>5</v>
      </c>
    </row>
    <row r="358" spans="1:7">
      <c r="A358" s="5">
        <f t="shared" si="40"/>
        <v>50400411</v>
      </c>
      <c r="B358" s="34" t="str">
        <f>_xlfn.XLOOKUP(C358,SkillActive!$A:$A,SkillActive!C:C,,0)</f>
        <v>1|2|3|4|5|6|7</v>
      </c>
      <c r="C358" s="5">
        <f t="shared" si="42"/>
        <v>504004</v>
      </c>
      <c r="D358" s="5">
        <f t="shared" si="44"/>
        <v>11</v>
      </c>
      <c r="E358" s="5" t="str">
        <f>_xlfn.XLOOKUP(C358,SkillActive!A:A,SkillActive!B:B,,,)</f>
        <v>狂暴</v>
      </c>
      <c r="F358">
        <f t="shared" si="41"/>
        <v>11</v>
      </c>
      <c r="G358">
        <f>_xlfn.XLOOKUP(C358,SkillActive!$A:$A,SkillActive!E:E,,0)</f>
        <v>5</v>
      </c>
    </row>
    <row r="359" spans="1:7">
      <c r="A359" s="5">
        <f t="shared" si="40"/>
        <v>50400412</v>
      </c>
      <c r="B359" s="34" t="str">
        <f>_xlfn.XLOOKUP(C359,SkillActive!$A:$A,SkillActive!C:C,,0)</f>
        <v>1|2|3|4|5|6|7</v>
      </c>
      <c r="C359" s="5">
        <f t="shared" si="42"/>
        <v>504004</v>
      </c>
      <c r="D359" s="5">
        <f t="shared" si="44"/>
        <v>12</v>
      </c>
      <c r="E359" s="5" t="str">
        <f>_xlfn.XLOOKUP(C359,SkillActive!A:A,SkillActive!B:B,,,)</f>
        <v>狂暴</v>
      </c>
      <c r="F359">
        <f t="shared" si="41"/>
        <v>12</v>
      </c>
      <c r="G359">
        <f>_xlfn.XLOOKUP(C359,SkillActive!$A:$A,SkillActive!E:E,,0)</f>
        <v>5</v>
      </c>
    </row>
    <row r="360" spans="1:7">
      <c r="A360" s="5">
        <f t="shared" si="40"/>
        <v>50400413</v>
      </c>
      <c r="B360" s="34" t="str">
        <f>_xlfn.XLOOKUP(C360,SkillActive!$A:$A,SkillActive!C:C,,0)</f>
        <v>1|2|3|4|5|6|7</v>
      </c>
      <c r="C360" s="5">
        <f t="shared" si="42"/>
        <v>504004</v>
      </c>
      <c r="D360" s="5">
        <f t="shared" si="44"/>
        <v>13</v>
      </c>
      <c r="E360" s="5" t="str">
        <f>_xlfn.XLOOKUP(C360,SkillActive!A:A,SkillActive!B:B,,,)</f>
        <v>狂暴</v>
      </c>
      <c r="F360">
        <f t="shared" si="41"/>
        <v>13</v>
      </c>
      <c r="G360">
        <f>_xlfn.XLOOKUP(C360,SkillActive!$A:$A,SkillActive!E:E,,0)</f>
        <v>5</v>
      </c>
    </row>
    <row r="361" spans="1:7">
      <c r="A361" s="5">
        <f t="shared" si="40"/>
        <v>50400414</v>
      </c>
      <c r="B361" s="34" t="str">
        <f>_xlfn.XLOOKUP(C361,SkillActive!$A:$A,SkillActive!C:C,,0)</f>
        <v>1|2|3|4|5|6|7</v>
      </c>
      <c r="C361" s="5">
        <f t="shared" si="42"/>
        <v>504004</v>
      </c>
      <c r="D361" s="5">
        <f t="shared" si="44"/>
        <v>14</v>
      </c>
      <c r="E361" s="5" t="str">
        <f>_xlfn.XLOOKUP(C361,SkillActive!A:A,SkillActive!B:B,,,)</f>
        <v>狂暴</v>
      </c>
      <c r="F361">
        <f t="shared" si="41"/>
        <v>14</v>
      </c>
      <c r="G361">
        <f>_xlfn.XLOOKUP(C361,SkillActive!$A:$A,SkillActive!E:E,,0)</f>
        <v>5</v>
      </c>
    </row>
    <row r="362" spans="1:7">
      <c r="A362" s="5">
        <f t="shared" si="40"/>
        <v>50400415</v>
      </c>
      <c r="B362" s="34" t="str">
        <f>_xlfn.XLOOKUP(C362,SkillActive!$A:$A,SkillActive!C:C,,0)</f>
        <v>1|2|3|4|5|6|7</v>
      </c>
      <c r="C362" s="5">
        <f t="shared" si="42"/>
        <v>504004</v>
      </c>
      <c r="D362" s="5">
        <f t="shared" si="44"/>
        <v>15</v>
      </c>
      <c r="E362" s="5" t="str">
        <f>_xlfn.XLOOKUP(C362,SkillActive!A:A,SkillActive!B:B,,,)</f>
        <v>狂暴</v>
      </c>
      <c r="F362">
        <f t="shared" si="41"/>
        <v>15</v>
      </c>
      <c r="G362">
        <f>_xlfn.XLOOKUP(C362,SkillActive!$A:$A,SkillActive!E:E,,0)</f>
        <v>5</v>
      </c>
    </row>
    <row r="363" spans="1:7">
      <c r="A363" s="5">
        <f t="shared" si="40"/>
        <v>50400416</v>
      </c>
      <c r="B363" s="34" t="str">
        <f>_xlfn.XLOOKUP(C363,SkillActive!$A:$A,SkillActive!C:C,,0)</f>
        <v>1|2|3|4|5|6|7</v>
      </c>
      <c r="C363" s="5">
        <f t="shared" si="42"/>
        <v>504004</v>
      </c>
      <c r="D363" s="5">
        <f t="shared" si="44"/>
        <v>16</v>
      </c>
      <c r="E363" s="5" t="str">
        <f>_xlfn.XLOOKUP(C363,SkillActive!A:A,SkillActive!B:B,,,)</f>
        <v>狂暴</v>
      </c>
      <c r="F363">
        <f t="shared" si="41"/>
        <v>16</v>
      </c>
      <c r="G363">
        <f>_xlfn.XLOOKUP(C363,SkillActive!$A:$A,SkillActive!E:E,,0)</f>
        <v>5</v>
      </c>
    </row>
    <row r="364" spans="1:7">
      <c r="A364" s="5">
        <f t="shared" si="40"/>
        <v>50400510</v>
      </c>
      <c r="B364" s="34" t="str">
        <f>_xlfn.XLOOKUP(C364,SkillActive!$A:$A,SkillActive!C:C,,0)</f>
        <v>1|2|3|4|5|6|7</v>
      </c>
      <c r="C364" s="5">
        <f t="shared" si="42"/>
        <v>504005</v>
      </c>
      <c r="D364" s="5">
        <f t="shared" ref="D364:D370" si="45">D357</f>
        <v>10</v>
      </c>
      <c r="E364" s="5" t="str">
        <f>_xlfn.XLOOKUP(C364,SkillActive!A:A,SkillActive!B:B,,,)</f>
        <v>生命再生</v>
      </c>
      <c r="F364">
        <f t="shared" si="41"/>
        <v>10</v>
      </c>
      <c r="G364">
        <f>_xlfn.XLOOKUP(C364,SkillActive!$A:$A,SkillActive!E:E,,0)</f>
        <v>5</v>
      </c>
    </row>
    <row r="365" spans="1:7">
      <c r="A365" s="5">
        <f t="shared" si="40"/>
        <v>50400511</v>
      </c>
      <c r="B365" s="34" t="str">
        <f>_xlfn.XLOOKUP(C365,SkillActive!$A:$A,SkillActive!C:C,,0)</f>
        <v>1|2|3|4|5|6|7</v>
      </c>
      <c r="C365" s="5">
        <f t="shared" si="42"/>
        <v>504005</v>
      </c>
      <c r="D365" s="5">
        <f t="shared" si="45"/>
        <v>11</v>
      </c>
      <c r="E365" s="5" t="str">
        <f>_xlfn.XLOOKUP(C365,SkillActive!A:A,SkillActive!B:B,,,)</f>
        <v>生命再生</v>
      </c>
      <c r="F365">
        <f t="shared" si="41"/>
        <v>11</v>
      </c>
      <c r="G365">
        <f>_xlfn.XLOOKUP(C365,SkillActive!$A:$A,SkillActive!E:E,,0)</f>
        <v>5</v>
      </c>
    </row>
    <row r="366" spans="1:7">
      <c r="A366" s="5">
        <f t="shared" si="40"/>
        <v>50400512</v>
      </c>
      <c r="B366" s="34" t="str">
        <f>_xlfn.XLOOKUP(C366,SkillActive!$A:$A,SkillActive!C:C,,0)</f>
        <v>1|2|3|4|5|6|7</v>
      </c>
      <c r="C366" s="5">
        <f t="shared" si="42"/>
        <v>504005</v>
      </c>
      <c r="D366" s="5">
        <f t="shared" si="45"/>
        <v>12</v>
      </c>
      <c r="E366" s="5" t="str">
        <f>_xlfn.XLOOKUP(C366,SkillActive!A:A,SkillActive!B:B,,,)</f>
        <v>生命再生</v>
      </c>
      <c r="F366">
        <f t="shared" si="41"/>
        <v>12</v>
      </c>
      <c r="G366">
        <f>_xlfn.XLOOKUP(C366,SkillActive!$A:$A,SkillActive!E:E,,0)</f>
        <v>5</v>
      </c>
    </row>
    <row r="367" spans="1:7">
      <c r="A367" s="5">
        <f t="shared" si="40"/>
        <v>50400513</v>
      </c>
      <c r="B367" s="34" t="str">
        <f>_xlfn.XLOOKUP(C367,SkillActive!$A:$A,SkillActive!C:C,,0)</f>
        <v>1|2|3|4|5|6|7</v>
      </c>
      <c r="C367" s="5">
        <f t="shared" si="42"/>
        <v>504005</v>
      </c>
      <c r="D367" s="5">
        <f t="shared" si="45"/>
        <v>13</v>
      </c>
      <c r="E367" s="5" t="str">
        <f>_xlfn.XLOOKUP(C367,SkillActive!A:A,SkillActive!B:B,,,)</f>
        <v>生命再生</v>
      </c>
      <c r="F367">
        <f t="shared" si="41"/>
        <v>13</v>
      </c>
      <c r="G367">
        <f>_xlfn.XLOOKUP(C367,SkillActive!$A:$A,SkillActive!E:E,,0)</f>
        <v>5</v>
      </c>
    </row>
    <row r="368" spans="1:7">
      <c r="A368" s="5">
        <f t="shared" si="40"/>
        <v>50400514</v>
      </c>
      <c r="B368" s="34" t="str">
        <f>_xlfn.XLOOKUP(C368,SkillActive!$A:$A,SkillActive!C:C,,0)</f>
        <v>1|2|3|4|5|6|7</v>
      </c>
      <c r="C368" s="5">
        <f t="shared" si="42"/>
        <v>504005</v>
      </c>
      <c r="D368" s="5">
        <f t="shared" si="45"/>
        <v>14</v>
      </c>
      <c r="E368" s="5" t="str">
        <f>_xlfn.XLOOKUP(C368,SkillActive!A:A,SkillActive!B:B,,,)</f>
        <v>生命再生</v>
      </c>
      <c r="F368">
        <f t="shared" si="41"/>
        <v>14</v>
      </c>
      <c r="G368">
        <f>_xlfn.XLOOKUP(C368,SkillActive!$A:$A,SkillActive!E:E,,0)</f>
        <v>5</v>
      </c>
    </row>
    <row r="369" spans="1:7">
      <c r="A369" s="5">
        <f t="shared" si="40"/>
        <v>50400515</v>
      </c>
      <c r="B369" s="34" t="str">
        <f>_xlfn.XLOOKUP(C369,SkillActive!$A:$A,SkillActive!C:C,,0)</f>
        <v>1|2|3|4|5|6|7</v>
      </c>
      <c r="C369" s="5">
        <f t="shared" si="42"/>
        <v>504005</v>
      </c>
      <c r="D369" s="5">
        <f t="shared" si="45"/>
        <v>15</v>
      </c>
      <c r="E369" s="5" t="str">
        <f>_xlfn.XLOOKUP(C369,SkillActive!A:A,SkillActive!B:B,,,)</f>
        <v>生命再生</v>
      </c>
      <c r="F369">
        <f t="shared" si="41"/>
        <v>15</v>
      </c>
      <c r="G369">
        <f>_xlfn.XLOOKUP(C369,SkillActive!$A:$A,SkillActive!E:E,,0)</f>
        <v>5</v>
      </c>
    </row>
    <row r="370" spans="1:7">
      <c r="A370" s="5">
        <f t="shared" si="40"/>
        <v>50400516</v>
      </c>
      <c r="B370" s="34" t="str">
        <f>_xlfn.XLOOKUP(C370,SkillActive!$A:$A,SkillActive!C:C,,0)</f>
        <v>1|2|3|4|5|6|7</v>
      </c>
      <c r="C370" s="5">
        <f t="shared" si="42"/>
        <v>504005</v>
      </c>
      <c r="D370" s="5">
        <f t="shared" si="45"/>
        <v>16</v>
      </c>
      <c r="E370" s="5" t="str">
        <f>_xlfn.XLOOKUP(C370,SkillActive!A:A,SkillActive!B:B,,,)</f>
        <v>生命再生</v>
      </c>
      <c r="F370">
        <f t="shared" si="41"/>
        <v>16</v>
      </c>
      <c r="G370">
        <f>_xlfn.XLOOKUP(C370,SkillActive!$A:$A,SkillActive!E:E,,0)</f>
        <v>5</v>
      </c>
    </row>
  </sheetData>
  <conditionalFormatting sqref="A1:A2">
    <cfRule type="duplicateValues" dxfId="0" priority="9"/>
  </conditionalFormatting>
  <conditionalFormatting sqref="A100:A115">
    <cfRule type="duplicateValues" dxfId="0" priority="1"/>
  </conditionalFormatting>
  <conditionalFormatting sqref="B1:B2">
    <cfRule type="duplicateValues" dxfId="0" priority="6"/>
  </conditionalFormatting>
  <conditionalFormatting sqref="C1:C2">
    <cfRule type="duplicateValues" dxfId="0" priority="8"/>
  </conditionalFormatting>
  <conditionalFormatting sqref="D1:D2">
    <cfRule type="duplicateValues" dxfId="0" priority="7"/>
  </conditionalFormatting>
  <conditionalFormatting sqref="E1:E2">
    <cfRule type="duplicateValues" dxfId="0" priority="5"/>
  </conditionalFormatting>
  <conditionalFormatting sqref="F1:F2">
    <cfRule type="duplicateValues" dxfId="0" priority="4"/>
  </conditionalFormatting>
  <conditionalFormatting sqref="G1:G2">
    <cfRule type="duplicateValues" dxfId="0" priority="3"/>
  </conditionalFormatting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M193"/>
  <sheetViews>
    <sheetView tabSelected="1" zoomScale="85" zoomScaleNormal="85" workbookViewId="0">
      <pane xSplit="1" ySplit="3" topLeftCell="B126" activePane="bottomRight" state="frozen"/>
      <selection/>
      <selection pane="topRight"/>
      <selection pane="bottomLeft"/>
      <selection pane="bottomRight" activeCell="I143" sqref="I143"/>
    </sheetView>
  </sheetViews>
  <sheetFormatPr defaultColWidth="9" defaultRowHeight="13.5"/>
  <cols>
    <col min="1" max="1" width="14" style="5" customWidth="1"/>
    <col min="2" max="2" width="18.625" style="5" customWidth="1"/>
    <col min="3" max="3" width="11.5" style="5" customWidth="1"/>
    <col min="4" max="4" width="61.875" style="5" customWidth="1"/>
    <col min="5" max="5" width="20.375" style="5" customWidth="1"/>
    <col min="6" max="6" width="11.5" style="5" customWidth="1"/>
    <col min="7" max="7" width="28.375" style="5" customWidth="1"/>
    <col min="8" max="8" width="15.875" style="5" customWidth="1"/>
    <col min="9" max="9" width="90.25" style="5" customWidth="1"/>
    <col min="10" max="10" width="12" style="5" customWidth="1"/>
    <col min="11" max="11" width="11.5" style="5" customWidth="1"/>
    <col min="12" max="12" width="10.375" style="5" customWidth="1"/>
    <col min="13" max="13" width="20.25" style="5" customWidth="1"/>
    <col min="14" max="16384" width="9" style="5"/>
  </cols>
  <sheetData>
    <row r="1" spans="1:13">
      <c r="A1" s="6">
        <v>10030</v>
      </c>
      <c r="B1" s="6" t="s">
        <v>1</v>
      </c>
      <c r="C1" s="6" t="s">
        <v>2</v>
      </c>
      <c r="D1" s="5" t="s">
        <v>214</v>
      </c>
      <c r="E1" s="5" t="s">
        <v>215</v>
      </c>
      <c r="F1" s="6" t="s">
        <v>216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217</v>
      </c>
      <c r="L1" s="6" t="s">
        <v>79</v>
      </c>
      <c r="M1" s="5" t="s">
        <v>80</v>
      </c>
    </row>
    <row r="2" spans="1:13">
      <c r="A2" s="7" t="s">
        <v>12</v>
      </c>
      <c r="B2" s="7" t="s">
        <v>13</v>
      </c>
      <c r="C2" s="7" t="s">
        <v>14</v>
      </c>
      <c r="D2" s="7" t="s">
        <v>218</v>
      </c>
      <c r="E2" s="7" t="s">
        <v>219</v>
      </c>
      <c r="F2" s="7" t="s">
        <v>220</v>
      </c>
      <c r="G2" s="7" t="s">
        <v>84</v>
      </c>
      <c r="H2" s="7" t="s">
        <v>85</v>
      </c>
      <c r="I2" s="7" t="s">
        <v>86</v>
      </c>
      <c r="J2" s="7" t="s">
        <v>87</v>
      </c>
      <c r="K2" s="7" t="s">
        <v>88</v>
      </c>
      <c r="L2" s="7" t="s">
        <v>20</v>
      </c>
      <c r="M2" s="7" t="s">
        <v>90</v>
      </c>
    </row>
    <row r="3" spans="1:13">
      <c r="A3" s="8" t="s">
        <v>24</v>
      </c>
      <c r="B3" s="8" t="s">
        <v>25</v>
      </c>
      <c r="C3" s="8" t="s">
        <v>24</v>
      </c>
      <c r="D3" s="8" t="s">
        <v>26</v>
      </c>
      <c r="E3" s="8" t="s">
        <v>26</v>
      </c>
      <c r="F3" s="8" t="s">
        <v>24</v>
      </c>
      <c r="G3" s="8" t="s">
        <v>25</v>
      </c>
      <c r="H3" s="8" t="s">
        <v>25</v>
      </c>
      <c r="I3" s="8" t="s">
        <v>25</v>
      </c>
      <c r="J3" s="8" t="s">
        <v>26</v>
      </c>
      <c r="K3" s="8" t="s">
        <v>93</v>
      </c>
      <c r="L3" s="8" t="s">
        <v>26</v>
      </c>
      <c r="M3" s="8" t="s">
        <v>93</v>
      </c>
    </row>
    <row r="4" s="16" customFormat="1" spans="1:13">
      <c r="A4" s="22">
        <v>1000001</v>
      </c>
      <c r="B4" s="16" t="s">
        <v>221</v>
      </c>
      <c r="C4" s="16">
        <v>0</v>
      </c>
      <c r="D4" s="22">
        <v>1000002</v>
      </c>
      <c r="E4" s="22" t="s">
        <v>222</v>
      </c>
      <c r="F4" s="16">
        <v>1</v>
      </c>
      <c r="G4" s="16" t="s">
        <v>223</v>
      </c>
      <c r="H4" s="16" t="s">
        <v>224</v>
      </c>
      <c r="I4" s="16" t="s">
        <v>225</v>
      </c>
      <c r="M4" s="16" t="s">
        <v>226</v>
      </c>
    </row>
    <row r="5" s="16" customFormat="1" spans="1:13">
      <c r="A5" s="22">
        <v>1000002</v>
      </c>
      <c r="B5" s="16" t="s">
        <v>227</v>
      </c>
      <c r="C5" s="16">
        <v>0</v>
      </c>
      <c r="D5" s="22" t="s">
        <v>228</v>
      </c>
      <c r="E5" s="22" t="s">
        <v>229</v>
      </c>
      <c r="F5" s="16">
        <v>1</v>
      </c>
      <c r="G5" s="16" t="s">
        <v>223</v>
      </c>
      <c r="H5" s="16" t="s">
        <v>224</v>
      </c>
      <c r="I5" s="16" t="s">
        <v>225</v>
      </c>
      <c r="M5" s="16" t="s">
        <v>226</v>
      </c>
    </row>
    <row r="6" s="16" customFormat="1" spans="1:13">
      <c r="A6" s="22">
        <v>1000003</v>
      </c>
      <c r="B6" s="16" t="s">
        <v>230</v>
      </c>
      <c r="C6" s="16">
        <v>0</v>
      </c>
      <c r="D6" s="22" t="s">
        <v>231</v>
      </c>
      <c r="E6" s="22" t="s">
        <v>232</v>
      </c>
      <c r="F6" s="16">
        <v>1</v>
      </c>
      <c r="G6" s="16" t="s">
        <v>223</v>
      </c>
      <c r="H6" s="16" t="s">
        <v>224</v>
      </c>
      <c r="I6" s="16" t="s">
        <v>225</v>
      </c>
      <c r="M6" s="16" t="s">
        <v>226</v>
      </c>
    </row>
    <row r="7" s="16" customFormat="1" spans="1:13">
      <c r="A7" s="22">
        <v>1000004</v>
      </c>
      <c r="B7" s="16" t="s">
        <v>233</v>
      </c>
      <c r="C7" s="16">
        <v>0</v>
      </c>
      <c r="D7" s="22" t="s">
        <v>234</v>
      </c>
      <c r="E7" s="22" t="s">
        <v>235</v>
      </c>
      <c r="F7" s="16">
        <v>1</v>
      </c>
      <c r="G7" s="16" t="s">
        <v>223</v>
      </c>
      <c r="H7" s="16" t="s">
        <v>224</v>
      </c>
      <c r="I7" s="16" t="s">
        <v>225</v>
      </c>
      <c r="M7" s="16" t="s">
        <v>226</v>
      </c>
    </row>
    <row r="8" s="16" customFormat="1" spans="1:13">
      <c r="A8" s="22">
        <v>1000005</v>
      </c>
      <c r="B8" s="16" t="s">
        <v>236</v>
      </c>
      <c r="C8" s="16">
        <v>0</v>
      </c>
      <c r="D8" s="22" t="s">
        <v>237</v>
      </c>
      <c r="E8" s="22" t="s">
        <v>238</v>
      </c>
      <c r="F8" s="16">
        <v>1</v>
      </c>
      <c r="G8" s="16" t="s">
        <v>223</v>
      </c>
      <c r="H8" s="16" t="s">
        <v>224</v>
      </c>
      <c r="I8" s="16" t="s">
        <v>225</v>
      </c>
      <c r="M8" s="16" t="s">
        <v>226</v>
      </c>
    </row>
    <row r="9" s="16" customFormat="1" spans="1:13">
      <c r="A9" s="22">
        <v>1000006</v>
      </c>
      <c r="B9" s="16" t="s">
        <v>239</v>
      </c>
      <c r="C9" s="16">
        <v>0</v>
      </c>
      <c r="D9" s="22" t="s">
        <v>240</v>
      </c>
      <c r="E9" s="22" t="s">
        <v>241</v>
      </c>
      <c r="F9" s="16">
        <v>1</v>
      </c>
      <c r="G9" s="16" t="s">
        <v>223</v>
      </c>
      <c r="H9" s="16" t="s">
        <v>224</v>
      </c>
      <c r="I9" s="16" t="s">
        <v>225</v>
      </c>
      <c r="M9" s="16" t="s">
        <v>226</v>
      </c>
    </row>
    <row r="10" s="16" customFormat="1" spans="1:13">
      <c r="A10" s="22">
        <v>1000007</v>
      </c>
      <c r="B10" s="16" t="s">
        <v>242</v>
      </c>
      <c r="C10" s="16">
        <v>0</v>
      </c>
      <c r="D10" s="22" t="s">
        <v>243</v>
      </c>
      <c r="E10" s="22" t="s">
        <v>244</v>
      </c>
      <c r="F10" s="16">
        <v>3</v>
      </c>
      <c r="G10" s="16" t="s">
        <v>245</v>
      </c>
      <c r="H10" s="16" t="s">
        <v>246</v>
      </c>
      <c r="I10" s="16" t="s">
        <v>247</v>
      </c>
    </row>
    <row r="11" s="16" customFormat="1" spans="1:13">
      <c r="A11" s="22">
        <v>1000008</v>
      </c>
      <c r="B11" s="16" t="s">
        <v>248</v>
      </c>
      <c r="C11" s="16">
        <v>0</v>
      </c>
      <c r="D11" s="22" t="s">
        <v>249</v>
      </c>
      <c r="E11" s="22" t="s">
        <v>250</v>
      </c>
      <c r="F11" s="16">
        <v>1</v>
      </c>
      <c r="G11" s="16" t="s">
        <v>251</v>
      </c>
      <c r="H11" s="16" t="s">
        <v>252</v>
      </c>
      <c r="I11" s="16" t="s">
        <v>253</v>
      </c>
      <c r="M11" s="16" t="s">
        <v>254</v>
      </c>
    </row>
    <row r="12" s="16" customFormat="1" spans="1:13">
      <c r="A12" s="22">
        <v>1000009</v>
      </c>
      <c r="B12" s="16" t="s">
        <v>255</v>
      </c>
      <c r="C12" s="16">
        <v>0</v>
      </c>
      <c r="D12" s="22" t="s">
        <v>256</v>
      </c>
      <c r="E12" s="22" t="s">
        <v>257</v>
      </c>
      <c r="F12" s="16">
        <v>1</v>
      </c>
      <c r="G12" s="16" t="s">
        <v>251</v>
      </c>
      <c r="H12" s="16" t="s">
        <v>252</v>
      </c>
      <c r="I12" s="16" t="s">
        <v>258</v>
      </c>
      <c r="M12" s="16" t="s">
        <v>259</v>
      </c>
    </row>
    <row r="13" s="16" customFormat="1" spans="1:13">
      <c r="A13" s="22">
        <v>1000010</v>
      </c>
      <c r="B13" s="16" t="s">
        <v>260</v>
      </c>
      <c r="C13" s="16">
        <v>0</v>
      </c>
      <c r="D13" s="22" t="s">
        <v>261</v>
      </c>
      <c r="E13" s="22" t="s">
        <v>262</v>
      </c>
      <c r="F13" s="16">
        <v>2</v>
      </c>
      <c r="G13" s="16" t="s">
        <v>251</v>
      </c>
      <c r="H13" s="16" t="s">
        <v>252</v>
      </c>
      <c r="I13" s="16" t="s">
        <v>263</v>
      </c>
      <c r="M13" s="16" t="s">
        <v>264</v>
      </c>
    </row>
    <row r="14" s="16" customFormat="1" spans="1:13">
      <c r="A14" s="22">
        <v>1000011</v>
      </c>
      <c r="B14" s="16" t="s">
        <v>265</v>
      </c>
      <c r="C14" s="16">
        <v>0</v>
      </c>
      <c r="D14" s="22" t="s">
        <v>266</v>
      </c>
      <c r="E14" s="22" t="s">
        <v>267</v>
      </c>
      <c r="F14" s="16">
        <v>1</v>
      </c>
      <c r="G14" s="16" t="s">
        <v>251</v>
      </c>
      <c r="H14" s="16" t="s">
        <v>252</v>
      </c>
      <c r="I14" s="16" t="s">
        <v>258</v>
      </c>
      <c r="M14" s="16" t="s">
        <v>259</v>
      </c>
    </row>
    <row r="15" s="16" customFormat="1" spans="1:13">
      <c r="A15" s="22">
        <v>1000012</v>
      </c>
      <c r="B15" s="16" t="s">
        <v>268</v>
      </c>
      <c r="C15" s="16">
        <v>0</v>
      </c>
      <c r="D15" s="22" t="s">
        <v>269</v>
      </c>
      <c r="E15" s="22" t="s">
        <v>270</v>
      </c>
      <c r="F15" s="16">
        <v>1</v>
      </c>
      <c r="G15" s="16" t="s">
        <v>251</v>
      </c>
      <c r="H15" s="16" t="s">
        <v>252</v>
      </c>
      <c r="I15" s="16" t="s">
        <v>253</v>
      </c>
      <c r="M15" s="16" t="s">
        <v>254</v>
      </c>
    </row>
    <row r="16" s="16" customFormat="1" spans="1:13">
      <c r="A16" s="22">
        <v>1000013</v>
      </c>
      <c r="B16" s="16" t="s">
        <v>271</v>
      </c>
      <c r="C16" s="16">
        <v>0</v>
      </c>
      <c r="D16" s="22" t="s">
        <v>272</v>
      </c>
      <c r="E16" s="22" t="s">
        <v>273</v>
      </c>
      <c r="F16" s="16">
        <v>1</v>
      </c>
      <c r="G16" s="16" t="s">
        <v>274</v>
      </c>
      <c r="H16" s="16" t="s">
        <v>275</v>
      </c>
      <c r="I16" s="16" t="s">
        <v>276</v>
      </c>
      <c r="M16" s="16" t="s">
        <v>277</v>
      </c>
    </row>
    <row r="17" s="16" customFormat="1" spans="1:13">
      <c r="A17" s="22">
        <v>1000014</v>
      </c>
      <c r="B17" s="16" t="s">
        <v>278</v>
      </c>
      <c r="C17" s="16">
        <v>0</v>
      </c>
      <c r="D17" s="22" t="s">
        <v>279</v>
      </c>
      <c r="E17" s="22" t="s">
        <v>280</v>
      </c>
      <c r="F17" s="16">
        <v>1</v>
      </c>
      <c r="G17" s="16" t="s">
        <v>274</v>
      </c>
      <c r="H17" s="16" t="s">
        <v>275</v>
      </c>
      <c r="I17" s="16" t="s">
        <v>281</v>
      </c>
      <c r="M17" s="16" t="s">
        <v>282</v>
      </c>
    </row>
    <row r="18" s="16" customFormat="1" spans="1:13">
      <c r="A18" s="22">
        <v>1000015</v>
      </c>
      <c r="B18" s="16" t="s">
        <v>283</v>
      </c>
      <c r="C18" s="16">
        <v>0</v>
      </c>
      <c r="D18" s="22" t="s">
        <v>284</v>
      </c>
      <c r="E18" s="22" t="s">
        <v>285</v>
      </c>
      <c r="F18" s="16">
        <v>2</v>
      </c>
      <c r="G18" s="16" t="s">
        <v>274</v>
      </c>
      <c r="H18" s="16" t="s">
        <v>275</v>
      </c>
      <c r="I18" s="16" t="s">
        <v>286</v>
      </c>
      <c r="M18" s="16" t="s">
        <v>287</v>
      </c>
    </row>
    <row r="19" s="16" customFormat="1" spans="1:13">
      <c r="A19" s="22">
        <v>1000016</v>
      </c>
      <c r="B19" s="16" t="s">
        <v>288</v>
      </c>
      <c r="C19" s="16">
        <v>0</v>
      </c>
      <c r="D19" s="22" t="s">
        <v>289</v>
      </c>
      <c r="E19" s="22" t="s">
        <v>290</v>
      </c>
      <c r="F19" s="16">
        <v>1</v>
      </c>
      <c r="G19" s="16" t="s">
        <v>274</v>
      </c>
      <c r="H19" s="16" t="s">
        <v>275</v>
      </c>
      <c r="I19" s="16" t="s">
        <v>281</v>
      </c>
      <c r="M19" s="16" t="s">
        <v>282</v>
      </c>
    </row>
    <row r="20" s="16" customFormat="1" spans="1:13">
      <c r="A20" s="22">
        <v>1000017</v>
      </c>
      <c r="B20" s="16" t="s">
        <v>291</v>
      </c>
      <c r="C20" s="16">
        <v>0</v>
      </c>
      <c r="D20" s="22" t="s">
        <v>292</v>
      </c>
      <c r="E20" s="22" t="s">
        <v>293</v>
      </c>
      <c r="F20" s="16">
        <v>1</v>
      </c>
      <c r="G20" s="16" t="s">
        <v>274</v>
      </c>
      <c r="H20" s="16" t="s">
        <v>275</v>
      </c>
      <c r="I20" s="16" t="s">
        <v>276</v>
      </c>
      <c r="M20" s="16" t="s">
        <v>277</v>
      </c>
    </row>
    <row r="21" s="16" customFormat="1" spans="1:13">
      <c r="A21" s="22">
        <v>1000018</v>
      </c>
      <c r="B21" s="16" t="s">
        <v>294</v>
      </c>
      <c r="C21" s="16">
        <v>0</v>
      </c>
      <c r="D21" s="22" t="s">
        <v>295</v>
      </c>
      <c r="E21" s="22" t="s">
        <v>296</v>
      </c>
      <c r="F21" s="16">
        <v>1</v>
      </c>
      <c r="G21" s="16" t="s">
        <v>297</v>
      </c>
      <c r="H21" s="16" t="s">
        <v>298</v>
      </c>
      <c r="I21" s="16" t="s">
        <v>299</v>
      </c>
      <c r="M21" s="16" t="s">
        <v>300</v>
      </c>
    </row>
    <row r="22" s="16" customFormat="1" spans="1:13">
      <c r="A22" s="22">
        <v>1000019</v>
      </c>
      <c r="B22" s="16" t="s">
        <v>301</v>
      </c>
      <c r="C22" s="16">
        <v>0</v>
      </c>
      <c r="D22" s="22" t="s">
        <v>302</v>
      </c>
      <c r="E22" s="22" t="s">
        <v>303</v>
      </c>
      <c r="F22" s="16">
        <v>1</v>
      </c>
      <c r="G22" s="16" t="s">
        <v>297</v>
      </c>
      <c r="H22" s="16" t="s">
        <v>298</v>
      </c>
      <c r="I22" s="16" t="s">
        <v>304</v>
      </c>
      <c r="M22" s="16" t="s">
        <v>305</v>
      </c>
    </row>
    <row r="23" s="16" customFormat="1" spans="1:13">
      <c r="A23" s="22">
        <v>1000020</v>
      </c>
      <c r="B23" s="16" t="s">
        <v>306</v>
      </c>
      <c r="C23" s="16">
        <v>0</v>
      </c>
      <c r="D23" s="22" t="s">
        <v>307</v>
      </c>
      <c r="E23" s="22" t="s">
        <v>308</v>
      </c>
      <c r="F23" s="16">
        <v>2</v>
      </c>
      <c r="G23" s="16" t="s">
        <v>297</v>
      </c>
      <c r="H23" s="16" t="s">
        <v>298</v>
      </c>
      <c r="I23" s="16" t="s">
        <v>309</v>
      </c>
      <c r="M23" s="16" t="s">
        <v>310</v>
      </c>
    </row>
    <row r="24" s="16" customFormat="1" spans="1:13">
      <c r="A24" s="22">
        <v>1000021</v>
      </c>
      <c r="B24" s="16" t="s">
        <v>311</v>
      </c>
      <c r="C24" s="16">
        <v>0</v>
      </c>
      <c r="D24" s="22" t="s">
        <v>312</v>
      </c>
      <c r="E24" s="22" t="s">
        <v>313</v>
      </c>
      <c r="F24" s="16">
        <v>1</v>
      </c>
      <c r="G24" s="16" t="s">
        <v>297</v>
      </c>
      <c r="H24" s="16" t="s">
        <v>298</v>
      </c>
      <c r="I24" s="16" t="s">
        <v>304</v>
      </c>
      <c r="M24" s="16" t="s">
        <v>305</v>
      </c>
    </row>
    <row r="25" s="16" customFormat="1" spans="1:13">
      <c r="A25" s="22">
        <v>1000022</v>
      </c>
      <c r="B25" s="16" t="s">
        <v>314</v>
      </c>
      <c r="C25" s="16">
        <v>0</v>
      </c>
      <c r="D25" s="22" t="s">
        <v>315</v>
      </c>
      <c r="E25" s="22" t="s">
        <v>316</v>
      </c>
      <c r="F25" s="16">
        <v>1</v>
      </c>
      <c r="G25" s="16" t="s">
        <v>297</v>
      </c>
      <c r="H25" s="16" t="s">
        <v>298</v>
      </c>
      <c r="I25" s="16" t="s">
        <v>299</v>
      </c>
      <c r="M25" s="16" t="s">
        <v>300</v>
      </c>
    </row>
    <row r="26" s="16" customFormat="1" spans="1:13">
      <c r="A26" s="22">
        <v>1000023</v>
      </c>
      <c r="B26" s="16" t="s">
        <v>317</v>
      </c>
      <c r="C26" s="16">
        <v>0</v>
      </c>
      <c r="D26" s="22" t="s">
        <v>318</v>
      </c>
      <c r="E26" s="22" t="s">
        <v>319</v>
      </c>
      <c r="F26" s="16">
        <v>1</v>
      </c>
      <c r="G26" s="16" t="s">
        <v>320</v>
      </c>
      <c r="H26" s="16" t="s">
        <v>321</v>
      </c>
      <c r="I26" s="16" t="s">
        <v>322</v>
      </c>
      <c r="M26" s="16" t="s">
        <v>323</v>
      </c>
    </row>
    <row r="27" s="16" customFormat="1" spans="1:13">
      <c r="A27" s="22">
        <v>1000024</v>
      </c>
      <c r="B27" s="16" t="s">
        <v>324</v>
      </c>
      <c r="C27" s="16">
        <v>0</v>
      </c>
      <c r="D27" s="22" t="s">
        <v>325</v>
      </c>
      <c r="E27" s="22" t="s">
        <v>326</v>
      </c>
      <c r="F27" s="16">
        <v>1</v>
      </c>
      <c r="G27" s="16" t="s">
        <v>320</v>
      </c>
      <c r="H27" s="16" t="s">
        <v>321</v>
      </c>
      <c r="I27" s="16" t="s">
        <v>327</v>
      </c>
      <c r="M27" s="16" t="s">
        <v>328</v>
      </c>
    </row>
    <row r="28" s="16" customFormat="1" spans="1:13">
      <c r="A28" s="22">
        <v>1000025</v>
      </c>
      <c r="B28" s="16" t="s">
        <v>329</v>
      </c>
      <c r="C28" s="16">
        <v>0</v>
      </c>
      <c r="D28" s="22" t="s">
        <v>330</v>
      </c>
      <c r="E28" s="22" t="s">
        <v>331</v>
      </c>
      <c r="F28" s="16">
        <v>2</v>
      </c>
      <c r="G28" s="16" t="s">
        <v>320</v>
      </c>
      <c r="H28" s="16" t="s">
        <v>321</v>
      </c>
      <c r="I28" s="16" t="s">
        <v>332</v>
      </c>
      <c r="M28" s="16" t="s">
        <v>333</v>
      </c>
    </row>
    <row r="29" s="16" customFormat="1" spans="1:13">
      <c r="A29" s="22">
        <v>1000026</v>
      </c>
      <c r="B29" s="16" t="s">
        <v>334</v>
      </c>
      <c r="C29" s="16">
        <v>0</v>
      </c>
      <c r="D29" s="22" t="s">
        <v>335</v>
      </c>
      <c r="E29" s="22" t="s">
        <v>336</v>
      </c>
      <c r="F29" s="16">
        <v>1</v>
      </c>
      <c r="G29" s="16" t="s">
        <v>320</v>
      </c>
      <c r="H29" s="16" t="s">
        <v>321</v>
      </c>
      <c r="I29" s="16" t="s">
        <v>327</v>
      </c>
      <c r="M29" s="16" t="s">
        <v>328</v>
      </c>
    </row>
    <row r="30" s="16" customFormat="1" spans="1:13">
      <c r="A30" s="22">
        <v>1000027</v>
      </c>
      <c r="B30" s="16" t="s">
        <v>337</v>
      </c>
      <c r="C30" s="16">
        <v>0</v>
      </c>
      <c r="D30" s="22" t="s">
        <v>338</v>
      </c>
      <c r="E30" s="22" t="s">
        <v>339</v>
      </c>
      <c r="F30" s="16">
        <v>1</v>
      </c>
      <c r="G30" s="16" t="s">
        <v>320</v>
      </c>
      <c r="H30" s="16" t="s">
        <v>321</v>
      </c>
      <c r="I30" s="16" t="s">
        <v>322</v>
      </c>
      <c r="M30" s="16" t="s">
        <v>323</v>
      </c>
    </row>
    <row r="31" s="16" customFormat="1" spans="1:13">
      <c r="A31" s="22">
        <v>1000028</v>
      </c>
      <c r="B31" s="16" t="s">
        <v>340</v>
      </c>
      <c r="C31" s="16">
        <v>0</v>
      </c>
      <c r="D31" s="22" t="s">
        <v>341</v>
      </c>
      <c r="E31" s="22" t="s">
        <v>342</v>
      </c>
      <c r="F31" s="16">
        <v>1</v>
      </c>
      <c r="G31" s="16" t="s">
        <v>223</v>
      </c>
      <c r="H31" s="16" t="s">
        <v>224</v>
      </c>
      <c r="I31" s="16" t="s">
        <v>225</v>
      </c>
      <c r="M31" s="16" t="s">
        <v>226</v>
      </c>
    </row>
    <row r="32" s="16" customFormat="1" spans="1:13">
      <c r="A32" s="22">
        <v>1000029</v>
      </c>
      <c r="B32" s="16" t="s">
        <v>343</v>
      </c>
      <c r="C32" s="16">
        <v>0</v>
      </c>
      <c r="D32" s="22" t="s">
        <v>344</v>
      </c>
      <c r="E32" s="22" t="s">
        <v>345</v>
      </c>
      <c r="F32" s="16">
        <v>1</v>
      </c>
      <c r="G32" s="16" t="s">
        <v>223</v>
      </c>
      <c r="H32" s="16" t="s">
        <v>224</v>
      </c>
      <c r="I32" s="16" t="s">
        <v>225</v>
      </c>
      <c r="M32" s="16" t="s">
        <v>226</v>
      </c>
    </row>
    <row r="33" s="16" customFormat="1" spans="1:13">
      <c r="A33" s="22">
        <v>1000030</v>
      </c>
      <c r="B33" s="16" t="s">
        <v>346</v>
      </c>
      <c r="C33" s="16">
        <v>0</v>
      </c>
      <c r="D33" s="22" t="s">
        <v>347</v>
      </c>
      <c r="E33" s="22" t="s">
        <v>348</v>
      </c>
      <c r="F33" s="16">
        <v>1</v>
      </c>
      <c r="G33" s="16" t="s">
        <v>223</v>
      </c>
      <c r="H33" s="16" t="s">
        <v>224</v>
      </c>
      <c r="I33" s="16" t="s">
        <v>225</v>
      </c>
      <c r="M33" s="16" t="s">
        <v>226</v>
      </c>
    </row>
    <row r="34" s="16" customFormat="1" spans="1:13">
      <c r="A34" s="22">
        <v>1000031</v>
      </c>
      <c r="B34" s="16" t="s">
        <v>349</v>
      </c>
      <c r="C34" s="16">
        <v>0</v>
      </c>
      <c r="D34" s="22" t="s">
        <v>350</v>
      </c>
      <c r="E34" s="22" t="s">
        <v>351</v>
      </c>
      <c r="F34" s="16">
        <v>1</v>
      </c>
      <c r="G34" s="16" t="s">
        <v>223</v>
      </c>
      <c r="H34" s="16" t="s">
        <v>224</v>
      </c>
      <c r="I34" s="16" t="s">
        <v>225</v>
      </c>
      <c r="M34" s="16" t="s">
        <v>226</v>
      </c>
    </row>
    <row r="35" s="16" customFormat="1" spans="1:13">
      <c r="A35" s="22">
        <v>1000032</v>
      </c>
      <c r="B35" s="16" t="s">
        <v>352</v>
      </c>
      <c r="C35" s="16">
        <v>0</v>
      </c>
      <c r="D35" s="22" t="s">
        <v>353</v>
      </c>
      <c r="E35" s="22" t="s">
        <v>354</v>
      </c>
      <c r="F35" s="16">
        <v>1</v>
      </c>
      <c r="G35" s="16" t="s">
        <v>223</v>
      </c>
      <c r="H35" s="16" t="s">
        <v>224</v>
      </c>
      <c r="I35" s="16" t="s">
        <v>225</v>
      </c>
      <c r="M35" s="16" t="s">
        <v>226</v>
      </c>
    </row>
    <row r="36" s="16" customFormat="1" spans="1:13">
      <c r="A36" s="22">
        <v>1000033</v>
      </c>
      <c r="B36" s="16" t="s">
        <v>355</v>
      </c>
      <c r="C36" s="16">
        <v>0</v>
      </c>
      <c r="D36" s="22" t="s">
        <v>356</v>
      </c>
      <c r="E36" s="22" t="s">
        <v>357</v>
      </c>
      <c r="F36" s="16">
        <v>1</v>
      </c>
      <c r="G36" s="16" t="s">
        <v>358</v>
      </c>
      <c r="H36" s="16" t="s">
        <v>359</v>
      </c>
      <c r="I36" s="16" t="s">
        <v>360</v>
      </c>
      <c r="M36" s="16" t="s">
        <v>361</v>
      </c>
    </row>
    <row r="37" s="16" customFormat="1" spans="1:13">
      <c r="A37" s="22">
        <v>1000034</v>
      </c>
      <c r="B37" s="16" t="s">
        <v>362</v>
      </c>
      <c r="C37" s="16">
        <v>0</v>
      </c>
      <c r="D37" s="22" t="s">
        <v>363</v>
      </c>
      <c r="E37" s="22" t="s">
        <v>364</v>
      </c>
      <c r="F37" s="16">
        <v>1</v>
      </c>
      <c r="G37" s="16" t="s">
        <v>358</v>
      </c>
      <c r="H37" s="16" t="s">
        <v>359</v>
      </c>
      <c r="I37" s="16" t="s">
        <v>365</v>
      </c>
      <c r="M37" s="16" t="s">
        <v>366</v>
      </c>
    </row>
    <row r="38" s="16" customFormat="1" spans="1:13">
      <c r="A38" s="22">
        <v>1000035</v>
      </c>
      <c r="B38" s="16" t="s">
        <v>367</v>
      </c>
      <c r="C38" s="16">
        <v>0</v>
      </c>
      <c r="D38" s="22" t="s">
        <v>368</v>
      </c>
      <c r="E38" s="22" t="s">
        <v>369</v>
      </c>
      <c r="F38" s="16">
        <v>2</v>
      </c>
      <c r="G38" s="16" t="s">
        <v>370</v>
      </c>
      <c r="H38" s="16" t="s">
        <v>371</v>
      </c>
      <c r="I38" s="16" t="s">
        <v>372</v>
      </c>
      <c r="M38" s="16" t="s">
        <v>373</v>
      </c>
    </row>
    <row r="39" s="16" customFormat="1" spans="1:13">
      <c r="A39" s="22">
        <v>1000036</v>
      </c>
      <c r="B39" s="16" t="s">
        <v>374</v>
      </c>
      <c r="C39" s="16">
        <v>0</v>
      </c>
      <c r="D39" s="22" t="s">
        <v>375</v>
      </c>
      <c r="E39" s="22" t="s">
        <v>376</v>
      </c>
      <c r="F39" s="16">
        <v>1</v>
      </c>
      <c r="G39" s="16" t="s">
        <v>358</v>
      </c>
      <c r="H39" s="16" t="s">
        <v>359</v>
      </c>
      <c r="I39" s="16" t="s">
        <v>365</v>
      </c>
      <c r="M39" s="16" t="s">
        <v>366</v>
      </c>
    </row>
    <row r="40" s="16" customFormat="1" spans="1:13">
      <c r="A40" s="22">
        <v>1000037</v>
      </c>
      <c r="B40" s="16" t="s">
        <v>377</v>
      </c>
      <c r="C40" s="16">
        <v>0</v>
      </c>
      <c r="D40" s="22" t="s">
        <v>378</v>
      </c>
      <c r="E40" s="22" t="s">
        <v>379</v>
      </c>
      <c r="F40" s="16">
        <v>1</v>
      </c>
      <c r="G40" s="16" t="s">
        <v>358</v>
      </c>
      <c r="H40" s="16" t="s">
        <v>359</v>
      </c>
      <c r="I40" s="16" t="s">
        <v>360</v>
      </c>
      <c r="M40" s="16" t="s">
        <v>361</v>
      </c>
    </row>
    <row r="41" s="16" customFormat="1" spans="1:13">
      <c r="A41" s="22">
        <v>1000038</v>
      </c>
      <c r="B41" s="16" t="s">
        <v>380</v>
      </c>
      <c r="C41" s="16">
        <v>0</v>
      </c>
      <c r="D41" s="22" t="s">
        <v>381</v>
      </c>
      <c r="E41" s="22" t="s">
        <v>382</v>
      </c>
      <c r="F41" s="16">
        <v>1</v>
      </c>
      <c r="G41" s="16" t="s">
        <v>383</v>
      </c>
      <c r="H41" s="16" t="s">
        <v>384</v>
      </c>
      <c r="I41" s="16" t="s">
        <v>385</v>
      </c>
      <c r="M41" s="16" t="s">
        <v>386</v>
      </c>
    </row>
    <row r="42" s="16" customFormat="1" spans="1:13">
      <c r="A42" s="22">
        <v>1000039</v>
      </c>
      <c r="B42" s="16" t="s">
        <v>387</v>
      </c>
      <c r="C42" s="16">
        <v>0</v>
      </c>
      <c r="D42" s="22" t="s">
        <v>388</v>
      </c>
      <c r="E42" s="22" t="s">
        <v>389</v>
      </c>
      <c r="F42" s="16">
        <v>1</v>
      </c>
      <c r="G42" s="16" t="s">
        <v>383</v>
      </c>
      <c r="H42" s="16" t="s">
        <v>384</v>
      </c>
      <c r="I42" s="16" t="s">
        <v>390</v>
      </c>
      <c r="M42" s="16" t="s">
        <v>391</v>
      </c>
    </row>
    <row r="43" s="16" customFormat="1" spans="1:13">
      <c r="A43" s="22">
        <v>1000040</v>
      </c>
      <c r="B43" s="16" t="s">
        <v>392</v>
      </c>
      <c r="C43" s="16">
        <v>0</v>
      </c>
      <c r="D43" s="22" t="s">
        <v>393</v>
      </c>
      <c r="E43" s="22" t="s">
        <v>394</v>
      </c>
      <c r="F43" s="16">
        <v>2</v>
      </c>
      <c r="G43" s="16" t="s">
        <v>395</v>
      </c>
      <c r="H43" s="16" t="s">
        <v>396</v>
      </c>
      <c r="I43" s="16" t="s">
        <v>397</v>
      </c>
      <c r="M43" s="16" t="s">
        <v>398</v>
      </c>
    </row>
    <row r="44" s="16" customFormat="1" spans="1:13">
      <c r="A44" s="22">
        <v>1000041</v>
      </c>
      <c r="B44" s="16" t="s">
        <v>399</v>
      </c>
      <c r="C44" s="16">
        <v>0</v>
      </c>
      <c r="D44" s="22" t="s">
        <v>400</v>
      </c>
      <c r="E44" s="22" t="s">
        <v>401</v>
      </c>
      <c r="F44" s="16">
        <v>1</v>
      </c>
      <c r="G44" s="16" t="s">
        <v>383</v>
      </c>
      <c r="H44" s="16" t="s">
        <v>384</v>
      </c>
      <c r="I44" s="16" t="s">
        <v>390</v>
      </c>
      <c r="M44" s="16" t="s">
        <v>391</v>
      </c>
    </row>
    <row r="45" s="16" customFormat="1" spans="1:13">
      <c r="A45" s="22">
        <v>1000042</v>
      </c>
      <c r="B45" s="16" t="s">
        <v>402</v>
      </c>
      <c r="C45" s="16">
        <v>0</v>
      </c>
      <c r="D45" s="22" t="s">
        <v>403</v>
      </c>
      <c r="E45" s="22" t="s">
        <v>404</v>
      </c>
      <c r="F45" s="16">
        <v>1</v>
      </c>
      <c r="G45" s="16" t="s">
        <v>383</v>
      </c>
      <c r="H45" s="16" t="s">
        <v>384</v>
      </c>
      <c r="I45" s="16" t="s">
        <v>385</v>
      </c>
      <c r="M45" s="16" t="s">
        <v>386</v>
      </c>
    </row>
    <row r="46" s="16" customFormat="1" spans="1:13">
      <c r="A46" s="22">
        <v>1000043</v>
      </c>
      <c r="B46" s="16" t="s">
        <v>405</v>
      </c>
      <c r="C46" s="16">
        <v>0</v>
      </c>
      <c r="D46" s="22" t="s">
        <v>406</v>
      </c>
      <c r="E46" s="22" t="s">
        <v>407</v>
      </c>
      <c r="F46" s="16">
        <v>1</v>
      </c>
      <c r="G46" s="16" t="s">
        <v>408</v>
      </c>
      <c r="H46" s="16" t="s">
        <v>409</v>
      </c>
      <c r="I46" s="16" t="s">
        <v>410</v>
      </c>
      <c r="M46" s="16" t="s">
        <v>411</v>
      </c>
    </row>
    <row r="47" s="16" customFormat="1" spans="1:13">
      <c r="A47" s="22">
        <v>1000044</v>
      </c>
      <c r="B47" s="16" t="s">
        <v>412</v>
      </c>
      <c r="C47" s="16">
        <v>0</v>
      </c>
      <c r="D47" s="22" t="s">
        <v>413</v>
      </c>
      <c r="E47" s="22" t="s">
        <v>414</v>
      </c>
      <c r="F47" s="16">
        <v>1</v>
      </c>
      <c r="G47" s="16" t="s">
        <v>408</v>
      </c>
      <c r="H47" s="16" t="s">
        <v>409</v>
      </c>
      <c r="I47" s="16" t="s">
        <v>415</v>
      </c>
      <c r="M47" s="16" t="s">
        <v>416</v>
      </c>
    </row>
    <row r="48" s="16" customFormat="1" spans="1:13">
      <c r="A48" s="22">
        <v>1000045</v>
      </c>
      <c r="B48" s="16" t="s">
        <v>417</v>
      </c>
      <c r="C48" s="16">
        <v>0</v>
      </c>
      <c r="D48" s="22" t="s">
        <v>418</v>
      </c>
      <c r="E48" s="22" t="s">
        <v>419</v>
      </c>
      <c r="F48" s="16">
        <v>2</v>
      </c>
      <c r="G48" s="16" t="s">
        <v>420</v>
      </c>
      <c r="H48" s="16" t="s">
        <v>421</v>
      </c>
      <c r="I48" s="16" t="s">
        <v>422</v>
      </c>
      <c r="M48" s="16" t="s">
        <v>423</v>
      </c>
    </row>
    <row r="49" s="16" customFormat="1" spans="1:13">
      <c r="A49" s="22">
        <v>1000046</v>
      </c>
      <c r="B49" s="16" t="s">
        <v>424</v>
      </c>
      <c r="C49" s="16">
        <v>0</v>
      </c>
      <c r="D49" s="22" t="s">
        <v>425</v>
      </c>
      <c r="E49" s="22" t="s">
        <v>426</v>
      </c>
      <c r="F49" s="16">
        <v>1</v>
      </c>
      <c r="G49" s="16" t="s">
        <v>408</v>
      </c>
      <c r="H49" s="16" t="s">
        <v>409</v>
      </c>
      <c r="I49" s="16" t="s">
        <v>415</v>
      </c>
      <c r="M49" s="16" t="s">
        <v>416</v>
      </c>
    </row>
    <row r="50" s="16" customFormat="1" spans="1:13">
      <c r="A50" s="22">
        <v>1000047</v>
      </c>
      <c r="B50" s="16" t="s">
        <v>427</v>
      </c>
      <c r="C50" s="16">
        <v>0</v>
      </c>
      <c r="D50" s="22" t="s">
        <v>428</v>
      </c>
      <c r="E50" s="22" t="s">
        <v>429</v>
      </c>
      <c r="F50" s="16">
        <v>1</v>
      </c>
      <c r="G50" s="16" t="s">
        <v>408</v>
      </c>
      <c r="H50" s="16" t="s">
        <v>409</v>
      </c>
      <c r="I50" s="16" t="s">
        <v>410</v>
      </c>
      <c r="M50" s="16" t="s">
        <v>411</v>
      </c>
    </row>
    <row r="51" s="16" customFormat="1" spans="1:13">
      <c r="A51" s="22">
        <v>1000048</v>
      </c>
      <c r="B51" s="16" t="s">
        <v>430</v>
      </c>
      <c r="C51" s="16">
        <v>0</v>
      </c>
      <c r="D51" s="22" t="s">
        <v>431</v>
      </c>
      <c r="E51" s="22" t="s">
        <v>432</v>
      </c>
      <c r="F51" s="16">
        <v>1</v>
      </c>
      <c r="G51" s="16" t="s">
        <v>433</v>
      </c>
      <c r="H51" s="16" t="s">
        <v>434</v>
      </c>
      <c r="I51" s="16" t="s">
        <v>435</v>
      </c>
      <c r="M51" s="16" t="s">
        <v>436</v>
      </c>
    </row>
    <row r="52" s="16" customFormat="1" spans="1:13">
      <c r="A52" s="22">
        <v>1000049</v>
      </c>
      <c r="B52" s="16" t="s">
        <v>437</v>
      </c>
      <c r="C52" s="16">
        <v>0</v>
      </c>
      <c r="D52" s="22" t="s">
        <v>438</v>
      </c>
      <c r="E52" s="22" t="s">
        <v>439</v>
      </c>
      <c r="F52" s="16">
        <v>1</v>
      </c>
      <c r="G52" s="16" t="s">
        <v>433</v>
      </c>
      <c r="H52" s="16" t="s">
        <v>434</v>
      </c>
      <c r="I52" s="16" t="s">
        <v>440</v>
      </c>
      <c r="M52" s="16" t="s">
        <v>441</v>
      </c>
    </row>
    <row r="53" s="16" customFormat="1" spans="1:13">
      <c r="A53" s="22">
        <v>1000050</v>
      </c>
      <c r="B53" s="16" t="s">
        <v>442</v>
      </c>
      <c r="C53" s="16">
        <v>0</v>
      </c>
      <c r="D53" s="22" t="s">
        <v>443</v>
      </c>
      <c r="E53" s="22" t="s">
        <v>444</v>
      </c>
      <c r="F53" s="16">
        <v>2</v>
      </c>
      <c r="G53" s="16" t="s">
        <v>445</v>
      </c>
      <c r="H53" s="16" t="s">
        <v>446</v>
      </c>
      <c r="I53" s="16" t="s">
        <v>447</v>
      </c>
      <c r="M53" s="16" t="s">
        <v>448</v>
      </c>
    </row>
    <row r="54" s="16" customFormat="1" spans="1:13">
      <c r="A54" s="22">
        <v>1000051</v>
      </c>
      <c r="B54" s="16" t="s">
        <v>449</v>
      </c>
      <c r="C54" s="16">
        <v>0</v>
      </c>
      <c r="D54" s="22" t="s">
        <v>450</v>
      </c>
      <c r="E54" s="22" t="s">
        <v>451</v>
      </c>
      <c r="F54" s="16">
        <v>1</v>
      </c>
      <c r="G54" s="16" t="s">
        <v>433</v>
      </c>
      <c r="H54" s="16" t="s">
        <v>434</v>
      </c>
      <c r="I54" s="16" t="s">
        <v>440</v>
      </c>
      <c r="M54" s="16" t="s">
        <v>441</v>
      </c>
    </row>
    <row r="55" s="16" customFormat="1" spans="1:13">
      <c r="A55" s="22">
        <v>1000052</v>
      </c>
      <c r="B55" s="16" t="s">
        <v>452</v>
      </c>
      <c r="C55" s="16">
        <v>0</v>
      </c>
      <c r="D55" s="22" t="s">
        <v>453</v>
      </c>
      <c r="E55" s="22" t="s">
        <v>454</v>
      </c>
      <c r="F55" s="16">
        <v>1</v>
      </c>
      <c r="G55" s="16" t="s">
        <v>433</v>
      </c>
      <c r="H55" s="16" t="s">
        <v>434</v>
      </c>
      <c r="I55" s="16" t="s">
        <v>435</v>
      </c>
      <c r="M55" s="16" t="s">
        <v>436</v>
      </c>
    </row>
    <row r="56" s="16" customFormat="1" spans="1:13">
      <c r="A56" s="22">
        <v>1000053</v>
      </c>
      <c r="B56" s="16" t="s">
        <v>455</v>
      </c>
      <c r="C56" s="16">
        <v>0</v>
      </c>
      <c r="D56" s="22" t="s">
        <v>456</v>
      </c>
      <c r="E56" s="22" t="s">
        <v>457</v>
      </c>
      <c r="F56" s="16">
        <v>3</v>
      </c>
      <c r="G56" s="16" t="s">
        <v>245</v>
      </c>
      <c r="H56" s="16" t="s">
        <v>246</v>
      </c>
      <c r="I56" s="16" t="s">
        <v>247</v>
      </c>
    </row>
    <row r="57" s="17" customFormat="1" spans="1:13">
      <c r="A57" s="17">
        <v>1002001</v>
      </c>
      <c r="B57" s="17" t="s">
        <v>458</v>
      </c>
      <c r="C57" s="17">
        <v>9</v>
      </c>
      <c r="D57" s="23">
        <v>1002002</v>
      </c>
      <c r="E57" s="23" t="s">
        <v>222</v>
      </c>
      <c r="F57" s="17">
        <v>1</v>
      </c>
      <c r="G57" s="17" t="s">
        <v>459</v>
      </c>
      <c r="H57" s="17" t="s">
        <v>460</v>
      </c>
      <c r="I57" s="17" t="s">
        <v>461</v>
      </c>
      <c r="M57" s="17" t="s">
        <v>462</v>
      </c>
    </row>
    <row r="58" s="17" customFormat="1" spans="1:13">
      <c r="A58" s="17">
        <v>1002002</v>
      </c>
      <c r="B58" s="17" t="s">
        <v>463</v>
      </c>
      <c r="C58" s="17">
        <v>9</v>
      </c>
      <c r="D58" s="23" t="s">
        <v>464</v>
      </c>
      <c r="E58" s="23" t="s">
        <v>229</v>
      </c>
      <c r="F58" s="17">
        <v>1</v>
      </c>
      <c r="G58" s="17" t="s">
        <v>459</v>
      </c>
      <c r="H58" s="17" t="s">
        <v>460</v>
      </c>
      <c r="I58" s="17" t="s">
        <v>461</v>
      </c>
      <c r="M58" s="17" t="s">
        <v>462</v>
      </c>
    </row>
    <row r="59" s="17" customFormat="1" spans="1:13">
      <c r="A59" s="17">
        <v>1002003</v>
      </c>
      <c r="B59" s="17" t="s">
        <v>465</v>
      </c>
      <c r="C59" s="17">
        <v>9</v>
      </c>
      <c r="D59" s="23" t="s">
        <v>466</v>
      </c>
      <c r="E59" s="23" t="s">
        <v>232</v>
      </c>
      <c r="F59" s="17">
        <v>1</v>
      </c>
      <c r="G59" s="17" t="s">
        <v>459</v>
      </c>
      <c r="H59" s="17" t="s">
        <v>460</v>
      </c>
      <c r="I59" s="17" t="s">
        <v>461</v>
      </c>
      <c r="M59" s="17" t="s">
        <v>462</v>
      </c>
    </row>
    <row r="60" s="17" customFormat="1" spans="1:13">
      <c r="A60" s="17">
        <v>1002004</v>
      </c>
      <c r="B60" s="17" t="s">
        <v>467</v>
      </c>
      <c r="C60" s="17">
        <v>9</v>
      </c>
      <c r="D60" s="23" t="s">
        <v>468</v>
      </c>
      <c r="E60" s="23" t="s">
        <v>235</v>
      </c>
      <c r="F60" s="17">
        <v>1</v>
      </c>
      <c r="G60" s="17" t="s">
        <v>459</v>
      </c>
      <c r="H60" s="17" t="s">
        <v>460</v>
      </c>
      <c r="I60" s="17" t="s">
        <v>461</v>
      </c>
      <c r="M60" s="17" t="s">
        <v>462</v>
      </c>
    </row>
    <row r="61" s="17" customFormat="1" spans="1:13">
      <c r="A61" s="17">
        <v>1002005</v>
      </c>
      <c r="B61" s="17" t="s">
        <v>469</v>
      </c>
      <c r="C61" s="17">
        <v>9</v>
      </c>
      <c r="D61" s="23" t="s">
        <v>470</v>
      </c>
      <c r="E61" s="23" t="s">
        <v>238</v>
      </c>
      <c r="F61" s="17">
        <v>1</v>
      </c>
      <c r="G61" s="17" t="s">
        <v>459</v>
      </c>
      <c r="H61" s="17" t="s">
        <v>460</v>
      </c>
      <c r="I61" s="17" t="s">
        <v>461</v>
      </c>
      <c r="M61" s="17" t="s">
        <v>462</v>
      </c>
    </row>
    <row r="62" s="17" customFormat="1" spans="1:13">
      <c r="A62" s="17">
        <v>1002006</v>
      </c>
      <c r="B62" s="17" t="s">
        <v>471</v>
      </c>
      <c r="C62" s="17">
        <v>9</v>
      </c>
      <c r="D62" s="23" t="s">
        <v>472</v>
      </c>
      <c r="E62" s="23" t="s">
        <v>241</v>
      </c>
      <c r="F62" s="17">
        <v>1</v>
      </c>
      <c r="G62" s="17" t="s">
        <v>459</v>
      </c>
      <c r="H62" s="17" t="s">
        <v>460</v>
      </c>
      <c r="I62" s="17" t="s">
        <v>461</v>
      </c>
      <c r="M62" s="17" t="s">
        <v>462</v>
      </c>
    </row>
    <row r="63" s="17" customFormat="1" spans="1:13">
      <c r="A63" s="17">
        <v>1002007</v>
      </c>
      <c r="B63" s="17" t="s">
        <v>473</v>
      </c>
      <c r="C63" s="17">
        <v>9</v>
      </c>
      <c r="D63" s="23" t="s">
        <v>474</v>
      </c>
      <c r="E63" s="23" t="s">
        <v>244</v>
      </c>
      <c r="F63" s="17">
        <v>3</v>
      </c>
      <c r="G63" s="17" t="s">
        <v>245</v>
      </c>
      <c r="H63" s="17" t="s">
        <v>246</v>
      </c>
      <c r="I63" s="17" t="s">
        <v>247</v>
      </c>
    </row>
    <row r="64" s="17" customFormat="1" spans="1:13">
      <c r="A64" s="17">
        <v>1002008</v>
      </c>
      <c r="B64" s="17" t="s">
        <v>475</v>
      </c>
      <c r="C64" s="17">
        <v>9</v>
      </c>
      <c r="D64" s="23" t="s">
        <v>476</v>
      </c>
      <c r="E64" s="23" t="s">
        <v>250</v>
      </c>
      <c r="F64" s="17">
        <v>1</v>
      </c>
      <c r="G64" s="17" t="s">
        <v>477</v>
      </c>
      <c r="H64" s="17" t="s">
        <v>478</v>
      </c>
      <c r="I64" s="17" t="s">
        <v>479</v>
      </c>
      <c r="J64" s="17">
        <v>40001</v>
      </c>
    </row>
    <row r="65" s="17" customFormat="1" spans="1:13">
      <c r="A65" s="17">
        <v>1002009</v>
      </c>
      <c r="B65" s="17" t="s">
        <v>480</v>
      </c>
      <c r="C65" s="17">
        <v>9</v>
      </c>
      <c r="D65" s="23" t="s">
        <v>481</v>
      </c>
      <c r="E65" s="23" t="s">
        <v>257</v>
      </c>
      <c r="F65" s="17">
        <v>1</v>
      </c>
      <c r="G65" s="17" t="s">
        <v>477</v>
      </c>
      <c r="H65" s="17" t="s">
        <v>478</v>
      </c>
      <c r="I65" s="17" t="s">
        <v>482</v>
      </c>
      <c r="J65" s="17">
        <v>40002</v>
      </c>
    </row>
    <row r="66" s="17" customFormat="1" spans="1:13">
      <c r="A66" s="17">
        <v>1002010</v>
      </c>
      <c r="B66" s="17" t="s">
        <v>483</v>
      </c>
      <c r="C66" s="17">
        <v>9</v>
      </c>
      <c r="D66" s="23" t="s">
        <v>484</v>
      </c>
      <c r="E66" s="23" t="s">
        <v>262</v>
      </c>
      <c r="F66" s="17">
        <v>2</v>
      </c>
      <c r="G66" s="17" t="s">
        <v>477</v>
      </c>
      <c r="H66" s="17" t="s">
        <v>478</v>
      </c>
      <c r="I66" s="17" t="s">
        <v>482</v>
      </c>
      <c r="J66" s="17">
        <v>40002</v>
      </c>
    </row>
    <row r="67" s="17" customFormat="1" spans="1:13">
      <c r="A67" s="17">
        <v>1002011</v>
      </c>
      <c r="B67" s="17" t="s">
        <v>485</v>
      </c>
      <c r="C67" s="17">
        <v>9</v>
      </c>
      <c r="D67" s="23" t="s">
        <v>486</v>
      </c>
      <c r="E67" s="23" t="s">
        <v>267</v>
      </c>
      <c r="F67" s="17">
        <v>1</v>
      </c>
      <c r="G67" s="17" t="s">
        <v>477</v>
      </c>
      <c r="H67" s="17" t="s">
        <v>478</v>
      </c>
      <c r="I67" s="17" t="s">
        <v>482</v>
      </c>
      <c r="J67" s="17">
        <v>40002</v>
      </c>
    </row>
    <row r="68" s="17" customFormat="1" spans="1:13">
      <c r="A68" s="17">
        <v>1002012</v>
      </c>
      <c r="B68" s="17" t="s">
        <v>487</v>
      </c>
      <c r="C68" s="17">
        <v>9</v>
      </c>
      <c r="D68" s="23" t="s">
        <v>488</v>
      </c>
      <c r="E68" s="23" t="s">
        <v>270</v>
      </c>
      <c r="F68" s="17">
        <v>1</v>
      </c>
      <c r="G68" s="17" t="s">
        <v>477</v>
      </c>
      <c r="H68" s="17" t="s">
        <v>478</v>
      </c>
      <c r="I68" s="17" t="s">
        <v>479</v>
      </c>
      <c r="J68" s="17">
        <v>40001</v>
      </c>
    </row>
    <row r="69" s="17" customFormat="1" spans="1:13">
      <c r="A69" s="17">
        <v>1002013</v>
      </c>
      <c r="B69" s="17" t="s">
        <v>489</v>
      </c>
      <c r="C69" s="17">
        <v>9</v>
      </c>
      <c r="D69" s="23" t="s">
        <v>490</v>
      </c>
      <c r="E69" s="23" t="s">
        <v>273</v>
      </c>
      <c r="F69" s="17">
        <v>1</v>
      </c>
      <c r="G69" s="17" t="s">
        <v>491</v>
      </c>
      <c r="H69" s="17" t="s">
        <v>492</v>
      </c>
      <c r="I69" s="17" t="s">
        <v>493</v>
      </c>
      <c r="J69" s="17">
        <v>40003</v>
      </c>
    </row>
    <row r="70" s="17" customFormat="1" spans="1:13">
      <c r="A70" s="17">
        <v>1002014</v>
      </c>
      <c r="B70" s="17" t="s">
        <v>494</v>
      </c>
      <c r="C70" s="17">
        <v>9</v>
      </c>
      <c r="D70" s="23" t="s">
        <v>495</v>
      </c>
      <c r="E70" s="23" t="s">
        <v>280</v>
      </c>
      <c r="F70" s="17">
        <v>1</v>
      </c>
      <c r="G70" s="17" t="s">
        <v>491</v>
      </c>
      <c r="H70" s="17" t="s">
        <v>492</v>
      </c>
      <c r="I70" s="17" t="s">
        <v>496</v>
      </c>
      <c r="J70" s="17">
        <v>40004</v>
      </c>
    </row>
    <row r="71" s="17" customFormat="1" spans="1:13">
      <c r="A71" s="17">
        <v>1002015</v>
      </c>
      <c r="B71" s="17" t="s">
        <v>497</v>
      </c>
      <c r="C71" s="17">
        <v>9</v>
      </c>
      <c r="D71" s="23" t="s">
        <v>498</v>
      </c>
      <c r="E71" s="23" t="s">
        <v>285</v>
      </c>
      <c r="F71" s="17">
        <v>2</v>
      </c>
      <c r="G71" s="17" t="s">
        <v>491</v>
      </c>
      <c r="H71" s="17" t="s">
        <v>492</v>
      </c>
      <c r="I71" s="17" t="s">
        <v>496</v>
      </c>
      <c r="J71" s="17">
        <v>40004</v>
      </c>
    </row>
    <row r="72" s="17" customFormat="1" spans="1:13">
      <c r="A72" s="17">
        <v>1002016</v>
      </c>
      <c r="B72" s="17" t="s">
        <v>499</v>
      </c>
      <c r="C72" s="17">
        <v>9</v>
      </c>
      <c r="D72" s="23" t="s">
        <v>500</v>
      </c>
      <c r="E72" s="23" t="s">
        <v>290</v>
      </c>
      <c r="F72" s="17">
        <v>1</v>
      </c>
      <c r="G72" s="17" t="s">
        <v>491</v>
      </c>
      <c r="H72" s="17" t="s">
        <v>492</v>
      </c>
      <c r="I72" s="17" t="s">
        <v>496</v>
      </c>
      <c r="J72" s="17">
        <v>40004</v>
      </c>
    </row>
    <row r="73" s="17" customFormat="1" spans="1:13">
      <c r="A73" s="17">
        <v>1002017</v>
      </c>
      <c r="B73" s="17" t="s">
        <v>501</v>
      </c>
      <c r="C73" s="17">
        <v>9</v>
      </c>
      <c r="D73" s="23" t="s">
        <v>502</v>
      </c>
      <c r="E73" s="23" t="s">
        <v>293</v>
      </c>
      <c r="F73" s="17">
        <v>1</v>
      </c>
      <c r="G73" s="17" t="s">
        <v>491</v>
      </c>
      <c r="H73" s="17" t="s">
        <v>492</v>
      </c>
      <c r="I73" s="17" t="s">
        <v>493</v>
      </c>
      <c r="J73" s="17">
        <v>40003</v>
      </c>
    </row>
    <row r="74" s="17" customFormat="1" spans="1:13">
      <c r="A74" s="17">
        <v>1002018</v>
      </c>
      <c r="B74" s="17" t="s">
        <v>503</v>
      </c>
      <c r="C74" s="17">
        <v>9</v>
      </c>
      <c r="D74" s="23" t="s">
        <v>504</v>
      </c>
      <c r="E74" s="23" t="s">
        <v>296</v>
      </c>
      <c r="F74" s="17">
        <v>1</v>
      </c>
      <c r="G74" s="17" t="s">
        <v>505</v>
      </c>
      <c r="H74" s="17" t="s">
        <v>506</v>
      </c>
      <c r="I74" s="17" t="s">
        <v>507</v>
      </c>
      <c r="M74" s="17" t="s">
        <v>508</v>
      </c>
    </row>
    <row r="75" s="17" customFormat="1" spans="1:13">
      <c r="A75" s="17">
        <v>1002019</v>
      </c>
      <c r="B75" s="17" t="s">
        <v>509</v>
      </c>
      <c r="C75" s="17">
        <v>9</v>
      </c>
      <c r="D75" s="23" t="s">
        <v>510</v>
      </c>
      <c r="E75" s="23" t="s">
        <v>303</v>
      </c>
      <c r="F75" s="17">
        <v>1</v>
      </c>
      <c r="G75" s="17" t="s">
        <v>505</v>
      </c>
      <c r="H75" s="17" t="s">
        <v>506</v>
      </c>
      <c r="I75" s="17" t="s">
        <v>511</v>
      </c>
      <c r="M75" s="17" t="s">
        <v>512</v>
      </c>
    </row>
    <row r="76" s="17" customFormat="1" spans="1:13">
      <c r="A76" s="17">
        <v>1002020</v>
      </c>
      <c r="B76" s="17" t="s">
        <v>513</v>
      </c>
      <c r="C76" s="17">
        <v>9</v>
      </c>
      <c r="D76" s="23" t="s">
        <v>514</v>
      </c>
      <c r="E76" s="23" t="s">
        <v>308</v>
      </c>
      <c r="F76" s="17">
        <v>2</v>
      </c>
      <c r="G76" s="17" t="s">
        <v>505</v>
      </c>
      <c r="H76" s="17" t="s">
        <v>506</v>
      </c>
      <c r="I76" s="17" t="s">
        <v>515</v>
      </c>
      <c r="M76" s="17" t="s">
        <v>516</v>
      </c>
    </row>
    <row r="77" s="17" customFormat="1" spans="1:13">
      <c r="A77" s="17">
        <v>1002021</v>
      </c>
      <c r="B77" s="17" t="s">
        <v>517</v>
      </c>
      <c r="C77" s="17">
        <v>9</v>
      </c>
      <c r="D77" s="23" t="s">
        <v>518</v>
      </c>
      <c r="E77" s="23" t="s">
        <v>313</v>
      </c>
      <c r="F77" s="17">
        <v>1</v>
      </c>
      <c r="G77" s="17" t="s">
        <v>505</v>
      </c>
      <c r="H77" s="17" t="s">
        <v>506</v>
      </c>
      <c r="I77" s="17" t="s">
        <v>511</v>
      </c>
      <c r="M77" s="17" t="s">
        <v>512</v>
      </c>
    </row>
    <row r="78" s="17" customFormat="1" spans="1:13">
      <c r="A78" s="17">
        <v>1002022</v>
      </c>
      <c r="B78" s="17" t="s">
        <v>519</v>
      </c>
      <c r="C78" s="17">
        <v>9</v>
      </c>
      <c r="D78" s="23" t="s">
        <v>520</v>
      </c>
      <c r="E78" s="23" t="s">
        <v>316</v>
      </c>
      <c r="F78" s="17">
        <v>1</v>
      </c>
      <c r="G78" s="17" t="s">
        <v>505</v>
      </c>
      <c r="H78" s="17" t="s">
        <v>506</v>
      </c>
      <c r="I78" s="17" t="s">
        <v>507</v>
      </c>
      <c r="M78" s="17" t="s">
        <v>508</v>
      </c>
    </row>
    <row r="79" s="17" customFormat="1" spans="1:13">
      <c r="A79" s="17">
        <v>1002023</v>
      </c>
      <c r="B79" s="17" t="s">
        <v>521</v>
      </c>
      <c r="C79" s="17">
        <v>9</v>
      </c>
      <c r="D79" s="23" t="s">
        <v>522</v>
      </c>
      <c r="E79" s="23" t="s">
        <v>319</v>
      </c>
      <c r="F79" s="17">
        <v>1</v>
      </c>
      <c r="G79" s="17" t="s">
        <v>523</v>
      </c>
      <c r="H79" s="17" t="s">
        <v>524</v>
      </c>
      <c r="I79" s="17" t="s">
        <v>525</v>
      </c>
      <c r="J79" s="17">
        <v>40005</v>
      </c>
    </row>
    <row r="80" s="17" customFormat="1" spans="1:13">
      <c r="A80" s="17">
        <v>1002024</v>
      </c>
      <c r="B80" s="17" t="s">
        <v>526</v>
      </c>
      <c r="C80" s="17">
        <v>9</v>
      </c>
      <c r="D80" s="23" t="s">
        <v>527</v>
      </c>
      <c r="E80" s="23" t="s">
        <v>326</v>
      </c>
      <c r="F80" s="17">
        <v>1</v>
      </c>
      <c r="G80" s="17" t="s">
        <v>523</v>
      </c>
      <c r="H80" s="17" t="s">
        <v>524</v>
      </c>
      <c r="I80" s="17" t="s">
        <v>528</v>
      </c>
      <c r="J80" s="17">
        <v>40006</v>
      </c>
    </row>
    <row r="81" s="17" customFormat="1" spans="1:13">
      <c r="A81" s="17">
        <v>1002025</v>
      </c>
      <c r="B81" s="17" t="s">
        <v>529</v>
      </c>
      <c r="C81" s="17">
        <v>9</v>
      </c>
      <c r="D81" s="23" t="s">
        <v>530</v>
      </c>
      <c r="E81" s="23" t="s">
        <v>331</v>
      </c>
      <c r="F81" s="17">
        <v>2</v>
      </c>
      <c r="G81" s="17" t="s">
        <v>523</v>
      </c>
      <c r="H81" s="17" t="s">
        <v>524</v>
      </c>
      <c r="I81" s="17" t="s">
        <v>528</v>
      </c>
      <c r="J81" s="17">
        <v>40006</v>
      </c>
    </row>
    <row r="82" s="17" customFormat="1" spans="1:13">
      <c r="A82" s="17">
        <v>1002026</v>
      </c>
      <c r="B82" s="17" t="s">
        <v>531</v>
      </c>
      <c r="C82" s="17">
        <v>9</v>
      </c>
      <c r="D82" s="23" t="s">
        <v>532</v>
      </c>
      <c r="E82" s="23" t="s">
        <v>336</v>
      </c>
      <c r="F82" s="17">
        <v>1</v>
      </c>
      <c r="G82" s="17" t="s">
        <v>523</v>
      </c>
      <c r="H82" s="17" t="s">
        <v>524</v>
      </c>
      <c r="I82" s="17" t="s">
        <v>528</v>
      </c>
      <c r="J82" s="17">
        <v>40006</v>
      </c>
    </row>
    <row r="83" s="17" customFormat="1" spans="1:13">
      <c r="A83" s="17">
        <v>1002027</v>
      </c>
      <c r="B83" s="17" t="s">
        <v>533</v>
      </c>
      <c r="C83" s="17">
        <v>9</v>
      </c>
      <c r="D83" s="23" t="s">
        <v>534</v>
      </c>
      <c r="E83" s="23" t="s">
        <v>339</v>
      </c>
      <c r="F83" s="17">
        <v>1</v>
      </c>
      <c r="G83" s="17" t="s">
        <v>523</v>
      </c>
      <c r="H83" s="17" t="s">
        <v>524</v>
      </c>
      <c r="I83" s="17" t="s">
        <v>525</v>
      </c>
      <c r="J83" s="17">
        <v>40005</v>
      </c>
    </row>
    <row r="84" s="17" customFormat="1" spans="1:13">
      <c r="A84" s="17">
        <v>1002028</v>
      </c>
      <c r="B84" s="17" t="s">
        <v>535</v>
      </c>
      <c r="C84" s="17">
        <v>9</v>
      </c>
      <c r="D84" s="23" t="s">
        <v>536</v>
      </c>
      <c r="E84" s="23" t="s">
        <v>342</v>
      </c>
      <c r="F84" s="17">
        <v>1</v>
      </c>
      <c r="G84" s="17" t="s">
        <v>537</v>
      </c>
      <c r="H84" s="17" t="s">
        <v>538</v>
      </c>
      <c r="I84" s="17" t="s">
        <v>539</v>
      </c>
      <c r="J84" s="17">
        <v>40007</v>
      </c>
    </row>
    <row r="85" s="17" customFormat="1" spans="1:13">
      <c r="A85" s="17">
        <v>1002029</v>
      </c>
      <c r="B85" s="17" t="s">
        <v>540</v>
      </c>
      <c r="C85" s="17">
        <v>9</v>
      </c>
      <c r="D85" s="23" t="s">
        <v>541</v>
      </c>
      <c r="E85" s="23" t="s">
        <v>345</v>
      </c>
      <c r="F85" s="17">
        <v>1</v>
      </c>
      <c r="G85" s="17" t="s">
        <v>537</v>
      </c>
      <c r="H85" s="17" t="s">
        <v>538</v>
      </c>
      <c r="I85" s="17" t="s">
        <v>539</v>
      </c>
      <c r="J85" s="17">
        <v>40007</v>
      </c>
    </row>
    <row r="86" s="17" customFormat="1" spans="1:13">
      <c r="A86" s="17">
        <v>1002030</v>
      </c>
      <c r="B86" s="17" t="s">
        <v>542</v>
      </c>
      <c r="C86" s="17">
        <v>9</v>
      </c>
      <c r="D86" s="23" t="s">
        <v>543</v>
      </c>
      <c r="E86" s="23" t="s">
        <v>348</v>
      </c>
      <c r="F86" s="17">
        <v>1</v>
      </c>
      <c r="G86" s="17" t="s">
        <v>537</v>
      </c>
      <c r="H86" s="17" t="s">
        <v>538</v>
      </c>
      <c r="I86" s="17" t="s">
        <v>539</v>
      </c>
      <c r="J86" s="17">
        <v>40007</v>
      </c>
    </row>
    <row r="87" s="17" customFormat="1" spans="1:13">
      <c r="A87" s="17">
        <v>1002031</v>
      </c>
      <c r="B87" s="17" t="s">
        <v>544</v>
      </c>
      <c r="C87" s="17">
        <v>9</v>
      </c>
      <c r="D87" s="23" t="s">
        <v>545</v>
      </c>
      <c r="E87" s="23" t="s">
        <v>351</v>
      </c>
      <c r="F87" s="17">
        <v>1</v>
      </c>
      <c r="G87" s="17" t="s">
        <v>537</v>
      </c>
      <c r="H87" s="17" t="s">
        <v>538</v>
      </c>
      <c r="I87" s="17" t="s">
        <v>539</v>
      </c>
      <c r="J87" s="17">
        <v>40007</v>
      </c>
    </row>
    <row r="88" s="17" customFormat="1" spans="1:13">
      <c r="A88" s="17">
        <v>1002032</v>
      </c>
      <c r="B88" s="17" t="s">
        <v>546</v>
      </c>
      <c r="C88" s="17">
        <v>9</v>
      </c>
      <c r="D88" s="23" t="s">
        <v>547</v>
      </c>
      <c r="E88" s="23" t="s">
        <v>354</v>
      </c>
      <c r="F88" s="17">
        <v>1</v>
      </c>
      <c r="G88" s="17" t="s">
        <v>537</v>
      </c>
      <c r="H88" s="17" t="s">
        <v>538</v>
      </c>
      <c r="I88" s="17" t="s">
        <v>539</v>
      </c>
      <c r="J88" s="17">
        <v>40007</v>
      </c>
    </row>
    <row r="89" s="17" customFormat="1" spans="1:13">
      <c r="A89" s="17">
        <v>1002033</v>
      </c>
      <c r="B89" s="17" t="s">
        <v>548</v>
      </c>
      <c r="C89" s="17">
        <v>9</v>
      </c>
      <c r="D89" s="23" t="s">
        <v>549</v>
      </c>
      <c r="E89" s="23" t="s">
        <v>357</v>
      </c>
      <c r="F89" s="17">
        <v>1</v>
      </c>
      <c r="G89" s="17" t="s">
        <v>550</v>
      </c>
      <c r="H89" s="17" t="s">
        <v>551</v>
      </c>
      <c r="I89" s="17" t="s">
        <v>552</v>
      </c>
      <c r="M89" s="17" t="s">
        <v>553</v>
      </c>
    </row>
    <row r="90" s="17" customFormat="1" spans="1:13">
      <c r="A90" s="17">
        <v>1002034</v>
      </c>
      <c r="B90" s="17" t="s">
        <v>554</v>
      </c>
      <c r="C90" s="17">
        <v>9</v>
      </c>
      <c r="D90" s="23" t="s">
        <v>555</v>
      </c>
      <c r="E90" s="23" t="s">
        <v>364</v>
      </c>
      <c r="F90" s="17">
        <v>1</v>
      </c>
      <c r="G90" s="17" t="s">
        <v>550</v>
      </c>
      <c r="H90" s="17" t="s">
        <v>551</v>
      </c>
      <c r="I90" s="17" t="s">
        <v>556</v>
      </c>
      <c r="M90" s="17" t="s">
        <v>557</v>
      </c>
    </row>
    <row r="91" s="17" customFormat="1" spans="1:13">
      <c r="A91" s="17">
        <v>1002035</v>
      </c>
      <c r="B91" s="17" t="s">
        <v>558</v>
      </c>
      <c r="C91" s="17">
        <v>9</v>
      </c>
      <c r="D91" s="23" t="s">
        <v>559</v>
      </c>
      <c r="E91" s="23" t="s">
        <v>369</v>
      </c>
      <c r="F91" s="17">
        <v>2</v>
      </c>
      <c r="G91" s="17" t="s">
        <v>550</v>
      </c>
      <c r="H91" s="17" t="s">
        <v>551</v>
      </c>
      <c r="I91" s="17" t="s">
        <v>560</v>
      </c>
      <c r="M91" s="17" t="s">
        <v>561</v>
      </c>
    </row>
    <row r="92" s="17" customFormat="1" spans="1:13">
      <c r="A92" s="17">
        <v>1002036</v>
      </c>
      <c r="B92" s="17" t="s">
        <v>562</v>
      </c>
      <c r="C92" s="17">
        <v>9</v>
      </c>
      <c r="D92" s="23" t="s">
        <v>563</v>
      </c>
      <c r="E92" s="23" t="s">
        <v>376</v>
      </c>
      <c r="F92" s="17">
        <v>1</v>
      </c>
      <c r="G92" s="17" t="s">
        <v>550</v>
      </c>
      <c r="H92" s="17" t="s">
        <v>551</v>
      </c>
      <c r="I92" s="17" t="s">
        <v>556</v>
      </c>
      <c r="M92" s="17" t="s">
        <v>557</v>
      </c>
    </row>
    <row r="93" s="17" customFormat="1" spans="1:13">
      <c r="A93" s="17">
        <v>1002037</v>
      </c>
      <c r="B93" s="17" t="s">
        <v>564</v>
      </c>
      <c r="C93" s="17">
        <v>9</v>
      </c>
      <c r="D93" s="23" t="s">
        <v>565</v>
      </c>
      <c r="E93" s="23" t="s">
        <v>379</v>
      </c>
      <c r="F93" s="17">
        <v>1</v>
      </c>
      <c r="G93" s="17" t="s">
        <v>550</v>
      </c>
      <c r="H93" s="17" t="s">
        <v>551</v>
      </c>
      <c r="I93" s="17" t="s">
        <v>552</v>
      </c>
      <c r="M93" s="17" t="s">
        <v>553</v>
      </c>
    </row>
    <row r="94" s="17" customFormat="1" spans="1:13">
      <c r="A94" s="17">
        <v>1002038</v>
      </c>
      <c r="B94" s="17" t="s">
        <v>566</v>
      </c>
      <c r="C94" s="17">
        <v>9</v>
      </c>
      <c r="D94" s="23" t="s">
        <v>567</v>
      </c>
      <c r="E94" s="23" t="s">
        <v>382</v>
      </c>
      <c r="F94" s="17">
        <v>1</v>
      </c>
      <c r="G94" s="17" t="s">
        <v>568</v>
      </c>
      <c r="H94" s="17" t="s">
        <v>569</v>
      </c>
      <c r="I94" s="17" t="s">
        <v>570</v>
      </c>
      <c r="J94" s="17">
        <v>40024</v>
      </c>
    </row>
    <row r="95" s="17" customFormat="1" spans="1:13">
      <c r="A95" s="17">
        <v>1002039</v>
      </c>
      <c r="B95" s="17" t="s">
        <v>571</v>
      </c>
      <c r="C95" s="17">
        <v>9</v>
      </c>
      <c r="D95" s="23" t="s">
        <v>572</v>
      </c>
      <c r="E95" s="23" t="s">
        <v>389</v>
      </c>
      <c r="F95" s="17">
        <v>1</v>
      </c>
      <c r="G95" s="17" t="s">
        <v>568</v>
      </c>
      <c r="H95" s="17" t="s">
        <v>569</v>
      </c>
      <c r="I95" s="17" t="s">
        <v>573</v>
      </c>
      <c r="J95" s="17">
        <v>40025</v>
      </c>
    </row>
    <row r="96" s="17" customFormat="1" spans="1:13">
      <c r="A96" s="17">
        <v>1002040</v>
      </c>
      <c r="B96" s="17" t="s">
        <v>574</v>
      </c>
      <c r="C96" s="17">
        <v>9</v>
      </c>
      <c r="D96" s="23" t="s">
        <v>575</v>
      </c>
      <c r="E96" s="23" t="s">
        <v>394</v>
      </c>
      <c r="F96" s="17">
        <v>2</v>
      </c>
      <c r="G96" s="17" t="s">
        <v>576</v>
      </c>
      <c r="H96" s="17" t="s">
        <v>577</v>
      </c>
      <c r="I96" s="17" t="s">
        <v>578</v>
      </c>
      <c r="M96" s="17" t="s">
        <v>579</v>
      </c>
    </row>
    <row r="97" s="17" customFormat="1" spans="1:13">
      <c r="A97" s="17">
        <v>1002041</v>
      </c>
      <c r="B97" s="17" t="s">
        <v>580</v>
      </c>
      <c r="C97" s="17">
        <v>9</v>
      </c>
      <c r="D97" s="23" t="s">
        <v>581</v>
      </c>
      <c r="E97" s="23" t="s">
        <v>401</v>
      </c>
      <c r="F97" s="17">
        <v>1</v>
      </c>
      <c r="G97" s="17" t="s">
        <v>568</v>
      </c>
      <c r="H97" s="17" t="s">
        <v>569</v>
      </c>
      <c r="I97" s="17" t="s">
        <v>573</v>
      </c>
      <c r="J97" s="17">
        <v>40025</v>
      </c>
    </row>
    <row r="98" s="17" customFormat="1" spans="1:13">
      <c r="A98" s="17">
        <v>1002042</v>
      </c>
      <c r="B98" s="17" t="s">
        <v>582</v>
      </c>
      <c r="C98" s="17">
        <v>9</v>
      </c>
      <c r="D98" s="23" t="s">
        <v>583</v>
      </c>
      <c r="E98" s="23" t="s">
        <v>404</v>
      </c>
      <c r="F98" s="17">
        <v>1</v>
      </c>
      <c r="G98" s="17" t="s">
        <v>568</v>
      </c>
      <c r="H98" s="17" t="s">
        <v>569</v>
      </c>
      <c r="I98" s="17" t="s">
        <v>570</v>
      </c>
      <c r="J98" s="17">
        <v>40024</v>
      </c>
    </row>
    <row r="99" s="17" customFormat="1" spans="1:13">
      <c r="A99" s="17">
        <v>1002043</v>
      </c>
      <c r="B99" s="17" t="s">
        <v>584</v>
      </c>
      <c r="C99" s="17">
        <v>9</v>
      </c>
      <c r="D99" s="23" t="s">
        <v>585</v>
      </c>
      <c r="E99" s="23" t="s">
        <v>407</v>
      </c>
      <c r="F99" s="17">
        <v>1</v>
      </c>
      <c r="G99" s="17" t="s">
        <v>586</v>
      </c>
      <c r="H99" s="17" t="s">
        <v>587</v>
      </c>
      <c r="I99" s="17" t="s">
        <v>588</v>
      </c>
      <c r="J99" s="17">
        <v>40010</v>
      </c>
    </row>
    <row r="100" s="17" customFormat="1" spans="1:13">
      <c r="A100" s="17">
        <v>1002044</v>
      </c>
      <c r="B100" s="17" t="s">
        <v>589</v>
      </c>
      <c r="C100" s="17">
        <v>9</v>
      </c>
      <c r="D100" s="23" t="s">
        <v>590</v>
      </c>
      <c r="E100" s="23" t="s">
        <v>414</v>
      </c>
      <c r="F100" s="17">
        <v>1</v>
      </c>
      <c r="G100" s="17" t="s">
        <v>586</v>
      </c>
      <c r="H100" s="17" t="s">
        <v>587</v>
      </c>
      <c r="I100" s="17" t="s">
        <v>591</v>
      </c>
      <c r="J100" s="17">
        <v>40011</v>
      </c>
    </row>
    <row r="101" s="17" customFormat="1" spans="1:13">
      <c r="A101" s="17">
        <v>1002045</v>
      </c>
      <c r="B101" s="17" t="s">
        <v>592</v>
      </c>
      <c r="C101" s="17">
        <v>9</v>
      </c>
      <c r="D101" s="23" t="s">
        <v>593</v>
      </c>
      <c r="E101" s="23" t="s">
        <v>419</v>
      </c>
      <c r="F101" s="17">
        <v>2</v>
      </c>
      <c r="G101" s="17" t="s">
        <v>586</v>
      </c>
      <c r="H101" s="17" t="s">
        <v>594</v>
      </c>
      <c r="I101" s="17" t="s">
        <v>595</v>
      </c>
      <c r="M101" s="17" t="s">
        <v>596</v>
      </c>
    </row>
    <row r="102" s="17" customFormat="1" spans="1:13">
      <c r="A102" s="17">
        <v>1002046</v>
      </c>
      <c r="B102" s="17" t="s">
        <v>597</v>
      </c>
      <c r="C102" s="17">
        <v>9</v>
      </c>
      <c r="D102" s="23" t="s">
        <v>598</v>
      </c>
      <c r="E102" s="23" t="s">
        <v>426</v>
      </c>
      <c r="F102" s="17">
        <v>1</v>
      </c>
      <c r="G102" s="17" t="s">
        <v>586</v>
      </c>
      <c r="H102" s="17" t="s">
        <v>587</v>
      </c>
      <c r="I102" s="17" t="s">
        <v>591</v>
      </c>
      <c r="J102" s="17">
        <v>40011</v>
      </c>
    </row>
    <row r="103" s="17" customFormat="1" spans="1:13">
      <c r="A103" s="17">
        <v>1002047</v>
      </c>
      <c r="B103" s="17" t="s">
        <v>599</v>
      </c>
      <c r="C103" s="17">
        <v>9</v>
      </c>
      <c r="D103" s="23" t="s">
        <v>600</v>
      </c>
      <c r="E103" s="23" t="s">
        <v>429</v>
      </c>
      <c r="F103" s="17">
        <v>1</v>
      </c>
      <c r="G103" s="17" t="s">
        <v>586</v>
      </c>
      <c r="H103" s="17" t="s">
        <v>587</v>
      </c>
      <c r="I103" s="17" t="s">
        <v>588</v>
      </c>
      <c r="J103" s="17">
        <v>40010</v>
      </c>
    </row>
    <row r="104" s="17" customFormat="1" spans="1:13">
      <c r="A104" s="17">
        <v>1002048</v>
      </c>
      <c r="B104" s="17" t="s">
        <v>601</v>
      </c>
      <c r="C104" s="17">
        <v>9</v>
      </c>
      <c r="D104" s="23" t="s">
        <v>602</v>
      </c>
      <c r="E104" s="23" t="s">
        <v>432</v>
      </c>
      <c r="F104" s="17">
        <v>1</v>
      </c>
      <c r="G104" s="17" t="s">
        <v>603</v>
      </c>
      <c r="H104" s="17" t="s">
        <v>604</v>
      </c>
      <c r="I104" s="17" t="s">
        <v>605</v>
      </c>
      <c r="J104" s="17">
        <v>40012</v>
      </c>
    </row>
    <row r="105" s="17" customFormat="1" spans="1:13">
      <c r="A105" s="17">
        <v>1002049</v>
      </c>
      <c r="B105" s="17" t="s">
        <v>606</v>
      </c>
      <c r="C105" s="17">
        <v>9</v>
      </c>
      <c r="D105" s="23" t="s">
        <v>607</v>
      </c>
      <c r="E105" s="23" t="s">
        <v>439</v>
      </c>
      <c r="F105" s="17">
        <v>1</v>
      </c>
      <c r="G105" s="17" t="s">
        <v>603</v>
      </c>
      <c r="H105" s="17" t="s">
        <v>604</v>
      </c>
      <c r="I105" s="17" t="s">
        <v>608</v>
      </c>
      <c r="J105" s="17">
        <v>40013</v>
      </c>
    </row>
    <row r="106" s="17" customFormat="1" spans="1:13">
      <c r="A106" s="17">
        <v>1002050</v>
      </c>
      <c r="B106" s="17" t="s">
        <v>609</v>
      </c>
      <c r="C106" s="17">
        <v>9</v>
      </c>
      <c r="D106" s="23" t="s">
        <v>610</v>
      </c>
      <c r="E106" s="23" t="s">
        <v>444</v>
      </c>
      <c r="F106" s="17">
        <v>2</v>
      </c>
      <c r="G106" s="17" t="s">
        <v>603</v>
      </c>
      <c r="H106" s="17" t="s">
        <v>611</v>
      </c>
      <c r="I106" s="17" t="s">
        <v>612</v>
      </c>
      <c r="M106" s="17" t="s">
        <v>613</v>
      </c>
    </row>
    <row r="107" s="17" customFormat="1" spans="1:13">
      <c r="A107" s="17">
        <v>1002051</v>
      </c>
      <c r="B107" s="17" t="s">
        <v>614</v>
      </c>
      <c r="C107" s="17">
        <v>9</v>
      </c>
      <c r="D107" s="23" t="s">
        <v>615</v>
      </c>
      <c r="E107" s="23" t="s">
        <v>451</v>
      </c>
      <c r="F107" s="17">
        <v>1</v>
      </c>
      <c r="G107" s="17" t="s">
        <v>603</v>
      </c>
      <c r="H107" s="17" t="s">
        <v>604</v>
      </c>
      <c r="I107" s="17" t="s">
        <v>608</v>
      </c>
      <c r="J107" s="17">
        <v>40013</v>
      </c>
    </row>
    <row r="108" s="17" customFormat="1" spans="1:13">
      <c r="A108" s="17">
        <v>1002052</v>
      </c>
      <c r="B108" s="17" t="s">
        <v>616</v>
      </c>
      <c r="C108" s="17">
        <v>9</v>
      </c>
      <c r="D108" s="23" t="s">
        <v>617</v>
      </c>
      <c r="E108" s="23" t="s">
        <v>454</v>
      </c>
      <c r="F108" s="17">
        <v>1</v>
      </c>
      <c r="G108" s="17" t="s">
        <v>603</v>
      </c>
      <c r="H108" s="17" t="s">
        <v>604</v>
      </c>
      <c r="I108" s="17" t="s">
        <v>605</v>
      </c>
      <c r="J108" s="17">
        <v>40012</v>
      </c>
    </row>
    <row r="109" s="17" customFormat="1" spans="1:13">
      <c r="A109" s="17">
        <v>1002053</v>
      </c>
      <c r="B109" s="17" t="s">
        <v>618</v>
      </c>
      <c r="C109" s="17">
        <v>9</v>
      </c>
      <c r="D109" s="23" t="s">
        <v>619</v>
      </c>
      <c r="E109" s="23" t="s">
        <v>457</v>
      </c>
      <c r="F109" s="17">
        <v>3</v>
      </c>
      <c r="G109" s="17" t="s">
        <v>245</v>
      </c>
      <c r="H109" s="17" t="s">
        <v>246</v>
      </c>
      <c r="I109" s="17" t="s">
        <v>247</v>
      </c>
    </row>
    <row r="110" s="11" customFormat="1" ht="15.95" customHeight="1" spans="1:13">
      <c r="A110" s="11">
        <v>1003001</v>
      </c>
      <c r="B110" s="11" t="s">
        <v>620</v>
      </c>
      <c r="C110" s="11">
        <v>2</v>
      </c>
      <c r="D110" s="24">
        <v>1003002</v>
      </c>
      <c r="E110" s="25" t="s">
        <v>621</v>
      </c>
      <c r="F110" s="11">
        <v>1</v>
      </c>
      <c r="G110" s="11" t="s">
        <v>459</v>
      </c>
      <c r="H110" s="11" t="s">
        <v>538</v>
      </c>
      <c r="I110" s="11" t="s">
        <v>622</v>
      </c>
      <c r="J110" s="11">
        <v>10031</v>
      </c>
      <c r="K110" s="11" t="s">
        <v>178</v>
      </c>
    </row>
    <row r="111" s="11" customFormat="1" ht="15.95" customHeight="1" spans="1:13">
      <c r="A111" s="11">
        <v>1003002</v>
      </c>
      <c r="B111" s="11" t="s">
        <v>623</v>
      </c>
      <c r="C111" s="11">
        <v>2</v>
      </c>
      <c r="D111" s="24" t="s">
        <v>624</v>
      </c>
      <c r="E111" s="25" t="s">
        <v>625</v>
      </c>
      <c r="F111" s="11">
        <v>2</v>
      </c>
      <c r="G111" s="11" t="s">
        <v>626</v>
      </c>
      <c r="H111" s="11" t="s">
        <v>627</v>
      </c>
      <c r="I111" s="11" t="s">
        <v>628</v>
      </c>
      <c r="J111" s="11">
        <v>10085</v>
      </c>
      <c r="K111" s="11" t="s">
        <v>134</v>
      </c>
    </row>
    <row r="112" s="11" customFormat="1" ht="15.95" customHeight="1" spans="1:13">
      <c r="A112" s="11">
        <v>1003003</v>
      </c>
      <c r="B112" s="11" t="s">
        <v>629</v>
      </c>
      <c r="C112" s="11">
        <v>2</v>
      </c>
      <c r="D112" s="24" t="s">
        <v>630</v>
      </c>
      <c r="E112" s="25" t="s">
        <v>631</v>
      </c>
      <c r="F112" s="11">
        <v>1</v>
      </c>
      <c r="G112" s="11" t="s">
        <v>459</v>
      </c>
      <c r="H112" s="11" t="s">
        <v>538</v>
      </c>
      <c r="I112" s="11" t="s">
        <v>622</v>
      </c>
      <c r="J112" s="11">
        <v>10031</v>
      </c>
      <c r="K112" s="11" t="s">
        <v>178</v>
      </c>
    </row>
    <row r="113" s="11" customFormat="1" ht="15.95" customHeight="1" spans="1:13">
      <c r="A113" s="11">
        <v>1003004</v>
      </c>
      <c r="B113" s="11" t="s">
        <v>632</v>
      </c>
      <c r="C113" s="11">
        <v>2</v>
      </c>
      <c r="D113" s="24" t="s">
        <v>633</v>
      </c>
      <c r="E113" s="25" t="s">
        <v>634</v>
      </c>
      <c r="F113" s="11">
        <v>2</v>
      </c>
      <c r="G113" s="11" t="s">
        <v>635</v>
      </c>
      <c r="H113" s="11" t="s">
        <v>636</v>
      </c>
      <c r="I113" s="11" t="s">
        <v>637</v>
      </c>
      <c r="M113" s="11" t="s">
        <v>638</v>
      </c>
    </row>
    <row r="114" s="11" customFormat="1" ht="15.95" customHeight="1" spans="1:13">
      <c r="A114" s="11">
        <v>1003005</v>
      </c>
      <c r="B114" s="11" t="s">
        <v>639</v>
      </c>
      <c r="C114" s="11">
        <v>2</v>
      </c>
      <c r="D114" s="24" t="s">
        <v>640</v>
      </c>
      <c r="E114" s="40" t="s">
        <v>641</v>
      </c>
      <c r="F114" s="11">
        <v>1</v>
      </c>
      <c r="G114" s="11" t="s">
        <v>459</v>
      </c>
      <c r="H114" s="11" t="s">
        <v>538</v>
      </c>
      <c r="I114" s="11" t="s">
        <v>622</v>
      </c>
      <c r="J114" s="11">
        <v>10031</v>
      </c>
      <c r="K114" s="11" t="s">
        <v>178</v>
      </c>
    </row>
    <row r="115" s="11" customFormat="1" ht="15.95" customHeight="1" spans="1:13">
      <c r="A115" s="11">
        <v>1003006</v>
      </c>
      <c r="B115" s="11" t="s">
        <v>642</v>
      </c>
      <c r="C115" s="11">
        <v>2</v>
      </c>
      <c r="D115" s="24" t="s">
        <v>643</v>
      </c>
      <c r="E115" s="40" t="s">
        <v>644</v>
      </c>
      <c r="F115" s="11">
        <v>2</v>
      </c>
      <c r="G115" s="11" t="s">
        <v>645</v>
      </c>
      <c r="H115" s="11" t="s">
        <v>646</v>
      </c>
      <c r="I115" s="11" t="s">
        <v>647</v>
      </c>
      <c r="J115" s="11">
        <v>10089</v>
      </c>
      <c r="K115" s="11" t="s">
        <v>134</v>
      </c>
    </row>
    <row r="116" s="11" customFormat="1" ht="15.95" customHeight="1" spans="1:13">
      <c r="A116" s="11">
        <v>1003007</v>
      </c>
      <c r="B116" s="11" t="s">
        <v>648</v>
      </c>
      <c r="C116" s="11">
        <v>2</v>
      </c>
      <c r="D116" s="24" t="s">
        <v>649</v>
      </c>
      <c r="E116" s="40" t="s">
        <v>650</v>
      </c>
      <c r="F116" s="11">
        <v>1</v>
      </c>
      <c r="G116" s="11" t="s">
        <v>459</v>
      </c>
      <c r="H116" s="11" t="s">
        <v>538</v>
      </c>
      <c r="I116" s="11" t="s">
        <v>622</v>
      </c>
      <c r="J116" s="11">
        <v>10031</v>
      </c>
      <c r="K116" s="11" t="s">
        <v>178</v>
      </c>
    </row>
    <row r="117" s="11" customFormat="1" ht="15.95" customHeight="1" spans="1:13">
      <c r="A117" s="11">
        <v>1003008</v>
      </c>
      <c r="B117" s="11" t="s">
        <v>651</v>
      </c>
      <c r="C117" s="11">
        <v>2</v>
      </c>
      <c r="D117" s="24">
        <v>1003007</v>
      </c>
      <c r="E117" s="40" t="s">
        <v>652</v>
      </c>
      <c r="F117" s="11">
        <v>2</v>
      </c>
      <c r="G117" s="11" t="s">
        <v>653</v>
      </c>
      <c r="H117" s="11" t="s">
        <v>654</v>
      </c>
      <c r="I117" s="11" t="s">
        <v>655</v>
      </c>
      <c r="J117" s="11">
        <v>10087</v>
      </c>
      <c r="K117" s="11" t="s">
        <v>656</v>
      </c>
    </row>
    <row r="118" s="11" customFormat="1" ht="15.95" customHeight="1" spans="1:13">
      <c r="A118" s="11">
        <v>1003009</v>
      </c>
      <c r="B118" s="11" t="s">
        <v>657</v>
      </c>
      <c r="C118" s="11">
        <v>2</v>
      </c>
      <c r="D118" s="24" t="s">
        <v>658</v>
      </c>
      <c r="E118" s="25" t="s">
        <v>659</v>
      </c>
      <c r="F118" s="11">
        <v>1</v>
      </c>
      <c r="G118" s="11" t="s">
        <v>459</v>
      </c>
      <c r="H118" s="11" t="s">
        <v>538</v>
      </c>
      <c r="I118" s="11" t="s">
        <v>622</v>
      </c>
      <c r="J118" s="11">
        <v>10031</v>
      </c>
      <c r="K118" s="11" t="s">
        <v>178</v>
      </c>
    </row>
    <row r="119" s="11" customFormat="1" ht="15.95" customHeight="1" spans="1:13">
      <c r="A119" s="11">
        <v>1003010</v>
      </c>
      <c r="B119" s="11" t="s">
        <v>660</v>
      </c>
      <c r="C119" s="11">
        <v>2</v>
      </c>
      <c r="D119" s="24">
        <v>1003009</v>
      </c>
      <c r="E119" s="25" t="s">
        <v>661</v>
      </c>
      <c r="F119" s="11">
        <v>2</v>
      </c>
      <c r="G119" s="11" t="s">
        <v>662</v>
      </c>
      <c r="H119" s="11" t="s">
        <v>663</v>
      </c>
      <c r="I119" s="11" t="s">
        <v>664</v>
      </c>
      <c r="L119" s="11">
        <v>2150000030</v>
      </c>
    </row>
    <row r="120" s="11" customFormat="1" ht="15.95" customHeight="1" spans="1:13">
      <c r="A120" s="11">
        <v>1003011</v>
      </c>
      <c r="B120" s="11" t="s">
        <v>665</v>
      </c>
      <c r="C120" s="11">
        <v>2</v>
      </c>
      <c r="D120" s="24" t="s">
        <v>666</v>
      </c>
      <c r="E120" s="25" t="s">
        <v>667</v>
      </c>
      <c r="F120" s="11">
        <v>1</v>
      </c>
      <c r="G120" s="11" t="s">
        <v>459</v>
      </c>
      <c r="H120" s="11" t="s">
        <v>538</v>
      </c>
      <c r="I120" s="11" t="s">
        <v>622</v>
      </c>
      <c r="J120" s="11">
        <v>10031</v>
      </c>
      <c r="K120" s="11" t="s">
        <v>178</v>
      </c>
    </row>
    <row r="121" s="11" customFormat="1" ht="15.95" customHeight="1" spans="1:13">
      <c r="A121" s="11">
        <v>1003012</v>
      </c>
      <c r="B121" s="11" t="s">
        <v>668</v>
      </c>
      <c r="C121" s="11">
        <v>2</v>
      </c>
      <c r="D121" s="24" t="s">
        <v>669</v>
      </c>
      <c r="E121" s="25" t="s">
        <v>670</v>
      </c>
      <c r="F121" s="11">
        <v>2</v>
      </c>
      <c r="G121" s="11" t="s">
        <v>671</v>
      </c>
      <c r="H121" s="11" t="s">
        <v>672</v>
      </c>
      <c r="I121" s="11" t="s">
        <v>673</v>
      </c>
      <c r="L121" s="11">
        <v>2150000010</v>
      </c>
    </row>
    <row r="122" s="11" customFormat="1" ht="15.95" customHeight="1" spans="1:13">
      <c r="A122" s="11">
        <v>1003013</v>
      </c>
      <c r="B122" s="11" t="s">
        <v>674</v>
      </c>
      <c r="C122" s="11">
        <v>2</v>
      </c>
      <c r="D122" s="24" t="s">
        <v>675</v>
      </c>
      <c r="E122" s="25" t="s">
        <v>676</v>
      </c>
      <c r="F122" s="11">
        <v>1</v>
      </c>
      <c r="G122" s="11" t="s">
        <v>459</v>
      </c>
      <c r="H122" s="11" t="s">
        <v>538</v>
      </c>
      <c r="I122" s="11" t="s">
        <v>622</v>
      </c>
      <c r="J122" s="11">
        <v>10031</v>
      </c>
      <c r="K122" s="11" t="s">
        <v>178</v>
      </c>
    </row>
    <row r="123" s="11" customFormat="1" ht="15.95" customHeight="1" spans="1:13">
      <c r="A123" s="11">
        <v>1003014</v>
      </c>
      <c r="B123" s="11" t="s">
        <v>677</v>
      </c>
      <c r="C123" s="11">
        <v>2</v>
      </c>
      <c r="D123" s="24">
        <v>1003013</v>
      </c>
      <c r="E123" s="25" t="s">
        <v>678</v>
      </c>
      <c r="F123" s="11">
        <v>2</v>
      </c>
      <c r="G123" s="11" t="s">
        <v>679</v>
      </c>
      <c r="H123" s="11" t="s">
        <v>680</v>
      </c>
      <c r="I123" s="11" t="s">
        <v>681</v>
      </c>
      <c r="L123" s="11">
        <v>2150000020</v>
      </c>
    </row>
    <row r="124" s="14" customFormat="1" ht="21" customHeight="1" spans="1:13">
      <c r="A124" s="26">
        <v>1005001</v>
      </c>
      <c r="B124" s="14" t="s">
        <v>682</v>
      </c>
      <c r="C124" s="14">
        <v>6</v>
      </c>
      <c r="D124" s="14">
        <v>1005002</v>
      </c>
      <c r="E124" s="27" t="s">
        <v>621</v>
      </c>
      <c r="F124" s="14">
        <v>1</v>
      </c>
      <c r="G124" s="14" t="s">
        <v>683</v>
      </c>
      <c r="H124" s="14" t="s">
        <v>684</v>
      </c>
      <c r="I124" s="14" t="s">
        <v>685</v>
      </c>
      <c r="J124" s="14">
        <v>10051</v>
      </c>
      <c r="K124" s="14" t="s">
        <v>178</v>
      </c>
    </row>
    <row r="125" s="14" customFormat="1" ht="18.95" customHeight="1" spans="1:13">
      <c r="A125" s="26">
        <v>1005002</v>
      </c>
      <c r="B125" s="14" t="s">
        <v>686</v>
      </c>
      <c r="C125" s="14">
        <v>6</v>
      </c>
      <c r="D125" s="14" t="s">
        <v>687</v>
      </c>
      <c r="E125" s="27" t="s">
        <v>625</v>
      </c>
      <c r="F125" s="14">
        <v>2</v>
      </c>
      <c r="G125" s="14" t="s">
        <v>688</v>
      </c>
      <c r="H125" s="14" t="s">
        <v>689</v>
      </c>
      <c r="I125" s="14" t="s">
        <v>690</v>
      </c>
      <c r="J125" s="14"/>
      <c r="K125" s="14"/>
      <c r="L125" s="14">
        <v>2120000040</v>
      </c>
    </row>
    <row r="126" s="14" customFormat="1" ht="18.95" customHeight="1" spans="1:13">
      <c r="A126" s="26">
        <v>1005003</v>
      </c>
      <c r="B126" s="14" t="s">
        <v>691</v>
      </c>
      <c r="C126" s="14">
        <v>6</v>
      </c>
      <c r="D126" s="14" t="s">
        <v>692</v>
      </c>
      <c r="E126" s="27" t="s">
        <v>667</v>
      </c>
      <c r="F126" s="14">
        <v>1</v>
      </c>
      <c r="G126" s="14" t="s">
        <v>683</v>
      </c>
      <c r="H126" s="14" t="s">
        <v>684</v>
      </c>
      <c r="I126" s="14" t="s">
        <v>685</v>
      </c>
      <c r="J126" s="14">
        <v>10051</v>
      </c>
      <c r="K126" s="14" t="s">
        <v>178</v>
      </c>
    </row>
    <row r="127" s="14" customFormat="1" ht="18.95" customHeight="1" spans="1:13">
      <c r="A127" s="26">
        <v>1005004</v>
      </c>
      <c r="B127" s="14" t="s">
        <v>693</v>
      </c>
      <c r="C127" s="14">
        <v>6</v>
      </c>
      <c r="D127" s="14" t="s">
        <v>694</v>
      </c>
      <c r="E127" s="27" t="s">
        <v>670</v>
      </c>
      <c r="F127" s="14">
        <v>2</v>
      </c>
      <c r="G127" s="14" t="s">
        <v>695</v>
      </c>
      <c r="H127" s="14" t="s">
        <v>696</v>
      </c>
      <c r="I127" s="14" t="s">
        <v>697</v>
      </c>
      <c r="J127" s="14">
        <v>10103</v>
      </c>
    </row>
    <row r="128" s="14" customFormat="1" ht="18.95" customHeight="1" spans="1:13">
      <c r="A128" s="26">
        <v>1005005</v>
      </c>
      <c r="B128" s="14" t="s">
        <v>698</v>
      </c>
      <c r="C128" s="14">
        <v>6</v>
      </c>
      <c r="D128" s="14" t="s">
        <v>699</v>
      </c>
      <c r="E128" s="27" t="s">
        <v>676</v>
      </c>
      <c r="F128" s="14">
        <v>1</v>
      </c>
      <c r="G128" s="14" t="s">
        <v>683</v>
      </c>
      <c r="H128" s="14" t="s">
        <v>684</v>
      </c>
      <c r="I128" s="14" t="s">
        <v>685</v>
      </c>
      <c r="J128" s="14">
        <v>10051</v>
      </c>
      <c r="K128" s="14" t="s">
        <v>178</v>
      </c>
    </row>
    <row r="129" s="14" customFormat="1" ht="18.95" customHeight="1" spans="1:13">
      <c r="A129" s="26">
        <v>1005006</v>
      </c>
      <c r="B129" s="14" t="s">
        <v>700</v>
      </c>
      <c r="C129" s="14">
        <v>6</v>
      </c>
      <c r="D129" s="14">
        <v>1005005</v>
      </c>
      <c r="E129" s="27" t="s">
        <v>678</v>
      </c>
      <c r="F129" s="14">
        <v>2</v>
      </c>
      <c r="G129" s="14" t="s">
        <v>701</v>
      </c>
      <c r="H129" s="14" t="s">
        <v>702</v>
      </c>
      <c r="I129" s="14" t="s">
        <v>703</v>
      </c>
      <c r="J129" s="14">
        <v>10105</v>
      </c>
    </row>
    <row r="130" s="14" customFormat="1" ht="18.95" customHeight="1" spans="1:13">
      <c r="A130" s="26">
        <v>1005007</v>
      </c>
      <c r="B130" s="14" t="s">
        <v>704</v>
      </c>
      <c r="C130" s="14">
        <v>6</v>
      </c>
      <c r="D130" s="14" t="s">
        <v>705</v>
      </c>
      <c r="E130" s="27" t="s">
        <v>706</v>
      </c>
      <c r="F130" s="14">
        <v>1</v>
      </c>
      <c r="G130" s="14" t="s">
        <v>683</v>
      </c>
      <c r="H130" s="14" t="s">
        <v>684</v>
      </c>
      <c r="I130" s="14" t="s">
        <v>685</v>
      </c>
      <c r="J130" s="14">
        <v>10051</v>
      </c>
      <c r="K130" s="14" t="s">
        <v>178</v>
      </c>
    </row>
    <row r="131" s="14" customFormat="1" ht="18.95" customHeight="1" spans="1:13">
      <c r="A131" s="26">
        <v>1005008</v>
      </c>
      <c r="B131" s="14" t="s">
        <v>707</v>
      </c>
      <c r="C131" s="14">
        <v>6</v>
      </c>
      <c r="D131" s="14">
        <v>1005007</v>
      </c>
      <c r="E131" s="41" t="s">
        <v>708</v>
      </c>
      <c r="F131" s="14">
        <v>2</v>
      </c>
      <c r="G131" s="14" t="s">
        <v>709</v>
      </c>
      <c r="H131" s="14" t="s">
        <v>710</v>
      </c>
      <c r="I131" s="14" t="s">
        <v>711</v>
      </c>
      <c r="M131" s="14" t="s">
        <v>712</v>
      </c>
    </row>
    <row r="132" s="14" customFormat="1" ht="18.95" customHeight="1" spans="1:13">
      <c r="A132" s="26">
        <v>1005009</v>
      </c>
      <c r="B132" s="14" t="s">
        <v>713</v>
      </c>
      <c r="C132" s="14">
        <v>6</v>
      </c>
      <c r="D132" s="14" t="s">
        <v>714</v>
      </c>
      <c r="E132" s="27" t="s">
        <v>715</v>
      </c>
      <c r="F132" s="14">
        <v>1</v>
      </c>
      <c r="G132" s="14" t="s">
        <v>683</v>
      </c>
      <c r="H132" s="14" t="s">
        <v>684</v>
      </c>
      <c r="I132" s="14" t="s">
        <v>685</v>
      </c>
      <c r="J132" s="14">
        <v>10051</v>
      </c>
      <c r="K132" s="14" t="s">
        <v>178</v>
      </c>
    </row>
    <row r="133" s="14" customFormat="1" ht="18.95" customHeight="1" spans="1:13">
      <c r="A133" s="26">
        <v>1005010</v>
      </c>
      <c r="B133" s="14" t="s">
        <v>716</v>
      </c>
      <c r="C133" s="14">
        <v>6</v>
      </c>
      <c r="D133" s="14">
        <v>1005009</v>
      </c>
      <c r="E133" s="27" t="s">
        <v>717</v>
      </c>
      <c r="F133" s="14">
        <v>2</v>
      </c>
      <c r="G133" s="14" t="s">
        <v>718</v>
      </c>
      <c r="H133" s="14" t="s">
        <v>719</v>
      </c>
      <c r="I133" s="14" t="s">
        <v>720</v>
      </c>
      <c r="M133" s="14" t="s">
        <v>721</v>
      </c>
    </row>
    <row r="134" s="14" customFormat="1" ht="18.95" customHeight="1" spans="1:13">
      <c r="A134" s="26">
        <v>1005011</v>
      </c>
      <c r="B134" s="14" t="s">
        <v>722</v>
      </c>
      <c r="C134" s="14">
        <v>6</v>
      </c>
      <c r="D134" s="14" t="s">
        <v>723</v>
      </c>
      <c r="E134" s="27" t="s">
        <v>724</v>
      </c>
      <c r="F134" s="14">
        <v>1</v>
      </c>
      <c r="G134" s="14" t="s">
        <v>683</v>
      </c>
      <c r="H134" s="14" t="s">
        <v>684</v>
      </c>
      <c r="I134" s="14" t="s">
        <v>685</v>
      </c>
      <c r="J134" s="14">
        <v>10051</v>
      </c>
      <c r="K134" s="14" t="s">
        <v>178</v>
      </c>
    </row>
    <row r="135" s="14" customFormat="1" ht="18.95" customHeight="1" spans="1:13">
      <c r="A135" s="26">
        <v>1005012</v>
      </c>
      <c r="B135" s="14" t="s">
        <v>725</v>
      </c>
      <c r="C135" s="14">
        <v>6</v>
      </c>
      <c r="D135" s="14">
        <v>1005011</v>
      </c>
      <c r="E135" s="27" t="s">
        <v>726</v>
      </c>
      <c r="F135" s="14">
        <v>2</v>
      </c>
      <c r="G135" s="14" t="s">
        <v>727</v>
      </c>
      <c r="H135" s="14" t="s">
        <v>728</v>
      </c>
      <c r="I135" s="15" t="s">
        <v>729</v>
      </c>
      <c r="J135" s="14">
        <v>10101</v>
      </c>
    </row>
    <row r="136" s="14" customFormat="1" ht="18.95" customHeight="1" spans="1:13">
      <c r="A136" s="26">
        <v>1005013</v>
      </c>
      <c r="B136" s="14" t="s">
        <v>730</v>
      </c>
      <c r="C136" s="14">
        <v>6</v>
      </c>
      <c r="D136" s="14" t="s">
        <v>731</v>
      </c>
      <c r="E136" s="27" t="s">
        <v>732</v>
      </c>
      <c r="F136" s="14">
        <v>1</v>
      </c>
      <c r="G136" s="14" t="s">
        <v>683</v>
      </c>
      <c r="H136" s="14" t="s">
        <v>684</v>
      </c>
      <c r="I136" s="14" t="s">
        <v>685</v>
      </c>
      <c r="J136" s="14">
        <v>10051</v>
      </c>
      <c r="K136" s="14" t="s">
        <v>178</v>
      </c>
    </row>
    <row r="137" s="14" customFormat="1" ht="18.95" customHeight="1" spans="1:13">
      <c r="A137" s="26">
        <v>1005014</v>
      </c>
      <c r="B137" s="14" t="s">
        <v>733</v>
      </c>
      <c r="C137" s="14">
        <v>6</v>
      </c>
      <c r="D137" s="14">
        <v>1005013</v>
      </c>
      <c r="E137" s="27" t="s">
        <v>734</v>
      </c>
      <c r="F137" s="14">
        <v>2</v>
      </c>
      <c r="G137" s="14" t="s">
        <v>735</v>
      </c>
      <c r="H137" s="14" t="s">
        <v>736</v>
      </c>
      <c r="I137" s="14" t="s">
        <v>737</v>
      </c>
      <c r="J137" s="14">
        <v>10130</v>
      </c>
    </row>
    <row r="138" s="18" customFormat="1" ht="18.95" customHeight="1" spans="1:13">
      <c r="A138" s="18">
        <v>1004001</v>
      </c>
      <c r="B138" s="18" t="s">
        <v>738</v>
      </c>
      <c r="C138" s="18">
        <v>5</v>
      </c>
      <c r="D138" s="18">
        <v>1004002</v>
      </c>
      <c r="E138" s="18" t="s">
        <v>621</v>
      </c>
      <c r="F138" s="18">
        <v>1</v>
      </c>
      <c r="G138" s="18" t="s">
        <v>739</v>
      </c>
      <c r="H138" s="18" t="s">
        <v>740</v>
      </c>
      <c r="I138" s="18" t="s">
        <v>741</v>
      </c>
      <c r="J138" s="18">
        <v>10106</v>
      </c>
      <c r="K138" s="18" t="s">
        <v>175</v>
      </c>
    </row>
    <row r="139" s="18" customFormat="1" ht="18.95" customHeight="1" spans="1:13">
      <c r="A139" s="18">
        <v>1004002</v>
      </c>
      <c r="B139" s="18" t="s">
        <v>742</v>
      </c>
      <c r="C139" s="18">
        <v>5</v>
      </c>
      <c r="D139" s="18" t="s">
        <v>743</v>
      </c>
      <c r="E139" s="18" t="s">
        <v>625</v>
      </c>
      <c r="F139" s="18">
        <v>2</v>
      </c>
      <c r="G139" s="18" t="s">
        <v>744</v>
      </c>
      <c r="H139" s="18" t="s">
        <v>745</v>
      </c>
      <c r="I139" s="18" t="s">
        <v>746</v>
      </c>
      <c r="L139" s="18">
        <v>2120000020</v>
      </c>
    </row>
    <row r="140" s="18" customFormat="1" ht="18.95" customHeight="1" spans="1:13">
      <c r="A140" s="18">
        <v>1004003</v>
      </c>
      <c r="B140" s="18" t="s">
        <v>747</v>
      </c>
      <c r="C140" s="18">
        <v>5</v>
      </c>
      <c r="D140" s="18" t="s">
        <v>748</v>
      </c>
      <c r="E140" s="18" t="s">
        <v>667</v>
      </c>
      <c r="F140" s="18">
        <v>1</v>
      </c>
      <c r="G140" s="18" t="s">
        <v>739</v>
      </c>
      <c r="H140" s="18" t="s">
        <v>740</v>
      </c>
      <c r="I140" s="18" t="s">
        <v>741</v>
      </c>
      <c r="J140" s="18">
        <v>10106</v>
      </c>
      <c r="K140" s="18" t="s">
        <v>175</v>
      </c>
    </row>
    <row r="141" s="18" customFormat="1" ht="18.95" customHeight="1" spans="1:13">
      <c r="A141" s="18">
        <v>1004004</v>
      </c>
      <c r="B141" s="18" t="s">
        <v>749</v>
      </c>
      <c r="C141" s="18">
        <v>5</v>
      </c>
      <c r="D141" s="18" t="s">
        <v>750</v>
      </c>
      <c r="E141" s="18" t="s">
        <v>670</v>
      </c>
      <c r="F141" s="18">
        <v>2</v>
      </c>
      <c r="G141" s="18" t="s">
        <v>751</v>
      </c>
      <c r="H141" s="18" t="s">
        <v>752</v>
      </c>
      <c r="I141" s="18" t="s">
        <v>753</v>
      </c>
      <c r="J141" s="18">
        <v>10099</v>
      </c>
    </row>
    <row r="142" s="18" customFormat="1" ht="18.95" customHeight="1" spans="1:13">
      <c r="A142" s="18">
        <v>1004005</v>
      </c>
      <c r="B142" s="18" t="s">
        <v>754</v>
      </c>
      <c r="C142" s="18">
        <v>5</v>
      </c>
      <c r="D142" s="18" t="s">
        <v>755</v>
      </c>
      <c r="E142" s="18" t="s">
        <v>676</v>
      </c>
      <c r="F142" s="18">
        <v>1</v>
      </c>
      <c r="G142" s="18" t="s">
        <v>739</v>
      </c>
      <c r="H142" s="18" t="s">
        <v>740</v>
      </c>
      <c r="I142" s="18" t="s">
        <v>741</v>
      </c>
      <c r="J142" s="18">
        <v>10106</v>
      </c>
      <c r="K142" s="18" t="s">
        <v>175</v>
      </c>
    </row>
    <row r="143" s="18" customFormat="1" ht="18.95" customHeight="1" spans="1:13">
      <c r="A143" s="18">
        <v>1004006</v>
      </c>
      <c r="B143" s="18" t="s">
        <v>756</v>
      </c>
      <c r="C143" s="18">
        <v>5</v>
      </c>
      <c r="D143" s="18">
        <v>1004005</v>
      </c>
      <c r="E143" s="18" t="s">
        <v>678</v>
      </c>
      <c r="F143" s="18">
        <v>2</v>
      </c>
      <c r="G143" s="18" t="s">
        <v>757</v>
      </c>
      <c r="H143" s="18" t="s">
        <v>758</v>
      </c>
      <c r="I143" s="18" t="s">
        <v>759</v>
      </c>
      <c r="J143" s="18" t="s">
        <v>760</v>
      </c>
    </row>
    <row r="144" s="18" customFormat="1" ht="18.95" customHeight="1" spans="1:13">
      <c r="A144" s="18">
        <v>1004007</v>
      </c>
      <c r="B144" s="18" t="s">
        <v>761</v>
      </c>
      <c r="C144" s="18">
        <v>5</v>
      </c>
      <c r="D144" s="18" t="s">
        <v>762</v>
      </c>
      <c r="E144" s="18" t="s">
        <v>763</v>
      </c>
      <c r="F144" s="18">
        <v>1</v>
      </c>
      <c r="G144" s="18" t="s">
        <v>739</v>
      </c>
      <c r="H144" s="18" t="s">
        <v>740</v>
      </c>
      <c r="I144" s="18" t="s">
        <v>741</v>
      </c>
      <c r="J144" s="18">
        <v>10106</v>
      </c>
      <c r="K144" s="18" t="s">
        <v>175</v>
      </c>
    </row>
    <row r="145" s="18" customFormat="1" ht="18.95" customHeight="1" spans="1:13">
      <c r="A145" s="18">
        <v>1004008</v>
      </c>
      <c r="B145" s="18" t="s">
        <v>764</v>
      </c>
      <c r="C145" s="18">
        <v>5</v>
      </c>
      <c r="D145" s="18">
        <v>1004007</v>
      </c>
      <c r="E145" s="42" t="s">
        <v>765</v>
      </c>
      <c r="F145" s="18">
        <v>2</v>
      </c>
      <c r="G145" s="18" t="s">
        <v>766</v>
      </c>
      <c r="H145" s="18" t="s">
        <v>767</v>
      </c>
      <c r="I145" s="18" t="s">
        <v>768</v>
      </c>
      <c r="J145" s="18">
        <v>10100</v>
      </c>
    </row>
    <row r="146" s="18" customFormat="1" ht="18.95" customHeight="1" spans="1:13">
      <c r="A146" s="18">
        <v>1004009</v>
      </c>
      <c r="B146" s="18" t="s">
        <v>769</v>
      </c>
      <c r="C146" s="18">
        <v>5</v>
      </c>
      <c r="D146" s="18" t="s">
        <v>770</v>
      </c>
      <c r="E146" s="18" t="s">
        <v>771</v>
      </c>
      <c r="F146" s="18">
        <v>1</v>
      </c>
      <c r="G146" s="18" t="s">
        <v>739</v>
      </c>
      <c r="H146" s="18" t="s">
        <v>740</v>
      </c>
      <c r="I146" s="18" t="s">
        <v>741</v>
      </c>
      <c r="J146" s="18">
        <v>10106</v>
      </c>
      <c r="K146" s="18" t="s">
        <v>175</v>
      </c>
    </row>
    <row r="147" s="18" customFormat="1" ht="18.95" customHeight="1" spans="1:13">
      <c r="A147" s="18">
        <v>1004010</v>
      </c>
      <c r="B147" s="18" t="s">
        <v>772</v>
      </c>
      <c r="C147" s="18">
        <v>5</v>
      </c>
      <c r="D147" s="18">
        <v>1004009</v>
      </c>
      <c r="E147" s="18" t="s">
        <v>773</v>
      </c>
      <c r="F147" s="18">
        <v>2</v>
      </c>
      <c r="G147" s="18" t="s">
        <v>774</v>
      </c>
      <c r="H147" s="18" t="s">
        <v>775</v>
      </c>
      <c r="I147" s="18" t="s">
        <v>776</v>
      </c>
      <c r="J147" s="18">
        <v>10077</v>
      </c>
      <c r="K147" s="18" t="s">
        <v>191</v>
      </c>
    </row>
    <row r="148" s="18" customFormat="1" ht="18.95" customHeight="1" spans="1:13">
      <c r="A148" s="18">
        <v>1004011</v>
      </c>
      <c r="B148" s="18" t="s">
        <v>777</v>
      </c>
      <c r="C148" s="18">
        <v>5</v>
      </c>
      <c r="D148" s="18" t="s">
        <v>778</v>
      </c>
      <c r="E148" s="18" t="s">
        <v>779</v>
      </c>
      <c r="F148" s="18">
        <v>1</v>
      </c>
      <c r="G148" s="18" t="s">
        <v>739</v>
      </c>
      <c r="H148" s="18" t="s">
        <v>740</v>
      </c>
      <c r="I148" s="18" t="s">
        <v>741</v>
      </c>
      <c r="J148" s="18">
        <v>10106</v>
      </c>
      <c r="K148" s="18" t="s">
        <v>175</v>
      </c>
    </row>
    <row r="149" s="18" customFormat="1" ht="18.95" customHeight="1" spans="1:13">
      <c r="A149" s="18">
        <v>1004012</v>
      </c>
      <c r="B149" s="18" t="s">
        <v>780</v>
      </c>
      <c r="C149" s="18">
        <v>5</v>
      </c>
      <c r="D149" s="18">
        <v>1004011</v>
      </c>
      <c r="E149" s="18" t="s">
        <v>781</v>
      </c>
      <c r="F149" s="18">
        <v>2</v>
      </c>
      <c r="G149" s="18" t="s">
        <v>782</v>
      </c>
      <c r="H149" s="18" t="s">
        <v>783</v>
      </c>
      <c r="I149" s="42" t="s">
        <v>784</v>
      </c>
      <c r="J149" s="18">
        <v>10097</v>
      </c>
    </row>
    <row r="150" s="18" customFormat="1" ht="18.95" customHeight="1" spans="1:13">
      <c r="A150" s="18">
        <v>1004013</v>
      </c>
      <c r="B150" s="18" t="s">
        <v>785</v>
      </c>
      <c r="C150" s="18">
        <v>5</v>
      </c>
      <c r="D150" s="18" t="s">
        <v>786</v>
      </c>
      <c r="E150" s="18" t="s">
        <v>787</v>
      </c>
      <c r="F150" s="18">
        <v>1</v>
      </c>
      <c r="G150" s="18" t="s">
        <v>739</v>
      </c>
      <c r="H150" s="18" t="s">
        <v>740</v>
      </c>
      <c r="I150" s="18" t="s">
        <v>741</v>
      </c>
      <c r="J150" s="18">
        <v>10106</v>
      </c>
      <c r="K150" s="18" t="s">
        <v>175</v>
      </c>
    </row>
    <row r="151" s="18" customFormat="1" ht="18.95" customHeight="1" spans="1:13">
      <c r="A151" s="18">
        <v>1004014</v>
      </c>
      <c r="B151" s="18" t="s">
        <v>788</v>
      </c>
      <c r="C151" s="18">
        <v>5</v>
      </c>
      <c r="D151" s="18">
        <v>1004013</v>
      </c>
      <c r="E151" s="18" t="s">
        <v>789</v>
      </c>
      <c r="F151" s="18">
        <v>2</v>
      </c>
      <c r="G151" s="18" t="s">
        <v>790</v>
      </c>
      <c r="H151" s="18" t="s">
        <v>791</v>
      </c>
      <c r="I151" s="18" t="s">
        <v>792</v>
      </c>
      <c r="L151" s="18">
        <v>2120000060</v>
      </c>
    </row>
    <row r="152" s="19" customFormat="1" ht="18.95" customHeight="1" spans="1:13">
      <c r="A152" s="28">
        <v>1006001</v>
      </c>
      <c r="B152" s="19" t="s">
        <v>793</v>
      </c>
      <c r="C152" s="19">
        <v>7</v>
      </c>
      <c r="D152" s="28">
        <v>1006002</v>
      </c>
      <c r="E152" s="28" t="s">
        <v>794</v>
      </c>
      <c r="F152" s="19">
        <v>1</v>
      </c>
      <c r="G152" s="19" t="s">
        <v>795</v>
      </c>
      <c r="H152" s="19" t="s">
        <v>796</v>
      </c>
      <c r="I152" s="19" t="s">
        <v>797</v>
      </c>
      <c r="J152" s="19">
        <v>10064</v>
      </c>
      <c r="K152" s="19" t="s">
        <v>134</v>
      </c>
    </row>
    <row r="153" s="19" customFormat="1" ht="18.95" customHeight="1" spans="1:13">
      <c r="A153" s="28">
        <v>1006002</v>
      </c>
      <c r="B153" s="19" t="s">
        <v>798</v>
      </c>
      <c r="C153" s="19">
        <v>7</v>
      </c>
      <c r="D153" s="28" t="s">
        <v>799</v>
      </c>
      <c r="E153" s="28" t="s">
        <v>800</v>
      </c>
      <c r="F153" s="19">
        <v>2</v>
      </c>
      <c r="G153" s="19" t="s">
        <v>801</v>
      </c>
      <c r="H153" s="19" t="s">
        <v>802</v>
      </c>
      <c r="I153" s="19" t="s">
        <v>803</v>
      </c>
      <c r="J153" s="19">
        <v>10038</v>
      </c>
      <c r="K153" s="19" t="s">
        <v>191</v>
      </c>
    </row>
    <row r="154" s="19" customFormat="1" ht="18.95" customHeight="1" spans="1:13">
      <c r="A154" s="28">
        <v>1006003</v>
      </c>
      <c r="B154" s="19" t="s">
        <v>804</v>
      </c>
      <c r="C154" s="19">
        <v>7</v>
      </c>
      <c r="D154" s="28" t="s">
        <v>805</v>
      </c>
      <c r="E154" s="28" t="s">
        <v>806</v>
      </c>
      <c r="F154" s="19">
        <v>1</v>
      </c>
      <c r="G154" s="19" t="s">
        <v>795</v>
      </c>
      <c r="H154" s="19" t="s">
        <v>796</v>
      </c>
      <c r="I154" s="19" t="s">
        <v>797</v>
      </c>
      <c r="J154" s="19">
        <v>10064</v>
      </c>
      <c r="K154" s="19" t="s">
        <v>134</v>
      </c>
    </row>
    <row r="155" s="19" customFormat="1" ht="18.95" customHeight="1" spans="1:13">
      <c r="A155" s="28">
        <v>1006004</v>
      </c>
      <c r="B155" s="19" t="s">
        <v>807</v>
      </c>
      <c r="C155" s="19">
        <v>7</v>
      </c>
      <c r="D155" s="28">
        <v>1006003</v>
      </c>
      <c r="E155" s="28" t="s">
        <v>808</v>
      </c>
      <c r="F155" s="19">
        <v>2</v>
      </c>
      <c r="G155" s="19" t="s">
        <v>809</v>
      </c>
      <c r="H155" s="19" t="s">
        <v>810</v>
      </c>
      <c r="I155" s="19" t="s">
        <v>811</v>
      </c>
      <c r="J155" s="19"/>
      <c r="L155" s="19">
        <v>2150000130</v>
      </c>
    </row>
    <row r="156" s="19" customFormat="1" ht="18.95" customHeight="1" spans="1:13">
      <c r="A156" s="28">
        <v>1006005</v>
      </c>
      <c r="B156" s="19" t="s">
        <v>812</v>
      </c>
      <c r="C156" s="19">
        <v>7</v>
      </c>
      <c r="D156" s="28" t="s">
        <v>813</v>
      </c>
      <c r="E156" s="28" t="s">
        <v>814</v>
      </c>
      <c r="F156" s="19">
        <v>1</v>
      </c>
      <c r="G156" s="19" t="s">
        <v>815</v>
      </c>
      <c r="H156" s="19" t="s">
        <v>816</v>
      </c>
      <c r="I156" s="19" t="s">
        <v>817</v>
      </c>
      <c r="J156" s="19">
        <v>10049</v>
      </c>
      <c r="K156" s="19" t="s">
        <v>134</v>
      </c>
    </row>
    <row r="157" s="19" customFormat="1" ht="18.95" customHeight="1" spans="1:13">
      <c r="A157" s="28">
        <v>1006006</v>
      </c>
      <c r="B157" s="19" t="s">
        <v>818</v>
      </c>
      <c r="C157" s="19">
        <v>7</v>
      </c>
      <c r="D157" s="28">
        <v>1006005</v>
      </c>
      <c r="E157" s="43" t="s">
        <v>819</v>
      </c>
      <c r="F157" s="19">
        <v>2</v>
      </c>
      <c r="G157" s="19" t="s">
        <v>820</v>
      </c>
      <c r="H157" s="19" t="s">
        <v>821</v>
      </c>
      <c r="I157" s="19" t="s">
        <v>822</v>
      </c>
      <c r="J157" s="19">
        <v>10110</v>
      </c>
    </row>
    <row r="158" s="19" customFormat="1" ht="18.95" customHeight="1" spans="1:13">
      <c r="A158" s="28">
        <v>1006007</v>
      </c>
      <c r="B158" s="19" t="s">
        <v>823</v>
      </c>
      <c r="C158" s="19">
        <v>7</v>
      </c>
      <c r="D158" s="28" t="s">
        <v>824</v>
      </c>
      <c r="E158" s="28" t="s">
        <v>825</v>
      </c>
      <c r="F158" s="19">
        <v>1</v>
      </c>
      <c r="G158" s="19" t="s">
        <v>826</v>
      </c>
      <c r="H158" s="19" t="s">
        <v>827</v>
      </c>
      <c r="I158" s="19" t="s">
        <v>828</v>
      </c>
      <c r="J158" s="19">
        <v>10039</v>
      </c>
      <c r="K158" s="19" t="s">
        <v>829</v>
      </c>
    </row>
    <row r="159" s="19" customFormat="1" ht="18.95" customHeight="1" spans="1:13">
      <c r="A159" s="28">
        <v>1006008</v>
      </c>
      <c r="B159" s="19" t="s">
        <v>830</v>
      </c>
      <c r="C159" s="19">
        <v>7</v>
      </c>
      <c r="D159" s="28">
        <v>1006007</v>
      </c>
      <c r="E159" s="44" t="s">
        <v>831</v>
      </c>
      <c r="F159" s="19">
        <v>2</v>
      </c>
      <c r="G159" s="19" t="s">
        <v>832</v>
      </c>
      <c r="H159" s="19" t="s">
        <v>833</v>
      </c>
      <c r="I159" s="19" t="s">
        <v>637</v>
      </c>
      <c r="M159" s="19" t="s">
        <v>638</v>
      </c>
    </row>
    <row r="160" s="19" customFormat="1" ht="18.95" customHeight="1" spans="1:13">
      <c r="A160" s="28">
        <v>1006009</v>
      </c>
      <c r="B160" s="19" t="s">
        <v>834</v>
      </c>
      <c r="C160" s="19">
        <v>7</v>
      </c>
      <c r="D160" s="28" t="s">
        <v>835</v>
      </c>
      <c r="E160" s="29" t="s">
        <v>836</v>
      </c>
      <c r="F160" s="19">
        <v>1</v>
      </c>
      <c r="G160" s="19" t="s">
        <v>837</v>
      </c>
      <c r="H160" s="19" t="s">
        <v>838</v>
      </c>
      <c r="I160" s="19" t="s">
        <v>839</v>
      </c>
      <c r="J160" s="19">
        <v>10120</v>
      </c>
      <c r="K160" s="19" t="s">
        <v>134</v>
      </c>
    </row>
    <row r="161" s="19" customFormat="1" ht="18.95" customHeight="1" spans="1:12">
      <c r="A161" s="28">
        <v>1006010</v>
      </c>
      <c r="B161" s="19" t="s">
        <v>840</v>
      </c>
      <c r="C161" s="19">
        <v>7</v>
      </c>
      <c r="D161" s="28">
        <v>1006009</v>
      </c>
      <c r="E161" s="44" t="s">
        <v>841</v>
      </c>
      <c r="F161" s="19">
        <v>2</v>
      </c>
      <c r="G161" s="19" t="s">
        <v>842</v>
      </c>
      <c r="H161" s="19" t="s">
        <v>843</v>
      </c>
      <c r="I161" s="19" t="s">
        <v>844</v>
      </c>
      <c r="J161" s="19">
        <v>10144</v>
      </c>
    </row>
    <row r="162" s="19" customFormat="1" ht="18.95" customHeight="1" spans="1:12">
      <c r="A162" s="28">
        <v>1006011</v>
      </c>
      <c r="B162" s="19" t="s">
        <v>845</v>
      </c>
      <c r="C162" s="19">
        <v>7</v>
      </c>
      <c r="D162" s="28" t="s">
        <v>846</v>
      </c>
      <c r="E162" s="29" t="s">
        <v>847</v>
      </c>
      <c r="F162" s="19">
        <v>1</v>
      </c>
      <c r="G162" s="19" t="s">
        <v>837</v>
      </c>
      <c r="H162" s="19" t="s">
        <v>838</v>
      </c>
      <c r="I162" s="19" t="s">
        <v>839</v>
      </c>
      <c r="J162" s="19">
        <v>10120</v>
      </c>
      <c r="K162" s="19" t="s">
        <v>134</v>
      </c>
    </row>
    <row r="163" s="19" customFormat="1" ht="18.95" customHeight="1" spans="1:12">
      <c r="A163" s="28">
        <v>1006012</v>
      </c>
      <c r="B163" s="19" t="s">
        <v>848</v>
      </c>
      <c r="C163" s="19">
        <v>7</v>
      </c>
      <c r="D163" s="28">
        <v>1006011</v>
      </c>
      <c r="E163" s="44" t="s">
        <v>849</v>
      </c>
      <c r="F163" s="19">
        <v>2</v>
      </c>
      <c r="G163" s="19" t="s">
        <v>850</v>
      </c>
      <c r="H163" s="19" t="s">
        <v>851</v>
      </c>
      <c r="I163" s="19" t="s">
        <v>852</v>
      </c>
      <c r="L163" s="19" t="s">
        <v>853</v>
      </c>
    </row>
    <row r="164" s="19" customFormat="1" ht="18.95" customHeight="1" spans="1:12">
      <c r="A164" s="28">
        <v>1006013</v>
      </c>
      <c r="B164" s="19" t="s">
        <v>854</v>
      </c>
      <c r="C164" s="19">
        <v>7</v>
      </c>
      <c r="D164" s="28" t="s">
        <v>855</v>
      </c>
      <c r="E164" s="29" t="s">
        <v>856</v>
      </c>
      <c r="F164" s="19">
        <v>1</v>
      </c>
      <c r="G164" s="19" t="s">
        <v>857</v>
      </c>
      <c r="H164" s="19" t="s">
        <v>858</v>
      </c>
      <c r="I164" s="19" t="s">
        <v>859</v>
      </c>
      <c r="J164" s="19">
        <v>10142</v>
      </c>
      <c r="K164" s="19" t="s">
        <v>860</v>
      </c>
    </row>
    <row r="165" s="19" customFormat="1" ht="18.95" customHeight="1" spans="1:12">
      <c r="A165" s="28">
        <v>1006014</v>
      </c>
      <c r="B165" s="19" t="s">
        <v>861</v>
      </c>
      <c r="C165" s="19">
        <v>7</v>
      </c>
      <c r="D165" s="28">
        <v>1006013</v>
      </c>
      <c r="E165" s="44" t="s">
        <v>862</v>
      </c>
      <c r="F165" s="19">
        <v>2</v>
      </c>
      <c r="G165" s="19" t="s">
        <v>863</v>
      </c>
      <c r="H165" s="19" t="s">
        <v>864</v>
      </c>
      <c r="I165" s="19" t="s">
        <v>865</v>
      </c>
      <c r="L165" s="19" t="s">
        <v>866</v>
      </c>
    </row>
    <row r="166" s="20" customFormat="1" ht="18.95" customHeight="1" spans="1:12">
      <c r="A166" s="30">
        <v>1007001</v>
      </c>
      <c r="B166" s="20" t="s">
        <v>867</v>
      </c>
      <c r="C166" s="20">
        <v>4</v>
      </c>
      <c r="D166" s="20" t="s">
        <v>868</v>
      </c>
      <c r="E166" s="20" t="s">
        <v>869</v>
      </c>
      <c r="F166" s="20">
        <v>1</v>
      </c>
      <c r="G166" s="20" t="s">
        <v>870</v>
      </c>
      <c r="H166" s="20" t="s">
        <v>858</v>
      </c>
      <c r="I166" s="20" t="s">
        <v>859</v>
      </c>
      <c r="J166" s="20">
        <v>10142</v>
      </c>
      <c r="K166" s="20" t="s">
        <v>860</v>
      </c>
    </row>
    <row r="167" s="20" customFormat="1" ht="18.95" customHeight="1" spans="1:12">
      <c r="A167" s="30">
        <v>1007002</v>
      </c>
      <c r="B167" s="20" t="s">
        <v>871</v>
      </c>
      <c r="C167" s="20">
        <v>4</v>
      </c>
      <c r="D167" s="20" t="s">
        <v>872</v>
      </c>
      <c r="E167" s="20" t="s">
        <v>873</v>
      </c>
      <c r="F167" s="20">
        <v>2</v>
      </c>
      <c r="G167" s="20" t="s">
        <v>874</v>
      </c>
      <c r="H167" s="20" t="s">
        <v>875</v>
      </c>
      <c r="I167" s="31" t="s">
        <v>876</v>
      </c>
      <c r="J167" s="20">
        <v>10143</v>
      </c>
      <c r="K167" s="20" t="s">
        <v>877</v>
      </c>
      <c r="L167" s="20">
        <v>2150000100</v>
      </c>
    </row>
    <row r="168" s="20" customFormat="1" ht="18.95" customHeight="1" spans="1:12">
      <c r="A168" s="30">
        <v>1007003</v>
      </c>
      <c r="B168" s="20" t="s">
        <v>878</v>
      </c>
      <c r="C168" s="20">
        <v>4</v>
      </c>
      <c r="D168" s="20" t="s">
        <v>879</v>
      </c>
      <c r="E168" s="20" t="s">
        <v>880</v>
      </c>
      <c r="F168" s="20">
        <v>1</v>
      </c>
      <c r="G168" s="20" t="s">
        <v>870</v>
      </c>
      <c r="H168" s="20" t="s">
        <v>858</v>
      </c>
      <c r="I168" s="20" t="s">
        <v>859</v>
      </c>
      <c r="J168" s="20">
        <v>10142</v>
      </c>
      <c r="K168" s="20" t="s">
        <v>860</v>
      </c>
    </row>
    <row r="169" s="20" customFormat="1" ht="18.95" customHeight="1" spans="1:12">
      <c r="A169" s="30">
        <v>1007004</v>
      </c>
      <c r="B169" s="20" t="s">
        <v>881</v>
      </c>
      <c r="C169" s="20">
        <v>4</v>
      </c>
      <c r="D169" s="20" t="s">
        <v>882</v>
      </c>
      <c r="E169" s="20" t="s">
        <v>883</v>
      </c>
      <c r="F169" s="20">
        <v>2</v>
      </c>
      <c r="G169" s="20" t="s">
        <v>884</v>
      </c>
      <c r="H169" s="20" t="s">
        <v>885</v>
      </c>
      <c r="I169" s="20" t="s">
        <v>886</v>
      </c>
      <c r="J169" s="20">
        <v>10138</v>
      </c>
    </row>
    <row r="170" s="20" customFormat="1" ht="18.95" customHeight="1" spans="1:12">
      <c r="A170" s="30">
        <v>1007005</v>
      </c>
      <c r="B170" s="20" t="s">
        <v>887</v>
      </c>
      <c r="C170" s="20">
        <v>4</v>
      </c>
      <c r="D170" s="20" t="s">
        <v>888</v>
      </c>
      <c r="E170" s="20" t="s">
        <v>889</v>
      </c>
      <c r="F170" s="20">
        <v>1</v>
      </c>
      <c r="G170" s="20" t="s">
        <v>870</v>
      </c>
      <c r="H170" s="20" t="s">
        <v>858</v>
      </c>
      <c r="I170" s="20" t="s">
        <v>859</v>
      </c>
      <c r="J170" s="20">
        <v>10142</v>
      </c>
      <c r="K170" s="20" t="s">
        <v>860</v>
      </c>
    </row>
    <row r="171" s="20" customFormat="1" ht="18.95" customHeight="1" spans="1:12">
      <c r="A171" s="30">
        <v>1007006</v>
      </c>
      <c r="B171" s="20" t="s">
        <v>890</v>
      </c>
      <c r="C171" s="20">
        <v>4</v>
      </c>
      <c r="D171" s="20">
        <v>1007005</v>
      </c>
      <c r="E171" s="20" t="s">
        <v>891</v>
      </c>
      <c r="F171" s="20">
        <v>2</v>
      </c>
      <c r="G171" s="20" t="s">
        <v>892</v>
      </c>
      <c r="H171" s="20" t="s">
        <v>893</v>
      </c>
      <c r="I171" s="31" t="s">
        <v>894</v>
      </c>
      <c r="J171" s="20">
        <v>10137</v>
      </c>
    </row>
    <row r="172" s="20" customFormat="1" ht="18.95" customHeight="1" spans="1:12">
      <c r="A172" s="30">
        <v>1007007</v>
      </c>
      <c r="B172" s="20" t="s">
        <v>895</v>
      </c>
      <c r="C172" s="20">
        <v>4</v>
      </c>
      <c r="D172" s="20" t="s">
        <v>896</v>
      </c>
      <c r="E172" s="45" t="s">
        <v>897</v>
      </c>
      <c r="F172" s="20">
        <v>2</v>
      </c>
      <c r="G172" s="20" t="s">
        <v>898</v>
      </c>
      <c r="H172" s="20" t="s">
        <v>899</v>
      </c>
      <c r="I172" s="20" t="s">
        <v>900</v>
      </c>
      <c r="J172" s="20">
        <v>10119</v>
      </c>
    </row>
    <row r="173" s="20" customFormat="1" ht="18.95" customHeight="1" spans="1:12">
      <c r="A173" s="30">
        <v>1007008</v>
      </c>
      <c r="B173" s="20" t="s">
        <v>901</v>
      </c>
      <c r="C173" s="20">
        <v>4</v>
      </c>
      <c r="D173" s="20" t="s">
        <v>902</v>
      </c>
      <c r="E173" s="45" t="s">
        <v>903</v>
      </c>
      <c r="F173" s="20">
        <v>1</v>
      </c>
      <c r="G173" s="20" t="s">
        <v>904</v>
      </c>
      <c r="H173" s="20" t="s">
        <v>905</v>
      </c>
      <c r="I173" s="20" t="s">
        <v>906</v>
      </c>
      <c r="J173" s="20">
        <v>10140</v>
      </c>
      <c r="K173" s="20" t="s">
        <v>134</v>
      </c>
    </row>
    <row r="174" s="20" customFormat="1" ht="18.95" customHeight="1" spans="1:12">
      <c r="A174" s="30">
        <v>1007009</v>
      </c>
      <c r="B174" s="20" t="s">
        <v>907</v>
      </c>
      <c r="C174" s="20">
        <v>4</v>
      </c>
      <c r="D174" s="20" t="s">
        <v>908</v>
      </c>
      <c r="E174" s="45" t="s">
        <v>909</v>
      </c>
      <c r="F174" s="20">
        <v>1</v>
      </c>
      <c r="G174" s="20" t="s">
        <v>904</v>
      </c>
      <c r="H174" s="20" t="s">
        <v>905</v>
      </c>
      <c r="I174" s="20" t="s">
        <v>906</v>
      </c>
      <c r="J174" s="20">
        <v>10140</v>
      </c>
      <c r="K174" s="20" t="s">
        <v>134</v>
      </c>
    </row>
    <row r="175" s="20" customFormat="1" ht="18.95" customHeight="1" spans="1:12">
      <c r="A175" s="30">
        <v>1007010</v>
      </c>
      <c r="B175" s="20" t="s">
        <v>910</v>
      </c>
      <c r="C175" s="20">
        <v>4</v>
      </c>
      <c r="D175" s="20">
        <v>1007009</v>
      </c>
      <c r="E175" s="45" t="s">
        <v>911</v>
      </c>
      <c r="F175" s="20">
        <v>2</v>
      </c>
      <c r="G175" s="20" t="s">
        <v>912</v>
      </c>
      <c r="H175" s="20" t="s">
        <v>913</v>
      </c>
      <c r="I175" s="20" t="s">
        <v>914</v>
      </c>
      <c r="J175" s="20">
        <v>10141</v>
      </c>
    </row>
    <row r="176" s="20" customFormat="1" ht="18.95" customHeight="1" spans="1:12">
      <c r="A176" s="30">
        <v>1007011</v>
      </c>
      <c r="B176" s="20" t="s">
        <v>915</v>
      </c>
      <c r="C176" s="20">
        <v>4</v>
      </c>
      <c r="D176" s="20" t="s">
        <v>916</v>
      </c>
      <c r="E176" s="20" t="s">
        <v>917</v>
      </c>
      <c r="F176" s="20">
        <v>2</v>
      </c>
      <c r="G176" s="20" t="s">
        <v>918</v>
      </c>
      <c r="H176" s="20" t="s">
        <v>919</v>
      </c>
      <c r="I176" s="20" t="s">
        <v>920</v>
      </c>
      <c r="J176" s="20">
        <v>10139</v>
      </c>
    </row>
    <row r="177" s="20" customFormat="1" ht="18.95" customHeight="1" spans="1:13">
      <c r="A177" s="30">
        <v>1007012</v>
      </c>
      <c r="B177" s="20" t="s">
        <v>921</v>
      </c>
      <c r="C177" s="20">
        <v>4</v>
      </c>
      <c r="D177" s="20" t="s">
        <v>922</v>
      </c>
      <c r="E177" s="20" t="s">
        <v>923</v>
      </c>
      <c r="F177" s="20">
        <v>1</v>
      </c>
      <c r="G177" s="20" t="s">
        <v>924</v>
      </c>
      <c r="H177" s="20" t="s">
        <v>925</v>
      </c>
      <c r="I177" s="20" t="s">
        <v>926</v>
      </c>
      <c r="J177" s="20">
        <v>10111</v>
      </c>
      <c r="K177" s="20" t="s">
        <v>175</v>
      </c>
    </row>
    <row r="178" s="20" customFormat="1" ht="18.95" customHeight="1" spans="1:13">
      <c r="A178" s="30">
        <v>1007013</v>
      </c>
      <c r="B178" s="20" t="s">
        <v>927</v>
      </c>
      <c r="C178" s="20">
        <v>4</v>
      </c>
      <c r="D178" s="20" t="s">
        <v>928</v>
      </c>
      <c r="E178" s="20" t="s">
        <v>929</v>
      </c>
      <c r="F178" s="20">
        <v>1</v>
      </c>
      <c r="G178" s="20" t="s">
        <v>924</v>
      </c>
      <c r="H178" s="20" t="s">
        <v>925</v>
      </c>
      <c r="I178" s="20" t="s">
        <v>926</v>
      </c>
      <c r="J178" s="20">
        <v>10111</v>
      </c>
      <c r="K178" s="20" t="s">
        <v>175</v>
      </c>
    </row>
    <row r="179" s="20" customFormat="1" ht="18.95" customHeight="1" spans="1:13">
      <c r="A179" s="30">
        <v>1007014</v>
      </c>
      <c r="B179" s="20" t="s">
        <v>930</v>
      </c>
      <c r="C179" s="20">
        <v>4</v>
      </c>
      <c r="D179" s="20">
        <v>1007013</v>
      </c>
      <c r="E179" s="20" t="s">
        <v>931</v>
      </c>
      <c r="F179" s="20">
        <v>2</v>
      </c>
      <c r="G179" s="20" t="s">
        <v>932</v>
      </c>
      <c r="H179" s="20" t="s">
        <v>933</v>
      </c>
      <c r="I179" s="20" t="s">
        <v>934</v>
      </c>
      <c r="L179" s="20" t="s">
        <v>935</v>
      </c>
    </row>
    <row r="180" s="21" customFormat="1" ht="15.95" customHeight="1" spans="1:13">
      <c r="A180" s="21">
        <v>1008001</v>
      </c>
      <c r="B180" s="21" t="s">
        <v>936</v>
      </c>
      <c r="C180" s="21">
        <v>3</v>
      </c>
      <c r="D180" s="32">
        <v>1008002</v>
      </c>
      <c r="E180" s="33" t="s">
        <v>621</v>
      </c>
      <c r="F180" s="21">
        <v>1</v>
      </c>
      <c r="G180" s="21" t="s">
        <v>459</v>
      </c>
      <c r="H180" s="21" t="s">
        <v>594</v>
      </c>
      <c r="I180" s="21" t="s">
        <v>828</v>
      </c>
      <c r="J180" s="21">
        <v>10039</v>
      </c>
      <c r="K180" s="21" t="s">
        <v>829</v>
      </c>
    </row>
    <row r="181" s="21" customFormat="1" ht="15.95" customHeight="1" spans="1:13">
      <c r="A181" s="21">
        <v>1008002</v>
      </c>
      <c r="B181" s="21" t="s">
        <v>937</v>
      </c>
      <c r="C181" s="21">
        <v>3</v>
      </c>
      <c r="D181" s="32" t="s">
        <v>938</v>
      </c>
      <c r="E181" s="33" t="s">
        <v>625</v>
      </c>
      <c r="F181" s="21">
        <v>2</v>
      </c>
      <c r="G181" s="21" t="s">
        <v>626</v>
      </c>
      <c r="H181" s="21" t="s">
        <v>939</v>
      </c>
      <c r="I181" s="21" t="s">
        <v>940</v>
      </c>
      <c r="J181" s="21">
        <v>10086</v>
      </c>
      <c r="K181" s="21" t="s">
        <v>191</v>
      </c>
    </row>
    <row r="182" s="21" customFormat="1" ht="15.95" customHeight="1" spans="1:13">
      <c r="A182" s="21">
        <v>1008003</v>
      </c>
      <c r="B182" s="21" t="s">
        <v>941</v>
      </c>
      <c r="C182" s="21">
        <v>3</v>
      </c>
      <c r="D182" s="32" t="s">
        <v>942</v>
      </c>
      <c r="E182" s="33" t="s">
        <v>631</v>
      </c>
      <c r="F182" s="21">
        <v>1</v>
      </c>
      <c r="G182" s="21" t="s">
        <v>459</v>
      </c>
      <c r="H182" s="21" t="s">
        <v>594</v>
      </c>
      <c r="I182" s="21" t="s">
        <v>828</v>
      </c>
      <c r="J182" s="21">
        <v>10039</v>
      </c>
      <c r="K182" s="21" t="s">
        <v>829</v>
      </c>
    </row>
    <row r="183" s="21" customFormat="1" ht="15.95" customHeight="1" spans="1:13">
      <c r="A183" s="21">
        <v>1008004</v>
      </c>
      <c r="B183" s="21" t="s">
        <v>943</v>
      </c>
      <c r="C183" s="21">
        <v>3</v>
      </c>
      <c r="D183" s="32" t="s">
        <v>944</v>
      </c>
      <c r="E183" s="33" t="s">
        <v>634</v>
      </c>
      <c r="F183" s="21">
        <v>2</v>
      </c>
      <c r="G183" s="21" t="s">
        <v>635</v>
      </c>
      <c r="H183" s="21" t="s">
        <v>636</v>
      </c>
      <c r="I183" s="21" t="s">
        <v>637</v>
      </c>
      <c r="M183" s="21" t="s">
        <v>638</v>
      </c>
    </row>
    <row r="184" s="21" customFormat="1" ht="15.95" customHeight="1" spans="1:13">
      <c r="A184" s="21">
        <v>1008005</v>
      </c>
      <c r="B184" s="21" t="s">
        <v>945</v>
      </c>
      <c r="C184" s="21">
        <v>3</v>
      </c>
      <c r="D184" s="32" t="s">
        <v>946</v>
      </c>
      <c r="E184" s="46" t="s">
        <v>641</v>
      </c>
      <c r="F184" s="21">
        <v>1</v>
      </c>
      <c r="G184" s="21" t="s">
        <v>459</v>
      </c>
      <c r="H184" s="21" t="s">
        <v>538</v>
      </c>
      <c r="I184" s="21" t="s">
        <v>622</v>
      </c>
      <c r="J184" s="21">
        <v>10031</v>
      </c>
      <c r="K184" s="21" t="s">
        <v>178</v>
      </c>
    </row>
    <row r="185" s="21" customFormat="1" ht="15.95" customHeight="1" spans="1:13">
      <c r="A185" s="21">
        <v>1008006</v>
      </c>
      <c r="B185" s="21" t="s">
        <v>947</v>
      </c>
      <c r="C185" s="21">
        <v>3</v>
      </c>
      <c r="D185" s="32" t="s">
        <v>948</v>
      </c>
      <c r="E185" s="46" t="s">
        <v>644</v>
      </c>
      <c r="F185" s="21">
        <v>2</v>
      </c>
      <c r="G185" s="21" t="s">
        <v>645</v>
      </c>
      <c r="H185" s="21" t="s">
        <v>646</v>
      </c>
      <c r="I185" s="21" t="s">
        <v>647</v>
      </c>
      <c r="J185" s="21">
        <v>10089</v>
      </c>
      <c r="K185" s="21" t="s">
        <v>134</v>
      </c>
    </row>
    <row r="186" s="21" customFormat="1" ht="15.95" customHeight="1" spans="1:13">
      <c r="A186" s="21">
        <v>1008007</v>
      </c>
      <c r="B186" s="21" t="s">
        <v>949</v>
      </c>
      <c r="C186" s="21">
        <v>3</v>
      </c>
      <c r="D186" s="32" t="s">
        <v>950</v>
      </c>
      <c r="E186" s="46" t="s">
        <v>650</v>
      </c>
      <c r="F186" s="21">
        <v>1</v>
      </c>
      <c r="G186" s="21" t="s">
        <v>459</v>
      </c>
      <c r="H186" s="21" t="s">
        <v>538</v>
      </c>
      <c r="I186" s="21" t="s">
        <v>622</v>
      </c>
      <c r="J186" s="21">
        <v>10031</v>
      </c>
      <c r="K186" s="21" t="s">
        <v>178</v>
      </c>
    </row>
    <row r="187" s="21" customFormat="1" ht="15.95" customHeight="1" spans="1:13">
      <c r="A187" s="21">
        <v>1008008</v>
      </c>
      <c r="B187" s="21" t="s">
        <v>951</v>
      </c>
      <c r="C187" s="21">
        <v>3</v>
      </c>
      <c r="D187" s="32">
        <v>1008007</v>
      </c>
      <c r="E187" s="46" t="s">
        <v>652</v>
      </c>
      <c r="F187" s="21">
        <v>2</v>
      </c>
      <c r="G187" s="21" t="s">
        <v>653</v>
      </c>
      <c r="H187" s="21" t="s">
        <v>654</v>
      </c>
      <c r="I187" s="21" t="s">
        <v>655</v>
      </c>
      <c r="J187" s="21">
        <v>10087</v>
      </c>
      <c r="K187" s="21" t="s">
        <v>656</v>
      </c>
    </row>
    <row r="188" s="21" customFormat="1" ht="15.95" customHeight="1" spans="1:13">
      <c r="A188" s="21">
        <v>1008009</v>
      </c>
      <c r="B188" s="21" t="s">
        <v>952</v>
      </c>
      <c r="C188" s="21">
        <v>3</v>
      </c>
      <c r="D188" s="32" t="s">
        <v>953</v>
      </c>
      <c r="E188" s="33" t="s">
        <v>659</v>
      </c>
      <c r="F188" s="21">
        <v>1</v>
      </c>
      <c r="G188" s="21" t="s">
        <v>459</v>
      </c>
      <c r="H188" s="21" t="s">
        <v>538</v>
      </c>
      <c r="I188" s="21" t="s">
        <v>622</v>
      </c>
      <c r="J188" s="21">
        <v>10031</v>
      </c>
      <c r="K188" s="21" t="s">
        <v>178</v>
      </c>
    </row>
    <row r="189" s="21" customFormat="1" ht="15.95" customHeight="1" spans="1:13">
      <c r="A189" s="21">
        <v>1008010</v>
      </c>
      <c r="B189" s="21" t="s">
        <v>954</v>
      </c>
      <c r="C189" s="21">
        <v>3</v>
      </c>
      <c r="D189" s="32">
        <v>1008009</v>
      </c>
      <c r="E189" s="33" t="s">
        <v>661</v>
      </c>
      <c r="F189" s="21">
        <v>2</v>
      </c>
      <c r="G189" s="21" t="s">
        <v>662</v>
      </c>
      <c r="H189" s="21" t="s">
        <v>663</v>
      </c>
      <c r="I189" s="21" t="s">
        <v>664</v>
      </c>
      <c r="L189" s="21">
        <v>2150000030</v>
      </c>
    </row>
    <row r="190" s="21" customFormat="1" ht="15.95" customHeight="1" spans="1:13">
      <c r="A190" s="21">
        <v>1008011</v>
      </c>
      <c r="B190" s="21" t="s">
        <v>955</v>
      </c>
      <c r="C190" s="21">
        <v>3</v>
      </c>
      <c r="D190" s="32" t="s">
        <v>956</v>
      </c>
      <c r="E190" s="33" t="s">
        <v>667</v>
      </c>
      <c r="F190" s="21">
        <v>1</v>
      </c>
      <c r="G190" s="21" t="s">
        <v>459</v>
      </c>
      <c r="H190" s="21" t="s">
        <v>538</v>
      </c>
      <c r="I190" s="21" t="s">
        <v>622</v>
      </c>
      <c r="J190" s="21">
        <v>10031</v>
      </c>
      <c r="K190" s="21" t="s">
        <v>178</v>
      </c>
    </row>
    <row r="191" s="21" customFormat="1" ht="15.95" customHeight="1" spans="1:13">
      <c r="A191" s="21">
        <v>1008012</v>
      </c>
      <c r="B191" s="21" t="s">
        <v>957</v>
      </c>
      <c r="C191" s="21">
        <v>3</v>
      </c>
      <c r="D191" s="32" t="s">
        <v>958</v>
      </c>
      <c r="E191" s="33" t="s">
        <v>670</v>
      </c>
      <c r="F191" s="21">
        <v>2</v>
      </c>
      <c r="G191" s="21" t="s">
        <v>671</v>
      </c>
      <c r="H191" s="21" t="s">
        <v>672</v>
      </c>
      <c r="I191" s="21" t="s">
        <v>673</v>
      </c>
      <c r="L191" s="21">
        <v>2150000010</v>
      </c>
    </row>
    <row r="192" s="21" customFormat="1" ht="15.95" customHeight="1" spans="1:13">
      <c r="A192" s="21">
        <v>1008013</v>
      </c>
      <c r="B192" s="21" t="s">
        <v>959</v>
      </c>
      <c r="C192" s="21">
        <v>3</v>
      </c>
      <c r="D192" s="32" t="s">
        <v>960</v>
      </c>
      <c r="E192" s="33" t="s">
        <v>676</v>
      </c>
      <c r="F192" s="21">
        <v>1</v>
      </c>
      <c r="G192" s="21" t="s">
        <v>459</v>
      </c>
      <c r="H192" s="21" t="s">
        <v>538</v>
      </c>
      <c r="I192" s="21" t="s">
        <v>622</v>
      </c>
      <c r="J192" s="21">
        <v>10031</v>
      </c>
      <c r="K192" s="21" t="s">
        <v>178</v>
      </c>
    </row>
    <row r="193" s="21" customFormat="1" ht="15.95" customHeight="1" spans="1:12">
      <c r="A193" s="21">
        <v>1008014</v>
      </c>
      <c r="B193" s="21" t="s">
        <v>961</v>
      </c>
      <c r="C193" s="21">
        <v>3</v>
      </c>
      <c r="D193" s="32">
        <v>1008013</v>
      </c>
      <c r="E193" s="33" t="s">
        <v>678</v>
      </c>
      <c r="F193" s="21">
        <v>2</v>
      </c>
      <c r="G193" s="21" t="s">
        <v>679</v>
      </c>
      <c r="H193" s="21" t="s">
        <v>680</v>
      </c>
      <c r="I193" s="21" t="s">
        <v>681</v>
      </c>
      <c r="L193" s="21">
        <v>2150000020</v>
      </c>
    </row>
  </sheetData>
  <autoFilter xmlns:etc="http://www.wps.cn/officeDocument/2017/etCustomData" ref="F1:F193" etc:filterBottomFollowUsedRange="0">
    <extLst/>
  </autoFilter>
  <conditionalFormatting sqref="A1:A2">
    <cfRule type="duplicateValues" dxfId="0" priority="71"/>
  </conditionalFormatting>
  <conditionalFormatting sqref="A7:A23">
    <cfRule type="duplicateValues" dxfId="0" priority="104"/>
  </conditionalFormatting>
  <conditionalFormatting sqref="B1:B2">
    <cfRule type="duplicateValues" dxfId="0" priority="70"/>
  </conditionalFormatting>
  <conditionalFormatting sqref="D1:D2">
    <cfRule type="duplicateValues" dxfId="0" priority="4"/>
  </conditionalFormatting>
  <conditionalFormatting sqref="E1:E2">
    <cfRule type="duplicateValues" dxfId="0" priority="1"/>
  </conditionalFormatting>
  <conditionalFormatting sqref="L1:L2">
    <cfRule type="duplicateValues" dxfId="0" priority="9"/>
  </conditionalFormatting>
  <conditionalFormatting sqref="M1:M2">
    <cfRule type="duplicateValues" dxfId="0" priority="8"/>
  </conditionalFormatting>
  <conditionalFormatting sqref="C1:C2 F1:I2">
    <cfRule type="duplicateValues" dxfId="0" priority="69"/>
  </conditionalFormatting>
  <conditionalFormatting sqref="J1:K2">
    <cfRule type="duplicateValues" dxfId="0" priority="10"/>
  </conditionalFormatting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opLeftCell="C1" workbookViewId="0">
      <selection activeCell="G42" sqref="G42"/>
    </sheetView>
  </sheetViews>
  <sheetFormatPr defaultColWidth="9" defaultRowHeight="13.5"/>
  <cols>
    <col min="1" max="1" width="14" style="5" customWidth="1"/>
    <col min="2" max="2" width="14.25" style="5" customWidth="1"/>
    <col min="3" max="3" width="11.5" style="5" customWidth="1"/>
    <col min="4" max="4" width="19.25" style="5" customWidth="1"/>
    <col min="5" max="5" width="25.375" style="5" customWidth="1"/>
    <col min="6" max="6" width="11.5" style="5" customWidth="1"/>
    <col min="7" max="7" width="97" style="5" customWidth="1"/>
    <col min="8" max="8" width="14.375" style="5" customWidth="1"/>
    <col min="9" max="9" width="12.875" style="5" customWidth="1"/>
    <col min="10" max="10" width="20.25" style="5" customWidth="1"/>
  </cols>
  <sheetData>
    <row r="1" ht="27" spans="1:10">
      <c r="A1" s="6" t="s">
        <v>0</v>
      </c>
      <c r="B1" s="6" t="s">
        <v>1</v>
      </c>
      <c r="C1" s="6" t="s">
        <v>2</v>
      </c>
      <c r="D1" s="6" t="s">
        <v>962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79</v>
      </c>
      <c r="J1" s="5" t="s">
        <v>80</v>
      </c>
    </row>
    <row r="2" spans="1:10">
      <c r="A2" s="7" t="s">
        <v>12</v>
      </c>
      <c r="B2" s="7" t="s">
        <v>13</v>
      </c>
      <c r="C2" s="7" t="s">
        <v>14</v>
      </c>
      <c r="D2" s="7" t="s">
        <v>963</v>
      </c>
      <c r="E2" s="7" t="s">
        <v>84</v>
      </c>
      <c r="F2" s="7" t="s">
        <v>85</v>
      </c>
      <c r="G2" s="7" t="s">
        <v>86</v>
      </c>
      <c r="H2" s="7" t="s">
        <v>87</v>
      </c>
      <c r="I2" s="7" t="s">
        <v>20</v>
      </c>
      <c r="J2" s="7" t="s">
        <v>90</v>
      </c>
    </row>
    <row r="3" spans="1:10">
      <c r="A3" s="8" t="s">
        <v>24</v>
      </c>
      <c r="B3" s="8" t="s">
        <v>25</v>
      </c>
      <c r="C3" s="8" t="s">
        <v>24</v>
      </c>
      <c r="D3" s="8" t="s">
        <v>24</v>
      </c>
      <c r="E3" s="8" t="s">
        <v>25</v>
      </c>
      <c r="F3" s="8" t="s">
        <v>25</v>
      </c>
      <c r="G3" s="8" t="s">
        <v>25</v>
      </c>
      <c r="H3" s="8" t="s">
        <v>26</v>
      </c>
      <c r="I3" s="8" t="s">
        <v>26</v>
      </c>
      <c r="J3" s="8" t="s">
        <v>93</v>
      </c>
    </row>
    <row r="4" spans="1:10">
      <c r="A4" s="11">
        <v>2000001</v>
      </c>
      <c r="B4" s="11" t="s">
        <v>964</v>
      </c>
      <c r="C4" s="11">
        <v>0</v>
      </c>
      <c r="D4" s="11">
        <v>1</v>
      </c>
      <c r="E4" s="11" t="s">
        <v>965</v>
      </c>
      <c r="F4" s="11" t="s">
        <v>966</v>
      </c>
      <c r="G4" s="12" t="s">
        <v>967</v>
      </c>
      <c r="H4" s="11">
        <v>10094</v>
      </c>
      <c r="I4" s="11"/>
      <c r="J4" s="11"/>
    </row>
    <row r="5" spans="1:10">
      <c r="A5" s="11">
        <v>2000002</v>
      </c>
      <c r="B5" s="11" t="s">
        <v>968</v>
      </c>
      <c r="C5" s="11">
        <v>0</v>
      </c>
      <c r="D5" s="11">
        <v>1</v>
      </c>
      <c r="E5" s="11" t="s">
        <v>969</v>
      </c>
      <c r="F5" s="11" t="s">
        <v>970</v>
      </c>
      <c r="G5" s="11" t="s">
        <v>971</v>
      </c>
      <c r="H5" s="11">
        <v>10093</v>
      </c>
      <c r="I5" s="11"/>
      <c r="J5" s="11"/>
    </row>
    <row r="6" spans="1:10">
      <c r="A6" s="11">
        <v>2000003</v>
      </c>
      <c r="B6" s="11" t="s">
        <v>972</v>
      </c>
      <c r="C6" s="11">
        <v>0</v>
      </c>
      <c r="D6" s="11">
        <v>2</v>
      </c>
      <c r="E6" s="11" t="s">
        <v>973</v>
      </c>
      <c r="F6" s="11" t="s">
        <v>974</v>
      </c>
      <c r="G6" s="11" t="s">
        <v>975</v>
      </c>
      <c r="H6" s="11">
        <v>10090</v>
      </c>
      <c r="I6" s="11"/>
      <c r="J6" s="11"/>
    </row>
    <row r="7" spans="1:10">
      <c r="A7" s="11">
        <v>2000004</v>
      </c>
      <c r="B7" s="11" t="s">
        <v>976</v>
      </c>
      <c r="C7" s="11">
        <v>0</v>
      </c>
      <c r="D7" s="11">
        <v>2</v>
      </c>
      <c r="E7" s="11" t="s">
        <v>977</v>
      </c>
      <c r="F7" s="11" t="s">
        <v>978</v>
      </c>
      <c r="G7" s="13" t="s">
        <v>979</v>
      </c>
      <c r="H7" s="11">
        <v>10091</v>
      </c>
      <c r="I7" s="11">
        <v>2140000100</v>
      </c>
      <c r="J7" s="11"/>
    </row>
    <row r="8" spans="1:10">
      <c r="A8" s="11">
        <v>2000005</v>
      </c>
      <c r="B8" s="11" t="s">
        <v>980</v>
      </c>
      <c r="C8" s="11">
        <v>0</v>
      </c>
      <c r="D8" s="11">
        <v>2</v>
      </c>
      <c r="E8" s="11" t="s">
        <v>981</v>
      </c>
      <c r="F8" s="11" t="s">
        <v>982</v>
      </c>
      <c r="G8" s="11" t="s">
        <v>983</v>
      </c>
      <c r="H8" s="11">
        <v>10092</v>
      </c>
      <c r="I8" s="11"/>
      <c r="J8" s="11"/>
    </row>
    <row r="9" spans="1:10">
      <c r="A9" s="14">
        <v>2002001</v>
      </c>
      <c r="B9" s="14" t="s">
        <v>620</v>
      </c>
      <c r="C9" s="14">
        <v>2</v>
      </c>
      <c r="D9" s="14">
        <v>1</v>
      </c>
      <c r="E9" s="14" t="s">
        <v>984</v>
      </c>
      <c r="F9" s="14" t="s">
        <v>939</v>
      </c>
      <c r="G9" s="14" t="s">
        <v>940</v>
      </c>
      <c r="H9" s="14"/>
      <c r="I9" s="14"/>
      <c r="J9" s="14"/>
    </row>
    <row r="10" spans="1:10">
      <c r="A10" s="14">
        <v>2002002</v>
      </c>
      <c r="B10" s="14" t="s">
        <v>623</v>
      </c>
      <c r="C10" s="14">
        <v>2</v>
      </c>
      <c r="D10" s="14">
        <v>1</v>
      </c>
      <c r="E10" s="14" t="s">
        <v>626</v>
      </c>
      <c r="F10" s="14" t="s">
        <v>627</v>
      </c>
      <c r="G10" s="14" t="s">
        <v>985</v>
      </c>
      <c r="H10" s="14"/>
      <c r="I10" s="14"/>
      <c r="J10" s="14"/>
    </row>
    <row r="11" spans="1:10">
      <c r="A11" s="14">
        <v>2002003</v>
      </c>
      <c r="B11" s="14" t="s">
        <v>629</v>
      </c>
      <c r="C11" s="14">
        <v>2</v>
      </c>
      <c r="D11" s="14">
        <v>1</v>
      </c>
      <c r="E11" s="14" t="s">
        <v>645</v>
      </c>
      <c r="F11" s="14" t="s">
        <v>646</v>
      </c>
      <c r="G11" s="14" t="s">
        <v>647</v>
      </c>
      <c r="H11" s="14"/>
      <c r="I11" s="14"/>
      <c r="J11" s="14"/>
    </row>
    <row r="12" spans="1:10">
      <c r="A12" s="14">
        <v>2002004</v>
      </c>
      <c r="B12" s="14" t="s">
        <v>629</v>
      </c>
      <c r="C12" s="14">
        <v>2</v>
      </c>
      <c r="D12" s="14">
        <v>1</v>
      </c>
      <c r="E12" s="14" t="s">
        <v>671</v>
      </c>
      <c r="F12" s="14" t="s">
        <v>672</v>
      </c>
      <c r="G12" s="14" t="s">
        <v>673</v>
      </c>
      <c r="H12" s="14"/>
      <c r="I12" s="14">
        <v>2150000010</v>
      </c>
      <c r="J12" s="14"/>
    </row>
    <row r="13" spans="1:10">
      <c r="A13" s="14">
        <v>2002005</v>
      </c>
      <c r="B13" s="14" t="s">
        <v>629</v>
      </c>
      <c r="C13" s="14">
        <v>2</v>
      </c>
      <c r="D13" s="14">
        <v>1</v>
      </c>
      <c r="E13" s="14" t="s">
        <v>653</v>
      </c>
      <c r="F13" s="14" t="s">
        <v>654</v>
      </c>
      <c r="G13" s="14" t="s">
        <v>655</v>
      </c>
      <c r="H13" s="14"/>
      <c r="I13" s="14"/>
      <c r="J13" s="14"/>
    </row>
    <row r="14" spans="1:10">
      <c r="A14" s="14">
        <v>2002006</v>
      </c>
      <c r="B14" s="14" t="s">
        <v>632</v>
      </c>
      <c r="C14" s="14">
        <v>2</v>
      </c>
      <c r="D14" s="14">
        <v>2</v>
      </c>
      <c r="E14" s="14" t="s">
        <v>679</v>
      </c>
      <c r="F14" s="14" t="s">
        <v>680</v>
      </c>
      <c r="G14" s="15" t="s">
        <v>681</v>
      </c>
      <c r="H14" s="14"/>
      <c r="I14" s="14">
        <v>2150000020</v>
      </c>
      <c r="J14" s="14"/>
    </row>
    <row r="15" spans="1:10">
      <c r="A15" s="14">
        <v>2002007</v>
      </c>
      <c r="B15" s="14" t="s">
        <v>632</v>
      </c>
      <c r="C15" s="14">
        <v>2</v>
      </c>
      <c r="D15" s="14">
        <v>2</v>
      </c>
      <c r="E15" s="14" t="s">
        <v>662</v>
      </c>
      <c r="F15" s="14" t="s">
        <v>663</v>
      </c>
      <c r="G15" s="14" t="s">
        <v>664</v>
      </c>
      <c r="H15" s="14"/>
      <c r="I15" s="14">
        <v>2150000030</v>
      </c>
      <c r="J15" s="14"/>
    </row>
    <row r="16" spans="1:10">
      <c r="A16" s="14">
        <v>2002008</v>
      </c>
      <c r="B16" s="14" t="s">
        <v>632</v>
      </c>
      <c r="C16" s="14">
        <v>2</v>
      </c>
      <c r="D16" s="14">
        <v>2</v>
      </c>
      <c r="E16" s="14" t="s">
        <v>635</v>
      </c>
      <c r="F16" s="14" t="s">
        <v>636</v>
      </c>
      <c r="G16" s="14" t="s">
        <v>637</v>
      </c>
      <c r="H16" s="14"/>
      <c r="I16" s="14"/>
      <c r="J16" s="14" t="s">
        <v>638</v>
      </c>
    </row>
  </sheetData>
  <conditionalFormatting sqref="A1:A2">
    <cfRule type="duplicateValues" dxfId="0" priority="9"/>
  </conditionalFormatting>
  <conditionalFormatting sqref="A7:A22">
    <cfRule type="duplicateValues" dxfId="0" priority="10"/>
  </conditionalFormatting>
  <conditionalFormatting sqref="B1:B2">
    <cfRule type="duplicateValues" dxfId="0" priority="8"/>
  </conditionalFormatting>
  <conditionalFormatting sqref="H1:H2">
    <cfRule type="duplicateValues" dxfId="0" priority="6"/>
  </conditionalFormatting>
  <conditionalFormatting sqref="I1:I2">
    <cfRule type="duplicateValues" dxfId="0" priority="5"/>
  </conditionalFormatting>
  <conditionalFormatting sqref="J1:J2">
    <cfRule type="duplicateValues" dxfId="0" priority="4"/>
  </conditionalFormatting>
  <conditionalFormatting sqref="C1:G2">
    <cfRule type="duplicateValues" dxfId="0" priority="7"/>
  </conditionalFormatting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4"/>
  <sheetViews>
    <sheetView workbookViewId="0">
      <selection activeCell="G28" sqref="G28"/>
    </sheetView>
  </sheetViews>
  <sheetFormatPr defaultColWidth="9" defaultRowHeight="13.5" outlineLevelRow="3"/>
  <cols>
    <col min="1" max="1" width="29.625" customWidth="1"/>
  </cols>
  <sheetData>
    <row r="1" spans="1:1">
      <c r="A1" s="1" t="s">
        <v>986</v>
      </c>
    </row>
    <row r="2" spans="1:1">
      <c r="A2" s="2" t="s">
        <v>987</v>
      </c>
    </row>
    <row r="3" spans="1:1">
      <c r="A3" s="3" t="s">
        <v>26</v>
      </c>
    </row>
    <row r="4" spans="1:1">
      <c r="A4" t="s">
        <v>988</v>
      </c>
    </row>
  </sheetData>
  <conditionalFormatting sqref="A1:A2">
    <cfRule type="duplicateValues" dxfId="0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V183"/>
  <sheetViews>
    <sheetView workbookViewId="0">
      <selection activeCell="F84" sqref="F84"/>
    </sheetView>
  </sheetViews>
  <sheetFormatPr defaultColWidth="9" defaultRowHeight="13.5"/>
  <cols>
    <col min="1" max="1" width="13.875" customWidth="1"/>
    <col min="3" max="3" width="10.375" customWidth="1"/>
    <col min="4" max="4" width="8.375" customWidth="1"/>
    <col min="5" max="5" width="11" customWidth="1"/>
    <col min="6" max="6" width="17.125" style="5" customWidth="1"/>
    <col min="7" max="7" width="12.625" style="5" customWidth="1"/>
    <col min="8" max="8" width="14.875" customWidth="1"/>
    <col min="9" max="9" width="19.375" customWidth="1"/>
    <col min="11" max="11" width="45.75" customWidth="1"/>
    <col min="12" max="12" width="13.125" customWidth="1"/>
    <col min="13" max="13" width="20.125" style="5" customWidth="1"/>
    <col min="14" max="14" width="26.125" customWidth="1"/>
    <col min="15" max="15" width="15" customWidth="1"/>
    <col min="16" max="17" width="41.5" customWidth="1"/>
    <col min="18" max="18" width="11.5" customWidth="1"/>
    <col min="19" max="19" width="14.25" customWidth="1"/>
    <col min="20" max="20" width="10.375" customWidth="1"/>
    <col min="21" max="21" width="29.25" customWidth="1"/>
    <col min="22" max="22" width="11.375" customWidth="1"/>
  </cols>
  <sheetData>
    <row r="1" ht="27" spans="1:22">
      <c r="A1" s="1" t="s">
        <v>989</v>
      </c>
      <c r="B1" s="1" t="s">
        <v>990</v>
      </c>
      <c r="C1" s="1" t="s">
        <v>991</v>
      </c>
      <c r="D1" s="1" t="s">
        <v>1</v>
      </c>
      <c r="E1" s="1" t="s">
        <v>992</v>
      </c>
      <c r="F1" s="6" t="s">
        <v>993</v>
      </c>
      <c r="G1" s="6" t="s">
        <v>994</v>
      </c>
      <c r="H1" s="1" t="s">
        <v>995</v>
      </c>
      <c r="I1" s="1" t="s">
        <v>74</v>
      </c>
      <c r="J1" s="1" t="s">
        <v>75</v>
      </c>
      <c r="K1" s="1" t="s">
        <v>76</v>
      </c>
      <c r="L1" s="1" t="s">
        <v>77</v>
      </c>
      <c r="M1" s="6" t="s">
        <v>79</v>
      </c>
      <c r="N1" s="1" t="s">
        <v>80</v>
      </c>
      <c r="O1" s="1" t="s">
        <v>996</v>
      </c>
      <c r="P1" s="1" t="s">
        <v>997</v>
      </c>
      <c r="Q1" s="1" t="s">
        <v>998</v>
      </c>
      <c r="R1" s="1" t="s">
        <v>999</v>
      </c>
      <c r="S1" s="1" t="s">
        <v>1000</v>
      </c>
      <c r="T1" s="1" t="s">
        <v>1001</v>
      </c>
      <c r="U1" s="1" t="s">
        <v>1002</v>
      </c>
      <c r="V1" s="1" t="s">
        <v>1003</v>
      </c>
    </row>
    <row r="2" spans="1:22">
      <c r="A2" s="2" t="s">
        <v>12</v>
      </c>
      <c r="B2" s="2" t="s">
        <v>1004</v>
      </c>
      <c r="C2" s="2" t="s">
        <v>1005</v>
      </c>
      <c r="D2" s="2" t="s">
        <v>13</v>
      </c>
      <c r="E2" s="2" t="s">
        <v>1006</v>
      </c>
      <c r="F2" s="7" t="s">
        <v>1007</v>
      </c>
      <c r="G2" s="7" t="s">
        <v>1008</v>
      </c>
      <c r="H2" s="2" t="s">
        <v>1009</v>
      </c>
      <c r="I2" s="2" t="s">
        <v>84</v>
      </c>
      <c r="J2" s="2" t="s">
        <v>85</v>
      </c>
      <c r="K2" s="2" t="s">
        <v>86</v>
      </c>
      <c r="L2" s="2" t="s">
        <v>87</v>
      </c>
      <c r="M2" s="7" t="s">
        <v>20</v>
      </c>
      <c r="N2" s="2" t="s">
        <v>90</v>
      </c>
      <c r="O2" s="2" t="s">
        <v>1010</v>
      </c>
      <c r="P2" s="2" t="s">
        <v>1011</v>
      </c>
      <c r="Q2" s="2" t="s">
        <v>1012</v>
      </c>
      <c r="R2" s="2" t="s">
        <v>1013</v>
      </c>
      <c r="S2" s="2" t="s">
        <v>1014</v>
      </c>
      <c r="T2" s="2" t="s">
        <v>17</v>
      </c>
      <c r="U2" s="2" t="s">
        <v>1015</v>
      </c>
      <c r="V2" s="2" t="s">
        <v>1016</v>
      </c>
    </row>
    <row r="3" spans="1:22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8" t="s">
        <v>24</v>
      </c>
      <c r="G3" s="8" t="s">
        <v>27</v>
      </c>
      <c r="H3" s="3" t="s">
        <v>93</v>
      </c>
      <c r="I3" s="3" t="s">
        <v>25</v>
      </c>
      <c r="J3" s="3" t="s">
        <v>25</v>
      </c>
      <c r="K3" s="3" t="s">
        <v>25</v>
      </c>
      <c r="L3" s="3" t="s">
        <v>27</v>
      </c>
      <c r="M3" s="8" t="s">
        <v>26</v>
      </c>
      <c r="N3" s="3" t="s">
        <v>93</v>
      </c>
      <c r="O3" s="3" t="s">
        <v>93</v>
      </c>
      <c r="P3" s="3" t="s">
        <v>93</v>
      </c>
      <c r="Q3" s="3" t="s">
        <v>93</v>
      </c>
      <c r="R3" s="3" t="s">
        <v>93</v>
      </c>
      <c r="S3" s="3" t="s">
        <v>24</v>
      </c>
      <c r="T3" s="3" t="s">
        <v>1017</v>
      </c>
      <c r="U3" s="3" t="s">
        <v>1017</v>
      </c>
      <c r="V3" s="3" t="s">
        <v>24</v>
      </c>
    </row>
    <row r="4" spans="1:22">
      <c r="A4">
        <v>1011</v>
      </c>
      <c r="B4">
        <v>1</v>
      </c>
      <c r="C4">
        <v>3</v>
      </c>
      <c r="D4" t="s">
        <v>1018</v>
      </c>
      <c r="E4">
        <v>101101</v>
      </c>
      <c r="F4" s="5" t="s">
        <v>1019</v>
      </c>
      <c r="H4" t="s">
        <v>1020</v>
      </c>
      <c r="I4" t="s">
        <v>94</v>
      </c>
      <c r="J4" t="s">
        <v>1021</v>
      </c>
      <c r="K4" s="9" t="s">
        <v>1022</v>
      </c>
      <c r="N4" t="s">
        <v>1023</v>
      </c>
      <c r="O4" t="s">
        <v>1024</v>
      </c>
      <c r="P4" t="s">
        <v>1025</v>
      </c>
      <c r="Q4" t="s">
        <v>1026</v>
      </c>
      <c r="R4" t="s">
        <v>1027</v>
      </c>
      <c r="S4">
        <v>1000</v>
      </c>
      <c r="T4" t="s">
        <v>1028</v>
      </c>
      <c r="U4" t="s">
        <v>1029</v>
      </c>
      <c r="V4">
        <v>1</v>
      </c>
    </row>
    <row r="5" spans="1:22">
      <c r="A5">
        <v>1011</v>
      </c>
      <c r="B5">
        <v>2</v>
      </c>
      <c r="C5">
        <v>4</v>
      </c>
      <c r="D5" t="s">
        <v>1018</v>
      </c>
      <c r="E5">
        <v>101102</v>
      </c>
      <c r="F5" s="5" t="s">
        <v>1019</v>
      </c>
      <c r="H5" t="s">
        <v>1030</v>
      </c>
      <c r="I5" t="s">
        <v>98</v>
      </c>
      <c r="J5" t="s">
        <v>1021</v>
      </c>
      <c r="K5" s="9" t="s">
        <v>1031</v>
      </c>
      <c r="L5">
        <v>120112000</v>
      </c>
      <c r="N5" t="s">
        <v>1023</v>
      </c>
      <c r="O5" t="s">
        <v>1024</v>
      </c>
      <c r="P5" t="s">
        <v>1032</v>
      </c>
      <c r="Q5" t="s">
        <v>1033</v>
      </c>
      <c r="R5" t="s">
        <v>1027</v>
      </c>
      <c r="S5">
        <v>3000</v>
      </c>
      <c r="T5" t="s">
        <v>1034</v>
      </c>
      <c r="U5" t="s">
        <v>1035</v>
      </c>
      <c r="V5">
        <v>1</v>
      </c>
    </row>
    <row r="6" spans="1:22">
      <c r="A6">
        <v>1011</v>
      </c>
      <c r="B6">
        <v>3</v>
      </c>
      <c r="C6">
        <v>6</v>
      </c>
      <c r="D6" t="s">
        <v>1018</v>
      </c>
      <c r="E6">
        <v>101103</v>
      </c>
      <c r="F6" s="5" t="s">
        <v>1019</v>
      </c>
      <c r="H6" t="s">
        <v>1036</v>
      </c>
      <c r="I6" t="s">
        <v>1037</v>
      </c>
      <c r="J6" t="s">
        <v>1021</v>
      </c>
      <c r="K6" s="9" t="s">
        <v>1038</v>
      </c>
      <c r="L6">
        <v>120112000</v>
      </c>
      <c r="N6" t="s">
        <v>1039</v>
      </c>
      <c r="O6" t="s">
        <v>1024</v>
      </c>
      <c r="P6" t="s">
        <v>1040</v>
      </c>
      <c r="Q6" t="s">
        <v>1041</v>
      </c>
      <c r="R6" t="s">
        <v>1027</v>
      </c>
      <c r="S6">
        <v>6000</v>
      </c>
      <c r="T6" t="s">
        <v>1034</v>
      </c>
      <c r="U6" t="s">
        <v>1035</v>
      </c>
      <c r="V6">
        <v>1</v>
      </c>
    </row>
    <row r="7" spans="1:22">
      <c r="A7">
        <v>1011</v>
      </c>
      <c r="B7">
        <v>4</v>
      </c>
      <c r="C7">
        <v>8</v>
      </c>
      <c r="D7" t="s">
        <v>1018</v>
      </c>
      <c r="E7">
        <v>101104</v>
      </c>
      <c r="F7" s="5" t="s">
        <v>1019</v>
      </c>
      <c r="G7" s="5" t="s">
        <v>1042</v>
      </c>
      <c r="H7" t="s">
        <v>1043</v>
      </c>
      <c r="I7" t="s">
        <v>1044</v>
      </c>
      <c r="J7" t="s">
        <v>1021</v>
      </c>
      <c r="K7" s="9" t="s">
        <v>1045</v>
      </c>
      <c r="L7">
        <v>120114000</v>
      </c>
      <c r="M7" s="5">
        <v>120114000</v>
      </c>
      <c r="N7" t="s">
        <v>1039</v>
      </c>
      <c r="O7" t="s">
        <v>1024</v>
      </c>
      <c r="P7" t="s">
        <v>1046</v>
      </c>
      <c r="Q7" t="s">
        <v>1047</v>
      </c>
      <c r="R7" t="s">
        <v>1027</v>
      </c>
      <c r="S7">
        <v>10000</v>
      </c>
      <c r="T7" t="s">
        <v>1034</v>
      </c>
      <c r="U7" t="s">
        <v>1035</v>
      </c>
      <c r="V7">
        <v>1</v>
      </c>
    </row>
    <row r="8" spans="1:22">
      <c r="A8">
        <v>5011</v>
      </c>
      <c r="B8">
        <v>1</v>
      </c>
      <c r="C8">
        <v>3</v>
      </c>
      <c r="D8" t="s">
        <v>1018</v>
      </c>
      <c r="E8">
        <v>101201</v>
      </c>
      <c r="F8" s="5" t="s">
        <v>1048</v>
      </c>
      <c r="H8" t="s">
        <v>1049</v>
      </c>
      <c r="I8" t="s">
        <v>102</v>
      </c>
      <c r="J8" t="s">
        <v>1050</v>
      </c>
      <c r="K8" s="9" t="s">
        <v>1051</v>
      </c>
      <c r="M8" s="5">
        <v>120121000</v>
      </c>
      <c r="O8" t="s">
        <v>1024</v>
      </c>
      <c r="P8" t="s">
        <v>1025</v>
      </c>
      <c r="Q8" t="s">
        <v>1026</v>
      </c>
      <c r="R8" t="s">
        <v>1027</v>
      </c>
      <c r="S8">
        <v>1000</v>
      </c>
      <c r="T8" t="s">
        <v>1052</v>
      </c>
      <c r="U8" t="s">
        <v>1029</v>
      </c>
      <c r="V8">
        <v>1</v>
      </c>
    </row>
    <row r="9" spans="1:22">
      <c r="A9">
        <v>5011</v>
      </c>
      <c r="B9">
        <v>2</v>
      </c>
      <c r="C9">
        <v>4</v>
      </c>
      <c r="D9" t="s">
        <v>1018</v>
      </c>
      <c r="E9">
        <v>101202</v>
      </c>
      <c r="F9" s="5" t="s">
        <v>1048</v>
      </c>
      <c r="H9" t="s">
        <v>1053</v>
      </c>
      <c r="I9" t="s">
        <v>1054</v>
      </c>
      <c r="J9" t="s">
        <v>1050</v>
      </c>
      <c r="K9" s="9" t="s">
        <v>1055</v>
      </c>
      <c r="M9" s="5" t="s">
        <v>1056</v>
      </c>
      <c r="O9" t="s">
        <v>1024</v>
      </c>
      <c r="P9" t="s">
        <v>1032</v>
      </c>
      <c r="Q9" t="s">
        <v>1033</v>
      </c>
      <c r="R9" t="s">
        <v>1027</v>
      </c>
      <c r="S9">
        <v>3000</v>
      </c>
      <c r="T9" t="s">
        <v>1057</v>
      </c>
      <c r="U9" t="s">
        <v>1035</v>
      </c>
      <c r="V9">
        <v>1</v>
      </c>
    </row>
    <row r="10" spans="1:22">
      <c r="A10">
        <v>5011</v>
      </c>
      <c r="B10">
        <v>3</v>
      </c>
      <c r="C10">
        <v>6</v>
      </c>
      <c r="D10" t="s">
        <v>1018</v>
      </c>
      <c r="E10">
        <v>101203</v>
      </c>
      <c r="F10" s="5" t="s">
        <v>1048</v>
      </c>
      <c r="H10" t="s">
        <v>1058</v>
      </c>
      <c r="I10" t="s">
        <v>1059</v>
      </c>
      <c r="J10" t="s">
        <v>1050</v>
      </c>
      <c r="K10" s="9" t="s">
        <v>1060</v>
      </c>
      <c r="M10" s="5" t="s">
        <v>1056</v>
      </c>
      <c r="N10" t="s">
        <v>1061</v>
      </c>
      <c r="O10" t="s">
        <v>1024</v>
      </c>
      <c r="P10" t="s">
        <v>1040</v>
      </c>
      <c r="Q10" t="s">
        <v>1041</v>
      </c>
      <c r="R10" t="s">
        <v>1027</v>
      </c>
      <c r="S10">
        <v>6000</v>
      </c>
      <c r="T10" t="s">
        <v>1057</v>
      </c>
      <c r="U10" t="s">
        <v>1035</v>
      </c>
      <c r="V10">
        <v>1</v>
      </c>
    </row>
    <row r="11" spans="1:22">
      <c r="A11">
        <v>1012</v>
      </c>
      <c r="B11">
        <v>4</v>
      </c>
      <c r="C11">
        <v>8</v>
      </c>
      <c r="D11" t="s">
        <v>1018</v>
      </c>
      <c r="E11">
        <v>101204</v>
      </c>
      <c r="F11" s="5" t="s">
        <v>1048</v>
      </c>
      <c r="G11" s="5" t="s">
        <v>1062</v>
      </c>
      <c r="H11" t="s">
        <v>1063</v>
      </c>
      <c r="I11" t="s">
        <v>1064</v>
      </c>
      <c r="J11" t="s">
        <v>1050</v>
      </c>
      <c r="K11" s="9" t="s">
        <v>1065</v>
      </c>
      <c r="M11" s="5" t="s">
        <v>1066</v>
      </c>
      <c r="N11" t="s">
        <v>1061</v>
      </c>
      <c r="O11" t="s">
        <v>1024</v>
      </c>
      <c r="P11" t="s">
        <v>1046</v>
      </c>
      <c r="Q11" t="s">
        <v>1047</v>
      </c>
      <c r="R11" t="s">
        <v>1027</v>
      </c>
      <c r="S11">
        <v>10000</v>
      </c>
      <c r="T11" t="s">
        <v>1057</v>
      </c>
      <c r="U11" t="s">
        <v>1035</v>
      </c>
      <c r="V11">
        <v>1</v>
      </c>
    </row>
    <row r="12" spans="1:22">
      <c r="A12">
        <v>1012</v>
      </c>
      <c r="B12">
        <f t="shared" ref="B12:D15" si="0">B8</f>
        <v>1</v>
      </c>
      <c r="C12">
        <f t="shared" si="0"/>
        <v>3</v>
      </c>
      <c r="D12" t="str">
        <f t="shared" si="0"/>
        <v>普通攻击</v>
      </c>
      <c r="E12">
        <f t="shared" ref="E12:F15" si="1">E8+100</f>
        <v>101301</v>
      </c>
      <c r="F12" s="5">
        <f t="shared" si="1"/>
        <v>101310</v>
      </c>
      <c r="H12" t="str">
        <f>"[["&amp;F12&amp;",300]]"</f>
        <v>[[101310,300]]</v>
      </c>
      <c r="I12" t="str">
        <f>"skill/sect/"&amp;E12</f>
        <v>skill/sect/101301</v>
      </c>
      <c r="J12" t="s">
        <v>1067</v>
      </c>
      <c r="K12" s="9" t="s">
        <v>1068</v>
      </c>
      <c r="N12" t="s">
        <v>1069</v>
      </c>
      <c r="O12" t="s">
        <v>1024</v>
      </c>
      <c r="P12" t="s">
        <v>1025</v>
      </c>
      <c r="Q12" t="s">
        <v>1026</v>
      </c>
      <c r="R12" t="str">
        <f>R8</f>
        <v>[[103,10]]</v>
      </c>
      <c r="S12">
        <f>S4</f>
        <v>1000</v>
      </c>
      <c r="T12" t="s">
        <v>1028</v>
      </c>
      <c r="U12" t="s">
        <v>1029</v>
      </c>
      <c r="V12">
        <v>0</v>
      </c>
    </row>
    <row r="13" spans="1:22">
      <c r="A13">
        <v>1012</v>
      </c>
      <c r="B13">
        <f t="shared" si="0"/>
        <v>2</v>
      </c>
      <c r="C13">
        <f t="shared" si="0"/>
        <v>4</v>
      </c>
      <c r="D13" t="str">
        <f t="shared" si="0"/>
        <v>普通攻击</v>
      </c>
      <c r="E13">
        <f t="shared" si="1"/>
        <v>101302</v>
      </c>
      <c r="F13" s="5">
        <f t="shared" si="1"/>
        <v>101310</v>
      </c>
      <c r="H13" t="str">
        <f>"[["&amp;F13&amp;",600]]"</f>
        <v>[[101310,600]]</v>
      </c>
      <c r="I13" t="str">
        <f>"skill/sect/"&amp;E13</f>
        <v>skill/sect/101302</v>
      </c>
      <c r="J13" t="s">
        <v>1067</v>
      </c>
      <c r="K13" s="9" t="s">
        <v>1070</v>
      </c>
      <c r="L13">
        <v>120132000</v>
      </c>
      <c r="M13" s="5">
        <v>120132000</v>
      </c>
      <c r="N13" t="s">
        <v>1069</v>
      </c>
      <c r="O13" t="s">
        <v>1024</v>
      </c>
      <c r="P13" t="s">
        <v>1032</v>
      </c>
      <c r="Q13" t="s">
        <v>1033</v>
      </c>
      <c r="R13" t="str">
        <f>R9</f>
        <v>[[103,10]]</v>
      </c>
      <c r="S13">
        <f>S5</f>
        <v>3000</v>
      </c>
      <c r="T13" t="s">
        <v>1071</v>
      </c>
      <c r="U13" t="s">
        <v>1035</v>
      </c>
      <c r="V13">
        <v>0</v>
      </c>
    </row>
    <row r="14" spans="1:22">
      <c r="A14">
        <v>1012</v>
      </c>
      <c r="B14">
        <f t="shared" si="0"/>
        <v>3</v>
      </c>
      <c r="C14">
        <f t="shared" si="0"/>
        <v>6</v>
      </c>
      <c r="D14" t="str">
        <f t="shared" si="0"/>
        <v>普通攻击</v>
      </c>
      <c r="E14">
        <f t="shared" si="1"/>
        <v>101303</v>
      </c>
      <c r="F14" s="5">
        <f t="shared" si="1"/>
        <v>101310</v>
      </c>
      <c r="H14" t="str">
        <f>"[["&amp;F14&amp;",900]]"</f>
        <v>[[101310,900]]</v>
      </c>
      <c r="I14" t="str">
        <f>"skill/sect/"&amp;E14</f>
        <v>skill/sect/101303</v>
      </c>
      <c r="J14" t="s">
        <v>1067</v>
      </c>
      <c r="K14" s="9" t="s">
        <v>1038</v>
      </c>
      <c r="L14">
        <v>120132000</v>
      </c>
      <c r="M14" s="5">
        <v>120132000</v>
      </c>
      <c r="N14" t="s">
        <v>1072</v>
      </c>
      <c r="O14" t="s">
        <v>1024</v>
      </c>
      <c r="P14" t="s">
        <v>1040</v>
      </c>
      <c r="Q14" t="s">
        <v>1041</v>
      </c>
      <c r="R14" t="str">
        <f>R10</f>
        <v>[[103,10]]</v>
      </c>
      <c r="S14">
        <f>S6</f>
        <v>6000</v>
      </c>
      <c r="T14" t="s">
        <v>1071</v>
      </c>
      <c r="U14" t="s">
        <v>1035</v>
      </c>
      <c r="V14">
        <v>0</v>
      </c>
    </row>
    <row r="15" spans="1:22">
      <c r="A15">
        <f>A11+1</f>
        <v>1013</v>
      </c>
      <c r="B15">
        <f t="shared" si="0"/>
        <v>4</v>
      </c>
      <c r="C15">
        <f t="shared" si="0"/>
        <v>8</v>
      </c>
      <c r="D15" t="str">
        <f t="shared" si="0"/>
        <v>普通攻击</v>
      </c>
      <c r="E15">
        <f t="shared" si="1"/>
        <v>101304</v>
      </c>
      <c r="F15" s="5">
        <f t="shared" si="1"/>
        <v>101310</v>
      </c>
      <c r="G15" s="5">
        <f>G11+100</f>
        <v>101320</v>
      </c>
      <c r="H15" t="str">
        <f>"[["&amp;G15&amp;",1]]"</f>
        <v>[[101320,1]]</v>
      </c>
      <c r="I15" t="str">
        <f>"skill/sect/"&amp;E15</f>
        <v>skill/sect/101304</v>
      </c>
      <c r="J15" t="s">
        <v>1067</v>
      </c>
      <c r="K15" s="9" t="s">
        <v>1073</v>
      </c>
      <c r="L15">
        <v>120132000</v>
      </c>
      <c r="M15" s="5">
        <v>120134000</v>
      </c>
      <c r="N15" t="s">
        <v>1072</v>
      </c>
      <c r="O15" t="s">
        <v>1024</v>
      </c>
      <c r="P15" t="s">
        <v>1046</v>
      </c>
      <c r="Q15" t="s">
        <v>1047</v>
      </c>
      <c r="R15" t="str">
        <f>R11</f>
        <v>[[103,10]]</v>
      </c>
      <c r="S15">
        <f>S7</f>
        <v>10000</v>
      </c>
      <c r="T15" t="s">
        <v>1071</v>
      </c>
      <c r="U15" t="s">
        <v>1035</v>
      </c>
      <c r="V15">
        <v>0</v>
      </c>
    </row>
    <row r="16" spans="1:22">
      <c r="A16">
        <v>1021</v>
      </c>
      <c r="B16">
        <v>1</v>
      </c>
      <c r="C16">
        <v>3</v>
      </c>
      <c r="D16" t="s">
        <v>1074</v>
      </c>
      <c r="E16">
        <v>102101</v>
      </c>
      <c r="F16" s="5" t="s">
        <v>1075</v>
      </c>
      <c r="H16" t="s">
        <v>1076</v>
      </c>
      <c r="I16" t="s">
        <v>120</v>
      </c>
      <c r="J16" t="s">
        <v>1077</v>
      </c>
      <c r="K16" s="9" t="s">
        <v>1078</v>
      </c>
      <c r="M16" s="10"/>
      <c r="N16" t="s">
        <v>1079</v>
      </c>
      <c r="O16" t="s">
        <v>1024</v>
      </c>
      <c r="P16" t="s">
        <v>1025</v>
      </c>
      <c r="Q16" t="s">
        <v>1026</v>
      </c>
      <c r="R16" t="s">
        <v>1027</v>
      </c>
      <c r="S16">
        <v>2000</v>
      </c>
      <c r="T16" t="s">
        <v>1080</v>
      </c>
      <c r="U16" t="s">
        <v>1081</v>
      </c>
      <c r="V16">
        <v>1</v>
      </c>
    </row>
    <row r="17" spans="1:22">
      <c r="A17">
        <v>1021</v>
      </c>
      <c r="B17">
        <v>2</v>
      </c>
      <c r="C17">
        <v>4</v>
      </c>
      <c r="D17" t="s">
        <v>1074</v>
      </c>
      <c r="E17">
        <v>102102</v>
      </c>
      <c r="F17" s="5" t="s">
        <v>1075</v>
      </c>
      <c r="H17" t="s">
        <v>1082</v>
      </c>
      <c r="I17" t="s">
        <v>123</v>
      </c>
      <c r="J17" t="s">
        <v>1077</v>
      </c>
      <c r="K17" s="9" t="s">
        <v>1083</v>
      </c>
      <c r="L17">
        <v>120212000</v>
      </c>
      <c r="M17" s="10"/>
      <c r="N17" t="s">
        <v>1079</v>
      </c>
      <c r="O17" t="s">
        <v>1024</v>
      </c>
      <c r="P17" t="s">
        <v>1032</v>
      </c>
      <c r="Q17" t="s">
        <v>1033</v>
      </c>
      <c r="R17" t="s">
        <v>1027</v>
      </c>
      <c r="S17">
        <v>5000</v>
      </c>
      <c r="T17" t="s">
        <v>1084</v>
      </c>
      <c r="U17" t="s">
        <v>1085</v>
      </c>
      <c r="V17">
        <v>1</v>
      </c>
    </row>
    <row r="18" spans="1:22">
      <c r="A18">
        <v>1021</v>
      </c>
      <c r="B18">
        <v>3</v>
      </c>
      <c r="C18">
        <v>6</v>
      </c>
      <c r="D18" t="s">
        <v>1074</v>
      </c>
      <c r="E18">
        <v>102103</v>
      </c>
      <c r="F18" s="5" t="s">
        <v>1075</v>
      </c>
      <c r="H18" t="s">
        <v>1086</v>
      </c>
      <c r="I18" t="s">
        <v>126</v>
      </c>
      <c r="J18" t="s">
        <v>1077</v>
      </c>
      <c r="K18" s="9" t="s">
        <v>1087</v>
      </c>
      <c r="L18">
        <v>120212000</v>
      </c>
      <c r="M18" s="10">
        <v>120213000</v>
      </c>
      <c r="N18" t="s">
        <v>1079</v>
      </c>
      <c r="O18" t="s">
        <v>1024</v>
      </c>
      <c r="P18" t="s">
        <v>1040</v>
      </c>
      <c r="Q18" t="s">
        <v>1041</v>
      </c>
      <c r="R18" t="s">
        <v>1027</v>
      </c>
      <c r="S18">
        <v>10000</v>
      </c>
      <c r="T18" t="s">
        <v>1084</v>
      </c>
      <c r="U18" t="s">
        <v>1085</v>
      </c>
      <c r="V18">
        <v>1</v>
      </c>
    </row>
    <row r="19" spans="1:22">
      <c r="A19">
        <v>1021</v>
      </c>
      <c r="B19">
        <v>4</v>
      </c>
      <c r="C19">
        <v>8</v>
      </c>
      <c r="D19" t="s">
        <v>1074</v>
      </c>
      <c r="E19">
        <v>102104</v>
      </c>
      <c r="F19" s="5" t="s">
        <v>1075</v>
      </c>
      <c r="G19" s="5" t="s">
        <v>1088</v>
      </c>
      <c r="H19" t="s">
        <v>1089</v>
      </c>
      <c r="I19" t="s">
        <v>129</v>
      </c>
      <c r="J19" t="s">
        <v>1077</v>
      </c>
      <c r="K19" s="9" t="s">
        <v>1090</v>
      </c>
      <c r="L19">
        <v>120214000</v>
      </c>
      <c r="M19" s="10">
        <v>120213000</v>
      </c>
      <c r="N19" t="s">
        <v>1079</v>
      </c>
      <c r="O19" t="s">
        <v>1024</v>
      </c>
      <c r="P19" t="s">
        <v>1046</v>
      </c>
      <c r="Q19" t="s">
        <v>1047</v>
      </c>
      <c r="R19" t="s">
        <v>1027</v>
      </c>
      <c r="S19">
        <v>20000</v>
      </c>
      <c r="T19" t="s">
        <v>1084</v>
      </c>
      <c r="U19" t="s">
        <v>1085</v>
      </c>
      <c r="V19">
        <v>1</v>
      </c>
    </row>
    <row r="20" spans="1:22">
      <c r="A20">
        <v>1022</v>
      </c>
      <c r="B20">
        <v>1</v>
      </c>
      <c r="C20">
        <v>3</v>
      </c>
      <c r="D20" t="s">
        <v>1074</v>
      </c>
      <c r="E20">
        <v>102201</v>
      </c>
      <c r="F20" s="5" t="s">
        <v>1091</v>
      </c>
      <c r="H20" t="s">
        <v>1092</v>
      </c>
      <c r="I20" t="s">
        <v>135</v>
      </c>
      <c r="J20" t="s">
        <v>1093</v>
      </c>
      <c r="K20" s="9" t="s">
        <v>1094</v>
      </c>
      <c r="L20">
        <v>120221000</v>
      </c>
      <c r="O20" t="s">
        <v>1024</v>
      </c>
      <c r="P20" t="s">
        <v>1025</v>
      </c>
      <c r="Q20" t="s">
        <v>1026</v>
      </c>
      <c r="R20" t="s">
        <v>1027</v>
      </c>
      <c r="S20">
        <v>2000</v>
      </c>
      <c r="T20" t="s">
        <v>1095</v>
      </c>
      <c r="U20" t="s">
        <v>1029</v>
      </c>
      <c r="V20">
        <v>1</v>
      </c>
    </row>
    <row r="21" spans="1:22">
      <c r="A21">
        <v>1022</v>
      </c>
      <c r="B21">
        <v>2</v>
      </c>
      <c r="C21">
        <v>4</v>
      </c>
      <c r="D21" t="s">
        <v>1074</v>
      </c>
      <c r="E21">
        <v>102202</v>
      </c>
      <c r="F21" s="5" t="s">
        <v>1091</v>
      </c>
      <c r="H21" t="s">
        <v>1096</v>
      </c>
      <c r="I21" t="s">
        <v>138</v>
      </c>
      <c r="J21" t="s">
        <v>1093</v>
      </c>
      <c r="K21" s="9" t="s">
        <v>1097</v>
      </c>
      <c r="L21">
        <v>120222000</v>
      </c>
      <c r="M21" s="10"/>
      <c r="O21" t="s">
        <v>1024</v>
      </c>
      <c r="P21" t="s">
        <v>1032</v>
      </c>
      <c r="Q21" t="s">
        <v>1033</v>
      </c>
      <c r="R21" t="s">
        <v>1027</v>
      </c>
      <c r="S21">
        <v>5000</v>
      </c>
      <c r="T21" t="s">
        <v>1098</v>
      </c>
      <c r="U21" t="s">
        <v>1035</v>
      </c>
      <c r="V21">
        <v>1</v>
      </c>
    </row>
    <row r="22" spans="1:22">
      <c r="A22">
        <v>1022</v>
      </c>
      <c r="B22">
        <v>3</v>
      </c>
      <c r="C22">
        <v>6</v>
      </c>
      <c r="D22" t="s">
        <v>1074</v>
      </c>
      <c r="E22">
        <v>102203</v>
      </c>
      <c r="F22" s="5" t="s">
        <v>1091</v>
      </c>
      <c r="H22" t="s">
        <v>1099</v>
      </c>
      <c r="I22" t="s">
        <v>141</v>
      </c>
      <c r="J22" t="s">
        <v>1093</v>
      </c>
      <c r="K22" s="9" t="s">
        <v>1100</v>
      </c>
      <c r="L22">
        <v>120222000</v>
      </c>
      <c r="M22" s="10"/>
      <c r="N22" t="s">
        <v>1101</v>
      </c>
      <c r="O22" t="s">
        <v>1024</v>
      </c>
      <c r="P22" t="s">
        <v>1040</v>
      </c>
      <c r="Q22" t="s">
        <v>1041</v>
      </c>
      <c r="R22" t="s">
        <v>1027</v>
      </c>
      <c r="S22">
        <v>10000</v>
      </c>
      <c r="T22" t="s">
        <v>1098</v>
      </c>
      <c r="U22" t="s">
        <v>1035</v>
      </c>
      <c r="V22">
        <v>1</v>
      </c>
    </row>
    <row r="23" spans="1:22">
      <c r="A23">
        <v>1022</v>
      </c>
      <c r="B23">
        <v>4</v>
      </c>
      <c r="C23">
        <v>8</v>
      </c>
      <c r="D23" t="s">
        <v>1074</v>
      </c>
      <c r="E23">
        <v>102204</v>
      </c>
      <c r="F23" s="5" t="s">
        <v>1091</v>
      </c>
      <c r="G23" s="5" t="s">
        <v>1102</v>
      </c>
      <c r="H23" t="s">
        <v>1103</v>
      </c>
      <c r="I23" t="s">
        <v>144</v>
      </c>
      <c r="J23" t="s">
        <v>1093</v>
      </c>
      <c r="K23" s="9" t="s">
        <v>1104</v>
      </c>
      <c r="L23">
        <v>120224000</v>
      </c>
      <c r="M23" s="10"/>
      <c r="N23" t="s">
        <v>1101</v>
      </c>
      <c r="O23" t="s">
        <v>1024</v>
      </c>
      <c r="P23" t="s">
        <v>1046</v>
      </c>
      <c r="Q23" t="s">
        <v>1047</v>
      </c>
      <c r="R23" t="s">
        <v>1027</v>
      </c>
      <c r="S23">
        <v>20000</v>
      </c>
      <c r="T23" t="s">
        <v>1098</v>
      </c>
      <c r="U23" t="s">
        <v>1035</v>
      </c>
      <c r="V23">
        <v>1</v>
      </c>
    </row>
    <row r="24" spans="1:22">
      <c r="A24">
        <f t="shared" ref="A24:A27" si="2">A20+1</f>
        <v>1023</v>
      </c>
      <c r="B24">
        <f t="shared" ref="B24:B27" si="3">B20</f>
        <v>1</v>
      </c>
      <c r="C24">
        <f t="shared" ref="C24:C27" si="4">C20</f>
        <v>3</v>
      </c>
      <c r="D24" t="str">
        <f t="shared" ref="D24:D27" si="5">D20</f>
        <v>核心技能</v>
      </c>
      <c r="E24">
        <f t="shared" ref="E24:E27" si="6">E20+100</f>
        <v>102301</v>
      </c>
      <c r="F24" s="5">
        <f t="shared" ref="F24:F27" si="7">F20+100</f>
        <v>102310</v>
      </c>
      <c r="H24" t="str">
        <f>"[["&amp;F24&amp;",300]]"</f>
        <v>[[102310,300]]</v>
      </c>
      <c r="I24" t="str">
        <f t="shared" ref="I24:I27" si="8">"skill/sect/"&amp;E24</f>
        <v>skill/sect/102301</v>
      </c>
      <c r="J24" t="s">
        <v>1105</v>
      </c>
      <c r="K24" s="9" t="s">
        <v>1022</v>
      </c>
      <c r="N24" t="s">
        <v>1023</v>
      </c>
      <c r="O24" t="s">
        <v>1024</v>
      </c>
      <c r="P24" t="s">
        <v>1025</v>
      </c>
      <c r="Q24" t="s">
        <v>1026</v>
      </c>
      <c r="R24" t="str">
        <f t="shared" ref="R24:R27" si="9">R20</f>
        <v>[[103,10]]</v>
      </c>
      <c r="S24">
        <f t="shared" ref="S24:S27" si="10">S16</f>
        <v>2000</v>
      </c>
      <c r="T24" t="s">
        <v>1106</v>
      </c>
      <c r="U24" t="s">
        <v>1029</v>
      </c>
      <c r="V24">
        <v>0</v>
      </c>
    </row>
    <row r="25" spans="1:22">
      <c r="A25">
        <f t="shared" si="2"/>
        <v>1023</v>
      </c>
      <c r="B25">
        <f t="shared" si="3"/>
        <v>2</v>
      </c>
      <c r="C25">
        <f t="shared" si="4"/>
        <v>4</v>
      </c>
      <c r="D25" t="str">
        <f t="shared" si="5"/>
        <v>核心技能</v>
      </c>
      <c r="E25">
        <f t="shared" si="6"/>
        <v>102302</v>
      </c>
      <c r="F25" s="5">
        <f t="shared" si="7"/>
        <v>102310</v>
      </c>
      <c r="H25" t="str">
        <f>"[["&amp;F25&amp;",600]]"</f>
        <v>[[102310,600]]</v>
      </c>
      <c r="I25" t="str">
        <f t="shared" si="8"/>
        <v>skill/sect/102302</v>
      </c>
      <c r="J25" t="s">
        <v>1105</v>
      </c>
      <c r="K25" s="9" t="s">
        <v>1107</v>
      </c>
      <c r="L25">
        <v>120232000</v>
      </c>
      <c r="M25" s="5">
        <v>120232000</v>
      </c>
      <c r="N25" t="s">
        <v>1023</v>
      </c>
      <c r="O25" t="s">
        <v>1024</v>
      </c>
      <c r="P25" t="s">
        <v>1032</v>
      </c>
      <c r="Q25" t="s">
        <v>1033</v>
      </c>
      <c r="R25" t="str">
        <f t="shared" si="9"/>
        <v>[[103,10]]</v>
      </c>
      <c r="S25">
        <f t="shared" si="10"/>
        <v>5000</v>
      </c>
      <c r="T25" t="s">
        <v>1108</v>
      </c>
      <c r="U25" t="s">
        <v>1035</v>
      </c>
      <c r="V25">
        <v>0</v>
      </c>
    </row>
    <row r="26" spans="1:22">
      <c r="A26">
        <f t="shared" si="2"/>
        <v>1023</v>
      </c>
      <c r="B26">
        <f t="shared" si="3"/>
        <v>3</v>
      </c>
      <c r="C26">
        <f t="shared" si="4"/>
        <v>6</v>
      </c>
      <c r="D26" t="str">
        <f t="shared" si="5"/>
        <v>核心技能</v>
      </c>
      <c r="E26">
        <f t="shared" si="6"/>
        <v>102303</v>
      </c>
      <c r="F26" s="5">
        <f t="shared" si="7"/>
        <v>102310</v>
      </c>
      <c r="H26" t="str">
        <f>"[["&amp;F26&amp;",900]]"</f>
        <v>[[102310,900]]</v>
      </c>
      <c r="I26" t="str">
        <f t="shared" si="8"/>
        <v>skill/sect/102303</v>
      </c>
      <c r="J26" t="s">
        <v>1105</v>
      </c>
      <c r="K26" s="9" t="s">
        <v>1109</v>
      </c>
      <c r="L26">
        <v>120232000</v>
      </c>
      <c r="M26" s="5">
        <v>120232000</v>
      </c>
      <c r="N26" t="s">
        <v>1110</v>
      </c>
      <c r="O26" t="s">
        <v>1024</v>
      </c>
      <c r="P26" t="s">
        <v>1040</v>
      </c>
      <c r="Q26" t="s">
        <v>1041</v>
      </c>
      <c r="R26" t="str">
        <f t="shared" si="9"/>
        <v>[[103,10]]</v>
      </c>
      <c r="S26">
        <f t="shared" si="10"/>
        <v>10000</v>
      </c>
      <c r="T26" t="s">
        <v>1108</v>
      </c>
      <c r="U26" t="s">
        <v>1035</v>
      </c>
      <c r="V26">
        <v>0</v>
      </c>
    </row>
    <row r="27" spans="1:22">
      <c r="A27">
        <f t="shared" si="2"/>
        <v>1023</v>
      </c>
      <c r="B27">
        <f t="shared" si="3"/>
        <v>4</v>
      </c>
      <c r="C27">
        <f t="shared" si="4"/>
        <v>8</v>
      </c>
      <c r="D27" t="str">
        <f t="shared" si="5"/>
        <v>核心技能</v>
      </c>
      <c r="E27">
        <f t="shared" si="6"/>
        <v>102304</v>
      </c>
      <c r="F27" s="5">
        <f t="shared" si="7"/>
        <v>102310</v>
      </c>
      <c r="G27" s="5">
        <f>G23+100</f>
        <v>102320</v>
      </c>
      <c r="H27" t="str">
        <f>"[["&amp;G27&amp;",1]]"</f>
        <v>[[102320,1]]</v>
      </c>
      <c r="I27" t="str">
        <f t="shared" si="8"/>
        <v>skill/sect/102304</v>
      </c>
      <c r="J27" t="s">
        <v>1105</v>
      </c>
      <c r="K27" s="9" t="s">
        <v>1111</v>
      </c>
      <c r="L27">
        <v>120232000</v>
      </c>
      <c r="M27" s="5">
        <v>120234000</v>
      </c>
      <c r="N27" t="s">
        <v>1110</v>
      </c>
      <c r="O27" t="s">
        <v>1024</v>
      </c>
      <c r="P27" t="s">
        <v>1046</v>
      </c>
      <c r="Q27" t="s">
        <v>1047</v>
      </c>
      <c r="R27" t="str">
        <f t="shared" si="9"/>
        <v>[[103,10]]</v>
      </c>
      <c r="S27">
        <f t="shared" si="10"/>
        <v>20000</v>
      </c>
      <c r="T27" t="s">
        <v>1108</v>
      </c>
      <c r="U27" t="s">
        <v>1035</v>
      </c>
      <c r="V27">
        <v>0</v>
      </c>
    </row>
    <row r="28" spans="1:22">
      <c r="A28">
        <v>1031</v>
      </c>
      <c r="B28">
        <v>1</v>
      </c>
      <c r="C28">
        <v>3</v>
      </c>
      <c r="D28" t="s">
        <v>1112</v>
      </c>
      <c r="E28">
        <v>103101</v>
      </c>
      <c r="F28" s="5" t="s">
        <v>1113</v>
      </c>
      <c r="H28" t="s">
        <v>1114</v>
      </c>
      <c r="I28" t="s">
        <v>1115</v>
      </c>
      <c r="J28" t="s">
        <v>1116</v>
      </c>
      <c r="K28" s="9" t="s">
        <v>1117</v>
      </c>
      <c r="N28" t="s">
        <v>1118</v>
      </c>
      <c r="O28" t="s">
        <v>1024</v>
      </c>
      <c r="P28" t="s">
        <v>1025</v>
      </c>
      <c r="Q28" t="s">
        <v>1026</v>
      </c>
      <c r="R28" t="s">
        <v>1027</v>
      </c>
      <c r="S28">
        <v>1000</v>
      </c>
      <c r="T28" t="s">
        <v>1119</v>
      </c>
      <c r="U28" t="s">
        <v>1120</v>
      </c>
      <c r="V28">
        <v>1</v>
      </c>
    </row>
    <row r="29" spans="1:22">
      <c r="A29">
        <v>1031</v>
      </c>
      <c r="B29">
        <v>2</v>
      </c>
      <c r="C29">
        <v>4</v>
      </c>
      <c r="D29" t="s">
        <v>1112</v>
      </c>
      <c r="E29">
        <v>103102</v>
      </c>
      <c r="F29" s="5" t="s">
        <v>1113</v>
      </c>
      <c r="H29" t="s">
        <v>1121</v>
      </c>
      <c r="I29" t="s">
        <v>1122</v>
      </c>
      <c r="J29" t="s">
        <v>1116</v>
      </c>
      <c r="K29" s="9" t="s">
        <v>1123</v>
      </c>
      <c r="L29">
        <v>120312000</v>
      </c>
      <c r="N29" t="s">
        <v>1118</v>
      </c>
      <c r="O29" t="s">
        <v>1024</v>
      </c>
      <c r="P29" t="s">
        <v>1032</v>
      </c>
      <c r="Q29" t="s">
        <v>1033</v>
      </c>
      <c r="R29" t="s">
        <v>1027</v>
      </c>
      <c r="S29">
        <v>3000</v>
      </c>
      <c r="T29" t="s">
        <v>1124</v>
      </c>
      <c r="U29" t="s">
        <v>1125</v>
      </c>
      <c r="V29">
        <v>1</v>
      </c>
    </row>
    <row r="30" spans="1:22">
      <c r="A30">
        <v>1031</v>
      </c>
      <c r="B30">
        <v>3</v>
      </c>
      <c r="C30">
        <v>6</v>
      </c>
      <c r="D30" t="s">
        <v>1112</v>
      </c>
      <c r="E30">
        <v>103103</v>
      </c>
      <c r="F30" s="5" t="s">
        <v>1113</v>
      </c>
      <c r="H30" t="s">
        <v>1126</v>
      </c>
      <c r="I30" t="s">
        <v>1127</v>
      </c>
      <c r="J30" t="s">
        <v>1116</v>
      </c>
      <c r="K30" s="9" t="s">
        <v>1128</v>
      </c>
      <c r="L30">
        <v>120312000</v>
      </c>
      <c r="N30" t="s">
        <v>1129</v>
      </c>
      <c r="O30" t="s">
        <v>1024</v>
      </c>
      <c r="P30" t="s">
        <v>1040</v>
      </c>
      <c r="Q30" t="s">
        <v>1041</v>
      </c>
      <c r="R30" t="s">
        <v>1027</v>
      </c>
      <c r="S30">
        <v>6000</v>
      </c>
      <c r="T30" t="s">
        <v>1124</v>
      </c>
      <c r="U30" t="s">
        <v>1125</v>
      </c>
      <c r="V30">
        <v>1</v>
      </c>
    </row>
    <row r="31" spans="1:22">
      <c r="A31">
        <v>1031</v>
      </c>
      <c r="B31">
        <v>4</v>
      </c>
      <c r="C31">
        <v>8</v>
      </c>
      <c r="D31" t="s">
        <v>1112</v>
      </c>
      <c r="E31">
        <v>103104</v>
      </c>
      <c r="F31" s="5" t="s">
        <v>1113</v>
      </c>
      <c r="G31" s="5" t="s">
        <v>1130</v>
      </c>
      <c r="H31" t="s">
        <v>1131</v>
      </c>
      <c r="I31" t="s">
        <v>1132</v>
      </c>
      <c r="J31" t="s">
        <v>1116</v>
      </c>
      <c r="K31" s="9" t="s">
        <v>1133</v>
      </c>
      <c r="L31">
        <v>120314000</v>
      </c>
      <c r="N31" t="s">
        <v>1129</v>
      </c>
      <c r="O31" t="s">
        <v>1024</v>
      </c>
      <c r="P31" t="s">
        <v>1046</v>
      </c>
      <c r="Q31" t="s">
        <v>1047</v>
      </c>
      <c r="R31" t="s">
        <v>1027</v>
      </c>
      <c r="S31">
        <v>10000</v>
      </c>
      <c r="T31" t="s">
        <v>1124</v>
      </c>
      <c r="U31" t="s">
        <v>1125</v>
      </c>
      <c r="V31">
        <v>1</v>
      </c>
    </row>
    <row r="32" spans="1:22">
      <c r="A32">
        <v>1032</v>
      </c>
      <c r="B32">
        <v>1</v>
      </c>
      <c r="C32">
        <v>3</v>
      </c>
      <c r="D32" t="s">
        <v>1112</v>
      </c>
      <c r="E32">
        <v>103201</v>
      </c>
      <c r="F32" s="5" t="s">
        <v>1134</v>
      </c>
      <c r="H32" t="s">
        <v>1135</v>
      </c>
      <c r="I32" t="s">
        <v>1136</v>
      </c>
      <c r="J32" t="s">
        <v>1137</v>
      </c>
      <c r="K32" s="9" t="s">
        <v>1138</v>
      </c>
      <c r="N32" t="s">
        <v>1139</v>
      </c>
      <c r="O32" t="s">
        <v>1024</v>
      </c>
      <c r="P32" t="s">
        <v>1025</v>
      </c>
      <c r="Q32" t="s">
        <v>1026</v>
      </c>
      <c r="R32" t="s">
        <v>1027</v>
      </c>
      <c r="S32">
        <v>1000</v>
      </c>
      <c r="T32" t="s">
        <v>1140</v>
      </c>
      <c r="U32" t="s">
        <v>1029</v>
      </c>
      <c r="V32">
        <v>1</v>
      </c>
    </row>
    <row r="33" spans="1:22">
      <c r="A33">
        <v>1032</v>
      </c>
      <c r="B33">
        <v>2</v>
      </c>
      <c r="C33">
        <v>4</v>
      </c>
      <c r="D33" t="s">
        <v>1112</v>
      </c>
      <c r="E33">
        <v>103202</v>
      </c>
      <c r="F33" s="5" t="s">
        <v>1134</v>
      </c>
      <c r="H33" t="s">
        <v>1141</v>
      </c>
      <c r="I33" t="s">
        <v>1142</v>
      </c>
      <c r="J33" t="s">
        <v>1137</v>
      </c>
      <c r="K33" s="9" t="s">
        <v>1143</v>
      </c>
      <c r="L33">
        <v>120322000</v>
      </c>
      <c r="N33" t="s">
        <v>1139</v>
      </c>
      <c r="O33" t="s">
        <v>1024</v>
      </c>
      <c r="P33" t="s">
        <v>1032</v>
      </c>
      <c r="Q33" t="s">
        <v>1033</v>
      </c>
      <c r="R33" t="s">
        <v>1027</v>
      </c>
      <c r="S33">
        <v>3000</v>
      </c>
      <c r="T33" t="s">
        <v>1144</v>
      </c>
      <c r="U33" t="s">
        <v>1145</v>
      </c>
      <c r="V33">
        <v>1</v>
      </c>
    </row>
    <row r="34" spans="1:22">
      <c r="A34">
        <v>1032</v>
      </c>
      <c r="B34">
        <v>3</v>
      </c>
      <c r="C34">
        <v>6</v>
      </c>
      <c r="D34" t="s">
        <v>1112</v>
      </c>
      <c r="E34">
        <v>103203</v>
      </c>
      <c r="F34" s="5" t="s">
        <v>1134</v>
      </c>
      <c r="H34" t="s">
        <v>1146</v>
      </c>
      <c r="I34" t="s">
        <v>1147</v>
      </c>
      <c r="J34" t="s">
        <v>1137</v>
      </c>
      <c r="K34" s="9" t="s">
        <v>1148</v>
      </c>
      <c r="L34">
        <v>120322000</v>
      </c>
      <c r="N34" t="s">
        <v>1149</v>
      </c>
      <c r="O34" t="s">
        <v>1024</v>
      </c>
      <c r="P34" t="s">
        <v>1040</v>
      </c>
      <c r="Q34" t="s">
        <v>1041</v>
      </c>
      <c r="R34" t="s">
        <v>1027</v>
      </c>
      <c r="S34">
        <v>6000</v>
      </c>
      <c r="T34" t="s">
        <v>1144</v>
      </c>
      <c r="U34" t="s">
        <v>1145</v>
      </c>
      <c r="V34">
        <v>1</v>
      </c>
    </row>
    <row r="35" spans="1:22">
      <c r="A35">
        <v>1032</v>
      </c>
      <c r="B35">
        <v>4</v>
      </c>
      <c r="C35">
        <v>8</v>
      </c>
      <c r="D35" t="s">
        <v>1112</v>
      </c>
      <c r="E35">
        <v>103204</v>
      </c>
      <c r="F35" s="5" t="s">
        <v>1134</v>
      </c>
      <c r="G35" s="5" t="s">
        <v>1150</v>
      </c>
      <c r="H35" t="s">
        <v>1151</v>
      </c>
      <c r="I35" t="s">
        <v>1152</v>
      </c>
      <c r="J35" t="s">
        <v>1137</v>
      </c>
      <c r="K35" s="9" t="s">
        <v>1153</v>
      </c>
      <c r="L35">
        <v>120322000</v>
      </c>
      <c r="M35" s="5">
        <v>120324000</v>
      </c>
      <c r="N35" t="s">
        <v>1149</v>
      </c>
      <c r="O35" t="s">
        <v>1024</v>
      </c>
      <c r="P35" t="s">
        <v>1046</v>
      </c>
      <c r="Q35" t="s">
        <v>1047</v>
      </c>
      <c r="R35" t="s">
        <v>1027</v>
      </c>
      <c r="S35">
        <v>10000</v>
      </c>
      <c r="T35" t="s">
        <v>1144</v>
      </c>
      <c r="U35" t="s">
        <v>1145</v>
      </c>
      <c r="V35">
        <v>1</v>
      </c>
    </row>
    <row r="36" spans="1:22">
      <c r="A36">
        <f t="shared" ref="A36:A39" si="11">A32+1</f>
        <v>1033</v>
      </c>
      <c r="B36">
        <f t="shared" ref="B36:B39" si="12">B32</f>
        <v>1</v>
      </c>
      <c r="C36">
        <f t="shared" ref="C36:C39" si="13">C32</f>
        <v>3</v>
      </c>
      <c r="D36" t="str">
        <f t="shared" ref="D36:D39" si="14">D32</f>
        <v>位移技能</v>
      </c>
      <c r="E36">
        <f t="shared" ref="E36:E39" si="15">E32+100</f>
        <v>103301</v>
      </c>
      <c r="F36" s="5">
        <f t="shared" ref="F36:F39" si="16">F32+100</f>
        <v>103310</v>
      </c>
      <c r="H36" t="str">
        <f>"[["&amp;F36&amp;",300]]"</f>
        <v>[[103310,300]]</v>
      </c>
      <c r="I36" t="str">
        <f t="shared" ref="I36:I39" si="17">"skill/sect/"&amp;E36</f>
        <v>skill/sect/103301</v>
      </c>
      <c r="J36" t="s">
        <v>1154</v>
      </c>
      <c r="K36" s="9" t="s">
        <v>1155</v>
      </c>
      <c r="N36" t="s">
        <v>1156</v>
      </c>
      <c r="O36" t="s">
        <v>1024</v>
      </c>
      <c r="P36" t="s">
        <v>1025</v>
      </c>
      <c r="Q36" t="s">
        <v>1026</v>
      </c>
      <c r="R36" t="str">
        <f t="shared" ref="R36:R39" si="18">R32</f>
        <v>[[103,10]]</v>
      </c>
      <c r="S36">
        <f t="shared" ref="S36:S39" si="19">S28</f>
        <v>1000</v>
      </c>
      <c r="T36" t="s">
        <v>1119</v>
      </c>
      <c r="U36" t="s">
        <v>1120</v>
      </c>
      <c r="V36">
        <v>0</v>
      </c>
    </row>
    <row r="37" spans="1:22">
      <c r="A37">
        <f t="shared" si="11"/>
        <v>1033</v>
      </c>
      <c r="B37">
        <f t="shared" si="12"/>
        <v>2</v>
      </c>
      <c r="C37">
        <f t="shared" si="13"/>
        <v>4</v>
      </c>
      <c r="D37" t="str">
        <f t="shared" si="14"/>
        <v>位移技能</v>
      </c>
      <c r="E37">
        <f t="shared" si="15"/>
        <v>103302</v>
      </c>
      <c r="F37" s="5">
        <f t="shared" si="16"/>
        <v>103310</v>
      </c>
      <c r="H37" t="str">
        <f>"[["&amp;F37&amp;",600]]"</f>
        <v>[[103310,600]]</v>
      </c>
      <c r="I37" t="str">
        <f t="shared" si="17"/>
        <v>skill/sect/103302</v>
      </c>
      <c r="J37" t="s">
        <v>1154</v>
      </c>
      <c r="K37" s="9" t="s">
        <v>1157</v>
      </c>
      <c r="L37">
        <v>120332000</v>
      </c>
      <c r="M37" s="5">
        <v>120332001</v>
      </c>
      <c r="N37" t="s">
        <v>1156</v>
      </c>
      <c r="O37" t="s">
        <v>1024</v>
      </c>
      <c r="P37" t="s">
        <v>1032</v>
      </c>
      <c r="Q37" t="s">
        <v>1033</v>
      </c>
      <c r="R37" t="str">
        <f t="shared" si="18"/>
        <v>[[103,10]]</v>
      </c>
      <c r="S37">
        <f t="shared" si="19"/>
        <v>3000</v>
      </c>
      <c r="T37" t="s">
        <v>1124</v>
      </c>
      <c r="U37" t="s">
        <v>1125</v>
      </c>
      <c r="V37">
        <v>0</v>
      </c>
    </row>
    <row r="38" spans="1:22">
      <c r="A38">
        <f t="shared" si="11"/>
        <v>1033</v>
      </c>
      <c r="B38">
        <f t="shared" si="12"/>
        <v>3</v>
      </c>
      <c r="C38">
        <f t="shared" si="13"/>
        <v>6</v>
      </c>
      <c r="D38" t="str">
        <f t="shared" si="14"/>
        <v>位移技能</v>
      </c>
      <c r="E38">
        <f t="shared" si="15"/>
        <v>103303</v>
      </c>
      <c r="F38" s="5">
        <f t="shared" si="16"/>
        <v>103310</v>
      </c>
      <c r="H38" t="str">
        <f>"[["&amp;F38&amp;",900]]"</f>
        <v>[[103310,900]]</v>
      </c>
      <c r="I38" t="str">
        <f t="shared" si="17"/>
        <v>skill/sect/103303</v>
      </c>
      <c r="J38" t="s">
        <v>1154</v>
      </c>
      <c r="K38" s="9" t="s">
        <v>1158</v>
      </c>
      <c r="L38">
        <v>120332000</v>
      </c>
      <c r="M38" s="5">
        <v>120332001</v>
      </c>
      <c r="N38" t="s">
        <v>1159</v>
      </c>
      <c r="O38" t="s">
        <v>1024</v>
      </c>
      <c r="P38" t="s">
        <v>1040</v>
      </c>
      <c r="Q38" t="s">
        <v>1041</v>
      </c>
      <c r="R38" t="str">
        <f t="shared" si="18"/>
        <v>[[103,10]]</v>
      </c>
      <c r="S38">
        <f t="shared" si="19"/>
        <v>6000</v>
      </c>
      <c r="T38" t="s">
        <v>1124</v>
      </c>
      <c r="U38" t="s">
        <v>1125</v>
      </c>
      <c r="V38">
        <v>0</v>
      </c>
    </row>
    <row r="39" spans="1:22">
      <c r="A39">
        <f t="shared" si="11"/>
        <v>1033</v>
      </c>
      <c r="B39">
        <f t="shared" si="12"/>
        <v>4</v>
      </c>
      <c r="C39">
        <f t="shared" si="13"/>
        <v>8</v>
      </c>
      <c r="D39" t="str">
        <f t="shared" si="14"/>
        <v>位移技能</v>
      </c>
      <c r="E39">
        <f t="shared" si="15"/>
        <v>103304</v>
      </c>
      <c r="F39" s="5">
        <f t="shared" si="16"/>
        <v>103310</v>
      </c>
      <c r="G39" s="5">
        <f>G35+100</f>
        <v>103320</v>
      </c>
      <c r="H39" t="str">
        <f>"[["&amp;G39&amp;",1]]"</f>
        <v>[[103320,1]]</v>
      </c>
      <c r="I39" t="str">
        <f t="shared" si="17"/>
        <v>skill/sect/103304</v>
      </c>
      <c r="J39" t="s">
        <v>1154</v>
      </c>
      <c r="K39" s="9" t="s">
        <v>1160</v>
      </c>
      <c r="L39">
        <v>120332000</v>
      </c>
      <c r="M39" s="5">
        <v>120334001</v>
      </c>
      <c r="N39" t="s">
        <v>1159</v>
      </c>
      <c r="O39" t="s">
        <v>1024</v>
      </c>
      <c r="P39" t="s">
        <v>1046</v>
      </c>
      <c r="Q39" t="s">
        <v>1047</v>
      </c>
      <c r="R39" t="str">
        <f t="shared" si="18"/>
        <v>[[103,10]]</v>
      </c>
      <c r="S39">
        <f t="shared" si="19"/>
        <v>10000</v>
      </c>
      <c r="T39" t="s">
        <v>1124</v>
      </c>
      <c r="U39" t="s">
        <v>1125</v>
      </c>
      <c r="V39">
        <v>0</v>
      </c>
    </row>
    <row r="40" spans="1:22">
      <c r="A40">
        <v>1041</v>
      </c>
      <c r="B40">
        <v>1</v>
      </c>
      <c r="C40">
        <v>3</v>
      </c>
      <c r="D40" t="s">
        <v>1161</v>
      </c>
      <c r="E40">
        <v>104101</v>
      </c>
      <c r="F40" s="5" t="s">
        <v>1162</v>
      </c>
      <c r="H40" t="s">
        <v>1163</v>
      </c>
      <c r="I40" t="s">
        <v>1164</v>
      </c>
      <c r="J40" t="s">
        <v>1165</v>
      </c>
      <c r="K40" s="9" t="s">
        <v>1166</v>
      </c>
      <c r="N40" t="s">
        <v>1167</v>
      </c>
      <c r="O40" t="s">
        <v>1024</v>
      </c>
      <c r="P40" t="s">
        <v>1025</v>
      </c>
      <c r="Q40" t="s">
        <v>1026</v>
      </c>
      <c r="R40" t="s">
        <v>1027</v>
      </c>
      <c r="S40">
        <v>1000</v>
      </c>
      <c r="T40" t="s">
        <v>1028</v>
      </c>
      <c r="U40" t="s">
        <v>1029</v>
      </c>
      <c r="V40">
        <v>1</v>
      </c>
    </row>
    <row r="41" spans="1:22">
      <c r="A41">
        <v>1041</v>
      </c>
      <c r="B41">
        <v>2</v>
      </c>
      <c r="C41">
        <v>4</v>
      </c>
      <c r="D41" t="s">
        <v>1161</v>
      </c>
      <c r="E41">
        <v>104102</v>
      </c>
      <c r="F41" s="5" t="s">
        <v>1162</v>
      </c>
      <c r="H41" t="s">
        <v>1168</v>
      </c>
      <c r="I41" t="s">
        <v>1169</v>
      </c>
      <c r="J41" t="s">
        <v>1165</v>
      </c>
      <c r="K41" s="9" t="s">
        <v>1170</v>
      </c>
      <c r="L41">
        <v>120412000</v>
      </c>
      <c r="N41" t="s">
        <v>1167</v>
      </c>
      <c r="O41" t="s">
        <v>1024</v>
      </c>
      <c r="P41" t="s">
        <v>1032</v>
      </c>
      <c r="Q41" t="s">
        <v>1033</v>
      </c>
      <c r="R41" t="s">
        <v>1027</v>
      </c>
      <c r="S41">
        <v>3000</v>
      </c>
      <c r="T41" t="s">
        <v>1171</v>
      </c>
      <c r="U41" t="s">
        <v>1172</v>
      </c>
      <c r="V41">
        <v>1</v>
      </c>
    </row>
    <row r="42" spans="1:22">
      <c r="A42">
        <v>1041</v>
      </c>
      <c r="B42">
        <v>3</v>
      </c>
      <c r="C42">
        <v>6</v>
      </c>
      <c r="D42" t="s">
        <v>1161</v>
      </c>
      <c r="E42">
        <v>104103</v>
      </c>
      <c r="F42" s="5" t="s">
        <v>1162</v>
      </c>
      <c r="H42" t="s">
        <v>1173</v>
      </c>
      <c r="I42" t="s">
        <v>1174</v>
      </c>
      <c r="J42" t="s">
        <v>1165</v>
      </c>
      <c r="K42" s="9" t="s">
        <v>1038</v>
      </c>
      <c r="L42">
        <v>120412000</v>
      </c>
      <c r="N42" t="s">
        <v>1175</v>
      </c>
      <c r="O42" t="s">
        <v>1024</v>
      </c>
      <c r="P42" t="s">
        <v>1040</v>
      </c>
      <c r="Q42" t="s">
        <v>1041</v>
      </c>
      <c r="R42" t="s">
        <v>1027</v>
      </c>
      <c r="S42">
        <v>6000</v>
      </c>
      <c r="T42" t="s">
        <v>1171</v>
      </c>
      <c r="U42" t="s">
        <v>1172</v>
      </c>
      <c r="V42">
        <v>1</v>
      </c>
    </row>
    <row r="43" spans="1:22">
      <c r="A43">
        <v>1041</v>
      </c>
      <c r="B43">
        <v>4</v>
      </c>
      <c r="C43">
        <v>8</v>
      </c>
      <c r="D43" t="s">
        <v>1161</v>
      </c>
      <c r="E43">
        <v>104104</v>
      </c>
      <c r="F43" s="5" t="s">
        <v>1162</v>
      </c>
      <c r="G43" s="5" t="s">
        <v>1176</v>
      </c>
      <c r="H43" t="s">
        <v>1177</v>
      </c>
      <c r="I43" t="s">
        <v>1178</v>
      </c>
      <c r="J43" t="s">
        <v>1165</v>
      </c>
      <c r="K43" s="9" t="s">
        <v>1179</v>
      </c>
      <c r="L43">
        <v>120414000</v>
      </c>
      <c r="N43" t="s">
        <v>1175</v>
      </c>
      <c r="O43" t="s">
        <v>1024</v>
      </c>
      <c r="P43" t="s">
        <v>1046</v>
      </c>
      <c r="Q43" t="s">
        <v>1047</v>
      </c>
      <c r="R43" t="s">
        <v>1027</v>
      </c>
      <c r="S43">
        <v>10000</v>
      </c>
      <c r="T43" t="s">
        <v>1171</v>
      </c>
      <c r="U43" t="s">
        <v>1172</v>
      </c>
      <c r="V43">
        <v>1</v>
      </c>
    </row>
    <row r="44" spans="1:22">
      <c r="A44">
        <v>1042</v>
      </c>
      <c r="B44">
        <v>1</v>
      </c>
      <c r="C44">
        <v>3</v>
      </c>
      <c r="D44" t="s">
        <v>1161</v>
      </c>
      <c r="E44">
        <v>104201</v>
      </c>
      <c r="F44" s="5" t="s">
        <v>1180</v>
      </c>
      <c r="H44" t="s">
        <v>1181</v>
      </c>
      <c r="I44" t="s">
        <v>1182</v>
      </c>
      <c r="J44" t="s">
        <v>1183</v>
      </c>
      <c r="K44" s="9" t="s">
        <v>1184</v>
      </c>
      <c r="N44" t="s">
        <v>1185</v>
      </c>
      <c r="O44" t="s">
        <v>1024</v>
      </c>
      <c r="P44" t="s">
        <v>1025</v>
      </c>
      <c r="Q44" t="s">
        <v>1026</v>
      </c>
      <c r="R44" t="s">
        <v>1027</v>
      </c>
      <c r="S44">
        <v>1000</v>
      </c>
      <c r="T44" t="s">
        <v>1186</v>
      </c>
      <c r="U44" t="s">
        <v>1187</v>
      </c>
      <c r="V44">
        <v>1</v>
      </c>
    </row>
    <row r="45" spans="1:22">
      <c r="A45">
        <v>1042</v>
      </c>
      <c r="B45">
        <v>2</v>
      </c>
      <c r="C45">
        <v>4</v>
      </c>
      <c r="D45" t="s">
        <v>1161</v>
      </c>
      <c r="E45">
        <v>104202</v>
      </c>
      <c r="F45" s="5" t="s">
        <v>1180</v>
      </c>
      <c r="H45" t="s">
        <v>1188</v>
      </c>
      <c r="I45" t="s">
        <v>1189</v>
      </c>
      <c r="J45" t="s">
        <v>1183</v>
      </c>
      <c r="K45" s="9" t="s">
        <v>1190</v>
      </c>
      <c r="L45">
        <v>120422000</v>
      </c>
      <c r="N45" t="s">
        <v>1185</v>
      </c>
      <c r="O45" t="s">
        <v>1024</v>
      </c>
      <c r="P45" t="s">
        <v>1032</v>
      </c>
      <c r="Q45" t="s">
        <v>1033</v>
      </c>
      <c r="R45" t="s">
        <v>1027</v>
      </c>
      <c r="S45">
        <v>3000</v>
      </c>
      <c r="T45" t="s">
        <v>1191</v>
      </c>
      <c r="U45" t="s">
        <v>1192</v>
      </c>
      <c r="V45">
        <v>1</v>
      </c>
    </row>
    <row r="46" spans="1:22">
      <c r="A46">
        <v>1042</v>
      </c>
      <c r="B46">
        <v>3</v>
      </c>
      <c r="C46">
        <v>6</v>
      </c>
      <c r="D46" t="s">
        <v>1161</v>
      </c>
      <c r="E46">
        <v>104203</v>
      </c>
      <c r="F46" s="5" t="s">
        <v>1180</v>
      </c>
      <c r="H46" t="s">
        <v>1193</v>
      </c>
      <c r="I46" t="s">
        <v>1194</v>
      </c>
      <c r="J46" t="s">
        <v>1183</v>
      </c>
      <c r="K46" s="9" t="s">
        <v>1195</v>
      </c>
      <c r="L46">
        <v>120422000</v>
      </c>
      <c r="N46" t="s">
        <v>1196</v>
      </c>
      <c r="O46" t="s">
        <v>1024</v>
      </c>
      <c r="P46" t="s">
        <v>1040</v>
      </c>
      <c r="Q46" t="s">
        <v>1041</v>
      </c>
      <c r="R46" t="s">
        <v>1027</v>
      </c>
      <c r="S46">
        <v>6000</v>
      </c>
      <c r="T46" t="s">
        <v>1191</v>
      </c>
      <c r="U46" t="s">
        <v>1192</v>
      </c>
      <c r="V46">
        <v>1</v>
      </c>
    </row>
    <row r="47" spans="1:22">
      <c r="A47">
        <v>1042</v>
      </c>
      <c r="B47">
        <v>4</v>
      </c>
      <c r="C47">
        <v>8</v>
      </c>
      <c r="D47" t="s">
        <v>1161</v>
      </c>
      <c r="E47">
        <v>104204</v>
      </c>
      <c r="F47" s="5" t="s">
        <v>1180</v>
      </c>
      <c r="G47" s="5" t="s">
        <v>1197</v>
      </c>
      <c r="H47" t="s">
        <v>1198</v>
      </c>
      <c r="I47" t="s">
        <v>1199</v>
      </c>
      <c r="J47" t="s">
        <v>1183</v>
      </c>
      <c r="K47" s="9" t="s">
        <v>1200</v>
      </c>
      <c r="L47">
        <v>120424000</v>
      </c>
      <c r="N47" t="s">
        <v>1196</v>
      </c>
      <c r="O47" t="s">
        <v>1024</v>
      </c>
      <c r="P47" t="s">
        <v>1046</v>
      </c>
      <c r="Q47" t="s">
        <v>1047</v>
      </c>
      <c r="R47" t="s">
        <v>1027</v>
      </c>
      <c r="S47">
        <v>10000</v>
      </c>
      <c r="T47" t="s">
        <v>1191</v>
      </c>
      <c r="U47" t="s">
        <v>1192</v>
      </c>
      <c r="V47">
        <v>1</v>
      </c>
    </row>
    <row r="48" spans="1:22">
      <c r="A48">
        <f t="shared" ref="A48:A51" si="20">A44+1</f>
        <v>1043</v>
      </c>
      <c r="B48">
        <f t="shared" ref="B48:B51" si="21">B44</f>
        <v>1</v>
      </c>
      <c r="C48">
        <f t="shared" ref="C48:C51" si="22">C44</f>
        <v>3</v>
      </c>
      <c r="D48" t="str">
        <f t="shared" ref="D48:D51" si="23">D44</f>
        <v>BUFF技能</v>
      </c>
      <c r="E48">
        <f t="shared" ref="E48:E51" si="24">E44+100</f>
        <v>104301</v>
      </c>
      <c r="F48" s="5">
        <f t="shared" ref="F48:F51" si="25">F44+100</f>
        <v>104310</v>
      </c>
      <c r="H48" t="str">
        <f>"[["&amp;F48&amp;",300]]"</f>
        <v>[[104310,300]]</v>
      </c>
      <c r="I48" t="str">
        <f t="shared" ref="I48:I51" si="26">"skill/sect/"&amp;E48</f>
        <v>skill/sect/104301</v>
      </c>
      <c r="J48" t="s">
        <v>1201</v>
      </c>
      <c r="K48" s="9" t="s">
        <v>1184</v>
      </c>
      <c r="N48" t="s">
        <v>1185</v>
      </c>
      <c r="O48" t="s">
        <v>1024</v>
      </c>
      <c r="P48" t="s">
        <v>1025</v>
      </c>
      <c r="Q48" t="s">
        <v>1026</v>
      </c>
      <c r="R48" t="str">
        <f t="shared" ref="R48:R51" si="27">R44</f>
        <v>[[103,10]]</v>
      </c>
      <c r="S48">
        <f t="shared" ref="S48:S51" si="28">S40</f>
        <v>1000</v>
      </c>
      <c r="T48" t="s">
        <v>1186</v>
      </c>
      <c r="U48" t="s">
        <v>1187</v>
      </c>
      <c r="V48">
        <v>0</v>
      </c>
    </row>
    <row r="49" spans="1:22">
      <c r="A49">
        <f t="shared" si="20"/>
        <v>1043</v>
      </c>
      <c r="B49">
        <f t="shared" si="21"/>
        <v>2</v>
      </c>
      <c r="C49">
        <f t="shared" si="22"/>
        <v>4</v>
      </c>
      <c r="D49" t="str">
        <f t="shared" si="23"/>
        <v>BUFF技能</v>
      </c>
      <c r="E49">
        <f t="shared" si="24"/>
        <v>104302</v>
      </c>
      <c r="F49" s="5">
        <f t="shared" si="25"/>
        <v>104310</v>
      </c>
      <c r="H49" t="str">
        <f>"[["&amp;F49&amp;",600]]"</f>
        <v>[[104310,600]]</v>
      </c>
      <c r="I49" t="str">
        <f t="shared" si="26"/>
        <v>skill/sect/104302</v>
      </c>
      <c r="J49" t="s">
        <v>1201</v>
      </c>
      <c r="K49" s="9" t="s">
        <v>1202</v>
      </c>
      <c r="L49">
        <v>120432000</v>
      </c>
      <c r="M49" s="5">
        <v>1204320010</v>
      </c>
      <c r="N49" t="s">
        <v>1185</v>
      </c>
      <c r="O49" t="s">
        <v>1024</v>
      </c>
      <c r="P49" t="s">
        <v>1032</v>
      </c>
      <c r="Q49" t="s">
        <v>1033</v>
      </c>
      <c r="R49" t="str">
        <f t="shared" si="27"/>
        <v>[[103,10]]</v>
      </c>
      <c r="S49">
        <f t="shared" si="28"/>
        <v>3000</v>
      </c>
      <c r="T49" t="s">
        <v>1203</v>
      </c>
      <c r="U49" t="s">
        <v>1204</v>
      </c>
      <c r="V49">
        <v>0</v>
      </c>
    </row>
    <row r="50" spans="1:22">
      <c r="A50">
        <f t="shared" si="20"/>
        <v>1043</v>
      </c>
      <c r="B50">
        <f t="shared" si="21"/>
        <v>3</v>
      </c>
      <c r="C50">
        <f t="shared" si="22"/>
        <v>6</v>
      </c>
      <c r="D50" t="str">
        <f t="shared" si="23"/>
        <v>BUFF技能</v>
      </c>
      <c r="E50">
        <f t="shared" si="24"/>
        <v>104303</v>
      </c>
      <c r="F50" s="5">
        <f t="shared" si="25"/>
        <v>104310</v>
      </c>
      <c r="H50" t="str">
        <f>"[["&amp;F50&amp;",900]]"</f>
        <v>[[104310,900]]</v>
      </c>
      <c r="I50" t="str">
        <f t="shared" si="26"/>
        <v>skill/sect/104303</v>
      </c>
      <c r="J50" t="s">
        <v>1201</v>
      </c>
      <c r="K50" s="9" t="s">
        <v>1038</v>
      </c>
      <c r="L50">
        <v>120432000</v>
      </c>
      <c r="M50" s="5">
        <v>1204320010</v>
      </c>
      <c r="N50" t="s">
        <v>1205</v>
      </c>
      <c r="O50" t="s">
        <v>1024</v>
      </c>
      <c r="P50" t="s">
        <v>1040</v>
      </c>
      <c r="Q50" t="s">
        <v>1041</v>
      </c>
      <c r="R50" t="str">
        <f t="shared" si="27"/>
        <v>[[103,10]]</v>
      </c>
      <c r="S50">
        <f t="shared" si="28"/>
        <v>6000</v>
      </c>
      <c r="T50" t="s">
        <v>1203</v>
      </c>
      <c r="U50" t="s">
        <v>1204</v>
      </c>
      <c r="V50">
        <v>0</v>
      </c>
    </row>
    <row r="51" spans="1:22">
      <c r="A51">
        <f t="shared" si="20"/>
        <v>1043</v>
      </c>
      <c r="B51">
        <f t="shared" si="21"/>
        <v>4</v>
      </c>
      <c r="C51">
        <f t="shared" si="22"/>
        <v>8</v>
      </c>
      <c r="D51" t="str">
        <f t="shared" si="23"/>
        <v>BUFF技能</v>
      </c>
      <c r="E51">
        <f t="shared" si="24"/>
        <v>104304</v>
      </c>
      <c r="F51" s="5">
        <f t="shared" si="25"/>
        <v>104310</v>
      </c>
      <c r="G51" s="5">
        <f>G47+100</f>
        <v>104320</v>
      </c>
      <c r="H51" t="str">
        <f>"[["&amp;G51&amp;",1]]"</f>
        <v>[[104320,1]]</v>
      </c>
      <c r="I51" t="str">
        <f t="shared" si="26"/>
        <v>skill/sect/104304</v>
      </c>
      <c r="J51" t="s">
        <v>1201</v>
      </c>
      <c r="K51" s="9" t="s">
        <v>1206</v>
      </c>
      <c r="L51">
        <v>120432000</v>
      </c>
      <c r="M51" s="5">
        <v>1204340010</v>
      </c>
      <c r="N51" t="s">
        <v>1205</v>
      </c>
      <c r="O51" t="s">
        <v>1024</v>
      </c>
      <c r="P51" t="s">
        <v>1046</v>
      </c>
      <c r="Q51" t="s">
        <v>1047</v>
      </c>
      <c r="R51" t="str">
        <f t="shared" si="27"/>
        <v>[[103,10]]</v>
      </c>
      <c r="S51">
        <f t="shared" si="28"/>
        <v>10000</v>
      </c>
      <c r="T51" t="s">
        <v>1203</v>
      </c>
      <c r="U51" t="s">
        <v>1204</v>
      </c>
      <c r="V51">
        <v>0</v>
      </c>
    </row>
    <row r="52" spans="1:22">
      <c r="A52">
        <v>1051</v>
      </c>
      <c r="B52">
        <v>1</v>
      </c>
      <c r="C52">
        <v>3</v>
      </c>
      <c r="D52" t="s">
        <v>1207</v>
      </c>
      <c r="E52">
        <v>105101</v>
      </c>
      <c r="F52" s="5" t="s">
        <v>1208</v>
      </c>
      <c r="H52" t="s">
        <v>1209</v>
      </c>
      <c r="I52" t="s">
        <v>1210</v>
      </c>
      <c r="J52" t="s">
        <v>1211</v>
      </c>
      <c r="K52" s="9" t="s">
        <v>1212</v>
      </c>
      <c r="N52" t="s">
        <v>1213</v>
      </c>
      <c r="O52" t="s">
        <v>1024</v>
      </c>
      <c r="P52" t="s">
        <v>1025</v>
      </c>
      <c r="Q52" t="s">
        <v>1026</v>
      </c>
      <c r="R52" t="s">
        <v>1027</v>
      </c>
      <c r="S52">
        <v>1000</v>
      </c>
      <c r="T52" t="s">
        <v>1028</v>
      </c>
      <c r="U52" t="s">
        <v>1029</v>
      </c>
      <c r="V52">
        <v>1</v>
      </c>
    </row>
    <row r="53" spans="1:22">
      <c r="A53">
        <v>1051</v>
      </c>
      <c r="B53">
        <v>2</v>
      </c>
      <c r="C53">
        <v>4</v>
      </c>
      <c r="D53" t="s">
        <v>1207</v>
      </c>
      <c r="E53">
        <v>105102</v>
      </c>
      <c r="F53" s="5" t="s">
        <v>1208</v>
      </c>
      <c r="H53" t="s">
        <v>1214</v>
      </c>
      <c r="I53" t="s">
        <v>1215</v>
      </c>
      <c r="J53" t="s">
        <v>1211</v>
      </c>
      <c r="K53" s="9" t="s">
        <v>1216</v>
      </c>
      <c r="L53">
        <v>120512000</v>
      </c>
      <c r="M53" s="5">
        <v>120512000</v>
      </c>
      <c r="N53" t="s">
        <v>1213</v>
      </c>
      <c r="O53" t="s">
        <v>1024</v>
      </c>
      <c r="P53" t="s">
        <v>1032</v>
      </c>
      <c r="Q53" t="s">
        <v>1033</v>
      </c>
      <c r="R53" t="s">
        <v>1027</v>
      </c>
      <c r="S53">
        <v>4000</v>
      </c>
      <c r="T53" t="s">
        <v>1034</v>
      </c>
      <c r="U53" t="s">
        <v>1035</v>
      </c>
      <c r="V53">
        <v>1</v>
      </c>
    </row>
    <row r="54" spans="1:22">
      <c r="A54">
        <v>1051</v>
      </c>
      <c r="B54">
        <v>3</v>
      </c>
      <c r="C54">
        <v>6</v>
      </c>
      <c r="D54" t="s">
        <v>1207</v>
      </c>
      <c r="E54">
        <v>105103</v>
      </c>
      <c r="F54" s="5" t="s">
        <v>1208</v>
      </c>
      <c r="H54" t="s">
        <v>1217</v>
      </c>
      <c r="I54" t="s">
        <v>1218</v>
      </c>
      <c r="J54" t="s">
        <v>1211</v>
      </c>
      <c r="K54" s="9" t="s">
        <v>1219</v>
      </c>
      <c r="L54">
        <v>120512000</v>
      </c>
      <c r="M54" s="5">
        <v>120512000</v>
      </c>
      <c r="N54" t="s">
        <v>1220</v>
      </c>
      <c r="O54" t="s">
        <v>1024</v>
      </c>
      <c r="P54" t="s">
        <v>1040</v>
      </c>
      <c r="Q54" t="s">
        <v>1041</v>
      </c>
      <c r="R54" t="s">
        <v>1027</v>
      </c>
      <c r="S54">
        <v>7500</v>
      </c>
      <c r="T54" t="s">
        <v>1034</v>
      </c>
      <c r="U54" t="s">
        <v>1035</v>
      </c>
      <c r="V54">
        <v>1</v>
      </c>
    </row>
    <row r="55" spans="1:22">
      <c r="A55">
        <v>1051</v>
      </c>
      <c r="B55">
        <v>4</v>
      </c>
      <c r="C55">
        <v>8</v>
      </c>
      <c r="D55" t="s">
        <v>1207</v>
      </c>
      <c r="E55">
        <v>105104</v>
      </c>
      <c r="F55" s="5" t="s">
        <v>1208</v>
      </c>
      <c r="G55" s="5" t="s">
        <v>1221</v>
      </c>
      <c r="H55" t="s">
        <v>1222</v>
      </c>
      <c r="I55" t="s">
        <v>1223</v>
      </c>
      <c r="J55" t="s">
        <v>1211</v>
      </c>
      <c r="K55" s="9" t="s">
        <v>1224</v>
      </c>
      <c r="L55">
        <v>120512000</v>
      </c>
      <c r="M55" s="5">
        <v>120514000</v>
      </c>
      <c r="N55" t="s">
        <v>1220</v>
      </c>
      <c r="O55" t="s">
        <v>1024</v>
      </c>
      <c r="P55" t="s">
        <v>1046</v>
      </c>
      <c r="Q55" t="s">
        <v>1047</v>
      </c>
      <c r="R55" t="s">
        <v>1027</v>
      </c>
      <c r="S55">
        <v>15000</v>
      </c>
      <c r="T55" t="s">
        <v>1034</v>
      </c>
      <c r="U55" t="s">
        <v>1035</v>
      </c>
      <c r="V55">
        <v>1</v>
      </c>
    </row>
    <row r="56" spans="1:22">
      <c r="A56">
        <v>1052</v>
      </c>
      <c r="B56">
        <v>1</v>
      </c>
      <c r="C56">
        <v>3</v>
      </c>
      <c r="D56" t="s">
        <v>1207</v>
      </c>
      <c r="E56">
        <v>105201</v>
      </c>
      <c r="F56" s="5" t="s">
        <v>1225</v>
      </c>
      <c r="H56" t="s">
        <v>1226</v>
      </c>
      <c r="I56" t="s">
        <v>1227</v>
      </c>
      <c r="J56" t="s">
        <v>1228</v>
      </c>
      <c r="K56" s="9" t="s">
        <v>1229</v>
      </c>
      <c r="N56" t="s">
        <v>1230</v>
      </c>
      <c r="O56" t="s">
        <v>1024</v>
      </c>
      <c r="P56" t="s">
        <v>1025</v>
      </c>
      <c r="Q56" t="s">
        <v>1026</v>
      </c>
      <c r="R56" t="s">
        <v>1027</v>
      </c>
      <c r="S56">
        <v>1000</v>
      </c>
      <c r="T56" t="s">
        <v>1028</v>
      </c>
      <c r="U56" t="s">
        <v>1029</v>
      </c>
      <c r="V56">
        <v>1</v>
      </c>
    </row>
    <row r="57" spans="1:22">
      <c r="A57">
        <v>1052</v>
      </c>
      <c r="B57">
        <v>2</v>
      </c>
      <c r="C57">
        <v>4</v>
      </c>
      <c r="D57" t="s">
        <v>1207</v>
      </c>
      <c r="E57">
        <v>105202</v>
      </c>
      <c r="F57" s="5" t="s">
        <v>1225</v>
      </c>
      <c r="H57" t="s">
        <v>1231</v>
      </c>
      <c r="I57" t="s">
        <v>1232</v>
      </c>
      <c r="J57" t="s">
        <v>1228</v>
      </c>
      <c r="K57" s="9" t="s">
        <v>1233</v>
      </c>
      <c r="L57">
        <v>120522000</v>
      </c>
      <c r="N57" t="s">
        <v>1230</v>
      </c>
      <c r="O57" t="s">
        <v>1024</v>
      </c>
      <c r="P57" t="s">
        <v>1032</v>
      </c>
      <c r="Q57" t="s">
        <v>1033</v>
      </c>
      <c r="R57" t="s">
        <v>1027</v>
      </c>
      <c r="S57">
        <v>4000</v>
      </c>
      <c r="T57" t="s">
        <v>1234</v>
      </c>
      <c r="U57" t="s">
        <v>1035</v>
      </c>
      <c r="V57">
        <v>1</v>
      </c>
    </row>
    <row r="58" spans="1:22">
      <c r="A58">
        <v>1052</v>
      </c>
      <c r="B58">
        <v>3</v>
      </c>
      <c r="C58">
        <v>6</v>
      </c>
      <c r="D58" t="s">
        <v>1207</v>
      </c>
      <c r="E58">
        <v>105203</v>
      </c>
      <c r="F58" s="5" t="s">
        <v>1225</v>
      </c>
      <c r="H58" t="s">
        <v>1235</v>
      </c>
      <c r="I58" t="s">
        <v>1236</v>
      </c>
      <c r="J58" t="s">
        <v>1228</v>
      </c>
      <c r="K58" s="9" t="s">
        <v>1237</v>
      </c>
      <c r="L58">
        <v>120522000</v>
      </c>
      <c r="N58" t="s">
        <v>1238</v>
      </c>
      <c r="O58" t="s">
        <v>1024</v>
      </c>
      <c r="P58" t="s">
        <v>1040</v>
      </c>
      <c r="Q58" t="s">
        <v>1041</v>
      </c>
      <c r="R58" t="s">
        <v>1027</v>
      </c>
      <c r="S58">
        <v>7500</v>
      </c>
      <c r="T58" t="s">
        <v>1234</v>
      </c>
      <c r="U58" t="s">
        <v>1035</v>
      </c>
      <c r="V58">
        <v>1</v>
      </c>
    </row>
    <row r="59" spans="1:22">
      <c r="A59">
        <v>1052</v>
      </c>
      <c r="B59">
        <v>4</v>
      </c>
      <c r="C59">
        <v>8</v>
      </c>
      <c r="D59" t="s">
        <v>1207</v>
      </c>
      <c r="E59">
        <v>105204</v>
      </c>
      <c r="F59" s="5" t="s">
        <v>1225</v>
      </c>
      <c r="G59" s="5" t="s">
        <v>1239</v>
      </c>
      <c r="H59" t="s">
        <v>1240</v>
      </c>
      <c r="I59" t="s">
        <v>1241</v>
      </c>
      <c r="J59" t="s">
        <v>1228</v>
      </c>
      <c r="K59" s="9" t="s">
        <v>1242</v>
      </c>
      <c r="L59">
        <v>120524000</v>
      </c>
      <c r="N59" t="s">
        <v>1238</v>
      </c>
      <c r="O59" t="s">
        <v>1024</v>
      </c>
      <c r="P59" t="s">
        <v>1046</v>
      </c>
      <c r="Q59" t="s">
        <v>1047</v>
      </c>
      <c r="R59" t="s">
        <v>1027</v>
      </c>
      <c r="S59">
        <v>15000</v>
      </c>
      <c r="T59" t="s">
        <v>1234</v>
      </c>
      <c r="U59" t="s">
        <v>1035</v>
      </c>
      <c r="V59">
        <v>1</v>
      </c>
    </row>
    <row r="60" spans="1:22">
      <c r="A60">
        <f t="shared" ref="A60:A63" si="29">A56+1</f>
        <v>1053</v>
      </c>
      <c r="B60">
        <f t="shared" ref="B60:B63" si="30">B56</f>
        <v>1</v>
      </c>
      <c r="C60">
        <f t="shared" ref="C60:C63" si="31">C56</f>
        <v>3</v>
      </c>
      <c r="D60" t="str">
        <f t="shared" ref="D60:D63" si="32">D56</f>
        <v>终极技能</v>
      </c>
      <c r="E60">
        <f t="shared" ref="E60:E63" si="33">E56+100</f>
        <v>105301</v>
      </c>
      <c r="F60" s="5">
        <f t="shared" ref="F60:F63" si="34">F56+100</f>
        <v>105310</v>
      </c>
      <c r="H60" t="str">
        <f>"[["&amp;F60&amp;",300]]"</f>
        <v>[[105310,300]]</v>
      </c>
      <c r="I60" t="str">
        <f t="shared" ref="I60:I63" si="35">"skill/sect/"&amp;E60</f>
        <v>skill/sect/105301</v>
      </c>
      <c r="J60" t="s">
        <v>1243</v>
      </c>
      <c r="K60" s="9" t="s">
        <v>1128</v>
      </c>
      <c r="N60" t="s">
        <v>1244</v>
      </c>
      <c r="O60" t="s">
        <v>1024</v>
      </c>
      <c r="P60" t="s">
        <v>1025</v>
      </c>
      <c r="Q60" t="s">
        <v>1026</v>
      </c>
      <c r="R60" t="str">
        <f t="shared" ref="R60:R63" si="36">R56</f>
        <v>[[103,10]]</v>
      </c>
      <c r="S60">
        <f t="shared" ref="S60:S63" si="37">S52</f>
        <v>1000</v>
      </c>
      <c r="T60" t="s">
        <v>1028</v>
      </c>
      <c r="U60" t="s">
        <v>1029</v>
      </c>
      <c r="V60">
        <v>0</v>
      </c>
    </row>
    <row r="61" spans="1:22">
      <c r="A61">
        <f t="shared" si="29"/>
        <v>1053</v>
      </c>
      <c r="B61">
        <f t="shared" si="30"/>
        <v>2</v>
      </c>
      <c r="C61">
        <f t="shared" si="31"/>
        <v>4</v>
      </c>
      <c r="D61" t="str">
        <f t="shared" si="32"/>
        <v>终极技能</v>
      </c>
      <c r="E61">
        <f t="shared" si="33"/>
        <v>105302</v>
      </c>
      <c r="F61" s="5">
        <f t="shared" si="34"/>
        <v>105310</v>
      </c>
      <c r="H61" t="str">
        <f>"[["&amp;F61&amp;",600]]"</f>
        <v>[[105310,600]]</v>
      </c>
      <c r="I61" t="str">
        <f t="shared" si="35"/>
        <v>skill/sect/105302</v>
      </c>
      <c r="J61" t="s">
        <v>1243</v>
      </c>
      <c r="K61" s="9" t="s">
        <v>1245</v>
      </c>
      <c r="L61">
        <v>120532000</v>
      </c>
      <c r="N61" t="s">
        <v>1244</v>
      </c>
      <c r="O61" t="s">
        <v>1024</v>
      </c>
      <c r="P61" t="s">
        <v>1032</v>
      </c>
      <c r="Q61" t="s">
        <v>1033</v>
      </c>
      <c r="R61" t="str">
        <f t="shared" si="36"/>
        <v>[[103,10]]</v>
      </c>
      <c r="S61">
        <f t="shared" si="37"/>
        <v>4000</v>
      </c>
      <c r="T61" t="s">
        <v>1071</v>
      </c>
      <c r="U61" t="s">
        <v>1035</v>
      </c>
      <c r="V61">
        <v>0</v>
      </c>
    </row>
    <row r="62" spans="1:22">
      <c r="A62">
        <f t="shared" si="29"/>
        <v>1053</v>
      </c>
      <c r="B62">
        <f t="shared" si="30"/>
        <v>3</v>
      </c>
      <c r="C62">
        <f t="shared" si="31"/>
        <v>6</v>
      </c>
      <c r="D62" t="str">
        <f t="shared" si="32"/>
        <v>终极技能</v>
      </c>
      <c r="E62">
        <f t="shared" si="33"/>
        <v>105303</v>
      </c>
      <c r="F62" s="5">
        <f t="shared" si="34"/>
        <v>105310</v>
      </c>
      <c r="H62" t="str">
        <f>"[["&amp;F62&amp;",900]]"</f>
        <v>[[105310,900]]</v>
      </c>
      <c r="I62" t="str">
        <f t="shared" si="35"/>
        <v>skill/sect/105303</v>
      </c>
      <c r="J62" t="s">
        <v>1243</v>
      </c>
      <c r="K62" s="9" t="s">
        <v>1246</v>
      </c>
      <c r="L62">
        <v>120532000</v>
      </c>
      <c r="N62" t="s">
        <v>1247</v>
      </c>
      <c r="O62" t="s">
        <v>1024</v>
      </c>
      <c r="P62" t="s">
        <v>1040</v>
      </c>
      <c r="Q62" t="s">
        <v>1041</v>
      </c>
      <c r="R62" t="str">
        <f t="shared" si="36"/>
        <v>[[103,10]]</v>
      </c>
      <c r="S62">
        <f t="shared" si="37"/>
        <v>7500</v>
      </c>
      <c r="T62" t="s">
        <v>1071</v>
      </c>
      <c r="U62" t="s">
        <v>1035</v>
      </c>
      <c r="V62">
        <v>0</v>
      </c>
    </row>
    <row r="63" spans="1:22">
      <c r="A63">
        <f t="shared" si="29"/>
        <v>1053</v>
      </c>
      <c r="B63">
        <f t="shared" si="30"/>
        <v>4</v>
      </c>
      <c r="C63">
        <f t="shared" si="31"/>
        <v>8</v>
      </c>
      <c r="D63" t="str">
        <f t="shared" si="32"/>
        <v>终极技能</v>
      </c>
      <c r="E63">
        <f t="shared" si="33"/>
        <v>105304</v>
      </c>
      <c r="F63" s="5">
        <f t="shared" si="34"/>
        <v>105310</v>
      </c>
      <c r="G63" s="5">
        <f>G59+100</f>
        <v>105320</v>
      </c>
      <c r="H63" t="str">
        <f>"[["&amp;G63&amp;",1]]"</f>
        <v>[[105320,1]]</v>
      </c>
      <c r="I63" t="str">
        <f t="shared" si="35"/>
        <v>skill/sect/105304</v>
      </c>
      <c r="J63" t="s">
        <v>1243</v>
      </c>
      <c r="K63" s="9" t="s">
        <v>1248</v>
      </c>
      <c r="L63">
        <v>120532000</v>
      </c>
      <c r="M63" s="5">
        <v>1205340000</v>
      </c>
      <c r="N63" t="s">
        <v>1247</v>
      </c>
      <c r="O63" t="s">
        <v>1024</v>
      </c>
      <c r="P63" t="s">
        <v>1046</v>
      </c>
      <c r="Q63" t="s">
        <v>1047</v>
      </c>
      <c r="R63" t="str">
        <f t="shared" si="36"/>
        <v>[[103,10]]</v>
      </c>
      <c r="S63">
        <f t="shared" si="37"/>
        <v>15000</v>
      </c>
      <c r="T63" t="s">
        <v>1071</v>
      </c>
      <c r="U63" t="s">
        <v>1035</v>
      </c>
      <c r="V63">
        <v>0</v>
      </c>
    </row>
    <row r="64" spans="1:22">
      <c r="A64">
        <v>2011</v>
      </c>
      <c r="B64">
        <v>1</v>
      </c>
      <c r="C64">
        <v>3</v>
      </c>
      <c r="D64" t="s">
        <v>1018</v>
      </c>
      <c r="E64">
        <v>201101</v>
      </c>
      <c r="F64" s="5" t="s">
        <v>1249</v>
      </c>
      <c r="H64" t="s">
        <v>1250</v>
      </c>
      <c r="I64" t="s">
        <v>1251</v>
      </c>
      <c r="J64" t="s">
        <v>1252</v>
      </c>
      <c r="K64" t="s">
        <v>1253</v>
      </c>
      <c r="N64" t="s">
        <v>1079</v>
      </c>
      <c r="O64" t="s">
        <v>1024</v>
      </c>
      <c r="P64" t="s">
        <v>1025</v>
      </c>
      <c r="Q64" t="s">
        <v>1026</v>
      </c>
      <c r="R64" t="s">
        <v>1027</v>
      </c>
      <c r="S64">
        <v>1000</v>
      </c>
      <c r="T64" t="s">
        <v>1080</v>
      </c>
      <c r="U64" t="s">
        <v>1081</v>
      </c>
      <c r="V64">
        <v>1</v>
      </c>
    </row>
    <row r="65" spans="1:22">
      <c r="A65">
        <v>2011</v>
      </c>
      <c r="B65">
        <v>2</v>
      </c>
      <c r="C65">
        <v>4</v>
      </c>
      <c r="D65" t="s">
        <v>1018</v>
      </c>
      <c r="E65">
        <v>201102</v>
      </c>
      <c r="F65" s="5" t="s">
        <v>1249</v>
      </c>
      <c r="H65" t="s">
        <v>1254</v>
      </c>
      <c r="I65" t="s">
        <v>1255</v>
      </c>
      <c r="J65" t="s">
        <v>1252</v>
      </c>
      <c r="K65" t="s">
        <v>1256</v>
      </c>
      <c r="L65">
        <v>100112000</v>
      </c>
      <c r="N65" t="s">
        <v>1079</v>
      </c>
      <c r="O65" t="s">
        <v>1024</v>
      </c>
      <c r="P65" t="s">
        <v>1032</v>
      </c>
      <c r="Q65" t="s">
        <v>1033</v>
      </c>
      <c r="R65" t="s">
        <v>1027</v>
      </c>
      <c r="S65">
        <v>3000</v>
      </c>
      <c r="T65" t="s">
        <v>1080</v>
      </c>
      <c r="U65" t="s">
        <v>1081</v>
      </c>
      <c r="V65">
        <v>1</v>
      </c>
    </row>
    <row r="66" spans="1:22">
      <c r="A66">
        <v>2011</v>
      </c>
      <c r="B66">
        <v>3</v>
      </c>
      <c r="C66">
        <v>6</v>
      </c>
      <c r="D66" t="s">
        <v>1018</v>
      </c>
      <c r="E66">
        <v>201103</v>
      </c>
      <c r="F66" s="5" t="s">
        <v>1249</v>
      </c>
      <c r="H66" t="s">
        <v>1257</v>
      </c>
      <c r="I66" t="s">
        <v>1258</v>
      </c>
      <c r="J66" t="s">
        <v>1252</v>
      </c>
      <c r="K66" t="s">
        <v>1259</v>
      </c>
      <c r="L66">
        <v>100112000</v>
      </c>
      <c r="N66" t="s">
        <v>1260</v>
      </c>
      <c r="O66" t="s">
        <v>1024</v>
      </c>
      <c r="P66" t="s">
        <v>1040</v>
      </c>
      <c r="Q66" t="s">
        <v>1041</v>
      </c>
      <c r="R66" t="s">
        <v>1027</v>
      </c>
      <c r="S66">
        <v>6000</v>
      </c>
      <c r="T66" t="s">
        <v>1080</v>
      </c>
      <c r="U66" t="s">
        <v>1081</v>
      </c>
      <c r="V66">
        <v>1</v>
      </c>
    </row>
    <row r="67" spans="1:22">
      <c r="A67">
        <v>2011</v>
      </c>
      <c r="B67">
        <v>4</v>
      </c>
      <c r="C67">
        <v>8</v>
      </c>
      <c r="D67" t="s">
        <v>1018</v>
      </c>
      <c r="E67">
        <v>201104</v>
      </c>
      <c r="F67" s="5" t="s">
        <v>1249</v>
      </c>
      <c r="G67" s="5" t="s">
        <v>1261</v>
      </c>
      <c r="H67" t="s">
        <v>1262</v>
      </c>
      <c r="I67" t="s">
        <v>1263</v>
      </c>
      <c r="J67" t="s">
        <v>1252</v>
      </c>
      <c r="K67" t="s">
        <v>1264</v>
      </c>
      <c r="L67">
        <v>100114000</v>
      </c>
      <c r="M67" s="5">
        <v>100114000</v>
      </c>
      <c r="N67" t="s">
        <v>1260</v>
      </c>
      <c r="O67" t="s">
        <v>1024</v>
      </c>
      <c r="P67" t="s">
        <v>1046</v>
      </c>
      <c r="Q67" t="s">
        <v>1047</v>
      </c>
      <c r="R67" t="s">
        <v>1027</v>
      </c>
      <c r="S67">
        <v>10000</v>
      </c>
      <c r="T67" t="s">
        <v>1265</v>
      </c>
      <c r="U67" t="s">
        <v>1266</v>
      </c>
      <c r="V67">
        <v>1</v>
      </c>
    </row>
    <row r="68" spans="1:22">
      <c r="A68">
        <v>2012</v>
      </c>
      <c r="B68">
        <v>1</v>
      </c>
      <c r="C68">
        <v>3</v>
      </c>
      <c r="D68" t="s">
        <v>1018</v>
      </c>
      <c r="E68">
        <v>201201</v>
      </c>
      <c r="F68" s="5" t="s">
        <v>1267</v>
      </c>
      <c r="H68" t="s">
        <v>1268</v>
      </c>
      <c r="I68" t="s">
        <v>1269</v>
      </c>
      <c r="J68" t="s">
        <v>1270</v>
      </c>
      <c r="K68" t="s">
        <v>1271</v>
      </c>
      <c r="N68" t="s">
        <v>1272</v>
      </c>
      <c r="O68" t="s">
        <v>1024</v>
      </c>
      <c r="P68" t="s">
        <v>1025</v>
      </c>
      <c r="Q68" t="s">
        <v>1026</v>
      </c>
      <c r="R68" t="s">
        <v>1027</v>
      </c>
      <c r="S68">
        <v>1000</v>
      </c>
      <c r="T68" t="s">
        <v>1273</v>
      </c>
      <c r="U68" t="s">
        <v>1081</v>
      </c>
      <c r="V68">
        <v>1</v>
      </c>
    </row>
    <row r="69" spans="1:22">
      <c r="A69">
        <v>2012</v>
      </c>
      <c r="B69">
        <v>2</v>
      </c>
      <c r="C69">
        <v>4</v>
      </c>
      <c r="D69" t="s">
        <v>1018</v>
      </c>
      <c r="E69">
        <v>201202</v>
      </c>
      <c r="F69" s="5" t="s">
        <v>1267</v>
      </c>
      <c r="H69" t="s">
        <v>1274</v>
      </c>
      <c r="I69" t="s">
        <v>1275</v>
      </c>
      <c r="J69" t="s">
        <v>1270</v>
      </c>
      <c r="K69" t="s">
        <v>1276</v>
      </c>
      <c r="L69">
        <v>100122000</v>
      </c>
      <c r="N69" t="s">
        <v>1272</v>
      </c>
      <c r="O69" t="s">
        <v>1024</v>
      </c>
      <c r="P69" t="s">
        <v>1032</v>
      </c>
      <c r="Q69" t="s">
        <v>1033</v>
      </c>
      <c r="R69" t="s">
        <v>1027</v>
      </c>
      <c r="S69">
        <v>3000</v>
      </c>
      <c r="T69" t="s">
        <v>1277</v>
      </c>
      <c r="U69" t="s">
        <v>1085</v>
      </c>
      <c r="V69">
        <v>1</v>
      </c>
    </row>
    <row r="70" spans="1:22">
      <c r="A70">
        <v>2012</v>
      </c>
      <c r="B70">
        <v>3</v>
      </c>
      <c r="C70">
        <v>6</v>
      </c>
      <c r="D70" t="s">
        <v>1018</v>
      </c>
      <c r="E70">
        <v>201203</v>
      </c>
      <c r="F70" s="5" t="s">
        <v>1267</v>
      </c>
      <c r="H70" t="s">
        <v>1278</v>
      </c>
      <c r="I70" t="s">
        <v>1279</v>
      </c>
      <c r="J70" t="s">
        <v>1270</v>
      </c>
      <c r="K70" t="s">
        <v>1280</v>
      </c>
      <c r="L70">
        <v>100122000</v>
      </c>
      <c r="N70" t="s">
        <v>1281</v>
      </c>
      <c r="O70" t="s">
        <v>1024</v>
      </c>
      <c r="P70" t="s">
        <v>1040</v>
      </c>
      <c r="Q70" t="s">
        <v>1041</v>
      </c>
      <c r="R70" t="s">
        <v>1027</v>
      </c>
      <c r="S70">
        <v>6000</v>
      </c>
      <c r="T70" t="s">
        <v>1277</v>
      </c>
      <c r="U70" t="s">
        <v>1085</v>
      </c>
      <c r="V70">
        <v>1</v>
      </c>
    </row>
    <row r="71" spans="1:22">
      <c r="A71">
        <v>2012</v>
      </c>
      <c r="B71">
        <v>4</v>
      </c>
      <c r="C71">
        <v>8</v>
      </c>
      <c r="D71" t="s">
        <v>1018</v>
      </c>
      <c r="E71">
        <v>201204</v>
      </c>
      <c r="F71" s="5" t="s">
        <v>1267</v>
      </c>
      <c r="G71" s="5" t="s">
        <v>1282</v>
      </c>
      <c r="H71" t="s">
        <v>1283</v>
      </c>
      <c r="I71" t="s">
        <v>1284</v>
      </c>
      <c r="J71" t="s">
        <v>1270</v>
      </c>
      <c r="K71" t="s">
        <v>1285</v>
      </c>
      <c r="L71">
        <v>100124000</v>
      </c>
      <c r="N71" t="s">
        <v>1281</v>
      </c>
      <c r="O71" t="s">
        <v>1024</v>
      </c>
      <c r="P71" t="s">
        <v>1046</v>
      </c>
      <c r="Q71" t="s">
        <v>1047</v>
      </c>
      <c r="R71" t="s">
        <v>1027</v>
      </c>
      <c r="S71">
        <v>10000</v>
      </c>
      <c r="T71" t="s">
        <v>1277</v>
      </c>
      <c r="U71" t="s">
        <v>1085</v>
      </c>
      <c r="V71">
        <v>1</v>
      </c>
    </row>
    <row r="72" spans="1:22">
      <c r="A72">
        <f t="shared" ref="A72:A75" si="38">A68+1</f>
        <v>2013</v>
      </c>
      <c r="B72">
        <f t="shared" ref="B72:B75" si="39">B68</f>
        <v>1</v>
      </c>
      <c r="C72">
        <f t="shared" ref="C72:C75" si="40">C68</f>
        <v>3</v>
      </c>
      <c r="D72" t="str">
        <f t="shared" ref="D72:D75" si="41">D68</f>
        <v>普通攻击</v>
      </c>
      <c r="E72">
        <f t="shared" ref="E72:E75" si="42">E68+100</f>
        <v>201301</v>
      </c>
      <c r="F72" s="5">
        <f t="shared" ref="F72:F75" si="43">F68+100</f>
        <v>201310</v>
      </c>
      <c r="H72" t="str">
        <f>"[["&amp;F72&amp;",300]]"</f>
        <v>[[201310,300]]</v>
      </c>
      <c r="I72" t="str">
        <f t="shared" ref="I72:I75" si="44">"skill/sect/"&amp;E72</f>
        <v>skill/sect/201301</v>
      </c>
      <c r="J72" t="s">
        <v>1286</v>
      </c>
      <c r="K72" s="9" t="s">
        <v>1287</v>
      </c>
      <c r="N72" t="s">
        <v>1288</v>
      </c>
      <c r="O72" t="s">
        <v>1024</v>
      </c>
      <c r="P72" t="s">
        <v>1025</v>
      </c>
      <c r="Q72" t="s">
        <v>1026</v>
      </c>
      <c r="R72" t="str">
        <f t="shared" ref="R72:R75" si="45">R68</f>
        <v>[[103,10]]</v>
      </c>
      <c r="S72">
        <f t="shared" ref="S72:S75" si="46">S64</f>
        <v>1000</v>
      </c>
      <c r="T72" t="s">
        <v>1028</v>
      </c>
      <c r="U72" t="s">
        <v>1029</v>
      </c>
      <c r="V72">
        <v>0</v>
      </c>
    </row>
    <row r="73" spans="1:22">
      <c r="A73">
        <f t="shared" si="38"/>
        <v>2013</v>
      </c>
      <c r="B73">
        <f t="shared" si="39"/>
        <v>2</v>
      </c>
      <c r="C73">
        <f t="shared" si="40"/>
        <v>4</v>
      </c>
      <c r="D73" t="str">
        <f t="shared" si="41"/>
        <v>普通攻击</v>
      </c>
      <c r="E73">
        <f t="shared" si="42"/>
        <v>201302</v>
      </c>
      <c r="F73" s="5">
        <f t="shared" si="43"/>
        <v>201310</v>
      </c>
      <c r="H73" t="str">
        <f>"[["&amp;F73&amp;",600]]"</f>
        <v>[[201310,600]]</v>
      </c>
      <c r="I73" t="str">
        <f t="shared" si="44"/>
        <v>skill/sect/201302</v>
      </c>
      <c r="J73" t="s">
        <v>1286</v>
      </c>
      <c r="K73" s="9" t="s">
        <v>1289</v>
      </c>
      <c r="L73">
        <v>100132000</v>
      </c>
      <c r="M73" s="5">
        <v>100132000</v>
      </c>
      <c r="N73" t="s">
        <v>1288</v>
      </c>
      <c r="O73" t="s">
        <v>1024</v>
      </c>
      <c r="P73" t="s">
        <v>1032</v>
      </c>
      <c r="Q73" t="s">
        <v>1033</v>
      </c>
      <c r="R73" t="str">
        <f t="shared" si="45"/>
        <v>[[103,10]]</v>
      </c>
      <c r="S73">
        <f t="shared" si="46"/>
        <v>3000</v>
      </c>
      <c r="T73" t="s">
        <v>1028</v>
      </c>
      <c r="U73" t="s">
        <v>1029</v>
      </c>
      <c r="V73">
        <v>0</v>
      </c>
    </row>
    <row r="74" spans="1:22">
      <c r="A74">
        <f t="shared" si="38"/>
        <v>2013</v>
      </c>
      <c r="B74">
        <f t="shared" si="39"/>
        <v>3</v>
      </c>
      <c r="C74">
        <f t="shared" si="40"/>
        <v>6</v>
      </c>
      <c r="D74" t="str">
        <f t="shared" si="41"/>
        <v>普通攻击</v>
      </c>
      <c r="E74">
        <f t="shared" si="42"/>
        <v>201303</v>
      </c>
      <c r="F74" s="5">
        <f t="shared" si="43"/>
        <v>201310</v>
      </c>
      <c r="H74" t="str">
        <f>"[["&amp;F74&amp;",900]]"</f>
        <v>[[201310,900]]</v>
      </c>
      <c r="I74" t="str">
        <f t="shared" si="44"/>
        <v>skill/sect/201303</v>
      </c>
      <c r="J74" t="s">
        <v>1286</v>
      </c>
      <c r="K74" s="9" t="s">
        <v>1290</v>
      </c>
      <c r="L74">
        <v>100132000</v>
      </c>
      <c r="M74" s="5">
        <v>100132000</v>
      </c>
      <c r="N74" t="s">
        <v>1291</v>
      </c>
      <c r="O74" t="s">
        <v>1024</v>
      </c>
      <c r="P74" t="s">
        <v>1040</v>
      </c>
      <c r="Q74" t="s">
        <v>1041</v>
      </c>
      <c r="R74" t="str">
        <f t="shared" si="45"/>
        <v>[[103,10]]</v>
      </c>
      <c r="S74">
        <f t="shared" si="46"/>
        <v>6000</v>
      </c>
      <c r="T74" t="s">
        <v>1028</v>
      </c>
      <c r="U74" t="s">
        <v>1029</v>
      </c>
      <c r="V74">
        <v>0</v>
      </c>
    </row>
    <row r="75" spans="1:22">
      <c r="A75">
        <f t="shared" si="38"/>
        <v>2013</v>
      </c>
      <c r="B75">
        <f t="shared" si="39"/>
        <v>4</v>
      </c>
      <c r="C75">
        <f t="shared" si="40"/>
        <v>8</v>
      </c>
      <c r="D75" t="str">
        <f t="shared" si="41"/>
        <v>普通攻击</v>
      </c>
      <c r="E75">
        <f t="shared" si="42"/>
        <v>201304</v>
      </c>
      <c r="F75" s="5">
        <f t="shared" si="43"/>
        <v>201310</v>
      </c>
      <c r="G75" s="5">
        <f>G71+100</f>
        <v>201320</v>
      </c>
      <c r="H75" t="str">
        <f>"[["&amp;G75&amp;",1]]"</f>
        <v>[[201320,1]]</v>
      </c>
      <c r="I75" t="str">
        <f t="shared" si="44"/>
        <v>skill/sect/201304</v>
      </c>
      <c r="J75" t="s">
        <v>1286</v>
      </c>
      <c r="K75" s="9" t="s">
        <v>1292</v>
      </c>
      <c r="L75">
        <v>100134000</v>
      </c>
      <c r="M75" s="5" t="s">
        <v>1293</v>
      </c>
      <c r="N75" t="s">
        <v>1291</v>
      </c>
      <c r="O75" t="s">
        <v>1024</v>
      </c>
      <c r="P75" t="s">
        <v>1046</v>
      </c>
      <c r="Q75" t="s">
        <v>1047</v>
      </c>
      <c r="R75" t="str">
        <f t="shared" si="45"/>
        <v>[[103,10]]</v>
      </c>
      <c r="S75">
        <f t="shared" si="46"/>
        <v>10000</v>
      </c>
      <c r="T75" t="s">
        <v>1028</v>
      </c>
      <c r="U75" t="s">
        <v>1029</v>
      </c>
      <c r="V75">
        <v>0</v>
      </c>
    </row>
    <row r="76" spans="1:22">
      <c r="A76">
        <v>2021</v>
      </c>
      <c r="B76">
        <v>1</v>
      </c>
      <c r="C76">
        <v>3</v>
      </c>
      <c r="D76" t="s">
        <v>1074</v>
      </c>
      <c r="E76">
        <v>202101</v>
      </c>
      <c r="F76" s="5" t="s">
        <v>1294</v>
      </c>
      <c r="H76" t="s">
        <v>1295</v>
      </c>
      <c r="I76" t="s">
        <v>1296</v>
      </c>
      <c r="J76" t="s">
        <v>1297</v>
      </c>
      <c r="K76" t="s">
        <v>1298</v>
      </c>
      <c r="L76">
        <v>100211000</v>
      </c>
      <c r="O76" t="s">
        <v>1024</v>
      </c>
      <c r="P76" t="s">
        <v>1025</v>
      </c>
      <c r="Q76" t="s">
        <v>1026</v>
      </c>
      <c r="R76" t="s">
        <v>1027</v>
      </c>
      <c r="S76">
        <v>2000</v>
      </c>
      <c r="T76" t="s">
        <v>1080</v>
      </c>
      <c r="U76" t="s">
        <v>1081</v>
      </c>
      <c r="V76">
        <v>1</v>
      </c>
    </row>
    <row r="77" spans="1:22">
      <c r="A77">
        <v>2021</v>
      </c>
      <c r="B77">
        <v>2</v>
      </c>
      <c r="C77">
        <v>4</v>
      </c>
      <c r="D77" t="s">
        <v>1074</v>
      </c>
      <c r="E77">
        <v>202102</v>
      </c>
      <c r="F77" s="5" t="s">
        <v>1294</v>
      </c>
      <c r="H77" t="s">
        <v>1299</v>
      </c>
      <c r="I77" t="s">
        <v>1300</v>
      </c>
      <c r="J77" t="s">
        <v>1297</v>
      </c>
      <c r="K77" t="s">
        <v>1301</v>
      </c>
      <c r="L77">
        <v>100212000</v>
      </c>
      <c r="M77" s="5">
        <v>100212000</v>
      </c>
      <c r="O77" t="s">
        <v>1024</v>
      </c>
      <c r="P77" t="s">
        <v>1032</v>
      </c>
      <c r="Q77" t="s">
        <v>1033</v>
      </c>
      <c r="R77" t="s">
        <v>1027</v>
      </c>
      <c r="S77">
        <v>5000</v>
      </c>
      <c r="T77" t="s">
        <v>1080</v>
      </c>
      <c r="U77" t="s">
        <v>1081</v>
      </c>
      <c r="V77">
        <v>1</v>
      </c>
    </row>
    <row r="78" spans="1:22">
      <c r="A78">
        <v>2021</v>
      </c>
      <c r="B78">
        <v>3</v>
      </c>
      <c r="C78">
        <v>6</v>
      </c>
      <c r="D78" t="s">
        <v>1074</v>
      </c>
      <c r="E78">
        <v>202103</v>
      </c>
      <c r="F78" s="5" t="s">
        <v>1294</v>
      </c>
      <c r="H78" t="s">
        <v>1302</v>
      </c>
      <c r="I78" t="s">
        <v>1303</v>
      </c>
      <c r="J78" t="s">
        <v>1297</v>
      </c>
      <c r="K78" t="s">
        <v>1304</v>
      </c>
      <c r="L78">
        <v>100212000</v>
      </c>
      <c r="M78" s="5">
        <v>100212000</v>
      </c>
      <c r="N78" t="s">
        <v>1305</v>
      </c>
      <c r="O78" t="s">
        <v>1024</v>
      </c>
      <c r="P78" t="s">
        <v>1040</v>
      </c>
      <c r="Q78" t="s">
        <v>1041</v>
      </c>
      <c r="R78" t="s">
        <v>1027</v>
      </c>
      <c r="S78">
        <v>10000</v>
      </c>
      <c r="T78" t="s">
        <v>1080</v>
      </c>
      <c r="U78" t="s">
        <v>1081</v>
      </c>
      <c r="V78">
        <v>1</v>
      </c>
    </row>
    <row r="79" spans="1:22">
      <c r="A79">
        <v>2021</v>
      </c>
      <c r="B79">
        <v>4</v>
      </c>
      <c r="C79">
        <v>8</v>
      </c>
      <c r="D79" t="s">
        <v>1074</v>
      </c>
      <c r="E79">
        <v>202104</v>
      </c>
      <c r="F79" s="5" t="s">
        <v>1294</v>
      </c>
      <c r="G79" s="5" t="s">
        <v>1306</v>
      </c>
      <c r="H79" t="s">
        <v>1307</v>
      </c>
      <c r="I79" t="s">
        <v>1308</v>
      </c>
      <c r="J79" t="s">
        <v>1297</v>
      </c>
      <c r="K79" t="s">
        <v>1309</v>
      </c>
      <c r="L79">
        <v>100214000</v>
      </c>
      <c r="M79" s="5">
        <v>100212000</v>
      </c>
      <c r="N79" t="s">
        <v>1305</v>
      </c>
      <c r="O79" t="s">
        <v>1024</v>
      </c>
      <c r="P79" t="s">
        <v>1046</v>
      </c>
      <c r="Q79" t="s">
        <v>1047</v>
      </c>
      <c r="R79" t="s">
        <v>1027</v>
      </c>
      <c r="S79">
        <v>20000</v>
      </c>
      <c r="T79" t="s">
        <v>1084</v>
      </c>
      <c r="U79" t="s">
        <v>1085</v>
      </c>
      <c r="V79">
        <v>1</v>
      </c>
    </row>
    <row r="80" spans="1:22">
      <c r="A80">
        <v>2022</v>
      </c>
      <c r="B80">
        <v>1</v>
      </c>
      <c r="C80">
        <v>3</v>
      </c>
      <c r="D80" t="s">
        <v>1074</v>
      </c>
      <c r="E80">
        <v>202201</v>
      </c>
      <c r="F80" s="5" t="s">
        <v>1310</v>
      </c>
      <c r="H80" t="s">
        <v>1311</v>
      </c>
      <c r="I80" t="s">
        <v>1312</v>
      </c>
      <c r="J80" t="s">
        <v>1313</v>
      </c>
      <c r="K80" t="s">
        <v>1280</v>
      </c>
      <c r="N80" t="s">
        <v>1314</v>
      </c>
      <c r="O80" t="s">
        <v>1024</v>
      </c>
      <c r="P80" t="s">
        <v>1025</v>
      </c>
      <c r="Q80" t="s">
        <v>1026</v>
      </c>
      <c r="R80" t="s">
        <v>1027</v>
      </c>
      <c r="S80">
        <v>2000</v>
      </c>
      <c r="T80" t="s">
        <v>1273</v>
      </c>
      <c r="U80" t="s">
        <v>1081</v>
      </c>
      <c r="V80">
        <v>1</v>
      </c>
    </row>
    <row r="81" spans="1:22">
      <c r="A81">
        <v>2022</v>
      </c>
      <c r="B81">
        <v>2</v>
      </c>
      <c r="C81">
        <v>4</v>
      </c>
      <c r="D81" t="s">
        <v>1074</v>
      </c>
      <c r="E81">
        <v>202202</v>
      </c>
      <c r="F81" s="5" t="s">
        <v>1310</v>
      </c>
      <c r="H81" t="s">
        <v>1315</v>
      </c>
      <c r="I81" t="s">
        <v>1316</v>
      </c>
      <c r="J81" t="s">
        <v>1313</v>
      </c>
      <c r="K81" t="s">
        <v>1317</v>
      </c>
      <c r="L81">
        <v>100222000</v>
      </c>
      <c r="M81" s="5">
        <v>100222000</v>
      </c>
      <c r="N81" t="s">
        <v>1314</v>
      </c>
      <c r="O81" t="s">
        <v>1024</v>
      </c>
      <c r="P81" t="s">
        <v>1032</v>
      </c>
      <c r="Q81" t="s">
        <v>1033</v>
      </c>
      <c r="R81" t="s">
        <v>1027</v>
      </c>
      <c r="S81">
        <v>5000</v>
      </c>
      <c r="T81" t="s">
        <v>1277</v>
      </c>
      <c r="U81" t="s">
        <v>1085</v>
      </c>
      <c r="V81">
        <v>1</v>
      </c>
    </row>
    <row r="82" spans="1:22">
      <c r="A82">
        <v>2022</v>
      </c>
      <c r="B82">
        <v>3</v>
      </c>
      <c r="C82">
        <v>6</v>
      </c>
      <c r="D82" t="s">
        <v>1074</v>
      </c>
      <c r="E82">
        <v>202203</v>
      </c>
      <c r="F82" s="5" t="s">
        <v>1310</v>
      </c>
      <c r="H82" t="s">
        <v>1318</v>
      </c>
      <c r="I82" t="s">
        <v>1319</v>
      </c>
      <c r="J82" t="s">
        <v>1313</v>
      </c>
      <c r="K82" t="s">
        <v>1320</v>
      </c>
      <c r="L82">
        <v>100222000</v>
      </c>
      <c r="M82" s="5">
        <v>100222000</v>
      </c>
      <c r="N82" t="s">
        <v>1321</v>
      </c>
      <c r="O82" t="s">
        <v>1024</v>
      </c>
      <c r="P82" t="s">
        <v>1040</v>
      </c>
      <c r="Q82" t="s">
        <v>1041</v>
      </c>
      <c r="R82" t="s">
        <v>1027</v>
      </c>
      <c r="S82">
        <v>10000</v>
      </c>
      <c r="T82" t="s">
        <v>1277</v>
      </c>
      <c r="U82" t="s">
        <v>1085</v>
      </c>
      <c r="V82">
        <v>1</v>
      </c>
    </row>
    <row r="83" spans="1:22">
      <c r="A83">
        <v>2022</v>
      </c>
      <c r="B83">
        <v>4</v>
      </c>
      <c r="C83">
        <v>8</v>
      </c>
      <c r="D83" t="s">
        <v>1074</v>
      </c>
      <c r="E83">
        <v>202204</v>
      </c>
      <c r="F83" s="5" t="s">
        <v>1310</v>
      </c>
      <c r="G83" s="5" t="s">
        <v>1322</v>
      </c>
      <c r="H83" t="s">
        <v>1323</v>
      </c>
      <c r="I83" t="s">
        <v>1324</v>
      </c>
      <c r="J83" t="s">
        <v>1313</v>
      </c>
      <c r="K83" t="s">
        <v>1325</v>
      </c>
      <c r="L83">
        <v>100224000</v>
      </c>
      <c r="M83" s="5">
        <v>100224000</v>
      </c>
      <c r="N83" t="s">
        <v>1321</v>
      </c>
      <c r="O83" t="s">
        <v>1024</v>
      </c>
      <c r="P83" t="s">
        <v>1046</v>
      </c>
      <c r="Q83" t="s">
        <v>1047</v>
      </c>
      <c r="R83" t="s">
        <v>1027</v>
      </c>
      <c r="S83">
        <v>20000</v>
      </c>
      <c r="T83" t="s">
        <v>1277</v>
      </c>
      <c r="U83" t="s">
        <v>1085</v>
      </c>
      <c r="V83">
        <v>1</v>
      </c>
    </row>
    <row r="84" spans="1:22">
      <c r="A84">
        <f t="shared" ref="A84:A87" si="47">A80+1</f>
        <v>2023</v>
      </c>
      <c r="B84">
        <f t="shared" ref="B84:B87" si="48">B80</f>
        <v>1</v>
      </c>
      <c r="C84">
        <f t="shared" ref="C84:C87" si="49">C80</f>
        <v>3</v>
      </c>
      <c r="D84" t="str">
        <f t="shared" ref="D84:D87" si="50">D80</f>
        <v>核心技能</v>
      </c>
      <c r="E84">
        <f t="shared" ref="E84:E87" si="51">E80+100</f>
        <v>202301</v>
      </c>
      <c r="F84" s="5">
        <f t="shared" ref="F84:F87" si="52">F80+100</f>
        <v>202310</v>
      </c>
      <c r="H84" t="str">
        <f>"[["&amp;F84&amp;",300]]"</f>
        <v>[[202310,300]]</v>
      </c>
      <c r="I84" t="str">
        <f t="shared" ref="I84:I87" si="53">"skill/sect/"&amp;E84</f>
        <v>skill/sect/202301</v>
      </c>
      <c r="J84" t="s">
        <v>1326</v>
      </c>
      <c r="K84" s="9" t="s">
        <v>1327</v>
      </c>
      <c r="N84" t="s">
        <v>1328</v>
      </c>
      <c r="O84" t="s">
        <v>1024</v>
      </c>
      <c r="P84" t="s">
        <v>1025</v>
      </c>
      <c r="Q84" t="s">
        <v>1026</v>
      </c>
      <c r="R84" t="str">
        <f t="shared" ref="R84:R87" si="54">R80</f>
        <v>[[103,10]]</v>
      </c>
      <c r="S84">
        <f t="shared" ref="S84:S87" si="55">S76</f>
        <v>2000</v>
      </c>
      <c r="T84" t="s">
        <v>1028</v>
      </c>
      <c r="U84" t="s">
        <v>1029</v>
      </c>
      <c r="V84">
        <v>0</v>
      </c>
    </row>
    <row r="85" spans="1:22">
      <c r="A85">
        <f t="shared" si="47"/>
        <v>2023</v>
      </c>
      <c r="B85">
        <f t="shared" si="48"/>
        <v>2</v>
      </c>
      <c r="C85">
        <f t="shared" si="49"/>
        <v>4</v>
      </c>
      <c r="D85" t="str">
        <f t="shared" si="50"/>
        <v>核心技能</v>
      </c>
      <c r="E85">
        <f t="shared" si="51"/>
        <v>202302</v>
      </c>
      <c r="F85" s="5">
        <f t="shared" si="52"/>
        <v>202310</v>
      </c>
      <c r="H85" t="str">
        <f>"[["&amp;F85&amp;",600]]"</f>
        <v>[[202310,600]]</v>
      </c>
      <c r="I85" t="str">
        <f t="shared" si="53"/>
        <v>skill/sect/202302</v>
      </c>
      <c r="J85" t="s">
        <v>1326</v>
      </c>
      <c r="K85" s="9" t="s">
        <v>1329</v>
      </c>
      <c r="L85">
        <v>100232000</v>
      </c>
      <c r="M85" s="5">
        <v>100232000</v>
      </c>
      <c r="N85" t="s">
        <v>1328</v>
      </c>
      <c r="O85" t="s">
        <v>1024</v>
      </c>
      <c r="P85" t="s">
        <v>1032</v>
      </c>
      <c r="Q85" t="s">
        <v>1033</v>
      </c>
      <c r="R85" t="str">
        <f t="shared" si="54"/>
        <v>[[103,10]]</v>
      </c>
      <c r="S85">
        <f t="shared" si="55"/>
        <v>5000</v>
      </c>
      <c r="T85" t="s">
        <v>1028</v>
      </c>
      <c r="U85" t="s">
        <v>1029</v>
      </c>
      <c r="V85">
        <v>0</v>
      </c>
    </row>
    <row r="86" spans="1:22">
      <c r="A86">
        <f t="shared" si="47"/>
        <v>2023</v>
      </c>
      <c r="B86">
        <f t="shared" si="48"/>
        <v>3</v>
      </c>
      <c r="C86">
        <f t="shared" si="49"/>
        <v>6</v>
      </c>
      <c r="D86" t="str">
        <f t="shared" si="50"/>
        <v>核心技能</v>
      </c>
      <c r="E86">
        <f t="shared" si="51"/>
        <v>202303</v>
      </c>
      <c r="F86" s="5">
        <f t="shared" si="52"/>
        <v>202310</v>
      </c>
      <c r="H86" t="str">
        <f>"[["&amp;F86&amp;",900]]"</f>
        <v>[[202310,900]]</v>
      </c>
      <c r="I86" t="str">
        <f t="shared" si="53"/>
        <v>skill/sect/202303</v>
      </c>
      <c r="J86" t="s">
        <v>1326</v>
      </c>
      <c r="K86" s="9" t="s">
        <v>1330</v>
      </c>
      <c r="L86">
        <v>100232000</v>
      </c>
      <c r="M86" s="5">
        <v>100232000</v>
      </c>
      <c r="N86" t="s">
        <v>1331</v>
      </c>
      <c r="O86" t="s">
        <v>1024</v>
      </c>
      <c r="P86" t="s">
        <v>1040</v>
      </c>
      <c r="Q86" t="s">
        <v>1041</v>
      </c>
      <c r="R86" t="str">
        <f t="shared" si="54"/>
        <v>[[103,10]]</v>
      </c>
      <c r="S86">
        <f t="shared" si="55"/>
        <v>10000</v>
      </c>
      <c r="T86" t="s">
        <v>1028</v>
      </c>
      <c r="U86" t="s">
        <v>1029</v>
      </c>
      <c r="V86">
        <v>0</v>
      </c>
    </row>
    <row r="87" spans="1:22">
      <c r="A87">
        <f t="shared" si="47"/>
        <v>2023</v>
      </c>
      <c r="B87">
        <f t="shared" si="48"/>
        <v>4</v>
      </c>
      <c r="C87">
        <f t="shared" si="49"/>
        <v>8</v>
      </c>
      <c r="D87" t="str">
        <f t="shared" si="50"/>
        <v>核心技能</v>
      </c>
      <c r="E87">
        <f t="shared" si="51"/>
        <v>202304</v>
      </c>
      <c r="F87" s="5">
        <f t="shared" si="52"/>
        <v>202310</v>
      </c>
      <c r="G87" s="5">
        <f>G83+100</f>
        <v>202320</v>
      </c>
      <c r="H87" t="str">
        <f>"[["&amp;G87&amp;",1]]"</f>
        <v>[[202320,1]]</v>
      </c>
      <c r="I87" t="str">
        <f t="shared" si="53"/>
        <v>skill/sect/202304</v>
      </c>
      <c r="J87" t="s">
        <v>1326</v>
      </c>
      <c r="K87" s="9" t="s">
        <v>1332</v>
      </c>
      <c r="L87">
        <v>100234000</v>
      </c>
      <c r="M87" s="5">
        <v>100234000</v>
      </c>
      <c r="N87" t="s">
        <v>1331</v>
      </c>
      <c r="O87" t="s">
        <v>1024</v>
      </c>
      <c r="P87" t="s">
        <v>1046</v>
      </c>
      <c r="Q87" t="s">
        <v>1047</v>
      </c>
      <c r="R87" t="str">
        <f t="shared" si="54"/>
        <v>[[103,10]]</v>
      </c>
      <c r="S87">
        <f t="shared" si="55"/>
        <v>20000</v>
      </c>
      <c r="T87" t="s">
        <v>1028</v>
      </c>
      <c r="U87" t="s">
        <v>1029</v>
      </c>
      <c r="V87">
        <v>0</v>
      </c>
    </row>
    <row r="88" spans="1:22">
      <c r="A88">
        <v>2031</v>
      </c>
      <c r="B88">
        <v>1</v>
      </c>
      <c r="C88">
        <v>3</v>
      </c>
      <c r="D88" t="s">
        <v>1112</v>
      </c>
      <c r="E88">
        <v>203101</v>
      </c>
      <c r="F88" s="5" t="s">
        <v>1333</v>
      </c>
      <c r="H88" t="s">
        <v>1334</v>
      </c>
      <c r="I88" t="s">
        <v>1335</v>
      </c>
      <c r="J88" t="s">
        <v>1336</v>
      </c>
      <c r="K88" t="s">
        <v>1337</v>
      </c>
      <c r="L88">
        <v>100311000</v>
      </c>
      <c r="N88" t="s">
        <v>1338</v>
      </c>
      <c r="O88" t="s">
        <v>1024</v>
      </c>
      <c r="P88" t="s">
        <v>1025</v>
      </c>
      <c r="Q88" t="s">
        <v>1026</v>
      </c>
      <c r="R88" t="s">
        <v>1027</v>
      </c>
      <c r="S88">
        <v>1000</v>
      </c>
      <c r="T88" t="s">
        <v>1119</v>
      </c>
      <c r="U88" t="s">
        <v>1339</v>
      </c>
      <c r="V88">
        <v>1</v>
      </c>
    </row>
    <row r="89" spans="1:22">
      <c r="A89">
        <v>2031</v>
      </c>
      <c r="B89">
        <v>2</v>
      </c>
      <c r="C89">
        <v>4</v>
      </c>
      <c r="D89" t="s">
        <v>1112</v>
      </c>
      <c r="E89">
        <v>203102</v>
      </c>
      <c r="F89" s="5" t="s">
        <v>1333</v>
      </c>
      <c r="H89" t="s">
        <v>1340</v>
      </c>
      <c r="I89" t="s">
        <v>1341</v>
      </c>
      <c r="J89" t="s">
        <v>1336</v>
      </c>
      <c r="K89" t="s">
        <v>1342</v>
      </c>
      <c r="L89">
        <v>100312000</v>
      </c>
      <c r="N89" t="s">
        <v>1338</v>
      </c>
      <c r="O89" t="s">
        <v>1024</v>
      </c>
      <c r="P89" t="s">
        <v>1032</v>
      </c>
      <c r="Q89" t="s">
        <v>1033</v>
      </c>
      <c r="R89" t="s">
        <v>1027</v>
      </c>
      <c r="S89">
        <v>3000</v>
      </c>
      <c r="T89" t="s">
        <v>1343</v>
      </c>
      <c r="U89" t="s">
        <v>1344</v>
      </c>
      <c r="V89">
        <v>1</v>
      </c>
    </row>
    <row r="90" spans="1:22">
      <c r="A90">
        <v>2031</v>
      </c>
      <c r="B90">
        <v>3</v>
      </c>
      <c r="C90">
        <v>6</v>
      </c>
      <c r="D90" t="s">
        <v>1112</v>
      </c>
      <c r="E90">
        <v>203103</v>
      </c>
      <c r="F90" s="5" t="s">
        <v>1333</v>
      </c>
      <c r="H90" t="s">
        <v>1345</v>
      </c>
      <c r="I90" t="s">
        <v>1346</v>
      </c>
      <c r="J90" t="s">
        <v>1336</v>
      </c>
      <c r="K90" t="s">
        <v>1347</v>
      </c>
      <c r="L90">
        <v>100312000</v>
      </c>
      <c r="N90" t="s">
        <v>1348</v>
      </c>
      <c r="O90" t="s">
        <v>1024</v>
      </c>
      <c r="P90" t="s">
        <v>1040</v>
      </c>
      <c r="Q90" t="s">
        <v>1041</v>
      </c>
      <c r="R90" t="s">
        <v>1027</v>
      </c>
      <c r="S90">
        <v>6000</v>
      </c>
      <c r="T90" t="s">
        <v>1343</v>
      </c>
      <c r="U90" t="s">
        <v>1344</v>
      </c>
      <c r="V90">
        <v>1</v>
      </c>
    </row>
    <row r="91" spans="1:22">
      <c r="A91">
        <v>2031</v>
      </c>
      <c r="B91">
        <v>4</v>
      </c>
      <c r="C91">
        <v>8</v>
      </c>
      <c r="D91" t="s">
        <v>1112</v>
      </c>
      <c r="E91">
        <v>203104</v>
      </c>
      <c r="F91" s="5" t="s">
        <v>1333</v>
      </c>
      <c r="G91" s="5" t="s">
        <v>1349</v>
      </c>
      <c r="H91" t="s">
        <v>1350</v>
      </c>
      <c r="I91" t="s">
        <v>1351</v>
      </c>
      <c r="J91" t="s">
        <v>1336</v>
      </c>
      <c r="K91" t="s">
        <v>1352</v>
      </c>
      <c r="L91">
        <v>100314000</v>
      </c>
      <c r="N91" t="s">
        <v>1348</v>
      </c>
      <c r="O91" t="s">
        <v>1024</v>
      </c>
      <c r="P91" t="s">
        <v>1046</v>
      </c>
      <c r="Q91" t="s">
        <v>1047</v>
      </c>
      <c r="R91" t="s">
        <v>1027</v>
      </c>
      <c r="S91">
        <v>10000</v>
      </c>
      <c r="T91" t="s">
        <v>1343</v>
      </c>
      <c r="U91" t="s">
        <v>1344</v>
      </c>
      <c r="V91">
        <v>1</v>
      </c>
    </row>
    <row r="92" spans="1:22">
      <c r="A92">
        <v>2032</v>
      </c>
      <c r="B92">
        <v>1</v>
      </c>
      <c r="C92">
        <v>3</v>
      </c>
      <c r="D92" t="s">
        <v>1112</v>
      </c>
      <c r="E92">
        <v>203201</v>
      </c>
      <c r="F92" s="5" t="s">
        <v>1353</v>
      </c>
      <c r="H92" t="s">
        <v>1354</v>
      </c>
      <c r="I92" t="s">
        <v>1355</v>
      </c>
      <c r="J92" t="s">
        <v>1356</v>
      </c>
      <c r="K92" t="s">
        <v>1290</v>
      </c>
      <c r="N92" t="s">
        <v>1023</v>
      </c>
      <c r="O92" t="s">
        <v>1024</v>
      </c>
      <c r="P92" t="s">
        <v>1025</v>
      </c>
      <c r="Q92" t="s">
        <v>1026</v>
      </c>
      <c r="R92" t="s">
        <v>1027</v>
      </c>
      <c r="S92">
        <v>1000</v>
      </c>
      <c r="T92" t="s">
        <v>1357</v>
      </c>
      <c r="U92" t="s">
        <v>1358</v>
      </c>
      <c r="V92">
        <v>1</v>
      </c>
    </row>
    <row r="93" spans="1:22">
      <c r="A93">
        <v>2032</v>
      </c>
      <c r="B93">
        <v>2</v>
      </c>
      <c r="C93">
        <v>4</v>
      </c>
      <c r="D93" t="s">
        <v>1112</v>
      </c>
      <c r="E93">
        <v>203202</v>
      </c>
      <c r="F93" s="5" t="s">
        <v>1353</v>
      </c>
      <c r="H93" t="s">
        <v>1359</v>
      </c>
      <c r="I93" t="s">
        <v>1360</v>
      </c>
      <c r="J93" t="s">
        <v>1356</v>
      </c>
      <c r="K93" t="s">
        <v>1361</v>
      </c>
      <c r="L93">
        <v>100322000</v>
      </c>
      <c r="N93" t="s">
        <v>1023</v>
      </c>
      <c r="O93" t="s">
        <v>1024</v>
      </c>
      <c r="P93" t="s">
        <v>1032</v>
      </c>
      <c r="Q93" t="s">
        <v>1033</v>
      </c>
      <c r="R93" t="s">
        <v>1027</v>
      </c>
      <c r="S93">
        <v>3000</v>
      </c>
      <c r="T93" t="s">
        <v>1357</v>
      </c>
      <c r="U93" t="s">
        <v>1358</v>
      </c>
      <c r="V93">
        <v>1</v>
      </c>
    </row>
    <row r="94" spans="1:22">
      <c r="A94">
        <v>2032</v>
      </c>
      <c r="B94">
        <v>3</v>
      </c>
      <c r="C94">
        <v>6</v>
      </c>
      <c r="D94" t="s">
        <v>1112</v>
      </c>
      <c r="E94">
        <v>203203</v>
      </c>
      <c r="F94" s="5" t="s">
        <v>1353</v>
      </c>
      <c r="H94" t="s">
        <v>1362</v>
      </c>
      <c r="I94" t="s">
        <v>1363</v>
      </c>
      <c r="J94" t="s">
        <v>1356</v>
      </c>
      <c r="K94" t="s">
        <v>1253</v>
      </c>
      <c r="L94">
        <v>100322000</v>
      </c>
      <c r="N94" t="s">
        <v>1364</v>
      </c>
      <c r="O94" t="s">
        <v>1024</v>
      </c>
      <c r="P94" t="s">
        <v>1040</v>
      </c>
      <c r="Q94" t="s">
        <v>1041</v>
      </c>
      <c r="R94" t="s">
        <v>1027</v>
      </c>
      <c r="S94">
        <v>6000</v>
      </c>
      <c r="T94" t="s">
        <v>1357</v>
      </c>
      <c r="U94" t="s">
        <v>1358</v>
      </c>
      <c r="V94">
        <v>1</v>
      </c>
    </row>
    <row r="95" spans="1:22">
      <c r="A95">
        <v>2032</v>
      </c>
      <c r="B95">
        <v>4</v>
      </c>
      <c r="C95">
        <v>8</v>
      </c>
      <c r="D95" t="s">
        <v>1112</v>
      </c>
      <c r="E95">
        <v>203204</v>
      </c>
      <c r="F95" s="5" t="s">
        <v>1353</v>
      </c>
      <c r="G95" s="5" t="s">
        <v>1365</v>
      </c>
      <c r="H95" t="s">
        <v>1366</v>
      </c>
      <c r="I95" t="s">
        <v>1367</v>
      </c>
      <c r="J95" t="s">
        <v>1356</v>
      </c>
      <c r="K95" t="s">
        <v>1368</v>
      </c>
      <c r="L95">
        <v>100324000</v>
      </c>
      <c r="N95" t="s">
        <v>1364</v>
      </c>
      <c r="O95" t="s">
        <v>1024</v>
      </c>
      <c r="P95" t="s">
        <v>1046</v>
      </c>
      <c r="Q95" t="s">
        <v>1047</v>
      </c>
      <c r="R95" t="s">
        <v>1027</v>
      </c>
      <c r="S95">
        <v>10000</v>
      </c>
      <c r="T95" t="s">
        <v>1357</v>
      </c>
      <c r="U95" t="s">
        <v>1358</v>
      </c>
      <c r="V95">
        <v>1</v>
      </c>
    </row>
    <row r="96" spans="1:22">
      <c r="A96">
        <f t="shared" ref="A96:A99" si="56">A92+1</f>
        <v>2033</v>
      </c>
      <c r="B96">
        <f t="shared" ref="B96:B99" si="57">B92</f>
        <v>1</v>
      </c>
      <c r="C96">
        <f t="shared" ref="C96:C99" si="58">C92</f>
        <v>3</v>
      </c>
      <c r="D96" t="str">
        <f t="shared" ref="D96:D99" si="59">D92</f>
        <v>位移技能</v>
      </c>
      <c r="E96">
        <f t="shared" ref="E96:E99" si="60">E92+100</f>
        <v>203301</v>
      </c>
      <c r="F96" s="5">
        <f t="shared" ref="F96:F99" si="61">F92+100</f>
        <v>203310</v>
      </c>
      <c r="H96" t="str">
        <f>"[["&amp;F96&amp;",300]]"</f>
        <v>[[203310,300]]</v>
      </c>
      <c r="I96" t="str">
        <f t="shared" ref="I96:I99" si="62">"skill/sect/"&amp;E96</f>
        <v>skill/sect/203301</v>
      </c>
      <c r="J96" t="s">
        <v>1369</v>
      </c>
      <c r="K96" s="9" t="s">
        <v>1370</v>
      </c>
      <c r="N96" t="s">
        <v>1371</v>
      </c>
      <c r="O96" t="s">
        <v>1024</v>
      </c>
      <c r="P96" t="s">
        <v>1025</v>
      </c>
      <c r="Q96" t="s">
        <v>1026</v>
      </c>
      <c r="R96" t="str">
        <f t="shared" ref="R96:R99" si="63">R92</f>
        <v>[[103,10]]</v>
      </c>
      <c r="S96">
        <f t="shared" ref="S96:S99" si="64">S88</f>
        <v>1000</v>
      </c>
      <c r="T96" t="s">
        <v>1343</v>
      </c>
      <c r="U96" t="s">
        <v>1344</v>
      </c>
      <c r="V96">
        <v>0</v>
      </c>
    </row>
    <row r="97" spans="1:22">
      <c r="A97">
        <f t="shared" si="56"/>
        <v>2033</v>
      </c>
      <c r="B97">
        <f t="shared" si="57"/>
        <v>2</v>
      </c>
      <c r="C97">
        <f t="shared" si="58"/>
        <v>4</v>
      </c>
      <c r="D97" t="str">
        <f t="shared" si="59"/>
        <v>位移技能</v>
      </c>
      <c r="E97">
        <f t="shared" si="60"/>
        <v>203302</v>
      </c>
      <c r="F97" s="5">
        <f t="shared" si="61"/>
        <v>203310</v>
      </c>
      <c r="H97" t="str">
        <f>"[["&amp;F97&amp;",600]]"</f>
        <v>[[203310,600]]</v>
      </c>
      <c r="I97" t="str">
        <f t="shared" si="62"/>
        <v>skill/sect/203302</v>
      </c>
      <c r="J97" t="s">
        <v>1369</v>
      </c>
      <c r="K97" s="9" t="s">
        <v>1372</v>
      </c>
      <c r="L97">
        <v>100332000</v>
      </c>
      <c r="N97" t="s">
        <v>1371</v>
      </c>
      <c r="O97" t="s">
        <v>1024</v>
      </c>
      <c r="P97" t="s">
        <v>1032</v>
      </c>
      <c r="Q97" t="s">
        <v>1033</v>
      </c>
      <c r="R97" t="str">
        <f t="shared" si="63"/>
        <v>[[103,10]]</v>
      </c>
      <c r="S97">
        <f t="shared" si="64"/>
        <v>3000</v>
      </c>
      <c r="T97" t="s">
        <v>1343</v>
      </c>
      <c r="U97" t="s">
        <v>1344</v>
      </c>
      <c r="V97">
        <v>0</v>
      </c>
    </row>
    <row r="98" spans="1:22">
      <c r="A98">
        <f t="shared" si="56"/>
        <v>2033</v>
      </c>
      <c r="B98">
        <f t="shared" si="57"/>
        <v>3</v>
      </c>
      <c r="C98">
        <f t="shared" si="58"/>
        <v>6</v>
      </c>
      <c r="D98" t="str">
        <f t="shared" si="59"/>
        <v>位移技能</v>
      </c>
      <c r="E98">
        <f t="shared" si="60"/>
        <v>203303</v>
      </c>
      <c r="F98" s="5">
        <f t="shared" si="61"/>
        <v>203310</v>
      </c>
      <c r="H98" t="str">
        <f>"[["&amp;F98&amp;",900]]"</f>
        <v>[[203310,900]]</v>
      </c>
      <c r="I98" t="str">
        <f t="shared" si="62"/>
        <v>skill/sect/203303</v>
      </c>
      <c r="J98" t="s">
        <v>1369</v>
      </c>
      <c r="K98" s="9" t="s">
        <v>1373</v>
      </c>
      <c r="L98">
        <v>100332000</v>
      </c>
      <c r="N98" t="s">
        <v>1374</v>
      </c>
      <c r="O98" t="s">
        <v>1024</v>
      </c>
      <c r="P98" t="s">
        <v>1040</v>
      </c>
      <c r="Q98" t="s">
        <v>1041</v>
      </c>
      <c r="R98" t="str">
        <f t="shared" si="63"/>
        <v>[[103,10]]</v>
      </c>
      <c r="S98">
        <f t="shared" si="64"/>
        <v>6000</v>
      </c>
      <c r="T98" t="s">
        <v>1343</v>
      </c>
      <c r="U98" t="s">
        <v>1344</v>
      </c>
      <c r="V98">
        <v>0</v>
      </c>
    </row>
    <row r="99" spans="1:22">
      <c r="A99">
        <f t="shared" si="56"/>
        <v>2033</v>
      </c>
      <c r="B99">
        <f t="shared" si="57"/>
        <v>4</v>
      </c>
      <c r="C99">
        <f t="shared" si="58"/>
        <v>8</v>
      </c>
      <c r="D99" t="str">
        <f t="shared" si="59"/>
        <v>位移技能</v>
      </c>
      <c r="E99">
        <f t="shared" si="60"/>
        <v>203304</v>
      </c>
      <c r="F99" s="5">
        <f t="shared" si="61"/>
        <v>203310</v>
      </c>
      <c r="G99" s="5">
        <f>G95+100</f>
        <v>203320</v>
      </c>
      <c r="H99" t="str">
        <f>"[["&amp;G99&amp;",1]]"</f>
        <v>[[203320,1]]</v>
      </c>
      <c r="I99" t="str">
        <f t="shared" si="62"/>
        <v>skill/sect/203304</v>
      </c>
      <c r="J99" t="s">
        <v>1369</v>
      </c>
      <c r="K99" s="9" t="s">
        <v>1375</v>
      </c>
      <c r="L99">
        <v>100334000</v>
      </c>
      <c r="N99" t="s">
        <v>1374</v>
      </c>
      <c r="O99" t="s">
        <v>1024</v>
      </c>
      <c r="P99" t="s">
        <v>1046</v>
      </c>
      <c r="Q99" t="s">
        <v>1047</v>
      </c>
      <c r="R99" t="str">
        <f t="shared" si="63"/>
        <v>[[103,10]]</v>
      </c>
      <c r="S99">
        <f t="shared" si="64"/>
        <v>10000</v>
      </c>
      <c r="T99" t="s">
        <v>1343</v>
      </c>
      <c r="U99" t="s">
        <v>1344</v>
      </c>
      <c r="V99">
        <v>0</v>
      </c>
    </row>
    <row r="100" spans="1:22">
      <c r="A100">
        <v>2041</v>
      </c>
      <c r="B100">
        <v>1</v>
      </c>
      <c r="C100">
        <v>3</v>
      </c>
      <c r="D100" t="s">
        <v>1161</v>
      </c>
      <c r="E100">
        <v>204101</v>
      </c>
      <c r="F100" s="5" t="s">
        <v>1376</v>
      </c>
      <c r="H100" t="s">
        <v>1377</v>
      </c>
      <c r="I100" t="s">
        <v>1378</v>
      </c>
      <c r="J100" t="s">
        <v>1379</v>
      </c>
      <c r="K100" t="s">
        <v>1380</v>
      </c>
      <c r="N100" t="s">
        <v>1185</v>
      </c>
      <c r="O100" t="s">
        <v>1024</v>
      </c>
      <c r="P100" t="s">
        <v>1025</v>
      </c>
      <c r="Q100" t="s">
        <v>1026</v>
      </c>
      <c r="R100" t="s">
        <v>1027</v>
      </c>
      <c r="S100">
        <v>1000</v>
      </c>
      <c r="T100" t="s">
        <v>1186</v>
      </c>
      <c r="U100" t="s">
        <v>1339</v>
      </c>
      <c r="V100">
        <v>1</v>
      </c>
    </row>
    <row r="101" spans="1:22">
      <c r="A101">
        <v>2041</v>
      </c>
      <c r="B101">
        <v>2</v>
      </c>
      <c r="C101">
        <v>4</v>
      </c>
      <c r="D101" t="s">
        <v>1161</v>
      </c>
      <c r="E101">
        <v>204102</v>
      </c>
      <c r="F101" s="5" t="s">
        <v>1376</v>
      </c>
      <c r="H101" t="s">
        <v>1381</v>
      </c>
      <c r="I101" t="s">
        <v>1382</v>
      </c>
      <c r="J101" t="s">
        <v>1379</v>
      </c>
      <c r="K101" t="s">
        <v>1383</v>
      </c>
      <c r="L101">
        <v>100412000</v>
      </c>
      <c r="N101" t="s">
        <v>1185</v>
      </c>
      <c r="O101" t="s">
        <v>1024</v>
      </c>
      <c r="P101" t="s">
        <v>1032</v>
      </c>
      <c r="Q101" t="s">
        <v>1033</v>
      </c>
      <c r="R101" t="s">
        <v>1027</v>
      </c>
      <c r="S101">
        <v>3000</v>
      </c>
      <c r="T101" t="s">
        <v>1186</v>
      </c>
      <c r="U101" t="s">
        <v>1339</v>
      </c>
      <c r="V101">
        <v>1</v>
      </c>
    </row>
    <row r="102" spans="1:22">
      <c r="A102">
        <v>2041</v>
      </c>
      <c r="B102">
        <v>3</v>
      </c>
      <c r="C102">
        <v>6</v>
      </c>
      <c r="D102" t="s">
        <v>1161</v>
      </c>
      <c r="E102">
        <v>204103</v>
      </c>
      <c r="F102" s="5" t="s">
        <v>1376</v>
      </c>
      <c r="H102" t="s">
        <v>1384</v>
      </c>
      <c r="I102" t="s">
        <v>1385</v>
      </c>
      <c r="J102" t="s">
        <v>1379</v>
      </c>
      <c r="K102" t="s">
        <v>1386</v>
      </c>
      <c r="L102">
        <v>100412000</v>
      </c>
      <c r="N102" t="s">
        <v>1196</v>
      </c>
      <c r="O102" t="s">
        <v>1024</v>
      </c>
      <c r="P102" t="s">
        <v>1040</v>
      </c>
      <c r="Q102" t="s">
        <v>1041</v>
      </c>
      <c r="R102" t="s">
        <v>1027</v>
      </c>
      <c r="S102">
        <v>6000</v>
      </c>
      <c r="T102" t="s">
        <v>1186</v>
      </c>
      <c r="U102" t="s">
        <v>1339</v>
      </c>
      <c r="V102">
        <v>1</v>
      </c>
    </row>
    <row r="103" spans="1:22">
      <c r="A103">
        <v>2041</v>
      </c>
      <c r="B103">
        <v>4</v>
      </c>
      <c r="C103">
        <v>8</v>
      </c>
      <c r="D103" t="s">
        <v>1161</v>
      </c>
      <c r="E103">
        <v>204104</v>
      </c>
      <c r="F103" s="5" t="s">
        <v>1376</v>
      </c>
      <c r="G103" s="5" t="s">
        <v>1387</v>
      </c>
      <c r="H103" t="s">
        <v>1388</v>
      </c>
      <c r="I103" t="s">
        <v>1389</v>
      </c>
      <c r="J103" t="s">
        <v>1379</v>
      </c>
      <c r="K103" t="s">
        <v>1390</v>
      </c>
      <c r="L103">
        <v>100414000</v>
      </c>
      <c r="N103" t="s">
        <v>1196</v>
      </c>
      <c r="O103" t="s">
        <v>1024</v>
      </c>
      <c r="P103" t="s">
        <v>1046</v>
      </c>
      <c r="Q103" t="s">
        <v>1047</v>
      </c>
      <c r="R103" t="s">
        <v>1027</v>
      </c>
      <c r="S103">
        <v>10000</v>
      </c>
      <c r="T103" t="s">
        <v>1186</v>
      </c>
      <c r="U103" t="s">
        <v>1339</v>
      </c>
      <c r="V103">
        <v>1</v>
      </c>
    </row>
    <row r="104" spans="1:22">
      <c r="A104">
        <v>2042</v>
      </c>
      <c r="B104">
        <v>1</v>
      </c>
      <c r="C104">
        <v>3</v>
      </c>
      <c r="D104" t="s">
        <v>1161</v>
      </c>
      <c r="E104">
        <v>204201</v>
      </c>
      <c r="F104" s="5" t="s">
        <v>1391</v>
      </c>
      <c r="H104" t="s">
        <v>1392</v>
      </c>
      <c r="I104" t="s">
        <v>1393</v>
      </c>
      <c r="J104" t="s">
        <v>1394</v>
      </c>
      <c r="K104" t="s">
        <v>1290</v>
      </c>
      <c r="N104" t="s">
        <v>1023</v>
      </c>
      <c r="O104" t="s">
        <v>1024</v>
      </c>
      <c r="P104" t="s">
        <v>1025</v>
      </c>
      <c r="Q104" t="s">
        <v>1026</v>
      </c>
      <c r="R104" t="s">
        <v>1027</v>
      </c>
      <c r="S104">
        <v>1000</v>
      </c>
      <c r="T104" t="s">
        <v>1395</v>
      </c>
      <c r="U104" t="s">
        <v>1396</v>
      </c>
      <c r="V104">
        <v>1</v>
      </c>
    </row>
    <row r="105" spans="1:22">
      <c r="A105">
        <v>2042</v>
      </c>
      <c r="B105">
        <v>2</v>
      </c>
      <c r="C105">
        <v>4</v>
      </c>
      <c r="D105" t="s">
        <v>1161</v>
      </c>
      <c r="E105">
        <v>204202</v>
      </c>
      <c r="F105" s="5" t="s">
        <v>1391</v>
      </c>
      <c r="H105" t="s">
        <v>1397</v>
      </c>
      <c r="I105" t="s">
        <v>1398</v>
      </c>
      <c r="J105" t="s">
        <v>1394</v>
      </c>
      <c r="K105" t="s">
        <v>1399</v>
      </c>
      <c r="L105">
        <v>100422000</v>
      </c>
      <c r="N105" t="s">
        <v>1023</v>
      </c>
      <c r="O105" t="s">
        <v>1024</v>
      </c>
      <c r="P105" t="s">
        <v>1032</v>
      </c>
      <c r="Q105" t="s">
        <v>1033</v>
      </c>
      <c r="R105" t="s">
        <v>1027</v>
      </c>
      <c r="S105">
        <v>3000</v>
      </c>
      <c r="T105" t="s">
        <v>1395</v>
      </c>
      <c r="U105" t="s">
        <v>1396</v>
      </c>
      <c r="V105">
        <v>1</v>
      </c>
    </row>
    <row r="106" spans="1:22">
      <c r="A106">
        <v>2042</v>
      </c>
      <c r="B106">
        <v>3</v>
      </c>
      <c r="C106">
        <v>6</v>
      </c>
      <c r="D106" t="s">
        <v>1161</v>
      </c>
      <c r="E106">
        <v>204203</v>
      </c>
      <c r="F106" s="5" t="s">
        <v>1391</v>
      </c>
      <c r="H106" t="s">
        <v>1400</v>
      </c>
      <c r="I106" t="s">
        <v>1401</v>
      </c>
      <c r="J106" t="s">
        <v>1394</v>
      </c>
      <c r="K106" t="s">
        <v>1402</v>
      </c>
      <c r="L106">
        <v>100422000</v>
      </c>
      <c r="N106" t="s">
        <v>1403</v>
      </c>
      <c r="O106" t="s">
        <v>1024</v>
      </c>
      <c r="P106" t="s">
        <v>1040</v>
      </c>
      <c r="Q106" t="s">
        <v>1041</v>
      </c>
      <c r="R106" t="s">
        <v>1027</v>
      </c>
      <c r="S106">
        <v>6000</v>
      </c>
      <c r="T106" t="s">
        <v>1395</v>
      </c>
      <c r="U106" t="s">
        <v>1396</v>
      </c>
      <c r="V106">
        <v>1</v>
      </c>
    </row>
    <row r="107" spans="1:22">
      <c r="A107">
        <v>2042</v>
      </c>
      <c r="B107">
        <v>4</v>
      </c>
      <c r="C107">
        <v>8</v>
      </c>
      <c r="D107" t="s">
        <v>1161</v>
      </c>
      <c r="E107">
        <v>204204</v>
      </c>
      <c r="F107" s="5" t="s">
        <v>1391</v>
      </c>
      <c r="G107" s="5" t="s">
        <v>1404</v>
      </c>
      <c r="H107" t="s">
        <v>1405</v>
      </c>
      <c r="I107" t="s">
        <v>1406</v>
      </c>
      <c r="J107" t="s">
        <v>1394</v>
      </c>
      <c r="K107" t="s">
        <v>1407</v>
      </c>
      <c r="L107">
        <v>100424000</v>
      </c>
      <c r="N107" t="s">
        <v>1403</v>
      </c>
      <c r="O107" t="s">
        <v>1024</v>
      </c>
      <c r="P107" t="s">
        <v>1046</v>
      </c>
      <c r="Q107" t="s">
        <v>1047</v>
      </c>
      <c r="R107" t="s">
        <v>1027</v>
      </c>
      <c r="S107">
        <v>10000</v>
      </c>
      <c r="T107" t="s">
        <v>1395</v>
      </c>
      <c r="U107" t="s">
        <v>1396</v>
      </c>
      <c r="V107">
        <v>1</v>
      </c>
    </row>
    <row r="108" spans="1:22">
      <c r="A108">
        <f t="shared" ref="A108:A111" si="65">A104+1</f>
        <v>2043</v>
      </c>
      <c r="B108">
        <f t="shared" ref="B108:B111" si="66">B104</f>
        <v>1</v>
      </c>
      <c r="C108">
        <f t="shared" ref="C108:C111" si="67">C104</f>
        <v>3</v>
      </c>
      <c r="D108" t="str">
        <f t="shared" ref="D108:D111" si="68">D104</f>
        <v>BUFF技能</v>
      </c>
      <c r="E108">
        <f t="shared" ref="E108:E111" si="69">E104+100</f>
        <v>204301</v>
      </c>
      <c r="F108" s="5">
        <f t="shared" ref="F108:F111" si="70">F104+100</f>
        <v>204310</v>
      </c>
      <c r="H108" t="str">
        <f>"[["&amp;F108&amp;",300]]"</f>
        <v>[[204310,300]]</v>
      </c>
      <c r="I108" t="str">
        <f t="shared" ref="I108:I111" si="71">"skill/sect/"&amp;E108</f>
        <v>skill/sect/204301</v>
      </c>
      <c r="J108" t="s">
        <v>1408</v>
      </c>
      <c r="K108" s="9" t="s">
        <v>1409</v>
      </c>
      <c r="N108" t="s">
        <v>1410</v>
      </c>
      <c r="O108" t="s">
        <v>1024</v>
      </c>
      <c r="P108" t="s">
        <v>1025</v>
      </c>
      <c r="Q108" t="s">
        <v>1026</v>
      </c>
      <c r="R108" t="str">
        <f t="shared" ref="R108:R111" si="72">R104</f>
        <v>[[103,10]]</v>
      </c>
      <c r="S108">
        <f t="shared" ref="S108:S111" si="73">S100</f>
        <v>1000</v>
      </c>
      <c r="T108" t="s">
        <v>1395</v>
      </c>
      <c r="U108" t="s">
        <v>1396</v>
      </c>
      <c r="V108">
        <v>0</v>
      </c>
    </row>
    <row r="109" spans="1:22">
      <c r="A109">
        <f t="shared" si="65"/>
        <v>2043</v>
      </c>
      <c r="B109">
        <f t="shared" si="66"/>
        <v>2</v>
      </c>
      <c r="C109">
        <f t="shared" si="67"/>
        <v>4</v>
      </c>
      <c r="D109" t="str">
        <f t="shared" si="68"/>
        <v>BUFF技能</v>
      </c>
      <c r="E109">
        <f t="shared" si="69"/>
        <v>204302</v>
      </c>
      <c r="F109" s="5">
        <f t="shared" si="70"/>
        <v>204310</v>
      </c>
      <c r="H109" t="str">
        <f>"[["&amp;F109&amp;",600]]"</f>
        <v>[[204310,600]]</v>
      </c>
      <c r="I109" t="str">
        <f t="shared" si="71"/>
        <v>skill/sect/204302</v>
      </c>
      <c r="J109" t="s">
        <v>1408</v>
      </c>
      <c r="K109" s="9" t="s">
        <v>1411</v>
      </c>
      <c r="L109">
        <v>100432000</v>
      </c>
      <c r="N109" t="s">
        <v>1410</v>
      </c>
      <c r="O109" t="s">
        <v>1024</v>
      </c>
      <c r="P109" t="s">
        <v>1032</v>
      </c>
      <c r="Q109" t="s">
        <v>1033</v>
      </c>
      <c r="R109" t="str">
        <f t="shared" si="72"/>
        <v>[[103,10]]</v>
      </c>
      <c r="S109">
        <f t="shared" si="73"/>
        <v>3000</v>
      </c>
      <c r="T109" t="s">
        <v>1395</v>
      </c>
      <c r="U109" t="s">
        <v>1396</v>
      </c>
      <c r="V109">
        <v>0</v>
      </c>
    </row>
    <row r="110" spans="1:22">
      <c r="A110">
        <f t="shared" si="65"/>
        <v>2043</v>
      </c>
      <c r="B110">
        <f t="shared" si="66"/>
        <v>3</v>
      </c>
      <c r="C110">
        <f t="shared" si="67"/>
        <v>6</v>
      </c>
      <c r="D110" t="str">
        <f t="shared" si="68"/>
        <v>BUFF技能</v>
      </c>
      <c r="E110">
        <f t="shared" si="69"/>
        <v>204303</v>
      </c>
      <c r="F110" s="5">
        <f t="shared" si="70"/>
        <v>204310</v>
      </c>
      <c r="H110" t="str">
        <f>"[["&amp;F110&amp;",900]]"</f>
        <v>[[204310,900]]</v>
      </c>
      <c r="I110" t="str">
        <f t="shared" si="71"/>
        <v>skill/sect/204303</v>
      </c>
      <c r="J110" t="s">
        <v>1408</v>
      </c>
      <c r="K110" s="9" t="s">
        <v>1412</v>
      </c>
      <c r="L110">
        <v>100432000</v>
      </c>
      <c r="N110" t="s">
        <v>1413</v>
      </c>
      <c r="O110" t="s">
        <v>1024</v>
      </c>
      <c r="P110" t="s">
        <v>1040</v>
      </c>
      <c r="Q110" t="s">
        <v>1041</v>
      </c>
      <c r="R110" t="str">
        <f t="shared" si="72"/>
        <v>[[103,10]]</v>
      </c>
      <c r="S110">
        <f t="shared" si="73"/>
        <v>6000</v>
      </c>
      <c r="T110" t="s">
        <v>1395</v>
      </c>
      <c r="U110" t="s">
        <v>1396</v>
      </c>
      <c r="V110">
        <v>0</v>
      </c>
    </row>
    <row r="111" spans="1:22">
      <c r="A111">
        <f t="shared" si="65"/>
        <v>2043</v>
      </c>
      <c r="B111">
        <f t="shared" si="66"/>
        <v>4</v>
      </c>
      <c r="C111">
        <f t="shared" si="67"/>
        <v>8</v>
      </c>
      <c r="D111" t="str">
        <f t="shared" si="68"/>
        <v>BUFF技能</v>
      </c>
      <c r="E111">
        <f t="shared" si="69"/>
        <v>204304</v>
      </c>
      <c r="F111" s="5">
        <f t="shared" si="70"/>
        <v>204310</v>
      </c>
      <c r="G111" s="5">
        <f>G107+100</f>
        <v>204320</v>
      </c>
      <c r="H111" t="str">
        <f>"[["&amp;G111&amp;",1]]"</f>
        <v>[[204320,1]]</v>
      </c>
      <c r="I111" t="str">
        <f t="shared" si="71"/>
        <v>skill/sect/204304</v>
      </c>
      <c r="J111" t="s">
        <v>1408</v>
      </c>
      <c r="K111" s="9" t="s">
        <v>1414</v>
      </c>
      <c r="L111">
        <v>100434000</v>
      </c>
      <c r="N111" t="s">
        <v>1413</v>
      </c>
      <c r="O111" t="s">
        <v>1024</v>
      </c>
      <c r="P111" t="s">
        <v>1046</v>
      </c>
      <c r="Q111" t="s">
        <v>1047</v>
      </c>
      <c r="R111" t="str">
        <f t="shared" si="72"/>
        <v>[[103,10]]</v>
      </c>
      <c r="S111">
        <f t="shared" si="73"/>
        <v>10000</v>
      </c>
      <c r="T111" t="s">
        <v>1395</v>
      </c>
      <c r="U111" t="s">
        <v>1396</v>
      </c>
      <c r="V111">
        <v>0</v>
      </c>
    </row>
    <row r="112" spans="1:22">
      <c r="A112">
        <v>2051</v>
      </c>
      <c r="B112">
        <v>1</v>
      </c>
      <c r="C112">
        <v>3</v>
      </c>
      <c r="D112" t="s">
        <v>1207</v>
      </c>
      <c r="E112">
        <v>205101</v>
      </c>
      <c r="F112" s="5" t="s">
        <v>1415</v>
      </c>
      <c r="H112" t="s">
        <v>1416</v>
      </c>
      <c r="I112" t="s">
        <v>1417</v>
      </c>
      <c r="J112" t="s">
        <v>1418</v>
      </c>
      <c r="K112" t="s">
        <v>1419</v>
      </c>
      <c r="N112" t="s">
        <v>1371</v>
      </c>
      <c r="O112" t="s">
        <v>1024</v>
      </c>
      <c r="P112" t="s">
        <v>1025</v>
      </c>
      <c r="Q112" t="s">
        <v>1026</v>
      </c>
      <c r="R112" t="s">
        <v>1027</v>
      </c>
      <c r="S112">
        <v>1000</v>
      </c>
      <c r="T112" t="s">
        <v>1273</v>
      </c>
      <c r="U112" t="s">
        <v>1081</v>
      </c>
      <c r="V112">
        <v>1</v>
      </c>
    </row>
    <row r="113" spans="1:22">
      <c r="A113">
        <v>2051</v>
      </c>
      <c r="B113">
        <v>2</v>
      </c>
      <c r="C113">
        <v>4</v>
      </c>
      <c r="D113" t="s">
        <v>1207</v>
      </c>
      <c r="E113">
        <v>205102</v>
      </c>
      <c r="F113" s="5" t="s">
        <v>1415</v>
      </c>
      <c r="H113" t="s">
        <v>1420</v>
      </c>
      <c r="I113" t="s">
        <v>1421</v>
      </c>
      <c r="J113" t="s">
        <v>1418</v>
      </c>
      <c r="K113" t="s">
        <v>1422</v>
      </c>
      <c r="L113">
        <v>100522000</v>
      </c>
      <c r="N113" t="s">
        <v>1371</v>
      </c>
      <c r="O113" t="s">
        <v>1024</v>
      </c>
      <c r="P113" t="s">
        <v>1032</v>
      </c>
      <c r="Q113" t="s">
        <v>1033</v>
      </c>
      <c r="R113" t="s">
        <v>1027</v>
      </c>
      <c r="S113">
        <v>4000</v>
      </c>
      <c r="T113" t="s">
        <v>1273</v>
      </c>
      <c r="U113" t="s">
        <v>1081</v>
      </c>
      <c r="V113">
        <v>1</v>
      </c>
    </row>
    <row r="114" spans="1:22">
      <c r="A114">
        <v>2051</v>
      </c>
      <c r="B114">
        <v>3</v>
      </c>
      <c r="C114">
        <v>6</v>
      </c>
      <c r="D114" t="s">
        <v>1207</v>
      </c>
      <c r="E114">
        <v>205103</v>
      </c>
      <c r="F114" s="5" t="s">
        <v>1415</v>
      </c>
      <c r="H114" t="s">
        <v>1423</v>
      </c>
      <c r="I114" t="s">
        <v>1424</v>
      </c>
      <c r="J114" t="s">
        <v>1418</v>
      </c>
      <c r="K114" t="s">
        <v>1425</v>
      </c>
      <c r="L114">
        <v>100522000</v>
      </c>
      <c r="N114" t="s">
        <v>1426</v>
      </c>
      <c r="O114" t="s">
        <v>1024</v>
      </c>
      <c r="P114" t="s">
        <v>1040</v>
      </c>
      <c r="Q114" t="s">
        <v>1041</v>
      </c>
      <c r="R114" t="s">
        <v>1027</v>
      </c>
      <c r="S114">
        <v>7500</v>
      </c>
      <c r="T114" t="s">
        <v>1273</v>
      </c>
      <c r="U114" t="s">
        <v>1081</v>
      </c>
      <c r="V114">
        <v>1</v>
      </c>
    </row>
    <row r="115" spans="1:22">
      <c r="A115">
        <v>2051</v>
      </c>
      <c r="B115">
        <v>4</v>
      </c>
      <c r="C115">
        <v>8</v>
      </c>
      <c r="D115" t="s">
        <v>1207</v>
      </c>
      <c r="E115">
        <v>205104</v>
      </c>
      <c r="F115" s="5" t="s">
        <v>1415</v>
      </c>
      <c r="G115" s="5" t="s">
        <v>1427</v>
      </c>
      <c r="H115" t="s">
        <v>1428</v>
      </c>
      <c r="I115" t="s">
        <v>1429</v>
      </c>
      <c r="J115" t="s">
        <v>1418</v>
      </c>
      <c r="K115" t="s">
        <v>1430</v>
      </c>
      <c r="L115">
        <v>100524000</v>
      </c>
      <c r="N115" t="s">
        <v>1426</v>
      </c>
      <c r="O115" t="s">
        <v>1024</v>
      </c>
      <c r="P115" t="s">
        <v>1046</v>
      </c>
      <c r="Q115" t="s">
        <v>1047</v>
      </c>
      <c r="R115" t="s">
        <v>1027</v>
      </c>
      <c r="S115">
        <v>15000</v>
      </c>
      <c r="T115" t="s">
        <v>1273</v>
      </c>
      <c r="U115" t="s">
        <v>1081</v>
      </c>
      <c r="V115">
        <v>1</v>
      </c>
    </row>
    <row r="116" spans="1:22">
      <c r="A116">
        <v>2052</v>
      </c>
      <c r="B116">
        <v>1</v>
      </c>
      <c r="C116">
        <v>3</v>
      </c>
      <c r="D116" t="s">
        <v>1207</v>
      </c>
      <c r="E116">
        <v>205201</v>
      </c>
      <c r="F116" s="5" t="s">
        <v>1431</v>
      </c>
      <c r="H116" t="s">
        <v>1432</v>
      </c>
      <c r="I116" t="s">
        <v>1433</v>
      </c>
      <c r="J116" t="s">
        <v>1434</v>
      </c>
      <c r="K116" t="s">
        <v>1435</v>
      </c>
      <c r="M116"/>
      <c r="N116" t="s">
        <v>1436</v>
      </c>
      <c r="O116" t="s">
        <v>1024</v>
      </c>
      <c r="P116" t="s">
        <v>1025</v>
      </c>
      <c r="Q116" t="s">
        <v>1026</v>
      </c>
      <c r="R116" t="str">
        <f t="shared" ref="R116:R119" si="74">R112</f>
        <v>[[103,10]]</v>
      </c>
      <c r="S116">
        <f t="shared" ref="S116:S119" si="75">S108</f>
        <v>1000</v>
      </c>
      <c r="T116" t="s">
        <v>1028</v>
      </c>
      <c r="U116" t="s">
        <v>1029</v>
      </c>
      <c r="V116">
        <v>0</v>
      </c>
    </row>
    <row r="117" spans="1:22">
      <c r="A117">
        <v>2052</v>
      </c>
      <c r="B117">
        <v>2</v>
      </c>
      <c r="C117">
        <v>4</v>
      </c>
      <c r="D117" t="s">
        <v>1207</v>
      </c>
      <c r="E117">
        <v>205202</v>
      </c>
      <c r="F117" s="5" t="s">
        <v>1431</v>
      </c>
      <c r="H117" t="s">
        <v>1437</v>
      </c>
      <c r="I117" t="s">
        <v>1438</v>
      </c>
      <c r="J117" t="s">
        <v>1434</v>
      </c>
      <c r="K117" s="9" t="s">
        <v>1439</v>
      </c>
      <c r="L117">
        <v>100512000</v>
      </c>
      <c r="M117"/>
      <c r="N117" t="s">
        <v>1436</v>
      </c>
      <c r="O117" t="s">
        <v>1024</v>
      </c>
      <c r="P117" t="s">
        <v>1032</v>
      </c>
      <c r="Q117" t="s">
        <v>1033</v>
      </c>
      <c r="R117" t="str">
        <f t="shared" si="74"/>
        <v>[[103,10]]</v>
      </c>
      <c r="S117">
        <f t="shared" si="75"/>
        <v>3000</v>
      </c>
      <c r="T117" t="s">
        <v>1028</v>
      </c>
      <c r="U117" t="s">
        <v>1029</v>
      </c>
      <c r="V117">
        <v>0</v>
      </c>
    </row>
    <row r="118" spans="1:22">
      <c r="A118">
        <v>2052</v>
      </c>
      <c r="B118">
        <v>3</v>
      </c>
      <c r="C118">
        <v>6</v>
      </c>
      <c r="D118" t="s">
        <v>1207</v>
      </c>
      <c r="E118">
        <v>205203</v>
      </c>
      <c r="F118" s="5" t="s">
        <v>1431</v>
      </c>
      <c r="H118" t="s">
        <v>1440</v>
      </c>
      <c r="I118" t="s">
        <v>1441</v>
      </c>
      <c r="J118" t="s">
        <v>1434</v>
      </c>
      <c r="K118" t="s">
        <v>1442</v>
      </c>
      <c r="L118">
        <v>100512000</v>
      </c>
      <c r="M118"/>
      <c r="N118" t="s">
        <v>1443</v>
      </c>
      <c r="O118" t="s">
        <v>1024</v>
      </c>
      <c r="P118" t="s">
        <v>1040</v>
      </c>
      <c r="Q118" t="s">
        <v>1041</v>
      </c>
      <c r="R118" t="str">
        <f t="shared" si="74"/>
        <v>[[103,10]]</v>
      </c>
      <c r="S118">
        <f t="shared" si="75"/>
        <v>6000</v>
      </c>
      <c r="T118" t="s">
        <v>1028</v>
      </c>
      <c r="U118" t="s">
        <v>1029</v>
      </c>
      <c r="V118">
        <v>0</v>
      </c>
    </row>
    <row r="119" spans="1:22">
      <c r="A119">
        <v>2052</v>
      </c>
      <c r="B119">
        <v>4</v>
      </c>
      <c r="C119">
        <v>8</v>
      </c>
      <c r="D119" t="s">
        <v>1207</v>
      </c>
      <c r="E119">
        <v>205204</v>
      </c>
      <c r="F119" s="5" t="s">
        <v>1431</v>
      </c>
      <c r="G119" s="5">
        <v>205220</v>
      </c>
      <c r="H119" t="s">
        <v>1444</v>
      </c>
      <c r="I119" t="s">
        <v>1445</v>
      </c>
      <c r="J119" t="s">
        <v>1434</v>
      </c>
      <c r="K119" s="9" t="s">
        <v>1446</v>
      </c>
      <c r="L119">
        <v>100514000</v>
      </c>
      <c r="M119"/>
      <c r="N119" t="s">
        <v>1443</v>
      </c>
      <c r="O119" t="s">
        <v>1024</v>
      </c>
      <c r="P119" t="s">
        <v>1046</v>
      </c>
      <c r="Q119" t="s">
        <v>1047</v>
      </c>
      <c r="R119" t="str">
        <f t="shared" si="74"/>
        <v>[[103,10]]</v>
      </c>
      <c r="S119">
        <f t="shared" si="75"/>
        <v>10000</v>
      </c>
      <c r="T119" t="s">
        <v>1028</v>
      </c>
      <c r="U119" t="s">
        <v>1029</v>
      </c>
      <c r="V119">
        <v>0</v>
      </c>
    </row>
    <row r="120" spans="1:22">
      <c r="A120">
        <f t="shared" ref="A120:A123" si="76">A116+1</f>
        <v>2053</v>
      </c>
      <c r="B120">
        <f t="shared" ref="B120:B123" si="77">B116</f>
        <v>1</v>
      </c>
      <c r="C120">
        <f t="shared" ref="C120:C123" si="78">C116</f>
        <v>3</v>
      </c>
      <c r="D120" t="str">
        <f t="shared" ref="D120:D123" si="79">D116</f>
        <v>终极技能</v>
      </c>
      <c r="E120">
        <f t="shared" ref="E120:E123" si="80">E116+100</f>
        <v>205301</v>
      </c>
      <c r="F120" s="5">
        <f t="shared" ref="F120:F123" si="81">F116+100</f>
        <v>205310</v>
      </c>
      <c r="H120" t="str">
        <f>"[["&amp;F120&amp;",300]]"</f>
        <v>[[205310,300]]</v>
      </c>
      <c r="I120" t="str">
        <f t="shared" ref="I120:I123" si="82">"skill/sect/"&amp;E120</f>
        <v>skill/sect/205301</v>
      </c>
      <c r="J120" t="s">
        <v>1447</v>
      </c>
      <c r="K120" t="s">
        <v>1290</v>
      </c>
      <c r="N120" t="s">
        <v>1023</v>
      </c>
      <c r="O120" t="s">
        <v>1024</v>
      </c>
      <c r="P120" t="s">
        <v>1025</v>
      </c>
      <c r="Q120" t="s">
        <v>1026</v>
      </c>
      <c r="R120" t="s">
        <v>1027</v>
      </c>
      <c r="S120">
        <v>1000</v>
      </c>
      <c r="T120" t="s">
        <v>1080</v>
      </c>
      <c r="U120" t="s">
        <v>1081</v>
      </c>
      <c r="V120">
        <v>1</v>
      </c>
    </row>
    <row r="121" spans="1:22">
      <c r="A121">
        <f t="shared" si="76"/>
        <v>2053</v>
      </c>
      <c r="B121">
        <f t="shared" si="77"/>
        <v>2</v>
      </c>
      <c r="C121">
        <f t="shared" si="78"/>
        <v>4</v>
      </c>
      <c r="D121" t="str">
        <f t="shared" si="79"/>
        <v>终极技能</v>
      </c>
      <c r="E121">
        <f t="shared" si="80"/>
        <v>205302</v>
      </c>
      <c r="F121" s="5">
        <f t="shared" si="81"/>
        <v>205310</v>
      </c>
      <c r="H121" t="str">
        <f>"[["&amp;F121&amp;",600]]"</f>
        <v>[[205310,600]]</v>
      </c>
      <c r="I121" t="str">
        <f t="shared" si="82"/>
        <v>skill/sect/205302</v>
      </c>
      <c r="J121" t="s">
        <v>1447</v>
      </c>
      <c r="K121" t="s">
        <v>1448</v>
      </c>
      <c r="L121">
        <v>100532000</v>
      </c>
      <c r="N121" t="s">
        <v>1023</v>
      </c>
      <c r="O121" t="s">
        <v>1024</v>
      </c>
      <c r="P121" t="s">
        <v>1032</v>
      </c>
      <c r="Q121" t="s">
        <v>1033</v>
      </c>
      <c r="R121" t="s">
        <v>1027</v>
      </c>
      <c r="S121">
        <v>4000</v>
      </c>
      <c r="T121" t="s">
        <v>1084</v>
      </c>
      <c r="U121" t="s">
        <v>1085</v>
      </c>
      <c r="V121">
        <v>1</v>
      </c>
    </row>
    <row r="122" spans="1:22">
      <c r="A122">
        <f t="shared" si="76"/>
        <v>2053</v>
      </c>
      <c r="B122">
        <f t="shared" si="77"/>
        <v>3</v>
      </c>
      <c r="C122">
        <f t="shared" si="78"/>
        <v>6</v>
      </c>
      <c r="D122" t="str">
        <f t="shared" si="79"/>
        <v>终极技能</v>
      </c>
      <c r="E122">
        <f t="shared" si="80"/>
        <v>205303</v>
      </c>
      <c r="F122" s="5">
        <f t="shared" si="81"/>
        <v>205310</v>
      </c>
      <c r="H122" t="str">
        <f>"[["&amp;F122&amp;",900]]"</f>
        <v>[[205310,900]]</v>
      </c>
      <c r="I122" t="str">
        <f t="shared" si="82"/>
        <v>skill/sect/205303</v>
      </c>
      <c r="J122" t="s">
        <v>1447</v>
      </c>
      <c r="K122" t="s">
        <v>1449</v>
      </c>
      <c r="L122">
        <v>100532000</v>
      </c>
      <c r="N122" t="s">
        <v>1450</v>
      </c>
      <c r="O122" t="s">
        <v>1024</v>
      </c>
      <c r="P122" t="s">
        <v>1040</v>
      </c>
      <c r="Q122" t="s">
        <v>1041</v>
      </c>
      <c r="R122" t="s">
        <v>1027</v>
      </c>
      <c r="S122">
        <v>7500</v>
      </c>
      <c r="T122" t="s">
        <v>1084</v>
      </c>
      <c r="U122" t="s">
        <v>1085</v>
      </c>
      <c r="V122">
        <v>1</v>
      </c>
    </row>
    <row r="123" spans="1:22">
      <c r="A123">
        <f t="shared" si="76"/>
        <v>2053</v>
      </c>
      <c r="B123">
        <f t="shared" si="77"/>
        <v>4</v>
      </c>
      <c r="C123">
        <f t="shared" si="78"/>
        <v>8</v>
      </c>
      <c r="D123" t="str">
        <f t="shared" si="79"/>
        <v>终极技能</v>
      </c>
      <c r="E123">
        <f t="shared" si="80"/>
        <v>205304</v>
      </c>
      <c r="F123" s="5">
        <f t="shared" si="81"/>
        <v>205310</v>
      </c>
      <c r="G123" s="5">
        <v>205320</v>
      </c>
      <c r="H123" t="str">
        <f>"[["&amp;G123&amp;",1]]"</f>
        <v>[[205320,1]]</v>
      </c>
      <c r="I123" t="str">
        <f t="shared" si="82"/>
        <v>skill/sect/205304</v>
      </c>
      <c r="J123" t="s">
        <v>1447</v>
      </c>
      <c r="K123" t="s">
        <v>1451</v>
      </c>
      <c r="L123">
        <v>100534000</v>
      </c>
      <c r="N123" t="s">
        <v>1450</v>
      </c>
      <c r="O123" t="s">
        <v>1024</v>
      </c>
      <c r="P123" t="s">
        <v>1046</v>
      </c>
      <c r="Q123" t="s">
        <v>1047</v>
      </c>
      <c r="R123" t="s">
        <v>1027</v>
      </c>
      <c r="S123">
        <v>15000</v>
      </c>
      <c r="T123" t="s">
        <v>1084</v>
      </c>
      <c r="U123" t="s">
        <v>1085</v>
      </c>
      <c r="V123">
        <v>1</v>
      </c>
    </row>
    <row r="124" spans="1:22">
      <c r="A124">
        <v>3011</v>
      </c>
      <c r="B124">
        <v>1</v>
      </c>
      <c r="C124">
        <v>3</v>
      </c>
      <c r="D124" t="s">
        <v>1018</v>
      </c>
      <c r="E124">
        <v>301101</v>
      </c>
      <c r="F124" s="5" t="s">
        <v>1452</v>
      </c>
      <c r="H124" t="s">
        <v>1453</v>
      </c>
      <c r="I124" t="s">
        <v>1454</v>
      </c>
      <c r="J124" t="s">
        <v>1455</v>
      </c>
      <c r="K124" t="s">
        <v>1271</v>
      </c>
      <c r="N124" t="s">
        <v>1272</v>
      </c>
      <c r="O124" t="s">
        <v>1024</v>
      </c>
      <c r="P124" t="s">
        <v>1025</v>
      </c>
      <c r="Q124" t="s">
        <v>1026</v>
      </c>
      <c r="R124" t="s">
        <v>1027</v>
      </c>
      <c r="S124">
        <v>1000</v>
      </c>
      <c r="T124" t="s">
        <v>1277</v>
      </c>
      <c r="U124" t="s">
        <v>1085</v>
      </c>
      <c r="V124">
        <v>1</v>
      </c>
    </row>
    <row r="125" spans="1:22">
      <c r="A125">
        <v>3011</v>
      </c>
      <c r="B125">
        <v>2</v>
      </c>
      <c r="C125">
        <v>4</v>
      </c>
      <c r="D125" t="s">
        <v>1018</v>
      </c>
      <c r="E125">
        <v>301102</v>
      </c>
      <c r="F125" s="5" t="s">
        <v>1452</v>
      </c>
      <c r="H125" t="s">
        <v>1456</v>
      </c>
      <c r="I125" t="s">
        <v>1457</v>
      </c>
      <c r="J125" t="s">
        <v>1455</v>
      </c>
      <c r="K125" t="s">
        <v>1458</v>
      </c>
      <c r="L125">
        <v>130112000</v>
      </c>
      <c r="M125" s="5">
        <v>130112000</v>
      </c>
      <c r="N125" t="s">
        <v>1272</v>
      </c>
      <c r="O125" t="s">
        <v>1024</v>
      </c>
      <c r="P125" t="s">
        <v>1032</v>
      </c>
      <c r="Q125" t="s">
        <v>1033</v>
      </c>
      <c r="R125" t="s">
        <v>1027</v>
      </c>
      <c r="S125">
        <v>3000</v>
      </c>
      <c r="T125" t="s">
        <v>1277</v>
      </c>
      <c r="U125" t="s">
        <v>1085</v>
      </c>
      <c r="V125">
        <v>1</v>
      </c>
    </row>
    <row r="126" spans="1:22">
      <c r="A126">
        <v>3011</v>
      </c>
      <c r="B126">
        <v>3</v>
      </c>
      <c r="C126">
        <v>6</v>
      </c>
      <c r="D126" t="s">
        <v>1018</v>
      </c>
      <c r="E126">
        <v>301103</v>
      </c>
      <c r="F126" s="5" t="s">
        <v>1452</v>
      </c>
      <c r="H126" t="s">
        <v>1459</v>
      </c>
      <c r="I126" t="s">
        <v>1460</v>
      </c>
      <c r="J126" t="s">
        <v>1455</v>
      </c>
      <c r="K126" t="s">
        <v>1461</v>
      </c>
      <c r="L126">
        <v>130112000</v>
      </c>
      <c r="M126" s="5">
        <v>130112000</v>
      </c>
      <c r="N126" t="s">
        <v>1462</v>
      </c>
      <c r="O126" t="s">
        <v>1024</v>
      </c>
      <c r="P126" t="s">
        <v>1040</v>
      </c>
      <c r="Q126" t="s">
        <v>1041</v>
      </c>
      <c r="R126" t="s">
        <v>1027</v>
      </c>
      <c r="S126">
        <v>6000</v>
      </c>
      <c r="T126" t="s">
        <v>1277</v>
      </c>
      <c r="U126" t="s">
        <v>1085</v>
      </c>
      <c r="V126">
        <v>1</v>
      </c>
    </row>
    <row r="127" spans="1:22">
      <c r="A127">
        <v>3011</v>
      </c>
      <c r="B127">
        <v>4</v>
      </c>
      <c r="C127">
        <v>8</v>
      </c>
      <c r="D127" t="s">
        <v>1018</v>
      </c>
      <c r="E127">
        <v>301104</v>
      </c>
      <c r="F127" s="5" t="s">
        <v>1452</v>
      </c>
      <c r="G127" s="5" t="s">
        <v>1463</v>
      </c>
      <c r="H127" t="s">
        <v>1464</v>
      </c>
      <c r="I127" t="s">
        <v>1465</v>
      </c>
      <c r="J127" t="s">
        <v>1455</v>
      </c>
      <c r="K127" t="s">
        <v>1466</v>
      </c>
      <c r="L127">
        <v>130114000</v>
      </c>
      <c r="M127" s="5" t="s">
        <v>1467</v>
      </c>
      <c r="N127" t="s">
        <v>1462</v>
      </c>
      <c r="O127" t="s">
        <v>1024</v>
      </c>
      <c r="P127" t="s">
        <v>1046</v>
      </c>
      <c r="Q127" t="s">
        <v>1047</v>
      </c>
      <c r="R127" t="s">
        <v>1027</v>
      </c>
      <c r="S127">
        <v>10000</v>
      </c>
      <c r="T127" t="s">
        <v>1277</v>
      </c>
      <c r="U127" t="s">
        <v>1085</v>
      </c>
      <c r="V127">
        <v>1</v>
      </c>
    </row>
    <row r="128" spans="1:22">
      <c r="A128">
        <v>3012</v>
      </c>
      <c r="B128">
        <v>1</v>
      </c>
      <c r="C128">
        <v>3</v>
      </c>
      <c r="D128" t="s">
        <v>1018</v>
      </c>
      <c r="E128">
        <v>301201</v>
      </c>
      <c r="F128" s="5" t="s">
        <v>1468</v>
      </c>
      <c r="H128" t="s">
        <v>1469</v>
      </c>
      <c r="I128" t="s">
        <v>1470</v>
      </c>
      <c r="J128" t="s">
        <v>1471</v>
      </c>
      <c r="K128" t="s">
        <v>1472</v>
      </c>
      <c r="N128" t="s">
        <v>1473</v>
      </c>
      <c r="O128" t="s">
        <v>1024</v>
      </c>
      <c r="P128" t="s">
        <v>1025</v>
      </c>
      <c r="Q128" t="s">
        <v>1026</v>
      </c>
      <c r="R128" t="s">
        <v>1027</v>
      </c>
      <c r="S128">
        <v>1000</v>
      </c>
      <c r="T128" t="s">
        <v>1474</v>
      </c>
      <c r="U128" t="s">
        <v>1081</v>
      </c>
      <c r="V128">
        <v>1</v>
      </c>
    </row>
    <row r="129" spans="1:22">
      <c r="A129">
        <v>3012</v>
      </c>
      <c r="B129">
        <v>2</v>
      </c>
      <c r="C129">
        <v>4</v>
      </c>
      <c r="D129" t="s">
        <v>1018</v>
      </c>
      <c r="E129">
        <v>301202</v>
      </c>
      <c r="F129" s="5" t="s">
        <v>1468</v>
      </c>
      <c r="H129" t="s">
        <v>1475</v>
      </c>
      <c r="I129" t="s">
        <v>1476</v>
      </c>
      <c r="J129" t="s">
        <v>1471</v>
      </c>
      <c r="K129" t="s">
        <v>1477</v>
      </c>
      <c r="L129">
        <v>130122000</v>
      </c>
      <c r="M129" s="5">
        <v>130122000</v>
      </c>
      <c r="N129" t="s">
        <v>1473</v>
      </c>
      <c r="O129" t="s">
        <v>1024</v>
      </c>
      <c r="P129" t="s">
        <v>1032</v>
      </c>
      <c r="Q129" t="s">
        <v>1033</v>
      </c>
      <c r="R129" t="s">
        <v>1027</v>
      </c>
      <c r="S129">
        <v>3000</v>
      </c>
      <c r="T129" t="s">
        <v>1474</v>
      </c>
      <c r="U129" t="s">
        <v>1081</v>
      </c>
      <c r="V129">
        <v>1</v>
      </c>
    </row>
    <row r="130" spans="1:22">
      <c r="A130">
        <v>3012</v>
      </c>
      <c r="B130">
        <v>3</v>
      </c>
      <c r="C130">
        <v>6</v>
      </c>
      <c r="D130" t="s">
        <v>1018</v>
      </c>
      <c r="E130">
        <v>301203</v>
      </c>
      <c r="F130" s="5" t="s">
        <v>1468</v>
      </c>
      <c r="H130" t="s">
        <v>1478</v>
      </c>
      <c r="I130" t="s">
        <v>1479</v>
      </c>
      <c r="J130" t="s">
        <v>1471</v>
      </c>
      <c r="K130" t="s">
        <v>1480</v>
      </c>
      <c r="L130">
        <v>130122000</v>
      </c>
      <c r="M130" s="5">
        <v>130122000</v>
      </c>
      <c r="N130" t="s">
        <v>1481</v>
      </c>
      <c r="O130" t="s">
        <v>1024</v>
      </c>
      <c r="P130" t="s">
        <v>1040</v>
      </c>
      <c r="Q130" t="s">
        <v>1041</v>
      </c>
      <c r="R130" t="s">
        <v>1027</v>
      </c>
      <c r="S130">
        <v>6000</v>
      </c>
      <c r="T130" t="s">
        <v>1474</v>
      </c>
      <c r="U130" t="s">
        <v>1081</v>
      </c>
      <c r="V130">
        <v>1</v>
      </c>
    </row>
    <row r="131" spans="1:22">
      <c r="A131">
        <v>3012</v>
      </c>
      <c r="B131">
        <v>4</v>
      </c>
      <c r="C131">
        <v>8</v>
      </c>
      <c r="D131" t="s">
        <v>1018</v>
      </c>
      <c r="E131">
        <v>301204</v>
      </c>
      <c r="F131" s="5" t="s">
        <v>1468</v>
      </c>
      <c r="G131" s="5" t="s">
        <v>1482</v>
      </c>
      <c r="H131" t="s">
        <v>1483</v>
      </c>
      <c r="I131" t="s">
        <v>1484</v>
      </c>
      <c r="J131" t="s">
        <v>1471</v>
      </c>
      <c r="K131" t="s">
        <v>1485</v>
      </c>
      <c r="L131">
        <v>130124000</v>
      </c>
      <c r="M131" s="5">
        <v>130124000</v>
      </c>
      <c r="N131" t="s">
        <v>1481</v>
      </c>
      <c r="O131" t="s">
        <v>1024</v>
      </c>
      <c r="P131" t="s">
        <v>1046</v>
      </c>
      <c r="Q131" t="s">
        <v>1047</v>
      </c>
      <c r="R131" t="s">
        <v>1027</v>
      </c>
      <c r="S131">
        <v>10000</v>
      </c>
      <c r="T131" t="s">
        <v>1474</v>
      </c>
      <c r="U131" t="s">
        <v>1081</v>
      </c>
      <c r="V131">
        <v>1</v>
      </c>
    </row>
    <row r="132" spans="1:22">
      <c r="A132">
        <f t="shared" ref="A132:A135" si="83">A128+1</f>
        <v>3013</v>
      </c>
      <c r="B132">
        <f t="shared" ref="B132:B135" si="84">B128</f>
        <v>1</v>
      </c>
      <c r="C132">
        <f t="shared" ref="C132:C135" si="85">C128</f>
        <v>3</v>
      </c>
      <c r="D132" t="str">
        <f t="shared" ref="D132:D135" si="86">D128</f>
        <v>普通攻击</v>
      </c>
      <c r="E132">
        <f t="shared" ref="E132:E135" si="87">E128+100</f>
        <v>301301</v>
      </c>
      <c r="F132" s="5">
        <f t="shared" ref="F132:F135" si="88">F128+100</f>
        <v>301310</v>
      </c>
      <c r="H132" t="str">
        <f>"[["&amp;F132&amp;",300]]"</f>
        <v>[[301310,300]]</v>
      </c>
      <c r="I132" t="str">
        <f t="shared" ref="I132:I135" si="89">"skill/sect/"&amp;E132</f>
        <v>skill/sect/301301</v>
      </c>
      <c r="J132" t="s">
        <v>1486</v>
      </c>
      <c r="K132" t="s">
        <v>1402</v>
      </c>
      <c r="N132" t="s">
        <v>1487</v>
      </c>
      <c r="O132" t="s">
        <v>1024</v>
      </c>
      <c r="P132" t="s">
        <v>1025</v>
      </c>
      <c r="Q132" t="s">
        <v>1026</v>
      </c>
      <c r="R132" t="str">
        <f t="shared" ref="R132:R135" si="90">R128</f>
        <v>[[103,10]]</v>
      </c>
      <c r="S132">
        <f t="shared" ref="S132:S135" si="91">S124</f>
        <v>1000</v>
      </c>
      <c r="T132" t="s">
        <v>1028</v>
      </c>
      <c r="U132" t="s">
        <v>1029</v>
      </c>
      <c r="V132">
        <v>0</v>
      </c>
    </row>
    <row r="133" spans="1:22">
      <c r="A133">
        <f t="shared" si="83"/>
        <v>3013</v>
      </c>
      <c r="B133">
        <f t="shared" si="84"/>
        <v>2</v>
      </c>
      <c r="C133">
        <f t="shared" si="85"/>
        <v>4</v>
      </c>
      <c r="D133" t="str">
        <f t="shared" si="86"/>
        <v>普通攻击</v>
      </c>
      <c r="E133">
        <f t="shared" si="87"/>
        <v>301302</v>
      </c>
      <c r="F133" s="5">
        <f t="shared" si="88"/>
        <v>301310</v>
      </c>
      <c r="H133" t="str">
        <f>"[["&amp;F133&amp;",600]]"</f>
        <v>[[301310,600]]</v>
      </c>
      <c r="I133" t="str">
        <f t="shared" si="89"/>
        <v>skill/sect/301302</v>
      </c>
      <c r="J133" t="s">
        <v>1486</v>
      </c>
      <c r="K133" s="9" t="s">
        <v>1488</v>
      </c>
      <c r="L133">
        <v>130132000</v>
      </c>
      <c r="M133" s="5">
        <v>130132000</v>
      </c>
      <c r="N133" t="s">
        <v>1487</v>
      </c>
      <c r="O133" t="s">
        <v>1024</v>
      </c>
      <c r="P133" t="s">
        <v>1032</v>
      </c>
      <c r="Q133" t="s">
        <v>1033</v>
      </c>
      <c r="R133" t="str">
        <f t="shared" si="90"/>
        <v>[[103,10]]</v>
      </c>
      <c r="S133">
        <f t="shared" si="91"/>
        <v>3000</v>
      </c>
      <c r="T133" t="s">
        <v>1028</v>
      </c>
      <c r="U133" t="s">
        <v>1029</v>
      </c>
      <c r="V133">
        <v>0</v>
      </c>
    </row>
    <row r="134" spans="1:22">
      <c r="A134">
        <f t="shared" si="83"/>
        <v>3013</v>
      </c>
      <c r="B134">
        <f t="shared" si="84"/>
        <v>3</v>
      </c>
      <c r="C134">
        <f t="shared" si="85"/>
        <v>6</v>
      </c>
      <c r="D134" t="str">
        <f t="shared" si="86"/>
        <v>普通攻击</v>
      </c>
      <c r="E134">
        <f t="shared" si="87"/>
        <v>301303</v>
      </c>
      <c r="F134" s="5">
        <f t="shared" si="88"/>
        <v>301310</v>
      </c>
      <c r="H134" t="str">
        <f>"[["&amp;F134&amp;",900]]"</f>
        <v>[[301310,900]]</v>
      </c>
      <c r="I134" t="str">
        <f t="shared" si="89"/>
        <v>skill/sect/301303</v>
      </c>
      <c r="J134" t="s">
        <v>1486</v>
      </c>
      <c r="K134" t="s">
        <v>1290</v>
      </c>
      <c r="L134">
        <v>130132000</v>
      </c>
      <c r="M134" s="5">
        <v>130132000</v>
      </c>
      <c r="N134" t="s">
        <v>1403</v>
      </c>
      <c r="O134" t="s">
        <v>1024</v>
      </c>
      <c r="P134" t="s">
        <v>1040</v>
      </c>
      <c r="Q134" t="s">
        <v>1041</v>
      </c>
      <c r="R134" t="str">
        <f t="shared" si="90"/>
        <v>[[103,10]]</v>
      </c>
      <c r="S134">
        <f t="shared" si="91"/>
        <v>6000</v>
      </c>
      <c r="T134" t="s">
        <v>1028</v>
      </c>
      <c r="U134" t="s">
        <v>1029</v>
      </c>
      <c r="V134">
        <v>0</v>
      </c>
    </row>
    <row r="135" spans="1:22">
      <c r="A135">
        <f t="shared" si="83"/>
        <v>3013</v>
      </c>
      <c r="B135">
        <f t="shared" si="84"/>
        <v>4</v>
      </c>
      <c r="C135">
        <f t="shared" si="85"/>
        <v>8</v>
      </c>
      <c r="D135" t="str">
        <f t="shared" si="86"/>
        <v>普通攻击</v>
      </c>
      <c r="E135">
        <f t="shared" si="87"/>
        <v>301304</v>
      </c>
      <c r="F135" s="5">
        <f t="shared" si="88"/>
        <v>301310</v>
      </c>
      <c r="G135" s="5">
        <f>G131+100</f>
        <v>301320</v>
      </c>
      <c r="H135" t="str">
        <f>"[["&amp;G135&amp;",1]]"</f>
        <v>[[301320,1]]</v>
      </c>
      <c r="I135" t="str">
        <f t="shared" si="89"/>
        <v>skill/sect/301304</v>
      </c>
      <c r="J135" t="s">
        <v>1486</v>
      </c>
      <c r="K135" s="9" t="s">
        <v>1489</v>
      </c>
      <c r="L135">
        <v>130132000</v>
      </c>
      <c r="M135" s="5" t="s">
        <v>1490</v>
      </c>
      <c r="N135" t="s">
        <v>1403</v>
      </c>
      <c r="O135" t="s">
        <v>1024</v>
      </c>
      <c r="P135" t="s">
        <v>1046</v>
      </c>
      <c r="Q135" t="s">
        <v>1047</v>
      </c>
      <c r="R135" t="str">
        <f t="shared" si="90"/>
        <v>[[103,10]]</v>
      </c>
      <c r="S135">
        <f t="shared" si="91"/>
        <v>10000</v>
      </c>
      <c r="T135" t="s">
        <v>1028</v>
      </c>
      <c r="U135" t="s">
        <v>1029</v>
      </c>
      <c r="V135">
        <v>0</v>
      </c>
    </row>
    <row r="136" spans="1:22">
      <c r="A136">
        <v>3021</v>
      </c>
      <c r="B136">
        <v>1</v>
      </c>
      <c r="C136">
        <v>3</v>
      </c>
      <c r="D136" t="s">
        <v>1074</v>
      </c>
      <c r="E136">
        <v>302101</v>
      </c>
      <c r="F136" s="5" t="s">
        <v>1491</v>
      </c>
      <c r="H136" t="s">
        <v>1492</v>
      </c>
      <c r="I136" t="s">
        <v>1493</v>
      </c>
      <c r="J136" t="s">
        <v>1494</v>
      </c>
      <c r="K136" t="s">
        <v>1495</v>
      </c>
      <c r="L136">
        <v>130211000</v>
      </c>
      <c r="O136" t="s">
        <v>1024</v>
      </c>
      <c r="P136" t="s">
        <v>1025</v>
      </c>
      <c r="Q136" t="s">
        <v>1026</v>
      </c>
      <c r="R136" t="s">
        <v>1027</v>
      </c>
      <c r="S136">
        <v>2000</v>
      </c>
      <c r="T136" t="s">
        <v>1277</v>
      </c>
      <c r="U136" t="s">
        <v>1085</v>
      </c>
      <c r="V136">
        <v>1</v>
      </c>
    </row>
    <row r="137" spans="1:22">
      <c r="A137">
        <v>3021</v>
      </c>
      <c r="B137">
        <v>2</v>
      </c>
      <c r="C137">
        <v>4</v>
      </c>
      <c r="D137" t="s">
        <v>1074</v>
      </c>
      <c r="E137">
        <v>302102</v>
      </c>
      <c r="F137" s="5" t="s">
        <v>1491</v>
      </c>
      <c r="H137" t="s">
        <v>1496</v>
      </c>
      <c r="I137" t="s">
        <v>1497</v>
      </c>
      <c r="J137" t="s">
        <v>1494</v>
      </c>
      <c r="K137" t="s">
        <v>1498</v>
      </c>
      <c r="L137">
        <v>130212000</v>
      </c>
      <c r="O137" t="s">
        <v>1024</v>
      </c>
      <c r="P137" t="s">
        <v>1032</v>
      </c>
      <c r="Q137" t="s">
        <v>1033</v>
      </c>
      <c r="R137" t="s">
        <v>1027</v>
      </c>
      <c r="S137">
        <v>5000</v>
      </c>
      <c r="T137" t="s">
        <v>1277</v>
      </c>
      <c r="U137" t="s">
        <v>1085</v>
      </c>
      <c r="V137">
        <v>1</v>
      </c>
    </row>
    <row r="138" spans="1:22">
      <c r="A138">
        <v>3021</v>
      </c>
      <c r="B138">
        <v>3</v>
      </c>
      <c r="C138">
        <v>6</v>
      </c>
      <c r="D138" t="s">
        <v>1074</v>
      </c>
      <c r="E138">
        <v>302103</v>
      </c>
      <c r="F138" s="5" t="s">
        <v>1491</v>
      </c>
      <c r="H138" t="s">
        <v>1499</v>
      </c>
      <c r="I138" t="s">
        <v>1500</v>
      </c>
      <c r="J138" t="s">
        <v>1494</v>
      </c>
      <c r="K138" t="s">
        <v>1320</v>
      </c>
      <c r="L138">
        <v>130212000</v>
      </c>
      <c r="N138" t="s">
        <v>1501</v>
      </c>
      <c r="O138" t="s">
        <v>1024</v>
      </c>
      <c r="P138" t="s">
        <v>1040</v>
      </c>
      <c r="Q138" t="s">
        <v>1041</v>
      </c>
      <c r="R138" t="s">
        <v>1027</v>
      </c>
      <c r="S138">
        <v>10000</v>
      </c>
      <c r="T138" t="s">
        <v>1277</v>
      </c>
      <c r="U138" t="s">
        <v>1085</v>
      </c>
      <c r="V138">
        <v>1</v>
      </c>
    </row>
    <row r="139" spans="1:22">
      <c r="A139">
        <v>3021</v>
      </c>
      <c r="B139">
        <v>4</v>
      </c>
      <c r="C139">
        <v>8</v>
      </c>
      <c r="D139" t="s">
        <v>1074</v>
      </c>
      <c r="E139">
        <v>302104</v>
      </c>
      <c r="F139" s="5" t="s">
        <v>1491</v>
      </c>
      <c r="G139" s="5" t="s">
        <v>1502</v>
      </c>
      <c r="H139" t="s">
        <v>1503</v>
      </c>
      <c r="I139" t="s">
        <v>1504</v>
      </c>
      <c r="J139" t="s">
        <v>1494</v>
      </c>
      <c r="K139" t="s">
        <v>1505</v>
      </c>
      <c r="L139">
        <v>130214000</v>
      </c>
      <c r="N139" t="s">
        <v>1501</v>
      </c>
      <c r="O139" t="s">
        <v>1024</v>
      </c>
      <c r="P139" t="s">
        <v>1046</v>
      </c>
      <c r="Q139" t="s">
        <v>1047</v>
      </c>
      <c r="R139" t="s">
        <v>1027</v>
      </c>
      <c r="S139">
        <v>20000</v>
      </c>
      <c r="T139" t="s">
        <v>1277</v>
      </c>
      <c r="U139" t="s">
        <v>1085</v>
      </c>
      <c r="V139">
        <v>1</v>
      </c>
    </row>
    <row r="140" spans="1:22">
      <c r="A140">
        <v>3022</v>
      </c>
      <c r="B140">
        <v>1</v>
      </c>
      <c r="C140">
        <v>3</v>
      </c>
      <c r="D140" t="s">
        <v>1074</v>
      </c>
      <c r="E140">
        <v>302201</v>
      </c>
      <c r="F140" s="5" t="s">
        <v>1506</v>
      </c>
      <c r="H140" t="s">
        <v>1507</v>
      </c>
      <c r="I140" t="s">
        <v>1508</v>
      </c>
      <c r="J140" t="s">
        <v>1509</v>
      </c>
      <c r="K140" t="s">
        <v>1402</v>
      </c>
      <c r="N140" t="s">
        <v>1487</v>
      </c>
      <c r="O140" t="s">
        <v>1024</v>
      </c>
      <c r="P140" t="s">
        <v>1025</v>
      </c>
      <c r="Q140" t="s">
        <v>1026</v>
      </c>
      <c r="R140" t="s">
        <v>1027</v>
      </c>
      <c r="S140">
        <v>2000</v>
      </c>
      <c r="T140" t="s">
        <v>1474</v>
      </c>
      <c r="U140" t="s">
        <v>1081</v>
      </c>
      <c r="V140">
        <v>1</v>
      </c>
    </row>
    <row r="141" spans="1:22">
      <c r="A141">
        <v>3022</v>
      </c>
      <c r="B141">
        <v>2</v>
      </c>
      <c r="C141">
        <v>4</v>
      </c>
      <c r="D141" t="s">
        <v>1074</v>
      </c>
      <c r="E141">
        <v>302202</v>
      </c>
      <c r="F141" s="5" t="s">
        <v>1506</v>
      </c>
      <c r="H141" t="s">
        <v>1510</v>
      </c>
      <c r="I141" t="s">
        <v>1511</v>
      </c>
      <c r="J141" t="s">
        <v>1509</v>
      </c>
      <c r="K141" t="s">
        <v>1512</v>
      </c>
      <c r="L141">
        <v>130222000</v>
      </c>
      <c r="N141" t="s">
        <v>1487</v>
      </c>
      <c r="O141" t="s">
        <v>1024</v>
      </c>
      <c r="P141" t="s">
        <v>1032</v>
      </c>
      <c r="Q141" t="s">
        <v>1033</v>
      </c>
      <c r="R141" t="s">
        <v>1027</v>
      </c>
      <c r="S141">
        <v>5000</v>
      </c>
      <c r="T141" t="s">
        <v>1474</v>
      </c>
      <c r="U141" t="s">
        <v>1081</v>
      </c>
      <c r="V141">
        <v>1</v>
      </c>
    </row>
    <row r="142" spans="1:22">
      <c r="A142">
        <v>3022</v>
      </c>
      <c r="B142">
        <v>3</v>
      </c>
      <c r="C142">
        <v>6</v>
      </c>
      <c r="D142" t="s">
        <v>1074</v>
      </c>
      <c r="E142">
        <v>302203</v>
      </c>
      <c r="F142" s="5" t="s">
        <v>1506</v>
      </c>
      <c r="H142" t="s">
        <v>1513</v>
      </c>
      <c r="I142" t="s">
        <v>1514</v>
      </c>
      <c r="J142" t="s">
        <v>1509</v>
      </c>
      <c r="K142" t="s">
        <v>1515</v>
      </c>
      <c r="L142">
        <v>130222000</v>
      </c>
      <c r="N142" t="s">
        <v>1516</v>
      </c>
      <c r="O142" t="s">
        <v>1024</v>
      </c>
      <c r="P142" t="s">
        <v>1040</v>
      </c>
      <c r="Q142" t="s">
        <v>1041</v>
      </c>
      <c r="R142" t="s">
        <v>1027</v>
      </c>
      <c r="S142">
        <v>10000</v>
      </c>
      <c r="T142" t="s">
        <v>1474</v>
      </c>
      <c r="U142" t="s">
        <v>1081</v>
      </c>
      <c r="V142">
        <v>1</v>
      </c>
    </row>
    <row r="143" spans="1:22">
      <c r="A143">
        <v>3022</v>
      </c>
      <c r="B143">
        <v>4</v>
      </c>
      <c r="C143">
        <v>8</v>
      </c>
      <c r="D143" t="s">
        <v>1074</v>
      </c>
      <c r="E143">
        <v>302204</v>
      </c>
      <c r="F143" s="5" t="s">
        <v>1506</v>
      </c>
      <c r="G143" s="5" t="s">
        <v>1517</v>
      </c>
      <c r="H143" t="s">
        <v>1518</v>
      </c>
      <c r="I143" t="s">
        <v>1519</v>
      </c>
      <c r="J143" t="s">
        <v>1509</v>
      </c>
      <c r="K143" t="s">
        <v>1520</v>
      </c>
      <c r="L143">
        <v>130224000</v>
      </c>
      <c r="N143" t="s">
        <v>1516</v>
      </c>
      <c r="O143" t="s">
        <v>1024</v>
      </c>
      <c r="P143" t="s">
        <v>1046</v>
      </c>
      <c r="Q143" t="s">
        <v>1047</v>
      </c>
      <c r="R143" t="s">
        <v>1027</v>
      </c>
      <c r="S143">
        <v>20000</v>
      </c>
      <c r="T143" t="s">
        <v>1474</v>
      </c>
      <c r="U143" t="s">
        <v>1081</v>
      </c>
      <c r="V143">
        <v>1</v>
      </c>
    </row>
    <row r="144" spans="1:22">
      <c r="A144">
        <f t="shared" ref="A144:A147" si="92">A140+1</f>
        <v>3023</v>
      </c>
      <c r="B144">
        <f t="shared" ref="B144:B147" si="93">B140</f>
        <v>1</v>
      </c>
      <c r="C144">
        <f t="shared" ref="C144:C147" si="94">C140</f>
        <v>3</v>
      </c>
      <c r="D144" t="str">
        <f t="shared" ref="D144:D147" si="95">D140</f>
        <v>核心技能</v>
      </c>
      <c r="E144">
        <f t="shared" ref="E144:E147" si="96">E140+100</f>
        <v>302301</v>
      </c>
      <c r="F144" s="5">
        <f t="shared" ref="F144:F147" si="97">F140+100</f>
        <v>302310</v>
      </c>
      <c r="H144" t="str">
        <f>"[["&amp;F144&amp;",300]]"</f>
        <v>[[302310,300]]</v>
      </c>
      <c r="I144" t="str">
        <f t="shared" ref="I144:I147" si="98">"skill/sect/"&amp;E144</f>
        <v>skill/sect/302301</v>
      </c>
      <c r="J144" t="s">
        <v>1521</v>
      </c>
      <c r="K144" s="9" t="s">
        <v>1522</v>
      </c>
      <c r="N144" t="s">
        <v>1523</v>
      </c>
      <c r="O144" t="s">
        <v>1024</v>
      </c>
      <c r="P144" t="s">
        <v>1025</v>
      </c>
      <c r="Q144" t="s">
        <v>1026</v>
      </c>
      <c r="R144" t="str">
        <f t="shared" ref="R144:R147" si="99">R140</f>
        <v>[[103,10]]</v>
      </c>
      <c r="S144">
        <f t="shared" ref="S144:S147" si="100">S136</f>
        <v>2000</v>
      </c>
      <c r="T144" t="s">
        <v>1028</v>
      </c>
      <c r="U144" t="s">
        <v>1029</v>
      </c>
      <c r="V144">
        <v>0</v>
      </c>
    </row>
    <row r="145" spans="1:22">
      <c r="A145">
        <f t="shared" si="92"/>
        <v>3023</v>
      </c>
      <c r="B145">
        <f t="shared" si="93"/>
        <v>2</v>
      </c>
      <c r="C145">
        <f t="shared" si="94"/>
        <v>4</v>
      </c>
      <c r="D145" t="str">
        <f t="shared" si="95"/>
        <v>核心技能</v>
      </c>
      <c r="E145">
        <f t="shared" si="96"/>
        <v>302302</v>
      </c>
      <c r="F145" s="5">
        <f t="shared" si="97"/>
        <v>302310</v>
      </c>
      <c r="H145" t="str">
        <f>"[["&amp;F145&amp;",600]]"</f>
        <v>[[302310,600]]</v>
      </c>
      <c r="I145" t="str">
        <f t="shared" si="98"/>
        <v>skill/sect/302302</v>
      </c>
      <c r="J145" t="s">
        <v>1521</v>
      </c>
      <c r="K145" s="9" t="s">
        <v>1524</v>
      </c>
      <c r="L145">
        <v>130232000</v>
      </c>
      <c r="N145" t="s">
        <v>1523</v>
      </c>
      <c r="O145" t="s">
        <v>1024</v>
      </c>
      <c r="P145" t="s">
        <v>1032</v>
      </c>
      <c r="Q145" t="s">
        <v>1033</v>
      </c>
      <c r="R145" t="str">
        <f t="shared" si="99"/>
        <v>[[103,10]]</v>
      </c>
      <c r="S145">
        <f t="shared" si="100"/>
        <v>5000</v>
      </c>
      <c r="T145" t="s">
        <v>1028</v>
      </c>
      <c r="U145" t="s">
        <v>1029</v>
      </c>
      <c r="V145">
        <v>0</v>
      </c>
    </row>
    <row r="146" spans="1:22">
      <c r="A146">
        <f t="shared" si="92"/>
        <v>3023</v>
      </c>
      <c r="B146">
        <f t="shared" si="93"/>
        <v>3</v>
      </c>
      <c r="C146">
        <f t="shared" si="94"/>
        <v>6</v>
      </c>
      <c r="D146" t="str">
        <f t="shared" si="95"/>
        <v>核心技能</v>
      </c>
      <c r="E146">
        <f t="shared" si="96"/>
        <v>302303</v>
      </c>
      <c r="F146" s="5">
        <f t="shared" si="97"/>
        <v>302310</v>
      </c>
      <c r="H146" t="str">
        <f>"[["&amp;F146&amp;",900]]"</f>
        <v>[[302310,900]]</v>
      </c>
      <c r="I146" t="str">
        <f t="shared" si="98"/>
        <v>skill/sect/302303</v>
      </c>
      <c r="J146" t="s">
        <v>1521</v>
      </c>
      <c r="K146" s="9" t="s">
        <v>1525</v>
      </c>
      <c r="L146">
        <v>130232000</v>
      </c>
      <c r="N146" t="s">
        <v>1526</v>
      </c>
      <c r="O146" t="s">
        <v>1024</v>
      </c>
      <c r="P146" t="s">
        <v>1040</v>
      </c>
      <c r="Q146" t="s">
        <v>1041</v>
      </c>
      <c r="R146" t="str">
        <f t="shared" si="99"/>
        <v>[[103,10]]</v>
      </c>
      <c r="S146">
        <f t="shared" si="100"/>
        <v>10000</v>
      </c>
      <c r="T146" t="s">
        <v>1028</v>
      </c>
      <c r="U146" t="s">
        <v>1029</v>
      </c>
      <c r="V146">
        <v>0</v>
      </c>
    </row>
    <row r="147" spans="1:22">
      <c r="A147">
        <f t="shared" si="92"/>
        <v>3023</v>
      </c>
      <c r="B147">
        <f t="shared" si="93"/>
        <v>4</v>
      </c>
      <c r="C147">
        <f t="shared" si="94"/>
        <v>8</v>
      </c>
      <c r="D147" t="str">
        <f t="shared" si="95"/>
        <v>核心技能</v>
      </c>
      <c r="E147">
        <f t="shared" si="96"/>
        <v>302304</v>
      </c>
      <c r="F147" s="5">
        <f t="shared" si="97"/>
        <v>302310</v>
      </c>
      <c r="G147" s="5">
        <f>G143+100</f>
        <v>302320</v>
      </c>
      <c r="H147" t="str">
        <f>"[["&amp;G147&amp;",1]]"</f>
        <v>[[302320,1]]</v>
      </c>
      <c r="I147" t="str">
        <f t="shared" si="98"/>
        <v>skill/sect/302304</v>
      </c>
      <c r="J147" t="s">
        <v>1521</v>
      </c>
      <c r="K147" s="9" t="s">
        <v>1527</v>
      </c>
      <c r="L147">
        <v>130234000</v>
      </c>
      <c r="N147" t="s">
        <v>1526</v>
      </c>
      <c r="O147" t="s">
        <v>1024</v>
      </c>
      <c r="P147" t="s">
        <v>1046</v>
      </c>
      <c r="Q147" t="s">
        <v>1047</v>
      </c>
      <c r="R147" t="str">
        <f t="shared" si="99"/>
        <v>[[103,10]]</v>
      </c>
      <c r="S147">
        <f t="shared" si="100"/>
        <v>20000</v>
      </c>
      <c r="T147" t="s">
        <v>1028</v>
      </c>
      <c r="U147" t="s">
        <v>1029</v>
      </c>
      <c r="V147">
        <v>0</v>
      </c>
    </row>
    <row r="148" spans="1:22">
      <c r="A148">
        <v>3031</v>
      </c>
      <c r="B148">
        <v>1</v>
      </c>
      <c r="C148">
        <v>3</v>
      </c>
      <c r="D148" t="s">
        <v>1112</v>
      </c>
      <c r="E148">
        <v>303101</v>
      </c>
      <c r="F148" s="5" t="s">
        <v>1528</v>
      </c>
      <c r="H148" t="s">
        <v>1529</v>
      </c>
      <c r="I148" t="s">
        <v>1530</v>
      </c>
      <c r="J148" t="s">
        <v>1531</v>
      </c>
      <c r="K148" t="s">
        <v>1259</v>
      </c>
      <c r="N148" t="s">
        <v>1532</v>
      </c>
      <c r="O148" t="s">
        <v>1024</v>
      </c>
      <c r="P148" t="s">
        <v>1025</v>
      </c>
      <c r="Q148" t="s">
        <v>1026</v>
      </c>
      <c r="R148" t="s">
        <v>1027</v>
      </c>
      <c r="S148">
        <v>1000</v>
      </c>
      <c r="T148" t="s">
        <v>1533</v>
      </c>
      <c r="U148" t="s">
        <v>1534</v>
      </c>
      <c r="V148">
        <v>1</v>
      </c>
    </row>
    <row r="149" spans="1:22">
      <c r="A149">
        <v>3031</v>
      </c>
      <c r="B149">
        <v>2</v>
      </c>
      <c r="C149">
        <v>4</v>
      </c>
      <c r="D149" t="s">
        <v>1112</v>
      </c>
      <c r="E149">
        <v>303102</v>
      </c>
      <c r="F149" s="5" t="s">
        <v>1528</v>
      </c>
      <c r="H149" t="s">
        <v>1535</v>
      </c>
      <c r="I149" t="s">
        <v>1536</v>
      </c>
      <c r="J149" t="s">
        <v>1531</v>
      </c>
      <c r="K149" t="s">
        <v>1537</v>
      </c>
      <c r="L149">
        <v>130312000</v>
      </c>
      <c r="N149" t="s">
        <v>1532</v>
      </c>
      <c r="O149" t="s">
        <v>1024</v>
      </c>
      <c r="P149" t="s">
        <v>1032</v>
      </c>
      <c r="Q149" t="s">
        <v>1033</v>
      </c>
      <c r="R149" t="s">
        <v>1027</v>
      </c>
      <c r="S149">
        <v>3000</v>
      </c>
      <c r="T149" t="s">
        <v>1533</v>
      </c>
      <c r="U149" t="s">
        <v>1534</v>
      </c>
      <c r="V149">
        <v>1</v>
      </c>
    </row>
    <row r="150" spans="1:22">
      <c r="A150">
        <v>3031</v>
      </c>
      <c r="B150">
        <v>3</v>
      </c>
      <c r="C150">
        <v>6</v>
      </c>
      <c r="D150" t="s">
        <v>1112</v>
      </c>
      <c r="E150">
        <v>303103</v>
      </c>
      <c r="F150" s="5" t="s">
        <v>1528</v>
      </c>
      <c r="H150" t="s">
        <v>1538</v>
      </c>
      <c r="I150" t="s">
        <v>1539</v>
      </c>
      <c r="J150" t="s">
        <v>1531</v>
      </c>
      <c r="K150" t="s">
        <v>1540</v>
      </c>
      <c r="L150">
        <v>130313000</v>
      </c>
      <c r="N150" t="s">
        <v>1541</v>
      </c>
      <c r="O150" t="s">
        <v>1024</v>
      </c>
      <c r="P150" t="s">
        <v>1040</v>
      </c>
      <c r="Q150" t="s">
        <v>1041</v>
      </c>
      <c r="R150" t="s">
        <v>1027</v>
      </c>
      <c r="S150">
        <v>6000</v>
      </c>
      <c r="T150" t="s">
        <v>1533</v>
      </c>
      <c r="U150" t="s">
        <v>1534</v>
      </c>
      <c r="V150">
        <v>1</v>
      </c>
    </row>
    <row r="151" spans="1:22">
      <c r="A151">
        <v>3031</v>
      </c>
      <c r="B151">
        <v>4</v>
      </c>
      <c r="C151">
        <v>8</v>
      </c>
      <c r="D151" t="s">
        <v>1112</v>
      </c>
      <c r="E151">
        <v>303104</v>
      </c>
      <c r="F151" s="5" t="s">
        <v>1528</v>
      </c>
      <c r="G151" s="5" t="s">
        <v>1542</v>
      </c>
      <c r="H151" t="s">
        <v>1543</v>
      </c>
      <c r="I151" t="s">
        <v>1544</v>
      </c>
      <c r="J151" t="s">
        <v>1531</v>
      </c>
      <c r="K151" t="s">
        <v>1545</v>
      </c>
      <c r="L151">
        <v>130314000</v>
      </c>
      <c r="N151" t="s">
        <v>1541</v>
      </c>
      <c r="O151" t="s">
        <v>1024</v>
      </c>
      <c r="P151" t="s">
        <v>1046</v>
      </c>
      <c r="Q151" t="s">
        <v>1047</v>
      </c>
      <c r="R151" t="s">
        <v>1027</v>
      </c>
      <c r="S151">
        <v>10000</v>
      </c>
      <c r="T151" t="s">
        <v>1533</v>
      </c>
      <c r="U151" t="s">
        <v>1534</v>
      </c>
      <c r="V151">
        <v>1</v>
      </c>
    </row>
    <row r="152" spans="1:22">
      <c r="A152">
        <v>3032</v>
      </c>
      <c r="B152">
        <v>1</v>
      </c>
      <c r="C152">
        <v>3</v>
      </c>
      <c r="D152" t="s">
        <v>1112</v>
      </c>
      <c r="E152">
        <v>303201</v>
      </c>
      <c r="F152" s="5" t="s">
        <v>1546</v>
      </c>
      <c r="H152" t="s">
        <v>1547</v>
      </c>
      <c r="I152" t="s">
        <v>1548</v>
      </c>
      <c r="J152" t="s">
        <v>1549</v>
      </c>
      <c r="K152" t="s">
        <v>1550</v>
      </c>
      <c r="N152" t="s">
        <v>1244</v>
      </c>
      <c r="O152" t="s">
        <v>1024</v>
      </c>
      <c r="P152" t="s">
        <v>1025</v>
      </c>
      <c r="Q152" t="s">
        <v>1026</v>
      </c>
      <c r="R152" t="s">
        <v>1027</v>
      </c>
      <c r="S152">
        <v>1000</v>
      </c>
      <c r="T152" t="s">
        <v>1551</v>
      </c>
      <c r="U152" t="s">
        <v>1120</v>
      </c>
      <c r="V152">
        <v>1</v>
      </c>
    </row>
    <row r="153" spans="1:22">
      <c r="A153">
        <v>3032</v>
      </c>
      <c r="B153">
        <v>2</v>
      </c>
      <c r="C153">
        <v>4</v>
      </c>
      <c r="D153" t="s">
        <v>1112</v>
      </c>
      <c r="E153">
        <v>303202</v>
      </c>
      <c r="F153" s="5" t="s">
        <v>1546</v>
      </c>
      <c r="H153" t="s">
        <v>1552</v>
      </c>
      <c r="I153" t="s">
        <v>1553</v>
      </c>
      <c r="J153" t="s">
        <v>1549</v>
      </c>
      <c r="K153" t="s">
        <v>1554</v>
      </c>
      <c r="L153">
        <v>130322000</v>
      </c>
      <c r="N153" t="s">
        <v>1244</v>
      </c>
      <c r="O153" t="s">
        <v>1024</v>
      </c>
      <c r="P153" t="s">
        <v>1032</v>
      </c>
      <c r="Q153" t="s">
        <v>1033</v>
      </c>
      <c r="R153" t="s">
        <v>1027</v>
      </c>
      <c r="S153">
        <v>3000</v>
      </c>
      <c r="T153" t="s">
        <v>1551</v>
      </c>
      <c r="U153" t="s">
        <v>1120</v>
      </c>
      <c r="V153">
        <v>1</v>
      </c>
    </row>
    <row r="154" spans="1:22">
      <c r="A154">
        <v>3032</v>
      </c>
      <c r="B154">
        <v>3</v>
      </c>
      <c r="C154">
        <v>6</v>
      </c>
      <c r="D154" t="s">
        <v>1112</v>
      </c>
      <c r="E154">
        <v>303203</v>
      </c>
      <c r="F154" s="5" t="s">
        <v>1546</v>
      </c>
      <c r="H154" t="s">
        <v>1555</v>
      </c>
      <c r="I154" t="s">
        <v>1556</v>
      </c>
      <c r="J154" t="s">
        <v>1549</v>
      </c>
      <c r="K154" t="s">
        <v>1557</v>
      </c>
      <c r="N154" t="s">
        <v>1558</v>
      </c>
      <c r="O154" t="s">
        <v>1024</v>
      </c>
      <c r="P154" t="s">
        <v>1040</v>
      </c>
      <c r="Q154" t="s">
        <v>1041</v>
      </c>
      <c r="R154" t="s">
        <v>1027</v>
      </c>
      <c r="S154">
        <v>6000</v>
      </c>
      <c r="T154" t="s">
        <v>1551</v>
      </c>
      <c r="U154" t="s">
        <v>1120</v>
      </c>
      <c r="V154">
        <v>1</v>
      </c>
    </row>
    <row r="155" spans="1:22">
      <c r="A155">
        <v>3032</v>
      </c>
      <c r="B155">
        <v>4</v>
      </c>
      <c r="C155">
        <v>8</v>
      </c>
      <c r="D155" t="s">
        <v>1112</v>
      </c>
      <c r="E155">
        <v>303204</v>
      </c>
      <c r="F155" s="5" t="s">
        <v>1546</v>
      </c>
      <c r="G155" s="5" t="s">
        <v>1559</v>
      </c>
      <c r="H155" t="s">
        <v>1560</v>
      </c>
      <c r="I155" t="s">
        <v>1561</v>
      </c>
      <c r="J155" t="s">
        <v>1549</v>
      </c>
      <c r="K155" t="s">
        <v>1562</v>
      </c>
      <c r="L155">
        <v>130324000</v>
      </c>
      <c r="N155" t="s">
        <v>1558</v>
      </c>
      <c r="O155" t="s">
        <v>1024</v>
      </c>
      <c r="P155" t="s">
        <v>1046</v>
      </c>
      <c r="Q155" t="s">
        <v>1047</v>
      </c>
      <c r="R155" t="s">
        <v>1027</v>
      </c>
      <c r="S155">
        <v>10000</v>
      </c>
      <c r="T155" t="s">
        <v>1551</v>
      </c>
      <c r="U155" t="s">
        <v>1120</v>
      </c>
      <c r="V155">
        <v>1</v>
      </c>
    </row>
    <row r="156" spans="1:22">
      <c r="A156">
        <f t="shared" ref="A156:A159" si="101">A152+1</f>
        <v>3033</v>
      </c>
      <c r="B156">
        <f t="shared" ref="B156:B159" si="102">B152</f>
        <v>1</v>
      </c>
      <c r="C156">
        <f t="shared" ref="C156:C159" si="103">C152</f>
        <v>3</v>
      </c>
      <c r="D156" t="str">
        <f t="shared" ref="D156:D159" si="104">D152</f>
        <v>位移技能</v>
      </c>
      <c r="E156">
        <f t="shared" ref="E156:E159" si="105">E152+100</f>
        <v>303301</v>
      </c>
      <c r="F156" s="5">
        <f t="shared" ref="F156:F159" si="106">F152+100</f>
        <v>303310</v>
      </c>
      <c r="H156" t="str">
        <f>"[["&amp;F156&amp;",300]]"</f>
        <v>[[303310,300]]</v>
      </c>
      <c r="I156" t="str">
        <f t="shared" ref="I156:I159" si="107">"skill/sect/"&amp;E156</f>
        <v>skill/sect/303301</v>
      </c>
      <c r="J156" t="s">
        <v>1563</v>
      </c>
      <c r="K156" t="s">
        <v>1564</v>
      </c>
      <c r="N156" t="s">
        <v>1069</v>
      </c>
      <c r="O156" t="s">
        <v>1024</v>
      </c>
      <c r="P156" t="s">
        <v>1025</v>
      </c>
      <c r="Q156" t="s">
        <v>1026</v>
      </c>
      <c r="R156" t="str">
        <f t="shared" ref="R156:R159" si="108">R152</f>
        <v>[[103,10]]</v>
      </c>
      <c r="S156">
        <f t="shared" ref="S156:S159" si="109">S148</f>
        <v>1000</v>
      </c>
      <c r="T156" t="s">
        <v>1565</v>
      </c>
      <c r="U156" t="s">
        <v>1566</v>
      </c>
      <c r="V156">
        <v>0</v>
      </c>
    </row>
    <row r="157" spans="1:22">
      <c r="A157">
        <f t="shared" si="101"/>
        <v>3033</v>
      </c>
      <c r="B157">
        <f t="shared" si="102"/>
        <v>2</v>
      </c>
      <c r="C157">
        <f t="shared" si="103"/>
        <v>4</v>
      </c>
      <c r="D157" t="str">
        <f t="shared" si="104"/>
        <v>位移技能</v>
      </c>
      <c r="E157">
        <f t="shared" si="105"/>
        <v>303302</v>
      </c>
      <c r="F157" s="5">
        <f t="shared" si="106"/>
        <v>303310</v>
      </c>
      <c r="H157" t="str">
        <f>"[["&amp;F157&amp;",600]]"</f>
        <v>[[303310,600]]</v>
      </c>
      <c r="I157" t="str">
        <f t="shared" si="107"/>
        <v>skill/sect/303302</v>
      </c>
      <c r="J157" t="s">
        <v>1563</v>
      </c>
      <c r="K157" s="9" t="s">
        <v>1567</v>
      </c>
      <c r="L157">
        <v>130332000</v>
      </c>
      <c r="N157" t="s">
        <v>1069</v>
      </c>
      <c r="O157" t="s">
        <v>1024</v>
      </c>
      <c r="P157" t="s">
        <v>1032</v>
      </c>
      <c r="Q157" t="s">
        <v>1033</v>
      </c>
      <c r="R157" t="str">
        <f t="shared" si="108"/>
        <v>[[103,10]]</v>
      </c>
      <c r="S157">
        <f t="shared" si="109"/>
        <v>3000</v>
      </c>
      <c r="T157" t="s">
        <v>1565</v>
      </c>
      <c r="U157" t="s">
        <v>1566</v>
      </c>
      <c r="V157">
        <v>0</v>
      </c>
    </row>
    <row r="158" spans="1:22">
      <c r="A158">
        <f t="shared" si="101"/>
        <v>3033</v>
      </c>
      <c r="B158">
        <f t="shared" si="102"/>
        <v>3</v>
      </c>
      <c r="C158">
        <f t="shared" si="103"/>
        <v>6</v>
      </c>
      <c r="D158" t="str">
        <f t="shared" si="104"/>
        <v>位移技能</v>
      </c>
      <c r="E158">
        <f t="shared" si="105"/>
        <v>303303</v>
      </c>
      <c r="F158" s="5">
        <f t="shared" si="106"/>
        <v>303310</v>
      </c>
      <c r="H158" t="str">
        <f>"[["&amp;F158&amp;",900]]"</f>
        <v>[[303310,900]]</v>
      </c>
      <c r="I158" t="str">
        <f t="shared" si="107"/>
        <v>skill/sect/303303</v>
      </c>
      <c r="J158" t="s">
        <v>1563</v>
      </c>
      <c r="K158" t="s">
        <v>1568</v>
      </c>
      <c r="L158">
        <v>130332000</v>
      </c>
      <c r="N158" t="s">
        <v>1569</v>
      </c>
      <c r="O158" t="s">
        <v>1024</v>
      </c>
      <c r="P158" t="s">
        <v>1040</v>
      </c>
      <c r="Q158" t="s">
        <v>1041</v>
      </c>
      <c r="R158" t="str">
        <f t="shared" si="108"/>
        <v>[[103,10]]</v>
      </c>
      <c r="S158">
        <f t="shared" si="109"/>
        <v>6000</v>
      </c>
      <c r="T158" t="s">
        <v>1565</v>
      </c>
      <c r="U158" t="s">
        <v>1566</v>
      </c>
      <c r="V158">
        <v>0</v>
      </c>
    </row>
    <row r="159" spans="1:22">
      <c r="A159">
        <f t="shared" si="101"/>
        <v>3033</v>
      </c>
      <c r="B159">
        <f t="shared" si="102"/>
        <v>4</v>
      </c>
      <c r="C159">
        <f t="shared" si="103"/>
        <v>8</v>
      </c>
      <c r="D159" t="str">
        <f t="shared" si="104"/>
        <v>位移技能</v>
      </c>
      <c r="E159">
        <f t="shared" si="105"/>
        <v>303304</v>
      </c>
      <c r="F159" s="5">
        <f t="shared" si="106"/>
        <v>303310</v>
      </c>
      <c r="G159" s="5">
        <f>G155+100</f>
        <v>303320</v>
      </c>
      <c r="H159" t="str">
        <f>"[["&amp;G159&amp;",1]]"</f>
        <v>[[303320,1]]</v>
      </c>
      <c r="I159" t="str">
        <f t="shared" si="107"/>
        <v>skill/sect/303304</v>
      </c>
      <c r="J159" t="s">
        <v>1563</v>
      </c>
      <c r="K159" s="9" t="s">
        <v>1570</v>
      </c>
      <c r="L159">
        <v>130334000</v>
      </c>
      <c r="N159" t="s">
        <v>1569</v>
      </c>
      <c r="O159" t="s">
        <v>1024</v>
      </c>
      <c r="P159" t="s">
        <v>1046</v>
      </c>
      <c r="Q159" t="s">
        <v>1047</v>
      </c>
      <c r="R159" t="str">
        <f t="shared" si="108"/>
        <v>[[103,10]]</v>
      </c>
      <c r="S159">
        <f t="shared" si="109"/>
        <v>10000</v>
      </c>
      <c r="T159" t="s">
        <v>1565</v>
      </c>
      <c r="U159" t="s">
        <v>1566</v>
      </c>
      <c r="V159">
        <v>0</v>
      </c>
    </row>
    <row r="160" spans="1:22">
      <c r="A160">
        <v>3041</v>
      </c>
      <c r="B160">
        <v>1</v>
      </c>
      <c r="C160">
        <v>3</v>
      </c>
      <c r="D160" t="s">
        <v>1161</v>
      </c>
      <c r="E160">
        <v>304101</v>
      </c>
      <c r="F160" s="5" t="s">
        <v>1571</v>
      </c>
      <c r="H160" t="s">
        <v>1572</v>
      </c>
      <c r="I160" t="s">
        <v>1573</v>
      </c>
      <c r="J160" t="s">
        <v>1574</v>
      </c>
      <c r="K160" t="s">
        <v>1259</v>
      </c>
      <c r="N160" t="s">
        <v>1532</v>
      </c>
      <c r="O160" t="s">
        <v>1024</v>
      </c>
      <c r="P160" t="s">
        <v>1025</v>
      </c>
      <c r="Q160" t="s">
        <v>1026</v>
      </c>
      <c r="R160" t="s">
        <v>1027</v>
      </c>
      <c r="S160">
        <v>1000</v>
      </c>
      <c r="T160" t="s">
        <v>1395</v>
      </c>
      <c r="U160" t="s">
        <v>1358</v>
      </c>
      <c r="V160">
        <v>1</v>
      </c>
    </row>
    <row r="161" spans="1:22">
      <c r="A161">
        <v>3041</v>
      </c>
      <c r="B161">
        <v>2</v>
      </c>
      <c r="C161">
        <v>4</v>
      </c>
      <c r="D161" t="s">
        <v>1161</v>
      </c>
      <c r="E161">
        <v>304102</v>
      </c>
      <c r="F161" s="5" t="s">
        <v>1571</v>
      </c>
      <c r="H161" t="s">
        <v>1575</v>
      </c>
      <c r="I161" t="s">
        <v>1576</v>
      </c>
      <c r="J161" t="s">
        <v>1574</v>
      </c>
      <c r="K161" t="s">
        <v>1577</v>
      </c>
      <c r="L161">
        <v>130412000</v>
      </c>
      <c r="N161" t="s">
        <v>1532</v>
      </c>
      <c r="O161" t="s">
        <v>1024</v>
      </c>
      <c r="P161" t="s">
        <v>1032</v>
      </c>
      <c r="Q161" t="s">
        <v>1033</v>
      </c>
      <c r="R161" t="s">
        <v>1027</v>
      </c>
      <c r="S161">
        <v>3000</v>
      </c>
      <c r="T161" t="s">
        <v>1578</v>
      </c>
      <c r="U161" t="s">
        <v>1579</v>
      </c>
      <c r="V161">
        <v>1</v>
      </c>
    </row>
    <row r="162" spans="1:22">
      <c r="A162">
        <v>3041</v>
      </c>
      <c r="B162">
        <v>3</v>
      </c>
      <c r="C162">
        <v>6</v>
      </c>
      <c r="D162" t="s">
        <v>1161</v>
      </c>
      <c r="E162">
        <v>304103</v>
      </c>
      <c r="F162" s="5" t="s">
        <v>1571</v>
      </c>
      <c r="H162" t="s">
        <v>1580</v>
      </c>
      <c r="I162" t="s">
        <v>1581</v>
      </c>
      <c r="J162" t="s">
        <v>1574</v>
      </c>
      <c r="K162" t="s">
        <v>1582</v>
      </c>
      <c r="L162">
        <v>130412000</v>
      </c>
      <c r="N162" t="s">
        <v>1583</v>
      </c>
      <c r="O162" t="s">
        <v>1024</v>
      </c>
      <c r="P162" t="s">
        <v>1040</v>
      </c>
      <c r="Q162" t="s">
        <v>1041</v>
      </c>
      <c r="R162" t="s">
        <v>1027</v>
      </c>
      <c r="S162">
        <v>6000</v>
      </c>
      <c r="T162" t="s">
        <v>1578</v>
      </c>
      <c r="U162" t="s">
        <v>1579</v>
      </c>
      <c r="V162">
        <v>1</v>
      </c>
    </row>
    <row r="163" spans="1:22">
      <c r="A163">
        <v>3041</v>
      </c>
      <c r="B163">
        <v>4</v>
      </c>
      <c r="C163">
        <v>8</v>
      </c>
      <c r="D163" t="s">
        <v>1161</v>
      </c>
      <c r="E163">
        <v>304104</v>
      </c>
      <c r="F163" s="5" t="s">
        <v>1571</v>
      </c>
      <c r="G163" s="5" t="s">
        <v>1584</v>
      </c>
      <c r="H163" t="s">
        <v>1585</v>
      </c>
      <c r="I163" t="s">
        <v>1586</v>
      </c>
      <c r="J163" t="s">
        <v>1574</v>
      </c>
      <c r="K163" t="s">
        <v>1587</v>
      </c>
      <c r="L163">
        <v>130414000</v>
      </c>
      <c r="N163" t="s">
        <v>1583</v>
      </c>
      <c r="O163" t="s">
        <v>1024</v>
      </c>
      <c r="P163" t="s">
        <v>1046</v>
      </c>
      <c r="Q163" t="s">
        <v>1047</v>
      </c>
      <c r="R163" t="s">
        <v>1027</v>
      </c>
      <c r="S163">
        <v>10000</v>
      </c>
      <c r="T163" t="s">
        <v>1578</v>
      </c>
      <c r="U163" t="s">
        <v>1579</v>
      </c>
      <c r="V163">
        <v>1</v>
      </c>
    </row>
    <row r="164" spans="1:22">
      <c r="A164">
        <v>3042</v>
      </c>
      <c r="B164">
        <v>1</v>
      </c>
      <c r="C164">
        <v>3</v>
      </c>
      <c r="D164" t="s">
        <v>1161</v>
      </c>
      <c r="E164">
        <v>304201</v>
      </c>
      <c r="F164" s="5" t="s">
        <v>1588</v>
      </c>
      <c r="H164" t="s">
        <v>1589</v>
      </c>
      <c r="I164" t="s">
        <v>1590</v>
      </c>
      <c r="J164" t="s">
        <v>1591</v>
      </c>
      <c r="K164" t="s">
        <v>1592</v>
      </c>
      <c r="L164">
        <v>130411000</v>
      </c>
      <c r="N164" t="s">
        <v>1593</v>
      </c>
      <c r="O164" t="s">
        <v>1024</v>
      </c>
      <c r="P164" t="s">
        <v>1025</v>
      </c>
      <c r="Q164" t="s">
        <v>1026</v>
      </c>
      <c r="R164" t="s">
        <v>1027</v>
      </c>
      <c r="S164">
        <v>1000</v>
      </c>
      <c r="T164" t="s">
        <v>1395</v>
      </c>
      <c r="U164" t="s">
        <v>1358</v>
      </c>
      <c r="V164">
        <v>1</v>
      </c>
    </row>
    <row r="165" spans="1:22">
      <c r="A165">
        <v>3042</v>
      </c>
      <c r="B165">
        <v>2</v>
      </c>
      <c r="C165">
        <v>4</v>
      </c>
      <c r="D165" t="s">
        <v>1161</v>
      </c>
      <c r="E165">
        <v>304202</v>
      </c>
      <c r="F165" s="5" t="s">
        <v>1588</v>
      </c>
      <c r="H165" t="s">
        <v>1594</v>
      </c>
      <c r="I165" t="s">
        <v>1595</v>
      </c>
      <c r="J165" t="s">
        <v>1591</v>
      </c>
      <c r="K165" t="s">
        <v>1596</v>
      </c>
      <c r="L165">
        <v>130422000</v>
      </c>
      <c r="N165" t="s">
        <v>1593</v>
      </c>
      <c r="O165" t="s">
        <v>1024</v>
      </c>
      <c r="P165" t="s">
        <v>1032</v>
      </c>
      <c r="Q165" t="s">
        <v>1033</v>
      </c>
      <c r="R165" t="s">
        <v>1027</v>
      </c>
      <c r="S165">
        <v>3000</v>
      </c>
      <c r="T165" t="s">
        <v>1395</v>
      </c>
      <c r="U165" t="s">
        <v>1358</v>
      </c>
      <c r="V165">
        <v>1</v>
      </c>
    </row>
    <row r="166" spans="1:22">
      <c r="A166">
        <v>3042</v>
      </c>
      <c r="B166">
        <v>3</v>
      </c>
      <c r="C166">
        <v>6</v>
      </c>
      <c r="D166" t="s">
        <v>1161</v>
      </c>
      <c r="E166">
        <v>304203</v>
      </c>
      <c r="F166" s="5" t="s">
        <v>1588</v>
      </c>
      <c r="H166" t="s">
        <v>1597</v>
      </c>
      <c r="I166" t="s">
        <v>1598</v>
      </c>
      <c r="J166" t="s">
        <v>1591</v>
      </c>
      <c r="K166" t="s">
        <v>1402</v>
      </c>
      <c r="L166">
        <v>130422000</v>
      </c>
      <c r="N166" t="s">
        <v>1599</v>
      </c>
      <c r="O166" t="s">
        <v>1024</v>
      </c>
      <c r="P166" t="s">
        <v>1040</v>
      </c>
      <c r="Q166" t="s">
        <v>1041</v>
      </c>
      <c r="R166" t="s">
        <v>1027</v>
      </c>
      <c r="S166">
        <v>6000</v>
      </c>
      <c r="T166" t="s">
        <v>1395</v>
      </c>
      <c r="U166" t="s">
        <v>1358</v>
      </c>
      <c r="V166">
        <v>1</v>
      </c>
    </row>
    <row r="167" spans="1:22">
      <c r="A167">
        <v>3042</v>
      </c>
      <c r="B167">
        <v>4</v>
      </c>
      <c r="C167">
        <v>8</v>
      </c>
      <c r="D167" t="s">
        <v>1161</v>
      </c>
      <c r="E167">
        <v>304204</v>
      </c>
      <c r="F167" s="5" t="s">
        <v>1588</v>
      </c>
      <c r="G167" s="5" t="s">
        <v>1600</v>
      </c>
      <c r="H167" t="s">
        <v>1601</v>
      </c>
      <c r="I167" t="s">
        <v>1602</v>
      </c>
      <c r="J167" t="s">
        <v>1591</v>
      </c>
      <c r="K167" t="s">
        <v>1603</v>
      </c>
      <c r="L167">
        <v>130424000</v>
      </c>
      <c r="N167" t="s">
        <v>1599</v>
      </c>
      <c r="O167" t="s">
        <v>1024</v>
      </c>
      <c r="P167" t="s">
        <v>1046</v>
      </c>
      <c r="Q167" t="s">
        <v>1047</v>
      </c>
      <c r="R167" t="s">
        <v>1027</v>
      </c>
      <c r="S167">
        <v>10000</v>
      </c>
      <c r="T167" t="s">
        <v>1395</v>
      </c>
      <c r="U167" t="s">
        <v>1358</v>
      </c>
      <c r="V167">
        <v>1</v>
      </c>
    </row>
    <row r="168" spans="1:22">
      <c r="A168">
        <f t="shared" ref="A168:A171" si="110">A164+1</f>
        <v>3043</v>
      </c>
      <c r="B168">
        <f t="shared" ref="B168:B171" si="111">B164</f>
        <v>1</v>
      </c>
      <c r="C168">
        <f t="shared" ref="C168:C171" si="112">C164</f>
        <v>3</v>
      </c>
      <c r="D168" t="str">
        <f t="shared" ref="D168:D171" si="113">D164</f>
        <v>BUFF技能</v>
      </c>
      <c r="E168">
        <f t="shared" ref="E168:E171" si="114">E164+100</f>
        <v>304301</v>
      </c>
      <c r="F168" s="5">
        <f t="shared" ref="F168:F171" si="115">F164+100</f>
        <v>304310</v>
      </c>
      <c r="H168" t="str">
        <f>"[["&amp;F168&amp;",300]]"</f>
        <v>[[304310,300]]</v>
      </c>
      <c r="I168" t="str">
        <f t="shared" ref="I168:I171" si="116">"skill/sect/"&amp;E168</f>
        <v>skill/sect/304301</v>
      </c>
      <c r="J168" t="s">
        <v>1604</v>
      </c>
      <c r="K168" t="s">
        <v>1605</v>
      </c>
      <c r="N168" t="s">
        <v>1606</v>
      </c>
      <c r="O168" t="s">
        <v>1024</v>
      </c>
      <c r="P168" t="s">
        <v>1025</v>
      </c>
      <c r="Q168" t="s">
        <v>1026</v>
      </c>
      <c r="R168" t="str">
        <f t="shared" ref="R168:R171" si="117">R164</f>
        <v>[[103,10]]</v>
      </c>
      <c r="S168">
        <f t="shared" ref="S168:S171" si="118">S160</f>
        <v>1000</v>
      </c>
      <c r="T168" t="s">
        <v>1607</v>
      </c>
      <c r="U168" t="s">
        <v>1120</v>
      </c>
      <c r="V168">
        <v>0</v>
      </c>
    </row>
    <row r="169" spans="1:22">
      <c r="A169">
        <f t="shared" si="110"/>
        <v>3043</v>
      </c>
      <c r="B169">
        <f t="shared" si="111"/>
        <v>2</v>
      </c>
      <c r="C169">
        <f t="shared" si="112"/>
        <v>4</v>
      </c>
      <c r="D169" t="str">
        <f t="shared" si="113"/>
        <v>BUFF技能</v>
      </c>
      <c r="E169">
        <f t="shared" si="114"/>
        <v>304302</v>
      </c>
      <c r="F169" s="5">
        <f t="shared" si="115"/>
        <v>304310</v>
      </c>
      <c r="H169" t="str">
        <f>"[["&amp;F169&amp;",600]]"</f>
        <v>[[304310,600]]</v>
      </c>
      <c r="I169" t="str">
        <f t="shared" si="116"/>
        <v>skill/sect/304302</v>
      </c>
      <c r="J169" t="s">
        <v>1604</v>
      </c>
      <c r="K169" s="9" t="s">
        <v>1608</v>
      </c>
      <c r="L169">
        <v>130432000</v>
      </c>
      <c r="N169" t="s">
        <v>1606</v>
      </c>
      <c r="O169" t="s">
        <v>1024</v>
      </c>
      <c r="P169" t="s">
        <v>1032</v>
      </c>
      <c r="Q169" t="s">
        <v>1033</v>
      </c>
      <c r="R169" t="str">
        <f t="shared" si="117"/>
        <v>[[103,10]]</v>
      </c>
      <c r="S169">
        <f t="shared" si="118"/>
        <v>3000</v>
      </c>
      <c r="T169" t="s">
        <v>1607</v>
      </c>
      <c r="U169" t="s">
        <v>1120</v>
      </c>
      <c r="V169">
        <v>0</v>
      </c>
    </row>
    <row r="170" spans="1:22">
      <c r="A170">
        <f t="shared" si="110"/>
        <v>3043</v>
      </c>
      <c r="B170">
        <f t="shared" si="111"/>
        <v>3</v>
      </c>
      <c r="C170">
        <f t="shared" si="112"/>
        <v>6</v>
      </c>
      <c r="D170" t="str">
        <f t="shared" si="113"/>
        <v>BUFF技能</v>
      </c>
      <c r="E170">
        <f t="shared" si="114"/>
        <v>304303</v>
      </c>
      <c r="F170" s="5">
        <f t="shared" si="115"/>
        <v>304310</v>
      </c>
      <c r="H170" t="str">
        <f>"[["&amp;F170&amp;",900]]"</f>
        <v>[[304310,900]]</v>
      </c>
      <c r="I170" t="str">
        <f t="shared" si="116"/>
        <v>skill/sect/304303</v>
      </c>
      <c r="J170" t="s">
        <v>1604</v>
      </c>
      <c r="K170" t="s">
        <v>1609</v>
      </c>
      <c r="L170">
        <v>130432000</v>
      </c>
      <c r="N170" t="s">
        <v>1610</v>
      </c>
      <c r="O170" t="s">
        <v>1024</v>
      </c>
      <c r="P170" t="s">
        <v>1040</v>
      </c>
      <c r="Q170" t="s">
        <v>1041</v>
      </c>
      <c r="R170" t="str">
        <f t="shared" si="117"/>
        <v>[[103,10]]</v>
      </c>
      <c r="S170">
        <f t="shared" si="118"/>
        <v>6000</v>
      </c>
      <c r="T170" t="s">
        <v>1607</v>
      </c>
      <c r="U170" t="s">
        <v>1120</v>
      </c>
      <c r="V170">
        <v>0</v>
      </c>
    </row>
    <row r="171" spans="1:22">
      <c r="A171">
        <f t="shared" si="110"/>
        <v>3043</v>
      </c>
      <c r="B171">
        <f t="shared" si="111"/>
        <v>4</v>
      </c>
      <c r="C171">
        <f t="shared" si="112"/>
        <v>8</v>
      </c>
      <c r="D171" t="str">
        <f t="shared" si="113"/>
        <v>BUFF技能</v>
      </c>
      <c r="E171">
        <f t="shared" si="114"/>
        <v>304304</v>
      </c>
      <c r="F171" s="5">
        <f t="shared" si="115"/>
        <v>304310</v>
      </c>
      <c r="G171" s="5">
        <f>G167+100</f>
        <v>304320</v>
      </c>
      <c r="H171" t="str">
        <f>"[["&amp;G171&amp;",1]]"</f>
        <v>[[304320,1]]</v>
      </c>
      <c r="I171" t="str">
        <f t="shared" si="116"/>
        <v>skill/sect/304304</v>
      </c>
      <c r="J171" t="s">
        <v>1604</v>
      </c>
      <c r="K171" s="9" t="s">
        <v>1611</v>
      </c>
      <c r="L171">
        <v>130434000</v>
      </c>
      <c r="N171" t="s">
        <v>1610</v>
      </c>
      <c r="O171" t="s">
        <v>1024</v>
      </c>
      <c r="P171" t="s">
        <v>1046</v>
      </c>
      <c r="Q171" t="s">
        <v>1047</v>
      </c>
      <c r="R171" t="str">
        <f t="shared" si="117"/>
        <v>[[103,10]]</v>
      </c>
      <c r="S171">
        <f t="shared" si="118"/>
        <v>10000</v>
      </c>
      <c r="T171" t="s">
        <v>1607</v>
      </c>
      <c r="U171" t="s">
        <v>1120</v>
      </c>
      <c r="V171">
        <v>0</v>
      </c>
    </row>
    <row r="172" spans="1:22">
      <c r="A172">
        <v>3051</v>
      </c>
      <c r="B172">
        <v>1</v>
      </c>
      <c r="C172">
        <v>3</v>
      </c>
      <c r="D172" t="s">
        <v>1207</v>
      </c>
      <c r="E172">
        <v>305101</v>
      </c>
      <c r="F172" s="5" t="s">
        <v>1612</v>
      </c>
      <c r="H172" t="s">
        <v>1613</v>
      </c>
      <c r="I172" t="s">
        <v>1614</v>
      </c>
      <c r="J172" t="s">
        <v>1615</v>
      </c>
      <c r="K172" t="s">
        <v>1616</v>
      </c>
      <c r="L172">
        <v>130511000</v>
      </c>
      <c r="N172" t="s">
        <v>1617</v>
      </c>
      <c r="O172" t="s">
        <v>1024</v>
      </c>
      <c r="P172" t="s">
        <v>1025</v>
      </c>
      <c r="Q172" t="s">
        <v>1026</v>
      </c>
      <c r="R172" t="s">
        <v>1027</v>
      </c>
      <c r="S172">
        <v>1000</v>
      </c>
      <c r="T172" t="s">
        <v>1277</v>
      </c>
      <c r="U172" t="s">
        <v>1085</v>
      </c>
      <c r="V172">
        <v>1</v>
      </c>
    </row>
    <row r="173" spans="1:22">
      <c r="A173">
        <v>3051</v>
      </c>
      <c r="B173">
        <v>2</v>
      </c>
      <c r="C173">
        <v>4</v>
      </c>
      <c r="D173" t="s">
        <v>1207</v>
      </c>
      <c r="E173">
        <v>305102</v>
      </c>
      <c r="F173" s="5" t="s">
        <v>1612</v>
      </c>
      <c r="H173" t="s">
        <v>1618</v>
      </c>
      <c r="I173" t="s">
        <v>1619</v>
      </c>
      <c r="J173" t="s">
        <v>1615</v>
      </c>
      <c r="K173" t="s">
        <v>1620</v>
      </c>
      <c r="L173">
        <v>130512000</v>
      </c>
      <c r="N173" t="s">
        <v>1617</v>
      </c>
      <c r="O173" t="s">
        <v>1024</v>
      </c>
      <c r="P173" t="s">
        <v>1032</v>
      </c>
      <c r="Q173" t="s">
        <v>1033</v>
      </c>
      <c r="R173" t="s">
        <v>1027</v>
      </c>
      <c r="S173">
        <v>4000</v>
      </c>
      <c r="T173" t="s">
        <v>1277</v>
      </c>
      <c r="U173" t="s">
        <v>1085</v>
      </c>
      <c r="V173">
        <v>1</v>
      </c>
    </row>
    <row r="174" spans="1:22">
      <c r="A174">
        <v>3051</v>
      </c>
      <c r="B174">
        <v>3</v>
      </c>
      <c r="C174">
        <v>6</v>
      </c>
      <c r="D174" t="s">
        <v>1207</v>
      </c>
      <c r="E174">
        <v>305103</v>
      </c>
      <c r="F174" s="5" t="s">
        <v>1612</v>
      </c>
      <c r="H174" t="s">
        <v>1621</v>
      </c>
      <c r="I174" t="s">
        <v>1622</v>
      </c>
      <c r="J174" t="s">
        <v>1615</v>
      </c>
      <c r="K174" t="s">
        <v>1623</v>
      </c>
      <c r="L174">
        <v>130512000</v>
      </c>
      <c r="N174" t="s">
        <v>1624</v>
      </c>
      <c r="O174" t="s">
        <v>1024</v>
      </c>
      <c r="P174" t="s">
        <v>1040</v>
      </c>
      <c r="Q174" t="s">
        <v>1041</v>
      </c>
      <c r="R174" t="s">
        <v>1027</v>
      </c>
      <c r="S174">
        <v>7500</v>
      </c>
      <c r="T174" t="s">
        <v>1277</v>
      </c>
      <c r="U174" t="s">
        <v>1085</v>
      </c>
      <c r="V174">
        <v>1</v>
      </c>
    </row>
    <row r="175" spans="1:22">
      <c r="A175">
        <v>3051</v>
      </c>
      <c r="B175">
        <v>4</v>
      </c>
      <c r="C175">
        <v>8</v>
      </c>
      <c r="D175" t="s">
        <v>1207</v>
      </c>
      <c r="E175">
        <v>305104</v>
      </c>
      <c r="F175" s="5" t="s">
        <v>1612</v>
      </c>
      <c r="G175" s="5" t="s">
        <v>1625</v>
      </c>
      <c r="H175" t="s">
        <v>1626</v>
      </c>
      <c r="I175" t="s">
        <v>1627</v>
      </c>
      <c r="J175" t="s">
        <v>1615</v>
      </c>
      <c r="K175" t="s">
        <v>1628</v>
      </c>
      <c r="L175">
        <v>130514000</v>
      </c>
      <c r="N175" t="s">
        <v>1624</v>
      </c>
      <c r="O175" t="s">
        <v>1024</v>
      </c>
      <c r="P175" t="s">
        <v>1046</v>
      </c>
      <c r="Q175" t="s">
        <v>1047</v>
      </c>
      <c r="R175" t="s">
        <v>1027</v>
      </c>
      <c r="S175">
        <v>15000</v>
      </c>
      <c r="T175" t="s">
        <v>1277</v>
      </c>
      <c r="U175" t="s">
        <v>1085</v>
      </c>
      <c r="V175">
        <v>1</v>
      </c>
    </row>
    <row r="176" spans="1:22">
      <c r="A176">
        <v>3052</v>
      </c>
      <c r="B176">
        <v>1</v>
      </c>
      <c r="C176">
        <v>3</v>
      </c>
      <c r="D176" t="s">
        <v>1207</v>
      </c>
      <c r="E176">
        <v>305201</v>
      </c>
      <c r="F176" s="5" t="s">
        <v>1629</v>
      </c>
      <c r="H176" t="s">
        <v>1630</v>
      </c>
      <c r="I176" t="s">
        <v>1631</v>
      </c>
      <c r="J176" t="s">
        <v>1632</v>
      </c>
      <c r="K176" t="s">
        <v>1633</v>
      </c>
      <c r="N176" t="s">
        <v>1634</v>
      </c>
      <c r="O176" t="s">
        <v>1024</v>
      </c>
      <c r="P176" t="s">
        <v>1025</v>
      </c>
      <c r="Q176" t="s">
        <v>1026</v>
      </c>
      <c r="R176" t="s">
        <v>1027</v>
      </c>
      <c r="S176">
        <v>1000</v>
      </c>
      <c r="T176" t="s">
        <v>1474</v>
      </c>
      <c r="U176" t="s">
        <v>1081</v>
      </c>
      <c r="V176">
        <v>1</v>
      </c>
    </row>
    <row r="177" spans="1:22">
      <c r="A177">
        <v>3052</v>
      </c>
      <c r="B177">
        <v>2</v>
      </c>
      <c r="C177">
        <v>4</v>
      </c>
      <c r="D177" t="s">
        <v>1207</v>
      </c>
      <c r="E177">
        <v>305202</v>
      </c>
      <c r="F177" s="5" t="s">
        <v>1629</v>
      </c>
      <c r="H177" t="s">
        <v>1635</v>
      </c>
      <c r="I177" t="s">
        <v>1636</v>
      </c>
      <c r="J177" t="s">
        <v>1632</v>
      </c>
      <c r="K177" t="s">
        <v>1637</v>
      </c>
      <c r="L177">
        <v>130522000</v>
      </c>
      <c r="N177" t="s">
        <v>1634</v>
      </c>
      <c r="O177" t="s">
        <v>1024</v>
      </c>
      <c r="P177" t="s">
        <v>1032</v>
      </c>
      <c r="Q177" t="s">
        <v>1033</v>
      </c>
      <c r="R177" t="s">
        <v>1027</v>
      </c>
      <c r="S177">
        <v>4000</v>
      </c>
      <c r="T177" t="s">
        <v>1474</v>
      </c>
      <c r="U177" t="s">
        <v>1081</v>
      </c>
      <c r="V177">
        <v>1</v>
      </c>
    </row>
    <row r="178" spans="1:22">
      <c r="A178">
        <v>3052</v>
      </c>
      <c r="B178">
        <v>3</v>
      </c>
      <c r="C178">
        <v>6</v>
      </c>
      <c r="D178" t="s">
        <v>1207</v>
      </c>
      <c r="E178">
        <v>305203</v>
      </c>
      <c r="F178" s="5" t="s">
        <v>1629</v>
      </c>
      <c r="H178" t="s">
        <v>1638</v>
      </c>
      <c r="I178" t="s">
        <v>1639</v>
      </c>
      <c r="J178" t="s">
        <v>1632</v>
      </c>
      <c r="K178" t="s">
        <v>1640</v>
      </c>
      <c r="L178">
        <v>130522000</v>
      </c>
      <c r="N178" t="s">
        <v>1641</v>
      </c>
      <c r="O178" t="s">
        <v>1024</v>
      </c>
      <c r="P178" t="s">
        <v>1040</v>
      </c>
      <c r="Q178" t="s">
        <v>1041</v>
      </c>
      <c r="R178" t="s">
        <v>1027</v>
      </c>
      <c r="S178">
        <v>7500</v>
      </c>
      <c r="T178" t="s">
        <v>1474</v>
      </c>
      <c r="U178" t="s">
        <v>1081</v>
      </c>
      <c r="V178">
        <v>1</v>
      </c>
    </row>
    <row r="179" spans="1:22">
      <c r="A179">
        <v>3052</v>
      </c>
      <c r="B179">
        <v>4</v>
      </c>
      <c r="C179">
        <v>8</v>
      </c>
      <c r="D179" t="s">
        <v>1207</v>
      </c>
      <c r="E179">
        <v>305204</v>
      </c>
      <c r="F179" s="5" t="s">
        <v>1629</v>
      </c>
      <c r="G179" s="5" t="s">
        <v>1642</v>
      </c>
      <c r="H179" t="s">
        <v>1643</v>
      </c>
      <c r="I179" t="s">
        <v>1644</v>
      </c>
      <c r="J179" t="s">
        <v>1632</v>
      </c>
      <c r="K179" t="s">
        <v>1645</v>
      </c>
      <c r="L179">
        <v>130524000</v>
      </c>
      <c r="N179" t="s">
        <v>1641</v>
      </c>
      <c r="O179" t="s">
        <v>1024</v>
      </c>
      <c r="P179" t="s">
        <v>1046</v>
      </c>
      <c r="Q179" t="s">
        <v>1047</v>
      </c>
      <c r="R179" t="s">
        <v>1027</v>
      </c>
      <c r="S179">
        <v>15000</v>
      </c>
      <c r="T179" t="s">
        <v>1474</v>
      </c>
      <c r="U179" t="s">
        <v>1081</v>
      </c>
      <c r="V179">
        <v>1</v>
      </c>
    </row>
    <row r="180" spans="1:22">
      <c r="A180">
        <f t="shared" ref="A180:A183" si="119">A176+1</f>
        <v>3053</v>
      </c>
      <c r="B180">
        <f t="shared" ref="B180:B183" si="120">B176</f>
        <v>1</v>
      </c>
      <c r="C180">
        <f t="shared" ref="C180:C183" si="121">C176</f>
        <v>3</v>
      </c>
      <c r="D180" t="str">
        <f t="shared" ref="D180:D183" si="122">D176</f>
        <v>终极技能</v>
      </c>
      <c r="E180">
        <f t="shared" ref="E180:E183" si="123">E176+100</f>
        <v>305301</v>
      </c>
      <c r="F180" s="5">
        <f t="shared" ref="F180:F183" si="124">F176+100</f>
        <v>305310</v>
      </c>
      <c r="H180" t="str">
        <f>"[["&amp;F180&amp;",300]]"</f>
        <v>[[305310,300]]</v>
      </c>
      <c r="I180" t="str">
        <f t="shared" ref="I180:I183" si="125">"skill/sect/"&amp;E180</f>
        <v>skill/sect/305301</v>
      </c>
      <c r="J180" t="s">
        <v>1646</v>
      </c>
      <c r="K180" t="s">
        <v>1550</v>
      </c>
      <c r="N180" t="s">
        <v>1244</v>
      </c>
      <c r="O180" t="s">
        <v>1024</v>
      </c>
      <c r="P180" t="s">
        <v>1025</v>
      </c>
      <c r="Q180" t="s">
        <v>1026</v>
      </c>
      <c r="R180" t="str">
        <f t="shared" ref="R180:R183" si="126">R176</f>
        <v>[[103,10]]</v>
      </c>
      <c r="S180">
        <f t="shared" ref="S180:S183" si="127">S172</f>
        <v>1000</v>
      </c>
      <c r="T180" t="s">
        <v>1028</v>
      </c>
      <c r="U180" t="s">
        <v>1029</v>
      </c>
      <c r="V180">
        <v>0</v>
      </c>
    </row>
    <row r="181" spans="1:22">
      <c r="A181">
        <f t="shared" si="119"/>
        <v>3053</v>
      </c>
      <c r="B181">
        <f t="shared" si="120"/>
        <v>2</v>
      </c>
      <c r="C181">
        <f t="shared" si="121"/>
        <v>4</v>
      </c>
      <c r="D181" t="str">
        <f t="shared" si="122"/>
        <v>终极技能</v>
      </c>
      <c r="E181">
        <f t="shared" si="123"/>
        <v>305302</v>
      </c>
      <c r="F181" s="5">
        <f t="shared" si="124"/>
        <v>305310</v>
      </c>
      <c r="H181" t="str">
        <f>"[["&amp;F181&amp;",600]]"</f>
        <v>[[305310,600]]</v>
      </c>
      <c r="I181" t="str">
        <f t="shared" si="125"/>
        <v>skill/sect/305302</v>
      </c>
      <c r="J181" t="s">
        <v>1646</v>
      </c>
      <c r="K181" s="9" t="s">
        <v>1647</v>
      </c>
      <c r="L181">
        <v>130532000</v>
      </c>
      <c r="N181" t="s">
        <v>1244</v>
      </c>
      <c r="O181" t="s">
        <v>1024</v>
      </c>
      <c r="P181" t="s">
        <v>1032</v>
      </c>
      <c r="Q181" t="s">
        <v>1033</v>
      </c>
      <c r="R181" t="str">
        <f t="shared" si="126"/>
        <v>[[103,10]]</v>
      </c>
      <c r="S181">
        <f t="shared" si="127"/>
        <v>4000</v>
      </c>
      <c r="T181" t="s">
        <v>1028</v>
      </c>
      <c r="U181" t="s">
        <v>1029</v>
      </c>
      <c r="V181">
        <v>0</v>
      </c>
    </row>
    <row r="182" spans="1:22">
      <c r="A182">
        <f t="shared" si="119"/>
        <v>3053</v>
      </c>
      <c r="B182">
        <f t="shared" si="120"/>
        <v>3</v>
      </c>
      <c r="C182">
        <f t="shared" si="121"/>
        <v>6</v>
      </c>
      <c r="D182" t="str">
        <f t="shared" si="122"/>
        <v>终极技能</v>
      </c>
      <c r="E182">
        <f t="shared" si="123"/>
        <v>305303</v>
      </c>
      <c r="F182" s="5">
        <f t="shared" si="124"/>
        <v>305310</v>
      </c>
      <c r="H182" t="str">
        <f>"[["&amp;F182&amp;",900]]"</f>
        <v>[[305310,900]]</v>
      </c>
      <c r="I182" t="str">
        <f t="shared" si="125"/>
        <v>skill/sect/305303</v>
      </c>
      <c r="J182" t="s">
        <v>1646</v>
      </c>
      <c r="K182" s="9" t="s">
        <v>1648</v>
      </c>
      <c r="L182">
        <v>130532000</v>
      </c>
      <c r="N182" t="s">
        <v>1649</v>
      </c>
      <c r="O182" t="s">
        <v>1024</v>
      </c>
      <c r="P182" t="s">
        <v>1040</v>
      </c>
      <c r="Q182" t="s">
        <v>1041</v>
      </c>
      <c r="R182" t="str">
        <f t="shared" si="126"/>
        <v>[[103,10]]</v>
      </c>
      <c r="S182">
        <f t="shared" si="127"/>
        <v>7500</v>
      </c>
      <c r="T182" t="s">
        <v>1028</v>
      </c>
      <c r="U182" t="s">
        <v>1029</v>
      </c>
      <c r="V182">
        <v>0</v>
      </c>
    </row>
    <row r="183" spans="1:22">
      <c r="A183">
        <f t="shared" si="119"/>
        <v>3053</v>
      </c>
      <c r="B183">
        <f t="shared" si="120"/>
        <v>4</v>
      </c>
      <c r="C183">
        <f t="shared" si="121"/>
        <v>8</v>
      </c>
      <c r="D183" t="str">
        <f t="shared" si="122"/>
        <v>终极技能</v>
      </c>
      <c r="E183">
        <f t="shared" si="123"/>
        <v>305304</v>
      </c>
      <c r="F183" s="5">
        <f t="shared" si="124"/>
        <v>305310</v>
      </c>
      <c r="G183" s="5">
        <f>G179+100</f>
        <v>305320</v>
      </c>
      <c r="H183" t="str">
        <f>"[["&amp;G183&amp;",1]]"</f>
        <v>[[305320,1]]</v>
      </c>
      <c r="I183" t="str">
        <f t="shared" si="125"/>
        <v>skill/sect/305304</v>
      </c>
      <c r="J183" t="s">
        <v>1646</v>
      </c>
      <c r="K183" s="9" t="s">
        <v>1650</v>
      </c>
      <c r="L183">
        <v>130534000</v>
      </c>
      <c r="N183" t="s">
        <v>1649</v>
      </c>
      <c r="O183" t="s">
        <v>1024</v>
      </c>
      <c r="P183" t="s">
        <v>1046</v>
      </c>
      <c r="Q183" t="s">
        <v>1047</v>
      </c>
      <c r="R183" t="str">
        <f t="shared" si="126"/>
        <v>[[103,10]]</v>
      </c>
      <c r="S183">
        <f t="shared" si="127"/>
        <v>15000</v>
      </c>
      <c r="T183" t="s">
        <v>1028</v>
      </c>
      <c r="U183" t="s">
        <v>1029</v>
      </c>
      <c r="V183">
        <v>0</v>
      </c>
    </row>
  </sheetData>
  <autoFilter xmlns:etc="http://www.wps.cn/officeDocument/2017/etCustomData" ref="A1:V183" etc:filterBottomFollowUsedRange="0">
    <extLst/>
  </autoFilter>
  <conditionalFormatting sqref="C1:C2">
    <cfRule type="duplicateValues" dxfId="0" priority="56"/>
  </conditionalFormatting>
  <conditionalFormatting sqref="D1:D2">
    <cfRule type="duplicateValues" dxfId="0" priority="55"/>
  </conditionalFormatting>
  <conditionalFormatting sqref="I1:I2">
    <cfRule type="duplicateValues" dxfId="0" priority="17"/>
  </conditionalFormatting>
  <conditionalFormatting sqref="J1:J2">
    <cfRule type="duplicateValues" dxfId="0" priority="16"/>
  </conditionalFormatting>
  <conditionalFormatting sqref="K1:K2">
    <cfRule type="duplicateValues" dxfId="0" priority="97"/>
  </conditionalFormatting>
  <conditionalFormatting sqref="L1:L2">
    <cfRule type="duplicateValues" dxfId="0" priority="14"/>
  </conditionalFormatting>
  <conditionalFormatting sqref="M1:M2">
    <cfRule type="duplicateValues" dxfId="0" priority="13"/>
  </conditionalFormatting>
  <conditionalFormatting sqref="N1:N2">
    <cfRule type="duplicateValues" dxfId="0" priority="12"/>
  </conditionalFormatting>
  <conditionalFormatting sqref="O1:O2">
    <cfRule type="duplicateValues" dxfId="0" priority="11"/>
  </conditionalFormatting>
  <conditionalFormatting sqref="Q1:Q2">
    <cfRule type="duplicateValues" dxfId="0" priority="4"/>
  </conditionalFormatting>
  <conditionalFormatting sqref="S1:S2">
    <cfRule type="duplicateValues" dxfId="0" priority="5"/>
  </conditionalFormatting>
  <conditionalFormatting sqref="T1:T2">
    <cfRule type="duplicateValues" dxfId="0" priority="3"/>
  </conditionalFormatting>
  <conditionalFormatting sqref="U1:U2">
    <cfRule type="duplicateValues" dxfId="0" priority="2"/>
  </conditionalFormatting>
  <conditionalFormatting sqref="V1:V2">
    <cfRule type="duplicateValues" dxfId="0" priority="1"/>
  </conditionalFormatting>
  <conditionalFormatting sqref="A1:B2">
    <cfRule type="duplicateValues" dxfId="0" priority="57"/>
  </conditionalFormatting>
  <conditionalFormatting sqref="E1:H2">
    <cfRule type="duplicateValues" dxfId="0" priority="18"/>
  </conditionalFormatting>
  <conditionalFormatting sqref="P1:P2 R1:R2">
    <cfRule type="duplicateValues" dxfId="0" priority="6"/>
  </conditionalFormatting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24"/>
  <sheetViews>
    <sheetView workbookViewId="0">
      <selection activeCell="B21" sqref="B21"/>
    </sheetView>
  </sheetViews>
  <sheetFormatPr defaultColWidth="9" defaultRowHeight="13.5" outlineLevelCol="7"/>
  <cols>
    <col min="2" max="2" width="20.25" customWidth="1"/>
    <col min="3" max="6" width="10.875" customWidth="1"/>
    <col min="7" max="7" width="12.75" customWidth="1"/>
    <col min="8" max="8" width="13.625" customWidth="1"/>
  </cols>
  <sheetData>
    <row r="1" spans="1:8">
      <c r="A1" s="1" t="s">
        <v>60</v>
      </c>
      <c r="B1" s="1" t="s">
        <v>62</v>
      </c>
      <c r="C1" s="1" t="s">
        <v>1651</v>
      </c>
      <c r="D1" s="1" t="s">
        <v>1652</v>
      </c>
      <c r="E1" s="1" t="s">
        <v>1653</v>
      </c>
      <c r="F1" s="1" t="s">
        <v>1654</v>
      </c>
      <c r="G1" t="s">
        <v>1655</v>
      </c>
      <c r="H1" t="s">
        <v>1656</v>
      </c>
    </row>
    <row r="2" spans="1:8">
      <c r="A2" s="2" t="s">
        <v>12</v>
      </c>
      <c r="B2" s="2" t="s">
        <v>13</v>
      </c>
      <c r="C2" s="2" t="s">
        <v>17</v>
      </c>
      <c r="D2" s="2" t="s">
        <v>64</v>
      </c>
      <c r="E2" s="2" t="s">
        <v>1657</v>
      </c>
      <c r="F2" s="2" t="s">
        <v>1658</v>
      </c>
      <c r="G2" s="2" t="s">
        <v>1659</v>
      </c>
      <c r="H2" s="2" t="s">
        <v>1660</v>
      </c>
    </row>
    <row r="3" spans="1:8">
      <c r="A3" s="3" t="s">
        <v>24</v>
      </c>
      <c r="B3" s="3" t="s">
        <v>25</v>
      </c>
      <c r="C3" s="3" t="s">
        <v>24</v>
      </c>
      <c r="D3" s="3" t="s">
        <v>24</v>
      </c>
      <c r="E3" s="3" t="s">
        <v>24</v>
      </c>
      <c r="F3" s="3" t="s">
        <v>27</v>
      </c>
      <c r="G3" s="3" t="s">
        <v>27</v>
      </c>
      <c r="H3" s="3" t="s">
        <v>93</v>
      </c>
    </row>
    <row r="4" spans="1:8">
      <c r="A4" s="4" t="s">
        <v>1661</v>
      </c>
      <c r="B4" s="4" t="s">
        <v>1662</v>
      </c>
      <c r="C4">
        <v>1</v>
      </c>
      <c r="D4">
        <v>1</v>
      </c>
      <c r="E4">
        <v>1</v>
      </c>
      <c r="F4">
        <v>2</v>
      </c>
      <c r="G4">
        <v>0.5</v>
      </c>
      <c r="H4" s="4" t="s">
        <v>1663</v>
      </c>
    </row>
    <row r="5" spans="1:8">
      <c r="A5" s="4" t="s">
        <v>1664</v>
      </c>
      <c r="B5" s="4" t="s">
        <v>1665</v>
      </c>
      <c r="C5">
        <v>1</v>
      </c>
      <c r="D5">
        <v>2</v>
      </c>
      <c r="E5">
        <v>1</v>
      </c>
      <c r="F5">
        <v>2</v>
      </c>
      <c r="G5">
        <v>0.46</v>
      </c>
      <c r="H5" s="4" t="s">
        <v>1666</v>
      </c>
    </row>
    <row r="6" spans="1:8">
      <c r="A6" s="4" t="s">
        <v>1667</v>
      </c>
      <c r="B6" s="4" t="s">
        <v>1668</v>
      </c>
      <c r="C6">
        <v>1</v>
      </c>
      <c r="D6">
        <v>3</v>
      </c>
      <c r="E6">
        <v>1</v>
      </c>
      <c r="F6">
        <v>2</v>
      </c>
      <c r="G6">
        <v>0.42</v>
      </c>
      <c r="H6" s="4" t="s">
        <v>1669</v>
      </c>
    </row>
    <row r="7" spans="1:8">
      <c r="A7" s="4" t="s">
        <v>1670</v>
      </c>
      <c r="B7" s="4" t="s">
        <v>1671</v>
      </c>
      <c r="C7">
        <v>1</v>
      </c>
      <c r="D7">
        <v>4</v>
      </c>
      <c r="E7">
        <v>1</v>
      </c>
      <c r="F7">
        <v>2</v>
      </c>
      <c r="G7">
        <v>0.38</v>
      </c>
      <c r="H7" s="4" t="s">
        <v>1672</v>
      </c>
    </row>
    <row r="8" spans="1:8">
      <c r="A8" s="4" t="s">
        <v>1673</v>
      </c>
      <c r="B8" s="4" t="s">
        <v>1674</v>
      </c>
      <c r="C8">
        <v>1</v>
      </c>
      <c r="D8">
        <v>5</v>
      </c>
      <c r="E8">
        <v>1</v>
      </c>
      <c r="F8">
        <v>2</v>
      </c>
      <c r="G8">
        <v>0.34</v>
      </c>
      <c r="H8" s="4" t="s">
        <v>1675</v>
      </c>
    </row>
    <row r="9" spans="1:8">
      <c r="A9" s="4" t="s">
        <v>1676</v>
      </c>
      <c r="B9" s="4" t="s">
        <v>1677</v>
      </c>
      <c r="C9">
        <v>1</v>
      </c>
      <c r="D9">
        <v>6</v>
      </c>
      <c r="E9">
        <v>1</v>
      </c>
      <c r="F9">
        <v>2</v>
      </c>
      <c r="G9">
        <v>0.3</v>
      </c>
      <c r="H9" s="4" t="s">
        <v>1678</v>
      </c>
    </row>
    <row r="10" spans="1:8">
      <c r="A10" s="4" t="s">
        <v>1679</v>
      </c>
      <c r="B10" s="4" t="s">
        <v>1680</v>
      </c>
      <c r="C10">
        <v>1</v>
      </c>
      <c r="D10">
        <v>7</v>
      </c>
      <c r="E10">
        <v>1</v>
      </c>
      <c r="F10">
        <v>2</v>
      </c>
      <c r="G10">
        <v>0.26</v>
      </c>
      <c r="H10" s="4" t="s">
        <v>1681</v>
      </c>
    </row>
    <row r="11" spans="1:8">
      <c r="A11" s="4" t="s">
        <v>1682</v>
      </c>
      <c r="B11" s="4" t="s">
        <v>1683</v>
      </c>
      <c r="C11">
        <v>1</v>
      </c>
      <c r="D11">
        <v>8</v>
      </c>
      <c r="E11">
        <v>1</v>
      </c>
      <c r="F11">
        <v>2</v>
      </c>
      <c r="G11">
        <v>0.22</v>
      </c>
      <c r="H11" s="4" t="s">
        <v>1684</v>
      </c>
    </row>
    <row r="12" spans="1:8">
      <c r="A12" s="4" t="s">
        <v>1685</v>
      </c>
      <c r="B12" s="4" t="s">
        <v>1686</v>
      </c>
      <c r="C12">
        <v>1</v>
      </c>
      <c r="D12">
        <v>9</v>
      </c>
      <c r="E12">
        <v>1</v>
      </c>
      <c r="F12">
        <v>2</v>
      </c>
      <c r="G12">
        <v>0.18</v>
      </c>
      <c r="H12" s="4" t="s">
        <v>1687</v>
      </c>
    </row>
    <row r="13" spans="1:8">
      <c r="A13" s="4" t="s">
        <v>1688</v>
      </c>
      <c r="B13" s="4" t="s">
        <v>1689</v>
      </c>
      <c r="C13">
        <v>1</v>
      </c>
      <c r="D13">
        <v>10</v>
      </c>
      <c r="E13">
        <v>1</v>
      </c>
      <c r="F13">
        <v>2</v>
      </c>
      <c r="G13">
        <v>0.1</v>
      </c>
      <c r="H13" s="4" t="s">
        <v>1690</v>
      </c>
    </row>
    <row r="14" spans="1:8">
      <c r="A14" s="4" t="s">
        <v>1691</v>
      </c>
      <c r="B14" s="4" t="s">
        <v>1692</v>
      </c>
      <c r="C14">
        <v>1</v>
      </c>
      <c r="D14">
        <v>11</v>
      </c>
      <c r="E14">
        <v>1</v>
      </c>
      <c r="F14">
        <v>2</v>
      </c>
      <c r="G14">
        <v>0.05</v>
      </c>
      <c r="H14" s="4" t="s">
        <v>1693</v>
      </c>
    </row>
    <row r="15" spans="1:8">
      <c r="A15" s="4" t="s">
        <v>1694</v>
      </c>
      <c r="B15" s="4" t="s">
        <v>1695</v>
      </c>
      <c r="C15">
        <v>1</v>
      </c>
      <c r="D15">
        <v>12</v>
      </c>
      <c r="E15">
        <v>1</v>
      </c>
      <c r="F15">
        <v>2</v>
      </c>
      <c r="G15">
        <v>0.01</v>
      </c>
      <c r="H15" s="4" t="s">
        <v>1696</v>
      </c>
    </row>
    <row r="16" spans="1:8">
      <c r="A16" s="4" t="s">
        <v>1697</v>
      </c>
      <c r="B16" s="4" t="s">
        <v>1698</v>
      </c>
      <c r="C16">
        <v>1</v>
      </c>
      <c r="D16">
        <v>13</v>
      </c>
      <c r="E16">
        <v>1</v>
      </c>
      <c r="F16">
        <v>2</v>
      </c>
      <c r="H16" s="4"/>
    </row>
    <row r="17" spans="1:8">
      <c r="A17" s="4" t="s">
        <v>1699</v>
      </c>
      <c r="B17" s="4" t="s">
        <v>1700</v>
      </c>
      <c r="C17">
        <v>1</v>
      </c>
      <c r="D17">
        <v>14</v>
      </c>
      <c r="E17">
        <v>1</v>
      </c>
      <c r="F17">
        <v>2</v>
      </c>
      <c r="H17" s="4"/>
    </row>
    <row r="18" spans="1:8">
      <c r="A18" s="4" t="s">
        <v>1701</v>
      </c>
      <c r="B18" s="4" t="s">
        <v>1702</v>
      </c>
      <c r="C18">
        <v>1</v>
      </c>
      <c r="D18">
        <v>15</v>
      </c>
      <c r="E18">
        <v>1</v>
      </c>
      <c r="F18">
        <v>2</v>
      </c>
      <c r="H18" s="4"/>
    </row>
    <row r="19" spans="1:8">
      <c r="A19" s="4" t="s">
        <v>1703</v>
      </c>
      <c r="B19" s="4" t="s">
        <v>1704</v>
      </c>
      <c r="C19">
        <v>1</v>
      </c>
      <c r="D19">
        <v>16</v>
      </c>
      <c r="E19">
        <v>0</v>
      </c>
    </row>
    <row r="20" spans="1:8">
      <c r="A20" s="4" t="s">
        <v>1705</v>
      </c>
      <c r="B20" t="s">
        <v>1706</v>
      </c>
      <c r="C20">
        <v>2</v>
      </c>
      <c r="D20">
        <v>1</v>
      </c>
      <c r="E20">
        <v>0</v>
      </c>
    </row>
    <row r="21" spans="1:8">
      <c r="A21" s="4" t="s">
        <v>1707</v>
      </c>
      <c r="B21" t="s">
        <v>1708</v>
      </c>
      <c r="C21">
        <v>2</v>
      </c>
      <c r="D21">
        <v>2</v>
      </c>
      <c r="E21">
        <v>0</v>
      </c>
    </row>
    <row r="22" spans="1:8">
      <c r="A22" s="4" t="s">
        <v>1709</v>
      </c>
      <c r="B22" t="s">
        <v>1710</v>
      </c>
      <c r="C22">
        <v>2</v>
      </c>
      <c r="D22">
        <v>3</v>
      </c>
      <c r="E22">
        <v>0</v>
      </c>
    </row>
    <row r="23" spans="1:8">
      <c r="A23" s="4" t="s">
        <v>1711</v>
      </c>
      <c r="B23" t="s">
        <v>1712</v>
      </c>
      <c r="C23">
        <v>2</v>
      </c>
      <c r="D23">
        <v>4</v>
      </c>
      <c r="E23">
        <v>0</v>
      </c>
    </row>
    <row r="24" spans="1:8">
      <c r="A24" s="4" t="s">
        <v>1713</v>
      </c>
      <c r="B24" t="s">
        <v>1714</v>
      </c>
      <c r="C24">
        <v>2</v>
      </c>
      <c r="D24">
        <v>5</v>
      </c>
      <c r="E24">
        <v>0</v>
      </c>
    </row>
  </sheetData>
  <conditionalFormatting sqref="E2:F2">
    <cfRule type="duplicateValues" dxfId="0" priority="5"/>
  </conditionalFormatting>
  <conditionalFormatting sqref="G2">
    <cfRule type="duplicateValues" dxfId="0" priority="9"/>
  </conditionalFormatting>
  <conditionalFormatting sqref="H2">
    <cfRule type="duplicateValues" dxfId="0" priority="8"/>
  </conditionalFormatting>
  <conditionalFormatting sqref="H18">
    <cfRule type="duplicateValues" dxfId="0" priority="1"/>
    <cfRule type="duplicateValues" dxfId="1" priority="2"/>
  </conditionalFormatting>
  <conditionalFormatting sqref="A20:A24">
    <cfRule type="duplicateValues" dxfId="0" priority="10"/>
    <cfRule type="duplicateValues" dxfId="1" priority="11"/>
  </conditionalFormatting>
  <conditionalFormatting sqref="C1:C2">
    <cfRule type="duplicateValues" dxfId="0" priority="15"/>
  </conditionalFormatting>
  <conditionalFormatting sqref="H4:H17">
    <cfRule type="duplicateValues" dxfId="0" priority="6"/>
    <cfRule type="duplicateValues" dxfId="1" priority="7"/>
  </conditionalFormatting>
  <conditionalFormatting sqref="A1:B2">
    <cfRule type="duplicateValues" dxfId="0" priority="16"/>
  </conditionalFormatting>
  <conditionalFormatting sqref="D1:F1 D2">
    <cfRule type="duplicateValues" dxfId="0" priority="14"/>
  </conditionalFormatting>
  <conditionalFormatting sqref="A4:B19">
    <cfRule type="duplicateValues" dxfId="0" priority="12"/>
    <cfRule type="duplicateValues" dxfId="1" priority="1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SkillActive</vt:lpstr>
      <vt:lpstr>SkillSlot</vt:lpstr>
      <vt:lpstr>SkillGem</vt:lpstr>
      <vt:lpstr>SkillBook</vt:lpstr>
      <vt:lpstr>SkillPassive</vt:lpstr>
      <vt:lpstr>SkillPassiveOptional</vt:lpstr>
      <vt:lpstr>SkillSet</vt:lpstr>
      <vt:lpstr>SkillSect</vt:lpstr>
      <vt:lpstr>SkillSelectBox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4399-3040</dc:creator>
  <cp:lastModifiedBy>予怀，</cp:lastModifiedBy>
  <dcterms:created xsi:type="dcterms:W3CDTF">2023-08-07T02:59:00Z</dcterms:created>
  <dcterms:modified xsi:type="dcterms:W3CDTF">2026-07-31T07:22:36Z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B01966EB76C84A57AEACFBF72BDA4DBD_12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